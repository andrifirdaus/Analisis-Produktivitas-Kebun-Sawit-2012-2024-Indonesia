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E:\Portofolio\Plantation mendeley\Analisys\"/>
    </mc:Choice>
  </mc:AlternateContent>
  <xr:revisionPtr revIDLastSave="0" documentId="8_{C99DC471-3C94-42DC-841A-58EC90647406}" xr6:coauthVersionLast="47" xr6:coauthVersionMax="47" xr10:uidLastSave="{00000000-0000-0000-0000-000000000000}"/>
  <bookViews>
    <workbookView xWindow="0" yWindow="0" windowWidth="12750" windowHeight="10920" xr2:uid="{C0BB147B-650C-4300-B89F-651B8B9B4B26}"/>
  </bookViews>
  <sheets>
    <sheet name="Dashboard" sheetId="8" r:id="rId1"/>
    <sheet name="Data_raw" sheetId="2" r:id="rId2"/>
    <sheet name="Top 10 Produktivitas" sheetId="7" r:id="rId3"/>
    <sheet name="Jenis Bibit" sheetId="6" r:id="rId4"/>
    <sheet name="Rata2 produktivitas" sheetId="3" r:id="rId5"/>
    <sheet name="Pola Musiman per Bulan" sheetId="4" r:id="rId6"/>
    <sheet name="Produktivitas per Kelompok Umur" sheetId="5" r:id="rId7"/>
    <sheet name="Cek" sheetId="1" r:id="rId8"/>
  </sheets>
  <definedNames>
    <definedName name="ExternalData_1" localSheetId="1" hidden="1">Data_raw!$A$1:$R$6553</definedName>
    <definedName name="Slicer_Seed_Type">#N/A</definedName>
    <definedName name="Slicer_Year">#N/A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8" l="1"/>
  <c r="F4" i="8"/>
  <c r="D4" i="8"/>
  <c r="B4" i="8"/>
  <c r="B5" i="1"/>
  <c r="B4" i="1"/>
  <c r="B3" i="1"/>
  <c r="B2" i="1"/>
  <c r="B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421F26-8BEC-4B07-95C2-6DCF3F2E507B}" keepAlive="1" name="Query - Data Raw" description="Connection to the 'Data Raw' query in the workbook." type="5" refreshedVersion="8" background="1" saveData="1">
    <dbPr connection="Provider=Microsoft.Mashup.OleDb.1;Data Source=$Workbook$;Location=&quot;Data Raw&quot;;Extended Properties=&quot;&quot;" command="SELECT * FROM [Data Raw]"/>
  </connection>
</connections>
</file>

<file path=xl/sharedStrings.xml><?xml version="1.0" encoding="utf-8"?>
<sst xmlns="http://schemas.openxmlformats.org/spreadsheetml/2006/main" count="45937" uniqueCount="144">
  <si>
    <t>Year</t>
  </si>
  <si>
    <t>Month_Number</t>
  </si>
  <si>
    <t>Month</t>
  </si>
  <si>
    <t>Division_ID</t>
  </si>
  <si>
    <t>Block_ID</t>
  </si>
  <si>
    <t>Planting_Year</t>
  </si>
  <si>
    <t>Plant_Age_Years</t>
  </si>
  <si>
    <t>Plant_Status</t>
  </si>
  <si>
    <t>Area_Ha</t>
  </si>
  <si>
    <t>Productive_Palms</t>
  </si>
  <si>
    <t>Palms_per_Ha</t>
  </si>
  <si>
    <t>Seed_Type</t>
  </si>
  <si>
    <t>Productivity_t_Ha</t>
  </si>
  <si>
    <t>FFB_Production_kg</t>
  </si>
  <si>
    <t>FFB_Production_t</t>
  </si>
  <si>
    <t>Date</t>
  </si>
  <si>
    <t>Is_Mature</t>
  </si>
  <si>
    <t>AgeGroup</t>
  </si>
  <si>
    <t>Januari</t>
  </si>
  <si>
    <t>Division_A</t>
  </si>
  <si>
    <t>B001</t>
  </si>
  <si>
    <t>TM-Utama</t>
  </si>
  <si>
    <t>78.4</t>
  </si>
  <si>
    <t>PPKS</t>
  </si>
  <si>
    <t>4) 11-16</t>
  </si>
  <si>
    <t>Februari</t>
  </si>
  <si>
    <t>Maret</t>
  </si>
  <si>
    <t>April</t>
  </si>
  <si>
    <t>Mei</t>
  </si>
  <si>
    <t>Juni</t>
  </si>
  <si>
    <t>Juli</t>
  </si>
  <si>
    <t>Agustus</t>
  </si>
  <si>
    <t>September</t>
  </si>
  <si>
    <t>Oktober</t>
  </si>
  <si>
    <t>November</t>
  </si>
  <si>
    <t>Desember</t>
  </si>
  <si>
    <t>B002</t>
  </si>
  <si>
    <t>69.8</t>
  </si>
  <si>
    <t>B003</t>
  </si>
  <si>
    <t>106.8</t>
  </si>
  <si>
    <t>3) 6-10</t>
  </si>
  <si>
    <t>B004</t>
  </si>
  <si>
    <t>108.7</t>
  </si>
  <si>
    <t>B005</t>
  </si>
  <si>
    <t>81.1</t>
  </si>
  <si>
    <t>PPKS/Sofc</t>
  </si>
  <si>
    <t>B006</t>
  </si>
  <si>
    <t>109.6</t>
  </si>
  <si>
    <t>B007</t>
  </si>
  <si>
    <t>134.6</t>
  </si>
  <si>
    <t>B008</t>
  </si>
  <si>
    <t>111.2</t>
  </si>
  <si>
    <t>B009</t>
  </si>
  <si>
    <t>124.4</t>
  </si>
  <si>
    <t>B010</t>
  </si>
  <si>
    <t>126.2</t>
  </si>
  <si>
    <t>B011</t>
  </si>
  <si>
    <t>120.1</t>
  </si>
  <si>
    <t>B012</t>
  </si>
  <si>
    <t>TBM</t>
  </si>
  <si>
    <t>143.4</t>
  </si>
  <si>
    <t>1) 0-2 TBM</t>
  </si>
  <si>
    <t>B013</t>
  </si>
  <si>
    <t>128.1</t>
  </si>
  <si>
    <t>Lonsum</t>
  </si>
  <si>
    <t>B014</t>
  </si>
  <si>
    <t>127.3</t>
  </si>
  <si>
    <t>B015</t>
  </si>
  <si>
    <t>128.2</t>
  </si>
  <si>
    <t>B016</t>
  </si>
  <si>
    <t>129.9</t>
  </si>
  <si>
    <t>B017</t>
  </si>
  <si>
    <t>135.2</t>
  </si>
  <si>
    <t>B018</t>
  </si>
  <si>
    <t>130.9</t>
  </si>
  <si>
    <t>B019</t>
  </si>
  <si>
    <t>99.5</t>
  </si>
  <si>
    <t>B020</t>
  </si>
  <si>
    <t>118.5</t>
  </si>
  <si>
    <t>B021</t>
  </si>
  <si>
    <t>122</t>
  </si>
  <si>
    <t>B022</t>
  </si>
  <si>
    <t>B023</t>
  </si>
  <si>
    <t>111.6</t>
  </si>
  <si>
    <t>B024</t>
  </si>
  <si>
    <t>116.7</t>
  </si>
  <si>
    <t>B025</t>
  </si>
  <si>
    <t>143.5</t>
  </si>
  <si>
    <t>B026</t>
  </si>
  <si>
    <t>136.3</t>
  </si>
  <si>
    <t>B027</t>
  </si>
  <si>
    <t>131.6</t>
  </si>
  <si>
    <t>B028</t>
  </si>
  <si>
    <t>92</t>
  </si>
  <si>
    <t>B029</t>
  </si>
  <si>
    <t>97.7</t>
  </si>
  <si>
    <t>B030</t>
  </si>
  <si>
    <t>55.4</t>
  </si>
  <si>
    <t>B031</t>
  </si>
  <si>
    <t>65.5</t>
  </si>
  <si>
    <t>B033</t>
  </si>
  <si>
    <t>142.6</t>
  </si>
  <si>
    <t>B038</t>
  </si>
  <si>
    <t>140.7</t>
  </si>
  <si>
    <t>B041</t>
  </si>
  <si>
    <t>138.2</t>
  </si>
  <si>
    <t>B042</t>
  </si>
  <si>
    <t>130.5</t>
  </si>
  <si>
    <t>B032</t>
  </si>
  <si>
    <t>142.8</t>
  </si>
  <si>
    <t>B034</t>
  </si>
  <si>
    <t>138.5</t>
  </si>
  <si>
    <t>B035</t>
  </si>
  <si>
    <t>133.2</t>
  </si>
  <si>
    <t>B036</t>
  </si>
  <si>
    <t>124.7</t>
  </si>
  <si>
    <t>B037</t>
  </si>
  <si>
    <t>B039</t>
  </si>
  <si>
    <t>137.2</t>
  </si>
  <si>
    <t>B040</t>
  </si>
  <si>
    <t>138.1</t>
  </si>
  <si>
    <t>TM-1</t>
  </si>
  <si>
    <t>2) 3-5</t>
  </si>
  <si>
    <t>TM-2</t>
  </si>
  <si>
    <t>TM-Tua</t>
  </si>
  <si>
    <t>5) 17+</t>
  </si>
  <si>
    <t>TM-3</t>
  </si>
  <si>
    <t>Jumlah Baris</t>
  </si>
  <si>
    <t>Jumlah Blok Unit</t>
  </si>
  <si>
    <t>Baris Tbm (Is_Mature = 0)</t>
  </si>
  <si>
    <t>Baris Reproduksi (Is_Mature = 1)</t>
  </si>
  <si>
    <t xml:space="preserve">	Non-TBM dengan produksi 0</t>
  </si>
  <si>
    <t>Row Labels</t>
  </si>
  <si>
    <t>Grand Total</t>
  </si>
  <si>
    <t>Avg Productiovity</t>
  </si>
  <si>
    <t>Avg Productivity</t>
  </si>
  <si>
    <t>Column Labels</t>
  </si>
  <si>
    <t>Analisis Produktivitas Kebun Sawit 2012-2024</t>
  </si>
  <si>
    <t>Total Produksi TBS (Ton)</t>
  </si>
  <si>
    <t>Rata-Rata Produktivitas (t/ha per bulan)</t>
  </si>
  <si>
    <t>Jumlah Blok</t>
  </si>
  <si>
    <t>Total Luas Areal (ha)</t>
  </si>
  <si>
    <t xml:space="preserve">Notes : </t>
  </si>
  <si>
    <t>Catatan: produktivitas dihitung hanya dari blok yang sudah berproduksi (Plant_Status bukan TBM). Baris TBM (1.800 baris, produksi 0) dikeluarkan agar rata-rata tidak turun palsu.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</si>
</sst>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1" formatCode="_-* #,##0_-;\-* #,##0_-;_-* &quot;-&quot;??_-;_-@_-"/>
  </numFmts>
  <fonts count="2" x14ac:knownFonts="1">
    <font>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43" fontId="0" fillId="0" borderId="1" xfId="1" applyFont="1" applyBorder="1" applyAlignment="1">
      <alignment horizontal="center" vertical="center"/>
    </xf>
    <xf numFmtId="43" fontId="0" fillId="0" borderId="0" xfId="1" applyFont="1" applyAlignment="1">
      <alignment horizontal="center" vertical="center"/>
    </xf>
    <xf numFmtId="0" fontId="0" fillId="0" borderId="0" xfId="0" applyAlignment="1">
      <alignment horizontal="center"/>
    </xf>
    <xf numFmtId="171" fontId="0" fillId="0" borderId="1" xfId="1" applyNumberFormat="1" applyFont="1" applyBorder="1" applyAlignment="1">
      <alignment horizontal="center" vertical="center"/>
    </xf>
  </cellXfs>
  <cellStyles count="2">
    <cellStyle name="Comma" xfId="1" builtinId="3"/>
    <cellStyle name="Normal" xfId="0" builtinId="0"/>
  </cellStyles>
  <dxfs count="8">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Dashboard.xlsx]Top 10 Produktivitas!PivotTable5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Top 10 Blok: Rata-rata Produktivitas Bulanan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Produktivitas'!$B$3</c:f>
              <c:strCache>
                <c:ptCount val="1"/>
                <c:pt idx="0">
                  <c:v>Total</c:v>
                </c:pt>
              </c:strCache>
            </c:strRef>
          </c:tx>
          <c:spPr>
            <a:solidFill>
              <a:schemeClr val="accent1"/>
            </a:solidFill>
            <a:ln>
              <a:noFill/>
            </a:ln>
            <a:effectLst/>
          </c:spPr>
          <c:invertIfNegative val="0"/>
          <c:cat>
            <c:strRef>
              <c:f>'Top 10 Produktivitas'!$A$4:$A$14</c:f>
              <c:strCache>
                <c:ptCount val="10"/>
                <c:pt idx="0">
                  <c:v>B007</c:v>
                </c:pt>
                <c:pt idx="1">
                  <c:v>B032</c:v>
                </c:pt>
                <c:pt idx="2">
                  <c:v>B033</c:v>
                </c:pt>
                <c:pt idx="3">
                  <c:v>B038</c:v>
                </c:pt>
                <c:pt idx="4">
                  <c:v>B037</c:v>
                </c:pt>
                <c:pt idx="5">
                  <c:v>B034</c:v>
                </c:pt>
                <c:pt idx="6">
                  <c:v>B010</c:v>
                </c:pt>
                <c:pt idx="7">
                  <c:v>B041</c:v>
                </c:pt>
                <c:pt idx="8">
                  <c:v>B025</c:v>
                </c:pt>
                <c:pt idx="9">
                  <c:v>B040</c:v>
                </c:pt>
              </c:strCache>
            </c:strRef>
          </c:cat>
          <c:val>
            <c:numRef>
              <c:f>'Top 10 Produktivitas'!$B$4:$B$14</c:f>
              <c:numCache>
                <c:formatCode>0.00</c:formatCode>
                <c:ptCount val="10"/>
                <c:pt idx="0">
                  <c:v>1.6454358974358985</c:v>
                </c:pt>
                <c:pt idx="1">
                  <c:v>1.5738611111111123</c:v>
                </c:pt>
                <c:pt idx="2">
                  <c:v>1.5724305555555564</c:v>
                </c:pt>
                <c:pt idx="3">
                  <c:v>1.559222222222223</c:v>
                </c:pt>
                <c:pt idx="4">
                  <c:v>1.559111111111112</c:v>
                </c:pt>
                <c:pt idx="5">
                  <c:v>1.5435277777777785</c:v>
                </c:pt>
                <c:pt idx="6">
                  <c:v>1.5424807692307694</c:v>
                </c:pt>
                <c:pt idx="7">
                  <c:v>1.541486111111112</c:v>
                </c:pt>
                <c:pt idx="8">
                  <c:v>1.5413888888888891</c:v>
                </c:pt>
                <c:pt idx="9">
                  <c:v>1.5410416666666675</c:v>
                </c:pt>
              </c:numCache>
            </c:numRef>
          </c:val>
          <c:extLst>
            <c:ext xmlns:c16="http://schemas.microsoft.com/office/drawing/2014/chart" uri="{C3380CC4-5D6E-409C-BE32-E72D297353CC}">
              <c16:uniqueId val="{00000000-6F70-4EBC-89AD-BED60C85C694}"/>
            </c:ext>
          </c:extLst>
        </c:ser>
        <c:dLbls>
          <c:showLegendKey val="0"/>
          <c:showVal val="0"/>
          <c:showCatName val="0"/>
          <c:showSerName val="0"/>
          <c:showPercent val="0"/>
          <c:showBubbleSize val="0"/>
        </c:dLbls>
        <c:gapWidth val="219"/>
        <c:overlap val="-27"/>
        <c:axId val="1028697312"/>
        <c:axId val="1028698272"/>
      </c:barChart>
      <c:catAx>
        <c:axId val="1028697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Blok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98272"/>
        <c:crosses val="autoZero"/>
        <c:auto val="1"/>
        <c:lblAlgn val="ctr"/>
        <c:lblOffset val="100"/>
        <c:noMultiLvlLbl val="0"/>
      </c:catAx>
      <c:valAx>
        <c:axId val="1028698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9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Dashboard.xlsx]Jenis Bibit!PivotTable4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Jenis Bibit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'Jenis Bibit'!$B$3:$B$4</c:f>
              <c:strCache>
                <c:ptCount val="1"/>
                <c:pt idx="0">
                  <c:v>2) 3-5</c:v>
                </c:pt>
              </c:strCache>
            </c:strRef>
          </c:tx>
          <c:spPr>
            <a:solidFill>
              <a:schemeClr val="accent1"/>
            </a:solidFill>
            <a:ln>
              <a:noFill/>
            </a:ln>
            <a:effectLst/>
          </c:spPr>
          <c:invertIfNegative val="0"/>
          <c:cat>
            <c:strRef>
              <c:f>'Jenis Bibit'!$A$5:$A$8</c:f>
              <c:strCache>
                <c:ptCount val="3"/>
                <c:pt idx="0">
                  <c:v>Lonsum</c:v>
                </c:pt>
                <c:pt idx="1">
                  <c:v>PPKS</c:v>
                </c:pt>
                <c:pt idx="2">
                  <c:v>PPKS/Sofc</c:v>
                </c:pt>
              </c:strCache>
            </c:strRef>
          </c:cat>
          <c:val>
            <c:numRef>
              <c:f>'Jenis Bibit'!$B$5:$B$8</c:f>
              <c:numCache>
                <c:formatCode>0.00</c:formatCode>
                <c:ptCount val="3"/>
                <c:pt idx="0">
                  <c:v>0.72163888888888883</c:v>
                </c:pt>
                <c:pt idx="1">
                  <c:v>1.1350277777777769</c:v>
                </c:pt>
                <c:pt idx="2">
                  <c:v>0.78375854700854541</c:v>
                </c:pt>
              </c:numCache>
            </c:numRef>
          </c:val>
          <c:extLst>
            <c:ext xmlns:c16="http://schemas.microsoft.com/office/drawing/2014/chart" uri="{C3380CC4-5D6E-409C-BE32-E72D297353CC}">
              <c16:uniqueId val="{00000000-7AEE-4FFB-AA8D-5AE6D242F510}"/>
            </c:ext>
          </c:extLst>
        </c:ser>
        <c:ser>
          <c:idx val="1"/>
          <c:order val="1"/>
          <c:tx>
            <c:strRef>
              <c:f>'Jenis Bibit'!$C$3:$C$4</c:f>
              <c:strCache>
                <c:ptCount val="1"/>
                <c:pt idx="0">
                  <c:v>3) 6-10</c:v>
                </c:pt>
              </c:strCache>
            </c:strRef>
          </c:tx>
          <c:spPr>
            <a:solidFill>
              <a:schemeClr val="accent2"/>
            </a:solidFill>
            <a:ln>
              <a:noFill/>
            </a:ln>
            <a:effectLst/>
          </c:spPr>
          <c:invertIfNegative val="0"/>
          <c:cat>
            <c:strRef>
              <c:f>'Jenis Bibit'!$A$5:$A$8</c:f>
              <c:strCache>
                <c:ptCount val="3"/>
                <c:pt idx="0">
                  <c:v>Lonsum</c:v>
                </c:pt>
                <c:pt idx="1">
                  <c:v>PPKS</c:v>
                </c:pt>
                <c:pt idx="2">
                  <c:v>PPKS/Sofc</c:v>
                </c:pt>
              </c:strCache>
            </c:strRef>
          </c:cat>
          <c:val>
            <c:numRef>
              <c:f>'Jenis Bibit'!$C$5:$C$8</c:f>
              <c:numCache>
                <c:formatCode>0.00</c:formatCode>
                <c:ptCount val="3"/>
                <c:pt idx="0">
                  <c:v>1.5728809523809533</c:v>
                </c:pt>
                <c:pt idx="1">
                  <c:v>1.8463556910569103</c:v>
                </c:pt>
                <c:pt idx="2">
                  <c:v>1.5758265993266001</c:v>
                </c:pt>
              </c:numCache>
            </c:numRef>
          </c:val>
          <c:extLst>
            <c:ext xmlns:c16="http://schemas.microsoft.com/office/drawing/2014/chart" uri="{C3380CC4-5D6E-409C-BE32-E72D297353CC}">
              <c16:uniqueId val="{00000001-7AEE-4FFB-AA8D-5AE6D242F510}"/>
            </c:ext>
          </c:extLst>
        </c:ser>
        <c:ser>
          <c:idx val="2"/>
          <c:order val="2"/>
          <c:tx>
            <c:strRef>
              <c:f>'Jenis Bibit'!$D$3:$D$4</c:f>
              <c:strCache>
                <c:ptCount val="1"/>
                <c:pt idx="0">
                  <c:v>4) 11-16</c:v>
                </c:pt>
              </c:strCache>
            </c:strRef>
          </c:tx>
          <c:spPr>
            <a:solidFill>
              <a:schemeClr val="accent3"/>
            </a:solidFill>
            <a:ln>
              <a:noFill/>
            </a:ln>
            <a:effectLst/>
          </c:spPr>
          <c:invertIfNegative val="0"/>
          <c:cat>
            <c:strRef>
              <c:f>'Jenis Bibit'!$A$5:$A$8</c:f>
              <c:strCache>
                <c:ptCount val="3"/>
                <c:pt idx="0">
                  <c:v>Lonsum</c:v>
                </c:pt>
                <c:pt idx="1">
                  <c:v>PPKS</c:v>
                </c:pt>
                <c:pt idx="2">
                  <c:v>PPKS/Sofc</c:v>
                </c:pt>
              </c:strCache>
            </c:strRef>
          </c:cat>
          <c:val>
            <c:numRef>
              <c:f>'Jenis Bibit'!$D$5:$D$8</c:f>
              <c:numCache>
                <c:formatCode>0.00</c:formatCode>
                <c:ptCount val="3"/>
                <c:pt idx="0">
                  <c:v>1.7013333333333338</c:v>
                </c:pt>
                <c:pt idx="1">
                  <c:v>1.2038181818181817</c:v>
                </c:pt>
                <c:pt idx="2">
                  <c:v>1.4688378787878789</c:v>
                </c:pt>
              </c:numCache>
            </c:numRef>
          </c:val>
          <c:extLst>
            <c:ext xmlns:c16="http://schemas.microsoft.com/office/drawing/2014/chart" uri="{C3380CC4-5D6E-409C-BE32-E72D297353CC}">
              <c16:uniqueId val="{00000002-7AEE-4FFB-AA8D-5AE6D242F510}"/>
            </c:ext>
          </c:extLst>
        </c:ser>
        <c:ser>
          <c:idx val="3"/>
          <c:order val="3"/>
          <c:tx>
            <c:strRef>
              <c:f>'Jenis Bibit'!$E$3:$E$4</c:f>
              <c:strCache>
                <c:ptCount val="1"/>
                <c:pt idx="0">
                  <c:v>5) 17+</c:v>
                </c:pt>
              </c:strCache>
            </c:strRef>
          </c:tx>
          <c:spPr>
            <a:solidFill>
              <a:schemeClr val="accent4"/>
            </a:solidFill>
            <a:ln>
              <a:noFill/>
            </a:ln>
            <a:effectLst/>
          </c:spPr>
          <c:invertIfNegative val="0"/>
          <c:cat>
            <c:strRef>
              <c:f>'Jenis Bibit'!$A$5:$A$8</c:f>
              <c:strCache>
                <c:ptCount val="3"/>
                <c:pt idx="0">
                  <c:v>Lonsum</c:v>
                </c:pt>
                <c:pt idx="1">
                  <c:v>PPKS</c:v>
                </c:pt>
                <c:pt idx="2">
                  <c:v>PPKS/Sofc</c:v>
                </c:pt>
              </c:strCache>
            </c:strRef>
          </c:cat>
          <c:val>
            <c:numRef>
              <c:f>'Jenis Bibit'!$E$5:$E$8</c:f>
              <c:numCache>
                <c:formatCode>0.00</c:formatCode>
                <c:ptCount val="3"/>
                <c:pt idx="1">
                  <c:v>0.97857954545454495</c:v>
                </c:pt>
                <c:pt idx="2">
                  <c:v>1.4057611111111106</c:v>
                </c:pt>
              </c:numCache>
            </c:numRef>
          </c:val>
          <c:extLst>
            <c:ext xmlns:c16="http://schemas.microsoft.com/office/drawing/2014/chart" uri="{C3380CC4-5D6E-409C-BE32-E72D297353CC}">
              <c16:uniqueId val="{00000007-7AEE-4FFB-AA8D-5AE6D242F510}"/>
            </c:ext>
          </c:extLst>
        </c:ser>
        <c:dLbls>
          <c:showLegendKey val="0"/>
          <c:showVal val="0"/>
          <c:showCatName val="0"/>
          <c:showSerName val="0"/>
          <c:showPercent val="0"/>
          <c:showBubbleSize val="0"/>
        </c:dLbls>
        <c:gapWidth val="219"/>
        <c:overlap val="-27"/>
        <c:axId val="1028701632"/>
        <c:axId val="1028686272"/>
      </c:barChart>
      <c:catAx>
        <c:axId val="102870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Bibit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86272"/>
        <c:crosses val="autoZero"/>
        <c:auto val="1"/>
        <c:lblAlgn val="ctr"/>
        <c:lblOffset val="100"/>
        <c:noMultiLvlLbl val="0"/>
      </c:catAx>
      <c:valAx>
        <c:axId val="1028686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0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Dashboard.xlsx]Rata2 produktivitas!PivotTable1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Rata-rata Produktivitas Bulanan per Tahun (blok berproduksi)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'Rata2 produktivitas'!$B$3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'Rata2 produktivitas'!$A$4:$A$17</c:f>
              <c:strCach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strCache>
            </c:strRef>
          </c:cat>
          <c:val>
            <c:numRef>
              <c:f>'Rata2 produktivitas'!$B$4:$B$17</c:f>
              <c:numCache>
                <c:formatCode>0.00</c:formatCode>
                <c:ptCount val="13"/>
                <c:pt idx="0">
                  <c:v>2.2434999999999996</c:v>
                </c:pt>
                <c:pt idx="1">
                  <c:v>1.3805833333333335</c:v>
                </c:pt>
                <c:pt idx="2">
                  <c:v>1.4515757575757575</c:v>
                </c:pt>
                <c:pt idx="3">
                  <c:v>0.88396212121211915</c:v>
                </c:pt>
                <c:pt idx="4">
                  <c:v>0.64405864197530915</c:v>
                </c:pt>
                <c:pt idx="5">
                  <c:v>0.84868010752688117</c:v>
                </c:pt>
                <c:pt idx="6">
                  <c:v>1.1003440860215052</c:v>
                </c:pt>
                <c:pt idx="7">
                  <c:v>1.1622301587301589</c:v>
                </c:pt>
                <c:pt idx="8">
                  <c:v>1.4916884920634967</c:v>
                </c:pt>
                <c:pt idx="9">
                  <c:v>1.5823313492063487</c:v>
                </c:pt>
                <c:pt idx="10">
                  <c:v>1.8010218253968258</c:v>
                </c:pt>
                <c:pt idx="11">
                  <c:v>1.7701984126984127</c:v>
                </c:pt>
                <c:pt idx="12">
                  <c:v>1.4913472222222242</c:v>
                </c:pt>
              </c:numCache>
            </c:numRef>
          </c:val>
          <c:smooth val="0"/>
          <c:extLst>
            <c:ext xmlns:c16="http://schemas.microsoft.com/office/drawing/2014/chart" uri="{C3380CC4-5D6E-409C-BE32-E72D297353CC}">
              <c16:uniqueId val="{00000000-F64E-4F96-9D52-715E9FE6F0C3}"/>
            </c:ext>
          </c:extLst>
        </c:ser>
        <c:dLbls>
          <c:showLegendKey val="0"/>
          <c:showVal val="0"/>
          <c:showCatName val="0"/>
          <c:showSerName val="0"/>
          <c:showPercent val="0"/>
          <c:showBubbleSize val="0"/>
        </c:dLbls>
        <c:marker val="1"/>
        <c:smooth val="0"/>
        <c:axId val="1028705472"/>
        <c:axId val="1028732352"/>
      </c:lineChart>
      <c:catAx>
        <c:axId val="102870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32352"/>
        <c:crosses val="autoZero"/>
        <c:auto val="1"/>
        <c:lblAlgn val="ctr"/>
        <c:lblOffset val="100"/>
        <c:noMultiLvlLbl val="0"/>
      </c:catAx>
      <c:valAx>
        <c:axId val="102873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 per bulan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0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Dashboard.xlsx]Pola Musiman per Bulan!PivotTable2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Pola Musiman: Rata-rata Produktivitas per Bulan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'Pola Musiman per Bulan'!$B$3</c:f>
              <c:strCache>
                <c:ptCount val="1"/>
                <c:pt idx="0">
                  <c:v>Total</c:v>
                </c:pt>
              </c:strCache>
            </c:strRef>
          </c:tx>
          <c:spPr>
            <a:solidFill>
              <a:schemeClr val="accent1"/>
            </a:solidFill>
            <a:ln>
              <a:noFill/>
            </a:ln>
            <a:effectLst/>
          </c:spPr>
          <c:invertIfNegative val="0"/>
          <c:cat>
            <c:strRef>
              <c:f>'Pola Musiman per Bulan'!$A$4:$A$16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'Pola Musiman per Bulan'!$B$4:$B$16</c:f>
              <c:numCache>
                <c:formatCode>0.00</c:formatCode>
                <c:ptCount val="12"/>
                <c:pt idx="0">
                  <c:v>0.84111111111111136</c:v>
                </c:pt>
                <c:pt idx="1">
                  <c:v>1.0336818181818175</c:v>
                </c:pt>
                <c:pt idx="2">
                  <c:v>1.3176414141414134</c:v>
                </c:pt>
                <c:pt idx="3">
                  <c:v>1.4554015151515176</c:v>
                </c:pt>
                <c:pt idx="4">
                  <c:v>1.5534242424242424</c:v>
                </c:pt>
                <c:pt idx="5">
                  <c:v>1.5754898989899007</c:v>
                </c:pt>
                <c:pt idx="6">
                  <c:v>1.5372095959595951</c:v>
                </c:pt>
                <c:pt idx="7">
                  <c:v>1.6382575757575752</c:v>
                </c:pt>
                <c:pt idx="8">
                  <c:v>1.5471489898989894</c:v>
                </c:pt>
                <c:pt idx="9">
                  <c:v>1.4963257575757563</c:v>
                </c:pt>
                <c:pt idx="10">
                  <c:v>1.2768207070707069</c:v>
                </c:pt>
                <c:pt idx="11">
                  <c:v>1.2013989898989894</c:v>
                </c:pt>
              </c:numCache>
            </c:numRef>
          </c:val>
          <c:extLst>
            <c:ext xmlns:c16="http://schemas.microsoft.com/office/drawing/2014/chart" uri="{C3380CC4-5D6E-409C-BE32-E72D297353CC}">
              <c16:uniqueId val="{00000000-6D0D-4631-B74A-A5CFAE827C86}"/>
            </c:ext>
          </c:extLst>
        </c:ser>
        <c:dLbls>
          <c:showLegendKey val="0"/>
          <c:showVal val="0"/>
          <c:showCatName val="0"/>
          <c:showSerName val="0"/>
          <c:showPercent val="0"/>
          <c:showBubbleSize val="0"/>
        </c:dLbls>
        <c:gapWidth val="219"/>
        <c:overlap val="-27"/>
        <c:axId val="1028727072"/>
        <c:axId val="1028720352"/>
      </c:barChart>
      <c:catAx>
        <c:axId val="102872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20352"/>
        <c:crosses val="autoZero"/>
        <c:auto val="1"/>
        <c:lblAlgn val="ctr"/>
        <c:lblOffset val="100"/>
        <c:noMultiLvlLbl val="0"/>
      </c:catAx>
      <c:valAx>
        <c:axId val="1028720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 per bulan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27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Dashboard.xlsx]Produktivitas per Kelompok Umur!PivotTable3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Produktivitas per kelompok Umur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'Produktivitas per Kelompok Umur'!$B$3</c:f>
              <c:strCache>
                <c:ptCount val="1"/>
                <c:pt idx="0">
                  <c:v>Total</c:v>
                </c:pt>
              </c:strCache>
            </c:strRef>
          </c:tx>
          <c:spPr>
            <a:solidFill>
              <a:schemeClr val="accent1"/>
            </a:solidFill>
            <a:ln>
              <a:noFill/>
            </a:ln>
            <a:effectLst/>
          </c:spPr>
          <c:invertIfNegative val="0"/>
          <c:cat>
            <c:strRef>
              <c:f>'Produktivitas per Kelompok Umur'!$A$4:$A$8</c:f>
              <c:strCache>
                <c:ptCount val="4"/>
                <c:pt idx="0">
                  <c:v>2) 3-5</c:v>
                </c:pt>
                <c:pt idx="1">
                  <c:v>3) 6-10</c:v>
                </c:pt>
                <c:pt idx="2">
                  <c:v>4) 11-16</c:v>
                </c:pt>
                <c:pt idx="3">
                  <c:v>5) 17+</c:v>
                </c:pt>
              </c:strCache>
            </c:strRef>
          </c:cat>
          <c:val>
            <c:numRef>
              <c:f>'Produktivitas per Kelompok Umur'!$B$4:$B$8</c:f>
              <c:numCache>
                <c:formatCode>0.00</c:formatCode>
                <c:ptCount val="4"/>
                <c:pt idx="0">
                  <c:v>0.89437544802867242</c:v>
                </c:pt>
                <c:pt idx="1">
                  <c:v>1.6386185714285708</c:v>
                </c:pt>
                <c:pt idx="2">
                  <c:v>1.4405357142857151</c:v>
                </c:pt>
                <c:pt idx="3">
                  <c:v>1.1517612612612611</c:v>
                </c:pt>
              </c:numCache>
            </c:numRef>
          </c:val>
          <c:extLst>
            <c:ext xmlns:c16="http://schemas.microsoft.com/office/drawing/2014/chart" uri="{C3380CC4-5D6E-409C-BE32-E72D297353CC}">
              <c16:uniqueId val="{00000000-C636-427F-9773-A20D20DCD496}"/>
            </c:ext>
          </c:extLst>
        </c:ser>
        <c:dLbls>
          <c:showLegendKey val="0"/>
          <c:showVal val="0"/>
          <c:showCatName val="0"/>
          <c:showSerName val="0"/>
          <c:showPercent val="0"/>
          <c:showBubbleSize val="0"/>
        </c:dLbls>
        <c:gapWidth val="219"/>
        <c:overlap val="-27"/>
        <c:axId val="1028714592"/>
        <c:axId val="1028719392"/>
      </c:barChart>
      <c:catAx>
        <c:axId val="102871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Usia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9392"/>
        <c:crosses val="autoZero"/>
        <c:auto val="1"/>
        <c:lblAlgn val="ctr"/>
        <c:lblOffset val="100"/>
        <c:noMultiLvlLbl val="0"/>
      </c:catAx>
      <c:valAx>
        <c:axId val="102871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Dashboard.xlsx]Top 10 Produktivitas!PivotTable5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Top 10 Blok: Rata-rata Produktivitas Bulanan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Produktivitas'!$B$3</c:f>
              <c:strCache>
                <c:ptCount val="1"/>
                <c:pt idx="0">
                  <c:v>Total</c:v>
                </c:pt>
              </c:strCache>
            </c:strRef>
          </c:tx>
          <c:spPr>
            <a:solidFill>
              <a:schemeClr val="accent1"/>
            </a:solidFill>
            <a:ln>
              <a:noFill/>
            </a:ln>
            <a:effectLst/>
          </c:spPr>
          <c:invertIfNegative val="0"/>
          <c:cat>
            <c:strRef>
              <c:f>'Top 10 Produktivitas'!$A$4:$A$14</c:f>
              <c:strCache>
                <c:ptCount val="10"/>
                <c:pt idx="0">
                  <c:v>B007</c:v>
                </c:pt>
                <c:pt idx="1">
                  <c:v>B032</c:v>
                </c:pt>
                <c:pt idx="2">
                  <c:v>B033</c:v>
                </c:pt>
                <c:pt idx="3">
                  <c:v>B038</c:v>
                </c:pt>
                <c:pt idx="4">
                  <c:v>B037</c:v>
                </c:pt>
                <c:pt idx="5">
                  <c:v>B034</c:v>
                </c:pt>
                <c:pt idx="6">
                  <c:v>B010</c:v>
                </c:pt>
                <c:pt idx="7">
                  <c:v>B041</c:v>
                </c:pt>
                <c:pt idx="8">
                  <c:v>B025</c:v>
                </c:pt>
                <c:pt idx="9">
                  <c:v>B040</c:v>
                </c:pt>
              </c:strCache>
            </c:strRef>
          </c:cat>
          <c:val>
            <c:numRef>
              <c:f>'Top 10 Produktivitas'!$B$4:$B$14</c:f>
              <c:numCache>
                <c:formatCode>0.00</c:formatCode>
                <c:ptCount val="10"/>
                <c:pt idx="0">
                  <c:v>1.6454358974358985</c:v>
                </c:pt>
                <c:pt idx="1">
                  <c:v>1.5738611111111123</c:v>
                </c:pt>
                <c:pt idx="2">
                  <c:v>1.5724305555555564</c:v>
                </c:pt>
                <c:pt idx="3">
                  <c:v>1.559222222222223</c:v>
                </c:pt>
                <c:pt idx="4">
                  <c:v>1.559111111111112</c:v>
                </c:pt>
                <c:pt idx="5">
                  <c:v>1.5435277777777785</c:v>
                </c:pt>
                <c:pt idx="6">
                  <c:v>1.5424807692307694</c:v>
                </c:pt>
                <c:pt idx="7">
                  <c:v>1.541486111111112</c:v>
                </c:pt>
                <c:pt idx="8">
                  <c:v>1.5413888888888891</c:v>
                </c:pt>
                <c:pt idx="9">
                  <c:v>1.5410416666666675</c:v>
                </c:pt>
              </c:numCache>
            </c:numRef>
          </c:val>
          <c:extLst>
            <c:ext xmlns:c16="http://schemas.microsoft.com/office/drawing/2014/chart" uri="{C3380CC4-5D6E-409C-BE32-E72D297353CC}">
              <c16:uniqueId val="{00000000-6EC1-4F85-B5FD-EBC3941DB39A}"/>
            </c:ext>
          </c:extLst>
        </c:ser>
        <c:dLbls>
          <c:showLegendKey val="0"/>
          <c:showVal val="0"/>
          <c:showCatName val="0"/>
          <c:showSerName val="0"/>
          <c:showPercent val="0"/>
          <c:showBubbleSize val="0"/>
        </c:dLbls>
        <c:gapWidth val="219"/>
        <c:overlap val="-27"/>
        <c:axId val="1028697312"/>
        <c:axId val="1028698272"/>
      </c:barChart>
      <c:catAx>
        <c:axId val="1028697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Blok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98272"/>
        <c:crosses val="autoZero"/>
        <c:auto val="1"/>
        <c:lblAlgn val="ctr"/>
        <c:lblOffset val="100"/>
        <c:noMultiLvlLbl val="0"/>
      </c:catAx>
      <c:valAx>
        <c:axId val="1028698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9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Dashboard.xlsx]Jenis Bibit!PivotTable4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Jenis Bibit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'Jenis Bibit'!$B$3:$B$4</c:f>
              <c:strCache>
                <c:ptCount val="1"/>
                <c:pt idx="0">
                  <c:v>2) 3-5</c:v>
                </c:pt>
              </c:strCache>
            </c:strRef>
          </c:tx>
          <c:spPr>
            <a:solidFill>
              <a:schemeClr val="accent1"/>
            </a:solidFill>
            <a:ln>
              <a:noFill/>
            </a:ln>
            <a:effectLst/>
          </c:spPr>
          <c:invertIfNegative val="0"/>
          <c:cat>
            <c:strRef>
              <c:f>'Jenis Bibit'!$A$5:$A$8</c:f>
              <c:strCache>
                <c:ptCount val="3"/>
                <c:pt idx="0">
                  <c:v>Lonsum</c:v>
                </c:pt>
                <c:pt idx="1">
                  <c:v>PPKS</c:v>
                </c:pt>
                <c:pt idx="2">
                  <c:v>PPKS/Sofc</c:v>
                </c:pt>
              </c:strCache>
            </c:strRef>
          </c:cat>
          <c:val>
            <c:numRef>
              <c:f>'Jenis Bibit'!$B$5:$B$8</c:f>
              <c:numCache>
                <c:formatCode>0.00</c:formatCode>
                <c:ptCount val="3"/>
                <c:pt idx="0">
                  <c:v>0.72163888888888883</c:v>
                </c:pt>
                <c:pt idx="1">
                  <c:v>1.1350277777777769</c:v>
                </c:pt>
                <c:pt idx="2">
                  <c:v>0.78375854700854541</c:v>
                </c:pt>
              </c:numCache>
            </c:numRef>
          </c:val>
          <c:extLst>
            <c:ext xmlns:c16="http://schemas.microsoft.com/office/drawing/2014/chart" uri="{C3380CC4-5D6E-409C-BE32-E72D297353CC}">
              <c16:uniqueId val="{00000000-865B-486A-ADC4-AF8163477A98}"/>
            </c:ext>
          </c:extLst>
        </c:ser>
        <c:ser>
          <c:idx val="1"/>
          <c:order val="1"/>
          <c:tx>
            <c:strRef>
              <c:f>'Jenis Bibit'!$C$3:$C$4</c:f>
              <c:strCache>
                <c:ptCount val="1"/>
                <c:pt idx="0">
                  <c:v>3) 6-10</c:v>
                </c:pt>
              </c:strCache>
            </c:strRef>
          </c:tx>
          <c:spPr>
            <a:solidFill>
              <a:schemeClr val="accent2"/>
            </a:solidFill>
            <a:ln>
              <a:noFill/>
            </a:ln>
            <a:effectLst/>
          </c:spPr>
          <c:invertIfNegative val="0"/>
          <c:cat>
            <c:strRef>
              <c:f>'Jenis Bibit'!$A$5:$A$8</c:f>
              <c:strCache>
                <c:ptCount val="3"/>
                <c:pt idx="0">
                  <c:v>Lonsum</c:v>
                </c:pt>
                <c:pt idx="1">
                  <c:v>PPKS</c:v>
                </c:pt>
                <c:pt idx="2">
                  <c:v>PPKS/Sofc</c:v>
                </c:pt>
              </c:strCache>
            </c:strRef>
          </c:cat>
          <c:val>
            <c:numRef>
              <c:f>'Jenis Bibit'!$C$5:$C$8</c:f>
              <c:numCache>
                <c:formatCode>0.00</c:formatCode>
                <c:ptCount val="3"/>
                <c:pt idx="0">
                  <c:v>1.5728809523809533</c:v>
                </c:pt>
                <c:pt idx="1">
                  <c:v>1.8463556910569103</c:v>
                </c:pt>
                <c:pt idx="2">
                  <c:v>1.5758265993266001</c:v>
                </c:pt>
              </c:numCache>
            </c:numRef>
          </c:val>
          <c:extLst>
            <c:ext xmlns:c16="http://schemas.microsoft.com/office/drawing/2014/chart" uri="{C3380CC4-5D6E-409C-BE32-E72D297353CC}">
              <c16:uniqueId val="{00000002-865B-486A-ADC4-AF8163477A98}"/>
            </c:ext>
          </c:extLst>
        </c:ser>
        <c:ser>
          <c:idx val="2"/>
          <c:order val="2"/>
          <c:tx>
            <c:strRef>
              <c:f>'Jenis Bibit'!$D$3:$D$4</c:f>
              <c:strCache>
                <c:ptCount val="1"/>
                <c:pt idx="0">
                  <c:v>4) 11-16</c:v>
                </c:pt>
              </c:strCache>
            </c:strRef>
          </c:tx>
          <c:spPr>
            <a:solidFill>
              <a:schemeClr val="accent3"/>
            </a:solidFill>
            <a:ln>
              <a:noFill/>
            </a:ln>
            <a:effectLst/>
          </c:spPr>
          <c:invertIfNegative val="0"/>
          <c:cat>
            <c:strRef>
              <c:f>'Jenis Bibit'!$A$5:$A$8</c:f>
              <c:strCache>
                <c:ptCount val="3"/>
                <c:pt idx="0">
                  <c:v>Lonsum</c:v>
                </c:pt>
                <c:pt idx="1">
                  <c:v>PPKS</c:v>
                </c:pt>
                <c:pt idx="2">
                  <c:v>PPKS/Sofc</c:v>
                </c:pt>
              </c:strCache>
            </c:strRef>
          </c:cat>
          <c:val>
            <c:numRef>
              <c:f>'Jenis Bibit'!$D$5:$D$8</c:f>
              <c:numCache>
                <c:formatCode>0.00</c:formatCode>
                <c:ptCount val="3"/>
                <c:pt idx="0">
                  <c:v>1.7013333333333338</c:v>
                </c:pt>
                <c:pt idx="1">
                  <c:v>1.2038181818181817</c:v>
                </c:pt>
                <c:pt idx="2">
                  <c:v>1.4688378787878789</c:v>
                </c:pt>
              </c:numCache>
            </c:numRef>
          </c:val>
          <c:extLst>
            <c:ext xmlns:c16="http://schemas.microsoft.com/office/drawing/2014/chart" uri="{C3380CC4-5D6E-409C-BE32-E72D297353CC}">
              <c16:uniqueId val="{00000003-865B-486A-ADC4-AF8163477A98}"/>
            </c:ext>
          </c:extLst>
        </c:ser>
        <c:ser>
          <c:idx val="3"/>
          <c:order val="3"/>
          <c:tx>
            <c:strRef>
              <c:f>'Jenis Bibit'!$E$3:$E$4</c:f>
              <c:strCache>
                <c:ptCount val="1"/>
                <c:pt idx="0">
                  <c:v>5) 17+</c:v>
                </c:pt>
              </c:strCache>
            </c:strRef>
          </c:tx>
          <c:spPr>
            <a:solidFill>
              <a:schemeClr val="accent4"/>
            </a:solidFill>
            <a:ln>
              <a:noFill/>
            </a:ln>
            <a:effectLst/>
          </c:spPr>
          <c:invertIfNegative val="0"/>
          <c:cat>
            <c:strRef>
              <c:f>'Jenis Bibit'!$A$5:$A$8</c:f>
              <c:strCache>
                <c:ptCount val="3"/>
                <c:pt idx="0">
                  <c:v>Lonsum</c:v>
                </c:pt>
                <c:pt idx="1">
                  <c:v>PPKS</c:v>
                </c:pt>
                <c:pt idx="2">
                  <c:v>PPKS/Sofc</c:v>
                </c:pt>
              </c:strCache>
            </c:strRef>
          </c:cat>
          <c:val>
            <c:numRef>
              <c:f>'Jenis Bibit'!$E$5:$E$8</c:f>
              <c:numCache>
                <c:formatCode>0.00</c:formatCode>
                <c:ptCount val="3"/>
                <c:pt idx="1">
                  <c:v>0.97857954545454495</c:v>
                </c:pt>
                <c:pt idx="2">
                  <c:v>1.4057611111111106</c:v>
                </c:pt>
              </c:numCache>
            </c:numRef>
          </c:val>
          <c:extLst>
            <c:ext xmlns:c16="http://schemas.microsoft.com/office/drawing/2014/chart" uri="{C3380CC4-5D6E-409C-BE32-E72D297353CC}">
              <c16:uniqueId val="{00000007-865B-486A-ADC4-AF8163477A98}"/>
            </c:ext>
          </c:extLst>
        </c:ser>
        <c:dLbls>
          <c:showLegendKey val="0"/>
          <c:showVal val="0"/>
          <c:showCatName val="0"/>
          <c:showSerName val="0"/>
          <c:showPercent val="0"/>
          <c:showBubbleSize val="0"/>
        </c:dLbls>
        <c:gapWidth val="219"/>
        <c:overlap val="-27"/>
        <c:axId val="1028701632"/>
        <c:axId val="1028686272"/>
      </c:barChart>
      <c:catAx>
        <c:axId val="102870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Bibit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86272"/>
        <c:crosses val="autoZero"/>
        <c:auto val="1"/>
        <c:lblAlgn val="ctr"/>
        <c:lblOffset val="100"/>
        <c:noMultiLvlLbl val="0"/>
      </c:catAx>
      <c:valAx>
        <c:axId val="1028686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0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Dashboard.xlsx]Rata2 produktivitas!PivotTable1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Rata-rata Produktivitas Bulanan per Tahun (blok berproduksi)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'Rata2 produktivitas'!$B$3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'Rata2 produktivitas'!$A$4:$A$17</c:f>
              <c:strCach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strCache>
            </c:strRef>
          </c:cat>
          <c:val>
            <c:numRef>
              <c:f>'Rata2 produktivitas'!$B$4:$B$17</c:f>
              <c:numCache>
                <c:formatCode>0.00</c:formatCode>
                <c:ptCount val="13"/>
                <c:pt idx="0">
                  <c:v>2.2434999999999996</c:v>
                </c:pt>
                <c:pt idx="1">
                  <c:v>1.3805833333333335</c:v>
                </c:pt>
                <c:pt idx="2">
                  <c:v>1.4515757575757575</c:v>
                </c:pt>
                <c:pt idx="3">
                  <c:v>0.88396212121211915</c:v>
                </c:pt>
                <c:pt idx="4">
                  <c:v>0.64405864197530915</c:v>
                </c:pt>
                <c:pt idx="5">
                  <c:v>0.84868010752688117</c:v>
                </c:pt>
                <c:pt idx="6">
                  <c:v>1.1003440860215052</c:v>
                </c:pt>
                <c:pt idx="7">
                  <c:v>1.1622301587301589</c:v>
                </c:pt>
                <c:pt idx="8">
                  <c:v>1.4916884920634967</c:v>
                </c:pt>
                <c:pt idx="9">
                  <c:v>1.5823313492063487</c:v>
                </c:pt>
                <c:pt idx="10">
                  <c:v>1.8010218253968258</c:v>
                </c:pt>
                <c:pt idx="11">
                  <c:v>1.7701984126984127</c:v>
                </c:pt>
                <c:pt idx="12">
                  <c:v>1.4913472222222242</c:v>
                </c:pt>
              </c:numCache>
            </c:numRef>
          </c:val>
          <c:smooth val="0"/>
          <c:extLst>
            <c:ext xmlns:c16="http://schemas.microsoft.com/office/drawing/2014/chart" uri="{C3380CC4-5D6E-409C-BE32-E72D297353CC}">
              <c16:uniqueId val="{00000000-4086-4FC5-987C-D73908881CCD}"/>
            </c:ext>
          </c:extLst>
        </c:ser>
        <c:dLbls>
          <c:showLegendKey val="0"/>
          <c:showVal val="0"/>
          <c:showCatName val="0"/>
          <c:showSerName val="0"/>
          <c:showPercent val="0"/>
          <c:showBubbleSize val="0"/>
        </c:dLbls>
        <c:marker val="1"/>
        <c:smooth val="0"/>
        <c:axId val="1028705472"/>
        <c:axId val="1028732352"/>
      </c:lineChart>
      <c:catAx>
        <c:axId val="102870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32352"/>
        <c:crosses val="autoZero"/>
        <c:auto val="1"/>
        <c:lblAlgn val="ctr"/>
        <c:lblOffset val="100"/>
        <c:noMultiLvlLbl val="0"/>
      </c:catAx>
      <c:valAx>
        <c:axId val="102873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 per bulan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0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Dashboard.xlsx]Pola Musiman per Bulan!PivotTable2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Pola Musiman: Rata-rata Produktivitas per Bulan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'Pola Musiman per Bulan'!$B$3</c:f>
              <c:strCache>
                <c:ptCount val="1"/>
                <c:pt idx="0">
                  <c:v>Total</c:v>
                </c:pt>
              </c:strCache>
            </c:strRef>
          </c:tx>
          <c:spPr>
            <a:solidFill>
              <a:schemeClr val="accent1"/>
            </a:solidFill>
            <a:ln>
              <a:noFill/>
            </a:ln>
            <a:effectLst/>
          </c:spPr>
          <c:invertIfNegative val="0"/>
          <c:cat>
            <c:strRef>
              <c:f>'Pola Musiman per Bulan'!$A$4:$A$16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'Pola Musiman per Bulan'!$B$4:$B$16</c:f>
              <c:numCache>
                <c:formatCode>0.00</c:formatCode>
                <c:ptCount val="12"/>
                <c:pt idx="0">
                  <c:v>0.84111111111111136</c:v>
                </c:pt>
                <c:pt idx="1">
                  <c:v>1.0336818181818175</c:v>
                </c:pt>
                <c:pt idx="2">
                  <c:v>1.3176414141414134</c:v>
                </c:pt>
                <c:pt idx="3">
                  <c:v>1.4554015151515176</c:v>
                </c:pt>
                <c:pt idx="4">
                  <c:v>1.5534242424242424</c:v>
                </c:pt>
                <c:pt idx="5">
                  <c:v>1.5754898989899007</c:v>
                </c:pt>
                <c:pt idx="6">
                  <c:v>1.5372095959595951</c:v>
                </c:pt>
                <c:pt idx="7">
                  <c:v>1.6382575757575752</c:v>
                </c:pt>
                <c:pt idx="8">
                  <c:v>1.5471489898989894</c:v>
                </c:pt>
                <c:pt idx="9">
                  <c:v>1.4963257575757563</c:v>
                </c:pt>
                <c:pt idx="10">
                  <c:v>1.2768207070707069</c:v>
                </c:pt>
                <c:pt idx="11">
                  <c:v>1.2013989898989894</c:v>
                </c:pt>
              </c:numCache>
            </c:numRef>
          </c:val>
          <c:extLst>
            <c:ext xmlns:c16="http://schemas.microsoft.com/office/drawing/2014/chart" uri="{C3380CC4-5D6E-409C-BE32-E72D297353CC}">
              <c16:uniqueId val="{00000000-FC10-4E58-BA1E-9AB2759C1CF0}"/>
            </c:ext>
          </c:extLst>
        </c:ser>
        <c:dLbls>
          <c:showLegendKey val="0"/>
          <c:showVal val="0"/>
          <c:showCatName val="0"/>
          <c:showSerName val="0"/>
          <c:showPercent val="0"/>
          <c:showBubbleSize val="0"/>
        </c:dLbls>
        <c:gapWidth val="219"/>
        <c:overlap val="-27"/>
        <c:axId val="1028727072"/>
        <c:axId val="1028720352"/>
      </c:barChart>
      <c:catAx>
        <c:axId val="102872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20352"/>
        <c:crosses val="autoZero"/>
        <c:auto val="1"/>
        <c:lblAlgn val="ctr"/>
        <c:lblOffset val="100"/>
        <c:noMultiLvlLbl val="0"/>
      </c:catAx>
      <c:valAx>
        <c:axId val="1028720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 per bulan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27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[Sawit Dashboard.xlsx]Produktivitas per Kelompok Umur!PivotTable3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Produktivitas per kelompok Umur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'Produktivitas per Kelompok Umur'!$B$3</c:f>
              <c:strCache>
                <c:ptCount val="1"/>
                <c:pt idx="0">
                  <c:v>Total</c:v>
                </c:pt>
              </c:strCache>
            </c:strRef>
          </c:tx>
          <c:spPr>
            <a:solidFill>
              <a:schemeClr val="accent1"/>
            </a:solidFill>
            <a:ln>
              <a:noFill/>
            </a:ln>
            <a:effectLst/>
          </c:spPr>
          <c:invertIfNegative val="0"/>
          <c:cat>
            <c:strRef>
              <c:f>'Produktivitas per Kelompok Umur'!$A$4:$A$8</c:f>
              <c:strCache>
                <c:ptCount val="4"/>
                <c:pt idx="0">
                  <c:v>2) 3-5</c:v>
                </c:pt>
                <c:pt idx="1">
                  <c:v>3) 6-10</c:v>
                </c:pt>
                <c:pt idx="2">
                  <c:v>4) 11-16</c:v>
                </c:pt>
                <c:pt idx="3">
                  <c:v>5) 17+</c:v>
                </c:pt>
              </c:strCache>
            </c:strRef>
          </c:cat>
          <c:val>
            <c:numRef>
              <c:f>'Produktivitas per Kelompok Umur'!$B$4:$B$8</c:f>
              <c:numCache>
                <c:formatCode>0.00</c:formatCode>
                <c:ptCount val="4"/>
                <c:pt idx="0">
                  <c:v>0.89437544802867242</c:v>
                </c:pt>
                <c:pt idx="1">
                  <c:v>1.6386185714285708</c:v>
                </c:pt>
                <c:pt idx="2">
                  <c:v>1.4405357142857151</c:v>
                </c:pt>
                <c:pt idx="3">
                  <c:v>1.1517612612612611</c:v>
                </c:pt>
              </c:numCache>
            </c:numRef>
          </c:val>
          <c:extLst>
            <c:ext xmlns:c16="http://schemas.microsoft.com/office/drawing/2014/chart" uri="{C3380CC4-5D6E-409C-BE32-E72D297353CC}">
              <c16:uniqueId val="{00000000-C472-41BD-A658-1D133EF2159F}"/>
            </c:ext>
          </c:extLst>
        </c:ser>
        <c:dLbls>
          <c:showLegendKey val="0"/>
          <c:showVal val="0"/>
          <c:showCatName val="0"/>
          <c:showSerName val="0"/>
          <c:showPercent val="0"/>
          <c:showBubbleSize val="0"/>
        </c:dLbls>
        <c:gapWidth val="219"/>
        <c:overlap val="-27"/>
        <c:axId val="1028714592"/>
        <c:axId val="1028719392"/>
      </c:barChart>
      <c:catAx>
        <c:axId val="102871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Usia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9392"/>
        <c:crosses val="autoZero"/>
        <c:auto val="1"/>
        <c:lblAlgn val="ctr"/>
        <c:lblOffset val="100"/>
        <c:noMultiLvlLbl val="0"/>
      </c:catAx>
      <c:valAx>
        <c:axId val="102871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304799</xdr:colOff>
      <xdr:row>18</xdr:row>
      <xdr:rowOff>152400</xdr:rowOff>
    </xdr:from>
    <xdr:to>
      <xdr:col>14</xdr:col>
      <xdr:colOff>295865</xdr:colOff>
      <xdr:row>34</xdr:row>
      <xdr:rowOff>133350</xdr:rowOff>
    </xdr:to>
    <xdr:graphicFrame macro="">
      <xdr:nvGraphicFramePr>
        <xdr:cNvPr id="2" name="Chart 1">
          <a:extLst>
            <a:ext uri="{FF2B5EF4-FFF2-40B4-BE49-F238E27FC236}">
              <a16:creationId xmlns:a16="http://schemas.microsoft.com/office/drawing/2014/main" id="{2E7BDFDA-88F7-442E-A363-057D56A05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18</xdr:row>
      <xdr:rowOff>161925</xdr:rowOff>
    </xdr:from>
    <xdr:to>
      <xdr:col>7</xdr:col>
      <xdr:colOff>209550</xdr:colOff>
      <xdr:row>34</xdr:row>
      <xdr:rowOff>119837</xdr:rowOff>
    </xdr:to>
    <xdr:graphicFrame macro="">
      <xdr:nvGraphicFramePr>
        <xdr:cNvPr id="3" name="Chart 2">
          <a:extLst>
            <a:ext uri="{FF2B5EF4-FFF2-40B4-BE49-F238E27FC236}">
              <a16:creationId xmlns:a16="http://schemas.microsoft.com/office/drawing/2014/main" id="{78A8189E-C8B0-4907-8985-686B1CC2C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600075</xdr:colOff>
      <xdr:row>4</xdr:row>
      <xdr:rowOff>38100</xdr:rowOff>
    </xdr:from>
    <xdr:to>
      <xdr:col>7</xdr:col>
      <xdr:colOff>209550</xdr:colOff>
      <xdr:row>18</xdr:row>
      <xdr:rowOff>114300</xdr:rowOff>
    </xdr:to>
    <xdr:graphicFrame macro="">
      <xdr:nvGraphicFramePr>
        <xdr:cNvPr id="4" name="Chart 3">
          <a:extLst>
            <a:ext uri="{FF2B5EF4-FFF2-40B4-BE49-F238E27FC236}">
              <a16:creationId xmlns:a16="http://schemas.microsoft.com/office/drawing/2014/main" id="{BD9A97F3-2B4A-43DD-84E3-74DE16EEA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295275</xdr:colOff>
      <xdr:row>4</xdr:row>
      <xdr:rowOff>38100</xdr:rowOff>
    </xdr:from>
    <xdr:to>
      <xdr:col>16</xdr:col>
      <xdr:colOff>228600</xdr:colOff>
      <xdr:row>18</xdr:row>
      <xdr:rowOff>114300</xdr:rowOff>
    </xdr:to>
    <xdr:graphicFrame macro="">
      <xdr:nvGraphicFramePr>
        <xdr:cNvPr id="5" name="Chart 4">
          <a:extLst>
            <a:ext uri="{FF2B5EF4-FFF2-40B4-BE49-F238E27FC236}">
              <a16:creationId xmlns:a16="http://schemas.microsoft.com/office/drawing/2014/main" id="{569AFE52-8AFA-4652-88A4-5ADD30BD7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47624</xdr:colOff>
      <xdr:row>35</xdr:row>
      <xdr:rowOff>19049</xdr:rowOff>
    </xdr:from>
    <xdr:to>
      <xdr:col>7</xdr:col>
      <xdr:colOff>219074</xdr:colOff>
      <xdr:row>49</xdr:row>
      <xdr:rowOff>146684</xdr:rowOff>
    </xdr:to>
    <xdr:graphicFrame macro="">
      <xdr:nvGraphicFramePr>
        <xdr:cNvPr id="7" name="Chart 6">
          <a:extLst>
            <a:ext uri="{FF2B5EF4-FFF2-40B4-BE49-F238E27FC236}">
              <a16:creationId xmlns:a16="http://schemas.microsoft.com/office/drawing/2014/main" id="{2249591F-A66C-4352-8663-F5A9D38B9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495300</xdr:colOff>
      <xdr:row>19</xdr:row>
      <xdr:rowOff>85725</xdr:rowOff>
    </xdr:from>
    <xdr:to>
      <xdr:col>17</xdr:col>
      <xdr:colOff>495300</xdr:colOff>
      <xdr:row>32</xdr:row>
      <xdr:rowOff>133350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3B8768A5-DC37-48FF-B67F-91E3F2296F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306050" y="3990975"/>
              <a:ext cx="1857375"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581025</xdr:colOff>
      <xdr:row>19</xdr:row>
      <xdr:rowOff>95250</xdr:rowOff>
    </xdr:from>
    <xdr:to>
      <xdr:col>20</xdr:col>
      <xdr:colOff>581025</xdr:colOff>
      <xdr:row>32</xdr:row>
      <xdr:rowOff>142875</xdr:rowOff>
    </xdr:to>
    <mc:AlternateContent xmlns:mc="http://schemas.openxmlformats.org/markup-compatibility/2006">
      <mc:Choice xmlns:a14="http://schemas.microsoft.com/office/drawing/2010/main" Requires="a14">
        <xdr:graphicFrame macro="">
          <xdr:nvGraphicFramePr>
            <xdr:cNvPr id="10" name="Seed_Type">
              <a:extLst>
                <a:ext uri="{FF2B5EF4-FFF2-40B4-BE49-F238E27FC236}">
                  <a16:creationId xmlns:a16="http://schemas.microsoft.com/office/drawing/2014/main" id="{97BE7D46-DFCF-42A2-A187-0568705B9772}"/>
                </a:ext>
              </a:extLst>
            </xdr:cNvPr>
            <xdr:cNvGraphicFramePr/>
          </xdr:nvGraphicFramePr>
          <xdr:xfrm>
            <a:off x="0" y="0"/>
            <a:ext cx="0" cy="0"/>
          </xdr:xfrm>
          <a:graphic>
            <a:graphicData uri="http://schemas.microsoft.com/office/drawing/2010/slicer">
              <sle:slicer xmlns:sle="http://schemas.microsoft.com/office/drawing/2010/slicer" name="Seed_Type"/>
            </a:graphicData>
          </a:graphic>
        </xdr:graphicFrame>
      </mc:Choice>
      <mc:Fallback>
        <xdr:sp macro="" textlink="">
          <xdr:nvSpPr>
            <xdr:cNvPr id="0" name=""/>
            <xdr:cNvSpPr>
              <a:spLocks noTextEdit="1"/>
            </xdr:cNvSpPr>
          </xdr:nvSpPr>
          <xdr:spPr>
            <a:xfrm>
              <a:off x="12249150" y="4000500"/>
              <a:ext cx="1857375"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381005</xdr:colOff>
      <xdr:row>2</xdr:row>
      <xdr:rowOff>80962</xdr:rowOff>
    </xdr:from>
    <xdr:to>
      <xdr:col>13</xdr:col>
      <xdr:colOff>28574</xdr:colOff>
      <xdr:row>16</xdr:row>
      <xdr:rowOff>157162</xdr:rowOff>
    </xdr:to>
    <xdr:graphicFrame macro="">
      <xdr:nvGraphicFramePr>
        <xdr:cNvPr id="2" name="Chart 1">
          <a:extLst>
            <a:ext uri="{FF2B5EF4-FFF2-40B4-BE49-F238E27FC236}">
              <a16:creationId xmlns:a16="http://schemas.microsoft.com/office/drawing/2014/main" id="{A54E1B72-292A-F779-245E-F0B51E565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152400</xdr:colOff>
      <xdr:row>0</xdr:row>
      <xdr:rowOff>47625</xdr:rowOff>
    </xdr:from>
    <xdr:to>
      <xdr:col>13</xdr:col>
      <xdr:colOff>161925</xdr:colOff>
      <xdr:row>14</xdr:row>
      <xdr:rowOff>123825</xdr:rowOff>
    </xdr:to>
    <xdr:graphicFrame macro="">
      <xdr:nvGraphicFramePr>
        <xdr:cNvPr id="2" name="Chart 1">
          <a:extLst>
            <a:ext uri="{FF2B5EF4-FFF2-40B4-BE49-F238E27FC236}">
              <a16:creationId xmlns:a16="http://schemas.microsoft.com/office/drawing/2014/main" id="{312771A7-7D98-2AE7-3A23-603025BC4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280987</xdr:colOff>
      <xdr:row>2</xdr:row>
      <xdr:rowOff>71437</xdr:rowOff>
    </xdr:from>
    <xdr:to>
      <xdr:col>10</xdr:col>
      <xdr:colOff>109537</xdr:colOff>
      <xdr:row>16</xdr:row>
      <xdr:rowOff>147637</xdr:rowOff>
    </xdr:to>
    <xdr:graphicFrame macro="">
      <xdr:nvGraphicFramePr>
        <xdr:cNvPr id="2" name="Chart 1">
          <a:extLst>
            <a:ext uri="{FF2B5EF4-FFF2-40B4-BE49-F238E27FC236}">
              <a16:creationId xmlns:a16="http://schemas.microsoft.com/office/drawing/2014/main" id="{30A7FB7D-E995-2C68-3D94-5E944E823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152406</xdr:colOff>
      <xdr:row>1</xdr:row>
      <xdr:rowOff>138112</xdr:rowOff>
    </xdr:from>
    <xdr:to>
      <xdr:col>11</xdr:col>
      <xdr:colOff>476256</xdr:colOff>
      <xdr:row>16</xdr:row>
      <xdr:rowOff>23812</xdr:rowOff>
    </xdr:to>
    <xdr:graphicFrame macro="">
      <xdr:nvGraphicFramePr>
        <xdr:cNvPr id="2" name="Chart 1">
          <a:extLst>
            <a:ext uri="{FF2B5EF4-FFF2-40B4-BE49-F238E27FC236}">
              <a16:creationId xmlns:a16="http://schemas.microsoft.com/office/drawing/2014/main" id="{9D32C6F0-1E6B-9704-FEF2-CF064C570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161925</xdr:colOff>
      <xdr:row>0</xdr:row>
      <xdr:rowOff>52387</xdr:rowOff>
    </xdr:from>
    <xdr:to>
      <xdr:col>9</xdr:col>
      <xdr:colOff>466725</xdr:colOff>
      <xdr:row>14</xdr:row>
      <xdr:rowOff>128587</xdr:rowOff>
    </xdr:to>
    <xdr:graphicFrame macro="">
      <xdr:nvGraphicFramePr>
        <xdr:cNvPr id="2" name="Chart 1">
          <a:extLst>
            <a:ext uri="{FF2B5EF4-FFF2-40B4-BE49-F238E27FC236}">
              <a16:creationId xmlns:a16="http://schemas.microsoft.com/office/drawing/2014/main" id="{D61B5AAE-8DE4-18E4-0EE9-BDCB079C9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I" refreshedDate="46308.674425578705" createdVersion="8" refreshedVersion="8" minRefreshableVersion="3" recordCount="6552" xr:uid="{CC972603-5EAF-40F0-81F7-0A85997E1FDE}">
  <cacheSource type="worksheet">
    <worksheetSource name="tblProd"/>
  </cacheSource>
  <cacheFields count="18">
    <cacheField name="Year" numFmtId="0">
      <sharedItems containsSemiMixedTypes="0" containsString="0" containsNumber="1" containsInteger="1" minValue="2012" maxValue="2024" count="13">
        <n v="2012"/>
        <n v="2013"/>
        <n v="2014"/>
        <n v="2015"/>
        <n v="2016"/>
        <n v="2017"/>
        <n v="2018"/>
        <n v="2019"/>
        <n v="2020"/>
        <n v="2021"/>
        <n v="2022"/>
        <n v="2023"/>
        <n v="2024"/>
      </sharedItems>
    </cacheField>
    <cacheField name="Month_Number" numFmtId="0">
      <sharedItems containsSemiMixedTypes="0" containsString="0" containsNumber="1" containsInteger="1" minValue="1" maxValue="12" count="12">
        <n v="1"/>
        <n v="2"/>
        <n v="3"/>
        <n v="4"/>
        <n v="5"/>
        <n v="6"/>
        <n v="7"/>
        <n v="8"/>
        <n v="9"/>
        <n v="10"/>
        <n v="11"/>
        <n v="12"/>
      </sharedItems>
    </cacheField>
    <cacheField name="Month" numFmtId="0">
      <sharedItems/>
    </cacheField>
    <cacheField name="Division_ID" numFmtId="0">
      <sharedItems/>
    </cacheField>
    <cacheField name="Block_ID" numFmtId="0">
      <sharedItems count="42">
        <s v="B001"/>
        <s v="B002"/>
        <s v="B003"/>
        <s v="B004"/>
        <s v="B005"/>
        <s v="B006"/>
        <s v="B007"/>
        <s v="B008"/>
        <s v="B009"/>
        <s v="B010"/>
        <s v="B011"/>
        <s v="B012"/>
        <s v="B013"/>
        <s v="B014"/>
        <s v="B015"/>
        <s v="B016"/>
        <s v="B017"/>
        <s v="B018"/>
        <s v="B019"/>
        <s v="B020"/>
        <s v="B021"/>
        <s v="B022"/>
        <s v="B023"/>
        <s v="B024"/>
        <s v="B025"/>
        <s v="B026"/>
        <s v="B027"/>
        <s v="B028"/>
        <s v="B029"/>
        <s v="B030"/>
        <s v="B031"/>
        <s v="B033"/>
        <s v="B038"/>
        <s v="B041"/>
        <s v="B042"/>
        <s v="B032"/>
        <s v="B034"/>
        <s v="B035"/>
        <s v="B036"/>
        <s v="B037"/>
        <s v="B039"/>
        <s v="B040"/>
      </sharedItems>
    </cacheField>
    <cacheField name="Planting_Year" numFmtId="0">
      <sharedItems containsSemiMixedTypes="0" containsString="0" containsNumber="1" containsInteger="1" minValue="2000" maxValue="2016"/>
    </cacheField>
    <cacheField name="Plant_Age_Years" numFmtId="0">
      <sharedItems containsSemiMixedTypes="0" containsString="0" containsNumber="1" containsInteger="1" minValue="0" maxValue="24"/>
    </cacheField>
    <cacheField name="Plant_Status" numFmtId="0">
      <sharedItems/>
    </cacheField>
    <cacheField name="Area_Ha" numFmtId="0">
      <sharedItems containsSemiMixedTypes="0" containsString="0" containsNumber="1" containsInteger="1" minValue="10" maxValue="35"/>
    </cacheField>
    <cacheField name="Productive_Palms" numFmtId="0">
      <sharedItems containsSemiMixedTypes="0" containsString="0" containsNumber="1" containsInteger="1" minValue="1329" maxValue="4204"/>
    </cacheField>
    <cacheField name="Palms_per_Ha" numFmtId="0">
      <sharedItems/>
    </cacheField>
    <cacheField name="Seed_Type" numFmtId="0">
      <sharedItems count="3">
        <s v="PPKS"/>
        <s v="PPKS/Sofc"/>
        <s v="Lonsum"/>
      </sharedItems>
    </cacheField>
    <cacheField name="Productivity_t_Ha" numFmtId="0">
      <sharedItems containsSemiMixedTypes="0" containsString="0" containsNumber="1" minValue="0" maxValue="4.03"/>
    </cacheField>
    <cacheField name="FFB_Production_kg" numFmtId="0">
      <sharedItems containsSemiMixedTypes="0" containsString="0" containsNumber="1" minValue="0" maxValue="125899.3"/>
    </cacheField>
    <cacheField name="FFB_Production_t" numFmtId="0">
      <sharedItems containsSemiMixedTypes="0" containsString="0" containsNumber="1" minValue="0" maxValue="125.899"/>
    </cacheField>
    <cacheField name="Date" numFmtId="14">
      <sharedItems containsSemiMixedTypes="0" containsNonDate="0" containsDate="1" containsString="0" minDate="2012-01-01T00:00:00" maxDate="2024-12-02T00:00:00"/>
    </cacheField>
    <cacheField name="Is_Mature" numFmtId="0">
      <sharedItems containsSemiMixedTypes="0" containsString="0" containsNumber="1" containsInteger="1" minValue="0" maxValue="1" count="2">
        <n v="1"/>
        <n v="0"/>
      </sharedItems>
    </cacheField>
    <cacheField name="AgeGroup" numFmtId="0">
      <sharedItems count="5">
        <s v="4) 11-16"/>
        <s v="3) 6-10"/>
        <s v="1) 0-2 TBM"/>
        <s v="2) 3-5"/>
        <s v="5) 17+"/>
      </sharedItems>
    </cacheField>
  </cacheFields>
  <extLst>
    <ext xmlns:x14="http://schemas.microsoft.com/office/spreadsheetml/2009/9/main" uri="{725AE2AE-9491-48be-B2B4-4EB974FC3084}">
      <x14:pivotCacheDefinition pivotCacheId="349387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2">
  <r>
    <x v="0"/>
    <x v="0"/>
    <s v="Januari"/>
    <s v="Division_A"/>
    <x v="0"/>
    <n v="2000"/>
    <n v="12"/>
    <s v="TM-Utama"/>
    <n v="19"/>
    <n v="1490"/>
    <s v="78.4"/>
    <x v="0"/>
    <n v="1.585"/>
    <n v="30116.5"/>
    <n v="30.117000000000001"/>
    <d v="2012-01-01T00:00:00"/>
    <x v="0"/>
    <x v="0"/>
  </r>
  <r>
    <x v="0"/>
    <x v="1"/>
    <s v="Februari"/>
    <s v="Division_A"/>
    <x v="0"/>
    <n v="2000"/>
    <n v="12"/>
    <s v="TM-Utama"/>
    <n v="19"/>
    <n v="1490"/>
    <s v="78.4"/>
    <x v="0"/>
    <n v="1.3"/>
    <n v="24695"/>
    <n v="24.695"/>
    <d v="2012-02-01T00:00:00"/>
    <x v="0"/>
    <x v="0"/>
  </r>
  <r>
    <x v="0"/>
    <x v="2"/>
    <s v="Maret"/>
    <s v="Division_A"/>
    <x v="0"/>
    <n v="2000"/>
    <n v="12"/>
    <s v="TM-Utama"/>
    <n v="19"/>
    <n v="1490"/>
    <s v="78.4"/>
    <x v="0"/>
    <n v="1.478"/>
    <n v="28081.599999999999"/>
    <n v="28.082000000000001"/>
    <d v="2012-03-01T00:00:00"/>
    <x v="0"/>
    <x v="0"/>
  </r>
  <r>
    <x v="0"/>
    <x v="3"/>
    <s v="April"/>
    <s v="Division_A"/>
    <x v="0"/>
    <n v="2000"/>
    <n v="12"/>
    <s v="TM-Utama"/>
    <n v="19"/>
    <n v="1490"/>
    <s v="78.4"/>
    <x v="0"/>
    <n v="1.8360000000000001"/>
    <n v="34884"/>
    <n v="34.884"/>
    <d v="2012-04-01T00:00:00"/>
    <x v="0"/>
    <x v="0"/>
  </r>
  <r>
    <x v="0"/>
    <x v="4"/>
    <s v="Mei"/>
    <s v="Division_A"/>
    <x v="0"/>
    <n v="2000"/>
    <n v="12"/>
    <s v="TM-Utama"/>
    <n v="19"/>
    <n v="1490"/>
    <s v="78.4"/>
    <x v="0"/>
    <n v="2.27"/>
    <n v="43125.3"/>
    <n v="43.125"/>
    <d v="2012-05-01T00:00:00"/>
    <x v="0"/>
    <x v="0"/>
  </r>
  <r>
    <x v="0"/>
    <x v="5"/>
    <s v="Juni"/>
    <s v="Division_A"/>
    <x v="0"/>
    <n v="2000"/>
    <n v="12"/>
    <s v="TM-Utama"/>
    <n v="19"/>
    <n v="1490"/>
    <s v="78.4"/>
    <x v="0"/>
    <n v="2.2210000000000001"/>
    <n v="42195.1"/>
    <n v="42.195"/>
    <d v="2012-06-01T00:00:00"/>
    <x v="0"/>
    <x v="0"/>
  </r>
  <r>
    <x v="0"/>
    <x v="6"/>
    <s v="Juli"/>
    <s v="Division_A"/>
    <x v="0"/>
    <n v="2000"/>
    <n v="12"/>
    <s v="TM-Utama"/>
    <n v="19"/>
    <n v="1490"/>
    <s v="78.4"/>
    <x v="0"/>
    <n v="3.0550000000000002"/>
    <n v="58038.3"/>
    <n v="58.037999999999997"/>
    <d v="2012-07-01T00:00:00"/>
    <x v="0"/>
    <x v="0"/>
  </r>
  <r>
    <x v="0"/>
    <x v="7"/>
    <s v="Agustus"/>
    <s v="Division_A"/>
    <x v="0"/>
    <n v="2000"/>
    <n v="12"/>
    <s v="TM-Utama"/>
    <n v="19"/>
    <n v="1490"/>
    <s v="78.4"/>
    <x v="0"/>
    <n v="2.4039999999999999"/>
    <n v="45669"/>
    <n v="45.668999999999997"/>
    <d v="2012-08-01T00:00:00"/>
    <x v="0"/>
    <x v="0"/>
  </r>
  <r>
    <x v="0"/>
    <x v="8"/>
    <s v="September"/>
    <s v="Division_A"/>
    <x v="0"/>
    <n v="2000"/>
    <n v="12"/>
    <s v="TM-Utama"/>
    <n v="19"/>
    <n v="1490"/>
    <s v="78.4"/>
    <x v="0"/>
    <n v="2.3690000000000002"/>
    <n v="45014.9"/>
    <n v="45.015000000000001"/>
    <d v="2012-09-01T00:00:00"/>
    <x v="0"/>
    <x v="0"/>
  </r>
  <r>
    <x v="0"/>
    <x v="9"/>
    <s v="Oktober"/>
    <s v="Division_A"/>
    <x v="0"/>
    <n v="2000"/>
    <n v="12"/>
    <s v="TM-Utama"/>
    <n v="19"/>
    <n v="1490"/>
    <s v="78.4"/>
    <x v="0"/>
    <n v="1.6970000000000001"/>
    <n v="32238.6"/>
    <n v="32.238999999999997"/>
    <d v="2012-10-01T00:00:00"/>
    <x v="0"/>
    <x v="0"/>
  </r>
  <r>
    <x v="0"/>
    <x v="10"/>
    <s v="November"/>
    <s v="Division_A"/>
    <x v="0"/>
    <n v="2000"/>
    <n v="12"/>
    <s v="TM-Utama"/>
    <n v="19"/>
    <n v="1490"/>
    <s v="78.4"/>
    <x v="0"/>
    <n v="1.8029999999999999"/>
    <n v="34259"/>
    <n v="34.259"/>
    <d v="2012-11-01T00:00:00"/>
    <x v="0"/>
    <x v="0"/>
  </r>
  <r>
    <x v="0"/>
    <x v="11"/>
    <s v="Desember"/>
    <s v="Division_A"/>
    <x v="0"/>
    <n v="2000"/>
    <n v="12"/>
    <s v="TM-Utama"/>
    <n v="19"/>
    <n v="1490"/>
    <s v="78.4"/>
    <x v="0"/>
    <n v="2.1949999999999998"/>
    <n v="41700.9"/>
    <n v="41.701000000000001"/>
    <d v="2012-12-01T00:00:00"/>
    <x v="0"/>
    <x v="0"/>
  </r>
  <r>
    <x v="0"/>
    <x v="0"/>
    <s v="Januari"/>
    <s v="Division_A"/>
    <x v="1"/>
    <n v="2000"/>
    <n v="12"/>
    <s v="TM-Utama"/>
    <n v="24"/>
    <n v="1675"/>
    <s v="69.8"/>
    <x v="0"/>
    <n v="1.585"/>
    <n v="38041.9"/>
    <n v="38.042000000000002"/>
    <d v="2012-01-01T00:00:00"/>
    <x v="0"/>
    <x v="0"/>
  </r>
  <r>
    <x v="0"/>
    <x v="1"/>
    <s v="Februari"/>
    <s v="Division_A"/>
    <x v="1"/>
    <n v="2000"/>
    <n v="12"/>
    <s v="TM-Utama"/>
    <n v="24"/>
    <n v="1675"/>
    <s v="69.8"/>
    <x v="0"/>
    <n v="1.3"/>
    <n v="31193.599999999999"/>
    <n v="31.193999999999999"/>
    <d v="2012-02-01T00:00:00"/>
    <x v="0"/>
    <x v="0"/>
  </r>
  <r>
    <x v="0"/>
    <x v="2"/>
    <s v="Maret"/>
    <s v="Division_A"/>
    <x v="1"/>
    <n v="2000"/>
    <n v="12"/>
    <s v="TM-Utama"/>
    <n v="24"/>
    <n v="1675"/>
    <s v="69.8"/>
    <x v="0"/>
    <n v="1.478"/>
    <n v="35471.5"/>
    <n v="35.472000000000001"/>
    <d v="2012-03-01T00:00:00"/>
    <x v="0"/>
    <x v="0"/>
  </r>
  <r>
    <x v="0"/>
    <x v="3"/>
    <s v="April"/>
    <s v="Division_A"/>
    <x v="1"/>
    <n v="2000"/>
    <n v="12"/>
    <s v="TM-Utama"/>
    <n v="24"/>
    <n v="1675"/>
    <s v="69.8"/>
    <x v="0"/>
    <n v="1.8360000000000001"/>
    <n v="44064"/>
    <n v="44.064"/>
    <d v="2012-04-01T00:00:00"/>
    <x v="0"/>
    <x v="0"/>
  </r>
  <r>
    <x v="0"/>
    <x v="4"/>
    <s v="Mei"/>
    <s v="Division_A"/>
    <x v="1"/>
    <n v="2000"/>
    <n v="12"/>
    <s v="TM-Utama"/>
    <n v="24"/>
    <n v="1675"/>
    <s v="69.8"/>
    <x v="0"/>
    <n v="2.27"/>
    <n v="54474.1"/>
    <n v="54.473999999999997"/>
    <d v="2012-05-01T00:00:00"/>
    <x v="0"/>
    <x v="0"/>
  </r>
  <r>
    <x v="0"/>
    <x v="5"/>
    <s v="Juni"/>
    <s v="Division_A"/>
    <x v="1"/>
    <n v="2000"/>
    <n v="12"/>
    <s v="TM-Utama"/>
    <n v="24"/>
    <n v="1675"/>
    <s v="69.8"/>
    <x v="0"/>
    <n v="2.2210000000000001"/>
    <n v="53299.1"/>
    <n v="53.298999999999999"/>
    <d v="2012-06-01T00:00:00"/>
    <x v="0"/>
    <x v="0"/>
  </r>
  <r>
    <x v="0"/>
    <x v="6"/>
    <s v="Juli"/>
    <s v="Division_A"/>
    <x v="1"/>
    <n v="2000"/>
    <n v="12"/>
    <s v="TM-Utama"/>
    <n v="24"/>
    <n v="1675"/>
    <s v="69.8"/>
    <x v="0"/>
    <n v="3.0550000000000002"/>
    <n v="73311.5"/>
    <n v="73.311000000000007"/>
    <d v="2012-07-01T00:00:00"/>
    <x v="0"/>
    <x v="0"/>
  </r>
  <r>
    <x v="0"/>
    <x v="7"/>
    <s v="Agustus"/>
    <s v="Division_A"/>
    <x v="1"/>
    <n v="2000"/>
    <n v="12"/>
    <s v="TM-Utama"/>
    <n v="24"/>
    <n v="1675"/>
    <s v="69.8"/>
    <x v="0"/>
    <n v="2.4039999999999999"/>
    <n v="57687.1"/>
    <n v="57.686999999999998"/>
    <d v="2012-08-01T00:00:00"/>
    <x v="0"/>
    <x v="0"/>
  </r>
  <r>
    <x v="0"/>
    <x v="8"/>
    <s v="September"/>
    <s v="Division_A"/>
    <x v="1"/>
    <n v="2000"/>
    <n v="12"/>
    <s v="TM-Utama"/>
    <n v="24"/>
    <n v="1675"/>
    <s v="69.8"/>
    <x v="0"/>
    <n v="2.3690000000000002"/>
    <n v="56860.9"/>
    <n v="56.860999999999997"/>
    <d v="2012-09-01T00:00:00"/>
    <x v="0"/>
    <x v="0"/>
  </r>
  <r>
    <x v="0"/>
    <x v="9"/>
    <s v="Oktober"/>
    <s v="Division_A"/>
    <x v="1"/>
    <n v="2000"/>
    <n v="12"/>
    <s v="TM-Utama"/>
    <n v="24"/>
    <n v="1675"/>
    <s v="69.8"/>
    <x v="0"/>
    <n v="1.6970000000000001"/>
    <n v="40722.5"/>
    <n v="40.722000000000001"/>
    <d v="2012-10-01T00:00:00"/>
    <x v="0"/>
    <x v="0"/>
  </r>
  <r>
    <x v="0"/>
    <x v="10"/>
    <s v="November"/>
    <s v="Division_A"/>
    <x v="1"/>
    <n v="2000"/>
    <n v="12"/>
    <s v="TM-Utama"/>
    <n v="24"/>
    <n v="1675"/>
    <s v="69.8"/>
    <x v="0"/>
    <n v="1.8029999999999999"/>
    <n v="43274.5"/>
    <n v="43.274999999999999"/>
    <d v="2012-11-01T00:00:00"/>
    <x v="0"/>
    <x v="0"/>
  </r>
  <r>
    <x v="0"/>
    <x v="11"/>
    <s v="Desember"/>
    <s v="Division_A"/>
    <x v="1"/>
    <n v="2000"/>
    <n v="12"/>
    <s v="TM-Utama"/>
    <n v="24"/>
    <n v="1675"/>
    <s v="69.8"/>
    <x v="0"/>
    <n v="2.1949999999999998"/>
    <n v="52674.8"/>
    <n v="52.674999999999997"/>
    <d v="2012-12-01T00:00:00"/>
    <x v="0"/>
    <x v="0"/>
  </r>
  <r>
    <x v="0"/>
    <x v="0"/>
    <s v="Januari"/>
    <s v="Division_A"/>
    <x v="2"/>
    <n v="2005"/>
    <n v="7"/>
    <s v="TM-Utama"/>
    <n v="18"/>
    <n v="1922"/>
    <s v="106.8"/>
    <x v="0"/>
    <n v="1.659"/>
    <n v="29867.9"/>
    <n v="29.867999999999999"/>
    <d v="2012-01-01T00:00:00"/>
    <x v="0"/>
    <x v="1"/>
  </r>
  <r>
    <x v="0"/>
    <x v="1"/>
    <s v="Februari"/>
    <s v="Division_A"/>
    <x v="2"/>
    <n v="2005"/>
    <n v="7"/>
    <s v="TM-Utama"/>
    <n v="18"/>
    <n v="1922"/>
    <s v="106.8"/>
    <x v="0"/>
    <n v="1.361"/>
    <n v="24491.1"/>
    <n v="24.491"/>
    <d v="2012-02-01T00:00:00"/>
    <x v="0"/>
    <x v="1"/>
  </r>
  <r>
    <x v="0"/>
    <x v="2"/>
    <s v="Maret"/>
    <s v="Division_A"/>
    <x v="2"/>
    <n v="2005"/>
    <n v="7"/>
    <s v="TM-Utama"/>
    <n v="18"/>
    <n v="1922"/>
    <s v="106.8"/>
    <x v="0"/>
    <n v="1.5469999999999999"/>
    <n v="27849.8"/>
    <n v="27.85"/>
    <d v="2012-03-01T00:00:00"/>
    <x v="0"/>
    <x v="1"/>
  </r>
  <r>
    <x v="0"/>
    <x v="3"/>
    <s v="April"/>
    <s v="Division_A"/>
    <x v="2"/>
    <n v="2005"/>
    <n v="7"/>
    <s v="TM-Utama"/>
    <n v="18"/>
    <n v="1922"/>
    <s v="106.8"/>
    <x v="0"/>
    <n v="1.9219999999999999"/>
    <n v="34596"/>
    <n v="34.595999999999997"/>
    <d v="2012-04-01T00:00:00"/>
    <x v="0"/>
    <x v="1"/>
  </r>
  <r>
    <x v="0"/>
    <x v="4"/>
    <s v="Mei"/>
    <s v="Division_A"/>
    <x v="2"/>
    <n v="2005"/>
    <n v="7"/>
    <s v="TM-Utama"/>
    <n v="18"/>
    <n v="1922"/>
    <s v="106.8"/>
    <x v="0"/>
    <n v="2.3759999999999999"/>
    <n v="42769.3"/>
    <n v="42.768999999999998"/>
    <d v="2012-05-01T00:00:00"/>
    <x v="0"/>
    <x v="1"/>
  </r>
  <r>
    <x v="0"/>
    <x v="5"/>
    <s v="Juni"/>
    <s v="Division_A"/>
    <x v="2"/>
    <n v="2005"/>
    <n v="7"/>
    <s v="TM-Utama"/>
    <n v="18"/>
    <n v="1922"/>
    <s v="106.8"/>
    <x v="0"/>
    <n v="2.3250000000000002"/>
    <n v="41846.699999999997"/>
    <n v="41.847000000000001"/>
    <d v="2012-06-01T00:00:00"/>
    <x v="0"/>
    <x v="1"/>
  </r>
  <r>
    <x v="0"/>
    <x v="6"/>
    <s v="Juli"/>
    <s v="Division_A"/>
    <x v="2"/>
    <n v="2005"/>
    <n v="7"/>
    <s v="TM-Utama"/>
    <n v="18"/>
    <n v="1922"/>
    <s v="106.8"/>
    <x v="0"/>
    <n v="3.198"/>
    <n v="57559.1"/>
    <n v="57.558999999999997"/>
    <d v="2012-07-01T00:00:00"/>
    <x v="0"/>
    <x v="1"/>
  </r>
  <r>
    <x v="0"/>
    <x v="7"/>
    <s v="Agustus"/>
    <s v="Division_A"/>
    <x v="2"/>
    <n v="2005"/>
    <n v="7"/>
    <s v="TM-Utama"/>
    <n v="18"/>
    <n v="1922"/>
    <s v="106.8"/>
    <x v="0"/>
    <n v="2.516"/>
    <n v="45291.9"/>
    <n v="45.292000000000002"/>
    <d v="2012-08-01T00:00:00"/>
    <x v="0"/>
    <x v="1"/>
  </r>
  <r>
    <x v="0"/>
    <x v="8"/>
    <s v="September"/>
    <s v="Division_A"/>
    <x v="2"/>
    <n v="2005"/>
    <n v="7"/>
    <s v="TM-Utama"/>
    <n v="18"/>
    <n v="1922"/>
    <s v="106.8"/>
    <x v="0"/>
    <n v="2.48"/>
    <n v="44643.3"/>
    <n v="44.643000000000001"/>
    <d v="2012-09-01T00:00:00"/>
    <x v="0"/>
    <x v="1"/>
  </r>
  <r>
    <x v="0"/>
    <x v="9"/>
    <s v="Oktober"/>
    <s v="Division_A"/>
    <x v="2"/>
    <n v="2005"/>
    <n v="7"/>
    <s v="TM-Utama"/>
    <n v="18"/>
    <n v="1922"/>
    <s v="106.8"/>
    <x v="0"/>
    <n v="1.776"/>
    <n v="31972.5"/>
    <n v="31.972000000000001"/>
    <d v="2012-10-01T00:00:00"/>
    <x v="0"/>
    <x v="1"/>
  </r>
  <r>
    <x v="0"/>
    <x v="10"/>
    <s v="November"/>
    <s v="Division_A"/>
    <x v="2"/>
    <n v="2005"/>
    <n v="7"/>
    <s v="TM-Utama"/>
    <n v="18"/>
    <n v="1922"/>
    <s v="106.8"/>
    <x v="0"/>
    <n v="1.8879999999999999"/>
    <n v="33976.199999999997"/>
    <n v="33.975999999999999"/>
    <d v="2012-11-01T00:00:00"/>
    <x v="0"/>
    <x v="1"/>
  </r>
  <r>
    <x v="0"/>
    <x v="11"/>
    <s v="Desember"/>
    <s v="Division_A"/>
    <x v="2"/>
    <n v="2005"/>
    <n v="7"/>
    <s v="TM-Utama"/>
    <n v="18"/>
    <n v="1922"/>
    <s v="106.8"/>
    <x v="0"/>
    <n v="2.298"/>
    <n v="41356.6"/>
    <n v="41.356999999999999"/>
    <d v="2012-12-01T00:00:00"/>
    <x v="0"/>
    <x v="1"/>
  </r>
  <r>
    <x v="0"/>
    <x v="0"/>
    <s v="Januari"/>
    <s v="Division_A"/>
    <x v="3"/>
    <n v="2005"/>
    <n v="7"/>
    <s v="TM-Utama"/>
    <n v="26"/>
    <n v="2827"/>
    <s v="108.7"/>
    <x v="0"/>
    <n v="1.69"/>
    <n v="43931.6"/>
    <n v="43.932000000000002"/>
    <d v="2012-01-01T00:00:00"/>
    <x v="0"/>
    <x v="1"/>
  </r>
  <r>
    <x v="0"/>
    <x v="1"/>
    <s v="Februari"/>
    <s v="Division_A"/>
    <x v="3"/>
    <n v="2005"/>
    <n v="7"/>
    <s v="TM-Utama"/>
    <n v="26"/>
    <n v="2827"/>
    <s v="108.7"/>
    <x v="0"/>
    <n v="1.3859999999999999"/>
    <n v="36023"/>
    <n v="36.023000000000003"/>
    <d v="2012-02-01T00:00:00"/>
    <x v="0"/>
    <x v="1"/>
  </r>
  <r>
    <x v="0"/>
    <x v="2"/>
    <s v="Maret"/>
    <s v="Division_A"/>
    <x v="3"/>
    <n v="2005"/>
    <n v="7"/>
    <s v="TM-Utama"/>
    <n v="26"/>
    <n v="2827"/>
    <s v="108.7"/>
    <x v="0"/>
    <n v="1.5760000000000001"/>
    <n v="40963.199999999997"/>
    <n v="40.963000000000001"/>
    <d v="2012-03-01T00:00:00"/>
    <x v="0"/>
    <x v="1"/>
  </r>
  <r>
    <x v="0"/>
    <x v="3"/>
    <s v="April"/>
    <s v="Division_A"/>
    <x v="3"/>
    <n v="2005"/>
    <n v="7"/>
    <s v="TM-Utama"/>
    <n v="26"/>
    <n v="2827"/>
    <s v="108.7"/>
    <x v="0"/>
    <n v="1.9570000000000001"/>
    <n v="50886"/>
    <n v="50.886000000000003"/>
    <d v="2012-04-01T00:00:00"/>
    <x v="0"/>
    <x v="1"/>
  </r>
  <r>
    <x v="0"/>
    <x v="4"/>
    <s v="Mei"/>
    <s v="Division_A"/>
    <x v="3"/>
    <n v="2005"/>
    <n v="7"/>
    <s v="TM-Utama"/>
    <n v="26"/>
    <n v="2827"/>
    <s v="108.7"/>
    <x v="0"/>
    <n v="2.42"/>
    <n v="62907.8"/>
    <n v="62.908000000000001"/>
    <d v="2012-05-01T00:00:00"/>
    <x v="0"/>
    <x v="1"/>
  </r>
  <r>
    <x v="0"/>
    <x v="5"/>
    <s v="Juni"/>
    <s v="Division_A"/>
    <x v="3"/>
    <n v="2005"/>
    <n v="7"/>
    <s v="TM-Utama"/>
    <n v="26"/>
    <n v="2827"/>
    <s v="108.7"/>
    <x v="0"/>
    <n v="2.367"/>
    <n v="61550.9"/>
    <n v="61.551000000000002"/>
    <d v="2012-06-01T00:00:00"/>
    <x v="0"/>
    <x v="1"/>
  </r>
  <r>
    <x v="0"/>
    <x v="6"/>
    <s v="Juli"/>
    <s v="Division_A"/>
    <x v="3"/>
    <n v="2005"/>
    <n v="7"/>
    <s v="TM-Utama"/>
    <n v="26"/>
    <n v="2827"/>
    <s v="108.7"/>
    <x v="0"/>
    <n v="3.2559999999999998"/>
    <n v="84661.6"/>
    <n v="84.662000000000006"/>
    <d v="2012-07-01T00:00:00"/>
    <x v="0"/>
    <x v="1"/>
  </r>
  <r>
    <x v="0"/>
    <x v="7"/>
    <s v="Agustus"/>
    <s v="Division_A"/>
    <x v="3"/>
    <n v="2005"/>
    <n v="7"/>
    <s v="TM-Utama"/>
    <n v="26"/>
    <n v="2827"/>
    <s v="108.7"/>
    <x v="0"/>
    <n v="2.5619999999999998"/>
    <n v="66618.3"/>
    <n v="66.617999999999995"/>
    <d v="2012-08-01T00:00:00"/>
    <x v="0"/>
    <x v="1"/>
  </r>
  <r>
    <x v="0"/>
    <x v="8"/>
    <s v="September"/>
    <s v="Division_A"/>
    <x v="3"/>
    <n v="2005"/>
    <n v="7"/>
    <s v="TM-Utama"/>
    <n v="26"/>
    <n v="2827"/>
    <s v="108.7"/>
    <x v="0"/>
    <n v="2.5259999999999998"/>
    <n v="65664.100000000006"/>
    <n v="65.664000000000001"/>
    <d v="2012-09-01T00:00:00"/>
    <x v="0"/>
    <x v="1"/>
  </r>
  <r>
    <x v="0"/>
    <x v="9"/>
    <s v="Oktober"/>
    <s v="Division_A"/>
    <x v="3"/>
    <n v="2005"/>
    <n v="7"/>
    <s v="TM-Utama"/>
    <n v="26"/>
    <n v="2827"/>
    <s v="108.7"/>
    <x v="0"/>
    <n v="1.8089999999999999"/>
    <n v="47027.1"/>
    <n v="47.027000000000001"/>
    <d v="2012-10-01T00:00:00"/>
    <x v="0"/>
    <x v="1"/>
  </r>
  <r>
    <x v="0"/>
    <x v="10"/>
    <s v="November"/>
    <s v="Division_A"/>
    <x v="3"/>
    <n v="2005"/>
    <n v="7"/>
    <s v="TM-Utama"/>
    <n v="26"/>
    <n v="2827"/>
    <s v="108.7"/>
    <x v="0"/>
    <n v="1.9219999999999999"/>
    <n v="49974.3"/>
    <n v="49.973999999999997"/>
    <d v="2012-11-01T00:00:00"/>
    <x v="0"/>
    <x v="1"/>
  </r>
  <r>
    <x v="0"/>
    <x v="11"/>
    <s v="Desember"/>
    <s v="Division_A"/>
    <x v="3"/>
    <n v="2005"/>
    <n v="7"/>
    <s v="TM-Utama"/>
    <n v="26"/>
    <n v="2827"/>
    <s v="108.7"/>
    <x v="0"/>
    <n v="2.34"/>
    <n v="60830"/>
    <n v="60.83"/>
    <d v="2012-12-01T00:00:00"/>
    <x v="0"/>
    <x v="1"/>
  </r>
  <r>
    <x v="0"/>
    <x v="0"/>
    <s v="Januari"/>
    <s v="Division_A"/>
    <x v="4"/>
    <n v="2005"/>
    <n v="7"/>
    <s v="TM-Utama"/>
    <n v="24"/>
    <n v="1947"/>
    <s v="81.1"/>
    <x v="1"/>
    <n v="1.585"/>
    <n v="38041.9"/>
    <n v="38.042000000000002"/>
    <d v="2012-01-01T00:00:00"/>
    <x v="0"/>
    <x v="1"/>
  </r>
  <r>
    <x v="0"/>
    <x v="1"/>
    <s v="Februari"/>
    <s v="Division_A"/>
    <x v="4"/>
    <n v="2005"/>
    <n v="7"/>
    <s v="TM-Utama"/>
    <n v="24"/>
    <n v="1947"/>
    <s v="81.1"/>
    <x v="1"/>
    <n v="1.3"/>
    <n v="31193.599999999999"/>
    <n v="31.193999999999999"/>
    <d v="2012-02-01T00:00:00"/>
    <x v="0"/>
    <x v="1"/>
  </r>
  <r>
    <x v="0"/>
    <x v="2"/>
    <s v="Maret"/>
    <s v="Division_A"/>
    <x v="4"/>
    <n v="2005"/>
    <n v="7"/>
    <s v="TM-Utama"/>
    <n v="24"/>
    <n v="1947"/>
    <s v="81.1"/>
    <x v="1"/>
    <n v="1.478"/>
    <n v="35471.5"/>
    <n v="35.472000000000001"/>
    <d v="2012-03-01T00:00:00"/>
    <x v="0"/>
    <x v="1"/>
  </r>
  <r>
    <x v="0"/>
    <x v="3"/>
    <s v="April"/>
    <s v="Division_A"/>
    <x v="4"/>
    <n v="2005"/>
    <n v="7"/>
    <s v="TM-Utama"/>
    <n v="24"/>
    <n v="1947"/>
    <s v="81.1"/>
    <x v="1"/>
    <n v="1.8360000000000001"/>
    <n v="44064"/>
    <n v="44.064"/>
    <d v="2012-04-01T00:00:00"/>
    <x v="0"/>
    <x v="1"/>
  </r>
  <r>
    <x v="0"/>
    <x v="4"/>
    <s v="Mei"/>
    <s v="Division_A"/>
    <x v="4"/>
    <n v="2005"/>
    <n v="7"/>
    <s v="TM-Utama"/>
    <n v="24"/>
    <n v="1947"/>
    <s v="81.1"/>
    <x v="1"/>
    <n v="2.27"/>
    <n v="54474.1"/>
    <n v="54.473999999999997"/>
    <d v="2012-05-01T00:00:00"/>
    <x v="0"/>
    <x v="1"/>
  </r>
  <r>
    <x v="0"/>
    <x v="5"/>
    <s v="Juni"/>
    <s v="Division_A"/>
    <x v="4"/>
    <n v="2005"/>
    <n v="7"/>
    <s v="TM-Utama"/>
    <n v="24"/>
    <n v="1947"/>
    <s v="81.1"/>
    <x v="1"/>
    <n v="2.2210000000000001"/>
    <n v="53299.1"/>
    <n v="53.298999999999999"/>
    <d v="2012-06-01T00:00:00"/>
    <x v="0"/>
    <x v="1"/>
  </r>
  <r>
    <x v="0"/>
    <x v="6"/>
    <s v="Juli"/>
    <s v="Division_A"/>
    <x v="4"/>
    <n v="2005"/>
    <n v="7"/>
    <s v="TM-Utama"/>
    <n v="24"/>
    <n v="1947"/>
    <s v="81.1"/>
    <x v="1"/>
    <n v="3.0550000000000002"/>
    <n v="73311.5"/>
    <n v="73.311000000000007"/>
    <d v="2012-07-01T00:00:00"/>
    <x v="0"/>
    <x v="1"/>
  </r>
  <r>
    <x v="0"/>
    <x v="7"/>
    <s v="Agustus"/>
    <s v="Division_A"/>
    <x v="4"/>
    <n v="2005"/>
    <n v="7"/>
    <s v="TM-Utama"/>
    <n v="24"/>
    <n v="1947"/>
    <s v="81.1"/>
    <x v="1"/>
    <n v="2.4039999999999999"/>
    <n v="57687.1"/>
    <n v="57.686999999999998"/>
    <d v="2012-08-01T00:00:00"/>
    <x v="0"/>
    <x v="1"/>
  </r>
  <r>
    <x v="0"/>
    <x v="8"/>
    <s v="September"/>
    <s v="Division_A"/>
    <x v="4"/>
    <n v="2005"/>
    <n v="7"/>
    <s v="TM-Utama"/>
    <n v="24"/>
    <n v="1947"/>
    <s v="81.1"/>
    <x v="1"/>
    <n v="2.3690000000000002"/>
    <n v="56860.9"/>
    <n v="56.860999999999997"/>
    <d v="2012-09-01T00:00:00"/>
    <x v="0"/>
    <x v="1"/>
  </r>
  <r>
    <x v="0"/>
    <x v="9"/>
    <s v="Oktober"/>
    <s v="Division_A"/>
    <x v="4"/>
    <n v="2005"/>
    <n v="7"/>
    <s v="TM-Utama"/>
    <n v="24"/>
    <n v="1947"/>
    <s v="81.1"/>
    <x v="1"/>
    <n v="1.6970000000000001"/>
    <n v="40722.5"/>
    <n v="40.722000000000001"/>
    <d v="2012-10-01T00:00:00"/>
    <x v="0"/>
    <x v="1"/>
  </r>
  <r>
    <x v="0"/>
    <x v="10"/>
    <s v="November"/>
    <s v="Division_A"/>
    <x v="4"/>
    <n v="2005"/>
    <n v="7"/>
    <s v="TM-Utama"/>
    <n v="24"/>
    <n v="1947"/>
    <s v="81.1"/>
    <x v="1"/>
    <n v="1.8029999999999999"/>
    <n v="43274.5"/>
    <n v="43.274999999999999"/>
    <d v="2012-11-01T00:00:00"/>
    <x v="0"/>
    <x v="1"/>
  </r>
  <r>
    <x v="0"/>
    <x v="11"/>
    <s v="Desember"/>
    <s v="Division_A"/>
    <x v="4"/>
    <n v="2005"/>
    <n v="7"/>
    <s v="TM-Utama"/>
    <n v="24"/>
    <n v="1947"/>
    <s v="81.1"/>
    <x v="1"/>
    <n v="2.1949999999999998"/>
    <n v="52674.8"/>
    <n v="52.674999999999997"/>
    <d v="2012-12-01T00:00:00"/>
    <x v="0"/>
    <x v="1"/>
  </r>
  <r>
    <x v="0"/>
    <x v="0"/>
    <s v="Januari"/>
    <s v="Division_A"/>
    <x v="5"/>
    <n v="2006"/>
    <n v="6"/>
    <s v="TM-Utama"/>
    <n v="25"/>
    <n v="2740"/>
    <s v="109.6"/>
    <x v="1"/>
    <n v="1.7030000000000001"/>
    <n v="42579.6"/>
    <n v="42.58"/>
    <d v="2012-01-01T00:00:00"/>
    <x v="0"/>
    <x v="1"/>
  </r>
  <r>
    <x v="0"/>
    <x v="1"/>
    <s v="Februari"/>
    <s v="Division_A"/>
    <x v="5"/>
    <n v="2006"/>
    <n v="6"/>
    <s v="TM-Utama"/>
    <n v="25"/>
    <n v="2740"/>
    <s v="109.6"/>
    <x v="1"/>
    <n v="1.397"/>
    <n v="34914.400000000001"/>
    <n v="34.914000000000001"/>
    <d v="2012-02-01T00:00:00"/>
    <x v="0"/>
    <x v="1"/>
  </r>
  <r>
    <x v="0"/>
    <x v="2"/>
    <s v="Maret"/>
    <s v="Division_A"/>
    <x v="5"/>
    <n v="2006"/>
    <n v="6"/>
    <s v="TM-Utama"/>
    <n v="25"/>
    <n v="2740"/>
    <s v="109.6"/>
    <x v="1"/>
    <n v="1.5880000000000001"/>
    <n v="39702.6"/>
    <n v="39.703000000000003"/>
    <d v="2012-03-01T00:00:00"/>
    <x v="0"/>
    <x v="1"/>
  </r>
  <r>
    <x v="0"/>
    <x v="3"/>
    <s v="April"/>
    <s v="Division_A"/>
    <x v="5"/>
    <n v="2006"/>
    <n v="6"/>
    <s v="TM-Utama"/>
    <n v="25"/>
    <n v="2740"/>
    <s v="109.6"/>
    <x v="1"/>
    <n v="1.9730000000000001"/>
    <n v="49320"/>
    <n v="49.32"/>
    <d v="2012-04-01T00:00:00"/>
    <x v="0"/>
    <x v="1"/>
  </r>
  <r>
    <x v="0"/>
    <x v="4"/>
    <s v="Mei"/>
    <s v="Division_A"/>
    <x v="5"/>
    <n v="2006"/>
    <n v="6"/>
    <s v="TM-Utama"/>
    <n v="25"/>
    <n v="2740"/>
    <s v="109.6"/>
    <x v="1"/>
    <n v="2.4390000000000001"/>
    <n v="60971.8"/>
    <n v="60.972000000000001"/>
    <d v="2012-05-01T00:00:00"/>
    <x v="0"/>
    <x v="1"/>
  </r>
  <r>
    <x v="0"/>
    <x v="5"/>
    <s v="Juni"/>
    <s v="Division_A"/>
    <x v="5"/>
    <n v="2006"/>
    <n v="6"/>
    <s v="TM-Utama"/>
    <n v="25"/>
    <n v="2740"/>
    <s v="109.6"/>
    <x v="1"/>
    <n v="2.3860000000000001"/>
    <n v="59656.7"/>
    <n v="59.656999999999996"/>
    <d v="2012-06-01T00:00:00"/>
    <x v="0"/>
    <x v="1"/>
  </r>
  <r>
    <x v="0"/>
    <x v="6"/>
    <s v="Juli"/>
    <s v="Division_A"/>
    <x v="5"/>
    <n v="2006"/>
    <n v="6"/>
    <s v="TM-Utama"/>
    <n v="25"/>
    <n v="2740"/>
    <s v="109.6"/>
    <x v="1"/>
    <n v="3.282"/>
    <n v="82056.100000000006"/>
    <n v="82.055999999999997"/>
    <d v="2012-07-01T00:00:00"/>
    <x v="0"/>
    <x v="1"/>
  </r>
  <r>
    <x v="0"/>
    <x v="7"/>
    <s v="Agustus"/>
    <s v="Division_A"/>
    <x v="5"/>
    <n v="2006"/>
    <n v="6"/>
    <s v="TM-Utama"/>
    <n v="25"/>
    <n v="2740"/>
    <s v="109.6"/>
    <x v="1"/>
    <n v="2.5830000000000002"/>
    <n v="64568.1"/>
    <n v="64.567999999999998"/>
    <d v="2012-08-01T00:00:00"/>
    <x v="0"/>
    <x v="1"/>
  </r>
  <r>
    <x v="0"/>
    <x v="8"/>
    <s v="September"/>
    <s v="Division_A"/>
    <x v="5"/>
    <n v="2006"/>
    <n v="6"/>
    <s v="TM-Utama"/>
    <n v="25"/>
    <n v="2740"/>
    <s v="109.6"/>
    <x v="1"/>
    <n v="2.5459999999999998"/>
    <n v="63643.3"/>
    <n v="63.643000000000001"/>
    <d v="2012-09-01T00:00:00"/>
    <x v="0"/>
    <x v="1"/>
  </r>
  <r>
    <x v="0"/>
    <x v="9"/>
    <s v="Oktober"/>
    <s v="Division_A"/>
    <x v="5"/>
    <n v="2006"/>
    <n v="6"/>
    <s v="TM-Utama"/>
    <n v="25"/>
    <n v="2740"/>
    <s v="109.6"/>
    <x v="1"/>
    <n v="1.823"/>
    <n v="45579.9"/>
    <n v="45.58"/>
    <d v="2012-10-01T00:00:00"/>
    <x v="0"/>
    <x v="1"/>
  </r>
  <r>
    <x v="0"/>
    <x v="10"/>
    <s v="November"/>
    <s v="Division_A"/>
    <x v="5"/>
    <n v="2006"/>
    <n v="6"/>
    <s v="TM-Utama"/>
    <n v="25"/>
    <n v="2740"/>
    <s v="109.6"/>
    <x v="1"/>
    <n v="1.9370000000000001"/>
    <n v="48436.3"/>
    <n v="48.436"/>
    <d v="2012-11-01T00:00:00"/>
    <x v="0"/>
    <x v="1"/>
  </r>
  <r>
    <x v="0"/>
    <x v="11"/>
    <s v="Desember"/>
    <s v="Division_A"/>
    <x v="5"/>
    <n v="2006"/>
    <n v="6"/>
    <s v="TM-Utama"/>
    <n v="25"/>
    <n v="2740"/>
    <s v="109.6"/>
    <x v="1"/>
    <n v="2.3580000000000001"/>
    <n v="58958"/>
    <n v="58.957999999999998"/>
    <d v="2012-12-01T00:00:00"/>
    <x v="0"/>
    <x v="1"/>
  </r>
  <r>
    <x v="0"/>
    <x v="0"/>
    <s v="Januari"/>
    <s v="Division_A"/>
    <x v="6"/>
    <n v="2006"/>
    <n v="6"/>
    <s v="TM-Utama"/>
    <n v="24"/>
    <n v="3230"/>
    <s v="134.6"/>
    <x v="1"/>
    <n v="2.0910000000000002"/>
    <n v="50194.2"/>
    <n v="50.194000000000003"/>
    <d v="2012-01-01T00:00:00"/>
    <x v="0"/>
    <x v="1"/>
  </r>
  <r>
    <x v="0"/>
    <x v="1"/>
    <s v="Februari"/>
    <s v="Division_A"/>
    <x v="6"/>
    <n v="2006"/>
    <n v="6"/>
    <s v="TM-Utama"/>
    <n v="24"/>
    <n v="3230"/>
    <s v="134.6"/>
    <x v="1"/>
    <n v="1.7150000000000001"/>
    <n v="41158.300000000003"/>
    <n v="41.158000000000001"/>
    <d v="2012-02-01T00:00:00"/>
    <x v="0"/>
    <x v="1"/>
  </r>
  <r>
    <x v="0"/>
    <x v="2"/>
    <s v="Maret"/>
    <s v="Division_A"/>
    <x v="6"/>
    <n v="2006"/>
    <n v="6"/>
    <s v="TM-Utama"/>
    <n v="24"/>
    <n v="3230"/>
    <s v="134.6"/>
    <x v="1"/>
    <n v="1.95"/>
    <n v="46802.7"/>
    <n v="46.802999999999997"/>
    <d v="2012-03-01T00:00:00"/>
    <x v="0"/>
    <x v="1"/>
  </r>
  <r>
    <x v="0"/>
    <x v="3"/>
    <s v="April"/>
    <s v="Division_A"/>
    <x v="6"/>
    <n v="2006"/>
    <n v="6"/>
    <s v="TM-Utama"/>
    <n v="24"/>
    <n v="3230"/>
    <s v="134.6"/>
    <x v="1"/>
    <n v="2.423"/>
    <n v="58140"/>
    <n v="58.14"/>
    <d v="2012-04-01T00:00:00"/>
    <x v="0"/>
    <x v="1"/>
  </r>
  <r>
    <x v="0"/>
    <x v="4"/>
    <s v="Mei"/>
    <s v="Division_A"/>
    <x v="6"/>
    <n v="2006"/>
    <n v="6"/>
    <s v="TM-Utama"/>
    <n v="24"/>
    <n v="3230"/>
    <s v="134.6"/>
    <x v="1"/>
    <n v="2.9950000000000001"/>
    <n v="71875.600000000006"/>
    <n v="71.876000000000005"/>
    <d v="2012-05-01T00:00:00"/>
    <x v="0"/>
    <x v="1"/>
  </r>
  <r>
    <x v="0"/>
    <x v="5"/>
    <s v="Juni"/>
    <s v="Division_A"/>
    <x v="6"/>
    <n v="2006"/>
    <n v="6"/>
    <s v="TM-Utama"/>
    <n v="24"/>
    <n v="3230"/>
    <s v="134.6"/>
    <x v="1"/>
    <n v="2.93"/>
    <n v="70325.2"/>
    <n v="70.325000000000003"/>
    <d v="2012-06-01T00:00:00"/>
    <x v="0"/>
    <x v="1"/>
  </r>
  <r>
    <x v="0"/>
    <x v="6"/>
    <s v="Juli"/>
    <s v="Division_A"/>
    <x v="6"/>
    <n v="2006"/>
    <n v="6"/>
    <s v="TM-Utama"/>
    <n v="24"/>
    <n v="3230"/>
    <s v="134.6"/>
    <x v="1"/>
    <n v="4.03"/>
    <n v="96730.4"/>
    <n v="96.73"/>
    <d v="2012-07-01T00:00:00"/>
    <x v="0"/>
    <x v="1"/>
  </r>
  <r>
    <x v="0"/>
    <x v="7"/>
    <s v="Agustus"/>
    <s v="Division_A"/>
    <x v="6"/>
    <n v="2006"/>
    <n v="6"/>
    <s v="TM-Utama"/>
    <n v="24"/>
    <n v="3230"/>
    <s v="134.6"/>
    <x v="1"/>
    <n v="3.1709999999999998"/>
    <n v="76115"/>
    <n v="76.114999999999995"/>
    <d v="2012-08-01T00:00:00"/>
    <x v="0"/>
    <x v="1"/>
  </r>
  <r>
    <x v="0"/>
    <x v="8"/>
    <s v="September"/>
    <s v="Division_A"/>
    <x v="6"/>
    <n v="2006"/>
    <n v="6"/>
    <s v="TM-Utama"/>
    <n v="24"/>
    <n v="3230"/>
    <s v="134.6"/>
    <x v="1"/>
    <n v="3.1259999999999999"/>
    <n v="75024.800000000003"/>
    <n v="75.025000000000006"/>
    <d v="2012-09-01T00:00:00"/>
    <x v="0"/>
    <x v="1"/>
  </r>
  <r>
    <x v="0"/>
    <x v="9"/>
    <s v="Oktober"/>
    <s v="Division_A"/>
    <x v="6"/>
    <n v="2006"/>
    <n v="6"/>
    <s v="TM-Utama"/>
    <n v="24"/>
    <n v="3230"/>
    <s v="134.6"/>
    <x v="1"/>
    <n v="2.2389999999999999"/>
    <n v="53731.1"/>
    <n v="53.731000000000002"/>
    <d v="2012-10-01T00:00:00"/>
    <x v="0"/>
    <x v="1"/>
  </r>
  <r>
    <x v="0"/>
    <x v="10"/>
    <s v="November"/>
    <s v="Division_A"/>
    <x v="6"/>
    <n v="2006"/>
    <n v="6"/>
    <s v="TM-Utama"/>
    <n v="24"/>
    <n v="3230"/>
    <s v="134.6"/>
    <x v="1"/>
    <n v="2.379"/>
    <n v="57098.3"/>
    <n v="57.097999999999999"/>
    <d v="2012-11-01T00:00:00"/>
    <x v="0"/>
    <x v="1"/>
  </r>
  <r>
    <x v="0"/>
    <x v="11"/>
    <s v="Desember"/>
    <s v="Division_A"/>
    <x v="6"/>
    <n v="2006"/>
    <n v="6"/>
    <s v="TM-Utama"/>
    <n v="24"/>
    <n v="3230"/>
    <s v="134.6"/>
    <x v="1"/>
    <n v="2.8959999999999999"/>
    <n v="69501.5"/>
    <n v="69.501999999999995"/>
    <d v="2012-12-01T00:00:00"/>
    <x v="0"/>
    <x v="1"/>
  </r>
  <r>
    <x v="0"/>
    <x v="0"/>
    <s v="Januari"/>
    <s v="Division_A"/>
    <x v="7"/>
    <n v="2006"/>
    <n v="6"/>
    <s v="TM-Utama"/>
    <n v="22"/>
    <n v="2447"/>
    <s v="111.2"/>
    <x v="1"/>
    <n v="1.728"/>
    <n v="38026.400000000001"/>
    <n v="38.026000000000003"/>
    <d v="2012-01-01T00:00:00"/>
    <x v="0"/>
    <x v="1"/>
  </r>
  <r>
    <x v="0"/>
    <x v="1"/>
    <s v="Februari"/>
    <s v="Division_A"/>
    <x v="7"/>
    <n v="2006"/>
    <n v="6"/>
    <s v="TM-Utama"/>
    <n v="22"/>
    <n v="2447"/>
    <s v="111.2"/>
    <x v="1"/>
    <n v="1.417"/>
    <n v="31180.9"/>
    <n v="31.181000000000001"/>
    <d v="2012-02-01T00:00:00"/>
    <x v="0"/>
    <x v="1"/>
  </r>
  <r>
    <x v="0"/>
    <x v="2"/>
    <s v="Maret"/>
    <s v="Division_A"/>
    <x v="7"/>
    <n v="2006"/>
    <n v="6"/>
    <s v="TM-Utama"/>
    <n v="22"/>
    <n v="2447"/>
    <s v="111.2"/>
    <x v="1"/>
    <n v="1.6120000000000001"/>
    <n v="35457"/>
    <n v="35.457000000000001"/>
    <d v="2012-03-01T00:00:00"/>
    <x v="0"/>
    <x v="1"/>
  </r>
  <r>
    <x v="0"/>
    <x v="3"/>
    <s v="April"/>
    <s v="Division_A"/>
    <x v="7"/>
    <n v="2006"/>
    <n v="6"/>
    <s v="TM-Utama"/>
    <n v="22"/>
    <n v="2447"/>
    <s v="111.2"/>
    <x v="1"/>
    <n v="2.0019999999999998"/>
    <n v="44046"/>
    <n v="44.045999999999999"/>
    <d v="2012-04-01T00:00:00"/>
    <x v="0"/>
    <x v="1"/>
  </r>
  <r>
    <x v="0"/>
    <x v="4"/>
    <s v="Mei"/>
    <s v="Division_A"/>
    <x v="7"/>
    <n v="2006"/>
    <n v="6"/>
    <s v="TM-Utama"/>
    <n v="22"/>
    <n v="2447"/>
    <s v="111.2"/>
    <x v="1"/>
    <n v="2.4750000000000001"/>
    <n v="54451.9"/>
    <n v="54.451999999999998"/>
    <d v="2012-05-01T00:00:00"/>
    <x v="0"/>
    <x v="1"/>
  </r>
  <r>
    <x v="0"/>
    <x v="5"/>
    <s v="Juni"/>
    <s v="Division_A"/>
    <x v="7"/>
    <n v="2006"/>
    <n v="6"/>
    <s v="TM-Utama"/>
    <n v="22"/>
    <n v="2447"/>
    <s v="111.2"/>
    <x v="1"/>
    <n v="2.4220000000000002"/>
    <n v="53277.3"/>
    <n v="53.277000000000001"/>
    <d v="2012-06-01T00:00:00"/>
    <x v="0"/>
    <x v="1"/>
  </r>
  <r>
    <x v="0"/>
    <x v="6"/>
    <s v="Juli"/>
    <s v="Division_A"/>
    <x v="7"/>
    <n v="2006"/>
    <n v="6"/>
    <s v="TM-Utama"/>
    <n v="22"/>
    <n v="2447"/>
    <s v="111.2"/>
    <x v="1"/>
    <n v="3.331"/>
    <n v="73281.5"/>
    <n v="73.281999999999996"/>
    <d v="2012-07-01T00:00:00"/>
    <x v="0"/>
    <x v="1"/>
  </r>
  <r>
    <x v="0"/>
    <x v="7"/>
    <s v="Agustus"/>
    <s v="Division_A"/>
    <x v="7"/>
    <n v="2006"/>
    <n v="6"/>
    <s v="TM-Utama"/>
    <n v="22"/>
    <n v="2447"/>
    <s v="111.2"/>
    <x v="1"/>
    <n v="2.621"/>
    <n v="57663.6"/>
    <n v="57.664000000000001"/>
    <d v="2012-08-01T00:00:00"/>
    <x v="0"/>
    <x v="1"/>
  </r>
  <r>
    <x v="0"/>
    <x v="8"/>
    <s v="September"/>
    <s v="Division_A"/>
    <x v="7"/>
    <n v="2006"/>
    <n v="6"/>
    <s v="TM-Utama"/>
    <n v="22"/>
    <n v="2447"/>
    <s v="111.2"/>
    <x v="1"/>
    <n v="2.5840000000000001"/>
    <n v="56837.7"/>
    <n v="56.838000000000001"/>
    <d v="2012-09-01T00:00:00"/>
    <x v="0"/>
    <x v="1"/>
  </r>
  <r>
    <x v="0"/>
    <x v="9"/>
    <s v="Oktober"/>
    <s v="Division_A"/>
    <x v="7"/>
    <n v="2006"/>
    <n v="6"/>
    <s v="TM-Utama"/>
    <n v="22"/>
    <n v="2447"/>
    <s v="111.2"/>
    <x v="1"/>
    <n v="1.85"/>
    <n v="40705.800000000003"/>
    <n v="40.706000000000003"/>
    <d v="2012-10-01T00:00:00"/>
    <x v="0"/>
    <x v="1"/>
  </r>
  <r>
    <x v="0"/>
    <x v="10"/>
    <s v="November"/>
    <s v="Division_A"/>
    <x v="7"/>
    <n v="2006"/>
    <n v="6"/>
    <s v="TM-Utama"/>
    <n v="22"/>
    <n v="2447"/>
    <s v="111.2"/>
    <x v="1"/>
    <n v="1.966"/>
    <n v="43256.800000000003"/>
    <n v="43.256999999999998"/>
    <d v="2012-11-01T00:00:00"/>
    <x v="0"/>
    <x v="1"/>
  </r>
  <r>
    <x v="0"/>
    <x v="11"/>
    <s v="Desember"/>
    <s v="Division_A"/>
    <x v="7"/>
    <n v="2006"/>
    <n v="6"/>
    <s v="TM-Utama"/>
    <n v="22"/>
    <n v="2447"/>
    <s v="111.2"/>
    <x v="1"/>
    <n v="2.3929999999999998"/>
    <n v="52653.3"/>
    <n v="52.652999999999999"/>
    <d v="2012-12-01T00:00:00"/>
    <x v="0"/>
    <x v="1"/>
  </r>
  <r>
    <x v="0"/>
    <x v="0"/>
    <s v="Januari"/>
    <s v="Division_A"/>
    <x v="8"/>
    <n v="2006"/>
    <n v="6"/>
    <s v="TM-Utama"/>
    <n v="15"/>
    <n v="1866"/>
    <s v="124.4"/>
    <x v="1"/>
    <n v="1.9330000000000001"/>
    <n v="28997.599999999999"/>
    <n v="28.998000000000001"/>
    <d v="2012-01-01T00:00:00"/>
    <x v="0"/>
    <x v="1"/>
  </r>
  <r>
    <x v="0"/>
    <x v="1"/>
    <s v="Februari"/>
    <s v="Division_A"/>
    <x v="8"/>
    <n v="2006"/>
    <n v="6"/>
    <s v="TM-Utama"/>
    <n v="15"/>
    <n v="1866"/>
    <s v="124.4"/>
    <x v="1"/>
    <n v="1.585"/>
    <n v="23777.5"/>
    <n v="23.777999999999999"/>
    <d v="2012-02-01T00:00:00"/>
    <x v="0"/>
    <x v="1"/>
  </r>
  <r>
    <x v="0"/>
    <x v="2"/>
    <s v="Maret"/>
    <s v="Division_A"/>
    <x v="8"/>
    <n v="2006"/>
    <n v="6"/>
    <s v="TM-Utama"/>
    <n v="15"/>
    <n v="1866"/>
    <s v="124.4"/>
    <x v="1"/>
    <n v="1.8029999999999999"/>
    <n v="27038.3"/>
    <n v="27.038"/>
    <d v="2012-03-01T00:00:00"/>
    <x v="0"/>
    <x v="1"/>
  </r>
  <r>
    <x v="0"/>
    <x v="3"/>
    <s v="April"/>
    <s v="Division_A"/>
    <x v="8"/>
    <n v="2006"/>
    <n v="6"/>
    <s v="TM-Utama"/>
    <n v="15"/>
    <n v="1866"/>
    <s v="124.4"/>
    <x v="1"/>
    <n v="2.2389999999999999"/>
    <n v="33588"/>
    <n v="33.588000000000001"/>
    <d v="2012-04-01T00:00:00"/>
    <x v="0"/>
    <x v="1"/>
  </r>
  <r>
    <x v="0"/>
    <x v="4"/>
    <s v="Mei"/>
    <s v="Division_A"/>
    <x v="8"/>
    <n v="2006"/>
    <n v="6"/>
    <s v="TM-Utama"/>
    <n v="15"/>
    <n v="1866"/>
    <s v="124.4"/>
    <x v="1"/>
    <n v="2.7679999999999998"/>
    <n v="41523.199999999997"/>
    <n v="41.523000000000003"/>
    <d v="2012-05-01T00:00:00"/>
    <x v="0"/>
    <x v="1"/>
  </r>
  <r>
    <x v="0"/>
    <x v="5"/>
    <s v="Juni"/>
    <s v="Division_A"/>
    <x v="8"/>
    <n v="2006"/>
    <n v="6"/>
    <s v="TM-Utama"/>
    <n v="15"/>
    <n v="1866"/>
    <s v="124.4"/>
    <x v="1"/>
    <n v="2.7080000000000002"/>
    <n v="40627.5"/>
    <n v="40.627000000000002"/>
    <d v="2012-06-01T00:00:00"/>
    <x v="0"/>
    <x v="1"/>
  </r>
  <r>
    <x v="0"/>
    <x v="6"/>
    <s v="Juli"/>
    <s v="Division_A"/>
    <x v="8"/>
    <n v="2006"/>
    <n v="6"/>
    <s v="TM-Utama"/>
    <n v="15"/>
    <n v="1866"/>
    <s v="124.4"/>
    <x v="1"/>
    <n v="3.7250000000000001"/>
    <n v="55882"/>
    <n v="55.881999999999998"/>
    <d v="2012-07-01T00:00:00"/>
    <x v="0"/>
    <x v="1"/>
  </r>
  <r>
    <x v="0"/>
    <x v="7"/>
    <s v="Agustus"/>
    <s v="Division_A"/>
    <x v="8"/>
    <n v="2006"/>
    <n v="6"/>
    <s v="TM-Utama"/>
    <n v="15"/>
    <n v="1866"/>
    <s v="124.4"/>
    <x v="1"/>
    <n v="2.931"/>
    <n v="43972.3"/>
    <n v="43.972000000000001"/>
    <d v="2012-08-01T00:00:00"/>
    <x v="0"/>
    <x v="1"/>
  </r>
  <r>
    <x v="0"/>
    <x v="8"/>
    <s v="September"/>
    <s v="Division_A"/>
    <x v="8"/>
    <n v="2006"/>
    <n v="6"/>
    <s v="TM-Utama"/>
    <n v="15"/>
    <n v="1866"/>
    <s v="124.4"/>
    <x v="1"/>
    <n v="2.89"/>
    <n v="43342.5"/>
    <n v="43.343000000000004"/>
    <d v="2012-09-01T00:00:00"/>
    <x v="0"/>
    <x v="1"/>
  </r>
  <r>
    <x v="0"/>
    <x v="9"/>
    <s v="Oktober"/>
    <s v="Division_A"/>
    <x v="8"/>
    <n v="2006"/>
    <n v="6"/>
    <s v="TM-Utama"/>
    <n v="15"/>
    <n v="1866"/>
    <s v="124.4"/>
    <x v="1"/>
    <n v="2.069"/>
    <n v="31040.9"/>
    <n v="31.041"/>
    <d v="2012-10-01T00:00:00"/>
    <x v="0"/>
    <x v="1"/>
  </r>
  <r>
    <x v="0"/>
    <x v="10"/>
    <s v="November"/>
    <s v="Division_A"/>
    <x v="8"/>
    <n v="2006"/>
    <n v="6"/>
    <s v="TM-Utama"/>
    <n v="15"/>
    <n v="1866"/>
    <s v="124.4"/>
    <x v="1"/>
    <n v="2.1989999999999998"/>
    <n v="32986.199999999997"/>
    <n v="32.985999999999997"/>
    <d v="2012-11-01T00:00:00"/>
    <x v="0"/>
    <x v="1"/>
  </r>
  <r>
    <x v="0"/>
    <x v="11"/>
    <s v="Desember"/>
    <s v="Division_A"/>
    <x v="8"/>
    <n v="2006"/>
    <n v="6"/>
    <s v="TM-Utama"/>
    <n v="15"/>
    <n v="1866"/>
    <s v="124.4"/>
    <x v="1"/>
    <n v="2.677"/>
    <n v="40151.699999999997"/>
    <n v="40.152000000000001"/>
    <d v="2012-12-01T00:00:00"/>
    <x v="0"/>
    <x v="1"/>
  </r>
  <r>
    <x v="0"/>
    <x v="0"/>
    <s v="Januari"/>
    <s v="Division_A"/>
    <x v="9"/>
    <n v="2006"/>
    <n v="6"/>
    <s v="TM-Utama"/>
    <n v="25"/>
    <n v="3154"/>
    <s v="126.2"/>
    <x v="1"/>
    <n v="1.9610000000000001"/>
    <n v="49013.2"/>
    <n v="49.012999999999998"/>
    <d v="2012-01-01T00:00:00"/>
    <x v="0"/>
    <x v="1"/>
  </r>
  <r>
    <x v="0"/>
    <x v="1"/>
    <s v="Februari"/>
    <s v="Division_A"/>
    <x v="9"/>
    <n v="2006"/>
    <n v="6"/>
    <s v="TM-Utama"/>
    <n v="25"/>
    <n v="3154"/>
    <s v="126.2"/>
    <x v="1"/>
    <n v="1.6080000000000001"/>
    <n v="40189.800000000003"/>
    <n v="40.19"/>
    <d v="2012-02-01T00:00:00"/>
    <x v="0"/>
    <x v="1"/>
  </r>
  <r>
    <x v="0"/>
    <x v="2"/>
    <s v="Maret"/>
    <s v="Division_A"/>
    <x v="9"/>
    <n v="2006"/>
    <n v="6"/>
    <s v="TM-Utama"/>
    <n v="25"/>
    <n v="3154"/>
    <s v="126.2"/>
    <x v="1"/>
    <n v="1.8280000000000001"/>
    <n v="45701.5"/>
    <n v="45.701000000000001"/>
    <d v="2012-03-01T00:00:00"/>
    <x v="0"/>
    <x v="1"/>
  </r>
  <r>
    <x v="0"/>
    <x v="3"/>
    <s v="April"/>
    <s v="Division_A"/>
    <x v="9"/>
    <n v="2006"/>
    <n v="6"/>
    <s v="TM-Utama"/>
    <n v="25"/>
    <n v="3154"/>
    <s v="126.2"/>
    <x v="1"/>
    <n v="2.2709999999999999"/>
    <n v="56772"/>
    <n v="56.771999999999998"/>
    <d v="2012-04-01T00:00:00"/>
    <x v="0"/>
    <x v="1"/>
  </r>
  <r>
    <x v="0"/>
    <x v="4"/>
    <s v="Mei"/>
    <s v="Division_A"/>
    <x v="9"/>
    <n v="2006"/>
    <n v="6"/>
    <s v="TM-Utama"/>
    <n v="25"/>
    <n v="3154"/>
    <s v="126.2"/>
    <x v="1"/>
    <n v="2.8069999999999999"/>
    <n v="70184.399999999994"/>
    <n v="70.183999999999997"/>
    <d v="2012-05-01T00:00:00"/>
    <x v="0"/>
    <x v="1"/>
  </r>
  <r>
    <x v="0"/>
    <x v="5"/>
    <s v="Juni"/>
    <s v="Division_A"/>
    <x v="9"/>
    <n v="2006"/>
    <n v="6"/>
    <s v="TM-Utama"/>
    <n v="25"/>
    <n v="3154"/>
    <s v="126.2"/>
    <x v="1"/>
    <n v="2.7469999999999999"/>
    <n v="68670.5"/>
    <n v="68.67"/>
    <d v="2012-06-01T00:00:00"/>
    <x v="0"/>
    <x v="1"/>
  </r>
  <r>
    <x v="0"/>
    <x v="6"/>
    <s v="Juli"/>
    <s v="Division_A"/>
    <x v="9"/>
    <n v="2006"/>
    <n v="6"/>
    <s v="TM-Utama"/>
    <n v="25"/>
    <n v="3154"/>
    <s v="126.2"/>
    <x v="1"/>
    <n v="3.778"/>
    <n v="94454.399999999994"/>
    <n v="94.453999999999994"/>
    <d v="2012-07-01T00:00:00"/>
    <x v="0"/>
    <x v="1"/>
  </r>
  <r>
    <x v="0"/>
    <x v="7"/>
    <s v="Agustus"/>
    <s v="Division_A"/>
    <x v="9"/>
    <n v="2006"/>
    <n v="6"/>
    <s v="TM-Utama"/>
    <n v="25"/>
    <n v="3154"/>
    <s v="126.2"/>
    <x v="1"/>
    <n v="2.9729999999999999"/>
    <n v="74324"/>
    <n v="74.323999999999998"/>
    <d v="2012-08-01T00:00:00"/>
    <x v="0"/>
    <x v="1"/>
  </r>
  <r>
    <x v="0"/>
    <x v="8"/>
    <s v="September"/>
    <s v="Division_A"/>
    <x v="9"/>
    <n v="2006"/>
    <n v="6"/>
    <s v="TM-Utama"/>
    <n v="25"/>
    <n v="3154"/>
    <s v="126.2"/>
    <x v="1"/>
    <n v="2.93"/>
    <n v="73259.5"/>
    <n v="73.260000000000005"/>
    <d v="2012-09-01T00:00:00"/>
    <x v="0"/>
    <x v="1"/>
  </r>
  <r>
    <x v="0"/>
    <x v="9"/>
    <s v="Oktober"/>
    <s v="Division_A"/>
    <x v="9"/>
    <n v="2006"/>
    <n v="6"/>
    <s v="TM-Utama"/>
    <n v="25"/>
    <n v="3154"/>
    <s v="126.2"/>
    <x v="1"/>
    <n v="2.0990000000000002"/>
    <n v="52466.8"/>
    <n v="52.466999999999999"/>
    <d v="2012-10-01T00:00:00"/>
    <x v="0"/>
    <x v="1"/>
  </r>
  <r>
    <x v="0"/>
    <x v="10"/>
    <s v="November"/>
    <s v="Division_A"/>
    <x v="9"/>
    <n v="2006"/>
    <n v="6"/>
    <s v="TM-Utama"/>
    <n v="25"/>
    <n v="3154"/>
    <s v="126.2"/>
    <x v="1"/>
    <n v="2.23"/>
    <n v="55754.8"/>
    <n v="55.755000000000003"/>
    <d v="2012-11-01T00:00:00"/>
    <x v="0"/>
    <x v="1"/>
  </r>
  <r>
    <x v="0"/>
    <x v="11"/>
    <s v="Desember"/>
    <s v="Division_A"/>
    <x v="9"/>
    <n v="2006"/>
    <n v="6"/>
    <s v="TM-Utama"/>
    <n v="25"/>
    <n v="3154"/>
    <s v="126.2"/>
    <x v="1"/>
    <n v="2.7149999999999999"/>
    <n v="67866.2"/>
    <n v="67.866"/>
    <d v="2012-12-01T00:00:00"/>
    <x v="0"/>
    <x v="1"/>
  </r>
  <r>
    <x v="0"/>
    <x v="0"/>
    <s v="Januari"/>
    <s v="Division_A"/>
    <x v="10"/>
    <n v="2006"/>
    <n v="6"/>
    <s v="TM-Utama"/>
    <n v="35"/>
    <n v="4204"/>
    <s v="120.1"/>
    <x v="1"/>
    <n v="1.867"/>
    <n v="65330.2"/>
    <n v="65.33"/>
    <d v="2012-01-01T00:00:00"/>
    <x v="0"/>
    <x v="1"/>
  </r>
  <r>
    <x v="0"/>
    <x v="1"/>
    <s v="Februari"/>
    <s v="Division_A"/>
    <x v="10"/>
    <n v="2006"/>
    <n v="6"/>
    <s v="TM-Utama"/>
    <n v="35"/>
    <n v="4204"/>
    <s v="120.1"/>
    <x v="1"/>
    <n v="1.5309999999999999"/>
    <n v="53569.5"/>
    <n v="53.569000000000003"/>
    <d v="2012-02-01T00:00:00"/>
    <x v="0"/>
    <x v="1"/>
  </r>
  <r>
    <x v="0"/>
    <x v="2"/>
    <s v="Maret"/>
    <s v="Division_A"/>
    <x v="10"/>
    <n v="2006"/>
    <n v="6"/>
    <s v="TM-Utama"/>
    <n v="35"/>
    <n v="4204"/>
    <s v="120.1"/>
    <x v="1"/>
    <n v="1.74"/>
    <n v="60916"/>
    <n v="60.915999999999997"/>
    <d v="2012-03-01T00:00:00"/>
    <x v="0"/>
    <x v="1"/>
  </r>
  <r>
    <x v="0"/>
    <x v="3"/>
    <s v="April"/>
    <s v="Division_A"/>
    <x v="10"/>
    <n v="2006"/>
    <n v="6"/>
    <s v="TM-Utama"/>
    <n v="35"/>
    <n v="4204"/>
    <s v="120.1"/>
    <x v="1"/>
    <n v="2.1619999999999999"/>
    <n v="75672"/>
    <n v="75.671999999999997"/>
    <d v="2012-04-01T00:00:00"/>
    <x v="0"/>
    <x v="1"/>
  </r>
  <r>
    <x v="0"/>
    <x v="4"/>
    <s v="Mei"/>
    <s v="Division_A"/>
    <x v="10"/>
    <n v="2006"/>
    <n v="6"/>
    <s v="TM-Utama"/>
    <n v="35"/>
    <n v="4204"/>
    <s v="120.1"/>
    <x v="1"/>
    <n v="2.673"/>
    <n v="93549.5"/>
    <n v="93.55"/>
    <d v="2012-05-01T00:00:00"/>
    <x v="0"/>
    <x v="1"/>
  </r>
  <r>
    <x v="0"/>
    <x v="5"/>
    <s v="Juni"/>
    <s v="Division_A"/>
    <x v="10"/>
    <n v="2006"/>
    <n v="6"/>
    <s v="TM-Utama"/>
    <n v="35"/>
    <n v="4204"/>
    <s v="120.1"/>
    <x v="1"/>
    <n v="2.6150000000000002"/>
    <n v="91531.6"/>
    <n v="91.531999999999996"/>
    <d v="2012-06-01T00:00:00"/>
    <x v="0"/>
    <x v="1"/>
  </r>
  <r>
    <x v="0"/>
    <x v="6"/>
    <s v="Juli"/>
    <s v="Division_A"/>
    <x v="10"/>
    <n v="2006"/>
    <n v="6"/>
    <s v="TM-Utama"/>
    <n v="35"/>
    <n v="4204"/>
    <s v="120.1"/>
    <x v="1"/>
    <n v="3.597"/>
    <n v="125899.3"/>
    <n v="125.899"/>
    <d v="2012-07-01T00:00:00"/>
    <x v="0"/>
    <x v="1"/>
  </r>
  <r>
    <x v="0"/>
    <x v="7"/>
    <s v="Agustus"/>
    <s v="Division_A"/>
    <x v="10"/>
    <n v="2006"/>
    <n v="6"/>
    <s v="TM-Utama"/>
    <n v="35"/>
    <n v="4204"/>
    <s v="120.1"/>
    <x v="1"/>
    <n v="2.83"/>
    <n v="99067.3"/>
    <n v="99.066999999999993"/>
    <d v="2012-08-01T00:00:00"/>
    <x v="0"/>
    <x v="1"/>
  </r>
  <r>
    <x v="0"/>
    <x v="8"/>
    <s v="September"/>
    <s v="Division_A"/>
    <x v="10"/>
    <n v="2006"/>
    <n v="6"/>
    <s v="TM-Utama"/>
    <n v="35"/>
    <n v="4204"/>
    <s v="120.1"/>
    <x v="1"/>
    <n v="2.79"/>
    <n v="97648.4"/>
    <n v="97.647999999999996"/>
    <d v="2012-09-01T00:00:00"/>
    <x v="0"/>
    <x v="1"/>
  </r>
  <r>
    <x v="0"/>
    <x v="9"/>
    <s v="Oktober"/>
    <s v="Division_A"/>
    <x v="10"/>
    <n v="2006"/>
    <n v="6"/>
    <s v="TM-Utama"/>
    <n v="35"/>
    <n v="4204"/>
    <s v="120.1"/>
    <x v="1"/>
    <n v="1.998"/>
    <n v="69933.5"/>
    <n v="69.933999999999997"/>
    <d v="2012-10-01T00:00:00"/>
    <x v="0"/>
    <x v="1"/>
  </r>
  <r>
    <x v="0"/>
    <x v="10"/>
    <s v="November"/>
    <s v="Division_A"/>
    <x v="10"/>
    <n v="2006"/>
    <n v="6"/>
    <s v="TM-Utama"/>
    <n v="35"/>
    <n v="4204"/>
    <s v="120.1"/>
    <x v="1"/>
    <n v="2.1230000000000002"/>
    <n v="74316.2"/>
    <n v="74.316000000000003"/>
    <d v="2012-11-01T00:00:00"/>
    <x v="0"/>
    <x v="1"/>
  </r>
  <r>
    <x v="0"/>
    <x v="11"/>
    <s v="Desember"/>
    <s v="Division_A"/>
    <x v="10"/>
    <n v="2006"/>
    <n v="6"/>
    <s v="TM-Utama"/>
    <n v="35"/>
    <n v="4204"/>
    <s v="120.1"/>
    <x v="1"/>
    <n v="2.585"/>
    <n v="90459.6"/>
    <n v="90.46"/>
    <d v="2012-12-01T00:00:00"/>
    <x v="0"/>
    <x v="1"/>
  </r>
  <r>
    <x v="0"/>
    <x v="0"/>
    <s v="Januari"/>
    <s v="Division_A"/>
    <x v="11"/>
    <n v="2012"/>
    <n v="0"/>
    <s v="TBM"/>
    <n v="10"/>
    <n v="1434"/>
    <s v="143.4"/>
    <x v="1"/>
    <n v="0"/>
    <n v="0"/>
    <n v="0"/>
    <d v="2012-01-01T00:00:00"/>
    <x v="1"/>
    <x v="2"/>
  </r>
  <r>
    <x v="0"/>
    <x v="1"/>
    <s v="Februari"/>
    <s v="Division_A"/>
    <x v="11"/>
    <n v="2012"/>
    <n v="0"/>
    <s v="TBM"/>
    <n v="10"/>
    <n v="1434"/>
    <s v="143.4"/>
    <x v="1"/>
    <n v="0"/>
    <n v="0"/>
    <n v="0"/>
    <d v="2012-02-01T00:00:00"/>
    <x v="1"/>
    <x v="2"/>
  </r>
  <r>
    <x v="0"/>
    <x v="2"/>
    <s v="Maret"/>
    <s v="Division_A"/>
    <x v="11"/>
    <n v="2012"/>
    <n v="0"/>
    <s v="TBM"/>
    <n v="10"/>
    <n v="1434"/>
    <s v="143.4"/>
    <x v="1"/>
    <n v="0"/>
    <n v="0"/>
    <n v="0"/>
    <d v="2012-03-01T00:00:00"/>
    <x v="1"/>
    <x v="2"/>
  </r>
  <r>
    <x v="0"/>
    <x v="3"/>
    <s v="April"/>
    <s v="Division_A"/>
    <x v="11"/>
    <n v="2012"/>
    <n v="0"/>
    <s v="TBM"/>
    <n v="10"/>
    <n v="1434"/>
    <s v="143.4"/>
    <x v="1"/>
    <n v="0"/>
    <n v="0"/>
    <n v="0"/>
    <d v="2012-04-01T00:00:00"/>
    <x v="1"/>
    <x v="2"/>
  </r>
  <r>
    <x v="0"/>
    <x v="4"/>
    <s v="Mei"/>
    <s v="Division_A"/>
    <x v="11"/>
    <n v="2012"/>
    <n v="0"/>
    <s v="TBM"/>
    <n v="10"/>
    <n v="1434"/>
    <s v="143.4"/>
    <x v="1"/>
    <n v="0"/>
    <n v="0"/>
    <n v="0"/>
    <d v="2012-05-01T00:00:00"/>
    <x v="1"/>
    <x v="2"/>
  </r>
  <r>
    <x v="0"/>
    <x v="5"/>
    <s v="Juni"/>
    <s v="Division_A"/>
    <x v="11"/>
    <n v="2012"/>
    <n v="0"/>
    <s v="TBM"/>
    <n v="10"/>
    <n v="1434"/>
    <s v="143.4"/>
    <x v="1"/>
    <n v="0"/>
    <n v="0"/>
    <n v="0"/>
    <d v="2012-06-01T00:00:00"/>
    <x v="1"/>
    <x v="2"/>
  </r>
  <r>
    <x v="0"/>
    <x v="6"/>
    <s v="Juli"/>
    <s v="Division_A"/>
    <x v="11"/>
    <n v="2012"/>
    <n v="0"/>
    <s v="TBM"/>
    <n v="10"/>
    <n v="1434"/>
    <s v="143.4"/>
    <x v="1"/>
    <n v="0"/>
    <n v="0"/>
    <n v="0"/>
    <d v="2012-07-01T00:00:00"/>
    <x v="1"/>
    <x v="2"/>
  </r>
  <r>
    <x v="0"/>
    <x v="7"/>
    <s v="Agustus"/>
    <s v="Division_A"/>
    <x v="11"/>
    <n v="2012"/>
    <n v="0"/>
    <s v="TBM"/>
    <n v="10"/>
    <n v="1434"/>
    <s v="143.4"/>
    <x v="1"/>
    <n v="0"/>
    <n v="0"/>
    <n v="0"/>
    <d v="2012-08-01T00:00:00"/>
    <x v="1"/>
    <x v="2"/>
  </r>
  <r>
    <x v="0"/>
    <x v="8"/>
    <s v="September"/>
    <s v="Division_A"/>
    <x v="11"/>
    <n v="2012"/>
    <n v="0"/>
    <s v="TBM"/>
    <n v="10"/>
    <n v="1434"/>
    <s v="143.4"/>
    <x v="1"/>
    <n v="0"/>
    <n v="0"/>
    <n v="0"/>
    <d v="2012-09-01T00:00:00"/>
    <x v="1"/>
    <x v="2"/>
  </r>
  <r>
    <x v="0"/>
    <x v="9"/>
    <s v="Oktober"/>
    <s v="Division_A"/>
    <x v="11"/>
    <n v="2012"/>
    <n v="0"/>
    <s v="TBM"/>
    <n v="10"/>
    <n v="1434"/>
    <s v="143.4"/>
    <x v="1"/>
    <n v="0"/>
    <n v="0"/>
    <n v="0"/>
    <d v="2012-10-01T00:00:00"/>
    <x v="1"/>
    <x v="2"/>
  </r>
  <r>
    <x v="0"/>
    <x v="10"/>
    <s v="November"/>
    <s v="Division_A"/>
    <x v="11"/>
    <n v="2012"/>
    <n v="0"/>
    <s v="TBM"/>
    <n v="10"/>
    <n v="1434"/>
    <s v="143.4"/>
    <x v="1"/>
    <n v="0"/>
    <n v="0"/>
    <n v="0"/>
    <d v="2012-11-01T00:00:00"/>
    <x v="1"/>
    <x v="2"/>
  </r>
  <r>
    <x v="0"/>
    <x v="11"/>
    <s v="Desember"/>
    <s v="Division_A"/>
    <x v="11"/>
    <n v="2012"/>
    <n v="0"/>
    <s v="TBM"/>
    <n v="10"/>
    <n v="1434"/>
    <s v="143.4"/>
    <x v="1"/>
    <n v="0"/>
    <n v="0"/>
    <n v="0"/>
    <d v="2012-12-01T00:00:00"/>
    <x v="1"/>
    <x v="2"/>
  </r>
  <r>
    <x v="0"/>
    <x v="0"/>
    <s v="Januari"/>
    <s v="Division_A"/>
    <x v="12"/>
    <n v="2012"/>
    <n v="0"/>
    <s v="TBM"/>
    <n v="24"/>
    <n v="3074"/>
    <s v="128.1"/>
    <x v="2"/>
    <n v="0"/>
    <n v="0"/>
    <n v="0"/>
    <d v="2012-01-01T00:00:00"/>
    <x v="1"/>
    <x v="2"/>
  </r>
  <r>
    <x v="0"/>
    <x v="1"/>
    <s v="Februari"/>
    <s v="Division_A"/>
    <x v="12"/>
    <n v="2012"/>
    <n v="0"/>
    <s v="TBM"/>
    <n v="24"/>
    <n v="3074"/>
    <s v="128.1"/>
    <x v="2"/>
    <n v="0"/>
    <n v="0"/>
    <n v="0"/>
    <d v="2012-02-01T00:00:00"/>
    <x v="1"/>
    <x v="2"/>
  </r>
  <r>
    <x v="0"/>
    <x v="2"/>
    <s v="Maret"/>
    <s v="Division_A"/>
    <x v="12"/>
    <n v="2012"/>
    <n v="0"/>
    <s v="TBM"/>
    <n v="24"/>
    <n v="3074"/>
    <s v="128.1"/>
    <x v="2"/>
    <n v="0"/>
    <n v="0"/>
    <n v="0"/>
    <d v="2012-03-01T00:00:00"/>
    <x v="1"/>
    <x v="2"/>
  </r>
  <r>
    <x v="0"/>
    <x v="3"/>
    <s v="April"/>
    <s v="Division_A"/>
    <x v="12"/>
    <n v="2012"/>
    <n v="0"/>
    <s v="TBM"/>
    <n v="24"/>
    <n v="3074"/>
    <s v="128.1"/>
    <x v="2"/>
    <n v="0"/>
    <n v="0"/>
    <n v="0"/>
    <d v="2012-04-01T00:00:00"/>
    <x v="1"/>
    <x v="2"/>
  </r>
  <r>
    <x v="0"/>
    <x v="4"/>
    <s v="Mei"/>
    <s v="Division_A"/>
    <x v="12"/>
    <n v="2012"/>
    <n v="0"/>
    <s v="TBM"/>
    <n v="24"/>
    <n v="3074"/>
    <s v="128.1"/>
    <x v="2"/>
    <n v="0"/>
    <n v="0"/>
    <n v="0"/>
    <d v="2012-05-01T00:00:00"/>
    <x v="1"/>
    <x v="2"/>
  </r>
  <r>
    <x v="0"/>
    <x v="5"/>
    <s v="Juni"/>
    <s v="Division_A"/>
    <x v="12"/>
    <n v="2012"/>
    <n v="0"/>
    <s v="TBM"/>
    <n v="24"/>
    <n v="3074"/>
    <s v="128.1"/>
    <x v="2"/>
    <n v="0"/>
    <n v="0"/>
    <n v="0"/>
    <d v="2012-06-01T00:00:00"/>
    <x v="1"/>
    <x v="2"/>
  </r>
  <r>
    <x v="0"/>
    <x v="6"/>
    <s v="Juli"/>
    <s v="Division_A"/>
    <x v="12"/>
    <n v="2012"/>
    <n v="0"/>
    <s v="TBM"/>
    <n v="24"/>
    <n v="3074"/>
    <s v="128.1"/>
    <x v="2"/>
    <n v="0"/>
    <n v="0"/>
    <n v="0"/>
    <d v="2012-07-01T00:00:00"/>
    <x v="1"/>
    <x v="2"/>
  </r>
  <r>
    <x v="0"/>
    <x v="7"/>
    <s v="Agustus"/>
    <s v="Division_A"/>
    <x v="12"/>
    <n v="2012"/>
    <n v="0"/>
    <s v="TBM"/>
    <n v="24"/>
    <n v="3074"/>
    <s v="128.1"/>
    <x v="2"/>
    <n v="0"/>
    <n v="0"/>
    <n v="0"/>
    <d v="2012-08-01T00:00:00"/>
    <x v="1"/>
    <x v="2"/>
  </r>
  <r>
    <x v="0"/>
    <x v="8"/>
    <s v="September"/>
    <s v="Division_A"/>
    <x v="12"/>
    <n v="2012"/>
    <n v="0"/>
    <s v="TBM"/>
    <n v="24"/>
    <n v="3074"/>
    <s v="128.1"/>
    <x v="2"/>
    <n v="0"/>
    <n v="0"/>
    <n v="0"/>
    <d v="2012-09-01T00:00:00"/>
    <x v="1"/>
    <x v="2"/>
  </r>
  <r>
    <x v="0"/>
    <x v="9"/>
    <s v="Oktober"/>
    <s v="Division_A"/>
    <x v="12"/>
    <n v="2012"/>
    <n v="0"/>
    <s v="TBM"/>
    <n v="24"/>
    <n v="3074"/>
    <s v="128.1"/>
    <x v="2"/>
    <n v="0"/>
    <n v="0"/>
    <n v="0"/>
    <d v="2012-10-01T00:00:00"/>
    <x v="1"/>
    <x v="2"/>
  </r>
  <r>
    <x v="0"/>
    <x v="10"/>
    <s v="November"/>
    <s v="Division_A"/>
    <x v="12"/>
    <n v="2012"/>
    <n v="0"/>
    <s v="TBM"/>
    <n v="24"/>
    <n v="3074"/>
    <s v="128.1"/>
    <x v="2"/>
    <n v="0"/>
    <n v="0"/>
    <n v="0"/>
    <d v="2012-11-01T00:00:00"/>
    <x v="1"/>
    <x v="2"/>
  </r>
  <r>
    <x v="0"/>
    <x v="11"/>
    <s v="Desember"/>
    <s v="Division_A"/>
    <x v="12"/>
    <n v="2012"/>
    <n v="0"/>
    <s v="TBM"/>
    <n v="24"/>
    <n v="3074"/>
    <s v="128.1"/>
    <x v="2"/>
    <n v="0"/>
    <n v="0"/>
    <n v="0"/>
    <d v="2012-12-01T00:00:00"/>
    <x v="1"/>
    <x v="2"/>
  </r>
  <r>
    <x v="0"/>
    <x v="0"/>
    <s v="Januari"/>
    <s v="Division_A"/>
    <x v="13"/>
    <n v="2012"/>
    <n v="0"/>
    <s v="TBM"/>
    <n v="19"/>
    <n v="2418"/>
    <s v="127.3"/>
    <x v="2"/>
    <n v="0"/>
    <n v="0"/>
    <n v="0"/>
    <d v="2012-01-01T00:00:00"/>
    <x v="1"/>
    <x v="2"/>
  </r>
  <r>
    <x v="0"/>
    <x v="1"/>
    <s v="Februari"/>
    <s v="Division_A"/>
    <x v="13"/>
    <n v="2012"/>
    <n v="0"/>
    <s v="TBM"/>
    <n v="19"/>
    <n v="2418"/>
    <s v="127.3"/>
    <x v="2"/>
    <n v="0"/>
    <n v="0"/>
    <n v="0"/>
    <d v="2012-02-01T00:00:00"/>
    <x v="1"/>
    <x v="2"/>
  </r>
  <r>
    <x v="0"/>
    <x v="2"/>
    <s v="Maret"/>
    <s v="Division_A"/>
    <x v="13"/>
    <n v="2012"/>
    <n v="0"/>
    <s v="TBM"/>
    <n v="19"/>
    <n v="2418"/>
    <s v="127.3"/>
    <x v="2"/>
    <n v="0"/>
    <n v="0"/>
    <n v="0"/>
    <d v="2012-03-01T00:00:00"/>
    <x v="1"/>
    <x v="2"/>
  </r>
  <r>
    <x v="0"/>
    <x v="3"/>
    <s v="April"/>
    <s v="Division_A"/>
    <x v="13"/>
    <n v="2012"/>
    <n v="0"/>
    <s v="TBM"/>
    <n v="19"/>
    <n v="2418"/>
    <s v="127.3"/>
    <x v="2"/>
    <n v="0"/>
    <n v="0"/>
    <n v="0"/>
    <d v="2012-04-01T00:00:00"/>
    <x v="1"/>
    <x v="2"/>
  </r>
  <r>
    <x v="0"/>
    <x v="4"/>
    <s v="Mei"/>
    <s v="Division_A"/>
    <x v="13"/>
    <n v="2012"/>
    <n v="0"/>
    <s v="TBM"/>
    <n v="19"/>
    <n v="2418"/>
    <s v="127.3"/>
    <x v="2"/>
    <n v="0"/>
    <n v="0"/>
    <n v="0"/>
    <d v="2012-05-01T00:00:00"/>
    <x v="1"/>
    <x v="2"/>
  </r>
  <r>
    <x v="0"/>
    <x v="5"/>
    <s v="Juni"/>
    <s v="Division_A"/>
    <x v="13"/>
    <n v="2012"/>
    <n v="0"/>
    <s v="TBM"/>
    <n v="19"/>
    <n v="2418"/>
    <s v="127.3"/>
    <x v="2"/>
    <n v="0"/>
    <n v="0"/>
    <n v="0"/>
    <d v="2012-06-01T00:00:00"/>
    <x v="1"/>
    <x v="2"/>
  </r>
  <r>
    <x v="0"/>
    <x v="6"/>
    <s v="Juli"/>
    <s v="Division_A"/>
    <x v="13"/>
    <n v="2012"/>
    <n v="0"/>
    <s v="TBM"/>
    <n v="19"/>
    <n v="2418"/>
    <s v="127.3"/>
    <x v="2"/>
    <n v="0"/>
    <n v="0"/>
    <n v="0"/>
    <d v="2012-07-01T00:00:00"/>
    <x v="1"/>
    <x v="2"/>
  </r>
  <r>
    <x v="0"/>
    <x v="7"/>
    <s v="Agustus"/>
    <s v="Division_A"/>
    <x v="13"/>
    <n v="2012"/>
    <n v="0"/>
    <s v="TBM"/>
    <n v="19"/>
    <n v="2418"/>
    <s v="127.3"/>
    <x v="2"/>
    <n v="0"/>
    <n v="0"/>
    <n v="0"/>
    <d v="2012-08-01T00:00:00"/>
    <x v="1"/>
    <x v="2"/>
  </r>
  <r>
    <x v="0"/>
    <x v="8"/>
    <s v="September"/>
    <s v="Division_A"/>
    <x v="13"/>
    <n v="2012"/>
    <n v="0"/>
    <s v="TBM"/>
    <n v="19"/>
    <n v="2418"/>
    <s v="127.3"/>
    <x v="2"/>
    <n v="0"/>
    <n v="0"/>
    <n v="0"/>
    <d v="2012-09-01T00:00:00"/>
    <x v="1"/>
    <x v="2"/>
  </r>
  <r>
    <x v="0"/>
    <x v="9"/>
    <s v="Oktober"/>
    <s v="Division_A"/>
    <x v="13"/>
    <n v="2012"/>
    <n v="0"/>
    <s v="TBM"/>
    <n v="19"/>
    <n v="2418"/>
    <s v="127.3"/>
    <x v="2"/>
    <n v="0"/>
    <n v="0"/>
    <n v="0"/>
    <d v="2012-10-01T00:00:00"/>
    <x v="1"/>
    <x v="2"/>
  </r>
  <r>
    <x v="0"/>
    <x v="10"/>
    <s v="November"/>
    <s v="Division_A"/>
    <x v="13"/>
    <n v="2012"/>
    <n v="0"/>
    <s v="TBM"/>
    <n v="19"/>
    <n v="2418"/>
    <s v="127.3"/>
    <x v="2"/>
    <n v="0"/>
    <n v="0"/>
    <n v="0"/>
    <d v="2012-11-01T00:00:00"/>
    <x v="1"/>
    <x v="2"/>
  </r>
  <r>
    <x v="0"/>
    <x v="11"/>
    <s v="Desember"/>
    <s v="Division_A"/>
    <x v="13"/>
    <n v="2012"/>
    <n v="0"/>
    <s v="TBM"/>
    <n v="19"/>
    <n v="2418"/>
    <s v="127.3"/>
    <x v="2"/>
    <n v="0"/>
    <n v="0"/>
    <n v="0"/>
    <d v="2012-12-01T00:00:00"/>
    <x v="1"/>
    <x v="2"/>
  </r>
  <r>
    <x v="0"/>
    <x v="0"/>
    <s v="Januari"/>
    <s v="Division_A"/>
    <x v="14"/>
    <n v="2012"/>
    <n v="0"/>
    <s v="TBM"/>
    <n v="25"/>
    <n v="3205"/>
    <s v="128.2"/>
    <x v="2"/>
    <n v="0"/>
    <n v="0"/>
    <n v="0"/>
    <d v="2012-01-01T00:00:00"/>
    <x v="1"/>
    <x v="2"/>
  </r>
  <r>
    <x v="0"/>
    <x v="1"/>
    <s v="Februari"/>
    <s v="Division_A"/>
    <x v="14"/>
    <n v="2012"/>
    <n v="0"/>
    <s v="TBM"/>
    <n v="25"/>
    <n v="3205"/>
    <s v="128.2"/>
    <x v="2"/>
    <n v="0"/>
    <n v="0"/>
    <n v="0"/>
    <d v="2012-02-01T00:00:00"/>
    <x v="1"/>
    <x v="2"/>
  </r>
  <r>
    <x v="0"/>
    <x v="2"/>
    <s v="Maret"/>
    <s v="Division_A"/>
    <x v="14"/>
    <n v="2012"/>
    <n v="0"/>
    <s v="TBM"/>
    <n v="25"/>
    <n v="3205"/>
    <s v="128.2"/>
    <x v="2"/>
    <n v="0"/>
    <n v="0"/>
    <n v="0"/>
    <d v="2012-03-01T00:00:00"/>
    <x v="1"/>
    <x v="2"/>
  </r>
  <r>
    <x v="0"/>
    <x v="3"/>
    <s v="April"/>
    <s v="Division_A"/>
    <x v="14"/>
    <n v="2012"/>
    <n v="0"/>
    <s v="TBM"/>
    <n v="25"/>
    <n v="3205"/>
    <s v="128.2"/>
    <x v="2"/>
    <n v="0"/>
    <n v="0"/>
    <n v="0"/>
    <d v="2012-04-01T00:00:00"/>
    <x v="1"/>
    <x v="2"/>
  </r>
  <r>
    <x v="0"/>
    <x v="4"/>
    <s v="Mei"/>
    <s v="Division_A"/>
    <x v="14"/>
    <n v="2012"/>
    <n v="0"/>
    <s v="TBM"/>
    <n v="25"/>
    <n v="3205"/>
    <s v="128.2"/>
    <x v="2"/>
    <n v="0"/>
    <n v="0"/>
    <n v="0"/>
    <d v="2012-05-01T00:00:00"/>
    <x v="1"/>
    <x v="2"/>
  </r>
  <r>
    <x v="0"/>
    <x v="5"/>
    <s v="Juni"/>
    <s v="Division_A"/>
    <x v="14"/>
    <n v="2012"/>
    <n v="0"/>
    <s v="TBM"/>
    <n v="25"/>
    <n v="3205"/>
    <s v="128.2"/>
    <x v="2"/>
    <n v="0"/>
    <n v="0"/>
    <n v="0"/>
    <d v="2012-06-01T00:00:00"/>
    <x v="1"/>
    <x v="2"/>
  </r>
  <r>
    <x v="0"/>
    <x v="6"/>
    <s v="Juli"/>
    <s v="Division_A"/>
    <x v="14"/>
    <n v="2012"/>
    <n v="0"/>
    <s v="TBM"/>
    <n v="25"/>
    <n v="3205"/>
    <s v="128.2"/>
    <x v="2"/>
    <n v="0"/>
    <n v="0"/>
    <n v="0"/>
    <d v="2012-07-01T00:00:00"/>
    <x v="1"/>
    <x v="2"/>
  </r>
  <r>
    <x v="0"/>
    <x v="7"/>
    <s v="Agustus"/>
    <s v="Division_A"/>
    <x v="14"/>
    <n v="2012"/>
    <n v="0"/>
    <s v="TBM"/>
    <n v="25"/>
    <n v="3205"/>
    <s v="128.2"/>
    <x v="2"/>
    <n v="0"/>
    <n v="0"/>
    <n v="0"/>
    <d v="2012-08-01T00:00:00"/>
    <x v="1"/>
    <x v="2"/>
  </r>
  <r>
    <x v="0"/>
    <x v="8"/>
    <s v="September"/>
    <s v="Division_A"/>
    <x v="14"/>
    <n v="2012"/>
    <n v="0"/>
    <s v="TBM"/>
    <n v="25"/>
    <n v="3205"/>
    <s v="128.2"/>
    <x v="2"/>
    <n v="0"/>
    <n v="0"/>
    <n v="0"/>
    <d v="2012-09-01T00:00:00"/>
    <x v="1"/>
    <x v="2"/>
  </r>
  <r>
    <x v="0"/>
    <x v="9"/>
    <s v="Oktober"/>
    <s v="Division_A"/>
    <x v="14"/>
    <n v="2012"/>
    <n v="0"/>
    <s v="TBM"/>
    <n v="25"/>
    <n v="3205"/>
    <s v="128.2"/>
    <x v="2"/>
    <n v="0"/>
    <n v="0"/>
    <n v="0"/>
    <d v="2012-10-01T00:00:00"/>
    <x v="1"/>
    <x v="2"/>
  </r>
  <r>
    <x v="0"/>
    <x v="10"/>
    <s v="November"/>
    <s v="Division_A"/>
    <x v="14"/>
    <n v="2012"/>
    <n v="0"/>
    <s v="TBM"/>
    <n v="25"/>
    <n v="3205"/>
    <s v="128.2"/>
    <x v="2"/>
    <n v="0"/>
    <n v="0"/>
    <n v="0"/>
    <d v="2012-11-01T00:00:00"/>
    <x v="1"/>
    <x v="2"/>
  </r>
  <r>
    <x v="0"/>
    <x v="11"/>
    <s v="Desember"/>
    <s v="Division_A"/>
    <x v="14"/>
    <n v="2012"/>
    <n v="0"/>
    <s v="TBM"/>
    <n v="25"/>
    <n v="3205"/>
    <s v="128.2"/>
    <x v="2"/>
    <n v="0"/>
    <n v="0"/>
    <n v="0"/>
    <d v="2012-12-01T00:00:00"/>
    <x v="1"/>
    <x v="2"/>
  </r>
  <r>
    <x v="0"/>
    <x v="0"/>
    <s v="Januari"/>
    <s v="Division_A"/>
    <x v="15"/>
    <n v="2012"/>
    <n v="0"/>
    <s v="TBM"/>
    <n v="19"/>
    <n v="2469"/>
    <s v="129.9"/>
    <x v="1"/>
    <n v="0"/>
    <n v="0"/>
    <n v="0"/>
    <d v="2012-01-01T00:00:00"/>
    <x v="1"/>
    <x v="2"/>
  </r>
  <r>
    <x v="0"/>
    <x v="1"/>
    <s v="Februari"/>
    <s v="Division_A"/>
    <x v="15"/>
    <n v="2012"/>
    <n v="0"/>
    <s v="TBM"/>
    <n v="19"/>
    <n v="2469"/>
    <s v="129.9"/>
    <x v="1"/>
    <n v="0"/>
    <n v="0"/>
    <n v="0"/>
    <d v="2012-02-01T00:00:00"/>
    <x v="1"/>
    <x v="2"/>
  </r>
  <r>
    <x v="0"/>
    <x v="2"/>
    <s v="Maret"/>
    <s v="Division_A"/>
    <x v="15"/>
    <n v="2012"/>
    <n v="0"/>
    <s v="TBM"/>
    <n v="19"/>
    <n v="2469"/>
    <s v="129.9"/>
    <x v="1"/>
    <n v="0"/>
    <n v="0"/>
    <n v="0"/>
    <d v="2012-03-01T00:00:00"/>
    <x v="1"/>
    <x v="2"/>
  </r>
  <r>
    <x v="0"/>
    <x v="3"/>
    <s v="April"/>
    <s v="Division_A"/>
    <x v="15"/>
    <n v="2012"/>
    <n v="0"/>
    <s v="TBM"/>
    <n v="19"/>
    <n v="2469"/>
    <s v="129.9"/>
    <x v="1"/>
    <n v="0"/>
    <n v="0"/>
    <n v="0"/>
    <d v="2012-04-01T00:00:00"/>
    <x v="1"/>
    <x v="2"/>
  </r>
  <r>
    <x v="0"/>
    <x v="4"/>
    <s v="Mei"/>
    <s v="Division_A"/>
    <x v="15"/>
    <n v="2012"/>
    <n v="0"/>
    <s v="TBM"/>
    <n v="19"/>
    <n v="2469"/>
    <s v="129.9"/>
    <x v="1"/>
    <n v="0"/>
    <n v="0"/>
    <n v="0"/>
    <d v="2012-05-01T00:00:00"/>
    <x v="1"/>
    <x v="2"/>
  </r>
  <r>
    <x v="0"/>
    <x v="5"/>
    <s v="Juni"/>
    <s v="Division_A"/>
    <x v="15"/>
    <n v="2012"/>
    <n v="0"/>
    <s v="TBM"/>
    <n v="19"/>
    <n v="2469"/>
    <s v="129.9"/>
    <x v="1"/>
    <n v="0"/>
    <n v="0"/>
    <n v="0"/>
    <d v="2012-06-01T00:00:00"/>
    <x v="1"/>
    <x v="2"/>
  </r>
  <r>
    <x v="0"/>
    <x v="6"/>
    <s v="Juli"/>
    <s v="Division_A"/>
    <x v="15"/>
    <n v="2012"/>
    <n v="0"/>
    <s v="TBM"/>
    <n v="19"/>
    <n v="2469"/>
    <s v="129.9"/>
    <x v="1"/>
    <n v="0"/>
    <n v="0"/>
    <n v="0"/>
    <d v="2012-07-01T00:00:00"/>
    <x v="1"/>
    <x v="2"/>
  </r>
  <r>
    <x v="0"/>
    <x v="7"/>
    <s v="Agustus"/>
    <s v="Division_A"/>
    <x v="15"/>
    <n v="2012"/>
    <n v="0"/>
    <s v="TBM"/>
    <n v="19"/>
    <n v="2469"/>
    <s v="129.9"/>
    <x v="1"/>
    <n v="0"/>
    <n v="0"/>
    <n v="0"/>
    <d v="2012-08-01T00:00:00"/>
    <x v="1"/>
    <x v="2"/>
  </r>
  <r>
    <x v="0"/>
    <x v="8"/>
    <s v="September"/>
    <s v="Division_A"/>
    <x v="15"/>
    <n v="2012"/>
    <n v="0"/>
    <s v="TBM"/>
    <n v="19"/>
    <n v="2469"/>
    <s v="129.9"/>
    <x v="1"/>
    <n v="0"/>
    <n v="0"/>
    <n v="0"/>
    <d v="2012-09-01T00:00:00"/>
    <x v="1"/>
    <x v="2"/>
  </r>
  <r>
    <x v="0"/>
    <x v="9"/>
    <s v="Oktober"/>
    <s v="Division_A"/>
    <x v="15"/>
    <n v="2012"/>
    <n v="0"/>
    <s v="TBM"/>
    <n v="19"/>
    <n v="2469"/>
    <s v="129.9"/>
    <x v="1"/>
    <n v="0"/>
    <n v="0"/>
    <n v="0"/>
    <d v="2012-10-01T00:00:00"/>
    <x v="1"/>
    <x v="2"/>
  </r>
  <r>
    <x v="0"/>
    <x v="10"/>
    <s v="November"/>
    <s v="Division_A"/>
    <x v="15"/>
    <n v="2012"/>
    <n v="0"/>
    <s v="TBM"/>
    <n v="19"/>
    <n v="2469"/>
    <s v="129.9"/>
    <x v="1"/>
    <n v="0"/>
    <n v="0"/>
    <n v="0"/>
    <d v="2012-11-01T00:00:00"/>
    <x v="1"/>
    <x v="2"/>
  </r>
  <r>
    <x v="0"/>
    <x v="11"/>
    <s v="Desember"/>
    <s v="Division_A"/>
    <x v="15"/>
    <n v="2012"/>
    <n v="0"/>
    <s v="TBM"/>
    <n v="19"/>
    <n v="2469"/>
    <s v="129.9"/>
    <x v="1"/>
    <n v="0"/>
    <n v="0"/>
    <n v="0"/>
    <d v="2012-12-01T00:00:00"/>
    <x v="1"/>
    <x v="2"/>
  </r>
  <r>
    <x v="0"/>
    <x v="0"/>
    <s v="Januari"/>
    <s v="Division_A"/>
    <x v="16"/>
    <n v="2012"/>
    <n v="0"/>
    <s v="TBM"/>
    <n v="20"/>
    <n v="2704"/>
    <s v="135.2"/>
    <x v="2"/>
    <n v="0"/>
    <n v="0"/>
    <n v="0"/>
    <d v="2012-01-01T00:00:00"/>
    <x v="1"/>
    <x v="2"/>
  </r>
  <r>
    <x v="0"/>
    <x v="1"/>
    <s v="Februari"/>
    <s v="Division_A"/>
    <x v="16"/>
    <n v="2012"/>
    <n v="0"/>
    <s v="TBM"/>
    <n v="20"/>
    <n v="2704"/>
    <s v="135.2"/>
    <x v="2"/>
    <n v="0"/>
    <n v="0"/>
    <n v="0"/>
    <d v="2012-02-01T00:00:00"/>
    <x v="1"/>
    <x v="2"/>
  </r>
  <r>
    <x v="0"/>
    <x v="2"/>
    <s v="Maret"/>
    <s v="Division_A"/>
    <x v="16"/>
    <n v="2012"/>
    <n v="0"/>
    <s v="TBM"/>
    <n v="20"/>
    <n v="2704"/>
    <s v="135.2"/>
    <x v="2"/>
    <n v="0"/>
    <n v="0"/>
    <n v="0"/>
    <d v="2012-03-01T00:00:00"/>
    <x v="1"/>
    <x v="2"/>
  </r>
  <r>
    <x v="0"/>
    <x v="3"/>
    <s v="April"/>
    <s v="Division_A"/>
    <x v="16"/>
    <n v="2012"/>
    <n v="0"/>
    <s v="TBM"/>
    <n v="20"/>
    <n v="2704"/>
    <s v="135.2"/>
    <x v="2"/>
    <n v="0"/>
    <n v="0"/>
    <n v="0"/>
    <d v="2012-04-01T00:00:00"/>
    <x v="1"/>
    <x v="2"/>
  </r>
  <r>
    <x v="0"/>
    <x v="4"/>
    <s v="Mei"/>
    <s v="Division_A"/>
    <x v="16"/>
    <n v="2012"/>
    <n v="0"/>
    <s v="TBM"/>
    <n v="20"/>
    <n v="2704"/>
    <s v="135.2"/>
    <x v="2"/>
    <n v="0"/>
    <n v="0"/>
    <n v="0"/>
    <d v="2012-05-01T00:00:00"/>
    <x v="1"/>
    <x v="2"/>
  </r>
  <r>
    <x v="0"/>
    <x v="5"/>
    <s v="Juni"/>
    <s v="Division_A"/>
    <x v="16"/>
    <n v="2012"/>
    <n v="0"/>
    <s v="TBM"/>
    <n v="20"/>
    <n v="2704"/>
    <s v="135.2"/>
    <x v="2"/>
    <n v="0"/>
    <n v="0"/>
    <n v="0"/>
    <d v="2012-06-01T00:00:00"/>
    <x v="1"/>
    <x v="2"/>
  </r>
  <r>
    <x v="0"/>
    <x v="6"/>
    <s v="Juli"/>
    <s v="Division_A"/>
    <x v="16"/>
    <n v="2012"/>
    <n v="0"/>
    <s v="TBM"/>
    <n v="20"/>
    <n v="2704"/>
    <s v="135.2"/>
    <x v="2"/>
    <n v="0"/>
    <n v="0"/>
    <n v="0"/>
    <d v="2012-07-01T00:00:00"/>
    <x v="1"/>
    <x v="2"/>
  </r>
  <r>
    <x v="0"/>
    <x v="7"/>
    <s v="Agustus"/>
    <s v="Division_A"/>
    <x v="16"/>
    <n v="2012"/>
    <n v="0"/>
    <s v="TBM"/>
    <n v="20"/>
    <n v="2704"/>
    <s v="135.2"/>
    <x v="2"/>
    <n v="0"/>
    <n v="0"/>
    <n v="0"/>
    <d v="2012-08-01T00:00:00"/>
    <x v="1"/>
    <x v="2"/>
  </r>
  <r>
    <x v="0"/>
    <x v="8"/>
    <s v="September"/>
    <s v="Division_A"/>
    <x v="16"/>
    <n v="2012"/>
    <n v="0"/>
    <s v="TBM"/>
    <n v="20"/>
    <n v="2704"/>
    <s v="135.2"/>
    <x v="2"/>
    <n v="0"/>
    <n v="0"/>
    <n v="0"/>
    <d v="2012-09-01T00:00:00"/>
    <x v="1"/>
    <x v="2"/>
  </r>
  <r>
    <x v="0"/>
    <x v="9"/>
    <s v="Oktober"/>
    <s v="Division_A"/>
    <x v="16"/>
    <n v="2012"/>
    <n v="0"/>
    <s v="TBM"/>
    <n v="20"/>
    <n v="2704"/>
    <s v="135.2"/>
    <x v="2"/>
    <n v="0"/>
    <n v="0"/>
    <n v="0"/>
    <d v="2012-10-01T00:00:00"/>
    <x v="1"/>
    <x v="2"/>
  </r>
  <r>
    <x v="0"/>
    <x v="10"/>
    <s v="November"/>
    <s v="Division_A"/>
    <x v="16"/>
    <n v="2012"/>
    <n v="0"/>
    <s v="TBM"/>
    <n v="20"/>
    <n v="2704"/>
    <s v="135.2"/>
    <x v="2"/>
    <n v="0"/>
    <n v="0"/>
    <n v="0"/>
    <d v="2012-11-01T00:00:00"/>
    <x v="1"/>
    <x v="2"/>
  </r>
  <r>
    <x v="0"/>
    <x v="11"/>
    <s v="Desember"/>
    <s v="Division_A"/>
    <x v="16"/>
    <n v="2012"/>
    <n v="0"/>
    <s v="TBM"/>
    <n v="20"/>
    <n v="2704"/>
    <s v="135.2"/>
    <x v="2"/>
    <n v="0"/>
    <n v="0"/>
    <n v="0"/>
    <d v="2012-12-01T00:00:00"/>
    <x v="1"/>
    <x v="2"/>
  </r>
  <r>
    <x v="0"/>
    <x v="0"/>
    <s v="Januari"/>
    <s v="Division_A"/>
    <x v="17"/>
    <n v="2012"/>
    <n v="0"/>
    <s v="TBM"/>
    <n v="14"/>
    <n v="1833"/>
    <s v="130.9"/>
    <x v="2"/>
    <n v="0"/>
    <n v="0"/>
    <n v="0"/>
    <d v="2012-01-01T00:00:00"/>
    <x v="1"/>
    <x v="2"/>
  </r>
  <r>
    <x v="0"/>
    <x v="1"/>
    <s v="Februari"/>
    <s v="Division_A"/>
    <x v="17"/>
    <n v="2012"/>
    <n v="0"/>
    <s v="TBM"/>
    <n v="14"/>
    <n v="1833"/>
    <s v="130.9"/>
    <x v="2"/>
    <n v="0"/>
    <n v="0"/>
    <n v="0"/>
    <d v="2012-02-01T00:00:00"/>
    <x v="1"/>
    <x v="2"/>
  </r>
  <r>
    <x v="0"/>
    <x v="2"/>
    <s v="Maret"/>
    <s v="Division_A"/>
    <x v="17"/>
    <n v="2012"/>
    <n v="0"/>
    <s v="TBM"/>
    <n v="14"/>
    <n v="1833"/>
    <s v="130.9"/>
    <x v="2"/>
    <n v="0"/>
    <n v="0"/>
    <n v="0"/>
    <d v="2012-03-01T00:00:00"/>
    <x v="1"/>
    <x v="2"/>
  </r>
  <r>
    <x v="0"/>
    <x v="3"/>
    <s v="April"/>
    <s v="Division_A"/>
    <x v="17"/>
    <n v="2012"/>
    <n v="0"/>
    <s v="TBM"/>
    <n v="14"/>
    <n v="1833"/>
    <s v="130.9"/>
    <x v="2"/>
    <n v="0"/>
    <n v="0"/>
    <n v="0"/>
    <d v="2012-04-01T00:00:00"/>
    <x v="1"/>
    <x v="2"/>
  </r>
  <r>
    <x v="0"/>
    <x v="4"/>
    <s v="Mei"/>
    <s v="Division_A"/>
    <x v="17"/>
    <n v="2012"/>
    <n v="0"/>
    <s v="TBM"/>
    <n v="14"/>
    <n v="1833"/>
    <s v="130.9"/>
    <x v="2"/>
    <n v="0"/>
    <n v="0"/>
    <n v="0"/>
    <d v="2012-05-01T00:00:00"/>
    <x v="1"/>
    <x v="2"/>
  </r>
  <r>
    <x v="0"/>
    <x v="5"/>
    <s v="Juni"/>
    <s v="Division_A"/>
    <x v="17"/>
    <n v="2012"/>
    <n v="0"/>
    <s v="TBM"/>
    <n v="14"/>
    <n v="1833"/>
    <s v="130.9"/>
    <x v="2"/>
    <n v="0"/>
    <n v="0"/>
    <n v="0"/>
    <d v="2012-06-01T00:00:00"/>
    <x v="1"/>
    <x v="2"/>
  </r>
  <r>
    <x v="0"/>
    <x v="6"/>
    <s v="Juli"/>
    <s v="Division_A"/>
    <x v="17"/>
    <n v="2012"/>
    <n v="0"/>
    <s v="TBM"/>
    <n v="14"/>
    <n v="1833"/>
    <s v="130.9"/>
    <x v="2"/>
    <n v="0"/>
    <n v="0"/>
    <n v="0"/>
    <d v="2012-07-01T00:00:00"/>
    <x v="1"/>
    <x v="2"/>
  </r>
  <r>
    <x v="0"/>
    <x v="7"/>
    <s v="Agustus"/>
    <s v="Division_A"/>
    <x v="17"/>
    <n v="2012"/>
    <n v="0"/>
    <s v="TBM"/>
    <n v="14"/>
    <n v="1833"/>
    <s v="130.9"/>
    <x v="2"/>
    <n v="0"/>
    <n v="0"/>
    <n v="0"/>
    <d v="2012-08-01T00:00:00"/>
    <x v="1"/>
    <x v="2"/>
  </r>
  <r>
    <x v="0"/>
    <x v="8"/>
    <s v="September"/>
    <s v="Division_A"/>
    <x v="17"/>
    <n v="2012"/>
    <n v="0"/>
    <s v="TBM"/>
    <n v="14"/>
    <n v="1833"/>
    <s v="130.9"/>
    <x v="2"/>
    <n v="0"/>
    <n v="0"/>
    <n v="0"/>
    <d v="2012-09-01T00:00:00"/>
    <x v="1"/>
    <x v="2"/>
  </r>
  <r>
    <x v="0"/>
    <x v="9"/>
    <s v="Oktober"/>
    <s v="Division_A"/>
    <x v="17"/>
    <n v="2012"/>
    <n v="0"/>
    <s v="TBM"/>
    <n v="14"/>
    <n v="1833"/>
    <s v="130.9"/>
    <x v="2"/>
    <n v="0"/>
    <n v="0"/>
    <n v="0"/>
    <d v="2012-10-01T00:00:00"/>
    <x v="1"/>
    <x v="2"/>
  </r>
  <r>
    <x v="0"/>
    <x v="10"/>
    <s v="November"/>
    <s v="Division_A"/>
    <x v="17"/>
    <n v="2012"/>
    <n v="0"/>
    <s v="TBM"/>
    <n v="14"/>
    <n v="1833"/>
    <s v="130.9"/>
    <x v="2"/>
    <n v="0"/>
    <n v="0"/>
    <n v="0"/>
    <d v="2012-11-01T00:00:00"/>
    <x v="1"/>
    <x v="2"/>
  </r>
  <r>
    <x v="0"/>
    <x v="11"/>
    <s v="Desember"/>
    <s v="Division_A"/>
    <x v="17"/>
    <n v="2012"/>
    <n v="0"/>
    <s v="TBM"/>
    <n v="14"/>
    <n v="1833"/>
    <s v="130.9"/>
    <x v="2"/>
    <n v="0"/>
    <n v="0"/>
    <n v="0"/>
    <d v="2012-12-01T00:00:00"/>
    <x v="1"/>
    <x v="2"/>
  </r>
  <r>
    <x v="0"/>
    <x v="0"/>
    <s v="Januari"/>
    <s v="Division_A"/>
    <x v="18"/>
    <n v="2012"/>
    <n v="0"/>
    <s v="TBM"/>
    <n v="20"/>
    <n v="1990"/>
    <s v="99.5"/>
    <x v="2"/>
    <n v="0"/>
    <n v="0"/>
    <n v="0"/>
    <d v="2012-01-01T00:00:00"/>
    <x v="1"/>
    <x v="2"/>
  </r>
  <r>
    <x v="0"/>
    <x v="1"/>
    <s v="Februari"/>
    <s v="Division_A"/>
    <x v="18"/>
    <n v="2012"/>
    <n v="0"/>
    <s v="TBM"/>
    <n v="20"/>
    <n v="1990"/>
    <s v="99.5"/>
    <x v="2"/>
    <n v="0"/>
    <n v="0"/>
    <n v="0"/>
    <d v="2012-02-01T00:00:00"/>
    <x v="1"/>
    <x v="2"/>
  </r>
  <r>
    <x v="0"/>
    <x v="2"/>
    <s v="Maret"/>
    <s v="Division_A"/>
    <x v="18"/>
    <n v="2012"/>
    <n v="0"/>
    <s v="TBM"/>
    <n v="20"/>
    <n v="1990"/>
    <s v="99.5"/>
    <x v="2"/>
    <n v="0"/>
    <n v="0"/>
    <n v="0"/>
    <d v="2012-03-01T00:00:00"/>
    <x v="1"/>
    <x v="2"/>
  </r>
  <r>
    <x v="0"/>
    <x v="3"/>
    <s v="April"/>
    <s v="Division_A"/>
    <x v="18"/>
    <n v="2012"/>
    <n v="0"/>
    <s v="TBM"/>
    <n v="20"/>
    <n v="1990"/>
    <s v="99.5"/>
    <x v="2"/>
    <n v="0"/>
    <n v="0"/>
    <n v="0"/>
    <d v="2012-04-01T00:00:00"/>
    <x v="1"/>
    <x v="2"/>
  </r>
  <r>
    <x v="0"/>
    <x v="4"/>
    <s v="Mei"/>
    <s v="Division_A"/>
    <x v="18"/>
    <n v="2012"/>
    <n v="0"/>
    <s v="TBM"/>
    <n v="20"/>
    <n v="1990"/>
    <s v="99.5"/>
    <x v="2"/>
    <n v="0"/>
    <n v="0"/>
    <n v="0"/>
    <d v="2012-05-01T00:00:00"/>
    <x v="1"/>
    <x v="2"/>
  </r>
  <r>
    <x v="0"/>
    <x v="5"/>
    <s v="Juni"/>
    <s v="Division_A"/>
    <x v="18"/>
    <n v="2012"/>
    <n v="0"/>
    <s v="TBM"/>
    <n v="20"/>
    <n v="1990"/>
    <s v="99.5"/>
    <x v="2"/>
    <n v="0"/>
    <n v="0"/>
    <n v="0"/>
    <d v="2012-06-01T00:00:00"/>
    <x v="1"/>
    <x v="2"/>
  </r>
  <r>
    <x v="0"/>
    <x v="6"/>
    <s v="Juli"/>
    <s v="Division_A"/>
    <x v="18"/>
    <n v="2012"/>
    <n v="0"/>
    <s v="TBM"/>
    <n v="20"/>
    <n v="1990"/>
    <s v="99.5"/>
    <x v="2"/>
    <n v="0"/>
    <n v="0"/>
    <n v="0"/>
    <d v="2012-07-01T00:00:00"/>
    <x v="1"/>
    <x v="2"/>
  </r>
  <r>
    <x v="0"/>
    <x v="7"/>
    <s v="Agustus"/>
    <s v="Division_A"/>
    <x v="18"/>
    <n v="2012"/>
    <n v="0"/>
    <s v="TBM"/>
    <n v="20"/>
    <n v="1990"/>
    <s v="99.5"/>
    <x v="2"/>
    <n v="0"/>
    <n v="0"/>
    <n v="0"/>
    <d v="2012-08-01T00:00:00"/>
    <x v="1"/>
    <x v="2"/>
  </r>
  <r>
    <x v="0"/>
    <x v="8"/>
    <s v="September"/>
    <s v="Division_A"/>
    <x v="18"/>
    <n v="2012"/>
    <n v="0"/>
    <s v="TBM"/>
    <n v="20"/>
    <n v="1990"/>
    <s v="99.5"/>
    <x v="2"/>
    <n v="0"/>
    <n v="0"/>
    <n v="0"/>
    <d v="2012-09-01T00:00:00"/>
    <x v="1"/>
    <x v="2"/>
  </r>
  <r>
    <x v="0"/>
    <x v="9"/>
    <s v="Oktober"/>
    <s v="Division_A"/>
    <x v="18"/>
    <n v="2012"/>
    <n v="0"/>
    <s v="TBM"/>
    <n v="20"/>
    <n v="1990"/>
    <s v="99.5"/>
    <x v="2"/>
    <n v="0"/>
    <n v="0"/>
    <n v="0"/>
    <d v="2012-10-01T00:00:00"/>
    <x v="1"/>
    <x v="2"/>
  </r>
  <r>
    <x v="0"/>
    <x v="10"/>
    <s v="November"/>
    <s v="Division_A"/>
    <x v="18"/>
    <n v="2012"/>
    <n v="0"/>
    <s v="TBM"/>
    <n v="20"/>
    <n v="1990"/>
    <s v="99.5"/>
    <x v="2"/>
    <n v="0"/>
    <n v="0"/>
    <n v="0"/>
    <d v="2012-11-01T00:00:00"/>
    <x v="1"/>
    <x v="2"/>
  </r>
  <r>
    <x v="0"/>
    <x v="11"/>
    <s v="Desember"/>
    <s v="Division_A"/>
    <x v="18"/>
    <n v="2012"/>
    <n v="0"/>
    <s v="TBM"/>
    <n v="20"/>
    <n v="1990"/>
    <s v="99.5"/>
    <x v="2"/>
    <n v="0"/>
    <n v="0"/>
    <n v="0"/>
    <d v="2012-12-01T00:00:00"/>
    <x v="1"/>
    <x v="2"/>
  </r>
  <r>
    <x v="0"/>
    <x v="0"/>
    <s v="Januari"/>
    <s v="Division_A"/>
    <x v="19"/>
    <n v="2012"/>
    <n v="0"/>
    <s v="TBM"/>
    <n v="22"/>
    <n v="2606"/>
    <s v="118.5"/>
    <x v="2"/>
    <n v="0"/>
    <n v="0"/>
    <n v="0"/>
    <d v="2012-01-01T00:00:00"/>
    <x v="1"/>
    <x v="2"/>
  </r>
  <r>
    <x v="0"/>
    <x v="1"/>
    <s v="Februari"/>
    <s v="Division_A"/>
    <x v="19"/>
    <n v="2012"/>
    <n v="0"/>
    <s v="TBM"/>
    <n v="22"/>
    <n v="2606"/>
    <s v="118.5"/>
    <x v="2"/>
    <n v="0"/>
    <n v="0"/>
    <n v="0"/>
    <d v="2012-02-01T00:00:00"/>
    <x v="1"/>
    <x v="2"/>
  </r>
  <r>
    <x v="0"/>
    <x v="2"/>
    <s v="Maret"/>
    <s v="Division_A"/>
    <x v="19"/>
    <n v="2012"/>
    <n v="0"/>
    <s v="TBM"/>
    <n v="22"/>
    <n v="2606"/>
    <s v="118.5"/>
    <x v="2"/>
    <n v="0"/>
    <n v="0"/>
    <n v="0"/>
    <d v="2012-03-01T00:00:00"/>
    <x v="1"/>
    <x v="2"/>
  </r>
  <r>
    <x v="0"/>
    <x v="3"/>
    <s v="April"/>
    <s v="Division_A"/>
    <x v="19"/>
    <n v="2012"/>
    <n v="0"/>
    <s v="TBM"/>
    <n v="22"/>
    <n v="2606"/>
    <s v="118.5"/>
    <x v="2"/>
    <n v="0"/>
    <n v="0"/>
    <n v="0"/>
    <d v="2012-04-01T00:00:00"/>
    <x v="1"/>
    <x v="2"/>
  </r>
  <r>
    <x v="0"/>
    <x v="4"/>
    <s v="Mei"/>
    <s v="Division_A"/>
    <x v="19"/>
    <n v="2012"/>
    <n v="0"/>
    <s v="TBM"/>
    <n v="22"/>
    <n v="2606"/>
    <s v="118.5"/>
    <x v="2"/>
    <n v="0"/>
    <n v="0"/>
    <n v="0"/>
    <d v="2012-05-01T00:00:00"/>
    <x v="1"/>
    <x v="2"/>
  </r>
  <r>
    <x v="0"/>
    <x v="5"/>
    <s v="Juni"/>
    <s v="Division_A"/>
    <x v="19"/>
    <n v="2012"/>
    <n v="0"/>
    <s v="TBM"/>
    <n v="22"/>
    <n v="2606"/>
    <s v="118.5"/>
    <x v="2"/>
    <n v="0"/>
    <n v="0"/>
    <n v="0"/>
    <d v="2012-06-01T00:00:00"/>
    <x v="1"/>
    <x v="2"/>
  </r>
  <r>
    <x v="0"/>
    <x v="6"/>
    <s v="Juli"/>
    <s v="Division_A"/>
    <x v="19"/>
    <n v="2012"/>
    <n v="0"/>
    <s v="TBM"/>
    <n v="22"/>
    <n v="2606"/>
    <s v="118.5"/>
    <x v="2"/>
    <n v="0"/>
    <n v="0"/>
    <n v="0"/>
    <d v="2012-07-01T00:00:00"/>
    <x v="1"/>
    <x v="2"/>
  </r>
  <r>
    <x v="0"/>
    <x v="7"/>
    <s v="Agustus"/>
    <s v="Division_A"/>
    <x v="19"/>
    <n v="2012"/>
    <n v="0"/>
    <s v="TBM"/>
    <n v="22"/>
    <n v="2606"/>
    <s v="118.5"/>
    <x v="2"/>
    <n v="0"/>
    <n v="0"/>
    <n v="0"/>
    <d v="2012-08-01T00:00:00"/>
    <x v="1"/>
    <x v="2"/>
  </r>
  <r>
    <x v="0"/>
    <x v="8"/>
    <s v="September"/>
    <s v="Division_A"/>
    <x v="19"/>
    <n v="2012"/>
    <n v="0"/>
    <s v="TBM"/>
    <n v="22"/>
    <n v="2606"/>
    <s v="118.5"/>
    <x v="2"/>
    <n v="0"/>
    <n v="0"/>
    <n v="0"/>
    <d v="2012-09-01T00:00:00"/>
    <x v="1"/>
    <x v="2"/>
  </r>
  <r>
    <x v="0"/>
    <x v="9"/>
    <s v="Oktober"/>
    <s v="Division_A"/>
    <x v="19"/>
    <n v="2012"/>
    <n v="0"/>
    <s v="TBM"/>
    <n v="22"/>
    <n v="2606"/>
    <s v="118.5"/>
    <x v="2"/>
    <n v="0"/>
    <n v="0"/>
    <n v="0"/>
    <d v="2012-10-01T00:00:00"/>
    <x v="1"/>
    <x v="2"/>
  </r>
  <r>
    <x v="0"/>
    <x v="10"/>
    <s v="November"/>
    <s v="Division_A"/>
    <x v="19"/>
    <n v="2012"/>
    <n v="0"/>
    <s v="TBM"/>
    <n v="22"/>
    <n v="2606"/>
    <s v="118.5"/>
    <x v="2"/>
    <n v="0"/>
    <n v="0"/>
    <n v="0"/>
    <d v="2012-11-01T00:00:00"/>
    <x v="1"/>
    <x v="2"/>
  </r>
  <r>
    <x v="0"/>
    <x v="11"/>
    <s v="Desember"/>
    <s v="Division_A"/>
    <x v="19"/>
    <n v="2012"/>
    <n v="0"/>
    <s v="TBM"/>
    <n v="22"/>
    <n v="2606"/>
    <s v="118.5"/>
    <x v="2"/>
    <n v="0"/>
    <n v="0"/>
    <n v="0"/>
    <d v="2012-12-01T00:00:00"/>
    <x v="1"/>
    <x v="2"/>
  </r>
  <r>
    <x v="0"/>
    <x v="0"/>
    <s v="Januari"/>
    <s v="Division_A"/>
    <x v="20"/>
    <n v="2012"/>
    <n v="0"/>
    <s v="TBM"/>
    <n v="22"/>
    <n v="2683"/>
    <s v="122"/>
    <x v="1"/>
    <n v="0"/>
    <n v="0"/>
    <n v="0"/>
    <d v="2012-01-01T00:00:00"/>
    <x v="1"/>
    <x v="2"/>
  </r>
  <r>
    <x v="0"/>
    <x v="1"/>
    <s v="Februari"/>
    <s v="Division_A"/>
    <x v="20"/>
    <n v="2012"/>
    <n v="0"/>
    <s v="TBM"/>
    <n v="22"/>
    <n v="2683"/>
    <s v="122"/>
    <x v="1"/>
    <n v="0"/>
    <n v="0"/>
    <n v="0"/>
    <d v="2012-02-01T00:00:00"/>
    <x v="1"/>
    <x v="2"/>
  </r>
  <r>
    <x v="0"/>
    <x v="2"/>
    <s v="Maret"/>
    <s v="Division_A"/>
    <x v="20"/>
    <n v="2012"/>
    <n v="0"/>
    <s v="TBM"/>
    <n v="22"/>
    <n v="2683"/>
    <s v="122"/>
    <x v="1"/>
    <n v="0"/>
    <n v="0"/>
    <n v="0"/>
    <d v="2012-03-01T00:00:00"/>
    <x v="1"/>
    <x v="2"/>
  </r>
  <r>
    <x v="0"/>
    <x v="3"/>
    <s v="April"/>
    <s v="Division_A"/>
    <x v="20"/>
    <n v="2012"/>
    <n v="0"/>
    <s v="TBM"/>
    <n v="22"/>
    <n v="2683"/>
    <s v="122"/>
    <x v="1"/>
    <n v="0"/>
    <n v="0"/>
    <n v="0"/>
    <d v="2012-04-01T00:00:00"/>
    <x v="1"/>
    <x v="2"/>
  </r>
  <r>
    <x v="0"/>
    <x v="4"/>
    <s v="Mei"/>
    <s v="Division_A"/>
    <x v="20"/>
    <n v="2012"/>
    <n v="0"/>
    <s v="TBM"/>
    <n v="22"/>
    <n v="2683"/>
    <s v="122"/>
    <x v="1"/>
    <n v="0"/>
    <n v="0"/>
    <n v="0"/>
    <d v="2012-05-01T00:00:00"/>
    <x v="1"/>
    <x v="2"/>
  </r>
  <r>
    <x v="0"/>
    <x v="5"/>
    <s v="Juni"/>
    <s v="Division_A"/>
    <x v="20"/>
    <n v="2012"/>
    <n v="0"/>
    <s v="TBM"/>
    <n v="22"/>
    <n v="2683"/>
    <s v="122"/>
    <x v="1"/>
    <n v="0"/>
    <n v="0"/>
    <n v="0"/>
    <d v="2012-06-01T00:00:00"/>
    <x v="1"/>
    <x v="2"/>
  </r>
  <r>
    <x v="0"/>
    <x v="6"/>
    <s v="Juli"/>
    <s v="Division_A"/>
    <x v="20"/>
    <n v="2012"/>
    <n v="0"/>
    <s v="TBM"/>
    <n v="22"/>
    <n v="2683"/>
    <s v="122"/>
    <x v="1"/>
    <n v="0"/>
    <n v="0"/>
    <n v="0"/>
    <d v="2012-07-01T00:00:00"/>
    <x v="1"/>
    <x v="2"/>
  </r>
  <r>
    <x v="0"/>
    <x v="7"/>
    <s v="Agustus"/>
    <s v="Division_A"/>
    <x v="20"/>
    <n v="2012"/>
    <n v="0"/>
    <s v="TBM"/>
    <n v="22"/>
    <n v="2683"/>
    <s v="122"/>
    <x v="1"/>
    <n v="0"/>
    <n v="0"/>
    <n v="0"/>
    <d v="2012-08-01T00:00:00"/>
    <x v="1"/>
    <x v="2"/>
  </r>
  <r>
    <x v="0"/>
    <x v="8"/>
    <s v="September"/>
    <s v="Division_A"/>
    <x v="20"/>
    <n v="2012"/>
    <n v="0"/>
    <s v="TBM"/>
    <n v="22"/>
    <n v="2683"/>
    <s v="122"/>
    <x v="1"/>
    <n v="0"/>
    <n v="0"/>
    <n v="0"/>
    <d v="2012-09-01T00:00:00"/>
    <x v="1"/>
    <x v="2"/>
  </r>
  <r>
    <x v="0"/>
    <x v="9"/>
    <s v="Oktober"/>
    <s v="Division_A"/>
    <x v="20"/>
    <n v="2012"/>
    <n v="0"/>
    <s v="TBM"/>
    <n v="22"/>
    <n v="2683"/>
    <s v="122"/>
    <x v="1"/>
    <n v="0"/>
    <n v="0"/>
    <n v="0"/>
    <d v="2012-10-01T00:00:00"/>
    <x v="1"/>
    <x v="2"/>
  </r>
  <r>
    <x v="0"/>
    <x v="10"/>
    <s v="November"/>
    <s v="Division_A"/>
    <x v="20"/>
    <n v="2012"/>
    <n v="0"/>
    <s v="TBM"/>
    <n v="22"/>
    <n v="2683"/>
    <s v="122"/>
    <x v="1"/>
    <n v="0"/>
    <n v="0"/>
    <n v="0"/>
    <d v="2012-11-01T00:00:00"/>
    <x v="1"/>
    <x v="2"/>
  </r>
  <r>
    <x v="0"/>
    <x v="11"/>
    <s v="Desember"/>
    <s v="Division_A"/>
    <x v="20"/>
    <n v="2012"/>
    <n v="0"/>
    <s v="TBM"/>
    <n v="22"/>
    <n v="2683"/>
    <s v="122"/>
    <x v="1"/>
    <n v="0"/>
    <n v="0"/>
    <n v="0"/>
    <d v="2012-12-01T00:00:00"/>
    <x v="1"/>
    <x v="2"/>
  </r>
  <r>
    <x v="0"/>
    <x v="0"/>
    <s v="Januari"/>
    <s v="Division_A"/>
    <x v="21"/>
    <n v="2012"/>
    <n v="0"/>
    <s v="TBM"/>
    <n v="28"/>
    <n v="3483"/>
    <s v="124.4"/>
    <x v="1"/>
    <n v="0"/>
    <n v="0"/>
    <n v="0"/>
    <d v="2012-01-01T00:00:00"/>
    <x v="1"/>
    <x v="2"/>
  </r>
  <r>
    <x v="0"/>
    <x v="1"/>
    <s v="Februari"/>
    <s v="Division_A"/>
    <x v="21"/>
    <n v="2012"/>
    <n v="0"/>
    <s v="TBM"/>
    <n v="28"/>
    <n v="3483"/>
    <s v="124.4"/>
    <x v="1"/>
    <n v="0"/>
    <n v="0"/>
    <n v="0"/>
    <d v="2012-02-01T00:00:00"/>
    <x v="1"/>
    <x v="2"/>
  </r>
  <r>
    <x v="0"/>
    <x v="2"/>
    <s v="Maret"/>
    <s v="Division_A"/>
    <x v="21"/>
    <n v="2012"/>
    <n v="0"/>
    <s v="TBM"/>
    <n v="28"/>
    <n v="3483"/>
    <s v="124.4"/>
    <x v="1"/>
    <n v="0"/>
    <n v="0"/>
    <n v="0"/>
    <d v="2012-03-01T00:00:00"/>
    <x v="1"/>
    <x v="2"/>
  </r>
  <r>
    <x v="0"/>
    <x v="3"/>
    <s v="April"/>
    <s v="Division_A"/>
    <x v="21"/>
    <n v="2012"/>
    <n v="0"/>
    <s v="TBM"/>
    <n v="28"/>
    <n v="3483"/>
    <s v="124.4"/>
    <x v="1"/>
    <n v="0"/>
    <n v="0"/>
    <n v="0"/>
    <d v="2012-04-01T00:00:00"/>
    <x v="1"/>
    <x v="2"/>
  </r>
  <r>
    <x v="0"/>
    <x v="4"/>
    <s v="Mei"/>
    <s v="Division_A"/>
    <x v="21"/>
    <n v="2012"/>
    <n v="0"/>
    <s v="TBM"/>
    <n v="28"/>
    <n v="3483"/>
    <s v="124.4"/>
    <x v="1"/>
    <n v="0"/>
    <n v="0"/>
    <n v="0"/>
    <d v="2012-05-01T00:00:00"/>
    <x v="1"/>
    <x v="2"/>
  </r>
  <r>
    <x v="0"/>
    <x v="5"/>
    <s v="Juni"/>
    <s v="Division_A"/>
    <x v="21"/>
    <n v="2012"/>
    <n v="0"/>
    <s v="TBM"/>
    <n v="28"/>
    <n v="3483"/>
    <s v="124.4"/>
    <x v="1"/>
    <n v="0"/>
    <n v="0"/>
    <n v="0"/>
    <d v="2012-06-01T00:00:00"/>
    <x v="1"/>
    <x v="2"/>
  </r>
  <r>
    <x v="0"/>
    <x v="6"/>
    <s v="Juli"/>
    <s v="Division_A"/>
    <x v="21"/>
    <n v="2012"/>
    <n v="0"/>
    <s v="TBM"/>
    <n v="28"/>
    <n v="3483"/>
    <s v="124.4"/>
    <x v="1"/>
    <n v="0"/>
    <n v="0"/>
    <n v="0"/>
    <d v="2012-07-01T00:00:00"/>
    <x v="1"/>
    <x v="2"/>
  </r>
  <r>
    <x v="0"/>
    <x v="7"/>
    <s v="Agustus"/>
    <s v="Division_A"/>
    <x v="21"/>
    <n v="2012"/>
    <n v="0"/>
    <s v="TBM"/>
    <n v="28"/>
    <n v="3483"/>
    <s v="124.4"/>
    <x v="1"/>
    <n v="0"/>
    <n v="0"/>
    <n v="0"/>
    <d v="2012-08-01T00:00:00"/>
    <x v="1"/>
    <x v="2"/>
  </r>
  <r>
    <x v="0"/>
    <x v="8"/>
    <s v="September"/>
    <s v="Division_A"/>
    <x v="21"/>
    <n v="2012"/>
    <n v="0"/>
    <s v="TBM"/>
    <n v="28"/>
    <n v="3483"/>
    <s v="124.4"/>
    <x v="1"/>
    <n v="0"/>
    <n v="0"/>
    <n v="0"/>
    <d v="2012-09-01T00:00:00"/>
    <x v="1"/>
    <x v="2"/>
  </r>
  <r>
    <x v="0"/>
    <x v="9"/>
    <s v="Oktober"/>
    <s v="Division_A"/>
    <x v="21"/>
    <n v="2012"/>
    <n v="0"/>
    <s v="TBM"/>
    <n v="28"/>
    <n v="3483"/>
    <s v="124.4"/>
    <x v="1"/>
    <n v="0"/>
    <n v="0"/>
    <n v="0"/>
    <d v="2012-10-01T00:00:00"/>
    <x v="1"/>
    <x v="2"/>
  </r>
  <r>
    <x v="0"/>
    <x v="10"/>
    <s v="November"/>
    <s v="Division_A"/>
    <x v="21"/>
    <n v="2012"/>
    <n v="0"/>
    <s v="TBM"/>
    <n v="28"/>
    <n v="3483"/>
    <s v="124.4"/>
    <x v="1"/>
    <n v="0"/>
    <n v="0"/>
    <n v="0"/>
    <d v="2012-11-01T00:00:00"/>
    <x v="1"/>
    <x v="2"/>
  </r>
  <r>
    <x v="0"/>
    <x v="11"/>
    <s v="Desember"/>
    <s v="Division_A"/>
    <x v="21"/>
    <n v="2012"/>
    <n v="0"/>
    <s v="TBM"/>
    <n v="28"/>
    <n v="3483"/>
    <s v="124.4"/>
    <x v="1"/>
    <n v="0"/>
    <n v="0"/>
    <n v="0"/>
    <d v="2012-12-01T00:00:00"/>
    <x v="1"/>
    <x v="2"/>
  </r>
  <r>
    <x v="0"/>
    <x v="0"/>
    <s v="Januari"/>
    <s v="Division_A"/>
    <x v="22"/>
    <n v="2013"/>
    <n v="0"/>
    <s v="TBM"/>
    <n v="24"/>
    <n v="2678"/>
    <s v="111.6"/>
    <x v="1"/>
    <n v="0"/>
    <n v="0"/>
    <n v="0"/>
    <d v="2012-01-01T00:00:00"/>
    <x v="1"/>
    <x v="2"/>
  </r>
  <r>
    <x v="0"/>
    <x v="1"/>
    <s v="Februari"/>
    <s v="Division_A"/>
    <x v="22"/>
    <n v="2013"/>
    <n v="0"/>
    <s v="TBM"/>
    <n v="24"/>
    <n v="2678"/>
    <s v="111.6"/>
    <x v="1"/>
    <n v="0"/>
    <n v="0"/>
    <n v="0"/>
    <d v="2012-02-01T00:00:00"/>
    <x v="1"/>
    <x v="2"/>
  </r>
  <r>
    <x v="0"/>
    <x v="2"/>
    <s v="Maret"/>
    <s v="Division_A"/>
    <x v="22"/>
    <n v="2013"/>
    <n v="0"/>
    <s v="TBM"/>
    <n v="24"/>
    <n v="2678"/>
    <s v="111.6"/>
    <x v="1"/>
    <n v="0"/>
    <n v="0"/>
    <n v="0"/>
    <d v="2012-03-01T00:00:00"/>
    <x v="1"/>
    <x v="2"/>
  </r>
  <r>
    <x v="0"/>
    <x v="3"/>
    <s v="April"/>
    <s v="Division_A"/>
    <x v="22"/>
    <n v="2013"/>
    <n v="0"/>
    <s v="TBM"/>
    <n v="24"/>
    <n v="2678"/>
    <s v="111.6"/>
    <x v="1"/>
    <n v="0"/>
    <n v="0"/>
    <n v="0"/>
    <d v="2012-04-01T00:00:00"/>
    <x v="1"/>
    <x v="2"/>
  </r>
  <r>
    <x v="0"/>
    <x v="4"/>
    <s v="Mei"/>
    <s v="Division_A"/>
    <x v="22"/>
    <n v="2013"/>
    <n v="0"/>
    <s v="TBM"/>
    <n v="24"/>
    <n v="2678"/>
    <s v="111.6"/>
    <x v="1"/>
    <n v="0"/>
    <n v="0"/>
    <n v="0"/>
    <d v="2012-05-01T00:00:00"/>
    <x v="1"/>
    <x v="2"/>
  </r>
  <r>
    <x v="0"/>
    <x v="5"/>
    <s v="Juni"/>
    <s v="Division_A"/>
    <x v="22"/>
    <n v="2013"/>
    <n v="0"/>
    <s v="TBM"/>
    <n v="24"/>
    <n v="2678"/>
    <s v="111.6"/>
    <x v="1"/>
    <n v="0"/>
    <n v="0"/>
    <n v="0"/>
    <d v="2012-06-01T00:00:00"/>
    <x v="1"/>
    <x v="2"/>
  </r>
  <r>
    <x v="0"/>
    <x v="6"/>
    <s v="Juli"/>
    <s v="Division_A"/>
    <x v="22"/>
    <n v="2013"/>
    <n v="0"/>
    <s v="TBM"/>
    <n v="24"/>
    <n v="2678"/>
    <s v="111.6"/>
    <x v="1"/>
    <n v="0"/>
    <n v="0"/>
    <n v="0"/>
    <d v="2012-07-01T00:00:00"/>
    <x v="1"/>
    <x v="2"/>
  </r>
  <r>
    <x v="0"/>
    <x v="7"/>
    <s v="Agustus"/>
    <s v="Division_A"/>
    <x v="22"/>
    <n v="2013"/>
    <n v="0"/>
    <s v="TBM"/>
    <n v="24"/>
    <n v="2678"/>
    <s v="111.6"/>
    <x v="1"/>
    <n v="0"/>
    <n v="0"/>
    <n v="0"/>
    <d v="2012-08-01T00:00:00"/>
    <x v="1"/>
    <x v="2"/>
  </r>
  <r>
    <x v="0"/>
    <x v="8"/>
    <s v="September"/>
    <s v="Division_A"/>
    <x v="22"/>
    <n v="2013"/>
    <n v="0"/>
    <s v="TBM"/>
    <n v="24"/>
    <n v="2678"/>
    <s v="111.6"/>
    <x v="1"/>
    <n v="0"/>
    <n v="0"/>
    <n v="0"/>
    <d v="2012-09-01T00:00:00"/>
    <x v="1"/>
    <x v="2"/>
  </r>
  <r>
    <x v="0"/>
    <x v="9"/>
    <s v="Oktober"/>
    <s v="Division_A"/>
    <x v="22"/>
    <n v="2013"/>
    <n v="0"/>
    <s v="TBM"/>
    <n v="24"/>
    <n v="2678"/>
    <s v="111.6"/>
    <x v="1"/>
    <n v="0"/>
    <n v="0"/>
    <n v="0"/>
    <d v="2012-10-01T00:00:00"/>
    <x v="1"/>
    <x v="2"/>
  </r>
  <r>
    <x v="0"/>
    <x v="10"/>
    <s v="November"/>
    <s v="Division_A"/>
    <x v="22"/>
    <n v="2013"/>
    <n v="0"/>
    <s v="TBM"/>
    <n v="24"/>
    <n v="2678"/>
    <s v="111.6"/>
    <x v="1"/>
    <n v="0"/>
    <n v="0"/>
    <n v="0"/>
    <d v="2012-11-01T00:00:00"/>
    <x v="1"/>
    <x v="2"/>
  </r>
  <r>
    <x v="0"/>
    <x v="11"/>
    <s v="Desember"/>
    <s v="Division_A"/>
    <x v="22"/>
    <n v="2013"/>
    <n v="0"/>
    <s v="TBM"/>
    <n v="24"/>
    <n v="2678"/>
    <s v="111.6"/>
    <x v="1"/>
    <n v="0"/>
    <n v="0"/>
    <n v="0"/>
    <d v="2012-12-01T00:00:00"/>
    <x v="1"/>
    <x v="2"/>
  </r>
  <r>
    <x v="0"/>
    <x v="0"/>
    <s v="Januari"/>
    <s v="Division_A"/>
    <x v="23"/>
    <n v="2013"/>
    <n v="0"/>
    <s v="TBM"/>
    <n v="23"/>
    <n v="2683"/>
    <s v="116.7"/>
    <x v="1"/>
    <n v="0"/>
    <n v="0"/>
    <n v="0"/>
    <d v="2012-01-01T00:00:00"/>
    <x v="1"/>
    <x v="2"/>
  </r>
  <r>
    <x v="0"/>
    <x v="1"/>
    <s v="Februari"/>
    <s v="Division_A"/>
    <x v="23"/>
    <n v="2013"/>
    <n v="0"/>
    <s v="TBM"/>
    <n v="23"/>
    <n v="2683"/>
    <s v="116.7"/>
    <x v="1"/>
    <n v="0"/>
    <n v="0"/>
    <n v="0"/>
    <d v="2012-02-01T00:00:00"/>
    <x v="1"/>
    <x v="2"/>
  </r>
  <r>
    <x v="0"/>
    <x v="2"/>
    <s v="Maret"/>
    <s v="Division_A"/>
    <x v="23"/>
    <n v="2013"/>
    <n v="0"/>
    <s v="TBM"/>
    <n v="23"/>
    <n v="2683"/>
    <s v="116.7"/>
    <x v="1"/>
    <n v="0"/>
    <n v="0"/>
    <n v="0"/>
    <d v="2012-03-01T00:00:00"/>
    <x v="1"/>
    <x v="2"/>
  </r>
  <r>
    <x v="0"/>
    <x v="3"/>
    <s v="April"/>
    <s v="Division_A"/>
    <x v="23"/>
    <n v="2013"/>
    <n v="0"/>
    <s v="TBM"/>
    <n v="23"/>
    <n v="2683"/>
    <s v="116.7"/>
    <x v="1"/>
    <n v="0"/>
    <n v="0"/>
    <n v="0"/>
    <d v="2012-04-01T00:00:00"/>
    <x v="1"/>
    <x v="2"/>
  </r>
  <r>
    <x v="0"/>
    <x v="4"/>
    <s v="Mei"/>
    <s v="Division_A"/>
    <x v="23"/>
    <n v="2013"/>
    <n v="0"/>
    <s v="TBM"/>
    <n v="23"/>
    <n v="2683"/>
    <s v="116.7"/>
    <x v="1"/>
    <n v="0"/>
    <n v="0"/>
    <n v="0"/>
    <d v="2012-05-01T00:00:00"/>
    <x v="1"/>
    <x v="2"/>
  </r>
  <r>
    <x v="0"/>
    <x v="5"/>
    <s v="Juni"/>
    <s v="Division_A"/>
    <x v="23"/>
    <n v="2013"/>
    <n v="0"/>
    <s v="TBM"/>
    <n v="23"/>
    <n v="2683"/>
    <s v="116.7"/>
    <x v="1"/>
    <n v="0"/>
    <n v="0"/>
    <n v="0"/>
    <d v="2012-06-01T00:00:00"/>
    <x v="1"/>
    <x v="2"/>
  </r>
  <r>
    <x v="0"/>
    <x v="6"/>
    <s v="Juli"/>
    <s v="Division_A"/>
    <x v="23"/>
    <n v="2013"/>
    <n v="0"/>
    <s v="TBM"/>
    <n v="23"/>
    <n v="2683"/>
    <s v="116.7"/>
    <x v="1"/>
    <n v="0"/>
    <n v="0"/>
    <n v="0"/>
    <d v="2012-07-01T00:00:00"/>
    <x v="1"/>
    <x v="2"/>
  </r>
  <r>
    <x v="0"/>
    <x v="7"/>
    <s v="Agustus"/>
    <s v="Division_A"/>
    <x v="23"/>
    <n v="2013"/>
    <n v="0"/>
    <s v="TBM"/>
    <n v="23"/>
    <n v="2683"/>
    <s v="116.7"/>
    <x v="1"/>
    <n v="0"/>
    <n v="0"/>
    <n v="0"/>
    <d v="2012-08-01T00:00:00"/>
    <x v="1"/>
    <x v="2"/>
  </r>
  <r>
    <x v="0"/>
    <x v="8"/>
    <s v="September"/>
    <s v="Division_A"/>
    <x v="23"/>
    <n v="2013"/>
    <n v="0"/>
    <s v="TBM"/>
    <n v="23"/>
    <n v="2683"/>
    <s v="116.7"/>
    <x v="1"/>
    <n v="0"/>
    <n v="0"/>
    <n v="0"/>
    <d v="2012-09-01T00:00:00"/>
    <x v="1"/>
    <x v="2"/>
  </r>
  <r>
    <x v="0"/>
    <x v="9"/>
    <s v="Oktober"/>
    <s v="Division_A"/>
    <x v="23"/>
    <n v="2013"/>
    <n v="0"/>
    <s v="TBM"/>
    <n v="23"/>
    <n v="2683"/>
    <s v="116.7"/>
    <x v="1"/>
    <n v="0"/>
    <n v="0"/>
    <n v="0"/>
    <d v="2012-10-01T00:00:00"/>
    <x v="1"/>
    <x v="2"/>
  </r>
  <r>
    <x v="0"/>
    <x v="10"/>
    <s v="November"/>
    <s v="Division_A"/>
    <x v="23"/>
    <n v="2013"/>
    <n v="0"/>
    <s v="TBM"/>
    <n v="23"/>
    <n v="2683"/>
    <s v="116.7"/>
    <x v="1"/>
    <n v="0"/>
    <n v="0"/>
    <n v="0"/>
    <d v="2012-11-01T00:00:00"/>
    <x v="1"/>
    <x v="2"/>
  </r>
  <r>
    <x v="0"/>
    <x v="11"/>
    <s v="Desember"/>
    <s v="Division_A"/>
    <x v="23"/>
    <n v="2013"/>
    <n v="0"/>
    <s v="TBM"/>
    <n v="23"/>
    <n v="2683"/>
    <s v="116.7"/>
    <x v="1"/>
    <n v="0"/>
    <n v="0"/>
    <n v="0"/>
    <d v="2012-12-01T00:00:00"/>
    <x v="1"/>
    <x v="2"/>
  </r>
  <r>
    <x v="0"/>
    <x v="0"/>
    <s v="Januari"/>
    <s v="Division_A"/>
    <x v="24"/>
    <n v="2013"/>
    <n v="0"/>
    <s v="TBM"/>
    <n v="24"/>
    <n v="3445"/>
    <s v="143.5"/>
    <x v="1"/>
    <n v="0"/>
    <n v="0"/>
    <n v="0"/>
    <d v="2012-01-01T00:00:00"/>
    <x v="1"/>
    <x v="2"/>
  </r>
  <r>
    <x v="0"/>
    <x v="1"/>
    <s v="Februari"/>
    <s v="Division_A"/>
    <x v="24"/>
    <n v="2013"/>
    <n v="0"/>
    <s v="TBM"/>
    <n v="24"/>
    <n v="3445"/>
    <s v="143.5"/>
    <x v="1"/>
    <n v="0"/>
    <n v="0"/>
    <n v="0"/>
    <d v="2012-02-01T00:00:00"/>
    <x v="1"/>
    <x v="2"/>
  </r>
  <r>
    <x v="0"/>
    <x v="2"/>
    <s v="Maret"/>
    <s v="Division_A"/>
    <x v="24"/>
    <n v="2013"/>
    <n v="0"/>
    <s v="TBM"/>
    <n v="24"/>
    <n v="3445"/>
    <s v="143.5"/>
    <x v="1"/>
    <n v="0"/>
    <n v="0"/>
    <n v="0"/>
    <d v="2012-03-01T00:00:00"/>
    <x v="1"/>
    <x v="2"/>
  </r>
  <r>
    <x v="0"/>
    <x v="3"/>
    <s v="April"/>
    <s v="Division_A"/>
    <x v="24"/>
    <n v="2013"/>
    <n v="0"/>
    <s v="TBM"/>
    <n v="24"/>
    <n v="3445"/>
    <s v="143.5"/>
    <x v="1"/>
    <n v="0"/>
    <n v="0"/>
    <n v="0"/>
    <d v="2012-04-01T00:00:00"/>
    <x v="1"/>
    <x v="2"/>
  </r>
  <r>
    <x v="0"/>
    <x v="4"/>
    <s v="Mei"/>
    <s v="Division_A"/>
    <x v="24"/>
    <n v="2013"/>
    <n v="0"/>
    <s v="TBM"/>
    <n v="24"/>
    <n v="3445"/>
    <s v="143.5"/>
    <x v="1"/>
    <n v="0"/>
    <n v="0"/>
    <n v="0"/>
    <d v="2012-05-01T00:00:00"/>
    <x v="1"/>
    <x v="2"/>
  </r>
  <r>
    <x v="0"/>
    <x v="5"/>
    <s v="Juni"/>
    <s v="Division_A"/>
    <x v="24"/>
    <n v="2013"/>
    <n v="0"/>
    <s v="TBM"/>
    <n v="24"/>
    <n v="3445"/>
    <s v="143.5"/>
    <x v="1"/>
    <n v="0"/>
    <n v="0"/>
    <n v="0"/>
    <d v="2012-06-01T00:00:00"/>
    <x v="1"/>
    <x v="2"/>
  </r>
  <r>
    <x v="0"/>
    <x v="6"/>
    <s v="Juli"/>
    <s v="Division_A"/>
    <x v="24"/>
    <n v="2013"/>
    <n v="0"/>
    <s v="TBM"/>
    <n v="24"/>
    <n v="3445"/>
    <s v="143.5"/>
    <x v="1"/>
    <n v="0"/>
    <n v="0"/>
    <n v="0"/>
    <d v="2012-07-01T00:00:00"/>
    <x v="1"/>
    <x v="2"/>
  </r>
  <r>
    <x v="0"/>
    <x v="7"/>
    <s v="Agustus"/>
    <s v="Division_A"/>
    <x v="24"/>
    <n v="2013"/>
    <n v="0"/>
    <s v="TBM"/>
    <n v="24"/>
    <n v="3445"/>
    <s v="143.5"/>
    <x v="1"/>
    <n v="0"/>
    <n v="0"/>
    <n v="0"/>
    <d v="2012-08-01T00:00:00"/>
    <x v="1"/>
    <x v="2"/>
  </r>
  <r>
    <x v="0"/>
    <x v="8"/>
    <s v="September"/>
    <s v="Division_A"/>
    <x v="24"/>
    <n v="2013"/>
    <n v="0"/>
    <s v="TBM"/>
    <n v="24"/>
    <n v="3445"/>
    <s v="143.5"/>
    <x v="1"/>
    <n v="0"/>
    <n v="0"/>
    <n v="0"/>
    <d v="2012-09-01T00:00:00"/>
    <x v="1"/>
    <x v="2"/>
  </r>
  <r>
    <x v="0"/>
    <x v="9"/>
    <s v="Oktober"/>
    <s v="Division_A"/>
    <x v="24"/>
    <n v="2013"/>
    <n v="0"/>
    <s v="TBM"/>
    <n v="24"/>
    <n v="3445"/>
    <s v="143.5"/>
    <x v="1"/>
    <n v="0"/>
    <n v="0"/>
    <n v="0"/>
    <d v="2012-10-01T00:00:00"/>
    <x v="1"/>
    <x v="2"/>
  </r>
  <r>
    <x v="0"/>
    <x v="10"/>
    <s v="November"/>
    <s v="Division_A"/>
    <x v="24"/>
    <n v="2013"/>
    <n v="0"/>
    <s v="TBM"/>
    <n v="24"/>
    <n v="3445"/>
    <s v="143.5"/>
    <x v="1"/>
    <n v="0"/>
    <n v="0"/>
    <n v="0"/>
    <d v="2012-11-01T00:00:00"/>
    <x v="1"/>
    <x v="2"/>
  </r>
  <r>
    <x v="0"/>
    <x v="11"/>
    <s v="Desember"/>
    <s v="Division_A"/>
    <x v="24"/>
    <n v="2013"/>
    <n v="0"/>
    <s v="TBM"/>
    <n v="24"/>
    <n v="3445"/>
    <s v="143.5"/>
    <x v="1"/>
    <n v="0"/>
    <n v="0"/>
    <n v="0"/>
    <d v="2012-12-01T00:00:00"/>
    <x v="1"/>
    <x v="2"/>
  </r>
  <r>
    <x v="0"/>
    <x v="0"/>
    <s v="Januari"/>
    <s v="Division_A"/>
    <x v="25"/>
    <n v="2013"/>
    <n v="0"/>
    <s v="TBM"/>
    <n v="24"/>
    <n v="3271"/>
    <s v="136.3"/>
    <x v="1"/>
    <n v="0"/>
    <n v="0"/>
    <n v="0"/>
    <d v="2012-01-01T00:00:00"/>
    <x v="1"/>
    <x v="2"/>
  </r>
  <r>
    <x v="0"/>
    <x v="1"/>
    <s v="Februari"/>
    <s v="Division_A"/>
    <x v="25"/>
    <n v="2013"/>
    <n v="0"/>
    <s v="TBM"/>
    <n v="24"/>
    <n v="3271"/>
    <s v="136.3"/>
    <x v="1"/>
    <n v="0"/>
    <n v="0"/>
    <n v="0"/>
    <d v="2012-02-01T00:00:00"/>
    <x v="1"/>
    <x v="2"/>
  </r>
  <r>
    <x v="0"/>
    <x v="2"/>
    <s v="Maret"/>
    <s v="Division_A"/>
    <x v="25"/>
    <n v="2013"/>
    <n v="0"/>
    <s v="TBM"/>
    <n v="24"/>
    <n v="3271"/>
    <s v="136.3"/>
    <x v="1"/>
    <n v="0"/>
    <n v="0"/>
    <n v="0"/>
    <d v="2012-03-01T00:00:00"/>
    <x v="1"/>
    <x v="2"/>
  </r>
  <r>
    <x v="0"/>
    <x v="3"/>
    <s v="April"/>
    <s v="Division_A"/>
    <x v="25"/>
    <n v="2013"/>
    <n v="0"/>
    <s v="TBM"/>
    <n v="24"/>
    <n v="3271"/>
    <s v="136.3"/>
    <x v="1"/>
    <n v="0"/>
    <n v="0"/>
    <n v="0"/>
    <d v="2012-04-01T00:00:00"/>
    <x v="1"/>
    <x v="2"/>
  </r>
  <r>
    <x v="0"/>
    <x v="4"/>
    <s v="Mei"/>
    <s v="Division_A"/>
    <x v="25"/>
    <n v="2013"/>
    <n v="0"/>
    <s v="TBM"/>
    <n v="24"/>
    <n v="3271"/>
    <s v="136.3"/>
    <x v="1"/>
    <n v="0"/>
    <n v="0"/>
    <n v="0"/>
    <d v="2012-05-01T00:00:00"/>
    <x v="1"/>
    <x v="2"/>
  </r>
  <r>
    <x v="0"/>
    <x v="5"/>
    <s v="Juni"/>
    <s v="Division_A"/>
    <x v="25"/>
    <n v="2013"/>
    <n v="0"/>
    <s v="TBM"/>
    <n v="24"/>
    <n v="3271"/>
    <s v="136.3"/>
    <x v="1"/>
    <n v="0"/>
    <n v="0"/>
    <n v="0"/>
    <d v="2012-06-01T00:00:00"/>
    <x v="1"/>
    <x v="2"/>
  </r>
  <r>
    <x v="0"/>
    <x v="6"/>
    <s v="Juli"/>
    <s v="Division_A"/>
    <x v="25"/>
    <n v="2013"/>
    <n v="0"/>
    <s v="TBM"/>
    <n v="24"/>
    <n v="3271"/>
    <s v="136.3"/>
    <x v="1"/>
    <n v="0"/>
    <n v="0"/>
    <n v="0"/>
    <d v="2012-07-01T00:00:00"/>
    <x v="1"/>
    <x v="2"/>
  </r>
  <r>
    <x v="0"/>
    <x v="7"/>
    <s v="Agustus"/>
    <s v="Division_A"/>
    <x v="25"/>
    <n v="2013"/>
    <n v="0"/>
    <s v="TBM"/>
    <n v="24"/>
    <n v="3271"/>
    <s v="136.3"/>
    <x v="1"/>
    <n v="0"/>
    <n v="0"/>
    <n v="0"/>
    <d v="2012-08-01T00:00:00"/>
    <x v="1"/>
    <x v="2"/>
  </r>
  <r>
    <x v="0"/>
    <x v="8"/>
    <s v="September"/>
    <s v="Division_A"/>
    <x v="25"/>
    <n v="2013"/>
    <n v="0"/>
    <s v="TBM"/>
    <n v="24"/>
    <n v="3271"/>
    <s v="136.3"/>
    <x v="1"/>
    <n v="0"/>
    <n v="0"/>
    <n v="0"/>
    <d v="2012-09-01T00:00:00"/>
    <x v="1"/>
    <x v="2"/>
  </r>
  <r>
    <x v="0"/>
    <x v="9"/>
    <s v="Oktober"/>
    <s v="Division_A"/>
    <x v="25"/>
    <n v="2013"/>
    <n v="0"/>
    <s v="TBM"/>
    <n v="24"/>
    <n v="3271"/>
    <s v="136.3"/>
    <x v="1"/>
    <n v="0"/>
    <n v="0"/>
    <n v="0"/>
    <d v="2012-10-01T00:00:00"/>
    <x v="1"/>
    <x v="2"/>
  </r>
  <r>
    <x v="0"/>
    <x v="10"/>
    <s v="November"/>
    <s v="Division_A"/>
    <x v="25"/>
    <n v="2013"/>
    <n v="0"/>
    <s v="TBM"/>
    <n v="24"/>
    <n v="3271"/>
    <s v="136.3"/>
    <x v="1"/>
    <n v="0"/>
    <n v="0"/>
    <n v="0"/>
    <d v="2012-11-01T00:00:00"/>
    <x v="1"/>
    <x v="2"/>
  </r>
  <r>
    <x v="0"/>
    <x v="11"/>
    <s v="Desember"/>
    <s v="Division_A"/>
    <x v="25"/>
    <n v="2013"/>
    <n v="0"/>
    <s v="TBM"/>
    <n v="24"/>
    <n v="3271"/>
    <s v="136.3"/>
    <x v="1"/>
    <n v="0"/>
    <n v="0"/>
    <n v="0"/>
    <d v="2012-12-01T00:00:00"/>
    <x v="1"/>
    <x v="2"/>
  </r>
  <r>
    <x v="0"/>
    <x v="0"/>
    <s v="Januari"/>
    <s v="Division_A"/>
    <x v="26"/>
    <n v="2013"/>
    <n v="0"/>
    <s v="TBM"/>
    <n v="25"/>
    <n v="3291"/>
    <s v="131.6"/>
    <x v="1"/>
    <n v="0"/>
    <n v="0"/>
    <n v="0"/>
    <d v="2012-01-01T00:00:00"/>
    <x v="1"/>
    <x v="2"/>
  </r>
  <r>
    <x v="0"/>
    <x v="1"/>
    <s v="Februari"/>
    <s v="Division_A"/>
    <x v="26"/>
    <n v="2013"/>
    <n v="0"/>
    <s v="TBM"/>
    <n v="25"/>
    <n v="3291"/>
    <s v="131.6"/>
    <x v="1"/>
    <n v="0"/>
    <n v="0"/>
    <n v="0"/>
    <d v="2012-02-01T00:00:00"/>
    <x v="1"/>
    <x v="2"/>
  </r>
  <r>
    <x v="0"/>
    <x v="2"/>
    <s v="Maret"/>
    <s v="Division_A"/>
    <x v="26"/>
    <n v="2013"/>
    <n v="0"/>
    <s v="TBM"/>
    <n v="25"/>
    <n v="3291"/>
    <s v="131.6"/>
    <x v="1"/>
    <n v="0"/>
    <n v="0"/>
    <n v="0"/>
    <d v="2012-03-01T00:00:00"/>
    <x v="1"/>
    <x v="2"/>
  </r>
  <r>
    <x v="0"/>
    <x v="3"/>
    <s v="April"/>
    <s v="Division_A"/>
    <x v="26"/>
    <n v="2013"/>
    <n v="0"/>
    <s v="TBM"/>
    <n v="25"/>
    <n v="3291"/>
    <s v="131.6"/>
    <x v="1"/>
    <n v="0"/>
    <n v="0"/>
    <n v="0"/>
    <d v="2012-04-01T00:00:00"/>
    <x v="1"/>
    <x v="2"/>
  </r>
  <r>
    <x v="0"/>
    <x v="4"/>
    <s v="Mei"/>
    <s v="Division_A"/>
    <x v="26"/>
    <n v="2013"/>
    <n v="0"/>
    <s v="TBM"/>
    <n v="25"/>
    <n v="3291"/>
    <s v="131.6"/>
    <x v="1"/>
    <n v="0"/>
    <n v="0"/>
    <n v="0"/>
    <d v="2012-05-01T00:00:00"/>
    <x v="1"/>
    <x v="2"/>
  </r>
  <r>
    <x v="0"/>
    <x v="5"/>
    <s v="Juni"/>
    <s v="Division_A"/>
    <x v="26"/>
    <n v="2013"/>
    <n v="0"/>
    <s v="TBM"/>
    <n v="25"/>
    <n v="3291"/>
    <s v="131.6"/>
    <x v="1"/>
    <n v="0"/>
    <n v="0"/>
    <n v="0"/>
    <d v="2012-06-01T00:00:00"/>
    <x v="1"/>
    <x v="2"/>
  </r>
  <r>
    <x v="0"/>
    <x v="6"/>
    <s v="Juli"/>
    <s v="Division_A"/>
    <x v="26"/>
    <n v="2013"/>
    <n v="0"/>
    <s v="TBM"/>
    <n v="25"/>
    <n v="3291"/>
    <s v="131.6"/>
    <x v="1"/>
    <n v="0"/>
    <n v="0"/>
    <n v="0"/>
    <d v="2012-07-01T00:00:00"/>
    <x v="1"/>
    <x v="2"/>
  </r>
  <r>
    <x v="0"/>
    <x v="7"/>
    <s v="Agustus"/>
    <s v="Division_A"/>
    <x v="26"/>
    <n v="2013"/>
    <n v="0"/>
    <s v="TBM"/>
    <n v="25"/>
    <n v="3291"/>
    <s v="131.6"/>
    <x v="1"/>
    <n v="0"/>
    <n v="0"/>
    <n v="0"/>
    <d v="2012-08-01T00:00:00"/>
    <x v="1"/>
    <x v="2"/>
  </r>
  <r>
    <x v="0"/>
    <x v="8"/>
    <s v="September"/>
    <s v="Division_A"/>
    <x v="26"/>
    <n v="2013"/>
    <n v="0"/>
    <s v="TBM"/>
    <n v="25"/>
    <n v="3291"/>
    <s v="131.6"/>
    <x v="1"/>
    <n v="0"/>
    <n v="0"/>
    <n v="0"/>
    <d v="2012-09-01T00:00:00"/>
    <x v="1"/>
    <x v="2"/>
  </r>
  <r>
    <x v="0"/>
    <x v="9"/>
    <s v="Oktober"/>
    <s v="Division_A"/>
    <x v="26"/>
    <n v="2013"/>
    <n v="0"/>
    <s v="TBM"/>
    <n v="25"/>
    <n v="3291"/>
    <s v="131.6"/>
    <x v="1"/>
    <n v="0"/>
    <n v="0"/>
    <n v="0"/>
    <d v="2012-10-01T00:00:00"/>
    <x v="1"/>
    <x v="2"/>
  </r>
  <r>
    <x v="0"/>
    <x v="10"/>
    <s v="November"/>
    <s v="Division_A"/>
    <x v="26"/>
    <n v="2013"/>
    <n v="0"/>
    <s v="TBM"/>
    <n v="25"/>
    <n v="3291"/>
    <s v="131.6"/>
    <x v="1"/>
    <n v="0"/>
    <n v="0"/>
    <n v="0"/>
    <d v="2012-11-01T00:00:00"/>
    <x v="1"/>
    <x v="2"/>
  </r>
  <r>
    <x v="0"/>
    <x v="11"/>
    <s v="Desember"/>
    <s v="Division_A"/>
    <x v="26"/>
    <n v="2013"/>
    <n v="0"/>
    <s v="TBM"/>
    <n v="25"/>
    <n v="3291"/>
    <s v="131.6"/>
    <x v="1"/>
    <n v="0"/>
    <n v="0"/>
    <n v="0"/>
    <d v="2012-12-01T00:00:00"/>
    <x v="1"/>
    <x v="2"/>
  </r>
  <r>
    <x v="0"/>
    <x v="0"/>
    <s v="Januari"/>
    <s v="Division_A"/>
    <x v="27"/>
    <n v="2014"/>
    <n v="0"/>
    <s v="TBM"/>
    <n v="24"/>
    <n v="2208"/>
    <s v="92"/>
    <x v="1"/>
    <n v="0"/>
    <n v="0"/>
    <n v="0"/>
    <d v="2012-01-01T00:00:00"/>
    <x v="1"/>
    <x v="2"/>
  </r>
  <r>
    <x v="0"/>
    <x v="1"/>
    <s v="Februari"/>
    <s v="Division_A"/>
    <x v="27"/>
    <n v="2014"/>
    <n v="0"/>
    <s v="TBM"/>
    <n v="24"/>
    <n v="2208"/>
    <s v="92"/>
    <x v="1"/>
    <n v="0"/>
    <n v="0"/>
    <n v="0"/>
    <d v="2012-02-01T00:00:00"/>
    <x v="1"/>
    <x v="2"/>
  </r>
  <r>
    <x v="0"/>
    <x v="2"/>
    <s v="Maret"/>
    <s v="Division_A"/>
    <x v="27"/>
    <n v="2014"/>
    <n v="0"/>
    <s v="TBM"/>
    <n v="24"/>
    <n v="2208"/>
    <s v="92"/>
    <x v="1"/>
    <n v="0"/>
    <n v="0"/>
    <n v="0"/>
    <d v="2012-03-01T00:00:00"/>
    <x v="1"/>
    <x v="2"/>
  </r>
  <r>
    <x v="0"/>
    <x v="3"/>
    <s v="April"/>
    <s v="Division_A"/>
    <x v="27"/>
    <n v="2014"/>
    <n v="0"/>
    <s v="TBM"/>
    <n v="24"/>
    <n v="2208"/>
    <s v="92"/>
    <x v="1"/>
    <n v="0"/>
    <n v="0"/>
    <n v="0"/>
    <d v="2012-04-01T00:00:00"/>
    <x v="1"/>
    <x v="2"/>
  </r>
  <r>
    <x v="0"/>
    <x v="4"/>
    <s v="Mei"/>
    <s v="Division_A"/>
    <x v="27"/>
    <n v="2014"/>
    <n v="0"/>
    <s v="TBM"/>
    <n v="24"/>
    <n v="2208"/>
    <s v="92"/>
    <x v="1"/>
    <n v="0"/>
    <n v="0"/>
    <n v="0"/>
    <d v="2012-05-01T00:00:00"/>
    <x v="1"/>
    <x v="2"/>
  </r>
  <r>
    <x v="0"/>
    <x v="5"/>
    <s v="Juni"/>
    <s v="Division_A"/>
    <x v="27"/>
    <n v="2014"/>
    <n v="0"/>
    <s v="TBM"/>
    <n v="24"/>
    <n v="2208"/>
    <s v="92"/>
    <x v="1"/>
    <n v="0"/>
    <n v="0"/>
    <n v="0"/>
    <d v="2012-06-01T00:00:00"/>
    <x v="1"/>
    <x v="2"/>
  </r>
  <r>
    <x v="0"/>
    <x v="6"/>
    <s v="Juli"/>
    <s v="Division_A"/>
    <x v="27"/>
    <n v="2014"/>
    <n v="0"/>
    <s v="TBM"/>
    <n v="24"/>
    <n v="2208"/>
    <s v="92"/>
    <x v="1"/>
    <n v="0"/>
    <n v="0"/>
    <n v="0"/>
    <d v="2012-07-01T00:00:00"/>
    <x v="1"/>
    <x v="2"/>
  </r>
  <r>
    <x v="0"/>
    <x v="7"/>
    <s v="Agustus"/>
    <s v="Division_A"/>
    <x v="27"/>
    <n v="2014"/>
    <n v="0"/>
    <s v="TBM"/>
    <n v="24"/>
    <n v="2208"/>
    <s v="92"/>
    <x v="1"/>
    <n v="0"/>
    <n v="0"/>
    <n v="0"/>
    <d v="2012-08-01T00:00:00"/>
    <x v="1"/>
    <x v="2"/>
  </r>
  <r>
    <x v="0"/>
    <x v="8"/>
    <s v="September"/>
    <s v="Division_A"/>
    <x v="27"/>
    <n v="2014"/>
    <n v="0"/>
    <s v="TBM"/>
    <n v="24"/>
    <n v="2208"/>
    <s v="92"/>
    <x v="1"/>
    <n v="0"/>
    <n v="0"/>
    <n v="0"/>
    <d v="2012-09-01T00:00:00"/>
    <x v="1"/>
    <x v="2"/>
  </r>
  <r>
    <x v="0"/>
    <x v="9"/>
    <s v="Oktober"/>
    <s v="Division_A"/>
    <x v="27"/>
    <n v="2014"/>
    <n v="0"/>
    <s v="TBM"/>
    <n v="24"/>
    <n v="2208"/>
    <s v="92"/>
    <x v="1"/>
    <n v="0"/>
    <n v="0"/>
    <n v="0"/>
    <d v="2012-10-01T00:00:00"/>
    <x v="1"/>
    <x v="2"/>
  </r>
  <r>
    <x v="0"/>
    <x v="10"/>
    <s v="November"/>
    <s v="Division_A"/>
    <x v="27"/>
    <n v="2014"/>
    <n v="0"/>
    <s v="TBM"/>
    <n v="24"/>
    <n v="2208"/>
    <s v="92"/>
    <x v="1"/>
    <n v="0"/>
    <n v="0"/>
    <n v="0"/>
    <d v="2012-11-01T00:00:00"/>
    <x v="1"/>
    <x v="2"/>
  </r>
  <r>
    <x v="0"/>
    <x v="11"/>
    <s v="Desember"/>
    <s v="Division_A"/>
    <x v="27"/>
    <n v="2014"/>
    <n v="0"/>
    <s v="TBM"/>
    <n v="24"/>
    <n v="2208"/>
    <s v="92"/>
    <x v="1"/>
    <n v="0"/>
    <n v="0"/>
    <n v="0"/>
    <d v="2012-12-01T00:00:00"/>
    <x v="1"/>
    <x v="2"/>
  </r>
  <r>
    <x v="0"/>
    <x v="0"/>
    <s v="Januari"/>
    <s v="Division_A"/>
    <x v="28"/>
    <n v="2014"/>
    <n v="0"/>
    <s v="TBM"/>
    <n v="20"/>
    <n v="1954"/>
    <s v="97.7"/>
    <x v="1"/>
    <n v="0"/>
    <n v="0"/>
    <n v="0"/>
    <d v="2012-01-01T00:00:00"/>
    <x v="1"/>
    <x v="2"/>
  </r>
  <r>
    <x v="0"/>
    <x v="1"/>
    <s v="Februari"/>
    <s v="Division_A"/>
    <x v="28"/>
    <n v="2014"/>
    <n v="0"/>
    <s v="TBM"/>
    <n v="20"/>
    <n v="1954"/>
    <s v="97.7"/>
    <x v="1"/>
    <n v="0"/>
    <n v="0"/>
    <n v="0"/>
    <d v="2012-02-01T00:00:00"/>
    <x v="1"/>
    <x v="2"/>
  </r>
  <r>
    <x v="0"/>
    <x v="2"/>
    <s v="Maret"/>
    <s v="Division_A"/>
    <x v="28"/>
    <n v="2014"/>
    <n v="0"/>
    <s v="TBM"/>
    <n v="20"/>
    <n v="1954"/>
    <s v="97.7"/>
    <x v="1"/>
    <n v="0"/>
    <n v="0"/>
    <n v="0"/>
    <d v="2012-03-01T00:00:00"/>
    <x v="1"/>
    <x v="2"/>
  </r>
  <r>
    <x v="0"/>
    <x v="3"/>
    <s v="April"/>
    <s v="Division_A"/>
    <x v="28"/>
    <n v="2014"/>
    <n v="0"/>
    <s v="TBM"/>
    <n v="20"/>
    <n v="1954"/>
    <s v="97.7"/>
    <x v="1"/>
    <n v="0"/>
    <n v="0"/>
    <n v="0"/>
    <d v="2012-04-01T00:00:00"/>
    <x v="1"/>
    <x v="2"/>
  </r>
  <r>
    <x v="0"/>
    <x v="4"/>
    <s v="Mei"/>
    <s v="Division_A"/>
    <x v="28"/>
    <n v="2014"/>
    <n v="0"/>
    <s v="TBM"/>
    <n v="20"/>
    <n v="1954"/>
    <s v="97.7"/>
    <x v="1"/>
    <n v="0"/>
    <n v="0"/>
    <n v="0"/>
    <d v="2012-05-01T00:00:00"/>
    <x v="1"/>
    <x v="2"/>
  </r>
  <r>
    <x v="0"/>
    <x v="5"/>
    <s v="Juni"/>
    <s v="Division_A"/>
    <x v="28"/>
    <n v="2014"/>
    <n v="0"/>
    <s v="TBM"/>
    <n v="20"/>
    <n v="1954"/>
    <s v="97.7"/>
    <x v="1"/>
    <n v="0"/>
    <n v="0"/>
    <n v="0"/>
    <d v="2012-06-01T00:00:00"/>
    <x v="1"/>
    <x v="2"/>
  </r>
  <r>
    <x v="0"/>
    <x v="6"/>
    <s v="Juli"/>
    <s v="Division_A"/>
    <x v="28"/>
    <n v="2014"/>
    <n v="0"/>
    <s v="TBM"/>
    <n v="20"/>
    <n v="1954"/>
    <s v="97.7"/>
    <x v="1"/>
    <n v="0"/>
    <n v="0"/>
    <n v="0"/>
    <d v="2012-07-01T00:00:00"/>
    <x v="1"/>
    <x v="2"/>
  </r>
  <r>
    <x v="0"/>
    <x v="7"/>
    <s v="Agustus"/>
    <s v="Division_A"/>
    <x v="28"/>
    <n v="2014"/>
    <n v="0"/>
    <s v="TBM"/>
    <n v="20"/>
    <n v="1954"/>
    <s v="97.7"/>
    <x v="1"/>
    <n v="0"/>
    <n v="0"/>
    <n v="0"/>
    <d v="2012-08-01T00:00:00"/>
    <x v="1"/>
    <x v="2"/>
  </r>
  <r>
    <x v="0"/>
    <x v="8"/>
    <s v="September"/>
    <s v="Division_A"/>
    <x v="28"/>
    <n v="2014"/>
    <n v="0"/>
    <s v="TBM"/>
    <n v="20"/>
    <n v="1954"/>
    <s v="97.7"/>
    <x v="1"/>
    <n v="0"/>
    <n v="0"/>
    <n v="0"/>
    <d v="2012-09-01T00:00:00"/>
    <x v="1"/>
    <x v="2"/>
  </r>
  <r>
    <x v="0"/>
    <x v="9"/>
    <s v="Oktober"/>
    <s v="Division_A"/>
    <x v="28"/>
    <n v="2014"/>
    <n v="0"/>
    <s v="TBM"/>
    <n v="20"/>
    <n v="1954"/>
    <s v="97.7"/>
    <x v="1"/>
    <n v="0"/>
    <n v="0"/>
    <n v="0"/>
    <d v="2012-10-01T00:00:00"/>
    <x v="1"/>
    <x v="2"/>
  </r>
  <r>
    <x v="0"/>
    <x v="10"/>
    <s v="November"/>
    <s v="Division_A"/>
    <x v="28"/>
    <n v="2014"/>
    <n v="0"/>
    <s v="TBM"/>
    <n v="20"/>
    <n v="1954"/>
    <s v="97.7"/>
    <x v="1"/>
    <n v="0"/>
    <n v="0"/>
    <n v="0"/>
    <d v="2012-11-01T00:00:00"/>
    <x v="1"/>
    <x v="2"/>
  </r>
  <r>
    <x v="0"/>
    <x v="11"/>
    <s v="Desember"/>
    <s v="Division_A"/>
    <x v="28"/>
    <n v="2014"/>
    <n v="0"/>
    <s v="TBM"/>
    <n v="20"/>
    <n v="1954"/>
    <s v="97.7"/>
    <x v="1"/>
    <n v="0"/>
    <n v="0"/>
    <n v="0"/>
    <d v="2012-12-01T00:00:00"/>
    <x v="1"/>
    <x v="2"/>
  </r>
  <r>
    <x v="0"/>
    <x v="0"/>
    <s v="Januari"/>
    <s v="Division_A"/>
    <x v="29"/>
    <n v="2014"/>
    <n v="0"/>
    <s v="TBM"/>
    <n v="24"/>
    <n v="1329"/>
    <s v="55.4"/>
    <x v="1"/>
    <n v="0"/>
    <n v="0"/>
    <n v="0"/>
    <d v="2012-01-01T00:00:00"/>
    <x v="1"/>
    <x v="2"/>
  </r>
  <r>
    <x v="0"/>
    <x v="1"/>
    <s v="Februari"/>
    <s v="Division_A"/>
    <x v="29"/>
    <n v="2014"/>
    <n v="0"/>
    <s v="TBM"/>
    <n v="24"/>
    <n v="1329"/>
    <s v="55.4"/>
    <x v="1"/>
    <n v="0"/>
    <n v="0"/>
    <n v="0"/>
    <d v="2012-02-01T00:00:00"/>
    <x v="1"/>
    <x v="2"/>
  </r>
  <r>
    <x v="0"/>
    <x v="2"/>
    <s v="Maret"/>
    <s v="Division_A"/>
    <x v="29"/>
    <n v="2014"/>
    <n v="0"/>
    <s v="TBM"/>
    <n v="24"/>
    <n v="1329"/>
    <s v="55.4"/>
    <x v="1"/>
    <n v="0"/>
    <n v="0"/>
    <n v="0"/>
    <d v="2012-03-01T00:00:00"/>
    <x v="1"/>
    <x v="2"/>
  </r>
  <r>
    <x v="0"/>
    <x v="3"/>
    <s v="April"/>
    <s v="Division_A"/>
    <x v="29"/>
    <n v="2014"/>
    <n v="0"/>
    <s v="TBM"/>
    <n v="24"/>
    <n v="1329"/>
    <s v="55.4"/>
    <x v="1"/>
    <n v="0"/>
    <n v="0"/>
    <n v="0"/>
    <d v="2012-04-01T00:00:00"/>
    <x v="1"/>
    <x v="2"/>
  </r>
  <r>
    <x v="0"/>
    <x v="4"/>
    <s v="Mei"/>
    <s v="Division_A"/>
    <x v="29"/>
    <n v="2014"/>
    <n v="0"/>
    <s v="TBM"/>
    <n v="24"/>
    <n v="1329"/>
    <s v="55.4"/>
    <x v="1"/>
    <n v="0"/>
    <n v="0"/>
    <n v="0"/>
    <d v="2012-05-01T00:00:00"/>
    <x v="1"/>
    <x v="2"/>
  </r>
  <r>
    <x v="0"/>
    <x v="5"/>
    <s v="Juni"/>
    <s v="Division_A"/>
    <x v="29"/>
    <n v="2014"/>
    <n v="0"/>
    <s v="TBM"/>
    <n v="24"/>
    <n v="1329"/>
    <s v="55.4"/>
    <x v="1"/>
    <n v="0"/>
    <n v="0"/>
    <n v="0"/>
    <d v="2012-06-01T00:00:00"/>
    <x v="1"/>
    <x v="2"/>
  </r>
  <r>
    <x v="0"/>
    <x v="6"/>
    <s v="Juli"/>
    <s v="Division_A"/>
    <x v="29"/>
    <n v="2014"/>
    <n v="0"/>
    <s v="TBM"/>
    <n v="24"/>
    <n v="1329"/>
    <s v="55.4"/>
    <x v="1"/>
    <n v="0"/>
    <n v="0"/>
    <n v="0"/>
    <d v="2012-07-01T00:00:00"/>
    <x v="1"/>
    <x v="2"/>
  </r>
  <r>
    <x v="0"/>
    <x v="7"/>
    <s v="Agustus"/>
    <s v="Division_A"/>
    <x v="29"/>
    <n v="2014"/>
    <n v="0"/>
    <s v="TBM"/>
    <n v="24"/>
    <n v="1329"/>
    <s v="55.4"/>
    <x v="1"/>
    <n v="0"/>
    <n v="0"/>
    <n v="0"/>
    <d v="2012-08-01T00:00:00"/>
    <x v="1"/>
    <x v="2"/>
  </r>
  <r>
    <x v="0"/>
    <x v="8"/>
    <s v="September"/>
    <s v="Division_A"/>
    <x v="29"/>
    <n v="2014"/>
    <n v="0"/>
    <s v="TBM"/>
    <n v="24"/>
    <n v="1329"/>
    <s v="55.4"/>
    <x v="1"/>
    <n v="0"/>
    <n v="0"/>
    <n v="0"/>
    <d v="2012-09-01T00:00:00"/>
    <x v="1"/>
    <x v="2"/>
  </r>
  <r>
    <x v="0"/>
    <x v="9"/>
    <s v="Oktober"/>
    <s v="Division_A"/>
    <x v="29"/>
    <n v="2014"/>
    <n v="0"/>
    <s v="TBM"/>
    <n v="24"/>
    <n v="1329"/>
    <s v="55.4"/>
    <x v="1"/>
    <n v="0"/>
    <n v="0"/>
    <n v="0"/>
    <d v="2012-10-01T00:00:00"/>
    <x v="1"/>
    <x v="2"/>
  </r>
  <r>
    <x v="0"/>
    <x v="10"/>
    <s v="November"/>
    <s v="Division_A"/>
    <x v="29"/>
    <n v="2014"/>
    <n v="0"/>
    <s v="TBM"/>
    <n v="24"/>
    <n v="1329"/>
    <s v="55.4"/>
    <x v="1"/>
    <n v="0"/>
    <n v="0"/>
    <n v="0"/>
    <d v="2012-11-01T00:00:00"/>
    <x v="1"/>
    <x v="2"/>
  </r>
  <r>
    <x v="0"/>
    <x v="11"/>
    <s v="Desember"/>
    <s v="Division_A"/>
    <x v="29"/>
    <n v="2014"/>
    <n v="0"/>
    <s v="TBM"/>
    <n v="24"/>
    <n v="1329"/>
    <s v="55.4"/>
    <x v="1"/>
    <n v="0"/>
    <n v="0"/>
    <n v="0"/>
    <d v="2012-12-01T00:00:00"/>
    <x v="1"/>
    <x v="2"/>
  </r>
  <r>
    <x v="0"/>
    <x v="0"/>
    <s v="Januari"/>
    <s v="Division_A"/>
    <x v="30"/>
    <n v="2014"/>
    <n v="0"/>
    <s v="TBM"/>
    <n v="24"/>
    <n v="1573"/>
    <s v="65.5"/>
    <x v="1"/>
    <n v="0"/>
    <n v="0"/>
    <n v="0"/>
    <d v="2012-01-01T00:00:00"/>
    <x v="1"/>
    <x v="2"/>
  </r>
  <r>
    <x v="0"/>
    <x v="1"/>
    <s v="Februari"/>
    <s v="Division_A"/>
    <x v="30"/>
    <n v="2014"/>
    <n v="0"/>
    <s v="TBM"/>
    <n v="24"/>
    <n v="1573"/>
    <s v="65.5"/>
    <x v="1"/>
    <n v="0"/>
    <n v="0"/>
    <n v="0"/>
    <d v="2012-02-01T00:00:00"/>
    <x v="1"/>
    <x v="2"/>
  </r>
  <r>
    <x v="0"/>
    <x v="2"/>
    <s v="Maret"/>
    <s v="Division_A"/>
    <x v="30"/>
    <n v="2014"/>
    <n v="0"/>
    <s v="TBM"/>
    <n v="24"/>
    <n v="1573"/>
    <s v="65.5"/>
    <x v="1"/>
    <n v="0"/>
    <n v="0"/>
    <n v="0"/>
    <d v="2012-03-01T00:00:00"/>
    <x v="1"/>
    <x v="2"/>
  </r>
  <r>
    <x v="0"/>
    <x v="3"/>
    <s v="April"/>
    <s v="Division_A"/>
    <x v="30"/>
    <n v="2014"/>
    <n v="0"/>
    <s v="TBM"/>
    <n v="24"/>
    <n v="1573"/>
    <s v="65.5"/>
    <x v="1"/>
    <n v="0"/>
    <n v="0"/>
    <n v="0"/>
    <d v="2012-04-01T00:00:00"/>
    <x v="1"/>
    <x v="2"/>
  </r>
  <r>
    <x v="0"/>
    <x v="4"/>
    <s v="Mei"/>
    <s v="Division_A"/>
    <x v="30"/>
    <n v="2014"/>
    <n v="0"/>
    <s v="TBM"/>
    <n v="24"/>
    <n v="1573"/>
    <s v="65.5"/>
    <x v="1"/>
    <n v="0"/>
    <n v="0"/>
    <n v="0"/>
    <d v="2012-05-01T00:00:00"/>
    <x v="1"/>
    <x v="2"/>
  </r>
  <r>
    <x v="0"/>
    <x v="5"/>
    <s v="Juni"/>
    <s v="Division_A"/>
    <x v="30"/>
    <n v="2014"/>
    <n v="0"/>
    <s v="TBM"/>
    <n v="24"/>
    <n v="1573"/>
    <s v="65.5"/>
    <x v="1"/>
    <n v="0"/>
    <n v="0"/>
    <n v="0"/>
    <d v="2012-06-01T00:00:00"/>
    <x v="1"/>
    <x v="2"/>
  </r>
  <r>
    <x v="0"/>
    <x v="6"/>
    <s v="Juli"/>
    <s v="Division_A"/>
    <x v="30"/>
    <n v="2014"/>
    <n v="0"/>
    <s v="TBM"/>
    <n v="24"/>
    <n v="1573"/>
    <s v="65.5"/>
    <x v="1"/>
    <n v="0"/>
    <n v="0"/>
    <n v="0"/>
    <d v="2012-07-01T00:00:00"/>
    <x v="1"/>
    <x v="2"/>
  </r>
  <r>
    <x v="0"/>
    <x v="7"/>
    <s v="Agustus"/>
    <s v="Division_A"/>
    <x v="30"/>
    <n v="2014"/>
    <n v="0"/>
    <s v="TBM"/>
    <n v="24"/>
    <n v="1573"/>
    <s v="65.5"/>
    <x v="1"/>
    <n v="0"/>
    <n v="0"/>
    <n v="0"/>
    <d v="2012-08-01T00:00:00"/>
    <x v="1"/>
    <x v="2"/>
  </r>
  <r>
    <x v="0"/>
    <x v="8"/>
    <s v="September"/>
    <s v="Division_A"/>
    <x v="30"/>
    <n v="2014"/>
    <n v="0"/>
    <s v="TBM"/>
    <n v="24"/>
    <n v="1573"/>
    <s v="65.5"/>
    <x v="1"/>
    <n v="0"/>
    <n v="0"/>
    <n v="0"/>
    <d v="2012-09-01T00:00:00"/>
    <x v="1"/>
    <x v="2"/>
  </r>
  <r>
    <x v="0"/>
    <x v="9"/>
    <s v="Oktober"/>
    <s v="Division_A"/>
    <x v="30"/>
    <n v="2014"/>
    <n v="0"/>
    <s v="TBM"/>
    <n v="24"/>
    <n v="1573"/>
    <s v="65.5"/>
    <x v="1"/>
    <n v="0"/>
    <n v="0"/>
    <n v="0"/>
    <d v="2012-10-01T00:00:00"/>
    <x v="1"/>
    <x v="2"/>
  </r>
  <r>
    <x v="0"/>
    <x v="10"/>
    <s v="November"/>
    <s v="Division_A"/>
    <x v="30"/>
    <n v="2014"/>
    <n v="0"/>
    <s v="TBM"/>
    <n v="24"/>
    <n v="1573"/>
    <s v="65.5"/>
    <x v="1"/>
    <n v="0"/>
    <n v="0"/>
    <n v="0"/>
    <d v="2012-11-01T00:00:00"/>
    <x v="1"/>
    <x v="2"/>
  </r>
  <r>
    <x v="0"/>
    <x v="11"/>
    <s v="Desember"/>
    <s v="Division_A"/>
    <x v="30"/>
    <n v="2014"/>
    <n v="0"/>
    <s v="TBM"/>
    <n v="24"/>
    <n v="1573"/>
    <s v="65.5"/>
    <x v="1"/>
    <n v="0"/>
    <n v="0"/>
    <n v="0"/>
    <d v="2012-12-01T00:00:00"/>
    <x v="1"/>
    <x v="2"/>
  </r>
  <r>
    <x v="0"/>
    <x v="0"/>
    <s v="Januari"/>
    <s v="Division_A"/>
    <x v="31"/>
    <n v="2016"/>
    <n v="0"/>
    <s v="TBM"/>
    <n v="22"/>
    <n v="3137"/>
    <s v="142.6"/>
    <x v="0"/>
    <n v="0"/>
    <n v="0"/>
    <n v="0"/>
    <d v="2012-01-01T00:00:00"/>
    <x v="1"/>
    <x v="2"/>
  </r>
  <r>
    <x v="0"/>
    <x v="1"/>
    <s v="Februari"/>
    <s v="Division_A"/>
    <x v="31"/>
    <n v="2016"/>
    <n v="0"/>
    <s v="TBM"/>
    <n v="22"/>
    <n v="3137"/>
    <s v="142.6"/>
    <x v="0"/>
    <n v="0"/>
    <n v="0"/>
    <n v="0"/>
    <d v="2012-02-01T00:00:00"/>
    <x v="1"/>
    <x v="2"/>
  </r>
  <r>
    <x v="0"/>
    <x v="2"/>
    <s v="Maret"/>
    <s v="Division_A"/>
    <x v="31"/>
    <n v="2016"/>
    <n v="0"/>
    <s v="TBM"/>
    <n v="22"/>
    <n v="3137"/>
    <s v="142.6"/>
    <x v="0"/>
    <n v="0"/>
    <n v="0"/>
    <n v="0"/>
    <d v="2012-03-01T00:00:00"/>
    <x v="1"/>
    <x v="2"/>
  </r>
  <r>
    <x v="0"/>
    <x v="3"/>
    <s v="April"/>
    <s v="Division_A"/>
    <x v="31"/>
    <n v="2016"/>
    <n v="0"/>
    <s v="TBM"/>
    <n v="22"/>
    <n v="3137"/>
    <s v="142.6"/>
    <x v="0"/>
    <n v="0"/>
    <n v="0"/>
    <n v="0"/>
    <d v="2012-04-01T00:00:00"/>
    <x v="1"/>
    <x v="2"/>
  </r>
  <r>
    <x v="0"/>
    <x v="4"/>
    <s v="Mei"/>
    <s v="Division_A"/>
    <x v="31"/>
    <n v="2016"/>
    <n v="0"/>
    <s v="TBM"/>
    <n v="22"/>
    <n v="3137"/>
    <s v="142.6"/>
    <x v="0"/>
    <n v="0"/>
    <n v="0"/>
    <n v="0"/>
    <d v="2012-05-01T00:00:00"/>
    <x v="1"/>
    <x v="2"/>
  </r>
  <r>
    <x v="0"/>
    <x v="5"/>
    <s v="Juni"/>
    <s v="Division_A"/>
    <x v="31"/>
    <n v="2016"/>
    <n v="0"/>
    <s v="TBM"/>
    <n v="22"/>
    <n v="3137"/>
    <s v="142.6"/>
    <x v="0"/>
    <n v="0"/>
    <n v="0"/>
    <n v="0"/>
    <d v="2012-06-01T00:00:00"/>
    <x v="1"/>
    <x v="2"/>
  </r>
  <r>
    <x v="0"/>
    <x v="6"/>
    <s v="Juli"/>
    <s v="Division_A"/>
    <x v="31"/>
    <n v="2016"/>
    <n v="0"/>
    <s v="TBM"/>
    <n v="22"/>
    <n v="3137"/>
    <s v="142.6"/>
    <x v="0"/>
    <n v="0"/>
    <n v="0"/>
    <n v="0"/>
    <d v="2012-07-01T00:00:00"/>
    <x v="1"/>
    <x v="2"/>
  </r>
  <r>
    <x v="0"/>
    <x v="7"/>
    <s v="Agustus"/>
    <s v="Division_A"/>
    <x v="31"/>
    <n v="2016"/>
    <n v="0"/>
    <s v="TBM"/>
    <n v="22"/>
    <n v="3137"/>
    <s v="142.6"/>
    <x v="0"/>
    <n v="0"/>
    <n v="0"/>
    <n v="0"/>
    <d v="2012-08-01T00:00:00"/>
    <x v="1"/>
    <x v="2"/>
  </r>
  <r>
    <x v="0"/>
    <x v="8"/>
    <s v="September"/>
    <s v="Division_A"/>
    <x v="31"/>
    <n v="2016"/>
    <n v="0"/>
    <s v="TBM"/>
    <n v="22"/>
    <n v="3137"/>
    <s v="142.6"/>
    <x v="0"/>
    <n v="0"/>
    <n v="0"/>
    <n v="0"/>
    <d v="2012-09-01T00:00:00"/>
    <x v="1"/>
    <x v="2"/>
  </r>
  <r>
    <x v="0"/>
    <x v="9"/>
    <s v="Oktober"/>
    <s v="Division_A"/>
    <x v="31"/>
    <n v="2016"/>
    <n v="0"/>
    <s v="TBM"/>
    <n v="22"/>
    <n v="3137"/>
    <s v="142.6"/>
    <x v="0"/>
    <n v="0"/>
    <n v="0"/>
    <n v="0"/>
    <d v="2012-10-01T00:00:00"/>
    <x v="1"/>
    <x v="2"/>
  </r>
  <r>
    <x v="0"/>
    <x v="10"/>
    <s v="November"/>
    <s v="Division_A"/>
    <x v="31"/>
    <n v="2016"/>
    <n v="0"/>
    <s v="TBM"/>
    <n v="22"/>
    <n v="3137"/>
    <s v="142.6"/>
    <x v="0"/>
    <n v="0"/>
    <n v="0"/>
    <n v="0"/>
    <d v="2012-11-01T00:00:00"/>
    <x v="1"/>
    <x v="2"/>
  </r>
  <r>
    <x v="0"/>
    <x v="11"/>
    <s v="Desember"/>
    <s v="Division_A"/>
    <x v="31"/>
    <n v="2016"/>
    <n v="0"/>
    <s v="TBM"/>
    <n v="22"/>
    <n v="3137"/>
    <s v="142.6"/>
    <x v="0"/>
    <n v="0"/>
    <n v="0"/>
    <n v="0"/>
    <d v="2012-12-01T00:00:00"/>
    <x v="1"/>
    <x v="2"/>
  </r>
  <r>
    <x v="0"/>
    <x v="0"/>
    <s v="Januari"/>
    <s v="Division_A"/>
    <x v="32"/>
    <n v="2016"/>
    <n v="0"/>
    <s v="TBM"/>
    <n v="22"/>
    <n v="3096"/>
    <s v="140.7"/>
    <x v="0"/>
    <n v="0"/>
    <n v="0"/>
    <n v="0"/>
    <d v="2012-01-01T00:00:00"/>
    <x v="1"/>
    <x v="2"/>
  </r>
  <r>
    <x v="0"/>
    <x v="1"/>
    <s v="Februari"/>
    <s v="Division_A"/>
    <x v="32"/>
    <n v="2016"/>
    <n v="0"/>
    <s v="TBM"/>
    <n v="22"/>
    <n v="3096"/>
    <s v="140.7"/>
    <x v="0"/>
    <n v="0"/>
    <n v="0"/>
    <n v="0"/>
    <d v="2012-02-01T00:00:00"/>
    <x v="1"/>
    <x v="2"/>
  </r>
  <r>
    <x v="0"/>
    <x v="2"/>
    <s v="Maret"/>
    <s v="Division_A"/>
    <x v="32"/>
    <n v="2016"/>
    <n v="0"/>
    <s v="TBM"/>
    <n v="22"/>
    <n v="3096"/>
    <s v="140.7"/>
    <x v="0"/>
    <n v="0"/>
    <n v="0"/>
    <n v="0"/>
    <d v="2012-03-01T00:00:00"/>
    <x v="1"/>
    <x v="2"/>
  </r>
  <r>
    <x v="0"/>
    <x v="3"/>
    <s v="April"/>
    <s v="Division_A"/>
    <x v="32"/>
    <n v="2016"/>
    <n v="0"/>
    <s v="TBM"/>
    <n v="22"/>
    <n v="3096"/>
    <s v="140.7"/>
    <x v="0"/>
    <n v="0"/>
    <n v="0"/>
    <n v="0"/>
    <d v="2012-04-01T00:00:00"/>
    <x v="1"/>
    <x v="2"/>
  </r>
  <r>
    <x v="0"/>
    <x v="4"/>
    <s v="Mei"/>
    <s v="Division_A"/>
    <x v="32"/>
    <n v="2016"/>
    <n v="0"/>
    <s v="TBM"/>
    <n v="22"/>
    <n v="3096"/>
    <s v="140.7"/>
    <x v="0"/>
    <n v="0"/>
    <n v="0"/>
    <n v="0"/>
    <d v="2012-05-01T00:00:00"/>
    <x v="1"/>
    <x v="2"/>
  </r>
  <r>
    <x v="0"/>
    <x v="5"/>
    <s v="Juni"/>
    <s v="Division_A"/>
    <x v="32"/>
    <n v="2016"/>
    <n v="0"/>
    <s v="TBM"/>
    <n v="22"/>
    <n v="3096"/>
    <s v="140.7"/>
    <x v="0"/>
    <n v="0"/>
    <n v="0"/>
    <n v="0"/>
    <d v="2012-06-01T00:00:00"/>
    <x v="1"/>
    <x v="2"/>
  </r>
  <r>
    <x v="0"/>
    <x v="6"/>
    <s v="Juli"/>
    <s v="Division_A"/>
    <x v="32"/>
    <n v="2016"/>
    <n v="0"/>
    <s v="TBM"/>
    <n v="22"/>
    <n v="3096"/>
    <s v="140.7"/>
    <x v="0"/>
    <n v="0"/>
    <n v="0"/>
    <n v="0"/>
    <d v="2012-07-01T00:00:00"/>
    <x v="1"/>
    <x v="2"/>
  </r>
  <r>
    <x v="0"/>
    <x v="7"/>
    <s v="Agustus"/>
    <s v="Division_A"/>
    <x v="32"/>
    <n v="2016"/>
    <n v="0"/>
    <s v="TBM"/>
    <n v="22"/>
    <n v="3096"/>
    <s v="140.7"/>
    <x v="0"/>
    <n v="0"/>
    <n v="0"/>
    <n v="0"/>
    <d v="2012-08-01T00:00:00"/>
    <x v="1"/>
    <x v="2"/>
  </r>
  <r>
    <x v="0"/>
    <x v="8"/>
    <s v="September"/>
    <s v="Division_A"/>
    <x v="32"/>
    <n v="2016"/>
    <n v="0"/>
    <s v="TBM"/>
    <n v="22"/>
    <n v="3096"/>
    <s v="140.7"/>
    <x v="0"/>
    <n v="0"/>
    <n v="0"/>
    <n v="0"/>
    <d v="2012-09-01T00:00:00"/>
    <x v="1"/>
    <x v="2"/>
  </r>
  <r>
    <x v="0"/>
    <x v="9"/>
    <s v="Oktober"/>
    <s v="Division_A"/>
    <x v="32"/>
    <n v="2016"/>
    <n v="0"/>
    <s v="TBM"/>
    <n v="22"/>
    <n v="3096"/>
    <s v="140.7"/>
    <x v="0"/>
    <n v="0"/>
    <n v="0"/>
    <n v="0"/>
    <d v="2012-10-01T00:00:00"/>
    <x v="1"/>
    <x v="2"/>
  </r>
  <r>
    <x v="0"/>
    <x v="10"/>
    <s v="November"/>
    <s v="Division_A"/>
    <x v="32"/>
    <n v="2016"/>
    <n v="0"/>
    <s v="TBM"/>
    <n v="22"/>
    <n v="3096"/>
    <s v="140.7"/>
    <x v="0"/>
    <n v="0"/>
    <n v="0"/>
    <n v="0"/>
    <d v="2012-11-01T00:00:00"/>
    <x v="1"/>
    <x v="2"/>
  </r>
  <r>
    <x v="0"/>
    <x v="11"/>
    <s v="Desember"/>
    <s v="Division_A"/>
    <x v="32"/>
    <n v="2016"/>
    <n v="0"/>
    <s v="TBM"/>
    <n v="22"/>
    <n v="3096"/>
    <s v="140.7"/>
    <x v="0"/>
    <n v="0"/>
    <n v="0"/>
    <n v="0"/>
    <d v="2012-12-01T00:00:00"/>
    <x v="1"/>
    <x v="2"/>
  </r>
  <r>
    <x v="0"/>
    <x v="0"/>
    <s v="Januari"/>
    <s v="Division_A"/>
    <x v="33"/>
    <n v="2016"/>
    <n v="0"/>
    <s v="TBM"/>
    <n v="24"/>
    <n v="3317"/>
    <s v="138.2"/>
    <x v="0"/>
    <n v="0"/>
    <n v="0"/>
    <n v="0"/>
    <d v="2012-01-01T00:00:00"/>
    <x v="1"/>
    <x v="2"/>
  </r>
  <r>
    <x v="0"/>
    <x v="1"/>
    <s v="Februari"/>
    <s v="Division_A"/>
    <x v="33"/>
    <n v="2016"/>
    <n v="0"/>
    <s v="TBM"/>
    <n v="24"/>
    <n v="3317"/>
    <s v="138.2"/>
    <x v="0"/>
    <n v="0"/>
    <n v="0"/>
    <n v="0"/>
    <d v="2012-02-01T00:00:00"/>
    <x v="1"/>
    <x v="2"/>
  </r>
  <r>
    <x v="0"/>
    <x v="2"/>
    <s v="Maret"/>
    <s v="Division_A"/>
    <x v="33"/>
    <n v="2016"/>
    <n v="0"/>
    <s v="TBM"/>
    <n v="24"/>
    <n v="3317"/>
    <s v="138.2"/>
    <x v="0"/>
    <n v="0"/>
    <n v="0"/>
    <n v="0"/>
    <d v="2012-03-01T00:00:00"/>
    <x v="1"/>
    <x v="2"/>
  </r>
  <r>
    <x v="0"/>
    <x v="3"/>
    <s v="April"/>
    <s v="Division_A"/>
    <x v="33"/>
    <n v="2016"/>
    <n v="0"/>
    <s v="TBM"/>
    <n v="24"/>
    <n v="3317"/>
    <s v="138.2"/>
    <x v="0"/>
    <n v="0"/>
    <n v="0"/>
    <n v="0"/>
    <d v="2012-04-01T00:00:00"/>
    <x v="1"/>
    <x v="2"/>
  </r>
  <r>
    <x v="0"/>
    <x v="4"/>
    <s v="Mei"/>
    <s v="Division_A"/>
    <x v="33"/>
    <n v="2016"/>
    <n v="0"/>
    <s v="TBM"/>
    <n v="24"/>
    <n v="3317"/>
    <s v="138.2"/>
    <x v="0"/>
    <n v="0"/>
    <n v="0"/>
    <n v="0"/>
    <d v="2012-05-01T00:00:00"/>
    <x v="1"/>
    <x v="2"/>
  </r>
  <r>
    <x v="0"/>
    <x v="5"/>
    <s v="Juni"/>
    <s v="Division_A"/>
    <x v="33"/>
    <n v="2016"/>
    <n v="0"/>
    <s v="TBM"/>
    <n v="24"/>
    <n v="3317"/>
    <s v="138.2"/>
    <x v="0"/>
    <n v="0"/>
    <n v="0"/>
    <n v="0"/>
    <d v="2012-06-01T00:00:00"/>
    <x v="1"/>
    <x v="2"/>
  </r>
  <r>
    <x v="0"/>
    <x v="6"/>
    <s v="Juli"/>
    <s v="Division_A"/>
    <x v="33"/>
    <n v="2016"/>
    <n v="0"/>
    <s v="TBM"/>
    <n v="24"/>
    <n v="3317"/>
    <s v="138.2"/>
    <x v="0"/>
    <n v="0"/>
    <n v="0"/>
    <n v="0"/>
    <d v="2012-07-01T00:00:00"/>
    <x v="1"/>
    <x v="2"/>
  </r>
  <r>
    <x v="0"/>
    <x v="7"/>
    <s v="Agustus"/>
    <s v="Division_A"/>
    <x v="33"/>
    <n v="2016"/>
    <n v="0"/>
    <s v="TBM"/>
    <n v="24"/>
    <n v="3317"/>
    <s v="138.2"/>
    <x v="0"/>
    <n v="0"/>
    <n v="0"/>
    <n v="0"/>
    <d v="2012-08-01T00:00:00"/>
    <x v="1"/>
    <x v="2"/>
  </r>
  <r>
    <x v="0"/>
    <x v="8"/>
    <s v="September"/>
    <s v="Division_A"/>
    <x v="33"/>
    <n v="2016"/>
    <n v="0"/>
    <s v="TBM"/>
    <n v="24"/>
    <n v="3317"/>
    <s v="138.2"/>
    <x v="0"/>
    <n v="0"/>
    <n v="0"/>
    <n v="0"/>
    <d v="2012-09-01T00:00:00"/>
    <x v="1"/>
    <x v="2"/>
  </r>
  <r>
    <x v="0"/>
    <x v="9"/>
    <s v="Oktober"/>
    <s v="Division_A"/>
    <x v="33"/>
    <n v="2016"/>
    <n v="0"/>
    <s v="TBM"/>
    <n v="24"/>
    <n v="3317"/>
    <s v="138.2"/>
    <x v="0"/>
    <n v="0"/>
    <n v="0"/>
    <n v="0"/>
    <d v="2012-10-01T00:00:00"/>
    <x v="1"/>
    <x v="2"/>
  </r>
  <r>
    <x v="0"/>
    <x v="10"/>
    <s v="November"/>
    <s v="Division_A"/>
    <x v="33"/>
    <n v="2016"/>
    <n v="0"/>
    <s v="TBM"/>
    <n v="24"/>
    <n v="3317"/>
    <s v="138.2"/>
    <x v="0"/>
    <n v="0"/>
    <n v="0"/>
    <n v="0"/>
    <d v="2012-11-01T00:00:00"/>
    <x v="1"/>
    <x v="2"/>
  </r>
  <r>
    <x v="0"/>
    <x v="11"/>
    <s v="Desember"/>
    <s v="Division_A"/>
    <x v="33"/>
    <n v="2016"/>
    <n v="0"/>
    <s v="TBM"/>
    <n v="24"/>
    <n v="3317"/>
    <s v="138.2"/>
    <x v="0"/>
    <n v="0"/>
    <n v="0"/>
    <n v="0"/>
    <d v="2012-12-01T00:00:00"/>
    <x v="1"/>
    <x v="2"/>
  </r>
  <r>
    <x v="0"/>
    <x v="0"/>
    <s v="Januari"/>
    <s v="Division_A"/>
    <x v="34"/>
    <n v="2016"/>
    <n v="0"/>
    <s v="TBM"/>
    <n v="17"/>
    <n v="2219"/>
    <s v="130.5"/>
    <x v="0"/>
    <n v="0"/>
    <n v="0"/>
    <n v="0"/>
    <d v="2012-01-01T00:00:00"/>
    <x v="1"/>
    <x v="2"/>
  </r>
  <r>
    <x v="0"/>
    <x v="1"/>
    <s v="Februari"/>
    <s v="Division_A"/>
    <x v="34"/>
    <n v="2016"/>
    <n v="0"/>
    <s v="TBM"/>
    <n v="17"/>
    <n v="2219"/>
    <s v="130.5"/>
    <x v="0"/>
    <n v="0"/>
    <n v="0"/>
    <n v="0"/>
    <d v="2012-02-01T00:00:00"/>
    <x v="1"/>
    <x v="2"/>
  </r>
  <r>
    <x v="0"/>
    <x v="2"/>
    <s v="Maret"/>
    <s v="Division_A"/>
    <x v="34"/>
    <n v="2016"/>
    <n v="0"/>
    <s v="TBM"/>
    <n v="17"/>
    <n v="2219"/>
    <s v="130.5"/>
    <x v="0"/>
    <n v="0"/>
    <n v="0"/>
    <n v="0"/>
    <d v="2012-03-01T00:00:00"/>
    <x v="1"/>
    <x v="2"/>
  </r>
  <r>
    <x v="0"/>
    <x v="3"/>
    <s v="April"/>
    <s v="Division_A"/>
    <x v="34"/>
    <n v="2016"/>
    <n v="0"/>
    <s v="TBM"/>
    <n v="17"/>
    <n v="2219"/>
    <s v="130.5"/>
    <x v="0"/>
    <n v="0"/>
    <n v="0"/>
    <n v="0"/>
    <d v="2012-04-01T00:00:00"/>
    <x v="1"/>
    <x v="2"/>
  </r>
  <r>
    <x v="0"/>
    <x v="4"/>
    <s v="Mei"/>
    <s v="Division_A"/>
    <x v="34"/>
    <n v="2016"/>
    <n v="0"/>
    <s v="TBM"/>
    <n v="17"/>
    <n v="2219"/>
    <s v="130.5"/>
    <x v="0"/>
    <n v="0"/>
    <n v="0"/>
    <n v="0"/>
    <d v="2012-05-01T00:00:00"/>
    <x v="1"/>
    <x v="2"/>
  </r>
  <r>
    <x v="0"/>
    <x v="5"/>
    <s v="Juni"/>
    <s v="Division_A"/>
    <x v="34"/>
    <n v="2016"/>
    <n v="0"/>
    <s v="TBM"/>
    <n v="17"/>
    <n v="2219"/>
    <s v="130.5"/>
    <x v="0"/>
    <n v="0"/>
    <n v="0"/>
    <n v="0"/>
    <d v="2012-06-01T00:00:00"/>
    <x v="1"/>
    <x v="2"/>
  </r>
  <r>
    <x v="0"/>
    <x v="6"/>
    <s v="Juli"/>
    <s v="Division_A"/>
    <x v="34"/>
    <n v="2016"/>
    <n v="0"/>
    <s v="TBM"/>
    <n v="17"/>
    <n v="2219"/>
    <s v="130.5"/>
    <x v="0"/>
    <n v="0"/>
    <n v="0"/>
    <n v="0"/>
    <d v="2012-07-01T00:00:00"/>
    <x v="1"/>
    <x v="2"/>
  </r>
  <r>
    <x v="0"/>
    <x v="7"/>
    <s v="Agustus"/>
    <s v="Division_A"/>
    <x v="34"/>
    <n v="2016"/>
    <n v="0"/>
    <s v="TBM"/>
    <n v="17"/>
    <n v="2219"/>
    <s v="130.5"/>
    <x v="0"/>
    <n v="0"/>
    <n v="0"/>
    <n v="0"/>
    <d v="2012-08-01T00:00:00"/>
    <x v="1"/>
    <x v="2"/>
  </r>
  <r>
    <x v="0"/>
    <x v="8"/>
    <s v="September"/>
    <s v="Division_A"/>
    <x v="34"/>
    <n v="2016"/>
    <n v="0"/>
    <s v="TBM"/>
    <n v="17"/>
    <n v="2219"/>
    <s v="130.5"/>
    <x v="0"/>
    <n v="0"/>
    <n v="0"/>
    <n v="0"/>
    <d v="2012-09-01T00:00:00"/>
    <x v="1"/>
    <x v="2"/>
  </r>
  <r>
    <x v="0"/>
    <x v="9"/>
    <s v="Oktober"/>
    <s v="Division_A"/>
    <x v="34"/>
    <n v="2016"/>
    <n v="0"/>
    <s v="TBM"/>
    <n v="17"/>
    <n v="2219"/>
    <s v="130.5"/>
    <x v="0"/>
    <n v="0"/>
    <n v="0"/>
    <n v="0"/>
    <d v="2012-10-01T00:00:00"/>
    <x v="1"/>
    <x v="2"/>
  </r>
  <r>
    <x v="0"/>
    <x v="10"/>
    <s v="November"/>
    <s v="Division_A"/>
    <x v="34"/>
    <n v="2016"/>
    <n v="0"/>
    <s v="TBM"/>
    <n v="17"/>
    <n v="2219"/>
    <s v="130.5"/>
    <x v="0"/>
    <n v="0"/>
    <n v="0"/>
    <n v="0"/>
    <d v="2012-11-01T00:00:00"/>
    <x v="1"/>
    <x v="2"/>
  </r>
  <r>
    <x v="0"/>
    <x v="11"/>
    <s v="Desember"/>
    <s v="Division_A"/>
    <x v="34"/>
    <n v="2016"/>
    <n v="0"/>
    <s v="TBM"/>
    <n v="17"/>
    <n v="2219"/>
    <s v="130.5"/>
    <x v="0"/>
    <n v="0"/>
    <n v="0"/>
    <n v="0"/>
    <d v="2012-12-01T00:00:00"/>
    <x v="1"/>
    <x v="2"/>
  </r>
  <r>
    <x v="0"/>
    <x v="0"/>
    <s v="Januari"/>
    <s v="Division_A"/>
    <x v="35"/>
    <n v="2016"/>
    <n v="0"/>
    <s v="TBM"/>
    <n v="15"/>
    <n v="2142"/>
    <s v="142.8"/>
    <x v="0"/>
    <n v="0"/>
    <n v="0"/>
    <n v="0"/>
    <d v="2012-01-01T00:00:00"/>
    <x v="1"/>
    <x v="2"/>
  </r>
  <r>
    <x v="0"/>
    <x v="1"/>
    <s v="Februari"/>
    <s v="Division_A"/>
    <x v="35"/>
    <n v="2016"/>
    <n v="0"/>
    <s v="TBM"/>
    <n v="15"/>
    <n v="2142"/>
    <s v="142.8"/>
    <x v="0"/>
    <n v="0"/>
    <n v="0"/>
    <n v="0"/>
    <d v="2012-02-01T00:00:00"/>
    <x v="1"/>
    <x v="2"/>
  </r>
  <r>
    <x v="0"/>
    <x v="2"/>
    <s v="Maret"/>
    <s v="Division_A"/>
    <x v="35"/>
    <n v="2016"/>
    <n v="0"/>
    <s v="TBM"/>
    <n v="15"/>
    <n v="2142"/>
    <s v="142.8"/>
    <x v="0"/>
    <n v="0"/>
    <n v="0"/>
    <n v="0"/>
    <d v="2012-03-01T00:00:00"/>
    <x v="1"/>
    <x v="2"/>
  </r>
  <r>
    <x v="0"/>
    <x v="3"/>
    <s v="April"/>
    <s v="Division_A"/>
    <x v="35"/>
    <n v="2016"/>
    <n v="0"/>
    <s v="TBM"/>
    <n v="15"/>
    <n v="2142"/>
    <s v="142.8"/>
    <x v="0"/>
    <n v="0"/>
    <n v="0"/>
    <n v="0"/>
    <d v="2012-04-01T00:00:00"/>
    <x v="1"/>
    <x v="2"/>
  </r>
  <r>
    <x v="0"/>
    <x v="4"/>
    <s v="Mei"/>
    <s v="Division_A"/>
    <x v="35"/>
    <n v="2016"/>
    <n v="0"/>
    <s v="TBM"/>
    <n v="15"/>
    <n v="2142"/>
    <s v="142.8"/>
    <x v="0"/>
    <n v="0"/>
    <n v="0"/>
    <n v="0"/>
    <d v="2012-05-01T00:00:00"/>
    <x v="1"/>
    <x v="2"/>
  </r>
  <r>
    <x v="0"/>
    <x v="5"/>
    <s v="Juni"/>
    <s v="Division_A"/>
    <x v="35"/>
    <n v="2016"/>
    <n v="0"/>
    <s v="TBM"/>
    <n v="15"/>
    <n v="2142"/>
    <s v="142.8"/>
    <x v="0"/>
    <n v="0"/>
    <n v="0"/>
    <n v="0"/>
    <d v="2012-06-01T00:00:00"/>
    <x v="1"/>
    <x v="2"/>
  </r>
  <r>
    <x v="0"/>
    <x v="6"/>
    <s v="Juli"/>
    <s v="Division_A"/>
    <x v="35"/>
    <n v="2016"/>
    <n v="0"/>
    <s v="TBM"/>
    <n v="15"/>
    <n v="2142"/>
    <s v="142.8"/>
    <x v="0"/>
    <n v="0"/>
    <n v="0"/>
    <n v="0"/>
    <d v="2012-07-01T00:00:00"/>
    <x v="1"/>
    <x v="2"/>
  </r>
  <r>
    <x v="0"/>
    <x v="7"/>
    <s v="Agustus"/>
    <s v="Division_A"/>
    <x v="35"/>
    <n v="2016"/>
    <n v="0"/>
    <s v="TBM"/>
    <n v="15"/>
    <n v="2142"/>
    <s v="142.8"/>
    <x v="0"/>
    <n v="0"/>
    <n v="0"/>
    <n v="0"/>
    <d v="2012-08-01T00:00:00"/>
    <x v="1"/>
    <x v="2"/>
  </r>
  <r>
    <x v="0"/>
    <x v="8"/>
    <s v="September"/>
    <s v="Division_A"/>
    <x v="35"/>
    <n v="2016"/>
    <n v="0"/>
    <s v="TBM"/>
    <n v="15"/>
    <n v="2142"/>
    <s v="142.8"/>
    <x v="0"/>
    <n v="0"/>
    <n v="0"/>
    <n v="0"/>
    <d v="2012-09-01T00:00:00"/>
    <x v="1"/>
    <x v="2"/>
  </r>
  <r>
    <x v="0"/>
    <x v="9"/>
    <s v="Oktober"/>
    <s v="Division_A"/>
    <x v="35"/>
    <n v="2016"/>
    <n v="0"/>
    <s v="TBM"/>
    <n v="15"/>
    <n v="2142"/>
    <s v="142.8"/>
    <x v="0"/>
    <n v="0"/>
    <n v="0"/>
    <n v="0"/>
    <d v="2012-10-01T00:00:00"/>
    <x v="1"/>
    <x v="2"/>
  </r>
  <r>
    <x v="0"/>
    <x v="10"/>
    <s v="November"/>
    <s v="Division_A"/>
    <x v="35"/>
    <n v="2016"/>
    <n v="0"/>
    <s v="TBM"/>
    <n v="15"/>
    <n v="2142"/>
    <s v="142.8"/>
    <x v="0"/>
    <n v="0"/>
    <n v="0"/>
    <n v="0"/>
    <d v="2012-11-01T00:00:00"/>
    <x v="1"/>
    <x v="2"/>
  </r>
  <r>
    <x v="0"/>
    <x v="11"/>
    <s v="Desember"/>
    <s v="Division_A"/>
    <x v="35"/>
    <n v="2016"/>
    <n v="0"/>
    <s v="TBM"/>
    <n v="15"/>
    <n v="2142"/>
    <s v="142.8"/>
    <x v="0"/>
    <n v="0"/>
    <n v="0"/>
    <n v="0"/>
    <d v="2012-12-01T00:00:00"/>
    <x v="1"/>
    <x v="2"/>
  </r>
  <r>
    <x v="0"/>
    <x v="0"/>
    <s v="Januari"/>
    <s v="Division_A"/>
    <x v="36"/>
    <n v="2016"/>
    <n v="0"/>
    <s v="TBM"/>
    <n v="24"/>
    <n v="3324"/>
    <s v="138.5"/>
    <x v="0"/>
    <n v="0"/>
    <n v="0"/>
    <n v="0"/>
    <d v="2012-01-01T00:00:00"/>
    <x v="1"/>
    <x v="2"/>
  </r>
  <r>
    <x v="0"/>
    <x v="1"/>
    <s v="Februari"/>
    <s v="Division_A"/>
    <x v="36"/>
    <n v="2016"/>
    <n v="0"/>
    <s v="TBM"/>
    <n v="24"/>
    <n v="3324"/>
    <s v="138.5"/>
    <x v="0"/>
    <n v="0"/>
    <n v="0"/>
    <n v="0"/>
    <d v="2012-02-01T00:00:00"/>
    <x v="1"/>
    <x v="2"/>
  </r>
  <r>
    <x v="0"/>
    <x v="2"/>
    <s v="Maret"/>
    <s v="Division_A"/>
    <x v="36"/>
    <n v="2016"/>
    <n v="0"/>
    <s v="TBM"/>
    <n v="24"/>
    <n v="3324"/>
    <s v="138.5"/>
    <x v="0"/>
    <n v="0"/>
    <n v="0"/>
    <n v="0"/>
    <d v="2012-03-01T00:00:00"/>
    <x v="1"/>
    <x v="2"/>
  </r>
  <r>
    <x v="0"/>
    <x v="3"/>
    <s v="April"/>
    <s v="Division_A"/>
    <x v="36"/>
    <n v="2016"/>
    <n v="0"/>
    <s v="TBM"/>
    <n v="24"/>
    <n v="3324"/>
    <s v="138.5"/>
    <x v="0"/>
    <n v="0"/>
    <n v="0"/>
    <n v="0"/>
    <d v="2012-04-01T00:00:00"/>
    <x v="1"/>
    <x v="2"/>
  </r>
  <r>
    <x v="0"/>
    <x v="4"/>
    <s v="Mei"/>
    <s v="Division_A"/>
    <x v="36"/>
    <n v="2016"/>
    <n v="0"/>
    <s v="TBM"/>
    <n v="24"/>
    <n v="3324"/>
    <s v="138.5"/>
    <x v="0"/>
    <n v="0"/>
    <n v="0"/>
    <n v="0"/>
    <d v="2012-05-01T00:00:00"/>
    <x v="1"/>
    <x v="2"/>
  </r>
  <r>
    <x v="0"/>
    <x v="5"/>
    <s v="Juni"/>
    <s v="Division_A"/>
    <x v="36"/>
    <n v="2016"/>
    <n v="0"/>
    <s v="TBM"/>
    <n v="24"/>
    <n v="3324"/>
    <s v="138.5"/>
    <x v="0"/>
    <n v="0"/>
    <n v="0"/>
    <n v="0"/>
    <d v="2012-06-01T00:00:00"/>
    <x v="1"/>
    <x v="2"/>
  </r>
  <r>
    <x v="0"/>
    <x v="6"/>
    <s v="Juli"/>
    <s v="Division_A"/>
    <x v="36"/>
    <n v="2016"/>
    <n v="0"/>
    <s v="TBM"/>
    <n v="24"/>
    <n v="3324"/>
    <s v="138.5"/>
    <x v="0"/>
    <n v="0"/>
    <n v="0"/>
    <n v="0"/>
    <d v="2012-07-01T00:00:00"/>
    <x v="1"/>
    <x v="2"/>
  </r>
  <r>
    <x v="0"/>
    <x v="7"/>
    <s v="Agustus"/>
    <s v="Division_A"/>
    <x v="36"/>
    <n v="2016"/>
    <n v="0"/>
    <s v="TBM"/>
    <n v="24"/>
    <n v="3324"/>
    <s v="138.5"/>
    <x v="0"/>
    <n v="0"/>
    <n v="0"/>
    <n v="0"/>
    <d v="2012-08-01T00:00:00"/>
    <x v="1"/>
    <x v="2"/>
  </r>
  <r>
    <x v="0"/>
    <x v="8"/>
    <s v="September"/>
    <s v="Division_A"/>
    <x v="36"/>
    <n v="2016"/>
    <n v="0"/>
    <s v="TBM"/>
    <n v="24"/>
    <n v="3324"/>
    <s v="138.5"/>
    <x v="0"/>
    <n v="0"/>
    <n v="0"/>
    <n v="0"/>
    <d v="2012-09-01T00:00:00"/>
    <x v="1"/>
    <x v="2"/>
  </r>
  <r>
    <x v="0"/>
    <x v="9"/>
    <s v="Oktober"/>
    <s v="Division_A"/>
    <x v="36"/>
    <n v="2016"/>
    <n v="0"/>
    <s v="TBM"/>
    <n v="24"/>
    <n v="3324"/>
    <s v="138.5"/>
    <x v="0"/>
    <n v="0"/>
    <n v="0"/>
    <n v="0"/>
    <d v="2012-10-01T00:00:00"/>
    <x v="1"/>
    <x v="2"/>
  </r>
  <r>
    <x v="0"/>
    <x v="10"/>
    <s v="November"/>
    <s v="Division_A"/>
    <x v="36"/>
    <n v="2016"/>
    <n v="0"/>
    <s v="TBM"/>
    <n v="24"/>
    <n v="3324"/>
    <s v="138.5"/>
    <x v="0"/>
    <n v="0"/>
    <n v="0"/>
    <n v="0"/>
    <d v="2012-11-01T00:00:00"/>
    <x v="1"/>
    <x v="2"/>
  </r>
  <r>
    <x v="0"/>
    <x v="11"/>
    <s v="Desember"/>
    <s v="Division_A"/>
    <x v="36"/>
    <n v="2016"/>
    <n v="0"/>
    <s v="TBM"/>
    <n v="24"/>
    <n v="3324"/>
    <s v="138.5"/>
    <x v="0"/>
    <n v="0"/>
    <n v="0"/>
    <n v="0"/>
    <d v="2012-12-01T00:00:00"/>
    <x v="1"/>
    <x v="2"/>
  </r>
  <r>
    <x v="0"/>
    <x v="0"/>
    <s v="Januari"/>
    <s v="Division_A"/>
    <x v="37"/>
    <n v="2016"/>
    <n v="0"/>
    <s v="TBM"/>
    <n v="20"/>
    <n v="2663"/>
    <s v="133.2"/>
    <x v="0"/>
    <n v="0"/>
    <n v="0"/>
    <n v="0"/>
    <d v="2012-01-01T00:00:00"/>
    <x v="1"/>
    <x v="2"/>
  </r>
  <r>
    <x v="0"/>
    <x v="1"/>
    <s v="Februari"/>
    <s v="Division_A"/>
    <x v="37"/>
    <n v="2016"/>
    <n v="0"/>
    <s v="TBM"/>
    <n v="20"/>
    <n v="2663"/>
    <s v="133.2"/>
    <x v="0"/>
    <n v="0"/>
    <n v="0"/>
    <n v="0"/>
    <d v="2012-02-01T00:00:00"/>
    <x v="1"/>
    <x v="2"/>
  </r>
  <r>
    <x v="0"/>
    <x v="2"/>
    <s v="Maret"/>
    <s v="Division_A"/>
    <x v="37"/>
    <n v="2016"/>
    <n v="0"/>
    <s v="TBM"/>
    <n v="20"/>
    <n v="2663"/>
    <s v="133.2"/>
    <x v="0"/>
    <n v="0"/>
    <n v="0"/>
    <n v="0"/>
    <d v="2012-03-01T00:00:00"/>
    <x v="1"/>
    <x v="2"/>
  </r>
  <r>
    <x v="0"/>
    <x v="3"/>
    <s v="April"/>
    <s v="Division_A"/>
    <x v="37"/>
    <n v="2016"/>
    <n v="0"/>
    <s v="TBM"/>
    <n v="20"/>
    <n v="2663"/>
    <s v="133.2"/>
    <x v="0"/>
    <n v="0"/>
    <n v="0"/>
    <n v="0"/>
    <d v="2012-04-01T00:00:00"/>
    <x v="1"/>
    <x v="2"/>
  </r>
  <r>
    <x v="0"/>
    <x v="4"/>
    <s v="Mei"/>
    <s v="Division_A"/>
    <x v="37"/>
    <n v="2016"/>
    <n v="0"/>
    <s v="TBM"/>
    <n v="20"/>
    <n v="2663"/>
    <s v="133.2"/>
    <x v="0"/>
    <n v="0"/>
    <n v="0"/>
    <n v="0"/>
    <d v="2012-05-01T00:00:00"/>
    <x v="1"/>
    <x v="2"/>
  </r>
  <r>
    <x v="0"/>
    <x v="5"/>
    <s v="Juni"/>
    <s v="Division_A"/>
    <x v="37"/>
    <n v="2016"/>
    <n v="0"/>
    <s v="TBM"/>
    <n v="20"/>
    <n v="2663"/>
    <s v="133.2"/>
    <x v="0"/>
    <n v="0"/>
    <n v="0"/>
    <n v="0"/>
    <d v="2012-06-01T00:00:00"/>
    <x v="1"/>
    <x v="2"/>
  </r>
  <r>
    <x v="0"/>
    <x v="6"/>
    <s v="Juli"/>
    <s v="Division_A"/>
    <x v="37"/>
    <n v="2016"/>
    <n v="0"/>
    <s v="TBM"/>
    <n v="20"/>
    <n v="2663"/>
    <s v="133.2"/>
    <x v="0"/>
    <n v="0"/>
    <n v="0"/>
    <n v="0"/>
    <d v="2012-07-01T00:00:00"/>
    <x v="1"/>
    <x v="2"/>
  </r>
  <r>
    <x v="0"/>
    <x v="7"/>
    <s v="Agustus"/>
    <s v="Division_A"/>
    <x v="37"/>
    <n v="2016"/>
    <n v="0"/>
    <s v="TBM"/>
    <n v="20"/>
    <n v="2663"/>
    <s v="133.2"/>
    <x v="0"/>
    <n v="0"/>
    <n v="0"/>
    <n v="0"/>
    <d v="2012-08-01T00:00:00"/>
    <x v="1"/>
    <x v="2"/>
  </r>
  <r>
    <x v="0"/>
    <x v="8"/>
    <s v="September"/>
    <s v="Division_A"/>
    <x v="37"/>
    <n v="2016"/>
    <n v="0"/>
    <s v="TBM"/>
    <n v="20"/>
    <n v="2663"/>
    <s v="133.2"/>
    <x v="0"/>
    <n v="0"/>
    <n v="0"/>
    <n v="0"/>
    <d v="2012-09-01T00:00:00"/>
    <x v="1"/>
    <x v="2"/>
  </r>
  <r>
    <x v="0"/>
    <x v="9"/>
    <s v="Oktober"/>
    <s v="Division_A"/>
    <x v="37"/>
    <n v="2016"/>
    <n v="0"/>
    <s v="TBM"/>
    <n v="20"/>
    <n v="2663"/>
    <s v="133.2"/>
    <x v="0"/>
    <n v="0"/>
    <n v="0"/>
    <n v="0"/>
    <d v="2012-10-01T00:00:00"/>
    <x v="1"/>
    <x v="2"/>
  </r>
  <r>
    <x v="0"/>
    <x v="10"/>
    <s v="November"/>
    <s v="Division_A"/>
    <x v="37"/>
    <n v="2016"/>
    <n v="0"/>
    <s v="TBM"/>
    <n v="20"/>
    <n v="2663"/>
    <s v="133.2"/>
    <x v="0"/>
    <n v="0"/>
    <n v="0"/>
    <n v="0"/>
    <d v="2012-11-01T00:00:00"/>
    <x v="1"/>
    <x v="2"/>
  </r>
  <r>
    <x v="0"/>
    <x v="11"/>
    <s v="Desember"/>
    <s v="Division_A"/>
    <x v="37"/>
    <n v="2016"/>
    <n v="0"/>
    <s v="TBM"/>
    <n v="20"/>
    <n v="2663"/>
    <s v="133.2"/>
    <x v="0"/>
    <n v="0"/>
    <n v="0"/>
    <n v="0"/>
    <d v="2012-12-01T00:00:00"/>
    <x v="1"/>
    <x v="2"/>
  </r>
  <r>
    <x v="0"/>
    <x v="0"/>
    <s v="Januari"/>
    <s v="Division_A"/>
    <x v="38"/>
    <n v="2016"/>
    <n v="0"/>
    <s v="TBM"/>
    <n v="14"/>
    <n v="1746"/>
    <s v="124.7"/>
    <x v="0"/>
    <n v="0"/>
    <n v="0"/>
    <n v="0"/>
    <d v="2012-01-01T00:00:00"/>
    <x v="1"/>
    <x v="2"/>
  </r>
  <r>
    <x v="0"/>
    <x v="1"/>
    <s v="Februari"/>
    <s v="Division_A"/>
    <x v="38"/>
    <n v="2016"/>
    <n v="0"/>
    <s v="TBM"/>
    <n v="14"/>
    <n v="1746"/>
    <s v="124.7"/>
    <x v="0"/>
    <n v="0"/>
    <n v="0"/>
    <n v="0"/>
    <d v="2012-02-01T00:00:00"/>
    <x v="1"/>
    <x v="2"/>
  </r>
  <r>
    <x v="0"/>
    <x v="2"/>
    <s v="Maret"/>
    <s v="Division_A"/>
    <x v="38"/>
    <n v="2016"/>
    <n v="0"/>
    <s v="TBM"/>
    <n v="14"/>
    <n v="1746"/>
    <s v="124.7"/>
    <x v="0"/>
    <n v="0"/>
    <n v="0"/>
    <n v="0"/>
    <d v="2012-03-01T00:00:00"/>
    <x v="1"/>
    <x v="2"/>
  </r>
  <r>
    <x v="0"/>
    <x v="3"/>
    <s v="April"/>
    <s v="Division_A"/>
    <x v="38"/>
    <n v="2016"/>
    <n v="0"/>
    <s v="TBM"/>
    <n v="14"/>
    <n v="1746"/>
    <s v="124.7"/>
    <x v="0"/>
    <n v="0"/>
    <n v="0"/>
    <n v="0"/>
    <d v="2012-04-01T00:00:00"/>
    <x v="1"/>
    <x v="2"/>
  </r>
  <r>
    <x v="0"/>
    <x v="4"/>
    <s v="Mei"/>
    <s v="Division_A"/>
    <x v="38"/>
    <n v="2016"/>
    <n v="0"/>
    <s v="TBM"/>
    <n v="14"/>
    <n v="1746"/>
    <s v="124.7"/>
    <x v="0"/>
    <n v="0"/>
    <n v="0"/>
    <n v="0"/>
    <d v="2012-05-01T00:00:00"/>
    <x v="1"/>
    <x v="2"/>
  </r>
  <r>
    <x v="0"/>
    <x v="5"/>
    <s v="Juni"/>
    <s v="Division_A"/>
    <x v="38"/>
    <n v="2016"/>
    <n v="0"/>
    <s v="TBM"/>
    <n v="14"/>
    <n v="1746"/>
    <s v="124.7"/>
    <x v="0"/>
    <n v="0"/>
    <n v="0"/>
    <n v="0"/>
    <d v="2012-06-01T00:00:00"/>
    <x v="1"/>
    <x v="2"/>
  </r>
  <r>
    <x v="0"/>
    <x v="6"/>
    <s v="Juli"/>
    <s v="Division_A"/>
    <x v="38"/>
    <n v="2016"/>
    <n v="0"/>
    <s v="TBM"/>
    <n v="14"/>
    <n v="1746"/>
    <s v="124.7"/>
    <x v="0"/>
    <n v="0"/>
    <n v="0"/>
    <n v="0"/>
    <d v="2012-07-01T00:00:00"/>
    <x v="1"/>
    <x v="2"/>
  </r>
  <r>
    <x v="0"/>
    <x v="7"/>
    <s v="Agustus"/>
    <s v="Division_A"/>
    <x v="38"/>
    <n v="2016"/>
    <n v="0"/>
    <s v="TBM"/>
    <n v="14"/>
    <n v="1746"/>
    <s v="124.7"/>
    <x v="0"/>
    <n v="0"/>
    <n v="0"/>
    <n v="0"/>
    <d v="2012-08-01T00:00:00"/>
    <x v="1"/>
    <x v="2"/>
  </r>
  <r>
    <x v="0"/>
    <x v="8"/>
    <s v="September"/>
    <s v="Division_A"/>
    <x v="38"/>
    <n v="2016"/>
    <n v="0"/>
    <s v="TBM"/>
    <n v="14"/>
    <n v="1746"/>
    <s v="124.7"/>
    <x v="0"/>
    <n v="0"/>
    <n v="0"/>
    <n v="0"/>
    <d v="2012-09-01T00:00:00"/>
    <x v="1"/>
    <x v="2"/>
  </r>
  <r>
    <x v="0"/>
    <x v="9"/>
    <s v="Oktober"/>
    <s v="Division_A"/>
    <x v="38"/>
    <n v="2016"/>
    <n v="0"/>
    <s v="TBM"/>
    <n v="14"/>
    <n v="1746"/>
    <s v="124.7"/>
    <x v="0"/>
    <n v="0"/>
    <n v="0"/>
    <n v="0"/>
    <d v="2012-10-01T00:00:00"/>
    <x v="1"/>
    <x v="2"/>
  </r>
  <r>
    <x v="0"/>
    <x v="10"/>
    <s v="November"/>
    <s v="Division_A"/>
    <x v="38"/>
    <n v="2016"/>
    <n v="0"/>
    <s v="TBM"/>
    <n v="14"/>
    <n v="1746"/>
    <s v="124.7"/>
    <x v="0"/>
    <n v="0"/>
    <n v="0"/>
    <n v="0"/>
    <d v="2012-11-01T00:00:00"/>
    <x v="1"/>
    <x v="2"/>
  </r>
  <r>
    <x v="0"/>
    <x v="11"/>
    <s v="Desember"/>
    <s v="Division_A"/>
    <x v="38"/>
    <n v="2016"/>
    <n v="0"/>
    <s v="TBM"/>
    <n v="14"/>
    <n v="1746"/>
    <s v="124.7"/>
    <x v="0"/>
    <n v="0"/>
    <n v="0"/>
    <n v="0"/>
    <d v="2012-12-01T00:00:00"/>
    <x v="1"/>
    <x v="2"/>
  </r>
  <r>
    <x v="0"/>
    <x v="0"/>
    <s v="Januari"/>
    <s v="Division_A"/>
    <x v="39"/>
    <n v="2016"/>
    <n v="0"/>
    <s v="TBM"/>
    <n v="24"/>
    <n v="3377"/>
    <s v="140.7"/>
    <x v="0"/>
    <n v="0"/>
    <n v="0"/>
    <n v="0"/>
    <d v="2012-01-01T00:00:00"/>
    <x v="1"/>
    <x v="2"/>
  </r>
  <r>
    <x v="0"/>
    <x v="1"/>
    <s v="Februari"/>
    <s v="Division_A"/>
    <x v="39"/>
    <n v="2016"/>
    <n v="0"/>
    <s v="TBM"/>
    <n v="24"/>
    <n v="3377"/>
    <s v="140.7"/>
    <x v="0"/>
    <n v="0"/>
    <n v="0"/>
    <n v="0"/>
    <d v="2012-02-01T00:00:00"/>
    <x v="1"/>
    <x v="2"/>
  </r>
  <r>
    <x v="0"/>
    <x v="2"/>
    <s v="Maret"/>
    <s v="Division_A"/>
    <x v="39"/>
    <n v="2016"/>
    <n v="0"/>
    <s v="TBM"/>
    <n v="24"/>
    <n v="3377"/>
    <s v="140.7"/>
    <x v="0"/>
    <n v="0"/>
    <n v="0"/>
    <n v="0"/>
    <d v="2012-03-01T00:00:00"/>
    <x v="1"/>
    <x v="2"/>
  </r>
  <r>
    <x v="0"/>
    <x v="3"/>
    <s v="April"/>
    <s v="Division_A"/>
    <x v="39"/>
    <n v="2016"/>
    <n v="0"/>
    <s v="TBM"/>
    <n v="24"/>
    <n v="3377"/>
    <s v="140.7"/>
    <x v="0"/>
    <n v="0"/>
    <n v="0"/>
    <n v="0"/>
    <d v="2012-04-01T00:00:00"/>
    <x v="1"/>
    <x v="2"/>
  </r>
  <r>
    <x v="0"/>
    <x v="4"/>
    <s v="Mei"/>
    <s v="Division_A"/>
    <x v="39"/>
    <n v="2016"/>
    <n v="0"/>
    <s v="TBM"/>
    <n v="24"/>
    <n v="3377"/>
    <s v="140.7"/>
    <x v="0"/>
    <n v="0"/>
    <n v="0"/>
    <n v="0"/>
    <d v="2012-05-01T00:00:00"/>
    <x v="1"/>
    <x v="2"/>
  </r>
  <r>
    <x v="0"/>
    <x v="5"/>
    <s v="Juni"/>
    <s v="Division_A"/>
    <x v="39"/>
    <n v="2016"/>
    <n v="0"/>
    <s v="TBM"/>
    <n v="24"/>
    <n v="3377"/>
    <s v="140.7"/>
    <x v="0"/>
    <n v="0"/>
    <n v="0"/>
    <n v="0"/>
    <d v="2012-06-01T00:00:00"/>
    <x v="1"/>
    <x v="2"/>
  </r>
  <r>
    <x v="0"/>
    <x v="6"/>
    <s v="Juli"/>
    <s v="Division_A"/>
    <x v="39"/>
    <n v="2016"/>
    <n v="0"/>
    <s v="TBM"/>
    <n v="24"/>
    <n v="3377"/>
    <s v="140.7"/>
    <x v="0"/>
    <n v="0"/>
    <n v="0"/>
    <n v="0"/>
    <d v="2012-07-01T00:00:00"/>
    <x v="1"/>
    <x v="2"/>
  </r>
  <r>
    <x v="0"/>
    <x v="7"/>
    <s v="Agustus"/>
    <s v="Division_A"/>
    <x v="39"/>
    <n v="2016"/>
    <n v="0"/>
    <s v="TBM"/>
    <n v="24"/>
    <n v="3377"/>
    <s v="140.7"/>
    <x v="0"/>
    <n v="0"/>
    <n v="0"/>
    <n v="0"/>
    <d v="2012-08-01T00:00:00"/>
    <x v="1"/>
    <x v="2"/>
  </r>
  <r>
    <x v="0"/>
    <x v="8"/>
    <s v="September"/>
    <s v="Division_A"/>
    <x v="39"/>
    <n v="2016"/>
    <n v="0"/>
    <s v="TBM"/>
    <n v="24"/>
    <n v="3377"/>
    <s v="140.7"/>
    <x v="0"/>
    <n v="0"/>
    <n v="0"/>
    <n v="0"/>
    <d v="2012-09-01T00:00:00"/>
    <x v="1"/>
    <x v="2"/>
  </r>
  <r>
    <x v="0"/>
    <x v="9"/>
    <s v="Oktober"/>
    <s v="Division_A"/>
    <x v="39"/>
    <n v="2016"/>
    <n v="0"/>
    <s v="TBM"/>
    <n v="24"/>
    <n v="3377"/>
    <s v="140.7"/>
    <x v="0"/>
    <n v="0"/>
    <n v="0"/>
    <n v="0"/>
    <d v="2012-10-01T00:00:00"/>
    <x v="1"/>
    <x v="2"/>
  </r>
  <r>
    <x v="0"/>
    <x v="10"/>
    <s v="November"/>
    <s v="Division_A"/>
    <x v="39"/>
    <n v="2016"/>
    <n v="0"/>
    <s v="TBM"/>
    <n v="24"/>
    <n v="3377"/>
    <s v="140.7"/>
    <x v="0"/>
    <n v="0"/>
    <n v="0"/>
    <n v="0"/>
    <d v="2012-11-01T00:00:00"/>
    <x v="1"/>
    <x v="2"/>
  </r>
  <r>
    <x v="0"/>
    <x v="11"/>
    <s v="Desember"/>
    <s v="Division_A"/>
    <x v="39"/>
    <n v="2016"/>
    <n v="0"/>
    <s v="TBM"/>
    <n v="24"/>
    <n v="3377"/>
    <s v="140.7"/>
    <x v="0"/>
    <n v="0"/>
    <n v="0"/>
    <n v="0"/>
    <d v="2012-12-01T00:00:00"/>
    <x v="1"/>
    <x v="2"/>
  </r>
  <r>
    <x v="0"/>
    <x v="0"/>
    <s v="Januari"/>
    <s v="Division_A"/>
    <x v="40"/>
    <n v="2016"/>
    <n v="0"/>
    <s v="TBM"/>
    <n v="25"/>
    <n v="3431"/>
    <s v="137.2"/>
    <x v="0"/>
    <n v="0"/>
    <n v="0"/>
    <n v="0"/>
    <d v="2012-01-01T00:00:00"/>
    <x v="1"/>
    <x v="2"/>
  </r>
  <r>
    <x v="0"/>
    <x v="1"/>
    <s v="Februari"/>
    <s v="Division_A"/>
    <x v="40"/>
    <n v="2016"/>
    <n v="0"/>
    <s v="TBM"/>
    <n v="25"/>
    <n v="3431"/>
    <s v="137.2"/>
    <x v="0"/>
    <n v="0"/>
    <n v="0"/>
    <n v="0"/>
    <d v="2012-02-01T00:00:00"/>
    <x v="1"/>
    <x v="2"/>
  </r>
  <r>
    <x v="0"/>
    <x v="2"/>
    <s v="Maret"/>
    <s v="Division_A"/>
    <x v="40"/>
    <n v="2016"/>
    <n v="0"/>
    <s v="TBM"/>
    <n v="25"/>
    <n v="3431"/>
    <s v="137.2"/>
    <x v="0"/>
    <n v="0"/>
    <n v="0"/>
    <n v="0"/>
    <d v="2012-03-01T00:00:00"/>
    <x v="1"/>
    <x v="2"/>
  </r>
  <r>
    <x v="0"/>
    <x v="3"/>
    <s v="April"/>
    <s v="Division_A"/>
    <x v="40"/>
    <n v="2016"/>
    <n v="0"/>
    <s v="TBM"/>
    <n v="25"/>
    <n v="3431"/>
    <s v="137.2"/>
    <x v="0"/>
    <n v="0"/>
    <n v="0"/>
    <n v="0"/>
    <d v="2012-04-01T00:00:00"/>
    <x v="1"/>
    <x v="2"/>
  </r>
  <r>
    <x v="0"/>
    <x v="4"/>
    <s v="Mei"/>
    <s v="Division_A"/>
    <x v="40"/>
    <n v="2016"/>
    <n v="0"/>
    <s v="TBM"/>
    <n v="25"/>
    <n v="3431"/>
    <s v="137.2"/>
    <x v="0"/>
    <n v="0"/>
    <n v="0"/>
    <n v="0"/>
    <d v="2012-05-01T00:00:00"/>
    <x v="1"/>
    <x v="2"/>
  </r>
  <r>
    <x v="0"/>
    <x v="5"/>
    <s v="Juni"/>
    <s v="Division_A"/>
    <x v="40"/>
    <n v="2016"/>
    <n v="0"/>
    <s v="TBM"/>
    <n v="25"/>
    <n v="3431"/>
    <s v="137.2"/>
    <x v="0"/>
    <n v="0"/>
    <n v="0"/>
    <n v="0"/>
    <d v="2012-06-01T00:00:00"/>
    <x v="1"/>
    <x v="2"/>
  </r>
  <r>
    <x v="0"/>
    <x v="6"/>
    <s v="Juli"/>
    <s v="Division_A"/>
    <x v="40"/>
    <n v="2016"/>
    <n v="0"/>
    <s v="TBM"/>
    <n v="25"/>
    <n v="3431"/>
    <s v="137.2"/>
    <x v="0"/>
    <n v="0"/>
    <n v="0"/>
    <n v="0"/>
    <d v="2012-07-01T00:00:00"/>
    <x v="1"/>
    <x v="2"/>
  </r>
  <r>
    <x v="0"/>
    <x v="7"/>
    <s v="Agustus"/>
    <s v="Division_A"/>
    <x v="40"/>
    <n v="2016"/>
    <n v="0"/>
    <s v="TBM"/>
    <n v="25"/>
    <n v="3431"/>
    <s v="137.2"/>
    <x v="0"/>
    <n v="0"/>
    <n v="0"/>
    <n v="0"/>
    <d v="2012-08-01T00:00:00"/>
    <x v="1"/>
    <x v="2"/>
  </r>
  <r>
    <x v="0"/>
    <x v="8"/>
    <s v="September"/>
    <s v="Division_A"/>
    <x v="40"/>
    <n v="2016"/>
    <n v="0"/>
    <s v="TBM"/>
    <n v="25"/>
    <n v="3431"/>
    <s v="137.2"/>
    <x v="0"/>
    <n v="0"/>
    <n v="0"/>
    <n v="0"/>
    <d v="2012-09-01T00:00:00"/>
    <x v="1"/>
    <x v="2"/>
  </r>
  <r>
    <x v="0"/>
    <x v="9"/>
    <s v="Oktober"/>
    <s v="Division_A"/>
    <x v="40"/>
    <n v="2016"/>
    <n v="0"/>
    <s v="TBM"/>
    <n v="25"/>
    <n v="3431"/>
    <s v="137.2"/>
    <x v="0"/>
    <n v="0"/>
    <n v="0"/>
    <n v="0"/>
    <d v="2012-10-01T00:00:00"/>
    <x v="1"/>
    <x v="2"/>
  </r>
  <r>
    <x v="0"/>
    <x v="10"/>
    <s v="November"/>
    <s v="Division_A"/>
    <x v="40"/>
    <n v="2016"/>
    <n v="0"/>
    <s v="TBM"/>
    <n v="25"/>
    <n v="3431"/>
    <s v="137.2"/>
    <x v="0"/>
    <n v="0"/>
    <n v="0"/>
    <n v="0"/>
    <d v="2012-11-01T00:00:00"/>
    <x v="1"/>
    <x v="2"/>
  </r>
  <r>
    <x v="0"/>
    <x v="11"/>
    <s v="Desember"/>
    <s v="Division_A"/>
    <x v="40"/>
    <n v="2016"/>
    <n v="0"/>
    <s v="TBM"/>
    <n v="25"/>
    <n v="3431"/>
    <s v="137.2"/>
    <x v="0"/>
    <n v="0"/>
    <n v="0"/>
    <n v="0"/>
    <d v="2012-12-01T00:00:00"/>
    <x v="1"/>
    <x v="2"/>
  </r>
  <r>
    <x v="0"/>
    <x v="0"/>
    <s v="Januari"/>
    <s v="Division_A"/>
    <x v="41"/>
    <n v="2016"/>
    <n v="0"/>
    <s v="TBM"/>
    <n v="21"/>
    <n v="2901"/>
    <s v="138.1"/>
    <x v="0"/>
    <n v="0"/>
    <n v="0"/>
    <n v="0"/>
    <d v="2012-01-01T00:00:00"/>
    <x v="1"/>
    <x v="2"/>
  </r>
  <r>
    <x v="0"/>
    <x v="1"/>
    <s v="Februari"/>
    <s v="Division_A"/>
    <x v="41"/>
    <n v="2016"/>
    <n v="0"/>
    <s v="TBM"/>
    <n v="21"/>
    <n v="2901"/>
    <s v="138.1"/>
    <x v="0"/>
    <n v="0"/>
    <n v="0"/>
    <n v="0"/>
    <d v="2012-02-01T00:00:00"/>
    <x v="1"/>
    <x v="2"/>
  </r>
  <r>
    <x v="0"/>
    <x v="2"/>
    <s v="Maret"/>
    <s v="Division_A"/>
    <x v="41"/>
    <n v="2016"/>
    <n v="0"/>
    <s v="TBM"/>
    <n v="21"/>
    <n v="2901"/>
    <s v="138.1"/>
    <x v="0"/>
    <n v="0"/>
    <n v="0"/>
    <n v="0"/>
    <d v="2012-03-01T00:00:00"/>
    <x v="1"/>
    <x v="2"/>
  </r>
  <r>
    <x v="0"/>
    <x v="3"/>
    <s v="April"/>
    <s v="Division_A"/>
    <x v="41"/>
    <n v="2016"/>
    <n v="0"/>
    <s v="TBM"/>
    <n v="21"/>
    <n v="2901"/>
    <s v="138.1"/>
    <x v="0"/>
    <n v="0"/>
    <n v="0"/>
    <n v="0"/>
    <d v="2012-04-01T00:00:00"/>
    <x v="1"/>
    <x v="2"/>
  </r>
  <r>
    <x v="0"/>
    <x v="4"/>
    <s v="Mei"/>
    <s v="Division_A"/>
    <x v="41"/>
    <n v="2016"/>
    <n v="0"/>
    <s v="TBM"/>
    <n v="21"/>
    <n v="2901"/>
    <s v="138.1"/>
    <x v="0"/>
    <n v="0"/>
    <n v="0"/>
    <n v="0"/>
    <d v="2012-05-01T00:00:00"/>
    <x v="1"/>
    <x v="2"/>
  </r>
  <r>
    <x v="0"/>
    <x v="5"/>
    <s v="Juni"/>
    <s v="Division_A"/>
    <x v="41"/>
    <n v="2016"/>
    <n v="0"/>
    <s v="TBM"/>
    <n v="21"/>
    <n v="2901"/>
    <s v="138.1"/>
    <x v="0"/>
    <n v="0"/>
    <n v="0"/>
    <n v="0"/>
    <d v="2012-06-01T00:00:00"/>
    <x v="1"/>
    <x v="2"/>
  </r>
  <r>
    <x v="0"/>
    <x v="6"/>
    <s v="Juli"/>
    <s v="Division_A"/>
    <x v="41"/>
    <n v="2016"/>
    <n v="0"/>
    <s v="TBM"/>
    <n v="21"/>
    <n v="2901"/>
    <s v="138.1"/>
    <x v="0"/>
    <n v="0"/>
    <n v="0"/>
    <n v="0"/>
    <d v="2012-07-01T00:00:00"/>
    <x v="1"/>
    <x v="2"/>
  </r>
  <r>
    <x v="0"/>
    <x v="7"/>
    <s v="Agustus"/>
    <s v="Division_A"/>
    <x v="41"/>
    <n v="2016"/>
    <n v="0"/>
    <s v="TBM"/>
    <n v="21"/>
    <n v="2901"/>
    <s v="138.1"/>
    <x v="0"/>
    <n v="0"/>
    <n v="0"/>
    <n v="0"/>
    <d v="2012-08-01T00:00:00"/>
    <x v="1"/>
    <x v="2"/>
  </r>
  <r>
    <x v="0"/>
    <x v="8"/>
    <s v="September"/>
    <s v="Division_A"/>
    <x v="41"/>
    <n v="2016"/>
    <n v="0"/>
    <s v="TBM"/>
    <n v="21"/>
    <n v="2901"/>
    <s v="138.1"/>
    <x v="0"/>
    <n v="0"/>
    <n v="0"/>
    <n v="0"/>
    <d v="2012-09-01T00:00:00"/>
    <x v="1"/>
    <x v="2"/>
  </r>
  <r>
    <x v="0"/>
    <x v="9"/>
    <s v="Oktober"/>
    <s v="Division_A"/>
    <x v="41"/>
    <n v="2016"/>
    <n v="0"/>
    <s v="TBM"/>
    <n v="21"/>
    <n v="2901"/>
    <s v="138.1"/>
    <x v="0"/>
    <n v="0"/>
    <n v="0"/>
    <n v="0"/>
    <d v="2012-10-01T00:00:00"/>
    <x v="1"/>
    <x v="2"/>
  </r>
  <r>
    <x v="0"/>
    <x v="10"/>
    <s v="November"/>
    <s v="Division_A"/>
    <x v="41"/>
    <n v="2016"/>
    <n v="0"/>
    <s v="TBM"/>
    <n v="21"/>
    <n v="2901"/>
    <s v="138.1"/>
    <x v="0"/>
    <n v="0"/>
    <n v="0"/>
    <n v="0"/>
    <d v="2012-11-01T00:00:00"/>
    <x v="1"/>
    <x v="2"/>
  </r>
  <r>
    <x v="0"/>
    <x v="11"/>
    <s v="Desember"/>
    <s v="Division_A"/>
    <x v="41"/>
    <n v="2016"/>
    <n v="0"/>
    <s v="TBM"/>
    <n v="21"/>
    <n v="2901"/>
    <s v="138.1"/>
    <x v="0"/>
    <n v="0"/>
    <n v="0"/>
    <n v="0"/>
    <d v="2012-12-01T00:00:00"/>
    <x v="1"/>
    <x v="2"/>
  </r>
  <r>
    <x v="1"/>
    <x v="0"/>
    <s v="Januari"/>
    <s v="Division_A"/>
    <x v="0"/>
    <n v="2000"/>
    <n v="13"/>
    <s v="TM-Utama"/>
    <n v="19"/>
    <n v="1490"/>
    <s v="78.4"/>
    <x v="0"/>
    <n v="1.0349999999999999"/>
    <n v="19665.900000000001"/>
    <n v="19.666"/>
    <d v="2013-01-01T00:00:00"/>
    <x v="0"/>
    <x v="0"/>
  </r>
  <r>
    <x v="1"/>
    <x v="1"/>
    <s v="Februari"/>
    <s v="Division_A"/>
    <x v="0"/>
    <n v="2000"/>
    <n v="13"/>
    <s v="TM-Utama"/>
    <n v="19"/>
    <n v="1490"/>
    <s v="78.4"/>
    <x v="0"/>
    <n v="0.86499999999999999"/>
    <n v="16439.099999999999"/>
    <n v="16.439"/>
    <d v="2013-02-01T00:00:00"/>
    <x v="0"/>
    <x v="0"/>
  </r>
  <r>
    <x v="1"/>
    <x v="2"/>
    <s v="Maret"/>
    <s v="Division_A"/>
    <x v="0"/>
    <n v="2000"/>
    <n v="13"/>
    <s v="TM-Utama"/>
    <n v="19"/>
    <n v="1490"/>
    <s v="78.4"/>
    <x v="0"/>
    <n v="1.1519999999999999"/>
    <n v="21889.7"/>
    <n v="21.89"/>
    <d v="2013-03-01T00:00:00"/>
    <x v="0"/>
    <x v="0"/>
  </r>
  <r>
    <x v="1"/>
    <x v="3"/>
    <s v="April"/>
    <s v="Division_A"/>
    <x v="0"/>
    <n v="2000"/>
    <n v="13"/>
    <s v="TM-Utama"/>
    <n v="19"/>
    <n v="1490"/>
    <s v="78.4"/>
    <x v="0"/>
    <n v="1.0489999999999999"/>
    <n v="19927.5"/>
    <n v="19.927"/>
    <d v="2013-04-01T00:00:00"/>
    <x v="0"/>
    <x v="0"/>
  </r>
  <r>
    <x v="1"/>
    <x v="4"/>
    <s v="Mei"/>
    <s v="Division_A"/>
    <x v="0"/>
    <n v="2000"/>
    <n v="13"/>
    <s v="TM-Utama"/>
    <n v="19"/>
    <n v="1490"/>
    <s v="78.4"/>
    <x v="0"/>
    <n v="1.218"/>
    <n v="23139.7"/>
    <n v="23.14"/>
    <d v="2013-05-01T00:00:00"/>
    <x v="0"/>
    <x v="0"/>
  </r>
  <r>
    <x v="1"/>
    <x v="5"/>
    <s v="Juni"/>
    <s v="Division_A"/>
    <x v="0"/>
    <n v="2000"/>
    <n v="13"/>
    <s v="TM-Utama"/>
    <n v="19"/>
    <n v="1490"/>
    <s v="78.4"/>
    <x v="0"/>
    <n v="1.323"/>
    <n v="25131"/>
    <n v="25.131"/>
    <d v="2013-06-01T00:00:00"/>
    <x v="0"/>
    <x v="0"/>
  </r>
  <r>
    <x v="1"/>
    <x v="6"/>
    <s v="Juli"/>
    <s v="Division_A"/>
    <x v="0"/>
    <n v="2000"/>
    <n v="13"/>
    <s v="TM-Utama"/>
    <n v="19"/>
    <n v="1490"/>
    <s v="78.4"/>
    <x v="0"/>
    <n v="1.754"/>
    <n v="33328.800000000003"/>
    <n v="33.329000000000001"/>
    <d v="2013-07-01T00:00:00"/>
    <x v="0"/>
    <x v="0"/>
  </r>
  <r>
    <x v="1"/>
    <x v="7"/>
    <s v="Agustus"/>
    <s v="Division_A"/>
    <x v="0"/>
    <n v="2000"/>
    <n v="13"/>
    <s v="TM-Utama"/>
    <n v="19"/>
    <n v="1490"/>
    <s v="78.4"/>
    <x v="0"/>
    <n v="1.427"/>
    <n v="27107.8"/>
    <n v="27.108000000000001"/>
    <d v="2013-08-01T00:00:00"/>
    <x v="0"/>
    <x v="0"/>
  </r>
  <r>
    <x v="1"/>
    <x v="8"/>
    <s v="September"/>
    <s v="Division_A"/>
    <x v="0"/>
    <n v="2000"/>
    <n v="13"/>
    <s v="TM-Utama"/>
    <n v="19"/>
    <n v="1490"/>
    <s v="78.4"/>
    <x v="0"/>
    <n v="1.417"/>
    <n v="26918.799999999999"/>
    <n v="26.919"/>
    <d v="2013-09-01T00:00:00"/>
    <x v="0"/>
    <x v="0"/>
  </r>
  <r>
    <x v="1"/>
    <x v="9"/>
    <s v="Oktober"/>
    <s v="Division_A"/>
    <x v="0"/>
    <n v="2000"/>
    <n v="13"/>
    <s v="TM-Utama"/>
    <n v="19"/>
    <n v="1490"/>
    <s v="78.4"/>
    <x v="0"/>
    <n v="1.381"/>
    <n v="26235.7"/>
    <n v="26.236000000000001"/>
    <d v="2013-10-01T00:00:00"/>
    <x v="0"/>
    <x v="0"/>
  </r>
  <r>
    <x v="1"/>
    <x v="10"/>
    <s v="November"/>
    <s v="Division_A"/>
    <x v="0"/>
    <n v="2000"/>
    <n v="13"/>
    <s v="TM-Utama"/>
    <n v="19"/>
    <n v="1490"/>
    <s v="78.4"/>
    <x v="0"/>
    <n v="1.3129999999999999"/>
    <n v="24942.1"/>
    <n v="24.942"/>
    <d v="2013-11-01T00:00:00"/>
    <x v="0"/>
    <x v="0"/>
  </r>
  <r>
    <x v="1"/>
    <x v="11"/>
    <s v="Desember"/>
    <s v="Division_A"/>
    <x v="0"/>
    <n v="2000"/>
    <n v="13"/>
    <s v="TM-Utama"/>
    <n v="19"/>
    <n v="1490"/>
    <s v="78.4"/>
    <x v="0"/>
    <n v="0.96599999999999997"/>
    <n v="18357.7"/>
    <n v="18.358000000000001"/>
    <d v="2013-12-01T00:00:00"/>
    <x v="0"/>
    <x v="0"/>
  </r>
  <r>
    <x v="1"/>
    <x v="0"/>
    <s v="Januari"/>
    <s v="Division_A"/>
    <x v="1"/>
    <n v="2000"/>
    <n v="13"/>
    <s v="TM-Utama"/>
    <n v="24"/>
    <n v="1675"/>
    <s v="69.8"/>
    <x v="0"/>
    <n v="1.0349999999999999"/>
    <n v="24841.1"/>
    <n v="24.841000000000001"/>
    <d v="2013-01-01T00:00:00"/>
    <x v="0"/>
    <x v="0"/>
  </r>
  <r>
    <x v="1"/>
    <x v="1"/>
    <s v="Februari"/>
    <s v="Division_A"/>
    <x v="1"/>
    <n v="2000"/>
    <n v="13"/>
    <s v="TM-Utama"/>
    <n v="24"/>
    <n v="1675"/>
    <s v="69.8"/>
    <x v="0"/>
    <n v="0.86499999999999999"/>
    <n v="20765.2"/>
    <n v="20.765000000000001"/>
    <d v="2013-02-01T00:00:00"/>
    <x v="0"/>
    <x v="0"/>
  </r>
  <r>
    <x v="1"/>
    <x v="2"/>
    <s v="Maret"/>
    <s v="Division_A"/>
    <x v="1"/>
    <n v="2000"/>
    <n v="13"/>
    <s v="TM-Utama"/>
    <n v="24"/>
    <n v="1675"/>
    <s v="69.8"/>
    <x v="0"/>
    <n v="1.1519999999999999"/>
    <n v="27650.2"/>
    <n v="27.65"/>
    <d v="2013-03-01T00:00:00"/>
    <x v="0"/>
    <x v="0"/>
  </r>
  <r>
    <x v="1"/>
    <x v="3"/>
    <s v="April"/>
    <s v="Division_A"/>
    <x v="1"/>
    <n v="2000"/>
    <n v="13"/>
    <s v="TM-Utama"/>
    <n v="24"/>
    <n v="1675"/>
    <s v="69.8"/>
    <x v="0"/>
    <n v="1.0489999999999999"/>
    <n v="25171.599999999999"/>
    <n v="25.172000000000001"/>
    <d v="2013-04-01T00:00:00"/>
    <x v="0"/>
    <x v="0"/>
  </r>
  <r>
    <x v="1"/>
    <x v="4"/>
    <s v="Mei"/>
    <s v="Division_A"/>
    <x v="1"/>
    <n v="2000"/>
    <n v="13"/>
    <s v="TM-Utama"/>
    <n v="24"/>
    <n v="1675"/>
    <s v="69.8"/>
    <x v="0"/>
    <n v="1.218"/>
    <n v="29229.1"/>
    <n v="29.228999999999999"/>
    <d v="2013-05-01T00:00:00"/>
    <x v="0"/>
    <x v="0"/>
  </r>
  <r>
    <x v="1"/>
    <x v="5"/>
    <s v="Juni"/>
    <s v="Division_A"/>
    <x v="1"/>
    <n v="2000"/>
    <n v="13"/>
    <s v="TM-Utama"/>
    <n v="24"/>
    <n v="1675"/>
    <s v="69.8"/>
    <x v="0"/>
    <n v="1.323"/>
    <n v="31744.400000000001"/>
    <n v="31.744"/>
    <d v="2013-06-01T00:00:00"/>
    <x v="0"/>
    <x v="0"/>
  </r>
  <r>
    <x v="1"/>
    <x v="6"/>
    <s v="Juli"/>
    <s v="Division_A"/>
    <x v="1"/>
    <n v="2000"/>
    <n v="13"/>
    <s v="TM-Utama"/>
    <n v="24"/>
    <n v="1675"/>
    <s v="69.8"/>
    <x v="0"/>
    <n v="1.754"/>
    <n v="42099.5"/>
    <n v="42.098999999999997"/>
    <d v="2013-07-01T00:00:00"/>
    <x v="0"/>
    <x v="0"/>
  </r>
  <r>
    <x v="1"/>
    <x v="7"/>
    <s v="Agustus"/>
    <s v="Division_A"/>
    <x v="1"/>
    <n v="2000"/>
    <n v="13"/>
    <s v="TM-Utama"/>
    <n v="24"/>
    <n v="1675"/>
    <s v="69.8"/>
    <x v="0"/>
    <n v="1.427"/>
    <n v="34241.4"/>
    <n v="34.241"/>
    <d v="2013-08-01T00:00:00"/>
    <x v="0"/>
    <x v="0"/>
  </r>
  <r>
    <x v="1"/>
    <x v="8"/>
    <s v="September"/>
    <s v="Division_A"/>
    <x v="1"/>
    <n v="2000"/>
    <n v="13"/>
    <s v="TM-Utama"/>
    <n v="24"/>
    <n v="1675"/>
    <s v="69.8"/>
    <x v="0"/>
    <n v="1.417"/>
    <n v="34002.699999999997"/>
    <n v="34.003"/>
    <d v="2013-09-01T00:00:00"/>
    <x v="0"/>
    <x v="0"/>
  </r>
  <r>
    <x v="1"/>
    <x v="9"/>
    <s v="Oktober"/>
    <s v="Division_A"/>
    <x v="1"/>
    <n v="2000"/>
    <n v="13"/>
    <s v="TM-Utama"/>
    <n v="24"/>
    <n v="1675"/>
    <s v="69.8"/>
    <x v="0"/>
    <n v="1.381"/>
    <n v="33139.800000000003"/>
    <n v="33.14"/>
    <d v="2013-10-01T00:00:00"/>
    <x v="0"/>
    <x v="0"/>
  </r>
  <r>
    <x v="1"/>
    <x v="10"/>
    <s v="November"/>
    <s v="Division_A"/>
    <x v="1"/>
    <n v="2000"/>
    <n v="13"/>
    <s v="TM-Utama"/>
    <n v="24"/>
    <n v="1675"/>
    <s v="69.8"/>
    <x v="0"/>
    <n v="1.3129999999999999"/>
    <n v="31505.8"/>
    <n v="31.506"/>
    <d v="2013-11-01T00:00:00"/>
    <x v="0"/>
    <x v="0"/>
  </r>
  <r>
    <x v="1"/>
    <x v="11"/>
    <s v="Desember"/>
    <s v="Division_A"/>
    <x v="1"/>
    <n v="2000"/>
    <n v="13"/>
    <s v="TM-Utama"/>
    <n v="24"/>
    <n v="1675"/>
    <s v="69.8"/>
    <x v="0"/>
    <n v="0.96599999999999997"/>
    <n v="23188.7"/>
    <n v="23.189"/>
    <d v="2013-12-01T00:00:00"/>
    <x v="0"/>
    <x v="0"/>
  </r>
  <r>
    <x v="1"/>
    <x v="0"/>
    <s v="Januari"/>
    <s v="Division_A"/>
    <x v="2"/>
    <n v="2005"/>
    <n v="8"/>
    <s v="TM-Utama"/>
    <n v="18"/>
    <n v="1922"/>
    <s v="106.8"/>
    <x v="0"/>
    <n v="1.0840000000000001"/>
    <n v="19503.5"/>
    <n v="19.503"/>
    <d v="2013-01-01T00:00:00"/>
    <x v="0"/>
    <x v="1"/>
  </r>
  <r>
    <x v="1"/>
    <x v="1"/>
    <s v="Februari"/>
    <s v="Division_A"/>
    <x v="2"/>
    <n v="2005"/>
    <n v="8"/>
    <s v="TM-Utama"/>
    <n v="18"/>
    <n v="1922"/>
    <s v="106.8"/>
    <x v="0"/>
    <n v="0.90600000000000003"/>
    <n v="16303.4"/>
    <n v="16.303000000000001"/>
    <d v="2013-02-01T00:00:00"/>
    <x v="0"/>
    <x v="1"/>
  </r>
  <r>
    <x v="1"/>
    <x v="2"/>
    <s v="Maret"/>
    <s v="Division_A"/>
    <x v="2"/>
    <n v="2005"/>
    <n v="8"/>
    <s v="TM-Utama"/>
    <n v="18"/>
    <n v="1922"/>
    <s v="106.8"/>
    <x v="0"/>
    <n v="1.206"/>
    <n v="21709"/>
    <n v="21.709"/>
    <d v="2013-03-01T00:00:00"/>
    <x v="0"/>
    <x v="1"/>
  </r>
  <r>
    <x v="1"/>
    <x v="3"/>
    <s v="April"/>
    <s v="Division_A"/>
    <x v="2"/>
    <n v="2005"/>
    <n v="8"/>
    <s v="TM-Utama"/>
    <n v="18"/>
    <n v="1922"/>
    <s v="106.8"/>
    <x v="0"/>
    <n v="1.0980000000000001"/>
    <n v="19763"/>
    <n v="19.763000000000002"/>
    <d v="2013-04-01T00:00:00"/>
    <x v="0"/>
    <x v="1"/>
  </r>
  <r>
    <x v="1"/>
    <x v="4"/>
    <s v="Mei"/>
    <s v="Division_A"/>
    <x v="2"/>
    <n v="2005"/>
    <n v="8"/>
    <s v="TM-Utama"/>
    <n v="18"/>
    <n v="1922"/>
    <s v="106.8"/>
    <x v="0"/>
    <n v="1.2749999999999999"/>
    <n v="22948.7"/>
    <n v="22.949000000000002"/>
    <d v="2013-05-01T00:00:00"/>
    <x v="0"/>
    <x v="1"/>
  </r>
  <r>
    <x v="1"/>
    <x v="5"/>
    <s v="Juni"/>
    <s v="Division_A"/>
    <x v="2"/>
    <n v="2005"/>
    <n v="8"/>
    <s v="TM-Utama"/>
    <n v="18"/>
    <n v="1922"/>
    <s v="106.8"/>
    <x v="0"/>
    <n v="1.385"/>
    <n v="24923.5"/>
    <n v="24.923999999999999"/>
    <d v="2013-06-01T00:00:00"/>
    <x v="0"/>
    <x v="1"/>
  </r>
  <r>
    <x v="1"/>
    <x v="6"/>
    <s v="Juli"/>
    <s v="Division_A"/>
    <x v="2"/>
    <n v="2005"/>
    <n v="8"/>
    <s v="TM-Utama"/>
    <n v="18"/>
    <n v="1922"/>
    <s v="106.8"/>
    <x v="0"/>
    <n v="1.8360000000000001"/>
    <n v="33053.599999999999"/>
    <n v="33.054000000000002"/>
    <d v="2013-07-01T00:00:00"/>
    <x v="0"/>
    <x v="1"/>
  </r>
  <r>
    <x v="1"/>
    <x v="7"/>
    <s v="Agustus"/>
    <s v="Division_A"/>
    <x v="2"/>
    <n v="2005"/>
    <n v="8"/>
    <s v="TM-Utama"/>
    <n v="18"/>
    <n v="1922"/>
    <s v="106.8"/>
    <x v="0"/>
    <n v="1.494"/>
    <n v="26884"/>
    <n v="26.884"/>
    <d v="2013-08-01T00:00:00"/>
    <x v="0"/>
    <x v="1"/>
  </r>
  <r>
    <x v="1"/>
    <x v="8"/>
    <s v="September"/>
    <s v="Division_A"/>
    <x v="2"/>
    <n v="2005"/>
    <n v="8"/>
    <s v="TM-Utama"/>
    <n v="18"/>
    <n v="1922"/>
    <s v="106.8"/>
    <x v="0"/>
    <n v="1.4830000000000001"/>
    <n v="26696.6"/>
    <n v="26.696999999999999"/>
    <d v="2013-09-01T00:00:00"/>
    <x v="0"/>
    <x v="1"/>
  </r>
  <r>
    <x v="1"/>
    <x v="9"/>
    <s v="Oktober"/>
    <s v="Division_A"/>
    <x v="2"/>
    <n v="2005"/>
    <n v="8"/>
    <s v="TM-Utama"/>
    <n v="18"/>
    <n v="1922"/>
    <s v="106.8"/>
    <x v="0"/>
    <n v="1.446"/>
    <n v="26019.1"/>
    <n v="26.018999999999998"/>
    <d v="2013-10-01T00:00:00"/>
    <x v="0"/>
    <x v="1"/>
  </r>
  <r>
    <x v="1"/>
    <x v="10"/>
    <s v="November"/>
    <s v="Division_A"/>
    <x v="2"/>
    <n v="2005"/>
    <n v="8"/>
    <s v="TM-Utama"/>
    <n v="18"/>
    <n v="1922"/>
    <s v="106.8"/>
    <x v="0"/>
    <n v="1.3740000000000001"/>
    <n v="24736.1"/>
    <n v="24.736000000000001"/>
    <d v="2013-11-01T00:00:00"/>
    <x v="0"/>
    <x v="1"/>
  </r>
  <r>
    <x v="1"/>
    <x v="11"/>
    <s v="Desember"/>
    <s v="Division_A"/>
    <x v="2"/>
    <n v="2005"/>
    <n v="8"/>
    <s v="TM-Utama"/>
    <n v="18"/>
    <n v="1922"/>
    <s v="106.8"/>
    <x v="0"/>
    <n v="1.0109999999999999"/>
    <n v="18206.099999999999"/>
    <n v="18.206"/>
    <d v="2013-12-01T00:00:00"/>
    <x v="0"/>
    <x v="1"/>
  </r>
  <r>
    <x v="1"/>
    <x v="0"/>
    <s v="Januari"/>
    <s v="Division_A"/>
    <x v="3"/>
    <n v="2005"/>
    <n v="8"/>
    <s v="TM-Utama"/>
    <n v="26"/>
    <n v="2827"/>
    <s v="108.7"/>
    <x v="0"/>
    <n v="1.103"/>
    <n v="28687"/>
    <n v="28.687000000000001"/>
    <d v="2013-01-01T00:00:00"/>
    <x v="0"/>
    <x v="1"/>
  </r>
  <r>
    <x v="1"/>
    <x v="1"/>
    <s v="Februari"/>
    <s v="Division_A"/>
    <x v="3"/>
    <n v="2005"/>
    <n v="8"/>
    <s v="TM-Utama"/>
    <n v="26"/>
    <n v="2827"/>
    <s v="108.7"/>
    <x v="0"/>
    <n v="0.92200000000000004"/>
    <n v="23980"/>
    <n v="23.98"/>
    <d v="2013-02-01T00:00:00"/>
    <x v="0"/>
    <x v="1"/>
  </r>
  <r>
    <x v="1"/>
    <x v="2"/>
    <s v="Maret"/>
    <s v="Division_A"/>
    <x v="3"/>
    <n v="2005"/>
    <n v="8"/>
    <s v="TM-Utama"/>
    <n v="26"/>
    <n v="2827"/>
    <s v="108.7"/>
    <x v="0"/>
    <n v="1.228"/>
    <n v="31931"/>
    <n v="31.931000000000001"/>
    <d v="2013-03-01T00:00:00"/>
    <x v="0"/>
    <x v="1"/>
  </r>
  <r>
    <x v="1"/>
    <x v="3"/>
    <s v="April"/>
    <s v="Division_A"/>
    <x v="3"/>
    <n v="2005"/>
    <n v="8"/>
    <s v="TM-Utama"/>
    <n v="26"/>
    <n v="2827"/>
    <s v="108.7"/>
    <x v="0"/>
    <n v="1.1180000000000001"/>
    <n v="29068.6"/>
    <n v="29.068999999999999"/>
    <d v="2013-04-01T00:00:00"/>
    <x v="0"/>
    <x v="1"/>
  </r>
  <r>
    <x v="1"/>
    <x v="4"/>
    <s v="Mei"/>
    <s v="Division_A"/>
    <x v="3"/>
    <n v="2005"/>
    <n v="8"/>
    <s v="TM-Utama"/>
    <n v="26"/>
    <n v="2827"/>
    <s v="108.7"/>
    <x v="0"/>
    <n v="1.298"/>
    <n v="33754.400000000001"/>
    <n v="33.753999999999998"/>
    <d v="2013-05-01T00:00:00"/>
    <x v="0"/>
    <x v="1"/>
  </r>
  <r>
    <x v="1"/>
    <x v="5"/>
    <s v="Juni"/>
    <s v="Division_A"/>
    <x v="3"/>
    <n v="2005"/>
    <n v="8"/>
    <s v="TM-Utama"/>
    <n v="26"/>
    <n v="2827"/>
    <s v="108.7"/>
    <x v="0"/>
    <n v="1.41"/>
    <n v="36659.1"/>
    <n v="36.658999999999999"/>
    <d v="2013-06-01T00:00:00"/>
    <x v="0"/>
    <x v="1"/>
  </r>
  <r>
    <x v="1"/>
    <x v="6"/>
    <s v="Juli"/>
    <s v="Division_A"/>
    <x v="3"/>
    <n v="2005"/>
    <n v="8"/>
    <s v="TM-Utama"/>
    <n v="26"/>
    <n v="2827"/>
    <s v="108.7"/>
    <x v="0"/>
    <n v="1.87"/>
    <n v="48617.3"/>
    <n v="48.616999999999997"/>
    <d v="2013-07-01T00:00:00"/>
    <x v="0"/>
    <x v="1"/>
  </r>
  <r>
    <x v="1"/>
    <x v="7"/>
    <s v="Agustus"/>
    <s v="Division_A"/>
    <x v="3"/>
    <n v="2005"/>
    <n v="8"/>
    <s v="TM-Utama"/>
    <n v="26"/>
    <n v="2827"/>
    <s v="108.7"/>
    <x v="0"/>
    <n v="1.5209999999999999"/>
    <n v="39542.699999999997"/>
    <n v="39.542999999999999"/>
    <d v="2013-08-01T00:00:00"/>
    <x v="0"/>
    <x v="1"/>
  </r>
  <r>
    <x v="1"/>
    <x v="8"/>
    <s v="September"/>
    <s v="Division_A"/>
    <x v="3"/>
    <n v="2005"/>
    <n v="8"/>
    <s v="TM-Utama"/>
    <n v="26"/>
    <n v="2827"/>
    <s v="108.7"/>
    <x v="0"/>
    <n v="1.51"/>
    <n v="39267"/>
    <n v="39.267000000000003"/>
    <d v="2013-09-01T00:00:00"/>
    <x v="0"/>
    <x v="1"/>
  </r>
  <r>
    <x v="1"/>
    <x v="9"/>
    <s v="Oktober"/>
    <s v="Division_A"/>
    <x v="3"/>
    <n v="2005"/>
    <n v="8"/>
    <s v="TM-Utama"/>
    <n v="26"/>
    <n v="2827"/>
    <s v="108.7"/>
    <x v="0"/>
    <n v="1.472"/>
    <n v="38270.5"/>
    <n v="38.271000000000001"/>
    <d v="2013-10-01T00:00:00"/>
    <x v="0"/>
    <x v="1"/>
  </r>
  <r>
    <x v="1"/>
    <x v="10"/>
    <s v="November"/>
    <s v="Division_A"/>
    <x v="3"/>
    <n v="2005"/>
    <n v="8"/>
    <s v="TM-Utama"/>
    <n v="26"/>
    <n v="2827"/>
    <s v="108.7"/>
    <x v="0"/>
    <n v="1.399"/>
    <n v="36383.5"/>
    <n v="36.383000000000003"/>
    <d v="2013-11-01T00:00:00"/>
    <x v="0"/>
    <x v="1"/>
  </r>
  <r>
    <x v="1"/>
    <x v="11"/>
    <s v="Desember"/>
    <s v="Division_A"/>
    <x v="3"/>
    <n v="2005"/>
    <n v="8"/>
    <s v="TM-Utama"/>
    <n v="26"/>
    <n v="2827"/>
    <s v="108.7"/>
    <x v="0"/>
    <n v="1.03"/>
    <n v="26778.799999999999"/>
    <n v="26.779"/>
    <d v="2013-12-01T00:00:00"/>
    <x v="0"/>
    <x v="1"/>
  </r>
  <r>
    <x v="1"/>
    <x v="0"/>
    <s v="Januari"/>
    <s v="Division_A"/>
    <x v="4"/>
    <n v="2005"/>
    <n v="8"/>
    <s v="TM-Utama"/>
    <n v="24"/>
    <n v="1947"/>
    <s v="81.1"/>
    <x v="1"/>
    <n v="1.0349999999999999"/>
    <n v="24841.1"/>
    <n v="24.841000000000001"/>
    <d v="2013-01-01T00:00:00"/>
    <x v="0"/>
    <x v="1"/>
  </r>
  <r>
    <x v="1"/>
    <x v="1"/>
    <s v="Februari"/>
    <s v="Division_A"/>
    <x v="4"/>
    <n v="2005"/>
    <n v="8"/>
    <s v="TM-Utama"/>
    <n v="24"/>
    <n v="1947"/>
    <s v="81.1"/>
    <x v="1"/>
    <n v="0.86499999999999999"/>
    <n v="20765.2"/>
    <n v="20.765000000000001"/>
    <d v="2013-02-01T00:00:00"/>
    <x v="0"/>
    <x v="1"/>
  </r>
  <r>
    <x v="1"/>
    <x v="2"/>
    <s v="Maret"/>
    <s v="Division_A"/>
    <x v="4"/>
    <n v="2005"/>
    <n v="8"/>
    <s v="TM-Utama"/>
    <n v="24"/>
    <n v="1947"/>
    <s v="81.1"/>
    <x v="1"/>
    <n v="1.1519999999999999"/>
    <n v="27650.2"/>
    <n v="27.65"/>
    <d v="2013-03-01T00:00:00"/>
    <x v="0"/>
    <x v="1"/>
  </r>
  <r>
    <x v="1"/>
    <x v="3"/>
    <s v="April"/>
    <s v="Division_A"/>
    <x v="4"/>
    <n v="2005"/>
    <n v="8"/>
    <s v="TM-Utama"/>
    <n v="24"/>
    <n v="1947"/>
    <s v="81.1"/>
    <x v="1"/>
    <n v="1.0489999999999999"/>
    <n v="25171.599999999999"/>
    <n v="25.172000000000001"/>
    <d v="2013-04-01T00:00:00"/>
    <x v="0"/>
    <x v="1"/>
  </r>
  <r>
    <x v="1"/>
    <x v="4"/>
    <s v="Mei"/>
    <s v="Division_A"/>
    <x v="4"/>
    <n v="2005"/>
    <n v="8"/>
    <s v="TM-Utama"/>
    <n v="24"/>
    <n v="1947"/>
    <s v="81.1"/>
    <x v="1"/>
    <n v="1.218"/>
    <n v="29229.1"/>
    <n v="29.228999999999999"/>
    <d v="2013-05-01T00:00:00"/>
    <x v="0"/>
    <x v="1"/>
  </r>
  <r>
    <x v="1"/>
    <x v="5"/>
    <s v="Juni"/>
    <s v="Division_A"/>
    <x v="4"/>
    <n v="2005"/>
    <n v="8"/>
    <s v="TM-Utama"/>
    <n v="24"/>
    <n v="1947"/>
    <s v="81.1"/>
    <x v="1"/>
    <n v="1.323"/>
    <n v="31744.400000000001"/>
    <n v="31.744"/>
    <d v="2013-06-01T00:00:00"/>
    <x v="0"/>
    <x v="1"/>
  </r>
  <r>
    <x v="1"/>
    <x v="6"/>
    <s v="Juli"/>
    <s v="Division_A"/>
    <x v="4"/>
    <n v="2005"/>
    <n v="8"/>
    <s v="TM-Utama"/>
    <n v="24"/>
    <n v="1947"/>
    <s v="81.1"/>
    <x v="1"/>
    <n v="1.754"/>
    <n v="42099.5"/>
    <n v="42.098999999999997"/>
    <d v="2013-07-01T00:00:00"/>
    <x v="0"/>
    <x v="1"/>
  </r>
  <r>
    <x v="1"/>
    <x v="7"/>
    <s v="Agustus"/>
    <s v="Division_A"/>
    <x v="4"/>
    <n v="2005"/>
    <n v="8"/>
    <s v="TM-Utama"/>
    <n v="24"/>
    <n v="1947"/>
    <s v="81.1"/>
    <x v="1"/>
    <n v="1.427"/>
    <n v="34241.4"/>
    <n v="34.241"/>
    <d v="2013-08-01T00:00:00"/>
    <x v="0"/>
    <x v="1"/>
  </r>
  <r>
    <x v="1"/>
    <x v="8"/>
    <s v="September"/>
    <s v="Division_A"/>
    <x v="4"/>
    <n v="2005"/>
    <n v="8"/>
    <s v="TM-Utama"/>
    <n v="24"/>
    <n v="1947"/>
    <s v="81.1"/>
    <x v="1"/>
    <n v="1.417"/>
    <n v="34002.699999999997"/>
    <n v="34.003"/>
    <d v="2013-09-01T00:00:00"/>
    <x v="0"/>
    <x v="1"/>
  </r>
  <r>
    <x v="1"/>
    <x v="9"/>
    <s v="Oktober"/>
    <s v="Division_A"/>
    <x v="4"/>
    <n v="2005"/>
    <n v="8"/>
    <s v="TM-Utama"/>
    <n v="24"/>
    <n v="1947"/>
    <s v="81.1"/>
    <x v="1"/>
    <n v="1.381"/>
    <n v="33139.800000000003"/>
    <n v="33.14"/>
    <d v="2013-10-01T00:00:00"/>
    <x v="0"/>
    <x v="1"/>
  </r>
  <r>
    <x v="1"/>
    <x v="10"/>
    <s v="November"/>
    <s v="Division_A"/>
    <x v="4"/>
    <n v="2005"/>
    <n v="8"/>
    <s v="TM-Utama"/>
    <n v="24"/>
    <n v="1947"/>
    <s v="81.1"/>
    <x v="1"/>
    <n v="1.3129999999999999"/>
    <n v="31505.8"/>
    <n v="31.506"/>
    <d v="2013-11-01T00:00:00"/>
    <x v="0"/>
    <x v="1"/>
  </r>
  <r>
    <x v="1"/>
    <x v="11"/>
    <s v="Desember"/>
    <s v="Division_A"/>
    <x v="4"/>
    <n v="2005"/>
    <n v="8"/>
    <s v="TM-Utama"/>
    <n v="24"/>
    <n v="1947"/>
    <s v="81.1"/>
    <x v="1"/>
    <n v="0.96599999999999997"/>
    <n v="23188.7"/>
    <n v="23.189"/>
    <d v="2013-12-01T00:00:00"/>
    <x v="0"/>
    <x v="1"/>
  </r>
  <r>
    <x v="1"/>
    <x v="0"/>
    <s v="Januari"/>
    <s v="Division_A"/>
    <x v="5"/>
    <n v="2006"/>
    <n v="7"/>
    <s v="TM-Utama"/>
    <n v="25"/>
    <n v="2740"/>
    <s v="109.6"/>
    <x v="1"/>
    <n v="1.1120000000000001"/>
    <n v="27804.2"/>
    <n v="27.803999999999998"/>
    <d v="2013-01-01T00:00:00"/>
    <x v="0"/>
    <x v="1"/>
  </r>
  <r>
    <x v="1"/>
    <x v="1"/>
    <s v="Februari"/>
    <s v="Division_A"/>
    <x v="5"/>
    <n v="2006"/>
    <n v="7"/>
    <s v="TM-Utama"/>
    <n v="25"/>
    <n v="2740"/>
    <s v="109.6"/>
    <x v="1"/>
    <n v="0.93"/>
    <n v="23242"/>
    <n v="23.242000000000001"/>
    <d v="2013-02-01T00:00:00"/>
    <x v="0"/>
    <x v="1"/>
  </r>
  <r>
    <x v="1"/>
    <x v="2"/>
    <s v="Maret"/>
    <s v="Division_A"/>
    <x v="5"/>
    <n v="2006"/>
    <n v="7"/>
    <s v="TM-Utama"/>
    <n v="25"/>
    <n v="2740"/>
    <s v="109.6"/>
    <x v="1"/>
    <n v="1.238"/>
    <n v="30948.3"/>
    <n v="30.948"/>
    <d v="2013-03-01T00:00:00"/>
    <x v="0"/>
    <x v="1"/>
  </r>
  <r>
    <x v="1"/>
    <x v="3"/>
    <s v="April"/>
    <s v="Division_A"/>
    <x v="5"/>
    <n v="2006"/>
    <n v="7"/>
    <s v="TM-Utama"/>
    <n v="25"/>
    <n v="2740"/>
    <s v="109.6"/>
    <x v="1"/>
    <n v="1.127"/>
    <n v="28174.1"/>
    <n v="28.173999999999999"/>
    <d v="2013-04-01T00:00:00"/>
    <x v="0"/>
    <x v="1"/>
  </r>
  <r>
    <x v="1"/>
    <x v="4"/>
    <s v="Mei"/>
    <s v="Division_A"/>
    <x v="5"/>
    <n v="2006"/>
    <n v="7"/>
    <s v="TM-Utama"/>
    <n v="25"/>
    <n v="2740"/>
    <s v="109.6"/>
    <x v="1"/>
    <n v="1.3089999999999999"/>
    <n v="32715.599999999999"/>
    <n v="32.716000000000001"/>
    <d v="2013-05-01T00:00:00"/>
    <x v="0"/>
    <x v="1"/>
  </r>
  <r>
    <x v="1"/>
    <x v="5"/>
    <s v="Juni"/>
    <s v="Division_A"/>
    <x v="5"/>
    <n v="2006"/>
    <n v="7"/>
    <s v="TM-Utama"/>
    <n v="25"/>
    <n v="2740"/>
    <s v="109.6"/>
    <x v="1"/>
    <n v="1.421"/>
    <n v="35530.9"/>
    <n v="35.530999999999999"/>
    <d v="2013-06-01T00:00:00"/>
    <x v="0"/>
    <x v="1"/>
  </r>
  <r>
    <x v="1"/>
    <x v="6"/>
    <s v="Juli"/>
    <s v="Division_A"/>
    <x v="5"/>
    <n v="2006"/>
    <n v="7"/>
    <s v="TM-Utama"/>
    <n v="25"/>
    <n v="2740"/>
    <s v="109.6"/>
    <x v="1"/>
    <n v="1.885"/>
    <n v="47121.2"/>
    <n v="47.121000000000002"/>
    <d v="2013-07-01T00:00:00"/>
    <x v="0"/>
    <x v="1"/>
  </r>
  <r>
    <x v="1"/>
    <x v="7"/>
    <s v="Agustus"/>
    <s v="Division_A"/>
    <x v="5"/>
    <n v="2006"/>
    <n v="7"/>
    <s v="TM-Utama"/>
    <n v="25"/>
    <n v="2740"/>
    <s v="109.6"/>
    <x v="1"/>
    <n v="1.5329999999999999"/>
    <n v="38325.800000000003"/>
    <n v="38.326000000000001"/>
    <d v="2013-08-01T00:00:00"/>
    <x v="0"/>
    <x v="1"/>
  </r>
  <r>
    <x v="1"/>
    <x v="8"/>
    <s v="September"/>
    <s v="Division_A"/>
    <x v="5"/>
    <n v="2006"/>
    <n v="7"/>
    <s v="TM-Utama"/>
    <n v="25"/>
    <n v="2740"/>
    <s v="109.6"/>
    <x v="1"/>
    <n v="1.522"/>
    <n v="38058.6"/>
    <n v="38.058999999999997"/>
    <d v="2013-09-01T00:00:00"/>
    <x v="0"/>
    <x v="1"/>
  </r>
  <r>
    <x v="1"/>
    <x v="9"/>
    <s v="Oktober"/>
    <s v="Division_A"/>
    <x v="5"/>
    <n v="2006"/>
    <n v="7"/>
    <s v="TM-Utama"/>
    <n v="25"/>
    <n v="2740"/>
    <s v="109.6"/>
    <x v="1"/>
    <n v="1.484"/>
    <n v="37092.699999999997"/>
    <n v="37.093000000000004"/>
    <d v="2013-10-01T00:00:00"/>
    <x v="0"/>
    <x v="1"/>
  </r>
  <r>
    <x v="1"/>
    <x v="10"/>
    <s v="November"/>
    <s v="Division_A"/>
    <x v="5"/>
    <n v="2006"/>
    <n v="7"/>
    <s v="TM-Utama"/>
    <n v="25"/>
    <n v="2740"/>
    <s v="109.6"/>
    <x v="1"/>
    <n v="1.411"/>
    <n v="35263.800000000003"/>
    <n v="35.264000000000003"/>
    <d v="2013-11-01T00:00:00"/>
    <x v="0"/>
    <x v="1"/>
  </r>
  <r>
    <x v="1"/>
    <x v="11"/>
    <s v="Desember"/>
    <s v="Division_A"/>
    <x v="5"/>
    <n v="2006"/>
    <n v="7"/>
    <s v="TM-Utama"/>
    <n v="25"/>
    <n v="2740"/>
    <s v="109.6"/>
    <x v="1"/>
    <n v="1.038"/>
    <n v="25954.6"/>
    <n v="25.954999999999998"/>
    <d v="2013-12-01T00:00:00"/>
    <x v="0"/>
    <x v="1"/>
  </r>
  <r>
    <x v="1"/>
    <x v="0"/>
    <s v="Januari"/>
    <s v="Division_A"/>
    <x v="6"/>
    <n v="2006"/>
    <n v="7"/>
    <s v="TM-Utama"/>
    <n v="24"/>
    <n v="3230"/>
    <s v="134.6"/>
    <x v="1"/>
    <n v="1.3660000000000001"/>
    <n v="32776.400000000001"/>
    <n v="32.776000000000003"/>
    <d v="2013-01-01T00:00:00"/>
    <x v="0"/>
    <x v="1"/>
  </r>
  <r>
    <x v="1"/>
    <x v="1"/>
    <s v="Februari"/>
    <s v="Division_A"/>
    <x v="6"/>
    <n v="2006"/>
    <n v="7"/>
    <s v="TM-Utama"/>
    <n v="24"/>
    <n v="3230"/>
    <s v="134.6"/>
    <x v="1"/>
    <n v="1.1419999999999999"/>
    <n v="27398.5"/>
    <n v="27.398"/>
    <d v="2013-02-01T00:00:00"/>
    <x v="0"/>
    <x v="1"/>
  </r>
  <r>
    <x v="1"/>
    <x v="2"/>
    <s v="Maret"/>
    <s v="Division_A"/>
    <x v="6"/>
    <n v="2006"/>
    <n v="7"/>
    <s v="TM-Utama"/>
    <n v="24"/>
    <n v="3230"/>
    <s v="134.6"/>
    <x v="1"/>
    <n v="1.52"/>
    <n v="36482.9"/>
    <n v="36.482999999999997"/>
    <d v="2013-03-01T00:00:00"/>
    <x v="0"/>
    <x v="1"/>
  </r>
  <r>
    <x v="1"/>
    <x v="3"/>
    <s v="April"/>
    <s v="Division_A"/>
    <x v="6"/>
    <n v="2006"/>
    <n v="7"/>
    <s v="TM-Utama"/>
    <n v="24"/>
    <n v="3230"/>
    <s v="134.6"/>
    <x v="1"/>
    <n v="1.3839999999999999"/>
    <n v="33212.5"/>
    <n v="33.212000000000003"/>
    <d v="2013-04-01T00:00:00"/>
    <x v="0"/>
    <x v="1"/>
  </r>
  <r>
    <x v="1"/>
    <x v="4"/>
    <s v="Mei"/>
    <s v="Division_A"/>
    <x v="6"/>
    <n v="2006"/>
    <n v="7"/>
    <s v="TM-Utama"/>
    <n v="24"/>
    <n v="3230"/>
    <s v="134.6"/>
    <x v="1"/>
    <n v="1.607"/>
    <n v="38566.199999999997"/>
    <n v="38.566000000000003"/>
    <d v="2013-05-01T00:00:00"/>
    <x v="0"/>
    <x v="1"/>
  </r>
  <r>
    <x v="1"/>
    <x v="5"/>
    <s v="Juni"/>
    <s v="Division_A"/>
    <x v="6"/>
    <n v="2006"/>
    <n v="7"/>
    <s v="TM-Utama"/>
    <n v="24"/>
    <n v="3230"/>
    <s v="134.6"/>
    <x v="1"/>
    <n v="1.7450000000000001"/>
    <n v="41885"/>
    <n v="41.884999999999998"/>
    <d v="2013-06-01T00:00:00"/>
    <x v="0"/>
    <x v="1"/>
  </r>
  <r>
    <x v="1"/>
    <x v="6"/>
    <s v="Juli"/>
    <s v="Division_A"/>
    <x v="6"/>
    <n v="2006"/>
    <n v="7"/>
    <s v="TM-Utama"/>
    <n v="24"/>
    <n v="3230"/>
    <s v="134.6"/>
    <x v="1"/>
    <n v="2.3140000000000001"/>
    <n v="55547.9"/>
    <n v="55.548000000000002"/>
    <d v="2013-07-01T00:00:00"/>
    <x v="0"/>
    <x v="1"/>
  </r>
  <r>
    <x v="1"/>
    <x v="7"/>
    <s v="Agustus"/>
    <s v="Division_A"/>
    <x v="6"/>
    <n v="2006"/>
    <n v="7"/>
    <s v="TM-Utama"/>
    <n v="24"/>
    <n v="3230"/>
    <s v="134.6"/>
    <x v="1"/>
    <n v="1.8819999999999999"/>
    <n v="45179.6"/>
    <n v="45.18"/>
    <d v="2013-08-01T00:00:00"/>
    <x v="0"/>
    <x v="1"/>
  </r>
  <r>
    <x v="1"/>
    <x v="8"/>
    <s v="September"/>
    <s v="Division_A"/>
    <x v="6"/>
    <n v="2006"/>
    <n v="7"/>
    <s v="TM-Utama"/>
    <n v="24"/>
    <n v="3230"/>
    <s v="134.6"/>
    <x v="1"/>
    <n v="1.869"/>
    <n v="44864.7"/>
    <n v="44.865000000000002"/>
    <d v="2013-09-01T00:00:00"/>
    <x v="0"/>
    <x v="1"/>
  </r>
  <r>
    <x v="1"/>
    <x v="9"/>
    <s v="Oktober"/>
    <s v="Division_A"/>
    <x v="6"/>
    <n v="2006"/>
    <n v="7"/>
    <s v="TM-Utama"/>
    <n v="24"/>
    <n v="3230"/>
    <s v="134.6"/>
    <x v="1"/>
    <n v="1.8220000000000001"/>
    <n v="43726.1"/>
    <n v="43.725999999999999"/>
    <d v="2013-10-01T00:00:00"/>
    <x v="0"/>
    <x v="1"/>
  </r>
  <r>
    <x v="1"/>
    <x v="10"/>
    <s v="November"/>
    <s v="Division_A"/>
    <x v="6"/>
    <n v="2006"/>
    <n v="7"/>
    <s v="TM-Utama"/>
    <n v="24"/>
    <n v="3230"/>
    <s v="134.6"/>
    <x v="1"/>
    <n v="1.732"/>
    <n v="41570.1"/>
    <n v="41.57"/>
    <d v="2013-11-01T00:00:00"/>
    <x v="0"/>
    <x v="1"/>
  </r>
  <r>
    <x v="1"/>
    <x v="11"/>
    <s v="Desember"/>
    <s v="Division_A"/>
    <x v="6"/>
    <n v="2006"/>
    <n v="7"/>
    <s v="TM-Utama"/>
    <n v="24"/>
    <n v="3230"/>
    <s v="134.6"/>
    <x v="1"/>
    <n v="1.2749999999999999"/>
    <n v="30596.2"/>
    <n v="30.596"/>
    <d v="2013-12-01T00:00:00"/>
    <x v="0"/>
    <x v="1"/>
  </r>
  <r>
    <x v="1"/>
    <x v="0"/>
    <s v="Januari"/>
    <s v="Division_A"/>
    <x v="7"/>
    <n v="2006"/>
    <n v="7"/>
    <s v="TM-Utama"/>
    <n v="22"/>
    <n v="2447"/>
    <s v="111.2"/>
    <x v="1"/>
    <n v="1.129"/>
    <n v="24830.9"/>
    <n v="24.831"/>
    <d v="2013-01-01T00:00:00"/>
    <x v="0"/>
    <x v="1"/>
  </r>
  <r>
    <x v="1"/>
    <x v="1"/>
    <s v="Februari"/>
    <s v="Division_A"/>
    <x v="7"/>
    <n v="2006"/>
    <n v="7"/>
    <s v="TM-Utama"/>
    <n v="22"/>
    <n v="2447"/>
    <s v="111.2"/>
    <x v="1"/>
    <n v="0.94299999999999995"/>
    <n v="20756.7"/>
    <n v="20.757000000000001"/>
    <d v="2013-02-01T00:00:00"/>
    <x v="0"/>
    <x v="1"/>
  </r>
  <r>
    <x v="1"/>
    <x v="2"/>
    <s v="Maret"/>
    <s v="Division_A"/>
    <x v="7"/>
    <n v="2006"/>
    <n v="7"/>
    <s v="TM-Utama"/>
    <n v="22"/>
    <n v="2447"/>
    <s v="111.2"/>
    <x v="1"/>
    <n v="1.256"/>
    <n v="27638.9"/>
    <n v="27.638999999999999"/>
    <d v="2013-03-01T00:00:00"/>
    <x v="0"/>
    <x v="1"/>
  </r>
  <r>
    <x v="1"/>
    <x v="3"/>
    <s v="April"/>
    <s v="Division_A"/>
    <x v="7"/>
    <n v="2006"/>
    <n v="7"/>
    <s v="TM-Utama"/>
    <n v="22"/>
    <n v="2447"/>
    <s v="111.2"/>
    <x v="1"/>
    <n v="1.1439999999999999"/>
    <n v="25161.3"/>
    <n v="25.161000000000001"/>
    <d v="2013-04-01T00:00:00"/>
    <x v="0"/>
    <x v="1"/>
  </r>
  <r>
    <x v="1"/>
    <x v="4"/>
    <s v="Mei"/>
    <s v="Division_A"/>
    <x v="7"/>
    <n v="2006"/>
    <n v="7"/>
    <s v="TM-Utama"/>
    <n v="22"/>
    <n v="2447"/>
    <s v="111.2"/>
    <x v="1"/>
    <n v="1.3280000000000001"/>
    <n v="29217.200000000001"/>
    <n v="29.216999999999999"/>
    <d v="2013-05-01T00:00:00"/>
    <x v="0"/>
    <x v="1"/>
  </r>
  <r>
    <x v="1"/>
    <x v="5"/>
    <s v="Juni"/>
    <s v="Division_A"/>
    <x v="7"/>
    <n v="2006"/>
    <n v="7"/>
    <s v="TM-Utama"/>
    <n v="22"/>
    <n v="2447"/>
    <s v="111.2"/>
    <x v="1"/>
    <n v="1.4419999999999999"/>
    <n v="31731.5"/>
    <n v="31.731000000000002"/>
    <d v="2013-06-01T00:00:00"/>
    <x v="0"/>
    <x v="1"/>
  </r>
  <r>
    <x v="1"/>
    <x v="6"/>
    <s v="Juli"/>
    <s v="Division_A"/>
    <x v="7"/>
    <n v="2006"/>
    <n v="7"/>
    <s v="TM-Utama"/>
    <n v="22"/>
    <n v="2447"/>
    <s v="111.2"/>
    <x v="1"/>
    <n v="1.913"/>
    <n v="42082.3"/>
    <n v="42.082000000000001"/>
    <d v="2013-07-01T00:00:00"/>
    <x v="0"/>
    <x v="1"/>
  </r>
  <r>
    <x v="1"/>
    <x v="7"/>
    <s v="Agustus"/>
    <s v="Division_A"/>
    <x v="7"/>
    <n v="2006"/>
    <n v="7"/>
    <s v="TM-Utama"/>
    <n v="22"/>
    <n v="2447"/>
    <s v="111.2"/>
    <x v="1"/>
    <n v="1.556"/>
    <n v="34227.4"/>
    <n v="34.226999999999997"/>
    <d v="2013-08-01T00:00:00"/>
    <x v="0"/>
    <x v="1"/>
  </r>
  <r>
    <x v="1"/>
    <x v="8"/>
    <s v="September"/>
    <s v="Division_A"/>
    <x v="7"/>
    <n v="2006"/>
    <n v="7"/>
    <s v="TM-Utama"/>
    <n v="22"/>
    <n v="2447"/>
    <s v="111.2"/>
    <x v="1"/>
    <n v="1.5449999999999999"/>
    <n v="33988.800000000003"/>
    <n v="33.988999999999997"/>
    <d v="2013-09-01T00:00:00"/>
    <x v="0"/>
    <x v="1"/>
  </r>
  <r>
    <x v="1"/>
    <x v="9"/>
    <s v="Oktober"/>
    <s v="Division_A"/>
    <x v="7"/>
    <n v="2006"/>
    <n v="7"/>
    <s v="TM-Utama"/>
    <n v="22"/>
    <n v="2447"/>
    <s v="111.2"/>
    <x v="1"/>
    <n v="1.506"/>
    <n v="33126.300000000003"/>
    <n v="33.125999999999998"/>
    <d v="2013-10-01T00:00:00"/>
    <x v="0"/>
    <x v="1"/>
  </r>
  <r>
    <x v="1"/>
    <x v="10"/>
    <s v="November"/>
    <s v="Division_A"/>
    <x v="7"/>
    <n v="2006"/>
    <n v="7"/>
    <s v="TM-Utama"/>
    <n v="22"/>
    <n v="2447"/>
    <s v="111.2"/>
    <x v="1"/>
    <n v="1.431"/>
    <n v="31492.9"/>
    <n v="31.492999999999999"/>
    <d v="2013-11-01T00:00:00"/>
    <x v="0"/>
    <x v="1"/>
  </r>
  <r>
    <x v="1"/>
    <x v="11"/>
    <s v="Desember"/>
    <s v="Division_A"/>
    <x v="7"/>
    <n v="2006"/>
    <n v="7"/>
    <s v="TM-Utama"/>
    <n v="22"/>
    <n v="2447"/>
    <s v="111.2"/>
    <x v="1"/>
    <n v="1.054"/>
    <n v="23179.200000000001"/>
    <n v="23.178999999999998"/>
    <d v="2013-12-01T00:00:00"/>
    <x v="0"/>
    <x v="1"/>
  </r>
  <r>
    <x v="1"/>
    <x v="0"/>
    <s v="Januari"/>
    <s v="Division_A"/>
    <x v="8"/>
    <n v="2006"/>
    <n v="7"/>
    <s v="TM-Utama"/>
    <n v="15"/>
    <n v="1866"/>
    <s v="124.4"/>
    <x v="1"/>
    <n v="1.262"/>
    <n v="18935.2"/>
    <n v="18.934999999999999"/>
    <d v="2013-01-01T00:00:00"/>
    <x v="0"/>
    <x v="1"/>
  </r>
  <r>
    <x v="1"/>
    <x v="1"/>
    <s v="Februari"/>
    <s v="Division_A"/>
    <x v="8"/>
    <n v="2006"/>
    <n v="7"/>
    <s v="TM-Utama"/>
    <n v="15"/>
    <n v="1866"/>
    <s v="124.4"/>
    <x v="1"/>
    <n v="1.0549999999999999"/>
    <n v="15828.3"/>
    <n v="15.827999999999999"/>
    <d v="2013-02-01T00:00:00"/>
    <x v="0"/>
    <x v="1"/>
  </r>
  <r>
    <x v="1"/>
    <x v="2"/>
    <s v="Maret"/>
    <s v="Division_A"/>
    <x v="8"/>
    <n v="2006"/>
    <n v="7"/>
    <s v="TM-Utama"/>
    <n v="15"/>
    <n v="1866"/>
    <s v="124.4"/>
    <x v="1"/>
    <n v="1.405"/>
    <n v="21076.5"/>
    <n v="21.076000000000001"/>
    <d v="2013-03-01T00:00:00"/>
    <x v="0"/>
    <x v="1"/>
  </r>
  <r>
    <x v="1"/>
    <x v="3"/>
    <s v="April"/>
    <s v="Division_A"/>
    <x v="8"/>
    <n v="2006"/>
    <n v="7"/>
    <s v="TM-Utama"/>
    <n v="15"/>
    <n v="1866"/>
    <s v="124.4"/>
    <x v="1"/>
    <n v="1.2789999999999999"/>
    <n v="19187.099999999999"/>
    <n v="19.187000000000001"/>
    <d v="2013-04-01T00:00:00"/>
    <x v="0"/>
    <x v="1"/>
  </r>
  <r>
    <x v="1"/>
    <x v="4"/>
    <s v="Mei"/>
    <s v="Division_A"/>
    <x v="8"/>
    <n v="2006"/>
    <n v="7"/>
    <s v="TM-Utama"/>
    <n v="15"/>
    <n v="1866"/>
    <s v="124.4"/>
    <x v="1"/>
    <n v="1.4850000000000001"/>
    <n v="22280"/>
    <n v="22.28"/>
    <d v="2013-05-01T00:00:00"/>
    <x v="0"/>
    <x v="1"/>
  </r>
  <r>
    <x v="1"/>
    <x v="5"/>
    <s v="Juni"/>
    <s v="Division_A"/>
    <x v="8"/>
    <n v="2006"/>
    <n v="7"/>
    <s v="TM-Utama"/>
    <n v="15"/>
    <n v="1866"/>
    <s v="124.4"/>
    <x v="1"/>
    <n v="1.613"/>
    <n v="24197.4"/>
    <n v="24.196999999999999"/>
    <d v="2013-06-01T00:00:00"/>
    <x v="0"/>
    <x v="1"/>
  </r>
  <r>
    <x v="1"/>
    <x v="6"/>
    <s v="Juli"/>
    <s v="Division_A"/>
    <x v="8"/>
    <n v="2006"/>
    <n v="7"/>
    <s v="TM-Utama"/>
    <n v="15"/>
    <n v="1866"/>
    <s v="124.4"/>
    <x v="1"/>
    <n v="2.1389999999999998"/>
    <n v="32090.5"/>
    <n v="32.091000000000001"/>
    <d v="2013-07-01T00:00:00"/>
    <x v="0"/>
    <x v="1"/>
  </r>
  <r>
    <x v="1"/>
    <x v="7"/>
    <s v="Agustus"/>
    <s v="Division_A"/>
    <x v="8"/>
    <n v="2006"/>
    <n v="7"/>
    <s v="TM-Utama"/>
    <n v="15"/>
    <n v="1866"/>
    <s v="124.4"/>
    <x v="1"/>
    <n v="1.74"/>
    <n v="26100.7"/>
    <n v="26.100999999999999"/>
    <d v="2013-08-01T00:00:00"/>
    <x v="0"/>
    <x v="1"/>
  </r>
  <r>
    <x v="1"/>
    <x v="8"/>
    <s v="September"/>
    <s v="Division_A"/>
    <x v="8"/>
    <n v="2006"/>
    <n v="7"/>
    <s v="TM-Utama"/>
    <n v="15"/>
    <n v="1866"/>
    <s v="124.4"/>
    <x v="1"/>
    <n v="1.728"/>
    <n v="25918.7"/>
    <n v="25.919"/>
    <d v="2013-09-01T00:00:00"/>
    <x v="0"/>
    <x v="1"/>
  </r>
  <r>
    <x v="1"/>
    <x v="9"/>
    <s v="Oktober"/>
    <s v="Division_A"/>
    <x v="8"/>
    <n v="2006"/>
    <n v="7"/>
    <s v="TM-Utama"/>
    <n v="15"/>
    <n v="1866"/>
    <s v="124.4"/>
    <x v="1"/>
    <n v="1.6839999999999999"/>
    <n v="25261"/>
    <n v="25.260999999999999"/>
    <d v="2013-10-01T00:00:00"/>
    <x v="0"/>
    <x v="1"/>
  </r>
  <r>
    <x v="1"/>
    <x v="10"/>
    <s v="November"/>
    <s v="Division_A"/>
    <x v="8"/>
    <n v="2006"/>
    <n v="7"/>
    <s v="TM-Utama"/>
    <n v="15"/>
    <n v="1866"/>
    <s v="124.4"/>
    <x v="1"/>
    <n v="1.601"/>
    <n v="24015.4"/>
    <n v="24.015000000000001"/>
    <d v="2013-11-01T00:00:00"/>
    <x v="0"/>
    <x v="1"/>
  </r>
  <r>
    <x v="1"/>
    <x v="11"/>
    <s v="Desember"/>
    <s v="Division_A"/>
    <x v="8"/>
    <n v="2006"/>
    <n v="7"/>
    <s v="TM-Utama"/>
    <n v="15"/>
    <n v="1866"/>
    <s v="124.4"/>
    <x v="1"/>
    <n v="1.1779999999999999"/>
    <n v="17675.7"/>
    <n v="17.675999999999998"/>
    <d v="2013-12-01T00:00:00"/>
    <x v="0"/>
    <x v="1"/>
  </r>
  <r>
    <x v="1"/>
    <x v="0"/>
    <s v="Januari"/>
    <s v="Division_A"/>
    <x v="9"/>
    <n v="2006"/>
    <n v="7"/>
    <s v="TM-Utama"/>
    <n v="25"/>
    <n v="3154"/>
    <s v="126.2"/>
    <x v="1"/>
    <n v="1.28"/>
    <n v="32005.200000000001"/>
    <n v="32.005000000000003"/>
    <d v="2013-01-01T00:00:00"/>
    <x v="0"/>
    <x v="1"/>
  </r>
  <r>
    <x v="1"/>
    <x v="1"/>
    <s v="Februari"/>
    <s v="Division_A"/>
    <x v="9"/>
    <n v="2006"/>
    <n v="7"/>
    <s v="TM-Utama"/>
    <n v="25"/>
    <n v="3154"/>
    <s v="126.2"/>
    <x v="1"/>
    <n v="1.07"/>
    <n v="26753.8"/>
    <n v="26.754000000000001"/>
    <d v="2013-02-01T00:00:00"/>
    <x v="0"/>
    <x v="1"/>
  </r>
  <r>
    <x v="1"/>
    <x v="2"/>
    <s v="Maret"/>
    <s v="Division_A"/>
    <x v="9"/>
    <n v="2006"/>
    <n v="7"/>
    <s v="TM-Utama"/>
    <n v="25"/>
    <n v="3154"/>
    <s v="126.2"/>
    <x v="1"/>
    <n v="1.425"/>
    <n v="35624.400000000001"/>
    <n v="35.624000000000002"/>
    <d v="2013-03-01T00:00:00"/>
    <x v="0"/>
    <x v="1"/>
  </r>
  <r>
    <x v="1"/>
    <x v="3"/>
    <s v="April"/>
    <s v="Division_A"/>
    <x v="9"/>
    <n v="2006"/>
    <n v="7"/>
    <s v="TM-Utama"/>
    <n v="25"/>
    <n v="3154"/>
    <s v="126.2"/>
    <x v="1"/>
    <n v="1.2969999999999999"/>
    <n v="32431"/>
    <n v="32.430999999999997"/>
    <d v="2013-04-01T00:00:00"/>
    <x v="0"/>
    <x v="1"/>
  </r>
  <r>
    <x v="1"/>
    <x v="4"/>
    <s v="Mei"/>
    <s v="Division_A"/>
    <x v="9"/>
    <n v="2006"/>
    <n v="7"/>
    <s v="TM-Utama"/>
    <n v="25"/>
    <n v="3154"/>
    <s v="126.2"/>
    <x v="1"/>
    <n v="1.506"/>
    <n v="37658.800000000003"/>
    <n v="37.658999999999999"/>
    <d v="2013-05-01T00:00:00"/>
    <x v="0"/>
    <x v="1"/>
  </r>
  <r>
    <x v="1"/>
    <x v="5"/>
    <s v="Juni"/>
    <s v="Division_A"/>
    <x v="9"/>
    <n v="2006"/>
    <n v="7"/>
    <s v="TM-Utama"/>
    <n v="25"/>
    <n v="3154"/>
    <s v="126.2"/>
    <x v="1"/>
    <n v="1.6359999999999999"/>
    <n v="40899.5"/>
    <n v="40.899000000000001"/>
    <d v="2013-06-01T00:00:00"/>
    <x v="0"/>
    <x v="1"/>
  </r>
  <r>
    <x v="1"/>
    <x v="6"/>
    <s v="Juli"/>
    <s v="Division_A"/>
    <x v="9"/>
    <n v="2006"/>
    <n v="7"/>
    <s v="TM-Utama"/>
    <n v="25"/>
    <n v="3154"/>
    <s v="126.2"/>
    <x v="1"/>
    <n v="2.17"/>
    <n v="54240.9"/>
    <n v="54.241"/>
    <d v="2013-07-01T00:00:00"/>
    <x v="0"/>
    <x v="1"/>
  </r>
  <r>
    <x v="1"/>
    <x v="7"/>
    <s v="Agustus"/>
    <s v="Division_A"/>
    <x v="9"/>
    <n v="2006"/>
    <n v="7"/>
    <s v="TM-Utama"/>
    <n v="25"/>
    <n v="3154"/>
    <s v="126.2"/>
    <x v="1"/>
    <n v="1.7649999999999999"/>
    <n v="44116.6"/>
    <n v="44.116999999999997"/>
    <d v="2013-08-01T00:00:00"/>
    <x v="0"/>
    <x v="1"/>
  </r>
  <r>
    <x v="1"/>
    <x v="8"/>
    <s v="September"/>
    <s v="Division_A"/>
    <x v="9"/>
    <n v="2006"/>
    <n v="7"/>
    <s v="TM-Utama"/>
    <n v="25"/>
    <n v="3154"/>
    <s v="126.2"/>
    <x v="1"/>
    <n v="1.752"/>
    <n v="43809.1"/>
    <n v="43.808999999999997"/>
    <d v="2013-09-01T00:00:00"/>
    <x v="0"/>
    <x v="1"/>
  </r>
  <r>
    <x v="1"/>
    <x v="9"/>
    <s v="Oktober"/>
    <s v="Division_A"/>
    <x v="9"/>
    <n v="2006"/>
    <n v="7"/>
    <s v="TM-Utama"/>
    <n v="25"/>
    <n v="3154"/>
    <s v="126.2"/>
    <x v="1"/>
    <n v="1.708"/>
    <n v="42697.3"/>
    <n v="42.697000000000003"/>
    <d v="2013-10-01T00:00:00"/>
    <x v="0"/>
    <x v="1"/>
  </r>
  <r>
    <x v="1"/>
    <x v="10"/>
    <s v="November"/>
    <s v="Division_A"/>
    <x v="9"/>
    <n v="2006"/>
    <n v="7"/>
    <s v="TM-Utama"/>
    <n v="25"/>
    <n v="3154"/>
    <s v="126.2"/>
    <x v="1"/>
    <n v="1.6240000000000001"/>
    <n v="40592"/>
    <n v="40.591999999999999"/>
    <d v="2013-11-01T00:00:00"/>
    <x v="0"/>
    <x v="1"/>
  </r>
  <r>
    <x v="1"/>
    <x v="11"/>
    <s v="Desember"/>
    <s v="Division_A"/>
    <x v="9"/>
    <n v="2006"/>
    <n v="7"/>
    <s v="TM-Utama"/>
    <n v="25"/>
    <n v="3154"/>
    <s v="126.2"/>
    <x v="1"/>
    <n v="1.1950000000000001"/>
    <n v="29876.3"/>
    <n v="29.876000000000001"/>
    <d v="2013-12-01T00:00:00"/>
    <x v="0"/>
    <x v="1"/>
  </r>
  <r>
    <x v="1"/>
    <x v="0"/>
    <s v="Januari"/>
    <s v="Division_A"/>
    <x v="10"/>
    <n v="2006"/>
    <n v="7"/>
    <s v="TM-Utama"/>
    <n v="35"/>
    <n v="4204"/>
    <s v="120.1"/>
    <x v="1"/>
    <n v="1.2190000000000001"/>
    <n v="42660.1"/>
    <n v="42.66"/>
    <d v="2013-01-01T00:00:00"/>
    <x v="0"/>
    <x v="1"/>
  </r>
  <r>
    <x v="1"/>
    <x v="1"/>
    <s v="Februari"/>
    <s v="Division_A"/>
    <x v="10"/>
    <n v="2006"/>
    <n v="7"/>
    <s v="TM-Utama"/>
    <n v="35"/>
    <n v="4204"/>
    <s v="120.1"/>
    <x v="1"/>
    <n v="1.0189999999999999"/>
    <n v="35660.400000000001"/>
    <n v="35.659999999999997"/>
    <d v="2013-02-01T00:00:00"/>
    <x v="0"/>
    <x v="1"/>
  </r>
  <r>
    <x v="1"/>
    <x v="2"/>
    <s v="Maret"/>
    <s v="Division_A"/>
    <x v="10"/>
    <n v="2006"/>
    <n v="7"/>
    <s v="TM-Utama"/>
    <n v="35"/>
    <n v="4204"/>
    <s v="120.1"/>
    <x v="1"/>
    <n v="1.357"/>
    <n v="47484.2"/>
    <n v="47.484000000000002"/>
    <d v="2013-03-01T00:00:00"/>
    <x v="0"/>
    <x v="1"/>
  </r>
  <r>
    <x v="1"/>
    <x v="3"/>
    <s v="April"/>
    <s v="Division_A"/>
    <x v="10"/>
    <n v="2006"/>
    <n v="7"/>
    <s v="TM-Utama"/>
    <n v="35"/>
    <n v="4204"/>
    <s v="120.1"/>
    <x v="1"/>
    <n v="1.2350000000000001"/>
    <n v="43227.6"/>
    <n v="43.228000000000002"/>
    <d v="2013-04-01T00:00:00"/>
    <x v="0"/>
    <x v="1"/>
  </r>
  <r>
    <x v="1"/>
    <x v="4"/>
    <s v="Mei"/>
    <s v="Division_A"/>
    <x v="10"/>
    <n v="2006"/>
    <n v="7"/>
    <s v="TM-Utama"/>
    <n v="35"/>
    <n v="4204"/>
    <s v="120.1"/>
    <x v="1"/>
    <n v="1.4339999999999999"/>
    <n v="50195.8"/>
    <n v="50.195999999999998"/>
    <d v="2013-05-01T00:00:00"/>
    <x v="0"/>
    <x v="1"/>
  </r>
  <r>
    <x v="1"/>
    <x v="5"/>
    <s v="Juni"/>
    <s v="Division_A"/>
    <x v="10"/>
    <n v="2006"/>
    <n v="7"/>
    <s v="TM-Utama"/>
    <n v="35"/>
    <n v="4204"/>
    <s v="120.1"/>
    <x v="1"/>
    <n v="1.5580000000000001"/>
    <n v="54515.4"/>
    <n v="54.515000000000001"/>
    <d v="2013-06-01T00:00:00"/>
    <x v="0"/>
    <x v="1"/>
  </r>
  <r>
    <x v="1"/>
    <x v="6"/>
    <s v="Juli"/>
    <s v="Division_A"/>
    <x v="10"/>
    <n v="2006"/>
    <n v="7"/>
    <s v="TM-Utama"/>
    <n v="35"/>
    <n v="4204"/>
    <s v="120.1"/>
    <x v="1"/>
    <n v="2.0659999999999998"/>
    <n v="72298.3"/>
    <n v="72.298000000000002"/>
    <d v="2013-07-01T00:00:00"/>
    <x v="0"/>
    <x v="1"/>
  </r>
  <r>
    <x v="1"/>
    <x v="7"/>
    <s v="Agustus"/>
    <s v="Division_A"/>
    <x v="10"/>
    <n v="2006"/>
    <n v="7"/>
    <s v="TM-Utama"/>
    <n v="35"/>
    <n v="4204"/>
    <s v="120.1"/>
    <x v="1"/>
    <n v="1.68"/>
    <n v="58803.4"/>
    <n v="58.802999999999997"/>
    <d v="2013-08-01T00:00:00"/>
    <x v="0"/>
    <x v="1"/>
  </r>
  <r>
    <x v="1"/>
    <x v="8"/>
    <s v="September"/>
    <s v="Division_A"/>
    <x v="10"/>
    <n v="2006"/>
    <n v="7"/>
    <s v="TM-Utama"/>
    <n v="35"/>
    <n v="4204"/>
    <s v="120.1"/>
    <x v="1"/>
    <n v="1.6679999999999999"/>
    <n v="58393.599999999999"/>
    <n v="58.393999999999998"/>
    <d v="2013-09-01T00:00:00"/>
    <x v="0"/>
    <x v="1"/>
  </r>
  <r>
    <x v="1"/>
    <x v="9"/>
    <s v="Oktober"/>
    <s v="Division_A"/>
    <x v="10"/>
    <n v="2006"/>
    <n v="7"/>
    <s v="TM-Utama"/>
    <n v="35"/>
    <n v="4204"/>
    <s v="120.1"/>
    <x v="1"/>
    <n v="1.6259999999999999"/>
    <n v="56911.6"/>
    <n v="56.911999999999999"/>
    <d v="2013-10-01T00:00:00"/>
    <x v="0"/>
    <x v="1"/>
  </r>
  <r>
    <x v="1"/>
    <x v="10"/>
    <s v="November"/>
    <s v="Division_A"/>
    <x v="10"/>
    <n v="2006"/>
    <n v="7"/>
    <s v="TM-Utama"/>
    <n v="35"/>
    <n v="4204"/>
    <s v="120.1"/>
    <x v="1"/>
    <n v="1.546"/>
    <n v="54105.5"/>
    <n v="54.104999999999997"/>
    <d v="2013-11-01T00:00:00"/>
    <x v="0"/>
    <x v="1"/>
  </r>
  <r>
    <x v="1"/>
    <x v="11"/>
    <s v="Desember"/>
    <s v="Division_A"/>
    <x v="10"/>
    <n v="2006"/>
    <n v="7"/>
    <s v="TM-Utama"/>
    <n v="35"/>
    <n v="4204"/>
    <s v="120.1"/>
    <x v="1"/>
    <n v="1.1379999999999999"/>
    <n v="39822.400000000001"/>
    <n v="39.822000000000003"/>
    <d v="2013-12-01T00:00:00"/>
    <x v="0"/>
    <x v="1"/>
  </r>
  <r>
    <x v="1"/>
    <x v="0"/>
    <s v="Januari"/>
    <s v="Division_A"/>
    <x v="11"/>
    <n v="2012"/>
    <n v="1"/>
    <s v="TBM"/>
    <n v="10"/>
    <n v="1434"/>
    <s v="143.4"/>
    <x v="1"/>
    <n v="0"/>
    <n v="0"/>
    <n v="0"/>
    <d v="2013-01-01T00:00:00"/>
    <x v="1"/>
    <x v="2"/>
  </r>
  <r>
    <x v="1"/>
    <x v="1"/>
    <s v="Februari"/>
    <s v="Division_A"/>
    <x v="11"/>
    <n v="2012"/>
    <n v="1"/>
    <s v="TBM"/>
    <n v="10"/>
    <n v="1434"/>
    <s v="143.4"/>
    <x v="1"/>
    <n v="0"/>
    <n v="0"/>
    <n v="0"/>
    <d v="2013-02-01T00:00:00"/>
    <x v="1"/>
    <x v="2"/>
  </r>
  <r>
    <x v="1"/>
    <x v="2"/>
    <s v="Maret"/>
    <s v="Division_A"/>
    <x v="11"/>
    <n v="2012"/>
    <n v="1"/>
    <s v="TBM"/>
    <n v="10"/>
    <n v="1434"/>
    <s v="143.4"/>
    <x v="1"/>
    <n v="0"/>
    <n v="0"/>
    <n v="0"/>
    <d v="2013-03-01T00:00:00"/>
    <x v="1"/>
    <x v="2"/>
  </r>
  <r>
    <x v="1"/>
    <x v="3"/>
    <s v="April"/>
    <s v="Division_A"/>
    <x v="11"/>
    <n v="2012"/>
    <n v="1"/>
    <s v="TBM"/>
    <n v="10"/>
    <n v="1434"/>
    <s v="143.4"/>
    <x v="1"/>
    <n v="0"/>
    <n v="0"/>
    <n v="0"/>
    <d v="2013-04-01T00:00:00"/>
    <x v="1"/>
    <x v="2"/>
  </r>
  <r>
    <x v="1"/>
    <x v="4"/>
    <s v="Mei"/>
    <s v="Division_A"/>
    <x v="11"/>
    <n v="2012"/>
    <n v="1"/>
    <s v="TBM"/>
    <n v="10"/>
    <n v="1434"/>
    <s v="143.4"/>
    <x v="1"/>
    <n v="0"/>
    <n v="0"/>
    <n v="0"/>
    <d v="2013-05-01T00:00:00"/>
    <x v="1"/>
    <x v="2"/>
  </r>
  <r>
    <x v="1"/>
    <x v="5"/>
    <s v="Juni"/>
    <s v="Division_A"/>
    <x v="11"/>
    <n v="2012"/>
    <n v="1"/>
    <s v="TBM"/>
    <n v="10"/>
    <n v="1434"/>
    <s v="143.4"/>
    <x v="1"/>
    <n v="0"/>
    <n v="0"/>
    <n v="0"/>
    <d v="2013-06-01T00:00:00"/>
    <x v="1"/>
    <x v="2"/>
  </r>
  <r>
    <x v="1"/>
    <x v="6"/>
    <s v="Juli"/>
    <s v="Division_A"/>
    <x v="11"/>
    <n v="2012"/>
    <n v="1"/>
    <s v="TBM"/>
    <n v="10"/>
    <n v="1434"/>
    <s v="143.4"/>
    <x v="1"/>
    <n v="0"/>
    <n v="0"/>
    <n v="0"/>
    <d v="2013-07-01T00:00:00"/>
    <x v="1"/>
    <x v="2"/>
  </r>
  <r>
    <x v="1"/>
    <x v="7"/>
    <s v="Agustus"/>
    <s v="Division_A"/>
    <x v="11"/>
    <n v="2012"/>
    <n v="1"/>
    <s v="TBM"/>
    <n v="10"/>
    <n v="1434"/>
    <s v="143.4"/>
    <x v="1"/>
    <n v="0"/>
    <n v="0"/>
    <n v="0"/>
    <d v="2013-08-01T00:00:00"/>
    <x v="1"/>
    <x v="2"/>
  </r>
  <r>
    <x v="1"/>
    <x v="8"/>
    <s v="September"/>
    <s v="Division_A"/>
    <x v="11"/>
    <n v="2012"/>
    <n v="1"/>
    <s v="TBM"/>
    <n v="10"/>
    <n v="1434"/>
    <s v="143.4"/>
    <x v="1"/>
    <n v="0"/>
    <n v="0"/>
    <n v="0"/>
    <d v="2013-09-01T00:00:00"/>
    <x v="1"/>
    <x v="2"/>
  </r>
  <r>
    <x v="1"/>
    <x v="9"/>
    <s v="Oktober"/>
    <s v="Division_A"/>
    <x v="11"/>
    <n v="2012"/>
    <n v="1"/>
    <s v="TBM"/>
    <n v="10"/>
    <n v="1434"/>
    <s v="143.4"/>
    <x v="1"/>
    <n v="0"/>
    <n v="0"/>
    <n v="0"/>
    <d v="2013-10-01T00:00:00"/>
    <x v="1"/>
    <x v="2"/>
  </r>
  <r>
    <x v="1"/>
    <x v="10"/>
    <s v="November"/>
    <s v="Division_A"/>
    <x v="11"/>
    <n v="2012"/>
    <n v="1"/>
    <s v="TBM"/>
    <n v="10"/>
    <n v="1434"/>
    <s v="143.4"/>
    <x v="1"/>
    <n v="0"/>
    <n v="0"/>
    <n v="0"/>
    <d v="2013-11-01T00:00:00"/>
    <x v="1"/>
    <x v="2"/>
  </r>
  <r>
    <x v="1"/>
    <x v="11"/>
    <s v="Desember"/>
    <s v="Division_A"/>
    <x v="11"/>
    <n v="2012"/>
    <n v="1"/>
    <s v="TBM"/>
    <n v="10"/>
    <n v="1434"/>
    <s v="143.4"/>
    <x v="1"/>
    <n v="0"/>
    <n v="0"/>
    <n v="0"/>
    <d v="2013-12-01T00:00:00"/>
    <x v="1"/>
    <x v="2"/>
  </r>
  <r>
    <x v="1"/>
    <x v="0"/>
    <s v="Januari"/>
    <s v="Division_A"/>
    <x v="12"/>
    <n v="2012"/>
    <n v="1"/>
    <s v="TBM"/>
    <n v="24"/>
    <n v="3074"/>
    <s v="128.1"/>
    <x v="2"/>
    <n v="0"/>
    <n v="0"/>
    <n v="0"/>
    <d v="2013-01-01T00:00:00"/>
    <x v="1"/>
    <x v="2"/>
  </r>
  <r>
    <x v="1"/>
    <x v="1"/>
    <s v="Februari"/>
    <s v="Division_A"/>
    <x v="12"/>
    <n v="2012"/>
    <n v="1"/>
    <s v="TBM"/>
    <n v="24"/>
    <n v="3074"/>
    <s v="128.1"/>
    <x v="2"/>
    <n v="0"/>
    <n v="0"/>
    <n v="0"/>
    <d v="2013-02-01T00:00:00"/>
    <x v="1"/>
    <x v="2"/>
  </r>
  <r>
    <x v="1"/>
    <x v="2"/>
    <s v="Maret"/>
    <s v="Division_A"/>
    <x v="12"/>
    <n v="2012"/>
    <n v="1"/>
    <s v="TBM"/>
    <n v="24"/>
    <n v="3074"/>
    <s v="128.1"/>
    <x v="2"/>
    <n v="0"/>
    <n v="0"/>
    <n v="0"/>
    <d v="2013-03-01T00:00:00"/>
    <x v="1"/>
    <x v="2"/>
  </r>
  <r>
    <x v="1"/>
    <x v="3"/>
    <s v="April"/>
    <s v="Division_A"/>
    <x v="12"/>
    <n v="2012"/>
    <n v="1"/>
    <s v="TBM"/>
    <n v="24"/>
    <n v="3074"/>
    <s v="128.1"/>
    <x v="2"/>
    <n v="0"/>
    <n v="0"/>
    <n v="0"/>
    <d v="2013-04-01T00:00:00"/>
    <x v="1"/>
    <x v="2"/>
  </r>
  <r>
    <x v="1"/>
    <x v="4"/>
    <s v="Mei"/>
    <s v="Division_A"/>
    <x v="12"/>
    <n v="2012"/>
    <n v="1"/>
    <s v="TBM"/>
    <n v="24"/>
    <n v="3074"/>
    <s v="128.1"/>
    <x v="2"/>
    <n v="0"/>
    <n v="0"/>
    <n v="0"/>
    <d v="2013-05-01T00:00:00"/>
    <x v="1"/>
    <x v="2"/>
  </r>
  <r>
    <x v="1"/>
    <x v="5"/>
    <s v="Juni"/>
    <s v="Division_A"/>
    <x v="12"/>
    <n v="2012"/>
    <n v="1"/>
    <s v="TBM"/>
    <n v="24"/>
    <n v="3074"/>
    <s v="128.1"/>
    <x v="2"/>
    <n v="0"/>
    <n v="0"/>
    <n v="0"/>
    <d v="2013-06-01T00:00:00"/>
    <x v="1"/>
    <x v="2"/>
  </r>
  <r>
    <x v="1"/>
    <x v="6"/>
    <s v="Juli"/>
    <s v="Division_A"/>
    <x v="12"/>
    <n v="2012"/>
    <n v="1"/>
    <s v="TBM"/>
    <n v="24"/>
    <n v="3074"/>
    <s v="128.1"/>
    <x v="2"/>
    <n v="0"/>
    <n v="0"/>
    <n v="0"/>
    <d v="2013-07-01T00:00:00"/>
    <x v="1"/>
    <x v="2"/>
  </r>
  <r>
    <x v="1"/>
    <x v="7"/>
    <s v="Agustus"/>
    <s v="Division_A"/>
    <x v="12"/>
    <n v="2012"/>
    <n v="1"/>
    <s v="TBM"/>
    <n v="24"/>
    <n v="3074"/>
    <s v="128.1"/>
    <x v="2"/>
    <n v="0"/>
    <n v="0"/>
    <n v="0"/>
    <d v="2013-08-01T00:00:00"/>
    <x v="1"/>
    <x v="2"/>
  </r>
  <r>
    <x v="1"/>
    <x v="8"/>
    <s v="September"/>
    <s v="Division_A"/>
    <x v="12"/>
    <n v="2012"/>
    <n v="1"/>
    <s v="TBM"/>
    <n v="24"/>
    <n v="3074"/>
    <s v="128.1"/>
    <x v="2"/>
    <n v="0"/>
    <n v="0"/>
    <n v="0"/>
    <d v="2013-09-01T00:00:00"/>
    <x v="1"/>
    <x v="2"/>
  </r>
  <r>
    <x v="1"/>
    <x v="9"/>
    <s v="Oktober"/>
    <s v="Division_A"/>
    <x v="12"/>
    <n v="2012"/>
    <n v="1"/>
    <s v="TBM"/>
    <n v="24"/>
    <n v="3074"/>
    <s v="128.1"/>
    <x v="2"/>
    <n v="0"/>
    <n v="0"/>
    <n v="0"/>
    <d v="2013-10-01T00:00:00"/>
    <x v="1"/>
    <x v="2"/>
  </r>
  <r>
    <x v="1"/>
    <x v="10"/>
    <s v="November"/>
    <s v="Division_A"/>
    <x v="12"/>
    <n v="2012"/>
    <n v="1"/>
    <s v="TBM"/>
    <n v="24"/>
    <n v="3074"/>
    <s v="128.1"/>
    <x v="2"/>
    <n v="0"/>
    <n v="0"/>
    <n v="0"/>
    <d v="2013-11-01T00:00:00"/>
    <x v="1"/>
    <x v="2"/>
  </r>
  <r>
    <x v="1"/>
    <x v="11"/>
    <s v="Desember"/>
    <s v="Division_A"/>
    <x v="12"/>
    <n v="2012"/>
    <n v="1"/>
    <s v="TBM"/>
    <n v="24"/>
    <n v="3074"/>
    <s v="128.1"/>
    <x v="2"/>
    <n v="0"/>
    <n v="0"/>
    <n v="0"/>
    <d v="2013-12-01T00:00:00"/>
    <x v="1"/>
    <x v="2"/>
  </r>
  <r>
    <x v="1"/>
    <x v="0"/>
    <s v="Januari"/>
    <s v="Division_A"/>
    <x v="13"/>
    <n v="2012"/>
    <n v="1"/>
    <s v="TBM"/>
    <n v="19"/>
    <n v="2418"/>
    <s v="127.3"/>
    <x v="2"/>
    <n v="0"/>
    <n v="0"/>
    <n v="0"/>
    <d v="2013-01-01T00:00:00"/>
    <x v="1"/>
    <x v="2"/>
  </r>
  <r>
    <x v="1"/>
    <x v="1"/>
    <s v="Februari"/>
    <s v="Division_A"/>
    <x v="13"/>
    <n v="2012"/>
    <n v="1"/>
    <s v="TBM"/>
    <n v="19"/>
    <n v="2418"/>
    <s v="127.3"/>
    <x v="2"/>
    <n v="0"/>
    <n v="0"/>
    <n v="0"/>
    <d v="2013-02-01T00:00:00"/>
    <x v="1"/>
    <x v="2"/>
  </r>
  <r>
    <x v="1"/>
    <x v="2"/>
    <s v="Maret"/>
    <s v="Division_A"/>
    <x v="13"/>
    <n v="2012"/>
    <n v="1"/>
    <s v="TBM"/>
    <n v="19"/>
    <n v="2418"/>
    <s v="127.3"/>
    <x v="2"/>
    <n v="0"/>
    <n v="0"/>
    <n v="0"/>
    <d v="2013-03-01T00:00:00"/>
    <x v="1"/>
    <x v="2"/>
  </r>
  <r>
    <x v="1"/>
    <x v="3"/>
    <s v="April"/>
    <s v="Division_A"/>
    <x v="13"/>
    <n v="2012"/>
    <n v="1"/>
    <s v="TBM"/>
    <n v="19"/>
    <n v="2418"/>
    <s v="127.3"/>
    <x v="2"/>
    <n v="0"/>
    <n v="0"/>
    <n v="0"/>
    <d v="2013-04-01T00:00:00"/>
    <x v="1"/>
    <x v="2"/>
  </r>
  <r>
    <x v="1"/>
    <x v="4"/>
    <s v="Mei"/>
    <s v="Division_A"/>
    <x v="13"/>
    <n v="2012"/>
    <n v="1"/>
    <s v="TBM"/>
    <n v="19"/>
    <n v="2418"/>
    <s v="127.3"/>
    <x v="2"/>
    <n v="0"/>
    <n v="0"/>
    <n v="0"/>
    <d v="2013-05-01T00:00:00"/>
    <x v="1"/>
    <x v="2"/>
  </r>
  <r>
    <x v="1"/>
    <x v="5"/>
    <s v="Juni"/>
    <s v="Division_A"/>
    <x v="13"/>
    <n v="2012"/>
    <n v="1"/>
    <s v="TBM"/>
    <n v="19"/>
    <n v="2418"/>
    <s v="127.3"/>
    <x v="2"/>
    <n v="0"/>
    <n v="0"/>
    <n v="0"/>
    <d v="2013-06-01T00:00:00"/>
    <x v="1"/>
    <x v="2"/>
  </r>
  <r>
    <x v="1"/>
    <x v="6"/>
    <s v="Juli"/>
    <s v="Division_A"/>
    <x v="13"/>
    <n v="2012"/>
    <n v="1"/>
    <s v="TBM"/>
    <n v="19"/>
    <n v="2418"/>
    <s v="127.3"/>
    <x v="2"/>
    <n v="0"/>
    <n v="0"/>
    <n v="0"/>
    <d v="2013-07-01T00:00:00"/>
    <x v="1"/>
    <x v="2"/>
  </r>
  <r>
    <x v="1"/>
    <x v="7"/>
    <s v="Agustus"/>
    <s v="Division_A"/>
    <x v="13"/>
    <n v="2012"/>
    <n v="1"/>
    <s v="TBM"/>
    <n v="19"/>
    <n v="2418"/>
    <s v="127.3"/>
    <x v="2"/>
    <n v="0"/>
    <n v="0"/>
    <n v="0"/>
    <d v="2013-08-01T00:00:00"/>
    <x v="1"/>
    <x v="2"/>
  </r>
  <r>
    <x v="1"/>
    <x v="8"/>
    <s v="September"/>
    <s v="Division_A"/>
    <x v="13"/>
    <n v="2012"/>
    <n v="1"/>
    <s v="TBM"/>
    <n v="19"/>
    <n v="2418"/>
    <s v="127.3"/>
    <x v="2"/>
    <n v="0"/>
    <n v="0"/>
    <n v="0"/>
    <d v="2013-09-01T00:00:00"/>
    <x v="1"/>
    <x v="2"/>
  </r>
  <r>
    <x v="1"/>
    <x v="9"/>
    <s v="Oktober"/>
    <s v="Division_A"/>
    <x v="13"/>
    <n v="2012"/>
    <n v="1"/>
    <s v="TBM"/>
    <n v="19"/>
    <n v="2418"/>
    <s v="127.3"/>
    <x v="2"/>
    <n v="0"/>
    <n v="0"/>
    <n v="0"/>
    <d v="2013-10-01T00:00:00"/>
    <x v="1"/>
    <x v="2"/>
  </r>
  <r>
    <x v="1"/>
    <x v="10"/>
    <s v="November"/>
    <s v="Division_A"/>
    <x v="13"/>
    <n v="2012"/>
    <n v="1"/>
    <s v="TBM"/>
    <n v="19"/>
    <n v="2418"/>
    <s v="127.3"/>
    <x v="2"/>
    <n v="0"/>
    <n v="0"/>
    <n v="0"/>
    <d v="2013-11-01T00:00:00"/>
    <x v="1"/>
    <x v="2"/>
  </r>
  <r>
    <x v="1"/>
    <x v="11"/>
    <s v="Desember"/>
    <s v="Division_A"/>
    <x v="13"/>
    <n v="2012"/>
    <n v="1"/>
    <s v="TBM"/>
    <n v="19"/>
    <n v="2418"/>
    <s v="127.3"/>
    <x v="2"/>
    <n v="0"/>
    <n v="0"/>
    <n v="0"/>
    <d v="2013-12-01T00:00:00"/>
    <x v="1"/>
    <x v="2"/>
  </r>
  <r>
    <x v="1"/>
    <x v="0"/>
    <s v="Januari"/>
    <s v="Division_A"/>
    <x v="14"/>
    <n v="2012"/>
    <n v="1"/>
    <s v="TBM"/>
    <n v="25"/>
    <n v="3205"/>
    <s v="128.2"/>
    <x v="2"/>
    <n v="0"/>
    <n v="0"/>
    <n v="0"/>
    <d v="2013-01-01T00:00:00"/>
    <x v="1"/>
    <x v="2"/>
  </r>
  <r>
    <x v="1"/>
    <x v="1"/>
    <s v="Februari"/>
    <s v="Division_A"/>
    <x v="14"/>
    <n v="2012"/>
    <n v="1"/>
    <s v="TBM"/>
    <n v="25"/>
    <n v="3205"/>
    <s v="128.2"/>
    <x v="2"/>
    <n v="0"/>
    <n v="0"/>
    <n v="0"/>
    <d v="2013-02-01T00:00:00"/>
    <x v="1"/>
    <x v="2"/>
  </r>
  <r>
    <x v="1"/>
    <x v="2"/>
    <s v="Maret"/>
    <s v="Division_A"/>
    <x v="14"/>
    <n v="2012"/>
    <n v="1"/>
    <s v="TBM"/>
    <n v="25"/>
    <n v="3205"/>
    <s v="128.2"/>
    <x v="2"/>
    <n v="0"/>
    <n v="0"/>
    <n v="0"/>
    <d v="2013-03-01T00:00:00"/>
    <x v="1"/>
    <x v="2"/>
  </r>
  <r>
    <x v="1"/>
    <x v="3"/>
    <s v="April"/>
    <s v="Division_A"/>
    <x v="14"/>
    <n v="2012"/>
    <n v="1"/>
    <s v="TBM"/>
    <n v="25"/>
    <n v="3205"/>
    <s v="128.2"/>
    <x v="2"/>
    <n v="0"/>
    <n v="0"/>
    <n v="0"/>
    <d v="2013-04-01T00:00:00"/>
    <x v="1"/>
    <x v="2"/>
  </r>
  <r>
    <x v="1"/>
    <x v="4"/>
    <s v="Mei"/>
    <s v="Division_A"/>
    <x v="14"/>
    <n v="2012"/>
    <n v="1"/>
    <s v="TBM"/>
    <n v="25"/>
    <n v="3205"/>
    <s v="128.2"/>
    <x v="2"/>
    <n v="0"/>
    <n v="0"/>
    <n v="0"/>
    <d v="2013-05-01T00:00:00"/>
    <x v="1"/>
    <x v="2"/>
  </r>
  <r>
    <x v="1"/>
    <x v="5"/>
    <s v="Juni"/>
    <s v="Division_A"/>
    <x v="14"/>
    <n v="2012"/>
    <n v="1"/>
    <s v="TBM"/>
    <n v="25"/>
    <n v="3205"/>
    <s v="128.2"/>
    <x v="2"/>
    <n v="0"/>
    <n v="0"/>
    <n v="0"/>
    <d v="2013-06-01T00:00:00"/>
    <x v="1"/>
    <x v="2"/>
  </r>
  <r>
    <x v="1"/>
    <x v="6"/>
    <s v="Juli"/>
    <s v="Division_A"/>
    <x v="14"/>
    <n v="2012"/>
    <n v="1"/>
    <s v="TBM"/>
    <n v="25"/>
    <n v="3205"/>
    <s v="128.2"/>
    <x v="2"/>
    <n v="0"/>
    <n v="0"/>
    <n v="0"/>
    <d v="2013-07-01T00:00:00"/>
    <x v="1"/>
    <x v="2"/>
  </r>
  <r>
    <x v="1"/>
    <x v="7"/>
    <s v="Agustus"/>
    <s v="Division_A"/>
    <x v="14"/>
    <n v="2012"/>
    <n v="1"/>
    <s v="TBM"/>
    <n v="25"/>
    <n v="3205"/>
    <s v="128.2"/>
    <x v="2"/>
    <n v="0"/>
    <n v="0"/>
    <n v="0"/>
    <d v="2013-08-01T00:00:00"/>
    <x v="1"/>
    <x v="2"/>
  </r>
  <r>
    <x v="1"/>
    <x v="8"/>
    <s v="September"/>
    <s v="Division_A"/>
    <x v="14"/>
    <n v="2012"/>
    <n v="1"/>
    <s v="TBM"/>
    <n v="25"/>
    <n v="3205"/>
    <s v="128.2"/>
    <x v="2"/>
    <n v="0"/>
    <n v="0"/>
    <n v="0"/>
    <d v="2013-09-01T00:00:00"/>
    <x v="1"/>
    <x v="2"/>
  </r>
  <r>
    <x v="1"/>
    <x v="9"/>
    <s v="Oktober"/>
    <s v="Division_A"/>
    <x v="14"/>
    <n v="2012"/>
    <n v="1"/>
    <s v="TBM"/>
    <n v="25"/>
    <n v="3205"/>
    <s v="128.2"/>
    <x v="2"/>
    <n v="0"/>
    <n v="0"/>
    <n v="0"/>
    <d v="2013-10-01T00:00:00"/>
    <x v="1"/>
    <x v="2"/>
  </r>
  <r>
    <x v="1"/>
    <x v="10"/>
    <s v="November"/>
    <s v="Division_A"/>
    <x v="14"/>
    <n v="2012"/>
    <n v="1"/>
    <s v="TBM"/>
    <n v="25"/>
    <n v="3205"/>
    <s v="128.2"/>
    <x v="2"/>
    <n v="0"/>
    <n v="0"/>
    <n v="0"/>
    <d v="2013-11-01T00:00:00"/>
    <x v="1"/>
    <x v="2"/>
  </r>
  <r>
    <x v="1"/>
    <x v="11"/>
    <s v="Desember"/>
    <s v="Division_A"/>
    <x v="14"/>
    <n v="2012"/>
    <n v="1"/>
    <s v="TBM"/>
    <n v="25"/>
    <n v="3205"/>
    <s v="128.2"/>
    <x v="2"/>
    <n v="0"/>
    <n v="0"/>
    <n v="0"/>
    <d v="2013-12-01T00:00:00"/>
    <x v="1"/>
    <x v="2"/>
  </r>
  <r>
    <x v="1"/>
    <x v="0"/>
    <s v="Januari"/>
    <s v="Division_A"/>
    <x v="15"/>
    <n v="2012"/>
    <n v="1"/>
    <s v="TBM"/>
    <n v="19"/>
    <n v="2469"/>
    <s v="129.9"/>
    <x v="1"/>
    <n v="0"/>
    <n v="0"/>
    <n v="0"/>
    <d v="2013-01-01T00:00:00"/>
    <x v="1"/>
    <x v="2"/>
  </r>
  <r>
    <x v="1"/>
    <x v="1"/>
    <s v="Februari"/>
    <s v="Division_A"/>
    <x v="15"/>
    <n v="2012"/>
    <n v="1"/>
    <s v="TBM"/>
    <n v="19"/>
    <n v="2469"/>
    <s v="129.9"/>
    <x v="1"/>
    <n v="0"/>
    <n v="0"/>
    <n v="0"/>
    <d v="2013-02-01T00:00:00"/>
    <x v="1"/>
    <x v="2"/>
  </r>
  <r>
    <x v="1"/>
    <x v="2"/>
    <s v="Maret"/>
    <s v="Division_A"/>
    <x v="15"/>
    <n v="2012"/>
    <n v="1"/>
    <s v="TBM"/>
    <n v="19"/>
    <n v="2469"/>
    <s v="129.9"/>
    <x v="1"/>
    <n v="0"/>
    <n v="0"/>
    <n v="0"/>
    <d v="2013-03-01T00:00:00"/>
    <x v="1"/>
    <x v="2"/>
  </r>
  <r>
    <x v="1"/>
    <x v="3"/>
    <s v="April"/>
    <s v="Division_A"/>
    <x v="15"/>
    <n v="2012"/>
    <n v="1"/>
    <s v="TBM"/>
    <n v="19"/>
    <n v="2469"/>
    <s v="129.9"/>
    <x v="1"/>
    <n v="0"/>
    <n v="0"/>
    <n v="0"/>
    <d v="2013-04-01T00:00:00"/>
    <x v="1"/>
    <x v="2"/>
  </r>
  <r>
    <x v="1"/>
    <x v="4"/>
    <s v="Mei"/>
    <s v="Division_A"/>
    <x v="15"/>
    <n v="2012"/>
    <n v="1"/>
    <s v="TBM"/>
    <n v="19"/>
    <n v="2469"/>
    <s v="129.9"/>
    <x v="1"/>
    <n v="0"/>
    <n v="0"/>
    <n v="0"/>
    <d v="2013-05-01T00:00:00"/>
    <x v="1"/>
    <x v="2"/>
  </r>
  <r>
    <x v="1"/>
    <x v="5"/>
    <s v="Juni"/>
    <s v="Division_A"/>
    <x v="15"/>
    <n v="2012"/>
    <n v="1"/>
    <s v="TBM"/>
    <n v="19"/>
    <n v="2469"/>
    <s v="129.9"/>
    <x v="1"/>
    <n v="0"/>
    <n v="0"/>
    <n v="0"/>
    <d v="2013-06-01T00:00:00"/>
    <x v="1"/>
    <x v="2"/>
  </r>
  <r>
    <x v="1"/>
    <x v="6"/>
    <s v="Juli"/>
    <s v="Division_A"/>
    <x v="15"/>
    <n v="2012"/>
    <n v="1"/>
    <s v="TBM"/>
    <n v="19"/>
    <n v="2469"/>
    <s v="129.9"/>
    <x v="1"/>
    <n v="0"/>
    <n v="0"/>
    <n v="0"/>
    <d v="2013-07-01T00:00:00"/>
    <x v="1"/>
    <x v="2"/>
  </r>
  <r>
    <x v="1"/>
    <x v="7"/>
    <s v="Agustus"/>
    <s v="Division_A"/>
    <x v="15"/>
    <n v="2012"/>
    <n v="1"/>
    <s v="TBM"/>
    <n v="19"/>
    <n v="2469"/>
    <s v="129.9"/>
    <x v="1"/>
    <n v="0"/>
    <n v="0"/>
    <n v="0"/>
    <d v="2013-08-01T00:00:00"/>
    <x v="1"/>
    <x v="2"/>
  </r>
  <r>
    <x v="1"/>
    <x v="8"/>
    <s v="September"/>
    <s v="Division_A"/>
    <x v="15"/>
    <n v="2012"/>
    <n v="1"/>
    <s v="TBM"/>
    <n v="19"/>
    <n v="2469"/>
    <s v="129.9"/>
    <x v="1"/>
    <n v="0"/>
    <n v="0"/>
    <n v="0"/>
    <d v="2013-09-01T00:00:00"/>
    <x v="1"/>
    <x v="2"/>
  </r>
  <r>
    <x v="1"/>
    <x v="9"/>
    <s v="Oktober"/>
    <s v="Division_A"/>
    <x v="15"/>
    <n v="2012"/>
    <n v="1"/>
    <s v="TBM"/>
    <n v="19"/>
    <n v="2469"/>
    <s v="129.9"/>
    <x v="1"/>
    <n v="0"/>
    <n v="0"/>
    <n v="0"/>
    <d v="2013-10-01T00:00:00"/>
    <x v="1"/>
    <x v="2"/>
  </r>
  <r>
    <x v="1"/>
    <x v="10"/>
    <s v="November"/>
    <s v="Division_A"/>
    <x v="15"/>
    <n v="2012"/>
    <n v="1"/>
    <s v="TBM"/>
    <n v="19"/>
    <n v="2469"/>
    <s v="129.9"/>
    <x v="1"/>
    <n v="0"/>
    <n v="0"/>
    <n v="0"/>
    <d v="2013-11-01T00:00:00"/>
    <x v="1"/>
    <x v="2"/>
  </r>
  <r>
    <x v="1"/>
    <x v="11"/>
    <s v="Desember"/>
    <s v="Division_A"/>
    <x v="15"/>
    <n v="2012"/>
    <n v="1"/>
    <s v="TBM"/>
    <n v="19"/>
    <n v="2469"/>
    <s v="129.9"/>
    <x v="1"/>
    <n v="0"/>
    <n v="0"/>
    <n v="0"/>
    <d v="2013-12-01T00:00:00"/>
    <x v="1"/>
    <x v="2"/>
  </r>
  <r>
    <x v="1"/>
    <x v="0"/>
    <s v="Januari"/>
    <s v="Division_A"/>
    <x v="16"/>
    <n v="2012"/>
    <n v="1"/>
    <s v="TBM"/>
    <n v="20"/>
    <n v="2704"/>
    <s v="135.2"/>
    <x v="2"/>
    <n v="0"/>
    <n v="0"/>
    <n v="0"/>
    <d v="2013-01-01T00:00:00"/>
    <x v="1"/>
    <x v="2"/>
  </r>
  <r>
    <x v="1"/>
    <x v="1"/>
    <s v="Februari"/>
    <s v="Division_A"/>
    <x v="16"/>
    <n v="2012"/>
    <n v="1"/>
    <s v="TBM"/>
    <n v="20"/>
    <n v="2704"/>
    <s v="135.2"/>
    <x v="2"/>
    <n v="0"/>
    <n v="0"/>
    <n v="0"/>
    <d v="2013-02-01T00:00:00"/>
    <x v="1"/>
    <x v="2"/>
  </r>
  <r>
    <x v="1"/>
    <x v="2"/>
    <s v="Maret"/>
    <s v="Division_A"/>
    <x v="16"/>
    <n v="2012"/>
    <n v="1"/>
    <s v="TBM"/>
    <n v="20"/>
    <n v="2704"/>
    <s v="135.2"/>
    <x v="2"/>
    <n v="0"/>
    <n v="0"/>
    <n v="0"/>
    <d v="2013-03-01T00:00:00"/>
    <x v="1"/>
    <x v="2"/>
  </r>
  <r>
    <x v="1"/>
    <x v="3"/>
    <s v="April"/>
    <s v="Division_A"/>
    <x v="16"/>
    <n v="2012"/>
    <n v="1"/>
    <s v="TBM"/>
    <n v="20"/>
    <n v="2704"/>
    <s v="135.2"/>
    <x v="2"/>
    <n v="0"/>
    <n v="0"/>
    <n v="0"/>
    <d v="2013-04-01T00:00:00"/>
    <x v="1"/>
    <x v="2"/>
  </r>
  <r>
    <x v="1"/>
    <x v="4"/>
    <s v="Mei"/>
    <s v="Division_A"/>
    <x v="16"/>
    <n v="2012"/>
    <n v="1"/>
    <s v="TBM"/>
    <n v="20"/>
    <n v="2704"/>
    <s v="135.2"/>
    <x v="2"/>
    <n v="0"/>
    <n v="0"/>
    <n v="0"/>
    <d v="2013-05-01T00:00:00"/>
    <x v="1"/>
    <x v="2"/>
  </r>
  <r>
    <x v="1"/>
    <x v="5"/>
    <s v="Juni"/>
    <s v="Division_A"/>
    <x v="16"/>
    <n v="2012"/>
    <n v="1"/>
    <s v="TBM"/>
    <n v="20"/>
    <n v="2704"/>
    <s v="135.2"/>
    <x v="2"/>
    <n v="0"/>
    <n v="0"/>
    <n v="0"/>
    <d v="2013-06-01T00:00:00"/>
    <x v="1"/>
    <x v="2"/>
  </r>
  <r>
    <x v="1"/>
    <x v="6"/>
    <s v="Juli"/>
    <s v="Division_A"/>
    <x v="16"/>
    <n v="2012"/>
    <n v="1"/>
    <s v="TBM"/>
    <n v="20"/>
    <n v="2704"/>
    <s v="135.2"/>
    <x v="2"/>
    <n v="0"/>
    <n v="0"/>
    <n v="0"/>
    <d v="2013-07-01T00:00:00"/>
    <x v="1"/>
    <x v="2"/>
  </r>
  <r>
    <x v="1"/>
    <x v="7"/>
    <s v="Agustus"/>
    <s v="Division_A"/>
    <x v="16"/>
    <n v="2012"/>
    <n v="1"/>
    <s v="TBM"/>
    <n v="20"/>
    <n v="2704"/>
    <s v="135.2"/>
    <x v="2"/>
    <n v="0"/>
    <n v="0"/>
    <n v="0"/>
    <d v="2013-08-01T00:00:00"/>
    <x v="1"/>
    <x v="2"/>
  </r>
  <r>
    <x v="1"/>
    <x v="8"/>
    <s v="September"/>
    <s v="Division_A"/>
    <x v="16"/>
    <n v="2012"/>
    <n v="1"/>
    <s v="TBM"/>
    <n v="20"/>
    <n v="2704"/>
    <s v="135.2"/>
    <x v="2"/>
    <n v="0"/>
    <n v="0"/>
    <n v="0"/>
    <d v="2013-09-01T00:00:00"/>
    <x v="1"/>
    <x v="2"/>
  </r>
  <r>
    <x v="1"/>
    <x v="9"/>
    <s v="Oktober"/>
    <s v="Division_A"/>
    <x v="16"/>
    <n v="2012"/>
    <n v="1"/>
    <s v="TBM"/>
    <n v="20"/>
    <n v="2704"/>
    <s v="135.2"/>
    <x v="2"/>
    <n v="0"/>
    <n v="0"/>
    <n v="0"/>
    <d v="2013-10-01T00:00:00"/>
    <x v="1"/>
    <x v="2"/>
  </r>
  <r>
    <x v="1"/>
    <x v="10"/>
    <s v="November"/>
    <s v="Division_A"/>
    <x v="16"/>
    <n v="2012"/>
    <n v="1"/>
    <s v="TBM"/>
    <n v="20"/>
    <n v="2704"/>
    <s v="135.2"/>
    <x v="2"/>
    <n v="0"/>
    <n v="0"/>
    <n v="0"/>
    <d v="2013-11-01T00:00:00"/>
    <x v="1"/>
    <x v="2"/>
  </r>
  <r>
    <x v="1"/>
    <x v="11"/>
    <s v="Desember"/>
    <s v="Division_A"/>
    <x v="16"/>
    <n v="2012"/>
    <n v="1"/>
    <s v="TBM"/>
    <n v="20"/>
    <n v="2704"/>
    <s v="135.2"/>
    <x v="2"/>
    <n v="0"/>
    <n v="0"/>
    <n v="0"/>
    <d v="2013-12-01T00:00:00"/>
    <x v="1"/>
    <x v="2"/>
  </r>
  <r>
    <x v="1"/>
    <x v="0"/>
    <s v="Januari"/>
    <s v="Division_A"/>
    <x v="17"/>
    <n v="2012"/>
    <n v="1"/>
    <s v="TBM"/>
    <n v="14"/>
    <n v="1833"/>
    <s v="130.9"/>
    <x v="2"/>
    <n v="0"/>
    <n v="0"/>
    <n v="0"/>
    <d v="2013-01-01T00:00:00"/>
    <x v="1"/>
    <x v="2"/>
  </r>
  <r>
    <x v="1"/>
    <x v="1"/>
    <s v="Februari"/>
    <s v="Division_A"/>
    <x v="17"/>
    <n v="2012"/>
    <n v="1"/>
    <s v="TBM"/>
    <n v="14"/>
    <n v="1833"/>
    <s v="130.9"/>
    <x v="2"/>
    <n v="0"/>
    <n v="0"/>
    <n v="0"/>
    <d v="2013-02-01T00:00:00"/>
    <x v="1"/>
    <x v="2"/>
  </r>
  <r>
    <x v="1"/>
    <x v="2"/>
    <s v="Maret"/>
    <s v="Division_A"/>
    <x v="17"/>
    <n v="2012"/>
    <n v="1"/>
    <s v="TBM"/>
    <n v="14"/>
    <n v="1833"/>
    <s v="130.9"/>
    <x v="2"/>
    <n v="0"/>
    <n v="0"/>
    <n v="0"/>
    <d v="2013-03-01T00:00:00"/>
    <x v="1"/>
    <x v="2"/>
  </r>
  <r>
    <x v="1"/>
    <x v="3"/>
    <s v="April"/>
    <s v="Division_A"/>
    <x v="17"/>
    <n v="2012"/>
    <n v="1"/>
    <s v="TBM"/>
    <n v="14"/>
    <n v="1833"/>
    <s v="130.9"/>
    <x v="2"/>
    <n v="0"/>
    <n v="0"/>
    <n v="0"/>
    <d v="2013-04-01T00:00:00"/>
    <x v="1"/>
    <x v="2"/>
  </r>
  <r>
    <x v="1"/>
    <x v="4"/>
    <s v="Mei"/>
    <s v="Division_A"/>
    <x v="17"/>
    <n v="2012"/>
    <n v="1"/>
    <s v="TBM"/>
    <n v="14"/>
    <n v="1833"/>
    <s v="130.9"/>
    <x v="2"/>
    <n v="0"/>
    <n v="0"/>
    <n v="0"/>
    <d v="2013-05-01T00:00:00"/>
    <x v="1"/>
    <x v="2"/>
  </r>
  <r>
    <x v="1"/>
    <x v="5"/>
    <s v="Juni"/>
    <s v="Division_A"/>
    <x v="17"/>
    <n v="2012"/>
    <n v="1"/>
    <s v="TBM"/>
    <n v="14"/>
    <n v="1833"/>
    <s v="130.9"/>
    <x v="2"/>
    <n v="0"/>
    <n v="0"/>
    <n v="0"/>
    <d v="2013-06-01T00:00:00"/>
    <x v="1"/>
    <x v="2"/>
  </r>
  <r>
    <x v="1"/>
    <x v="6"/>
    <s v="Juli"/>
    <s v="Division_A"/>
    <x v="17"/>
    <n v="2012"/>
    <n v="1"/>
    <s v="TBM"/>
    <n v="14"/>
    <n v="1833"/>
    <s v="130.9"/>
    <x v="2"/>
    <n v="0"/>
    <n v="0"/>
    <n v="0"/>
    <d v="2013-07-01T00:00:00"/>
    <x v="1"/>
    <x v="2"/>
  </r>
  <r>
    <x v="1"/>
    <x v="7"/>
    <s v="Agustus"/>
    <s v="Division_A"/>
    <x v="17"/>
    <n v="2012"/>
    <n v="1"/>
    <s v="TBM"/>
    <n v="14"/>
    <n v="1833"/>
    <s v="130.9"/>
    <x v="2"/>
    <n v="0"/>
    <n v="0"/>
    <n v="0"/>
    <d v="2013-08-01T00:00:00"/>
    <x v="1"/>
    <x v="2"/>
  </r>
  <r>
    <x v="1"/>
    <x v="8"/>
    <s v="September"/>
    <s v="Division_A"/>
    <x v="17"/>
    <n v="2012"/>
    <n v="1"/>
    <s v="TBM"/>
    <n v="14"/>
    <n v="1833"/>
    <s v="130.9"/>
    <x v="2"/>
    <n v="0"/>
    <n v="0"/>
    <n v="0"/>
    <d v="2013-09-01T00:00:00"/>
    <x v="1"/>
    <x v="2"/>
  </r>
  <r>
    <x v="1"/>
    <x v="9"/>
    <s v="Oktober"/>
    <s v="Division_A"/>
    <x v="17"/>
    <n v="2012"/>
    <n v="1"/>
    <s v="TBM"/>
    <n v="14"/>
    <n v="1833"/>
    <s v="130.9"/>
    <x v="2"/>
    <n v="0"/>
    <n v="0"/>
    <n v="0"/>
    <d v="2013-10-01T00:00:00"/>
    <x v="1"/>
    <x v="2"/>
  </r>
  <r>
    <x v="1"/>
    <x v="10"/>
    <s v="November"/>
    <s v="Division_A"/>
    <x v="17"/>
    <n v="2012"/>
    <n v="1"/>
    <s v="TBM"/>
    <n v="14"/>
    <n v="1833"/>
    <s v="130.9"/>
    <x v="2"/>
    <n v="0"/>
    <n v="0"/>
    <n v="0"/>
    <d v="2013-11-01T00:00:00"/>
    <x v="1"/>
    <x v="2"/>
  </r>
  <r>
    <x v="1"/>
    <x v="11"/>
    <s v="Desember"/>
    <s v="Division_A"/>
    <x v="17"/>
    <n v="2012"/>
    <n v="1"/>
    <s v="TBM"/>
    <n v="14"/>
    <n v="1833"/>
    <s v="130.9"/>
    <x v="2"/>
    <n v="0"/>
    <n v="0"/>
    <n v="0"/>
    <d v="2013-12-01T00:00:00"/>
    <x v="1"/>
    <x v="2"/>
  </r>
  <r>
    <x v="1"/>
    <x v="0"/>
    <s v="Januari"/>
    <s v="Division_A"/>
    <x v="18"/>
    <n v="2012"/>
    <n v="1"/>
    <s v="TBM"/>
    <n v="20"/>
    <n v="1990"/>
    <s v="99.5"/>
    <x v="2"/>
    <n v="0"/>
    <n v="0"/>
    <n v="0"/>
    <d v="2013-01-01T00:00:00"/>
    <x v="1"/>
    <x v="2"/>
  </r>
  <r>
    <x v="1"/>
    <x v="1"/>
    <s v="Februari"/>
    <s v="Division_A"/>
    <x v="18"/>
    <n v="2012"/>
    <n v="1"/>
    <s v="TBM"/>
    <n v="20"/>
    <n v="1990"/>
    <s v="99.5"/>
    <x v="2"/>
    <n v="0"/>
    <n v="0"/>
    <n v="0"/>
    <d v="2013-02-01T00:00:00"/>
    <x v="1"/>
    <x v="2"/>
  </r>
  <r>
    <x v="1"/>
    <x v="2"/>
    <s v="Maret"/>
    <s v="Division_A"/>
    <x v="18"/>
    <n v="2012"/>
    <n v="1"/>
    <s v="TBM"/>
    <n v="20"/>
    <n v="1990"/>
    <s v="99.5"/>
    <x v="2"/>
    <n v="0"/>
    <n v="0"/>
    <n v="0"/>
    <d v="2013-03-01T00:00:00"/>
    <x v="1"/>
    <x v="2"/>
  </r>
  <r>
    <x v="1"/>
    <x v="3"/>
    <s v="April"/>
    <s v="Division_A"/>
    <x v="18"/>
    <n v="2012"/>
    <n v="1"/>
    <s v="TBM"/>
    <n v="20"/>
    <n v="1990"/>
    <s v="99.5"/>
    <x v="2"/>
    <n v="0"/>
    <n v="0"/>
    <n v="0"/>
    <d v="2013-04-01T00:00:00"/>
    <x v="1"/>
    <x v="2"/>
  </r>
  <r>
    <x v="1"/>
    <x v="4"/>
    <s v="Mei"/>
    <s v="Division_A"/>
    <x v="18"/>
    <n v="2012"/>
    <n v="1"/>
    <s v="TBM"/>
    <n v="20"/>
    <n v="1990"/>
    <s v="99.5"/>
    <x v="2"/>
    <n v="0"/>
    <n v="0"/>
    <n v="0"/>
    <d v="2013-05-01T00:00:00"/>
    <x v="1"/>
    <x v="2"/>
  </r>
  <r>
    <x v="1"/>
    <x v="5"/>
    <s v="Juni"/>
    <s v="Division_A"/>
    <x v="18"/>
    <n v="2012"/>
    <n v="1"/>
    <s v="TBM"/>
    <n v="20"/>
    <n v="1990"/>
    <s v="99.5"/>
    <x v="2"/>
    <n v="0"/>
    <n v="0"/>
    <n v="0"/>
    <d v="2013-06-01T00:00:00"/>
    <x v="1"/>
    <x v="2"/>
  </r>
  <r>
    <x v="1"/>
    <x v="6"/>
    <s v="Juli"/>
    <s v="Division_A"/>
    <x v="18"/>
    <n v="2012"/>
    <n v="1"/>
    <s v="TBM"/>
    <n v="20"/>
    <n v="1990"/>
    <s v="99.5"/>
    <x v="2"/>
    <n v="0"/>
    <n v="0"/>
    <n v="0"/>
    <d v="2013-07-01T00:00:00"/>
    <x v="1"/>
    <x v="2"/>
  </r>
  <r>
    <x v="1"/>
    <x v="7"/>
    <s v="Agustus"/>
    <s v="Division_A"/>
    <x v="18"/>
    <n v="2012"/>
    <n v="1"/>
    <s v="TBM"/>
    <n v="20"/>
    <n v="1990"/>
    <s v="99.5"/>
    <x v="2"/>
    <n v="0"/>
    <n v="0"/>
    <n v="0"/>
    <d v="2013-08-01T00:00:00"/>
    <x v="1"/>
    <x v="2"/>
  </r>
  <r>
    <x v="1"/>
    <x v="8"/>
    <s v="September"/>
    <s v="Division_A"/>
    <x v="18"/>
    <n v="2012"/>
    <n v="1"/>
    <s v="TBM"/>
    <n v="20"/>
    <n v="1990"/>
    <s v="99.5"/>
    <x v="2"/>
    <n v="0"/>
    <n v="0"/>
    <n v="0"/>
    <d v="2013-09-01T00:00:00"/>
    <x v="1"/>
    <x v="2"/>
  </r>
  <r>
    <x v="1"/>
    <x v="9"/>
    <s v="Oktober"/>
    <s v="Division_A"/>
    <x v="18"/>
    <n v="2012"/>
    <n v="1"/>
    <s v="TBM"/>
    <n v="20"/>
    <n v="1990"/>
    <s v="99.5"/>
    <x v="2"/>
    <n v="0"/>
    <n v="0"/>
    <n v="0"/>
    <d v="2013-10-01T00:00:00"/>
    <x v="1"/>
    <x v="2"/>
  </r>
  <r>
    <x v="1"/>
    <x v="10"/>
    <s v="November"/>
    <s v="Division_A"/>
    <x v="18"/>
    <n v="2012"/>
    <n v="1"/>
    <s v="TBM"/>
    <n v="20"/>
    <n v="1990"/>
    <s v="99.5"/>
    <x v="2"/>
    <n v="0"/>
    <n v="0"/>
    <n v="0"/>
    <d v="2013-11-01T00:00:00"/>
    <x v="1"/>
    <x v="2"/>
  </r>
  <r>
    <x v="1"/>
    <x v="11"/>
    <s v="Desember"/>
    <s v="Division_A"/>
    <x v="18"/>
    <n v="2012"/>
    <n v="1"/>
    <s v="TBM"/>
    <n v="20"/>
    <n v="1990"/>
    <s v="99.5"/>
    <x v="2"/>
    <n v="0"/>
    <n v="0"/>
    <n v="0"/>
    <d v="2013-12-01T00:00:00"/>
    <x v="1"/>
    <x v="2"/>
  </r>
  <r>
    <x v="1"/>
    <x v="0"/>
    <s v="Januari"/>
    <s v="Division_A"/>
    <x v="19"/>
    <n v="2012"/>
    <n v="1"/>
    <s v="TBM"/>
    <n v="22"/>
    <n v="2606"/>
    <s v="118.5"/>
    <x v="2"/>
    <n v="0"/>
    <n v="0"/>
    <n v="0"/>
    <d v="2013-01-01T00:00:00"/>
    <x v="1"/>
    <x v="2"/>
  </r>
  <r>
    <x v="1"/>
    <x v="1"/>
    <s v="Februari"/>
    <s v="Division_A"/>
    <x v="19"/>
    <n v="2012"/>
    <n v="1"/>
    <s v="TBM"/>
    <n v="22"/>
    <n v="2606"/>
    <s v="118.5"/>
    <x v="2"/>
    <n v="0"/>
    <n v="0"/>
    <n v="0"/>
    <d v="2013-02-01T00:00:00"/>
    <x v="1"/>
    <x v="2"/>
  </r>
  <r>
    <x v="1"/>
    <x v="2"/>
    <s v="Maret"/>
    <s v="Division_A"/>
    <x v="19"/>
    <n v="2012"/>
    <n v="1"/>
    <s v="TBM"/>
    <n v="22"/>
    <n v="2606"/>
    <s v="118.5"/>
    <x v="2"/>
    <n v="0"/>
    <n v="0"/>
    <n v="0"/>
    <d v="2013-03-01T00:00:00"/>
    <x v="1"/>
    <x v="2"/>
  </r>
  <r>
    <x v="1"/>
    <x v="3"/>
    <s v="April"/>
    <s v="Division_A"/>
    <x v="19"/>
    <n v="2012"/>
    <n v="1"/>
    <s v="TBM"/>
    <n v="22"/>
    <n v="2606"/>
    <s v="118.5"/>
    <x v="2"/>
    <n v="0"/>
    <n v="0"/>
    <n v="0"/>
    <d v="2013-04-01T00:00:00"/>
    <x v="1"/>
    <x v="2"/>
  </r>
  <r>
    <x v="1"/>
    <x v="4"/>
    <s v="Mei"/>
    <s v="Division_A"/>
    <x v="19"/>
    <n v="2012"/>
    <n v="1"/>
    <s v="TBM"/>
    <n v="22"/>
    <n v="2606"/>
    <s v="118.5"/>
    <x v="2"/>
    <n v="0"/>
    <n v="0"/>
    <n v="0"/>
    <d v="2013-05-01T00:00:00"/>
    <x v="1"/>
    <x v="2"/>
  </r>
  <r>
    <x v="1"/>
    <x v="5"/>
    <s v="Juni"/>
    <s v="Division_A"/>
    <x v="19"/>
    <n v="2012"/>
    <n v="1"/>
    <s v="TBM"/>
    <n v="22"/>
    <n v="2606"/>
    <s v="118.5"/>
    <x v="2"/>
    <n v="0"/>
    <n v="0"/>
    <n v="0"/>
    <d v="2013-06-01T00:00:00"/>
    <x v="1"/>
    <x v="2"/>
  </r>
  <r>
    <x v="1"/>
    <x v="6"/>
    <s v="Juli"/>
    <s v="Division_A"/>
    <x v="19"/>
    <n v="2012"/>
    <n v="1"/>
    <s v="TBM"/>
    <n v="22"/>
    <n v="2606"/>
    <s v="118.5"/>
    <x v="2"/>
    <n v="0"/>
    <n v="0"/>
    <n v="0"/>
    <d v="2013-07-01T00:00:00"/>
    <x v="1"/>
    <x v="2"/>
  </r>
  <r>
    <x v="1"/>
    <x v="7"/>
    <s v="Agustus"/>
    <s v="Division_A"/>
    <x v="19"/>
    <n v="2012"/>
    <n v="1"/>
    <s v="TBM"/>
    <n v="22"/>
    <n v="2606"/>
    <s v="118.5"/>
    <x v="2"/>
    <n v="0"/>
    <n v="0"/>
    <n v="0"/>
    <d v="2013-08-01T00:00:00"/>
    <x v="1"/>
    <x v="2"/>
  </r>
  <r>
    <x v="1"/>
    <x v="8"/>
    <s v="September"/>
    <s v="Division_A"/>
    <x v="19"/>
    <n v="2012"/>
    <n v="1"/>
    <s v="TBM"/>
    <n v="22"/>
    <n v="2606"/>
    <s v="118.5"/>
    <x v="2"/>
    <n v="0"/>
    <n v="0"/>
    <n v="0"/>
    <d v="2013-09-01T00:00:00"/>
    <x v="1"/>
    <x v="2"/>
  </r>
  <r>
    <x v="1"/>
    <x v="9"/>
    <s v="Oktober"/>
    <s v="Division_A"/>
    <x v="19"/>
    <n v="2012"/>
    <n v="1"/>
    <s v="TBM"/>
    <n v="22"/>
    <n v="2606"/>
    <s v="118.5"/>
    <x v="2"/>
    <n v="0"/>
    <n v="0"/>
    <n v="0"/>
    <d v="2013-10-01T00:00:00"/>
    <x v="1"/>
    <x v="2"/>
  </r>
  <r>
    <x v="1"/>
    <x v="10"/>
    <s v="November"/>
    <s v="Division_A"/>
    <x v="19"/>
    <n v="2012"/>
    <n v="1"/>
    <s v="TBM"/>
    <n v="22"/>
    <n v="2606"/>
    <s v="118.5"/>
    <x v="2"/>
    <n v="0"/>
    <n v="0"/>
    <n v="0"/>
    <d v="2013-11-01T00:00:00"/>
    <x v="1"/>
    <x v="2"/>
  </r>
  <r>
    <x v="1"/>
    <x v="11"/>
    <s v="Desember"/>
    <s v="Division_A"/>
    <x v="19"/>
    <n v="2012"/>
    <n v="1"/>
    <s v="TBM"/>
    <n v="22"/>
    <n v="2606"/>
    <s v="118.5"/>
    <x v="2"/>
    <n v="0"/>
    <n v="0"/>
    <n v="0"/>
    <d v="2013-12-01T00:00:00"/>
    <x v="1"/>
    <x v="2"/>
  </r>
  <r>
    <x v="1"/>
    <x v="0"/>
    <s v="Januari"/>
    <s v="Division_A"/>
    <x v="20"/>
    <n v="2012"/>
    <n v="1"/>
    <s v="TBM"/>
    <n v="22"/>
    <n v="2683"/>
    <s v="122"/>
    <x v="1"/>
    <n v="0"/>
    <n v="0"/>
    <n v="0"/>
    <d v="2013-01-01T00:00:00"/>
    <x v="1"/>
    <x v="2"/>
  </r>
  <r>
    <x v="1"/>
    <x v="1"/>
    <s v="Februari"/>
    <s v="Division_A"/>
    <x v="20"/>
    <n v="2012"/>
    <n v="1"/>
    <s v="TBM"/>
    <n v="22"/>
    <n v="2683"/>
    <s v="122"/>
    <x v="1"/>
    <n v="0"/>
    <n v="0"/>
    <n v="0"/>
    <d v="2013-02-01T00:00:00"/>
    <x v="1"/>
    <x v="2"/>
  </r>
  <r>
    <x v="1"/>
    <x v="2"/>
    <s v="Maret"/>
    <s v="Division_A"/>
    <x v="20"/>
    <n v="2012"/>
    <n v="1"/>
    <s v="TBM"/>
    <n v="22"/>
    <n v="2683"/>
    <s v="122"/>
    <x v="1"/>
    <n v="0"/>
    <n v="0"/>
    <n v="0"/>
    <d v="2013-03-01T00:00:00"/>
    <x v="1"/>
    <x v="2"/>
  </r>
  <r>
    <x v="1"/>
    <x v="3"/>
    <s v="April"/>
    <s v="Division_A"/>
    <x v="20"/>
    <n v="2012"/>
    <n v="1"/>
    <s v="TBM"/>
    <n v="22"/>
    <n v="2683"/>
    <s v="122"/>
    <x v="1"/>
    <n v="0"/>
    <n v="0"/>
    <n v="0"/>
    <d v="2013-04-01T00:00:00"/>
    <x v="1"/>
    <x v="2"/>
  </r>
  <r>
    <x v="1"/>
    <x v="4"/>
    <s v="Mei"/>
    <s v="Division_A"/>
    <x v="20"/>
    <n v="2012"/>
    <n v="1"/>
    <s v="TBM"/>
    <n v="22"/>
    <n v="2683"/>
    <s v="122"/>
    <x v="1"/>
    <n v="0"/>
    <n v="0"/>
    <n v="0"/>
    <d v="2013-05-01T00:00:00"/>
    <x v="1"/>
    <x v="2"/>
  </r>
  <r>
    <x v="1"/>
    <x v="5"/>
    <s v="Juni"/>
    <s v="Division_A"/>
    <x v="20"/>
    <n v="2012"/>
    <n v="1"/>
    <s v="TBM"/>
    <n v="22"/>
    <n v="2683"/>
    <s v="122"/>
    <x v="1"/>
    <n v="0"/>
    <n v="0"/>
    <n v="0"/>
    <d v="2013-06-01T00:00:00"/>
    <x v="1"/>
    <x v="2"/>
  </r>
  <r>
    <x v="1"/>
    <x v="6"/>
    <s v="Juli"/>
    <s v="Division_A"/>
    <x v="20"/>
    <n v="2012"/>
    <n v="1"/>
    <s v="TBM"/>
    <n v="22"/>
    <n v="2683"/>
    <s v="122"/>
    <x v="1"/>
    <n v="0"/>
    <n v="0"/>
    <n v="0"/>
    <d v="2013-07-01T00:00:00"/>
    <x v="1"/>
    <x v="2"/>
  </r>
  <r>
    <x v="1"/>
    <x v="7"/>
    <s v="Agustus"/>
    <s v="Division_A"/>
    <x v="20"/>
    <n v="2012"/>
    <n v="1"/>
    <s v="TBM"/>
    <n v="22"/>
    <n v="2683"/>
    <s v="122"/>
    <x v="1"/>
    <n v="0"/>
    <n v="0"/>
    <n v="0"/>
    <d v="2013-08-01T00:00:00"/>
    <x v="1"/>
    <x v="2"/>
  </r>
  <r>
    <x v="1"/>
    <x v="8"/>
    <s v="September"/>
    <s v="Division_A"/>
    <x v="20"/>
    <n v="2012"/>
    <n v="1"/>
    <s v="TBM"/>
    <n v="22"/>
    <n v="2683"/>
    <s v="122"/>
    <x v="1"/>
    <n v="0"/>
    <n v="0"/>
    <n v="0"/>
    <d v="2013-09-01T00:00:00"/>
    <x v="1"/>
    <x v="2"/>
  </r>
  <r>
    <x v="1"/>
    <x v="9"/>
    <s v="Oktober"/>
    <s v="Division_A"/>
    <x v="20"/>
    <n v="2012"/>
    <n v="1"/>
    <s v="TBM"/>
    <n v="22"/>
    <n v="2683"/>
    <s v="122"/>
    <x v="1"/>
    <n v="0"/>
    <n v="0"/>
    <n v="0"/>
    <d v="2013-10-01T00:00:00"/>
    <x v="1"/>
    <x v="2"/>
  </r>
  <r>
    <x v="1"/>
    <x v="10"/>
    <s v="November"/>
    <s v="Division_A"/>
    <x v="20"/>
    <n v="2012"/>
    <n v="1"/>
    <s v="TBM"/>
    <n v="22"/>
    <n v="2683"/>
    <s v="122"/>
    <x v="1"/>
    <n v="0"/>
    <n v="0"/>
    <n v="0"/>
    <d v="2013-11-01T00:00:00"/>
    <x v="1"/>
    <x v="2"/>
  </r>
  <r>
    <x v="1"/>
    <x v="11"/>
    <s v="Desember"/>
    <s v="Division_A"/>
    <x v="20"/>
    <n v="2012"/>
    <n v="1"/>
    <s v="TBM"/>
    <n v="22"/>
    <n v="2683"/>
    <s v="122"/>
    <x v="1"/>
    <n v="0"/>
    <n v="0"/>
    <n v="0"/>
    <d v="2013-12-01T00:00:00"/>
    <x v="1"/>
    <x v="2"/>
  </r>
  <r>
    <x v="1"/>
    <x v="0"/>
    <s v="Januari"/>
    <s v="Division_A"/>
    <x v="21"/>
    <n v="2012"/>
    <n v="1"/>
    <s v="TBM"/>
    <n v="28"/>
    <n v="3483"/>
    <s v="124.4"/>
    <x v="1"/>
    <n v="0"/>
    <n v="0"/>
    <n v="0"/>
    <d v="2013-01-01T00:00:00"/>
    <x v="1"/>
    <x v="2"/>
  </r>
  <r>
    <x v="1"/>
    <x v="1"/>
    <s v="Februari"/>
    <s v="Division_A"/>
    <x v="21"/>
    <n v="2012"/>
    <n v="1"/>
    <s v="TBM"/>
    <n v="28"/>
    <n v="3483"/>
    <s v="124.4"/>
    <x v="1"/>
    <n v="0"/>
    <n v="0"/>
    <n v="0"/>
    <d v="2013-02-01T00:00:00"/>
    <x v="1"/>
    <x v="2"/>
  </r>
  <r>
    <x v="1"/>
    <x v="2"/>
    <s v="Maret"/>
    <s v="Division_A"/>
    <x v="21"/>
    <n v="2012"/>
    <n v="1"/>
    <s v="TBM"/>
    <n v="28"/>
    <n v="3483"/>
    <s v="124.4"/>
    <x v="1"/>
    <n v="0"/>
    <n v="0"/>
    <n v="0"/>
    <d v="2013-03-01T00:00:00"/>
    <x v="1"/>
    <x v="2"/>
  </r>
  <r>
    <x v="1"/>
    <x v="3"/>
    <s v="April"/>
    <s v="Division_A"/>
    <x v="21"/>
    <n v="2012"/>
    <n v="1"/>
    <s v="TBM"/>
    <n v="28"/>
    <n v="3483"/>
    <s v="124.4"/>
    <x v="1"/>
    <n v="0"/>
    <n v="0"/>
    <n v="0"/>
    <d v="2013-04-01T00:00:00"/>
    <x v="1"/>
    <x v="2"/>
  </r>
  <r>
    <x v="1"/>
    <x v="4"/>
    <s v="Mei"/>
    <s v="Division_A"/>
    <x v="21"/>
    <n v="2012"/>
    <n v="1"/>
    <s v="TBM"/>
    <n v="28"/>
    <n v="3483"/>
    <s v="124.4"/>
    <x v="1"/>
    <n v="0"/>
    <n v="0"/>
    <n v="0"/>
    <d v="2013-05-01T00:00:00"/>
    <x v="1"/>
    <x v="2"/>
  </r>
  <r>
    <x v="1"/>
    <x v="5"/>
    <s v="Juni"/>
    <s v="Division_A"/>
    <x v="21"/>
    <n v="2012"/>
    <n v="1"/>
    <s v="TBM"/>
    <n v="28"/>
    <n v="3483"/>
    <s v="124.4"/>
    <x v="1"/>
    <n v="0"/>
    <n v="0"/>
    <n v="0"/>
    <d v="2013-06-01T00:00:00"/>
    <x v="1"/>
    <x v="2"/>
  </r>
  <r>
    <x v="1"/>
    <x v="6"/>
    <s v="Juli"/>
    <s v="Division_A"/>
    <x v="21"/>
    <n v="2012"/>
    <n v="1"/>
    <s v="TBM"/>
    <n v="28"/>
    <n v="3483"/>
    <s v="124.4"/>
    <x v="1"/>
    <n v="0"/>
    <n v="0"/>
    <n v="0"/>
    <d v="2013-07-01T00:00:00"/>
    <x v="1"/>
    <x v="2"/>
  </r>
  <r>
    <x v="1"/>
    <x v="7"/>
    <s v="Agustus"/>
    <s v="Division_A"/>
    <x v="21"/>
    <n v="2012"/>
    <n v="1"/>
    <s v="TBM"/>
    <n v="28"/>
    <n v="3483"/>
    <s v="124.4"/>
    <x v="1"/>
    <n v="0"/>
    <n v="0"/>
    <n v="0"/>
    <d v="2013-08-01T00:00:00"/>
    <x v="1"/>
    <x v="2"/>
  </r>
  <r>
    <x v="1"/>
    <x v="8"/>
    <s v="September"/>
    <s v="Division_A"/>
    <x v="21"/>
    <n v="2012"/>
    <n v="1"/>
    <s v="TBM"/>
    <n v="28"/>
    <n v="3483"/>
    <s v="124.4"/>
    <x v="1"/>
    <n v="0"/>
    <n v="0"/>
    <n v="0"/>
    <d v="2013-09-01T00:00:00"/>
    <x v="1"/>
    <x v="2"/>
  </r>
  <r>
    <x v="1"/>
    <x v="9"/>
    <s v="Oktober"/>
    <s v="Division_A"/>
    <x v="21"/>
    <n v="2012"/>
    <n v="1"/>
    <s v="TBM"/>
    <n v="28"/>
    <n v="3483"/>
    <s v="124.4"/>
    <x v="1"/>
    <n v="0"/>
    <n v="0"/>
    <n v="0"/>
    <d v="2013-10-01T00:00:00"/>
    <x v="1"/>
    <x v="2"/>
  </r>
  <r>
    <x v="1"/>
    <x v="10"/>
    <s v="November"/>
    <s v="Division_A"/>
    <x v="21"/>
    <n v="2012"/>
    <n v="1"/>
    <s v="TBM"/>
    <n v="28"/>
    <n v="3483"/>
    <s v="124.4"/>
    <x v="1"/>
    <n v="0"/>
    <n v="0"/>
    <n v="0"/>
    <d v="2013-11-01T00:00:00"/>
    <x v="1"/>
    <x v="2"/>
  </r>
  <r>
    <x v="1"/>
    <x v="11"/>
    <s v="Desember"/>
    <s v="Division_A"/>
    <x v="21"/>
    <n v="2012"/>
    <n v="1"/>
    <s v="TBM"/>
    <n v="28"/>
    <n v="3483"/>
    <s v="124.4"/>
    <x v="1"/>
    <n v="0"/>
    <n v="0"/>
    <n v="0"/>
    <d v="2013-12-01T00:00:00"/>
    <x v="1"/>
    <x v="2"/>
  </r>
  <r>
    <x v="1"/>
    <x v="0"/>
    <s v="Januari"/>
    <s v="Division_A"/>
    <x v="22"/>
    <n v="2013"/>
    <n v="0"/>
    <s v="TBM"/>
    <n v="24"/>
    <n v="2678"/>
    <s v="111.6"/>
    <x v="1"/>
    <n v="0"/>
    <n v="0"/>
    <n v="0"/>
    <d v="2013-01-01T00:00:00"/>
    <x v="1"/>
    <x v="2"/>
  </r>
  <r>
    <x v="1"/>
    <x v="1"/>
    <s v="Februari"/>
    <s v="Division_A"/>
    <x v="22"/>
    <n v="2013"/>
    <n v="0"/>
    <s v="TBM"/>
    <n v="24"/>
    <n v="2678"/>
    <s v="111.6"/>
    <x v="1"/>
    <n v="0"/>
    <n v="0"/>
    <n v="0"/>
    <d v="2013-02-01T00:00:00"/>
    <x v="1"/>
    <x v="2"/>
  </r>
  <r>
    <x v="1"/>
    <x v="2"/>
    <s v="Maret"/>
    <s v="Division_A"/>
    <x v="22"/>
    <n v="2013"/>
    <n v="0"/>
    <s v="TBM"/>
    <n v="24"/>
    <n v="2678"/>
    <s v="111.6"/>
    <x v="1"/>
    <n v="0"/>
    <n v="0"/>
    <n v="0"/>
    <d v="2013-03-01T00:00:00"/>
    <x v="1"/>
    <x v="2"/>
  </r>
  <r>
    <x v="1"/>
    <x v="3"/>
    <s v="April"/>
    <s v="Division_A"/>
    <x v="22"/>
    <n v="2013"/>
    <n v="0"/>
    <s v="TBM"/>
    <n v="24"/>
    <n v="2678"/>
    <s v="111.6"/>
    <x v="1"/>
    <n v="0"/>
    <n v="0"/>
    <n v="0"/>
    <d v="2013-04-01T00:00:00"/>
    <x v="1"/>
    <x v="2"/>
  </r>
  <r>
    <x v="1"/>
    <x v="4"/>
    <s v="Mei"/>
    <s v="Division_A"/>
    <x v="22"/>
    <n v="2013"/>
    <n v="0"/>
    <s v="TBM"/>
    <n v="24"/>
    <n v="2678"/>
    <s v="111.6"/>
    <x v="1"/>
    <n v="0"/>
    <n v="0"/>
    <n v="0"/>
    <d v="2013-05-01T00:00:00"/>
    <x v="1"/>
    <x v="2"/>
  </r>
  <r>
    <x v="1"/>
    <x v="5"/>
    <s v="Juni"/>
    <s v="Division_A"/>
    <x v="22"/>
    <n v="2013"/>
    <n v="0"/>
    <s v="TBM"/>
    <n v="24"/>
    <n v="2678"/>
    <s v="111.6"/>
    <x v="1"/>
    <n v="0"/>
    <n v="0"/>
    <n v="0"/>
    <d v="2013-06-01T00:00:00"/>
    <x v="1"/>
    <x v="2"/>
  </r>
  <r>
    <x v="1"/>
    <x v="6"/>
    <s v="Juli"/>
    <s v="Division_A"/>
    <x v="22"/>
    <n v="2013"/>
    <n v="0"/>
    <s v="TBM"/>
    <n v="24"/>
    <n v="2678"/>
    <s v="111.6"/>
    <x v="1"/>
    <n v="0"/>
    <n v="0"/>
    <n v="0"/>
    <d v="2013-07-01T00:00:00"/>
    <x v="1"/>
    <x v="2"/>
  </r>
  <r>
    <x v="1"/>
    <x v="7"/>
    <s v="Agustus"/>
    <s v="Division_A"/>
    <x v="22"/>
    <n v="2013"/>
    <n v="0"/>
    <s v="TBM"/>
    <n v="24"/>
    <n v="2678"/>
    <s v="111.6"/>
    <x v="1"/>
    <n v="0"/>
    <n v="0"/>
    <n v="0"/>
    <d v="2013-08-01T00:00:00"/>
    <x v="1"/>
    <x v="2"/>
  </r>
  <r>
    <x v="1"/>
    <x v="8"/>
    <s v="September"/>
    <s v="Division_A"/>
    <x v="22"/>
    <n v="2013"/>
    <n v="0"/>
    <s v="TBM"/>
    <n v="24"/>
    <n v="2678"/>
    <s v="111.6"/>
    <x v="1"/>
    <n v="0"/>
    <n v="0"/>
    <n v="0"/>
    <d v="2013-09-01T00:00:00"/>
    <x v="1"/>
    <x v="2"/>
  </r>
  <r>
    <x v="1"/>
    <x v="9"/>
    <s v="Oktober"/>
    <s v="Division_A"/>
    <x v="22"/>
    <n v="2013"/>
    <n v="0"/>
    <s v="TBM"/>
    <n v="24"/>
    <n v="2678"/>
    <s v="111.6"/>
    <x v="1"/>
    <n v="0"/>
    <n v="0"/>
    <n v="0"/>
    <d v="2013-10-01T00:00:00"/>
    <x v="1"/>
    <x v="2"/>
  </r>
  <r>
    <x v="1"/>
    <x v="10"/>
    <s v="November"/>
    <s v="Division_A"/>
    <x v="22"/>
    <n v="2013"/>
    <n v="0"/>
    <s v="TBM"/>
    <n v="24"/>
    <n v="2678"/>
    <s v="111.6"/>
    <x v="1"/>
    <n v="0"/>
    <n v="0"/>
    <n v="0"/>
    <d v="2013-11-01T00:00:00"/>
    <x v="1"/>
    <x v="2"/>
  </r>
  <r>
    <x v="1"/>
    <x v="11"/>
    <s v="Desember"/>
    <s v="Division_A"/>
    <x v="22"/>
    <n v="2013"/>
    <n v="0"/>
    <s v="TBM"/>
    <n v="24"/>
    <n v="2678"/>
    <s v="111.6"/>
    <x v="1"/>
    <n v="0"/>
    <n v="0"/>
    <n v="0"/>
    <d v="2013-12-01T00:00:00"/>
    <x v="1"/>
    <x v="2"/>
  </r>
  <r>
    <x v="1"/>
    <x v="0"/>
    <s v="Januari"/>
    <s v="Division_A"/>
    <x v="23"/>
    <n v="2013"/>
    <n v="0"/>
    <s v="TBM"/>
    <n v="23"/>
    <n v="2683"/>
    <s v="116.7"/>
    <x v="1"/>
    <n v="0"/>
    <n v="0"/>
    <n v="0"/>
    <d v="2013-01-01T00:00:00"/>
    <x v="1"/>
    <x v="2"/>
  </r>
  <r>
    <x v="1"/>
    <x v="1"/>
    <s v="Februari"/>
    <s v="Division_A"/>
    <x v="23"/>
    <n v="2013"/>
    <n v="0"/>
    <s v="TBM"/>
    <n v="23"/>
    <n v="2683"/>
    <s v="116.7"/>
    <x v="1"/>
    <n v="0"/>
    <n v="0"/>
    <n v="0"/>
    <d v="2013-02-01T00:00:00"/>
    <x v="1"/>
    <x v="2"/>
  </r>
  <r>
    <x v="1"/>
    <x v="2"/>
    <s v="Maret"/>
    <s v="Division_A"/>
    <x v="23"/>
    <n v="2013"/>
    <n v="0"/>
    <s v="TBM"/>
    <n v="23"/>
    <n v="2683"/>
    <s v="116.7"/>
    <x v="1"/>
    <n v="0"/>
    <n v="0"/>
    <n v="0"/>
    <d v="2013-03-01T00:00:00"/>
    <x v="1"/>
    <x v="2"/>
  </r>
  <r>
    <x v="1"/>
    <x v="3"/>
    <s v="April"/>
    <s v="Division_A"/>
    <x v="23"/>
    <n v="2013"/>
    <n v="0"/>
    <s v="TBM"/>
    <n v="23"/>
    <n v="2683"/>
    <s v="116.7"/>
    <x v="1"/>
    <n v="0"/>
    <n v="0"/>
    <n v="0"/>
    <d v="2013-04-01T00:00:00"/>
    <x v="1"/>
    <x v="2"/>
  </r>
  <r>
    <x v="1"/>
    <x v="4"/>
    <s v="Mei"/>
    <s v="Division_A"/>
    <x v="23"/>
    <n v="2013"/>
    <n v="0"/>
    <s v="TBM"/>
    <n v="23"/>
    <n v="2683"/>
    <s v="116.7"/>
    <x v="1"/>
    <n v="0"/>
    <n v="0"/>
    <n v="0"/>
    <d v="2013-05-01T00:00:00"/>
    <x v="1"/>
    <x v="2"/>
  </r>
  <r>
    <x v="1"/>
    <x v="5"/>
    <s v="Juni"/>
    <s v="Division_A"/>
    <x v="23"/>
    <n v="2013"/>
    <n v="0"/>
    <s v="TBM"/>
    <n v="23"/>
    <n v="2683"/>
    <s v="116.7"/>
    <x v="1"/>
    <n v="0"/>
    <n v="0"/>
    <n v="0"/>
    <d v="2013-06-01T00:00:00"/>
    <x v="1"/>
    <x v="2"/>
  </r>
  <r>
    <x v="1"/>
    <x v="6"/>
    <s v="Juli"/>
    <s v="Division_A"/>
    <x v="23"/>
    <n v="2013"/>
    <n v="0"/>
    <s v="TBM"/>
    <n v="23"/>
    <n v="2683"/>
    <s v="116.7"/>
    <x v="1"/>
    <n v="0"/>
    <n v="0"/>
    <n v="0"/>
    <d v="2013-07-01T00:00:00"/>
    <x v="1"/>
    <x v="2"/>
  </r>
  <r>
    <x v="1"/>
    <x v="7"/>
    <s v="Agustus"/>
    <s v="Division_A"/>
    <x v="23"/>
    <n v="2013"/>
    <n v="0"/>
    <s v="TBM"/>
    <n v="23"/>
    <n v="2683"/>
    <s v="116.7"/>
    <x v="1"/>
    <n v="0"/>
    <n v="0"/>
    <n v="0"/>
    <d v="2013-08-01T00:00:00"/>
    <x v="1"/>
    <x v="2"/>
  </r>
  <r>
    <x v="1"/>
    <x v="8"/>
    <s v="September"/>
    <s v="Division_A"/>
    <x v="23"/>
    <n v="2013"/>
    <n v="0"/>
    <s v="TBM"/>
    <n v="23"/>
    <n v="2683"/>
    <s v="116.7"/>
    <x v="1"/>
    <n v="0"/>
    <n v="0"/>
    <n v="0"/>
    <d v="2013-09-01T00:00:00"/>
    <x v="1"/>
    <x v="2"/>
  </r>
  <r>
    <x v="1"/>
    <x v="9"/>
    <s v="Oktober"/>
    <s v="Division_A"/>
    <x v="23"/>
    <n v="2013"/>
    <n v="0"/>
    <s v="TBM"/>
    <n v="23"/>
    <n v="2683"/>
    <s v="116.7"/>
    <x v="1"/>
    <n v="0"/>
    <n v="0"/>
    <n v="0"/>
    <d v="2013-10-01T00:00:00"/>
    <x v="1"/>
    <x v="2"/>
  </r>
  <r>
    <x v="1"/>
    <x v="10"/>
    <s v="November"/>
    <s v="Division_A"/>
    <x v="23"/>
    <n v="2013"/>
    <n v="0"/>
    <s v="TBM"/>
    <n v="23"/>
    <n v="2683"/>
    <s v="116.7"/>
    <x v="1"/>
    <n v="0"/>
    <n v="0"/>
    <n v="0"/>
    <d v="2013-11-01T00:00:00"/>
    <x v="1"/>
    <x v="2"/>
  </r>
  <r>
    <x v="1"/>
    <x v="11"/>
    <s v="Desember"/>
    <s v="Division_A"/>
    <x v="23"/>
    <n v="2013"/>
    <n v="0"/>
    <s v="TBM"/>
    <n v="23"/>
    <n v="2683"/>
    <s v="116.7"/>
    <x v="1"/>
    <n v="0"/>
    <n v="0"/>
    <n v="0"/>
    <d v="2013-12-01T00:00:00"/>
    <x v="1"/>
    <x v="2"/>
  </r>
  <r>
    <x v="1"/>
    <x v="0"/>
    <s v="Januari"/>
    <s v="Division_A"/>
    <x v="24"/>
    <n v="2013"/>
    <n v="0"/>
    <s v="TBM"/>
    <n v="24"/>
    <n v="3445"/>
    <s v="143.5"/>
    <x v="1"/>
    <n v="0"/>
    <n v="0"/>
    <n v="0"/>
    <d v="2013-01-01T00:00:00"/>
    <x v="1"/>
    <x v="2"/>
  </r>
  <r>
    <x v="1"/>
    <x v="1"/>
    <s v="Februari"/>
    <s v="Division_A"/>
    <x v="24"/>
    <n v="2013"/>
    <n v="0"/>
    <s v="TBM"/>
    <n v="24"/>
    <n v="3445"/>
    <s v="143.5"/>
    <x v="1"/>
    <n v="0"/>
    <n v="0"/>
    <n v="0"/>
    <d v="2013-02-01T00:00:00"/>
    <x v="1"/>
    <x v="2"/>
  </r>
  <r>
    <x v="1"/>
    <x v="2"/>
    <s v="Maret"/>
    <s v="Division_A"/>
    <x v="24"/>
    <n v="2013"/>
    <n v="0"/>
    <s v="TBM"/>
    <n v="24"/>
    <n v="3445"/>
    <s v="143.5"/>
    <x v="1"/>
    <n v="0"/>
    <n v="0"/>
    <n v="0"/>
    <d v="2013-03-01T00:00:00"/>
    <x v="1"/>
    <x v="2"/>
  </r>
  <r>
    <x v="1"/>
    <x v="3"/>
    <s v="April"/>
    <s v="Division_A"/>
    <x v="24"/>
    <n v="2013"/>
    <n v="0"/>
    <s v="TBM"/>
    <n v="24"/>
    <n v="3445"/>
    <s v="143.5"/>
    <x v="1"/>
    <n v="0"/>
    <n v="0"/>
    <n v="0"/>
    <d v="2013-04-01T00:00:00"/>
    <x v="1"/>
    <x v="2"/>
  </r>
  <r>
    <x v="1"/>
    <x v="4"/>
    <s v="Mei"/>
    <s v="Division_A"/>
    <x v="24"/>
    <n v="2013"/>
    <n v="0"/>
    <s v="TBM"/>
    <n v="24"/>
    <n v="3445"/>
    <s v="143.5"/>
    <x v="1"/>
    <n v="0"/>
    <n v="0"/>
    <n v="0"/>
    <d v="2013-05-01T00:00:00"/>
    <x v="1"/>
    <x v="2"/>
  </r>
  <r>
    <x v="1"/>
    <x v="5"/>
    <s v="Juni"/>
    <s v="Division_A"/>
    <x v="24"/>
    <n v="2013"/>
    <n v="0"/>
    <s v="TBM"/>
    <n v="24"/>
    <n v="3445"/>
    <s v="143.5"/>
    <x v="1"/>
    <n v="0"/>
    <n v="0"/>
    <n v="0"/>
    <d v="2013-06-01T00:00:00"/>
    <x v="1"/>
    <x v="2"/>
  </r>
  <r>
    <x v="1"/>
    <x v="6"/>
    <s v="Juli"/>
    <s v="Division_A"/>
    <x v="24"/>
    <n v="2013"/>
    <n v="0"/>
    <s v="TBM"/>
    <n v="24"/>
    <n v="3445"/>
    <s v="143.5"/>
    <x v="1"/>
    <n v="0"/>
    <n v="0"/>
    <n v="0"/>
    <d v="2013-07-01T00:00:00"/>
    <x v="1"/>
    <x v="2"/>
  </r>
  <r>
    <x v="1"/>
    <x v="7"/>
    <s v="Agustus"/>
    <s v="Division_A"/>
    <x v="24"/>
    <n v="2013"/>
    <n v="0"/>
    <s v="TBM"/>
    <n v="24"/>
    <n v="3445"/>
    <s v="143.5"/>
    <x v="1"/>
    <n v="0"/>
    <n v="0"/>
    <n v="0"/>
    <d v="2013-08-01T00:00:00"/>
    <x v="1"/>
    <x v="2"/>
  </r>
  <r>
    <x v="1"/>
    <x v="8"/>
    <s v="September"/>
    <s v="Division_A"/>
    <x v="24"/>
    <n v="2013"/>
    <n v="0"/>
    <s v="TBM"/>
    <n v="24"/>
    <n v="3445"/>
    <s v="143.5"/>
    <x v="1"/>
    <n v="0"/>
    <n v="0"/>
    <n v="0"/>
    <d v="2013-09-01T00:00:00"/>
    <x v="1"/>
    <x v="2"/>
  </r>
  <r>
    <x v="1"/>
    <x v="9"/>
    <s v="Oktober"/>
    <s v="Division_A"/>
    <x v="24"/>
    <n v="2013"/>
    <n v="0"/>
    <s v="TBM"/>
    <n v="24"/>
    <n v="3445"/>
    <s v="143.5"/>
    <x v="1"/>
    <n v="0"/>
    <n v="0"/>
    <n v="0"/>
    <d v="2013-10-01T00:00:00"/>
    <x v="1"/>
    <x v="2"/>
  </r>
  <r>
    <x v="1"/>
    <x v="10"/>
    <s v="November"/>
    <s v="Division_A"/>
    <x v="24"/>
    <n v="2013"/>
    <n v="0"/>
    <s v="TBM"/>
    <n v="24"/>
    <n v="3445"/>
    <s v="143.5"/>
    <x v="1"/>
    <n v="0"/>
    <n v="0"/>
    <n v="0"/>
    <d v="2013-11-01T00:00:00"/>
    <x v="1"/>
    <x v="2"/>
  </r>
  <r>
    <x v="1"/>
    <x v="11"/>
    <s v="Desember"/>
    <s v="Division_A"/>
    <x v="24"/>
    <n v="2013"/>
    <n v="0"/>
    <s v="TBM"/>
    <n v="24"/>
    <n v="3445"/>
    <s v="143.5"/>
    <x v="1"/>
    <n v="0"/>
    <n v="0"/>
    <n v="0"/>
    <d v="2013-12-01T00:00:00"/>
    <x v="1"/>
    <x v="2"/>
  </r>
  <r>
    <x v="1"/>
    <x v="0"/>
    <s v="Januari"/>
    <s v="Division_A"/>
    <x v="25"/>
    <n v="2013"/>
    <n v="0"/>
    <s v="TBM"/>
    <n v="24"/>
    <n v="3271"/>
    <s v="136.3"/>
    <x v="1"/>
    <n v="0"/>
    <n v="0"/>
    <n v="0"/>
    <d v="2013-01-01T00:00:00"/>
    <x v="1"/>
    <x v="2"/>
  </r>
  <r>
    <x v="1"/>
    <x v="1"/>
    <s v="Februari"/>
    <s v="Division_A"/>
    <x v="25"/>
    <n v="2013"/>
    <n v="0"/>
    <s v="TBM"/>
    <n v="24"/>
    <n v="3271"/>
    <s v="136.3"/>
    <x v="1"/>
    <n v="0"/>
    <n v="0"/>
    <n v="0"/>
    <d v="2013-02-01T00:00:00"/>
    <x v="1"/>
    <x v="2"/>
  </r>
  <r>
    <x v="1"/>
    <x v="2"/>
    <s v="Maret"/>
    <s v="Division_A"/>
    <x v="25"/>
    <n v="2013"/>
    <n v="0"/>
    <s v="TBM"/>
    <n v="24"/>
    <n v="3271"/>
    <s v="136.3"/>
    <x v="1"/>
    <n v="0"/>
    <n v="0"/>
    <n v="0"/>
    <d v="2013-03-01T00:00:00"/>
    <x v="1"/>
    <x v="2"/>
  </r>
  <r>
    <x v="1"/>
    <x v="3"/>
    <s v="April"/>
    <s v="Division_A"/>
    <x v="25"/>
    <n v="2013"/>
    <n v="0"/>
    <s v="TBM"/>
    <n v="24"/>
    <n v="3271"/>
    <s v="136.3"/>
    <x v="1"/>
    <n v="0"/>
    <n v="0"/>
    <n v="0"/>
    <d v="2013-04-01T00:00:00"/>
    <x v="1"/>
    <x v="2"/>
  </r>
  <r>
    <x v="1"/>
    <x v="4"/>
    <s v="Mei"/>
    <s v="Division_A"/>
    <x v="25"/>
    <n v="2013"/>
    <n v="0"/>
    <s v="TBM"/>
    <n v="24"/>
    <n v="3271"/>
    <s v="136.3"/>
    <x v="1"/>
    <n v="0"/>
    <n v="0"/>
    <n v="0"/>
    <d v="2013-05-01T00:00:00"/>
    <x v="1"/>
    <x v="2"/>
  </r>
  <r>
    <x v="1"/>
    <x v="5"/>
    <s v="Juni"/>
    <s v="Division_A"/>
    <x v="25"/>
    <n v="2013"/>
    <n v="0"/>
    <s v="TBM"/>
    <n v="24"/>
    <n v="3271"/>
    <s v="136.3"/>
    <x v="1"/>
    <n v="0"/>
    <n v="0"/>
    <n v="0"/>
    <d v="2013-06-01T00:00:00"/>
    <x v="1"/>
    <x v="2"/>
  </r>
  <r>
    <x v="1"/>
    <x v="6"/>
    <s v="Juli"/>
    <s v="Division_A"/>
    <x v="25"/>
    <n v="2013"/>
    <n v="0"/>
    <s v="TBM"/>
    <n v="24"/>
    <n v="3271"/>
    <s v="136.3"/>
    <x v="1"/>
    <n v="0"/>
    <n v="0"/>
    <n v="0"/>
    <d v="2013-07-01T00:00:00"/>
    <x v="1"/>
    <x v="2"/>
  </r>
  <r>
    <x v="1"/>
    <x v="7"/>
    <s v="Agustus"/>
    <s v="Division_A"/>
    <x v="25"/>
    <n v="2013"/>
    <n v="0"/>
    <s v="TBM"/>
    <n v="24"/>
    <n v="3271"/>
    <s v="136.3"/>
    <x v="1"/>
    <n v="0"/>
    <n v="0"/>
    <n v="0"/>
    <d v="2013-08-01T00:00:00"/>
    <x v="1"/>
    <x v="2"/>
  </r>
  <r>
    <x v="1"/>
    <x v="8"/>
    <s v="September"/>
    <s v="Division_A"/>
    <x v="25"/>
    <n v="2013"/>
    <n v="0"/>
    <s v="TBM"/>
    <n v="24"/>
    <n v="3271"/>
    <s v="136.3"/>
    <x v="1"/>
    <n v="0"/>
    <n v="0"/>
    <n v="0"/>
    <d v="2013-09-01T00:00:00"/>
    <x v="1"/>
    <x v="2"/>
  </r>
  <r>
    <x v="1"/>
    <x v="9"/>
    <s v="Oktober"/>
    <s v="Division_A"/>
    <x v="25"/>
    <n v="2013"/>
    <n v="0"/>
    <s v="TBM"/>
    <n v="24"/>
    <n v="3271"/>
    <s v="136.3"/>
    <x v="1"/>
    <n v="0"/>
    <n v="0"/>
    <n v="0"/>
    <d v="2013-10-01T00:00:00"/>
    <x v="1"/>
    <x v="2"/>
  </r>
  <r>
    <x v="1"/>
    <x v="10"/>
    <s v="November"/>
    <s v="Division_A"/>
    <x v="25"/>
    <n v="2013"/>
    <n v="0"/>
    <s v="TBM"/>
    <n v="24"/>
    <n v="3271"/>
    <s v="136.3"/>
    <x v="1"/>
    <n v="0"/>
    <n v="0"/>
    <n v="0"/>
    <d v="2013-11-01T00:00:00"/>
    <x v="1"/>
    <x v="2"/>
  </r>
  <r>
    <x v="1"/>
    <x v="11"/>
    <s v="Desember"/>
    <s v="Division_A"/>
    <x v="25"/>
    <n v="2013"/>
    <n v="0"/>
    <s v="TBM"/>
    <n v="24"/>
    <n v="3271"/>
    <s v="136.3"/>
    <x v="1"/>
    <n v="0"/>
    <n v="0"/>
    <n v="0"/>
    <d v="2013-12-01T00:00:00"/>
    <x v="1"/>
    <x v="2"/>
  </r>
  <r>
    <x v="1"/>
    <x v="0"/>
    <s v="Januari"/>
    <s v="Division_A"/>
    <x v="26"/>
    <n v="2013"/>
    <n v="0"/>
    <s v="TBM"/>
    <n v="25"/>
    <n v="3291"/>
    <s v="131.6"/>
    <x v="1"/>
    <n v="0"/>
    <n v="0"/>
    <n v="0"/>
    <d v="2013-01-01T00:00:00"/>
    <x v="1"/>
    <x v="2"/>
  </r>
  <r>
    <x v="1"/>
    <x v="1"/>
    <s v="Februari"/>
    <s v="Division_A"/>
    <x v="26"/>
    <n v="2013"/>
    <n v="0"/>
    <s v="TBM"/>
    <n v="25"/>
    <n v="3291"/>
    <s v="131.6"/>
    <x v="1"/>
    <n v="0"/>
    <n v="0"/>
    <n v="0"/>
    <d v="2013-02-01T00:00:00"/>
    <x v="1"/>
    <x v="2"/>
  </r>
  <r>
    <x v="1"/>
    <x v="2"/>
    <s v="Maret"/>
    <s v="Division_A"/>
    <x v="26"/>
    <n v="2013"/>
    <n v="0"/>
    <s v="TBM"/>
    <n v="25"/>
    <n v="3291"/>
    <s v="131.6"/>
    <x v="1"/>
    <n v="0"/>
    <n v="0"/>
    <n v="0"/>
    <d v="2013-03-01T00:00:00"/>
    <x v="1"/>
    <x v="2"/>
  </r>
  <r>
    <x v="1"/>
    <x v="3"/>
    <s v="April"/>
    <s v="Division_A"/>
    <x v="26"/>
    <n v="2013"/>
    <n v="0"/>
    <s v="TBM"/>
    <n v="25"/>
    <n v="3291"/>
    <s v="131.6"/>
    <x v="1"/>
    <n v="0"/>
    <n v="0"/>
    <n v="0"/>
    <d v="2013-04-01T00:00:00"/>
    <x v="1"/>
    <x v="2"/>
  </r>
  <r>
    <x v="1"/>
    <x v="4"/>
    <s v="Mei"/>
    <s v="Division_A"/>
    <x v="26"/>
    <n v="2013"/>
    <n v="0"/>
    <s v="TBM"/>
    <n v="25"/>
    <n v="3291"/>
    <s v="131.6"/>
    <x v="1"/>
    <n v="0"/>
    <n v="0"/>
    <n v="0"/>
    <d v="2013-05-01T00:00:00"/>
    <x v="1"/>
    <x v="2"/>
  </r>
  <r>
    <x v="1"/>
    <x v="5"/>
    <s v="Juni"/>
    <s v="Division_A"/>
    <x v="26"/>
    <n v="2013"/>
    <n v="0"/>
    <s v="TBM"/>
    <n v="25"/>
    <n v="3291"/>
    <s v="131.6"/>
    <x v="1"/>
    <n v="0"/>
    <n v="0"/>
    <n v="0"/>
    <d v="2013-06-01T00:00:00"/>
    <x v="1"/>
    <x v="2"/>
  </r>
  <r>
    <x v="1"/>
    <x v="6"/>
    <s v="Juli"/>
    <s v="Division_A"/>
    <x v="26"/>
    <n v="2013"/>
    <n v="0"/>
    <s v="TBM"/>
    <n v="25"/>
    <n v="3291"/>
    <s v="131.6"/>
    <x v="1"/>
    <n v="0"/>
    <n v="0"/>
    <n v="0"/>
    <d v="2013-07-01T00:00:00"/>
    <x v="1"/>
    <x v="2"/>
  </r>
  <r>
    <x v="1"/>
    <x v="7"/>
    <s v="Agustus"/>
    <s v="Division_A"/>
    <x v="26"/>
    <n v="2013"/>
    <n v="0"/>
    <s v="TBM"/>
    <n v="25"/>
    <n v="3291"/>
    <s v="131.6"/>
    <x v="1"/>
    <n v="0"/>
    <n v="0"/>
    <n v="0"/>
    <d v="2013-08-01T00:00:00"/>
    <x v="1"/>
    <x v="2"/>
  </r>
  <r>
    <x v="1"/>
    <x v="8"/>
    <s v="September"/>
    <s v="Division_A"/>
    <x v="26"/>
    <n v="2013"/>
    <n v="0"/>
    <s v="TBM"/>
    <n v="25"/>
    <n v="3291"/>
    <s v="131.6"/>
    <x v="1"/>
    <n v="0"/>
    <n v="0"/>
    <n v="0"/>
    <d v="2013-09-01T00:00:00"/>
    <x v="1"/>
    <x v="2"/>
  </r>
  <r>
    <x v="1"/>
    <x v="9"/>
    <s v="Oktober"/>
    <s v="Division_A"/>
    <x v="26"/>
    <n v="2013"/>
    <n v="0"/>
    <s v="TBM"/>
    <n v="25"/>
    <n v="3291"/>
    <s v="131.6"/>
    <x v="1"/>
    <n v="0"/>
    <n v="0"/>
    <n v="0"/>
    <d v="2013-10-01T00:00:00"/>
    <x v="1"/>
    <x v="2"/>
  </r>
  <r>
    <x v="1"/>
    <x v="10"/>
    <s v="November"/>
    <s v="Division_A"/>
    <x v="26"/>
    <n v="2013"/>
    <n v="0"/>
    <s v="TBM"/>
    <n v="25"/>
    <n v="3291"/>
    <s v="131.6"/>
    <x v="1"/>
    <n v="0"/>
    <n v="0"/>
    <n v="0"/>
    <d v="2013-11-01T00:00:00"/>
    <x v="1"/>
    <x v="2"/>
  </r>
  <r>
    <x v="1"/>
    <x v="11"/>
    <s v="Desember"/>
    <s v="Division_A"/>
    <x v="26"/>
    <n v="2013"/>
    <n v="0"/>
    <s v="TBM"/>
    <n v="25"/>
    <n v="3291"/>
    <s v="131.6"/>
    <x v="1"/>
    <n v="0"/>
    <n v="0"/>
    <n v="0"/>
    <d v="2013-12-01T00:00:00"/>
    <x v="1"/>
    <x v="2"/>
  </r>
  <r>
    <x v="1"/>
    <x v="0"/>
    <s v="Januari"/>
    <s v="Division_A"/>
    <x v="27"/>
    <n v="2014"/>
    <n v="0"/>
    <s v="TBM"/>
    <n v="24"/>
    <n v="2208"/>
    <s v="92"/>
    <x v="1"/>
    <n v="0"/>
    <n v="0"/>
    <n v="0"/>
    <d v="2013-01-01T00:00:00"/>
    <x v="1"/>
    <x v="2"/>
  </r>
  <r>
    <x v="1"/>
    <x v="1"/>
    <s v="Februari"/>
    <s v="Division_A"/>
    <x v="27"/>
    <n v="2014"/>
    <n v="0"/>
    <s v="TBM"/>
    <n v="24"/>
    <n v="2208"/>
    <s v="92"/>
    <x v="1"/>
    <n v="0"/>
    <n v="0"/>
    <n v="0"/>
    <d v="2013-02-01T00:00:00"/>
    <x v="1"/>
    <x v="2"/>
  </r>
  <r>
    <x v="1"/>
    <x v="2"/>
    <s v="Maret"/>
    <s v="Division_A"/>
    <x v="27"/>
    <n v="2014"/>
    <n v="0"/>
    <s v="TBM"/>
    <n v="24"/>
    <n v="2208"/>
    <s v="92"/>
    <x v="1"/>
    <n v="0"/>
    <n v="0"/>
    <n v="0"/>
    <d v="2013-03-01T00:00:00"/>
    <x v="1"/>
    <x v="2"/>
  </r>
  <r>
    <x v="1"/>
    <x v="3"/>
    <s v="April"/>
    <s v="Division_A"/>
    <x v="27"/>
    <n v="2014"/>
    <n v="0"/>
    <s v="TBM"/>
    <n v="24"/>
    <n v="2208"/>
    <s v="92"/>
    <x v="1"/>
    <n v="0"/>
    <n v="0"/>
    <n v="0"/>
    <d v="2013-04-01T00:00:00"/>
    <x v="1"/>
    <x v="2"/>
  </r>
  <r>
    <x v="1"/>
    <x v="4"/>
    <s v="Mei"/>
    <s v="Division_A"/>
    <x v="27"/>
    <n v="2014"/>
    <n v="0"/>
    <s v="TBM"/>
    <n v="24"/>
    <n v="2208"/>
    <s v="92"/>
    <x v="1"/>
    <n v="0"/>
    <n v="0"/>
    <n v="0"/>
    <d v="2013-05-01T00:00:00"/>
    <x v="1"/>
    <x v="2"/>
  </r>
  <r>
    <x v="1"/>
    <x v="5"/>
    <s v="Juni"/>
    <s v="Division_A"/>
    <x v="27"/>
    <n v="2014"/>
    <n v="0"/>
    <s v="TBM"/>
    <n v="24"/>
    <n v="2208"/>
    <s v="92"/>
    <x v="1"/>
    <n v="0"/>
    <n v="0"/>
    <n v="0"/>
    <d v="2013-06-01T00:00:00"/>
    <x v="1"/>
    <x v="2"/>
  </r>
  <r>
    <x v="1"/>
    <x v="6"/>
    <s v="Juli"/>
    <s v="Division_A"/>
    <x v="27"/>
    <n v="2014"/>
    <n v="0"/>
    <s v="TBM"/>
    <n v="24"/>
    <n v="2208"/>
    <s v="92"/>
    <x v="1"/>
    <n v="0"/>
    <n v="0"/>
    <n v="0"/>
    <d v="2013-07-01T00:00:00"/>
    <x v="1"/>
    <x v="2"/>
  </r>
  <r>
    <x v="1"/>
    <x v="7"/>
    <s v="Agustus"/>
    <s v="Division_A"/>
    <x v="27"/>
    <n v="2014"/>
    <n v="0"/>
    <s v="TBM"/>
    <n v="24"/>
    <n v="2208"/>
    <s v="92"/>
    <x v="1"/>
    <n v="0"/>
    <n v="0"/>
    <n v="0"/>
    <d v="2013-08-01T00:00:00"/>
    <x v="1"/>
    <x v="2"/>
  </r>
  <r>
    <x v="1"/>
    <x v="8"/>
    <s v="September"/>
    <s v="Division_A"/>
    <x v="27"/>
    <n v="2014"/>
    <n v="0"/>
    <s v="TBM"/>
    <n v="24"/>
    <n v="2208"/>
    <s v="92"/>
    <x v="1"/>
    <n v="0"/>
    <n v="0"/>
    <n v="0"/>
    <d v="2013-09-01T00:00:00"/>
    <x v="1"/>
    <x v="2"/>
  </r>
  <r>
    <x v="1"/>
    <x v="9"/>
    <s v="Oktober"/>
    <s v="Division_A"/>
    <x v="27"/>
    <n v="2014"/>
    <n v="0"/>
    <s v="TBM"/>
    <n v="24"/>
    <n v="2208"/>
    <s v="92"/>
    <x v="1"/>
    <n v="0"/>
    <n v="0"/>
    <n v="0"/>
    <d v="2013-10-01T00:00:00"/>
    <x v="1"/>
    <x v="2"/>
  </r>
  <r>
    <x v="1"/>
    <x v="10"/>
    <s v="November"/>
    <s v="Division_A"/>
    <x v="27"/>
    <n v="2014"/>
    <n v="0"/>
    <s v="TBM"/>
    <n v="24"/>
    <n v="2208"/>
    <s v="92"/>
    <x v="1"/>
    <n v="0"/>
    <n v="0"/>
    <n v="0"/>
    <d v="2013-11-01T00:00:00"/>
    <x v="1"/>
    <x v="2"/>
  </r>
  <r>
    <x v="1"/>
    <x v="11"/>
    <s v="Desember"/>
    <s v="Division_A"/>
    <x v="27"/>
    <n v="2014"/>
    <n v="0"/>
    <s v="TBM"/>
    <n v="24"/>
    <n v="2208"/>
    <s v="92"/>
    <x v="1"/>
    <n v="0"/>
    <n v="0"/>
    <n v="0"/>
    <d v="2013-12-01T00:00:00"/>
    <x v="1"/>
    <x v="2"/>
  </r>
  <r>
    <x v="1"/>
    <x v="0"/>
    <s v="Januari"/>
    <s v="Division_A"/>
    <x v="28"/>
    <n v="2014"/>
    <n v="0"/>
    <s v="TBM"/>
    <n v="20"/>
    <n v="1954"/>
    <s v="97.7"/>
    <x v="1"/>
    <n v="0"/>
    <n v="0"/>
    <n v="0"/>
    <d v="2013-01-01T00:00:00"/>
    <x v="1"/>
    <x v="2"/>
  </r>
  <r>
    <x v="1"/>
    <x v="1"/>
    <s v="Februari"/>
    <s v="Division_A"/>
    <x v="28"/>
    <n v="2014"/>
    <n v="0"/>
    <s v="TBM"/>
    <n v="20"/>
    <n v="1954"/>
    <s v="97.7"/>
    <x v="1"/>
    <n v="0"/>
    <n v="0"/>
    <n v="0"/>
    <d v="2013-02-01T00:00:00"/>
    <x v="1"/>
    <x v="2"/>
  </r>
  <r>
    <x v="1"/>
    <x v="2"/>
    <s v="Maret"/>
    <s v="Division_A"/>
    <x v="28"/>
    <n v="2014"/>
    <n v="0"/>
    <s v="TBM"/>
    <n v="20"/>
    <n v="1954"/>
    <s v="97.7"/>
    <x v="1"/>
    <n v="0"/>
    <n v="0"/>
    <n v="0"/>
    <d v="2013-03-01T00:00:00"/>
    <x v="1"/>
    <x v="2"/>
  </r>
  <r>
    <x v="1"/>
    <x v="3"/>
    <s v="April"/>
    <s v="Division_A"/>
    <x v="28"/>
    <n v="2014"/>
    <n v="0"/>
    <s v="TBM"/>
    <n v="20"/>
    <n v="1954"/>
    <s v="97.7"/>
    <x v="1"/>
    <n v="0"/>
    <n v="0"/>
    <n v="0"/>
    <d v="2013-04-01T00:00:00"/>
    <x v="1"/>
    <x v="2"/>
  </r>
  <r>
    <x v="1"/>
    <x v="4"/>
    <s v="Mei"/>
    <s v="Division_A"/>
    <x v="28"/>
    <n v="2014"/>
    <n v="0"/>
    <s v="TBM"/>
    <n v="20"/>
    <n v="1954"/>
    <s v="97.7"/>
    <x v="1"/>
    <n v="0"/>
    <n v="0"/>
    <n v="0"/>
    <d v="2013-05-01T00:00:00"/>
    <x v="1"/>
    <x v="2"/>
  </r>
  <r>
    <x v="1"/>
    <x v="5"/>
    <s v="Juni"/>
    <s v="Division_A"/>
    <x v="28"/>
    <n v="2014"/>
    <n v="0"/>
    <s v="TBM"/>
    <n v="20"/>
    <n v="1954"/>
    <s v="97.7"/>
    <x v="1"/>
    <n v="0"/>
    <n v="0"/>
    <n v="0"/>
    <d v="2013-06-01T00:00:00"/>
    <x v="1"/>
    <x v="2"/>
  </r>
  <r>
    <x v="1"/>
    <x v="6"/>
    <s v="Juli"/>
    <s v="Division_A"/>
    <x v="28"/>
    <n v="2014"/>
    <n v="0"/>
    <s v="TBM"/>
    <n v="20"/>
    <n v="1954"/>
    <s v="97.7"/>
    <x v="1"/>
    <n v="0"/>
    <n v="0"/>
    <n v="0"/>
    <d v="2013-07-01T00:00:00"/>
    <x v="1"/>
    <x v="2"/>
  </r>
  <r>
    <x v="1"/>
    <x v="7"/>
    <s v="Agustus"/>
    <s v="Division_A"/>
    <x v="28"/>
    <n v="2014"/>
    <n v="0"/>
    <s v="TBM"/>
    <n v="20"/>
    <n v="1954"/>
    <s v="97.7"/>
    <x v="1"/>
    <n v="0"/>
    <n v="0"/>
    <n v="0"/>
    <d v="2013-08-01T00:00:00"/>
    <x v="1"/>
    <x v="2"/>
  </r>
  <r>
    <x v="1"/>
    <x v="8"/>
    <s v="September"/>
    <s v="Division_A"/>
    <x v="28"/>
    <n v="2014"/>
    <n v="0"/>
    <s v="TBM"/>
    <n v="20"/>
    <n v="1954"/>
    <s v="97.7"/>
    <x v="1"/>
    <n v="0"/>
    <n v="0"/>
    <n v="0"/>
    <d v="2013-09-01T00:00:00"/>
    <x v="1"/>
    <x v="2"/>
  </r>
  <r>
    <x v="1"/>
    <x v="9"/>
    <s v="Oktober"/>
    <s v="Division_A"/>
    <x v="28"/>
    <n v="2014"/>
    <n v="0"/>
    <s v="TBM"/>
    <n v="20"/>
    <n v="1954"/>
    <s v="97.7"/>
    <x v="1"/>
    <n v="0"/>
    <n v="0"/>
    <n v="0"/>
    <d v="2013-10-01T00:00:00"/>
    <x v="1"/>
    <x v="2"/>
  </r>
  <r>
    <x v="1"/>
    <x v="10"/>
    <s v="November"/>
    <s v="Division_A"/>
    <x v="28"/>
    <n v="2014"/>
    <n v="0"/>
    <s v="TBM"/>
    <n v="20"/>
    <n v="1954"/>
    <s v="97.7"/>
    <x v="1"/>
    <n v="0"/>
    <n v="0"/>
    <n v="0"/>
    <d v="2013-11-01T00:00:00"/>
    <x v="1"/>
    <x v="2"/>
  </r>
  <r>
    <x v="1"/>
    <x v="11"/>
    <s v="Desember"/>
    <s v="Division_A"/>
    <x v="28"/>
    <n v="2014"/>
    <n v="0"/>
    <s v="TBM"/>
    <n v="20"/>
    <n v="1954"/>
    <s v="97.7"/>
    <x v="1"/>
    <n v="0"/>
    <n v="0"/>
    <n v="0"/>
    <d v="2013-12-01T00:00:00"/>
    <x v="1"/>
    <x v="2"/>
  </r>
  <r>
    <x v="1"/>
    <x v="0"/>
    <s v="Januari"/>
    <s v="Division_A"/>
    <x v="29"/>
    <n v="2014"/>
    <n v="0"/>
    <s v="TBM"/>
    <n v="24"/>
    <n v="1329"/>
    <s v="55.4"/>
    <x v="1"/>
    <n v="0"/>
    <n v="0"/>
    <n v="0"/>
    <d v="2013-01-01T00:00:00"/>
    <x v="1"/>
    <x v="2"/>
  </r>
  <r>
    <x v="1"/>
    <x v="1"/>
    <s v="Februari"/>
    <s v="Division_A"/>
    <x v="29"/>
    <n v="2014"/>
    <n v="0"/>
    <s v="TBM"/>
    <n v="24"/>
    <n v="1329"/>
    <s v="55.4"/>
    <x v="1"/>
    <n v="0"/>
    <n v="0"/>
    <n v="0"/>
    <d v="2013-02-01T00:00:00"/>
    <x v="1"/>
    <x v="2"/>
  </r>
  <r>
    <x v="1"/>
    <x v="2"/>
    <s v="Maret"/>
    <s v="Division_A"/>
    <x v="29"/>
    <n v="2014"/>
    <n v="0"/>
    <s v="TBM"/>
    <n v="24"/>
    <n v="1329"/>
    <s v="55.4"/>
    <x v="1"/>
    <n v="0"/>
    <n v="0"/>
    <n v="0"/>
    <d v="2013-03-01T00:00:00"/>
    <x v="1"/>
    <x v="2"/>
  </r>
  <r>
    <x v="1"/>
    <x v="3"/>
    <s v="April"/>
    <s v="Division_A"/>
    <x v="29"/>
    <n v="2014"/>
    <n v="0"/>
    <s v="TBM"/>
    <n v="24"/>
    <n v="1329"/>
    <s v="55.4"/>
    <x v="1"/>
    <n v="0"/>
    <n v="0"/>
    <n v="0"/>
    <d v="2013-04-01T00:00:00"/>
    <x v="1"/>
    <x v="2"/>
  </r>
  <r>
    <x v="1"/>
    <x v="4"/>
    <s v="Mei"/>
    <s v="Division_A"/>
    <x v="29"/>
    <n v="2014"/>
    <n v="0"/>
    <s v="TBM"/>
    <n v="24"/>
    <n v="1329"/>
    <s v="55.4"/>
    <x v="1"/>
    <n v="0"/>
    <n v="0"/>
    <n v="0"/>
    <d v="2013-05-01T00:00:00"/>
    <x v="1"/>
    <x v="2"/>
  </r>
  <r>
    <x v="1"/>
    <x v="5"/>
    <s v="Juni"/>
    <s v="Division_A"/>
    <x v="29"/>
    <n v="2014"/>
    <n v="0"/>
    <s v="TBM"/>
    <n v="24"/>
    <n v="1329"/>
    <s v="55.4"/>
    <x v="1"/>
    <n v="0"/>
    <n v="0"/>
    <n v="0"/>
    <d v="2013-06-01T00:00:00"/>
    <x v="1"/>
    <x v="2"/>
  </r>
  <r>
    <x v="1"/>
    <x v="6"/>
    <s v="Juli"/>
    <s v="Division_A"/>
    <x v="29"/>
    <n v="2014"/>
    <n v="0"/>
    <s v="TBM"/>
    <n v="24"/>
    <n v="1329"/>
    <s v="55.4"/>
    <x v="1"/>
    <n v="0"/>
    <n v="0"/>
    <n v="0"/>
    <d v="2013-07-01T00:00:00"/>
    <x v="1"/>
    <x v="2"/>
  </r>
  <r>
    <x v="1"/>
    <x v="7"/>
    <s v="Agustus"/>
    <s v="Division_A"/>
    <x v="29"/>
    <n v="2014"/>
    <n v="0"/>
    <s v="TBM"/>
    <n v="24"/>
    <n v="1329"/>
    <s v="55.4"/>
    <x v="1"/>
    <n v="0"/>
    <n v="0"/>
    <n v="0"/>
    <d v="2013-08-01T00:00:00"/>
    <x v="1"/>
    <x v="2"/>
  </r>
  <r>
    <x v="1"/>
    <x v="8"/>
    <s v="September"/>
    <s v="Division_A"/>
    <x v="29"/>
    <n v="2014"/>
    <n v="0"/>
    <s v="TBM"/>
    <n v="24"/>
    <n v="1329"/>
    <s v="55.4"/>
    <x v="1"/>
    <n v="0"/>
    <n v="0"/>
    <n v="0"/>
    <d v="2013-09-01T00:00:00"/>
    <x v="1"/>
    <x v="2"/>
  </r>
  <r>
    <x v="1"/>
    <x v="9"/>
    <s v="Oktober"/>
    <s v="Division_A"/>
    <x v="29"/>
    <n v="2014"/>
    <n v="0"/>
    <s v="TBM"/>
    <n v="24"/>
    <n v="1329"/>
    <s v="55.4"/>
    <x v="1"/>
    <n v="0"/>
    <n v="0"/>
    <n v="0"/>
    <d v="2013-10-01T00:00:00"/>
    <x v="1"/>
    <x v="2"/>
  </r>
  <r>
    <x v="1"/>
    <x v="10"/>
    <s v="November"/>
    <s v="Division_A"/>
    <x v="29"/>
    <n v="2014"/>
    <n v="0"/>
    <s v="TBM"/>
    <n v="24"/>
    <n v="1329"/>
    <s v="55.4"/>
    <x v="1"/>
    <n v="0"/>
    <n v="0"/>
    <n v="0"/>
    <d v="2013-11-01T00:00:00"/>
    <x v="1"/>
    <x v="2"/>
  </r>
  <r>
    <x v="1"/>
    <x v="11"/>
    <s v="Desember"/>
    <s v="Division_A"/>
    <x v="29"/>
    <n v="2014"/>
    <n v="0"/>
    <s v="TBM"/>
    <n v="24"/>
    <n v="1329"/>
    <s v="55.4"/>
    <x v="1"/>
    <n v="0"/>
    <n v="0"/>
    <n v="0"/>
    <d v="2013-12-01T00:00:00"/>
    <x v="1"/>
    <x v="2"/>
  </r>
  <r>
    <x v="1"/>
    <x v="0"/>
    <s v="Januari"/>
    <s v="Division_A"/>
    <x v="30"/>
    <n v="2014"/>
    <n v="0"/>
    <s v="TBM"/>
    <n v="24"/>
    <n v="1573"/>
    <s v="65.5"/>
    <x v="1"/>
    <n v="0"/>
    <n v="0"/>
    <n v="0"/>
    <d v="2013-01-01T00:00:00"/>
    <x v="1"/>
    <x v="2"/>
  </r>
  <r>
    <x v="1"/>
    <x v="1"/>
    <s v="Februari"/>
    <s v="Division_A"/>
    <x v="30"/>
    <n v="2014"/>
    <n v="0"/>
    <s v="TBM"/>
    <n v="24"/>
    <n v="1573"/>
    <s v="65.5"/>
    <x v="1"/>
    <n v="0"/>
    <n v="0"/>
    <n v="0"/>
    <d v="2013-02-01T00:00:00"/>
    <x v="1"/>
    <x v="2"/>
  </r>
  <r>
    <x v="1"/>
    <x v="2"/>
    <s v="Maret"/>
    <s v="Division_A"/>
    <x v="30"/>
    <n v="2014"/>
    <n v="0"/>
    <s v="TBM"/>
    <n v="24"/>
    <n v="1573"/>
    <s v="65.5"/>
    <x v="1"/>
    <n v="0"/>
    <n v="0"/>
    <n v="0"/>
    <d v="2013-03-01T00:00:00"/>
    <x v="1"/>
    <x v="2"/>
  </r>
  <r>
    <x v="1"/>
    <x v="3"/>
    <s v="April"/>
    <s v="Division_A"/>
    <x v="30"/>
    <n v="2014"/>
    <n v="0"/>
    <s v="TBM"/>
    <n v="24"/>
    <n v="1573"/>
    <s v="65.5"/>
    <x v="1"/>
    <n v="0"/>
    <n v="0"/>
    <n v="0"/>
    <d v="2013-04-01T00:00:00"/>
    <x v="1"/>
    <x v="2"/>
  </r>
  <r>
    <x v="1"/>
    <x v="4"/>
    <s v="Mei"/>
    <s v="Division_A"/>
    <x v="30"/>
    <n v="2014"/>
    <n v="0"/>
    <s v="TBM"/>
    <n v="24"/>
    <n v="1573"/>
    <s v="65.5"/>
    <x v="1"/>
    <n v="0"/>
    <n v="0"/>
    <n v="0"/>
    <d v="2013-05-01T00:00:00"/>
    <x v="1"/>
    <x v="2"/>
  </r>
  <r>
    <x v="1"/>
    <x v="5"/>
    <s v="Juni"/>
    <s v="Division_A"/>
    <x v="30"/>
    <n v="2014"/>
    <n v="0"/>
    <s v="TBM"/>
    <n v="24"/>
    <n v="1573"/>
    <s v="65.5"/>
    <x v="1"/>
    <n v="0"/>
    <n v="0"/>
    <n v="0"/>
    <d v="2013-06-01T00:00:00"/>
    <x v="1"/>
    <x v="2"/>
  </r>
  <r>
    <x v="1"/>
    <x v="6"/>
    <s v="Juli"/>
    <s v="Division_A"/>
    <x v="30"/>
    <n v="2014"/>
    <n v="0"/>
    <s v="TBM"/>
    <n v="24"/>
    <n v="1573"/>
    <s v="65.5"/>
    <x v="1"/>
    <n v="0"/>
    <n v="0"/>
    <n v="0"/>
    <d v="2013-07-01T00:00:00"/>
    <x v="1"/>
    <x v="2"/>
  </r>
  <r>
    <x v="1"/>
    <x v="7"/>
    <s v="Agustus"/>
    <s v="Division_A"/>
    <x v="30"/>
    <n v="2014"/>
    <n v="0"/>
    <s v="TBM"/>
    <n v="24"/>
    <n v="1573"/>
    <s v="65.5"/>
    <x v="1"/>
    <n v="0"/>
    <n v="0"/>
    <n v="0"/>
    <d v="2013-08-01T00:00:00"/>
    <x v="1"/>
    <x v="2"/>
  </r>
  <r>
    <x v="1"/>
    <x v="8"/>
    <s v="September"/>
    <s v="Division_A"/>
    <x v="30"/>
    <n v="2014"/>
    <n v="0"/>
    <s v="TBM"/>
    <n v="24"/>
    <n v="1573"/>
    <s v="65.5"/>
    <x v="1"/>
    <n v="0"/>
    <n v="0"/>
    <n v="0"/>
    <d v="2013-09-01T00:00:00"/>
    <x v="1"/>
    <x v="2"/>
  </r>
  <r>
    <x v="1"/>
    <x v="9"/>
    <s v="Oktober"/>
    <s v="Division_A"/>
    <x v="30"/>
    <n v="2014"/>
    <n v="0"/>
    <s v="TBM"/>
    <n v="24"/>
    <n v="1573"/>
    <s v="65.5"/>
    <x v="1"/>
    <n v="0"/>
    <n v="0"/>
    <n v="0"/>
    <d v="2013-10-01T00:00:00"/>
    <x v="1"/>
    <x v="2"/>
  </r>
  <r>
    <x v="1"/>
    <x v="10"/>
    <s v="November"/>
    <s v="Division_A"/>
    <x v="30"/>
    <n v="2014"/>
    <n v="0"/>
    <s v="TBM"/>
    <n v="24"/>
    <n v="1573"/>
    <s v="65.5"/>
    <x v="1"/>
    <n v="0"/>
    <n v="0"/>
    <n v="0"/>
    <d v="2013-11-01T00:00:00"/>
    <x v="1"/>
    <x v="2"/>
  </r>
  <r>
    <x v="1"/>
    <x v="11"/>
    <s v="Desember"/>
    <s v="Division_A"/>
    <x v="30"/>
    <n v="2014"/>
    <n v="0"/>
    <s v="TBM"/>
    <n v="24"/>
    <n v="1573"/>
    <s v="65.5"/>
    <x v="1"/>
    <n v="0"/>
    <n v="0"/>
    <n v="0"/>
    <d v="2013-12-01T00:00:00"/>
    <x v="1"/>
    <x v="2"/>
  </r>
  <r>
    <x v="1"/>
    <x v="0"/>
    <s v="Januari"/>
    <s v="Division_A"/>
    <x v="31"/>
    <n v="2016"/>
    <n v="0"/>
    <s v="TBM"/>
    <n v="22"/>
    <n v="3137"/>
    <s v="142.6"/>
    <x v="0"/>
    <n v="0"/>
    <n v="0"/>
    <n v="0"/>
    <d v="2013-01-01T00:00:00"/>
    <x v="1"/>
    <x v="2"/>
  </r>
  <r>
    <x v="1"/>
    <x v="1"/>
    <s v="Februari"/>
    <s v="Division_A"/>
    <x v="31"/>
    <n v="2016"/>
    <n v="0"/>
    <s v="TBM"/>
    <n v="22"/>
    <n v="3137"/>
    <s v="142.6"/>
    <x v="0"/>
    <n v="0"/>
    <n v="0"/>
    <n v="0"/>
    <d v="2013-02-01T00:00:00"/>
    <x v="1"/>
    <x v="2"/>
  </r>
  <r>
    <x v="1"/>
    <x v="2"/>
    <s v="Maret"/>
    <s v="Division_A"/>
    <x v="31"/>
    <n v="2016"/>
    <n v="0"/>
    <s v="TBM"/>
    <n v="22"/>
    <n v="3137"/>
    <s v="142.6"/>
    <x v="0"/>
    <n v="0"/>
    <n v="0"/>
    <n v="0"/>
    <d v="2013-03-01T00:00:00"/>
    <x v="1"/>
    <x v="2"/>
  </r>
  <r>
    <x v="1"/>
    <x v="3"/>
    <s v="April"/>
    <s v="Division_A"/>
    <x v="31"/>
    <n v="2016"/>
    <n v="0"/>
    <s v="TBM"/>
    <n v="22"/>
    <n v="3137"/>
    <s v="142.6"/>
    <x v="0"/>
    <n v="0"/>
    <n v="0"/>
    <n v="0"/>
    <d v="2013-04-01T00:00:00"/>
    <x v="1"/>
    <x v="2"/>
  </r>
  <r>
    <x v="1"/>
    <x v="4"/>
    <s v="Mei"/>
    <s v="Division_A"/>
    <x v="31"/>
    <n v="2016"/>
    <n v="0"/>
    <s v="TBM"/>
    <n v="22"/>
    <n v="3137"/>
    <s v="142.6"/>
    <x v="0"/>
    <n v="0"/>
    <n v="0"/>
    <n v="0"/>
    <d v="2013-05-01T00:00:00"/>
    <x v="1"/>
    <x v="2"/>
  </r>
  <r>
    <x v="1"/>
    <x v="5"/>
    <s v="Juni"/>
    <s v="Division_A"/>
    <x v="31"/>
    <n v="2016"/>
    <n v="0"/>
    <s v="TBM"/>
    <n v="22"/>
    <n v="3137"/>
    <s v="142.6"/>
    <x v="0"/>
    <n v="0"/>
    <n v="0"/>
    <n v="0"/>
    <d v="2013-06-01T00:00:00"/>
    <x v="1"/>
    <x v="2"/>
  </r>
  <r>
    <x v="1"/>
    <x v="6"/>
    <s v="Juli"/>
    <s v="Division_A"/>
    <x v="31"/>
    <n v="2016"/>
    <n v="0"/>
    <s v="TBM"/>
    <n v="22"/>
    <n v="3137"/>
    <s v="142.6"/>
    <x v="0"/>
    <n v="0"/>
    <n v="0"/>
    <n v="0"/>
    <d v="2013-07-01T00:00:00"/>
    <x v="1"/>
    <x v="2"/>
  </r>
  <r>
    <x v="1"/>
    <x v="7"/>
    <s v="Agustus"/>
    <s v="Division_A"/>
    <x v="31"/>
    <n v="2016"/>
    <n v="0"/>
    <s v="TBM"/>
    <n v="22"/>
    <n v="3137"/>
    <s v="142.6"/>
    <x v="0"/>
    <n v="0"/>
    <n v="0"/>
    <n v="0"/>
    <d v="2013-08-01T00:00:00"/>
    <x v="1"/>
    <x v="2"/>
  </r>
  <r>
    <x v="1"/>
    <x v="8"/>
    <s v="September"/>
    <s v="Division_A"/>
    <x v="31"/>
    <n v="2016"/>
    <n v="0"/>
    <s v="TBM"/>
    <n v="22"/>
    <n v="3137"/>
    <s v="142.6"/>
    <x v="0"/>
    <n v="0"/>
    <n v="0"/>
    <n v="0"/>
    <d v="2013-09-01T00:00:00"/>
    <x v="1"/>
    <x v="2"/>
  </r>
  <r>
    <x v="1"/>
    <x v="9"/>
    <s v="Oktober"/>
    <s v="Division_A"/>
    <x v="31"/>
    <n v="2016"/>
    <n v="0"/>
    <s v="TBM"/>
    <n v="22"/>
    <n v="3137"/>
    <s v="142.6"/>
    <x v="0"/>
    <n v="0"/>
    <n v="0"/>
    <n v="0"/>
    <d v="2013-10-01T00:00:00"/>
    <x v="1"/>
    <x v="2"/>
  </r>
  <r>
    <x v="1"/>
    <x v="10"/>
    <s v="November"/>
    <s v="Division_A"/>
    <x v="31"/>
    <n v="2016"/>
    <n v="0"/>
    <s v="TBM"/>
    <n v="22"/>
    <n v="3137"/>
    <s v="142.6"/>
    <x v="0"/>
    <n v="0"/>
    <n v="0"/>
    <n v="0"/>
    <d v="2013-11-01T00:00:00"/>
    <x v="1"/>
    <x v="2"/>
  </r>
  <r>
    <x v="1"/>
    <x v="11"/>
    <s v="Desember"/>
    <s v="Division_A"/>
    <x v="31"/>
    <n v="2016"/>
    <n v="0"/>
    <s v="TBM"/>
    <n v="22"/>
    <n v="3137"/>
    <s v="142.6"/>
    <x v="0"/>
    <n v="0"/>
    <n v="0"/>
    <n v="0"/>
    <d v="2013-12-01T00:00:00"/>
    <x v="1"/>
    <x v="2"/>
  </r>
  <r>
    <x v="1"/>
    <x v="0"/>
    <s v="Januari"/>
    <s v="Division_A"/>
    <x v="32"/>
    <n v="2016"/>
    <n v="0"/>
    <s v="TBM"/>
    <n v="22"/>
    <n v="3096"/>
    <s v="140.7"/>
    <x v="0"/>
    <n v="0"/>
    <n v="0"/>
    <n v="0"/>
    <d v="2013-01-01T00:00:00"/>
    <x v="1"/>
    <x v="2"/>
  </r>
  <r>
    <x v="1"/>
    <x v="1"/>
    <s v="Februari"/>
    <s v="Division_A"/>
    <x v="32"/>
    <n v="2016"/>
    <n v="0"/>
    <s v="TBM"/>
    <n v="22"/>
    <n v="3096"/>
    <s v="140.7"/>
    <x v="0"/>
    <n v="0"/>
    <n v="0"/>
    <n v="0"/>
    <d v="2013-02-01T00:00:00"/>
    <x v="1"/>
    <x v="2"/>
  </r>
  <r>
    <x v="1"/>
    <x v="2"/>
    <s v="Maret"/>
    <s v="Division_A"/>
    <x v="32"/>
    <n v="2016"/>
    <n v="0"/>
    <s v="TBM"/>
    <n v="22"/>
    <n v="3096"/>
    <s v="140.7"/>
    <x v="0"/>
    <n v="0"/>
    <n v="0"/>
    <n v="0"/>
    <d v="2013-03-01T00:00:00"/>
    <x v="1"/>
    <x v="2"/>
  </r>
  <r>
    <x v="1"/>
    <x v="3"/>
    <s v="April"/>
    <s v="Division_A"/>
    <x v="32"/>
    <n v="2016"/>
    <n v="0"/>
    <s v="TBM"/>
    <n v="22"/>
    <n v="3096"/>
    <s v="140.7"/>
    <x v="0"/>
    <n v="0"/>
    <n v="0"/>
    <n v="0"/>
    <d v="2013-04-01T00:00:00"/>
    <x v="1"/>
    <x v="2"/>
  </r>
  <r>
    <x v="1"/>
    <x v="4"/>
    <s v="Mei"/>
    <s v="Division_A"/>
    <x v="32"/>
    <n v="2016"/>
    <n v="0"/>
    <s v="TBM"/>
    <n v="22"/>
    <n v="3096"/>
    <s v="140.7"/>
    <x v="0"/>
    <n v="0"/>
    <n v="0"/>
    <n v="0"/>
    <d v="2013-05-01T00:00:00"/>
    <x v="1"/>
    <x v="2"/>
  </r>
  <r>
    <x v="1"/>
    <x v="5"/>
    <s v="Juni"/>
    <s v="Division_A"/>
    <x v="32"/>
    <n v="2016"/>
    <n v="0"/>
    <s v="TBM"/>
    <n v="22"/>
    <n v="3096"/>
    <s v="140.7"/>
    <x v="0"/>
    <n v="0"/>
    <n v="0"/>
    <n v="0"/>
    <d v="2013-06-01T00:00:00"/>
    <x v="1"/>
    <x v="2"/>
  </r>
  <r>
    <x v="1"/>
    <x v="6"/>
    <s v="Juli"/>
    <s v="Division_A"/>
    <x v="32"/>
    <n v="2016"/>
    <n v="0"/>
    <s v="TBM"/>
    <n v="22"/>
    <n v="3096"/>
    <s v="140.7"/>
    <x v="0"/>
    <n v="0"/>
    <n v="0"/>
    <n v="0"/>
    <d v="2013-07-01T00:00:00"/>
    <x v="1"/>
    <x v="2"/>
  </r>
  <r>
    <x v="1"/>
    <x v="7"/>
    <s v="Agustus"/>
    <s v="Division_A"/>
    <x v="32"/>
    <n v="2016"/>
    <n v="0"/>
    <s v="TBM"/>
    <n v="22"/>
    <n v="3096"/>
    <s v="140.7"/>
    <x v="0"/>
    <n v="0"/>
    <n v="0"/>
    <n v="0"/>
    <d v="2013-08-01T00:00:00"/>
    <x v="1"/>
    <x v="2"/>
  </r>
  <r>
    <x v="1"/>
    <x v="8"/>
    <s v="September"/>
    <s v="Division_A"/>
    <x v="32"/>
    <n v="2016"/>
    <n v="0"/>
    <s v="TBM"/>
    <n v="22"/>
    <n v="3096"/>
    <s v="140.7"/>
    <x v="0"/>
    <n v="0"/>
    <n v="0"/>
    <n v="0"/>
    <d v="2013-09-01T00:00:00"/>
    <x v="1"/>
    <x v="2"/>
  </r>
  <r>
    <x v="1"/>
    <x v="9"/>
    <s v="Oktober"/>
    <s v="Division_A"/>
    <x v="32"/>
    <n v="2016"/>
    <n v="0"/>
    <s v="TBM"/>
    <n v="22"/>
    <n v="3096"/>
    <s v="140.7"/>
    <x v="0"/>
    <n v="0"/>
    <n v="0"/>
    <n v="0"/>
    <d v="2013-10-01T00:00:00"/>
    <x v="1"/>
    <x v="2"/>
  </r>
  <r>
    <x v="1"/>
    <x v="10"/>
    <s v="November"/>
    <s v="Division_A"/>
    <x v="32"/>
    <n v="2016"/>
    <n v="0"/>
    <s v="TBM"/>
    <n v="22"/>
    <n v="3096"/>
    <s v="140.7"/>
    <x v="0"/>
    <n v="0"/>
    <n v="0"/>
    <n v="0"/>
    <d v="2013-11-01T00:00:00"/>
    <x v="1"/>
    <x v="2"/>
  </r>
  <r>
    <x v="1"/>
    <x v="11"/>
    <s v="Desember"/>
    <s v="Division_A"/>
    <x v="32"/>
    <n v="2016"/>
    <n v="0"/>
    <s v="TBM"/>
    <n v="22"/>
    <n v="3096"/>
    <s v="140.7"/>
    <x v="0"/>
    <n v="0"/>
    <n v="0"/>
    <n v="0"/>
    <d v="2013-12-01T00:00:00"/>
    <x v="1"/>
    <x v="2"/>
  </r>
  <r>
    <x v="1"/>
    <x v="0"/>
    <s v="Januari"/>
    <s v="Division_A"/>
    <x v="33"/>
    <n v="2016"/>
    <n v="0"/>
    <s v="TBM"/>
    <n v="24"/>
    <n v="3317"/>
    <s v="138.2"/>
    <x v="0"/>
    <n v="0"/>
    <n v="0"/>
    <n v="0"/>
    <d v="2013-01-01T00:00:00"/>
    <x v="1"/>
    <x v="2"/>
  </r>
  <r>
    <x v="1"/>
    <x v="1"/>
    <s v="Februari"/>
    <s v="Division_A"/>
    <x v="33"/>
    <n v="2016"/>
    <n v="0"/>
    <s v="TBM"/>
    <n v="24"/>
    <n v="3317"/>
    <s v="138.2"/>
    <x v="0"/>
    <n v="0"/>
    <n v="0"/>
    <n v="0"/>
    <d v="2013-02-01T00:00:00"/>
    <x v="1"/>
    <x v="2"/>
  </r>
  <r>
    <x v="1"/>
    <x v="2"/>
    <s v="Maret"/>
    <s v="Division_A"/>
    <x v="33"/>
    <n v="2016"/>
    <n v="0"/>
    <s v="TBM"/>
    <n v="24"/>
    <n v="3317"/>
    <s v="138.2"/>
    <x v="0"/>
    <n v="0"/>
    <n v="0"/>
    <n v="0"/>
    <d v="2013-03-01T00:00:00"/>
    <x v="1"/>
    <x v="2"/>
  </r>
  <r>
    <x v="1"/>
    <x v="3"/>
    <s v="April"/>
    <s v="Division_A"/>
    <x v="33"/>
    <n v="2016"/>
    <n v="0"/>
    <s v="TBM"/>
    <n v="24"/>
    <n v="3317"/>
    <s v="138.2"/>
    <x v="0"/>
    <n v="0"/>
    <n v="0"/>
    <n v="0"/>
    <d v="2013-04-01T00:00:00"/>
    <x v="1"/>
    <x v="2"/>
  </r>
  <r>
    <x v="1"/>
    <x v="4"/>
    <s v="Mei"/>
    <s v="Division_A"/>
    <x v="33"/>
    <n v="2016"/>
    <n v="0"/>
    <s v="TBM"/>
    <n v="24"/>
    <n v="3317"/>
    <s v="138.2"/>
    <x v="0"/>
    <n v="0"/>
    <n v="0"/>
    <n v="0"/>
    <d v="2013-05-01T00:00:00"/>
    <x v="1"/>
    <x v="2"/>
  </r>
  <r>
    <x v="1"/>
    <x v="5"/>
    <s v="Juni"/>
    <s v="Division_A"/>
    <x v="33"/>
    <n v="2016"/>
    <n v="0"/>
    <s v="TBM"/>
    <n v="24"/>
    <n v="3317"/>
    <s v="138.2"/>
    <x v="0"/>
    <n v="0"/>
    <n v="0"/>
    <n v="0"/>
    <d v="2013-06-01T00:00:00"/>
    <x v="1"/>
    <x v="2"/>
  </r>
  <r>
    <x v="1"/>
    <x v="6"/>
    <s v="Juli"/>
    <s v="Division_A"/>
    <x v="33"/>
    <n v="2016"/>
    <n v="0"/>
    <s v="TBM"/>
    <n v="24"/>
    <n v="3317"/>
    <s v="138.2"/>
    <x v="0"/>
    <n v="0"/>
    <n v="0"/>
    <n v="0"/>
    <d v="2013-07-01T00:00:00"/>
    <x v="1"/>
    <x v="2"/>
  </r>
  <r>
    <x v="1"/>
    <x v="7"/>
    <s v="Agustus"/>
    <s v="Division_A"/>
    <x v="33"/>
    <n v="2016"/>
    <n v="0"/>
    <s v="TBM"/>
    <n v="24"/>
    <n v="3317"/>
    <s v="138.2"/>
    <x v="0"/>
    <n v="0"/>
    <n v="0"/>
    <n v="0"/>
    <d v="2013-08-01T00:00:00"/>
    <x v="1"/>
    <x v="2"/>
  </r>
  <r>
    <x v="1"/>
    <x v="8"/>
    <s v="September"/>
    <s v="Division_A"/>
    <x v="33"/>
    <n v="2016"/>
    <n v="0"/>
    <s v="TBM"/>
    <n v="24"/>
    <n v="3317"/>
    <s v="138.2"/>
    <x v="0"/>
    <n v="0"/>
    <n v="0"/>
    <n v="0"/>
    <d v="2013-09-01T00:00:00"/>
    <x v="1"/>
    <x v="2"/>
  </r>
  <r>
    <x v="1"/>
    <x v="9"/>
    <s v="Oktober"/>
    <s v="Division_A"/>
    <x v="33"/>
    <n v="2016"/>
    <n v="0"/>
    <s v="TBM"/>
    <n v="24"/>
    <n v="3317"/>
    <s v="138.2"/>
    <x v="0"/>
    <n v="0"/>
    <n v="0"/>
    <n v="0"/>
    <d v="2013-10-01T00:00:00"/>
    <x v="1"/>
    <x v="2"/>
  </r>
  <r>
    <x v="1"/>
    <x v="10"/>
    <s v="November"/>
    <s v="Division_A"/>
    <x v="33"/>
    <n v="2016"/>
    <n v="0"/>
    <s v="TBM"/>
    <n v="24"/>
    <n v="3317"/>
    <s v="138.2"/>
    <x v="0"/>
    <n v="0"/>
    <n v="0"/>
    <n v="0"/>
    <d v="2013-11-01T00:00:00"/>
    <x v="1"/>
    <x v="2"/>
  </r>
  <r>
    <x v="1"/>
    <x v="11"/>
    <s v="Desember"/>
    <s v="Division_A"/>
    <x v="33"/>
    <n v="2016"/>
    <n v="0"/>
    <s v="TBM"/>
    <n v="24"/>
    <n v="3317"/>
    <s v="138.2"/>
    <x v="0"/>
    <n v="0"/>
    <n v="0"/>
    <n v="0"/>
    <d v="2013-12-01T00:00:00"/>
    <x v="1"/>
    <x v="2"/>
  </r>
  <r>
    <x v="1"/>
    <x v="0"/>
    <s v="Januari"/>
    <s v="Division_A"/>
    <x v="34"/>
    <n v="2016"/>
    <n v="0"/>
    <s v="TBM"/>
    <n v="17"/>
    <n v="2219"/>
    <s v="130.5"/>
    <x v="0"/>
    <n v="0"/>
    <n v="0"/>
    <n v="0"/>
    <d v="2013-01-01T00:00:00"/>
    <x v="1"/>
    <x v="2"/>
  </r>
  <r>
    <x v="1"/>
    <x v="1"/>
    <s v="Februari"/>
    <s v="Division_A"/>
    <x v="34"/>
    <n v="2016"/>
    <n v="0"/>
    <s v="TBM"/>
    <n v="17"/>
    <n v="2219"/>
    <s v="130.5"/>
    <x v="0"/>
    <n v="0"/>
    <n v="0"/>
    <n v="0"/>
    <d v="2013-02-01T00:00:00"/>
    <x v="1"/>
    <x v="2"/>
  </r>
  <r>
    <x v="1"/>
    <x v="2"/>
    <s v="Maret"/>
    <s v="Division_A"/>
    <x v="34"/>
    <n v="2016"/>
    <n v="0"/>
    <s v="TBM"/>
    <n v="17"/>
    <n v="2219"/>
    <s v="130.5"/>
    <x v="0"/>
    <n v="0"/>
    <n v="0"/>
    <n v="0"/>
    <d v="2013-03-01T00:00:00"/>
    <x v="1"/>
    <x v="2"/>
  </r>
  <r>
    <x v="1"/>
    <x v="3"/>
    <s v="April"/>
    <s v="Division_A"/>
    <x v="34"/>
    <n v="2016"/>
    <n v="0"/>
    <s v="TBM"/>
    <n v="17"/>
    <n v="2219"/>
    <s v="130.5"/>
    <x v="0"/>
    <n v="0"/>
    <n v="0"/>
    <n v="0"/>
    <d v="2013-04-01T00:00:00"/>
    <x v="1"/>
    <x v="2"/>
  </r>
  <r>
    <x v="1"/>
    <x v="4"/>
    <s v="Mei"/>
    <s v="Division_A"/>
    <x v="34"/>
    <n v="2016"/>
    <n v="0"/>
    <s v="TBM"/>
    <n v="17"/>
    <n v="2219"/>
    <s v="130.5"/>
    <x v="0"/>
    <n v="0"/>
    <n v="0"/>
    <n v="0"/>
    <d v="2013-05-01T00:00:00"/>
    <x v="1"/>
    <x v="2"/>
  </r>
  <r>
    <x v="1"/>
    <x v="5"/>
    <s v="Juni"/>
    <s v="Division_A"/>
    <x v="34"/>
    <n v="2016"/>
    <n v="0"/>
    <s v="TBM"/>
    <n v="17"/>
    <n v="2219"/>
    <s v="130.5"/>
    <x v="0"/>
    <n v="0"/>
    <n v="0"/>
    <n v="0"/>
    <d v="2013-06-01T00:00:00"/>
    <x v="1"/>
    <x v="2"/>
  </r>
  <r>
    <x v="1"/>
    <x v="6"/>
    <s v="Juli"/>
    <s v="Division_A"/>
    <x v="34"/>
    <n v="2016"/>
    <n v="0"/>
    <s v="TBM"/>
    <n v="17"/>
    <n v="2219"/>
    <s v="130.5"/>
    <x v="0"/>
    <n v="0"/>
    <n v="0"/>
    <n v="0"/>
    <d v="2013-07-01T00:00:00"/>
    <x v="1"/>
    <x v="2"/>
  </r>
  <r>
    <x v="1"/>
    <x v="7"/>
    <s v="Agustus"/>
    <s v="Division_A"/>
    <x v="34"/>
    <n v="2016"/>
    <n v="0"/>
    <s v="TBM"/>
    <n v="17"/>
    <n v="2219"/>
    <s v="130.5"/>
    <x v="0"/>
    <n v="0"/>
    <n v="0"/>
    <n v="0"/>
    <d v="2013-08-01T00:00:00"/>
    <x v="1"/>
    <x v="2"/>
  </r>
  <r>
    <x v="1"/>
    <x v="8"/>
    <s v="September"/>
    <s v="Division_A"/>
    <x v="34"/>
    <n v="2016"/>
    <n v="0"/>
    <s v="TBM"/>
    <n v="17"/>
    <n v="2219"/>
    <s v="130.5"/>
    <x v="0"/>
    <n v="0"/>
    <n v="0"/>
    <n v="0"/>
    <d v="2013-09-01T00:00:00"/>
    <x v="1"/>
    <x v="2"/>
  </r>
  <r>
    <x v="1"/>
    <x v="9"/>
    <s v="Oktober"/>
    <s v="Division_A"/>
    <x v="34"/>
    <n v="2016"/>
    <n v="0"/>
    <s v="TBM"/>
    <n v="17"/>
    <n v="2219"/>
    <s v="130.5"/>
    <x v="0"/>
    <n v="0"/>
    <n v="0"/>
    <n v="0"/>
    <d v="2013-10-01T00:00:00"/>
    <x v="1"/>
    <x v="2"/>
  </r>
  <r>
    <x v="1"/>
    <x v="10"/>
    <s v="November"/>
    <s v="Division_A"/>
    <x v="34"/>
    <n v="2016"/>
    <n v="0"/>
    <s v="TBM"/>
    <n v="17"/>
    <n v="2219"/>
    <s v="130.5"/>
    <x v="0"/>
    <n v="0"/>
    <n v="0"/>
    <n v="0"/>
    <d v="2013-11-01T00:00:00"/>
    <x v="1"/>
    <x v="2"/>
  </r>
  <r>
    <x v="1"/>
    <x v="11"/>
    <s v="Desember"/>
    <s v="Division_A"/>
    <x v="34"/>
    <n v="2016"/>
    <n v="0"/>
    <s v="TBM"/>
    <n v="17"/>
    <n v="2219"/>
    <s v="130.5"/>
    <x v="0"/>
    <n v="0"/>
    <n v="0"/>
    <n v="0"/>
    <d v="2013-12-01T00:00:00"/>
    <x v="1"/>
    <x v="2"/>
  </r>
  <r>
    <x v="1"/>
    <x v="0"/>
    <s v="Januari"/>
    <s v="Division_A"/>
    <x v="35"/>
    <n v="2016"/>
    <n v="0"/>
    <s v="TBM"/>
    <n v="15"/>
    <n v="2142"/>
    <s v="142.8"/>
    <x v="0"/>
    <n v="0"/>
    <n v="0"/>
    <n v="0"/>
    <d v="2013-01-01T00:00:00"/>
    <x v="1"/>
    <x v="2"/>
  </r>
  <r>
    <x v="1"/>
    <x v="1"/>
    <s v="Februari"/>
    <s v="Division_A"/>
    <x v="35"/>
    <n v="2016"/>
    <n v="0"/>
    <s v="TBM"/>
    <n v="15"/>
    <n v="2142"/>
    <s v="142.8"/>
    <x v="0"/>
    <n v="0"/>
    <n v="0"/>
    <n v="0"/>
    <d v="2013-02-01T00:00:00"/>
    <x v="1"/>
    <x v="2"/>
  </r>
  <r>
    <x v="1"/>
    <x v="2"/>
    <s v="Maret"/>
    <s v="Division_A"/>
    <x v="35"/>
    <n v="2016"/>
    <n v="0"/>
    <s v="TBM"/>
    <n v="15"/>
    <n v="2142"/>
    <s v="142.8"/>
    <x v="0"/>
    <n v="0"/>
    <n v="0"/>
    <n v="0"/>
    <d v="2013-03-01T00:00:00"/>
    <x v="1"/>
    <x v="2"/>
  </r>
  <r>
    <x v="1"/>
    <x v="3"/>
    <s v="April"/>
    <s v="Division_A"/>
    <x v="35"/>
    <n v="2016"/>
    <n v="0"/>
    <s v="TBM"/>
    <n v="15"/>
    <n v="2142"/>
    <s v="142.8"/>
    <x v="0"/>
    <n v="0"/>
    <n v="0"/>
    <n v="0"/>
    <d v="2013-04-01T00:00:00"/>
    <x v="1"/>
    <x v="2"/>
  </r>
  <r>
    <x v="1"/>
    <x v="4"/>
    <s v="Mei"/>
    <s v="Division_A"/>
    <x v="35"/>
    <n v="2016"/>
    <n v="0"/>
    <s v="TBM"/>
    <n v="15"/>
    <n v="2142"/>
    <s v="142.8"/>
    <x v="0"/>
    <n v="0"/>
    <n v="0"/>
    <n v="0"/>
    <d v="2013-05-01T00:00:00"/>
    <x v="1"/>
    <x v="2"/>
  </r>
  <r>
    <x v="1"/>
    <x v="5"/>
    <s v="Juni"/>
    <s v="Division_A"/>
    <x v="35"/>
    <n v="2016"/>
    <n v="0"/>
    <s v="TBM"/>
    <n v="15"/>
    <n v="2142"/>
    <s v="142.8"/>
    <x v="0"/>
    <n v="0"/>
    <n v="0"/>
    <n v="0"/>
    <d v="2013-06-01T00:00:00"/>
    <x v="1"/>
    <x v="2"/>
  </r>
  <r>
    <x v="1"/>
    <x v="6"/>
    <s v="Juli"/>
    <s v="Division_A"/>
    <x v="35"/>
    <n v="2016"/>
    <n v="0"/>
    <s v="TBM"/>
    <n v="15"/>
    <n v="2142"/>
    <s v="142.8"/>
    <x v="0"/>
    <n v="0"/>
    <n v="0"/>
    <n v="0"/>
    <d v="2013-07-01T00:00:00"/>
    <x v="1"/>
    <x v="2"/>
  </r>
  <r>
    <x v="1"/>
    <x v="7"/>
    <s v="Agustus"/>
    <s v="Division_A"/>
    <x v="35"/>
    <n v="2016"/>
    <n v="0"/>
    <s v="TBM"/>
    <n v="15"/>
    <n v="2142"/>
    <s v="142.8"/>
    <x v="0"/>
    <n v="0"/>
    <n v="0"/>
    <n v="0"/>
    <d v="2013-08-01T00:00:00"/>
    <x v="1"/>
    <x v="2"/>
  </r>
  <r>
    <x v="1"/>
    <x v="8"/>
    <s v="September"/>
    <s v="Division_A"/>
    <x v="35"/>
    <n v="2016"/>
    <n v="0"/>
    <s v="TBM"/>
    <n v="15"/>
    <n v="2142"/>
    <s v="142.8"/>
    <x v="0"/>
    <n v="0"/>
    <n v="0"/>
    <n v="0"/>
    <d v="2013-09-01T00:00:00"/>
    <x v="1"/>
    <x v="2"/>
  </r>
  <r>
    <x v="1"/>
    <x v="9"/>
    <s v="Oktober"/>
    <s v="Division_A"/>
    <x v="35"/>
    <n v="2016"/>
    <n v="0"/>
    <s v="TBM"/>
    <n v="15"/>
    <n v="2142"/>
    <s v="142.8"/>
    <x v="0"/>
    <n v="0"/>
    <n v="0"/>
    <n v="0"/>
    <d v="2013-10-01T00:00:00"/>
    <x v="1"/>
    <x v="2"/>
  </r>
  <r>
    <x v="1"/>
    <x v="10"/>
    <s v="November"/>
    <s v="Division_A"/>
    <x v="35"/>
    <n v="2016"/>
    <n v="0"/>
    <s v="TBM"/>
    <n v="15"/>
    <n v="2142"/>
    <s v="142.8"/>
    <x v="0"/>
    <n v="0"/>
    <n v="0"/>
    <n v="0"/>
    <d v="2013-11-01T00:00:00"/>
    <x v="1"/>
    <x v="2"/>
  </r>
  <r>
    <x v="1"/>
    <x v="11"/>
    <s v="Desember"/>
    <s v="Division_A"/>
    <x v="35"/>
    <n v="2016"/>
    <n v="0"/>
    <s v="TBM"/>
    <n v="15"/>
    <n v="2142"/>
    <s v="142.8"/>
    <x v="0"/>
    <n v="0"/>
    <n v="0"/>
    <n v="0"/>
    <d v="2013-12-01T00:00:00"/>
    <x v="1"/>
    <x v="2"/>
  </r>
  <r>
    <x v="1"/>
    <x v="0"/>
    <s v="Januari"/>
    <s v="Division_A"/>
    <x v="36"/>
    <n v="2016"/>
    <n v="0"/>
    <s v="TBM"/>
    <n v="24"/>
    <n v="3324"/>
    <s v="138.5"/>
    <x v="0"/>
    <n v="0"/>
    <n v="0"/>
    <n v="0"/>
    <d v="2013-01-01T00:00:00"/>
    <x v="1"/>
    <x v="2"/>
  </r>
  <r>
    <x v="1"/>
    <x v="1"/>
    <s v="Februari"/>
    <s v="Division_A"/>
    <x v="36"/>
    <n v="2016"/>
    <n v="0"/>
    <s v="TBM"/>
    <n v="24"/>
    <n v="3324"/>
    <s v="138.5"/>
    <x v="0"/>
    <n v="0"/>
    <n v="0"/>
    <n v="0"/>
    <d v="2013-02-01T00:00:00"/>
    <x v="1"/>
    <x v="2"/>
  </r>
  <r>
    <x v="1"/>
    <x v="2"/>
    <s v="Maret"/>
    <s v="Division_A"/>
    <x v="36"/>
    <n v="2016"/>
    <n v="0"/>
    <s v="TBM"/>
    <n v="24"/>
    <n v="3324"/>
    <s v="138.5"/>
    <x v="0"/>
    <n v="0"/>
    <n v="0"/>
    <n v="0"/>
    <d v="2013-03-01T00:00:00"/>
    <x v="1"/>
    <x v="2"/>
  </r>
  <r>
    <x v="1"/>
    <x v="3"/>
    <s v="April"/>
    <s v="Division_A"/>
    <x v="36"/>
    <n v="2016"/>
    <n v="0"/>
    <s v="TBM"/>
    <n v="24"/>
    <n v="3324"/>
    <s v="138.5"/>
    <x v="0"/>
    <n v="0"/>
    <n v="0"/>
    <n v="0"/>
    <d v="2013-04-01T00:00:00"/>
    <x v="1"/>
    <x v="2"/>
  </r>
  <r>
    <x v="1"/>
    <x v="4"/>
    <s v="Mei"/>
    <s v="Division_A"/>
    <x v="36"/>
    <n v="2016"/>
    <n v="0"/>
    <s v="TBM"/>
    <n v="24"/>
    <n v="3324"/>
    <s v="138.5"/>
    <x v="0"/>
    <n v="0"/>
    <n v="0"/>
    <n v="0"/>
    <d v="2013-05-01T00:00:00"/>
    <x v="1"/>
    <x v="2"/>
  </r>
  <r>
    <x v="1"/>
    <x v="5"/>
    <s v="Juni"/>
    <s v="Division_A"/>
    <x v="36"/>
    <n v="2016"/>
    <n v="0"/>
    <s v="TBM"/>
    <n v="24"/>
    <n v="3324"/>
    <s v="138.5"/>
    <x v="0"/>
    <n v="0"/>
    <n v="0"/>
    <n v="0"/>
    <d v="2013-06-01T00:00:00"/>
    <x v="1"/>
    <x v="2"/>
  </r>
  <r>
    <x v="1"/>
    <x v="6"/>
    <s v="Juli"/>
    <s v="Division_A"/>
    <x v="36"/>
    <n v="2016"/>
    <n v="0"/>
    <s v="TBM"/>
    <n v="24"/>
    <n v="3324"/>
    <s v="138.5"/>
    <x v="0"/>
    <n v="0"/>
    <n v="0"/>
    <n v="0"/>
    <d v="2013-07-01T00:00:00"/>
    <x v="1"/>
    <x v="2"/>
  </r>
  <r>
    <x v="1"/>
    <x v="7"/>
    <s v="Agustus"/>
    <s v="Division_A"/>
    <x v="36"/>
    <n v="2016"/>
    <n v="0"/>
    <s v="TBM"/>
    <n v="24"/>
    <n v="3324"/>
    <s v="138.5"/>
    <x v="0"/>
    <n v="0"/>
    <n v="0"/>
    <n v="0"/>
    <d v="2013-08-01T00:00:00"/>
    <x v="1"/>
    <x v="2"/>
  </r>
  <r>
    <x v="1"/>
    <x v="8"/>
    <s v="September"/>
    <s v="Division_A"/>
    <x v="36"/>
    <n v="2016"/>
    <n v="0"/>
    <s v="TBM"/>
    <n v="24"/>
    <n v="3324"/>
    <s v="138.5"/>
    <x v="0"/>
    <n v="0"/>
    <n v="0"/>
    <n v="0"/>
    <d v="2013-09-01T00:00:00"/>
    <x v="1"/>
    <x v="2"/>
  </r>
  <r>
    <x v="1"/>
    <x v="9"/>
    <s v="Oktober"/>
    <s v="Division_A"/>
    <x v="36"/>
    <n v="2016"/>
    <n v="0"/>
    <s v="TBM"/>
    <n v="24"/>
    <n v="3324"/>
    <s v="138.5"/>
    <x v="0"/>
    <n v="0"/>
    <n v="0"/>
    <n v="0"/>
    <d v="2013-10-01T00:00:00"/>
    <x v="1"/>
    <x v="2"/>
  </r>
  <r>
    <x v="1"/>
    <x v="10"/>
    <s v="November"/>
    <s v="Division_A"/>
    <x v="36"/>
    <n v="2016"/>
    <n v="0"/>
    <s v="TBM"/>
    <n v="24"/>
    <n v="3324"/>
    <s v="138.5"/>
    <x v="0"/>
    <n v="0"/>
    <n v="0"/>
    <n v="0"/>
    <d v="2013-11-01T00:00:00"/>
    <x v="1"/>
    <x v="2"/>
  </r>
  <r>
    <x v="1"/>
    <x v="11"/>
    <s v="Desember"/>
    <s v="Division_A"/>
    <x v="36"/>
    <n v="2016"/>
    <n v="0"/>
    <s v="TBM"/>
    <n v="24"/>
    <n v="3324"/>
    <s v="138.5"/>
    <x v="0"/>
    <n v="0"/>
    <n v="0"/>
    <n v="0"/>
    <d v="2013-12-01T00:00:00"/>
    <x v="1"/>
    <x v="2"/>
  </r>
  <r>
    <x v="1"/>
    <x v="0"/>
    <s v="Januari"/>
    <s v="Division_A"/>
    <x v="37"/>
    <n v="2016"/>
    <n v="0"/>
    <s v="TBM"/>
    <n v="20"/>
    <n v="2663"/>
    <s v="133.2"/>
    <x v="0"/>
    <n v="0"/>
    <n v="0"/>
    <n v="0"/>
    <d v="2013-01-01T00:00:00"/>
    <x v="1"/>
    <x v="2"/>
  </r>
  <r>
    <x v="1"/>
    <x v="1"/>
    <s v="Februari"/>
    <s v="Division_A"/>
    <x v="37"/>
    <n v="2016"/>
    <n v="0"/>
    <s v="TBM"/>
    <n v="20"/>
    <n v="2663"/>
    <s v="133.2"/>
    <x v="0"/>
    <n v="0"/>
    <n v="0"/>
    <n v="0"/>
    <d v="2013-02-01T00:00:00"/>
    <x v="1"/>
    <x v="2"/>
  </r>
  <r>
    <x v="1"/>
    <x v="2"/>
    <s v="Maret"/>
    <s v="Division_A"/>
    <x v="37"/>
    <n v="2016"/>
    <n v="0"/>
    <s v="TBM"/>
    <n v="20"/>
    <n v="2663"/>
    <s v="133.2"/>
    <x v="0"/>
    <n v="0"/>
    <n v="0"/>
    <n v="0"/>
    <d v="2013-03-01T00:00:00"/>
    <x v="1"/>
    <x v="2"/>
  </r>
  <r>
    <x v="1"/>
    <x v="3"/>
    <s v="April"/>
    <s v="Division_A"/>
    <x v="37"/>
    <n v="2016"/>
    <n v="0"/>
    <s v="TBM"/>
    <n v="20"/>
    <n v="2663"/>
    <s v="133.2"/>
    <x v="0"/>
    <n v="0"/>
    <n v="0"/>
    <n v="0"/>
    <d v="2013-04-01T00:00:00"/>
    <x v="1"/>
    <x v="2"/>
  </r>
  <r>
    <x v="1"/>
    <x v="4"/>
    <s v="Mei"/>
    <s v="Division_A"/>
    <x v="37"/>
    <n v="2016"/>
    <n v="0"/>
    <s v="TBM"/>
    <n v="20"/>
    <n v="2663"/>
    <s v="133.2"/>
    <x v="0"/>
    <n v="0"/>
    <n v="0"/>
    <n v="0"/>
    <d v="2013-05-01T00:00:00"/>
    <x v="1"/>
    <x v="2"/>
  </r>
  <r>
    <x v="1"/>
    <x v="5"/>
    <s v="Juni"/>
    <s v="Division_A"/>
    <x v="37"/>
    <n v="2016"/>
    <n v="0"/>
    <s v="TBM"/>
    <n v="20"/>
    <n v="2663"/>
    <s v="133.2"/>
    <x v="0"/>
    <n v="0"/>
    <n v="0"/>
    <n v="0"/>
    <d v="2013-06-01T00:00:00"/>
    <x v="1"/>
    <x v="2"/>
  </r>
  <r>
    <x v="1"/>
    <x v="6"/>
    <s v="Juli"/>
    <s v="Division_A"/>
    <x v="37"/>
    <n v="2016"/>
    <n v="0"/>
    <s v="TBM"/>
    <n v="20"/>
    <n v="2663"/>
    <s v="133.2"/>
    <x v="0"/>
    <n v="0"/>
    <n v="0"/>
    <n v="0"/>
    <d v="2013-07-01T00:00:00"/>
    <x v="1"/>
    <x v="2"/>
  </r>
  <r>
    <x v="1"/>
    <x v="7"/>
    <s v="Agustus"/>
    <s v="Division_A"/>
    <x v="37"/>
    <n v="2016"/>
    <n v="0"/>
    <s v="TBM"/>
    <n v="20"/>
    <n v="2663"/>
    <s v="133.2"/>
    <x v="0"/>
    <n v="0"/>
    <n v="0"/>
    <n v="0"/>
    <d v="2013-08-01T00:00:00"/>
    <x v="1"/>
    <x v="2"/>
  </r>
  <r>
    <x v="1"/>
    <x v="8"/>
    <s v="September"/>
    <s v="Division_A"/>
    <x v="37"/>
    <n v="2016"/>
    <n v="0"/>
    <s v="TBM"/>
    <n v="20"/>
    <n v="2663"/>
    <s v="133.2"/>
    <x v="0"/>
    <n v="0"/>
    <n v="0"/>
    <n v="0"/>
    <d v="2013-09-01T00:00:00"/>
    <x v="1"/>
    <x v="2"/>
  </r>
  <r>
    <x v="1"/>
    <x v="9"/>
    <s v="Oktober"/>
    <s v="Division_A"/>
    <x v="37"/>
    <n v="2016"/>
    <n v="0"/>
    <s v="TBM"/>
    <n v="20"/>
    <n v="2663"/>
    <s v="133.2"/>
    <x v="0"/>
    <n v="0"/>
    <n v="0"/>
    <n v="0"/>
    <d v="2013-10-01T00:00:00"/>
    <x v="1"/>
    <x v="2"/>
  </r>
  <r>
    <x v="1"/>
    <x v="10"/>
    <s v="November"/>
    <s v="Division_A"/>
    <x v="37"/>
    <n v="2016"/>
    <n v="0"/>
    <s v="TBM"/>
    <n v="20"/>
    <n v="2663"/>
    <s v="133.2"/>
    <x v="0"/>
    <n v="0"/>
    <n v="0"/>
    <n v="0"/>
    <d v="2013-11-01T00:00:00"/>
    <x v="1"/>
    <x v="2"/>
  </r>
  <r>
    <x v="1"/>
    <x v="11"/>
    <s v="Desember"/>
    <s v="Division_A"/>
    <x v="37"/>
    <n v="2016"/>
    <n v="0"/>
    <s v="TBM"/>
    <n v="20"/>
    <n v="2663"/>
    <s v="133.2"/>
    <x v="0"/>
    <n v="0"/>
    <n v="0"/>
    <n v="0"/>
    <d v="2013-12-01T00:00:00"/>
    <x v="1"/>
    <x v="2"/>
  </r>
  <r>
    <x v="1"/>
    <x v="0"/>
    <s v="Januari"/>
    <s v="Division_A"/>
    <x v="38"/>
    <n v="2016"/>
    <n v="0"/>
    <s v="TBM"/>
    <n v="14"/>
    <n v="1746"/>
    <s v="124.7"/>
    <x v="0"/>
    <n v="0"/>
    <n v="0"/>
    <n v="0"/>
    <d v="2013-01-01T00:00:00"/>
    <x v="1"/>
    <x v="2"/>
  </r>
  <r>
    <x v="1"/>
    <x v="1"/>
    <s v="Februari"/>
    <s v="Division_A"/>
    <x v="38"/>
    <n v="2016"/>
    <n v="0"/>
    <s v="TBM"/>
    <n v="14"/>
    <n v="1746"/>
    <s v="124.7"/>
    <x v="0"/>
    <n v="0"/>
    <n v="0"/>
    <n v="0"/>
    <d v="2013-02-01T00:00:00"/>
    <x v="1"/>
    <x v="2"/>
  </r>
  <r>
    <x v="1"/>
    <x v="2"/>
    <s v="Maret"/>
    <s v="Division_A"/>
    <x v="38"/>
    <n v="2016"/>
    <n v="0"/>
    <s v="TBM"/>
    <n v="14"/>
    <n v="1746"/>
    <s v="124.7"/>
    <x v="0"/>
    <n v="0"/>
    <n v="0"/>
    <n v="0"/>
    <d v="2013-03-01T00:00:00"/>
    <x v="1"/>
    <x v="2"/>
  </r>
  <r>
    <x v="1"/>
    <x v="3"/>
    <s v="April"/>
    <s v="Division_A"/>
    <x v="38"/>
    <n v="2016"/>
    <n v="0"/>
    <s v="TBM"/>
    <n v="14"/>
    <n v="1746"/>
    <s v="124.7"/>
    <x v="0"/>
    <n v="0"/>
    <n v="0"/>
    <n v="0"/>
    <d v="2013-04-01T00:00:00"/>
    <x v="1"/>
    <x v="2"/>
  </r>
  <r>
    <x v="1"/>
    <x v="4"/>
    <s v="Mei"/>
    <s v="Division_A"/>
    <x v="38"/>
    <n v="2016"/>
    <n v="0"/>
    <s v="TBM"/>
    <n v="14"/>
    <n v="1746"/>
    <s v="124.7"/>
    <x v="0"/>
    <n v="0"/>
    <n v="0"/>
    <n v="0"/>
    <d v="2013-05-01T00:00:00"/>
    <x v="1"/>
    <x v="2"/>
  </r>
  <r>
    <x v="1"/>
    <x v="5"/>
    <s v="Juni"/>
    <s v="Division_A"/>
    <x v="38"/>
    <n v="2016"/>
    <n v="0"/>
    <s v="TBM"/>
    <n v="14"/>
    <n v="1746"/>
    <s v="124.7"/>
    <x v="0"/>
    <n v="0"/>
    <n v="0"/>
    <n v="0"/>
    <d v="2013-06-01T00:00:00"/>
    <x v="1"/>
    <x v="2"/>
  </r>
  <r>
    <x v="1"/>
    <x v="6"/>
    <s v="Juli"/>
    <s v="Division_A"/>
    <x v="38"/>
    <n v="2016"/>
    <n v="0"/>
    <s v="TBM"/>
    <n v="14"/>
    <n v="1746"/>
    <s v="124.7"/>
    <x v="0"/>
    <n v="0"/>
    <n v="0"/>
    <n v="0"/>
    <d v="2013-07-01T00:00:00"/>
    <x v="1"/>
    <x v="2"/>
  </r>
  <r>
    <x v="1"/>
    <x v="7"/>
    <s v="Agustus"/>
    <s v="Division_A"/>
    <x v="38"/>
    <n v="2016"/>
    <n v="0"/>
    <s v="TBM"/>
    <n v="14"/>
    <n v="1746"/>
    <s v="124.7"/>
    <x v="0"/>
    <n v="0"/>
    <n v="0"/>
    <n v="0"/>
    <d v="2013-08-01T00:00:00"/>
    <x v="1"/>
    <x v="2"/>
  </r>
  <r>
    <x v="1"/>
    <x v="8"/>
    <s v="September"/>
    <s v="Division_A"/>
    <x v="38"/>
    <n v="2016"/>
    <n v="0"/>
    <s v="TBM"/>
    <n v="14"/>
    <n v="1746"/>
    <s v="124.7"/>
    <x v="0"/>
    <n v="0"/>
    <n v="0"/>
    <n v="0"/>
    <d v="2013-09-01T00:00:00"/>
    <x v="1"/>
    <x v="2"/>
  </r>
  <r>
    <x v="1"/>
    <x v="9"/>
    <s v="Oktober"/>
    <s v="Division_A"/>
    <x v="38"/>
    <n v="2016"/>
    <n v="0"/>
    <s v="TBM"/>
    <n v="14"/>
    <n v="1746"/>
    <s v="124.7"/>
    <x v="0"/>
    <n v="0"/>
    <n v="0"/>
    <n v="0"/>
    <d v="2013-10-01T00:00:00"/>
    <x v="1"/>
    <x v="2"/>
  </r>
  <r>
    <x v="1"/>
    <x v="10"/>
    <s v="November"/>
    <s v="Division_A"/>
    <x v="38"/>
    <n v="2016"/>
    <n v="0"/>
    <s v="TBM"/>
    <n v="14"/>
    <n v="1746"/>
    <s v="124.7"/>
    <x v="0"/>
    <n v="0"/>
    <n v="0"/>
    <n v="0"/>
    <d v="2013-11-01T00:00:00"/>
    <x v="1"/>
    <x v="2"/>
  </r>
  <r>
    <x v="1"/>
    <x v="11"/>
    <s v="Desember"/>
    <s v="Division_A"/>
    <x v="38"/>
    <n v="2016"/>
    <n v="0"/>
    <s v="TBM"/>
    <n v="14"/>
    <n v="1746"/>
    <s v="124.7"/>
    <x v="0"/>
    <n v="0"/>
    <n v="0"/>
    <n v="0"/>
    <d v="2013-12-01T00:00:00"/>
    <x v="1"/>
    <x v="2"/>
  </r>
  <r>
    <x v="1"/>
    <x v="0"/>
    <s v="Januari"/>
    <s v="Division_A"/>
    <x v="39"/>
    <n v="2016"/>
    <n v="0"/>
    <s v="TBM"/>
    <n v="24"/>
    <n v="3377"/>
    <s v="140.7"/>
    <x v="0"/>
    <n v="0"/>
    <n v="0"/>
    <n v="0"/>
    <d v="2013-01-01T00:00:00"/>
    <x v="1"/>
    <x v="2"/>
  </r>
  <r>
    <x v="1"/>
    <x v="1"/>
    <s v="Februari"/>
    <s v="Division_A"/>
    <x v="39"/>
    <n v="2016"/>
    <n v="0"/>
    <s v="TBM"/>
    <n v="24"/>
    <n v="3377"/>
    <s v="140.7"/>
    <x v="0"/>
    <n v="0"/>
    <n v="0"/>
    <n v="0"/>
    <d v="2013-02-01T00:00:00"/>
    <x v="1"/>
    <x v="2"/>
  </r>
  <r>
    <x v="1"/>
    <x v="2"/>
    <s v="Maret"/>
    <s v="Division_A"/>
    <x v="39"/>
    <n v="2016"/>
    <n v="0"/>
    <s v="TBM"/>
    <n v="24"/>
    <n v="3377"/>
    <s v="140.7"/>
    <x v="0"/>
    <n v="0"/>
    <n v="0"/>
    <n v="0"/>
    <d v="2013-03-01T00:00:00"/>
    <x v="1"/>
    <x v="2"/>
  </r>
  <r>
    <x v="1"/>
    <x v="3"/>
    <s v="April"/>
    <s v="Division_A"/>
    <x v="39"/>
    <n v="2016"/>
    <n v="0"/>
    <s v="TBM"/>
    <n v="24"/>
    <n v="3377"/>
    <s v="140.7"/>
    <x v="0"/>
    <n v="0"/>
    <n v="0"/>
    <n v="0"/>
    <d v="2013-04-01T00:00:00"/>
    <x v="1"/>
    <x v="2"/>
  </r>
  <r>
    <x v="1"/>
    <x v="4"/>
    <s v="Mei"/>
    <s v="Division_A"/>
    <x v="39"/>
    <n v="2016"/>
    <n v="0"/>
    <s v="TBM"/>
    <n v="24"/>
    <n v="3377"/>
    <s v="140.7"/>
    <x v="0"/>
    <n v="0"/>
    <n v="0"/>
    <n v="0"/>
    <d v="2013-05-01T00:00:00"/>
    <x v="1"/>
    <x v="2"/>
  </r>
  <r>
    <x v="1"/>
    <x v="5"/>
    <s v="Juni"/>
    <s v="Division_A"/>
    <x v="39"/>
    <n v="2016"/>
    <n v="0"/>
    <s v="TBM"/>
    <n v="24"/>
    <n v="3377"/>
    <s v="140.7"/>
    <x v="0"/>
    <n v="0"/>
    <n v="0"/>
    <n v="0"/>
    <d v="2013-06-01T00:00:00"/>
    <x v="1"/>
    <x v="2"/>
  </r>
  <r>
    <x v="1"/>
    <x v="6"/>
    <s v="Juli"/>
    <s v="Division_A"/>
    <x v="39"/>
    <n v="2016"/>
    <n v="0"/>
    <s v="TBM"/>
    <n v="24"/>
    <n v="3377"/>
    <s v="140.7"/>
    <x v="0"/>
    <n v="0"/>
    <n v="0"/>
    <n v="0"/>
    <d v="2013-07-01T00:00:00"/>
    <x v="1"/>
    <x v="2"/>
  </r>
  <r>
    <x v="1"/>
    <x v="7"/>
    <s v="Agustus"/>
    <s v="Division_A"/>
    <x v="39"/>
    <n v="2016"/>
    <n v="0"/>
    <s v="TBM"/>
    <n v="24"/>
    <n v="3377"/>
    <s v="140.7"/>
    <x v="0"/>
    <n v="0"/>
    <n v="0"/>
    <n v="0"/>
    <d v="2013-08-01T00:00:00"/>
    <x v="1"/>
    <x v="2"/>
  </r>
  <r>
    <x v="1"/>
    <x v="8"/>
    <s v="September"/>
    <s v="Division_A"/>
    <x v="39"/>
    <n v="2016"/>
    <n v="0"/>
    <s v="TBM"/>
    <n v="24"/>
    <n v="3377"/>
    <s v="140.7"/>
    <x v="0"/>
    <n v="0"/>
    <n v="0"/>
    <n v="0"/>
    <d v="2013-09-01T00:00:00"/>
    <x v="1"/>
    <x v="2"/>
  </r>
  <r>
    <x v="1"/>
    <x v="9"/>
    <s v="Oktober"/>
    <s v="Division_A"/>
    <x v="39"/>
    <n v="2016"/>
    <n v="0"/>
    <s v="TBM"/>
    <n v="24"/>
    <n v="3377"/>
    <s v="140.7"/>
    <x v="0"/>
    <n v="0"/>
    <n v="0"/>
    <n v="0"/>
    <d v="2013-10-01T00:00:00"/>
    <x v="1"/>
    <x v="2"/>
  </r>
  <r>
    <x v="1"/>
    <x v="10"/>
    <s v="November"/>
    <s v="Division_A"/>
    <x v="39"/>
    <n v="2016"/>
    <n v="0"/>
    <s v="TBM"/>
    <n v="24"/>
    <n v="3377"/>
    <s v="140.7"/>
    <x v="0"/>
    <n v="0"/>
    <n v="0"/>
    <n v="0"/>
    <d v="2013-11-01T00:00:00"/>
    <x v="1"/>
    <x v="2"/>
  </r>
  <r>
    <x v="1"/>
    <x v="11"/>
    <s v="Desember"/>
    <s v="Division_A"/>
    <x v="39"/>
    <n v="2016"/>
    <n v="0"/>
    <s v="TBM"/>
    <n v="24"/>
    <n v="3377"/>
    <s v="140.7"/>
    <x v="0"/>
    <n v="0"/>
    <n v="0"/>
    <n v="0"/>
    <d v="2013-12-01T00:00:00"/>
    <x v="1"/>
    <x v="2"/>
  </r>
  <r>
    <x v="1"/>
    <x v="0"/>
    <s v="Januari"/>
    <s v="Division_A"/>
    <x v="40"/>
    <n v="2016"/>
    <n v="0"/>
    <s v="TBM"/>
    <n v="25"/>
    <n v="3431"/>
    <s v="137.2"/>
    <x v="0"/>
    <n v="0"/>
    <n v="0"/>
    <n v="0"/>
    <d v="2013-01-01T00:00:00"/>
    <x v="1"/>
    <x v="2"/>
  </r>
  <r>
    <x v="1"/>
    <x v="1"/>
    <s v="Februari"/>
    <s v="Division_A"/>
    <x v="40"/>
    <n v="2016"/>
    <n v="0"/>
    <s v="TBM"/>
    <n v="25"/>
    <n v="3431"/>
    <s v="137.2"/>
    <x v="0"/>
    <n v="0"/>
    <n v="0"/>
    <n v="0"/>
    <d v="2013-02-01T00:00:00"/>
    <x v="1"/>
    <x v="2"/>
  </r>
  <r>
    <x v="1"/>
    <x v="2"/>
    <s v="Maret"/>
    <s v="Division_A"/>
    <x v="40"/>
    <n v="2016"/>
    <n v="0"/>
    <s v="TBM"/>
    <n v="25"/>
    <n v="3431"/>
    <s v="137.2"/>
    <x v="0"/>
    <n v="0"/>
    <n v="0"/>
    <n v="0"/>
    <d v="2013-03-01T00:00:00"/>
    <x v="1"/>
    <x v="2"/>
  </r>
  <r>
    <x v="1"/>
    <x v="3"/>
    <s v="April"/>
    <s v="Division_A"/>
    <x v="40"/>
    <n v="2016"/>
    <n v="0"/>
    <s v="TBM"/>
    <n v="25"/>
    <n v="3431"/>
    <s v="137.2"/>
    <x v="0"/>
    <n v="0"/>
    <n v="0"/>
    <n v="0"/>
    <d v="2013-04-01T00:00:00"/>
    <x v="1"/>
    <x v="2"/>
  </r>
  <r>
    <x v="1"/>
    <x v="4"/>
    <s v="Mei"/>
    <s v="Division_A"/>
    <x v="40"/>
    <n v="2016"/>
    <n v="0"/>
    <s v="TBM"/>
    <n v="25"/>
    <n v="3431"/>
    <s v="137.2"/>
    <x v="0"/>
    <n v="0"/>
    <n v="0"/>
    <n v="0"/>
    <d v="2013-05-01T00:00:00"/>
    <x v="1"/>
    <x v="2"/>
  </r>
  <r>
    <x v="1"/>
    <x v="5"/>
    <s v="Juni"/>
    <s v="Division_A"/>
    <x v="40"/>
    <n v="2016"/>
    <n v="0"/>
    <s v="TBM"/>
    <n v="25"/>
    <n v="3431"/>
    <s v="137.2"/>
    <x v="0"/>
    <n v="0"/>
    <n v="0"/>
    <n v="0"/>
    <d v="2013-06-01T00:00:00"/>
    <x v="1"/>
    <x v="2"/>
  </r>
  <r>
    <x v="1"/>
    <x v="6"/>
    <s v="Juli"/>
    <s v="Division_A"/>
    <x v="40"/>
    <n v="2016"/>
    <n v="0"/>
    <s v="TBM"/>
    <n v="25"/>
    <n v="3431"/>
    <s v="137.2"/>
    <x v="0"/>
    <n v="0"/>
    <n v="0"/>
    <n v="0"/>
    <d v="2013-07-01T00:00:00"/>
    <x v="1"/>
    <x v="2"/>
  </r>
  <r>
    <x v="1"/>
    <x v="7"/>
    <s v="Agustus"/>
    <s v="Division_A"/>
    <x v="40"/>
    <n v="2016"/>
    <n v="0"/>
    <s v="TBM"/>
    <n v="25"/>
    <n v="3431"/>
    <s v="137.2"/>
    <x v="0"/>
    <n v="0"/>
    <n v="0"/>
    <n v="0"/>
    <d v="2013-08-01T00:00:00"/>
    <x v="1"/>
    <x v="2"/>
  </r>
  <r>
    <x v="1"/>
    <x v="8"/>
    <s v="September"/>
    <s v="Division_A"/>
    <x v="40"/>
    <n v="2016"/>
    <n v="0"/>
    <s v="TBM"/>
    <n v="25"/>
    <n v="3431"/>
    <s v="137.2"/>
    <x v="0"/>
    <n v="0"/>
    <n v="0"/>
    <n v="0"/>
    <d v="2013-09-01T00:00:00"/>
    <x v="1"/>
    <x v="2"/>
  </r>
  <r>
    <x v="1"/>
    <x v="9"/>
    <s v="Oktober"/>
    <s v="Division_A"/>
    <x v="40"/>
    <n v="2016"/>
    <n v="0"/>
    <s v="TBM"/>
    <n v="25"/>
    <n v="3431"/>
    <s v="137.2"/>
    <x v="0"/>
    <n v="0"/>
    <n v="0"/>
    <n v="0"/>
    <d v="2013-10-01T00:00:00"/>
    <x v="1"/>
    <x v="2"/>
  </r>
  <r>
    <x v="1"/>
    <x v="10"/>
    <s v="November"/>
    <s v="Division_A"/>
    <x v="40"/>
    <n v="2016"/>
    <n v="0"/>
    <s v="TBM"/>
    <n v="25"/>
    <n v="3431"/>
    <s v="137.2"/>
    <x v="0"/>
    <n v="0"/>
    <n v="0"/>
    <n v="0"/>
    <d v="2013-11-01T00:00:00"/>
    <x v="1"/>
    <x v="2"/>
  </r>
  <r>
    <x v="1"/>
    <x v="11"/>
    <s v="Desember"/>
    <s v="Division_A"/>
    <x v="40"/>
    <n v="2016"/>
    <n v="0"/>
    <s v="TBM"/>
    <n v="25"/>
    <n v="3431"/>
    <s v="137.2"/>
    <x v="0"/>
    <n v="0"/>
    <n v="0"/>
    <n v="0"/>
    <d v="2013-12-01T00:00:00"/>
    <x v="1"/>
    <x v="2"/>
  </r>
  <r>
    <x v="1"/>
    <x v="0"/>
    <s v="Januari"/>
    <s v="Division_A"/>
    <x v="41"/>
    <n v="2016"/>
    <n v="0"/>
    <s v="TBM"/>
    <n v="21"/>
    <n v="2901"/>
    <s v="138.1"/>
    <x v="0"/>
    <n v="0"/>
    <n v="0"/>
    <n v="0"/>
    <d v="2013-01-01T00:00:00"/>
    <x v="1"/>
    <x v="2"/>
  </r>
  <r>
    <x v="1"/>
    <x v="1"/>
    <s v="Februari"/>
    <s v="Division_A"/>
    <x v="41"/>
    <n v="2016"/>
    <n v="0"/>
    <s v="TBM"/>
    <n v="21"/>
    <n v="2901"/>
    <s v="138.1"/>
    <x v="0"/>
    <n v="0"/>
    <n v="0"/>
    <n v="0"/>
    <d v="2013-02-01T00:00:00"/>
    <x v="1"/>
    <x v="2"/>
  </r>
  <r>
    <x v="1"/>
    <x v="2"/>
    <s v="Maret"/>
    <s v="Division_A"/>
    <x v="41"/>
    <n v="2016"/>
    <n v="0"/>
    <s v="TBM"/>
    <n v="21"/>
    <n v="2901"/>
    <s v="138.1"/>
    <x v="0"/>
    <n v="0"/>
    <n v="0"/>
    <n v="0"/>
    <d v="2013-03-01T00:00:00"/>
    <x v="1"/>
    <x v="2"/>
  </r>
  <r>
    <x v="1"/>
    <x v="3"/>
    <s v="April"/>
    <s v="Division_A"/>
    <x v="41"/>
    <n v="2016"/>
    <n v="0"/>
    <s v="TBM"/>
    <n v="21"/>
    <n v="2901"/>
    <s v="138.1"/>
    <x v="0"/>
    <n v="0"/>
    <n v="0"/>
    <n v="0"/>
    <d v="2013-04-01T00:00:00"/>
    <x v="1"/>
    <x v="2"/>
  </r>
  <r>
    <x v="1"/>
    <x v="4"/>
    <s v="Mei"/>
    <s v="Division_A"/>
    <x v="41"/>
    <n v="2016"/>
    <n v="0"/>
    <s v="TBM"/>
    <n v="21"/>
    <n v="2901"/>
    <s v="138.1"/>
    <x v="0"/>
    <n v="0"/>
    <n v="0"/>
    <n v="0"/>
    <d v="2013-05-01T00:00:00"/>
    <x v="1"/>
    <x v="2"/>
  </r>
  <r>
    <x v="1"/>
    <x v="5"/>
    <s v="Juni"/>
    <s v="Division_A"/>
    <x v="41"/>
    <n v="2016"/>
    <n v="0"/>
    <s v="TBM"/>
    <n v="21"/>
    <n v="2901"/>
    <s v="138.1"/>
    <x v="0"/>
    <n v="0"/>
    <n v="0"/>
    <n v="0"/>
    <d v="2013-06-01T00:00:00"/>
    <x v="1"/>
    <x v="2"/>
  </r>
  <r>
    <x v="1"/>
    <x v="6"/>
    <s v="Juli"/>
    <s v="Division_A"/>
    <x v="41"/>
    <n v="2016"/>
    <n v="0"/>
    <s v="TBM"/>
    <n v="21"/>
    <n v="2901"/>
    <s v="138.1"/>
    <x v="0"/>
    <n v="0"/>
    <n v="0"/>
    <n v="0"/>
    <d v="2013-07-01T00:00:00"/>
    <x v="1"/>
    <x v="2"/>
  </r>
  <r>
    <x v="1"/>
    <x v="7"/>
    <s v="Agustus"/>
    <s v="Division_A"/>
    <x v="41"/>
    <n v="2016"/>
    <n v="0"/>
    <s v="TBM"/>
    <n v="21"/>
    <n v="2901"/>
    <s v="138.1"/>
    <x v="0"/>
    <n v="0"/>
    <n v="0"/>
    <n v="0"/>
    <d v="2013-08-01T00:00:00"/>
    <x v="1"/>
    <x v="2"/>
  </r>
  <r>
    <x v="1"/>
    <x v="8"/>
    <s v="September"/>
    <s v="Division_A"/>
    <x v="41"/>
    <n v="2016"/>
    <n v="0"/>
    <s v="TBM"/>
    <n v="21"/>
    <n v="2901"/>
    <s v="138.1"/>
    <x v="0"/>
    <n v="0"/>
    <n v="0"/>
    <n v="0"/>
    <d v="2013-09-01T00:00:00"/>
    <x v="1"/>
    <x v="2"/>
  </r>
  <r>
    <x v="1"/>
    <x v="9"/>
    <s v="Oktober"/>
    <s v="Division_A"/>
    <x v="41"/>
    <n v="2016"/>
    <n v="0"/>
    <s v="TBM"/>
    <n v="21"/>
    <n v="2901"/>
    <s v="138.1"/>
    <x v="0"/>
    <n v="0"/>
    <n v="0"/>
    <n v="0"/>
    <d v="2013-10-01T00:00:00"/>
    <x v="1"/>
    <x v="2"/>
  </r>
  <r>
    <x v="1"/>
    <x v="10"/>
    <s v="November"/>
    <s v="Division_A"/>
    <x v="41"/>
    <n v="2016"/>
    <n v="0"/>
    <s v="TBM"/>
    <n v="21"/>
    <n v="2901"/>
    <s v="138.1"/>
    <x v="0"/>
    <n v="0"/>
    <n v="0"/>
    <n v="0"/>
    <d v="2013-11-01T00:00:00"/>
    <x v="1"/>
    <x v="2"/>
  </r>
  <r>
    <x v="1"/>
    <x v="11"/>
    <s v="Desember"/>
    <s v="Division_A"/>
    <x v="41"/>
    <n v="2016"/>
    <n v="0"/>
    <s v="TBM"/>
    <n v="21"/>
    <n v="2901"/>
    <s v="138.1"/>
    <x v="0"/>
    <n v="0"/>
    <n v="0"/>
    <n v="0"/>
    <d v="2013-12-01T00:00:00"/>
    <x v="1"/>
    <x v="2"/>
  </r>
  <r>
    <x v="2"/>
    <x v="0"/>
    <s v="Januari"/>
    <s v="Division_A"/>
    <x v="0"/>
    <n v="2000"/>
    <n v="14"/>
    <s v="TM-Utama"/>
    <n v="19"/>
    <n v="1490"/>
    <s v="78.4"/>
    <x v="0"/>
    <n v="1.169"/>
    <n v="22209.5"/>
    <n v="22.209"/>
    <d v="2014-01-01T00:00:00"/>
    <x v="0"/>
    <x v="0"/>
  </r>
  <r>
    <x v="2"/>
    <x v="1"/>
    <s v="Februari"/>
    <s v="Division_A"/>
    <x v="0"/>
    <n v="2000"/>
    <n v="14"/>
    <s v="TM-Utama"/>
    <n v="19"/>
    <n v="1490"/>
    <s v="78.4"/>
    <x v="0"/>
    <n v="1.0820000000000001"/>
    <n v="20552.5"/>
    <n v="20.552"/>
    <d v="2014-02-01T00:00:00"/>
    <x v="0"/>
    <x v="0"/>
  </r>
  <r>
    <x v="2"/>
    <x v="2"/>
    <s v="Maret"/>
    <s v="Division_A"/>
    <x v="0"/>
    <n v="2000"/>
    <n v="14"/>
    <s v="TM-Utama"/>
    <n v="19"/>
    <n v="1490"/>
    <s v="78.4"/>
    <x v="0"/>
    <n v="1.1120000000000001"/>
    <n v="21119.4"/>
    <n v="21.119"/>
    <d v="2014-03-01T00:00:00"/>
    <x v="0"/>
    <x v="0"/>
  </r>
  <r>
    <x v="2"/>
    <x v="3"/>
    <s v="April"/>
    <s v="Division_A"/>
    <x v="0"/>
    <n v="2000"/>
    <n v="14"/>
    <s v="TM-Utama"/>
    <n v="19"/>
    <n v="1490"/>
    <s v="78.4"/>
    <x v="0"/>
    <n v="1.4"/>
    <n v="26599.1"/>
    <n v="26.599"/>
    <d v="2014-04-01T00:00:00"/>
    <x v="0"/>
    <x v="0"/>
  </r>
  <r>
    <x v="2"/>
    <x v="4"/>
    <s v="Mei"/>
    <s v="Division_A"/>
    <x v="0"/>
    <n v="2000"/>
    <n v="14"/>
    <s v="TM-Utama"/>
    <n v="19"/>
    <n v="1490"/>
    <s v="78.4"/>
    <x v="0"/>
    <n v="1.4630000000000001"/>
    <n v="27805.5"/>
    <n v="27.805"/>
    <d v="2014-05-01T00:00:00"/>
    <x v="0"/>
    <x v="0"/>
  </r>
  <r>
    <x v="2"/>
    <x v="5"/>
    <s v="Juni"/>
    <s v="Division_A"/>
    <x v="0"/>
    <n v="2000"/>
    <n v="14"/>
    <s v="TM-Utama"/>
    <n v="19"/>
    <n v="1490"/>
    <s v="78.4"/>
    <x v="0"/>
    <n v="1.1339999999999999"/>
    <n v="21540.9"/>
    <n v="21.541"/>
    <d v="2014-06-01T00:00:00"/>
    <x v="0"/>
    <x v="0"/>
  </r>
  <r>
    <x v="2"/>
    <x v="6"/>
    <s v="Juli"/>
    <s v="Division_A"/>
    <x v="0"/>
    <n v="2000"/>
    <n v="14"/>
    <s v="TM-Utama"/>
    <n v="19"/>
    <n v="1490"/>
    <s v="78.4"/>
    <x v="0"/>
    <n v="1.694"/>
    <n v="32195"/>
    <n v="32.195"/>
    <d v="2014-07-01T00:00:00"/>
    <x v="0"/>
    <x v="0"/>
  </r>
  <r>
    <x v="2"/>
    <x v="7"/>
    <s v="Agustus"/>
    <s v="Division_A"/>
    <x v="0"/>
    <n v="2000"/>
    <n v="14"/>
    <s v="TM-Utama"/>
    <n v="19"/>
    <n v="1490"/>
    <s v="78.4"/>
    <x v="0"/>
    <n v="1.758"/>
    <n v="33401.4"/>
    <n v="33.401000000000003"/>
    <d v="2014-08-01T00:00:00"/>
    <x v="0"/>
    <x v="0"/>
  </r>
  <r>
    <x v="2"/>
    <x v="8"/>
    <s v="September"/>
    <s v="Division_A"/>
    <x v="0"/>
    <n v="2000"/>
    <n v="14"/>
    <s v="TM-Utama"/>
    <n v="19"/>
    <n v="1490"/>
    <s v="78.4"/>
    <x v="0"/>
    <n v="1.4219999999999999"/>
    <n v="27020.6"/>
    <n v="27.021000000000001"/>
    <d v="2014-09-01T00:00:00"/>
    <x v="0"/>
    <x v="0"/>
  </r>
  <r>
    <x v="2"/>
    <x v="9"/>
    <s v="Oktober"/>
    <s v="Division_A"/>
    <x v="0"/>
    <n v="2000"/>
    <n v="14"/>
    <s v="TM-Utama"/>
    <n v="19"/>
    <n v="1490"/>
    <s v="78.4"/>
    <x v="0"/>
    <n v="1.157"/>
    <n v="21976.9"/>
    <n v="21.977"/>
    <d v="2014-10-01T00:00:00"/>
    <x v="0"/>
    <x v="0"/>
  </r>
  <r>
    <x v="2"/>
    <x v="10"/>
    <s v="November"/>
    <s v="Division_A"/>
    <x v="0"/>
    <n v="2000"/>
    <n v="14"/>
    <s v="TM-Utama"/>
    <n v="19"/>
    <n v="1490"/>
    <s v="78.4"/>
    <x v="0"/>
    <n v="1.177"/>
    <n v="22354.799999999999"/>
    <n v="22.355"/>
    <d v="2014-11-01T00:00:00"/>
    <x v="0"/>
    <x v="0"/>
  </r>
  <r>
    <x v="2"/>
    <x v="11"/>
    <s v="Desember"/>
    <s v="Division_A"/>
    <x v="0"/>
    <n v="2000"/>
    <n v="14"/>
    <s v="TM-Utama"/>
    <n v="19"/>
    <n v="1490"/>
    <s v="78.4"/>
    <x v="0"/>
    <n v="1.0980000000000001"/>
    <n v="20857.7"/>
    <n v="20.858000000000001"/>
    <d v="2014-12-01T00:00:00"/>
    <x v="0"/>
    <x v="0"/>
  </r>
  <r>
    <x v="2"/>
    <x v="0"/>
    <s v="Januari"/>
    <s v="Division_A"/>
    <x v="1"/>
    <n v="2000"/>
    <n v="14"/>
    <s v="TM-Utama"/>
    <n v="24"/>
    <n v="1675"/>
    <s v="69.8"/>
    <x v="0"/>
    <n v="1.169"/>
    <n v="28054.1"/>
    <n v="28.053999999999998"/>
    <d v="2014-01-01T00:00:00"/>
    <x v="0"/>
    <x v="0"/>
  </r>
  <r>
    <x v="2"/>
    <x v="1"/>
    <s v="Februari"/>
    <s v="Division_A"/>
    <x v="1"/>
    <n v="2000"/>
    <n v="14"/>
    <s v="TM-Utama"/>
    <n v="24"/>
    <n v="1675"/>
    <s v="69.8"/>
    <x v="0"/>
    <n v="1.0820000000000001"/>
    <n v="25961"/>
    <n v="25.960999999999999"/>
    <d v="2014-02-01T00:00:00"/>
    <x v="0"/>
    <x v="0"/>
  </r>
  <r>
    <x v="2"/>
    <x v="2"/>
    <s v="Maret"/>
    <s v="Division_A"/>
    <x v="1"/>
    <n v="2000"/>
    <n v="14"/>
    <s v="TM-Utama"/>
    <n v="24"/>
    <n v="1675"/>
    <s v="69.8"/>
    <x v="0"/>
    <n v="1.1120000000000001"/>
    <n v="26677.1"/>
    <n v="26.677"/>
    <d v="2014-03-01T00:00:00"/>
    <x v="0"/>
    <x v="0"/>
  </r>
  <r>
    <x v="2"/>
    <x v="3"/>
    <s v="April"/>
    <s v="Division_A"/>
    <x v="1"/>
    <n v="2000"/>
    <n v="14"/>
    <s v="TM-Utama"/>
    <n v="24"/>
    <n v="1675"/>
    <s v="69.8"/>
    <x v="0"/>
    <n v="1.4"/>
    <n v="33598.800000000003"/>
    <n v="33.598999999999997"/>
    <d v="2014-04-01T00:00:00"/>
    <x v="0"/>
    <x v="0"/>
  </r>
  <r>
    <x v="2"/>
    <x v="4"/>
    <s v="Mei"/>
    <s v="Division_A"/>
    <x v="1"/>
    <n v="2000"/>
    <n v="14"/>
    <s v="TM-Utama"/>
    <n v="24"/>
    <n v="1675"/>
    <s v="69.8"/>
    <x v="0"/>
    <n v="1.4630000000000001"/>
    <n v="35122.699999999997"/>
    <n v="35.122999999999998"/>
    <d v="2014-05-01T00:00:00"/>
    <x v="0"/>
    <x v="0"/>
  </r>
  <r>
    <x v="2"/>
    <x v="5"/>
    <s v="Juni"/>
    <s v="Division_A"/>
    <x v="1"/>
    <n v="2000"/>
    <n v="14"/>
    <s v="TM-Utama"/>
    <n v="24"/>
    <n v="1675"/>
    <s v="69.8"/>
    <x v="0"/>
    <n v="1.1339999999999999"/>
    <n v="27209.5"/>
    <n v="27.21"/>
    <d v="2014-06-01T00:00:00"/>
    <x v="0"/>
    <x v="0"/>
  </r>
  <r>
    <x v="2"/>
    <x v="6"/>
    <s v="Juli"/>
    <s v="Division_A"/>
    <x v="1"/>
    <n v="2000"/>
    <n v="14"/>
    <s v="TM-Utama"/>
    <n v="24"/>
    <n v="1675"/>
    <s v="69.8"/>
    <x v="0"/>
    <n v="1.694"/>
    <n v="40667.4"/>
    <n v="40.667000000000002"/>
    <d v="2014-07-01T00:00:00"/>
    <x v="0"/>
    <x v="0"/>
  </r>
  <r>
    <x v="2"/>
    <x v="7"/>
    <s v="Agustus"/>
    <s v="Division_A"/>
    <x v="1"/>
    <n v="2000"/>
    <n v="14"/>
    <s v="TM-Utama"/>
    <n v="24"/>
    <n v="1675"/>
    <s v="69.8"/>
    <x v="0"/>
    <n v="1.758"/>
    <n v="42191.3"/>
    <n v="42.191000000000003"/>
    <d v="2014-08-01T00:00:00"/>
    <x v="0"/>
    <x v="0"/>
  </r>
  <r>
    <x v="2"/>
    <x v="8"/>
    <s v="September"/>
    <s v="Division_A"/>
    <x v="1"/>
    <n v="2000"/>
    <n v="14"/>
    <s v="TM-Utama"/>
    <n v="24"/>
    <n v="1675"/>
    <s v="69.8"/>
    <x v="0"/>
    <n v="1.4219999999999999"/>
    <n v="34131.199999999997"/>
    <n v="34.131"/>
    <d v="2014-09-01T00:00:00"/>
    <x v="0"/>
    <x v="0"/>
  </r>
  <r>
    <x v="2"/>
    <x v="9"/>
    <s v="Oktober"/>
    <s v="Division_A"/>
    <x v="1"/>
    <n v="2000"/>
    <n v="14"/>
    <s v="TM-Utama"/>
    <n v="24"/>
    <n v="1675"/>
    <s v="69.8"/>
    <x v="0"/>
    <n v="1.157"/>
    <n v="27760.3"/>
    <n v="27.76"/>
    <d v="2014-10-01T00:00:00"/>
    <x v="0"/>
    <x v="0"/>
  </r>
  <r>
    <x v="2"/>
    <x v="10"/>
    <s v="November"/>
    <s v="Division_A"/>
    <x v="1"/>
    <n v="2000"/>
    <n v="14"/>
    <s v="TM-Utama"/>
    <n v="24"/>
    <n v="1675"/>
    <s v="69.8"/>
    <x v="0"/>
    <n v="1.177"/>
    <n v="28237.7"/>
    <n v="28.238"/>
    <d v="2014-11-01T00:00:00"/>
    <x v="0"/>
    <x v="0"/>
  </r>
  <r>
    <x v="2"/>
    <x v="11"/>
    <s v="Desember"/>
    <s v="Division_A"/>
    <x v="1"/>
    <n v="2000"/>
    <n v="14"/>
    <s v="TM-Utama"/>
    <n v="24"/>
    <n v="1675"/>
    <s v="69.8"/>
    <x v="0"/>
    <n v="1.0980000000000001"/>
    <n v="26346.6"/>
    <n v="26.347000000000001"/>
    <d v="2014-12-01T00:00:00"/>
    <x v="0"/>
    <x v="0"/>
  </r>
  <r>
    <x v="2"/>
    <x v="0"/>
    <s v="Januari"/>
    <s v="Division_A"/>
    <x v="2"/>
    <n v="2005"/>
    <n v="9"/>
    <s v="TM-Utama"/>
    <n v="18"/>
    <n v="1922"/>
    <s v="106.8"/>
    <x v="0"/>
    <n v="1.224"/>
    <n v="22026.1"/>
    <n v="22.026"/>
    <d v="2014-01-01T00:00:00"/>
    <x v="0"/>
    <x v="1"/>
  </r>
  <r>
    <x v="2"/>
    <x v="1"/>
    <s v="Februari"/>
    <s v="Division_A"/>
    <x v="2"/>
    <n v="2005"/>
    <n v="9"/>
    <s v="TM-Utama"/>
    <n v="18"/>
    <n v="1922"/>
    <s v="106.8"/>
    <x v="0"/>
    <n v="1.1319999999999999"/>
    <n v="20382.8"/>
    <n v="20.382999999999999"/>
    <d v="2014-02-01T00:00:00"/>
    <x v="0"/>
    <x v="1"/>
  </r>
  <r>
    <x v="2"/>
    <x v="2"/>
    <s v="Maret"/>
    <s v="Division_A"/>
    <x v="2"/>
    <n v="2005"/>
    <n v="9"/>
    <s v="TM-Utama"/>
    <n v="18"/>
    <n v="1922"/>
    <s v="106.8"/>
    <x v="0"/>
    <n v="1.1639999999999999"/>
    <n v="20945"/>
    <n v="20.945"/>
    <d v="2014-03-01T00:00:00"/>
    <x v="0"/>
    <x v="1"/>
  </r>
  <r>
    <x v="2"/>
    <x v="3"/>
    <s v="April"/>
    <s v="Division_A"/>
    <x v="2"/>
    <n v="2005"/>
    <n v="9"/>
    <s v="TM-Utama"/>
    <n v="18"/>
    <n v="1922"/>
    <s v="106.8"/>
    <x v="0"/>
    <n v="1.466"/>
    <n v="26379.4"/>
    <n v="26.379000000000001"/>
    <d v="2014-04-01T00:00:00"/>
    <x v="0"/>
    <x v="1"/>
  </r>
  <r>
    <x v="2"/>
    <x v="4"/>
    <s v="Mei"/>
    <s v="Division_A"/>
    <x v="2"/>
    <n v="2005"/>
    <n v="9"/>
    <s v="TM-Utama"/>
    <n v="18"/>
    <n v="1922"/>
    <s v="106.8"/>
    <x v="0"/>
    <n v="1.532"/>
    <n v="27575.9"/>
    <n v="27.576000000000001"/>
    <d v="2014-05-01T00:00:00"/>
    <x v="0"/>
    <x v="1"/>
  </r>
  <r>
    <x v="2"/>
    <x v="5"/>
    <s v="Juni"/>
    <s v="Division_A"/>
    <x v="2"/>
    <n v="2005"/>
    <n v="9"/>
    <s v="TM-Utama"/>
    <n v="18"/>
    <n v="1922"/>
    <s v="106.8"/>
    <x v="0"/>
    <n v="1.1870000000000001"/>
    <n v="21363"/>
    <n v="21.363"/>
    <d v="2014-06-01T00:00:00"/>
    <x v="0"/>
    <x v="1"/>
  </r>
  <r>
    <x v="2"/>
    <x v="6"/>
    <s v="Juli"/>
    <s v="Division_A"/>
    <x v="2"/>
    <n v="2005"/>
    <n v="9"/>
    <s v="TM-Utama"/>
    <n v="18"/>
    <n v="1922"/>
    <s v="106.8"/>
    <x v="0"/>
    <n v="1.774"/>
    <n v="31929.200000000001"/>
    <n v="31.928999999999998"/>
    <d v="2014-07-01T00:00:00"/>
    <x v="0"/>
    <x v="1"/>
  </r>
  <r>
    <x v="2"/>
    <x v="7"/>
    <s v="Agustus"/>
    <s v="Division_A"/>
    <x v="2"/>
    <n v="2005"/>
    <n v="9"/>
    <s v="TM-Utama"/>
    <n v="18"/>
    <n v="1922"/>
    <s v="106.8"/>
    <x v="0"/>
    <n v="1.84"/>
    <n v="33125.699999999997"/>
    <n v="33.125999999999998"/>
    <d v="2014-08-01T00:00:00"/>
    <x v="0"/>
    <x v="1"/>
  </r>
  <r>
    <x v="2"/>
    <x v="8"/>
    <s v="September"/>
    <s v="Division_A"/>
    <x v="2"/>
    <n v="2005"/>
    <n v="9"/>
    <s v="TM-Utama"/>
    <n v="18"/>
    <n v="1922"/>
    <s v="106.8"/>
    <x v="0"/>
    <n v="1.4890000000000001"/>
    <n v="26797.5"/>
    <n v="26.797000000000001"/>
    <d v="2014-09-01T00:00:00"/>
    <x v="0"/>
    <x v="1"/>
  </r>
  <r>
    <x v="2"/>
    <x v="9"/>
    <s v="Oktober"/>
    <s v="Division_A"/>
    <x v="2"/>
    <n v="2005"/>
    <n v="9"/>
    <s v="TM-Utama"/>
    <n v="18"/>
    <n v="1922"/>
    <s v="106.8"/>
    <x v="0"/>
    <n v="1.2110000000000001"/>
    <n v="21795.5"/>
    <n v="21.795000000000002"/>
    <d v="2014-10-01T00:00:00"/>
    <x v="0"/>
    <x v="1"/>
  </r>
  <r>
    <x v="2"/>
    <x v="10"/>
    <s v="November"/>
    <s v="Division_A"/>
    <x v="2"/>
    <n v="2005"/>
    <n v="9"/>
    <s v="TM-Utama"/>
    <n v="18"/>
    <n v="1922"/>
    <s v="106.8"/>
    <x v="0"/>
    <n v="1.232"/>
    <n v="22170.3"/>
    <n v="22.17"/>
    <d v="2014-11-01T00:00:00"/>
    <x v="0"/>
    <x v="1"/>
  </r>
  <r>
    <x v="2"/>
    <x v="11"/>
    <s v="Desember"/>
    <s v="Division_A"/>
    <x v="2"/>
    <n v="2005"/>
    <n v="9"/>
    <s v="TM-Utama"/>
    <n v="18"/>
    <n v="1922"/>
    <s v="106.8"/>
    <x v="0"/>
    <n v="1.149"/>
    <n v="20685.5"/>
    <n v="20.686"/>
    <d v="2014-12-01T00:00:00"/>
    <x v="0"/>
    <x v="1"/>
  </r>
  <r>
    <x v="2"/>
    <x v="0"/>
    <s v="Januari"/>
    <s v="Division_A"/>
    <x v="3"/>
    <n v="2005"/>
    <n v="9"/>
    <s v="TM-Utama"/>
    <n v="26"/>
    <n v="2827"/>
    <s v="108.7"/>
    <x v="0"/>
    <n v="1.246"/>
    <n v="32397.4"/>
    <n v="32.396999999999998"/>
    <d v="2014-01-01T00:00:00"/>
    <x v="0"/>
    <x v="1"/>
  </r>
  <r>
    <x v="2"/>
    <x v="1"/>
    <s v="Februari"/>
    <s v="Division_A"/>
    <x v="3"/>
    <n v="2005"/>
    <n v="9"/>
    <s v="TM-Utama"/>
    <n v="26"/>
    <n v="2827"/>
    <s v="108.7"/>
    <x v="0"/>
    <n v="1.153"/>
    <n v="29980.3"/>
    <n v="29.98"/>
    <d v="2014-02-01T00:00:00"/>
    <x v="0"/>
    <x v="1"/>
  </r>
  <r>
    <x v="2"/>
    <x v="2"/>
    <s v="Maret"/>
    <s v="Division_A"/>
    <x v="3"/>
    <n v="2005"/>
    <n v="9"/>
    <s v="TM-Utama"/>
    <n v="26"/>
    <n v="2827"/>
    <s v="108.7"/>
    <x v="0"/>
    <n v="1.1850000000000001"/>
    <n v="30807.200000000001"/>
    <n v="30.806999999999999"/>
    <d v="2014-03-01T00:00:00"/>
    <x v="0"/>
    <x v="1"/>
  </r>
  <r>
    <x v="2"/>
    <x v="3"/>
    <s v="April"/>
    <s v="Division_A"/>
    <x v="3"/>
    <n v="2005"/>
    <n v="9"/>
    <s v="TM-Utama"/>
    <n v="26"/>
    <n v="2827"/>
    <s v="108.7"/>
    <x v="0"/>
    <n v="1.492"/>
    <n v="38800.6"/>
    <n v="38.801000000000002"/>
    <d v="2014-04-01T00:00:00"/>
    <x v="0"/>
    <x v="1"/>
  </r>
  <r>
    <x v="2"/>
    <x v="4"/>
    <s v="Mei"/>
    <s v="Division_A"/>
    <x v="3"/>
    <n v="2005"/>
    <n v="9"/>
    <s v="TM-Utama"/>
    <n v="26"/>
    <n v="2827"/>
    <s v="108.7"/>
    <x v="0"/>
    <n v="1.56"/>
    <n v="40560.400000000001"/>
    <n v="40.56"/>
    <d v="2014-05-01T00:00:00"/>
    <x v="0"/>
    <x v="1"/>
  </r>
  <r>
    <x v="2"/>
    <x v="5"/>
    <s v="Juni"/>
    <s v="Division_A"/>
    <x v="3"/>
    <n v="2005"/>
    <n v="9"/>
    <s v="TM-Utama"/>
    <n v="26"/>
    <n v="2827"/>
    <s v="108.7"/>
    <x v="0"/>
    <n v="1.2090000000000001"/>
    <n v="31422.1"/>
    <n v="31.422000000000001"/>
    <d v="2014-06-01T00:00:00"/>
    <x v="0"/>
    <x v="1"/>
  </r>
  <r>
    <x v="2"/>
    <x v="6"/>
    <s v="Juli"/>
    <s v="Division_A"/>
    <x v="3"/>
    <n v="2005"/>
    <n v="9"/>
    <s v="TM-Utama"/>
    <n v="26"/>
    <n v="2827"/>
    <s v="108.7"/>
    <x v="0"/>
    <n v="1.806"/>
    <n v="46963.5"/>
    <n v="46.963999999999999"/>
    <d v="2014-07-01T00:00:00"/>
    <x v="0"/>
    <x v="1"/>
  </r>
  <r>
    <x v="2"/>
    <x v="7"/>
    <s v="Agustus"/>
    <s v="Division_A"/>
    <x v="3"/>
    <n v="2005"/>
    <n v="9"/>
    <s v="TM-Utama"/>
    <n v="26"/>
    <n v="2827"/>
    <s v="108.7"/>
    <x v="0"/>
    <n v="1.8740000000000001"/>
    <n v="48723.3"/>
    <n v="48.722999999999999"/>
    <d v="2014-08-01T00:00:00"/>
    <x v="0"/>
    <x v="1"/>
  </r>
  <r>
    <x v="2"/>
    <x v="8"/>
    <s v="September"/>
    <s v="Division_A"/>
    <x v="3"/>
    <n v="2005"/>
    <n v="9"/>
    <s v="TM-Utama"/>
    <n v="26"/>
    <n v="2827"/>
    <s v="108.7"/>
    <x v="0"/>
    <n v="1.516"/>
    <n v="39415.4"/>
    <n v="39.414999999999999"/>
    <d v="2014-09-01T00:00:00"/>
    <x v="0"/>
    <x v="1"/>
  </r>
  <r>
    <x v="2"/>
    <x v="9"/>
    <s v="Oktober"/>
    <s v="Division_A"/>
    <x v="3"/>
    <n v="2005"/>
    <n v="9"/>
    <s v="TM-Utama"/>
    <n v="26"/>
    <n v="2827"/>
    <s v="108.7"/>
    <x v="0"/>
    <n v="1.2330000000000001"/>
    <n v="32058.2"/>
    <n v="32.058"/>
    <d v="2014-10-01T00:00:00"/>
    <x v="0"/>
    <x v="1"/>
  </r>
  <r>
    <x v="2"/>
    <x v="10"/>
    <s v="November"/>
    <s v="Division_A"/>
    <x v="3"/>
    <n v="2005"/>
    <n v="9"/>
    <s v="TM-Utama"/>
    <n v="26"/>
    <n v="2827"/>
    <s v="108.7"/>
    <x v="0"/>
    <n v="1.254"/>
    <n v="32609.4"/>
    <n v="32.609000000000002"/>
    <d v="2014-11-01T00:00:00"/>
    <x v="0"/>
    <x v="1"/>
  </r>
  <r>
    <x v="2"/>
    <x v="11"/>
    <s v="Desember"/>
    <s v="Division_A"/>
    <x v="3"/>
    <n v="2005"/>
    <n v="9"/>
    <s v="TM-Utama"/>
    <n v="26"/>
    <n v="2827"/>
    <s v="108.7"/>
    <x v="0"/>
    <n v="1.17"/>
    <n v="30425.599999999999"/>
    <n v="30.425999999999998"/>
    <d v="2014-12-01T00:00:00"/>
    <x v="0"/>
    <x v="1"/>
  </r>
  <r>
    <x v="2"/>
    <x v="0"/>
    <s v="Januari"/>
    <s v="Division_A"/>
    <x v="4"/>
    <n v="2005"/>
    <n v="9"/>
    <s v="TM-Utama"/>
    <n v="24"/>
    <n v="1947"/>
    <s v="81.1"/>
    <x v="1"/>
    <n v="1.169"/>
    <n v="28054.1"/>
    <n v="28.053999999999998"/>
    <d v="2014-01-01T00:00:00"/>
    <x v="0"/>
    <x v="1"/>
  </r>
  <r>
    <x v="2"/>
    <x v="1"/>
    <s v="Februari"/>
    <s v="Division_A"/>
    <x v="4"/>
    <n v="2005"/>
    <n v="9"/>
    <s v="TM-Utama"/>
    <n v="24"/>
    <n v="1947"/>
    <s v="81.1"/>
    <x v="1"/>
    <n v="1.0820000000000001"/>
    <n v="25961"/>
    <n v="25.960999999999999"/>
    <d v="2014-02-01T00:00:00"/>
    <x v="0"/>
    <x v="1"/>
  </r>
  <r>
    <x v="2"/>
    <x v="2"/>
    <s v="Maret"/>
    <s v="Division_A"/>
    <x v="4"/>
    <n v="2005"/>
    <n v="9"/>
    <s v="TM-Utama"/>
    <n v="24"/>
    <n v="1947"/>
    <s v="81.1"/>
    <x v="1"/>
    <n v="1.1120000000000001"/>
    <n v="26677.1"/>
    <n v="26.677"/>
    <d v="2014-03-01T00:00:00"/>
    <x v="0"/>
    <x v="1"/>
  </r>
  <r>
    <x v="2"/>
    <x v="3"/>
    <s v="April"/>
    <s v="Division_A"/>
    <x v="4"/>
    <n v="2005"/>
    <n v="9"/>
    <s v="TM-Utama"/>
    <n v="24"/>
    <n v="1947"/>
    <s v="81.1"/>
    <x v="1"/>
    <n v="1.4"/>
    <n v="33598.800000000003"/>
    <n v="33.598999999999997"/>
    <d v="2014-04-01T00:00:00"/>
    <x v="0"/>
    <x v="1"/>
  </r>
  <r>
    <x v="2"/>
    <x v="4"/>
    <s v="Mei"/>
    <s v="Division_A"/>
    <x v="4"/>
    <n v="2005"/>
    <n v="9"/>
    <s v="TM-Utama"/>
    <n v="24"/>
    <n v="1947"/>
    <s v="81.1"/>
    <x v="1"/>
    <n v="1.4630000000000001"/>
    <n v="35122.699999999997"/>
    <n v="35.122999999999998"/>
    <d v="2014-05-01T00:00:00"/>
    <x v="0"/>
    <x v="1"/>
  </r>
  <r>
    <x v="2"/>
    <x v="5"/>
    <s v="Juni"/>
    <s v="Division_A"/>
    <x v="4"/>
    <n v="2005"/>
    <n v="9"/>
    <s v="TM-Utama"/>
    <n v="24"/>
    <n v="1947"/>
    <s v="81.1"/>
    <x v="1"/>
    <n v="1.1339999999999999"/>
    <n v="27209.5"/>
    <n v="27.21"/>
    <d v="2014-06-01T00:00:00"/>
    <x v="0"/>
    <x v="1"/>
  </r>
  <r>
    <x v="2"/>
    <x v="6"/>
    <s v="Juli"/>
    <s v="Division_A"/>
    <x v="4"/>
    <n v="2005"/>
    <n v="9"/>
    <s v="TM-Utama"/>
    <n v="24"/>
    <n v="1947"/>
    <s v="81.1"/>
    <x v="1"/>
    <n v="1.694"/>
    <n v="40667.4"/>
    <n v="40.667000000000002"/>
    <d v="2014-07-01T00:00:00"/>
    <x v="0"/>
    <x v="1"/>
  </r>
  <r>
    <x v="2"/>
    <x v="7"/>
    <s v="Agustus"/>
    <s v="Division_A"/>
    <x v="4"/>
    <n v="2005"/>
    <n v="9"/>
    <s v="TM-Utama"/>
    <n v="24"/>
    <n v="1947"/>
    <s v="81.1"/>
    <x v="1"/>
    <n v="1.758"/>
    <n v="42191.3"/>
    <n v="42.191000000000003"/>
    <d v="2014-08-01T00:00:00"/>
    <x v="0"/>
    <x v="1"/>
  </r>
  <r>
    <x v="2"/>
    <x v="8"/>
    <s v="September"/>
    <s v="Division_A"/>
    <x v="4"/>
    <n v="2005"/>
    <n v="9"/>
    <s v="TM-Utama"/>
    <n v="24"/>
    <n v="1947"/>
    <s v="81.1"/>
    <x v="1"/>
    <n v="1.4219999999999999"/>
    <n v="34131.199999999997"/>
    <n v="34.131"/>
    <d v="2014-09-01T00:00:00"/>
    <x v="0"/>
    <x v="1"/>
  </r>
  <r>
    <x v="2"/>
    <x v="9"/>
    <s v="Oktober"/>
    <s v="Division_A"/>
    <x v="4"/>
    <n v="2005"/>
    <n v="9"/>
    <s v="TM-Utama"/>
    <n v="24"/>
    <n v="1947"/>
    <s v="81.1"/>
    <x v="1"/>
    <n v="1.157"/>
    <n v="27760.3"/>
    <n v="27.76"/>
    <d v="2014-10-01T00:00:00"/>
    <x v="0"/>
    <x v="1"/>
  </r>
  <r>
    <x v="2"/>
    <x v="10"/>
    <s v="November"/>
    <s v="Division_A"/>
    <x v="4"/>
    <n v="2005"/>
    <n v="9"/>
    <s v="TM-Utama"/>
    <n v="24"/>
    <n v="1947"/>
    <s v="81.1"/>
    <x v="1"/>
    <n v="1.177"/>
    <n v="28237.7"/>
    <n v="28.238"/>
    <d v="2014-11-01T00:00:00"/>
    <x v="0"/>
    <x v="1"/>
  </r>
  <r>
    <x v="2"/>
    <x v="11"/>
    <s v="Desember"/>
    <s v="Division_A"/>
    <x v="4"/>
    <n v="2005"/>
    <n v="9"/>
    <s v="TM-Utama"/>
    <n v="24"/>
    <n v="1947"/>
    <s v="81.1"/>
    <x v="1"/>
    <n v="1.0980000000000001"/>
    <n v="26346.6"/>
    <n v="26.347000000000001"/>
    <d v="2014-12-01T00:00:00"/>
    <x v="0"/>
    <x v="1"/>
  </r>
  <r>
    <x v="2"/>
    <x v="0"/>
    <s v="Januari"/>
    <s v="Division_A"/>
    <x v="5"/>
    <n v="2006"/>
    <n v="8"/>
    <s v="TM-Utama"/>
    <n v="25"/>
    <n v="2740"/>
    <s v="109.6"/>
    <x v="1"/>
    <n v="1.256"/>
    <n v="31400.400000000001"/>
    <n v="31.4"/>
    <d v="2014-01-01T00:00:00"/>
    <x v="0"/>
    <x v="1"/>
  </r>
  <r>
    <x v="2"/>
    <x v="1"/>
    <s v="Februari"/>
    <s v="Division_A"/>
    <x v="5"/>
    <n v="2006"/>
    <n v="8"/>
    <s v="TM-Utama"/>
    <n v="25"/>
    <n v="2740"/>
    <s v="109.6"/>
    <x v="1"/>
    <n v="1.1619999999999999"/>
    <n v="29057.7"/>
    <n v="29.058"/>
    <d v="2014-02-01T00:00:00"/>
    <x v="0"/>
    <x v="1"/>
  </r>
  <r>
    <x v="2"/>
    <x v="2"/>
    <s v="Maret"/>
    <s v="Division_A"/>
    <x v="5"/>
    <n v="2006"/>
    <n v="8"/>
    <s v="TM-Utama"/>
    <n v="25"/>
    <n v="2740"/>
    <s v="109.6"/>
    <x v="1"/>
    <n v="1.194"/>
    <n v="29859.200000000001"/>
    <n v="29.859000000000002"/>
    <d v="2014-03-01T00:00:00"/>
    <x v="0"/>
    <x v="1"/>
  </r>
  <r>
    <x v="2"/>
    <x v="3"/>
    <s v="April"/>
    <s v="Division_A"/>
    <x v="5"/>
    <n v="2006"/>
    <n v="8"/>
    <s v="TM-Utama"/>
    <n v="25"/>
    <n v="2740"/>
    <s v="109.6"/>
    <x v="1"/>
    <n v="1.504"/>
    <n v="37606.5"/>
    <n v="37.606000000000002"/>
    <d v="2014-04-01T00:00:00"/>
    <x v="0"/>
    <x v="1"/>
  </r>
  <r>
    <x v="2"/>
    <x v="4"/>
    <s v="Mei"/>
    <s v="Division_A"/>
    <x v="5"/>
    <n v="2006"/>
    <n v="8"/>
    <s v="TM-Utama"/>
    <n v="25"/>
    <n v="2740"/>
    <s v="109.6"/>
    <x v="1"/>
    <n v="1.5720000000000001"/>
    <n v="39312.1"/>
    <n v="39.311999999999998"/>
    <d v="2014-05-01T00:00:00"/>
    <x v="0"/>
    <x v="1"/>
  </r>
  <r>
    <x v="2"/>
    <x v="5"/>
    <s v="Juni"/>
    <s v="Division_A"/>
    <x v="5"/>
    <n v="2006"/>
    <n v="8"/>
    <s v="TM-Utama"/>
    <n v="25"/>
    <n v="2740"/>
    <s v="109.6"/>
    <x v="1"/>
    <n v="1.218"/>
    <n v="30455.1"/>
    <n v="30.454999999999998"/>
    <d v="2014-06-01T00:00:00"/>
    <x v="0"/>
    <x v="1"/>
  </r>
  <r>
    <x v="2"/>
    <x v="6"/>
    <s v="Juli"/>
    <s v="Division_A"/>
    <x v="5"/>
    <n v="2006"/>
    <n v="8"/>
    <s v="TM-Utama"/>
    <n v="25"/>
    <n v="2740"/>
    <s v="109.6"/>
    <x v="1"/>
    <n v="1.821"/>
    <n v="45518.2"/>
    <n v="45.518000000000001"/>
    <d v="2014-07-01T00:00:00"/>
    <x v="0"/>
    <x v="1"/>
  </r>
  <r>
    <x v="2"/>
    <x v="7"/>
    <s v="Agustus"/>
    <s v="Division_A"/>
    <x v="5"/>
    <n v="2006"/>
    <n v="8"/>
    <s v="TM-Utama"/>
    <n v="25"/>
    <n v="2740"/>
    <s v="109.6"/>
    <x v="1"/>
    <n v="1.889"/>
    <n v="47223.9"/>
    <n v="47.223999999999997"/>
    <d v="2014-08-01T00:00:00"/>
    <x v="0"/>
    <x v="1"/>
  </r>
  <r>
    <x v="2"/>
    <x v="8"/>
    <s v="September"/>
    <s v="Division_A"/>
    <x v="5"/>
    <n v="2006"/>
    <n v="8"/>
    <s v="TM-Utama"/>
    <n v="25"/>
    <n v="2740"/>
    <s v="109.6"/>
    <x v="1"/>
    <n v="1.528"/>
    <n v="38202.400000000001"/>
    <n v="38.201999999999998"/>
    <d v="2014-09-01T00:00:00"/>
    <x v="0"/>
    <x v="1"/>
  </r>
  <r>
    <x v="2"/>
    <x v="9"/>
    <s v="Oktober"/>
    <s v="Division_A"/>
    <x v="5"/>
    <n v="2006"/>
    <n v="8"/>
    <s v="TM-Utama"/>
    <n v="25"/>
    <n v="2740"/>
    <s v="109.6"/>
    <x v="1"/>
    <n v="1.2430000000000001"/>
    <n v="31071.599999999999"/>
    <n v="31.071999999999999"/>
    <d v="2014-10-01T00:00:00"/>
    <x v="0"/>
    <x v="1"/>
  </r>
  <r>
    <x v="2"/>
    <x v="10"/>
    <s v="November"/>
    <s v="Division_A"/>
    <x v="5"/>
    <n v="2006"/>
    <n v="8"/>
    <s v="TM-Utama"/>
    <n v="25"/>
    <n v="2740"/>
    <s v="109.6"/>
    <x v="1"/>
    <n v="1.264"/>
    <n v="31605.9"/>
    <n v="31.606000000000002"/>
    <d v="2014-11-01T00:00:00"/>
    <x v="0"/>
    <x v="1"/>
  </r>
  <r>
    <x v="2"/>
    <x v="11"/>
    <s v="Desember"/>
    <s v="Division_A"/>
    <x v="5"/>
    <n v="2006"/>
    <n v="8"/>
    <s v="TM-Utama"/>
    <n v="25"/>
    <n v="2740"/>
    <s v="109.6"/>
    <x v="1"/>
    <n v="1.18"/>
    <n v="29489.200000000001"/>
    <n v="29.489000000000001"/>
    <d v="2014-12-01T00:00:00"/>
    <x v="0"/>
    <x v="1"/>
  </r>
  <r>
    <x v="2"/>
    <x v="0"/>
    <s v="Januari"/>
    <s v="Division_A"/>
    <x v="6"/>
    <n v="2006"/>
    <n v="8"/>
    <s v="TM-Utama"/>
    <n v="24"/>
    <n v="3230"/>
    <s v="134.6"/>
    <x v="1"/>
    <n v="1.542"/>
    <n v="37015.800000000003"/>
    <n v="37.015999999999998"/>
    <d v="2014-01-01T00:00:00"/>
    <x v="0"/>
    <x v="1"/>
  </r>
  <r>
    <x v="2"/>
    <x v="1"/>
    <s v="Februari"/>
    <s v="Division_A"/>
    <x v="6"/>
    <n v="2006"/>
    <n v="8"/>
    <s v="TM-Utama"/>
    <n v="24"/>
    <n v="3230"/>
    <s v="134.6"/>
    <x v="1"/>
    <n v="1.427"/>
    <n v="34254.199999999997"/>
    <n v="34.253999999999998"/>
    <d v="2014-02-01T00:00:00"/>
    <x v="0"/>
    <x v="1"/>
  </r>
  <r>
    <x v="2"/>
    <x v="2"/>
    <s v="Maret"/>
    <s v="Division_A"/>
    <x v="6"/>
    <n v="2006"/>
    <n v="8"/>
    <s v="TM-Utama"/>
    <n v="24"/>
    <n v="3230"/>
    <s v="134.6"/>
    <x v="1"/>
    <n v="1.4670000000000001"/>
    <n v="35198.9"/>
    <n v="35.198999999999998"/>
    <d v="2014-03-01T00:00:00"/>
    <x v="0"/>
    <x v="1"/>
  </r>
  <r>
    <x v="2"/>
    <x v="3"/>
    <s v="April"/>
    <s v="Division_A"/>
    <x v="6"/>
    <n v="2006"/>
    <n v="8"/>
    <s v="TM-Utama"/>
    <n v="24"/>
    <n v="3230"/>
    <s v="134.6"/>
    <x v="1"/>
    <n v="1.847"/>
    <n v="44331.8"/>
    <n v="44.332000000000001"/>
    <d v="2014-04-01T00:00:00"/>
    <x v="0"/>
    <x v="1"/>
  </r>
  <r>
    <x v="2"/>
    <x v="4"/>
    <s v="Mei"/>
    <s v="Division_A"/>
    <x v="6"/>
    <n v="2006"/>
    <n v="8"/>
    <s v="TM-Utama"/>
    <n v="24"/>
    <n v="3230"/>
    <s v="134.6"/>
    <x v="1"/>
    <n v="1.931"/>
    <n v="46342.400000000001"/>
    <n v="46.341999999999999"/>
    <d v="2014-05-01T00:00:00"/>
    <x v="0"/>
    <x v="1"/>
  </r>
  <r>
    <x v="2"/>
    <x v="5"/>
    <s v="Juni"/>
    <s v="Division_A"/>
    <x v="6"/>
    <n v="2006"/>
    <n v="8"/>
    <s v="TM-Utama"/>
    <n v="24"/>
    <n v="3230"/>
    <s v="134.6"/>
    <x v="1"/>
    <n v="1.496"/>
    <n v="35901.5"/>
    <n v="35.901000000000003"/>
    <d v="2014-06-01T00:00:00"/>
    <x v="0"/>
    <x v="1"/>
  </r>
  <r>
    <x v="2"/>
    <x v="6"/>
    <s v="Juli"/>
    <s v="Division_A"/>
    <x v="6"/>
    <n v="2006"/>
    <n v="8"/>
    <s v="TM-Utama"/>
    <n v="24"/>
    <n v="3230"/>
    <s v="134.6"/>
    <x v="1"/>
    <n v="2.2360000000000002"/>
    <n v="53658.400000000001"/>
    <n v="53.658000000000001"/>
    <d v="2014-07-01T00:00:00"/>
    <x v="0"/>
    <x v="1"/>
  </r>
  <r>
    <x v="2"/>
    <x v="7"/>
    <s v="Agustus"/>
    <s v="Division_A"/>
    <x v="6"/>
    <n v="2006"/>
    <n v="8"/>
    <s v="TM-Utama"/>
    <n v="24"/>
    <n v="3230"/>
    <s v="134.6"/>
    <x v="1"/>
    <n v="2.3199999999999998"/>
    <n v="55669.1"/>
    <n v="55.668999999999997"/>
    <d v="2014-08-01T00:00:00"/>
    <x v="0"/>
    <x v="1"/>
  </r>
  <r>
    <x v="2"/>
    <x v="8"/>
    <s v="September"/>
    <s v="Division_A"/>
    <x v="6"/>
    <n v="2006"/>
    <n v="8"/>
    <s v="TM-Utama"/>
    <n v="24"/>
    <n v="3230"/>
    <s v="134.6"/>
    <x v="1"/>
    <n v="1.8759999999999999"/>
    <n v="45034.3"/>
    <n v="45.033999999999999"/>
    <d v="2014-09-01T00:00:00"/>
    <x v="0"/>
    <x v="1"/>
  </r>
  <r>
    <x v="2"/>
    <x v="9"/>
    <s v="Oktober"/>
    <s v="Division_A"/>
    <x v="6"/>
    <n v="2006"/>
    <n v="8"/>
    <s v="TM-Utama"/>
    <n v="24"/>
    <n v="3230"/>
    <s v="134.6"/>
    <x v="1"/>
    <n v="1.526"/>
    <n v="36628.199999999997"/>
    <n v="36.628"/>
    <d v="2014-10-01T00:00:00"/>
    <x v="0"/>
    <x v="1"/>
  </r>
  <r>
    <x v="2"/>
    <x v="10"/>
    <s v="November"/>
    <s v="Division_A"/>
    <x v="6"/>
    <n v="2006"/>
    <n v="8"/>
    <s v="TM-Utama"/>
    <n v="24"/>
    <n v="3230"/>
    <s v="134.6"/>
    <x v="1"/>
    <n v="1.552"/>
    <n v="37258.1"/>
    <n v="37.258000000000003"/>
    <d v="2014-11-01T00:00:00"/>
    <x v="0"/>
    <x v="1"/>
  </r>
  <r>
    <x v="2"/>
    <x v="11"/>
    <s v="Desember"/>
    <s v="Division_A"/>
    <x v="6"/>
    <n v="2006"/>
    <n v="8"/>
    <s v="TM-Utama"/>
    <n v="24"/>
    <n v="3230"/>
    <s v="134.6"/>
    <x v="1"/>
    <n v="1.448"/>
    <n v="34762.9"/>
    <n v="34.762999999999998"/>
    <d v="2014-12-01T00:00:00"/>
    <x v="0"/>
    <x v="1"/>
  </r>
  <r>
    <x v="2"/>
    <x v="0"/>
    <s v="Januari"/>
    <s v="Division_A"/>
    <x v="7"/>
    <n v="2006"/>
    <n v="8"/>
    <s v="TM-Utama"/>
    <n v="22"/>
    <n v="2447"/>
    <s v="111.2"/>
    <x v="1"/>
    <n v="1.2749999999999999"/>
    <n v="28042.6"/>
    <n v="28.042999999999999"/>
    <d v="2014-01-01T00:00:00"/>
    <x v="0"/>
    <x v="1"/>
  </r>
  <r>
    <x v="2"/>
    <x v="1"/>
    <s v="Februari"/>
    <s v="Division_A"/>
    <x v="7"/>
    <n v="2006"/>
    <n v="8"/>
    <s v="TM-Utama"/>
    <n v="22"/>
    <n v="2447"/>
    <s v="111.2"/>
    <x v="1"/>
    <n v="1.18"/>
    <n v="25950.400000000001"/>
    <n v="25.95"/>
    <d v="2014-02-01T00:00:00"/>
    <x v="0"/>
    <x v="1"/>
  </r>
  <r>
    <x v="2"/>
    <x v="2"/>
    <s v="Maret"/>
    <s v="Division_A"/>
    <x v="7"/>
    <n v="2006"/>
    <n v="8"/>
    <s v="TM-Utama"/>
    <n v="22"/>
    <n v="2447"/>
    <s v="111.2"/>
    <x v="1"/>
    <n v="1.212"/>
    <n v="26666.2"/>
    <n v="26.666"/>
    <d v="2014-03-01T00:00:00"/>
    <x v="0"/>
    <x v="1"/>
  </r>
  <r>
    <x v="2"/>
    <x v="3"/>
    <s v="April"/>
    <s v="Division_A"/>
    <x v="7"/>
    <n v="2006"/>
    <n v="8"/>
    <s v="TM-Utama"/>
    <n v="22"/>
    <n v="2447"/>
    <s v="111.2"/>
    <x v="1"/>
    <n v="1.5269999999999999"/>
    <n v="33585.1"/>
    <n v="33.585000000000001"/>
    <d v="2014-04-01T00:00:00"/>
    <x v="0"/>
    <x v="1"/>
  </r>
  <r>
    <x v="2"/>
    <x v="4"/>
    <s v="Mei"/>
    <s v="Division_A"/>
    <x v="7"/>
    <n v="2006"/>
    <n v="8"/>
    <s v="TM-Utama"/>
    <n v="22"/>
    <n v="2447"/>
    <s v="111.2"/>
    <x v="1"/>
    <n v="1.5960000000000001"/>
    <n v="35108.300000000003"/>
    <n v="35.107999999999997"/>
    <d v="2014-05-01T00:00:00"/>
    <x v="0"/>
    <x v="1"/>
  </r>
  <r>
    <x v="2"/>
    <x v="5"/>
    <s v="Juni"/>
    <s v="Division_A"/>
    <x v="7"/>
    <n v="2006"/>
    <n v="8"/>
    <s v="TM-Utama"/>
    <n v="22"/>
    <n v="2447"/>
    <s v="111.2"/>
    <x v="1"/>
    <n v="1.236"/>
    <n v="27198.400000000001"/>
    <n v="27.198"/>
    <d v="2014-06-01T00:00:00"/>
    <x v="0"/>
    <x v="1"/>
  </r>
  <r>
    <x v="2"/>
    <x v="6"/>
    <s v="Juli"/>
    <s v="Division_A"/>
    <x v="7"/>
    <n v="2006"/>
    <n v="8"/>
    <s v="TM-Utama"/>
    <n v="22"/>
    <n v="2447"/>
    <s v="111.2"/>
    <x v="1"/>
    <n v="1.8480000000000001"/>
    <n v="40650.800000000003"/>
    <n v="40.651000000000003"/>
    <d v="2014-07-01T00:00:00"/>
    <x v="0"/>
    <x v="1"/>
  </r>
  <r>
    <x v="2"/>
    <x v="7"/>
    <s v="Agustus"/>
    <s v="Division_A"/>
    <x v="7"/>
    <n v="2006"/>
    <n v="8"/>
    <s v="TM-Utama"/>
    <n v="22"/>
    <n v="2447"/>
    <s v="111.2"/>
    <x v="1"/>
    <n v="1.917"/>
    <n v="42174"/>
    <n v="42.173999999999999"/>
    <d v="2014-08-01T00:00:00"/>
    <x v="0"/>
    <x v="1"/>
  </r>
  <r>
    <x v="2"/>
    <x v="8"/>
    <s v="September"/>
    <s v="Division_A"/>
    <x v="7"/>
    <n v="2006"/>
    <n v="8"/>
    <s v="TM-Utama"/>
    <n v="22"/>
    <n v="2447"/>
    <s v="111.2"/>
    <x v="1"/>
    <n v="1.5509999999999999"/>
    <n v="34117.300000000003"/>
    <n v="34.116999999999997"/>
    <d v="2014-09-01T00:00:00"/>
    <x v="0"/>
    <x v="1"/>
  </r>
  <r>
    <x v="2"/>
    <x v="9"/>
    <s v="Oktober"/>
    <s v="Division_A"/>
    <x v="7"/>
    <n v="2006"/>
    <n v="8"/>
    <s v="TM-Utama"/>
    <n v="22"/>
    <n v="2447"/>
    <s v="111.2"/>
    <x v="1"/>
    <n v="1.2609999999999999"/>
    <n v="27749"/>
    <n v="27.748999999999999"/>
    <d v="2014-10-01T00:00:00"/>
    <x v="0"/>
    <x v="1"/>
  </r>
  <r>
    <x v="2"/>
    <x v="10"/>
    <s v="November"/>
    <s v="Division_A"/>
    <x v="7"/>
    <n v="2006"/>
    <n v="8"/>
    <s v="TM-Utama"/>
    <n v="22"/>
    <n v="2447"/>
    <s v="111.2"/>
    <x v="1"/>
    <n v="1.2829999999999999"/>
    <n v="28226.1"/>
    <n v="28.225999999999999"/>
    <d v="2014-11-01T00:00:00"/>
    <x v="0"/>
    <x v="1"/>
  </r>
  <r>
    <x v="2"/>
    <x v="11"/>
    <s v="Desember"/>
    <s v="Division_A"/>
    <x v="7"/>
    <n v="2006"/>
    <n v="8"/>
    <s v="TM-Utama"/>
    <n v="22"/>
    <n v="2447"/>
    <s v="111.2"/>
    <x v="1"/>
    <n v="1.1970000000000001"/>
    <n v="26335.8"/>
    <n v="26.335999999999999"/>
    <d v="2014-12-01T00:00:00"/>
    <x v="0"/>
    <x v="1"/>
  </r>
  <r>
    <x v="2"/>
    <x v="0"/>
    <s v="Januari"/>
    <s v="Division_A"/>
    <x v="8"/>
    <n v="2006"/>
    <n v="8"/>
    <s v="TM-Utama"/>
    <n v="15"/>
    <n v="1866"/>
    <s v="124.4"/>
    <x v="1"/>
    <n v="1.4259999999999999"/>
    <n v="21384.400000000001"/>
    <n v="21.384"/>
    <d v="2014-01-01T00:00:00"/>
    <x v="0"/>
    <x v="1"/>
  </r>
  <r>
    <x v="2"/>
    <x v="1"/>
    <s v="Februari"/>
    <s v="Division_A"/>
    <x v="8"/>
    <n v="2006"/>
    <n v="8"/>
    <s v="TM-Utama"/>
    <n v="15"/>
    <n v="1866"/>
    <s v="124.4"/>
    <x v="1"/>
    <n v="1.319"/>
    <n v="19788.900000000001"/>
    <n v="19.789000000000001"/>
    <d v="2014-02-01T00:00:00"/>
    <x v="0"/>
    <x v="1"/>
  </r>
  <r>
    <x v="2"/>
    <x v="2"/>
    <s v="Maret"/>
    <s v="Division_A"/>
    <x v="8"/>
    <n v="2006"/>
    <n v="8"/>
    <s v="TM-Utama"/>
    <n v="15"/>
    <n v="1866"/>
    <s v="124.4"/>
    <x v="1"/>
    <n v="1.3560000000000001"/>
    <n v="20334.7"/>
    <n v="20.335000000000001"/>
    <d v="2014-03-01T00:00:00"/>
    <x v="0"/>
    <x v="1"/>
  </r>
  <r>
    <x v="2"/>
    <x v="3"/>
    <s v="April"/>
    <s v="Division_A"/>
    <x v="8"/>
    <n v="2006"/>
    <n v="8"/>
    <s v="TM-Utama"/>
    <n v="15"/>
    <n v="1866"/>
    <s v="124.4"/>
    <x v="1"/>
    <n v="1.7070000000000001"/>
    <n v="25610.9"/>
    <n v="25.611000000000001"/>
    <d v="2014-04-01T00:00:00"/>
    <x v="0"/>
    <x v="1"/>
  </r>
  <r>
    <x v="2"/>
    <x v="4"/>
    <s v="Mei"/>
    <s v="Division_A"/>
    <x v="8"/>
    <n v="2006"/>
    <n v="8"/>
    <s v="TM-Utama"/>
    <n v="15"/>
    <n v="1866"/>
    <s v="124.4"/>
    <x v="1"/>
    <n v="1.7849999999999999"/>
    <n v="26772.400000000001"/>
    <n v="26.771999999999998"/>
    <d v="2014-05-01T00:00:00"/>
    <x v="0"/>
    <x v="1"/>
  </r>
  <r>
    <x v="2"/>
    <x v="5"/>
    <s v="Juni"/>
    <s v="Division_A"/>
    <x v="8"/>
    <n v="2006"/>
    <n v="8"/>
    <s v="TM-Utama"/>
    <n v="15"/>
    <n v="1866"/>
    <s v="124.4"/>
    <x v="1"/>
    <n v="1.383"/>
    <n v="20740.599999999999"/>
    <n v="20.741"/>
    <d v="2014-06-01T00:00:00"/>
    <x v="0"/>
    <x v="1"/>
  </r>
  <r>
    <x v="2"/>
    <x v="6"/>
    <s v="Juli"/>
    <s v="Division_A"/>
    <x v="8"/>
    <n v="2006"/>
    <n v="8"/>
    <s v="TM-Utama"/>
    <n v="15"/>
    <n v="1866"/>
    <s v="124.4"/>
    <x v="1"/>
    <n v="2.0670000000000002"/>
    <n v="30998.9"/>
    <n v="30.998999999999999"/>
    <d v="2014-07-01T00:00:00"/>
    <x v="0"/>
    <x v="1"/>
  </r>
  <r>
    <x v="2"/>
    <x v="7"/>
    <s v="Agustus"/>
    <s v="Division_A"/>
    <x v="8"/>
    <n v="2006"/>
    <n v="8"/>
    <s v="TM-Utama"/>
    <n v="15"/>
    <n v="1866"/>
    <s v="124.4"/>
    <x v="1"/>
    <n v="2.1440000000000001"/>
    <n v="32160.5"/>
    <n v="32.161000000000001"/>
    <d v="2014-08-01T00:00:00"/>
    <x v="0"/>
    <x v="1"/>
  </r>
  <r>
    <x v="2"/>
    <x v="8"/>
    <s v="September"/>
    <s v="Division_A"/>
    <x v="8"/>
    <n v="2006"/>
    <n v="8"/>
    <s v="TM-Utama"/>
    <n v="15"/>
    <n v="1866"/>
    <s v="124.4"/>
    <x v="1"/>
    <n v="1.734"/>
    <n v="26016.7"/>
    <n v="26.016999999999999"/>
    <d v="2014-09-01T00:00:00"/>
    <x v="0"/>
    <x v="1"/>
  </r>
  <r>
    <x v="2"/>
    <x v="9"/>
    <s v="Oktober"/>
    <s v="Division_A"/>
    <x v="8"/>
    <n v="2006"/>
    <n v="8"/>
    <s v="TM-Utama"/>
    <n v="15"/>
    <n v="1866"/>
    <s v="124.4"/>
    <x v="1"/>
    <n v="1.411"/>
    <n v="21160.400000000001"/>
    <n v="21.16"/>
    <d v="2014-10-01T00:00:00"/>
    <x v="0"/>
    <x v="1"/>
  </r>
  <r>
    <x v="2"/>
    <x v="10"/>
    <s v="November"/>
    <s v="Division_A"/>
    <x v="8"/>
    <n v="2006"/>
    <n v="8"/>
    <s v="TM-Utama"/>
    <n v="15"/>
    <n v="1866"/>
    <s v="124.4"/>
    <x v="1"/>
    <n v="1.4350000000000001"/>
    <n v="21524.3"/>
    <n v="21.524000000000001"/>
    <d v="2014-11-01T00:00:00"/>
    <x v="0"/>
    <x v="1"/>
  </r>
  <r>
    <x v="2"/>
    <x v="11"/>
    <s v="Desember"/>
    <s v="Division_A"/>
    <x v="8"/>
    <n v="2006"/>
    <n v="8"/>
    <s v="TM-Utama"/>
    <n v="15"/>
    <n v="1866"/>
    <s v="124.4"/>
    <x v="1"/>
    <n v="1.339"/>
    <n v="20082.8"/>
    <n v="20.082999999999998"/>
    <d v="2014-12-01T00:00:00"/>
    <x v="0"/>
    <x v="1"/>
  </r>
  <r>
    <x v="2"/>
    <x v="0"/>
    <s v="Januari"/>
    <s v="Division_A"/>
    <x v="9"/>
    <n v="2006"/>
    <n v="8"/>
    <s v="TM-Utama"/>
    <n v="25"/>
    <n v="3154"/>
    <s v="126.2"/>
    <x v="1"/>
    <n v="1.446"/>
    <n v="36144.800000000003"/>
    <n v="36.145000000000003"/>
    <d v="2014-01-01T00:00:00"/>
    <x v="0"/>
    <x v="1"/>
  </r>
  <r>
    <x v="2"/>
    <x v="1"/>
    <s v="Februari"/>
    <s v="Division_A"/>
    <x v="9"/>
    <n v="2006"/>
    <n v="8"/>
    <s v="TM-Utama"/>
    <n v="25"/>
    <n v="3154"/>
    <s v="126.2"/>
    <x v="1"/>
    <n v="1.3380000000000001"/>
    <n v="33448.199999999997"/>
    <n v="33.448"/>
    <d v="2014-02-01T00:00:00"/>
    <x v="0"/>
    <x v="1"/>
  </r>
  <r>
    <x v="2"/>
    <x v="2"/>
    <s v="Maret"/>
    <s v="Division_A"/>
    <x v="9"/>
    <n v="2006"/>
    <n v="8"/>
    <s v="TM-Utama"/>
    <n v="25"/>
    <n v="3154"/>
    <s v="126.2"/>
    <x v="1"/>
    <n v="1.375"/>
    <n v="34370.699999999997"/>
    <n v="34.371000000000002"/>
    <d v="2014-03-01T00:00:00"/>
    <x v="0"/>
    <x v="1"/>
  </r>
  <r>
    <x v="2"/>
    <x v="3"/>
    <s v="April"/>
    <s v="Division_A"/>
    <x v="9"/>
    <n v="2006"/>
    <n v="8"/>
    <s v="TM-Utama"/>
    <n v="25"/>
    <n v="3154"/>
    <s v="126.2"/>
    <x v="1"/>
    <n v="1.732"/>
    <n v="43288.7"/>
    <n v="43.289000000000001"/>
    <d v="2014-04-01T00:00:00"/>
    <x v="0"/>
    <x v="1"/>
  </r>
  <r>
    <x v="2"/>
    <x v="4"/>
    <s v="Mei"/>
    <s v="Division_A"/>
    <x v="9"/>
    <n v="2006"/>
    <n v="8"/>
    <s v="TM-Utama"/>
    <n v="25"/>
    <n v="3154"/>
    <s v="126.2"/>
    <x v="1"/>
    <n v="1.81"/>
    <n v="45252"/>
    <n v="45.252000000000002"/>
    <d v="2014-05-01T00:00:00"/>
    <x v="0"/>
    <x v="1"/>
  </r>
  <r>
    <x v="2"/>
    <x v="5"/>
    <s v="Juni"/>
    <s v="Division_A"/>
    <x v="9"/>
    <n v="2006"/>
    <n v="8"/>
    <s v="TM-Utama"/>
    <n v="25"/>
    <n v="3154"/>
    <s v="126.2"/>
    <x v="1"/>
    <n v="1.4019999999999999"/>
    <n v="35056.699999999997"/>
    <n v="35.057000000000002"/>
    <d v="2014-06-01T00:00:00"/>
    <x v="0"/>
    <x v="1"/>
  </r>
  <r>
    <x v="2"/>
    <x v="6"/>
    <s v="Juli"/>
    <s v="Division_A"/>
    <x v="9"/>
    <n v="2006"/>
    <n v="8"/>
    <s v="TM-Utama"/>
    <n v="25"/>
    <n v="3154"/>
    <s v="126.2"/>
    <x v="1"/>
    <n v="2.0960000000000001"/>
    <n v="52395.8"/>
    <n v="52.396000000000001"/>
    <d v="2014-07-01T00:00:00"/>
    <x v="0"/>
    <x v="1"/>
  </r>
  <r>
    <x v="2"/>
    <x v="7"/>
    <s v="Agustus"/>
    <s v="Division_A"/>
    <x v="9"/>
    <n v="2006"/>
    <n v="8"/>
    <s v="TM-Utama"/>
    <n v="25"/>
    <n v="3154"/>
    <s v="126.2"/>
    <x v="1"/>
    <n v="2.1739999999999999"/>
    <n v="54359.199999999997"/>
    <n v="54.359000000000002"/>
    <d v="2014-08-01T00:00:00"/>
    <x v="0"/>
    <x v="1"/>
  </r>
  <r>
    <x v="2"/>
    <x v="8"/>
    <s v="September"/>
    <s v="Division_A"/>
    <x v="9"/>
    <n v="2006"/>
    <n v="8"/>
    <s v="TM-Utama"/>
    <n v="25"/>
    <n v="3154"/>
    <s v="126.2"/>
    <x v="1"/>
    <n v="1.7589999999999999"/>
    <n v="43974.6"/>
    <n v="43.975000000000001"/>
    <d v="2014-09-01T00:00:00"/>
    <x v="0"/>
    <x v="1"/>
  </r>
  <r>
    <x v="2"/>
    <x v="9"/>
    <s v="Oktober"/>
    <s v="Division_A"/>
    <x v="9"/>
    <n v="2006"/>
    <n v="8"/>
    <s v="TM-Utama"/>
    <n v="25"/>
    <n v="3154"/>
    <s v="126.2"/>
    <x v="1"/>
    <n v="1.431"/>
    <n v="35766.400000000001"/>
    <n v="35.765999999999998"/>
    <d v="2014-10-01T00:00:00"/>
    <x v="0"/>
    <x v="1"/>
  </r>
  <r>
    <x v="2"/>
    <x v="10"/>
    <s v="November"/>
    <s v="Division_A"/>
    <x v="9"/>
    <n v="2006"/>
    <n v="8"/>
    <s v="TM-Utama"/>
    <n v="25"/>
    <n v="3154"/>
    <s v="126.2"/>
    <x v="1"/>
    <n v="1.4550000000000001"/>
    <n v="36381.4"/>
    <n v="36.381"/>
    <d v="2014-11-01T00:00:00"/>
    <x v="0"/>
    <x v="1"/>
  </r>
  <r>
    <x v="2"/>
    <x v="11"/>
    <s v="Desember"/>
    <s v="Division_A"/>
    <x v="9"/>
    <n v="2006"/>
    <n v="8"/>
    <s v="TM-Utama"/>
    <n v="25"/>
    <n v="3154"/>
    <s v="126.2"/>
    <x v="1"/>
    <n v="1.3580000000000001"/>
    <n v="33944.9"/>
    <n v="33.945"/>
    <d v="2014-12-01T00:00:00"/>
    <x v="0"/>
    <x v="1"/>
  </r>
  <r>
    <x v="2"/>
    <x v="0"/>
    <s v="Januari"/>
    <s v="Division_A"/>
    <x v="10"/>
    <n v="2006"/>
    <n v="8"/>
    <s v="TM-Utama"/>
    <n v="35"/>
    <n v="4204"/>
    <s v="120.1"/>
    <x v="1"/>
    <n v="1.377"/>
    <n v="48177.8"/>
    <n v="48.177999999999997"/>
    <d v="2014-01-01T00:00:00"/>
    <x v="0"/>
    <x v="1"/>
  </r>
  <r>
    <x v="2"/>
    <x v="1"/>
    <s v="Februari"/>
    <s v="Division_A"/>
    <x v="10"/>
    <n v="2006"/>
    <n v="8"/>
    <s v="TM-Utama"/>
    <n v="35"/>
    <n v="4204"/>
    <s v="120.1"/>
    <x v="1"/>
    <n v="1.274"/>
    <n v="44583.4"/>
    <n v="44.582999999999998"/>
    <d v="2014-02-01T00:00:00"/>
    <x v="0"/>
    <x v="1"/>
  </r>
  <r>
    <x v="2"/>
    <x v="2"/>
    <s v="Maret"/>
    <s v="Division_A"/>
    <x v="10"/>
    <n v="2006"/>
    <n v="8"/>
    <s v="TM-Utama"/>
    <n v="35"/>
    <n v="4204"/>
    <s v="120.1"/>
    <x v="1"/>
    <n v="1.3089999999999999"/>
    <n v="45813.1"/>
    <n v="45.813000000000002"/>
    <d v="2014-03-01T00:00:00"/>
    <x v="0"/>
    <x v="1"/>
  </r>
  <r>
    <x v="2"/>
    <x v="3"/>
    <s v="April"/>
    <s v="Division_A"/>
    <x v="10"/>
    <n v="2006"/>
    <n v="8"/>
    <s v="TM-Utama"/>
    <n v="35"/>
    <n v="4204"/>
    <s v="120.1"/>
    <x v="1"/>
    <n v="1.649"/>
    <n v="57699.9"/>
    <n v="57.7"/>
    <d v="2014-04-01T00:00:00"/>
    <x v="0"/>
    <x v="1"/>
  </r>
  <r>
    <x v="2"/>
    <x v="4"/>
    <s v="Mei"/>
    <s v="Division_A"/>
    <x v="10"/>
    <n v="2006"/>
    <n v="8"/>
    <s v="TM-Utama"/>
    <n v="35"/>
    <n v="4204"/>
    <s v="120.1"/>
    <x v="1"/>
    <n v="1.7230000000000001"/>
    <n v="60316.9"/>
    <n v="60.317"/>
    <d v="2014-05-01T00:00:00"/>
    <x v="0"/>
    <x v="1"/>
  </r>
  <r>
    <x v="2"/>
    <x v="5"/>
    <s v="Juni"/>
    <s v="Division_A"/>
    <x v="10"/>
    <n v="2006"/>
    <n v="8"/>
    <s v="TM-Utama"/>
    <n v="35"/>
    <n v="4204"/>
    <s v="120.1"/>
    <x v="1"/>
    <n v="1.335"/>
    <n v="46727.5"/>
    <n v="46.726999999999997"/>
    <d v="2014-06-01T00:00:00"/>
    <x v="0"/>
    <x v="1"/>
  </r>
  <r>
    <x v="2"/>
    <x v="6"/>
    <s v="Juli"/>
    <s v="Division_A"/>
    <x v="10"/>
    <n v="2006"/>
    <n v="8"/>
    <s v="TM-Utama"/>
    <n v="35"/>
    <n v="4204"/>
    <s v="120.1"/>
    <x v="1"/>
    <n v="1.9950000000000001"/>
    <n v="69838.899999999994"/>
    <n v="69.838999999999999"/>
    <d v="2014-07-01T00:00:00"/>
    <x v="0"/>
    <x v="1"/>
  </r>
  <r>
    <x v="2"/>
    <x v="7"/>
    <s v="Agustus"/>
    <s v="Division_A"/>
    <x v="10"/>
    <n v="2006"/>
    <n v="8"/>
    <s v="TM-Utama"/>
    <n v="35"/>
    <n v="4204"/>
    <s v="120.1"/>
    <x v="1"/>
    <n v="2.0699999999999998"/>
    <n v="72455.899999999994"/>
    <n v="72.456000000000003"/>
    <d v="2014-08-01T00:00:00"/>
    <x v="0"/>
    <x v="1"/>
  </r>
  <r>
    <x v="2"/>
    <x v="8"/>
    <s v="September"/>
    <s v="Division_A"/>
    <x v="10"/>
    <n v="2006"/>
    <n v="8"/>
    <s v="TM-Utama"/>
    <n v="35"/>
    <n v="4204"/>
    <s v="120.1"/>
    <x v="1"/>
    <n v="1.675"/>
    <n v="58614.3"/>
    <n v="58.613999999999997"/>
    <d v="2014-09-01T00:00:00"/>
    <x v="0"/>
    <x v="1"/>
  </r>
  <r>
    <x v="2"/>
    <x v="9"/>
    <s v="Oktober"/>
    <s v="Division_A"/>
    <x v="10"/>
    <n v="2006"/>
    <n v="8"/>
    <s v="TM-Utama"/>
    <n v="35"/>
    <n v="4204"/>
    <s v="120.1"/>
    <x v="1"/>
    <n v="1.3620000000000001"/>
    <n v="47673.4"/>
    <n v="47.673000000000002"/>
    <d v="2014-10-01T00:00:00"/>
    <x v="0"/>
    <x v="1"/>
  </r>
  <r>
    <x v="2"/>
    <x v="10"/>
    <s v="November"/>
    <s v="Division_A"/>
    <x v="10"/>
    <n v="2006"/>
    <n v="8"/>
    <s v="TM-Utama"/>
    <n v="35"/>
    <n v="4204"/>
    <s v="120.1"/>
    <x v="1"/>
    <n v="1.3859999999999999"/>
    <n v="48493.1"/>
    <n v="48.493000000000002"/>
    <d v="2014-11-01T00:00:00"/>
    <x v="0"/>
    <x v="1"/>
  </r>
  <r>
    <x v="2"/>
    <x v="11"/>
    <s v="Desember"/>
    <s v="Division_A"/>
    <x v="10"/>
    <n v="2006"/>
    <n v="8"/>
    <s v="TM-Utama"/>
    <n v="35"/>
    <n v="4204"/>
    <s v="120.1"/>
    <x v="1"/>
    <n v="1.2929999999999999"/>
    <n v="45245.5"/>
    <n v="45.246000000000002"/>
    <d v="2014-12-01T00:00:00"/>
    <x v="0"/>
    <x v="1"/>
  </r>
  <r>
    <x v="2"/>
    <x v="0"/>
    <s v="Januari"/>
    <s v="Division_A"/>
    <x v="11"/>
    <n v="2012"/>
    <n v="2"/>
    <s v="TBM"/>
    <n v="10"/>
    <n v="1434"/>
    <s v="143.4"/>
    <x v="1"/>
    <n v="0"/>
    <n v="0"/>
    <n v="0"/>
    <d v="2014-01-01T00:00:00"/>
    <x v="1"/>
    <x v="2"/>
  </r>
  <r>
    <x v="2"/>
    <x v="1"/>
    <s v="Februari"/>
    <s v="Division_A"/>
    <x v="11"/>
    <n v="2012"/>
    <n v="2"/>
    <s v="TBM"/>
    <n v="10"/>
    <n v="1434"/>
    <s v="143.4"/>
    <x v="1"/>
    <n v="0"/>
    <n v="0"/>
    <n v="0"/>
    <d v="2014-02-01T00:00:00"/>
    <x v="1"/>
    <x v="2"/>
  </r>
  <r>
    <x v="2"/>
    <x v="2"/>
    <s v="Maret"/>
    <s v="Division_A"/>
    <x v="11"/>
    <n v="2012"/>
    <n v="2"/>
    <s v="TBM"/>
    <n v="10"/>
    <n v="1434"/>
    <s v="143.4"/>
    <x v="1"/>
    <n v="0"/>
    <n v="0"/>
    <n v="0"/>
    <d v="2014-03-01T00:00:00"/>
    <x v="1"/>
    <x v="2"/>
  </r>
  <r>
    <x v="2"/>
    <x v="3"/>
    <s v="April"/>
    <s v="Division_A"/>
    <x v="11"/>
    <n v="2012"/>
    <n v="2"/>
    <s v="TBM"/>
    <n v="10"/>
    <n v="1434"/>
    <s v="143.4"/>
    <x v="1"/>
    <n v="0"/>
    <n v="0"/>
    <n v="0"/>
    <d v="2014-04-01T00:00:00"/>
    <x v="1"/>
    <x v="2"/>
  </r>
  <r>
    <x v="2"/>
    <x v="4"/>
    <s v="Mei"/>
    <s v="Division_A"/>
    <x v="11"/>
    <n v="2012"/>
    <n v="2"/>
    <s v="TBM"/>
    <n v="10"/>
    <n v="1434"/>
    <s v="143.4"/>
    <x v="1"/>
    <n v="0"/>
    <n v="0"/>
    <n v="0"/>
    <d v="2014-05-01T00:00:00"/>
    <x v="1"/>
    <x v="2"/>
  </r>
  <r>
    <x v="2"/>
    <x v="5"/>
    <s v="Juni"/>
    <s v="Division_A"/>
    <x v="11"/>
    <n v="2012"/>
    <n v="2"/>
    <s v="TBM"/>
    <n v="10"/>
    <n v="1434"/>
    <s v="143.4"/>
    <x v="1"/>
    <n v="0"/>
    <n v="0"/>
    <n v="0"/>
    <d v="2014-06-01T00:00:00"/>
    <x v="1"/>
    <x v="2"/>
  </r>
  <r>
    <x v="2"/>
    <x v="6"/>
    <s v="Juli"/>
    <s v="Division_A"/>
    <x v="11"/>
    <n v="2012"/>
    <n v="2"/>
    <s v="TBM"/>
    <n v="10"/>
    <n v="1434"/>
    <s v="143.4"/>
    <x v="1"/>
    <n v="0"/>
    <n v="0"/>
    <n v="0"/>
    <d v="2014-07-01T00:00:00"/>
    <x v="1"/>
    <x v="2"/>
  </r>
  <r>
    <x v="2"/>
    <x v="7"/>
    <s v="Agustus"/>
    <s v="Division_A"/>
    <x v="11"/>
    <n v="2012"/>
    <n v="2"/>
    <s v="TBM"/>
    <n v="10"/>
    <n v="1434"/>
    <s v="143.4"/>
    <x v="1"/>
    <n v="0"/>
    <n v="0"/>
    <n v="0"/>
    <d v="2014-08-01T00:00:00"/>
    <x v="1"/>
    <x v="2"/>
  </r>
  <r>
    <x v="2"/>
    <x v="8"/>
    <s v="September"/>
    <s v="Division_A"/>
    <x v="11"/>
    <n v="2012"/>
    <n v="2"/>
    <s v="TBM"/>
    <n v="10"/>
    <n v="1434"/>
    <s v="143.4"/>
    <x v="1"/>
    <n v="0"/>
    <n v="0"/>
    <n v="0"/>
    <d v="2014-09-01T00:00:00"/>
    <x v="1"/>
    <x v="2"/>
  </r>
  <r>
    <x v="2"/>
    <x v="9"/>
    <s v="Oktober"/>
    <s v="Division_A"/>
    <x v="11"/>
    <n v="2012"/>
    <n v="2"/>
    <s v="TBM"/>
    <n v="10"/>
    <n v="1434"/>
    <s v="143.4"/>
    <x v="1"/>
    <n v="0"/>
    <n v="0"/>
    <n v="0"/>
    <d v="2014-10-01T00:00:00"/>
    <x v="1"/>
    <x v="2"/>
  </r>
  <r>
    <x v="2"/>
    <x v="10"/>
    <s v="November"/>
    <s v="Division_A"/>
    <x v="11"/>
    <n v="2012"/>
    <n v="2"/>
    <s v="TBM"/>
    <n v="10"/>
    <n v="1434"/>
    <s v="143.4"/>
    <x v="1"/>
    <n v="0"/>
    <n v="0"/>
    <n v="0"/>
    <d v="2014-11-01T00:00:00"/>
    <x v="1"/>
    <x v="2"/>
  </r>
  <r>
    <x v="2"/>
    <x v="11"/>
    <s v="Desember"/>
    <s v="Division_A"/>
    <x v="11"/>
    <n v="2012"/>
    <n v="2"/>
    <s v="TBM"/>
    <n v="10"/>
    <n v="1434"/>
    <s v="143.4"/>
    <x v="1"/>
    <n v="0"/>
    <n v="0"/>
    <n v="0"/>
    <d v="2014-12-01T00:00:00"/>
    <x v="1"/>
    <x v="2"/>
  </r>
  <r>
    <x v="2"/>
    <x v="0"/>
    <s v="Januari"/>
    <s v="Division_A"/>
    <x v="12"/>
    <n v="2012"/>
    <n v="2"/>
    <s v="TBM"/>
    <n v="24"/>
    <n v="3074"/>
    <s v="128.1"/>
    <x v="2"/>
    <n v="0"/>
    <n v="0"/>
    <n v="0"/>
    <d v="2014-01-01T00:00:00"/>
    <x v="1"/>
    <x v="2"/>
  </r>
  <r>
    <x v="2"/>
    <x v="1"/>
    <s v="Februari"/>
    <s v="Division_A"/>
    <x v="12"/>
    <n v="2012"/>
    <n v="2"/>
    <s v="TBM"/>
    <n v="24"/>
    <n v="3074"/>
    <s v="128.1"/>
    <x v="2"/>
    <n v="0"/>
    <n v="0"/>
    <n v="0"/>
    <d v="2014-02-01T00:00:00"/>
    <x v="1"/>
    <x v="2"/>
  </r>
  <r>
    <x v="2"/>
    <x v="2"/>
    <s v="Maret"/>
    <s v="Division_A"/>
    <x v="12"/>
    <n v="2012"/>
    <n v="2"/>
    <s v="TBM"/>
    <n v="24"/>
    <n v="3074"/>
    <s v="128.1"/>
    <x v="2"/>
    <n v="0"/>
    <n v="0"/>
    <n v="0"/>
    <d v="2014-03-01T00:00:00"/>
    <x v="1"/>
    <x v="2"/>
  </r>
  <r>
    <x v="2"/>
    <x v="3"/>
    <s v="April"/>
    <s v="Division_A"/>
    <x v="12"/>
    <n v="2012"/>
    <n v="2"/>
    <s v="TBM"/>
    <n v="24"/>
    <n v="3074"/>
    <s v="128.1"/>
    <x v="2"/>
    <n v="0"/>
    <n v="0"/>
    <n v="0"/>
    <d v="2014-04-01T00:00:00"/>
    <x v="1"/>
    <x v="2"/>
  </r>
  <r>
    <x v="2"/>
    <x v="4"/>
    <s v="Mei"/>
    <s v="Division_A"/>
    <x v="12"/>
    <n v="2012"/>
    <n v="2"/>
    <s v="TBM"/>
    <n v="24"/>
    <n v="3074"/>
    <s v="128.1"/>
    <x v="2"/>
    <n v="0"/>
    <n v="0"/>
    <n v="0"/>
    <d v="2014-05-01T00:00:00"/>
    <x v="1"/>
    <x v="2"/>
  </r>
  <r>
    <x v="2"/>
    <x v="5"/>
    <s v="Juni"/>
    <s v="Division_A"/>
    <x v="12"/>
    <n v="2012"/>
    <n v="2"/>
    <s v="TBM"/>
    <n v="24"/>
    <n v="3074"/>
    <s v="128.1"/>
    <x v="2"/>
    <n v="0"/>
    <n v="0"/>
    <n v="0"/>
    <d v="2014-06-01T00:00:00"/>
    <x v="1"/>
    <x v="2"/>
  </r>
  <r>
    <x v="2"/>
    <x v="6"/>
    <s v="Juli"/>
    <s v="Division_A"/>
    <x v="12"/>
    <n v="2012"/>
    <n v="2"/>
    <s v="TBM"/>
    <n v="24"/>
    <n v="3074"/>
    <s v="128.1"/>
    <x v="2"/>
    <n v="0"/>
    <n v="0"/>
    <n v="0"/>
    <d v="2014-07-01T00:00:00"/>
    <x v="1"/>
    <x v="2"/>
  </r>
  <r>
    <x v="2"/>
    <x v="7"/>
    <s v="Agustus"/>
    <s v="Division_A"/>
    <x v="12"/>
    <n v="2012"/>
    <n v="2"/>
    <s v="TBM"/>
    <n v="24"/>
    <n v="3074"/>
    <s v="128.1"/>
    <x v="2"/>
    <n v="0"/>
    <n v="0"/>
    <n v="0"/>
    <d v="2014-08-01T00:00:00"/>
    <x v="1"/>
    <x v="2"/>
  </r>
  <r>
    <x v="2"/>
    <x v="8"/>
    <s v="September"/>
    <s v="Division_A"/>
    <x v="12"/>
    <n v="2012"/>
    <n v="2"/>
    <s v="TBM"/>
    <n v="24"/>
    <n v="3074"/>
    <s v="128.1"/>
    <x v="2"/>
    <n v="0"/>
    <n v="0"/>
    <n v="0"/>
    <d v="2014-09-01T00:00:00"/>
    <x v="1"/>
    <x v="2"/>
  </r>
  <r>
    <x v="2"/>
    <x v="9"/>
    <s v="Oktober"/>
    <s v="Division_A"/>
    <x v="12"/>
    <n v="2012"/>
    <n v="2"/>
    <s v="TBM"/>
    <n v="24"/>
    <n v="3074"/>
    <s v="128.1"/>
    <x v="2"/>
    <n v="0"/>
    <n v="0"/>
    <n v="0"/>
    <d v="2014-10-01T00:00:00"/>
    <x v="1"/>
    <x v="2"/>
  </r>
  <r>
    <x v="2"/>
    <x v="10"/>
    <s v="November"/>
    <s v="Division_A"/>
    <x v="12"/>
    <n v="2012"/>
    <n v="2"/>
    <s v="TBM"/>
    <n v="24"/>
    <n v="3074"/>
    <s v="128.1"/>
    <x v="2"/>
    <n v="0"/>
    <n v="0"/>
    <n v="0"/>
    <d v="2014-11-01T00:00:00"/>
    <x v="1"/>
    <x v="2"/>
  </r>
  <r>
    <x v="2"/>
    <x v="11"/>
    <s v="Desember"/>
    <s v="Division_A"/>
    <x v="12"/>
    <n v="2012"/>
    <n v="2"/>
    <s v="TBM"/>
    <n v="24"/>
    <n v="3074"/>
    <s v="128.1"/>
    <x v="2"/>
    <n v="0"/>
    <n v="0"/>
    <n v="0"/>
    <d v="2014-12-01T00:00:00"/>
    <x v="1"/>
    <x v="2"/>
  </r>
  <r>
    <x v="2"/>
    <x v="0"/>
    <s v="Januari"/>
    <s v="Division_A"/>
    <x v="13"/>
    <n v="2012"/>
    <n v="2"/>
    <s v="TBM"/>
    <n v="19"/>
    <n v="2418"/>
    <s v="127.3"/>
    <x v="2"/>
    <n v="0"/>
    <n v="0"/>
    <n v="0"/>
    <d v="2014-01-01T00:00:00"/>
    <x v="1"/>
    <x v="2"/>
  </r>
  <r>
    <x v="2"/>
    <x v="1"/>
    <s v="Februari"/>
    <s v="Division_A"/>
    <x v="13"/>
    <n v="2012"/>
    <n v="2"/>
    <s v="TBM"/>
    <n v="19"/>
    <n v="2418"/>
    <s v="127.3"/>
    <x v="2"/>
    <n v="0"/>
    <n v="0"/>
    <n v="0"/>
    <d v="2014-02-01T00:00:00"/>
    <x v="1"/>
    <x v="2"/>
  </r>
  <r>
    <x v="2"/>
    <x v="2"/>
    <s v="Maret"/>
    <s v="Division_A"/>
    <x v="13"/>
    <n v="2012"/>
    <n v="2"/>
    <s v="TBM"/>
    <n v="19"/>
    <n v="2418"/>
    <s v="127.3"/>
    <x v="2"/>
    <n v="0"/>
    <n v="0"/>
    <n v="0"/>
    <d v="2014-03-01T00:00:00"/>
    <x v="1"/>
    <x v="2"/>
  </r>
  <r>
    <x v="2"/>
    <x v="3"/>
    <s v="April"/>
    <s v="Division_A"/>
    <x v="13"/>
    <n v="2012"/>
    <n v="2"/>
    <s v="TBM"/>
    <n v="19"/>
    <n v="2418"/>
    <s v="127.3"/>
    <x v="2"/>
    <n v="0"/>
    <n v="0"/>
    <n v="0"/>
    <d v="2014-04-01T00:00:00"/>
    <x v="1"/>
    <x v="2"/>
  </r>
  <r>
    <x v="2"/>
    <x v="4"/>
    <s v="Mei"/>
    <s v="Division_A"/>
    <x v="13"/>
    <n v="2012"/>
    <n v="2"/>
    <s v="TBM"/>
    <n v="19"/>
    <n v="2418"/>
    <s v="127.3"/>
    <x v="2"/>
    <n v="0"/>
    <n v="0"/>
    <n v="0"/>
    <d v="2014-05-01T00:00:00"/>
    <x v="1"/>
    <x v="2"/>
  </r>
  <r>
    <x v="2"/>
    <x v="5"/>
    <s v="Juni"/>
    <s v="Division_A"/>
    <x v="13"/>
    <n v="2012"/>
    <n v="2"/>
    <s v="TBM"/>
    <n v="19"/>
    <n v="2418"/>
    <s v="127.3"/>
    <x v="2"/>
    <n v="0"/>
    <n v="0"/>
    <n v="0"/>
    <d v="2014-06-01T00:00:00"/>
    <x v="1"/>
    <x v="2"/>
  </r>
  <r>
    <x v="2"/>
    <x v="6"/>
    <s v="Juli"/>
    <s v="Division_A"/>
    <x v="13"/>
    <n v="2012"/>
    <n v="2"/>
    <s v="TBM"/>
    <n v="19"/>
    <n v="2418"/>
    <s v="127.3"/>
    <x v="2"/>
    <n v="0"/>
    <n v="0"/>
    <n v="0"/>
    <d v="2014-07-01T00:00:00"/>
    <x v="1"/>
    <x v="2"/>
  </r>
  <r>
    <x v="2"/>
    <x v="7"/>
    <s v="Agustus"/>
    <s v="Division_A"/>
    <x v="13"/>
    <n v="2012"/>
    <n v="2"/>
    <s v="TBM"/>
    <n v="19"/>
    <n v="2418"/>
    <s v="127.3"/>
    <x v="2"/>
    <n v="0"/>
    <n v="0"/>
    <n v="0"/>
    <d v="2014-08-01T00:00:00"/>
    <x v="1"/>
    <x v="2"/>
  </r>
  <r>
    <x v="2"/>
    <x v="8"/>
    <s v="September"/>
    <s v="Division_A"/>
    <x v="13"/>
    <n v="2012"/>
    <n v="2"/>
    <s v="TBM"/>
    <n v="19"/>
    <n v="2418"/>
    <s v="127.3"/>
    <x v="2"/>
    <n v="0"/>
    <n v="0"/>
    <n v="0"/>
    <d v="2014-09-01T00:00:00"/>
    <x v="1"/>
    <x v="2"/>
  </r>
  <r>
    <x v="2"/>
    <x v="9"/>
    <s v="Oktober"/>
    <s v="Division_A"/>
    <x v="13"/>
    <n v="2012"/>
    <n v="2"/>
    <s v="TBM"/>
    <n v="19"/>
    <n v="2418"/>
    <s v="127.3"/>
    <x v="2"/>
    <n v="0"/>
    <n v="0"/>
    <n v="0"/>
    <d v="2014-10-01T00:00:00"/>
    <x v="1"/>
    <x v="2"/>
  </r>
  <r>
    <x v="2"/>
    <x v="10"/>
    <s v="November"/>
    <s v="Division_A"/>
    <x v="13"/>
    <n v="2012"/>
    <n v="2"/>
    <s v="TBM"/>
    <n v="19"/>
    <n v="2418"/>
    <s v="127.3"/>
    <x v="2"/>
    <n v="0"/>
    <n v="0"/>
    <n v="0"/>
    <d v="2014-11-01T00:00:00"/>
    <x v="1"/>
    <x v="2"/>
  </r>
  <r>
    <x v="2"/>
    <x v="11"/>
    <s v="Desember"/>
    <s v="Division_A"/>
    <x v="13"/>
    <n v="2012"/>
    <n v="2"/>
    <s v="TBM"/>
    <n v="19"/>
    <n v="2418"/>
    <s v="127.3"/>
    <x v="2"/>
    <n v="0"/>
    <n v="0"/>
    <n v="0"/>
    <d v="2014-12-01T00:00:00"/>
    <x v="1"/>
    <x v="2"/>
  </r>
  <r>
    <x v="2"/>
    <x v="0"/>
    <s v="Januari"/>
    <s v="Division_A"/>
    <x v="14"/>
    <n v="2012"/>
    <n v="2"/>
    <s v="TBM"/>
    <n v="25"/>
    <n v="3205"/>
    <s v="128.2"/>
    <x v="2"/>
    <n v="0"/>
    <n v="0"/>
    <n v="0"/>
    <d v="2014-01-01T00:00:00"/>
    <x v="1"/>
    <x v="2"/>
  </r>
  <r>
    <x v="2"/>
    <x v="1"/>
    <s v="Februari"/>
    <s v="Division_A"/>
    <x v="14"/>
    <n v="2012"/>
    <n v="2"/>
    <s v="TBM"/>
    <n v="25"/>
    <n v="3205"/>
    <s v="128.2"/>
    <x v="2"/>
    <n v="0"/>
    <n v="0"/>
    <n v="0"/>
    <d v="2014-02-01T00:00:00"/>
    <x v="1"/>
    <x v="2"/>
  </r>
  <r>
    <x v="2"/>
    <x v="2"/>
    <s v="Maret"/>
    <s v="Division_A"/>
    <x v="14"/>
    <n v="2012"/>
    <n v="2"/>
    <s v="TBM"/>
    <n v="25"/>
    <n v="3205"/>
    <s v="128.2"/>
    <x v="2"/>
    <n v="0"/>
    <n v="0"/>
    <n v="0"/>
    <d v="2014-03-01T00:00:00"/>
    <x v="1"/>
    <x v="2"/>
  </r>
  <r>
    <x v="2"/>
    <x v="3"/>
    <s v="April"/>
    <s v="Division_A"/>
    <x v="14"/>
    <n v="2012"/>
    <n v="2"/>
    <s v="TBM"/>
    <n v="25"/>
    <n v="3205"/>
    <s v="128.2"/>
    <x v="2"/>
    <n v="0"/>
    <n v="0"/>
    <n v="0"/>
    <d v="2014-04-01T00:00:00"/>
    <x v="1"/>
    <x v="2"/>
  </r>
  <r>
    <x v="2"/>
    <x v="4"/>
    <s v="Mei"/>
    <s v="Division_A"/>
    <x v="14"/>
    <n v="2012"/>
    <n v="2"/>
    <s v="TBM"/>
    <n v="25"/>
    <n v="3205"/>
    <s v="128.2"/>
    <x v="2"/>
    <n v="0"/>
    <n v="0"/>
    <n v="0"/>
    <d v="2014-05-01T00:00:00"/>
    <x v="1"/>
    <x v="2"/>
  </r>
  <r>
    <x v="2"/>
    <x v="5"/>
    <s v="Juni"/>
    <s v="Division_A"/>
    <x v="14"/>
    <n v="2012"/>
    <n v="2"/>
    <s v="TBM"/>
    <n v="25"/>
    <n v="3205"/>
    <s v="128.2"/>
    <x v="2"/>
    <n v="0"/>
    <n v="0"/>
    <n v="0"/>
    <d v="2014-06-01T00:00:00"/>
    <x v="1"/>
    <x v="2"/>
  </r>
  <r>
    <x v="2"/>
    <x v="6"/>
    <s v="Juli"/>
    <s v="Division_A"/>
    <x v="14"/>
    <n v="2012"/>
    <n v="2"/>
    <s v="TBM"/>
    <n v="25"/>
    <n v="3205"/>
    <s v="128.2"/>
    <x v="2"/>
    <n v="0"/>
    <n v="0"/>
    <n v="0"/>
    <d v="2014-07-01T00:00:00"/>
    <x v="1"/>
    <x v="2"/>
  </r>
  <r>
    <x v="2"/>
    <x v="7"/>
    <s v="Agustus"/>
    <s v="Division_A"/>
    <x v="14"/>
    <n v="2012"/>
    <n v="2"/>
    <s v="TBM"/>
    <n v="25"/>
    <n v="3205"/>
    <s v="128.2"/>
    <x v="2"/>
    <n v="0"/>
    <n v="0"/>
    <n v="0"/>
    <d v="2014-08-01T00:00:00"/>
    <x v="1"/>
    <x v="2"/>
  </r>
  <r>
    <x v="2"/>
    <x v="8"/>
    <s v="September"/>
    <s v="Division_A"/>
    <x v="14"/>
    <n v="2012"/>
    <n v="2"/>
    <s v="TBM"/>
    <n v="25"/>
    <n v="3205"/>
    <s v="128.2"/>
    <x v="2"/>
    <n v="0"/>
    <n v="0"/>
    <n v="0"/>
    <d v="2014-09-01T00:00:00"/>
    <x v="1"/>
    <x v="2"/>
  </r>
  <r>
    <x v="2"/>
    <x v="9"/>
    <s v="Oktober"/>
    <s v="Division_A"/>
    <x v="14"/>
    <n v="2012"/>
    <n v="2"/>
    <s v="TBM"/>
    <n v="25"/>
    <n v="3205"/>
    <s v="128.2"/>
    <x v="2"/>
    <n v="0"/>
    <n v="0"/>
    <n v="0"/>
    <d v="2014-10-01T00:00:00"/>
    <x v="1"/>
    <x v="2"/>
  </r>
  <r>
    <x v="2"/>
    <x v="10"/>
    <s v="November"/>
    <s v="Division_A"/>
    <x v="14"/>
    <n v="2012"/>
    <n v="2"/>
    <s v="TBM"/>
    <n v="25"/>
    <n v="3205"/>
    <s v="128.2"/>
    <x v="2"/>
    <n v="0"/>
    <n v="0"/>
    <n v="0"/>
    <d v="2014-11-01T00:00:00"/>
    <x v="1"/>
    <x v="2"/>
  </r>
  <r>
    <x v="2"/>
    <x v="11"/>
    <s v="Desember"/>
    <s v="Division_A"/>
    <x v="14"/>
    <n v="2012"/>
    <n v="2"/>
    <s v="TBM"/>
    <n v="25"/>
    <n v="3205"/>
    <s v="128.2"/>
    <x v="2"/>
    <n v="0"/>
    <n v="0"/>
    <n v="0"/>
    <d v="2014-12-01T00:00:00"/>
    <x v="1"/>
    <x v="2"/>
  </r>
  <r>
    <x v="2"/>
    <x v="0"/>
    <s v="Januari"/>
    <s v="Division_A"/>
    <x v="15"/>
    <n v="2012"/>
    <n v="2"/>
    <s v="TBM"/>
    <n v="19"/>
    <n v="2469"/>
    <s v="129.9"/>
    <x v="1"/>
    <n v="0"/>
    <n v="0"/>
    <n v="0"/>
    <d v="2014-01-01T00:00:00"/>
    <x v="1"/>
    <x v="2"/>
  </r>
  <r>
    <x v="2"/>
    <x v="1"/>
    <s v="Februari"/>
    <s v="Division_A"/>
    <x v="15"/>
    <n v="2012"/>
    <n v="2"/>
    <s v="TBM"/>
    <n v="19"/>
    <n v="2469"/>
    <s v="129.9"/>
    <x v="1"/>
    <n v="0"/>
    <n v="0"/>
    <n v="0"/>
    <d v="2014-02-01T00:00:00"/>
    <x v="1"/>
    <x v="2"/>
  </r>
  <r>
    <x v="2"/>
    <x v="2"/>
    <s v="Maret"/>
    <s v="Division_A"/>
    <x v="15"/>
    <n v="2012"/>
    <n v="2"/>
    <s v="TBM"/>
    <n v="19"/>
    <n v="2469"/>
    <s v="129.9"/>
    <x v="1"/>
    <n v="0"/>
    <n v="0"/>
    <n v="0"/>
    <d v="2014-03-01T00:00:00"/>
    <x v="1"/>
    <x v="2"/>
  </r>
  <r>
    <x v="2"/>
    <x v="3"/>
    <s v="April"/>
    <s v="Division_A"/>
    <x v="15"/>
    <n v="2012"/>
    <n v="2"/>
    <s v="TBM"/>
    <n v="19"/>
    <n v="2469"/>
    <s v="129.9"/>
    <x v="1"/>
    <n v="0"/>
    <n v="0"/>
    <n v="0"/>
    <d v="2014-04-01T00:00:00"/>
    <x v="1"/>
    <x v="2"/>
  </r>
  <r>
    <x v="2"/>
    <x v="4"/>
    <s v="Mei"/>
    <s v="Division_A"/>
    <x v="15"/>
    <n v="2012"/>
    <n v="2"/>
    <s v="TBM"/>
    <n v="19"/>
    <n v="2469"/>
    <s v="129.9"/>
    <x v="1"/>
    <n v="0"/>
    <n v="0"/>
    <n v="0"/>
    <d v="2014-05-01T00:00:00"/>
    <x v="1"/>
    <x v="2"/>
  </r>
  <r>
    <x v="2"/>
    <x v="5"/>
    <s v="Juni"/>
    <s v="Division_A"/>
    <x v="15"/>
    <n v="2012"/>
    <n v="2"/>
    <s v="TBM"/>
    <n v="19"/>
    <n v="2469"/>
    <s v="129.9"/>
    <x v="1"/>
    <n v="0"/>
    <n v="0"/>
    <n v="0"/>
    <d v="2014-06-01T00:00:00"/>
    <x v="1"/>
    <x v="2"/>
  </r>
  <r>
    <x v="2"/>
    <x v="6"/>
    <s v="Juli"/>
    <s v="Division_A"/>
    <x v="15"/>
    <n v="2012"/>
    <n v="2"/>
    <s v="TBM"/>
    <n v="19"/>
    <n v="2469"/>
    <s v="129.9"/>
    <x v="1"/>
    <n v="0"/>
    <n v="0"/>
    <n v="0"/>
    <d v="2014-07-01T00:00:00"/>
    <x v="1"/>
    <x v="2"/>
  </r>
  <r>
    <x v="2"/>
    <x v="7"/>
    <s v="Agustus"/>
    <s v="Division_A"/>
    <x v="15"/>
    <n v="2012"/>
    <n v="2"/>
    <s v="TBM"/>
    <n v="19"/>
    <n v="2469"/>
    <s v="129.9"/>
    <x v="1"/>
    <n v="0"/>
    <n v="0"/>
    <n v="0"/>
    <d v="2014-08-01T00:00:00"/>
    <x v="1"/>
    <x v="2"/>
  </r>
  <r>
    <x v="2"/>
    <x v="8"/>
    <s v="September"/>
    <s v="Division_A"/>
    <x v="15"/>
    <n v="2012"/>
    <n v="2"/>
    <s v="TBM"/>
    <n v="19"/>
    <n v="2469"/>
    <s v="129.9"/>
    <x v="1"/>
    <n v="0"/>
    <n v="0"/>
    <n v="0"/>
    <d v="2014-09-01T00:00:00"/>
    <x v="1"/>
    <x v="2"/>
  </r>
  <r>
    <x v="2"/>
    <x v="9"/>
    <s v="Oktober"/>
    <s v="Division_A"/>
    <x v="15"/>
    <n v="2012"/>
    <n v="2"/>
    <s v="TBM"/>
    <n v="19"/>
    <n v="2469"/>
    <s v="129.9"/>
    <x v="1"/>
    <n v="0"/>
    <n v="0"/>
    <n v="0"/>
    <d v="2014-10-01T00:00:00"/>
    <x v="1"/>
    <x v="2"/>
  </r>
  <r>
    <x v="2"/>
    <x v="10"/>
    <s v="November"/>
    <s v="Division_A"/>
    <x v="15"/>
    <n v="2012"/>
    <n v="2"/>
    <s v="TBM"/>
    <n v="19"/>
    <n v="2469"/>
    <s v="129.9"/>
    <x v="1"/>
    <n v="0"/>
    <n v="0"/>
    <n v="0"/>
    <d v="2014-11-01T00:00:00"/>
    <x v="1"/>
    <x v="2"/>
  </r>
  <r>
    <x v="2"/>
    <x v="11"/>
    <s v="Desember"/>
    <s v="Division_A"/>
    <x v="15"/>
    <n v="2012"/>
    <n v="2"/>
    <s v="TBM"/>
    <n v="19"/>
    <n v="2469"/>
    <s v="129.9"/>
    <x v="1"/>
    <n v="0"/>
    <n v="0"/>
    <n v="0"/>
    <d v="2014-12-01T00:00:00"/>
    <x v="1"/>
    <x v="2"/>
  </r>
  <r>
    <x v="2"/>
    <x v="0"/>
    <s v="Januari"/>
    <s v="Division_A"/>
    <x v="16"/>
    <n v="2012"/>
    <n v="2"/>
    <s v="TBM"/>
    <n v="20"/>
    <n v="2704"/>
    <s v="135.2"/>
    <x v="2"/>
    <n v="0"/>
    <n v="0"/>
    <n v="0"/>
    <d v="2014-01-01T00:00:00"/>
    <x v="1"/>
    <x v="2"/>
  </r>
  <r>
    <x v="2"/>
    <x v="1"/>
    <s v="Februari"/>
    <s v="Division_A"/>
    <x v="16"/>
    <n v="2012"/>
    <n v="2"/>
    <s v="TBM"/>
    <n v="20"/>
    <n v="2704"/>
    <s v="135.2"/>
    <x v="2"/>
    <n v="0"/>
    <n v="0"/>
    <n v="0"/>
    <d v="2014-02-01T00:00:00"/>
    <x v="1"/>
    <x v="2"/>
  </r>
  <r>
    <x v="2"/>
    <x v="2"/>
    <s v="Maret"/>
    <s v="Division_A"/>
    <x v="16"/>
    <n v="2012"/>
    <n v="2"/>
    <s v="TBM"/>
    <n v="20"/>
    <n v="2704"/>
    <s v="135.2"/>
    <x v="2"/>
    <n v="0"/>
    <n v="0"/>
    <n v="0"/>
    <d v="2014-03-01T00:00:00"/>
    <x v="1"/>
    <x v="2"/>
  </r>
  <r>
    <x v="2"/>
    <x v="3"/>
    <s v="April"/>
    <s v="Division_A"/>
    <x v="16"/>
    <n v="2012"/>
    <n v="2"/>
    <s v="TBM"/>
    <n v="20"/>
    <n v="2704"/>
    <s v="135.2"/>
    <x v="2"/>
    <n v="0"/>
    <n v="0"/>
    <n v="0"/>
    <d v="2014-04-01T00:00:00"/>
    <x v="1"/>
    <x v="2"/>
  </r>
  <r>
    <x v="2"/>
    <x v="4"/>
    <s v="Mei"/>
    <s v="Division_A"/>
    <x v="16"/>
    <n v="2012"/>
    <n v="2"/>
    <s v="TBM"/>
    <n v="20"/>
    <n v="2704"/>
    <s v="135.2"/>
    <x v="2"/>
    <n v="0"/>
    <n v="0"/>
    <n v="0"/>
    <d v="2014-05-01T00:00:00"/>
    <x v="1"/>
    <x v="2"/>
  </r>
  <r>
    <x v="2"/>
    <x v="5"/>
    <s v="Juni"/>
    <s v="Division_A"/>
    <x v="16"/>
    <n v="2012"/>
    <n v="2"/>
    <s v="TBM"/>
    <n v="20"/>
    <n v="2704"/>
    <s v="135.2"/>
    <x v="2"/>
    <n v="0"/>
    <n v="0"/>
    <n v="0"/>
    <d v="2014-06-01T00:00:00"/>
    <x v="1"/>
    <x v="2"/>
  </r>
  <r>
    <x v="2"/>
    <x v="6"/>
    <s v="Juli"/>
    <s v="Division_A"/>
    <x v="16"/>
    <n v="2012"/>
    <n v="2"/>
    <s v="TBM"/>
    <n v="20"/>
    <n v="2704"/>
    <s v="135.2"/>
    <x v="2"/>
    <n v="0"/>
    <n v="0"/>
    <n v="0"/>
    <d v="2014-07-01T00:00:00"/>
    <x v="1"/>
    <x v="2"/>
  </r>
  <r>
    <x v="2"/>
    <x v="7"/>
    <s v="Agustus"/>
    <s v="Division_A"/>
    <x v="16"/>
    <n v="2012"/>
    <n v="2"/>
    <s v="TBM"/>
    <n v="20"/>
    <n v="2704"/>
    <s v="135.2"/>
    <x v="2"/>
    <n v="0"/>
    <n v="0"/>
    <n v="0"/>
    <d v="2014-08-01T00:00:00"/>
    <x v="1"/>
    <x v="2"/>
  </r>
  <r>
    <x v="2"/>
    <x v="8"/>
    <s v="September"/>
    <s v="Division_A"/>
    <x v="16"/>
    <n v="2012"/>
    <n v="2"/>
    <s v="TBM"/>
    <n v="20"/>
    <n v="2704"/>
    <s v="135.2"/>
    <x v="2"/>
    <n v="0"/>
    <n v="0"/>
    <n v="0"/>
    <d v="2014-09-01T00:00:00"/>
    <x v="1"/>
    <x v="2"/>
  </r>
  <r>
    <x v="2"/>
    <x v="9"/>
    <s v="Oktober"/>
    <s v="Division_A"/>
    <x v="16"/>
    <n v="2012"/>
    <n v="2"/>
    <s v="TBM"/>
    <n v="20"/>
    <n v="2704"/>
    <s v="135.2"/>
    <x v="2"/>
    <n v="0"/>
    <n v="0"/>
    <n v="0"/>
    <d v="2014-10-01T00:00:00"/>
    <x v="1"/>
    <x v="2"/>
  </r>
  <r>
    <x v="2"/>
    <x v="10"/>
    <s v="November"/>
    <s v="Division_A"/>
    <x v="16"/>
    <n v="2012"/>
    <n v="2"/>
    <s v="TBM"/>
    <n v="20"/>
    <n v="2704"/>
    <s v="135.2"/>
    <x v="2"/>
    <n v="0"/>
    <n v="0"/>
    <n v="0"/>
    <d v="2014-11-01T00:00:00"/>
    <x v="1"/>
    <x v="2"/>
  </r>
  <r>
    <x v="2"/>
    <x v="11"/>
    <s v="Desember"/>
    <s v="Division_A"/>
    <x v="16"/>
    <n v="2012"/>
    <n v="2"/>
    <s v="TBM"/>
    <n v="20"/>
    <n v="2704"/>
    <s v="135.2"/>
    <x v="2"/>
    <n v="0"/>
    <n v="0"/>
    <n v="0"/>
    <d v="2014-12-01T00:00:00"/>
    <x v="1"/>
    <x v="2"/>
  </r>
  <r>
    <x v="2"/>
    <x v="0"/>
    <s v="Januari"/>
    <s v="Division_A"/>
    <x v="17"/>
    <n v="2012"/>
    <n v="2"/>
    <s v="TBM"/>
    <n v="14"/>
    <n v="1833"/>
    <s v="130.9"/>
    <x v="2"/>
    <n v="0"/>
    <n v="0"/>
    <n v="0"/>
    <d v="2014-01-01T00:00:00"/>
    <x v="1"/>
    <x v="2"/>
  </r>
  <r>
    <x v="2"/>
    <x v="1"/>
    <s v="Februari"/>
    <s v="Division_A"/>
    <x v="17"/>
    <n v="2012"/>
    <n v="2"/>
    <s v="TBM"/>
    <n v="14"/>
    <n v="1833"/>
    <s v="130.9"/>
    <x v="2"/>
    <n v="0"/>
    <n v="0"/>
    <n v="0"/>
    <d v="2014-02-01T00:00:00"/>
    <x v="1"/>
    <x v="2"/>
  </r>
  <r>
    <x v="2"/>
    <x v="2"/>
    <s v="Maret"/>
    <s v="Division_A"/>
    <x v="17"/>
    <n v="2012"/>
    <n v="2"/>
    <s v="TBM"/>
    <n v="14"/>
    <n v="1833"/>
    <s v="130.9"/>
    <x v="2"/>
    <n v="0"/>
    <n v="0"/>
    <n v="0"/>
    <d v="2014-03-01T00:00:00"/>
    <x v="1"/>
    <x v="2"/>
  </r>
  <r>
    <x v="2"/>
    <x v="3"/>
    <s v="April"/>
    <s v="Division_A"/>
    <x v="17"/>
    <n v="2012"/>
    <n v="2"/>
    <s v="TBM"/>
    <n v="14"/>
    <n v="1833"/>
    <s v="130.9"/>
    <x v="2"/>
    <n v="0"/>
    <n v="0"/>
    <n v="0"/>
    <d v="2014-04-01T00:00:00"/>
    <x v="1"/>
    <x v="2"/>
  </r>
  <r>
    <x v="2"/>
    <x v="4"/>
    <s v="Mei"/>
    <s v="Division_A"/>
    <x v="17"/>
    <n v="2012"/>
    <n v="2"/>
    <s v="TBM"/>
    <n v="14"/>
    <n v="1833"/>
    <s v="130.9"/>
    <x v="2"/>
    <n v="0"/>
    <n v="0"/>
    <n v="0"/>
    <d v="2014-05-01T00:00:00"/>
    <x v="1"/>
    <x v="2"/>
  </r>
  <r>
    <x v="2"/>
    <x v="5"/>
    <s v="Juni"/>
    <s v="Division_A"/>
    <x v="17"/>
    <n v="2012"/>
    <n v="2"/>
    <s v="TBM"/>
    <n v="14"/>
    <n v="1833"/>
    <s v="130.9"/>
    <x v="2"/>
    <n v="0"/>
    <n v="0"/>
    <n v="0"/>
    <d v="2014-06-01T00:00:00"/>
    <x v="1"/>
    <x v="2"/>
  </r>
  <r>
    <x v="2"/>
    <x v="6"/>
    <s v="Juli"/>
    <s v="Division_A"/>
    <x v="17"/>
    <n v="2012"/>
    <n v="2"/>
    <s v="TBM"/>
    <n v="14"/>
    <n v="1833"/>
    <s v="130.9"/>
    <x v="2"/>
    <n v="0"/>
    <n v="0"/>
    <n v="0"/>
    <d v="2014-07-01T00:00:00"/>
    <x v="1"/>
    <x v="2"/>
  </r>
  <r>
    <x v="2"/>
    <x v="7"/>
    <s v="Agustus"/>
    <s v="Division_A"/>
    <x v="17"/>
    <n v="2012"/>
    <n v="2"/>
    <s v="TBM"/>
    <n v="14"/>
    <n v="1833"/>
    <s v="130.9"/>
    <x v="2"/>
    <n v="0"/>
    <n v="0"/>
    <n v="0"/>
    <d v="2014-08-01T00:00:00"/>
    <x v="1"/>
    <x v="2"/>
  </r>
  <r>
    <x v="2"/>
    <x v="8"/>
    <s v="September"/>
    <s v="Division_A"/>
    <x v="17"/>
    <n v="2012"/>
    <n v="2"/>
    <s v="TBM"/>
    <n v="14"/>
    <n v="1833"/>
    <s v="130.9"/>
    <x v="2"/>
    <n v="0"/>
    <n v="0"/>
    <n v="0"/>
    <d v="2014-09-01T00:00:00"/>
    <x v="1"/>
    <x v="2"/>
  </r>
  <r>
    <x v="2"/>
    <x v="9"/>
    <s v="Oktober"/>
    <s v="Division_A"/>
    <x v="17"/>
    <n v="2012"/>
    <n v="2"/>
    <s v="TBM"/>
    <n v="14"/>
    <n v="1833"/>
    <s v="130.9"/>
    <x v="2"/>
    <n v="0"/>
    <n v="0"/>
    <n v="0"/>
    <d v="2014-10-01T00:00:00"/>
    <x v="1"/>
    <x v="2"/>
  </r>
  <r>
    <x v="2"/>
    <x v="10"/>
    <s v="November"/>
    <s v="Division_A"/>
    <x v="17"/>
    <n v="2012"/>
    <n v="2"/>
    <s v="TBM"/>
    <n v="14"/>
    <n v="1833"/>
    <s v="130.9"/>
    <x v="2"/>
    <n v="0"/>
    <n v="0"/>
    <n v="0"/>
    <d v="2014-11-01T00:00:00"/>
    <x v="1"/>
    <x v="2"/>
  </r>
  <r>
    <x v="2"/>
    <x v="11"/>
    <s v="Desember"/>
    <s v="Division_A"/>
    <x v="17"/>
    <n v="2012"/>
    <n v="2"/>
    <s v="TBM"/>
    <n v="14"/>
    <n v="1833"/>
    <s v="130.9"/>
    <x v="2"/>
    <n v="0"/>
    <n v="0"/>
    <n v="0"/>
    <d v="2014-12-01T00:00:00"/>
    <x v="1"/>
    <x v="2"/>
  </r>
  <r>
    <x v="2"/>
    <x v="0"/>
    <s v="Januari"/>
    <s v="Division_A"/>
    <x v="18"/>
    <n v="2012"/>
    <n v="2"/>
    <s v="TBM"/>
    <n v="20"/>
    <n v="1990"/>
    <s v="99.5"/>
    <x v="2"/>
    <n v="0"/>
    <n v="0"/>
    <n v="0"/>
    <d v="2014-01-01T00:00:00"/>
    <x v="1"/>
    <x v="2"/>
  </r>
  <r>
    <x v="2"/>
    <x v="1"/>
    <s v="Februari"/>
    <s v="Division_A"/>
    <x v="18"/>
    <n v="2012"/>
    <n v="2"/>
    <s v="TBM"/>
    <n v="20"/>
    <n v="1990"/>
    <s v="99.5"/>
    <x v="2"/>
    <n v="0"/>
    <n v="0"/>
    <n v="0"/>
    <d v="2014-02-01T00:00:00"/>
    <x v="1"/>
    <x v="2"/>
  </r>
  <r>
    <x v="2"/>
    <x v="2"/>
    <s v="Maret"/>
    <s v="Division_A"/>
    <x v="18"/>
    <n v="2012"/>
    <n v="2"/>
    <s v="TBM"/>
    <n v="20"/>
    <n v="1990"/>
    <s v="99.5"/>
    <x v="2"/>
    <n v="0"/>
    <n v="0"/>
    <n v="0"/>
    <d v="2014-03-01T00:00:00"/>
    <x v="1"/>
    <x v="2"/>
  </r>
  <r>
    <x v="2"/>
    <x v="3"/>
    <s v="April"/>
    <s v="Division_A"/>
    <x v="18"/>
    <n v="2012"/>
    <n v="2"/>
    <s v="TBM"/>
    <n v="20"/>
    <n v="1990"/>
    <s v="99.5"/>
    <x v="2"/>
    <n v="0"/>
    <n v="0"/>
    <n v="0"/>
    <d v="2014-04-01T00:00:00"/>
    <x v="1"/>
    <x v="2"/>
  </r>
  <r>
    <x v="2"/>
    <x v="4"/>
    <s v="Mei"/>
    <s v="Division_A"/>
    <x v="18"/>
    <n v="2012"/>
    <n v="2"/>
    <s v="TBM"/>
    <n v="20"/>
    <n v="1990"/>
    <s v="99.5"/>
    <x v="2"/>
    <n v="0"/>
    <n v="0"/>
    <n v="0"/>
    <d v="2014-05-01T00:00:00"/>
    <x v="1"/>
    <x v="2"/>
  </r>
  <r>
    <x v="2"/>
    <x v="5"/>
    <s v="Juni"/>
    <s v="Division_A"/>
    <x v="18"/>
    <n v="2012"/>
    <n v="2"/>
    <s v="TBM"/>
    <n v="20"/>
    <n v="1990"/>
    <s v="99.5"/>
    <x v="2"/>
    <n v="0"/>
    <n v="0"/>
    <n v="0"/>
    <d v="2014-06-01T00:00:00"/>
    <x v="1"/>
    <x v="2"/>
  </r>
  <r>
    <x v="2"/>
    <x v="6"/>
    <s v="Juli"/>
    <s v="Division_A"/>
    <x v="18"/>
    <n v="2012"/>
    <n v="2"/>
    <s v="TBM"/>
    <n v="20"/>
    <n v="1990"/>
    <s v="99.5"/>
    <x v="2"/>
    <n v="0"/>
    <n v="0"/>
    <n v="0"/>
    <d v="2014-07-01T00:00:00"/>
    <x v="1"/>
    <x v="2"/>
  </r>
  <r>
    <x v="2"/>
    <x v="7"/>
    <s v="Agustus"/>
    <s v="Division_A"/>
    <x v="18"/>
    <n v="2012"/>
    <n v="2"/>
    <s v="TBM"/>
    <n v="20"/>
    <n v="1990"/>
    <s v="99.5"/>
    <x v="2"/>
    <n v="0"/>
    <n v="0"/>
    <n v="0"/>
    <d v="2014-08-01T00:00:00"/>
    <x v="1"/>
    <x v="2"/>
  </r>
  <r>
    <x v="2"/>
    <x v="8"/>
    <s v="September"/>
    <s v="Division_A"/>
    <x v="18"/>
    <n v="2012"/>
    <n v="2"/>
    <s v="TBM"/>
    <n v="20"/>
    <n v="1990"/>
    <s v="99.5"/>
    <x v="2"/>
    <n v="0"/>
    <n v="0"/>
    <n v="0"/>
    <d v="2014-09-01T00:00:00"/>
    <x v="1"/>
    <x v="2"/>
  </r>
  <r>
    <x v="2"/>
    <x v="9"/>
    <s v="Oktober"/>
    <s v="Division_A"/>
    <x v="18"/>
    <n v="2012"/>
    <n v="2"/>
    <s v="TBM"/>
    <n v="20"/>
    <n v="1990"/>
    <s v="99.5"/>
    <x v="2"/>
    <n v="0"/>
    <n v="0"/>
    <n v="0"/>
    <d v="2014-10-01T00:00:00"/>
    <x v="1"/>
    <x v="2"/>
  </r>
  <r>
    <x v="2"/>
    <x v="10"/>
    <s v="November"/>
    <s v="Division_A"/>
    <x v="18"/>
    <n v="2012"/>
    <n v="2"/>
    <s v="TBM"/>
    <n v="20"/>
    <n v="1990"/>
    <s v="99.5"/>
    <x v="2"/>
    <n v="0"/>
    <n v="0"/>
    <n v="0"/>
    <d v="2014-11-01T00:00:00"/>
    <x v="1"/>
    <x v="2"/>
  </r>
  <r>
    <x v="2"/>
    <x v="11"/>
    <s v="Desember"/>
    <s v="Division_A"/>
    <x v="18"/>
    <n v="2012"/>
    <n v="2"/>
    <s v="TBM"/>
    <n v="20"/>
    <n v="1990"/>
    <s v="99.5"/>
    <x v="2"/>
    <n v="0"/>
    <n v="0"/>
    <n v="0"/>
    <d v="2014-12-01T00:00:00"/>
    <x v="1"/>
    <x v="2"/>
  </r>
  <r>
    <x v="2"/>
    <x v="0"/>
    <s v="Januari"/>
    <s v="Division_A"/>
    <x v="19"/>
    <n v="2012"/>
    <n v="2"/>
    <s v="TBM"/>
    <n v="22"/>
    <n v="2606"/>
    <s v="118.5"/>
    <x v="2"/>
    <n v="0"/>
    <n v="0"/>
    <n v="0"/>
    <d v="2014-01-01T00:00:00"/>
    <x v="1"/>
    <x v="2"/>
  </r>
  <r>
    <x v="2"/>
    <x v="1"/>
    <s v="Februari"/>
    <s v="Division_A"/>
    <x v="19"/>
    <n v="2012"/>
    <n v="2"/>
    <s v="TBM"/>
    <n v="22"/>
    <n v="2606"/>
    <s v="118.5"/>
    <x v="2"/>
    <n v="0"/>
    <n v="0"/>
    <n v="0"/>
    <d v="2014-02-01T00:00:00"/>
    <x v="1"/>
    <x v="2"/>
  </r>
  <r>
    <x v="2"/>
    <x v="2"/>
    <s v="Maret"/>
    <s v="Division_A"/>
    <x v="19"/>
    <n v="2012"/>
    <n v="2"/>
    <s v="TBM"/>
    <n v="22"/>
    <n v="2606"/>
    <s v="118.5"/>
    <x v="2"/>
    <n v="0"/>
    <n v="0"/>
    <n v="0"/>
    <d v="2014-03-01T00:00:00"/>
    <x v="1"/>
    <x v="2"/>
  </r>
  <r>
    <x v="2"/>
    <x v="3"/>
    <s v="April"/>
    <s v="Division_A"/>
    <x v="19"/>
    <n v="2012"/>
    <n v="2"/>
    <s v="TBM"/>
    <n v="22"/>
    <n v="2606"/>
    <s v="118.5"/>
    <x v="2"/>
    <n v="0"/>
    <n v="0"/>
    <n v="0"/>
    <d v="2014-04-01T00:00:00"/>
    <x v="1"/>
    <x v="2"/>
  </r>
  <r>
    <x v="2"/>
    <x v="4"/>
    <s v="Mei"/>
    <s v="Division_A"/>
    <x v="19"/>
    <n v="2012"/>
    <n v="2"/>
    <s v="TBM"/>
    <n v="22"/>
    <n v="2606"/>
    <s v="118.5"/>
    <x v="2"/>
    <n v="0"/>
    <n v="0"/>
    <n v="0"/>
    <d v="2014-05-01T00:00:00"/>
    <x v="1"/>
    <x v="2"/>
  </r>
  <r>
    <x v="2"/>
    <x v="5"/>
    <s v="Juni"/>
    <s v="Division_A"/>
    <x v="19"/>
    <n v="2012"/>
    <n v="2"/>
    <s v="TBM"/>
    <n v="22"/>
    <n v="2606"/>
    <s v="118.5"/>
    <x v="2"/>
    <n v="0"/>
    <n v="0"/>
    <n v="0"/>
    <d v="2014-06-01T00:00:00"/>
    <x v="1"/>
    <x v="2"/>
  </r>
  <r>
    <x v="2"/>
    <x v="6"/>
    <s v="Juli"/>
    <s v="Division_A"/>
    <x v="19"/>
    <n v="2012"/>
    <n v="2"/>
    <s v="TBM"/>
    <n v="22"/>
    <n v="2606"/>
    <s v="118.5"/>
    <x v="2"/>
    <n v="0"/>
    <n v="0"/>
    <n v="0"/>
    <d v="2014-07-01T00:00:00"/>
    <x v="1"/>
    <x v="2"/>
  </r>
  <r>
    <x v="2"/>
    <x v="7"/>
    <s v="Agustus"/>
    <s v="Division_A"/>
    <x v="19"/>
    <n v="2012"/>
    <n v="2"/>
    <s v="TBM"/>
    <n v="22"/>
    <n v="2606"/>
    <s v="118.5"/>
    <x v="2"/>
    <n v="0"/>
    <n v="0"/>
    <n v="0"/>
    <d v="2014-08-01T00:00:00"/>
    <x v="1"/>
    <x v="2"/>
  </r>
  <r>
    <x v="2"/>
    <x v="8"/>
    <s v="September"/>
    <s v="Division_A"/>
    <x v="19"/>
    <n v="2012"/>
    <n v="2"/>
    <s v="TBM"/>
    <n v="22"/>
    <n v="2606"/>
    <s v="118.5"/>
    <x v="2"/>
    <n v="0"/>
    <n v="0"/>
    <n v="0"/>
    <d v="2014-09-01T00:00:00"/>
    <x v="1"/>
    <x v="2"/>
  </r>
  <r>
    <x v="2"/>
    <x v="9"/>
    <s v="Oktober"/>
    <s v="Division_A"/>
    <x v="19"/>
    <n v="2012"/>
    <n v="2"/>
    <s v="TBM"/>
    <n v="22"/>
    <n v="2606"/>
    <s v="118.5"/>
    <x v="2"/>
    <n v="0"/>
    <n v="0"/>
    <n v="0"/>
    <d v="2014-10-01T00:00:00"/>
    <x v="1"/>
    <x v="2"/>
  </r>
  <r>
    <x v="2"/>
    <x v="10"/>
    <s v="November"/>
    <s v="Division_A"/>
    <x v="19"/>
    <n v="2012"/>
    <n v="2"/>
    <s v="TBM"/>
    <n v="22"/>
    <n v="2606"/>
    <s v="118.5"/>
    <x v="2"/>
    <n v="0"/>
    <n v="0"/>
    <n v="0"/>
    <d v="2014-11-01T00:00:00"/>
    <x v="1"/>
    <x v="2"/>
  </r>
  <r>
    <x v="2"/>
    <x v="11"/>
    <s v="Desember"/>
    <s v="Division_A"/>
    <x v="19"/>
    <n v="2012"/>
    <n v="2"/>
    <s v="TBM"/>
    <n v="22"/>
    <n v="2606"/>
    <s v="118.5"/>
    <x v="2"/>
    <n v="0"/>
    <n v="0"/>
    <n v="0"/>
    <d v="2014-12-01T00:00:00"/>
    <x v="1"/>
    <x v="2"/>
  </r>
  <r>
    <x v="2"/>
    <x v="0"/>
    <s v="Januari"/>
    <s v="Division_A"/>
    <x v="20"/>
    <n v="2012"/>
    <n v="2"/>
    <s v="TBM"/>
    <n v="22"/>
    <n v="2683"/>
    <s v="122"/>
    <x v="1"/>
    <n v="0"/>
    <n v="0"/>
    <n v="0"/>
    <d v="2014-01-01T00:00:00"/>
    <x v="1"/>
    <x v="2"/>
  </r>
  <r>
    <x v="2"/>
    <x v="1"/>
    <s v="Februari"/>
    <s v="Division_A"/>
    <x v="20"/>
    <n v="2012"/>
    <n v="2"/>
    <s v="TBM"/>
    <n v="22"/>
    <n v="2683"/>
    <s v="122"/>
    <x v="1"/>
    <n v="0"/>
    <n v="0"/>
    <n v="0"/>
    <d v="2014-02-01T00:00:00"/>
    <x v="1"/>
    <x v="2"/>
  </r>
  <r>
    <x v="2"/>
    <x v="2"/>
    <s v="Maret"/>
    <s v="Division_A"/>
    <x v="20"/>
    <n v="2012"/>
    <n v="2"/>
    <s v="TBM"/>
    <n v="22"/>
    <n v="2683"/>
    <s v="122"/>
    <x v="1"/>
    <n v="0"/>
    <n v="0"/>
    <n v="0"/>
    <d v="2014-03-01T00:00:00"/>
    <x v="1"/>
    <x v="2"/>
  </r>
  <r>
    <x v="2"/>
    <x v="3"/>
    <s v="April"/>
    <s v="Division_A"/>
    <x v="20"/>
    <n v="2012"/>
    <n v="2"/>
    <s v="TBM"/>
    <n v="22"/>
    <n v="2683"/>
    <s v="122"/>
    <x v="1"/>
    <n v="0"/>
    <n v="0"/>
    <n v="0"/>
    <d v="2014-04-01T00:00:00"/>
    <x v="1"/>
    <x v="2"/>
  </r>
  <r>
    <x v="2"/>
    <x v="4"/>
    <s v="Mei"/>
    <s v="Division_A"/>
    <x v="20"/>
    <n v="2012"/>
    <n v="2"/>
    <s v="TBM"/>
    <n v="22"/>
    <n v="2683"/>
    <s v="122"/>
    <x v="1"/>
    <n v="0"/>
    <n v="0"/>
    <n v="0"/>
    <d v="2014-05-01T00:00:00"/>
    <x v="1"/>
    <x v="2"/>
  </r>
  <r>
    <x v="2"/>
    <x v="5"/>
    <s v="Juni"/>
    <s v="Division_A"/>
    <x v="20"/>
    <n v="2012"/>
    <n v="2"/>
    <s v="TBM"/>
    <n v="22"/>
    <n v="2683"/>
    <s v="122"/>
    <x v="1"/>
    <n v="0"/>
    <n v="0"/>
    <n v="0"/>
    <d v="2014-06-01T00:00:00"/>
    <x v="1"/>
    <x v="2"/>
  </r>
  <r>
    <x v="2"/>
    <x v="6"/>
    <s v="Juli"/>
    <s v="Division_A"/>
    <x v="20"/>
    <n v="2012"/>
    <n v="2"/>
    <s v="TBM"/>
    <n v="22"/>
    <n v="2683"/>
    <s v="122"/>
    <x v="1"/>
    <n v="0"/>
    <n v="0"/>
    <n v="0"/>
    <d v="2014-07-01T00:00:00"/>
    <x v="1"/>
    <x v="2"/>
  </r>
  <r>
    <x v="2"/>
    <x v="7"/>
    <s v="Agustus"/>
    <s v="Division_A"/>
    <x v="20"/>
    <n v="2012"/>
    <n v="2"/>
    <s v="TBM"/>
    <n v="22"/>
    <n v="2683"/>
    <s v="122"/>
    <x v="1"/>
    <n v="0"/>
    <n v="0"/>
    <n v="0"/>
    <d v="2014-08-01T00:00:00"/>
    <x v="1"/>
    <x v="2"/>
  </r>
  <r>
    <x v="2"/>
    <x v="8"/>
    <s v="September"/>
    <s v="Division_A"/>
    <x v="20"/>
    <n v="2012"/>
    <n v="2"/>
    <s v="TBM"/>
    <n v="22"/>
    <n v="2683"/>
    <s v="122"/>
    <x v="1"/>
    <n v="0"/>
    <n v="0"/>
    <n v="0"/>
    <d v="2014-09-01T00:00:00"/>
    <x v="1"/>
    <x v="2"/>
  </r>
  <r>
    <x v="2"/>
    <x v="9"/>
    <s v="Oktober"/>
    <s v="Division_A"/>
    <x v="20"/>
    <n v="2012"/>
    <n v="2"/>
    <s v="TBM"/>
    <n v="22"/>
    <n v="2683"/>
    <s v="122"/>
    <x v="1"/>
    <n v="0"/>
    <n v="0"/>
    <n v="0"/>
    <d v="2014-10-01T00:00:00"/>
    <x v="1"/>
    <x v="2"/>
  </r>
  <r>
    <x v="2"/>
    <x v="10"/>
    <s v="November"/>
    <s v="Division_A"/>
    <x v="20"/>
    <n v="2012"/>
    <n v="2"/>
    <s v="TBM"/>
    <n v="22"/>
    <n v="2683"/>
    <s v="122"/>
    <x v="1"/>
    <n v="0"/>
    <n v="0"/>
    <n v="0"/>
    <d v="2014-11-01T00:00:00"/>
    <x v="1"/>
    <x v="2"/>
  </r>
  <r>
    <x v="2"/>
    <x v="11"/>
    <s v="Desember"/>
    <s v="Division_A"/>
    <x v="20"/>
    <n v="2012"/>
    <n v="2"/>
    <s v="TBM"/>
    <n v="22"/>
    <n v="2683"/>
    <s v="122"/>
    <x v="1"/>
    <n v="0"/>
    <n v="0"/>
    <n v="0"/>
    <d v="2014-12-01T00:00:00"/>
    <x v="1"/>
    <x v="2"/>
  </r>
  <r>
    <x v="2"/>
    <x v="0"/>
    <s v="Januari"/>
    <s v="Division_A"/>
    <x v="21"/>
    <n v="2012"/>
    <n v="2"/>
    <s v="TBM"/>
    <n v="28"/>
    <n v="3483"/>
    <s v="124.4"/>
    <x v="1"/>
    <n v="0"/>
    <n v="0"/>
    <n v="0"/>
    <d v="2014-01-01T00:00:00"/>
    <x v="1"/>
    <x v="2"/>
  </r>
  <r>
    <x v="2"/>
    <x v="1"/>
    <s v="Februari"/>
    <s v="Division_A"/>
    <x v="21"/>
    <n v="2012"/>
    <n v="2"/>
    <s v="TBM"/>
    <n v="28"/>
    <n v="3483"/>
    <s v="124.4"/>
    <x v="1"/>
    <n v="0"/>
    <n v="0"/>
    <n v="0"/>
    <d v="2014-02-01T00:00:00"/>
    <x v="1"/>
    <x v="2"/>
  </r>
  <r>
    <x v="2"/>
    <x v="2"/>
    <s v="Maret"/>
    <s v="Division_A"/>
    <x v="21"/>
    <n v="2012"/>
    <n v="2"/>
    <s v="TBM"/>
    <n v="28"/>
    <n v="3483"/>
    <s v="124.4"/>
    <x v="1"/>
    <n v="0"/>
    <n v="0"/>
    <n v="0"/>
    <d v="2014-03-01T00:00:00"/>
    <x v="1"/>
    <x v="2"/>
  </r>
  <r>
    <x v="2"/>
    <x v="3"/>
    <s v="April"/>
    <s v="Division_A"/>
    <x v="21"/>
    <n v="2012"/>
    <n v="2"/>
    <s v="TBM"/>
    <n v="28"/>
    <n v="3483"/>
    <s v="124.4"/>
    <x v="1"/>
    <n v="0"/>
    <n v="0"/>
    <n v="0"/>
    <d v="2014-04-01T00:00:00"/>
    <x v="1"/>
    <x v="2"/>
  </r>
  <r>
    <x v="2"/>
    <x v="4"/>
    <s v="Mei"/>
    <s v="Division_A"/>
    <x v="21"/>
    <n v="2012"/>
    <n v="2"/>
    <s v="TBM"/>
    <n v="28"/>
    <n v="3483"/>
    <s v="124.4"/>
    <x v="1"/>
    <n v="0"/>
    <n v="0"/>
    <n v="0"/>
    <d v="2014-05-01T00:00:00"/>
    <x v="1"/>
    <x v="2"/>
  </r>
  <r>
    <x v="2"/>
    <x v="5"/>
    <s v="Juni"/>
    <s v="Division_A"/>
    <x v="21"/>
    <n v="2012"/>
    <n v="2"/>
    <s v="TBM"/>
    <n v="28"/>
    <n v="3483"/>
    <s v="124.4"/>
    <x v="1"/>
    <n v="0"/>
    <n v="0"/>
    <n v="0"/>
    <d v="2014-06-01T00:00:00"/>
    <x v="1"/>
    <x v="2"/>
  </r>
  <r>
    <x v="2"/>
    <x v="6"/>
    <s v="Juli"/>
    <s v="Division_A"/>
    <x v="21"/>
    <n v="2012"/>
    <n v="2"/>
    <s v="TBM"/>
    <n v="28"/>
    <n v="3483"/>
    <s v="124.4"/>
    <x v="1"/>
    <n v="0"/>
    <n v="0"/>
    <n v="0"/>
    <d v="2014-07-01T00:00:00"/>
    <x v="1"/>
    <x v="2"/>
  </r>
  <r>
    <x v="2"/>
    <x v="7"/>
    <s v="Agustus"/>
    <s v="Division_A"/>
    <x v="21"/>
    <n v="2012"/>
    <n v="2"/>
    <s v="TBM"/>
    <n v="28"/>
    <n v="3483"/>
    <s v="124.4"/>
    <x v="1"/>
    <n v="0"/>
    <n v="0"/>
    <n v="0"/>
    <d v="2014-08-01T00:00:00"/>
    <x v="1"/>
    <x v="2"/>
  </r>
  <r>
    <x v="2"/>
    <x v="8"/>
    <s v="September"/>
    <s v="Division_A"/>
    <x v="21"/>
    <n v="2012"/>
    <n v="2"/>
    <s v="TBM"/>
    <n v="28"/>
    <n v="3483"/>
    <s v="124.4"/>
    <x v="1"/>
    <n v="0"/>
    <n v="0"/>
    <n v="0"/>
    <d v="2014-09-01T00:00:00"/>
    <x v="1"/>
    <x v="2"/>
  </r>
  <r>
    <x v="2"/>
    <x v="9"/>
    <s v="Oktober"/>
    <s v="Division_A"/>
    <x v="21"/>
    <n v="2012"/>
    <n v="2"/>
    <s v="TBM"/>
    <n v="28"/>
    <n v="3483"/>
    <s v="124.4"/>
    <x v="1"/>
    <n v="0"/>
    <n v="0"/>
    <n v="0"/>
    <d v="2014-10-01T00:00:00"/>
    <x v="1"/>
    <x v="2"/>
  </r>
  <r>
    <x v="2"/>
    <x v="10"/>
    <s v="November"/>
    <s v="Division_A"/>
    <x v="21"/>
    <n v="2012"/>
    <n v="2"/>
    <s v="TBM"/>
    <n v="28"/>
    <n v="3483"/>
    <s v="124.4"/>
    <x v="1"/>
    <n v="0"/>
    <n v="0"/>
    <n v="0"/>
    <d v="2014-11-01T00:00:00"/>
    <x v="1"/>
    <x v="2"/>
  </r>
  <r>
    <x v="2"/>
    <x v="11"/>
    <s v="Desember"/>
    <s v="Division_A"/>
    <x v="21"/>
    <n v="2012"/>
    <n v="2"/>
    <s v="TBM"/>
    <n v="28"/>
    <n v="3483"/>
    <s v="124.4"/>
    <x v="1"/>
    <n v="0"/>
    <n v="0"/>
    <n v="0"/>
    <d v="2014-12-01T00:00:00"/>
    <x v="1"/>
    <x v="2"/>
  </r>
  <r>
    <x v="2"/>
    <x v="0"/>
    <s v="Januari"/>
    <s v="Division_A"/>
    <x v="22"/>
    <n v="2013"/>
    <n v="1"/>
    <s v="TBM"/>
    <n v="24"/>
    <n v="2678"/>
    <s v="111.6"/>
    <x v="1"/>
    <n v="0"/>
    <n v="0"/>
    <n v="0"/>
    <d v="2014-01-01T00:00:00"/>
    <x v="1"/>
    <x v="2"/>
  </r>
  <r>
    <x v="2"/>
    <x v="1"/>
    <s v="Februari"/>
    <s v="Division_A"/>
    <x v="22"/>
    <n v="2013"/>
    <n v="1"/>
    <s v="TBM"/>
    <n v="24"/>
    <n v="2678"/>
    <s v="111.6"/>
    <x v="1"/>
    <n v="0"/>
    <n v="0"/>
    <n v="0"/>
    <d v="2014-02-01T00:00:00"/>
    <x v="1"/>
    <x v="2"/>
  </r>
  <r>
    <x v="2"/>
    <x v="2"/>
    <s v="Maret"/>
    <s v="Division_A"/>
    <x v="22"/>
    <n v="2013"/>
    <n v="1"/>
    <s v="TBM"/>
    <n v="24"/>
    <n v="2678"/>
    <s v="111.6"/>
    <x v="1"/>
    <n v="0"/>
    <n v="0"/>
    <n v="0"/>
    <d v="2014-03-01T00:00:00"/>
    <x v="1"/>
    <x v="2"/>
  </r>
  <r>
    <x v="2"/>
    <x v="3"/>
    <s v="April"/>
    <s v="Division_A"/>
    <x v="22"/>
    <n v="2013"/>
    <n v="1"/>
    <s v="TBM"/>
    <n v="24"/>
    <n v="2678"/>
    <s v="111.6"/>
    <x v="1"/>
    <n v="0"/>
    <n v="0"/>
    <n v="0"/>
    <d v="2014-04-01T00:00:00"/>
    <x v="1"/>
    <x v="2"/>
  </r>
  <r>
    <x v="2"/>
    <x v="4"/>
    <s v="Mei"/>
    <s v="Division_A"/>
    <x v="22"/>
    <n v="2013"/>
    <n v="1"/>
    <s v="TBM"/>
    <n v="24"/>
    <n v="2678"/>
    <s v="111.6"/>
    <x v="1"/>
    <n v="0"/>
    <n v="0"/>
    <n v="0"/>
    <d v="2014-05-01T00:00:00"/>
    <x v="1"/>
    <x v="2"/>
  </r>
  <r>
    <x v="2"/>
    <x v="5"/>
    <s v="Juni"/>
    <s v="Division_A"/>
    <x v="22"/>
    <n v="2013"/>
    <n v="1"/>
    <s v="TBM"/>
    <n v="24"/>
    <n v="2678"/>
    <s v="111.6"/>
    <x v="1"/>
    <n v="0"/>
    <n v="0"/>
    <n v="0"/>
    <d v="2014-06-01T00:00:00"/>
    <x v="1"/>
    <x v="2"/>
  </r>
  <r>
    <x v="2"/>
    <x v="6"/>
    <s v="Juli"/>
    <s v="Division_A"/>
    <x v="22"/>
    <n v="2013"/>
    <n v="1"/>
    <s v="TBM"/>
    <n v="24"/>
    <n v="2678"/>
    <s v="111.6"/>
    <x v="1"/>
    <n v="0"/>
    <n v="0"/>
    <n v="0"/>
    <d v="2014-07-01T00:00:00"/>
    <x v="1"/>
    <x v="2"/>
  </r>
  <r>
    <x v="2"/>
    <x v="7"/>
    <s v="Agustus"/>
    <s v="Division_A"/>
    <x v="22"/>
    <n v="2013"/>
    <n v="1"/>
    <s v="TBM"/>
    <n v="24"/>
    <n v="2678"/>
    <s v="111.6"/>
    <x v="1"/>
    <n v="0"/>
    <n v="0"/>
    <n v="0"/>
    <d v="2014-08-01T00:00:00"/>
    <x v="1"/>
    <x v="2"/>
  </r>
  <r>
    <x v="2"/>
    <x v="8"/>
    <s v="September"/>
    <s v="Division_A"/>
    <x v="22"/>
    <n v="2013"/>
    <n v="1"/>
    <s v="TBM"/>
    <n v="24"/>
    <n v="2678"/>
    <s v="111.6"/>
    <x v="1"/>
    <n v="0"/>
    <n v="0"/>
    <n v="0"/>
    <d v="2014-09-01T00:00:00"/>
    <x v="1"/>
    <x v="2"/>
  </r>
  <r>
    <x v="2"/>
    <x v="9"/>
    <s v="Oktober"/>
    <s v="Division_A"/>
    <x v="22"/>
    <n v="2013"/>
    <n v="1"/>
    <s v="TBM"/>
    <n v="24"/>
    <n v="2678"/>
    <s v="111.6"/>
    <x v="1"/>
    <n v="0"/>
    <n v="0"/>
    <n v="0"/>
    <d v="2014-10-01T00:00:00"/>
    <x v="1"/>
    <x v="2"/>
  </r>
  <r>
    <x v="2"/>
    <x v="10"/>
    <s v="November"/>
    <s v="Division_A"/>
    <x v="22"/>
    <n v="2013"/>
    <n v="1"/>
    <s v="TBM"/>
    <n v="24"/>
    <n v="2678"/>
    <s v="111.6"/>
    <x v="1"/>
    <n v="0"/>
    <n v="0"/>
    <n v="0"/>
    <d v="2014-11-01T00:00:00"/>
    <x v="1"/>
    <x v="2"/>
  </r>
  <r>
    <x v="2"/>
    <x v="11"/>
    <s v="Desember"/>
    <s v="Division_A"/>
    <x v="22"/>
    <n v="2013"/>
    <n v="1"/>
    <s v="TBM"/>
    <n v="24"/>
    <n v="2678"/>
    <s v="111.6"/>
    <x v="1"/>
    <n v="0"/>
    <n v="0"/>
    <n v="0"/>
    <d v="2014-12-01T00:00:00"/>
    <x v="1"/>
    <x v="2"/>
  </r>
  <r>
    <x v="2"/>
    <x v="0"/>
    <s v="Januari"/>
    <s v="Division_A"/>
    <x v="23"/>
    <n v="2013"/>
    <n v="1"/>
    <s v="TBM"/>
    <n v="23"/>
    <n v="2683"/>
    <s v="116.7"/>
    <x v="1"/>
    <n v="0"/>
    <n v="0"/>
    <n v="0"/>
    <d v="2014-01-01T00:00:00"/>
    <x v="1"/>
    <x v="2"/>
  </r>
  <r>
    <x v="2"/>
    <x v="1"/>
    <s v="Februari"/>
    <s v="Division_A"/>
    <x v="23"/>
    <n v="2013"/>
    <n v="1"/>
    <s v="TBM"/>
    <n v="23"/>
    <n v="2683"/>
    <s v="116.7"/>
    <x v="1"/>
    <n v="0"/>
    <n v="0"/>
    <n v="0"/>
    <d v="2014-02-01T00:00:00"/>
    <x v="1"/>
    <x v="2"/>
  </r>
  <r>
    <x v="2"/>
    <x v="2"/>
    <s v="Maret"/>
    <s v="Division_A"/>
    <x v="23"/>
    <n v="2013"/>
    <n v="1"/>
    <s v="TBM"/>
    <n v="23"/>
    <n v="2683"/>
    <s v="116.7"/>
    <x v="1"/>
    <n v="0"/>
    <n v="0"/>
    <n v="0"/>
    <d v="2014-03-01T00:00:00"/>
    <x v="1"/>
    <x v="2"/>
  </r>
  <r>
    <x v="2"/>
    <x v="3"/>
    <s v="April"/>
    <s v="Division_A"/>
    <x v="23"/>
    <n v="2013"/>
    <n v="1"/>
    <s v="TBM"/>
    <n v="23"/>
    <n v="2683"/>
    <s v="116.7"/>
    <x v="1"/>
    <n v="0"/>
    <n v="0"/>
    <n v="0"/>
    <d v="2014-04-01T00:00:00"/>
    <x v="1"/>
    <x v="2"/>
  </r>
  <r>
    <x v="2"/>
    <x v="4"/>
    <s v="Mei"/>
    <s v="Division_A"/>
    <x v="23"/>
    <n v="2013"/>
    <n v="1"/>
    <s v="TBM"/>
    <n v="23"/>
    <n v="2683"/>
    <s v="116.7"/>
    <x v="1"/>
    <n v="0"/>
    <n v="0"/>
    <n v="0"/>
    <d v="2014-05-01T00:00:00"/>
    <x v="1"/>
    <x v="2"/>
  </r>
  <r>
    <x v="2"/>
    <x v="5"/>
    <s v="Juni"/>
    <s v="Division_A"/>
    <x v="23"/>
    <n v="2013"/>
    <n v="1"/>
    <s v="TBM"/>
    <n v="23"/>
    <n v="2683"/>
    <s v="116.7"/>
    <x v="1"/>
    <n v="0"/>
    <n v="0"/>
    <n v="0"/>
    <d v="2014-06-01T00:00:00"/>
    <x v="1"/>
    <x v="2"/>
  </r>
  <r>
    <x v="2"/>
    <x v="6"/>
    <s v="Juli"/>
    <s v="Division_A"/>
    <x v="23"/>
    <n v="2013"/>
    <n v="1"/>
    <s v="TBM"/>
    <n v="23"/>
    <n v="2683"/>
    <s v="116.7"/>
    <x v="1"/>
    <n v="0"/>
    <n v="0"/>
    <n v="0"/>
    <d v="2014-07-01T00:00:00"/>
    <x v="1"/>
    <x v="2"/>
  </r>
  <r>
    <x v="2"/>
    <x v="7"/>
    <s v="Agustus"/>
    <s v="Division_A"/>
    <x v="23"/>
    <n v="2013"/>
    <n v="1"/>
    <s v="TBM"/>
    <n v="23"/>
    <n v="2683"/>
    <s v="116.7"/>
    <x v="1"/>
    <n v="0"/>
    <n v="0"/>
    <n v="0"/>
    <d v="2014-08-01T00:00:00"/>
    <x v="1"/>
    <x v="2"/>
  </r>
  <r>
    <x v="2"/>
    <x v="8"/>
    <s v="September"/>
    <s v="Division_A"/>
    <x v="23"/>
    <n v="2013"/>
    <n v="1"/>
    <s v="TBM"/>
    <n v="23"/>
    <n v="2683"/>
    <s v="116.7"/>
    <x v="1"/>
    <n v="0"/>
    <n v="0"/>
    <n v="0"/>
    <d v="2014-09-01T00:00:00"/>
    <x v="1"/>
    <x v="2"/>
  </r>
  <r>
    <x v="2"/>
    <x v="9"/>
    <s v="Oktober"/>
    <s v="Division_A"/>
    <x v="23"/>
    <n v="2013"/>
    <n v="1"/>
    <s v="TBM"/>
    <n v="23"/>
    <n v="2683"/>
    <s v="116.7"/>
    <x v="1"/>
    <n v="0"/>
    <n v="0"/>
    <n v="0"/>
    <d v="2014-10-01T00:00:00"/>
    <x v="1"/>
    <x v="2"/>
  </r>
  <r>
    <x v="2"/>
    <x v="10"/>
    <s v="November"/>
    <s v="Division_A"/>
    <x v="23"/>
    <n v="2013"/>
    <n v="1"/>
    <s v="TBM"/>
    <n v="23"/>
    <n v="2683"/>
    <s v="116.7"/>
    <x v="1"/>
    <n v="0"/>
    <n v="0"/>
    <n v="0"/>
    <d v="2014-11-01T00:00:00"/>
    <x v="1"/>
    <x v="2"/>
  </r>
  <r>
    <x v="2"/>
    <x v="11"/>
    <s v="Desember"/>
    <s v="Division_A"/>
    <x v="23"/>
    <n v="2013"/>
    <n v="1"/>
    <s v="TBM"/>
    <n v="23"/>
    <n v="2683"/>
    <s v="116.7"/>
    <x v="1"/>
    <n v="0"/>
    <n v="0"/>
    <n v="0"/>
    <d v="2014-12-01T00:00:00"/>
    <x v="1"/>
    <x v="2"/>
  </r>
  <r>
    <x v="2"/>
    <x v="0"/>
    <s v="Januari"/>
    <s v="Division_A"/>
    <x v="24"/>
    <n v="2013"/>
    <n v="1"/>
    <s v="TBM"/>
    <n v="24"/>
    <n v="3445"/>
    <s v="143.5"/>
    <x v="1"/>
    <n v="0"/>
    <n v="0"/>
    <n v="0"/>
    <d v="2014-01-01T00:00:00"/>
    <x v="1"/>
    <x v="2"/>
  </r>
  <r>
    <x v="2"/>
    <x v="1"/>
    <s v="Februari"/>
    <s v="Division_A"/>
    <x v="24"/>
    <n v="2013"/>
    <n v="1"/>
    <s v="TBM"/>
    <n v="24"/>
    <n v="3445"/>
    <s v="143.5"/>
    <x v="1"/>
    <n v="0"/>
    <n v="0"/>
    <n v="0"/>
    <d v="2014-02-01T00:00:00"/>
    <x v="1"/>
    <x v="2"/>
  </r>
  <r>
    <x v="2"/>
    <x v="2"/>
    <s v="Maret"/>
    <s v="Division_A"/>
    <x v="24"/>
    <n v="2013"/>
    <n v="1"/>
    <s v="TBM"/>
    <n v="24"/>
    <n v="3445"/>
    <s v="143.5"/>
    <x v="1"/>
    <n v="0"/>
    <n v="0"/>
    <n v="0"/>
    <d v="2014-03-01T00:00:00"/>
    <x v="1"/>
    <x v="2"/>
  </r>
  <r>
    <x v="2"/>
    <x v="3"/>
    <s v="April"/>
    <s v="Division_A"/>
    <x v="24"/>
    <n v="2013"/>
    <n v="1"/>
    <s v="TBM"/>
    <n v="24"/>
    <n v="3445"/>
    <s v="143.5"/>
    <x v="1"/>
    <n v="0"/>
    <n v="0"/>
    <n v="0"/>
    <d v="2014-04-01T00:00:00"/>
    <x v="1"/>
    <x v="2"/>
  </r>
  <r>
    <x v="2"/>
    <x v="4"/>
    <s v="Mei"/>
    <s v="Division_A"/>
    <x v="24"/>
    <n v="2013"/>
    <n v="1"/>
    <s v="TBM"/>
    <n v="24"/>
    <n v="3445"/>
    <s v="143.5"/>
    <x v="1"/>
    <n v="0"/>
    <n v="0"/>
    <n v="0"/>
    <d v="2014-05-01T00:00:00"/>
    <x v="1"/>
    <x v="2"/>
  </r>
  <r>
    <x v="2"/>
    <x v="5"/>
    <s v="Juni"/>
    <s v="Division_A"/>
    <x v="24"/>
    <n v="2013"/>
    <n v="1"/>
    <s v="TBM"/>
    <n v="24"/>
    <n v="3445"/>
    <s v="143.5"/>
    <x v="1"/>
    <n v="0"/>
    <n v="0"/>
    <n v="0"/>
    <d v="2014-06-01T00:00:00"/>
    <x v="1"/>
    <x v="2"/>
  </r>
  <r>
    <x v="2"/>
    <x v="6"/>
    <s v="Juli"/>
    <s v="Division_A"/>
    <x v="24"/>
    <n v="2013"/>
    <n v="1"/>
    <s v="TBM"/>
    <n v="24"/>
    <n v="3445"/>
    <s v="143.5"/>
    <x v="1"/>
    <n v="0"/>
    <n v="0"/>
    <n v="0"/>
    <d v="2014-07-01T00:00:00"/>
    <x v="1"/>
    <x v="2"/>
  </r>
  <r>
    <x v="2"/>
    <x v="7"/>
    <s v="Agustus"/>
    <s v="Division_A"/>
    <x v="24"/>
    <n v="2013"/>
    <n v="1"/>
    <s v="TBM"/>
    <n v="24"/>
    <n v="3445"/>
    <s v="143.5"/>
    <x v="1"/>
    <n v="0"/>
    <n v="0"/>
    <n v="0"/>
    <d v="2014-08-01T00:00:00"/>
    <x v="1"/>
    <x v="2"/>
  </r>
  <r>
    <x v="2"/>
    <x v="8"/>
    <s v="September"/>
    <s v="Division_A"/>
    <x v="24"/>
    <n v="2013"/>
    <n v="1"/>
    <s v="TBM"/>
    <n v="24"/>
    <n v="3445"/>
    <s v="143.5"/>
    <x v="1"/>
    <n v="0"/>
    <n v="0"/>
    <n v="0"/>
    <d v="2014-09-01T00:00:00"/>
    <x v="1"/>
    <x v="2"/>
  </r>
  <r>
    <x v="2"/>
    <x v="9"/>
    <s v="Oktober"/>
    <s v="Division_A"/>
    <x v="24"/>
    <n v="2013"/>
    <n v="1"/>
    <s v="TBM"/>
    <n v="24"/>
    <n v="3445"/>
    <s v="143.5"/>
    <x v="1"/>
    <n v="0"/>
    <n v="0"/>
    <n v="0"/>
    <d v="2014-10-01T00:00:00"/>
    <x v="1"/>
    <x v="2"/>
  </r>
  <r>
    <x v="2"/>
    <x v="10"/>
    <s v="November"/>
    <s v="Division_A"/>
    <x v="24"/>
    <n v="2013"/>
    <n v="1"/>
    <s v="TBM"/>
    <n v="24"/>
    <n v="3445"/>
    <s v="143.5"/>
    <x v="1"/>
    <n v="0"/>
    <n v="0"/>
    <n v="0"/>
    <d v="2014-11-01T00:00:00"/>
    <x v="1"/>
    <x v="2"/>
  </r>
  <r>
    <x v="2"/>
    <x v="11"/>
    <s v="Desember"/>
    <s v="Division_A"/>
    <x v="24"/>
    <n v="2013"/>
    <n v="1"/>
    <s v="TBM"/>
    <n v="24"/>
    <n v="3445"/>
    <s v="143.5"/>
    <x v="1"/>
    <n v="0"/>
    <n v="0"/>
    <n v="0"/>
    <d v="2014-12-01T00:00:00"/>
    <x v="1"/>
    <x v="2"/>
  </r>
  <r>
    <x v="2"/>
    <x v="0"/>
    <s v="Januari"/>
    <s v="Division_A"/>
    <x v="25"/>
    <n v="2013"/>
    <n v="1"/>
    <s v="TBM"/>
    <n v="24"/>
    <n v="3271"/>
    <s v="136.3"/>
    <x v="1"/>
    <n v="0"/>
    <n v="0"/>
    <n v="0"/>
    <d v="2014-01-01T00:00:00"/>
    <x v="1"/>
    <x v="2"/>
  </r>
  <r>
    <x v="2"/>
    <x v="1"/>
    <s v="Februari"/>
    <s v="Division_A"/>
    <x v="25"/>
    <n v="2013"/>
    <n v="1"/>
    <s v="TBM"/>
    <n v="24"/>
    <n v="3271"/>
    <s v="136.3"/>
    <x v="1"/>
    <n v="0"/>
    <n v="0"/>
    <n v="0"/>
    <d v="2014-02-01T00:00:00"/>
    <x v="1"/>
    <x v="2"/>
  </r>
  <r>
    <x v="2"/>
    <x v="2"/>
    <s v="Maret"/>
    <s v="Division_A"/>
    <x v="25"/>
    <n v="2013"/>
    <n v="1"/>
    <s v="TBM"/>
    <n v="24"/>
    <n v="3271"/>
    <s v="136.3"/>
    <x v="1"/>
    <n v="0"/>
    <n v="0"/>
    <n v="0"/>
    <d v="2014-03-01T00:00:00"/>
    <x v="1"/>
    <x v="2"/>
  </r>
  <r>
    <x v="2"/>
    <x v="3"/>
    <s v="April"/>
    <s v="Division_A"/>
    <x v="25"/>
    <n v="2013"/>
    <n v="1"/>
    <s v="TBM"/>
    <n v="24"/>
    <n v="3271"/>
    <s v="136.3"/>
    <x v="1"/>
    <n v="0"/>
    <n v="0"/>
    <n v="0"/>
    <d v="2014-04-01T00:00:00"/>
    <x v="1"/>
    <x v="2"/>
  </r>
  <r>
    <x v="2"/>
    <x v="4"/>
    <s v="Mei"/>
    <s v="Division_A"/>
    <x v="25"/>
    <n v="2013"/>
    <n v="1"/>
    <s v="TBM"/>
    <n v="24"/>
    <n v="3271"/>
    <s v="136.3"/>
    <x v="1"/>
    <n v="0"/>
    <n v="0"/>
    <n v="0"/>
    <d v="2014-05-01T00:00:00"/>
    <x v="1"/>
    <x v="2"/>
  </r>
  <r>
    <x v="2"/>
    <x v="5"/>
    <s v="Juni"/>
    <s v="Division_A"/>
    <x v="25"/>
    <n v="2013"/>
    <n v="1"/>
    <s v="TBM"/>
    <n v="24"/>
    <n v="3271"/>
    <s v="136.3"/>
    <x v="1"/>
    <n v="0"/>
    <n v="0"/>
    <n v="0"/>
    <d v="2014-06-01T00:00:00"/>
    <x v="1"/>
    <x v="2"/>
  </r>
  <r>
    <x v="2"/>
    <x v="6"/>
    <s v="Juli"/>
    <s v="Division_A"/>
    <x v="25"/>
    <n v="2013"/>
    <n v="1"/>
    <s v="TBM"/>
    <n v="24"/>
    <n v="3271"/>
    <s v="136.3"/>
    <x v="1"/>
    <n v="0"/>
    <n v="0"/>
    <n v="0"/>
    <d v="2014-07-01T00:00:00"/>
    <x v="1"/>
    <x v="2"/>
  </r>
  <r>
    <x v="2"/>
    <x v="7"/>
    <s v="Agustus"/>
    <s v="Division_A"/>
    <x v="25"/>
    <n v="2013"/>
    <n v="1"/>
    <s v="TBM"/>
    <n v="24"/>
    <n v="3271"/>
    <s v="136.3"/>
    <x v="1"/>
    <n v="0"/>
    <n v="0"/>
    <n v="0"/>
    <d v="2014-08-01T00:00:00"/>
    <x v="1"/>
    <x v="2"/>
  </r>
  <r>
    <x v="2"/>
    <x v="8"/>
    <s v="September"/>
    <s v="Division_A"/>
    <x v="25"/>
    <n v="2013"/>
    <n v="1"/>
    <s v="TBM"/>
    <n v="24"/>
    <n v="3271"/>
    <s v="136.3"/>
    <x v="1"/>
    <n v="0"/>
    <n v="0"/>
    <n v="0"/>
    <d v="2014-09-01T00:00:00"/>
    <x v="1"/>
    <x v="2"/>
  </r>
  <r>
    <x v="2"/>
    <x v="9"/>
    <s v="Oktober"/>
    <s v="Division_A"/>
    <x v="25"/>
    <n v="2013"/>
    <n v="1"/>
    <s v="TBM"/>
    <n v="24"/>
    <n v="3271"/>
    <s v="136.3"/>
    <x v="1"/>
    <n v="0"/>
    <n v="0"/>
    <n v="0"/>
    <d v="2014-10-01T00:00:00"/>
    <x v="1"/>
    <x v="2"/>
  </r>
  <r>
    <x v="2"/>
    <x v="10"/>
    <s v="November"/>
    <s v="Division_A"/>
    <x v="25"/>
    <n v="2013"/>
    <n v="1"/>
    <s v="TBM"/>
    <n v="24"/>
    <n v="3271"/>
    <s v="136.3"/>
    <x v="1"/>
    <n v="0"/>
    <n v="0"/>
    <n v="0"/>
    <d v="2014-11-01T00:00:00"/>
    <x v="1"/>
    <x v="2"/>
  </r>
  <r>
    <x v="2"/>
    <x v="11"/>
    <s v="Desember"/>
    <s v="Division_A"/>
    <x v="25"/>
    <n v="2013"/>
    <n v="1"/>
    <s v="TBM"/>
    <n v="24"/>
    <n v="3271"/>
    <s v="136.3"/>
    <x v="1"/>
    <n v="0"/>
    <n v="0"/>
    <n v="0"/>
    <d v="2014-12-01T00:00:00"/>
    <x v="1"/>
    <x v="2"/>
  </r>
  <r>
    <x v="2"/>
    <x v="0"/>
    <s v="Januari"/>
    <s v="Division_A"/>
    <x v="26"/>
    <n v="2013"/>
    <n v="1"/>
    <s v="TBM"/>
    <n v="25"/>
    <n v="3291"/>
    <s v="131.6"/>
    <x v="1"/>
    <n v="0"/>
    <n v="0"/>
    <n v="0"/>
    <d v="2014-01-01T00:00:00"/>
    <x v="1"/>
    <x v="2"/>
  </r>
  <r>
    <x v="2"/>
    <x v="1"/>
    <s v="Februari"/>
    <s v="Division_A"/>
    <x v="26"/>
    <n v="2013"/>
    <n v="1"/>
    <s v="TBM"/>
    <n v="25"/>
    <n v="3291"/>
    <s v="131.6"/>
    <x v="1"/>
    <n v="0"/>
    <n v="0"/>
    <n v="0"/>
    <d v="2014-02-01T00:00:00"/>
    <x v="1"/>
    <x v="2"/>
  </r>
  <r>
    <x v="2"/>
    <x v="2"/>
    <s v="Maret"/>
    <s v="Division_A"/>
    <x v="26"/>
    <n v="2013"/>
    <n v="1"/>
    <s v="TBM"/>
    <n v="25"/>
    <n v="3291"/>
    <s v="131.6"/>
    <x v="1"/>
    <n v="0"/>
    <n v="0"/>
    <n v="0"/>
    <d v="2014-03-01T00:00:00"/>
    <x v="1"/>
    <x v="2"/>
  </r>
  <r>
    <x v="2"/>
    <x v="3"/>
    <s v="April"/>
    <s v="Division_A"/>
    <x v="26"/>
    <n v="2013"/>
    <n v="1"/>
    <s v="TBM"/>
    <n v="25"/>
    <n v="3291"/>
    <s v="131.6"/>
    <x v="1"/>
    <n v="0"/>
    <n v="0"/>
    <n v="0"/>
    <d v="2014-04-01T00:00:00"/>
    <x v="1"/>
    <x v="2"/>
  </r>
  <r>
    <x v="2"/>
    <x v="4"/>
    <s v="Mei"/>
    <s v="Division_A"/>
    <x v="26"/>
    <n v="2013"/>
    <n v="1"/>
    <s v="TBM"/>
    <n v="25"/>
    <n v="3291"/>
    <s v="131.6"/>
    <x v="1"/>
    <n v="0"/>
    <n v="0"/>
    <n v="0"/>
    <d v="2014-05-01T00:00:00"/>
    <x v="1"/>
    <x v="2"/>
  </r>
  <r>
    <x v="2"/>
    <x v="5"/>
    <s v="Juni"/>
    <s v="Division_A"/>
    <x v="26"/>
    <n v="2013"/>
    <n v="1"/>
    <s v="TBM"/>
    <n v="25"/>
    <n v="3291"/>
    <s v="131.6"/>
    <x v="1"/>
    <n v="0"/>
    <n v="0"/>
    <n v="0"/>
    <d v="2014-06-01T00:00:00"/>
    <x v="1"/>
    <x v="2"/>
  </r>
  <r>
    <x v="2"/>
    <x v="6"/>
    <s v="Juli"/>
    <s v="Division_A"/>
    <x v="26"/>
    <n v="2013"/>
    <n v="1"/>
    <s v="TBM"/>
    <n v="25"/>
    <n v="3291"/>
    <s v="131.6"/>
    <x v="1"/>
    <n v="0"/>
    <n v="0"/>
    <n v="0"/>
    <d v="2014-07-01T00:00:00"/>
    <x v="1"/>
    <x v="2"/>
  </r>
  <r>
    <x v="2"/>
    <x v="7"/>
    <s v="Agustus"/>
    <s v="Division_A"/>
    <x v="26"/>
    <n v="2013"/>
    <n v="1"/>
    <s v="TBM"/>
    <n v="25"/>
    <n v="3291"/>
    <s v="131.6"/>
    <x v="1"/>
    <n v="0"/>
    <n v="0"/>
    <n v="0"/>
    <d v="2014-08-01T00:00:00"/>
    <x v="1"/>
    <x v="2"/>
  </r>
  <r>
    <x v="2"/>
    <x v="8"/>
    <s v="September"/>
    <s v="Division_A"/>
    <x v="26"/>
    <n v="2013"/>
    <n v="1"/>
    <s v="TBM"/>
    <n v="25"/>
    <n v="3291"/>
    <s v="131.6"/>
    <x v="1"/>
    <n v="0"/>
    <n v="0"/>
    <n v="0"/>
    <d v="2014-09-01T00:00:00"/>
    <x v="1"/>
    <x v="2"/>
  </r>
  <r>
    <x v="2"/>
    <x v="9"/>
    <s v="Oktober"/>
    <s v="Division_A"/>
    <x v="26"/>
    <n v="2013"/>
    <n v="1"/>
    <s v="TBM"/>
    <n v="25"/>
    <n v="3291"/>
    <s v="131.6"/>
    <x v="1"/>
    <n v="0"/>
    <n v="0"/>
    <n v="0"/>
    <d v="2014-10-01T00:00:00"/>
    <x v="1"/>
    <x v="2"/>
  </r>
  <r>
    <x v="2"/>
    <x v="10"/>
    <s v="November"/>
    <s v="Division_A"/>
    <x v="26"/>
    <n v="2013"/>
    <n v="1"/>
    <s v="TBM"/>
    <n v="25"/>
    <n v="3291"/>
    <s v="131.6"/>
    <x v="1"/>
    <n v="0"/>
    <n v="0"/>
    <n v="0"/>
    <d v="2014-11-01T00:00:00"/>
    <x v="1"/>
    <x v="2"/>
  </r>
  <r>
    <x v="2"/>
    <x v="11"/>
    <s v="Desember"/>
    <s v="Division_A"/>
    <x v="26"/>
    <n v="2013"/>
    <n v="1"/>
    <s v="TBM"/>
    <n v="25"/>
    <n v="3291"/>
    <s v="131.6"/>
    <x v="1"/>
    <n v="0"/>
    <n v="0"/>
    <n v="0"/>
    <d v="2014-12-01T00:00:00"/>
    <x v="1"/>
    <x v="2"/>
  </r>
  <r>
    <x v="2"/>
    <x v="0"/>
    <s v="Januari"/>
    <s v="Division_A"/>
    <x v="27"/>
    <n v="2014"/>
    <n v="0"/>
    <s v="TBM"/>
    <n v="24"/>
    <n v="2208"/>
    <s v="92"/>
    <x v="1"/>
    <n v="0"/>
    <n v="0"/>
    <n v="0"/>
    <d v="2014-01-01T00:00:00"/>
    <x v="1"/>
    <x v="2"/>
  </r>
  <r>
    <x v="2"/>
    <x v="1"/>
    <s v="Februari"/>
    <s v="Division_A"/>
    <x v="27"/>
    <n v="2014"/>
    <n v="0"/>
    <s v="TBM"/>
    <n v="24"/>
    <n v="2208"/>
    <s v="92"/>
    <x v="1"/>
    <n v="0"/>
    <n v="0"/>
    <n v="0"/>
    <d v="2014-02-01T00:00:00"/>
    <x v="1"/>
    <x v="2"/>
  </r>
  <r>
    <x v="2"/>
    <x v="2"/>
    <s v="Maret"/>
    <s v="Division_A"/>
    <x v="27"/>
    <n v="2014"/>
    <n v="0"/>
    <s v="TBM"/>
    <n v="24"/>
    <n v="2208"/>
    <s v="92"/>
    <x v="1"/>
    <n v="0"/>
    <n v="0"/>
    <n v="0"/>
    <d v="2014-03-01T00:00:00"/>
    <x v="1"/>
    <x v="2"/>
  </r>
  <r>
    <x v="2"/>
    <x v="3"/>
    <s v="April"/>
    <s v="Division_A"/>
    <x v="27"/>
    <n v="2014"/>
    <n v="0"/>
    <s v="TBM"/>
    <n v="24"/>
    <n v="2208"/>
    <s v="92"/>
    <x v="1"/>
    <n v="0"/>
    <n v="0"/>
    <n v="0"/>
    <d v="2014-04-01T00:00:00"/>
    <x v="1"/>
    <x v="2"/>
  </r>
  <r>
    <x v="2"/>
    <x v="4"/>
    <s v="Mei"/>
    <s v="Division_A"/>
    <x v="27"/>
    <n v="2014"/>
    <n v="0"/>
    <s v="TBM"/>
    <n v="24"/>
    <n v="2208"/>
    <s v="92"/>
    <x v="1"/>
    <n v="0"/>
    <n v="0"/>
    <n v="0"/>
    <d v="2014-05-01T00:00:00"/>
    <x v="1"/>
    <x v="2"/>
  </r>
  <r>
    <x v="2"/>
    <x v="5"/>
    <s v="Juni"/>
    <s v="Division_A"/>
    <x v="27"/>
    <n v="2014"/>
    <n v="0"/>
    <s v="TBM"/>
    <n v="24"/>
    <n v="2208"/>
    <s v="92"/>
    <x v="1"/>
    <n v="0"/>
    <n v="0"/>
    <n v="0"/>
    <d v="2014-06-01T00:00:00"/>
    <x v="1"/>
    <x v="2"/>
  </r>
  <r>
    <x v="2"/>
    <x v="6"/>
    <s v="Juli"/>
    <s v="Division_A"/>
    <x v="27"/>
    <n v="2014"/>
    <n v="0"/>
    <s v="TBM"/>
    <n v="24"/>
    <n v="2208"/>
    <s v="92"/>
    <x v="1"/>
    <n v="0"/>
    <n v="0"/>
    <n v="0"/>
    <d v="2014-07-01T00:00:00"/>
    <x v="1"/>
    <x v="2"/>
  </r>
  <r>
    <x v="2"/>
    <x v="7"/>
    <s v="Agustus"/>
    <s v="Division_A"/>
    <x v="27"/>
    <n v="2014"/>
    <n v="0"/>
    <s v="TBM"/>
    <n v="24"/>
    <n v="2208"/>
    <s v="92"/>
    <x v="1"/>
    <n v="0"/>
    <n v="0"/>
    <n v="0"/>
    <d v="2014-08-01T00:00:00"/>
    <x v="1"/>
    <x v="2"/>
  </r>
  <r>
    <x v="2"/>
    <x v="8"/>
    <s v="September"/>
    <s v="Division_A"/>
    <x v="27"/>
    <n v="2014"/>
    <n v="0"/>
    <s v="TBM"/>
    <n v="24"/>
    <n v="2208"/>
    <s v="92"/>
    <x v="1"/>
    <n v="0"/>
    <n v="0"/>
    <n v="0"/>
    <d v="2014-09-01T00:00:00"/>
    <x v="1"/>
    <x v="2"/>
  </r>
  <r>
    <x v="2"/>
    <x v="9"/>
    <s v="Oktober"/>
    <s v="Division_A"/>
    <x v="27"/>
    <n v="2014"/>
    <n v="0"/>
    <s v="TBM"/>
    <n v="24"/>
    <n v="2208"/>
    <s v="92"/>
    <x v="1"/>
    <n v="0"/>
    <n v="0"/>
    <n v="0"/>
    <d v="2014-10-01T00:00:00"/>
    <x v="1"/>
    <x v="2"/>
  </r>
  <r>
    <x v="2"/>
    <x v="10"/>
    <s v="November"/>
    <s v="Division_A"/>
    <x v="27"/>
    <n v="2014"/>
    <n v="0"/>
    <s v="TBM"/>
    <n v="24"/>
    <n v="2208"/>
    <s v="92"/>
    <x v="1"/>
    <n v="0"/>
    <n v="0"/>
    <n v="0"/>
    <d v="2014-11-01T00:00:00"/>
    <x v="1"/>
    <x v="2"/>
  </r>
  <r>
    <x v="2"/>
    <x v="11"/>
    <s v="Desember"/>
    <s v="Division_A"/>
    <x v="27"/>
    <n v="2014"/>
    <n v="0"/>
    <s v="TBM"/>
    <n v="24"/>
    <n v="2208"/>
    <s v="92"/>
    <x v="1"/>
    <n v="0"/>
    <n v="0"/>
    <n v="0"/>
    <d v="2014-12-01T00:00:00"/>
    <x v="1"/>
    <x v="2"/>
  </r>
  <r>
    <x v="2"/>
    <x v="0"/>
    <s v="Januari"/>
    <s v="Division_A"/>
    <x v="28"/>
    <n v="2014"/>
    <n v="0"/>
    <s v="TBM"/>
    <n v="20"/>
    <n v="1954"/>
    <s v="97.7"/>
    <x v="1"/>
    <n v="0"/>
    <n v="0"/>
    <n v="0"/>
    <d v="2014-01-01T00:00:00"/>
    <x v="1"/>
    <x v="2"/>
  </r>
  <r>
    <x v="2"/>
    <x v="1"/>
    <s v="Februari"/>
    <s v="Division_A"/>
    <x v="28"/>
    <n v="2014"/>
    <n v="0"/>
    <s v="TBM"/>
    <n v="20"/>
    <n v="1954"/>
    <s v="97.7"/>
    <x v="1"/>
    <n v="0"/>
    <n v="0"/>
    <n v="0"/>
    <d v="2014-02-01T00:00:00"/>
    <x v="1"/>
    <x v="2"/>
  </r>
  <r>
    <x v="2"/>
    <x v="2"/>
    <s v="Maret"/>
    <s v="Division_A"/>
    <x v="28"/>
    <n v="2014"/>
    <n v="0"/>
    <s v="TBM"/>
    <n v="20"/>
    <n v="1954"/>
    <s v="97.7"/>
    <x v="1"/>
    <n v="0"/>
    <n v="0"/>
    <n v="0"/>
    <d v="2014-03-01T00:00:00"/>
    <x v="1"/>
    <x v="2"/>
  </r>
  <r>
    <x v="2"/>
    <x v="3"/>
    <s v="April"/>
    <s v="Division_A"/>
    <x v="28"/>
    <n v="2014"/>
    <n v="0"/>
    <s v="TBM"/>
    <n v="20"/>
    <n v="1954"/>
    <s v="97.7"/>
    <x v="1"/>
    <n v="0"/>
    <n v="0"/>
    <n v="0"/>
    <d v="2014-04-01T00:00:00"/>
    <x v="1"/>
    <x v="2"/>
  </r>
  <r>
    <x v="2"/>
    <x v="4"/>
    <s v="Mei"/>
    <s v="Division_A"/>
    <x v="28"/>
    <n v="2014"/>
    <n v="0"/>
    <s v="TBM"/>
    <n v="20"/>
    <n v="1954"/>
    <s v="97.7"/>
    <x v="1"/>
    <n v="0"/>
    <n v="0"/>
    <n v="0"/>
    <d v="2014-05-01T00:00:00"/>
    <x v="1"/>
    <x v="2"/>
  </r>
  <r>
    <x v="2"/>
    <x v="5"/>
    <s v="Juni"/>
    <s v="Division_A"/>
    <x v="28"/>
    <n v="2014"/>
    <n v="0"/>
    <s v="TBM"/>
    <n v="20"/>
    <n v="1954"/>
    <s v="97.7"/>
    <x v="1"/>
    <n v="0"/>
    <n v="0"/>
    <n v="0"/>
    <d v="2014-06-01T00:00:00"/>
    <x v="1"/>
    <x v="2"/>
  </r>
  <r>
    <x v="2"/>
    <x v="6"/>
    <s v="Juli"/>
    <s v="Division_A"/>
    <x v="28"/>
    <n v="2014"/>
    <n v="0"/>
    <s v="TBM"/>
    <n v="20"/>
    <n v="1954"/>
    <s v="97.7"/>
    <x v="1"/>
    <n v="0"/>
    <n v="0"/>
    <n v="0"/>
    <d v="2014-07-01T00:00:00"/>
    <x v="1"/>
    <x v="2"/>
  </r>
  <r>
    <x v="2"/>
    <x v="7"/>
    <s v="Agustus"/>
    <s v="Division_A"/>
    <x v="28"/>
    <n v="2014"/>
    <n v="0"/>
    <s v="TBM"/>
    <n v="20"/>
    <n v="1954"/>
    <s v="97.7"/>
    <x v="1"/>
    <n v="0"/>
    <n v="0"/>
    <n v="0"/>
    <d v="2014-08-01T00:00:00"/>
    <x v="1"/>
    <x v="2"/>
  </r>
  <r>
    <x v="2"/>
    <x v="8"/>
    <s v="September"/>
    <s v="Division_A"/>
    <x v="28"/>
    <n v="2014"/>
    <n v="0"/>
    <s v="TBM"/>
    <n v="20"/>
    <n v="1954"/>
    <s v="97.7"/>
    <x v="1"/>
    <n v="0"/>
    <n v="0"/>
    <n v="0"/>
    <d v="2014-09-01T00:00:00"/>
    <x v="1"/>
    <x v="2"/>
  </r>
  <r>
    <x v="2"/>
    <x v="9"/>
    <s v="Oktober"/>
    <s v="Division_A"/>
    <x v="28"/>
    <n v="2014"/>
    <n v="0"/>
    <s v="TBM"/>
    <n v="20"/>
    <n v="1954"/>
    <s v="97.7"/>
    <x v="1"/>
    <n v="0"/>
    <n v="0"/>
    <n v="0"/>
    <d v="2014-10-01T00:00:00"/>
    <x v="1"/>
    <x v="2"/>
  </r>
  <r>
    <x v="2"/>
    <x v="10"/>
    <s v="November"/>
    <s v="Division_A"/>
    <x v="28"/>
    <n v="2014"/>
    <n v="0"/>
    <s v="TBM"/>
    <n v="20"/>
    <n v="1954"/>
    <s v="97.7"/>
    <x v="1"/>
    <n v="0"/>
    <n v="0"/>
    <n v="0"/>
    <d v="2014-11-01T00:00:00"/>
    <x v="1"/>
    <x v="2"/>
  </r>
  <r>
    <x v="2"/>
    <x v="11"/>
    <s v="Desember"/>
    <s v="Division_A"/>
    <x v="28"/>
    <n v="2014"/>
    <n v="0"/>
    <s v="TBM"/>
    <n v="20"/>
    <n v="1954"/>
    <s v="97.7"/>
    <x v="1"/>
    <n v="0"/>
    <n v="0"/>
    <n v="0"/>
    <d v="2014-12-01T00:00:00"/>
    <x v="1"/>
    <x v="2"/>
  </r>
  <r>
    <x v="2"/>
    <x v="0"/>
    <s v="Januari"/>
    <s v="Division_A"/>
    <x v="29"/>
    <n v="2014"/>
    <n v="0"/>
    <s v="TBM"/>
    <n v="24"/>
    <n v="1329"/>
    <s v="55.4"/>
    <x v="1"/>
    <n v="0"/>
    <n v="0"/>
    <n v="0"/>
    <d v="2014-01-01T00:00:00"/>
    <x v="1"/>
    <x v="2"/>
  </r>
  <r>
    <x v="2"/>
    <x v="1"/>
    <s v="Februari"/>
    <s v="Division_A"/>
    <x v="29"/>
    <n v="2014"/>
    <n v="0"/>
    <s v="TBM"/>
    <n v="24"/>
    <n v="1329"/>
    <s v="55.4"/>
    <x v="1"/>
    <n v="0"/>
    <n v="0"/>
    <n v="0"/>
    <d v="2014-02-01T00:00:00"/>
    <x v="1"/>
    <x v="2"/>
  </r>
  <r>
    <x v="2"/>
    <x v="2"/>
    <s v="Maret"/>
    <s v="Division_A"/>
    <x v="29"/>
    <n v="2014"/>
    <n v="0"/>
    <s v="TBM"/>
    <n v="24"/>
    <n v="1329"/>
    <s v="55.4"/>
    <x v="1"/>
    <n v="0"/>
    <n v="0"/>
    <n v="0"/>
    <d v="2014-03-01T00:00:00"/>
    <x v="1"/>
    <x v="2"/>
  </r>
  <r>
    <x v="2"/>
    <x v="3"/>
    <s v="April"/>
    <s v="Division_A"/>
    <x v="29"/>
    <n v="2014"/>
    <n v="0"/>
    <s v="TBM"/>
    <n v="24"/>
    <n v="1329"/>
    <s v="55.4"/>
    <x v="1"/>
    <n v="0"/>
    <n v="0"/>
    <n v="0"/>
    <d v="2014-04-01T00:00:00"/>
    <x v="1"/>
    <x v="2"/>
  </r>
  <r>
    <x v="2"/>
    <x v="4"/>
    <s v="Mei"/>
    <s v="Division_A"/>
    <x v="29"/>
    <n v="2014"/>
    <n v="0"/>
    <s v="TBM"/>
    <n v="24"/>
    <n v="1329"/>
    <s v="55.4"/>
    <x v="1"/>
    <n v="0"/>
    <n v="0"/>
    <n v="0"/>
    <d v="2014-05-01T00:00:00"/>
    <x v="1"/>
    <x v="2"/>
  </r>
  <r>
    <x v="2"/>
    <x v="5"/>
    <s v="Juni"/>
    <s v="Division_A"/>
    <x v="29"/>
    <n v="2014"/>
    <n v="0"/>
    <s v="TBM"/>
    <n v="24"/>
    <n v="1329"/>
    <s v="55.4"/>
    <x v="1"/>
    <n v="0"/>
    <n v="0"/>
    <n v="0"/>
    <d v="2014-06-01T00:00:00"/>
    <x v="1"/>
    <x v="2"/>
  </r>
  <r>
    <x v="2"/>
    <x v="6"/>
    <s v="Juli"/>
    <s v="Division_A"/>
    <x v="29"/>
    <n v="2014"/>
    <n v="0"/>
    <s v="TBM"/>
    <n v="24"/>
    <n v="1329"/>
    <s v="55.4"/>
    <x v="1"/>
    <n v="0"/>
    <n v="0"/>
    <n v="0"/>
    <d v="2014-07-01T00:00:00"/>
    <x v="1"/>
    <x v="2"/>
  </r>
  <r>
    <x v="2"/>
    <x v="7"/>
    <s v="Agustus"/>
    <s v="Division_A"/>
    <x v="29"/>
    <n v="2014"/>
    <n v="0"/>
    <s v="TBM"/>
    <n v="24"/>
    <n v="1329"/>
    <s v="55.4"/>
    <x v="1"/>
    <n v="0"/>
    <n v="0"/>
    <n v="0"/>
    <d v="2014-08-01T00:00:00"/>
    <x v="1"/>
    <x v="2"/>
  </r>
  <r>
    <x v="2"/>
    <x v="8"/>
    <s v="September"/>
    <s v="Division_A"/>
    <x v="29"/>
    <n v="2014"/>
    <n v="0"/>
    <s v="TBM"/>
    <n v="24"/>
    <n v="1329"/>
    <s v="55.4"/>
    <x v="1"/>
    <n v="0"/>
    <n v="0"/>
    <n v="0"/>
    <d v="2014-09-01T00:00:00"/>
    <x v="1"/>
    <x v="2"/>
  </r>
  <r>
    <x v="2"/>
    <x v="9"/>
    <s v="Oktober"/>
    <s v="Division_A"/>
    <x v="29"/>
    <n v="2014"/>
    <n v="0"/>
    <s v="TBM"/>
    <n v="24"/>
    <n v="1329"/>
    <s v="55.4"/>
    <x v="1"/>
    <n v="0"/>
    <n v="0"/>
    <n v="0"/>
    <d v="2014-10-01T00:00:00"/>
    <x v="1"/>
    <x v="2"/>
  </r>
  <r>
    <x v="2"/>
    <x v="10"/>
    <s v="November"/>
    <s v="Division_A"/>
    <x v="29"/>
    <n v="2014"/>
    <n v="0"/>
    <s v="TBM"/>
    <n v="24"/>
    <n v="1329"/>
    <s v="55.4"/>
    <x v="1"/>
    <n v="0"/>
    <n v="0"/>
    <n v="0"/>
    <d v="2014-11-01T00:00:00"/>
    <x v="1"/>
    <x v="2"/>
  </r>
  <r>
    <x v="2"/>
    <x v="11"/>
    <s v="Desember"/>
    <s v="Division_A"/>
    <x v="29"/>
    <n v="2014"/>
    <n v="0"/>
    <s v="TBM"/>
    <n v="24"/>
    <n v="1329"/>
    <s v="55.4"/>
    <x v="1"/>
    <n v="0"/>
    <n v="0"/>
    <n v="0"/>
    <d v="2014-12-01T00:00:00"/>
    <x v="1"/>
    <x v="2"/>
  </r>
  <r>
    <x v="2"/>
    <x v="0"/>
    <s v="Januari"/>
    <s v="Division_A"/>
    <x v="30"/>
    <n v="2014"/>
    <n v="0"/>
    <s v="TBM"/>
    <n v="24"/>
    <n v="1573"/>
    <s v="65.5"/>
    <x v="1"/>
    <n v="0"/>
    <n v="0"/>
    <n v="0"/>
    <d v="2014-01-01T00:00:00"/>
    <x v="1"/>
    <x v="2"/>
  </r>
  <r>
    <x v="2"/>
    <x v="1"/>
    <s v="Februari"/>
    <s v="Division_A"/>
    <x v="30"/>
    <n v="2014"/>
    <n v="0"/>
    <s v="TBM"/>
    <n v="24"/>
    <n v="1573"/>
    <s v="65.5"/>
    <x v="1"/>
    <n v="0"/>
    <n v="0"/>
    <n v="0"/>
    <d v="2014-02-01T00:00:00"/>
    <x v="1"/>
    <x v="2"/>
  </r>
  <r>
    <x v="2"/>
    <x v="2"/>
    <s v="Maret"/>
    <s v="Division_A"/>
    <x v="30"/>
    <n v="2014"/>
    <n v="0"/>
    <s v="TBM"/>
    <n v="24"/>
    <n v="1573"/>
    <s v="65.5"/>
    <x v="1"/>
    <n v="0"/>
    <n v="0"/>
    <n v="0"/>
    <d v="2014-03-01T00:00:00"/>
    <x v="1"/>
    <x v="2"/>
  </r>
  <r>
    <x v="2"/>
    <x v="3"/>
    <s v="April"/>
    <s v="Division_A"/>
    <x v="30"/>
    <n v="2014"/>
    <n v="0"/>
    <s v="TBM"/>
    <n v="24"/>
    <n v="1573"/>
    <s v="65.5"/>
    <x v="1"/>
    <n v="0"/>
    <n v="0"/>
    <n v="0"/>
    <d v="2014-04-01T00:00:00"/>
    <x v="1"/>
    <x v="2"/>
  </r>
  <r>
    <x v="2"/>
    <x v="4"/>
    <s v="Mei"/>
    <s v="Division_A"/>
    <x v="30"/>
    <n v="2014"/>
    <n v="0"/>
    <s v="TBM"/>
    <n v="24"/>
    <n v="1573"/>
    <s v="65.5"/>
    <x v="1"/>
    <n v="0"/>
    <n v="0"/>
    <n v="0"/>
    <d v="2014-05-01T00:00:00"/>
    <x v="1"/>
    <x v="2"/>
  </r>
  <r>
    <x v="2"/>
    <x v="5"/>
    <s v="Juni"/>
    <s v="Division_A"/>
    <x v="30"/>
    <n v="2014"/>
    <n v="0"/>
    <s v="TBM"/>
    <n v="24"/>
    <n v="1573"/>
    <s v="65.5"/>
    <x v="1"/>
    <n v="0"/>
    <n v="0"/>
    <n v="0"/>
    <d v="2014-06-01T00:00:00"/>
    <x v="1"/>
    <x v="2"/>
  </r>
  <r>
    <x v="2"/>
    <x v="6"/>
    <s v="Juli"/>
    <s v="Division_A"/>
    <x v="30"/>
    <n v="2014"/>
    <n v="0"/>
    <s v="TBM"/>
    <n v="24"/>
    <n v="1573"/>
    <s v="65.5"/>
    <x v="1"/>
    <n v="0"/>
    <n v="0"/>
    <n v="0"/>
    <d v="2014-07-01T00:00:00"/>
    <x v="1"/>
    <x v="2"/>
  </r>
  <r>
    <x v="2"/>
    <x v="7"/>
    <s v="Agustus"/>
    <s v="Division_A"/>
    <x v="30"/>
    <n v="2014"/>
    <n v="0"/>
    <s v="TBM"/>
    <n v="24"/>
    <n v="1573"/>
    <s v="65.5"/>
    <x v="1"/>
    <n v="0"/>
    <n v="0"/>
    <n v="0"/>
    <d v="2014-08-01T00:00:00"/>
    <x v="1"/>
    <x v="2"/>
  </r>
  <r>
    <x v="2"/>
    <x v="8"/>
    <s v="September"/>
    <s v="Division_A"/>
    <x v="30"/>
    <n v="2014"/>
    <n v="0"/>
    <s v="TBM"/>
    <n v="24"/>
    <n v="1573"/>
    <s v="65.5"/>
    <x v="1"/>
    <n v="0"/>
    <n v="0"/>
    <n v="0"/>
    <d v="2014-09-01T00:00:00"/>
    <x v="1"/>
    <x v="2"/>
  </r>
  <r>
    <x v="2"/>
    <x v="9"/>
    <s v="Oktober"/>
    <s v="Division_A"/>
    <x v="30"/>
    <n v="2014"/>
    <n v="0"/>
    <s v="TBM"/>
    <n v="24"/>
    <n v="1573"/>
    <s v="65.5"/>
    <x v="1"/>
    <n v="0"/>
    <n v="0"/>
    <n v="0"/>
    <d v="2014-10-01T00:00:00"/>
    <x v="1"/>
    <x v="2"/>
  </r>
  <r>
    <x v="2"/>
    <x v="10"/>
    <s v="November"/>
    <s v="Division_A"/>
    <x v="30"/>
    <n v="2014"/>
    <n v="0"/>
    <s v="TBM"/>
    <n v="24"/>
    <n v="1573"/>
    <s v="65.5"/>
    <x v="1"/>
    <n v="0"/>
    <n v="0"/>
    <n v="0"/>
    <d v="2014-11-01T00:00:00"/>
    <x v="1"/>
    <x v="2"/>
  </r>
  <r>
    <x v="2"/>
    <x v="11"/>
    <s v="Desember"/>
    <s v="Division_A"/>
    <x v="30"/>
    <n v="2014"/>
    <n v="0"/>
    <s v="TBM"/>
    <n v="24"/>
    <n v="1573"/>
    <s v="65.5"/>
    <x v="1"/>
    <n v="0"/>
    <n v="0"/>
    <n v="0"/>
    <d v="2014-12-01T00:00:00"/>
    <x v="1"/>
    <x v="2"/>
  </r>
  <r>
    <x v="2"/>
    <x v="0"/>
    <s v="Januari"/>
    <s v="Division_A"/>
    <x v="31"/>
    <n v="2016"/>
    <n v="0"/>
    <s v="TBM"/>
    <n v="22"/>
    <n v="3137"/>
    <s v="142.6"/>
    <x v="0"/>
    <n v="0"/>
    <n v="0"/>
    <n v="0"/>
    <d v="2014-01-01T00:00:00"/>
    <x v="1"/>
    <x v="2"/>
  </r>
  <r>
    <x v="2"/>
    <x v="1"/>
    <s v="Februari"/>
    <s v="Division_A"/>
    <x v="31"/>
    <n v="2016"/>
    <n v="0"/>
    <s v="TBM"/>
    <n v="22"/>
    <n v="3137"/>
    <s v="142.6"/>
    <x v="0"/>
    <n v="0"/>
    <n v="0"/>
    <n v="0"/>
    <d v="2014-02-01T00:00:00"/>
    <x v="1"/>
    <x v="2"/>
  </r>
  <r>
    <x v="2"/>
    <x v="2"/>
    <s v="Maret"/>
    <s v="Division_A"/>
    <x v="31"/>
    <n v="2016"/>
    <n v="0"/>
    <s v="TBM"/>
    <n v="22"/>
    <n v="3137"/>
    <s v="142.6"/>
    <x v="0"/>
    <n v="0"/>
    <n v="0"/>
    <n v="0"/>
    <d v="2014-03-01T00:00:00"/>
    <x v="1"/>
    <x v="2"/>
  </r>
  <r>
    <x v="2"/>
    <x v="3"/>
    <s v="April"/>
    <s v="Division_A"/>
    <x v="31"/>
    <n v="2016"/>
    <n v="0"/>
    <s v="TBM"/>
    <n v="22"/>
    <n v="3137"/>
    <s v="142.6"/>
    <x v="0"/>
    <n v="0"/>
    <n v="0"/>
    <n v="0"/>
    <d v="2014-04-01T00:00:00"/>
    <x v="1"/>
    <x v="2"/>
  </r>
  <r>
    <x v="2"/>
    <x v="4"/>
    <s v="Mei"/>
    <s v="Division_A"/>
    <x v="31"/>
    <n v="2016"/>
    <n v="0"/>
    <s v="TBM"/>
    <n v="22"/>
    <n v="3137"/>
    <s v="142.6"/>
    <x v="0"/>
    <n v="0"/>
    <n v="0"/>
    <n v="0"/>
    <d v="2014-05-01T00:00:00"/>
    <x v="1"/>
    <x v="2"/>
  </r>
  <r>
    <x v="2"/>
    <x v="5"/>
    <s v="Juni"/>
    <s v="Division_A"/>
    <x v="31"/>
    <n v="2016"/>
    <n v="0"/>
    <s v="TBM"/>
    <n v="22"/>
    <n v="3137"/>
    <s v="142.6"/>
    <x v="0"/>
    <n v="0"/>
    <n v="0"/>
    <n v="0"/>
    <d v="2014-06-01T00:00:00"/>
    <x v="1"/>
    <x v="2"/>
  </r>
  <r>
    <x v="2"/>
    <x v="6"/>
    <s v="Juli"/>
    <s v="Division_A"/>
    <x v="31"/>
    <n v="2016"/>
    <n v="0"/>
    <s v="TBM"/>
    <n v="22"/>
    <n v="3137"/>
    <s v="142.6"/>
    <x v="0"/>
    <n v="0"/>
    <n v="0"/>
    <n v="0"/>
    <d v="2014-07-01T00:00:00"/>
    <x v="1"/>
    <x v="2"/>
  </r>
  <r>
    <x v="2"/>
    <x v="7"/>
    <s v="Agustus"/>
    <s v="Division_A"/>
    <x v="31"/>
    <n v="2016"/>
    <n v="0"/>
    <s v="TBM"/>
    <n v="22"/>
    <n v="3137"/>
    <s v="142.6"/>
    <x v="0"/>
    <n v="0"/>
    <n v="0"/>
    <n v="0"/>
    <d v="2014-08-01T00:00:00"/>
    <x v="1"/>
    <x v="2"/>
  </r>
  <r>
    <x v="2"/>
    <x v="8"/>
    <s v="September"/>
    <s v="Division_A"/>
    <x v="31"/>
    <n v="2016"/>
    <n v="0"/>
    <s v="TBM"/>
    <n v="22"/>
    <n v="3137"/>
    <s v="142.6"/>
    <x v="0"/>
    <n v="0"/>
    <n v="0"/>
    <n v="0"/>
    <d v="2014-09-01T00:00:00"/>
    <x v="1"/>
    <x v="2"/>
  </r>
  <r>
    <x v="2"/>
    <x v="9"/>
    <s v="Oktober"/>
    <s v="Division_A"/>
    <x v="31"/>
    <n v="2016"/>
    <n v="0"/>
    <s v="TBM"/>
    <n v="22"/>
    <n v="3137"/>
    <s v="142.6"/>
    <x v="0"/>
    <n v="0"/>
    <n v="0"/>
    <n v="0"/>
    <d v="2014-10-01T00:00:00"/>
    <x v="1"/>
    <x v="2"/>
  </r>
  <r>
    <x v="2"/>
    <x v="10"/>
    <s v="November"/>
    <s v="Division_A"/>
    <x v="31"/>
    <n v="2016"/>
    <n v="0"/>
    <s v="TBM"/>
    <n v="22"/>
    <n v="3137"/>
    <s v="142.6"/>
    <x v="0"/>
    <n v="0"/>
    <n v="0"/>
    <n v="0"/>
    <d v="2014-11-01T00:00:00"/>
    <x v="1"/>
    <x v="2"/>
  </r>
  <r>
    <x v="2"/>
    <x v="11"/>
    <s v="Desember"/>
    <s v="Division_A"/>
    <x v="31"/>
    <n v="2016"/>
    <n v="0"/>
    <s v="TBM"/>
    <n v="22"/>
    <n v="3137"/>
    <s v="142.6"/>
    <x v="0"/>
    <n v="0"/>
    <n v="0"/>
    <n v="0"/>
    <d v="2014-12-01T00:00:00"/>
    <x v="1"/>
    <x v="2"/>
  </r>
  <r>
    <x v="2"/>
    <x v="0"/>
    <s v="Januari"/>
    <s v="Division_A"/>
    <x v="32"/>
    <n v="2016"/>
    <n v="0"/>
    <s v="TBM"/>
    <n v="22"/>
    <n v="3096"/>
    <s v="140.7"/>
    <x v="0"/>
    <n v="0"/>
    <n v="0"/>
    <n v="0"/>
    <d v="2014-01-01T00:00:00"/>
    <x v="1"/>
    <x v="2"/>
  </r>
  <r>
    <x v="2"/>
    <x v="1"/>
    <s v="Februari"/>
    <s v="Division_A"/>
    <x v="32"/>
    <n v="2016"/>
    <n v="0"/>
    <s v="TBM"/>
    <n v="22"/>
    <n v="3096"/>
    <s v="140.7"/>
    <x v="0"/>
    <n v="0"/>
    <n v="0"/>
    <n v="0"/>
    <d v="2014-02-01T00:00:00"/>
    <x v="1"/>
    <x v="2"/>
  </r>
  <r>
    <x v="2"/>
    <x v="2"/>
    <s v="Maret"/>
    <s v="Division_A"/>
    <x v="32"/>
    <n v="2016"/>
    <n v="0"/>
    <s v="TBM"/>
    <n v="22"/>
    <n v="3096"/>
    <s v="140.7"/>
    <x v="0"/>
    <n v="0"/>
    <n v="0"/>
    <n v="0"/>
    <d v="2014-03-01T00:00:00"/>
    <x v="1"/>
    <x v="2"/>
  </r>
  <r>
    <x v="2"/>
    <x v="3"/>
    <s v="April"/>
    <s v="Division_A"/>
    <x v="32"/>
    <n v="2016"/>
    <n v="0"/>
    <s v="TBM"/>
    <n v="22"/>
    <n v="3096"/>
    <s v="140.7"/>
    <x v="0"/>
    <n v="0"/>
    <n v="0"/>
    <n v="0"/>
    <d v="2014-04-01T00:00:00"/>
    <x v="1"/>
    <x v="2"/>
  </r>
  <r>
    <x v="2"/>
    <x v="4"/>
    <s v="Mei"/>
    <s v="Division_A"/>
    <x v="32"/>
    <n v="2016"/>
    <n v="0"/>
    <s v="TBM"/>
    <n v="22"/>
    <n v="3096"/>
    <s v="140.7"/>
    <x v="0"/>
    <n v="0"/>
    <n v="0"/>
    <n v="0"/>
    <d v="2014-05-01T00:00:00"/>
    <x v="1"/>
    <x v="2"/>
  </r>
  <r>
    <x v="2"/>
    <x v="5"/>
    <s v="Juni"/>
    <s v="Division_A"/>
    <x v="32"/>
    <n v="2016"/>
    <n v="0"/>
    <s v="TBM"/>
    <n v="22"/>
    <n v="3096"/>
    <s v="140.7"/>
    <x v="0"/>
    <n v="0"/>
    <n v="0"/>
    <n v="0"/>
    <d v="2014-06-01T00:00:00"/>
    <x v="1"/>
    <x v="2"/>
  </r>
  <r>
    <x v="2"/>
    <x v="6"/>
    <s v="Juli"/>
    <s v="Division_A"/>
    <x v="32"/>
    <n v="2016"/>
    <n v="0"/>
    <s v="TBM"/>
    <n v="22"/>
    <n v="3096"/>
    <s v="140.7"/>
    <x v="0"/>
    <n v="0"/>
    <n v="0"/>
    <n v="0"/>
    <d v="2014-07-01T00:00:00"/>
    <x v="1"/>
    <x v="2"/>
  </r>
  <r>
    <x v="2"/>
    <x v="7"/>
    <s v="Agustus"/>
    <s v="Division_A"/>
    <x v="32"/>
    <n v="2016"/>
    <n v="0"/>
    <s v="TBM"/>
    <n v="22"/>
    <n v="3096"/>
    <s v="140.7"/>
    <x v="0"/>
    <n v="0"/>
    <n v="0"/>
    <n v="0"/>
    <d v="2014-08-01T00:00:00"/>
    <x v="1"/>
    <x v="2"/>
  </r>
  <r>
    <x v="2"/>
    <x v="8"/>
    <s v="September"/>
    <s v="Division_A"/>
    <x v="32"/>
    <n v="2016"/>
    <n v="0"/>
    <s v="TBM"/>
    <n v="22"/>
    <n v="3096"/>
    <s v="140.7"/>
    <x v="0"/>
    <n v="0"/>
    <n v="0"/>
    <n v="0"/>
    <d v="2014-09-01T00:00:00"/>
    <x v="1"/>
    <x v="2"/>
  </r>
  <r>
    <x v="2"/>
    <x v="9"/>
    <s v="Oktober"/>
    <s v="Division_A"/>
    <x v="32"/>
    <n v="2016"/>
    <n v="0"/>
    <s v="TBM"/>
    <n v="22"/>
    <n v="3096"/>
    <s v="140.7"/>
    <x v="0"/>
    <n v="0"/>
    <n v="0"/>
    <n v="0"/>
    <d v="2014-10-01T00:00:00"/>
    <x v="1"/>
    <x v="2"/>
  </r>
  <r>
    <x v="2"/>
    <x v="10"/>
    <s v="November"/>
    <s v="Division_A"/>
    <x v="32"/>
    <n v="2016"/>
    <n v="0"/>
    <s v="TBM"/>
    <n v="22"/>
    <n v="3096"/>
    <s v="140.7"/>
    <x v="0"/>
    <n v="0"/>
    <n v="0"/>
    <n v="0"/>
    <d v="2014-11-01T00:00:00"/>
    <x v="1"/>
    <x v="2"/>
  </r>
  <r>
    <x v="2"/>
    <x v="11"/>
    <s v="Desember"/>
    <s v="Division_A"/>
    <x v="32"/>
    <n v="2016"/>
    <n v="0"/>
    <s v="TBM"/>
    <n v="22"/>
    <n v="3096"/>
    <s v="140.7"/>
    <x v="0"/>
    <n v="0"/>
    <n v="0"/>
    <n v="0"/>
    <d v="2014-12-01T00:00:00"/>
    <x v="1"/>
    <x v="2"/>
  </r>
  <r>
    <x v="2"/>
    <x v="0"/>
    <s v="Januari"/>
    <s v="Division_A"/>
    <x v="33"/>
    <n v="2016"/>
    <n v="0"/>
    <s v="TBM"/>
    <n v="24"/>
    <n v="3317"/>
    <s v="138.2"/>
    <x v="0"/>
    <n v="0"/>
    <n v="0"/>
    <n v="0"/>
    <d v="2014-01-01T00:00:00"/>
    <x v="1"/>
    <x v="2"/>
  </r>
  <r>
    <x v="2"/>
    <x v="1"/>
    <s v="Februari"/>
    <s v="Division_A"/>
    <x v="33"/>
    <n v="2016"/>
    <n v="0"/>
    <s v="TBM"/>
    <n v="24"/>
    <n v="3317"/>
    <s v="138.2"/>
    <x v="0"/>
    <n v="0"/>
    <n v="0"/>
    <n v="0"/>
    <d v="2014-02-01T00:00:00"/>
    <x v="1"/>
    <x v="2"/>
  </r>
  <r>
    <x v="2"/>
    <x v="2"/>
    <s v="Maret"/>
    <s v="Division_A"/>
    <x v="33"/>
    <n v="2016"/>
    <n v="0"/>
    <s v="TBM"/>
    <n v="24"/>
    <n v="3317"/>
    <s v="138.2"/>
    <x v="0"/>
    <n v="0"/>
    <n v="0"/>
    <n v="0"/>
    <d v="2014-03-01T00:00:00"/>
    <x v="1"/>
    <x v="2"/>
  </r>
  <r>
    <x v="2"/>
    <x v="3"/>
    <s v="April"/>
    <s v="Division_A"/>
    <x v="33"/>
    <n v="2016"/>
    <n v="0"/>
    <s v="TBM"/>
    <n v="24"/>
    <n v="3317"/>
    <s v="138.2"/>
    <x v="0"/>
    <n v="0"/>
    <n v="0"/>
    <n v="0"/>
    <d v="2014-04-01T00:00:00"/>
    <x v="1"/>
    <x v="2"/>
  </r>
  <r>
    <x v="2"/>
    <x v="4"/>
    <s v="Mei"/>
    <s v="Division_A"/>
    <x v="33"/>
    <n v="2016"/>
    <n v="0"/>
    <s v="TBM"/>
    <n v="24"/>
    <n v="3317"/>
    <s v="138.2"/>
    <x v="0"/>
    <n v="0"/>
    <n v="0"/>
    <n v="0"/>
    <d v="2014-05-01T00:00:00"/>
    <x v="1"/>
    <x v="2"/>
  </r>
  <r>
    <x v="2"/>
    <x v="5"/>
    <s v="Juni"/>
    <s v="Division_A"/>
    <x v="33"/>
    <n v="2016"/>
    <n v="0"/>
    <s v="TBM"/>
    <n v="24"/>
    <n v="3317"/>
    <s v="138.2"/>
    <x v="0"/>
    <n v="0"/>
    <n v="0"/>
    <n v="0"/>
    <d v="2014-06-01T00:00:00"/>
    <x v="1"/>
    <x v="2"/>
  </r>
  <r>
    <x v="2"/>
    <x v="6"/>
    <s v="Juli"/>
    <s v="Division_A"/>
    <x v="33"/>
    <n v="2016"/>
    <n v="0"/>
    <s v="TBM"/>
    <n v="24"/>
    <n v="3317"/>
    <s v="138.2"/>
    <x v="0"/>
    <n v="0"/>
    <n v="0"/>
    <n v="0"/>
    <d v="2014-07-01T00:00:00"/>
    <x v="1"/>
    <x v="2"/>
  </r>
  <r>
    <x v="2"/>
    <x v="7"/>
    <s v="Agustus"/>
    <s v="Division_A"/>
    <x v="33"/>
    <n v="2016"/>
    <n v="0"/>
    <s v="TBM"/>
    <n v="24"/>
    <n v="3317"/>
    <s v="138.2"/>
    <x v="0"/>
    <n v="0"/>
    <n v="0"/>
    <n v="0"/>
    <d v="2014-08-01T00:00:00"/>
    <x v="1"/>
    <x v="2"/>
  </r>
  <r>
    <x v="2"/>
    <x v="8"/>
    <s v="September"/>
    <s v="Division_A"/>
    <x v="33"/>
    <n v="2016"/>
    <n v="0"/>
    <s v="TBM"/>
    <n v="24"/>
    <n v="3317"/>
    <s v="138.2"/>
    <x v="0"/>
    <n v="0"/>
    <n v="0"/>
    <n v="0"/>
    <d v="2014-09-01T00:00:00"/>
    <x v="1"/>
    <x v="2"/>
  </r>
  <r>
    <x v="2"/>
    <x v="9"/>
    <s v="Oktober"/>
    <s v="Division_A"/>
    <x v="33"/>
    <n v="2016"/>
    <n v="0"/>
    <s v="TBM"/>
    <n v="24"/>
    <n v="3317"/>
    <s v="138.2"/>
    <x v="0"/>
    <n v="0"/>
    <n v="0"/>
    <n v="0"/>
    <d v="2014-10-01T00:00:00"/>
    <x v="1"/>
    <x v="2"/>
  </r>
  <r>
    <x v="2"/>
    <x v="10"/>
    <s v="November"/>
    <s v="Division_A"/>
    <x v="33"/>
    <n v="2016"/>
    <n v="0"/>
    <s v="TBM"/>
    <n v="24"/>
    <n v="3317"/>
    <s v="138.2"/>
    <x v="0"/>
    <n v="0"/>
    <n v="0"/>
    <n v="0"/>
    <d v="2014-11-01T00:00:00"/>
    <x v="1"/>
    <x v="2"/>
  </r>
  <r>
    <x v="2"/>
    <x v="11"/>
    <s v="Desember"/>
    <s v="Division_A"/>
    <x v="33"/>
    <n v="2016"/>
    <n v="0"/>
    <s v="TBM"/>
    <n v="24"/>
    <n v="3317"/>
    <s v="138.2"/>
    <x v="0"/>
    <n v="0"/>
    <n v="0"/>
    <n v="0"/>
    <d v="2014-12-01T00:00:00"/>
    <x v="1"/>
    <x v="2"/>
  </r>
  <r>
    <x v="2"/>
    <x v="0"/>
    <s v="Januari"/>
    <s v="Division_A"/>
    <x v="34"/>
    <n v="2016"/>
    <n v="0"/>
    <s v="TBM"/>
    <n v="17"/>
    <n v="2219"/>
    <s v="130.5"/>
    <x v="0"/>
    <n v="0"/>
    <n v="0"/>
    <n v="0"/>
    <d v="2014-01-01T00:00:00"/>
    <x v="1"/>
    <x v="2"/>
  </r>
  <r>
    <x v="2"/>
    <x v="1"/>
    <s v="Februari"/>
    <s v="Division_A"/>
    <x v="34"/>
    <n v="2016"/>
    <n v="0"/>
    <s v="TBM"/>
    <n v="17"/>
    <n v="2219"/>
    <s v="130.5"/>
    <x v="0"/>
    <n v="0"/>
    <n v="0"/>
    <n v="0"/>
    <d v="2014-02-01T00:00:00"/>
    <x v="1"/>
    <x v="2"/>
  </r>
  <r>
    <x v="2"/>
    <x v="2"/>
    <s v="Maret"/>
    <s v="Division_A"/>
    <x v="34"/>
    <n v="2016"/>
    <n v="0"/>
    <s v="TBM"/>
    <n v="17"/>
    <n v="2219"/>
    <s v="130.5"/>
    <x v="0"/>
    <n v="0"/>
    <n v="0"/>
    <n v="0"/>
    <d v="2014-03-01T00:00:00"/>
    <x v="1"/>
    <x v="2"/>
  </r>
  <r>
    <x v="2"/>
    <x v="3"/>
    <s v="April"/>
    <s v="Division_A"/>
    <x v="34"/>
    <n v="2016"/>
    <n v="0"/>
    <s v="TBM"/>
    <n v="17"/>
    <n v="2219"/>
    <s v="130.5"/>
    <x v="0"/>
    <n v="0"/>
    <n v="0"/>
    <n v="0"/>
    <d v="2014-04-01T00:00:00"/>
    <x v="1"/>
    <x v="2"/>
  </r>
  <r>
    <x v="2"/>
    <x v="4"/>
    <s v="Mei"/>
    <s v="Division_A"/>
    <x v="34"/>
    <n v="2016"/>
    <n v="0"/>
    <s v="TBM"/>
    <n v="17"/>
    <n v="2219"/>
    <s v="130.5"/>
    <x v="0"/>
    <n v="0"/>
    <n v="0"/>
    <n v="0"/>
    <d v="2014-05-01T00:00:00"/>
    <x v="1"/>
    <x v="2"/>
  </r>
  <r>
    <x v="2"/>
    <x v="5"/>
    <s v="Juni"/>
    <s v="Division_A"/>
    <x v="34"/>
    <n v="2016"/>
    <n v="0"/>
    <s v="TBM"/>
    <n v="17"/>
    <n v="2219"/>
    <s v="130.5"/>
    <x v="0"/>
    <n v="0"/>
    <n v="0"/>
    <n v="0"/>
    <d v="2014-06-01T00:00:00"/>
    <x v="1"/>
    <x v="2"/>
  </r>
  <r>
    <x v="2"/>
    <x v="6"/>
    <s v="Juli"/>
    <s v="Division_A"/>
    <x v="34"/>
    <n v="2016"/>
    <n v="0"/>
    <s v="TBM"/>
    <n v="17"/>
    <n v="2219"/>
    <s v="130.5"/>
    <x v="0"/>
    <n v="0"/>
    <n v="0"/>
    <n v="0"/>
    <d v="2014-07-01T00:00:00"/>
    <x v="1"/>
    <x v="2"/>
  </r>
  <r>
    <x v="2"/>
    <x v="7"/>
    <s v="Agustus"/>
    <s v="Division_A"/>
    <x v="34"/>
    <n v="2016"/>
    <n v="0"/>
    <s v="TBM"/>
    <n v="17"/>
    <n v="2219"/>
    <s v="130.5"/>
    <x v="0"/>
    <n v="0"/>
    <n v="0"/>
    <n v="0"/>
    <d v="2014-08-01T00:00:00"/>
    <x v="1"/>
    <x v="2"/>
  </r>
  <r>
    <x v="2"/>
    <x v="8"/>
    <s v="September"/>
    <s v="Division_A"/>
    <x v="34"/>
    <n v="2016"/>
    <n v="0"/>
    <s v="TBM"/>
    <n v="17"/>
    <n v="2219"/>
    <s v="130.5"/>
    <x v="0"/>
    <n v="0"/>
    <n v="0"/>
    <n v="0"/>
    <d v="2014-09-01T00:00:00"/>
    <x v="1"/>
    <x v="2"/>
  </r>
  <r>
    <x v="2"/>
    <x v="9"/>
    <s v="Oktober"/>
    <s v="Division_A"/>
    <x v="34"/>
    <n v="2016"/>
    <n v="0"/>
    <s v="TBM"/>
    <n v="17"/>
    <n v="2219"/>
    <s v="130.5"/>
    <x v="0"/>
    <n v="0"/>
    <n v="0"/>
    <n v="0"/>
    <d v="2014-10-01T00:00:00"/>
    <x v="1"/>
    <x v="2"/>
  </r>
  <r>
    <x v="2"/>
    <x v="10"/>
    <s v="November"/>
    <s v="Division_A"/>
    <x v="34"/>
    <n v="2016"/>
    <n v="0"/>
    <s v="TBM"/>
    <n v="17"/>
    <n v="2219"/>
    <s v="130.5"/>
    <x v="0"/>
    <n v="0"/>
    <n v="0"/>
    <n v="0"/>
    <d v="2014-11-01T00:00:00"/>
    <x v="1"/>
    <x v="2"/>
  </r>
  <r>
    <x v="2"/>
    <x v="11"/>
    <s v="Desember"/>
    <s v="Division_A"/>
    <x v="34"/>
    <n v="2016"/>
    <n v="0"/>
    <s v="TBM"/>
    <n v="17"/>
    <n v="2219"/>
    <s v="130.5"/>
    <x v="0"/>
    <n v="0"/>
    <n v="0"/>
    <n v="0"/>
    <d v="2014-12-01T00:00:00"/>
    <x v="1"/>
    <x v="2"/>
  </r>
  <r>
    <x v="2"/>
    <x v="0"/>
    <s v="Januari"/>
    <s v="Division_A"/>
    <x v="35"/>
    <n v="2016"/>
    <n v="0"/>
    <s v="TBM"/>
    <n v="15"/>
    <n v="2142"/>
    <s v="142.8"/>
    <x v="0"/>
    <n v="0"/>
    <n v="0"/>
    <n v="0"/>
    <d v="2014-01-01T00:00:00"/>
    <x v="1"/>
    <x v="2"/>
  </r>
  <r>
    <x v="2"/>
    <x v="1"/>
    <s v="Februari"/>
    <s v="Division_A"/>
    <x v="35"/>
    <n v="2016"/>
    <n v="0"/>
    <s v="TBM"/>
    <n v="15"/>
    <n v="2142"/>
    <s v="142.8"/>
    <x v="0"/>
    <n v="0"/>
    <n v="0"/>
    <n v="0"/>
    <d v="2014-02-01T00:00:00"/>
    <x v="1"/>
    <x v="2"/>
  </r>
  <r>
    <x v="2"/>
    <x v="2"/>
    <s v="Maret"/>
    <s v="Division_A"/>
    <x v="35"/>
    <n v="2016"/>
    <n v="0"/>
    <s v="TBM"/>
    <n v="15"/>
    <n v="2142"/>
    <s v="142.8"/>
    <x v="0"/>
    <n v="0"/>
    <n v="0"/>
    <n v="0"/>
    <d v="2014-03-01T00:00:00"/>
    <x v="1"/>
    <x v="2"/>
  </r>
  <r>
    <x v="2"/>
    <x v="3"/>
    <s v="April"/>
    <s v="Division_A"/>
    <x v="35"/>
    <n v="2016"/>
    <n v="0"/>
    <s v="TBM"/>
    <n v="15"/>
    <n v="2142"/>
    <s v="142.8"/>
    <x v="0"/>
    <n v="0"/>
    <n v="0"/>
    <n v="0"/>
    <d v="2014-04-01T00:00:00"/>
    <x v="1"/>
    <x v="2"/>
  </r>
  <r>
    <x v="2"/>
    <x v="4"/>
    <s v="Mei"/>
    <s v="Division_A"/>
    <x v="35"/>
    <n v="2016"/>
    <n v="0"/>
    <s v="TBM"/>
    <n v="15"/>
    <n v="2142"/>
    <s v="142.8"/>
    <x v="0"/>
    <n v="0"/>
    <n v="0"/>
    <n v="0"/>
    <d v="2014-05-01T00:00:00"/>
    <x v="1"/>
    <x v="2"/>
  </r>
  <r>
    <x v="2"/>
    <x v="5"/>
    <s v="Juni"/>
    <s v="Division_A"/>
    <x v="35"/>
    <n v="2016"/>
    <n v="0"/>
    <s v="TBM"/>
    <n v="15"/>
    <n v="2142"/>
    <s v="142.8"/>
    <x v="0"/>
    <n v="0"/>
    <n v="0"/>
    <n v="0"/>
    <d v="2014-06-01T00:00:00"/>
    <x v="1"/>
    <x v="2"/>
  </r>
  <r>
    <x v="2"/>
    <x v="6"/>
    <s v="Juli"/>
    <s v="Division_A"/>
    <x v="35"/>
    <n v="2016"/>
    <n v="0"/>
    <s v="TBM"/>
    <n v="15"/>
    <n v="2142"/>
    <s v="142.8"/>
    <x v="0"/>
    <n v="0"/>
    <n v="0"/>
    <n v="0"/>
    <d v="2014-07-01T00:00:00"/>
    <x v="1"/>
    <x v="2"/>
  </r>
  <r>
    <x v="2"/>
    <x v="7"/>
    <s v="Agustus"/>
    <s v="Division_A"/>
    <x v="35"/>
    <n v="2016"/>
    <n v="0"/>
    <s v="TBM"/>
    <n v="15"/>
    <n v="2142"/>
    <s v="142.8"/>
    <x v="0"/>
    <n v="0"/>
    <n v="0"/>
    <n v="0"/>
    <d v="2014-08-01T00:00:00"/>
    <x v="1"/>
    <x v="2"/>
  </r>
  <r>
    <x v="2"/>
    <x v="8"/>
    <s v="September"/>
    <s v="Division_A"/>
    <x v="35"/>
    <n v="2016"/>
    <n v="0"/>
    <s v="TBM"/>
    <n v="15"/>
    <n v="2142"/>
    <s v="142.8"/>
    <x v="0"/>
    <n v="0"/>
    <n v="0"/>
    <n v="0"/>
    <d v="2014-09-01T00:00:00"/>
    <x v="1"/>
    <x v="2"/>
  </r>
  <r>
    <x v="2"/>
    <x v="9"/>
    <s v="Oktober"/>
    <s v="Division_A"/>
    <x v="35"/>
    <n v="2016"/>
    <n v="0"/>
    <s v="TBM"/>
    <n v="15"/>
    <n v="2142"/>
    <s v="142.8"/>
    <x v="0"/>
    <n v="0"/>
    <n v="0"/>
    <n v="0"/>
    <d v="2014-10-01T00:00:00"/>
    <x v="1"/>
    <x v="2"/>
  </r>
  <r>
    <x v="2"/>
    <x v="10"/>
    <s v="November"/>
    <s v="Division_A"/>
    <x v="35"/>
    <n v="2016"/>
    <n v="0"/>
    <s v="TBM"/>
    <n v="15"/>
    <n v="2142"/>
    <s v="142.8"/>
    <x v="0"/>
    <n v="0"/>
    <n v="0"/>
    <n v="0"/>
    <d v="2014-11-01T00:00:00"/>
    <x v="1"/>
    <x v="2"/>
  </r>
  <r>
    <x v="2"/>
    <x v="11"/>
    <s v="Desember"/>
    <s v="Division_A"/>
    <x v="35"/>
    <n v="2016"/>
    <n v="0"/>
    <s v="TBM"/>
    <n v="15"/>
    <n v="2142"/>
    <s v="142.8"/>
    <x v="0"/>
    <n v="0"/>
    <n v="0"/>
    <n v="0"/>
    <d v="2014-12-01T00:00:00"/>
    <x v="1"/>
    <x v="2"/>
  </r>
  <r>
    <x v="2"/>
    <x v="0"/>
    <s v="Januari"/>
    <s v="Division_A"/>
    <x v="36"/>
    <n v="2016"/>
    <n v="0"/>
    <s v="TBM"/>
    <n v="24"/>
    <n v="3324"/>
    <s v="138.5"/>
    <x v="0"/>
    <n v="0"/>
    <n v="0"/>
    <n v="0"/>
    <d v="2014-01-01T00:00:00"/>
    <x v="1"/>
    <x v="2"/>
  </r>
  <r>
    <x v="2"/>
    <x v="1"/>
    <s v="Februari"/>
    <s v="Division_A"/>
    <x v="36"/>
    <n v="2016"/>
    <n v="0"/>
    <s v="TBM"/>
    <n v="24"/>
    <n v="3324"/>
    <s v="138.5"/>
    <x v="0"/>
    <n v="0"/>
    <n v="0"/>
    <n v="0"/>
    <d v="2014-02-01T00:00:00"/>
    <x v="1"/>
    <x v="2"/>
  </r>
  <r>
    <x v="2"/>
    <x v="2"/>
    <s v="Maret"/>
    <s v="Division_A"/>
    <x v="36"/>
    <n v="2016"/>
    <n v="0"/>
    <s v="TBM"/>
    <n v="24"/>
    <n v="3324"/>
    <s v="138.5"/>
    <x v="0"/>
    <n v="0"/>
    <n v="0"/>
    <n v="0"/>
    <d v="2014-03-01T00:00:00"/>
    <x v="1"/>
    <x v="2"/>
  </r>
  <r>
    <x v="2"/>
    <x v="3"/>
    <s v="April"/>
    <s v="Division_A"/>
    <x v="36"/>
    <n v="2016"/>
    <n v="0"/>
    <s v="TBM"/>
    <n v="24"/>
    <n v="3324"/>
    <s v="138.5"/>
    <x v="0"/>
    <n v="0"/>
    <n v="0"/>
    <n v="0"/>
    <d v="2014-04-01T00:00:00"/>
    <x v="1"/>
    <x v="2"/>
  </r>
  <r>
    <x v="2"/>
    <x v="4"/>
    <s v="Mei"/>
    <s v="Division_A"/>
    <x v="36"/>
    <n v="2016"/>
    <n v="0"/>
    <s v="TBM"/>
    <n v="24"/>
    <n v="3324"/>
    <s v="138.5"/>
    <x v="0"/>
    <n v="0"/>
    <n v="0"/>
    <n v="0"/>
    <d v="2014-05-01T00:00:00"/>
    <x v="1"/>
    <x v="2"/>
  </r>
  <r>
    <x v="2"/>
    <x v="5"/>
    <s v="Juni"/>
    <s v="Division_A"/>
    <x v="36"/>
    <n v="2016"/>
    <n v="0"/>
    <s v="TBM"/>
    <n v="24"/>
    <n v="3324"/>
    <s v="138.5"/>
    <x v="0"/>
    <n v="0"/>
    <n v="0"/>
    <n v="0"/>
    <d v="2014-06-01T00:00:00"/>
    <x v="1"/>
    <x v="2"/>
  </r>
  <r>
    <x v="2"/>
    <x v="6"/>
    <s v="Juli"/>
    <s v="Division_A"/>
    <x v="36"/>
    <n v="2016"/>
    <n v="0"/>
    <s v="TBM"/>
    <n v="24"/>
    <n v="3324"/>
    <s v="138.5"/>
    <x v="0"/>
    <n v="0"/>
    <n v="0"/>
    <n v="0"/>
    <d v="2014-07-01T00:00:00"/>
    <x v="1"/>
    <x v="2"/>
  </r>
  <r>
    <x v="2"/>
    <x v="7"/>
    <s v="Agustus"/>
    <s v="Division_A"/>
    <x v="36"/>
    <n v="2016"/>
    <n v="0"/>
    <s v="TBM"/>
    <n v="24"/>
    <n v="3324"/>
    <s v="138.5"/>
    <x v="0"/>
    <n v="0"/>
    <n v="0"/>
    <n v="0"/>
    <d v="2014-08-01T00:00:00"/>
    <x v="1"/>
    <x v="2"/>
  </r>
  <r>
    <x v="2"/>
    <x v="8"/>
    <s v="September"/>
    <s v="Division_A"/>
    <x v="36"/>
    <n v="2016"/>
    <n v="0"/>
    <s v="TBM"/>
    <n v="24"/>
    <n v="3324"/>
    <s v="138.5"/>
    <x v="0"/>
    <n v="0"/>
    <n v="0"/>
    <n v="0"/>
    <d v="2014-09-01T00:00:00"/>
    <x v="1"/>
    <x v="2"/>
  </r>
  <r>
    <x v="2"/>
    <x v="9"/>
    <s v="Oktober"/>
    <s v="Division_A"/>
    <x v="36"/>
    <n v="2016"/>
    <n v="0"/>
    <s v="TBM"/>
    <n v="24"/>
    <n v="3324"/>
    <s v="138.5"/>
    <x v="0"/>
    <n v="0"/>
    <n v="0"/>
    <n v="0"/>
    <d v="2014-10-01T00:00:00"/>
    <x v="1"/>
    <x v="2"/>
  </r>
  <r>
    <x v="2"/>
    <x v="10"/>
    <s v="November"/>
    <s v="Division_A"/>
    <x v="36"/>
    <n v="2016"/>
    <n v="0"/>
    <s v="TBM"/>
    <n v="24"/>
    <n v="3324"/>
    <s v="138.5"/>
    <x v="0"/>
    <n v="0"/>
    <n v="0"/>
    <n v="0"/>
    <d v="2014-11-01T00:00:00"/>
    <x v="1"/>
    <x v="2"/>
  </r>
  <r>
    <x v="2"/>
    <x v="11"/>
    <s v="Desember"/>
    <s v="Division_A"/>
    <x v="36"/>
    <n v="2016"/>
    <n v="0"/>
    <s v="TBM"/>
    <n v="24"/>
    <n v="3324"/>
    <s v="138.5"/>
    <x v="0"/>
    <n v="0"/>
    <n v="0"/>
    <n v="0"/>
    <d v="2014-12-01T00:00:00"/>
    <x v="1"/>
    <x v="2"/>
  </r>
  <r>
    <x v="2"/>
    <x v="0"/>
    <s v="Januari"/>
    <s v="Division_A"/>
    <x v="37"/>
    <n v="2016"/>
    <n v="0"/>
    <s v="TBM"/>
    <n v="20"/>
    <n v="2663"/>
    <s v="133.2"/>
    <x v="0"/>
    <n v="0"/>
    <n v="0"/>
    <n v="0"/>
    <d v="2014-01-01T00:00:00"/>
    <x v="1"/>
    <x v="2"/>
  </r>
  <r>
    <x v="2"/>
    <x v="1"/>
    <s v="Februari"/>
    <s v="Division_A"/>
    <x v="37"/>
    <n v="2016"/>
    <n v="0"/>
    <s v="TBM"/>
    <n v="20"/>
    <n v="2663"/>
    <s v="133.2"/>
    <x v="0"/>
    <n v="0"/>
    <n v="0"/>
    <n v="0"/>
    <d v="2014-02-01T00:00:00"/>
    <x v="1"/>
    <x v="2"/>
  </r>
  <r>
    <x v="2"/>
    <x v="2"/>
    <s v="Maret"/>
    <s v="Division_A"/>
    <x v="37"/>
    <n v="2016"/>
    <n v="0"/>
    <s v="TBM"/>
    <n v="20"/>
    <n v="2663"/>
    <s v="133.2"/>
    <x v="0"/>
    <n v="0"/>
    <n v="0"/>
    <n v="0"/>
    <d v="2014-03-01T00:00:00"/>
    <x v="1"/>
    <x v="2"/>
  </r>
  <r>
    <x v="2"/>
    <x v="3"/>
    <s v="April"/>
    <s v="Division_A"/>
    <x v="37"/>
    <n v="2016"/>
    <n v="0"/>
    <s v="TBM"/>
    <n v="20"/>
    <n v="2663"/>
    <s v="133.2"/>
    <x v="0"/>
    <n v="0"/>
    <n v="0"/>
    <n v="0"/>
    <d v="2014-04-01T00:00:00"/>
    <x v="1"/>
    <x v="2"/>
  </r>
  <r>
    <x v="2"/>
    <x v="4"/>
    <s v="Mei"/>
    <s v="Division_A"/>
    <x v="37"/>
    <n v="2016"/>
    <n v="0"/>
    <s v="TBM"/>
    <n v="20"/>
    <n v="2663"/>
    <s v="133.2"/>
    <x v="0"/>
    <n v="0"/>
    <n v="0"/>
    <n v="0"/>
    <d v="2014-05-01T00:00:00"/>
    <x v="1"/>
    <x v="2"/>
  </r>
  <r>
    <x v="2"/>
    <x v="5"/>
    <s v="Juni"/>
    <s v="Division_A"/>
    <x v="37"/>
    <n v="2016"/>
    <n v="0"/>
    <s v="TBM"/>
    <n v="20"/>
    <n v="2663"/>
    <s v="133.2"/>
    <x v="0"/>
    <n v="0"/>
    <n v="0"/>
    <n v="0"/>
    <d v="2014-06-01T00:00:00"/>
    <x v="1"/>
    <x v="2"/>
  </r>
  <r>
    <x v="2"/>
    <x v="6"/>
    <s v="Juli"/>
    <s v="Division_A"/>
    <x v="37"/>
    <n v="2016"/>
    <n v="0"/>
    <s v="TBM"/>
    <n v="20"/>
    <n v="2663"/>
    <s v="133.2"/>
    <x v="0"/>
    <n v="0"/>
    <n v="0"/>
    <n v="0"/>
    <d v="2014-07-01T00:00:00"/>
    <x v="1"/>
    <x v="2"/>
  </r>
  <r>
    <x v="2"/>
    <x v="7"/>
    <s v="Agustus"/>
    <s v="Division_A"/>
    <x v="37"/>
    <n v="2016"/>
    <n v="0"/>
    <s v="TBM"/>
    <n v="20"/>
    <n v="2663"/>
    <s v="133.2"/>
    <x v="0"/>
    <n v="0"/>
    <n v="0"/>
    <n v="0"/>
    <d v="2014-08-01T00:00:00"/>
    <x v="1"/>
    <x v="2"/>
  </r>
  <r>
    <x v="2"/>
    <x v="8"/>
    <s v="September"/>
    <s v="Division_A"/>
    <x v="37"/>
    <n v="2016"/>
    <n v="0"/>
    <s v="TBM"/>
    <n v="20"/>
    <n v="2663"/>
    <s v="133.2"/>
    <x v="0"/>
    <n v="0"/>
    <n v="0"/>
    <n v="0"/>
    <d v="2014-09-01T00:00:00"/>
    <x v="1"/>
    <x v="2"/>
  </r>
  <r>
    <x v="2"/>
    <x v="9"/>
    <s v="Oktober"/>
    <s v="Division_A"/>
    <x v="37"/>
    <n v="2016"/>
    <n v="0"/>
    <s v="TBM"/>
    <n v="20"/>
    <n v="2663"/>
    <s v="133.2"/>
    <x v="0"/>
    <n v="0"/>
    <n v="0"/>
    <n v="0"/>
    <d v="2014-10-01T00:00:00"/>
    <x v="1"/>
    <x v="2"/>
  </r>
  <r>
    <x v="2"/>
    <x v="10"/>
    <s v="November"/>
    <s v="Division_A"/>
    <x v="37"/>
    <n v="2016"/>
    <n v="0"/>
    <s v="TBM"/>
    <n v="20"/>
    <n v="2663"/>
    <s v="133.2"/>
    <x v="0"/>
    <n v="0"/>
    <n v="0"/>
    <n v="0"/>
    <d v="2014-11-01T00:00:00"/>
    <x v="1"/>
    <x v="2"/>
  </r>
  <r>
    <x v="2"/>
    <x v="11"/>
    <s v="Desember"/>
    <s v="Division_A"/>
    <x v="37"/>
    <n v="2016"/>
    <n v="0"/>
    <s v="TBM"/>
    <n v="20"/>
    <n v="2663"/>
    <s v="133.2"/>
    <x v="0"/>
    <n v="0"/>
    <n v="0"/>
    <n v="0"/>
    <d v="2014-12-01T00:00:00"/>
    <x v="1"/>
    <x v="2"/>
  </r>
  <r>
    <x v="2"/>
    <x v="0"/>
    <s v="Januari"/>
    <s v="Division_A"/>
    <x v="38"/>
    <n v="2016"/>
    <n v="0"/>
    <s v="TBM"/>
    <n v="14"/>
    <n v="1746"/>
    <s v="124.7"/>
    <x v="0"/>
    <n v="0"/>
    <n v="0"/>
    <n v="0"/>
    <d v="2014-01-01T00:00:00"/>
    <x v="1"/>
    <x v="2"/>
  </r>
  <r>
    <x v="2"/>
    <x v="1"/>
    <s v="Februari"/>
    <s v="Division_A"/>
    <x v="38"/>
    <n v="2016"/>
    <n v="0"/>
    <s v="TBM"/>
    <n v="14"/>
    <n v="1746"/>
    <s v="124.7"/>
    <x v="0"/>
    <n v="0"/>
    <n v="0"/>
    <n v="0"/>
    <d v="2014-02-01T00:00:00"/>
    <x v="1"/>
    <x v="2"/>
  </r>
  <r>
    <x v="2"/>
    <x v="2"/>
    <s v="Maret"/>
    <s v="Division_A"/>
    <x v="38"/>
    <n v="2016"/>
    <n v="0"/>
    <s v="TBM"/>
    <n v="14"/>
    <n v="1746"/>
    <s v="124.7"/>
    <x v="0"/>
    <n v="0"/>
    <n v="0"/>
    <n v="0"/>
    <d v="2014-03-01T00:00:00"/>
    <x v="1"/>
    <x v="2"/>
  </r>
  <r>
    <x v="2"/>
    <x v="3"/>
    <s v="April"/>
    <s v="Division_A"/>
    <x v="38"/>
    <n v="2016"/>
    <n v="0"/>
    <s v="TBM"/>
    <n v="14"/>
    <n v="1746"/>
    <s v="124.7"/>
    <x v="0"/>
    <n v="0"/>
    <n v="0"/>
    <n v="0"/>
    <d v="2014-04-01T00:00:00"/>
    <x v="1"/>
    <x v="2"/>
  </r>
  <r>
    <x v="2"/>
    <x v="4"/>
    <s v="Mei"/>
    <s v="Division_A"/>
    <x v="38"/>
    <n v="2016"/>
    <n v="0"/>
    <s v="TBM"/>
    <n v="14"/>
    <n v="1746"/>
    <s v="124.7"/>
    <x v="0"/>
    <n v="0"/>
    <n v="0"/>
    <n v="0"/>
    <d v="2014-05-01T00:00:00"/>
    <x v="1"/>
    <x v="2"/>
  </r>
  <r>
    <x v="2"/>
    <x v="5"/>
    <s v="Juni"/>
    <s v="Division_A"/>
    <x v="38"/>
    <n v="2016"/>
    <n v="0"/>
    <s v="TBM"/>
    <n v="14"/>
    <n v="1746"/>
    <s v="124.7"/>
    <x v="0"/>
    <n v="0"/>
    <n v="0"/>
    <n v="0"/>
    <d v="2014-06-01T00:00:00"/>
    <x v="1"/>
    <x v="2"/>
  </r>
  <r>
    <x v="2"/>
    <x v="6"/>
    <s v="Juli"/>
    <s v="Division_A"/>
    <x v="38"/>
    <n v="2016"/>
    <n v="0"/>
    <s v="TBM"/>
    <n v="14"/>
    <n v="1746"/>
    <s v="124.7"/>
    <x v="0"/>
    <n v="0"/>
    <n v="0"/>
    <n v="0"/>
    <d v="2014-07-01T00:00:00"/>
    <x v="1"/>
    <x v="2"/>
  </r>
  <r>
    <x v="2"/>
    <x v="7"/>
    <s v="Agustus"/>
    <s v="Division_A"/>
    <x v="38"/>
    <n v="2016"/>
    <n v="0"/>
    <s v="TBM"/>
    <n v="14"/>
    <n v="1746"/>
    <s v="124.7"/>
    <x v="0"/>
    <n v="0"/>
    <n v="0"/>
    <n v="0"/>
    <d v="2014-08-01T00:00:00"/>
    <x v="1"/>
    <x v="2"/>
  </r>
  <r>
    <x v="2"/>
    <x v="8"/>
    <s v="September"/>
    <s v="Division_A"/>
    <x v="38"/>
    <n v="2016"/>
    <n v="0"/>
    <s v="TBM"/>
    <n v="14"/>
    <n v="1746"/>
    <s v="124.7"/>
    <x v="0"/>
    <n v="0"/>
    <n v="0"/>
    <n v="0"/>
    <d v="2014-09-01T00:00:00"/>
    <x v="1"/>
    <x v="2"/>
  </r>
  <r>
    <x v="2"/>
    <x v="9"/>
    <s v="Oktober"/>
    <s v="Division_A"/>
    <x v="38"/>
    <n v="2016"/>
    <n v="0"/>
    <s v="TBM"/>
    <n v="14"/>
    <n v="1746"/>
    <s v="124.7"/>
    <x v="0"/>
    <n v="0"/>
    <n v="0"/>
    <n v="0"/>
    <d v="2014-10-01T00:00:00"/>
    <x v="1"/>
    <x v="2"/>
  </r>
  <r>
    <x v="2"/>
    <x v="10"/>
    <s v="November"/>
    <s v="Division_A"/>
    <x v="38"/>
    <n v="2016"/>
    <n v="0"/>
    <s v="TBM"/>
    <n v="14"/>
    <n v="1746"/>
    <s v="124.7"/>
    <x v="0"/>
    <n v="0"/>
    <n v="0"/>
    <n v="0"/>
    <d v="2014-11-01T00:00:00"/>
    <x v="1"/>
    <x v="2"/>
  </r>
  <r>
    <x v="2"/>
    <x v="11"/>
    <s v="Desember"/>
    <s v="Division_A"/>
    <x v="38"/>
    <n v="2016"/>
    <n v="0"/>
    <s v="TBM"/>
    <n v="14"/>
    <n v="1746"/>
    <s v="124.7"/>
    <x v="0"/>
    <n v="0"/>
    <n v="0"/>
    <n v="0"/>
    <d v="2014-12-01T00:00:00"/>
    <x v="1"/>
    <x v="2"/>
  </r>
  <r>
    <x v="2"/>
    <x v="0"/>
    <s v="Januari"/>
    <s v="Division_A"/>
    <x v="39"/>
    <n v="2016"/>
    <n v="0"/>
    <s v="TBM"/>
    <n v="24"/>
    <n v="3377"/>
    <s v="140.7"/>
    <x v="0"/>
    <n v="0"/>
    <n v="0"/>
    <n v="0"/>
    <d v="2014-01-01T00:00:00"/>
    <x v="1"/>
    <x v="2"/>
  </r>
  <r>
    <x v="2"/>
    <x v="1"/>
    <s v="Februari"/>
    <s v="Division_A"/>
    <x v="39"/>
    <n v="2016"/>
    <n v="0"/>
    <s v="TBM"/>
    <n v="24"/>
    <n v="3377"/>
    <s v="140.7"/>
    <x v="0"/>
    <n v="0"/>
    <n v="0"/>
    <n v="0"/>
    <d v="2014-02-01T00:00:00"/>
    <x v="1"/>
    <x v="2"/>
  </r>
  <r>
    <x v="2"/>
    <x v="2"/>
    <s v="Maret"/>
    <s v="Division_A"/>
    <x v="39"/>
    <n v="2016"/>
    <n v="0"/>
    <s v="TBM"/>
    <n v="24"/>
    <n v="3377"/>
    <s v="140.7"/>
    <x v="0"/>
    <n v="0"/>
    <n v="0"/>
    <n v="0"/>
    <d v="2014-03-01T00:00:00"/>
    <x v="1"/>
    <x v="2"/>
  </r>
  <r>
    <x v="2"/>
    <x v="3"/>
    <s v="April"/>
    <s v="Division_A"/>
    <x v="39"/>
    <n v="2016"/>
    <n v="0"/>
    <s v="TBM"/>
    <n v="24"/>
    <n v="3377"/>
    <s v="140.7"/>
    <x v="0"/>
    <n v="0"/>
    <n v="0"/>
    <n v="0"/>
    <d v="2014-04-01T00:00:00"/>
    <x v="1"/>
    <x v="2"/>
  </r>
  <r>
    <x v="2"/>
    <x v="4"/>
    <s v="Mei"/>
    <s v="Division_A"/>
    <x v="39"/>
    <n v="2016"/>
    <n v="0"/>
    <s v="TBM"/>
    <n v="24"/>
    <n v="3377"/>
    <s v="140.7"/>
    <x v="0"/>
    <n v="0"/>
    <n v="0"/>
    <n v="0"/>
    <d v="2014-05-01T00:00:00"/>
    <x v="1"/>
    <x v="2"/>
  </r>
  <r>
    <x v="2"/>
    <x v="5"/>
    <s v="Juni"/>
    <s v="Division_A"/>
    <x v="39"/>
    <n v="2016"/>
    <n v="0"/>
    <s v="TBM"/>
    <n v="24"/>
    <n v="3377"/>
    <s v="140.7"/>
    <x v="0"/>
    <n v="0"/>
    <n v="0"/>
    <n v="0"/>
    <d v="2014-06-01T00:00:00"/>
    <x v="1"/>
    <x v="2"/>
  </r>
  <r>
    <x v="2"/>
    <x v="6"/>
    <s v="Juli"/>
    <s v="Division_A"/>
    <x v="39"/>
    <n v="2016"/>
    <n v="0"/>
    <s v="TBM"/>
    <n v="24"/>
    <n v="3377"/>
    <s v="140.7"/>
    <x v="0"/>
    <n v="0"/>
    <n v="0"/>
    <n v="0"/>
    <d v="2014-07-01T00:00:00"/>
    <x v="1"/>
    <x v="2"/>
  </r>
  <r>
    <x v="2"/>
    <x v="7"/>
    <s v="Agustus"/>
    <s v="Division_A"/>
    <x v="39"/>
    <n v="2016"/>
    <n v="0"/>
    <s v="TBM"/>
    <n v="24"/>
    <n v="3377"/>
    <s v="140.7"/>
    <x v="0"/>
    <n v="0"/>
    <n v="0"/>
    <n v="0"/>
    <d v="2014-08-01T00:00:00"/>
    <x v="1"/>
    <x v="2"/>
  </r>
  <r>
    <x v="2"/>
    <x v="8"/>
    <s v="September"/>
    <s v="Division_A"/>
    <x v="39"/>
    <n v="2016"/>
    <n v="0"/>
    <s v="TBM"/>
    <n v="24"/>
    <n v="3377"/>
    <s v="140.7"/>
    <x v="0"/>
    <n v="0"/>
    <n v="0"/>
    <n v="0"/>
    <d v="2014-09-01T00:00:00"/>
    <x v="1"/>
    <x v="2"/>
  </r>
  <r>
    <x v="2"/>
    <x v="9"/>
    <s v="Oktober"/>
    <s v="Division_A"/>
    <x v="39"/>
    <n v="2016"/>
    <n v="0"/>
    <s v="TBM"/>
    <n v="24"/>
    <n v="3377"/>
    <s v="140.7"/>
    <x v="0"/>
    <n v="0"/>
    <n v="0"/>
    <n v="0"/>
    <d v="2014-10-01T00:00:00"/>
    <x v="1"/>
    <x v="2"/>
  </r>
  <r>
    <x v="2"/>
    <x v="10"/>
    <s v="November"/>
    <s v="Division_A"/>
    <x v="39"/>
    <n v="2016"/>
    <n v="0"/>
    <s v="TBM"/>
    <n v="24"/>
    <n v="3377"/>
    <s v="140.7"/>
    <x v="0"/>
    <n v="0"/>
    <n v="0"/>
    <n v="0"/>
    <d v="2014-11-01T00:00:00"/>
    <x v="1"/>
    <x v="2"/>
  </r>
  <r>
    <x v="2"/>
    <x v="11"/>
    <s v="Desember"/>
    <s v="Division_A"/>
    <x v="39"/>
    <n v="2016"/>
    <n v="0"/>
    <s v="TBM"/>
    <n v="24"/>
    <n v="3377"/>
    <s v="140.7"/>
    <x v="0"/>
    <n v="0"/>
    <n v="0"/>
    <n v="0"/>
    <d v="2014-12-01T00:00:00"/>
    <x v="1"/>
    <x v="2"/>
  </r>
  <r>
    <x v="2"/>
    <x v="0"/>
    <s v="Januari"/>
    <s v="Division_A"/>
    <x v="40"/>
    <n v="2016"/>
    <n v="0"/>
    <s v="TBM"/>
    <n v="25"/>
    <n v="3431"/>
    <s v="137.2"/>
    <x v="0"/>
    <n v="0"/>
    <n v="0"/>
    <n v="0"/>
    <d v="2014-01-01T00:00:00"/>
    <x v="1"/>
    <x v="2"/>
  </r>
  <r>
    <x v="2"/>
    <x v="1"/>
    <s v="Februari"/>
    <s v="Division_A"/>
    <x v="40"/>
    <n v="2016"/>
    <n v="0"/>
    <s v="TBM"/>
    <n v="25"/>
    <n v="3431"/>
    <s v="137.2"/>
    <x v="0"/>
    <n v="0"/>
    <n v="0"/>
    <n v="0"/>
    <d v="2014-02-01T00:00:00"/>
    <x v="1"/>
    <x v="2"/>
  </r>
  <r>
    <x v="2"/>
    <x v="2"/>
    <s v="Maret"/>
    <s v="Division_A"/>
    <x v="40"/>
    <n v="2016"/>
    <n v="0"/>
    <s v="TBM"/>
    <n v="25"/>
    <n v="3431"/>
    <s v="137.2"/>
    <x v="0"/>
    <n v="0"/>
    <n v="0"/>
    <n v="0"/>
    <d v="2014-03-01T00:00:00"/>
    <x v="1"/>
    <x v="2"/>
  </r>
  <r>
    <x v="2"/>
    <x v="3"/>
    <s v="April"/>
    <s v="Division_A"/>
    <x v="40"/>
    <n v="2016"/>
    <n v="0"/>
    <s v="TBM"/>
    <n v="25"/>
    <n v="3431"/>
    <s v="137.2"/>
    <x v="0"/>
    <n v="0"/>
    <n v="0"/>
    <n v="0"/>
    <d v="2014-04-01T00:00:00"/>
    <x v="1"/>
    <x v="2"/>
  </r>
  <r>
    <x v="2"/>
    <x v="4"/>
    <s v="Mei"/>
    <s v="Division_A"/>
    <x v="40"/>
    <n v="2016"/>
    <n v="0"/>
    <s v="TBM"/>
    <n v="25"/>
    <n v="3431"/>
    <s v="137.2"/>
    <x v="0"/>
    <n v="0"/>
    <n v="0"/>
    <n v="0"/>
    <d v="2014-05-01T00:00:00"/>
    <x v="1"/>
    <x v="2"/>
  </r>
  <r>
    <x v="2"/>
    <x v="5"/>
    <s v="Juni"/>
    <s v="Division_A"/>
    <x v="40"/>
    <n v="2016"/>
    <n v="0"/>
    <s v="TBM"/>
    <n v="25"/>
    <n v="3431"/>
    <s v="137.2"/>
    <x v="0"/>
    <n v="0"/>
    <n v="0"/>
    <n v="0"/>
    <d v="2014-06-01T00:00:00"/>
    <x v="1"/>
    <x v="2"/>
  </r>
  <r>
    <x v="2"/>
    <x v="6"/>
    <s v="Juli"/>
    <s v="Division_A"/>
    <x v="40"/>
    <n v="2016"/>
    <n v="0"/>
    <s v="TBM"/>
    <n v="25"/>
    <n v="3431"/>
    <s v="137.2"/>
    <x v="0"/>
    <n v="0"/>
    <n v="0"/>
    <n v="0"/>
    <d v="2014-07-01T00:00:00"/>
    <x v="1"/>
    <x v="2"/>
  </r>
  <r>
    <x v="2"/>
    <x v="7"/>
    <s v="Agustus"/>
    <s v="Division_A"/>
    <x v="40"/>
    <n v="2016"/>
    <n v="0"/>
    <s v="TBM"/>
    <n v="25"/>
    <n v="3431"/>
    <s v="137.2"/>
    <x v="0"/>
    <n v="0"/>
    <n v="0"/>
    <n v="0"/>
    <d v="2014-08-01T00:00:00"/>
    <x v="1"/>
    <x v="2"/>
  </r>
  <r>
    <x v="2"/>
    <x v="8"/>
    <s v="September"/>
    <s v="Division_A"/>
    <x v="40"/>
    <n v="2016"/>
    <n v="0"/>
    <s v="TBM"/>
    <n v="25"/>
    <n v="3431"/>
    <s v="137.2"/>
    <x v="0"/>
    <n v="0"/>
    <n v="0"/>
    <n v="0"/>
    <d v="2014-09-01T00:00:00"/>
    <x v="1"/>
    <x v="2"/>
  </r>
  <r>
    <x v="2"/>
    <x v="9"/>
    <s v="Oktober"/>
    <s v="Division_A"/>
    <x v="40"/>
    <n v="2016"/>
    <n v="0"/>
    <s v="TBM"/>
    <n v="25"/>
    <n v="3431"/>
    <s v="137.2"/>
    <x v="0"/>
    <n v="0"/>
    <n v="0"/>
    <n v="0"/>
    <d v="2014-10-01T00:00:00"/>
    <x v="1"/>
    <x v="2"/>
  </r>
  <r>
    <x v="2"/>
    <x v="10"/>
    <s v="November"/>
    <s v="Division_A"/>
    <x v="40"/>
    <n v="2016"/>
    <n v="0"/>
    <s v="TBM"/>
    <n v="25"/>
    <n v="3431"/>
    <s v="137.2"/>
    <x v="0"/>
    <n v="0"/>
    <n v="0"/>
    <n v="0"/>
    <d v="2014-11-01T00:00:00"/>
    <x v="1"/>
    <x v="2"/>
  </r>
  <r>
    <x v="2"/>
    <x v="11"/>
    <s v="Desember"/>
    <s v="Division_A"/>
    <x v="40"/>
    <n v="2016"/>
    <n v="0"/>
    <s v="TBM"/>
    <n v="25"/>
    <n v="3431"/>
    <s v="137.2"/>
    <x v="0"/>
    <n v="0"/>
    <n v="0"/>
    <n v="0"/>
    <d v="2014-12-01T00:00:00"/>
    <x v="1"/>
    <x v="2"/>
  </r>
  <r>
    <x v="2"/>
    <x v="0"/>
    <s v="Januari"/>
    <s v="Division_A"/>
    <x v="41"/>
    <n v="2016"/>
    <n v="0"/>
    <s v="TBM"/>
    <n v="21"/>
    <n v="2901"/>
    <s v="138.1"/>
    <x v="0"/>
    <n v="0"/>
    <n v="0"/>
    <n v="0"/>
    <d v="2014-01-01T00:00:00"/>
    <x v="1"/>
    <x v="2"/>
  </r>
  <r>
    <x v="2"/>
    <x v="1"/>
    <s v="Februari"/>
    <s v="Division_A"/>
    <x v="41"/>
    <n v="2016"/>
    <n v="0"/>
    <s v="TBM"/>
    <n v="21"/>
    <n v="2901"/>
    <s v="138.1"/>
    <x v="0"/>
    <n v="0"/>
    <n v="0"/>
    <n v="0"/>
    <d v="2014-02-01T00:00:00"/>
    <x v="1"/>
    <x v="2"/>
  </r>
  <r>
    <x v="2"/>
    <x v="2"/>
    <s v="Maret"/>
    <s v="Division_A"/>
    <x v="41"/>
    <n v="2016"/>
    <n v="0"/>
    <s v="TBM"/>
    <n v="21"/>
    <n v="2901"/>
    <s v="138.1"/>
    <x v="0"/>
    <n v="0"/>
    <n v="0"/>
    <n v="0"/>
    <d v="2014-03-01T00:00:00"/>
    <x v="1"/>
    <x v="2"/>
  </r>
  <r>
    <x v="2"/>
    <x v="3"/>
    <s v="April"/>
    <s v="Division_A"/>
    <x v="41"/>
    <n v="2016"/>
    <n v="0"/>
    <s v="TBM"/>
    <n v="21"/>
    <n v="2901"/>
    <s v="138.1"/>
    <x v="0"/>
    <n v="0"/>
    <n v="0"/>
    <n v="0"/>
    <d v="2014-04-01T00:00:00"/>
    <x v="1"/>
    <x v="2"/>
  </r>
  <r>
    <x v="2"/>
    <x v="4"/>
    <s v="Mei"/>
    <s v="Division_A"/>
    <x v="41"/>
    <n v="2016"/>
    <n v="0"/>
    <s v="TBM"/>
    <n v="21"/>
    <n v="2901"/>
    <s v="138.1"/>
    <x v="0"/>
    <n v="0"/>
    <n v="0"/>
    <n v="0"/>
    <d v="2014-05-01T00:00:00"/>
    <x v="1"/>
    <x v="2"/>
  </r>
  <r>
    <x v="2"/>
    <x v="5"/>
    <s v="Juni"/>
    <s v="Division_A"/>
    <x v="41"/>
    <n v="2016"/>
    <n v="0"/>
    <s v="TBM"/>
    <n v="21"/>
    <n v="2901"/>
    <s v="138.1"/>
    <x v="0"/>
    <n v="0"/>
    <n v="0"/>
    <n v="0"/>
    <d v="2014-06-01T00:00:00"/>
    <x v="1"/>
    <x v="2"/>
  </r>
  <r>
    <x v="2"/>
    <x v="6"/>
    <s v="Juli"/>
    <s v="Division_A"/>
    <x v="41"/>
    <n v="2016"/>
    <n v="0"/>
    <s v="TBM"/>
    <n v="21"/>
    <n v="2901"/>
    <s v="138.1"/>
    <x v="0"/>
    <n v="0"/>
    <n v="0"/>
    <n v="0"/>
    <d v="2014-07-01T00:00:00"/>
    <x v="1"/>
    <x v="2"/>
  </r>
  <r>
    <x v="2"/>
    <x v="7"/>
    <s v="Agustus"/>
    <s v="Division_A"/>
    <x v="41"/>
    <n v="2016"/>
    <n v="0"/>
    <s v="TBM"/>
    <n v="21"/>
    <n v="2901"/>
    <s v="138.1"/>
    <x v="0"/>
    <n v="0"/>
    <n v="0"/>
    <n v="0"/>
    <d v="2014-08-01T00:00:00"/>
    <x v="1"/>
    <x v="2"/>
  </r>
  <r>
    <x v="2"/>
    <x v="8"/>
    <s v="September"/>
    <s v="Division_A"/>
    <x v="41"/>
    <n v="2016"/>
    <n v="0"/>
    <s v="TBM"/>
    <n v="21"/>
    <n v="2901"/>
    <s v="138.1"/>
    <x v="0"/>
    <n v="0"/>
    <n v="0"/>
    <n v="0"/>
    <d v="2014-09-01T00:00:00"/>
    <x v="1"/>
    <x v="2"/>
  </r>
  <r>
    <x v="2"/>
    <x v="9"/>
    <s v="Oktober"/>
    <s v="Division_A"/>
    <x v="41"/>
    <n v="2016"/>
    <n v="0"/>
    <s v="TBM"/>
    <n v="21"/>
    <n v="2901"/>
    <s v="138.1"/>
    <x v="0"/>
    <n v="0"/>
    <n v="0"/>
    <n v="0"/>
    <d v="2014-10-01T00:00:00"/>
    <x v="1"/>
    <x v="2"/>
  </r>
  <r>
    <x v="2"/>
    <x v="10"/>
    <s v="November"/>
    <s v="Division_A"/>
    <x v="41"/>
    <n v="2016"/>
    <n v="0"/>
    <s v="TBM"/>
    <n v="21"/>
    <n v="2901"/>
    <s v="138.1"/>
    <x v="0"/>
    <n v="0"/>
    <n v="0"/>
    <n v="0"/>
    <d v="2014-11-01T00:00:00"/>
    <x v="1"/>
    <x v="2"/>
  </r>
  <r>
    <x v="2"/>
    <x v="11"/>
    <s v="Desember"/>
    <s v="Division_A"/>
    <x v="41"/>
    <n v="2016"/>
    <n v="0"/>
    <s v="TBM"/>
    <n v="21"/>
    <n v="2901"/>
    <s v="138.1"/>
    <x v="0"/>
    <n v="0"/>
    <n v="0"/>
    <n v="0"/>
    <d v="2014-12-01T00:00:00"/>
    <x v="1"/>
    <x v="2"/>
  </r>
  <r>
    <x v="3"/>
    <x v="0"/>
    <s v="Januari"/>
    <s v="Division_A"/>
    <x v="0"/>
    <n v="2000"/>
    <n v="15"/>
    <s v="TM-Utama"/>
    <n v="19"/>
    <n v="1490"/>
    <s v="78.4"/>
    <x v="0"/>
    <n v="0.66700000000000004"/>
    <n v="12674.5"/>
    <n v="12.675000000000001"/>
    <d v="2015-01-01T00:00:00"/>
    <x v="0"/>
    <x v="0"/>
  </r>
  <r>
    <x v="3"/>
    <x v="1"/>
    <s v="Februari"/>
    <s v="Division_A"/>
    <x v="0"/>
    <n v="2000"/>
    <n v="15"/>
    <s v="TM-Utama"/>
    <n v="19"/>
    <n v="1490"/>
    <s v="78.4"/>
    <x v="0"/>
    <n v="0.70599999999999996"/>
    <n v="13415.8"/>
    <n v="13.416"/>
    <d v="2015-02-01T00:00:00"/>
    <x v="0"/>
    <x v="0"/>
  </r>
  <r>
    <x v="3"/>
    <x v="2"/>
    <s v="Maret"/>
    <s v="Division_A"/>
    <x v="0"/>
    <n v="2000"/>
    <n v="15"/>
    <s v="TM-Utama"/>
    <n v="19"/>
    <n v="1490"/>
    <s v="78.4"/>
    <x v="0"/>
    <n v="0.96299999999999997"/>
    <n v="18299.599999999999"/>
    <n v="18.3"/>
    <d v="2015-03-01T00:00:00"/>
    <x v="0"/>
    <x v="0"/>
  </r>
  <r>
    <x v="3"/>
    <x v="3"/>
    <s v="April"/>
    <s v="Division_A"/>
    <x v="0"/>
    <n v="2000"/>
    <n v="15"/>
    <s v="TM-Utama"/>
    <n v="19"/>
    <n v="1490"/>
    <s v="78.4"/>
    <x v="0"/>
    <n v="0.87"/>
    <n v="16526.3"/>
    <n v="16.526"/>
    <d v="2015-04-01T00:00:00"/>
    <x v="0"/>
    <x v="0"/>
  </r>
  <r>
    <x v="3"/>
    <x v="4"/>
    <s v="Mei"/>
    <s v="Division_A"/>
    <x v="0"/>
    <n v="2000"/>
    <n v="15"/>
    <s v="TM-Utama"/>
    <n v="19"/>
    <n v="1490"/>
    <s v="78.4"/>
    <x v="0"/>
    <n v="0.95399999999999996"/>
    <n v="18125.099999999999"/>
    <n v="18.125"/>
    <d v="2015-05-01T00:00:00"/>
    <x v="0"/>
    <x v="0"/>
  </r>
  <r>
    <x v="3"/>
    <x v="5"/>
    <s v="Juni"/>
    <s v="Division_A"/>
    <x v="0"/>
    <n v="2000"/>
    <n v="15"/>
    <s v="TM-Utama"/>
    <n v="19"/>
    <n v="1490"/>
    <s v="78.4"/>
    <x v="0"/>
    <n v="1.3109999999999999"/>
    <n v="24913"/>
    <n v="24.913"/>
    <d v="2015-06-01T00:00:00"/>
    <x v="0"/>
    <x v="0"/>
  </r>
  <r>
    <x v="3"/>
    <x v="6"/>
    <s v="Juli"/>
    <s v="Division_A"/>
    <x v="0"/>
    <n v="2000"/>
    <n v="15"/>
    <s v="TM-Utama"/>
    <n v="19"/>
    <n v="1490"/>
    <s v="78.4"/>
    <x v="0"/>
    <n v="1.5309999999999999"/>
    <n v="29084.5"/>
    <n v="29.085000000000001"/>
    <d v="2015-07-01T00:00:00"/>
    <x v="0"/>
    <x v="0"/>
  </r>
  <r>
    <x v="3"/>
    <x v="7"/>
    <s v="Agustus"/>
    <s v="Division_A"/>
    <x v="0"/>
    <n v="2000"/>
    <n v="15"/>
    <s v="TM-Utama"/>
    <n v="19"/>
    <n v="1490"/>
    <s v="78.4"/>
    <x v="0"/>
    <n v="1.6779999999999999"/>
    <n v="31875.3"/>
    <n v="31.875"/>
    <d v="2015-08-01T00:00:00"/>
    <x v="0"/>
    <x v="0"/>
  </r>
  <r>
    <x v="3"/>
    <x v="8"/>
    <s v="September"/>
    <s v="Division_A"/>
    <x v="0"/>
    <n v="2000"/>
    <n v="15"/>
    <s v="TM-Utama"/>
    <n v="19"/>
    <n v="1490"/>
    <s v="78.4"/>
    <x v="0"/>
    <n v="1.3140000000000001"/>
    <n v="24956.6"/>
    <n v="24.957000000000001"/>
    <d v="2015-09-01T00:00:00"/>
    <x v="0"/>
    <x v="0"/>
  </r>
  <r>
    <x v="3"/>
    <x v="9"/>
    <s v="Oktober"/>
    <s v="Division_A"/>
    <x v="0"/>
    <n v="2000"/>
    <n v="15"/>
    <s v="TM-Utama"/>
    <n v="19"/>
    <n v="1490"/>
    <s v="78.4"/>
    <x v="0"/>
    <n v="1.292"/>
    <n v="24549.599999999999"/>
    <n v="24.55"/>
    <d v="2015-10-01T00:00:00"/>
    <x v="0"/>
    <x v="0"/>
  </r>
  <r>
    <x v="3"/>
    <x v="10"/>
    <s v="November"/>
    <s v="Division_A"/>
    <x v="0"/>
    <n v="2000"/>
    <n v="15"/>
    <s v="TM-Utama"/>
    <n v="19"/>
    <n v="1490"/>
    <s v="78.4"/>
    <x v="0"/>
    <n v="0.95699999999999996"/>
    <n v="18183.3"/>
    <n v="18.183"/>
    <d v="2015-11-01T00:00:00"/>
    <x v="0"/>
    <x v="0"/>
  </r>
  <r>
    <x v="3"/>
    <x v="11"/>
    <s v="Desember"/>
    <s v="Division_A"/>
    <x v="0"/>
    <n v="2000"/>
    <n v="15"/>
    <s v="TM-Utama"/>
    <n v="19"/>
    <n v="1490"/>
    <s v="78.4"/>
    <x v="0"/>
    <n v="0.94699999999999995"/>
    <n v="17994.3"/>
    <n v="17.994"/>
    <d v="2015-12-01T00:00:00"/>
    <x v="0"/>
    <x v="0"/>
  </r>
  <r>
    <x v="3"/>
    <x v="0"/>
    <s v="Januari"/>
    <s v="Division_A"/>
    <x v="1"/>
    <n v="2000"/>
    <n v="15"/>
    <s v="TM-Utama"/>
    <n v="24"/>
    <n v="1675"/>
    <s v="69.8"/>
    <x v="0"/>
    <n v="0.66700000000000004"/>
    <n v="16009.9"/>
    <n v="16.010000000000002"/>
    <d v="2015-01-01T00:00:00"/>
    <x v="0"/>
    <x v="0"/>
  </r>
  <r>
    <x v="3"/>
    <x v="1"/>
    <s v="Februari"/>
    <s v="Division_A"/>
    <x v="1"/>
    <n v="2000"/>
    <n v="15"/>
    <s v="TM-Utama"/>
    <n v="24"/>
    <n v="1675"/>
    <s v="69.8"/>
    <x v="0"/>
    <n v="0.70599999999999996"/>
    <n v="16946.3"/>
    <n v="16.946000000000002"/>
    <d v="2015-02-01T00:00:00"/>
    <x v="0"/>
    <x v="0"/>
  </r>
  <r>
    <x v="3"/>
    <x v="2"/>
    <s v="Maret"/>
    <s v="Division_A"/>
    <x v="1"/>
    <n v="2000"/>
    <n v="15"/>
    <s v="TM-Utama"/>
    <n v="24"/>
    <n v="1675"/>
    <s v="69.8"/>
    <x v="0"/>
    <n v="0.96299999999999997"/>
    <n v="23115.200000000001"/>
    <n v="23.114999999999998"/>
    <d v="2015-03-01T00:00:00"/>
    <x v="0"/>
    <x v="0"/>
  </r>
  <r>
    <x v="3"/>
    <x v="3"/>
    <s v="April"/>
    <s v="Division_A"/>
    <x v="1"/>
    <n v="2000"/>
    <n v="15"/>
    <s v="TM-Utama"/>
    <n v="24"/>
    <n v="1675"/>
    <s v="69.8"/>
    <x v="0"/>
    <n v="0.87"/>
    <n v="20875.3"/>
    <n v="20.875"/>
    <d v="2015-04-01T00:00:00"/>
    <x v="0"/>
    <x v="0"/>
  </r>
  <r>
    <x v="3"/>
    <x v="4"/>
    <s v="Mei"/>
    <s v="Division_A"/>
    <x v="1"/>
    <n v="2000"/>
    <n v="15"/>
    <s v="TM-Utama"/>
    <n v="24"/>
    <n v="1675"/>
    <s v="69.8"/>
    <x v="0"/>
    <n v="0.95399999999999996"/>
    <n v="22894.9"/>
    <n v="22.895"/>
    <d v="2015-05-01T00:00:00"/>
    <x v="0"/>
    <x v="0"/>
  </r>
  <r>
    <x v="3"/>
    <x v="5"/>
    <s v="Juni"/>
    <s v="Division_A"/>
    <x v="1"/>
    <n v="2000"/>
    <n v="15"/>
    <s v="TM-Utama"/>
    <n v="24"/>
    <n v="1675"/>
    <s v="69.8"/>
    <x v="0"/>
    <n v="1.3109999999999999"/>
    <n v="31469"/>
    <n v="31.469000000000001"/>
    <d v="2015-06-01T00:00:00"/>
    <x v="0"/>
    <x v="0"/>
  </r>
  <r>
    <x v="3"/>
    <x v="6"/>
    <s v="Juli"/>
    <s v="Division_A"/>
    <x v="1"/>
    <n v="2000"/>
    <n v="15"/>
    <s v="TM-Utama"/>
    <n v="24"/>
    <n v="1675"/>
    <s v="69.8"/>
    <x v="0"/>
    <n v="1.5309999999999999"/>
    <n v="36738.400000000001"/>
    <n v="36.738"/>
    <d v="2015-07-01T00:00:00"/>
    <x v="0"/>
    <x v="0"/>
  </r>
  <r>
    <x v="3"/>
    <x v="7"/>
    <s v="Agustus"/>
    <s v="Division_A"/>
    <x v="1"/>
    <n v="2000"/>
    <n v="15"/>
    <s v="TM-Utama"/>
    <n v="24"/>
    <n v="1675"/>
    <s v="69.8"/>
    <x v="0"/>
    <n v="1.6779999999999999"/>
    <n v="40263.5"/>
    <n v="40.262999999999998"/>
    <d v="2015-08-01T00:00:00"/>
    <x v="0"/>
    <x v="0"/>
  </r>
  <r>
    <x v="3"/>
    <x v="8"/>
    <s v="September"/>
    <s v="Division_A"/>
    <x v="1"/>
    <n v="2000"/>
    <n v="15"/>
    <s v="TM-Utama"/>
    <n v="24"/>
    <n v="1675"/>
    <s v="69.8"/>
    <x v="0"/>
    <n v="1.3140000000000001"/>
    <n v="31524.1"/>
    <n v="31.524000000000001"/>
    <d v="2015-09-01T00:00:00"/>
    <x v="0"/>
    <x v="0"/>
  </r>
  <r>
    <x v="3"/>
    <x v="9"/>
    <s v="Oktober"/>
    <s v="Division_A"/>
    <x v="1"/>
    <n v="2000"/>
    <n v="15"/>
    <s v="TM-Utama"/>
    <n v="24"/>
    <n v="1675"/>
    <s v="69.8"/>
    <x v="0"/>
    <n v="1.292"/>
    <n v="31010"/>
    <n v="31.01"/>
    <d v="2015-10-01T00:00:00"/>
    <x v="0"/>
    <x v="0"/>
  </r>
  <r>
    <x v="3"/>
    <x v="10"/>
    <s v="November"/>
    <s v="Division_A"/>
    <x v="1"/>
    <n v="2000"/>
    <n v="15"/>
    <s v="TM-Utama"/>
    <n v="24"/>
    <n v="1675"/>
    <s v="69.8"/>
    <x v="0"/>
    <n v="0.95699999999999996"/>
    <n v="22968.400000000001"/>
    <n v="22.968"/>
    <d v="2015-11-01T00:00:00"/>
    <x v="0"/>
    <x v="0"/>
  </r>
  <r>
    <x v="3"/>
    <x v="11"/>
    <s v="Desember"/>
    <s v="Division_A"/>
    <x v="1"/>
    <n v="2000"/>
    <n v="15"/>
    <s v="TM-Utama"/>
    <n v="24"/>
    <n v="1675"/>
    <s v="69.8"/>
    <x v="0"/>
    <n v="0.94699999999999995"/>
    <n v="22729.7"/>
    <n v="22.73"/>
    <d v="2015-12-01T00:00:00"/>
    <x v="0"/>
    <x v="0"/>
  </r>
  <r>
    <x v="3"/>
    <x v="0"/>
    <s v="Januari"/>
    <s v="Division_A"/>
    <x v="2"/>
    <n v="2005"/>
    <n v="10"/>
    <s v="TM-Utama"/>
    <n v="18"/>
    <n v="1922"/>
    <s v="106.8"/>
    <x v="0"/>
    <n v="0.69799999999999995"/>
    <n v="12569.9"/>
    <n v="12.57"/>
    <d v="2015-01-01T00:00:00"/>
    <x v="0"/>
    <x v="1"/>
  </r>
  <r>
    <x v="3"/>
    <x v="1"/>
    <s v="Februari"/>
    <s v="Division_A"/>
    <x v="2"/>
    <n v="2005"/>
    <n v="10"/>
    <s v="TM-Utama"/>
    <n v="18"/>
    <n v="1922"/>
    <s v="106.8"/>
    <x v="0"/>
    <n v="0.73899999999999999"/>
    <n v="13305"/>
    <n v="13.305"/>
    <d v="2015-02-01T00:00:00"/>
    <x v="0"/>
    <x v="1"/>
  </r>
  <r>
    <x v="3"/>
    <x v="2"/>
    <s v="Maret"/>
    <s v="Division_A"/>
    <x v="2"/>
    <n v="2005"/>
    <n v="10"/>
    <s v="TM-Utama"/>
    <n v="18"/>
    <n v="1922"/>
    <s v="106.8"/>
    <x v="0"/>
    <n v="1.008"/>
    <n v="18148.5"/>
    <n v="18.148"/>
    <d v="2015-03-01T00:00:00"/>
    <x v="0"/>
    <x v="1"/>
  </r>
  <r>
    <x v="3"/>
    <x v="3"/>
    <s v="April"/>
    <s v="Division_A"/>
    <x v="2"/>
    <n v="2005"/>
    <n v="10"/>
    <s v="TM-Utama"/>
    <n v="18"/>
    <n v="1922"/>
    <s v="106.8"/>
    <x v="0"/>
    <n v="0.91100000000000003"/>
    <n v="16389.900000000001"/>
    <n v="16.39"/>
    <d v="2015-04-01T00:00:00"/>
    <x v="0"/>
    <x v="1"/>
  </r>
  <r>
    <x v="3"/>
    <x v="4"/>
    <s v="Mei"/>
    <s v="Division_A"/>
    <x v="2"/>
    <n v="2005"/>
    <n v="10"/>
    <s v="TM-Utama"/>
    <n v="18"/>
    <n v="1922"/>
    <s v="106.8"/>
    <x v="0"/>
    <n v="0.999"/>
    <n v="17975.5"/>
    <n v="17.975999999999999"/>
    <d v="2015-05-01T00:00:00"/>
    <x v="0"/>
    <x v="1"/>
  </r>
  <r>
    <x v="3"/>
    <x v="5"/>
    <s v="Juni"/>
    <s v="Division_A"/>
    <x v="2"/>
    <n v="2005"/>
    <n v="10"/>
    <s v="TM-Utama"/>
    <n v="18"/>
    <n v="1922"/>
    <s v="106.8"/>
    <x v="0"/>
    <n v="1.373"/>
    <n v="24707.3"/>
    <n v="24.707000000000001"/>
    <d v="2015-06-01T00:00:00"/>
    <x v="0"/>
    <x v="1"/>
  </r>
  <r>
    <x v="3"/>
    <x v="6"/>
    <s v="Juli"/>
    <s v="Division_A"/>
    <x v="2"/>
    <n v="2005"/>
    <n v="10"/>
    <s v="TM-Utama"/>
    <n v="18"/>
    <n v="1922"/>
    <s v="106.8"/>
    <x v="0"/>
    <n v="1.6020000000000001"/>
    <n v="28844.400000000001"/>
    <n v="28.844000000000001"/>
    <d v="2015-07-01T00:00:00"/>
    <x v="0"/>
    <x v="1"/>
  </r>
  <r>
    <x v="3"/>
    <x v="7"/>
    <s v="Agustus"/>
    <s v="Division_A"/>
    <x v="2"/>
    <n v="2005"/>
    <n v="10"/>
    <s v="TM-Utama"/>
    <n v="18"/>
    <n v="1922"/>
    <s v="106.8"/>
    <x v="0"/>
    <n v="1.756"/>
    <n v="31612.1"/>
    <n v="31.611999999999998"/>
    <d v="2015-08-01T00:00:00"/>
    <x v="0"/>
    <x v="1"/>
  </r>
  <r>
    <x v="3"/>
    <x v="8"/>
    <s v="September"/>
    <s v="Division_A"/>
    <x v="2"/>
    <n v="2005"/>
    <n v="10"/>
    <s v="TM-Utama"/>
    <n v="18"/>
    <n v="1922"/>
    <s v="106.8"/>
    <x v="0"/>
    <n v="1.375"/>
    <n v="24750.6"/>
    <n v="24.751000000000001"/>
    <d v="2015-09-01T00:00:00"/>
    <x v="0"/>
    <x v="1"/>
  </r>
  <r>
    <x v="3"/>
    <x v="9"/>
    <s v="Oktober"/>
    <s v="Division_A"/>
    <x v="2"/>
    <n v="2005"/>
    <n v="10"/>
    <s v="TM-Utama"/>
    <n v="18"/>
    <n v="1922"/>
    <s v="106.8"/>
    <x v="0"/>
    <n v="1.353"/>
    <n v="24346.9"/>
    <n v="24.347000000000001"/>
    <d v="2015-10-01T00:00:00"/>
    <x v="0"/>
    <x v="1"/>
  </r>
  <r>
    <x v="3"/>
    <x v="10"/>
    <s v="November"/>
    <s v="Division_A"/>
    <x v="2"/>
    <n v="2005"/>
    <n v="10"/>
    <s v="TM-Utama"/>
    <n v="18"/>
    <n v="1922"/>
    <s v="106.8"/>
    <x v="0"/>
    <n v="1.002"/>
    <n v="18033.2"/>
    <n v="18.033000000000001"/>
    <d v="2015-11-01T00:00:00"/>
    <x v="0"/>
    <x v="1"/>
  </r>
  <r>
    <x v="3"/>
    <x v="11"/>
    <s v="Desember"/>
    <s v="Division_A"/>
    <x v="2"/>
    <n v="2005"/>
    <n v="10"/>
    <s v="TM-Utama"/>
    <n v="18"/>
    <n v="1922"/>
    <s v="106.8"/>
    <x v="0"/>
    <n v="0.99099999999999999"/>
    <n v="17845.8"/>
    <n v="17.846"/>
    <d v="2015-12-01T00:00:00"/>
    <x v="0"/>
    <x v="1"/>
  </r>
  <r>
    <x v="3"/>
    <x v="0"/>
    <s v="Januari"/>
    <s v="Division_A"/>
    <x v="3"/>
    <n v="2005"/>
    <n v="10"/>
    <s v="TM-Utama"/>
    <n v="26"/>
    <n v="2827"/>
    <s v="108.7"/>
    <x v="0"/>
    <n v="0.71099999999999997"/>
    <n v="18488.599999999999"/>
    <n v="18.489000000000001"/>
    <d v="2015-01-01T00:00:00"/>
    <x v="0"/>
    <x v="1"/>
  </r>
  <r>
    <x v="3"/>
    <x v="1"/>
    <s v="Februari"/>
    <s v="Division_A"/>
    <x v="3"/>
    <n v="2005"/>
    <n v="10"/>
    <s v="TM-Utama"/>
    <n v="26"/>
    <n v="2827"/>
    <s v="108.7"/>
    <x v="0"/>
    <n v="0.753"/>
    <n v="19569.900000000001"/>
    <n v="19.57"/>
    <d v="2015-02-01T00:00:00"/>
    <x v="0"/>
    <x v="1"/>
  </r>
  <r>
    <x v="3"/>
    <x v="2"/>
    <s v="Maret"/>
    <s v="Division_A"/>
    <x v="3"/>
    <n v="2005"/>
    <n v="10"/>
    <s v="TM-Utama"/>
    <n v="26"/>
    <n v="2827"/>
    <s v="108.7"/>
    <x v="0"/>
    <n v="1.0269999999999999"/>
    <n v="26693.9"/>
    <n v="26.693999999999999"/>
    <d v="2015-03-01T00:00:00"/>
    <x v="0"/>
    <x v="1"/>
  </r>
  <r>
    <x v="3"/>
    <x v="3"/>
    <s v="April"/>
    <s v="Division_A"/>
    <x v="3"/>
    <n v="2005"/>
    <n v="10"/>
    <s v="TM-Utama"/>
    <n v="26"/>
    <n v="2827"/>
    <s v="108.7"/>
    <x v="0"/>
    <n v="0.92700000000000005"/>
    <n v="24107.200000000001"/>
    <n v="24.106999999999999"/>
    <d v="2015-04-01T00:00:00"/>
    <x v="0"/>
    <x v="1"/>
  </r>
  <r>
    <x v="3"/>
    <x v="4"/>
    <s v="Mei"/>
    <s v="Division_A"/>
    <x v="3"/>
    <n v="2005"/>
    <n v="10"/>
    <s v="TM-Utama"/>
    <n v="26"/>
    <n v="2827"/>
    <s v="108.7"/>
    <x v="0"/>
    <n v="1.0169999999999999"/>
    <n v="26439.5"/>
    <n v="26.44"/>
    <d v="2015-05-01T00:00:00"/>
    <x v="0"/>
    <x v="1"/>
  </r>
  <r>
    <x v="3"/>
    <x v="5"/>
    <s v="Juni"/>
    <s v="Division_A"/>
    <x v="3"/>
    <n v="2005"/>
    <n v="10"/>
    <s v="TM-Utama"/>
    <n v="26"/>
    <n v="2827"/>
    <s v="108.7"/>
    <x v="0"/>
    <n v="1.3979999999999999"/>
    <n v="36341.1"/>
    <n v="36.341000000000001"/>
    <d v="2015-06-01T00:00:00"/>
    <x v="0"/>
    <x v="1"/>
  </r>
  <r>
    <x v="3"/>
    <x v="6"/>
    <s v="Juli"/>
    <s v="Division_A"/>
    <x v="3"/>
    <n v="2005"/>
    <n v="10"/>
    <s v="TM-Utama"/>
    <n v="26"/>
    <n v="2827"/>
    <s v="108.7"/>
    <x v="0"/>
    <n v="1.6319999999999999"/>
    <n v="42426.2"/>
    <n v="42.426000000000002"/>
    <d v="2015-07-01T00:00:00"/>
    <x v="0"/>
    <x v="1"/>
  </r>
  <r>
    <x v="3"/>
    <x v="7"/>
    <s v="Agustus"/>
    <s v="Division_A"/>
    <x v="3"/>
    <n v="2005"/>
    <n v="10"/>
    <s v="TM-Utama"/>
    <n v="26"/>
    <n v="2827"/>
    <s v="108.7"/>
    <x v="0"/>
    <n v="1.788"/>
    <n v="46497.1"/>
    <n v="46.497"/>
    <d v="2015-08-01T00:00:00"/>
    <x v="0"/>
    <x v="1"/>
  </r>
  <r>
    <x v="3"/>
    <x v="8"/>
    <s v="September"/>
    <s v="Division_A"/>
    <x v="3"/>
    <n v="2005"/>
    <n v="10"/>
    <s v="TM-Utama"/>
    <n v="26"/>
    <n v="2827"/>
    <s v="108.7"/>
    <x v="0"/>
    <n v="1.4"/>
    <n v="36404.699999999997"/>
    <n v="36.405000000000001"/>
    <d v="2015-09-01T00:00:00"/>
    <x v="0"/>
    <x v="1"/>
  </r>
  <r>
    <x v="3"/>
    <x v="9"/>
    <s v="Oktober"/>
    <s v="Division_A"/>
    <x v="3"/>
    <n v="2005"/>
    <n v="10"/>
    <s v="TM-Utama"/>
    <n v="26"/>
    <n v="2827"/>
    <s v="108.7"/>
    <x v="0"/>
    <n v="1.377"/>
    <n v="35811"/>
    <n v="35.811"/>
    <d v="2015-10-01T00:00:00"/>
    <x v="0"/>
    <x v="1"/>
  </r>
  <r>
    <x v="3"/>
    <x v="10"/>
    <s v="November"/>
    <s v="Division_A"/>
    <x v="3"/>
    <n v="2005"/>
    <n v="10"/>
    <s v="TM-Utama"/>
    <n v="26"/>
    <n v="2827"/>
    <s v="108.7"/>
    <x v="0"/>
    <n v="1.02"/>
    <n v="26524.3"/>
    <n v="26.524000000000001"/>
    <d v="2015-11-01T00:00:00"/>
    <x v="0"/>
    <x v="1"/>
  </r>
  <r>
    <x v="3"/>
    <x v="11"/>
    <s v="Desember"/>
    <s v="Division_A"/>
    <x v="3"/>
    <n v="2005"/>
    <n v="10"/>
    <s v="TM-Utama"/>
    <n v="26"/>
    <n v="2827"/>
    <s v="108.7"/>
    <x v="0"/>
    <n v="1.01"/>
    <n v="26248.7"/>
    <n v="26.248999999999999"/>
    <d v="2015-12-01T00:00:00"/>
    <x v="0"/>
    <x v="1"/>
  </r>
  <r>
    <x v="3"/>
    <x v="0"/>
    <s v="Januari"/>
    <s v="Division_A"/>
    <x v="4"/>
    <n v="2005"/>
    <n v="10"/>
    <s v="TM-Utama"/>
    <n v="24"/>
    <n v="1947"/>
    <s v="81.1"/>
    <x v="1"/>
    <n v="0.66700000000000004"/>
    <n v="16009.9"/>
    <n v="16.010000000000002"/>
    <d v="2015-01-01T00:00:00"/>
    <x v="0"/>
    <x v="1"/>
  </r>
  <r>
    <x v="3"/>
    <x v="1"/>
    <s v="Februari"/>
    <s v="Division_A"/>
    <x v="4"/>
    <n v="2005"/>
    <n v="10"/>
    <s v="TM-Utama"/>
    <n v="24"/>
    <n v="1947"/>
    <s v="81.1"/>
    <x v="1"/>
    <n v="0.70599999999999996"/>
    <n v="16946.3"/>
    <n v="16.946000000000002"/>
    <d v="2015-02-01T00:00:00"/>
    <x v="0"/>
    <x v="1"/>
  </r>
  <r>
    <x v="3"/>
    <x v="2"/>
    <s v="Maret"/>
    <s v="Division_A"/>
    <x v="4"/>
    <n v="2005"/>
    <n v="10"/>
    <s v="TM-Utama"/>
    <n v="24"/>
    <n v="1947"/>
    <s v="81.1"/>
    <x v="1"/>
    <n v="0.96299999999999997"/>
    <n v="23115.200000000001"/>
    <n v="23.114999999999998"/>
    <d v="2015-03-01T00:00:00"/>
    <x v="0"/>
    <x v="1"/>
  </r>
  <r>
    <x v="3"/>
    <x v="3"/>
    <s v="April"/>
    <s v="Division_A"/>
    <x v="4"/>
    <n v="2005"/>
    <n v="10"/>
    <s v="TM-Utama"/>
    <n v="24"/>
    <n v="1947"/>
    <s v="81.1"/>
    <x v="1"/>
    <n v="0.87"/>
    <n v="20875.3"/>
    <n v="20.875"/>
    <d v="2015-04-01T00:00:00"/>
    <x v="0"/>
    <x v="1"/>
  </r>
  <r>
    <x v="3"/>
    <x v="4"/>
    <s v="Mei"/>
    <s v="Division_A"/>
    <x v="4"/>
    <n v="2005"/>
    <n v="10"/>
    <s v="TM-Utama"/>
    <n v="24"/>
    <n v="1947"/>
    <s v="81.1"/>
    <x v="1"/>
    <n v="0.95399999999999996"/>
    <n v="22894.9"/>
    <n v="22.895"/>
    <d v="2015-05-01T00:00:00"/>
    <x v="0"/>
    <x v="1"/>
  </r>
  <r>
    <x v="3"/>
    <x v="5"/>
    <s v="Juni"/>
    <s v="Division_A"/>
    <x v="4"/>
    <n v="2005"/>
    <n v="10"/>
    <s v="TM-Utama"/>
    <n v="24"/>
    <n v="1947"/>
    <s v="81.1"/>
    <x v="1"/>
    <n v="1.3109999999999999"/>
    <n v="31469"/>
    <n v="31.469000000000001"/>
    <d v="2015-06-01T00:00:00"/>
    <x v="0"/>
    <x v="1"/>
  </r>
  <r>
    <x v="3"/>
    <x v="6"/>
    <s v="Juli"/>
    <s v="Division_A"/>
    <x v="4"/>
    <n v="2005"/>
    <n v="10"/>
    <s v="TM-Utama"/>
    <n v="24"/>
    <n v="1947"/>
    <s v="81.1"/>
    <x v="1"/>
    <n v="1.5309999999999999"/>
    <n v="36738.400000000001"/>
    <n v="36.738"/>
    <d v="2015-07-01T00:00:00"/>
    <x v="0"/>
    <x v="1"/>
  </r>
  <r>
    <x v="3"/>
    <x v="7"/>
    <s v="Agustus"/>
    <s v="Division_A"/>
    <x v="4"/>
    <n v="2005"/>
    <n v="10"/>
    <s v="TM-Utama"/>
    <n v="24"/>
    <n v="1947"/>
    <s v="81.1"/>
    <x v="1"/>
    <n v="1.6779999999999999"/>
    <n v="40263.5"/>
    <n v="40.262999999999998"/>
    <d v="2015-08-01T00:00:00"/>
    <x v="0"/>
    <x v="1"/>
  </r>
  <r>
    <x v="3"/>
    <x v="8"/>
    <s v="September"/>
    <s v="Division_A"/>
    <x v="4"/>
    <n v="2005"/>
    <n v="10"/>
    <s v="TM-Utama"/>
    <n v="24"/>
    <n v="1947"/>
    <s v="81.1"/>
    <x v="1"/>
    <n v="1.3140000000000001"/>
    <n v="31524.1"/>
    <n v="31.524000000000001"/>
    <d v="2015-09-01T00:00:00"/>
    <x v="0"/>
    <x v="1"/>
  </r>
  <r>
    <x v="3"/>
    <x v="9"/>
    <s v="Oktober"/>
    <s v="Division_A"/>
    <x v="4"/>
    <n v="2005"/>
    <n v="10"/>
    <s v="TM-Utama"/>
    <n v="24"/>
    <n v="1947"/>
    <s v="81.1"/>
    <x v="1"/>
    <n v="1.292"/>
    <n v="31010"/>
    <n v="31.01"/>
    <d v="2015-10-01T00:00:00"/>
    <x v="0"/>
    <x v="1"/>
  </r>
  <r>
    <x v="3"/>
    <x v="10"/>
    <s v="November"/>
    <s v="Division_A"/>
    <x v="4"/>
    <n v="2005"/>
    <n v="10"/>
    <s v="TM-Utama"/>
    <n v="24"/>
    <n v="1947"/>
    <s v="81.1"/>
    <x v="1"/>
    <n v="0.95699999999999996"/>
    <n v="22968.400000000001"/>
    <n v="22.968"/>
    <d v="2015-11-01T00:00:00"/>
    <x v="0"/>
    <x v="1"/>
  </r>
  <r>
    <x v="3"/>
    <x v="11"/>
    <s v="Desember"/>
    <s v="Division_A"/>
    <x v="4"/>
    <n v="2005"/>
    <n v="10"/>
    <s v="TM-Utama"/>
    <n v="24"/>
    <n v="1947"/>
    <s v="81.1"/>
    <x v="1"/>
    <n v="0.94699999999999995"/>
    <n v="22729.7"/>
    <n v="22.73"/>
    <d v="2015-12-01T00:00:00"/>
    <x v="0"/>
    <x v="1"/>
  </r>
  <r>
    <x v="3"/>
    <x v="0"/>
    <s v="Januari"/>
    <s v="Division_A"/>
    <x v="5"/>
    <n v="2006"/>
    <n v="9"/>
    <s v="TM-Utama"/>
    <n v="25"/>
    <n v="2740"/>
    <s v="109.6"/>
    <x v="1"/>
    <n v="0.71699999999999997"/>
    <n v="17919.599999999999"/>
    <n v="17.920000000000002"/>
    <d v="2015-01-01T00:00:00"/>
    <x v="0"/>
    <x v="1"/>
  </r>
  <r>
    <x v="3"/>
    <x v="1"/>
    <s v="Februari"/>
    <s v="Division_A"/>
    <x v="5"/>
    <n v="2006"/>
    <n v="9"/>
    <s v="TM-Utama"/>
    <n v="25"/>
    <n v="2740"/>
    <s v="109.6"/>
    <x v="1"/>
    <n v="0.75900000000000001"/>
    <n v="18967.599999999999"/>
    <n v="18.968"/>
    <d v="2015-02-01T00:00:00"/>
    <x v="0"/>
    <x v="1"/>
  </r>
  <r>
    <x v="3"/>
    <x v="2"/>
    <s v="Maret"/>
    <s v="Division_A"/>
    <x v="5"/>
    <n v="2006"/>
    <n v="9"/>
    <s v="TM-Utama"/>
    <n v="25"/>
    <n v="2740"/>
    <s v="109.6"/>
    <x v="1"/>
    <n v="1.0349999999999999"/>
    <n v="25872.400000000001"/>
    <n v="25.872"/>
    <d v="2015-03-01T00:00:00"/>
    <x v="0"/>
    <x v="1"/>
  </r>
  <r>
    <x v="3"/>
    <x v="3"/>
    <s v="April"/>
    <s v="Division_A"/>
    <x v="5"/>
    <n v="2006"/>
    <n v="9"/>
    <s v="TM-Utama"/>
    <n v="25"/>
    <n v="2740"/>
    <s v="109.6"/>
    <x v="1"/>
    <n v="0.93500000000000005"/>
    <n v="23365.3"/>
    <n v="23.364999999999998"/>
    <d v="2015-04-01T00:00:00"/>
    <x v="0"/>
    <x v="1"/>
  </r>
  <r>
    <x v="3"/>
    <x v="4"/>
    <s v="Mei"/>
    <s v="Division_A"/>
    <x v="5"/>
    <n v="2006"/>
    <n v="9"/>
    <s v="TM-Utama"/>
    <n v="25"/>
    <n v="2740"/>
    <s v="109.6"/>
    <x v="1"/>
    <n v="1.0249999999999999"/>
    <n v="25625.8"/>
    <n v="25.626000000000001"/>
    <d v="2015-05-01T00:00:00"/>
    <x v="0"/>
    <x v="1"/>
  </r>
  <r>
    <x v="3"/>
    <x v="5"/>
    <s v="Juni"/>
    <s v="Division_A"/>
    <x v="5"/>
    <n v="2006"/>
    <n v="9"/>
    <s v="TM-Utama"/>
    <n v="25"/>
    <n v="2740"/>
    <s v="109.6"/>
    <x v="1"/>
    <n v="1.409"/>
    <n v="35222.699999999997"/>
    <n v="35.222999999999999"/>
    <d v="2015-06-01T00:00:00"/>
    <x v="0"/>
    <x v="1"/>
  </r>
  <r>
    <x v="3"/>
    <x v="6"/>
    <s v="Juli"/>
    <s v="Division_A"/>
    <x v="5"/>
    <n v="2006"/>
    <n v="9"/>
    <s v="TM-Utama"/>
    <n v="25"/>
    <n v="2740"/>
    <s v="109.6"/>
    <x v="1"/>
    <n v="1.645"/>
    <n v="41120.5"/>
    <n v="41.121000000000002"/>
    <d v="2015-07-01T00:00:00"/>
    <x v="0"/>
    <x v="1"/>
  </r>
  <r>
    <x v="3"/>
    <x v="7"/>
    <s v="Agustus"/>
    <s v="Division_A"/>
    <x v="5"/>
    <n v="2006"/>
    <n v="9"/>
    <s v="TM-Utama"/>
    <n v="25"/>
    <n v="2740"/>
    <s v="109.6"/>
    <x v="1"/>
    <n v="1.8029999999999999"/>
    <n v="45066.2"/>
    <n v="45.066000000000003"/>
    <d v="2015-08-01T00:00:00"/>
    <x v="0"/>
    <x v="1"/>
  </r>
  <r>
    <x v="3"/>
    <x v="8"/>
    <s v="September"/>
    <s v="Division_A"/>
    <x v="5"/>
    <n v="2006"/>
    <n v="9"/>
    <s v="TM-Utama"/>
    <n v="25"/>
    <n v="2740"/>
    <s v="109.6"/>
    <x v="1"/>
    <n v="1.411"/>
    <n v="35284.300000000003"/>
    <n v="35.283999999999999"/>
    <d v="2015-09-01T00:00:00"/>
    <x v="0"/>
    <x v="1"/>
  </r>
  <r>
    <x v="3"/>
    <x v="9"/>
    <s v="Oktober"/>
    <s v="Division_A"/>
    <x v="5"/>
    <n v="2006"/>
    <n v="9"/>
    <s v="TM-Utama"/>
    <n v="25"/>
    <n v="2740"/>
    <s v="109.6"/>
    <x v="1"/>
    <n v="1.3879999999999999"/>
    <n v="34709"/>
    <n v="34.709000000000003"/>
    <d v="2015-10-01T00:00:00"/>
    <x v="0"/>
    <x v="1"/>
  </r>
  <r>
    <x v="3"/>
    <x v="10"/>
    <s v="November"/>
    <s v="Division_A"/>
    <x v="5"/>
    <n v="2006"/>
    <n v="9"/>
    <s v="TM-Utama"/>
    <n v="25"/>
    <n v="2740"/>
    <s v="109.6"/>
    <x v="1"/>
    <n v="1.028"/>
    <n v="25708"/>
    <n v="25.707999999999998"/>
    <d v="2015-11-01T00:00:00"/>
    <x v="0"/>
    <x v="1"/>
  </r>
  <r>
    <x v="3"/>
    <x v="11"/>
    <s v="Desember"/>
    <s v="Division_A"/>
    <x v="5"/>
    <n v="2006"/>
    <n v="9"/>
    <s v="TM-Utama"/>
    <n v="25"/>
    <n v="2740"/>
    <s v="109.6"/>
    <x v="1"/>
    <n v="1.018"/>
    <n v="25440.9"/>
    <n v="25.440999999999999"/>
    <d v="2015-12-01T00:00:00"/>
    <x v="0"/>
    <x v="1"/>
  </r>
  <r>
    <x v="3"/>
    <x v="0"/>
    <s v="Januari"/>
    <s v="Division_A"/>
    <x v="6"/>
    <n v="2006"/>
    <n v="9"/>
    <s v="TM-Utama"/>
    <n v="24"/>
    <n v="3230"/>
    <s v="134.6"/>
    <x v="1"/>
    <n v="0.88"/>
    <n v="21124.2"/>
    <n v="21.123999999999999"/>
    <d v="2015-01-01T00:00:00"/>
    <x v="0"/>
    <x v="1"/>
  </r>
  <r>
    <x v="3"/>
    <x v="1"/>
    <s v="Februari"/>
    <s v="Division_A"/>
    <x v="6"/>
    <n v="2006"/>
    <n v="9"/>
    <s v="TM-Utama"/>
    <n v="24"/>
    <n v="3230"/>
    <s v="134.6"/>
    <x v="1"/>
    <n v="0.93200000000000005"/>
    <n v="22359.7"/>
    <n v="22.36"/>
    <d v="2015-02-01T00:00:00"/>
    <x v="0"/>
    <x v="1"/>
  </r>
  <r>
    <x v="3"/>
    <x v="2"/>
    <s v="Maret"/>
    <s v="Division_A"/>
    <x v="6"/>
    <n v="2006"/>
    <n v="9"/>
    <s v="TM-Utama"/>
    <n v="24"/>
    <n v="3230"/>
    <s v="134.6"/>
    <x v="1"/>
    <n v="1.2709999999999999"/>
    <n v="30499.3"/>
    <n v="30.498999999999999"/>
    <d v="2015-03-01T00:00:00"/>
    <x v="0"/>
    <x v="1"/>
  </r>
  <r>
    <x v="3"/>
    <x v="3"/>
    <s v="April"/>
    <s v="Division_A"/>
    <x v="6"/>
    <n v="2006"/>
    <n v="9"/>
    <s v="TM-Utama"/>
    <n v="24"/>
    <n v="3230"/>
    <s v="134.6"/>
    <x v="1"/>
    <n v="1.1479999999999999"/>
    <n v="27543.8"/>
    <n v="27.544"/>
    <d v="2015-04-01T00:00:00"/>
    <x v="0"/>
    <x v="1"/>
  </r>
  <r>
    <x v="3"/>
    <x v="4"/>
    <s v="Mei"/>
    <s v="Division_A"/>
    <x v="6"/>
    <n v="2006"/>
    <n v="9"/>
    <s v="TM-Utama"/>
    <n v="24"/>
    <n v="3230"/>
    <s v="134.6"/>
    <x v="1"/>
    <n v="1.2589999999999999"/>
    <n v="30208.6"/>
    <n v="30.209"/>
    <d v="2015-05-01T00:00:00"/>
    <x v="0"/>
    <x v="1"/>
  </r>
  <r>
    <x v="3"/>
    <x v="5"/>
    <s v="Juni"/>
    <s v="Division_A"/>
    <x v="6"/>
    <n v="2006"/>
    <n v="9"/>
    <s v="TM-Utama"/>
    <n v="24"/>
    <n v="3230"/>
    <s v="134.6"/>
    <x v="1"/>
    <n v="1.73"/>
    <n v="41521.699999999997"/>
    <n v="41.521999999999998"/>
    <d v="2015-06-01T00:00:00"/>
    <x v="0"/>
    <x v="1"/>
  </r>
  <r>
    <x v="3"/>
    <x v="6"/>
    <s v="Juli"/>
    <s v="Division_A"/>
    <x v="6"/>
    <n v="2006"/>
    <n v="9"/>
    <s v="TM-Utama"/>
    <n v="24"/>
    <n v="3230"/>
    <s v="134.6"/>
    <x v="1"/>
    <n v="2.02"/>
    <n v="48474.2"/>
    <n v="48.473999999999997"/>
    <d v="2015-07-01T00:00:00"/>
    <x v="0"/>
    <x v="1"/>
  </r>
  <r>
    <x v="3"/>
    <x v="7"/>
    <s v="Agustus"/>
    <s v="Division_A"/>
    <x v="6"/>
    <n v="2006"/>
    <n v="9"/>
    <s v="TM-Utama"/>
    <n v="24"/>
    <n v="3230"/>
    <s v="134.6"/>
    <x v="1"/>
    <n v="2.214"/>
    <n v="53125.4"/>
    <n v="53.125"/>
    <d v="2015-08-01T00:00:00"/>
    <x v="0"/>
    <x v="1"/>
  </r>
  <r>
    <x v="3"/>
    <x v="8"/>
    <s v="September"/>
    <s v="Division_A"/>
    <x v="6"/>
    <n v="2006"/>
    <n v="9"/>
    <s v="TM-Utama"/>
    <n v="24"/>
    <n v="3230"/>
    <s v="134.6"/>
    <x v="1"/>
    <n v="1.7330000000000001"/>
    <n v="41594.300000000003"/>
    <n v="41.594000000000001"/>
    <d v="2015-09-01T00:00:00"/>
    <x v="0"/>
    <x v="1"/>
  </r>
  <r>
    <x v="3"/>
    <x v="9"/>
    <s v="Oktober"/>
    <s v="Division_A"/>
    <x v="6"/>
    <n v="2006"/>
    <n v="9"/>
    <s v="TM-Utama"/>
    <n v="24"/>
    <n v="3230"/>
    <s v="134.6"/>
    <x v="1"/>
    <n v="1.7050000000000001"/>
    <n v="40916"/>
    <n v="40.915999999999997"/>
    <d v="2015-10-01T00:00:00"/>
    <x v="0"/>
    <x v="1"/>
  </r>
  <r>
    <x v="3"/>
    <x v="10"/>
    <s v="November"/>
    <s v="Division_A"/>
    <x v="6"/>
    <n v="2006"/>
    <n v="9"/>
    <s v="TM-Utama"/>
    <n v="24"/>
    <n v="3230"/>
    <s v="134.6"/>
    <x v="1"/>
    <n v="1.2629999999999999"/>
    <n v="30305.5"/>
    <n v="30.305"/>
    <d v="2015-11-01T00:00:00"/>
    <x v="0"/>
    <x v="1"/>
  </r>
  <r>
    <x v="3"/>
    <x v="11"/>
    <s v="Desember"/>
    <s v="Division_A"/>
    <x v="6"/>
    <n v="2006"/>
    <n v="9"/>
    <s v="TM-Utama"/>
    <n v="24"/>
    <n v="3230"/>
    <s v="134.6"/>
    <x v="1"/>
    <n v="1.25"/>
    <n v="29990.6"/>
    <n v="29.991"/>
    <d v="2015-12-01T00:00:00"/>
    <x v="0"/>
    <x v="1"/>
  </r>
  <r>
    <x v="3"/>
    <x v="0"/>
    <s v="Januari"/>
    <s v="Division_A"/>
    <x v="7"/>
    <n v="2006"/>
    <n v="9"/>
    <s v="TM-Utama"/>
    <n v="22"/>
    <n v="2447"/>
    <s v="111.2"/>
    <x v="1"/>
    <n v="0.72699999999999998"/>
    <n v="16003.4"/>
    <n v="16.003"/>
    <d v="2015-01-01T00:00:00"/>
    <x v="0"/>
    <x v="1"/>
  </r>
  <r>
    <x v="3"/>
    <x v="1"/>
    <s v="Februari"/>
    <s v="Division_A"/>
    <x v="7"/>
    <n v="2006"/>
    <n v="9"/>
    <s v="TM-Utama"/>
    <n v="22"/>
    <n v="2447"/>
    <s v="111.2"/>
    <x v="1"/>
    <n v="0.77"/>
    <n v="16939.400000000001"/>
    <n v="16.939"/>
    <d v="2015-02-01T00:00:00"/>
    <x v="0"/>
    <x v="1"/>
  </r>
  <r>
    <x v="3"/>
    <x v="2"/>
    <s v="Maret"/>
    <s v="Division_A"/>
    <x v="7"/>
    <n v="2006"/>
    <n v="9"/>
    <s v="TM-Utama"/>
    <n v="22"/>
    <n v="2447"/>
    <s v="111.2"/>
    <x v="1"/>
    <n v="1.05"/>
    <n v="23105.8"/>
    <n v="23.106000000000002"/>
    <d v="2015-03-01T00:00:00"/>
    <x v="0"/>
    <x v="1"/>
  </r>
  <r>
    <x v="3"/>
    <x v="3"/>
    <s v="April"/>
    <s v="Division_A"/>
    <x v="7"/>
    <n v="2006"/>
    <n v="9"/>
    <s v="TM-Utama"/>
    <n v="22"/>
    <n v="2447"/>
    <s v="111.2"/>
    <x v="1"/>
    <n v="0.94799999999999995"/>
    <n v="20866.8"/>
    <n v="20.867000000000001"/>
    <d v="2015-04-01T00:00:00"/>
    <x v="0"/>
    <x v="1"/>
  </r>
  <r>
    <x v="3"/>
    <x v="4"/>
    <s v="Mei"/>
    <s v="Division_A"/>
    <x v="7"/>
    <n v="2006"/>
    <n v="9"/>
    <s v="TM-Utama"/>
    <n v="22"/>
    <n v="2447"/>
    <s v="111.2"/>
    <x v="1"/>
    <n v="1.04"/>
    <n v="22885.599999999999"/>
    <n v="22.885999999999999"/>
    <d v="2015-05-01T00:00:00"/>
    <x v="0"/>
    <x v="1"/>
  </r>
  <r>
    <x v="3"/>
    <x v="5"/>
    <s v="Juni"/>
    <s v="Division_A"/>
    <x v="7"/>
    <n v="2006"/>
    <n v="9"/>
    <s v="TM-Utama"/>
    <n v="22"/>
    <n v="2447"/>
    <s v="111.2"/>
    <x v="1"/>
    <n v="1.43"/>
    <n v="31456.2"/>
    <n v="31.456"/>
    <d v="2015-06-01T00:00:00"/>
    <x v="0"/>
    <x v="1"/>
  </r>
  <r>
    <x v="3"/>
    <x v="6"/>
    <s v="Juli"/>
    <s v="Division_A"/>
    <x v="7"/>
    <n v="2006"/>
    <n v="9"/>
    <s v="TM-Utama"/>
    <n v="22"/>
    <n v="2447"/>
    <s v="111.2"/>
    <x v="1"/>
    <n v="1.669"/>
    <n v="36723.4"/>
    <n v="36.722999999999999"/>
    <d v="2015-07-01T00:00:00"/>
    <x v="0"/>
    <x v="1"/>
  </r>
  <r>
    <x v="3"/>
    <x v="7"/>
    <s v="Agustus"/>
    <s v="Division_A"/>
    <x v="7"/>
    <n v="2006"/>
    <n v="9"/>
    <s v="TM-Utama"/>
    <n v="22"/>
    <n v="2447"/>
    <s v="111.2"/>
    <x v="1"/>
    <n v="1.829"/>
    <n v="40247"/>
    <n v="40.247"/>
    <d v="2015-08-01T00:00:00"/>
    <x v="0"/>
    <x v="1"/>
  </r>
  <r>
    <x v="3"/>
    <x v="8"/>
    <s v="September"/>
    <s v="Division_A"/>
    <x v="7"/>
    <n v="2006"/>
    <n v="9"/>
    <s v="TM-Utama"/>
    <n v="22"/>
    <n v="2447"/>
    <s v="111.2"/>
    <x v="1"/>
    <n v="1.4319999999999999"/>
    <n v="31511.200000000001"/>
    <n v="31.510999999999999"/>
    <d v="2015-09-01T00:00:00"/>
    <x v="0"/>
    <x v="1"/>
  </r>
  <r>
    <x v="3"/>
    <x v="9"/>
    <s v="Oktober"/>
    <s v="Division_A"/>
    <x v="7"/>
    <n v="2006"/>
    <n v="9"/>
    <s v="TM-Utama"/>
    <n v="22"/>
    <n v="2447"/>
    <s v="111.2"/>
    <x v="1"/>
    <n v="1.409"/>
    <n v="30997.4"/>
    <n v="30.997"/>
    <d v="2015-10-01T00:00:00"/>
    <x v="0"/>
    <x v="1"/>
  </r>
  <r>
    <x v="3"/>
    <x v="10"/>
    <s v="November"/>
    <s v="Division_A"/>
    <x v="7"/>
    <n v="2006"/>
    <n v="9"/>
    <s v="TM-Utama"/>
    <n v="22"/>
    <n v="2447"/>
    <s v="111.2"/>
    <x v="1"/>
    <n v="1.044"/>
    <n v="22959"/>
    <n v="22.959"/>
    <d v="2015-11-01T00:00:00"/>
    <x v="0"/>
    <x v="1"/>
  </r>
  <r>
    <x v="3"/>
    <x v="11"/>
    <s v="Desember"/>
    <s v="Division_A"/>
    <x v="7"/>
    <n v="2006"/>
    <n v="9"/>
    <s v="TM-Utama"/>
    <n v="22"/>
    <n v="2447"/>
    <s v="111.2"/>
    <x v="1"/>
    <n v="1.0329999999999999"/>
    <n v="22720.400000000001"/>
    <n v="22.72"/>
    <d v="2015-12-01T00:00:00"/>
    <x v="0"/>
    <x v="1"/>
  </r>
  <r>
    <x v="3"/>
    <x v="0"/>
    <s v="Januari"/>
    <s v="Division_A"/>
    <x v="8"/>
    <n v="2006"/>
    <n v="9"/>
    <s v="TM-Utama"/>
    <n v="15"/>
    <n v="1866"/>
    <s v="124.4"/>
    <x v="1"/>
    <n v="0.81399999999999995"/>
    <n v="12203.6"/>
    <n v="12.204000000000001"/>
    <d v="2015-01-01T00:00:00"/>
    <x v="0"/>
    <x v="1"/>
  </r>
  <r>
    <x v="3"/>
    <x v="1"/>
    <s v="Februari"/>
    <s v="Division_A"/>
    <x v="8"/>
    <n v="2006"/>
    <n v="9"/>
    <s v="TM-Utama"/>
    <n v="15"/>
    <n v="1866"/>
    <s v="124.4"/>
    <x v="1"/>
    <n v="0.86099999999999999"/>
    <n v="12917.4"/>
    <n v="12.917"/>
    <d v="2015-02-01T00:00:00"/>
    <x v="0"/>
    <x v="1"/>
  </r>
  <r>
    <x v="3"/>
    <x v="2"/>
    <s v="Maret"/>
    <s v="Division_A"/>
    <x v="8"/>
    <n v="2006"/>
    <n v="9"/>
    <s v="TM-Utama"/>
    <n v="15"/>
    <n v="1866"/>
    <s v="124.4"/>
    <x v="1"/>
    <n v="1.175"/>
    <n v="17619.7"/>
    <n v="17.62"/>
    <d v="2015-03-01T00:00:00"/>
    <x v="0"/>
    <x v="1"/>
  </r>
  <r>
    <x v="3"/>
    <x v="3"/>
    <s v="April"/>
    <s v="Division_A"/>
    <x v="8"/>
    <n v="2006"/>
    <n v="9"/>
    <s v="TM-Utama"/>
    <n v="15"/>
    <n v="1866"/>
    <s v="124.4"/>
    <x v="1"/>
    <n v="1.0609999999999999"/>
    <n v="15912.3"/>
    <n v="15.912000000000001"/>
    <d v="2015-04-01T00:00:00"/>
    <x v="0"/>
    <x v="1"/>
  </r>
  <r>
    <x v="3"/>
    <x v="4"/>
    <s v="Mei"/>
    <s v="Division_A"/>
    <x v="8"/>
    <n v="2006"/>
    <n v="9"/>
    <s v="TM-Utama"/>
    <n v="15"/>
    <n v="1866"/>
    <s v="124.4"/>
    <x v="1"/>
    <n v="1.163"/>
    <n v="17451.8"/>
    <n v="17.452000000000002"/>
    <d v="2015-05-01T00:00:00"/>
    <x v="0"/>
    <x v="1"/>
  </r>
  <r>
    <x v="3"/>
    <x v="5"/>
    <s v="Juni"/>
    <s v="Division_A"/>
    <x v="8"/>
    <n v="2006"/>
    <n v="9"/>
    <s v="TM-Utama"/>
    <n v="15"/>
    <n v="1866"/>
    <s v="124.4"/>
    <x v="1"/>
    <n v="1.599"/>
    <n v="23987.4"/>
    <n v="23.986999999999998"/>
    <d v="2015-06-01T00:00:00"/>
    <x v="0"/>
    <x v="1"/>
  </r>
  <r>
    <x v="3"/>
    <x v="6"/>
    <s v="Juli"/>
    <s v="Division_A"/>
    <x v="8"/>
    <n v="2006"/>
    <n v="9"/>
    <s v="TM-Utama"/>
    <n v="15"/>
    <n v="1866"/>
    <s v="124.4"/>
    <x v="1"/>
    <n v="1.867"/>
    <n v="28004"/>
    <n v="28.004000000000001"/>
    <d v="2015-07-01T00:00:00"/>
    <x v="0"/>
    <x v="1"/>
  </r>
  <r>
    <x v="3"/>
    <x v="7"/>
    <s v="Agustus"/>
    <s v="Division_A"/>
    <x v="8"/>
    <n v="2006"/>
    <n v="9"/>
    <s v="TM-Utama"/>
    <n v="15"/>
    <n v="1866"/>
    <s v="124.4"/>
    <x v="1"/>
    <n v="2.0459999999999998"/>
    <n v="30691"/>
    <n v="30.690999999999999"/>
    <d v="2015-08-01T00:00:00"/>
    <x v="0"/>
    <x v="1"/>
  </r>
  <r>
    <x v="3"/>
    <x v="8"/>
    <s v="September"/>
    <s v="Division_A"/>
    <x v="8"/>
    <n v="2006"/>
    <n v="9"/>
    <s v="TM-Utama"/>
    <n v="15"/>
    <n v="1866"/>
    <s v="124.4"/>
    <x v="1"/>
    <n v="1.6020000000000001"/>
    <n v="24029.4"/>
    <n v="24.029"/>
    <d v="2015-09-01T00:00:00"/>
    <x v="0"/>
    <x v="1"/>
  </r>
  <r>
    <x v="3"/>
    <x v="9"/>
    <s v="Oktober"/>
    <s v="Division_A"/>
    <x v="8"/>
    <n v="2006"/>
    <n v="9"/>
    <s v="TM-Utama"/>
    <n v="15"/>
    <n v="1866"/>
    <s v="124.4"/>
    <x v="1"/>
    <n v="1.5760000000000001"/>
    <n v="23637.599999999999"/>
    <n v="23.638000000000002"/>
    <d v="2015-10-01T00:00:00"/>
    <x v="0"/>
    <x v="1"/>
  </r>
  <r>
    <x v="3"/>
    <x v="10"/>
    <s v="November"/>
    <s v="Division_A"/>
    <x v="8"/>
    <n v="2006"/>
    <n v="9"/>
    <s v="TM-Utama"/>
    <n v="15"/>
    <n v="1866"/>
    <s v="124.4"/>
    <x v="1"/>
    <n v="1.167"/>
    <n v="17507.7"/>
    <n v="17.507999999999999"/>
    <d v="2015-11-01T00:00:00"/>
    <x v="0"/>
    <x v="1"/>
  </r>
  <r>
    <x v="3"/>
    <x v="11"/>
    <s v="Desember"/>
    <s v="Division_A"/>
    <x v="8"/>
    <n v="2006"/>
    <n v="9"/>
    <s v="TM-Utama"/>
    <n v="15"/>
    <n v="1866"/>
    <s v="124.4"/>
    <x v="1"/>
    <n v="1.155"/>
    <n v="17325.8"/>
    <n v="17.326000000000001"/>
    <d v="2015-12-01T00:00:00"/>
    <x v="0"/>
    <x v="1"/>
  </r>
  <r>
    <x v="3"/>
    <x v="0"/>
    <s v="Januari"/>
    <s v="Division_A"/>
    <x v="9"/>
    <n v="2006"/>
    <n v="9"/>
    <s v="TM-Utama"/>
    <n v="25"/>
    <n v="3154"/>
    <s v="126.2"/>
    <x v="1"/>
    <n v="0.82499999999999996"/>
    <n v="20627.2"/>
    <n v="20.626999999999999"/>
    <d v="2015-01-01T00:00:00"/>
    <x v="0"/>
    <x v="1"/>
  </r>
  <r>
    <x v="3"/>
    <x v="1"/>
    <s v="Februari"/>
    <s v="Division_A"/>
    <x v="9"/>
    <n v="2006"/>
    <n v="9"/>
    <s v="TM-Utama"/>
    <n v="25"/>
    <n v="3154"/>
    <s v="126.2"/>
    <x v="1"/>
    <n v="0.873"/>
    <n v="21833.599999999999"/>
    <n v="21.834"/>
    <d v="2015-02-01T00:00:00"/>
    <x v="0"/>
    <x v="1"/>
  </r>
  <r>
    <x v="3"/>
    <x v="2"/>
    <s v="Maret"/>
    <s v="Division_A"/>
    <x v="9"/>
    <n v="2006"/>
    <n v="9"/>
    <s v="TM-Utama"/>
    <n v="25"/>
    <n v="3154"/>
    <s v="126.2"/>
    <x v="1"/>
    <n v="1.1910000000000001"/>
    <n v="29781.599999999999"/>
    <n v="29.782"/>
    <d v="2015-03-01T00:00:00"/>
    <x v="0"/>
    <x v="1"/>
  </r>
  <r>
    <x v="3"/>
    <x v="3"/>
    <s v="April"/>
    <s v="Division_A"/>
    <x v="9"/>
    <n v="2006"/>
    <n v="9"/>
    <s v="TM-Utama"/>
    <n v="25"/>
    <n v="3154"/>
    <s v="126.2"/>
    <x v="1"/>
    <n v="1.0760000000000001"/>
    <n v="26895.7"/>
    <n v="26.896000000000001"/>
    <d v="2015-04-01T00:00:00"/>
    <x v="0"/>
    <x v="1"/>
  </r>
  <r>
    <x v="3"/>
    <x v="4"/>
    <s v="Mei"/>
    <s v="Division_A"/>
    <x v="9"/>
    <n v="2006"/>
    <n v="9"/>
    <s v="TM-Utama"/>
    <n v="25"/>
    <n v="3154"/>
    <s v="126.2"/>
    <x v="1"/>
    <n v="1.18"/>
    <n v="29497.8"/>
    <n v="29.498000000000001"/>
    <d v="2015-05-01T00:00:00"/>
    <x v="0"/>
    <x v="1"/>
  </r>
  <r>
    <x v="3"/>
    <x v="5"/>
    <s v="Juni"/>
    <s v="Division_A"/>
    <x v="9"/>
    <n v="2006"/>
    <n v="9"/>
    <s v="TM-Utama"/>
    <n v="25"/>
    <n v="3154"/>
    <s v="126.2"/>
    <x v="1"/>
    <n v="1.6220000000000001"/>
    <n v="40544.699999999997"/>
    <n v="40.545000000000002"/>
    <d v="2015-06-01T00:00:00"/>
    <x v="0"/>
    <x v="1"/>
  </r>
  <r>
    <x v="3"/>
    <x v="6"/>
    <s v="Juli"/>
    <s v="Division_A"/>
    <x v="9"/>
    <n v="2006"/>
    <n v="9"/>
    <s v="TM-Utama"/>
    <n v="25"/>
    <n v="3154"/>
    <s v="126.2"/>
    <x v="1"/>
    <n v="1.893"/>
    <n v="47333.7"/>
    <n v="47.334000000000003"/>
    <d v="2015-07-01T00:00:00"/>
    <x v="0"/>
    <x v="1"/>
  </r>
  <r>
    <x v="3"/>
    <x v="7"/>
    <s v="Agustus"/>
    <s v="Division_A"/>
    <x v="9"/>
    <n v="2006"/>
    <n v="9"/>
    <s v="TM-Utama"/>
    <n v="25"/>
    <n v="3154"/>
    <s v="126.2"/>
    <x v="1"/>
    <n v="2.0750000000000002"/>
    <n v="51875.4"/>
    <n v="51.875"/>
    <d v="2015-08-01T00:00:00"/>
    <x v="0"/>
    <x v="1"/>
  </r>
  <r>
    <x v="3"/>
    <x v="8"/>
    <s v="September"/>
    <s v="Division_A"/>
    <x v="9"/>
    <n v="2006"/>
    <n v="9"/>
    <s v="TM-Utama"/>
    <n v="25"/>
    <n v="3154"/>
    <s v="126.2"/>
    <x v="1"/>
    <n v="1.625"/>
    <n v="40615.599999999999"/>
    <n v="40.616"/>
    <d v="2015-09-01T00:00:00"/>
    <x v="0"/>
    <x v="1"/>
  </r>
  <r>
    <x v="3"/>
    <x v="9"/>
    <s v="Oktober"/>
    <s v="Division_A"/>
    <x v="9"/>
    <n v="2006"/>
    <n v="9"/>
    <s v="TM-Utama"/>
    <n v="25"/>
    <n v="3154"/>
    <s v="126.2"/>
    <x v="1"/>
    <n v="1.5980000000000001"/>
    <n v="39953.300000000003"/>
    <n v="39.953000000000003"/>
    <d v="2015-10-01T00:00:00"/>
    <x v="0"/>
    <x v="1"/>
  </r>
  <r>
    <x v="3"/>
    <x v="10"/>
    <s v="November"/>
    <s v="Division_A"/>
    <x v="9"/>
    <n v="2006"/>
    <n v="9"/>
    <s v="TM-Utama"/>
    <n v="25"/>
    <n v="3154"/>
    <s v="126.2"/>
    <x v="1"/>
    <n v="1.1839999999999999"/>
    <n v="29592.400000000001"/>
    <n v="29.591999999999999"/>
    <d v="2015-11-01T00:00:00"/>
    <x v="0"/>
    <x v="1"/>
  </r>
  <r>
    <x v="3"/>
    <x v="11"/>
    <s v="Desember"/>
    <s v="Division_A"/>
    <x v="9"/>
    <n v="2006"/>
    <n v="9"/>
    <s v="TM-Utama"/>
    <n v="25"/>
    <n v="3154"/>
    <s v="126.2"/>
    <x v="1"/>
    <n v="1.171"/>
    <n v="29284.9"/>
    <n v="29.285"/>
    <d v="2015-12-01T00:00:00"/>
    <x v="0"/>
    <x v="1"/>
  </r>
  <r>
    <x v="3"/>
    <x v="0"/>
    <s v="Januari"/>
    <s v="Division_A"/>
    <x v="10"/>
    <n v="2006"/>
    <n v="9"/>
    <s v="TM-Utama"/>
    <n v="35"/>
    <n v="4204"/>
    <s v="120.1"/>
    <x v="1"/>
    <n v="0.78600000000000003"/>
    <n v="27494.2"/>
    <n v="27.494"/>
    <d v="2015-01-01T00:00:00"/>
    <x v="0"/>
    <x v="1"/>
  </r>
  <r>
    <x v="3"/>
    <x v="1"/>
    <s v="Februari"/>
    <s v="Division_A"/>
    <x v="10"/>
    <n v="2006"/>
    <n v="9"/>
    <s v="TM-Utama"/>
    <n v="35"/>
    <n v="4204"/>
    <s v="120.1"/>
    <x v="1"/>
    <n v="0.83099999999999996"/>
    <n v="29102.2"/>
    <n v="29.102"/>
    <d v="2015-02-01T00:00:00"/>
    <x v="0"/>
    <x v="1"/>
  </r>
  <r>
    <x v="3"/>
    <x v="2"/>
    <s v="Maret"/>
    <s v="Division_A"/>
    <x v="10"/>
    <n v="2006"/>
    <n v="9"/>
    <s v="TM-Utama"/>
    <n v="35"/>
    <n v="4204"/>
    <s v="120.1"/>
    <x v="1"/>
    <n v="1.1339999999999999"/>
    <n v="39696.300000000003"/>
    <n v="39.695999999999998"/>
    <d v="2015-03-01T00:00:00"/>
    <x v="0"/>
    <x v="1"/>
  </r>
  <r>
    <x v="3"/>
    <x v="3"/>
    <s v="April"/>
    <s v="Division_A"/>
    <x v="10"/>
    <n v="2006"/>
    <n v="9"/>
    <s v="TM-Utama"/>
    <n v="35"/>
    <n v="4204"/>
    <s v="120.1"/>
    <x v="1"/>
    <n v="1.024"/>
    <n v="35849.599999999999"/>
    <n v="35.85"/>
    <d v="2015-04-01T00:00:00"/>
    <x v="0"/>
    <x v="1"/>
  </r>
  <r>
    <x v="3"/>
    <x v="4"/>
    <s v="Mei"/>
    <s v="Division_A"/>
    <x v="10"/>
    <n v="2006"/>
    <n v="9"/>
    <s v="TM-Utama"/>
    <n v="35"/>
    <n v="4204"/>
    <s v="120.1"/>
    <x v="1"/>
    <n v="1.123"/>
    <n v="39317.9"/>
    <n v="39.317999999999998"/>
    <d v="2015-05-01T00:00:00"/>
    <x v="0"/>
    <x v="1"/>
  </r>
  <r>
    <x v="3"/>
    <x v="5"/>
    <s v="Juni"/>
    <s v="Division_A"/>
    <x v="10"/>
    <n v="2006"/>
    <n v="9"/>
    <s v="TM-Utama"/>
    <n v="35"/>
    <n v="4204"/>
    <s v="120.1"/>
    <x v="1"/>
    <n v="1.544"/>
    <n v="54042.400000000001"/>
    <n v="54.042000000000002"/>
    <d v="2015-06-01T00:00:00"/>
    <x v="0"/>
    <x v="1"/>
  </r>
  <r>
    <x v="3"/>
    <x v="6"/>
    <s v="Juli"/>
    <s v="Division_A"/>
    <x v="10"/>
    <n v="2006"/>
    <n v="9"/>
    <s v="TM-Utama"/>
    <n v="35"/>
    <n v="4204"/>
    <s v="120.1"/>
    <x v="1"/>
    <n v="1.8029999999999999"/>
    <n v="63091.5"/>
    <n v="63.091999999999999"/>
    <d v="2015-07-01T00:00:00"/>
    <x v="0"/>
    <x v="1"/>
  </r>
  <r>
    <x v="3"/>
    <x v="7"/>
    <s v="Agustus"/>
    <s v="Division_A"/>
    <x v="10"/>
    <n v="2006"/>
    <n v="9"/>
    <s v="TM-Utama"/>
    <n v="35"/>
    <n v="4204"/>
    <s v="120.1"/>
    <x v="1"/>
    <n v="1.976"/>
    <n v="69145.3"/>
    <n v="69.144999999999996"/>
    <d v="2015-08-01T00:00:00"/>
    <x v="0"/>
    <x v="1"/>
  </r>
  <r>
    <x v="3"/>
    <x v="8"/>
    <s v="September"/>
    <s v="Division_A"/>
    <x v="10"/>
    <n v="2006"/>
    <n v="9"/>
    <s v="TM-Utama"/>
    <n v="35"/>
    <n v="4204"/>
    <s v="120.1"/>
    <x v="1"/>
    <n v="1.5469999999999999"/>
    <n v="54137"/>
    <n v="54.137"/>
    <d v="2015-09-01T00:00:00"/>
    <x v="0"/>
    <x v="1"/>
  </r>
  <r>
    <x v="3"/>
    <x v="9"/>
    <s v="Oktober"/>
    <s v="Division_A"/>
    <x v="10"/>
    <n v="2006"/>
    <n v="9"/>
    <s v="TM-Utama"/>
    <n v="35"/>
    <n v="4204"/>
    <s v="120.1"/>
    <x v="1"/>
    <n v="1.522"/>
    <n v="53254.2"/>
    <n v="53.253999999999998"/>
    <d v="2015-10-01T00:00:00"/>
    <x v="0"/>
    <x v="1"/>
  </r>
  <r>
    <x v="3"/>
    <x v="10"/>
    <s v="November"/>
    <s v="Division_A"/>
    <x v="10"/>
    <n v="2006"/>
    <n v="9"/>
    <s v="TM-Utama"/>
    <n v="35"/>
    <n v="4204"/>
    <s v="120.1"/>
    <x v="1"/>
    <n v="1.127"/>
    <n v="39444"/>
    <n v="39.444000000000003"/>
    <d v="2015-11-01T00:00:00"/>
    <x v="0"/>
    <x v="1"/>
  </r>
  <r>
    <x v="3"/>
    <x v="11"/>
    <s v="Desember"/>
    <s v="Division_A"/>
    <x v="10"/>
    <n v="2006"/>
    <n v="9"/>
    <s v="TM-Utama"/>
    <n v="35"/>
    <n v="4204"/>
    <s v="120.1"/>
    <x v="1"/>
    <n v="1.115"/>
    <n v="39034.1"/>
    <n v="39.033999999999999"/>
    <d v="2015-12-01T00:00:00"/>
    <x v="0"/>
    <x v="1"/>
  </r>
  <r>
    <x v="3"/>
    <x v="0"/>
    <s v="Januari"/>
    <s v="Division_A"/>
    <x v="11"/>
    <n v="2012"/>
    <n v="3"/>
    <s v="TM-1"/>
    <n v="10"/>
    <n v="1434"/>
    <s v="143.4"/>
    <x v="1"/>
    <n v="0.33100000000000002"/>
    <n v="3313.6"/>
    <n v="3.3140000000000001"/>
    <d v="2015-01-01T00:00:00"/>
    <x v="0"/>
    <x v="3"/>
  </r>
  <r>
    <x v="3"/>
    <x v="1"/>
    <s v="Februari"/>
    <s v="Division_A"/>
    <x v="11"/>
    <n v="2012"/>
    <n v="3"/>
    <s v="TM-1"/>
    <n v="10"/>
    <n v="1434"/>
    <s v="143.4"/>
    <x v="1"/>
    <n v="0.35099999999999998"/>
    <n v="3507.4"/>
    <n v="3.5070000000000001"/>
    <d v="2015-02-01T00:00:00"/>
    <x v="0"/>
    <x v="3"/>
  </r>
  <r>
    <x v="3"/>
    <x v="2"/>
    <s v="Maret"/>
    <s v="Division_A"/>
    <x v="11"/>
    <n v="2012"/>
    <n v="3"/>
    <s v="TM-1"/>
    <n v="10"/>
    <n v="1434"/>
    <s v="143.4"/>
    <x v="1"/>
    <n v="0.47799999999999998"/>
    <n v="4784.2"/>
    <n v="4.7839999999999998"/>
    <d v="2015-03-01T00:00:00"/>
    <x v="0"/>
    <x v="3"/>
  </r>
  <r>
    <x v="3"/>
    <x v="3"/>
    <s v="April"/>
    <s v="Division_A"/>
    <x v="11"/>
    <n v="2012"/>
    <n v="3"/>
    <s v="TM-1"/>
    <n v="10"/>
    <n v="1434"/>
    <s v="143.4"/>
    <x v="1"/>
    <n v="0.432"/>
    <n v="4320.6000000000004"/>
    <n v="4.3209999999999997"/>
    <d v="2015-04-01T00:00:00"/>
    <x v="0"/>
    <x v="3"/>
  </r>
  <r>
    <x v="3"/>
    <x v="4"/>
    <s v="Mei"/>
    <s v="Division_A"/>
    <x v="11"/>
    <n v="2012"/>
    <n v="3"/>
    <s v="TM-1"/>
    <n v="10"/>
    <n v="1434"/>
    <s v="143.4"/>
    <x v="1"/>
    <n v="0.47399999999999998"/>
    <n v="4738.6000000000004"/>
    <n v="4.7389999999999999"/>
    <d v="2015-05-01T00:00:00"/>
    <x v="0"/>
    <x v="3"/>
  </r>
  <r>
    <x v="3"/>
    <x v="5"/>
    <s v="Juni"/>
    <s v="Division_A"/>
    <x v="11"/>
    <n v="2012"/>
    <n v="3"/>
    <s v="TM-1"/>
    <n v="10"/>
    <n v="1434"/>
    <s v="143.4"/>
    <x v="1"/>
    <n v="0.65100000000000002"/>
    <n v="6513.2"/>
    <n v="6.5129999999999999"/>
    <d v="2015-06-01T00:00:00"/>
    <x v="0"/>
    <x v="3"/>
  </r>
  <r>
    <x v="3"/>
    <x v="6"/>
    <s v="Juli"/>
    <s v="Division_A"/>
    <x v="11"/>
    <n v="2012"/>
    <n v="3"/>
    <s v="TM-1"/>
    <n v="10"/>
    <n v="1434"/>
    <s v="143.4"/>
    <x v="1"/>
    <n v="0.76"/>
    <n v="7603.8"/>
    <n v="7.6040000000000001"/>
    <d v="2015-07-01T00:00:00"/>
    <x v="0"/>
    <x v="3"/>
  </r>
  <r>
    <x v="3"/>
    <x v="7"/>
    <s v="Agustus"/>
    <s v="Division_A"/>
    <x v="11"/>
    <n v="2012"/>
    <n v="3"/>
    <s v="TM-1"/>
    <n v="10"/>
    <n v="1434"/>
    <s v="143.4"/>
    <x v="1"/>
    <n v="0.83299999999999996"/>
    <n v="8333.4"/>
    <n v="8.3330000000000002"/>
    <d v="2015-08-01T00:00:00"/>
    <x v="0"/>
    <x v="3"/>
  </r>
  <r>
    <x v="3"/>
    <x v="8"/>
    <s v="September"/>
    <s v="Division_A"/>
    <x v="11"/>
    <n v="2012"/>
    <n v="3"/>
    <s v="TM-1"/>
    <n v="10"/>
    <n v="1434"/>
    <s v="143.4"/>
    <x v="1"/>
    <n v="0.65200000000000002"/>
    <n v="6524.6"/>
    <n v="6.5250000000000004"/>
    <d v="2015-09-01T00:00:00"/>
    <x v="0"/>
    <x v="3"/>
  </r>
  <r>
    <x v="3"/>
    <x v="9"/>
    <s v="Oktober"/>
    <s v="Division_A"/>
    <x v="11"/>
    <n v="2012"/>
    <n v="3"/>
    <s v="TM-1"/>
    <n v="10"/>
    <n v="1434"/>
    <s v="143.4"/>
    <x v="1"/>
    <n v="0.64200000000000002"/>
    <n v="6418.2"/>
    <n v="6.4180000000000001"/>
    <d v="2015-10-01T00:00:00"/>
    <x v="0"/>
    <x v="3"/>
  </r>
  <r>
    <x v="3"/>
    <x v="10"/>
    <s v="November"/>
    <s v="Division_A"/>
    <x v="11"/>
    <n v="2012"/>
    <n v="3"/>
    <s v="TM-1"/>
    <n v="10"/>
    <n v="1434"/>
    <s v="143.4"/>
    <x v="1"/>
    <n v="0.47499999999999998"/>
    <n v="4753.8"/>
    <n v="4.7539999999999996"/>
    <d v="2015-11-01T00:00:00"/>
    <x v="0"/>
    <x v="3"/>
  </r>
  <r>
    <x v="3"/>
    <x v="11"/>
    <s v="Desember"/>
    <s v="Division_A"/>
    <x v="11"/>
    <n v="2012"/>
    <n v="3"/>
    <s v="TM-1"/>
    <n v="10"/>
    <n v="1434"/>
    <s v="143.4"/>
    <x v="1"/>
    <n v="0.47"/>
    <n v="4704.3999999999996"/>
    <n v="4.7039999999999997"/>
    <d v="2015-12-01T00:00:00"/>
    <x v="0"/>
    <x v="3"/>
  </r>
  <r>
    <x v="3"/>
    <x v="0"/>
    <s v="Januari"/>
    <s v="Division_A"/>
    <x v="12"/>
    <n v="2012"/>
    <n v="3"/>
    <s v="TM-1"/>
    <n v="24"/>
    <n v="3074"/>
    <s v="128.1"/>
    <x v="2"/>
    <n v="0.33100000000000002"/>
    <n v="7952.6"/>
    <n v="7.9530000000000003"/>
    <d v="2015-01-01T00:00:00"/>
    <x v="0"/>
    <x v="3"/>
  </r>
  <r>
    <x v="3"/>
    <x v="1"/>
    <s v="Februari"/>
    <s v="Division_A"/>
    <x v="12"/>
    <n v="2012"/>
    <n v="3"/>
    <s v="TM-1"/>
    <n v="24"/>
    <n v="3074"/>
    <s v="128.1"/>
    <x v="2"/>
    <n v="0.35099999999999998"/>
    <n v="8417.7999999999993"/>
    <n v="8.4179999999999993"/>
    <d v="2015-02-01T00:00:00"/>
    <x v="0"/>
    <x v="3"/>
  </r>
  <r>
    <x v="3"/>
    <x v="2"/>
    <s v="Maret"/>
    <s v="Division_A"/>
    <x v="12"/>
    <n v="2012"/>
    <n v="3"/>
    <s v="TM-1"/>
    <n v="24"/>
    <n v="3074"/>
    <s v="128.1"/>
    <x v="2"/>
    <n v="0.47799999999999998"/>
    <n v="11482.1"/>
    <n v="11.481999999999999"/>
    <d v="2015-03-01T00:00:00"/>
    <x v="0"/>
    <x v="3"/>
  </r>
  <r>
    <x v="3"/>
    <x v="3"/>
    <s v="April"/>
    <s v="Division_A"/>
    <x v="12"/>
    <n v="2012"/>
    <n v="3"/>
    <s v="TM-1"/>
    <n v="24"/>
    <n v="3074"/>
    <s v="128.1"/>
    <x v="2"/>
    <n v="0.432"/>
    <n v="10369.4"/>
    <n v="10.369"/>
    <d v="2015-04-01T00:00:00"/>
    <x v="0"/>
    <x v="3"/>
  </r>
  <r>
    <x v="3"/>
    <x v="4"/>
    <s v="Mei"/>
    <s v="Division_A"/>
    <x v="12"/>
    <n v="2012"/>
    <n v="3"/>
    <s v="TM-1"/>
    <n v="24"/>
    <n v="3074"/>
    <s v="128.1"/>
    <x v="2"/>
    <n v="0.47399999999999998"/>
    <n v="11372.6"/>
    <n v="11.372999999999999"/>
    <d v="2015-05-01T00:00:00"/>
    <x v="0"/>
    <x v="3"/>
  </r>
  <r>
    <x v="3"/>
    <x v="5"/>
    <s v="Juni"/>
    <s v="Division_A"/>
    <x v="12"/>
    <n v="2012"/>
    <n v="3"/>
    <s v="TM-1"/>
    <n v="24"/>
    <n v="3074"/>
    <s v="128.1"/>
    <x v="2"/>
    <n v="0.65100000000000002"/>
    <n v="15631.7"/>
    <n v="15.632"/>
    <d v="2015-06-01T00:00:00"/>
    <x v="0"/>
    <x v="3"/>
  </r>
  <r>
    <x v="3"/>
    <x v="6"/>
    <s v="Juli"/>
    <s v="Division_A"/>
    <x v="12"/>
    <n v="2012"/>
    <n v="3"/>
    <s v="TM-1"/>
    <n v="24"/>
    <n v="3074"/>
    <s v="128.1"/>
    <x v="2"/>
    <n v="0.76"/>
    <n v="18249.099999999999"/>
    <n v="18.248999999999999"/>
    <d v="2015-07-01T00:00:00"/>
    <x v="0"/>
    <x v="3"/>
  </r>
  <r>
    <x v="3"/>
    <x v="7"/>
    <s v="Agustus"/>
    <s v="Division_A"/>
    <x v="12"/>
    <n v="2012"/>
    <n v="3"/>
    <s v="TM-1"/>
    <n v="24"/>
    <n v="3074"/>
    <s v="128.1"/>
    <x v="2"/>
    <n v="0.83299999999999996"/>
    <n v="20000.2"/>
    <n v="20"/>
    <d v="2015-08-01T00:00:00"/>
    <x v="0"/>
    <x v="3"/>
  </r>
  <r>
    <x v="3"/>
    <x v="8"/>
    <s v="September"/>
    <s v="Division_A"/>
    <x v="12"/>
    <n v="2012"/>
    <n v="3"/>
    <s v="TM-1"/>
    <n v="24"/>
    <n v="3074"/>
    <s v="128.1"/>
    <x v="2"/>
    <n v="0.65200000000000002"/>
    <n v="15659"/>
    <n v="15.659000000000001"/>
    <d v="2015-09-01T00:00:00"/>
    <x v="0"/>
    <x v="3"/>
  </r>
  <r>
    <x v="3"/>
    <x v="9"/>
    <s v="Oktober"/>
    <s v="Division_A"/>
    <x v="12"/>
    <n v="2012"/>
    <n v="3"/>
    <s v="TM-1"/>
    <n v="24"/>
    <n v="3074"/>
    <s v="128.1"/>
    <x v="2"/>
    <n v="0.64200000000000002"/>
    <n v="15403.7"/>
    <n v="15.404"/>
    <d v="2015-10-01T00:00:00"/>
    <x v="0"/>
    <x v="3"/>
  </r>
  <r>
    <x v="3"/>
    <x v="10"/>
    <s v="November"/>
    <s v="Division_A"/>
    <x v="12"/>
    <n v="2012"/>
    <n v="3"/>
    <s v="TM-1"/>
    <n v="24"/>
    <n v="3074"/>
    <s v="128.1"/>
    <x v="2"/>
    <n v="0.47499999999999998"/>
    <n v="11409.1"/>
    <n v="11.409000000000001"/>
    <d v="2015-11-01T00:00:00"/>
    <x v="0"/>
    <x v="3"/>
  </r>
  <r>
    <x v="3"/>
    <x v="11"/>
    <s v="Desember"/>
    <s v="Division_A"/>
    <x v="12"/>
    <n v="2012"/>
    <n v="3"/>
    <s v="TM-1"/>
    <n v="24"/>
    <n v="3074"/>
    <s v="128.1"/>
    <x v="2"/>
    <n v="0.47"/>
    <n v="11290.6"/>
    <n v="11.291"/>
    <d v="2015-12-01T00:00:00"/>
    <x v="0"/>
    <x v="3"/>
  </r>
  <r>
    <x v="3"/>
    <x v="0"/>
    <s v="Januari"/>
    <s v="Division_A"/>
    <x v="13"/>
    <n v="2012"/>
    <n v="3"/>
    <s v="TM-1"/>
    <n v="19"/>
    <n v="2418"/>
    <s v="127.3"/>
    <x v="2"/>
    <n v="0.33100000000000002"/>
    <n v="6295.8"/>
    <n v="6.2960000000000003"/>
    <d v="2015-01-01T00:00:00"/>
    <x v="0"/>
    <x v="3"/>
  </r>
  <r>
    <x v="3"/>
    <x v="1"/>
    <s v="Februari"/>
    <s v="Division_A"/>
    <x v="13"/>
    <n v="2012"/>
    <n v="3"/>
    <s v="TM-1"/>
    <n v="19"/>
    <n v="2418"/>
    <s v="127.3"/>
    <x v="2"/>
    <n v="0.35099999999999998"/>
    <n v="6664.1"/>
    <n v="6.6639999999999997"/>
    <d v="2015-02-01T00:00:00"/>
    <x v="0"/>
    <x v="3"/>
  </r>
  <r>
    <x v="3"/>
    <x v="2"/>
    <s v="Maret"/>
    <s v="Division_A"/>
    <x v="13"/>
    <n v="2012"/>
    <n v="3"/>
    <s v="TM-1"/>
    <n v="19"/>
    <n v="2418"/>
    <s v="127.3"/>
    <x v="2"/>
    <n v="0.47799999999999998"/>
    <n v="9090"/>
    <n v="9.09"/>
    <d v="2015-03-01T00:00:00"/>
    <x v="0"/>
    <x v="3"/>
  </r>
  <r>
    <x v="3"/>
    <x v="3"/>
    <s v="April"/>
    <s v="Division_A"/>
    <x v="13"/>
    <n v="2012"/>
    <n v="3"/>
    <s v="TM-1"/>
    <n v="19"/>
    <n v="2418"/>
    <s v="127.3"/>
    <x v="2"/>
    <n v="0.432"/>
    <n v="8209.1"/>
    <n v="8.2089999999999996"/>
    <d v="2015-04-01T00:00:00"/>
    <x v="0"/>
    <x v="3"/>
  </r>
  <r>
    <x v="3"/>
    <x v="4"/>
    <s v="Mei"/>
    <s v="Division_A"/>
    <x v="13"/>
    <n v="2012"/>
    <n v="3"/>
    <s v="TM-1"/>
    <n v="19"/>
    <n v="2418"/>
    <s v="127.3"/>
    <x v="2"/>
    <n v="0.47399999999999998"/>
    <n v="9003.2999999999993"/>
    <n v="9.0030000000000001"/>
    <d v="2015-05-01T00:00:00"/>
    <x v="0"/>
    <x v="3"/>
  </r>
  <r>
    <x v="3"/>
    <x v="5"/>
    <s v="Juni"/>
    <s v="Division_A"/>
    <x v="13"/>
    <n v="2012"/>
    <n v="3"/>
    <s v="TM-1"/>
    <n v="19"/>
    <n v="2418"/>
    <s v="127.3"/>
    <x v="2"/>
    <n v="0.65100000000000002"/>
    <n v="12375.1"/>
    <n v="12.375"/>
    <d v="2015-06-01T00:00:00"/>
    <x v="0"/>
    <x v="3"/>
  </r>
  <r>
    <x v="3"/>
    <x v="6"/>
    <s v="Juli"/>
    <s v="Division_A"/>
    <x v="13"/>
    <n v="2012"/>
    <n v="3"/>
    <s v="TM-1"/>
    <n v="19"/>
    <n v="2418"/>
    <s v="127.3"/>
    <x v="2"/>
    <n v="0.76"/>
    <n v="14447.2"/>
    <n v="14.446999999999999"/>
    <d v="2015-07-01T00:00:00"/>
    <x v="0"/>
    <x v="3"/>
  </r>
  <r>
    <x v="3"/>
    <x v="7"/>
    <s v="Agustus"/>
    <s v="Division_A"/>
    <x v="13"/>
    <n v="2012"/>
    <n v="3"/>
    <s v="TM-1"/>
    <n v="19"/>
    <n v="2418"/>
    <s v="127.3"/>
    <x v="2"/>
    <n v="0.83299999999999996"/>
    <n v="15833.5"/>
    <n v="15.833"/>
    <d v="2015-08-01T00:00:00"/>
    <x v="0"/>
    <x v="3"/>
  </r>
  <r>
    <x v="3"/>
    <x v="8"/>
    <s v="September"/>
    <s v="Division_A"/>
    <x v="13"/>
    <n v="2012"/>
    <n v="3"/>
    <s v="TM-1"/>
    <n v="19"/>
    <n v="2418"/>
    <s v="127.3"/>
    <x v="2"/>
    <n v="0.65200000000000002"/>
    <n v="12396.7"/>
    <n v="12.397"/>
    <d v="2015-09-01T00:00:00"/>
    <x v="0"/>
    <x v="3"/>
  </r>
  <r>
    <x v="3"/>
    <x v="9"/>
    <s v="Oktober"/>
    <s v="Division_A"/>
    <x v="13"/>
    <n v="2012"/>
    <n v="3"/>
    <s v="TM-1"/>
    <n v="19"/>
    <n v="2418"/>
    <s v="127.3"/>
    <x v="2"/>
    <n v="0.64200000000000002"/>
    <n v="12194.6"/>
    <n v="12.195"/>
    <d v="2015-10-01T00:00:00"/>
    <x v="0"/>
    <x v="3"/>
  </r>
  <r>
    <x v="3"/>
    <x v="10"/>
    <s v="November"/>
    <s v="Division_A"/>
    <x v="13"/>
    <n v="2012"/>
    <n v="3"/>
    <s v="TM-1"/>
    <n v="19"/>
    <n v="2418"/>
    <s v="127.3"/>
    <x v="2"/>
    <n v="0.47499999999999998"/>
    <n v="9032.2000000000007"/>
    <n v="9.032"/>
    <d v="2015-11-01T00:00:00"/>
    <x v="0"/>
    <x v="3"/>
  </r>
  <r>
    <x v="3"/>
    <x v="11"/>
    <s v="Desember"/>
    <s v="Division_A"/>
    <x v="13"/>
    <n v="2012"/>
    <n v="3"/>
    <s v="TM-1"/>
    <n v="19"/>
    <n v="2418"/>
    <s v="127.3"/>
    <x v="2"/>
    <n v="0.47"/>
    <n v="8938.4"/>
    <n v="8.9380000000000006"/>
    <d v="2015-12-01T00:00:00"/>
    <x v="0"/>
    <x v="3"/>
  </r>
  <r>
    <x v="3"/>
    <x v="0"/>
    <s v="Januari"/>
    <s v="Division_A"/>
    <x v="14"/>
    <n v="2012"/>
    <n v="3"/>
    <s v="TM-1"/>
    <n v="25"/>
    <n v="3205"/>
    <s v="128.2"/>
    <x v="2"/>
    <n v="0.33100000000000002"/>
    <n v="8284"/>
    <n v="8.2840000000000007"/>
    <d v="2015-01-01T00:00:00"/>
    <x v="0"/>
    <x v="3"/>
  </r>
  <r>
    <x v="3"/>
    <x v="1"/>
    <s v="Februari"/>
    <s v="Division_A"/>
    <x v="14"/>
    <n v="2012"/>
    <n v="3"/>
    <s v="TM-1"/>
    <n v="25"/>
    <n v="3205"/>
    <s v="128.2"/>
    <x v="2"/>
    <n v="0.35099999999999998"/>
    <n v="8768.5"/>
    <n v="8.7680000000000007"/>
    <d v="2015-02-01T00:00:00"/>
    <x v="0"/>
    <x v="3"/>
  </r>
  <r>
    <x v="3"/>
    <x v="2"/>
    <s v="Maret"/>
    <s v="Division_A"/>
    <x v="14"/>
    <n v="2012"/>
    <n v="3"/>
    <s v="TM-1"/>
    <n v="25"/>
    <n v="3205"/>
    <s v="128.2"/>
    <x v="2"/>
    <n v="0.47799999999999998"/>
    <n v="11960.5"/>
    <n v="11.96"/>
    <d v="2015-03-01T00:00:00"/>
    <x v="0"/>
    <x v="3"/>
  </r>
  <r>
    <x v="3"/>
    <x v="3"/>
    <s v="April"/>
    <s v="Division_A"/>
    <x v="14"/>
    <n v="2012"/>
    <n v="3"/>
    <s v="TM-1"/>
    <n v="25"/>
    <n v="3205"/>
    <s v="128.2"/>
    <x v="2"/>
    <n v="0.432"/>
    <n v="10801.5"/>
    <n v="10.802"/>
    <d v="2015-04-01T00:00:00"/>
    <x v="0"/>
    <x v="3"/>
  </r>
  <r>
    <x v="3"/>
    <x v="4"/>
    <s v="Mei"/>
    <s v="Division_A"/>
    <x v="14"/>
    <n v="2012"/>
    <n v="3"/>
    <s v="TM-1"/>
    <n v="25"/>
    <n v="3205"/>
    <s v="128.2"/>
    <x v="2"/>
    <n v="0.47399999999999998"/>
    <n v="11846.5"/>
    <n v="11.847"/>
    <d v="2015-05-01T00:00:00"/>
    <x v="0"/>
    <x v="3"/>
  </r>
  <r>
    <x v="3"/>
    <x v="5"/>
    <s v="Juni"/>
    <s v="Division_A"/>
    <x v="14"/>
    <n v="2012"/>
    <n v="3"/>
    <s v="TM-1"/>
    <n v="25"/>
    <n v="3205"/>
    <s v="128.2"/>
    <x v="2"/>
    <n v="0.65100000000000002"/>
    <n v="16283"/>
    <n v="16.283000000000001"/>
    <d v="2015-06-01T00:00:00"/>
    <x v="0"/>
    <x v="3"/>
  </r>
  <r>
    <x v="3"/>
    <x v="6"/>
    <s v="Juli"/>
    <s v="Division_A"/>
    <x v="14"/>
    <n v="2012"/>
    <n v="3"/>
    <s v="TM-1"/>
    <n v="25"/>
    <n v="3205"/>
    <s v="128.2"/>
    <x v="2"/>
    <n v="0.76"/>
    <n v="19009.5"/>
    <n v="19.009"/>
    <d v="2015-07-01T00:00:00"/>
    <x v="0"/>
    <x v="3"/>
  </r>
  <r>
    <x v="3"/>
    <x v="7"/>
    <s v="Agustus"/>
    <s v="Division_A"/>
    <x v="14"/>
    <n v="2012"/>
    <n v="3"/>
    <s v="TM-1"/>
    <n v="25"/>
    <n v="3205"/>
    <s v="128.2"/>
    <x v="2"/>
    <n v="0.83299999999999996"/>
    <n v="20833.5"/>
    <n v="20.834"/>
    <d v="2015-08-01T00:00:00"/>
    <x v="0"/>
    <x v="3"/>
  </r>
  <r>
    <x v="3"/>
    <x v="8"/>
    <s v="September"/>
    <s v="Division_A"/>
    <x v="14"/>
    <n v="2012"/>
    <n v="3"/>
    <s v="TM-1"/>
    <n v="25"/>
    <n v="3205"/>
    <s v="128.2"/>
    <x v="2"/>
    <n v="0.65200000000000002"/>
    <n v="16311.5"/>
    <n v="16.312000000000001"/>
    <d v="2015-09-01T00:00:00"/>
    <x v="0"/>
    <x v="3"/>
  </r>
  <r>
    <x v="3"/>
    <x v="9"/>
    <s v="Oktober"/>
    <s v="Division_A"/>
    <x v="14"/>
    <n v="2012"/>
    <n v="3"/>
    <s v="TM-1"/>
    <n v="25"/>
    <n v="3205"/>
    <s v="128.2"/>
    <x v="2"/>
    <n v="0.64200000000000002"/>
    <n v="16045.5"/>
    <n v="16.045999999999999"/>
    <d v="2015-10-01T00:00:00"/>
    <x v="0"/>
    <x v="3"/>
  </r>
  <r>
    <x v="3"/>
    <x v="10"/>
    <s v="November"/>
    <s v="Division_A"/>
    <x v="14"/>
    <n v="2012"/>
    <n v="3"/>
    <s v="TM-1"/>
    <n v="25"/>
    <n v="3205"/>
    <s v="128.2"/>
    <x v="2"/>
    <n v="0.47499999999999998"/>
    <n v="11884.5"/>
    <n v="11.884"/>
    <d v="2015-11-01T00:00:00"/>
    <x v="0"/>
    <x v="3"/>
  </r>
  <r>
    <x v="3"/>
    <x v="11"/>
    <s v="Desember"/>
    <s v="Division_A"/>
    <x v="14"/>
    <n v="2012"/>
    <n v="3"/>
    <s v="TM-1"/>
    <n v="25"/>
    <n v="3205"/>
    <s v="128.2"/>
    <x v="2"/>
    <n v="0.47"/>
    <n v="11761"/>
    <n v="11.760999999999999"/>
    <d v="2015-12-01T00:00:00"/>
    <x v="0"/>
    <x v="3"/>
  </r>
  <r>
    <x v="3"/>
    <x v="0"/>
    <s v="Januari"/>
    <s v="Division_A"/>
    <x v="15"/>
    <n v="2012"/>
    <n v="3"/>
    <s v="TM-1"/>
    <n v="19"/>
    <n v="2469"/>
    <s v="129.9"/>
    <x v="1"/>
    <n v="0.33100000000000002"/>
    <n v="6295.8"/>
    <n v="6.2960000000000003"/>
    <d v="2015-01-01T00:00:00"/>
    <x v="0"/>
    <x v="3"/>
  </r>
  <r>
    <x v="3"/>
    <x v="1"/>
    <s v="Februari"/>
    <s v="Division_A"/>
    <x v="15"/>
    <n v="2012"/>
    <n v="3"/>
    <s v="TM-1"/>
    <n v="19"/>
    <n v="2469"/>
    <s v="129.9"/>
    <x v="1"/>
    <n v="0.35099999999999998"/>
    <n v="6664.1"/>
    <n v="6.6639999999999997"/>
    <d v="2015-02-01T00:00:00"/>
    <x v="0"/>
    <x v="3"/>
  </r>
  <r>
    <x v="3"/>
    <x v="2"/>
    <s v="Maret"/>
    <s v="Division_A"/>
    <x v="15"/>
    <n v="2012"/>
    <n v="3"/>
    <s v="TM-1"/>
    <n v="19"/>
    <n v="2469"/>
    <s v="129.9"/>
    <x v="1"/>
    <n v="0.47799999999999998"/>
    <n v="9090"/>
    <n v="9.09"/>
    <d v="2015-03-01T00:00:00"/>
    <x v="0"/>
    <x v="3"/>
  </r>
  <r>
    <x v="3"/>
    <x v="3"/>
    <s v="April"/>
    <s v="Division_A"/>
    <x v="15"/>
    <n v="2012"/>
    <n v="3"/>
    <s v="TM-1"/>
    <n v="19"/>
    <n v="2469"/>
    <s v="129.9"/>
    <x v="1"/>
    <n v="0.432"/>
    <n v="8209.1"/>
    <n v="8.2089999999999996"/>
    <d v="2015-04-01T00:00:00"/>
    <x v="0"/>
    <x v="3"/>
  </r>
  <r>
    <x v="3"/>
    <x v="4"/>
    <s v="Mei"/>
    <s v="Division_A"/>
    <x v="15"/>
    <n v="2012"/>
    <n v="3"/>
    <s v="TM-1"/>
    <n v="19"/>
    <n v="2469"/>
    <s v="129.9"/>
    <x v="1"/>
    <n v="0.47399999999999998"/>
    <n v="9003.2999999999993"/>
    <n v="9.0030000000000001"/>
    <d v="2015-05-01T00:00:00"/>
    <x v="0"/>
    <x v="3"/>
  </r>
  <r>
    <x v="3"/>
    <x v="5"/>
    <s v="Juni"/>
    <s v="Division_A"/>
    <x v="15"/>
    <n v="2012"/>
    <n v="3"/>
    <s v="TM-1"/>
    <n v="19"/>
    <n v="2469"/>
    <s v="129.9"/>
    <x v="1"/>
    <n v="0.65100000000000002"/>
    <n v="12375.1"/>
    <n v="12.375"/>
    <d v="2015-06-01T00:00:00"/>
    <x v="0"/>
    <x v="3"/>
  </r>
  <r>
    <x v="3"/>
    <x v="6"/>
    <s v="Juli"/>
    <s v="Division_A"/>
    <x v="15"/>
    <n v="2012"/>
    <n v="3"/>
    <s v="TM-1"/>
    <n v="19"/>
    <n v="2469"/>
    <s v="129.9"/>
    <x v="1"/>
    <n v="0.76"/>
    <n v="14447.2"/>
    <n v="14.446999999999999"/>
    <d v="2015-07-01T00:00:00"/>
    <x v="0"/>
    <x v="3"/>
  </r>
  <r>
    <x v="3"/>
    <x v="7"/>
    <s v="Agustus"/>
    <s v="Division_A"/>
    <x v="15"/>
    <n v="2012"/>
    <n v="3"/>
    <s v="TM-1"/>
    <n v="19"/>
    <n v="2469"/>
    <s v="129.9"/>
    <x v="1"/>
    <n v="0.83299999999999996"/>
    <n v="15833.5"/>
    <n v="15.833"/>
    <d v="2015-08-01T00:00:00"/>
    <x v="0"/>
    <x v="3"/>
  </r>
  <r>
    <x v="3"/>
    <x v="8"/>
    <s v="September"/>
    <s v="Division_A"/>
    <x v="15"/>
    <n v="2012"/>
    <n v="3"/>
    <s v="TM-1"/>
    <n v="19"/>
    <n v="2469"/>
    <s v="129.9"/>
    <x v="1"/>
    <n v="0.65200000000000002"/>
    <n v="12396.7"/>
    <n v="12.397"/>
    <d v="2015-09-01T00:00:00"/>
    <x v="0"/>
    <x v="3"/>
  </r>
  <r>
    <x v="3"/>
    <x v="9"/>
    <s v="Oktober"/>
    <s v="Division_A"/>
    <x v="15"/>
    <n v="2012"/>
    <n v="3"/>
    <s v="TM-1"/>
    <n v="19"/>
    <n v="2469"/>
    <s v="129.9"/>
    <x v="1"/>
    <n v="0.64200000000000002"/>
    <n v="12194.6"/>
    <n v="12.195"/>
    <d v="2015-10-01T00:00:00"/>
    <x v="0"/>
    <x v="3"/>
  </r>
  <r>
    <x v="3"/>
    <x v="10"/>
    <s v="November"/>
    <s v="Division_A"/>
    <x v="15"/>
    <n v="2012"/>
    <n v="3"/>
    <s v="TM-1"/>
    <n v="19"/>
    <n v="2469"/>
    <s v="129.9"/>
    <x v="1"/>
    <n v="0.47499999999999998"/>
    <n v="9032.2000000000007"/>
    <n v="9.032"/>
    <d v="2015-11-01T00:00:00"/>
    <x v="0"/>
    <x v="3"/>
  </r>
  <r>
    <x v="3"/>
    <x v="11"/>
    <s v="Desember"/>
    <s v="Division_A"/>
    <x v="15"/>
    <n v="2012"/>
    <n v="3"/>
    <s v="TM-1"/>
    <n v="19"/>
    <n v="2469"/>
    <s v="129.9"/>
    <x v="1"/>
    <n v="0.47"/>
    <n v="8938.4"/>
    <n v="8.9380000000000006"/>
    <d v="2015-12-01T00:00:00"/>
    <x v="0"/>
    <x v="3"/>
  </r>
  <r>
    <x v="3"/>
    <x v="0"/>
    <s v="Januari"/>
    <s v="Division_A"/>
    <x v="16"/>
    <n v="2012"/>
    <n v="3"/>
    <s v="TM-1"/>
    <n v="20"/>
    <n v="2704"/>
    <s v="135.2"/>
    <x v="2"/>
    <n v="0.33100000000000002"/>
    <n v="6627.2"/>
    <n v="6.6269999999999998"/>
    <d v="2015-01-01T00:00:00"/>
    <x v="0"/>
    <x v="3"/>
  </r>
  <r>
    <x v="3"/>
    <x v="1"/>
    <s v="Februari"/>
    <s v="Division_A"/>
    <x v="16"/>
    <n v="2012"/>
    <n v="3"/>
    <s v="TM-1"/>
    <n v="20"/>
    <n v="2704"/>
    <s v="135.2"/>
    <x v="2"/>
    <n v="0.35099999999999998"/>
    <n v="7014.8"/>
    <n v="7.0149999999999997"/>
    <d v="2015-02-01T00:00:00"/>
    <x v="0"/>
    <x v="3"/>
  </r>
  <r>
    <x v="3"/>
    <x v="2"/>
    <s v="Maret"/>
    <s v="Division_A"/>
    <x v="16"/>
    <n v="2012"/>
    <n v="3"/>
    <s v="TM-1"/>
    <n v="20"/>
    <n v="2704"/>
    <s v="135.2"/>
    <x v="2"/>
    <n v="0.47799999999999998"/>
    <n v="9568.4"/>
    <n v="9.5679999999999996"/>
    <d v="2015-03-01T00:00:00"/>
    <x v="0"/>
    <x v="3"/>
  </r>
  <r>
    <x v="3"/>
    <x v="3"/>
    <s v="April"/>
    <s v="Division_A"/>
    <x v="16"/>
    <n v="2012"/>
    <n v="3"/>
    <s v="TM-1"/>
    <n v="20"/>
    <n v="2704"/>
    <s v="135.2"/>
    <x v="2"/>
    <n v="0.432"/>
    <n v="8641.2000000000007"/>
    <n v="8.641"/>
    <d v="2015-04-01T00:00:00"/>
    <x v="0"/>
    <x v="3"/>
  </r>
  <r>
    <x v="3"/>
    <x v="4"/>
    <s v="Mei"/>
    <s v="Division_A"/>
    <x v="16"/>
    <n v="2012"/>
    <n v="3"/>
    <s v="TM-1"/>
    <n v="20"/>
    <n v="2704"/>
    <s v="135.2"/>
    <x v="2"/>
    <n v="0.47399999999999998"/>
    <n v="9477.2000000000007"/>
    <n v="9.4770000000000003"/>
    <d v="2015-05-01T00:00:00"/>
    <x v="0"/>
    <x v="3"/>
  </r>
  <r>
    <x v="3"/>
    <x v="5"/>
    <s v="Juni"/>
    <s v="Division_A"/>
    <x v="16"/>
    <n v="2012"/>
    <n v="3"/>
    <s v="TM-1"/>
    <n v="20"/>
    <n v="2704"/>
    <s v="135.2"/>
    <x v="2"/>
    <n v="0.65100000000000002"/>
    <n v="13026.4"/>
    <n v="13.026"/>
    <d v="2015-06-01T00:00:00"/>
    <x v="0"/>
    <x v="3"/>
  </r>
  <r>
    <x v="3"/>
    <x v="6"/>
    <s v="Juli"/>
    <s v="Division_A"/>
    <x v="16"/>
    <n v="2012"/>
    <n v="3"/>
    <s v="TM-1"/>
    <n v="20"/>
    <n v="2704"/>
    <s v="135.2"/>
    <x v="2"/>
    <n v="0.76"/>
    <n v="15207.6"/>
    <n v="15.208"/>
    <d v="2015-07-01T00:00:00"/>
    <x v="0"/>
    <x v="3"/>
  </r>
  <r>
    <x v="3"/>
    <x v="7"/>
    <s v="Agustus"/>
    <s v="Division_A"/>
    <x v="16"/>
    <n v="2012"/>
    <n v="3"/>
    <s v="TM-1"/>
    <n v="20"/>
    <n v="2704"/>
    <s v="135.2"/>
    <x v="2"/>
    <n v="0.83299999999999996"/>
    <n v="16666.8"/>
    <n v="16.667000000000002"/>
    <d v="2015-08-01T00:00:00"/>
    <x v="0"/>
    <x v="3"/>
  </r>
  <r>
    <x v="3"/>
    <x v="8"/>
    <s v="September"/>
    <s v="Division_A"/>
    <x v="16"/>
    <n v="2012"/>
    <n v="3"/>
    <s v="TM-1"/>
    <n v="20"/>
    <n v="2704"/>
    <s v="135.2"/>
    <x v="2"/>
    <n v="0.65200000000000002"/>
    <n v="13049.2"/>
    <n v="13.048999999999999"/>
    <d v="2015-09-01T00:00:00"/>
    <x v="0"/>
    <x v="3"/>
  </r>
  <r>
    <x v="3"/>
    <x v="9"/>
    <s v="Oktober"/>
    <s v="Division_A"/>
    <x v="16"/>
    <n v="2012"/>
    <n v="3"/>
    <s v="TM-1"/>
    <n v="20"/>
    <n v="2704"/>
    <s v="135.2"/>
    <x v="2"/>
    <n v="0.64200000000000002"/>
    <n v="12836.4"/>
    <n v="12.836"/>
    <d v="2015-10-01T00:00:00"/>
    <x v="0"/>
    <x v="3"/>
  </r>
  <r>
    <x v="3"/>
    <x v="10"/>
    <s v="November"/>
    <s v="Division_A"/>
    <x v="16"/>
    <n v="2012"/>
    <n v="3"/>
    <s v="TM-1"/>
    <n v="20"/>
    <n v="2704"/>
    <s v="135.2"/>
    <x v="2"/>
    <n v="0.47499999999999998"/>
    <n v="9507.6"/>
    <n v="9.5079999999999991"/>
    <d v="2015-11-01T00:00:00"/>
    <x v="0"/>
    <x v="3"/>
  </r>
  <r>
    <x v="3"/>
    <x v="11"/>
    <s v="Desember"/>
    <s v="Division_A"/>
    <x v="16"/>
    <n v="2012"/>
    <n v="3"/>
    <s v="TM-1"/>
    <n v="20"/>
    <n v="2704"/>
    <s v="135.2"/>
    <x v="2"/>
    <n v="0.47"/>
    <n v="9408.7999999999993"/>
    <n v="9.4090000000000007"/>
    <d v="2015-12-01T00:00:00"/>
    <x v="0"/>
    <x v="3"/>
  </r>
  <r>
    <x v="3"/>
    <x v="0"/>
    <s v="Januari"/>
    <s v="Division_A"/>
    <x v="17"/>
    <n v="2012"/>
    <n v="3"/>
    <s v="TM-1"/>
    <n v="14"/>
    <n v="1833"/>
    <s v="130.9"/>
    <x v="2"/>
    <n v="0.33100000000000002"/>
    <n v="4639"/>
    <n v="4.6390000000000002"/>
    <d v="2015-01-01T00:00:00"/>
    <x v="0"/>
    <x v="3"/>
  </r>
  <r>
    <x v="3"/>
    <x v="1"/>
    <s v="Februari"/>
    <s v="Division_A"/>
    <x v="17"/>
    <n v="2012"/>
    <n v="3"/>
    <s v="TM-1"/>
    <n v="14"/>
    <n v="1833"/>
    <s v="130.9"/>
    <x v="2"/>
    <n v="0.35099999999999998"/>
    <n v="4910.3999999999996"/>
    <n v="4.91"/>
    <d v="2015-02-01T00:00:00"/>
    <x v="0"/>
    <x v="3"/>
  </r>
  <r>
    <x v="3"/>
    <x v="2"/>
    <s v="Maret"/>
    <s v="Division_A"/>
    <x v="17"/>
    <n v="2012"/>
    <n v="3"/>
    <s v="TM-1"/>
    <n v="14"/>
    <n v="1833"/>
    <s v="130.9"/>
    <x v="2"/>
    <n v="0.47799999999999998"/>
    <n v="6697.9"/>
    <n v="6.6980000000000004"/>
    <d v="2015-03-01T00:00:00"/>
    <x v="0"/>
    <x v="3"/>
  </r>
  <r>
    <x v="3"/>
    <x v="3"/>
    <s v="April"/>
    <s v="Division_A"/>
    <x v="17"/>
    <n v="2012"/>
    <n v="3"/>
    <s v="TM-1"/>
    <n v="14"/>
    <n v="1833"/>
    <s v="130.9"/>
    <x v="2"/>
    <n v="0.432"/>
    <n v="6048.8"/>
    <n v="6.0490000000000004"/>
    <d v="2015-04-01T00:00:00"/>
    <x v="0"/>
    <x v="3"/>
  </r>
  <r>
    <x v="3"/>
    <x v="4"/>
    <s v="Mei"/>
    <s v="Division_A"/>
    <x v="17"/>
    <n v="2012"/>
    <n v="3"/>
    <s v="TM-1"/>
    <n v="14"/>
    <n v="1833"/>
    <s v="130.9"/>
    <x v="2"/>
    <n v="0.47399999999999998"/>
    <n v="6634"/>
    <n v="6.6340000000000003"/>
    <d v="2015-05-01T00:00:00"/>
    <x v="0"/>
    <x v="3"/>
  </r>
  <r>
    <x v="3"/>
    <x v="5"/>
    <s v="Juni"/>
    <s v="Division_A"/>
    <x v="17"/>
    <n v="2012"/>
    <n v="3"/>
    <s v="TM-1"/>
    <n v="14"/>
    <n v="1833"/>
    <s v="130.9"/>
    <x v="2"/>
    <n v="0.65100000000000002"/>
    <n v="9118.5"/>
    <n v="9.1180000000000003"/>
    <d v="2015-06-01T00:00:00"/>
    <x v="0"/>
    <x v="3"/>
  </r>
  <r>
    <x v="3"/>
    <x v="6"/>
    <s v="Juli"/>
    <s v="Division_A"/>
    <x v="17"/>
    <n v="2012"/>
    <n v="3"/>
    <s v="TM-1"/>
    <n v="14"/>
    <n v="1833"/>
    <s v="130.9"/>
    <x v="2"/>
    <n v="0.76"/>
    <n v="10645.3"/>
    <n v="10.645"/>
    <d v="2015-07-01T00:00:00"/>
    <x v="0"/>
    <x v="3"/>
  </r>
  <r>
    <x v="3"/>
    <x v="7"/>
    <s v="Agustus"/>
    <s v="Division_A"/>
    <x v="17"/>
    <n v="2012"/>
    <n v="3"/>
    <s v="TM-1"/>
    <n v="14"/>
    <n v="1833"/>
    <s v="130.9"/>
    <x v="2"/>
    <n v="0.83299999999999996"/>
    <n v="11666.8"/>
    <n v="11.667"/>
    <d v="2015-08-01T00:00:00"/>
    <x v="0"/>
    <x v="3"/>
  </r>
  <r>
    <x v="3"/>
    <x v="8"/>
    <s v="September"/>
    <s v="Division_A"/>
    <x v="17"/>
    <n v="2012"/>
    <n v="3"/>
    <s v="TM-1"/>
    <n v="14"/>
    <n v="1833"/>
    <s v="130.9"/>
    <x v="2"/>
    <n v="0.65200000000000002"/>
    <n v="9134.4"/>
    <n v="9.1340000000000003"/>
    <d v="2015-09-01T00:00:00"/>
    <x v="0"/>
    <x v="3"/>
  </r>
  <r>
    <x v="3"/>
    <x v="9"/>
    <s v="Oktober"/>
    <s v="Division_A"/>
    <x v="17"/>
    <n v="2012"/>
    <n v="3"/>
    <s v="TM-1"/>
    <n v="14"/>
    <n v="1833"/>
    <s v="130.9"/>
    <x v="2"/>
    <n v="0.64200000000000002"/>
    <n v="8985.5"/>
    <n v="8.9849999999999994"/>
    <d v="2015-10-01T00:00:00"/>
    <x v="0"/>
    <x v="3"/>
  </r>
  <r>
    <x v="3"/>
    <x v="10"/>
    <s v="November"/>
    <s v="Division_A"/>
    <x v="17"/>
    <n v="2012"/>
    <n v="3"/>
    <s v="TM-1"/>
    <n v="14"/>
    <n v="1833"/>
    <s v="130.9"/>
    <x v="2"/>
    <n v="0.47499999999999998"/>
    <n v="6655.3"/>
    <n v="6.6550000000000002"/>
    <d v="2015-11-01T00:00:00"/>
    <x v="0"/>
    <x v="3"/>
  </r>
  <r>
    <x v="3"/>
    <x v="11"/>
    <s v="Desember"/>
    <s v="Division_A"/>
    <x v="17"/>
    <n v="2012"/>
    <n v="3"/>
    <s v="TM-1"/>
    <n v="14"/>
    <n v="1833"/>
    <s v="130.9"/>
    <x v="2"/>
    <n v="0.47"/>
    <n v="6586.2"/>
    <n v="6.5860000000000003"/>
    <d v="2015-12-01T00:00:00"/>
    <x v="0"/>
    <x v="3"/>
  </r>
  <r>
    <x v="3"/>
    <x v="0"/>
    <s v="Januari"/>
    <s v="Division_A"/>
    <x v="18"/>
    <n v="2012"/>
    <n v="3"/>
    <s v="TM-1"/>
    <n v="20"/>
    <n v="1990"/>
    <s v="99.5"/>
    <x v="2"/>
    <n v="0.33100000000000002"/>
    <n v="6627.2"/>
    <n v="6.6269999999999998"/>
    <d v="2015-01-01T00:00:00"/>
    <x v="0"/>
    <x v="3"/>
  </r>
  <r>
    <x v="3"/>
    <x v="1"/>
    <s v="Februari"/>
    <s v="Division_A"/>
    <x v="18"/>
    <n v="2012"/>
    <n v="3"/>
    <s v="TM-1"/>
    <n v="20"/>
    <n v="1990"/>
    <s v="99.5"/>
    <x v="2"/>
    <n v="0.35099999999999998"/>
    <n v="7014.8"/>
    <n v="7.0149999999999997"/>
    <d v="2015-02-01T00:00:00"/>
    <x v="0"/>
    <x v="3"/>
  </r>
  <r>
    <x v="3"/>
    <x v="2"/>
    <s v="Maret"/>
    <s v="Division_A"/>
    <x v="18"/>
    <n v="2012"/>
    <n v="3"/>
    <s v="TM-1"/>
    <n v="20"/>
    <n v="1990"/>
    <s v="99.5"/>
    <x v="2"/>
    <n v="0.47799999999999998"/>
    <n v="9568.4"/>
    <n v="9.5679999999999996"/>
    <d v="2015-03-01T00:00:00"/>
    <x v="0"/>
    <x v="3"/>
  </r>
  <r>
    <x v="3"/>
    <x v="3"/>
    <s v="April"/>
    <s v="Division_A"/>
    <x v="18"/>
    <n v="2012"/>
    <n v="3"/>
    <s v="TM-1"/>
    <n v="20"/>
    <n v="1990"/>
    <s v="99.5"/>
    <x v="2"/>
    <n v="0.432"/>
    <n v="8641.2000000000007"/>
    <n v="8.641"/>
    <d v="2015-04-01T00:00:00"/>
    <x v="0"/>
    <x v="3"/>
  </r>
  <r>
    <x v="3"/>
    <x v="4"/>
    <s v="Mei"/>
    <s v="Division_A"/>
    <x v="18"/>
    <n v="2012"/>
    <n v="3"/>
    <s v="TM-1"/>
    <n v="20"/>
    <n v="1990"/>
    <s v="99.5"/>
    <x v="2"/>
    <n v="0.47399999999999998"/>
    <n v="9477.2000000000007"/>
    <n v="9.4770000000000003"/>
    <d v="2015-05-01T00:00:00"/>
    <x v="0"/>
    <x v="3"/>
  </r>
  <r>
    <x v="3"/>
    <x v="5"/>
    <s v="Juni"/>
    <s v="Division_A"/>
    <x v="18"/>
    <n v="2012"/>
    <n v="3"/>
    <s v="TM-1"/>
    <n v="20"/>
    <n v="1990"/>
    <s v="99.5"/>
    <x v="2"/>
    <n v="0.65100000000000002"/>
    <n v="13026.4"/>
    <n v="13.026"/>
    <d v="2015-06-01T00:00:00"/>
    <x v="0"/>
    <x v="3"/>
  </r>
  <r>
    <x v="3"/>
    <x v="6"/>
    <s v="Juli"/>
    <s v="Division_A"/>
    <x v="18"/>
    <n v="2012"/>
    <n v="3"/>
    <s v="TM-1"/>
    <n v="20"/>
    <n v="1990"/>
    <s v="99.5"/>
    <x v="2"/>
    <n v="0.76"/>
    <n v="15207.6"/>
    <n v="15.208"/>
    <d v="2015-07-01T00:00:00"/>
    <x v="0"/>
    <x v="3"/>
  </r>
  <r>
    <x v="3"/>
    <x v="7"/>
    <s v="Agustus"/>
    <s v="Division_A"/>
    <x v="18"/>
    <n v="2012"/>
    <n v="3"/>
    <s v="TM-1"/>
    <n v="20"/>
    <n v="1990"/>
    <s v="99.5"/>
    <x v="2"/>
    <n v="0.83299999999999996"/>
    <n v="16666.8"/>
    <n v="16.667000000000002"/>
    <d v="2015-08-01T00:00:00"/>
    <x v="0"/>
    <x v="3"/>
  </r>
  <r>
    <x v="3"/>
    <x v="8"/>
    <s v="September"/>
    <s v="Division_A"/>
    <x v="18"/>
    <n v="2012"/>
    <n v="3"/>
    <s v="TM-1"/>
    <n v="20"/>
    <n v="1990"/>
    <s v="99.5"/>
    <x v="2"/>
    <n v="0.65200000000000002"/>
    <n v="13049.2"/>
    <n v="13.048999999999999"/>
    <d v="2015-09-01T00:00:00"/>
    <x v="0"/>
    <x v="3"/>
  </r>
  <r>
    <x v="3"/>
    <x v="9"/>
    <s v="Oktober"/>
    <s v="Division_A"/>
    <x v="18"/>
    <n v="2012"/>
    <n v="3"/>
    <s v="TM-1"/>
    <n v="20"/>
    <n v="1990"/>
    <s v="99.5"/>
    <x v="2"/>
    <n v="0.64200000000000002"/>
    <n v="12836.4"/>
    <n v="12.836"/>
    <d v="2015-10-01T00:00:00"/>
    <x v="0"/>
    <x v="3"/>
  </r>
  <r>
    <x v="3"/>
    <x v="10"/>
    <s v="November"/>
    <s v="Division_A"/>
    <x v="18"/>
    <n v="2012"/>
    <n v="3"/>
    <s v="TM-1"/>
    <n v="20"/>
    <n v="1990"/>
    <s v="99.5"/>
    <x v="2"/>
    <n v="0.47499999999999998"/>
    <n v="9507.6"/>
    <n v="9.5079999999999991"/>
    <d v="2015-11-01T00:00:00"/>
    <x v="0"/>
    <x v="3"/>
  </r>
  <r>
    <x v="3"/>
    <x v="11"/>
    <s v="Desember"/>
    <s v="Division_A"/>
    <x v="18"/>
    <n v="2012"/>
    <n v="3"/>
    <s v="TM-1"/>
    <n v="20"/>
    <n v="1990"/>
    <s v="99.5"/>
    <x v="2"/>
    <n v="0.47"/>
    <n v="9408.7999999999993"/>
    <n v="9.4090000000000007"/>
    <d v="2015-12-01T00:00:00"/>
    <x v="0"/>
    <x v="3"/>
  </r>
  <r>
    <x v="3"/>
    <x v="0"/>
    <s v="Januari"/>
    <s v="Division_A"/>
    <x v="19"/>
    <n v="2012"/>
    <n v="3"/>
    <s v="TM-1"/>
    <n v="22"/>
    <n v="2606"/>
    <s v="118.5"/>
    <x v="2"/>
    <n v="0.33100000000000002"/>
    <n v="7289.9"/>
    <n v="7.29"/>
    <d v="2015-01-01T00:00:00"/>
    <x v="0"/>
    <x v="3"/>
  </r>
  <r>
    <x v="3"/>
    <x v="1"/>
    <s v="Februari"/>
    <s v="Division_A"/>
    <x v="19"/>
    <n v="2012"/>
    <n v="3"/>
    <s v="TM-1"/>
    <n v="22"/>
    <n v="2606"/>
    <s v="118.5"/>
    <x v="2"/>
    <n v="0.35099999999999998"/>
    <n v="7716.3"/>
    <n v="7.7160000000000002"/>
    <d v="2015-02-01T00:00:00"/>
    <x v="0"/>
    <x v="3"/>
  </r>
  <r>
    <x v="3"/>
    <x v="2"/>
    <s v="Maret"/>
    <s v="Division_A"/>
    <x v="19"/>
    <n v="2012"/>
    <n v="3"/>
    <s v="TM-1"/>
    <n v="22"/>
    <n v="2606"/>
    <s v="118.5"/>
    <x v="2"/>
    <n v="0.47799999999999998"/>
    <n v="10525.2"/>
    <n v="10.525"/>
    <d v="2015-03-01T00:00:00"/>
    <x v="0"/>
    <x v="3"/>
  </r>
  <r>
    <x v="3"/>
    <x v="3"/>
    <s v="April"/>
    <s v="Division_A"/>
    <x v="19"/>
    <n v="2012"/>
    <n v="3"/>
    <s v="TM-1"/>
    <n v="22"/>
    <n v="2606"/>
    <s v="118.5"/>
    <x v="2"/>
    <n v="0.432"/>
    <n v="9505.2999999999993"/>
    <n v="9.5050000000000008"/>
    <d v="2015-04-01T00:00:00"/>
    <x v="0"/>
    <x v="3"/>
  </r>
  <r>
    <x v="3"/>
    <x v="4"/>
    <s v="Mei"/>
    <s v="Division_A"/>
    <x v="19"/>
    <n v="2012"/>
    <n v="3"/>
    <s v="TM-1"/>
    <n v="22"/>
    <n v="2606"/>
    <s v="118.5"/>
    <x v="2"/>
    <n v="0.47399999999999998"/>
    <n v="10424.9"/>
    <n v="10.425000000000001"/>
    <d v="2015-05-01T00:00:00"/>
    <x v="0"/>
    <x v="3"/>
  </r>
  <r>
    <x v="3"/>
    <x v="5"/>
    <s v="Juni"/>
    <s v="Division_A"/>
    <x v="19"/>
    <n v="2012"/>
    <n v="3"/>
    <s v="TM-1"/>
    <n v="22"/>
    <n v="2606"/>
    <s v="118.5"/>
    <x v="2"/>
    <n v="0.65100000000000002"/>
    <n v="14329"/>
    <n v="14.329000000000001"/>
    <d v="2015-06-01T00:00:00"/>
    <x v="0"/>
    <x v="3"/>
  </r>
  <r>
    <x v="3"/>
    <x v="6"/>
    <s v="Juli"/>
    <s v="Division_A"/>
    <x v="19"/>
    <n v="2012"/>
    <n v="3"/>
    <s v="TM-1"/>
    <n v="22"/>
    <n v="2606"/>
    <s v="118.5"/>
    <x v="2"/>
    <n v="0.76"/>
    <n v="16728.400000000001"/>
    <n v="16.728000000000002"/>
    <d v="2015-07-01T00:00:00"/>
    <x v="0"/>
    <x v="3"/>
  </r>
  <r>
    <x v="3"/>
    <x v="7"/>
    <s v="Agustus"/>
    <s v="Division_A"/>
    <x v="19"/>
    <n v="2012"/>
    <n v="3"/>
    <s v="TM-1"/>
    <n v="22"/>
    <n v="2606"/>
    <s v="118.5"/>
    <x v="2"/>
    <n v="0.83299999999999996"/>
    <n v="18333.5"/>
    <n v="18.332999999999998"/>
    <d v="2015-08-01T00:00:00"/>
    <x v="0"/>
    <x v="3"/>
  </r>
  <r>
    <x v="3"/>
    <x v="8"/>
    <s v="September"/>
    <s v="Division_A"/>
    <x v="19"/>
    <n v="2012"/>
    <n v="3"/>
    <s v="TM-1"/>
    <n v="22"/>
    <n v="2606"/>
    <s v="118.5"/>
    <x v="2"/>
    <n v="0.65200000000000002"/>
    <n v="14354.1"/>
    <n v="14.353999999999999"/>
    <d v="2015-09-01T00:00:00"/>
    <x v="0"/>
    <x v="3"/>
  </r>
  <r>
    <x v="3"/>
    <x v="9"/>
    <s v="Oktober"/>
    <s v="Division_A"/>
    <x v="19"/>
    <n v="2012"/>
    <n v="3"/>
    <s v="TM-1"/>
    <n v="22"/>
    <n v="2606"/>
    <s v="118.5"/>
    <x v="2"/>
    <n v="0.64200000000000002"/>
    <n v="14120"/>
    <n v="14.12"/>
    <d v="2015-10-01T00:00:00"/>
    <x v="0"/>
    <x v="3"/>
  </r>
  <r>
    <x v="3"/>
    <x v="10"/>
    <s v="November"/>
    <s v="Division_A"/>
    <x v="19"/>
    <n v="2012"/>
    <n v="3"/>
    <s v="TM-1"/>
    <n v="22"/>
    <n v="2606"/>
    <s v="118.5"/>
    <x v="2"/>
    <n v="0.47499999999999998"/>
    <n v="10458.4"/>
    <n v="10.458"/>
    <d v="2015-11-01T00:00:00"/>
    <x v="0"/>
    <x v="3"/>
  </r>
  <r>
    <x v="3"/>
    <x v="11"/>
    <s v="Desember"/>
    <s v="Division_A"/>
    <x v="19"/>
    <n v="2012"/>
    <n v="3"/>
    <s v="TM-1"/>
    <n v="22"/>
    <n v="2606"/>
    <s v="118.5"/>
    <x v="2"/>
    <n v="0.47"/>
    <n v="10349.700000000001"/>
    <n v="10.35"/>
    <d v="2015-12-01T00:00:00"/>
    <x v="0"/>
    <x v="3"/>
  </r>
  <r>
    <x v="3"/>
    <x v="0"/>
    <s v="Januari"/>
    <s v="Division_A"/>
    <x v="20"/>
    <n v="2012"/>
    <n v="3"/>
    <s v="TM-1"/>
    <n v="22"/>
    <n v="2683"/>
    <s v="122"/>
    <x v="1"/>
    <n v="0.33100000000000002"/>
    <n v="7289.9"/>
    <n v="7.29"/>
    <d v="2015-01-01T00:00:00"/>
    <x v="0"/>
    <x v="3"/>
  </r>
  <r>
    <x v="3"/>
    <x v="1"/>
    <s v="Februari"/>
    <s v="Division_A"/>
    <x v="20"/>
    <n v="2012"/>
    <n v="3"/>
    <s v="TM-1"/>
    <n v="22"/>
    <n v="2683"/>
    <s v="122"/>
    <x v="1"/>
    <n v="0.35099999999999998"/>
    <n v="7716.3"/>
    <n v="7.7160000000000002"/>
    <d v="2015-02-01T00:00:00"/>
    <x v="0"/>
    <x v="3"/>
  </r>
  <r>
    <x v="3"/>
    <x v="2"/>
    <s v="Maret"/>
    <s v="Division_A"/>
    <x v="20"/>
    <n v="2012"/>
    <n v="3"/>
    <s v="TM-1"/>
    <n v="22"/>
    <n v="2683"/>
    <s v="122"/>
    <x v="1"/>
    <n v="0.47799999999999998"/>
    <n v="10525.2"/>
    <n v="10.525"/>
    <d v="2015-03-01T00:00:00"/>
    <x v="0"/>
    <x v="3"/>
  </r>
  <r>
    <x v="3"/>
    <x v="3"/>
    <s v="April"/>
    <s v="Division_A"/>
    <x v="20"/>
    <n v="2012"/>
    <n v="3"/>
    <s v="TM-1"/>
    <n v="22"/>
    <n v="2683"/>
    <s v="122"/>
    <x v="1"/>
    <n v="0.432"/>
    <n v="9505.2999999999993"/>
    <n v="9.5050000000000008"/>
    <d v="2015-04-01T00:00:00"/>
    <x v="0"/>
    <x v="3"/>
  </r>
  <r>
    <x v="3"/>
    <x v="4"/>
    <s v="Mei"/>
    <s v="Division_A"/>
    <x v="20"/>
    <n v="2012"/>
    <n v="3"/>
    <s v="TM-1"/>
    <n v="22"/>
    <n v="2683"/>
    <s v="122"/>
    <x v="1"/>
    <n v="0.47399999999999998"/>
    <n v="10424.9"/>
    <n v="10.425000000000001"/>
    <d v="2015-05-01T00:00:00"/>
    <x v="0"/>
    <x v="3"/>
  </r>
  <r>
    <x v="3"/>
    <x v="5"/>
    <s v="Juni"/>
    <s v="Division_A"/>
    <x v="20"/>
    <n v="2012"/>
    <n v="3"/>
    <s v="TM-1"/>
    <n v="22"/>
    <n v="2683"/>
    <s v="122"/>
    <x v="1"/>
    <n v="0.65100000000000002"/>
    <n v="14329"/>
    <n v="14.329000000000001"/>
    <d v="2015-06-01T00:00:00"/>
    <x v="0"/>
    <x v="3"/>
  </r>
  <r>
    <x v="3"/>
    <x v="6"/>
    <s v="Juli"/>
    <s v="Division_A"/>
    <x v="20"/>
    <n v="2012"/>
    <n v="3"/>
    <s v="TM-1"/>
    <n v="22"/>
    <n v="2683"/>
    <s v="122"/>
    <x v="1"/>
    <n v="0.76"/>
    <n v="16728.400000000001"/>
    <n v="16.728000000000002"/>
    <d v="2015-07-01T00:00:00"/>
    <x v="0"/>
    <x v="3"/>
  </r>
  <r>
    <x v="3"/>
    <x v="7"/>
    <s v="Agustus"/>
    <s v="Division_A"/>
    <x v="20"/>
    <n v="2012"/>
    <n v="3"/>
    <s v="TM-1"/>
    <n v="22"/>
    <n v="2683"/>
    <s v="122"/>
    <x v="1"/>
    <n v="0.83299999999999996"/>
    <n v="18333.5"/>
    <n v="18.332999999999998"/>
    <d v="2015-08-01T00:00:00"/>
    <x v="0"/>
    <x v="3"/>
  </r>
  <r>
    <x v="3"/>
    <x v="8"/>
    <s v="September"/>
    <s v="Division_A"/>
    <x v="20"/>
    <n v="2012"/>
    <n v="3"/>
    <s v="TM-1"/>
    <n v="22"/>
    <n v="2683"/>
    <s v="122"/>
    <x v="1"/>
    <n v="0.65200000000000002"/>
    <n v="14354.1"/>
    <n v="14.353999999999999"/>
    <d v="2015-09-01T00:00:00"/>
    <x v="0"/>
    <x v="3"/>
  </r>
  <r>
    <x v="3"/>
    <x v="9"/>
    <s v="Oktober"/>
    <s v="Division_A"/>
    <x v="20"/>
    <n v="2012"/>
    <n v="3"/>
    <s v="TM-1"/>
    <n v="22"/>
    <n v="2683"/>
    <s v="122"/>
    <x v="1"/>
    <n v="0.64200000000000002"/>
    <n v="14120"/>
    <n v="14.12"/>
    <d v="2015-10-01T00:00:00"/>
    <x v="0"/>
    <x v="3"/>
  </r>
  <r>
    <x v="3"/>
    <x v="10"/>
    <s v="November"/>
    <s v="Division_A"/>
    <x v="20"/>
    <n v="2012"/>
    <n v="3"/>
    <s v="TM-1"/>
    <n v="22"/>
    <n v="2683"/>
    <s v="122"/>
    <x v="1"/>
    <n v="0.47499999999999998"/>
    <n v="10458.4"/>
    <n v="10.458"/>
    <d v="2015-11-01T00:00:00"/>
    <x v="0"/>
    <x v="3"/>
  </r>
  <r>
    <x v="3"/>
    <x v="11"/>
    <s v="Desember"/>
    <s v="Division_A"/>
    <x v="20"/>
    <n v="2012"/>
    <n v="3"/>
    <s v="TM-1"/>
    <n v="22"/>
    <n v="2683"/>
    <s v="122"/>
    <x v="1"/>
    <n v="0.47"/>
    <n v="10349.700000000001"/>
    <n v="10.35"/>
    <d v="2015-12-01T00:00:00"/>
    <x v="0"/>
    <x v="3"/>
  </r>
  <r>
    <x v="3"/>
    <x v="0"/>
    <s v="Januari"/>
    <s v="Division_A"/>
    <x v="21"/>
    <n v="2012"/>
    <n v="3"/>
    <s v="TM-1"/>
    <n v="28"/>
    <n v="3483"/>
    <s v="124.4"/>
    <x v="1"/>
    <n v="0.33100000000000002"/>
    <n v="9278.1"/>
    <n v="9.2780000000000005"/>
    <d v="2015-01-01T00:00:00"/>
    <x v="0"/>
    <x v="3"/>
  </r>
  <r>
    <x v="3"/>
    <x v="1"/>
    <s v="Februari"/>
    <s v="Division_A"/>
    <x v="21"/>
    <n v="2012"/>
    <n v="3"/>
    <s v="TM-1"/>
    <n v="28"/>
    <n v="3483"/>
    <s v="124.4"/>
    <x v="1"/>
    <n v="0.35099999999999998"/>
    <n v="9820.7000000000007"/>
    <n v="9.8209999999999997"/>
    <d v="2015-02-01T00:00:00"/>
    <x v="0"/>
    <x v="3"/>
  </r>
  <r>
    <x v="3"/>
    <x v="2"/>
    <s v="Maret"/>
    <s v="Division_A"/>
    <x v="21"/>
    <n v="2012"/>
    <n v="3"/>
    <s v="TM-1"/>
    <n v="28"/>
    <n v="3483"/>
    <s v="124.4"/>
    <x v="1"/>
    <n v="0.47799999999999998"/>
    <n v="13395.8"/>
    <n v="13.396000000000001"/>
    <d v="2015-03-01T00:00:00"/>
    <x v="0"/>
    <x v="3"/>
  </r>
  <r>
    <x v="3"/>
    <x v="3"/>
    <s v="April"/>
    <s v="Division_A"/>
    <x v="21"/>
    <n v="2012"/>
    <n v="3"/>
    <s v="TM-1"/>
    <n v="28"/>
    <n v="3483"/>
    <s v="124.4"/>
    <x v="1"/>
    <n v="0.432"/>
    <n v="12097.7"/>
    <n v="12.098000000000001"/>
    <d v="2015-04-01T00:00:00"/>
    <x v="0"/>
    <x v="3"/>
  </r>
  <r>
    <x v="3"/>
    <x v="4"/>
    <s v="Mei"/>
    <s v="Division_A"/>
    <x v="21"/>
    <n v="2012"/>
    <n v="3"/>
    <s v="TM-1"/>
    <n v="28"/>
    <n v="3483"/>
    <s v="124.4"/>
    <x v="1"/>
    <n v="0.47399999999999998"/>
    <n v="13268.1"/>
    <n v="13.268000000000001"/>
    <d v="2015-05-01T00:00:00"/>
    <x v="0"/>
    <x v="3"/>
  </r>
  <r>
    <x v="3"/>
    <x v="5"/>
    <s v="Juni"/>
    <s v="Division_A"/>
    <x v="21"/>
    <n v="2012"/>
    <n v="3"/>
    <s v="TM-1"/>
    <n v="28"/>
    <n v="3483"/>
    <s v="124.4"/>
    <x v="1"/>
    <n v="0.65100000000000002"/>
    <n v="18237"/>
    <n v="18.236999999999998"/>
    <d v="2015-06-01T00:00:00"/>
    <x v="0"/>
    <x v="3"/>
  </r>
  <r>
    <x v="3"/>
    <x v="6"/>
    <s v="Juli"/>
    <s v="Division_A"/>
    <x v="21"/>
    <n v="2012"/>
    <n v="3"/>
    <s v="TM-1"/>
    <n v="28"/>
    <n v="3483"/>
    <s v="124.4"/>
    <x v="1"/>
    <n v="0.76"/>
    <n v="21290.6"/>
    <n v="21.291"/>
    <d v="2015-07-01T00:00:00"/>
    <x v="0"/>
    <x v="3"/>
  </r>
  <r>
    <x v="3"/>
    <x v="7"/>
    <s v="Agustus"/>
    <s v="Division_A"/>
    <x v="21"/>
    <n v="2012"/>
    <n v="3"/>
    <s v="TM-1"/>
    <n v="28"/>
    <n v="3483"/>
    <s v="124.4"/>
    <x v="1"/>
    <n v="0.83299999999999996"/>
    <n v="23333.5"/>
    <n v="23.334"/>
    <d v="2015-08-01T00:00:00"/>
    <x v="0"/>
    <x v="3"/>
  </r>
  <r>
    <x v="3"/>
    <x v="8"/>
    <s v="September"/>
    <s v="Division_A"/>
    <x v="21"/>
    <n v="2012"/>
    <n v="3"/>
    <s v="TM-1"/>
    <n v="28"/>
    <n v="3483"/>
    <s v="124.4"/>
    <x v="1"/>
    <n v="0.65200000000000002"/>
    <n v="18268.900000000001"/>
    <n v="18.268999999999998"/>
    <d v="2015-09-01T00:00:00"/>
    <x v="0"/>
    <x v="3"/>
  </r>
  <r>
    <x v="3"/>
    <x v="9"/>
    <s v="Oktober"/>
    <s v="Division_A"/>
    <x v="21"/>
    <n v="2012"/>
    <n v="3"/>
    <s v="TM-1"/>
    <n v="28"/>
    <n v="3483"/>
    <s v="124.4"/>
    <x v="1"/>
    <n v="0.64200000000000002"/>
    <n v="17971"/>
    <n v="17.971"/>
    <d v="2015-10-01T00:00:00"/>
    <x v="0"/>
    <x v="3"/>
  </r>
  <r>
    <x v="3"/>
    <x v="10"/>
    <s v="November"/>
    <s v="Division_A"/>
    <x v="21"/>
    <n v="2012"/>
    <n v="3"/>
    <s v="TM-1"/>
    <n v="28"/>
    <n v="3483"/>
    <s v="124.4"/>
    <x v="1"/>
    <n v="0.47499999999999998"/>
    <n v="13310.6"/>
    <n v="13.311"/>
    <d v="2015-11-01T00:00:00"/>
    <x v="0"/>
    <x v="3"/>
  </r>
  <r>
    <x v="3"/>
    <x v="11"/>
    <s v="Desember"/>
    <s v="Division_A"/>
    <x v="21"/>
    <n v="2012"/>
    <n v="3"/>
    <s v="TM-1"/>
    <n v="28"/>
    <n v="3483"/>
    <s v="124.4"/>
    <x v="1"/>
    <n v="0.47"/>
    <n v="13172.3"/>
    <n v="13.172000000000001"/>
    <d v="2015-12-01T00:00:00"/>
    <x v="0"/>
    <x v="3"/>
  </r>
  <r>
    <x v="3"/>
    <x v="0"/>
    <s v="Januari"/>
    <s v="Division_A"/>
    <x v="22"/>
    <n v="2013"/>
    <n v="2"/>
    <s v="TBM"/>
    <n v="24"/>
    <n v="2678"/>
    <s v="111.6"/>
    <x v="1"/>
    <n v="0"/>
    <n v="0"/>
    <n v="0"/>
    <d v="2015-01-01T00:00:00"/>
    <x v="1"/>
    <x v="2"/>
  </r>
  <r>
    <x v="3"/>
    <x v="1"/>
    <s v="Februari"/>
    <s v="Division_A"/>
    <x v="22"/>
    <n v="2013"/>
    <n v="2"/>
    <s v="TBM"/>
    <n v="24"/>
    <n v="2678"/>
    <s v="111.6"/>
    <x v="1"/>
    <n v="0"/>
    <n v="0"/>
    <n v="0"/>
    <d v="2015-02-01T00:00:00"/>
    <x v="1"/>
    <x v="2"/>
  </r>
  <r>
    <x v="3"/>
    <x v="2"/>
    <s v="Maret"/>
    <s v="Division_A"/>
    <x v="22"/>
    <n v="2013"/>
    <n v="2"/>
    <s v="TBM"/>
    <n v="24"/>
    <n v="2678"/>
    <s v="111.6"/>
    <x v="1"/>
    <n v="0"/>
    <n v="0"/>
    <n v="0"/>
    <d v="2015-03-01T00:00:00"/>
    <x v="1"/>
    <x v="2"/>
  </r>
  <r>
    <x v="3"/>
    <x v="3"/>
    <s v="April"/>
    <s v="Division_A"/>
    <x v="22"/>
    <n v="2013"/>
    <n v="2"/>
    <s v="TBM"/>
    <n v="24"/>
    <n v="2678"/>
    <s v="111.6"/>
    <x v="1"/>
    <n v="0"/>
    <n v="0"/>
    <n v="0"/>
    <d v="2015-04-01T00:00:00"/>
    <x v="1"/>
    <x v="2"/>
  </r>
  <r>
    <x v="3"/>
    <x v="4"/>
    <s v="Mei"/>
    <s v="Division_A"/>
    <x v="22"/>
    <n v="2013"/>
    <n v="2"/>
    <s v="TBM"/>
    <n v="24"/>
    <n v="2678"/>
    <s v="111.6"/>
    <x v="1"/>
    <n v="0"/>
    <n v="0"/>
    <n v="0"/>
    <d v="2015-05-01T00:00:00"/>
    <x v="1"/>
    <x v="2"/>
  </r>
  <r>
    <x v="3"/>
    <x v="5"/>
    <s v="Juni"/>
    <s v="Division_A"/>
    <x v="22"/>
    <n v="2013"/>
    <n v="2"/>
    <s v="TBM"/>
    <n v="24"/>
    <n v="2678"/>
    <s v="111.6"/>
    <x v="1"/>
    <n v="0"/>
    <n v="0"/>
    <n v="0"/>
    <d v="2015-06-01T00:00:00"/>
    <x v="1"/>
    <x v="2"/>
  </r>
  <r>
    <x v="3"/>
    <x v="6"/>
    <s v="Juli"/>
    <s v="Division_A"/>
    <x v="22"/>
    <n v="2013"/>
    <n v="2"/>
    <s v="TBM"/>
    <n v="24"/>
    <n v="2678"/>
    <s v="111.6"/>
    <x v="1"/>
    <n v="0"/>
    <n v="0"/>
    <n v="0"/>
    <d v="2015-07-01T00:00:00"/>
    <x v="1"/>
    <x v="2"/>
  </r>
  <r>
    <x v="3"/>
    <x v="7"/>
    <s v="Agustus"/>
    <s v="Division_A"/>
    <x v="22"/>
    <n v="2013"/>
    <n v="2"/>
    <s v="TBM"/>
    <n v="24"/>
    <n v="2678"/>
    <s v="111.6"/>
    <x v="1"/>
    <n v="0"/>
    <n v="0"/>
    <n v="0"/>
    <d v="2015-08-01T00:00:00"/>
    <x v="1"/>
    <x v="2"/>
  </r>
  <r>
    <x v="3"/>
    <x v="8"/>
    <s v="September"/>
    <s v="Division_A"/>
    <x v="22"/>
    <n v="2013"/>
    <n v="2"/>
    <s v="TBM"/>
    <n v="24"/>
    <n v="2678"/>
    <s v="111.6"/>
    <x v="1"/>
    <n v="0"/>
    <n v="0"/>
    <n v="0"/>
    <d v="2015-09-01T00:00:00"/>
    <x v="1"/>
    <x v="2"/>
  </r>
  <r>
    <x v="3"/>
    <x v="9"/>
    <s v="Oktober"/>
    <s v="Division_A"/>
    <x v="22"/>
    <n v="2013"/>
    <n v="2"/>
    <s v="TBM"/>
    <n v="24"/>
    <n v="2678"/>
    <s v="111.6"/>
    <x v="1"/>
    <n v="0"/>
    <n v="0"/>
    <n v="0"/>
    <d v="2015-10-01T00:00:00"/>
    <x v="1"/>
    <x v="2"/>
  </r>
  <r>
    <x v="3"/>
    <x v="10"/>
    <s v="November"/>
    <s v="Division_A"/>
    <x v="22"/>
    <n v="2013"/>
    <n v="2"/>
    <s v="TBM"/>
    <n v="24"/>
    <n v="2678"/>
    <s v="111.6"/>
    <x v="1"/>
    <n v="0"/>
    <n v="0"/>
    <n v="0"/>
    <d v="2015-11-01T00:00:00"/>
    <x v="1"/>
    <x v="2"/>
  </r>
  <r>
    <x v="3"/>
    <x v="11"/>
    <s v="Desember"/>
    <s v="Division_A"/>
    <x v="22"/>
    <n v="2013"/>
    <n v="2"/>
    <s v="TBM"/>
    <n v="24"/>
    <n v="2678"/>
    <s v="111.6"/>
    <x v="1"/>
    <n v="0"/>
    <n v="0"/>
    <n v="0"/>
    <d v="2015-12-01T00:00:00"/>
    <x v="1"/>
    <x v="2"/>
  </r>
  <r>
    <x v="3"/>
    <x v="0"/>
    <s v="Januari"/>
    <s v="Division_A"/>
    <x v="23"/>
    <n v="2013"/>
    <n v="2"/>
    <s v="TBM"/>
    <n v="23"/>
    <n v="2683"/>
    <s v="116.7"/>
    <x v="1"/>
    <n v="0"/>
    <n v="0"/>
    <n v="0"/>
    <d v="2015-01-01T00:00:00"/>
    <x v="1"/>
    <x v="2"/>
  </r>
  <r>
    <x v="3"/>
    <x v="1"/>
    <s v="Februari"/>
    <s v="Division_A"/>
    <x v="23"/>
    <n v="2013"/>
    <n v="2"/>
    <s v="TBM"/>
    <n v="23"/>
    <n v="2683"/>
    <s v="116.7"/>
    <x v="1"/>
    <n v="0"/>
    <n v="0"/>
    <n v="0"/>
    <d v="2015-02-01T00:00:00"/>
    <x v="1"/>
    <x v="2"/>
  </r>
  <r>
    <x v="3"/>
    <x v="2"/>
    <s v="Maret"/>
    <s v="Division_A"/>
    <x v="23"/>
    <n v="2013"/>
    <n v="2"/>
    <s v="TBM"/>
    <n v="23"/>
    <n v="2683"/>
    <s v="116.7"/>
    <x v="1"/>
    <n v="0"/>
    <n v="0"/>
    <n v="0"/>
    <d v="2015-03-01T00:00:00"/>
    <x v="1"/>
    <x v="2"/>
  </r>
  <r>
    <x v="3"/>
    <x v="3"/>
    <s v="April"/>
    <s v="Division_A"/>
    <x v="23"/>
    <n v="2013"/>
    <n v="2"/>
    <s v="TBM"/>
    <n v="23"/>
    <n v="2683"/>
    <s v="116.7"/>
    <x v="1"/>
    <n v="0"/>
    <n v="0"/>
    <n v="0"/>
    <d v="2015-04-01T00:00:00"/>
    <x v="1"/>
    <x v="2"/>
  </r>
  <r>
    <x v="3"/>
    <x v="4"/>
    <s v="Mei"/>
    <s v="Division_A"/>
    <x v="23"/>
    <n v="2013"/>
    <n v="2"/>
    <s v="TBM"/>
    <n v="23"/>
    <n v="2683"/>
    <s v="116.7"/>
    <x v="1"/>
    <n v="0"/>
    <n v="0"/>
    <n v="0"/>
    <d v="2015-05-01T00:00:00"/>
    <x v="1"/>
    <x v="2"/>
  </r>
  <r>
    <x v="3"/>
    <x v="5"/>
    <s v="Juni"/>
    <s v="Division_A"/>
    <x v="23"/>
    <n v="2013"/>
    <n v="2"/>
    <s v="TBM"/>
    <n v="23"/>
    <n v="2683"/>
    <s v="116.7"/>
    <x v="1"/>
    <n v="0"/>
    <n v="0"/>
    <n v="0"/>
    <d v="2015-06-01T00:00:00"/>
    <x v="1"/>
    <x v="2"/>
  </r>
  <r>
    <x v="3"/>
    <x v="6"/>
    <s v="Juli"/>
    <s v="Division_A"/>
    <x v="23"/>
    <n v="2013"/>
    <n v="2"/>
    <s v="TBM"/>
    <n v="23"/>
    <n v="2683"/>
    <s v="116.7"/>
    <x v="1"/>
    <n v="0"/>
    <n v="0"/>
    <n v="0"/>
    <d v="2015-07-01T00:00:00"/>
    <x v="1"/>
    <x v="2"/>
  </r>
  <r>
    <x v="3"/>
    <x v="7"/>
    <s v="Agustus"/>
    <s v="Division_A"/>
    <x v="23"/>
    <n v="2013"/>
    <n v="2"/>
    <s v="TBM"/>
    <n v="23"/>
    <n v="2683"/>
    <s v="116.7"/>
    <x v="1"/>
    <n v="0"/>
    <n v="0"/>
    <n v="0"/>
    <d v="2015-08-01T00:00:00"/>
    <x v="1"/>
    <x v="2"/>
  </r>
  <r>
    <x v="3"/>
    <x v="8"/>
    <s v="September"/>
    <s v="Division_A"/>
    <x v="23"/>
    <n v="2013"/>
    <n v="2"/>
    <s v="TBM"/>
    <n v="23"/>
    <n v="2683"/>
    <s v="116.7"/>
    <x v="1"/>
    <n v="0"/>
    <n v="0"/>
    <n v="0"/>
    <d v="2015-09-01T00:00:00"/>
    <x v="1"/>
    <x v="2"/>
  </r>
  <r>
    <x v="3"/>
    <x v="9"/>
    <s v="Oktober"/>
    <s v="Division_A"/>
    <x v="23"/>
    <n v="2013"/>
    <n v="2"/>
    <s v="TBM"/>
    <n v="23"/>
    <n v="2683"/>
    <s v="116.7"/>
    <x v="1"/>
    <n v="0"/>
    <n v="0"/>
    <n v="0"/>
    <d v="2015-10-01T00:00:00"/>
    <x v="1"/>
    <x v="2"/>
  </r>
  <r>
    <x v="3"/>
    <x v="10"/>
    <s v="November"/>
    <s v="Division_A"/>
    <x v="23"/>
    <n v="2013"/>
    <n v="2"/>
    <s v="TBM"/>
    <n v="23"/>
    <n v="2683"/>
    <s v="116.7"/>
    <x v="1"/>
    <n v="0"/>
    <n v="0"/>
    <n v="0"/>
    <d v="2015-11-01T00:00:00"/>
    <x v="1"/>
    <x v="2"/>
  </r>
  <r>
    <x v="3"/>
    <x v="11"/>
    <s v="Desember"/>
    <s v="Division_A"/>
    <x v="23"/>
    <n v="2013"/>
    <n v="2"/>
    <s v="TBM"/>
    <n v="23"/>
    <n v="2683"/>
    <s v="116.7"/>
    <x v="1"/>
    <n v="0"/>
    <n v="0"/>
    <n v="0"/>
    <d v="2015-12-01T00:00:00"/>
    <x v="1"/>
    <x v="2"/>
  </r>
  <r>
    <x v="3"/>
    <x v="0"/>
    <s v="Januari"/>
    <s v="Division_A"/>
    <x v="24"/>
    <n v="2013"/>
    <n v="2"/>
    <s v="TBM"/>
    <n v="24"/>
    <n v="3445"/>
    <s v="143.5"/>
    <x v="1"/>
    <n v="0"/>
    <n v="0"/>
    <n v="0"/>
    <d v="2015-01-01T00:00:00"/>
    <x v="1"/>
    <x v="2"/>
  </r>
  <r>
    <x v="3"/>
    <x v="1"/>
    <s v="Februari"/>
    <s v="Division_A"/>
    <x v="24"/>
    <n v="2013"/>
    <n v="2"/>
    <s v="TBM"/>
    <n v="24"/>
    <n v="3445"/>
    <s v="143.5"/>
    <x v="1"/>
    <n v="0"/>
    <n v="0"/>
    <n v="0"/>
    <d v="2015-02-01T00:00:00"/>
    <x v="1"/>
    <x v="2"/>
  </r>
  <r>
    <x v="3"/>
    <x v="2"/>
    <s v="Maret"/>
    <s v="Division_A"/>
    <x v="24"/>
    <n v="2013"/>
    <n v="2"/>
    <s v="TBM"/>
    <n v="24"/>
    <n v="3445"/>
    <s v="143.5"/>
    <x v="1"/>
    <n v="0"/>
    <n v="0"/>
    <n v="0"/>
    <d v="2015-03-01T00:00:00"/>
    <x v="1"/>
    <x v="2"/>
  </r>
  <r>
    <x v="3"/>
    <x v="3"/>
    <s v="April"/>
    <s v="Division_A"/>
    <x v="24"/>
    <n v="2013"/>
    <n v="2"/>
    <s v="TBM"/>
    <n v="24"/>
    <n v="3445"/>
    <s v="143.5"/>
    <x v="1"/>
    <n v="0"/>
    <n v="0"/>
    <n v="0"/>
    <d v="2015-04-01T00:00:00"/>
    <x v="1"/>
    <x v="2"/>
  </r>
  <r>
    <x v="3"/>
    <x v="4"/>
    <s v="Mei"/>
    <s v="Division_A"/>
    <x v="24"/>
    <n v="2013"/>
    <n v="2"/>
    <s v="TBM"/>
    <n v="24"/>
    <n v="3445"/>
    <s v="143.5"/>
    <x v="1"/>
    <n v="0"/>
    <n v="0"/>
    <n v="0"/>
    <d v="2015-05-01T00:00:00"/>
    <x v="1"/>
    <x v="2"/>
  </r>
  <r>
    <x v="3"/>
    <x v="5"/>
    <s v="Juni"/>
    <s v="Division_A"/>
    <x v="24"/>
    <n v="2013"/>
    <n v="2"/>
    <s v="TBM"/>
    <n v="24"/>
    <n v="3445"/>
    <s v="143.5"/>
    <x v="1"/>
    <n v="0"/>
    <n v="0"/>
    <n v="0"/>
    <d v="2015-06-01T00:00:00"/>
    <x v="1"/>
    <x v="2"/>
  </r>
  <r>
    <x v="3"/>
    <x v="6"/>
    <s v="Juli"/>
    <s v="Division_A"/>
    <x v="24"/>
    <n v="2013"/>
    <n v="2"/>
    <s v="TBM"/>
    <n v="24"/>
    <n v="3445"/>
    <s v="143.5"/>
    <x v="1"/>
    <n v="0"/>
    <n v="0"/>
    <n v="0"/>
    <d v="2015-07-01T00:00:00"/>
    <x v="1"/>
    <x v="2"/>
  </r>
  <r>
    <x v="3"/>
    <x v="7"/>
    <s v="Agustus"/>
    <s v="Division_A"/>
    <x v="24"/>
    <n v="2013"/>
    <n v="2"/>
    <s v="TBM"/>
    <n v="24"/>
    <n v="3445"/>
    <s v="143.5"/>
    <x v="1"/>
    <n v="0"/>
    <n v="0"/>
    <n v="0"/>
    <d v="2015-08-01T00:00:00"/>
    <x v="1"/>
    <x v="2"/>
  </r>
  <r>
    <x v="3"/>
    <x v="8"/>
    <s v="September"/>
    <s v="Division_A"/>
    <x v="24"/>
    <n v="2013"/>
    <n v="2"/>
    <s v="TBM"/>
    <n v="24"/>
    <n v="3445"/>
    <s v="143.5"/>
    <x v="1"/>
    <n v="0"/>
    <n v="0"/>
    <n v="0"/>
    <d v="2015-09-01T00:00:00"/>
    <x v="1"/>
    <x v="2"/>
  </r>
  <r>
    <x v="3"/>
    <x v="9"/>
    <s v="Oktober"/>
    <s v="Division_A"/>
    <x v="24"/>
    <n v="2013"/>
    <n v="2"/>
    <s v="TBM"/>
    <n v="24"/>
    <n v="3445"/>
    <s v="143.5"/>
    <x v="1"/>
    <n v="0"/>
    <n v="0"/>
    <n v="0"/>
    <d v="2015-10-01T00:00:00"/>
    <x v="1"/>
    <x v="2"/>
  </r>
  <r>
    <x v="3"/>
    <x v="10"/>
    <s v="November"/>
    <s v="Division_A"/>
    <x v="24"/>
    <n v="2013"/>
    <n v="2"/>
    <s v="TBM"/>
    <n v="24"/>
    <n v="3445"/>
    <s v="143.5"/>
    <x v="1"/>
    <n v="0"/>
    <n v="0"/>
    <n v="0"/>
    <d v="2015-11-01T00:00:00"/>
    <x v="1"/>
    <x v="2"/>
  </r>
  <r>
    <x v="3"/>
    <x v="11"/>
    <s v="Desember"/>
    <s v="Division_A"/>
    <x v="24"/>
    <n v="2013"/>
    <n v="2"/>
    <s v="TBM"/>
    <n v="24"/>
    <n v="3445"/>
    <s v="143.5"/>
    <x v="1"/>
    <n v="0"/>
    <n v="0"/>
    <n v="0"/>
    <d v="2015-12-01T00:00:00"/>
    <x v="1"/>
    <x v="2"/>
  </r>
  <r>
    <x v="3"/>
    <x v="0"/>
    <s v="Januari"/>
    <s v="Division_A"/>
    <x v="25"/>
    <n v="2013"/>
    <n v="2"/>
    <s v="TBM"/>
    <n v="24"/>
    <n v="3271"/>
    <s v="136.3"/>
    <x v="1"/>
    <n v="0"/>
    <n v="0"/>
    <n v="0"/>
    <d v="2015-01-01T00:00:00"/>
    <x v="1"/>
    <x v="2"/>
  </r>
  <r>
    <x v="3"/>
    <x v="1"/>
    <s v="Februari"/>
    <s v="Division_A"/>
    <x v="25"/>
    <n v="2013"/>
    <n v="2"/>
    <s v="TBM"/>
    <n v="24"/>
    <n v="3271"/>
    <s v="136.3"/>
    <x v="1"/>
    <n v="0"/>
    <n v="0"/>
    <n v="0"/>
    <d v="2015-02-01T00:00:00"/>
    <x v="1"/>
    <x v="2"/>
  </r>
  <r>
    <x v="3"/>
    <x v="2"/>
    <s v="Maret"/>
    <s v="Division_A"/>
    <x v="25"/>
    <n v="2013"/>
    <n v="2"/>
    <s v="TBM"/>
    <n v="24"/>
    <n v="3271"/>
    <s v="136.3"/>
    <x v="1"/>
    <n v="0"/>
    <n v="0"/>
    <n v="0"/>
    <d v="2015-03-01T00:00:00"/>
    <x v="1"/>
    <x v="2"/>
  </r>
  <r>
    <x v="3"/>
    <x v="3"/>
    <s v="April"/>
    <s v="Division_A"/>
    <x v="25"/>
    <n v="2013"/>
    <n v="2"/>
    <s v="TBM"/>
    <n v="24"/>
    <n v="3271"/>
    <s v="136.3"/>
    <x v="1"/>
    <n v="0"/>
    <n v="0"/>
    <n v="0"/>
    <d v="2015-04-01T00:00:00"/>
    <x v="1"/>
    <x v="2"/>
  </r>
  <r>
    <x v="3"/>
    <x v="4"/>
    <s v="Mei"/>
    <s v="Division_A"/>
    <x v="25"/>
    <n v="2013"/>
    <n v="2"/>
    <s v="TBM"/>
    <n v="24"/>
    <n v="3271"/>
    <s v="136.3"/>
    <x v="1"/>
    <n v="0"/>
    <n v="0"/>
    <n v="0"/>
    <d v="2015-05-01T00:00:00"/>
    <x v="1"/>
    <x v="2"/>
  </r>
  <r>
    <x v="3"/>
    <x v="5"/>
    <s v="Juni"/>
    <s v="Division_A"/>
    <x v="25"/>
    <n v="2013"/>
    <n v="2"/>
    <s v="TBM"/>
    <n v="24"/>
    <n v="3271"/>
    <s v="136.3"/>
    <x v="1"/>
    <n v="0"/>
    <n v="0"/>
    <n v="0"/>
    <d v="2015-06-01T00:00:00"/>
    <x v="1"/>
    <x v="2"/>
  </r>
  <r>
    <x v="3"/>
    <x v="6"/>
    <s v="Juli"/>
    <s v="Division_A"/>
    <x v="25"/>
    <n v="2013"/>
    <n v="2"/>
    <s v="TBM"/>
    <n v="24"/>
    <n v="3271"/>
    <s v="136.3"/>
    <x v="1"/>
    <n v="0"/>
    <n v="0"/>
    <n v="0"/>
    <d v="2015-07-01T00:00:00"/>
    <x v="1"/>
    <x v="2"/>
  </r>
  <r>
    <x v="3"/>
    <x v="7"/>
    <s v="Agustus"/>
    <s v="Division_A"/>
    <x v="25"/>
    <n v="2013"/>
    <n v="2"/>
    <s v="TBM"/>
    <n v="24"/>
    <n v="3271"/>
    <s v="136.3"/>
    <x v="1"/>
    <n v="0"/>
    <n v="0"/>
    <n v="0"/>
    <d v="2015-08-01T00:00:00"/>
    <x v="1"/>
    <x v="2"/>
  </r>
  <r>
    <x v="3"/>
    <x v="8"/>
    <s v="September"/>
    <s v="Division_A"/>
    <x v="25"/>
    <n v="2013"/>
    <n v="2"/>
    <s v="TBM"/>
    <n v="24"/>
    <n v="3271"/>
    <s v="136.3"/>
    <x v="1"/>
    <n v="0"/>
    <n v="0"/>
    <n v="0"/>
    <d v="2015-09-01T00:00:00"/>
    <x v="1"/>
    <x v="2"/>
  </r>
  <r>
    <x v="3"/>
    <x v="9"/>
    <s v="Oktober"/>
    <s v="Division_A"/>
    <x v="25"/>
    <n v="2013"/>
    <n v="2"/>
    <s v="TBM"/>
    <n v="24"/>
    <n v="3271"/>
    <s v="136.3"/>
    <x v="1"/>
    <n v="0"/>
    <n v="0"/>
    <n v="0"/>
    <d v="2015-10-01T00:00:00"/>
    <x v="1"/>
    <x v="2"/>
  </r>
  <r>
    <x v="3"/>
    <x v="10"/>
    <s v="November"/>
    <s v="Division_A"/>
    <x v="25"/>
    <n v="2013"/>
    <n v="2"/>
    <s v="TBM"/>
    <n v="24"/>
    <n v="3271"/>
    <s v="136.3"/>
    <x v="1"/>
    <n v="0"/>
    <n v="0"/>
    <n v="0"/>
    <d v="2015-11-01T00:00:00"/>
    <x v="1"/>
    <x v="2"/>
  </r>
  <r>
    <x v="3"/>
    <x v="11"/>
    <s v="Desember"/>
    <s v="Division_A"/>
    <x v="25"/>
    <n v="2013"/>
    <n v="2"/>
    <s v="TBM"/>
    <n v="24"/>
    <n v="3271"/>
    <s v="136.3"/>
    <x v="1"/>
    <n v="0"/>
    <n v="0"/>
    <n v="0"/>
    <d v="2015-12-01T00:00:00"/>
    <x v="1"/>
    <x v="2"/>
  </r>
  <r>
    <x v="3"/>
    <x v="0"/>
    <s v="Januari"/>
    <s v="Division_A"/>
    <x v="26"/>
    <n v="2013"/>
    <n v="2"/>
    <s v="TBM"/>
    <n v="25"/>
    <n v="3291"/>
    <s v="131.6"/>
    <x v="1"/>
    <n v="0"/>
    <n v="0"/>
    <n v="0"/>
    <d v="2015-01-01T00:00:00"/>
    <x v="1"/>
    <x v="2"/>
  </r>
  <r>
    <x v="3"/>
    <x v="1"/>
    <s v="Februari"/>
    <s v="Division_A"/>
    <x v="26"/>
    <n v="2013"/>
    <n v="2"/>
    <s v="TBM"/>
    <n v="25"/>
    <n v="3291"/>
    <s v="131.6"/>
    <x v="1"/>
    <n v="0"/>
    <n v="0"/>
    <n v="0"/>
    <d v="2015-02-01T00:00:00"/>
    <x v="1"/>
    <x v="2"/>
  </r>
  <r>
    <x v="3"/>
    <x v="2"/>
    <s v="Maret"/>
    <s v="Division_A"/>
    <x v="26"/>
    <n v="2013"/>
    <n v="2"/>
    <s v="TBM"/>
    <n v="25"/>
    <n v="3291"/>
    <s v="131.6"/>
    <x v="1"/>
    <n v="0"/>
    <n v="0"/>
    <n v="0"/>
    <d v="2015-03-01T00:00:00"/>
    <x v="1"/>
    <x v="2"/>
  </r>
  <r>
    <x v="3"/>
    <x v="3"/>
    <s v="April"/>
    <s v="Division_A"/>
    <x v="26"/>
    <n v="2013"/>
    <n v="2"/>
    <s v="TBM"/>
    <n v="25"/>
    <n v="3291"/>
    <s v="131.6"/>
    <x v="1"/>
    <n v="0"/>
    <n v="0"/>
    <n v="0"/>
    <d v="2015-04-01T00:00:00"/>
    <x v="1"/>
    <x v="2"/>
  </r>
  <r>
    <x v="3"/>
    <x v="4"/>
    <s v="Mei"/>
    <s v="Division_A"/>
    <x v="26"/>
    <n v="2013"/>
    <n v="2"/>
    <s v="TBM"/>
    <n v="25"/>
    <n v="3291"/>
    <s v="131.6"/>
    <x v="1"/>
    <n v="0"/>
    <n v="0"/>
    <n v="0"/>
    <d v="2015-05-01T00:00:00"/>
    <x v="1"/>
    <x v="2"/>
  </r>
  <r>
    <x v="3"/>
    <x v="5"/>
    <s v="Juni"/>
    <s v="Division_A"/>
    <x v="26"/>
    <n v="2013"/>
    <n v="2"/>
    <s v="TBM"/>
    <n v="25"/>
    <n v="3291"/>
    <s v="131.6"/>
    <x v="1"/>
    <n v="0"/>
    <n v="0"/>
    <n v="0"/>
    <d v="2015-06-01T00:00:00"/>
    <x v="1"/>
    <x v="2"/>
  </r>
  <r>
    <x v="3"/>
    <x v="6"/>
    <s v="Juli"/>
    <s v="Division_A"/>
    <x v="26"/>
    <n v="2013"/>
    <n v="2"/>
    <s v="TBM"/>
    <n v="25"/>
    <n v="3291"/>
    <s v="131.6"/>
    <x v="1"/>
    <n v="0"/>
    <n v="0"/>
    <n v="0"/>
    <d v="2015-07-01T00:00:00"/>
    <x v="1"/>
    <x v="2"/>
  </r>
  <r>
    <x v="3"/>
    <x v="7"/>
    <s v="Agustus"/>
    <s v="Division_A"/>
    <x v="26"/>
    <n v="2013"/>
    <n v="2"/>
    <s v="TBM"/>
    <n v="25"/>
    <n v="3291"/>
    <s v="131.6"/>
    <x v="1"/>
    <n v="0"/>
    <n v="0"/>
    <n v="0"/>
    <d v="2015-08-01T00:00:00"/>
    <x v="1"/>
    <x v="2"/>
  </r>
  <r>
    <x v="3"/>
    <x v="8"/>
    <s v="September"/>
    <s v="Division_A"/>
    <x v="26"/>
    <n v="2013"/>
    <n v="2"/>
    <s v="TBM"/>
    <n v="25"/>
    <n v="3291"/>
    <s v="131.6"/>
    <x v="1"/>
    <n v="0"/>
    <n v="0"/>
    <n v="0"/>
    <d v="2015-09-01T00:00:00"/>
    <x v="1"/>
    <x v="2"/>
  </r>
  <r>
    <x v="3"/>
    <x v="9"/>
    <s v="Oktober"/>
    <s v="Division_A"/>
    <x v="26"/>
    <n v="2013"/>
    <n v="2"/>
    <s v="TBM"/>
    <n v="25"/>
    <n v="3291"/>
    <s v="131.6"/>
    <x v="1"/>
    <n v="0"/>
    <n v="0"/>
    <n v="0"/>
    <d v="2015-10-01T00:00:00"/>
    <x v="1"/>
    <x v="2"/>
  </r>
  <r>
    <x v="3"/>
    <x v="10"/>
    <s v="November"/>
    <s v="Division_A"/>
    <x v="26"/>
    <n v="2013"/>
    <n v="2"/>
    <s v="TBM"/>
    <n v="25"/>
    <n v="3291"/>
    <s v="131.6"/>
    <x v="1"/>
    <n v="0"/>
    <n v="0"/>
    <n v="0"/>
    <d v="2015-11-01T00:00:00"/>
    <x v="1"/>
    <x v="2"/>
  </r>
  <r>
    <x v="3"/>
    <x v="11"/>
    <s v="Desember"/>
    <s v="Division_A"/>
    <x v="26"/>
    <n v="2013"/>
    <n v="2"/>
    <s v="TBM"/>
    <n v="25"/>
    <n v="3291"/>
    <s v="131.6"/>
    <x v="1"/>
    <n v="0"/>
    <n v="0"/>
    <n v="0"/>
    <d v="2015-12-01T00:00:00"/>
    <x v="1"/>
    <x v="2"/>
  </r>
  <r>
    <x v="3"/>
    <x v="0"/>
    <s v="Januari"/>
    <s v="Division_A"/>
    <x v="27"/>
    <n v="2014"/>
    <n v="1"/>
    <s v="TBM"/>
    <n v="24"/>
    <n v="2208"/>
    <s v="92"/>
    <x v="1"/>
    <n v="0"/>
    <n v="0"/>
    <n v="0"/>
    <d v="2015-01-01T00:00:00"/>
    <x v="1"/>
    <x v="2"/>
  </r>
  <r>
    <x v="3"/>
    <x v="1"/>
    <s v="Februari"/>
    <s v="Division_A"/>
    <x v="27"/>
    <n v="2014"/>
    <n v="1"/>
    <s v="TBM"/>
    <n v="24"/>
    <n v="2208"/>
    <s v="92"/>
    <x v="1"/>
    <n v="0"/>
    <n v="0"/>
    <n v="0"/>
    <d v="2015-02-01T00:00:00"/>
    <x v="1"/>
    <x v="2"/>
  </r>
  <r>
    <x v="3"/>
    <x v="2"/>
    <s v="Maret"/>
    <s v="Division_A"/>
    <x v="27"/>
    <n v="2014"/>
    <n v="1"/>
    <s v="TBM"/>
    <n v="24"/>
    <n v="2208"/>
    <s v="92"/>
    <x v="1"/>
    <n v="0"/>
    <n v="0"/>
    <n v="0"/>
    <d v="2015-03-01T00:00:00"/>
    <x v="1"/>
    <x v="2"/>
  </r>
  <r>
    <x v="3"/>
    <x v="3"/>
    <s v="April"/>
    <s v="Division_A"/>
    <x v="27"/>
    <n v="2014"/>
    <n v="1"/>
    <s v="TBM"/>
    <n v="24"/>
    <n v="2208"/>
    <s v="92"/>
    <x v="1"/>
    <n v="0"/>
    <n v="0"/>
    <n v="0"/>
    <d v="2015-04-01T00:00:00"/>
    <x v="1"/>
    <x v="2"/>
  </r>
  <r>
    <x v="3"/>
    <x v="4"/>
    <s v="Mei"/>
    <s v="Division_A"/>
    <x v="27"/>
    <n v="2014"/>
    <n v="1"/>
    <s v="TBM"/>
    <n v="24"/>
    <n v="2208"/>
    <s v="92"/>
    <x v="1"/>
    <n v="0"/>
    <n v="0"/>
    <n v="0"/>
    <d v="2015-05-01T00:00:00"/>
    <x v="1"/>
    <x v="2"/>
  </r>
  <r>
    <x v="3"/>
    <x v="5"/>
    <s v="Juni"/>
    <s v="Division_A"/>
    <x v="27"/>
    <n v="2014"/>
    <n v="1"/>
    <s v="TBM"/>
    <n v="24"/>
    <n v="2208"/>
    <s v="92"/>
    <x v="1"/>
    <n v="0"/>
    <n v="0"/>
    <n v="0"/>
    <d v="2015-06-01T00:00:00"/>
    <x v="1"/>
    <x v="2"/>
  </r>
  <r>
    <x v="3"/>
    <x v="6"/>
    <s v="Juli"/>
    <s v="Division_A"/>
    <x v="27"/>
    <n v="2014"/>
    <n v="1"/>
    <s v="TBM"/>
    <n v="24"/>
    <n v="2208"/>
    <s v="92"/>
    <x v="1"/>
    <n v="0"/>
    <n v="0"/>
    <n v="0"/>
    <d v="2015-07-01T00:00:00"/>
    <x v="1"/>
    <x v="2"/>
  </r>
  <r>
    <x v="3"/>
    <x v="7"/>
    <s v="Agustus"/>
    <s v="Division_A"/>
    <x v="27"/>
    <n v="2014"/>
    <n v="1"/>
    <s v="TBM"/>
    <n v="24"/>
    <n v="2208"/>
    <s v="92"/>
    <x v="1"/>
    <n v="0"/>
    <n v="0"/>
    <n v="0"/>
    <d v="2015-08-01T00:00:00"/>
    <x v="1"/>
    <x v="2"/>
  </r>
  <r>
    <x v="3"/>
    <x v="8"/>
    <s v="September"/>
    <s v="Division_A"/>
    <x v="27"/>
    <n v="2014"/>
    <n v="1"/>
    <s v="TBM"/>
    <n v="24"/>
    <n v="2208"/>
    <s v="92"/>
    <x v="1"/>
    <n v="0"/>
    <n v="0"/>
    <n v="0"/>
    <d v="2015-09-01T00:00:00"/>
    <x v="1"/>
    <x v="2"/>
  </r>
  <r>
    <x v="3"/>
    <x v="9"/>
    <s v="Oktober"/>
    <s v="Division_A"/>
    <x v="27"/>
    <n v="2014"/>
    <n v="1"/>
    <s v="TBM"/>
    <n v="24"/>
    <n v="2208"/>
    <s v="92"/>
    <x v="1"/>
    <n v="0"/>
    <n v="0"/>
    <n v="0"/>
    <d v="2015-10-01T00:00:00"/>
    <x v="1"/>
    <x v="2"/>
  </r>
  <r>
    <x v="3"/>
    <x v="10"/>
    <s v="November"/>
    <s v="Division_A"/>
    <x v="27"/>
    <n v="2014"/>
    <n v="1"/>
    <s v="TBM"/>
    <n v="24"/>
    <n v="2208"/>
    <s v="92"/>
    <x v="1"/>
    <n v="0"/>
    <n v="0"/>
    <n v="0"/>
    <d v="2015-11-01T00:00:00"/>
    <x v="1"/>
    <x v="2"/>
  </r>
  <r>
    <x v="3"/>
    <x v="11"/>
    <s v="Desember"/>
    <s v="Division_A"/>
    <x v="27"/>
    <n v="2014"/>
    <n v="1"/>
    <s v="TBM"/>
    <n v="24"/>
    <n v="2208"/>
    <s v="92"/>
    <x v="1"/>
    <n v="0"/>
    <n v="0"/>
    <n v="0"/>
    <d v="2015-12-01T00:00:00"/>
    <x v="1"/>
    <x v="2"/>
  </r>
  <r>
    <x v="3"/>
    <x v="0"/>
    <s v="Januari"/>
    <s v="Division_A"/>
    <x v="28"/>
    <n v="2014"/>
    <n v="1"/>
    <s v="TBM"/>
    <n v="20"/>
    <n v="1954"/>
    <s v="97.7"/>
    <x v="1"/>
    <n v="0"/>
    <n v="0"/>
    <n v="0"/>
    <d v="2015-01-01T00:00:00"/>
    <x v="1"/>
    <x v="2"/>
  </r>
  <r>
    <x v="3"/>
    <x v="1"/>
    <s v="Februari"/>
    <s v="Division_A"/>
    <x v="28"/>
    <n v="2014"/>
    <n v="1"/>
    <s v="TBM"/>
    <n v="20"/>
    <n v="1954"/>
    <s v="97.7"/>
    <x v="1"/>
    <n v="0"/>
    <n v="0"/>
    <n v="0"/>
    <d v="2015-02-01T00:00:00"/>
    <x v="1"/>
    <x v="2"/>
  </r>
  <r>
    <x v="3"/>
    <x v="2"/>
    <s v="Maret"/>
    <s v="Division_A"/>
    <x v="28"/>
    <n v="2014"/>
    <n v="1"/>
    <s v="TBM"/>
    <n v="20"/>
    <n v="1954"/>
    <s v="97.7"/>
    <x v="1"/>
    <n v="0"/>
    <n v="0"/>
    <n v="0"/>
    <d v="2015-03-01T00:00:00"/>
    <x v="1"/>
    <x v="2"/>
  </r>
  <r>
    <x v="3"/>
    <x v="3"/>
    <s v="April"/>
    <s v="Division_A"/>
    <x v="28"/>
    <n v="2014"/>
    <n v="1"/>
    <s v="TBM"/>
    <n v="20"/>
    <n v="1954"/>
    <s v="97.7"/>
    <x v="1"/>
    <n v="0"/>
    <n v="0"/>
    <n v="0"/>
    <d v="2015-04-01T00:00:00"/>
    <x v="1"/>
    <x v="2"/>
  </r>
  <r>
    <x v="3"/>
    <x v="4"/>
    <s v="Mei"/>
    <s v="Division_A"/>
    <x v="28"/>
    <n v="2014"/>
    <n v="1"/>
    <s v="TBM"/>
    <n v="20"/>
    <n v="1954"/>
    <s v="97.7"/>
    <x v="1"/>
    <n v="0"/>
    <n v="0"/>
    <n v="0"/>
    <d v="2015-05-01T00:00:00"/>
    <x v="1"/>
    <x v="2"/>
  </r>
  <r>
    <x v="3"/>
    <x v="5"/>
    <s v="Juni"/>
    <s v="Division_A"/>
    <x v="28"/>
    <n v="2014"/>
    <n v="1"/>
    <s v="TBM"/>
    <n v="20"/>
    <n v="1954"/>
    <s v="97.7"/>
    <x v="1"/>
    <n v="0"/>
    <n v="0"/>
    <n v="0"/>
    <d v="2015-06-01T00:00:00"/>
    <x v="1"/>
    <x v="2"/>
  </r>
  <r>
    <x v="3"/>
    <x v="6"/>
    <s v="Juli"/>
    <s v="Division_A"/>
    <x v="28"/>
    <n v="2014"/>
    <n v="1"/>
    <s v="TBM"/>
    <n v="20"/>
    <n v="1954"/>
    <s v="97.7"/>
    <x v="1"/>
    <n v="0"/>
    <n v="0"/>
    <n v="0"/>
    <d v="2015-07-01T00:00:00"/>
    <x v="1"/>
    <x v="2"/>
  </r>
  <r>
    <x v="3"/>
    <x v="7"/>
    <s v="Agustus"/>
    <s v="Division_A"/>
    <x v="28"/>
    <n v="2014"/>
    <n v="1"/>
    <s v="TBM"/>
    <n v="20"/>
    <n v="1954"/>
    <s v="97.7"/>
    <x v="1"/>
    <n v="0"/>
    <n v="0"/>
    <n v="0"/>
    <d v="2015-08-01T00:00:00"/>
    <x v="1"/>
    <x v="2"/>
  </r>
  <r>
    <x v="3"/>
    <x v="8"/>
    <s v="September"/>
    <s v="Division_A"/>
    <x v="28"/>
    <n v="2014"/>
    <n v="1"/>
    <s v="TBM"/>
    <n v="20"/>
    <n v="1954"/>
    <s v="97.7"/>
    <x v="1"/>
    <n v="0"/>
    <n v="0"/>
    <n v="0"/>
    <d v="2015-09-01T00:00:00"/>
    <x v="1"/>
    <x v="2"/>
  </r>
  <r>
    <x v="3"/>
    <x v="9"/>
    <s v="Oktober"/>
    <s v="Division_A"/>
    <x v="28"/>
    <n v="2014"/>
    <n v="1"/>
    <s v="TBM"/>
    <n v="20"/>
    <n v="1954"/>
    <s v="97.7"/>
    <x v="1"/>
    <n v="0"/>
    <n v="0"/>
    <n v="0"/>
    <d v="2015-10-01T00:00:00"/>
    <x v="1"/>
    <x v="2"/>
  </r>
  <r>
    <x v="3"/>
    <x v="10"/>
    <s v="November"/>
    <s v="Division_A"/>
    <x v="28"/>
    <n v="2014"/>
    <n v="1"/>
    <s v="TBM"/>
    <n v="20"/>
    <n v="1954"/>
    <s v="97.7"/>
    <x v="1"/>
    <n v="0"/>
    <n v="0"/>
    <n v="0"/>
    <d v="2015-11-01T00:00:00"/>
    <x v="1"/>
    <x v="2"/>
  </r>
  <r>
    <x v="3"/>
    <x v="11"/>
    <s v="Desember"/>
    <s v="Division_A"/>
    <x v="28"/>
    <n v="2014"/>
    <n v="1"/>
    <s v="TBM"/>
    <n v="20"/>
    <n v="1954"/>
    <s v="97.7"/>
    <x v="1"/>
    <n v="0"/>
    <n v="0"/>
    <n v="0"/>
    <d v="2015-12-01T00:00:00"/>
    <x v="1"/>
    <x v="2"/>
  </r>
  <r>
    <x v="3"/>
    <x v="0"/>
    <s v="Januari"/>
    <s v="Division_A"/>
    <x v="29"/>
    <n v="2014"/>
    <n v="1"/>
    <s v="TBM"/>
    <n v="24"/>
    <n v="1329"/>
    <s v="55.4"/>
    <x v="1"/>
    <n v="0"/>
    <n v="0"/>
    <n v="0"/>
    <d v="2015-01-01T00:00:00"/>
    <x v="1"/>
    <x v="2"/>
  </r>
  <r>
    <x v="3"/>
    <x v="1"/>
    <s v="Februari"/>
    <s v="Division_A"/>
    <x v="29"/>
    <n v="2014"/>
    <n v="1"/>
    <s v="TBM"/>
    <n v="24"/>
    <n v="1329"/>
    <s v="55.4"/>
    <x v="1"/>
    <n v="0"/>
    <n v="0"/>
    <n v="0"/>
    <d v="2015-02-01T00:00:00"/>
    <x v="1"/>
    <x v="2"/>
  </r>
  <r>
    <x v="3"/>
    <x v="2"/>
    <s v="Maret"/>
    <s v="Division_A"/>
    <x v="29"/>
    <n v="2014"/>
    <n v="1"/>
    <s v="TBM"/>
    <n v="24"/>
    <n v="1329"/>
    <s v="55.4"/>
    <x v="1"/>
    <n v="0"/>
    <n v="0"/>
    <n v="0"/>
    <d v="2015-03-01T00:00:00"/>
    <x v="1"/>
    <x v="2"/>
  </r>
  <r>
    <x v="3"/>
    <x v="3"/>
    <s v="April"/>
    <s v="Division_A"/>
    <x v="29"/>
    <n v="2014"/>
    <n v="1"/>
    <s v="TBM"/>
    <n v="24"/>
    <n v="1329"/>
    <s v="55.4"/>
    <x v="1"/>
    <n v="0"/>
    <n v="0"/>
    <n v="0"/>
    <d v="2015-04-01T00:00:00"/>
    <x v="1"/>
    <x v="2"/>
  </r>
  <r>
    <x v="3"/>
    <x v="4"/>
    <s v="Mei"/>
    <s v="Division_A"/>
    <x v="29"/>
    <n v="2014"/>
    <n v="1"/>
    <s v="TBM"/>
    <n v="24"/>
    <n v="1329"/>
    <s v="55.4"/>
    <x v="1"/>
    <n v="0"/>
    <n v="0"/>
    <n v="0"/>
    <d v="2015-05-01T00:00:00"/>
    <x v="1"/>
    <x v="2"/>
  </r>
  <r>
    <x v="3"/>
    <x v="5"/>
    <s v="Juni"/>
    <s v="Division_A"/>
    <x v="29"/>
    <n v="2014"/>
    <n v="1"/>
    <s v="TBM"/>
    <n v="24"/>
    <n v="1329"/>
    <s v="55.4"/>
    <x v="1"/>
    <n v="0"/>
    <n v="0"/>
    <n v="0"/>
    <d v="2015-06-01T00:00:00"/>
    <x v="1"/>
    <x v="2"/>
  </r>
  <r>
    <x v="3"/>
    <x v="6"/>
    <s v="Juli"/>
    <s v="Division_A"/>
    <x v="29"/>
    <n v="2014"/>
    <n v="1"/>
    <s v="TBM"/>
    <n v="24"/>
    <n v="1329"/>
    <s v="55.4"/>
    <x v="1"/>
    <n v="0"/>
    <n v="0"/>
    <n v="0"/>
    <d v="2015-07-01T00:00:00"/>
    <x v="1"/>
    <x v="2"/>
  </r>
  <r>
    <x v="3"/>
    <x v="7"/>
    <s v="Agustus"/>
    <s v="Division_A"/>
    <x v="29"/>
    <n v="2014"/>
    <n v="1"/>
    <s v="TBM"/>
    <n v="24"/>
    <n v="1329"/>
    <s v="55.4"/>
    <x v="1"/>
    <n v="0"/>
    <n v="0"/>
    <n v="0"/>
    <d v="2015-08-01T00:00:00"/>
    <x v="1"/>
    <x v="2"/>
  </r>
  <r>
    <x v="3"/>
    <x v="8"/>
    <s v="September"/>
    <s v="Division_A"/>
    <x v="29"/>
    <n v="2014"/>
    <n v="1"/>
    <s v="TBM"/>
    <n v="24"/>
    <n v="1329"/>
    <s v="55.4"/>
    <x v="1"/>
    <n v="0"/>
    <n v="0"/>
    <n v="0"/>
    <d v="2015-09-01T00:00:00"/>
    <x v="1"/>
    <x v="2"/>
  </r>
  <r>
    <x v="3"/>
    <x v="9"/>
    <s v="Oktober"/>
    <s v="Division_A"/>
    <x v="29"/>
    <n v="2014"/>
    <n v="1"/>
    <s v="TBM"/>
    <n v="24"/>
    <n v="1329"/>
    <s v="55.4"/>
    <x v="1"/>
    <n v="0"/>
    <n v="0"/>
    <n v="0"/>
    <d v="2015-10-01T00:00:00"/>
    <x v="1"/>
    <x v="2"/>
  </r>
  <r>
    <x v="3"/>
    <x v="10"/>
    <s v="November"/>
    <s v="Division_A"/>
    <x v="29"/>
    <n v="2014"/>
    <n v="1"/>
    <s v="TBM"/>
    <n v="24"/>
    <n v="1329"/>
    <s v="55.4"/>
    <x v="1"/>
    <n v="0"/>
    <n v="0"/>
    <n v="0"/>
    <d v="2015-11-01T00:00:00"/>
    <x v="1"/>
    <x v="2"/>
  </r>
  <r>
    <x v="3"/>
    <x v="11"/>
    <s v="Desember"/>
    <s v="Division_A"/>
    <x v="29"/>
    <n v="2014"/>
    <n v="1"/>
    <s v="TBM"/>
    <n v="24"/>
    <n v="1329"/>
    <s v="55.4"/>
    <x v="1"/>
    <n v="0"/>
    <n v="0"/>
    <n v="0"/>
    <d v="2015-12-01T00:00:00"/>
    <x v="1"/>
    <x v="2"/>
  </r>
  <r>
    <x v="3"/>
    <x v="0"/>
    <s v="Januari"/>
    <s v="Division_A"/>
    <x v="30"/>
    <n v="2014"/>
    <n v="1"/>
    <s v="TBM"/>
    <n v="24"/>
    <n v="1573"/>
    <s v="65.5"/>
    <x v="1"/>
    <n v="0"/>
    <n v="0"/>
    <n v="0"/>
    <d v="2015-01-01T00:00:00"/>
    <x v="1"/>
    <x v="2"/>
  </r>
  <r>
    <x v="3"/>
    <x v="1"/>
    <s v="Februari"/>
    <s v="Division_A"/>
    <x v="30"/>
    <n v="2014"/>
    <n v="1"/>
    <s v="TBM"/>
    <n v="24"/>
    <n v="1573"/>
    <s v="65.5"/>
    <x v="1"/>
    <n v="0"/>
    <n v="0"/>
    <n v="0"/>
    <d v="2015-02-01T00:00:00"/>
    <x v="1"/>
    <x v="2"/>
  </r>
  <r>
    <x v="3"/>
    <x v="2"/>
    <s v="Maret"/>
    <s v="Division_A"/>
    <x v="30"/>
    <n v="2014"/>
    <n v="1"/>
    <s v="TBM"/>
    <n v="24"/>
    <n v="1573"/>
    <s v="65.5"/>
    <x v="1"/>
    <n v="0"/>
    <n v="0"/>
    <n v="0"/>
    <d v="2015-03-01T00:00:00"/>
    <x v="1"/>
    <x v="2"/>
  </r>
  <r>
    <x v="3"/>
    <x v="3"/>
    <s v="April"/>
    <s v="Division_A"/>
    <x v="30"/>
    <n v="2014"/>
    <n v="1"/>
    <s v="TBM"/>
    <n v="24"/>
    <n v="1573"/>
    <s v="65.5"/>
    <x v="1"/>
    <n v="0"/>
    <n v="0"/>
    <n v="0"/>
    <d v="2015-04-01T00:00:00"/>
    <x v="1"/>
    <x v="2"/>
  </r>
  <r>
    <x v="3"/>
    <x v="4"/>
    <s v="Mei"/>
    <s v="Division_A"/>
    <x v="30"/>
    <n v="2014"/>
    <n v="1"/>
    <s v="TBM"/>
    <n v="24"/>
    <n v="1573"/>
    <s v="65.5"/>
    <x v="1"/>
    <n v="0"/>
    <n v="0"/>
    <n v="0"/>
    <d v="2015-05-01T00:00:00"/>
    <x v="1"/>
    <x v="2"/>
  </r>
  <r>
    <x v="3"/>
    <x v="5"/>
    <s v="Juni"/>
    <s v="Division_A"/>
    <x v="30"/>
    <n v="2014"/>
    <n v="1"/>
    <s v="TBM"/>
    <n v="24"/>
    <n v="1573"/>
    <s v="65.5"/>
    <x v="1"/>
    <n v="0"/>
    <n v="0"/>
    <n v="0"/>
    <d v="2015-06-01T00:00:00"/>
    <x v="1"/>
    <x v="2"/>
  </r>
  <r>
    <x v="3"/>
    <x v="6"/>
    <s v="Juli"/>
    <s v="Division_A"/>
    <x v="30"/>
    <n v="2014"/>
    <n v="1"/>
    <s v="TBM"/>
    <n v="24"/>
    <n v="1573"/>
    <s v="65.5"/>
    <x v="1"/>
    <n v="0"/>
    <n v="0"/>
    <n v="0"/>
    <d v="2015-07-01T00:00:00"/>
    <x v="1"/>
    <x v="2"/>
  </r>
  <r>
    <x v="3"/>
    <x v="7"/>
    <s v="Agustus"/>
    <s v="Division_A"/>
    <x v="30"/>
    <n v="2014"/>
    <n v="1"/>
    <s v="TBM"/>
    <n v="24"/>
    <n v="1573"/>
    <s v="65.5"/>
    <x v="1"/>
    <n v="0"/>
    <n v="0"/>
    <n v="0"/>
    <d v="2015-08-01T00:00:00"/>
    <x v="1"/>
    <x v="2"/>
  </r>
  <r>
    <x v="3"/>
    <x v="8"/>
    <s v="September"/>
    <s v="Division_A"/>
    <x v="30"/>
    <n v="2014"/>
    <n v="1"/>
    <s v="TBM"/>
    <n v="24"/>
    <n v="1573"/>
    <s v="65.5"/>
    <x v="1"/>
    <n v="0"/>
    <n v="0"/>
    <n v="0"/>
    <d v="2015-09-01T00:00:00"/>
    <x v="1"/>
    <x v="2"/>
  </r>
  <r>
    <x v="3"/>
    <x v="9"/>
    <s v="Oktober"/>
    <s v="Division_A"/>
    <x v="30"/>
    <n v="2014"/>
    <n v="1"/>
    <s v="TBM"/>
    <n v="24"/>
    <n v="1573"/>
    <s v="65.5"/>
    <x v="1"/>
    <n v="0"/>
    <n v="0"/>
    <n v="0"/>
    <d v="2015-10-01T00:00:00"/>
    <x v="1"/>
    <x v="2"/>
  </r>
  <r>
    <x v="3"/>
    <x v="10"/>
    <s v="November"/>
    <s v="Division_A"/>
    <x v="30"/>
    <n v="2014"/>
    <n v="1"/>
    <s v="TBM"/>
    <n v="24"/>
    <n v="1573"/>
    <s v="65.5"/>
    <x v="1"/>
    <n v="0"/>
    <n v="0"/>
    <n v="0"/>
    <d v="2015-11-01T00:00:00"/>
    <x v="1"/>
    <x v="2"/>
  </r>
  <r>
    <x v="3"/>
    <x v="11"/>
    <s v="Desember"/>
    <s v="Division_A"/>
    <x v="30"/>
    <n v="2014"/>
    <n v="1"/>
    <s v="TBM"/>
    <n v="24"/>
    <n v="1573"/>
    <s v="65.5"/>
    <x v="1"/>
    <n v="0"/>
    <n v="0"/>
    <n v="0"/>
    <d v="2015-12-01T00:00:00"/>
    <x v="1"/>
    <x v="2"/>
  </r>
  <r>
    <x v="3"/>
    <x v="0"/>
    <s v="Januari"/>
    <s v="Division_A"/>
    <x v="31"/>
    <n v="2016"/>
    <n v="0"/>
    <s v="TBM"/>
    <n v="22"/>
    <n v="3137"/>
    <s v="142.6"/>
    <x v="0"/>
    <n v="0"/>
    <n v="0"/>
    <n v="0"/>
    <d v="2015-01-01T00:00:00"/>
    <x v="1"/>
    <x v="2"/>
  </r>
  <r>
    <x v="3"/>
    <x v="1"/>
    <s v="Februari"/>
    <s v="Division_A"/>
    <x v="31"/>
    <n v="2016"/>
    <n v="0"/>
    <s v="TBM"/>
    <n v="22"/>
    <n v="3137"/>
    <s v="142.6"/>
    <x v="0"/>
    <n v="0"/>
    <n v="0"/>
    <n v="0"/>
    <d v="2015-02-01T00:00:00"/>
    <x v="1"/>
    <x v="2"/>
  </r>
  <r>
    <x v="3"/>
    <x v="2"/>
    <s v="Maret"/>
    <s v="Division_A"/>
    <x v="31"/>
    <n v="2016"/>
    <n v="0"/>
    <s v="TBM"/>
    <n v="22"/>
    <n v="3137"/>
    <s v="142.6"/>
    <x v="0"/>
    <n v="0"/>
    <n v="0"/>
    <n v="0"/>
    <d v="2015-03-01T00:00:00"/>
    <x v="1"/>
    <x v="2"/>
  </r>
  <r>
    <x v="3"/>
    <x v="3"/>
    <s v="April"/>
    <s v="Division_A"/>
    <x v="31"/>
    <n v="2016"/>
    <n v="0"/>
    <s v="TBM"/>
    <n v="22"/>
    <n v="3137"/>
    <s v="142.6"/>
    <x v="0"/>
    <n v="0"/>
    <n v="0"/>
    <n v="0"/>
    <d v="2015-04-01T00:00:00"/>
    <x v="1"/>
    <x v="2"/>
  </r>
  <r>
    <x v="3"/>
    <x v="4"/>
    <s v="Mei"/>
    <s v="Division_A"/>
    <x v="31"/>
    <n v="2016"/>
    <n v="0"/>
    <s v="TBM"/>
    <n v="22"/>
    <n v="3137"/>
    <s v="142.6"/>
    <x v="0"/>
    <n v="0"/>
    <n v="0"/>
    <n v="0"/>
    <d v="2015-05-01T00:00:00"/>
    <x v="1"/>
    <x v="2"/>
  </r>
  <r>
    <x v="3"/>
    <x v="5"/>
    <s v="Juni"/>
    <s v="Division_A"/>
    <x v="31"/>
    <n v="2016"/>
    <n v="0"/>
    <s v="TBM"/>
    <n v="22"/>
    <n v="3137"/>
    <s v="142.6"/>
    <x v="0"/>
    <n v="0"/>
    <n v="0"/>
    <n v="0"/>
    <d v="2015-06-01T00:00:00"/>
    <x v="1"/>
    <x v="2"/>
  </r>
  <r>
    <x v="3"/>
    <x v="6"/>
    <s v="Juli"/>
    <s v="Division_A"/>
    <x v="31"/>
    <n v="2016"/>
    <n v="0"/>
    <s v="TBM"/>
    <n v="22"/>
    <n v="3137"/>
    <s v="142.6"/>
    <x v="0"/>
    <n v="0"/>
    <n v="0"/>
    <n v="0"/>
    <d v="2015-07-01T00:00:00"/>
    <x v="1"/>
    <x v="2"/>
  </r>
  <r>
    <x v="3"/>
    <x v="7"/>
    <s v="Agustus"/>
    <s v="Division_A"/>
    <x v="31"/>
    <n v="2016"/>
    <n v="0"/>
    <s v="TBM"/>
    <n v="22"/>
    <n v="3137"/>
    <s v="142.6"/>
    <x v="0"/>
    <n v="0"/>
    <n v="0"/>
    <n v="0"/>
    <d v="2015-08-01T00:00:00"/>
    <x v="1"/>
    <x v="2"/>
  </r>
  <r>
    <x v="3"/>
    <x v="8"/>
    <s v="September"/>
    <s v="Division_A"/>
    <x v="31"/>
    <n v="2016"/>
    <n v="0"/>
    <s v="TBM"/>
    <n v="22"/>
    <n v="3137"/>
    <s v="142.6"/>
    <x v="0"/>
    <n v="0"/>
    <n v="0"/>
    <n v="0"/>
    <d v="2015-09-01T00:00:00"/>
    <x v="1"/>
    <x v="2"/>
  </r>
  <r>
    <x v="3"/>
    <x v="9"/>
    <s v="Oktober"/>
    <s v="Division_A"/>
    <x v="31"/>
    <n v="2016"/>
    <n v="0"/>
    <s v="TBM"/>
    <n v="22"/>
    <n v="3137"/>
    <s v="142.6"/>
    <x v="0"/>
    <n v="0"/>
    <n v="0"/>
    <n v="0"/>
    <d v="2015-10-01T00:00:00"/>
    <x v="1"/>
    <x v="2"/>
  </r>
  <r>
    <x v="3"/>
    <x v="10"/>
    <s v="November"/>
    <s v="Division_A"/>
    <x v="31"/>
    <n v="2016"/>
    <n v="0"/>
    <s v="TBM"/>
    <n v="22"/>
    <n v="3137"/>
    <s v="142.6"/>
    <x v="0"/>
    <n v="0"/>
    <n v="0"/>
    <n v="0"/>
    <d v="2015-11-01T00:00:00"/>
    <x v="1"/>
    <x v="2"/>
  </r>
  <r>
    <x v="3"/>
    <x v="11"/>
    <s v="Desember"/>
    <s v="Division_A"/>
    <x v="31"/>
    <n v="2016"/>
    <n v="0"/>
    <s v="TBM"/>
    <n v="22"/>
    <n v="3137"/>
    <s v="142.6"/>
    <x v="0"/>
    <n v="0"/>
    <n v="0"/>
    <n v="0"/>
    <d v="2015-12-01T00:00:00"/>
    <x v="1"/>
    <x v="2"/>
  </r>
  <r>
    <x v="3"/>
    <x v="0"/>
    <s v="Januari"/>
    <s v="Division_A"/>
    <x v="32"/>
    <n v="2016"/>
    <n v="0"/>
    <s v="TBM"/>
    <n v="22"/>
    <n v="3096"/>
    <s v="140.7"/>
    <x v="0"/>
    <n v="0"/>
    <n v="0"/>
    <n v="0"/>
    <d v="2015-01-01T00:00:00"/>
    <x v="1"/>
    <x v="2"/>
  </r>
  <r>
    <x v="3"/>
    <x v="1"/>
    <s v="Februari"/>
    <s v="Division_A"/>
    <x v="32"/>
    <n v="2016"/>
    <n v="0"/>
    <s v="TBM"/>
    <n v="22"/>
    <n v="3096"/>
    <s v="140.7"/>
    <x v="0"/>
    <n v="0"/>
    <n v="0"/>
    <n v="0"/>
    <d v="2015-02-01T00:00:00"/>
    <x v="1"/>
    <x v="2"/>
  </r>
  <r>
    <x v="3"/>
    <x v="2"/>
    <s v="Maret"/>
    <s v="Division_A"/>
    <x v="32"/>
    <n v="2016"/>
    <n v="0"/>
    <s v="TBM"/>
    <n v="22"/>
    <n v="3096"/>
    <s v="140.7"/>
    <x v="0"/>
    <n v="0"/>
    <n v="0"/>
    <n v="0"/>
    <d v="2015-03-01T00:00:00"/>
    <x v="1"/>
    <x v="2"/>
  </r>
  <r>
    <x v="3"/>
    <x v="3"/>
    <s v="April"/>
    <s v="Division_A"/>
    <x v="32"/>
    <n v="2016"/>
    <n v="0"/>
    <s v="TBM"/>
    <n v="22"/>
    <n v="3096"/>
    <s v="140.7"/>
    <x v="0"/>
    <n v="0"/>
    <n v="0"/>
    <n v="0"/>
    <d v="2015-04-01T00:00:00"/>
    <x v="1"/>
    <x v="2"/>
  </r>
  <r>
    <x v="3"/>
    <x v="4"/>
    <s v="Mei"/>
    <s v="Division_A"/>
    <x v="32"/>
    <n v="2016"/>
    <n v="0"/>
    <s v="TBM"/>
    <n v="22"/>
    <n v="3096"/>
    <s v="140.7"/>
    <x v="0"/>
    <n v="0"/>
    <n v="0"/>
    <n v="0"/>
    <d v="2015-05-01T00:00:00"/>
    <x v="1"/>
    <x v="2"/>
  </r>
  <r>
    <x v="3"/>
    <x v="5"/>
    <s v="Juni"/>
    <s v="Division_A"/>
    <x v="32"/>
    <n v="2016"/>
    <n v="0"/>
    <s v="TBM"/>
    <n v="22"/>
    <n v="3096"/>
    <s v="140.7"/>
    <x v="0"/>
    <n v="0"/>
    <n v="0"/>
    <n v="0"/>
    <d v="2015-06-01T00:00:00"/>
    <x v="1"/>
    <x v="2"/>
  </r>
  <r>
    <x v="3"/>
    <x v="6"/>
    <s v="Juli"/>
    <s v="Division_A"/>
    <x v="32"/>
    <n v="2016"/>
    <n v="0"/>
    <s v="TBM"/>
    <n v="22"/>
    <n v="3096"/>
    <s v="140.7"/>
    <x v="0"/>
    <n v="0"/>
    <n v="0"/>
    <n v="0"/>
    <d v="2015-07-01T00:00:00"/>
    <x v="1"/>
    <x v="2"/>
  </r>
  <r>
    <x v="3"/>
    <x v="7"/>
    <s v="Agustus"/>
    <s v="Division_A"/>
    <x v="32"/>
    <n v="2016"/>
    <n v="0"/>
    <s v="TBM"/>
    <n v="22"/>
    <n v="3096"/>
    <s v="140.7"/>
    <x v="0"/>
    <n v="0"/>
    <n v="0"/>
    <n v="0"/>
    <d v="2015-08-01T00:00:00"/>
    <x v="1"/>
    <x v="2"/>
  </r>
  <r>
    <x v="3"/>
    <x v="8"/>
    <s v="September"/>
    <s v="Division_A"/>
    <x v="32"/>
    <n v="2016"/>
    <n v="0"/>
    <s v="TBM"/>
    <n v="22"/>
    <n v="3096"/>
    <s v="140.7"/>
    <x v="0"/>
    <n v="0"/>
    <n v="0"/>
    <n v="0"/>
    <d v="2015-09-01T00:00:00"/>
    <x v="1"/>
    <x v="2"/>
  </r>
  <r>
    <x v="3"/>
    <x v="9"/>
    <s v="Oktober"/>
    <s v="Division_A"/>
    <x v="32"/>
    <n v="2016"/>
    <n v="0"/>
    <s v="TBM"/>
    <n v="22"/>
    <n v="3096"/>
    <s v="140.7"/>
    <x v="0"/>
    <n v="0"/>
    <n v="0"/>
    <n v="0"/>
    <d v="2015-10-01T00:00:00"/>
    <x v="1"/>
    <x v="2"/>
  </r>
  <r>
    <x v="3"/>
    <x v="10"/>
    <s v="November"/>
    <s v="Division_A"/>
    <x v="32"/>
    <n v="2016"/>
    <n v="0"/>
    <s v="TBM"/>
    <n v="22"/>
    <n v="3096"/>
    <s v="140.7"/>
    <x v="0"/>
    <n v="0"/>
    <n v="0"/>
    <n v="0"/>
    <d v="2015-11-01T00:00:00"/>
    <x v="1"/>
    <x v="2"/>
  </r>
  <r>
    <x v="3"/>
    <x v="11"/>
    <s v="Desember"/>
    <s v="Division_A"/>
    <x v="32"/>
    <n v="2016"/>
    <n v="0"/>
    <s v="TBM"/>
    <n v="22"/>
    <n v="3096"/>
    <s v="140.7"/>
    <x v="0"/>
    <n v="0"/>
    <n v="0"/>
    <n v="0"/>
    <d v="2015-12-01T00:00:00"/>
    <x v="1"/>
    <x v="2"/>
  </r>
  <r>
    <x v="3"/>
    <x v="0"/>
    <s v="Januari"/>
    <s v="Division_A"/>
    <x v="33"/>
    <n v="2016"/>
    <n v="0"/>
    <s v="TBM"/>
    <n v="24"/>
    <n v="3317"/>
    <s v="138.2"/>
    <x v="0"/>
    <n v="0"/>
    <n v="0"/>
    <n v="0"/>
    <d v="2015-01-01T00:00:00"/>
    <x v="1"/>
    <x v="2"/>
  </r>
  <r>
    <x v="3"/>
    <x v="1"/>
    <s v="Februari"/>
    <s v="Division_A"/>
    <x v="33"/>
    <n v="2016"/>
    <n v="0"/>
    <s v="TBM"/>
    <n v="24"/>
    <n v="3317"/>
    <s v="138.2"/>
    <x v="0"/>
    <n v="0"/>
    <n v="0"/>
    <n v="0"/>
    <d v="2015-02-01T00:00:00"/>
    <x v="1"/>
    <x v="2"/>
  </r>
  <r>
    <x v="3"/>
    <x v="2"/>
    <s v="Maret"/>
    <s v="Division_A"/>
    <x v="33"/>
    <n v="2016"/>
    <n v="0"/>
    <s v="TBM"/>
    <n v="24"/>
    <n v="3317"/>
    <s v="138.2"/>
    <x v="0"/>
    <n v="0"/>
    <n v="0"/>
    <n v="0"/>
    <d v="2015-03-01T00:00:00"/>
    <x v="1"/>
    <x v="2"/>
  </r>
  <r>
    <x v="3"/>
    <x v="3"/>
    <s v="April"/>
    <s v="Division_A"/>
    <x v="33"/>
    <n v="2016"/>
    <n v="0"/>
    <s v="TBM"/>
    <n v="24"/>
    <n v="3317"/>
    <s v="138.2"/>
    <x v="0"/>
    <n v="0"/>
    <n v="0"/>
    <n v="0"/>
    <d v="2015-04-01T00:00:00"/>
    <x v="1"/>
    <x v="2"/>
  </r>
  <r>
    <x v="3"/>
    <x v="4"/>
    <s v="Mei"/>
    <s v="Division_A"/>
    <x v="33"/>
    <n v="2016"/>
    <n v="0"/>
    <s v="TBM"/>
    <n v="24"/>
    <n v="3317"/>
    <s v="138.2"/>
    <x v="0"/>
    <n v="0"/>
    <n v="0"/>
    <n v="0"/>
    <d v="2015-05-01T00:00:00"/>
    <x v="1"/>
    <x v="2"/>
  </r>
  <r>
    <x v="3"/>
    <x v="5"/>
    <s v="Juni"/>
    <s v="Division_A"/>
    <x v="33"/>
    <n v="2016"/>
    <n v="0"/>
    <s v="TBM"/>
    <n v="24"/>
    <n v="3317"/>
    <s v="138.2"/>
    <x v="0"/>
    <n v="0"/>
    <n v="0"/>
    <n v="0"/>
    <d v="2015-06-01T00:00:00"/>
    <x v="1"/>
    <x v="2"/>
  </r>
  <r>
    <x v="3"/>
    <x v="6"/>
    <s v="Juli"/>
    <s v="Division_A"/>
    <x v="33"/>
    <n v="2016"/>
    <n v="0"/>
    <s v="TBM"/>
    <n v="24"/>
    <n v="3317"/>
    <s v="138.2"/>
    <x v="0"/>
    <n v="0"/>
    <n v="0"/>
    <n v="0"/>
    <d v="2015-07-01T00:00:00"/>
    <x v="1"/>
    <x v="2"/>
  </r>
  <r>
    <x v="3"/>
    <x v="7"/>
    <s v="Agustus"/>
    <s v="Division_A"/>
    <x v="33"/>
    <n v="2016"/>
    <n v="0"/>
    <s v="TBM"/>
    <n v="24"/>
    <n v="3317"/>
    <s v="138.2"/>
    <x v="0"/>
    <n v="0"/>
    <n v="0"/>
    <n v="0"/>
    <d v="2015-08-01T00:00:00"/>
    <x v="1"/>
    <x v="2"/>
  </r>
  <r>
    <x v="3"/>
    <x v="8"/>
    <s v="September"/>
    <s v="Division_A"/>
    <x v="33"/>
    <n v="2016"/>
    <n v="0"/>
    <s v="TBM"/>
    <n v="24"/>
    <n v="3317"/>
    <s v="138.2"/>
    <x v="0"/>
    <n v="0"/>
    <n v="0"/>
    <n v="0"/>
    <d v="2015-09-01T00:00:00"/>
    <x v="1"/>
    <x v="2"/>
  </r>
  <r>
    <x v="3"/>
    <x v="9"/>
    <s v="Oktober"/>
    <s v="Division_A"/>
    <x v="33"/>
    <n v="2016"/>
    <n v="0"/>
    <s v="TBM"/>
    <n v="24"/>
    <n v="3317"/>
    <s v="138.2"/>
    <x v="0"/>
    <n v="0"/>
    <n v="0"/>
    <n v="0"/>
    <d v="2015-10-01T00:00:00"/>
    <x v="1"/>
    <x v="2"/>
  </r>
  <r>
    <x v="3"/>
    <x v="10"/>
    <s v="November"/>
    <s v="Division_A"/>
    <x v="33"/>
    <n v="2016"/>
    <n v="0"/>
    <s v="TBM"/>
    <n v="24"/>
    <n v="3317"/>
    <s v="138.2"/>
    <x v="0"/>
    <n v="0"/>
    <n v="0"/>
    <n v="0"/>
    <d v="2015-11-01T00:00:00"/>
    <x v="1"/>
    <x v="2"/>
  </r>
  <r>
    <x v="3"/>
    <x v="11"/>
    <s v="Desember"/>
    <s v="Division_A"/>
    <x v="33"/>
    <n v="2016"/>
    <n v="0"/>
    <s v="TBM"/>
    <n v="24"/>
    <n v="3317"/>
    <s v="138.2"/>
    <x v="0"/>
    <n v="0"/>
    <n v="0"/>
    <n v="0"/>
    <d v="2015-12-01T00:00:00"/>
    <x v="1"/>
    <x v="2"/>
  </r>
  <r>
    <x v="3"/>
    <x v="0"/>
    <s v="Januari"/>
    <s v="Division_A"/>
    <x v="34"/>
    <n v="2016"/>
    <n v="0"/>
    <s v="TBM"/>
    <n v="17"/>
    <n v="2219"/>
    <s v="130.5"/>
    <x v="0"/>
    <n v="0"/>
    <n v="0"/>
    <n v="0"/>
    <d v="2015-01-01T00:00:00"/>
    <x v="1"/>
    <x v="2"/>
  </r>
  <r>
    <x v="3"/>
    <x v="1"/>
    <s v="Februari"/>
    <s v="Division_A"/>
    <x v="34"/>
    <n v="2016"/>
    <n v="0"/>
    <s v="TBM"/>
    <n v="17"/>
    <n v="2219"/>
    <s v="130.5"/>
    <x v="0"/>
    <n v="0"/>
    <n v="0"/>
    <n v="0"/>
    <d v="2015-02-01T00:00:00"/>
    <x v="1"/>
    <x v="2"/>
  </r>
  <r>
    <x v="3"/>
    <x v="2"/>
    <s v="Maret"/>
    <s v="Division_A"/>
    <x v="34"/>
    <n v="2016"/>
    <n v="0"/>
    <s v="TBM"/>
    <n v="17"/>
    <n v="2219"/>
    <s v="130.5"/>
    <x v="0"/>
    <n v="0"/>
    <n v="0"/>
    <n v="0"/>
    <d v="2015-03-01T00:00:00"/>
    <x v="1"/>
    <x v="2"/>
  </r>
  <r>
    <x v="3"/>
    <x v="3"/>
    <s v="April"/>
    <s v="Division_A"/>
    <x v="34"/>
    <n v="2016"/>
    <n v="0"/>
    <s v="TBM"/>
    <n v="17"/>
    <n v="2219"/>
    <s v="130.5"/>
    <x v="0"/>
    <n v="0"/>
    <n v="0"/>
    <n v="0"/>
    <d v="2015-04-01T00:00:00"/>
    <x v="1"/>
    <x v="2"/>
  </r>
  <r>
    <x v="3"/>
    <x v="4"/>
    <s v="Mei"/>
    <s v="Division_A"/>
    <x v="34"/>
    <n v="2016"/>
    <n v="0"/>
    <s v="TBM"/>
    <n v="17"/>
    <n v="2219"/>
    <s v="130.5"/>
    <x v="0"/>
    <n v="0"/>
    <n v="0"/>
    <n v="0"/>
    <d v="2015-05-01T00:00:00"/>
    <x v="1"/>
    <x v="2"/>
  </r>
  <r>
    <x v="3"/>
    <x v="5"/>
    <s v="Juni"/>
    <s v="Division_A"/>
    <x v="34"/>
    <n v="2016"/>
    <n v="0"/>
    <s v="TBM"/>
    <n v="17"/>
    <n v="2219"/>
    <s v="130.5"/>
    <x v="0"/>
    <n v="0"/>
    <n v="0"/>
    <n v="0"/>
    <d v="2015-06-01T00:00:00"/>
    <x v="1"/>
    <x v="2"/>
  </r>
  <r>
    <x v="3"/>
    <x v="6"/>
    <s v="Juli"/>
    <s v="Division_A"/>
    <x v="34"/>
    <n v="2016"/>
    <n v="0"/>
    <s v="TBM"/>
    <n v="17"/>
    <n v="2219"/>
    <s v="130.5"/>
    <x v="0"/>
    <n v="0"/>
    <n v="0"/>
    <n v="0"/>
    <d v="2015-07-01T00:00:00"/>
    <x v="1"/>
    <x v="2"/>
  </r>
  <r>
    <x v="3"/>
    <x v="7"/>
    <s v="Agustus"/>
    <s v="Division_A"/>
    <x v="34"/>
    <n v="2016"/>
    <n v="0"/>
    <s v="TBM"/>
    <n v="17"/>
    <n v="2219"/>
    <s v="130.5"/>
    <x v="0"/>
    <n v="0"/>
    <n v="0"/>
    <n v="0"/>
    <d v="2015-08-01T00:00:00"/>
    <x v="1"/>
    <x v="2"/>
  </r>
  <r>
    <x v="3"/>
    <x v="8"/>
    <s v="September"/>
    <s v="Division_A"/>
    <x v="34"/>
    <n v="2016"/>
    <n v="0"/>
    <s v="TBM"/>
    <n v="17"/>
    <n v="2219"/>
    <s v="130.5"/>
    <x v="0"/>
    <n v="0"/>
    <n v="0"/>
    <n v="0"/>
    <d v="2015-09-01T00:00:00"/>
    <x v="1"/>
    <x v="2"/>
  </r>
  <r>
    <x v="3"/>
    <x v="9"/>
    <s v="Oktober"/>
    <s v="Division_A"/>
    <x v="34"/>
    <n v="2016"/>
    <n v="0"/>
    <s v="TBM"/>
    <n v="17"/>
    <n v="2219"/>
    <s v="130.5"/>
    <x v="0"/>
    <n v="0"/>
    <n v="0"/>
    <n v="0"/>
    <d v="2015-10-01T00:00:00"/>
    <x v="1"/>
    <x v="2"/>
  </r>
  <r>
    <x v="3"/>
    <x v="10"/>
    <s v="November"/>
    <s v="Division_A"/>
    <x v="34"/>
    <n v="2016"/>
    <n v="0"/>
    <s v="TBM"/>
    <n v="17"/>
    <n v="2219"/>
    <s v="130.5"/>
    <x v="0"/>
    <n v="0"/>
    <n v="0"/>
    <n v="0"/>
    <d v="2015-11-01T00:00:00"/>
    <x v="1"/>
    <x v="2"/>
  </r>
  <r>
    <x v="3"/>
    <x v="11"/>
    <s v="Desember"/>
    <s v="Division_A"/>
    <x v="34"/>
    <n v="2016"/>
    <n v="0"/>
    <s v="TBM"/>
    <n v="17"/>
    <n v="2219"/>
    <s v="130.5"/>
    <x v="0"/>
    <n v="0"/>
    <n v="0"/>
    <n v="0"/>
    <d v="2015-12-01T00:00:00"/>
    <x v="1"/>
    <x v="2"/>
  </r>
  <r>
    <x v="3"/>
    <x v="0"/>
    <s v="Januari"/>
    <s v="Division_A"/>
    <x v="35"/>
    <n v="2016"/>
    <n v="0"/>
    <s v="TBM"/>
    <n v="15"/>
    <n v="2142"/>
    <s v="142.8"/>
    <x v="0"/>
    <n v="0"/>
    <n v="0"/>
    <n v="0"/>
    <d v="2015-01-01T00:00:00"/>
    <x v="1"/>
    <x v="2"/>
  </r>
  <r>
    <x v="3"/>
    <x v="1"/>
    <s v="Februari"/>
    <s v="Division_A"/>
    <x v="35"/>
    <n v="2016"/>
    <n v="0"/>
    <s v="TBM"/>
    <n v="15"/>
    <n v="2142"/>
    <s v="142.8"/>
    <x v="0"/>
    <n v="0"/>
    <n v="0"/>
    <n v="0"/>
    <d v="2015-02-01T00:00:00"/>
    <x v="1"/>
    <x v="2"/>
  </r>
  <r>
    <x v="3"/>
    <x v="2"/>
    <s v="Maret"/>
    <s v="Division_A"/>
    <x v="35"/>
    <n v="2016"/>
    <n v="0"/>
    <s v="TBM"/>
    <n v="15"/>
    <n v="2142"/>
    <s v="142.8"/>
    <x v="0"/>
    <n v="0"/>
    <n v="0"/>
    <n v="0"/>
    <d v="2015-03-01T00:00:00"/>
    <x v="1"/>
    <x v="2"/>
  </r>
  <r>
    <x v="3"/>
    <x v="3"/>
    <s v="April"/>
    <s v="Division_A"/>
    <x v="35"/>
    <n v="2016"/>
    <n v="0"/>
    <s v="TBM"/>
    <n v="15"/>
    <n v="2142"/>
    <s v="142.8"/>
    <x v="0"/>
    <n v="0"/>
    <n v="0"/>
    <n v="0"/>
    <d v="2015-04-01T00:00:00"/>
    <x v="1"/>
    <x v="2"/>
  </r>
  <r>
    <x v="3"/>
    <x v="4"/>
    <s v="Mei"/>
    <s v="Division_A"/>
    <x v="35"/>
    <n v="2016"/>
    <n v="0"/>
    <s v="TBM"/>
    <n v="15"/>
    <n v="2142"/>
    <s v="142.8"/>
    <x v="0"/>
    <n v="0"/>
    <n v="0"/>
    <n v="0"/>
    <d v="2015-05-01T00:00:00"/>
    <x v="1"/>
    <x v="2"/>
  </r>
  <r>
    <x v="3"/>
    <x v="5"/>
    <s v="Juni"/>
    <s v="Division_A"/>
    <x v="35"/>
    <n v="2016"/>
    <n v="0"/>
    <s v="TBM"/>
    <n v="15"/>
    <n v="2142"/>
    <s v="142.8"/>
    <x v="0"/>
    <n v="0"/>
    <n v="0"/>
    <n v="0"/>
    <d v="2015-06-01T00:00:00"/>
    <x v="1"/>
    <x v="2"/>
  </r>
  <r>
    <x v="3"/>
    <x v="6"/>
    <s v="Juli"/>
    <s v="Division_A"/>
    <x v="35"/>
    <n v="2016"/>
    <n v="0"/>
    <s v="TBM"/>
    <n v="15"/>
    <n v="2142"/>
    <s v="142.8"/>
    <x v="0"/>
    <n v="0"/>
    <n v="0"/>
    <n v="0"/>
    <d v="2015-07-01T00:00:00"/>
    <x v="1"/>
    <x v="2"/>
  </r>
  <r>
    <x v="3"/>
    <x v="7"/>
    <s v="Agustus"/>
    <s v="Division_A"/>
    <x v="35"/>
    <n v="2016"/>
    <n v="0"/>
    <s v="TBM"/>
    <n v="15"/>
    <n v="2142"/>
    <s v="142.8"/>
    <x v="0"/>
    <n v="0"/>
    <n v="0"/>
    <n v="0"/>
    <d v="2015-08-01T00:00:00"/>
    <x v="1"/>
    <x v="2"/>
  </r>
  <r>
    <x v="3"/>
    <x v="8"/>
    <s v="September"/>
    <s v="Division_A"/>
    <x v="35"/>
    <n v="2016"/>
    <n v="0"/>
    <s v="TBM"/>
    <n v="15"/>
    <n v="2142"/>
    <s v="142.8"/>
    <x v="0"/>
    <n v="0"/>
    <n v="0"/>
    <n v="0"/>
    <d v="2015-09-01T00:00:00"/>
    <x v="1"/>
    <x v="2"/>
  </r>
  <r>
    <x v="3"/>
    <x v="9"/>
    <s v="Oktober"/>
    <s v="Division_A"/>
    <x v="35"/>
    <n v="2016"/>
    <n v="0"/>
    <s v="TBM"/>
    <n v="15"/>
    <n v="2142"/>
    <s v="142.8"/>
    <x v="0"/>
    <n v="0"/>
    <n v="0"/>
    <n v="0"/>
    <d v="2015-10-01T00:00:00"/>
    <x v="1"/>
    <x v="2"/>
  </r>
  <r>
    <x v="3"/>
    <x v="10"/>
    <s v="November"/>
    <s v="Division_A"/>
    <x v="35"/>
    <n v="2016"/>
    <n v="0"/>
    <s v="TBM"/>
    <n v="15"/>
    <n v="2142"/>
    <s v="142.8"/>
    <x v="0"/>
    <n v="0"/>
    <n v="0"/>
    <n v="0"/>
    <d v="2015-11-01T00:00:00"/>
    <x v="1"/>
    <x v="2"/>
  </r>
  <r>
    <x v="3"/>
    <x v="11"/>
    <s v="Desember"/>
    <s v="Division_A"/>
    <x v="35"/>
    <n v="2016"/>
    <n v="0"/>
    <s v="TBM"/>
    <n v="15"/>
    <n v="2142"/>
    <s v="142.8"/>
    <x v="0"/>
    <n v="0"/>
    <n v="0"/>
    <n v="0"/>
    <d v="2015-12-01T00:00:00"/>
    <x v="1"/>
    <x v="2"/>
  </r>
  <r>
    <x v="3"/>
    <x v="0"/>
    <s v="Januari"/>
    <s v="Division_A"/>
    <x v="36"/>
    <n v="2016"/>
    <n v="0"/>
    <s v="TBM"/>
    <n v="24"/>
    <n v="3324"/>
    <s v="138.5"/>
    <x v="0"/>
    <n v="0"/>
    <n v="0"/>
    <n v="0"/>
    <d v="2015-01-01T00:00:00"/>
    <x v="1"/>
    <x v="2"/>
  </r>
  <r>
    <x v="3"/>
    <x v="1"/>
    <s v="Februari"/>
    <s v="Division_A"/>
    <x v="36"/>
    <n v="2016"/>
    <n v="0"/>
    <s v="TBM"/>
    <n v="24"/>
    <n v="3324"/>
    <s v="138.5"/>
    <x v="0"/>
    <n v="0"/>
    <n v="0"/>
    <n v="0"/>
    <d v="2015-02-01T00:00:00"/>
    <x v="1"/>
    <x v="2"/>
  </r>
  <r>
    <x v="3"/>
    <x v="2"/>
    <s v="Maret"/>
    <s v="Division_A"/>
    <x v="36"/>
    <n v="2016"/>
    <n v="0"/>
    <s v="TBM"/>
    <n v="24"/>
    <n v="3324"/>
    <s v="138.5"/>
    <x v="0"/>
    <n v="0"/>
    <n v="0"/>
    <n v="0"/>
    <d v="2015-03-01T00:00:00"/>
    <x v="1"/>
    <x v="2"/>
  </r>
  <r>
    <x v="3"/>
    <x v="3"/>
    <s v="April"/>
    <s v="Division_A"/>
    <x v="36"/>
    <n v="2016"/>
    <n v="0"/>
    <s v="TBM"/>
    <n v="24"/>
    <n v="3324"/>
    <s v="138.5"/>
    <x v="0"/>
    <n v="0"/>
    <n v="0"/>
    <n v="0"/>
    <d v="2015-04-01T00:00:00"/>
    <x v="1"/>
    <x v="2"/>
  </r>
  <r>
    <x v="3"/>
    <x v="4"/>
    <s v="Mei"/>
    <s v="Division_A"/>
    <x v="36"/>
    <n v="2016"/>
    <n v="0"/>
    <s v="TBM"/>
    <n v="24"/>
    <n v="3324"/>
    <s v="138.5"/>
    <x v="0"/>
    <n v="0"/>
    <n v="0"/>
    <n v="0"/>
    <d v="2015-05-01T00:00:00"/>
    <x v="1"/>
    <x v="2"/>
  </r>
  <r>
    <x v="3"/>
    <x v="5"/>
    <s v="Juni"/>
    <s v="Division_A"/>
    <x v="36"/>
    <n v="2016"/>
    <n v="0"/>
    <s v="TBM"/>
    <n v="24"/>
    <n v="3324"/>
    <s v="138.5"/>
    <x v="0"/>
    <n v="0"/>
    <n v="0"/>
    <n v="0"/>
    <d v="2015-06-01T00:00:00"/>
    <x v="1"/>
    <x v="2"/>
  </r>
  <r>
    <x v="3"/>
    <x v="6"/>
    <s v="Juli"/>
    <s v="Division_A"/>
    <x v="36"/>
    <n v="2016"/>
    <n v="0"/>
    <s v="TBM"/>
    <n v="24"/>
    <n v="3324"/>
    <s v="138.5"/>
    <x v="0"/>
    <n v="0"/>
    <n v="0"/>
    <n v="0"/>
    <d v="2015-07-01T00:00:00"/>
    <x v="1"/>
    <x v="2"/>
  </r>
  <r>
    <x v="3"/>
    <x v="7"/>
    <s v="Agustus"/>
    <s v="Division_A"/>
    <x v="36"/>
    <n v="2016"/>
    <n v="0"/>
    <s v="TBM"/>
    <n v="24"/>
    <n v="3324"/>
    <s v="138.5"/>
    <x v="0"/>
    <n v="0"/>
    <n v="0"/>
    <n v="0"/>
    <d v="2015-08-01T00:00:00"/>
    <x v="1"/>
    <x v="2"/>
  </r>
  <r>
    <x v="3"/>
    <x v="8"/>
    <s v="September"/>
    <s v="Division_A"/>
    <x v="36"/>
    <n v="2016"/>
    <n v="0"/>
    <s v="TBM"/>
    <n v="24"/>
    <n v="3324"/>
    <s v="138.5"/>
    <x v="0"/>
    <n v="0"/>
    <n v="0"/>
    <n v="0"/>
    <d v="2015-09-01T00:00:00"/>
    <x v="1"/>
    <x v="2"/>
  </r>
  <r>
    <x v="3"/>
    <x v="9"/>
    <s v="Oktober"/>
    <s v="Division_A"/>
    <x v="36"/>
    <n v="2016"/>
    <n v="0"/>
    <s v="TBM"/>
    <n v="24"/>
    <n v="3324"/>
    <s v="138.5"/>
    <x v="0"/>
    <n v="0"/>
    <n v="0"/>
    <n v="0"/>
    <d v="2015-10-01T00:00:00"/>
    <x v="1"/>
    <x v="2"/>
  </r>
  <r>
    <x v="3"/>
    <x v="10"/>
    <s v="November"/>
    <s v="Division_A"/>
    <x v="36"/>
    <n v="2016"/>
    <n v="0"/>
    <s v="TBM"/>
    <n v="24"/>
    <n v="3324"/>
    <s v="138.5"/>
    <x v="0"/>
    <n v="0"/>
    <n v="0"/>
    <n v="0"/>
    <d v="2015-11-01T00:00:00"/>
    <x v="1"/>
    <x v="2"/>
  </r>
  <r>
    <x v="3"/>
    <x v="11"/>
    <s v="Desember"/>
    <s v="Division_A"/>
    <x v="36"/>
    <n v="2016"/>
    <n v="0"/>
    <s v="TBM"/>
    <n v="24"/>
    <n v="3324"/>
    <s v="138.5"/>
    <x v="0"/>
    <n v="0"/>
    <n v="0"/>
    <n v="0"/>
    <d v="2015-12-01T00:00:00"/>
    <x v="1"/>
    <x v="2"/>
  </r>
  <r>
    <x v="3"/>
    <x v="0"/>
    <s v="Januari"/>
    <s v="Division_A"/>
    <x v="37"/>
    <n v="2016"/>
    <n v="0"/>
    <s v="TBM"/>
    <n v="20"/>
    <n v="2663"/>
    <s v="133.2"/>
    <x v="0"/>
    <n v="0"/>
    <n v="0"/>
    <n v="0"/>
    <d v="2015-01-01T00:00:00"/>
    <x v="1"/>
    <x v="2"/>
  </r>
  <r>
    <x v="3"/>
    <x v="1"/>
    <s v="Februari"/>
    <s v="Division_A"/>
    <x v="37"/>
    <n v="2016"/>
    <n v="0"/>
    <s v="TBM"/>
    <n v="20"/>
    <n v="2663"/>
    <s v="133.2"/>
    <x v="0"/>
    <n v="0"/>
    <n v="0"/>
    <n v="0"/>
    <d v="2015-02-01T00:00:00"/>
    <x v="1"/>
    <x v="2"/>
  </r>
  <r>
    <x v="3"/>
    <x v="2"/>
    <s v="Maret"/>
    <s v="Division_A"/>
    <x v="37"/>
    <n v="2016"/>
    <n v="0"/>
    <s v="TBM"/>
    <n v="20"/>
    <n v="2663"/>
    <s v="133.2"/>
    <x v="0"/>
    <n v="0"/>
    <n v="0"/>
    <n v="0"/>
    <d v="2015-03-01T00:00:00"/>
    <x v="1"/>
    <x v="2"/>
  </r>
  <r>
    <x v="3"/>
    <x v="3"/>
    <s v="April"/>
    <s v="Division_A"/>
    <x v="37"/>
    <n v="2016"/>
    <n v="0"/>
    <s v="TBM"/>
    <n v="20"/>
    <n v="2663"/>
    <s v="133.2"/>
    <x v="0"/>
    <n v="0"/>
    <n v="0"/>
    <n v="0"/>
    <d v="2015-04-01T00:00:00"/>
    <x v="1"/>
    <x v="2"/>
  </r>
  <r>
    <x v="3"/>
    <x v="4"/>
    <s v="Mei"/>
    <s v="Division_A"/>
    <x v="37"/>
    <n v="2016"/>
    <n v="0"/>
    <s v="TBM"/>
    <n v="20"/>
    <n v="2663"/>
    <s v="133.2"/>
    <x v="0"/>
    <n v="0"/>
    <n v="0"/>
    <n v="0"/>
    <d v="2015-05-01T00:00:00"/>
    <x v="1"/>
    <x v="2"/>
  </r>
  <r>
    <x v="3"/>
    <x v="5"/>
    <s v="Juni"/>
    <s v="Division_A"/>
    <x v="37"/>
    <n v="2016"/>
    <n v="0"/>
    <s v="TBM"/>
    <n v="20"/>
    <n v="2663"/>
    <s v="133.2"/>
    <x v="0"/>
    <n v="0"/>
    <n v="0"/>
    <n v="0"/>
    <d v="2015-06-01T00:00:00"/>
    <x v="1"/>
    <x v="2"/>
  </r>
  <r>
    <x v="3"/>
    <x v="6"/>
    <s v="Juli"/>
    <s v="Division_A"/>
    <x v="37"/>
    <n v="2016"/>
    <n v="0"/>
    <s v="TBM"/>
    <n v="20"/>
    <n v="2663"/>
    <s v="133.2"/>
    <x v="0"/>
    <n v="0"/>
    <n v="0"/>
    <n v="0"/>
    <d v="2015-07-01T00:00:00"/>
    <x v="1"/>
    <x v="2"/>
  </r>
  <r>
    <x v="3"/>
    <x v="7"/>
    <s v="Agustus"/>
    <s v="Division_A"/>
    <x v="37"/>
    <n v="2016"/>
    <n v="0"/>
    <s v="TBM"/>
    <n v="20"/>
    <n v="2663"/>
    <s v="133.2"/>
    <x v="0"/>
    <n v="0"/>
    <n v="0"/>
    <n v="0"/>
    <d v="2015-08-01T00:00:00"/>
    <x v="1"/>
    <x v="2"/>
  </r>
  <r>
    <x v="3"/>
    <x v="8"/>
    <s v="September"/>
    <s v="Division_A"/>
    <x v="37"/>
    <n v="2016"/>
    <n v="0"/>
    <s v="TBM"/>
    <n v="20"/>
    <n v="2663"/>
    <s v="133.2"/>
    <x v="0"/>
    <n v="0"/>
    <n v="0"/>
    <n v="0"/>
    <d v="2015-09-01T00:00:00"/>
    <x v="1"/>
    <x v="2"/>
  </r>
  <r>
    <x v="3"/>
    <x v="9"/>
    <s v="Oktober"/>
    <s v="Division_A"/>
    <x v="37"/>
    <n v="2016"/>
    <n v="0"/>
    <s v="TBM"/>
    <n v="20"/>
    <n v="2663"/>
    <s v="133.2"/>
    <x v="0"/>
    <n v="0"/>
    <n v="0"/>
    <n v="0"/>
    <d v="2015-10-01T00:00:00"/>
    <x v="1"/>
    <x v="2"/>
  </r>
  <r>
    <x v="3"/>
    <x v="10"/>
    <s v="November"/>
    <s v="Division_A"/>
    <x v="37"/>
    <n v="2016"/>
    <n v="0"/>
    <s v="TBM"/>
    <n v="20"/>
    <n v="2663"/>
    <s v="133.2"/>
    <x v="0"/>
    <n v="0"/>
    <n v="0"/>
    <n v="0"/>
    <d v="2015-11-01T00:00:00"/>
    <x v="1"/>
    <x v="2"/>
  </r>
  <r>
    <x v="3"/>
    <x v="11"/>
    <s v="Desember"/>
    <s v="Division_A"/>
    <x v="37"/>
    <n v="2016"/>
    <n v="0"/>
    <s v="TBM"/>
    <n v="20"/>
    <n v="2663"/>
    <s v="133.2"/>
    <x v="0"/>
    <n v="0"/>
    <n v="0"/>
    <n v="0"/>
    <d v="2015-12-01T00:00:00"/>
    <x v="1"/>
    <x v="2"/>
  </r>
  <r>
    <x v="3"/>
    <x v="0"/>
    <s v="Januari"/>
    <s v="Division_A"/>
    <x v="38"/>
    <n v="2016"/>
    <n v="0"/>
    <s v="TBM"/>
    <n v="14"/>
    <n v="1746"/>
    <s v="124.7"/>
    <x v="0"/>
    <n v="0"/>
    <n v="0"/>
    <n v="0"/>
    <d v="2015-01-01T00:00:00"/>
    <x v="1"/>
    <x v="2"/>
  </r>
  <r>
    <x v="3"/>
    <x v="1"/>
    <s v="Februari"/>
    <s v="Division_A"/>
    <x v="38"/>
    <n v="2016"/>
    <n v="0"/>
    <s v="TBM"/>
    <n v="14"/>
    <n v="1746"/>
    <s v="124.7"/>
    <x v="0"/>
    <n v="0"/>
    <n v="0"/>
    <n v="0"/>
    <d v="2015-02-01T00:00:00"/>
    <x v="1"/>
    <x v="2"/>
  </r>
  <r>
    <x v="3"/>
    <x v="2"/>
    <s v="Maret"/>
    <s v="Division_A"/>
    <x v="38"/>
    <n v="2016"/>
    <n v="0"/>
    <s v="TBM"/>
    <n v="14"/>
    <n v="1746"/>
    <s v="124.7"/>
    <x v="0"/>
    <n v="0"/>
    <n v="0"/>
    <n v="0"/>
    <d v="2015-03-01T00:00:00"/>
    <x v="1"/>
    <x v="2"/>
  </r>
  <r>
    <x v="3"/>
    <x v="3"/>
    <s v="April"/>
    <s v="Division_A"/>
    <x v="38"/>
    <n v="2016"/>
    <n v="0"/>
    <s v="TBM"/>
    <n v="14"/>
    <n v="1746"/>
    <s v="124.7"/>
    <x v="0"/>
    <n v="0"/>
    <n v="0"/>
    <n v="0"/>
    <d v="2015-04-01T00:00:00"/>
    <x v="1"/>
    <x v="2"/>
  </r>
  <r>
    <x v="3"/>
    <x v="4"/>
    <s v="Mei"/>
    <s v="Division_A"/>
    <x v="38"/>
    <n v="2016"/>
    <n v="0"/>
    <s v="TBM"/>
    <n v="14"/>
    <n v="1746"/>
    <s v="124.7"/>
    <x v="0"/>
    <n v="0"/>
    <n v="0"/>
    <n v="0"/>
    <d v="2015-05-01T00:00:00"/>
    <x v="1"/>
    <x v="2"/>
  </r>
  <r>
    <x v="3"/>
    <x v="5"/>
    <s v="Juni"/>
    <s v="Division_A"/>
    <x v="38"/>
    <n v="2016"/>
    <n v="0"/>
    <s v="TBM"/>
    <n v="14"/>
    <n v="1746"/>
    <s v="124.7"/>
    <x v="0"/>
    <n v="0"/>
    <n v="0"/>
    <n v="0"/>
    <d v="2015-06-01T00:00:00"/>
    <x v="1"/>
    <x v="2"/>
  </r>
  <r>
    <x v="3"/>
    <x v="6"/>
    <s v="Juli"/>
    <s v="Division_A"/>
    <x v="38"/>
    <n v="2016"/>
    <n v="0"/>
    <s v="TBM"/>
    <n v="14"/>
    <n v="1746"/>
    <s v="124.7"/>
    <x v="0"/>
    <n v="0"/>
    <n v="0"/>
    <n v="0"/>
    <d v="2015-07-01T00:00:00"/>
    <x v="1"/>
    <x v="2"/>
  </r>
  <r>
    <x v="3"/>
    <x v="7"/>
    <s v="Agustus"/>
    <s v="Division_A"/>
    <x v="38"/>
    <n v="2016"/>
    <n v="0"/>
    <s v="TBM"/>
    <n v="14"/>
    <n v="1746"/>
    <s v="124.7"/>
    <x v="0"/>
    <n v="0"/>
    <n v="0"/>
    <n v="0"/>
    <d v="2015-08-01T00:00:00"/>
    <x v="1"/>
    <x v="2"/>
  </r>
  <r>
    <x v="3"/>
    <x v="8"/>
    <s v="September"/>
    <s v="Division_A"/>
    <x v="38"/>
    <n v="2016"/>
    <n v="0"/>
    <s v="TBM"/>
    <n v="14"/>
    <n v="1746"/>
    <s v="124.7"/>
    <x v="0"/>
    <n v="0"/>
    <n v="0"/>
    <n v="0"/>
    <d v="2015-09-01T00:00:00"/>
    <x v="1"/>
    <x v="2"/>
  </r>
  <r>
    <x v="3"/>
    <x v="9"/>
    <s v="Oktober"/>
    <s v="Division_A"/>
    <x v="38"/>
    <n v="2016"/>
    <n v="0"/>
    <s v="TBM"/>
    <n v="14"/>
    <n v="1746"/>
    <s v="124.7"/>
    <x v="0"/>
    <n v="0"/>
    <n v="0"/>
    <n v="0"/>
    <d v="2015-10-01T00:00:00"/>
    <x v="1"/>
    <x v="2"/>
  </r>
  <r>
    <x v="3"/>
    <x v="10"/>
    <s v="November"/>
    <s v="Division_A"/>
    <x v="38"/>
    <n v="2016"/>
    <n v="0"/>
    <s v="TBM"/>
    <n v="14"/>
    <n v="1746"/>
    <s v="124.7"/>
    <x v="0"/>
    <n v="0"/>
    <n v="0"/>
    <n v="0"/>
    <d v="2015-11-01T00:00:00"/>
    <x v="1"/>
    <x v="2"/>
  </r>
  <r>
    <x v="3"/>
    <x v="11"/>
    <s v="Desember"/>
    <s v="Division_A"/>
    <x v="38"/>
    <n v="2016"/>
    <n v="0"/>
    <s v="TBM"/>
    <n v="14"/>
    <n v="1746"/>
    <s v="124.7"/>
    <x v="0"/>
    <n v="0"/>
    <n v="0"/>
    <n v="0"/>
    <d v="2015-12-01T00:00:00"/>
    <x v="1"/>
    <x v="2"/>
  </r>
  <r>
    <x v="3"/>
    <x v="0"/>
    <s v="Januari"/>
    <s v="Division_A"/>
    <x v="39"/>
    <n v="2016"/>
    <n v="0"/>
    <s v="TBM"/>
    <n v="24"/>
    <n v="3377"/>
    <s v="140.7"/>
    <x v="0"/>
    <n v="0"/>
    <n v="0"/>
    <n v="0"/>
    <d v="2015-01-01T00:00:00"/>
    <x v="1"/>
    <x v="2"/>
  </r>
  <r>
    <x v="3"/>
    <x v="1"/>
    <s v="Februari"/>
    <s v="Division_A"/>
    <x v="39"/>
    <n v="2016"/>
    <n v="0"/>
    <s v="TBM"/>
    <n v="24"/>
    <n v="3377"/>
    <s v="140.7"/>
    <x v="0"/>
    <n v="0"/>
    <n v="0"/>
    <n v="0"/>
    <d v="2015-02-01T00:00:00"/>
    <x v="1"/>
    <x v="2"/>
  </r>
  <r>
    <x v="3"/>
    <x v="2"/>
    <s v="Maret"/>
    <s v="Division_A"/>
    <x v="39"/>
    <n v="2016"/>
    <n v="0"/>
    <s v="TBM"/>
    <n v="24"/>
    <n v="3377"/>
    <s v="140.7"/>
    <x v="0"/>
    <n v="0"/>
    <n v="0"/>
    <n v="0"/>
    <d v="2015-03-01T00:00:00"/>
    <x v="1"/>
    <x v="2"/>
  </r>
  <r>
    <x v="3"/>
    <x v="3"/>
    <s v="April"/>
    <s v="Division_A"/>
    <x v="39"/>
    <n v="2016"/>
    <n v="0"/>
    <s v="TBM"/>
    <n v="24"/>
    <n v="3377"/>
    <s v="140.7"/>
    <x v="0"/>
    <n v="0"/>
    <n v="0"/>
    <n v="0"/>
    <d v="2015-04-01T00:00:00"/>
    <x v="1"/>
    <x v="2"/>
  </r>
  <r>
    <x v="3"/>
    <x v="4"/>
    <s v="Mei"/>
    <s v="Division_A"/>
    <x v="39"/>
    <n v="2016"/>
    <n v="0"/>
    <s v="TBM"/>
    <n v="24"/>
    <n v="3377"/>
    <s v="140.7"/>
    <x v="0"/>
    <n v="0"/>
    <n v="0"/>
    <n v="0"/>
    <d v="2015-05-01T00:00:00"/>
    <x v="1"/>
    <x v="2"/>
  </r>
  <r>
    <x v="3"/>
    <x v="5"/>
    <s v="Juni"/>
    <s v="Division_A"/>
    <x v="39"/>
    <n v="2016"/>
    <n v="0"/>
    <s v="TBM"/>
    <n v="24"/>
    <n v="3377"/>
    <s v="140.7"/>
    <x v="0"/>
    <n v="0"/>
    <n v="0"/>
    <n v="0"/>
    <d v="2015-06-01T00:00:00"/>
    <x v="1"/>
    <x v="2"/>
  </r>
  <r>
    <x v="3"/>
    <x v="6"/>
    <s v="Juli"/>
    <s v="Division_A"/>
    <x v="39"/>
    <n v="2016"/>
    <n v="0"/>
    <s v="TBM"/>
    <n v="24"/>
    <n v="3377"/>
    <s v="140.7"/>
    <x v="0"/>
    <n v="0"/>
    <n v="0"/>
    <n v="0"/>
    <d v="2015-07-01T00:00:00"/>
    <x v="1"/>
    <x v="2"/>
  </r>
  <r>
    <x v="3"/>
    <x v="7"/>
    <s v="Agustus"/>
    <s v="Division_A"/>
    <x v="39"/>
    <n v="2016"/>
    <n v="0"/>
    <s v="TBM"/>
    <n v="24"/>
    <n v="3377"/>
    <s v="140.7"/>
    <x v="0"/>
    <n v="0"/>
    <n v="0"/>
    <n v="0"/>
    <d v="2015-08-01T00:00:00"/>
    <x v="1"/>
    <x v="2"/>
  </r>
  <r>
    <x v="3"/>
    <x v="8"/>
    <s v="September"/>
    <s v="Division_A"/>
    <x v="39"/>
    <n v="2016"/>
    <n v="0"/>
    <s v="TBM"/>
    <n v="24"/>
    <n v="3377"/>
    <s v="140.7"/>
    <x v="0"/>
    <n v="0"/>
    <n v="0"/>
    <n v="0"/>
    <d v="2015-09-01T00:00:00"/>
    <x v="1"/>
    <x v="2"/>
  </r>
  <r>
    <x v="3"/>
    <x v="9"/>
    <s v="Oktober"/>
    <s v="Division_A"/>
    <x v="39"/>
    <n v="2016"/>
    <n v="0"/>
    <s v="TBM"/>
    <n v="24"/>
    <n v="3377"/>
    <s v="140.7"/>
    <x v="0"/>
    <n v="0"/>
    <n v="0"/>
    <n v="0"/>
    <d v="2015-10-01T00:00:00"/>
    <x v="1"/>
    <x v="2"/>
  </r>
  <r>
    <x v="3"/>
    <x v="10"/>
    <s v="November"/>
    <s v="Division_A"/>
    <x v="39"/>
    <n v="2016"/>
    <n v="0"/>
    <s v="TBM"/>
    <n v="24"/>
    <n v="3377"/>
    <s v="140.7"/>
    <x v="0"/>
    <n v="0"/>
    <n v="0"/>
    <n v="0"/>
    <d v="2015-11-01T00:00:00"/>
    <x v="1"/>
    <x v="2"/>
  </r>
  <r>
    <x v="3"/>
    <x v="11"/>
    <s v="Desember"/>
    <s v="Division_A"/>
    <x v="39"/>
    <n v="2016"/>
    <n v="0"/>
    <s v="TBM"/>
    <n v="24"/>
    <n v="3377"/>
    <s v="140.7"/>
    <x v="0"/>
    <n v="0"/>
    <n v="0"/>
    <n v="0"/>
    <d v="2015-12-01T00:00:00"/>
    <x v="1"/>
    <x v="2"/>
  </r>
  <r>
    <x v="3"/>
    <x v="0"/>
    <s v="Januari"/>
    <s v="Division_A"/>
    <x v="40"/>
    <n v="2016"/>
    <n v="0"/>
    <s v="TBM"/>
    <n v="25"/>
    <n v="3431"/>
    <s v="137.2"/>
    <x v="0"/>
    <n v="0"/>
    <n v="0"/>
    <n v="0"/>
    <d v="2015-01-01T00:00:00"/>
    <x v="1"/>
    <x v="2"/>
  </r>
  <r>
    <x v="3"/>
    <x v="1"/>
    <s v="Februari"/>
    <s v="Division_A"/>
    <x v="40"/>
    <n v="2016"/>
    <n v="0"/>
    <s v="TBM"/>
    <n v="25"/>
    <n v="3431"/>
    <s v="137.2"/>
    <x v="0"/>
    <n v="0"/>
    <n v="0"/>
    <n v="0"/>
    <d v="2015-02-01T00:00:00"/>
    <x v="1"/>
    <x v="2"/>
  </r>
  <r>
    <x v="3"/>
    <x v="2"/>
    <s v="Maret"/>
    <s v="Division_A"/>
    <x v="40"/>
    <n v="2016"/>
    <n v="0"/>
    <s v="TBM"/>
    <n v="25"/>
    <n v="3431"/>
    <s v="137.2"/>
    <x v="0"/>
    <n v="0"/>
    <n v="0"/>
    <n v="0"/>
    <d v="2015-03-01T00:00:00"/>
    <x v="1"/>
    <x v="2"/>
  </r>
  <r>
    <x v="3"/>
    <x v="3"/>
    <s v="April"/>
    <s v="Division_A"/>
    <x v="40"/>
    <n v="2016"/>
    <n v="0"/>
    <s v="TBM"/>
    <n v="25"/>
    <n v="3431"/>
    <s v="137.2"/>
    <x v="0"/>
    <n v="0"/>
    <n v="0"/>
    <n v="0"/>
    <d v="2015-04-01T00:00:00"/>
    <x v="1"/>
    <x v="2"/>
  </r>
  <r>
    <x v="3"/>
    <x v="4"/>
    <s v="Mei"/>
    <s v="Division_A"/>
    <x v="40"/>
    <n v="2016"/>
    <n v="0"/>
    <s v="TBM"/>
    <n v="25"/>
    <n v="3431"/>
    <s v="137.2"/>
    <x v="0"/>
    <n v="0"/>
    <n v="0"/>
    <n v="0"/>
    <d v="2015-05-01T00:00:00"/>
    <x v="1"/>
    <x v="2"/>
  </r>
  <r>
    <x v="3"/>
    <x v="5"/>
    <s v="Juni"/>
    <s v="Division_A"/>
    <x v="40"/>
    <n v="2016"/>
    <n v="0"/>
    <s v="TBM"/>
    <n v="25"/>
    <n v="3431"/>
    <s v="137.2"/>
    <x v="0"/>
    <n v="0"/>
    <n v="0"/>
    <n v="0"/>
    <d v="2015-06-01T00:00:00"/>
    <x v="1"/>
    <x v="2"/>
  </r>
  <r>
    <x v="3"/>
    <x v="6"/>
    <s v="Juli"/>
    <s v="Division_A"/>
    <x v="40"/>
    <n v="2016"/>
    <n v="0"/>
    <s v="TBM"/>
    <n v="25"/>
    <n v="3431"/>
    <s v="137.2"/>
    <x v="0"/>
    <n v="0"/>
    <n v="0"/>
    <n v="0"/>
    <d v="2015-07-01T00:00:00"/>
    <x v="1"/>
    <x v="2"/>
  </r>
  <r>
    <x v="3"/>
    <x v="7"/>
    <s v="Agustus"/>
    <s v="Division_A"/>
    <x v="40"/>
    <n v="2016"/>
    <n v="0"/>
    <s v="TBM"/>
    <n v="25"/>
    <n v="3431"/>
    <s v="137.2"/>
    <x v="0"/>
    <n v="0"/>
    <n v="0"/>
    <n v="0"/>
    <d v="2015-08-01T00:00:00"/>
    <x v="1"/>
    <x v="2"/>
  </r>
  <r>
    <x v="3"/>
    <x v="8"/>
    <s v="September"/>
    <s v="Division_A"/>
    <x v="40"/>
    <n v="2016"/>
    <n v="0"/>
    <s v="TBM"/>
    <n v="25"/>
    <n v="3431"/>
    <s v="137.2"/>
    <x v="0"/>
    <n v="0"/>
    <n v="0"/>
    <n v="0"/>
    <d v="2015-09-01T00:00:00"/>
    <x v="1"/>
    <x v="2"/>
  </r>
  <r>
    <x v="3"/>
    <x v="9"/>
    <s v="Oktober"/>
    <s v="Division_A"/>
    <x v="40"/>
    <n v="2016"/>
    <n v="0"/>
    <s v="TBM"/>
    <n v="25"/>
    <n v="3431"/>
    <s v="137.2"/>
    <x v="0"/>
    <n v="0"/>
    <n v="0"/>
    <n v="0"/>
    <d v="2015-10-01T00:00:00"/>
    <x v="1"/>
    <x v="2"/>
  </r>
  <r>
    <x v="3"/>
    <x v="10"/>
    <s v="November"/>
    <s v="Division_A"/>
    <x v="40"/>
    <n v="2016"/>
    <n v="0"/>
    <s v="TBM"/>
    <n v="25"/>
    <n v="3431"/>
    <s v="137.2"/>
    <x v="0"/>
    <n v="0"/>
    <n v="0"/>
    <n v="0"/>
    <d v="2015-11-01T00:00:00"/>
    <x v="1"/>
    <x v="2"/>
  </r>
  <r>
    <x v="3"/>
    <x v="11"/>
    <s v="Desember"/>
    <s v="Division_A"/>
    <x v="40"/>
    <n v="2016"/>
    <n v="0"/>
    <s v="TBM"/>
    <n v="25"/>
    <n v="3431"/>
    <s v="137.2"/>
    <x v="0"/>
    <n v="0"/>
    <n v="0"/>
    <n v="0"/>
    <d v="2015-12-01T00:00:00"/>
    <x v="1"/>
    <x v="2"/>
  </r>
  <r>
    <x v="3"/>
    <x v="0"/>
    <s v="Januari"/>
    <s v="Division_A"/>
    <x v="41"/>
    <n v="2016"/>
    <n v="0"/>
    <s v="TBM"/>
    <n v="21"/>
    <n v="2901"/>
    <s v="138.1"/>
    <x v="0"/>
    <n v="0"/>
    <n v="0"/>
    <n v="0"/>
    <d v="2015-01-01T00:00:00"/>
    <x v="1"/>
    <x v="2"/>
  </r>
  <r>
    <x v="3"/>
    <x v="1"/>
    <s v="Februari"/>
    <s v="Division_A"/>
    <x v="41"/>
    <n v="2016"/>
    <n v="0"/>
    <s v="TBM"/>
    <n v="21"/>
    <n v="2901"/>
    <s v="138.1"/>
    <x v="0"/>
    <n v="0"/>
    <n v="0"/>
    <n v="0"/>
    <d v="2015-02-01T00:00:00"/>
    <x v="1"/>
    <x v="2"/>
  </r>
  <r>
    <x v="3"/>
    <x v="2"/>
    <s v="Maret"/>
    <s v="Division_A"/>
    <x v="41"/>
    <n v="2016"/>
    <n v="0"/>
    <s v="TBM"/>
    <n v="21"/>
    <n v="2901"/>
    <s v="138.1"/>
    <x v="0"/>
    <n v="0"/>
    <n v="0"/>
    <n v="0"/>
    <d v="2015-03-01T00:00:00"/>
    <x v="1"/>
    <x v="2"/>
  </r>
  <r>
    <x v="3"/>
    <x v="3"/>
    <s v="April"/>
    <s v="Division_A"/>
    <x v="41"/>
    <n v="2016"/>
    <n v="0"/>
    <s v="TBM"/>
    <n v="21"/>
    <n v="2901"/>
    <s v="138.1"/>
    <x v="0"/>
    <n v="0"/>
    <n v="0"/>
    <n v="0"/>
    <d v="2015-04-01T00:00:00"/>
    <x v="1"/>
    <x v="2"/>
  </r>
  <r>
    <x v="3"/>
    <x v="4"/>
    <s v="Mei"/>
    <s v="Division_A"/>
    <x v="41"/>
    <n v="2016"/>
    <n v="0"/>
    <s v="TBM"/>
    <n v="21"/>
    <n v="2901"/>
    <s v="138.1"/>
    <x v="0"/>
    <n v="0"/>
    <n v="0"/>
    <n v="0"/>
    <d v="2015-05-01T00:00:00"/>
    <x v="1"/>
    <x v="2"/>
  </r>
  <r>
    <x v="3"/>
    <x v="5"/>
    <s v="Juni"/>
    <s v="Division_A"/>
    <x v="41"/>
    <n v="2016"/>
    <n v="0"/>
    <s v="TBM"/>
    <n v="21"/>
    <n v="2901"/>
    <s v="138.1"/>
    <x v="0"/>
    <n v="0"/>
    <n v="0"/>
    <n v="0"/>
    <d v="2015-06-01T00:00:00"/>
    <x v="1"/>
    <x v="2"/>
  </r>
  <r>
    <x v="3"/>
    <x v="6"/>
    <s v="Juli"/>
    <s v="Division_A"/>
    <x v="41"/>
    <n v="2016"/>
    <n v="0"/>
    <s v="TBM"/>
    <n v="21"/>
    <n v="2901"/>
    <s v="138.1"/>
    <x v="0"/>
    <n v="0"/>
    <n v="0"/>
    <n v="0"/>
    <d v="2015-07-01T00:00:00"/>
    <x v="1"/>
    <x v="2"/>
  </r>
  <r>
    <x v="3"/>
    <x v="7"/>
    <s v="Agustus"/>
    <s v="Division_A"/>
    <x v="41"/>
    <n v="2016"/>
    <n v="0"/>
    <s v="TBM"/>
    <n v="21"/>
    <n v="2901"/>
    <s v="138.1"/>
    <x v="0"/>
    <n v="0"/>
    <n v="0"/>
    <n v="0"/>
    <d v="2015-08-01T00:00:00"/>
    <x v="1"/>
    <x v="2"/>
  </r>
  <r>
    <x v="3"/>
    <x v="8"/>
    <s v="September"/>
    <s v="Division_A"/>
    <x v="41"/>
    <n v="2016"/>
    <n v="0"/>
    <s v="TBM"/>
    <n v="21"/>
    <n v="2901"/>
    <s v="138.1"/>
    <x v="0"/>
    <n v="0"/>
    <n v="0"/>
    <n v="0"/>
    <d v="2015-09-01T00:00:00"/>
    <x v="1"/>
    <x v="2"/>
  </r>
  <r>
    <x v="3"/>
    <x v="9"/>
    <s v="Oktober"/>
    <s v="Division_A"/>
    <x v="41"/>
    <n v="2016"/>
    <n v="0"/>
    <s v="TBM"/>
    <n v="21"/>
    <n v="2901"/>
    <s v="138.1"/>
    <x v="0"/>
    <n v="0"/>
    <n v="0"/>
    <n v="0"/>
    <d v="2015-10-01T00:00:00"/>
    <x v="1"/>
    <x v="2"/>
  </r>
  <r>
    <x v="3"/>
    <x v="10"/>
    <s v="November"/>
    <s v="Division_A"/>
    <x v="41"/>
    <n v="2016"/>
    <n v="0"/>
    <s v="TBM"/>
    <n v="21"/>
    <n v="2901"/>
    <s v="138.1"/>
    <x v="0"/>
    <n v="0"/>
    <n v="0"/>
    <n v="0"/>
    <d v="2015-11-01T00:00:00"/>
    <x v="1"/>
    <x v="2"/>
  </r>
  <r>
    <x v="3"/>
    <x v="11"/>
    <s v="Desember"/>
    <s v="Division_A"/>
    <x v="41"/>
    <n v="2016"/>
    <n v="0"/>
    <s v="TBM"/>
    <n v="21"/>
    <n v="2901"/>
    <s v="138.1"/>
    <x v="0"/>
    <n v="0"/>
    <n v="0"/>
    <n v="0"/>
    <d v="2015-12-01T00:00:00"/>
    <x v="1"/>
    <x v="2"/>
  </r>
  <r>
    <x v="4"/>
    <x v="0"/>
    <s v="Januari"/>
    <s v="Division_A"/>
    <x v="0"/>
    <n v="2000"/>
    <n v="16"/>
    <s v="TM-Utama"/>
    <n v="19"/>
    <n v="1490"/>
    <s v="78.4"/>
    <x v="0"/>
    <n v="0.53400000000000003"/>
    <n v="10145.4"/>
    <n v="10.145"/>
    <d v="2016-01-01T00:00:00"/>
    <x v="0"/>
    <x v="0"/>
  </r>
  <r>
    <x v="4"/>
    <x v="1"/>
    <s v="Februari"/>
    <s v="Division_A"/>
    <x v="0"/>
    <n v="2000"/>
    <n v="16"/>
    <s v="TM-Utama"/>
    <n v="19"/>
    <n v="1490"/>
    <s v="78.4"/>
    <x v="0"/>
    <n v="0.54500000000000004"/>
    <n v="10363.5"/>
    <n v="10.363"/>
    <d v="2016-02-01T00:00:00"/>
    <x v="0"/>
    <x v="0"/>
  </r>
  <r>
    <x v="4"/>
    <x v="2"/>
    <s v="Maret"/>
    <s v="Division_A"/>
    <x v="0"/>
    <n v="2000"/>
    <n v="16"/>
    <s v="TM-Utama"/>
    <n v="19"/>
    <n v="1490"/>
    <s v="78.4"/>
    <x v="0"/>
    <n v="0.66900000000000004"/>
    <n v="12718.1"/>
    <n v="12.718"/>
    <d v="2016-03-01T00:00:00"/>
    <x v="0"/>
    <x v="0"/>
  </r>
  <r>
    <x v="4"/>
    <x v="3"/>
    <s v="April"/>
    <s v="Division_A"/>
    <x v="0"/>
    <n v="2000"/>
    <n v="16"/>
    <s v="TM-Utama"/>
    <n v="19"/>
    <n v="1490"/>
    <s v="78.4"/>
    <x v="0"/>
    <n v="0.39700000000000002"/>
    <n v="7543.7"/>
    <n v="7.5439999999999996"/>
    <d v="2016-04-01T00:00:00"/>
    <x v="0"/>
    <x v="0"/>
  </r>
  <r>
    <x v="4"/>
    <x v="4"/>
    <s v="Mei"/>
    <s v="Division_A"/>
    <x v="0"/>
    <n v="2000"/>
    <n v="16"/>
    <s v="TM-Utama"/>
    <n v="19"/>
    <n v="1490"/>
    <s v="78.4"/>
    <x v="0"/>
    <n v="0.91700000000000004"/>
    <n v="17427.5"/>
    <n v="17.427"/>
    <d v="2016-05-01T00:00:00"/>
    <x v="0"/>
    <x v="0"/>
  </r>
  <r>
    <x v="4"/>
    <x v="5"/>
    <s v="Juni"/>
    <s v="Division_A"/>
    <x v="0"/>
    <n v="2000"/>
    <n v="16"/>
    <s v="TM-Utama"/>
    <n v="19"/>
    <n v="1490"/>
    <s v="78.4"/>
    <x v="0"/>
    <n v="0.95899999999999996"/>
    <n v="18212.400000000001"/>
    <n v="18.212"/>
    <d v="2016-06-01T00:00:00"/>
    <x v="0"/>
    <x v="0"/>
  </r>
  <r>
    <x v="4"/>
    <x v="6"/>
    <s v="Juli"/>
    <s v="Division_A"/>
    <x v="0"/>
    <n v="2000"/>
    <n v="16"/>
    <s v="TM-Utama"/>
    <n v="19"/>
    <n v="1490"/>
    <s v="78.4"/>
    <x v="0"/>
    <n v="0.71199999999999997"/>
    <n v="13532.1"/>
    <n v="13.532"/>
    <d v="2016-07-01T00:00:00"/>
    <x v="0"/>
    <x v="0"/>
  </r>
  <r>
    <x v="4"/>
    <x v="7"/>
    <s v="Agustus"/>
    <s v="Division_A"/>
    <x v="0"/>
    <n v="2000"/>
    <n v="16"/>
    <s v="TM-Utama"/>
    <n v="19"/>
    <n v="1490"/>
    <s v="78.4"/>
    <x v="0"/>
    <n v="0.65600000000000003"/>
    <n v="12456.5"/>
    <n v="12.456"/>
    <d v="2016-08-01T00:00:00"/>
    <x v="0"/>
    <x v="0"/>
  </r>
  <r>
    <x v="4"/>
    <x v="8"/>
    <s v="September"/>
    <s v="Division_A"/>
    <x v="0"/>
    <n v="2000"/>
    <n v="16"/>
    <s v="TM-Utama"/>
    <n v="19"/>
    <n v="1490"/>
    <s v="78.4"/>
    <x v="0"/>
    <n v="0.52900000000000003"/>
    <n v="10058.200000000001"/>
    <n v="10.058"/>
    <d v="2016-09-01T00:00:00"/>
    <x v="0"/>
    <x v="0"/>
  </r>
  <r>
    <x v="4"/>
    <x v="9"/>
    <s v="Oktober"/>
    <s v="Division_A"/>
    <x v="0"/>
    <n v="2000"/>
    <n v="16"/>
    <s v="TM-Utama"/>
    <n v="19"/>
    <n v="1490"/>
    <s v="78.4"/>
    <x v="0"/>
    <n v="0.93300000000000005"/>
    <n v="17732.7"/>
    <n v="17.733000000000001"/>
    <d v="2016-10-01T00:00:00"/>
    <x v="0"/>
    <x v="0"/>
  </r>
  <r>
    <x v="4"/>
    <x v="10"/>
    <s v="November"/>
    <s v="Division_A"/>
    <x v="0"/>
    <n v="2000"/>
    <n v="16"/>
    <s v="TM-Utama"/>
    <n v="19"/>
    <n v="1490"/>
    <s v="78.4"/>
    <x v="0"/>
    <n v="0.84199999999999997"/>
    <n v="15988.5"/>
    <n v="15.989000000000001"/>
    <d v="2016-11-01T00:00:00"/>
    <x v="0"/>
    <x v="0"/>
  </r>
  <r>
    <x v="4"/>
    <x v="11"/>
    <s v="Desember"/>
    <s v="Division_A"/>
    <x v="0"/>
    <n v="2000"/>
    <n v="16"/>
    <s v="TM-Utama"/>
    <n v="19"/>
    <n v="1490"/>
    <s v="78.4"/>
    <x v="0"/>
    <n v="0.82499999999999996"/>
    <n v="15683.3"/>
    <n v="15.683"/>
    <d v="2016-12-01T00:00:00"/>
    <x v="0"/>
    <x v="0"/>
  </r>
  <r>
    <x v="4"/>
    <x v="0"/>
    <s v="Januari"/>
    <s v="Division_A"/>
    <x v="1"/>
    <n v="2000"/>
    <n v="16"/>
    <s v="TM-Utama"/>
    <n v="24"/>
    <n v="1675"/>
    <s v="69.8"/>
    <x v="0"/>
    <n v="0.53400000000000003"/>
    <n v="12815.3"/>
    <n v="12.815"/>
    <d v="2016-01-01T00:00:00"/>
    <x v="0"/>
    <x v="0"/>
  </r>
  <r>
    <x v="4"/>
    <x v="1"/>
    <s v="Februari"/>
    <s v="Division_A"/>
    <x v="1"/>
    <n v="2000"/>
    <n v="16"/>
    <s v="TM-Utama"/>
    <n v="24"/>
    <n v="1675"/>
    <s v="69.8"/>
    <x v="0"/>
    <n v="0.54500000000000004"/>
    <n v="13090.7"/>
    <n v="13.090999999999999"/>
    <d v="2016-02-01T00:00:00"/>
    <x v="0"/>
    <x v="0"/>
  </r>
  <r>
    <x v="4"/>
    <x v="2"/>
    <s v="Maret"/>
    <s v="Division_A"/>
    <x v="1"/>
    <n v="2000"/>
    <n v="16"/>
    <s v="TM-Utama"/>
    <n v="24"/>
    <n v="1675"/>
    <s v="69.8"/>
    <x v="0"/>
    <n v="0.66900000000000004"/>
    <n v="16065"/>
    <n v="16.065000000000001"/>
    <d v="2016-03-01T00:00:00"/>
    <x v="0"/>
    <x v="0"/>
  </r>
  <r>
    <x v="4"/>
    <x v="3"/>
    <s v="April"/>
    <s v="Division_A"/>
    <x v="1"/>
    <n v="2000"/>
    <n v="16"/>
    <s v="TM-Utama"/>
    <n v="24"/>
    <n v="1675"/>
    <s v="69.8"/>
    <x v="0"/>
    <n v="0.39700000000000002"/>
    <n v="9528.7999999999993"/>
    <n v="9.5289999999999999"/>
    <d v="2016-04-01T00:00:00"/>
    <x v="0"/>
    <x v="0"/>
  </r>
  <r>
    <x v="4"/>
    <x v="4"/>
    <s v="Mei"/>
    <s v="Division_A"/>
    <x v="1"/>
    <n v="2000"/>
    <n v="16"/>
    <s v="TM-Utama"/>
    <n v="24"/>
    <n v="1675"/>
    <s v="69.8"/>
    <x v="0"/>
    <n v="0.91700000000000004"/>
    <n v="22013.599999999999"/>
    <n v="22.013999999999999"/>
    <d v="2016-05-01T00:00:00"/>
    <x v="0"/>
    <x v="0"/>
  </r>
  <r>
    <x v="4"/>
    <x v="5"/>
    <s v="Juni"/>
    <s v="Division_A"/>
    <x v="1"/>
    <n v="2000"/>
    <n v="16"/>
    <s v="TM-Utama"/>
    <n v="24"/>
    <n v="1675"/>
    <s v="69.8"/>
    <x v="0"/>
    <n v="0.95899999999999996"/>
    <n v="23005.1"/>
    <n v="23.004999999999999"/>
    <d v="2016-06-01T00:00:00"/>
    <x v="0"/>
    <x v="0"/>
  </r>
  <r>
    <x v="4"/>
    <x v="6"/>
    <s v="Juli"/>
    <s v="Division_A"/>
    <x v="1"/>
    <n v="2000"/>
    <n v="16"/>
    <s v="TM-Utama"/>
    <n v="24"/>
    <n v="1675"/>
    <s v="69.8"/>
    <x v="0"/>
    <n v="0.71199999999999997"/>
    <n v="17093.2"/>
    <n v="17.093"/>
    <d v="2016-07-01T00:00:00"/>
    <x v="0"/>
    <x v="0"/>
  </r>
  <r>
    <x v="4"/>
    <x v="7"/>
    <s v="Agustus"/>
    <s v="Division_A"/>
    <x v="1"/>
    <n v="2000"/>
    <n v="16"/>
    <s v="TM-Utama"/>
    <n v="24"/>
    <n v="1675"/>
    <s v="69.8"/>
    <x v="0"/>
    <n v="0.65600000000000003"/>
    <n v="15734.5"/>
    <n v="15.734999999999999"/>
    <d v="2016-08-01T00:00:00"/>
    <x v="0"/>
    <x v="0"/>
  </r>
  <r>
    <x v="4"/>
    <x v="8"/>
    <s v="September"/>
    <s v="Division_A"/>
    <x v="1"/>
    <n v="2000"/>
    <n v="16"/>
    <s v="TM-Utama"/>
    <n v="24"/>
    <n v="1675"/>
    <s v="69.8"/>
    <x v="0"/>
    <n v="0.52900000000000003"/>
    <n v="12705.1"/>
    <n v="12.705"/>
    <d v="2016-09-01T00:00:00"/>
    <x v="0"/>
    <x v="0"/>
  </r>
  <r>
    <x v="4"/>
    <x v="9"/>
    <s v="Oktober"/>
    <s v="Division_A"/>
    <x v="1"/>
    <n v="2000"/>
    <n v="16"/>
    <s v="TM-Utama"/>
    <n v="24"/>
    <n v="1675"/>
    <s v="69.8"/>
    <x v="0"/>
    <n v="0.93300000000000005"/>
    <n v="22399.200000000001"/>
    <n v="22.399000000000001"/>
    <d v="2016-10-01T00:00:00"/>
    <x v="0"/>
    <x v="0"/>
  </r>
  <r>
    <x v="4"/>
    <x v="10"/>
    <s v="November"/>
    <s v="Division_A"/>
    <x v="1"/>
    <n v="2000"/>
    <n v="16"/>
    <s v="TM-Utama"/>
    <n v="24"/>
    <n v="1675"/>
    <s v="69.8"/>
    <x v="0"/>
    <n v="0.84199999999999997"/>
    <n v="20196"/>
    <n v="20.196000000000002"/>
    <d v="2016-11-01T00:00:00"/>
    <x v="0"/>
    <x v="0"/>
  </r>
  <r>
    <x v="4"/>
    <x v="11"/>
    <s v="Desember"/>
    <s v="Division_A"/>
    <x v="1"/>
    <n v="2000"/>
    <n v="16"/>
    <s v="TM-Utama"/>
    <n v="24"/>
    <n v="1675"/>
    <s v="69.8"/>
    <x v="0"/>
    <n v="0.82499999999999996"/>
    <n v="19810.400000000001"/>
    <n v="19.809999999999999"/>
    <d v="2016-12-01T00:00:00"/>
    <x v="0"/>
    <x v="0"/>
  </r>
  <r>
    <x v="4"/>
    <x v="0"/>
    <s v="Januari"/>
    <s v="Division_A"/>
    <x v="2"/>
    <n v="2005"/>
    <n v="11"/>
    <s v="TM-Utama"/>
    <n v="18"/>
    <n v="1922"/>
    <s v="106.8"/>
    <x v="0"/>
    <n v="0.55900000000000005"/>
    <n v="10061.700000000001"/>
    <n v="10.061999999999999"/>
    <d v="2016-01-01T00:00:00"/>
    <x v="0"/>
    <x v="0"/>
  </r>
  <r>
    <x v="4"/>
    <x v="1"/>
    <s v="Februari"/>
    <s v="Division_A"/>
    <x v="2"/>
    <n v="2005"/>
    <n v="11"/>
    <s v="TM-Utama"/>
    <n v="18"/>
    <n v="1922"/>
    <s v="106.8"/>
    <x v="0"/>
    <n v="0.57099999999999995"/>
    <n v="10277.9"/>
    <n v="10.278"/>
    <d v="2016-02-01T00:00:00"/>
    <x v="0"/>
    <x v="0"/>
  </r>
  <r>
    <x v="4"/>
    <x v="2"/>
    <s v="Maret"/>
    <s v="Division_A"/>
    <x v="2"/>
    <n v="2005"/>
    <n v="11"/>
    <s v="TM-Utama"/>
    <n v="18"/>
    <n v="1922"/>
    <s v="106.8"/>
    <x v="0"/>
    <n v="0.70099999999999996"/>
    <n v="12613.1"/>
    <n v="12.613"/>
    <d v="2016-03-01T00:00:00"/>
    <x v="0"/>
    <x v="0"/>
  </r>
  <r>
    <x v="4"/>
    <x v="3"/>
    <s v="April"/>
    <s v="Division_A"/>
    <x v="2"/>
    <n v="2005"/>
    <n v="11"/>
    <s v="TM-Utama"/>
    <n v="18"/>
    <n v="1922"/>
    <s v="106.8"/>
    <x v="0"/>
    <n v="0.41599999999999998"/>
    <n v="7481.4"/>
    <n v="7.4809999999999999"/>
    <d v="2016-04-01T00:00:00"/>
    <x v="0"/>
    <x v="0"/>
  </r>
  <r>
    <x v="4"/>
    <x v="4"/>
    <s v="Mei"/>
    <s v="Division_A"/>
    <x v="2"/>
    <n v="2005"/>
    <n v="11"/>
    <s v="TM-Utama"/>
    <n v="18"/>
    <n v="1922"/>
    <s v="106.8"/>
    <x v="0"/>
    <n v="0.96"/>
    <n v="17283.599999999999"/>
    <n v="17.283999999999999"/>
    <d v="2016-05-01T00:00:00"/>
    <x v="0"/>
    <x v="0"/>
  </r>
  <r>
    <x v="4"/>
    <x v="5"/>
    <s v="Juni"/>
    <s v="Division_A"/>
    <x v="2"/>
    <n v="2005"/>
    <n v="11"/>
    <s v="TM-Utama"/>
    <n v="18"/>
    <n v="1922"/>
    <s v="106.8"/>
    <x v="0"/>
    <n v="1.0029999999999999"/>
    <n v="18062"/>
    <n v="18.062000000000001"/>
    <d v="2016-06-01T00:00:00"/>
    <x v="0"/>
    <x v="0"/>
  </r>
  <r>
    <x v="4"/>
    <x v="6"/>
    <s v="Juli"/>
    <s v="Division_A"/>
    <x v="2"/>
    <n v="2005"/>
    <n v="11"/>
    <s v="TM-Utama"/>
    <n v="18"/>
    <n v="1922"/>
    <s v="106.8"/>
    <x v="0"/>
    <n v="0.746"/>
    <n v="13420.4"/>
    <n v="13.42"/>
    <d v="2016-07-01T00:00:00"/>
    <x v="0"/>
    <x v="0"/>
  </r>
  <r>
    <x v="4"/>
    <x v="7"/>
    <s v="Agustus"/>
    <s v="Division_A"/>
    <x v="2"/>
    <n v="2005"/>
    <n v="11"/>
    <s v="TM-Utama"/>
    <n v="18"/>
    <n v="1922"/>
    <s v="106.8"/>
    <x v="0"/>
    <n v="0.68600000000000005"/>
    <n v="12353.7"/>
    <n v="12.353999999999999"/>
    <d v="2016-08-01T00:00:00"/>
    <x v="0"/>
    <x v="0"/>
  </r>
  <r>
    <x v="4"/>
    <x v="8"/>
    <s v="September"/>
    <s v="Division_A"/>
    <x v="2"/>
    <n v="2005"/>
    <n v="11"/>
    <s v="TM-Utama"/>
    <n v="18"/>
    <n v="1922"/>
    <s v="106.8"/>
    <x v="0"/>
    <n v="0.55400000000000005"/>
    <n v="9975.2000000000007"/>
    <n v="9.9749999999999996"/>
    <d v="2016-09-01T00:00:00"/>
    <x v="0"/>
    <x v="0"/>
  </r>
  <r>
    <x v="4"/>
    <x v="9"/>
    <s v="Oktober"/>
    <s v="Division_A"/>
    <x v="2"/>
    <n v="2005"/>
    <n v="11"/>
    <s v="TM-Utama"/>
    <n v="18"/>
    <n v="1922"/>
    <s v="106.8"/>
    <x v="0"/>
    <n v="0.97699999999999998"/>
    <n v="17586.3"/>
    <n v="17.585999999999999"/>
    <d v="2016-10-01T00:00:00"/>
    <x v="0"/>
    <x v="0"/>
  </r>
  <r>
    <x v="4"/>
    <x v="10"/>
    <s v="November"/>
    <s v="Division_A"/>
    <x v="2"/>
    <n v="2005"/>
    <n v="11"/>
    <s v="TM-Utama"/>
    <n v="18"/>
    <n v="1922"/>
    <s v="106.8"/>
    <x v="0"/>
    <n v="0.88100000000000001"/>
    <n v="15856.5"/>
    <n v="15.856999999999999"/>
    <d v="2016-11-01T00:00:00"/>
    <x v="0"/>
    <x v="0"/>
  </r>
  <r>
    <x v="4"/>
    <x v="11"/>
    <s v="Desember"/>
    <s v="Division_A"/>
    <x v="2"/>
    <n v="2005"/>
    <n v="11"/>
    <s v="TM-Utama"/>
    <n v="18"/>
    <n v="1922"/>
    <s v="106.8"/>
    <x v="0"/>
    <n v="0.86399999999999999"/>
    <n v="15553.8"/>
    <n v="15.554"/>
    <d v="2016-12-01T00:00:00"/>
    <x v="0"/>
    <x v="0"/>
  </r>
  <r>
    <x v="4"/>
    <x v="0"/>
    <s v="Januari"/>
    <s v="Division_A"/>
    <x v="3"/>
    <n v="2005"/>
    <n v="11"/>
    <s v="TM-Utama"/>
    <n v="26"/>
    <n v="2827"/>
    <s v="108.7"/>
    <x v="0"/>
    <n v="0.56899999999999995"/>
    <n v="14799.3"/>
    <n v="14.798999999999999"/>
    <d v="2016-01-01T00:00:00"/>
    <x v="0"/>
    <x v="0"/>
  </r>
  <r>
    <x v="4"/>
    <x v="1"/>
    <s v="Februari"/>
    <s v="Division_A"/>
    <x v="3"/>
    <n v="2005"/>
    <n v="11"/>
    <s v="TM-Utama"/>
    <n v="26"/>
    <n v="2827"/>
    <s v="108.7"/>
    <x v="0"/>
    <n v="0.58099999999999996"/>
    <n v="15117.4"/>
    <n v="15.117000000000001"/>
    <d v="2016-02-01T00:00:00"/>
    <x v="0"/>
    <x v="0"/>
  </r>
  <r>
    <x v="4"/>
    <x v="2"/>
    <s v="Maret"/>
    <s v="Division_A"/>
    <x v="3"/>
    <n v="2005"/>
    <n v="11"/>
    <s v="TM-Utama"/>
    <n v="26"/>
    <n v="2827"/>
    <s v="108.7"/>
    <x v="0"/>
    <n v="0.71399999999999997"/>
    <n v="18552.2"/>
    <n v="18.552"/>
    <d v="2016-03-01T00:00:00"/>
    <x v="0"/>
    <x v="0"/>
  </r>
  <r>
    <x v="4"/>
    <x v="3"/>
    <s v="April"/>
    <s v="Division_A"/>
    <x v="3"/>
    <n v="2005"/>
    <n v="11"/>
    <s v="TM-Utama"/>
    <n v="26"/>
    <n v="2827"/>
    <s v="108.7"/>
    <x v="0"/>
    <n v="0.42299999999999999"/>
    <n v="11004.1"/>
    <n v="11.004"/>
    <d v="2016-04-01T00:00:00"/>
    <x v="0"/>
    <x v="0"/>
  </r>
  <r>
    <x v="4"/>
    <x v="4"/>
    <s v="Mei"/>
    <s v="Division_A"/>
    <x v="3"/>
    <n v="2005"/>
    <n v="11"/>
    <s v="TM-Utama"/>
    <n v="26"/>
    <n v="2827"/>
    <s v="108.7"/>
    <x v="0"/>
    <n v="0.97799999999999998"/>
    <n v="25421.8"/>
    <n v="25.422000000000001"/>
    <d v="2016-05-01T00:00:00"/>
    <x v="0"/>
    <x v="0"/>
  </r>
  <r>
    <x v="4"/>
    <x v="5"/>
    <s v="Juni"/>
    <s v="Division_A"/>
    <x v="3"/>
    <n v="2005"/>
    <n v="11"/>
    <s v="TM-Utama"/>
    <n v="26"/>
    <n v="2827"/>
    <s v="108.7"/>
    <x v="0"/>
    <n v="1.022"/>
    <n v="26566.7"/>
    <n v="26.567"/>
    <d v="2016-06-01T00:00:00"/>
    <x v="0"/>
    <x v="0"/>
  </r>
  <r>
    <x v="4"/>
    <x v="6"/>
    <s v="Juli"/>
    <s v="Division_A"/>
    <x v="3"/>
    <n v="2005"/>
    <n v="11"/>
    <s v="TM-Utama"/>
    <n v="26"/>
    <n v="2827"/>
    <s v="108.7"/>
    <x v="0"/>
    <n v="0.75900000000000001"/>
    <n v="19739.5"/>
    <n v="19.739999999999998"/>
    <d v="2016-07-01T00:00:00"/>
    <x v="0"/>
    <x v="0"/>
  </r>
  <r>
    <x v="4"/>
    <x v="7"/>
    <s v="Agustus"/>
    <s v="Division_A"/>
    <x v="3"/>
    <n v="2005"/>
    <n v="11"/>
    <s v="TM-Utama"/>
    <n v="26"/>
    <n v="2827"/>
    <s v="108.7"/>
    <x v="0"/>
    <n v="0.69899999999999995"/>
    <n v="18170.5"/>
    <n v="18.170999999999999"/>
    <d v="2016-08-01T00:00:00"/>
    <x v="0"/>
    <x v="0"/>
  </r>
  <r>
    <x v="4"/>
    <x v="8"/>
    <s v="September"/>
    <s v="Division_A"/>
    <x v="3"/>
    <n v="2005"/>
    <n v="11"/>
    <s v="TM-Utama"/>
    <n v="26"/>
    <n v="2827"/>
    <s v="108.7"/>
    <x v="0"/>
    <n v="0.56399999999999995"/>
    <n v="14672.1"/>
    <n v="14.672000000000001"/>
    <d v="2016-09-01T00:00:00"/>
    <x v="0"/>
    <x v="0"/>
  </r>
  <r>
    <x v="4"/>
    <x v="9"/>
    <s v="Oktober"/>
    <s v="Division_A"/>
    <x v="3"/>
    <n v="2005"/>
    <n v="11"/>
    <s v="TM-Utama"/>
    <n v="26"/>
    <n v="2827"/>
    <s v="108.7"/>
    <x v="0"/>
    <n v="0.995"/>
    <n v="25867"/>
    <n v="25.867000000000001"/>
    <d v="2016-10-01T00:00:00"/>
    <x v="0"/>
    <x v="0"/>
  </r>
  <r>
    <x v="4"/>
    <x v="10"/>
    <s v="November"/>
    <s v="Division_A"/>
    <x v="3"/>
    <n v="2005"/>
    <n v="11"/>
    <s v="TM-Utama"/>
    <n v="26"/>
    <n v="2827"/>
    <s v="108.7"/>
    <x v="0"/>
    <n v="0.89700000000000002"/>
    <n v="23322.799999999999"/>
    <n v="23.323"/>
    <d v="2016-11-01T00:00:00"/>
    <x v="0"/>
    <x v="0"/>
  </r>
  <r>
    <x v="4"/>
    <x v="11"/>
    <s v="Desember"/>
    <s v="Division_A"/>
    <x v="3"/>
    <n v="2005"/>
    <n v="11"/>
    <s v="TM-Utama"/>
    <n v="26"/>
    <n v="2827"/>
    <s v="108.7"/>
    <x v="0"/>
    <n v="0.88"/>
    <n v="22877.5"/>
    <n v="22.876999999999999"/>
    <d v="2016-12-01T00:00:00"/>
    <x v="0"/>
    <x v="0"/>
  </r>
  <r>
    <x v="4"/>
    <x v="0"/>
    <s v="Januari"/>
    <s v="Division_A"/>
    <x v="4"/>
    <n v="2005"/>
    <n v="11"/>
    <s v="TM-Utama"/>
    <n v="24"/>
    <n v="1947"/>
    <s v="81.1"/>
    <x v="1"/>
    <n v="0.53400000000000003"/>
    <n v="12815.3"/>
    <n v="12.815"/>
    <d v="2016-01-01T00:00:00"/>
    <x v="0"/>
    <x v="0"/>
  </r>
  <r>
    <x v="4"/>
    <x v="1"/>
    <s v="Februari"/>
    <s v="Division_A"/>
    <x v="4"/>
    <n v="2005"/>
    <n v="11"/>
    <s v="TM-Utama"/>
    <n v="24"/>
    <n v="1947"/>
    <s v="81.1"/>
    <x v="1"/>
    <n v="0.54500000000000004"/>
    <n v="13090.7"/>
    <n v="13.090999999999999"/>
    <d v="2016-02-01T00:00:00"/>
    <x v="0"/>
    <x v="0"/>
  </r>
  <r>
    <x v="4"/>
    <x v="2"/>
    <s v="Maret"/>
    <s v="Division_A"/>
    <x v="4"/>
    <n v="2005"/>
    <n v="11"/>
    <s v="TM-Utama"/>
    <n v="24"/>
    <n v="1947"/>
    <s v="81.1"/>
    <x v="1"/>
    <n v="0.66900000000000004"/>
    <n v="16065"/>
    <n v="16.065000000000001"/>
    <d v="2016-03-01T00:00:00"/>
    <x v="0"/>
    <x v="0"/>
  </r>
  <r>
    <x v="4"/>
    <x v="3"/>
    <s v="April"/>
    <s v="Division_A"/>
    <x v="4"/>
    <n v="2005"/>
    <n v="11"/>
    <s v="TM-Utama"/>
    <n v="24"/>
    <n v="1947"/>
    <s v="81.1"/>
    <x v="1"/>
    <n v="0.39700000000000002"/>
    <n v="9528.7999999999993"/>
    <n v="9.5289999999999999"/>
    <d v="2016-04-01T00:00:00"/>
    <x v="0"/>
    <x v="0"/>
  </r>
  <r>
    <x v="4"/>
    <x v="4"/>
    <s v="Mei"/>
    <s v="Division_A"/>
    <x v="4"/>
    <n v="2005"/>
    <n v="11"/>
    <s v="TM-Utama"/>
    <n v="24"/>
    <n v="1947"/>
    <s v="81.1"/>
    <x v="1"/>
    <n v="0.91700000000000004"/>
    <n v="22013.599999999999"/>
    <n v="22.013999999999999"/>
    <d v="2016-05-01T00:00:00"/>
    <x v="0"/>
    <x v="0"/>
  </r>
  <r>
    <x v="4"/>
    <x v="5"/>
    <s v="Juni"/>
    <s v="Division_A"/>
    <x v="4"/>
    <n v="2005"/>
    <n v="11"/>
    <s v="TM-Utama"/>
    <n v="24"/>
    <n v="1947"/>
    <s v="81.1"/>
    <x v="1"/>
    <n v="0.95899999999999996"/>
    <n v="23005.1"/>
    <n v="23.004999999999999"/>
    <d v="2016-06-01T00:00:00"/>
    <x v="0"/>
    <x v="0"/>
  </r>
  <r>
    <x v="4"/>
    <x v="6"/>
    <s v="Juli"/>
    <s v="Division_A"/>
    <x v="4"/>
    <n v="2005"/>
    <n v="11"/>
    <s v="TM-Utama"/>
    <n v="24"/>
    <n v="1947"/>
    <s v="81.1"/>
    <x v="1"/>
    <n v="0.71199999999999997"/>
    <n v="17093.2"/>
    <n v="17.093"/>
    <d v="2016-07-01T00:00:00"/>
    <x v="0"/>
    <x v="0"/>
  </r>
  <r>
    <x v="4"/>
    <x v="7"/>
    <s v="Agustus"/>
    <s v="Division_A"/>
    <x v="4"/>
    <n v="2005"/>
    <n v="11"/>
    <s v="TM-Utama"/>
    <n v="24"/>
    <n v="1947"/>
    <s v="81.1"/>
    <x v="1"/>
    <n v="0.65600000000000003"/>
    <n v="15734.5"/>
    <n v="15.734999999999999"/>
    <d v="2016-08-01T00:00:00"/>
    <x v="0"/>
    <x v="0"/>
  </r>
  <r>
    <x v="4"/>
    <x v="8"/>
    <s v="September"/>
    <s v="Division_A"/>
    <x v="4"/>
    <n v="2005"/>
    <n v="11"/>
    <s v="TM-Utama"/>
    <n v="24"/>
    <n v="1947"/>
    <s v="81.1"/>
    <x v="1"/>
    <n v="0.52900000000000003"/>
    <n v="12705.1"/>
    <n v="12.705"/>
    <d v="2016-09-01T00:00:00"/>
    <x v="0"/>
    <x v="0"/>
  </r>
  <r>
    <x v="4"/>
    <x v="9"/>
    <s v="Oktober"/>
    <s v="Division_A"/>
    <x v="4"/>
    <n v="2005"/>
    <n v="11"/>
    <s v="TM-Utama"/>
    <n v="24"/>
    <n v="1947"/>
    <s v="81.1"/>
    <x v="1"/>
    <n v="0.93300000000000005"/>
    <n v="22399.200000000001"/>
    <n v="22.399000000000001"/>
    <d v="2016-10-01T00:00:00"/>
    <x v="0"/>
    <x v="0"/>
  </r>
  <r>
    <x v="4"/>
    <x v="10"/>
    <s v="November"/>
    <s v="Division_A"/>
    <x v="4"/>
    <n v="2005"/>
    <n v="11"/>
    <s v="TM-Utama"/>
    <n v="24"/>
    <n v="1947"/>
    <s v="81.1"/>
    <x v="1"/>
    <n v="0.84199999999999997"/>
    <n v="20196"/>
    <n v="20.196000000000002"/>
    <d v="2016-11-01T00:00:00"/>
    <x v="0"/>
    <x v="0"/>
  </r>
  <r>
    <x v="4"/>
    <x v="11"/>
    <s v="Desember"/>
    <s v="Division_A"/>
    <x v="4"/>
    <n v="2005"/>
    <n v="11"/>
    <s v="TM-Utama"/>
    <n v="24"/>
    <n v="1947"/>
    <s v="81.1"/>
    <x v="1"/>
    <n v="0.82499999999999996"/>
    <n v="19810.400000000001"/>
    <n v="19.809999999999999"/>
    <d v="2016-12-01T00:00:00"/>
    <x v="0"/>
    <x v="0"/>
  </r>
  <r>
    <x v="4"/>
    <x v="0"/>
    <s v="Januari"/>
    <s v="Division_A"/>
    <x v="5"/>
    <n v="2006"/>
    <n v="10"/>
    <s v="TM-Utama"/>
    <n v="25"/>
    <n v="2740"/>
    <s v="109.6"/>
    <x v="1"/>
    <n v="0.57399999999999995"/>
    <n v="14343.9"/>
    <n v="14.343999999999999"/>
    <d v="2016-01-01T00:00:00"/>
    <x v="0"/>
    <x v="1"/>
  </r>
  <r>
    <x v="4"/>
    <x v="1"/>
    <s v="Februari"/>
    <s v="Division_A"/>
    <x v="5"/>
    <n v="2006"/>
    <n v="10"/>
    <s v="TM-Utama"/>
    <n v="25"/>
    <n v="2740"/>
    <s v="109.6"/>
    <x v="1"/>
    <n v="0.58599999999999997"/>
    <n v="14652.1"/>
    <n v="14.651999999999999"/>
    <d v="2016-02-01T00:00:00"/>
    <x v="0"/>
    <x v="1"/>
  </r>
  <r>
    <x v="4"/>
    <x v="2"/>
    <s v="Maret"/>
    <s v="Division_A"/>
    <x v="5"/>
    <n v="2006"/>
    <n v="10"/>
    <s v="TM-Utama"/>
    <n v="25"/>
    <n v="2740"/>
    <s v="109.6"/>
    <x v="1"/>
    <n v="0.71899999999999997"/>
    <n v="17981.2"/>
    <n v="17.981000000000002"/>
    <d v="2016-03-01T00:00:00"/>
    <x v="0"/>
    <x v="1"/>
  </r>
  <r>
    <x v="4"/>
    <x v="3"/>
    <s v="April"/>
    <s v="Division_A"/>
    <x v="5"/>
    <n v="2006"/>
    <n v="10"/>
    <s v="TM-Utama"/>
    <n v="25"/>
    <n v="2740"/>
    <s v="109.6"/>
    <x v="1"/>
    <n v="0.42699999999999999"/>
    <n v="10665.5"/>
    <n v="10.664999999999999"/>
    <d v="2016-04-01T00:00:00"/>
    <x v="0"/>
    <x v="1"/>
  </r>
  <r>
    <x v="4"/>
    <x v="4"/>
    <s v="Mei"/>
    <s v="Division_A"/>
    <x v="5"/>
    <n v="2006"/>
    <n v="10"/>
    <s v="TM-Utama"/>
    <n v="25"/>
    <n v="2740"/>
    <s v="109.6"/>
    <x v="1"/>
    <n v="0.98599999999999999"/>
    <n v="24639.5"/>
    <n v="24.638999999999999"/>
    <d v="2016-05-01T00:00:00"/>
    <x v="0"/>
    <x v="1"/>
  </r>
  <r>
    <x v="4"/>
    <x v="5"/>
    <s v="Juni"/>
    <s v="Division_A"/>
    <x v="5"/>
    <n v="2006"/>
    <n v="10"/>
    <s v="TM-Utama"/>
    <n v="25"/>
    <n v="2740"/>
    <s v="109.6"/>
    <x v="1"/>
    <n v="1.03"/>
    <n v="25749.200000000001"/>
    <n v="25.748999999999999"/>
    <d v="2016-06-01T00:00:00"/>
    <x v="0"/>
    <x v="1"/>
  </r>
  <r>
    <x v="4"/>
    <x v="6"/>
    <s v="Juli"/>
    <s v="Division_A"/>
    <x v="5"/>
    <n v="2006"/>
    <n v="10"/>
    <s v="TM-Utama"/>
    <n v="25"/>
    <n v="2740"/>
    <s v="109.6"/>
    <x v="1"/>
    <n v="0.76500000000000001"/>
    <n v="19132"/>
    <n v="19.132000000000001"/>
    <d v="2016-07-01T00:00:00"/>
    <x v="0"/>
    <x v="1"/>
  </r>
  <r>
    <x v="4"/>
    <x v="7"/>
    <s v="Agustus"/>
    <s v="Division_A"/>
    <x v="5"/>
    <n v="2006"/>
    <n v="10"/>
    <s v="TM-Utama"/>
    <n v="25"/>
    <n v="2740"/>
    <s v="109.6"/>
    <x v="1"/>
    <n v="0.70399999999999996"/>
    <n v="17611.3"/>
    <n v="17.611000000000001"/>
    <d v="2016-08-01T00:00:00"/>
    <x v="0"/>
    <x v="1"/>
  </r>
  <r>
    <x v="4"/>
    <x v="8"/>
    <s v="September"/>
    <s v="Division_A"/>
    <x v="5"/>
    <n v="2006"/>
    <n v="10"/>
    <s v="TM-Utama"/>
    <n v="25"/>
    <n v="2740"/>
    <s v="109.6"/>
    <x v="1"/>
    <n v="0.56899999999999995"/>
    <n v="14220.6"/>
    <n v="14.221"/>
    <d v="2016-09-01T00:00:00"/>
    <x v="0"/>
    <x v="1"/>
  </r>
  <r>
    <x v="4"/>
    <x v="9"/>
    <s v="Oktober"/>
    <s v="Division_A"/>
    <x v="5"/>
    <n v="2006"/>
    <n v="10"/>
    <s v="TM-Utama"/>
    <n v="25"/>
    <n v="2740"/>
    <s v="109.6"/>
    <x v="1"/>
    <n v="1.0029999999999999"/>
    <n v="25071"/>
    <n v="25.071000000000002"/>
    <d v="2016-10-01T00:00:00"/>
    <x v="0"/>
    <x v="1"/>
  </r>
  <r>
    <x v="4"/>
    <x v="10"/>
    <s v="November"/>
    <s v="Division_A"/>
    <x v="5"/>
    <n v="2006"/>
    <n v="10"/>
    <s v="TM-Utama"/>
    <n v="25"/>
    <n v="2740"/>
    <s v="109.6"/>
    <x v="1"/>
    <n v="0.90400000000000003"/>
    <n v="22605"/>
    <n v="22.605"/>
    <d v="2016-11-01T00:00:00"/>
    <x v="0"/>
    <x v="1"/>
  </r>
  <r>
    <x v="4"/>
    <x v="11"/>
    <s v="Desember"/>
    <s v="Division_A"/>
    <x v="5"/>
    <n v="2006"/>
    <n v="10"/>
    <s v="TM-Utama"/>
    <n v="25"/>
    <n v="2740"/>
    <s v="109.6"/>
    <x v="1"/>
    <n v="0.88700000000000001"/>
    <n v="22173.5"/>
    <n v="22.172999999999998"/>
    <d v="2016-12-01T00:00:00"/>
    <x v="0"/>
    <x v="1"/>
  </r>
  <r>
    <x v="4"/>
    <x v="0"/>
    <s v="Januari"/>
    <s v="Division_A"/>
    <x v="6"/>
    <n v="2006"/>
    <n v="10"/>
    <s v="TM-Utama"/>
    <n v="24"/>
    <n v="3230"/>
    <s v="134.6"/>
    <x v="1"/>
    <n v="0.70499999999999996"/>
    <n v="16909"/>
    <n v="16.908999999999999"/>
    <d v="2016-01-01T00:00:00"/>
    <x v="0"/>
    <x v="1"/>
  </r>
  <r>
    <x v="4"/>
    <x v="1"/>
    <s v="Februari"/>
    <s v="Division_A"/>
    <x v="6"/>
    <n v="2006"/>
    <n v="10"/>
    <s v="TM-Utama"/>
    <n v="24"/>
    <n v="3230"/>
    <s v="134.6"/>
    <x v="1"/>
    <n v="0.72"/>
    <n v="17272.400000000001"/>
    <n v="17.271999999999998"/>
    <d v="2016-02-01T00:00:00"/>
    <x v="0"/>
    <x v="1"/>
  </r>
  <r>
    <x v="4"/>
    <x v="2"/>
    <s v="Maret"/>
    <s v="Division_A"/>
    <x v="6"/>
    <n v="2006"/>
    <n v="10"/>
    <s v="TM-Utama"/>
    <n v="24"/>
    <n v="3230"/>
    <s v="134.6"/>
    <x v="1"/>
    <n v="0.88300000000000001"/>
    <n v="21196.9"/>
    <n v="21.196999999999999"/>
    <d v="2016-03-01T00:00:00"/>
    <x v="0"/>
    <x v="1"/>
  </r>
  <r>
    <x v="4"/>
    <x v="3"/>
    <s v="April"/>
    <s v="Division_A"/>
    <x v="6"/>
    <n v="2006"/>
    <n v="10"/>
    <s v="TM-Utama"/>
    <n v="24"/>
    <n v="3230"/>
    <s v="134.6"/>
    <x v="1"/>
    <n v="0.52400000000000002"/>
    <n v="12572.8"/>
    <n v="12.573"/>
    <d v="2016-04-01T00:00:00"/>
    <x v="0"/>
    <x v="1"/>
  </r>
  <r>
    <x v="4"/>
    <x v="4"/>
    <s v="Mei"/>
    <s v="Division_A"/>
    <x v="6"/>
    <n v="2006"/>
    <n v="10"/>
    <s v="TM-Utama"/>
    <n v="24"/>
    <n v="3230"/>
    <s v="134.6"/>
    <x v="1"/>
    <n v="1.21"/>
    <n v="29045.8"/>
    <n v="29.045999999999999"/>
    <d v="2016-05-01T00:00:00"/>
    <x v="0"/>
    <x v="1"/>
  </r>
  <r>
    <x v="4"/>
    <x v="5"/>
    <s v="Juni"/>
    <s v="Division_A"/>
    <x v="6"/>
    <n v="2006"/>
    <n v="10"/>
    <s v="TM-Utama"/>
    <n v="24"/>
    <n v="3230"/>
    <s v="134.6"/>
    <x v="1"/>
    <n v="1.2649999999999999"/>
    <n v="30353.9"/>
    <n v="30.353999999999999"/>
    <d v="2016-06-01T00:00:00"/>
    <x v="0"/>
    <x v="1"/>
  </r>
  <r>
    <x v="4"/>
    <x v="6"/>
    <s v="Juli"/>
    <s v="Division_A"/>
    <x v="6"/>
    <n v="2006"/>
    <n v="10"/>
    <s v="TM-Utama"/>
    <n v="24"/>
    <n v="3230"/>
    <s v="134.6"/>
    <x v="1"/>
    <n v="0.94"/>
    <n v="22553.5"/>
    <n v="22.553000000000001"/>
    <d v="2016-07-01T00:00:00"/>
    <x v="0"/>
    <x v="1"/>
  </r>
  <r>
    <x v="4"/>
    <x v="7"/>
    <s v="Agustus"/>
    <s v="Division_A"/>
    <x v="6"/>
    <n v="2006"/>
    <n v="10"/>
    <s v="TM-Utama"/>
    <n v="24"/>
    <n v="3230"/>
    <s v="134.6"/>
    <x v="1"/>
    <n v="0.86499999999999999"/>
    <n v="20760.8"/>
    <n v="20.760999999999999"/>
    <d v="2016-08-01T00:00:00"/>
    <x v="0"/>
    <x v="1"/>
  </r>
  <r>
    <x v="4"/>
    <x v="8"/>
    <s v="September"/>
    <s v="Division_A"/>
    <x v="6"/>
    <n v="2006"/>
    <n v="10"/>
    <s v="TM-Utama"/>
    <n v="24"/>
    <n v="3230"/>
    <s v="134.6"/>
    <x v="1"/>
    <n v="0.69799999999999995"/>
    <n v="16763.7"/>
    <n v="16.763999999999999"/>
    <d v="2016-09-01T00:00:00"/>
    <x v="0"/>
    <x v="1"/>
  </r>
  <r>
    <x v="4"/>
    <x v="9"/>
    <s v="Oktober"/>
    <s v="Division_A"/>
    <x v="6"/>
    <n v="2006"/>
    <n v="10"/>
    <s v="TM-Utama"/>
    <n v="24"/>
    <n v="3230"/>
    <s v="134.6"/>
    <x v="1"/>
    <n v="1.2310000000000001"/>
    <n v="29554.5"/>
    <n v="29.555"/>
    <d v="2016-10-01T00:00:00"/>
    <x v="0"/>
    <x v="1"/>
  </r>
  <r>
    <x v="4"/>
    <x v="10"/>
    <s v="November"/>
    <s v="Division_A"/>
    <x v="6"/>
    <n v="2006"/>
    <n v="10"/>
    <s v="TM-Utama"/>
    <n v="24"/>
    <n v="3230"/>
    <s v="134.6"/>
    <x v="1"/>
    <n v="1.1100000000000001"/>
    <n v="26647.5"/>
    <n v="26.648"/>
    <d v="2016-11-01T00:00:00"/>
    <x v="0"/>
    <x v="1"/>
  </r>
  <r>
    <x v="4"/>
    <x v="11"/>
    <s v="Desember"/>
    <s v="Division_A"/>
    <x v="6"/>
    <n v="2006"/>
    <n v="10"/>
    <s v="TM-Utama"/>
    <n v="24"/>
    <n v="3230"/>
    <s v="134.6"/>
    <x v="1"/>
    <n v="1.089"/>
    <n v="26138.799999999999"/>
    <n v="26.138999999999999"/>
    <d v="2016-12-01T00:00:00"/>
    <x v="0"/>
    <x v="1"/>
  </r>
  <r>
    <x v="4"/>
    <x v="0"/>
    <s v="Januari"/>
    <s v="Division_A"/>
    <x v="7"/>
    <n v="2006"/>
    <n v="10"/>
    <s v="TM-Utama"/>
    <n v="22"/>
    <n v="2447"/>
    <s v="111.2"/>
    <x v="1"/>
    <n v="0.58199999999999996"/>
    <n v="12810"/>
    <n v="12.81"/>
    <d v="2016-01-01T00:00:00"/>
    <x v="0"/>
    <x v="1"/>
  </r>
  <r>
    <x v="4"/>
    <x v="1"/>
    <s v="Februari"/>
    <s v="Division_A"/>
    <x v="7"/>
    <n v="2006"/>
    <n v="10"/>
    <s v="TM-Utama"/>
    <n v="22"/>
    <n v="2447"/>
    <s v="111.2"/>
    <x v="1"/>
    <n v="0.59499999999999997"/>
    <n v="13085.3"/>
    <n v="13.085000000000001"/>
    <d v="2016-02-01T00:00:00"/>
    <x v="0"/>
    <x v="1"/>
  </r>
  <r>
    <x v="4"/>
    <x v="2"/>
    <s v="Maret"/>
    <s v="Division_A"/>
    <x v="7"/>
    <n v="2006"/>
    <n v="10"/>
    <s v="TM-Utama"/>
    <n v="22"/>
    <n v="2447"/>
    <s v="111.2"/>
    <x v="1"/>
    <n v="0.73"/>
    <n v="16058.4"/>
    <n v="16.058"/>
    <d v="2016-03-01T00:00:00"/>
    <x v="0"/>
    <x v="1"/>
  </r>
  <r>
    <x v="4"/>
    <x v="3"/>
    <s v="April"/>
    <s v="Division_A"/>
    <x v="7"/>
    <n v="2006"/>
    <n v="10"/>
    <s v="TM-Utama"/>
    <n v="22"/>
    <n v="2447"/>
    <s v="111.2"/>
    <x v="1"/>
    <n v="0.433"/>
    <n v="9524.9"/>
    <n v="9.5250000000000004"/>
    <d v="2016-04-01T00:00:00"/>
    <x v="0"/>
    <x v="1"/>
  </r>
  <r>
    <x v="4"/>
    <x v="4"/>
    <s v="Mei"/>
    <s v="Division_A"/>
    <x v="7"/>
    <n v="2006"/>
    <n v="10"/>
    <s v="TM-Utama"/>
    <n v="22"/>
    <n v="2447"/>
    <s v="111.2"/>
    <x v="1"/>
    <n v="1"/>
    <n v="22004.6"/>
    <n v="22.004999999999999"/>
    <d v="2016-05-01T00:00:00"/>
    <x v="0"/>
    <x v="1"/>
  </r>
  <r>
    <x v="4"/>
    <x v="5"/>
    <s v="Juni"/>
    <s v="Division_A"/>
    <x v="7"/>
    <n v="2006"/>
    <n v="10"/>
    <s v="TM-Utama"/>
    <n v="22"/>
    <n v="2447"/>
    <s v="111.2"/>
    <x v="1"/>
    <n v="1.0449999999999999"/>
    <n v="22995.7"/>
    <n v="22.995999999999999"/>
    <d v="2016-06-01T00:00:00"/>
    <x v="0"/>
    <x v="1"/>
  </r>
  <r>
    <x v="4"/>
    <x v="6"/>
    <s v="Juli"/>
    <s v="Division_A"/>
    <x v="7"/>
    <n v="2006"/>
    <n v="10"/>
    <s v="TM-Utama"/>
    <n v="22"/>
    <n v="2447"/>
    <s v="111.2"/>
    <x v="1"/>
    <n v="0.77700000000000002"/>
    <n v="17086.2"/>
    <n v="17.085999999999999"/>
    <d v="2016-07-01T00:00:00"/>
    <x v="0"/>
    <x v="1"/>
  </r>
  <r>
    <x v="4"/>
    <x v="7"/>
    <s v="Agustus"/>
    <s v="Division_A"/>
    <x v="7"/>
    <n v="2006"/>
    <n v="10"/>
    <s v="TM-Utama"/>
    <n v="22"/>
    <n v="2447"/>
    <s v="111.2"/>
    <x v="1"/>
    <n v="0.71499999999999997"/>
    <n v="15728.1"/>
    <n v="15.728"/>
    <d v="2016-08-01T00:00:00"/>
    <x v="0"/>
    <x v="1"/>
  </r>
  <r>
    <x v="4"/>
    <x v="8"/>
    <s v="September"/>
    <s v="Division_A"/>
    <x v="7"/>
    <n v="2006"/>
    <n v="10"/>
    <s v="TM-Utama"/>
    <n v="22"/>
    <n v="2447"/>
    <s v="111.2"/>
    <x v="1"/>
    <n v="0.57699999999999996"/>
    <n v="12699.9"/>
    <n v="12.7"/>
    <d v="2016-09-01T00:00:00"/>
    <x v="0"/>
    <x v="1"/>
  </r>
  <r>
    <x v="4"/>
    <x v="9"/>
    <s v="Oktober"/>
    <s v="Division_A"/>
    <x v="7"/>
    <n v="2006"/>
    <n v="10"/>
    <s v="TM-Utama"/>
    <n v="22"/>
    <n v="2447"/>
    <s v="111.2"/>
    <x v="1"/>
    <n v="1.018"/>
    <n v="22390"/>
    <n v="22.39"/>
    <d v="2016-10-01T00:00:00"/>
    <x v="0"/>
    <x v="1"/>
  </r>
  <r>
    <x v="4"/>
    <x v="10"/>
    <s v="November"/>
    <s v="Division_A"/>
    <x v="7"/>
    <n v="2006"/>
    <n v="10"/>
    <s v="TM-Utama"/>
    <n v="22"/>
    <n v="2447"/>
    <s v="111.2"/>
    <x v="1"/>
    <n v="0.91800000000000004"/>
    <n v="20187.8"/>
    <n v="20.187999999999999"/>
    <d v="2016-11-01T00:00:00"/>
    <x v="0"/>
    <x v="1"/>
  </r>
  <r>
    <x v="4"/>
    <x v="11"/>
    <s v="Desember"/>
    <s v="Division_A"/>
    <x v="7"/>
    <n v="2006"/>
    <n v="10"/>
    <s v="TM-Utama"/>
    <n v="22"/>
    <n v="2447"/>
    <s v="111.2"/>
    <x v="1"/>
    <n v="0.9"/>
    <n v="19802.3"/>
    <n v="19.802"/>
    <d v="2016-12-01T00:00:00"/>
    <x v="0"/>
    <x v="1"/>
  </r>
  <r>
    <x v="4"/>
    <x v="0"/>
    <s v="Januari"/>
    <s v="Division_A"/>
    <x v="8"/>
    <n v="2006"/>
    <n v="10"/>
    <s v="TM-Utama"/>
    <n v="15"/>
    <n v="1866"/>
    <s v="124.4"/>
    <x v="1"/>
    <n v="0.65100000000000002"/>
    <n v="9768.5"/>
    <n v="9.7690000000000001"/>
    <d v="2016-01-01T00:00:00"/>
    <x v="0"/>
    <x v="1"/>
  </r>
  <r>
    <x v="4"/>
    <x v="1"/>
    <s v="Februari"/>
    <s v="Division_A"/>
    <x v="8"/>
    <n v="2006"/>
    <n v="10"/>
    <s v="TM-Utama"/>
    <n v="15"/>
    <n v="1866"/>
    <s v="124.4"/>
    <x v="1"/>
    <n v="0.66500000000000004"/>
    <n v="9978.4"/>
    <n v="9.9779999999999998"/>
    <d v="2016-02-01T00:00:00"/>
    <x v="0"/>
    <x v="1"/>
  </r>
  <r>
    <x v="4"/>
    <x v="2"/>
    <s v="Maret"/>
    <s v="Division_A"/>
    <x v="8"/>
    <n v="2006"/>
    <n v="10"/>
    <s v="TM-Utama"/>
    <n v="15"/>
    <n v="1866"/>
    <s v="124.4"/>
    <x v="1"/>
    <n v="0.81599999999999995"/>
    <n v="12245.6"/>
    <n v="12.246"/>
    <d v="2016-03-01T00:00:00"/>
    <x v="0"/>
    <x v="1"/>
  </r>
  <r>
    <x v="4"/>
    <x v="3"/>
    <s v="April"/>
    <s v="Division_A"/>
    <x v="8"/>
    <n v="2006"/>
    <n v="10"/>
    <s v="TM-Utama"/>
    <n v="15"/>
    <n v="1866"/>
    <s v="124.4"/>
    <x v="1"/>
    <n v="0.48399999999999999"/>
    <n v="7263.4"/>
    <n v="7.2629999999999999"/>
    <d v="2016-04-01T00:00:00"/>
    <x v="0"/>
    <x v="1"/>
  </r>
  <r>
    <x v="4"/>
    <x v="4"/>
    <s v="Mei"/>
    <s v="Division_A"/>
    <x v="8"/>
    <n v="2006"/>
    <n v="10"/>
    <s v="TM-Utama"/>
    <n v="15"/>
    <n v="1866"/>
    <s v="124.4"/>
    <x v="1"/>
    <n v="1.119"/>
    <n v="16780"/>
    <n v="16.78"/>
    <d v="2016-05-01T00:00:00"/>
    <x v="0"/>
    <x v="1"/>
  </r>
  <r>
    <x v="4"/>
    <x v="5"/>
    <s v="Juni"/>
    <s v="Division_A"/>
    <x v="8"/>
    <n v="2006"/>
    <n v="10"/>
    <s v="TM-Utama"/>
    <n v="15"/>
    <n v="1866"/>
    <s v="124.4"/>
    <x v="1"/>
    <n v="1.169"/>
    <n v="17535.7"/>
    <n v="17.536000000000001"/>
    <d v="2016-06-01T00:00:00"/>
    <x v="0"/>
    <x v="1"/>
  </r>
  <r>
    <x v="4"/>
    <x v="6"/>
    <s v="Juli"/>
    <s v="Division_A"/>
    <x v="8"/>
    <n v="2006"/>
    <n v="10"/>
    <s v="TM-Utama"/>
    <n v="15"/>
    <n v="1866"/>
    <s v="124.4"/>
    <x v="1"/>
    <n v="0.86899999999999999"/>
    <n v="13029.3"/>
    <n v="13.029"/>
    <d v="2016-07-01T00:00:00"/>
    <x v="0"/>
    <x v="1"/>
  </r>
  <r>
    <x v="4"/>
    <x v="7"/>
    <s v="Agustus"/>
    <s v="Division_A"/>
    <x v="8"/>
    <n v="2006"/>
    <n v="10"/>
    <s v="TM-Utama"/>
    <n v="15"/>
    <n v="1866"/>
    <s v="124.4"/>
    <x v="1"/>
    <n v="0.8"/>
    <n v="11993.7"/>
    <n v="11.994"/>
    <d v="2016-08-01T00:00:00"/>
    <x v="0"/>
    <x v="1"/>
  </r>
  <r>
    <x v="4"/>
    <x v="8"/>
    <s v="September"/>
    <s v="Division_A"/>
    <x v="8"/>
    <n v="2006"/>
    <n v="10"/>
    <s v="TM-Utama"/>
    <n v="15"/>
    <n v="1866"/>
    <s v="124.4"/>
    <x v="1"/>
    <n v="0.64600000000000002"/>
    <n v="9684.5"/>
    <n v="9.6850000000000005"/>
    <d v="2016-09-01T00:00:00"/>
    <x v="0"/>
    <x v="1"/>
  </r>
  <r>
    <x v="4"/>
    <x v="9"/>
    <s v="Oktober"/>
    <s v="Division_A"/>
    <x v="8"/>
    <n v="2006"/>
    <n v="10"/>
    <s v="TM-Utama"/>
    <n v="15"/>
    <n v="1866"/>
    <s v="124.4"/>
    <x v="1"/>
    <n v="1.1379999999999999"/>
    <n v="17073.900000000001"/>
    <n v="17.074000000000002"/>
    <d v="2016-10-01T00:00:00"/>
    <x v="0"/>
    <x v="1"/>
  </r>
  <r>
    <x v="4"/>
    <x v="10"/>
    <s v="November"/>
    <s v="Division_A"/>
    <x v="8"/>
    <n v="2006"/>
    <n v="10"/>
    <s v="TM-Utama"/>
    <n v="15"/>
    <n v="1866"/>
    <s v="124.4"/>
    <x v="1"/>
    <n v="1.026"/>
    <n v="15394.5"/>
    <n v="15.395"/>
    <d v="2016-11-01T00:00:00"/>
    <x v="0"/>
    <x v="1"/>
  </r>
  <r>
    <x v="4"/>
    <x v="11"/>
    <s v="Desember"/>
    <s v="Division_A"/>
    <x v="8"/>
    <n v="2006"/>
    <n v="10"/>
    <s v="TM-Utama"/>
    <n v="15"/>
    <n v="1866"/>
    <s v="124.4"/>
    <x v="1"/>
    <n v="1.0069999999999999"/>
    <n v="15100.6"/>
    <n v="15.101000000000001"/>
    <d v="2016-12-01T00:00:00"/>
    <x v="0"/>
    <x v="1"/>
  </r>
  <r>
    <x v="4"/>
    <x v="0"/>
    <s v="Januari"/>
    <s v="Division_A"/>
    <x v="9"/>
    <n v="2006"/>
    <n v="10"/>
    <s v="TM-Utama"/>
    <n v="25"/>
    <n v="3154"/>
    <s v="126.2"/>
    <x v="1"/>
    <n v="0.66"/>
    <n v="16511.2"/>
    <n v="16.510999999999999"/>
    <d v="2016-01-01T00:00:00"/>
    <x v="0"/>
    <x v="1"/>
  </r>
  <r>
    <x v="4"/>
    <x v="1"/>
    <s v="Februari"/>
    <s v="Division_A"/>
    <x v="9"/>
    <n v="2006"/>
    <n v="10"/>
    <s v="TM-Utama"/>
    <n v="25"/>
    <n v="3154"/>
    <s v="126.2"/>
    <x v="1"/>
    <n v="0.67500000000000004"/>
    <n v="16866"/>
    <n v="16.866"/>
    <d v="2016-02-01T00:00:00"/>
    <x v="0"/>
    <x v="1"/>
  </r>
  <r>
    <x v="4"/>
    <x v="2"/>
    <s v="Maret"/>
    <s v="Division_A"/>
    <x v="9"/>
    <n v="2006"/>
    <n v="10"/>
    <s v="TM-Utama"/>
    <n v="25"/>
    <n v="3154"/>
    <s v="126.2"/>
    <x v="1"/>
    <n v="0.82799999999999996"/>
    <n v="20698.099999999999"/>
    <n v="20.698"/>
    <d v="2016-03-01T00:00:00"/>
    <x v="0"/>
    <x v="1"/>
  </r>
  <r>
    <x v="4"/>
    <x v="3"/>
    <s v="April"/>
    <s v="Division_A"/>
    <x v="9"/>
    <n v="2006"/>
    <n v="10"/>
    <s v="TM-Utama"/>
    <n v="25"/>
    <n v="3154"/>
    <s v="126.2"/>
    <x v="1"/>
    <n v="0.49099999999999999"/>
    <n v="12276.9"/>
    <n v="12.276999999999999"/>
    <d v="2016-04-01T00:00:00"/>
    <x v="0"/>
    <x v="1"/>
  </r>
  <r>
    <x v="4"/>
    <x v="4"/>
    <s v="Mei"/>
    <s v="Division_A"/>
    <x v="9"/>
    <n v="2006"/>
    <n v="10"/>
    <s v="TM-Utama"/>
    <n v="25"/>
    <n v="3154"/>
    <s v="126.2"/>
    <x v="1"/>
    <n v="1.1339999999999999"/>
    <n v="28362.3"/>
    <n v="28.361999999999998"/>
    <d v="2016-05-01T00:00:00"/>
    <x v="0"/>
    <x v="1"/>
  </r>
  <r>
    <x v="4"/>
    <x v="5"/>
    <s v="Juni"/>
    <s v="Division_A"/>
    <x v="9"/>
    <n v="2006"/>
    <n v="10"/>
    <s v="TM-Utama"/>
    <n v="25"/>
    <n v="3154"/>
    <s v="126.2"/>
    <x v="1"/>
    <n v="1.1859999999999999"/>
    <n v="29639.7"/>
    <n v="29.64"/>
    <d v="2016-06-01T00:00:00"/>
    <x v="0"/>
    <x v="1"/>
  </r>
  <r>
    <x v="4"/>
    <x v="6"/>
    <s v="Juli"/>
    <s v="Division_A"/>
    <x v="9"/>
    <n v="2006"/>
    <n v="10"/>
    <s v="TM-Utama"/>
    <n v="25"/>
    <n v="3154"/>
    <s v="126.2"/>
    <x v="1"/>
    <n v="0.88100000000000001"/>
    <n v="22022.799999999999"/>
    <n v="22.023"/>
    <d v="2016-07-01T00:00:00"/>
    <x v="0"/>
    <x v="1"/>
  </r>
  <r>
    <x v="4"/>
    <x v="7"/>
    <s v="Agustus"/>
    <s v="Division_A"/>
    <x v="9"/>
    <n v="2006"/>
    <n v="10"/>
    <s v="TM-Utama"/>
    <n v="25"/>
    <n v="3154"/>
    <s v="126.2"/>
    <x v="1"/>
    <n v="0.81100000000000005"/>
    <n v="20272.3"/>
    <n v="20.271999999999998"/>
    <d v="2016-08-01T00:00:00"/>
    <x v="0"/>
    <x v="1"/>
  </r>
  <r>
    <x v="4"/>
    <x v="8"/>
    <s v="September"/>
    <s v="Division_A"/>
    <x v="9"/>
    <n v="2006"/>
    <n v="10"/>
    <s v="TM-Utama"/>
    <n v="25"/>
    <n v="3154"/>
    <s v="126.2"/>
    <x v="1"/>
    <n v="0.65500000000000003"/>
    <n v="16369.3"/>
    <n v="16.369"/>
    <d v="2016-09-01T00:00:00"/>
    <x v="0"/>
    <x v="1"/>
  </r>
  <r>
    <x v="4"/>
    <x v="9"/>
    <s v="Oktober"/>
    <s v="Division_A"/>
    <x v="9"/>
    <n v="2006"/>
    <n v="10"/>
    <s v="TM-Utama"/>
    <n v="25"/>
    <n v="3154"/>
    <s v="126.2"/>
    <x v="1"/>
    <n v="1.1539999999999999"/>
    <n v="28859.1"/>
    <n v="28.859000000000002"/>
    <d v="2016-10-01T00:00:00"/>
    <x v="0"/>
    <x v="1"/>
  </r>
  <r>
    <x v="4"/>
    <x v="10"/>
    <s v="November"/>
    <s v="Division_A"/>
    <x v="9"/>
    <n v="2006"/>
    <n v="10"/>
    <s v="TM-Utama"/>
    <n v="25"/>
    <n v="3154"/>
    <s v="126.2"/>
    <x v="1"/>
    <n v="1.0409999999999999"/>
    <n v="26020.5"/>
    <n v="26.021000000000001"/>
    <d v="2016-11-01T00:00:00"/>
    <x v="0"/>
    <x v="1"/>
  </r>
  <r>
    <x v="4"/>
    <x v="11"/>
    <s v="Desember"/>
    <s v="Division_A"/>
    <x v="9"/>
    <n v="2006"/>
    <n v="10"/>
    <s v="TM-Utama"/>
    <n v="25"/>
    <n v="3154"/>
    <s v="126.2"/>
    <x v="1"/>
    <n v="1.0209999999999999"/>
    <n v="25523.7"/>
    <n v="25.524000000000001"/>
    <d v="2016-12-01T00:00:00"/>
    <x v="0"/>
    <x v="1"/>
  </r>
  <r>
    <x v="4"/>
    <x v="0"/>
    <s v="Januari"/>
    <s v="Division_A"/>
    <x v="10"/>
    <n v="2006"/>
    <n v="10"/>
    <s v="TM-Utama"/>
    <n v="35"/>
    <n v="4204"/>
    <s v="120.1"/>
    <x v="1"/>
    <n v="0.629"/>
    <n v="22007.9"/>
    <n v="22.007999999999999"/>
    <d v="2016-01-01T00:00:00"/>
    <x v="0"/>
    <x v="1"/>
  </r>
  <r>
    <x v="4"/>
    <x v="1"/>
    <s v="Februari"/>
    <s v="Division_A"/>
    <x v="10"/>
    <n v="2006"/>
    <n v="10"/>
    <s v="TM-Utama"/>
    <n v="35"/>
    <n v="4204"/>
    <s v="120.1"/>
    <x v="1"/>
    <n v="0.64200000000000002"/>
    <n v="22480.9"/>
    <n v="22.481000000000002"/>
    <d v="2016-02-01T00:00:00"/>
    <x v="0"/>
    <x v="1"/>
  </r>
  <r>
    <x v="4"/>
    <x v="2"/>
    <s v="Maret"/>
    <s v="Division_A"/>
    <x v="10"/>
    <n v="2006"/>
    <n v="10"/>
    <s v="TM-Utama"/>
    <n v="35"/>
    <n v="4204"/>
    <s v="120.1"/>
    <x v="1"/>
    <n v="0.78800000000000003"/>
    <n v="27588.7"/>
    <n v="27.588999999999999"/>
    <d v="2016-03-01T00:00:00"/>
    <x v="0"/>
    <x v="1"/>
  </r>
  <r>
    <x v="4"/>
    <x v="3"/>
    <s v="April"/>
    <s v="Division_A"/>
    <x v="10"/>
    <n v="2006"/>
    <n v="10"/>
    <s v="TM-Utama"/>
    <n v="35"/>
    <n v="4204"/>
    <s v="120.1"/>
    <x v="1"/>
    <n v="0.46800000000000003"/>
    <n v="16364.1"/>
    <n v="16.364000000000001"/>
    <d v="2016-04-01T00:00:00"/>
    <x v="0"/>
    <x v="1"/>
  </r>
  <r>
    <x v="4"/>
    <x v="4"/>
    <s v="Mei"/>
    <s v="Division_A"/>
    <x v="10"/>
    <n v="2006"/>
    <n v="10"/>
    <s v="TM-Utama"/>
    <n v="35"/>
    <n v="4204"/>
    <s v="120.1"/>
    <x v="1"/>
    <n v="1.08"/>
    <n v="37804.5"/>
    <n v="37.804000000000002"/>
    <d v="2016-05-01T00:00:00"/>
    <x v="0"/>
    <x v="1"/>
  </r>
  <r>
    <x v="4"/>
    <x v="5"/>
    <s v="Juni"/>
    <s v="Division_A"/>
    <x v="10"/>
    <n v="2006"/>
    <n v="10"/>
    <s v="TM-Utama"/>
    <n v="35"/>
    <n v="4204"/>
    <s v="120.1"/>
    <x v="1"/>
    <n v="1.129"/>
    <n v="39507.1"/>
    <n v="39.506999999999998"/>
    <d v="2016-06-01T00:00:00"/>
    <x v="0"/>
    <x v="1"/>
  </r>
  <r>
    <x v="4"/>
    <x v="6"/>
    <s v="Juli"/>
    <s v="Division_A"/>
    <x v="10"/>
    <n v="2006"/>
    <n v="10"/>
    <s v="TM-Utama"/>
    <n v="35"/>
    <n v="4204"/>
    <s v="120.1"/>
    <x v="1"/>
    <n v="0.83899999999999997"/>
    <n v="29354.400000000001"/>
    <n v="29.353999999999999"/>
    <d v="2016-07-01T00:00:00"/>
    <x v="0"/>
    <x v="1"/>
  </r>
  <r>
    <x v="4"/>
    <x v="7"/>
    <s v="Agustus"/>
    <s v="Division_A"/>
    <x v="10"/>
    <n v="2006"/>
    <n v="10"/>
    <s v="TM-Utama"/>
    <n v="35"/>
    <n v="4204"/>
    <s v="120.1"/>
    <x v="1"/>
    <n v="0.77200000000000002"/>
    <n v="27021.200000000001"/>
    <n v="27.021000000000001"/>
    <d v="2016-08-01T00:00:00"/>
    <x v="0"/>
    <x v="1"/>
  </r>
  <r>
    <x v="4"/>
    <x v="8"/>
    <s v="September"/>
    <s v="Division_A"/>
    <x v="10"/>
    <n v="2006"/>
    <n v="10"/>
    <s v="TM-Utama"/>
    <n v="35"/>
    <n v="4204"/>
    <s v="120.1"/>
    <x v="1"/>
    <n v="0.623"/>
    <n v="21818.799999999999"/>
    <n v="21.818999999999999"/>
    <d v="2016-09-01T00:00:00"/>
    <x v="0"/>
    <x v="1"/>
  </r>
  <r>
    <x v="4"/>
    <x v="9"/>
    <s v="Oktober"/>
    <s v="Division_A"/>
    <x v="10"/>
    <n v="2006"/>
    <n v="10"/>
    <s v="TM-Utama"/>
    <n v="35"/>
    <n v="4204"/>
    <s v="120.1"/>
    <x v="1"/>
    <n v="1.099"/>
    <n v="38466.6"/>
    <n v="38.466999999999999"/>
    <d v="2016-10-01T00:00:00"/>
    <x v="0"/>
    <x v="1"/>
  </r>
  <r>
    <x v="4"/>
    <x v="10"/>
    <s v="November"/>
    <s v="Division_A"/>
    <x v="10"/>
    <n v="2006"/>
    <n v="10"/>
    <s v="TM-Utama"/>
    <n v="35"/>
    <n v="4204"/>
    <s v="120.1"/>
    <x v="1"/>
    <n v="0.99099999999999999"/>
    <n v="34683"/>
    <n v="34.683"/>
    <d v="2016-11-01T00:00:00"/>
    <x v="0"/>
    <x v="1"/>
  </r>
  <r>
    <x v="4"/>
    <x v="11"/>
    <s v="Desember"/>
    <s v="Division_A"/>
    <x v="10"/>
    <n v="2006"/>
    <n v="10"/>
    <s v="TM-Utama"/>
    <n v="35"/>
    <n v="4204"/>
    <s v="120.1"/>
    <x v="1"/>
    <n v="0.97199999999999998"/>
    <n v="34020.9"/>
    <n v="34.021000000000001"/>
    <d v="2016-12-01T00:00:00"/>
    <x v="0"/>
    <x v="1"/>
  </r>
  <r>
    <x v="4"/>
    <x v="0"/>
    <s v="Januari"/>
    <s v="Division_A"/>
    <x v="11"/>
    <n v="2012"/>
    <n v="4"/>
    <s v="TM-2"/>
    <n v="10"/>
    <n v="1434"/>
    <s v="143.4"/>
    <x v="1"/>
    <n v="0.47499999999999998"/>
    <n v="4746.3999999999996"/>
    <n v="4.7460000000000004"/>
    <d v="2016-01-01T00:00:00"/>
    <x v="0"/>
    <x v="3"/>
  </r>
  <r>
    <x v="4"/>
    <x v="1"/>
    <s v="Februari"/>
    <s v="Division_A"/>
    <x v="11"/>
    <n v="2012"/>
    <n v="4"/>
    <s v="TM-2"/>
    <n v="10"/>
    <n v="1434"/>
    <s v="143.4"/>
    <x v="1"/>
    <n v="0.48499999999999999"/>
    <n v="4848.3999999999996"/>
    <n v="4.8479999999999999"/>
    <d v="2016-02-01T00:00:00"/>
    <x v="0"/>
    <x v="3"/>
  </r>
  <r>
    <x v="4"/>
    <x v="2"/>
    <s v="Maret"/>
    <s v="Division_A"/>
    <x v="11"/>
    <n v="2012"/>
    <n v="4"/>
    <s v="TM-2"/>
    <n v="10"/>
    <n v="1434"/>
    <s v="143.4"/>
    <x v="1"/>
    <n v="0.59499999999999997"/>
    <n v="5950"/>
    <n v="5.95"/>
    <d v="2016-03-01T00:00:00"/>
    <x v="0"/>
    <x v="3"/>
  </r>
  <r>
    <x v="4"/>
    <x v="3"/>
    <s v="April"/>
    <s v="Division_A"/>
    <x v="11"/>
    <n v="2012"/>
    <n v="4"/>
    <s v="TM-2"/>
    <n v="10"/>
    <n v="1434"/>
    <s v="143.4"/>
    <x v="1"/>
    <n v="0.35299999999999998"/>
    <n v="3529.2"/>
    <n v="3.5289999999999999"/>
    <d v="2016-04-01T00:00:00"/>
    <x v="0"/>
    <x v="3"/>
  </r>
  <r>
    <x v="4"/>
    <x v="4"/>
    <s v="Mei"/>
    <s v="Division_A"/>
    <x v="11"/>
    <n v="2012"/>
    <n v="4"/>
    <s v="TM-2"/>
    <n v="10"/>
    <n v="1434"/>
    <s v="143.4"/>
    <x v="1"/>
    <n v="0.81499999999999995"/>
    <n v="8153.2"/>
    <n v="8.1530000000000005"/>
    <d v="2016-05-01T00:00:00"/>
    <x v="0"/>
    <x v="3"/>
  </r>
  <r>
    <x v="4"/>
    <x v="5"/>
    <s v="Juni"/>
    <s v="Division_A"/>
    <x v="11"/>
    <n v="2012"/>
    <n v="4"/>
    <s v="TM-2"/>
    <n v="10"/>
    <n v="1434"/>
    <s v="143.4"/>
    <x v="1"/>
    <n v="0.85199999999999998"/>
    <n v="8520.4"/>
    <n v="8.52"/>
    <d v="2016-06-01T00:00:00"/>
    <x v="0"/>
    <x v="3"/>
  </r>
  <r>
    <x v="4"/>
    <x v="6"/>
    <s v="Juli"/>
    <s v="Division_A"/>
    <x v="11"/>
    <n v="2012"/>
    <n v="4"/>
    <s v="TM-2"/>
    <n v="10"/>
    <n v="1434"/>
    <s v="143.4"/>
    <x v="1"/>
    <n v="0.63300000000000001"/>
    <n v="6330.8"/>
    <n v="6.3310000000000004"/>
    <d v="2016-07-01T00:00:00"/>
    <x v="0"/>
    <x v="3"/>
  </r>
  <r>
    <x v="4"/>
    <x v="7"/>
    <s v="Agustus"/>
    <s v="Division_A"/>
    <x v="11"/>
    <n v="2012"/>
    <n v="4"/>
    <s v="TM-2"/>
    <n v="10"/>
    <n v="1434"/>
    <s v="143.4"/>
    <x v="1"/>
    <n v="0.58299999999999996"/>
    <n v="5827.6"/>
    <n v="5.8280000000000003"/>
    <d v="2016-08-01T00:00:00"/>
    <x v="0"/>
    <x v="3"/>
  </r>
  <r>
    <x v="4"/>
    <x v="8"/>
    <s v="September"/>
    <s v="Division_A"/>
    <x v="11"/>
    <n v="2012"/>
    <n v="4"/>
    <s v="TM-2"/>
    <n v="10"/>
    <n v="1434"/>
    <s v="143.4"/>
    <x v="1"/>
    <n v="0.47099999999999997"/>
    <n v="4705.6000000000004"/>
    <n v="4.7060000000000004"/>
    <d v="2016-09-01T00:00:00"/>
    <x v="0"/>
    <x v="3"/>
  </r>
  <r>
    <x v="4"/>
    <x v="9"/>
    <s v="Oktober"/>
    <s v="Division_A"/>
    <x v="11"/>
    <n v="2012"/>
    <n v="4"/>
    <s v="TM-2"/>
    <n v="10"/>
    <n v="1434"/>
    <s v="143.4"/>
    <x v="1"/>
    <n v="0.83"/>
    <n v="8296"/>
    <n v="8.2959999999999994"/>
    <d v="2016-10-01T00:00:00"/>
    <x v="0"/>
    <x v="3"/>
  </r>
  <r>
    <x v="4"/>
    <x v="10"/>
    <s v="November"/>
    <s v="Division_A"/>
    <x v="11"/>
    <n v="2012"/>
    <n v="4"/>
    <s v="TM-2"/>
    <n v="10"/>
    <n v="1434"/>
    <s v="143.4"/>
    <x v="1"/>
    <n v="0.748"/>
    <n v="7480"/>
    <n v="7.48"/>
    <d v="2016-11-01T00:00:00"/>
    <x v="0"/>
    <x v="3"/>
  </r>
  <r>
    <x v="4"/>
    <x v="11"/>
    <s v="Desember"/>
    <s v="Division_A"/>
    <x v="11"/>
    <n v="2012"/>
    <n v="4"/>
    <s v="TM-2"/>
    <n v="10"/>
    <n v="1434"/>
    <s v="143.4"/>
    <x v="1"/>
    <n v="0.73399999999999999"/>
    <n v="7337.2"/>
    <n v="7.3369999999999997"/>
    <d v="2016-12-01T00:00:00"/>
    <x v="0"/>
    <x v="3"/>
  </r>
  <r>
    <x v="4"/>
    <x v="0"/>
    <s v="Januari"/>
    <s v="Division_A"/>
    <x v="12"/>
    <n v="2012"/>
    <n v="4"/>
    <s v="TM-2"/>
    <n v="24"/>
    <n v="3074"/>
    <s v="128.1"/>
    <x v="2"/>
    <n v="0.47499999999999998"/>
    <n v="11391.4"/>
    <n v="11.391"/>
    <d v="2016-01-01T00:00:00"/>
    <x v="0"/>
    <x v="3"/>
  </r>
  <r>
    <x v="4"/>
    <x v="1"/>
    <s v="Februari"/>
    <s v="Division_A"/>
    <x v="12"/>
    <n v="2012"/>
    <n v="4"/>
    <s v="TM-2"/>
    <n v="24"/>
    <n v="3074"/>
    <s v="128.1"/>
    <x v="2"/>
    <n v="0.48499999999999999"/>
    <n v="11636.2"/>
    <n v="11.635999999999999"/>
    <d v="2016-02-01T00:00:00"/>
    <x v="0"/>
    <x v="3"/>
  </r>
  <r>
    <x v="4"/>
    <x v="2"/>
    <s v="Maret"/>
    <s v="Division_A"/>
    <x v="12"/>
    <n v="2012"/>
    <n v="4"/>
    <s v="TM-2"/>
    <n v="24"/>
    <n v="3074"/>
    <s v="128.1"/>
    <x v="2"/>
    <n v="0.59499999999999997"/>
    <n v="14280"/>
    <n v="14.28"/>
    <d v="2016-03-01T00:00:00"/>
    <x v="0"/>
    <x v="3"/>
  </r>
  <r>
    <x v="4"/>
    <x v="3"/>
    <s v="April"/>
    <s v="Division_A"/>
    <x v="12"/>
    <n v="2012"/>
    <n v="4"/>
    <s v="TM-2"/>
    <n v="24"/>
    <n v="3074"/>
    <s v="128.1"/>
    <x v="2"/>
    <n v="0.35299999999999998"/>
    <n v="8470.1"/>
    <n v="8.4700000000000006"/>
    <d v="2016-04-01T00:00:00"/>
    <x v="0"/>
    <x v="3"/>
  </r>
  <r>
    <x v="4"/>
    <x v="4"/>
    <s v="Mei"/>
    <s v="Division_A"/>
    <x v="12"/>
    <n v="2012"/>
    <n v="4"/>
    <s v="TM-2"/>
    <n v="24"/>
    <n v="3074"/>
    <s v="128.1"/>
    <x v="2"/>
    <n v="0.81499999999999995"/>
    <n v="19567.7"/>
    <n v="19.568000000000001"/>
    <d v="2016-05-01T00:00:00"/>
    <x v="0"/>
    <x v="3"/>
  </r>
  <r>
    <x v="4"/>
    <x v="5"/>
    <s v="Juni"/>
    <s v="Division_A"/>
    <x v="12"/>
    <n v="2012"/>
    <n v="4"/>
    <s v="TM-2"/>
    <n v="24"/>
    <n v="3074"/>
    <s v="128.1"/>
    <x v="2"/>
    <n v="0.85199999999999998"/>
    <n v="20449"/>
    <n v="20.449000000000002"/>
    <d v="2016-06-01T00:00:00"/>
    <x v="0"/>
    <x v="3"/>
  </r>
  <r>
    <x v="4"/>
    <x v="6"/>
    <s v="Juli"/>
    <s v="Division_A"/>
    <x v="12"/>
    <n v="2012"/>
    <n v="4"/>
    <s v="TM-2"/>
    <n v="24"/>
    <n v="3074"/>
    <s v="128.1"/>
    <x v="2"/>
    <n v="0.63300000000000001"/>
    <n v="15193.9"/>
    <n v="15.194000000000001"/>
    <d v="2016-07-01T00:00:00"/>
    <x v="0"/>
    <x v="3"/>
  </r>
  <r>
    <x v="4"/>
    <x v="7"/>
    <s v="Agustus"/>
    <s v="Division_A"/>
    <x v="12"/>
    <n v="2012"/>
    <n v="4"/>
    <s v="TM-2"/>
    <n v="24"/>
    <n v="3074"/>
    <s v="128.1"/>
    <x v="2"/>
    <n v="0.58299999999999996"/>
    <n v="13986.2"/>
    <n v="13.986000000000001"/>
    <d v="2016-08-01T00:00:00"/>
    <x v="0"/>
    <x v="3"/>
  </r>
  <r>
    <x v="4"/>
    <x v="8"/>
    <s v="September"/>
    <s v="Division_A"/>
    <x v="12"/>
    <n v="2012"/>
    <n v="4"/>
    <s v="TM-2"/>
    <n v="24"/>
    <n v="3074"/>
    <s v="128.1"/>
    <x v="2"/>
    <n v="0.47099999999999997"/>
    <n v="11293.4"/>
    <n v="11.292999999999999"/>
    <d v="2016-09-01T00:00:00"/>
    <x v="0"/>
    <x v="3"/>
  </r>
  <r>
    <x v="4"/>
    <x v="9"/>
    <s v="Oktober"/>
    <s v="Division_A"/>
    <x v="12"/>
    <n v="2012"/>
    <n v="4"/>
    <s v="TM-2"/>
    <n v="24"/>
    <n v="3074"/>
    <s v="128.1"/>
    <x v="2"/>
    <n v="0.83"/>
    <n v="19910.400000000001"/>
    <n v="19.91"/>
    <d v="2016-10-01T00:00:00"/>
    <x v="0"/>
    <x v="3"/>
  </r>
  <r>
    <x v="4"/>
    <x v="10"/>
    <s v="November"/>
    <s v="Division_A"/>
    <x v="12"/>
    <n v="2012"/>
    <n v="4"/>
    <s v="TM-2"/>
    <n v="24"/>
    <n v="3074"/>
    <s v="128.1"/>
    <x v="2"/>
    <n v="0.748"/>
    <n v="17952"/>
    <n v="17.952000000000002"/>
    <d v="2016-11-01T00:00:00"/>
    <x v="0"/>
    <x v="3"/>
  </r>
  <r>
    <x v="4"/>
    <x v="11"/>
    <s v="Desember"/>
    <s v="Division_A"/>
    <x v="12"/>
    <n v="2012"/>
    <n v="4"/>
    <s v="TM-2"/>
    <n v="24"/>
    <n v="3074"/>
    <s v="128.1"/>
    <x v="2"/>
    <n v="0.73399999999999999"/>
    <n v="17609.3"/>
    <n v="17.609000000000002"/>
    <d v="2016-12-01T00:00:00"/>
    <x v="0"/>
    <x v="3"/>
  </r>
  <r>
    <x v="4"/>
    <x v="0"/>
    <s v="Januari"/>
    <s v="Division_A"/>
    <x v="13"/>
    <n v="2012"/>
    <n v="4"/>
    <s v="TM-2"/>
    <n v="19"/>
    <n v="2418"/>
    <s v="127.3"/>
    <x v="2"/>
    <n v="0.47499999999999998"/>
    <n v="9018.2000000000007"/>
    <n v="9.0180000000000007"/>
    <d v="2016-01-01T00:00:00"/>
    <x v="0"/>
    <x v="3"/>
  </r>
  <r>
    <x v="4"/>
    <x v="1"/>
    <s v="Februari"/>
    <s v="Division_A"/>
    <x v="13"/>
    <n v="2012"/>
    <n v="4"/>
    <s v="TM-2"/>
    <n v="19"/>
    <n v="2418"/>
    <s v="127.3"/>
    <x v="2"/>
    <n v="0.48499999999999999"/>
    <n v="9212"/>
    <n v="9.2119999999999997"/>
    <d v="2016-02-01T00:00:00"/>
    <x v="0"/>
    <x v="3"/>
  </r>
  <r>
    <x v="4"/>
    <x v="2"/>
    <s v="Maret"/>
    <s v="Division_A"/>
    <x v="13"/>
    <n v="2012"/>
    <n v="4"/>
    <s v="TM-2"/>
    <n v="19"/>
    <n v="2418"/>
    <s v="127.3"/>
    <x v="2"/>
    <n v="0.59499999999999997"/>
    <n v="11305"/>
    <n v="11.305"/>
    <d v="2016-03-01T00:00:00"/>
    <x v="0"/>
    <x v="3"/>
  </r>
  <r>
    <x v="4"/>
    <x v="3"/>
    <s v="April"/>
    <s v="Division_A"/>
    <x v="13"/>
    <n v="2012"/>
    <n v="4"/>
    <s v="TM-2"/>
    <n v="19"/>
    <n v="2418"/>
    <s v="127.3"/>
    <x v="2"/>
    <n v="0.35299999999999998"/>
    <n v="6705.5"/>
    <n v="6.7050000000000001"/>
    <d v="2016-04-01T00:00:00"/>
    <x v="0"/>
    <x v="3"/>
  </r>
  <r>
    <x v="4"/>
    <x v="4"/>
    <s v="Mei"/>
    <s v="Division_A"/>
    <x v="13"/>
    <n v="2012"/>
    <n v="4"/>
    <s v="TM-2"/>
    <n v="19"/>
    <n v="2418"/>
    <s v="127.3"/>
    <x v="2"/>
    <n v="0.81499999999999995"/>
    <n v="15491.1"/>
    <n v="15.491"/>
    <d v="2016-05-01T00:00:00"/>
    <x v="0"/>
    <x v="3"/>
  </r>
  <r>
    <x v="4"/>
    <x v="5"/>
    <s v="Juni"/>
    <s v="Division_A"/>
    <x v="13"/>
    <n v="2012"/>
    <n v="4"/>
    <s v="TM-2"/>
    <n v="19"/>
    <n v="2418"/>
    <s v="127.3"/>
    <x v="2"/>
    <n v="0.85199999999999998"/>
    <n v="16188.8"/>
    <n v="16.189"/>
    <d v="2016-06-01T00:00:00"/>
    <x v="0"/>
    <x v="3"/>
  </r>
  <r>
    <x v="4"/>
    <x v="6"/>
    <s v="Juli"/>
    <s v="Division_A"/>
    <x v="13"/>
    <n v="2012"/>
    <n v="4"/>
    <s v="TM-2"/>
    <n v="19"/>
    <n v="2418"/>
    <s v="127.3"/>
    <x v="2"/>
    <n v="0.63300000000000001"/>
    <n v="12028.5"/>
    <n v="12.029"/>
    <d v="2016-07-01T00:00:00"/>
    <x v="0"/>
    <x v="3"/>
  </r>
  <r>
    <x v="4"/>
    <x v="7"/>
    <s v="Agustus"/>
    <s v="Division_A"/>
    <x v="13"/>
    <n v="2012"/>
    <n v="4"/>
    <s v="TM-2"/>
    <n v="19"/>
    <n v="2418"/>
    <s v="127.3"/>
    <x v="2"/>
    <n v="0.58299999999999996"/>
    <n v="11072.4"/>
    <n v="11.071999999999999"/>
    <d v="2016-08-01T00:00:00"/>
    <x v="0"/>
    <x v="3"/>
  </r>
  <r>
    <x v="4"/>
    <x v="8"/>
    <s v="September"/>
    <s v="Division_A"/>
    <x v="13"/>
    <n v="2012"/>
    <n v="4"/>
    <s v="TM-2"/>
    <n v="19"/>
    <n v="2418"/>
    <s v="127.3"/>
    <x v="2"/>
    <n v="0.47099999999999997"/>
    <n v="8940.6"/>
    <n v="8.9410000000000007"/>
    <d v="2016-09-01T00:00:00"/>
    <x v="0"/>
    <x v="3"/>
  </r>
  <r>
    <x v="4"/>
    <x v="9"/>
    <s v="Oktober"/>
    <s v="Division_A"/>
    <x v="13"/>
    <n v="2012"/>
    <n v="4"/>
    <s v="TM-2"/>
    <n v="19"/>
    <n v="2418"/>
    <s v="127.3"/>
    <x v="2"/>
    <n v="0.83"/>
    <n v="15762.4"/>
    <n v="15.762"/>
    <d v="2016-10-01T00:00:00"/>
    <x v="0"/>
    <x v="3"/>
  </r>
  <r>
    <x v="4"/>
    <x v="10"/>
    <s v="November"/>
    <s v="Division_A"/>
    <x v="13"/>
    <n v="2012"/>
    <n v="4"/>
    <s v="TM-2"/>
    <n v="19"/>
    <n v="2418"/>
    <s v="127.3"/>
    <x v="2"/>
    <n v="0.748"/>
    <n v="14212"/>
    <n v="14.212"/>
    <d v="2016-11-01T00:00:00"/>
    <x v="0"/>
    <x v="3"/>
  </r>
  <r>
    <x v="4"/>
    <x v="11"/>
    <s v="Desember"/>
    <s v="Division_A"/>
    <x v="13"/>
    <n v="2012"/>
    <n v="4"/>
    <s v="TM-2"/>
    <n v="19"/>
    <n v="2418"/>
    <s v="127.3"/>
    <x v="2"/>
    <n v="0.73399999999999999"/>
    <n v="13940.7"/>
    <n v="13.941000000000001"/>
    <d v="2016-12-01T00:00:00"/>
    <x v="0"/>
    <x v="3"/>
  </r>
  <r>
    <x v="4"/>
    <x v="0"/>
    <s v="Januari"/>
    <s v="Division_A"/>
    <x v="14"/>
    <n v="2012"/>
    <n v="4"/>
    <s v="TM-2"/>
    <n v="25"/>
    <n v="3205"/>
    <s v="128.2"/>
    <x v="2"/>
    <n v="0.47499999999999998"/>
    <n v="11866"/>
    <n v="11.866"/>
    <d v="2016-01-01T00:00:00"/>
    <x v="0"/>
    <x v="3"/>
  </r>
  <r>
    <x v="4"/>
    <x v="1"/>
    <s v="Februari"/>
    <s v="Division_A"/>
    <x v="14"/>
    <n v="2012"/>
    <n v="4"/>
    <s v="TM-2"/>
    <n v="25"/>
    <n v="3205"/>
    <s v="128.2"/>
    <x v="2"/>
    <n v="0.48499999999999999"/>
    <n v="12121"/>
    <n v="12.121"/>
    <d v="2016-02-01T00:00:00"/>
    <x v="0"/>
    <x v="3"/>
  </r>
  <r>
    <x v="4"/>
    <x v="2"/>
    <s v="Maret"/>
    <s v="Division_A"/>
    <x v="14"/>
    <n v="2012"/>
    <n v="4"/>
    <s v="TM-2"/>
    <n v="25"/>
    <n v="3205"/>
    <s v="128.2"/>
    <x v="2"/>
    <n v="0.59499999999999997"/>
    <n v="14875"/>
    <n v="14.875"/>
    <d v="2016-03-01T00:00:00"/>
    <x v="0"/>
    <x v="3"/>
  </r>
  <r>
    <x v="4"/>
    <x v="3"/>
    <s v="April"/>
    <s v="Division_A"/>
    <x v="14"/>
    <n v="2012"/>
    <n v="4"/>
    <s v="TM-2"/>
    <n v="25"/>
    <n v="3205"/>
    <s v="128.2"/>
    <x v="2"/>
    <n v="0.35299999999999998"/>
    <n v="8823"/>
    <n v="8.8230000000000004"/>
    <d v="2016-04-01T00:00:00"/>
    <x v="0"/>
    <x v="3"/>
  </r>
  <r>
    <x v="4"/>
    <x v="4"/>
    <s v="Mei"/>
    <s v="Division_A"/>
    <x v="14"/>
    <n v="2012"/>
    <n v="4"/>
    <s v="TM-2"/>
    <n v="25"/>
    <n v="3205"/>
    <s v="128.2"/>
    <x v="2"/>
    <n v="0.81499999999999995"/>
    <n v="20383"/>
    <n v="20.382999999999999"/>
    <d v="2016-05-01T00:00:00"/>
    <x v="0"/>
    <x v="3"/>
  </r>
  <r>
    <x v="4"/>
    <x v="5"/>
    <s v="Juni"/>
    <s v="Division_A"/>
    <x v="14"/>
    <n v="2012"/>
    <n v="4"/>
    <s v="TM-2"/>
    <n v="25"/>
    <n v="3205"/>
    <s v="128.2"/>
    <x v="2"/>
    <n v="0.85199999999999998"/>
    <n v="21301"/>
    <n v="21.300999999999998"/>
    <d v="2016-06-01T00:00:00"/>
    <x v="0"/>
    <x v="3"/>
  </r>
  <r>
    <x v="4"/>
    <x v="6"/>
    <s v="Juli"/>
    <s v="Division_A"/>
    <x v="14"/>
    <n v="2012"/>
    <n v="4"/>
    <s v="TM-2"/>
    <n v="25"/>
    <n v="3205"/>
    <s v="128.2"/>
    <x v="2"/>
    <n v="0.63300000000000001"/>
    <n v="15827"/>
    <n v="15.827"/>
    <d v="2016-07-01T00:00:00"/>
    <x v="0"/>
    <x v="3"/>
  </r>
  <r>
    <x v="4"/>
    <x v="7"/>
    <s v="Agustus"/>
    <s v="Division_A"/>
    <x v="14"/>
    <n v="2012"/>
    <n v="4"/>
    <s v="TM-2"/>
    <n v="25"/>
    <n v="3205"/>
    <s v="128.2"/>
    <x v="2"/>
    <n v="0.58299999999999996"/>
    <n v="14569"/>
    <n v="14.569000000000001"/>
    <d v="2016-08-01T00:00:00"/>
    <x v="0"/>
    <x v="3"/>
  </r>
  <r>
    <x v="4"/>
    <x v="8"/>
    <s v="September"/>
    <s v="Division_A"/>
    <x v="14"/>
    <n v="2012"/>
    <n v="4"/>
    <s v="TM-2"/>
    <n v="25"/>
    <n v="3205"/>
    <s v="128.2"/>
    <x v="2"/>
    <n v="0.47099999999999997"/>
    <n v="11764"/>
    <n v="11.763999999999999"/>
    <d v="2016-09-01T00:00:00"/>
    <x v="0"/>
    <x v="3"/>
  </r>
  <r>
    <x v="4"/>
    <x v="9"/>
    <s v="Oktober"/>
    <s v="Division_A"/>
    <x v="14"/>
    <n v="2012"/>
    <n v="4"/>
    <s v="TM-2"/>
    <n v="25"/>
    <n v="3205"/>
    <s v="128.2"/>
    <x v="2"/>
    <n v="0.83"/>
    <n v="20740"/>
    <n v="20.74"/>
    <d v="2016-10-01T00:00:00"/>
    <x v="0"/>
    <x v="3"/>
  </r>
  <r>
    <x v="4"/>
    <x v="10"/>
    <s v="November"/>
    <s v="Division_A"/>
    <x v="14"/>
    <n v="2012"/>
    <n v="4"/>
    <s v="TM-2"/>
    <n v="25"/>
    <n v="3205"/>
    <s v="128.2"/>
    <x v="2"/>
    <n v="0.748"/>
    <n v="18700"/>
    <n v="18.7"/>
    <d v="2016-11-01T00:00:00"/>
    <x v="0"/>
    <x v="3"/>
  </r>
  <r>
    <x v="4"/>
    <x v="11"/>
    <s v="Desember"/>
    <s v="Division_A"/>
    <x v="14"/>
    <n v="2012"/>
    <n v="4"/>
    <s v="TM-2"/>
    <n v="25"/>
    <n v="3205"/>
    <s v="128.2"/>
    <x v="2"/>
    <n v="0.73399999999999999"/>
    <n v="18343"/>
    <n v="18.343"/>
    <d v="2016-12-01T00:00:00"/>
    <x v="0"/>
    <x v="3"/>
  </r>
  <r>
    <x v="4"/>
    <x v="0"/>
    <s v="Januari"/>
    <s v="Division_A"/>
    <x v="15"/>
    <n v="2012"/>
    <n v="4"/>
    <s v="TM-2"/>
    <n v="19"/>
    <n v="2469"/>
    <s v="129.9"/>
    <x v="1"/>
    <n v="0.47499999999999998"/>
    <n v="9018.2000000000007"/>
    <n v="9.0180000000000007"/>
    <d v="2016-01-01T00:00:00"/>
    <x v="0"/>
    <x v="3"/>
  </r>
  <r>
    <x v="4"/>
    <x v="1"/>
    <s v="Februari"/>
    <s v="Division_A"/>
    <x v="15"/>
    <n v="2012"/>
    <n v="4"/>
    <s v="TM-2"/>
    <n v="19"/>
    <n v="2469"/>
    <s v="129.9"/>
    <x v="1"/>
    <n v="0.48499999999999999"/>
    <n v="9212"/>
    <n v="9.2119999999999997"/>
    <d v="2016-02-01T00:00:00"/>
    <x v="0"/>
    <x v="3"/>
  </r>
  <r>
    <x v="4"/>
    <x v="2"/>
    <s v="Maret"/>
    <s v="Division_A"/>
    <x v="15"/>
    <n v="2012"/>
    <n v="4"/>
    <s v="TM-2"/>
    <n v="19"/>
    <n v="2469"/>
    <s v="129.9"/>
    <x v="1"/>
    <n v="0.59499999999999997"/>
    <n v="11305"/>
    <n v="11.305"/>
    <d v="2016-03-01T00:00:00"/>
    <x v="0"/>
    <x v="3"/>
  </r>
  <r>
    <x v="4"/>
    <x v="3"/>
    <s v="April"/>
    <s v="Division_A"/>
    <x v="15"/>
    <n v="2012"/>
    <n v="4"/>
    <s v="TM-2"/>
    <n v="19"/>
    <n v="2469"/>
    <s v="129.9"/>
    <x v="1"/>
    <n v="0.35299999999999998"/>
    <n v="6705.5"/>
    <n v="6.7050000000000001"/>
    <d v="2016-04-01T00:00:00"/>
    <x v="0"/>
    <x v="3"/>
  </r>
  <r>
    <x v="4"/>
    <x v="4"/>
    <s v="Mei"/>
    <s v="Division_A"/>
    <x v="15"/>
    <n v="2012"/>
    <n v="4"/>
    <s v="TM-2"/>
    <n v="19"/>
    <n v="2469"/>
    <s v="129.9"/>
    <x v="1"/>
    <n v="0.81499999999999995"/>
    <n v="15491.1"/>
    <n v="15.491"/>
    <d v="2016-05-01T00:00:00"/>
    <x v="0"/>
    <x v="3"/>
  </r>
  <r>
    <x v="4"/>
    <x v="5"/>
    <s v="Juni"/>
    <s v="Division_A"/>
    <x v="15"/>
    <n v="2012"/>
    <n v="4"/>
    <s v="TM-2"/>
    <n v="19"/>
    <n v="2469"/>
    <s v="129.9"/>
    <x v="1"/>
    <n v="0.85199999999999998"/>
    <n v="16188.8"/>
    <n v="16.189"/>
    <d v="2016-06-01T00:00:00"/>
    <x v="0"/>
    <x v="3"/>
  </r>
  <r>
    <x v="4"/>
    <x v="6"/>
    <s v="Juli"/>
    <s v="Division_A"/>
    <x v="15"/>
    <n v="2012"/>
    <n v="4"/>
    <s v="TM-2"/>
    <n v="19"/>
    <n v="2469"/>
    <s v="129.9"/>
    <x v="1"/>
    <n v="0.63300000000000001"/>
    <n v="12028.5"/>
    <n v="12.029"/>
    <d v="2016-07-01T00:00:00"/>
    <x v="0"/>
    <x v="3"/>
  </r>
  <r>
    <x v="4"/>
    <x v="7"/>
    <s v="Agustus"/>
    <s v="Division_A"/>
    <x v="15"/>
    <n v="2012"/>
    <n v="4"/>
    <s v="TM-2"/>
    <n v="19"/>
    <n v="2469"/>
    <s v="129.9"/>
    <x v="1"/>
    <n v="0.58299999999999996"/>
    <n v="11072.4"/>
    <n v="11.071999999999999"/>
    <d v="2016-08-01T00:00:00"/>
    <x v="0"/>
    <x v="3"/>
  </r>
  <r>
    <x v="4"/>
    <x v="8"/>
    <s v="September"/>
    <s v="Division_A"/>
    <x v="15"/>
    <n v="2012"/>
    <n v="4"/>
    <s v="TM-2"/>
    <n v="19"/>
    <n v="2469"/>
    <s v="129.9"/>
    <x v="1"/>
    <n v="0.47099999999999997"/>
    <n v="8940.6"/>
    <n v="8.9410000000000007"/>
    <d v="2016-09-01T00:00:00"/>
    <x v="0"/>
    <x v="3"/>
  </r>
  <r>
    <x v="4"/>
    <x v="9"/>
    <s v="Oktober"/>
    <s v="Division_A"/>
    <x v="15"/>
    <n v="2012"/>
    <n v="4"/>
    <s v="TM-2"/>
    <n v="19"/>
    <n v="2469"/>
    <s v="129.9"/>
    <x v="1"/>
    <n v="0.83"/>
    <n v="15762.4"/>
    <n v="15.762"/>
    <d v="2016-10-01T00:00:00"/>
    <x v="0"/>
    <x v="3"/>
  </r>
  <r>
    <x v="4"/>
    <x v="10"/>
    <s v="November"/>
    <s v="Division_A"/>
    <x v="15"/>
    <n v="2012"/>
    <n v="4"/>
    <s v="TM-2"/>
    <n v="19"/>
    <n v="2469"/>
    <s v="129.9"/>
    <x v="1"/>
    <n v="0.748"/>
    <n v="14212"/>
    <n v="14.212"/>
    <d v="2016-11-01T00:00:00"/>
    <x v="0"/>
    <x v="3"/>
  </r>
  <r>
    <x v="4"/>
    <x v="11"/>
    <s v="Desember"/>
    <s v="Division_A"/>
    <x v="15"/>
    <n v="2012"/>
    <n v="4"/>
    <s v="TM-2"/>
    <n v="19"/>
    <n v="2469"/>
    <s v="129.9"/>
    <x v="1"/>
    <n v="0.73399999999999999"/>
    <n v="13940.7"/>
    <n v="13.941000000000001"/>
    <d v="2016-12-01T00:00:00"/>
    <x v="0"/>
    <x v="3"/>
  </r>
  <r>
    <x v="4"/>
    <x v="0"/>
    <s v="Januari"/>
    <s v="Division_A"/>
    <x v="16"/>
    <n v="2012"/>
    <n v="4"/>
    <s v="TM-2"/>
    <n v="20"/>
    <n v="2704"/>
    <s v="135.2"/>
    <x v="2"/>
    <n v="0.47499999999999998"/>
    <n v="9492.7999999999993"/>
    <n v="9.4930000000000003"/>
    <d v="2016-01-01T00:00:00"/>
    <x v="0"/>
    <x v="3"/>
  </r>
  <r>
    <x v="4"/>
    <x v="1"/>
    <s v="Februari"/>
    <s v="Division_A"/>
    <x v="16"/>
    <n v="2012"/>
    <n v="4"/>
    <s v="TM-2"/>
    <n v="20"/>
    <n v="2704"/>
    <s v="135.2"/>
    <x v="2"/>
    <n v="0.48499999999999999"/>
    <n v="9696.7999999999993"/>
    <n v="9.6969999999999992"/>
    <d v="2016-02-01T00:00:00"/>
    <x v="0"/>
    <x v="3"/>
  </r>
  <r>
    <x v="4"/>
    <x v="2"/>
    <s v="Maret"/>
    <s v="Division_A"/>
    <x v="16"/>
    <n v="2012"/>
    <n v="4"/>
    <s v="TM-2"/>
    <n v="20"/>
    <n v="2704"/>
    <s v="135.2"/>
    <x v="2"/>
    <n v="0.59499999999999997"/>
    <n v="11900"/>
    <n v="11.9"/>
    <d v="2016-03-01T00:00:00"/>
    <x v="0"/>
    <x v="3"/>
  </r>
  <r>
    <x v="4"/>
    <x v="3"/>
    <s v="April"/>
    <s v="Division_A"/>
    <x v="16"/>
    <n v="2012"/>
    <n v="4"/>
    <s v="TM-2"/>
    <n v="20"/>
    <n v="2704"/>
    <s v="135.2"/>
    <x v="2"/>
    <n v="0.35299999999999998"/>
    <n v="7058.4"/>
    <n v="7.0579999999999998"/>
    <d v="2016-04-01T00:00:00"/>
    <x v="0"/>
    <x v="3"/>
  </r>
  <r>
    <x v="4"/>
    <x v="4"/>
    <s v="Mei"/>
    <s v="Division_A"/>
    <x v="16"/>
    <n v="2012"/>
    <n v="4"/>
    <s v="TM-2"/>
    <n v="20"/>
    <n v="2704"/>
    <s v="135.2"/>
    <x v="2"/>
    <n v="0.81499999999999995"/>
    <n v="16306.4"/>
    <n v="16.306000000000001"/>
    <d v="2016-05-01T00:00:00"/>
    <x v="0"/>
    <x v="3"/>
  </r>
  <r>
    <x v="4"/>
    <x v="5"/>
    <s v="Juni"/>
    <s v="Division_A"/>
    <x v="16"/>
    <n v="2012"/>
    <n v="4"/>
    <s v="TM-2"/>
    <n v="20"/>
    <n v="2704"/>
    <s v="135.2"/>
    <x v="2"/>
    <n v="0.85199999999999998"/>
    <n v="17040.8"/>
    <n v="17.041"/>
    <d v="2016-06-01T00:00:00"/>
    <x v="0"/>
    <x v="3"/>
  </r>
  <r>
    <x v="4"/>
    <x v="6"/>
    <s v="Juli"/>
    <s v="Division_A"/>
    <x v="16"/>
    <n v="2012"/>
    <n v="4"/>
    <s v="TM-2"/>
    <n v="20"/>
    <n v="2704"/>
    <s v="135.2"/>
    <x v="2"/>
    <n v="0.63300000000000001"/>
    <n v="12661.6"/>
    <n v="12.662000000000001"/>
    <d v="2016-07-01T00:00:00"/>
    <x v="0"/>
    <x v="3"/>
  </r>
  <r>
    <x v="4"/>
    <x v="7"/>
    <s v="Agustus"/>
    <s v="Division_A"/>
    <x v="16"/>
    <n v="2012"/>
    <n v="4"/>
    <s v="TM-2"/>
    <n v="20"/>
    <n v="2704"/>
    <s v="135.2"/>
    <x v="2"/>
    <n v="0.58299999999999996"/>
    <n v="11655.2"/>
    <n v="11.654999999999999"/>
    <d v="2016-08-01T00:00:00"/>
    <x v="0"/>
    <x v="3"/>
  </r>
  <r>
    <x v="4"/>
    <x v="8"/>
    <s v="September"/>
    <s v="Division_A"/>
    <x v="16"/>
    <n v="2012"/>
    <n v="4"/>
    <s v="TM-2"/>
    <n v="20"/>
    <n v="2704"/>
    <s v="135.2"/>
    <x v="2"/>
    <n v="0.47099999999999997"/>
    <n v="9411.2000000000007"/>
    <n v="9.4109999999999996"/>
    <d v="2016-09-01T00:00:00"/>
    <x v="0"/>
    <x v="3"/>
  </r>
  <r>
    <x v="4"/>
    <x v="9"/>
    <s v="Oktober"/>
    <s v="Division_A"/>
    <x v="16"/>
    <n v="2012"/>
    <n v="4"/>
    <s v="TM-2"/>
    <n v="20"/>
    <n v="2704"/>
    <s v="135.2"/>
    <x v="2"/>
    <n v="0.83"/>
    <n v="16592"/>
    <n v="16.591999999999999"/>
    <d v="2016-10-01T00:00:00"/>
    <x v="0"/>
    <x v="3"/>
  </r>
  <r>
    <x v="4"/>
    <x v="10"/>
    <s v="November"/>
    <s v="Division_A"/>
    <x v="16"/>
    <n v="2012"/>
    <n v="4"/>
    <s v="TM-2"/>
    <n v="20"/>
    <n v="2704"/>
    <s v="135.2"/>
    <x v="2"/>
    <n v="0.748"/>
    <n v="14960"/>
    <n v="14.96"/>
    <d v="2016-11-01T00:00:00"/>
    <x v="0"/>
    <x v="3"/>
  </r>
  <r>
    <x v="4"/>
    <x v="11"/>
    <s v="Desember"/>
    <s v="Division_A"/>
    <x v="16"/>
    <n v="2012"/>
    <n v="4"/>
    <s v="TM-2"/>
    <n v="20"/>
    <n v="2704"/>
    <s v="135.2"/>
    <x v="2"/>
    <n v="0.73399999999999999"/>
    <n v="14674.4"/>
    <n v="14.673999999999999"/>
    <d v="2016-12-01T00:00:00"/>
    <x v="0"/>
    <x v="3"/>
  </r>
  <r>
    <x v="4"/>
    <x v="0"/>
    <s v="Januari"/>
    <s v="Division_A"/>
    <x v="17"/>
    <n v="2012"/>
    <n v="4"/>
    <s v="TM-2"/>
    <n v="14"/>
    <n v="1833"/>
    <s v="130.9"/>
    <x v="2"/>
    <n v="0.47499999999999998"/>
    <n v="6645"/>
    <n v="6.6449999999999996"/>
    <d v="2016-01-01T00:00:00"/>
    <x v="0"/>
    <x v="3"/>
  </r>
  <r>
    <x v="4"/>
    <x v="1"/>
    <s v="Februari"/>
    <s v="Division_A"/>
    <x v="17"/>
    <n v="2012"/>
    <n v="4"/>
    <s v="TM-2"/>
    <n v="14"/>
    <n v="1833"/>
    <s v="130.9"/>
    <x v="2"/>
    <n v="0.48499999999999999"/>
    <n v="6787.8"/>
    <n v="6.7880000000000003"/>
    <d v="2016-02-01T00:00:00"/>
    <x v="0"/>
    <x v="3"/>
  </r>
  <r>
    <x v="4"/>
    <x v="2"/>
    <s v="Maret"/>
    <s v="Division_A"/>
    <x v="17"/>
    <n v="2012"/>
    <n v="4"/>
    <s v="TM-2"/>
    <n v="14"/>
    <n v="1833"/>
    <s v="130.9"/>
    <x v="2"/>
    <n v="0.59499999999999997"/>
    <n v="8330"/>
    <n v="8.33"/>
    <d v="2016-03-01T00:00:00"/>
    <x v="0"/>
    <x v="3"/>
  </r>
  <r>
    <x v="4"/>
    <x v="3"/>
    <s v="April"/>
    <s v="Division_A"/>
    <x v="17"/>
    <n v="2012"/>
    <n v="4"/>
    <s v="TM-2"/>
    <n v="14"/>
    <n v="1833"/>
    <s v="130.9"/>
    <x v="2"/>
    <n v="0.35299999999999998"/>
    <n v="4940.8999999999996"/>
    <n v="4.9409999999999998"/>
    <d v="2016-04-01T00:00:00"/>
    <x v="0"/>
    <x v="3"/>
  </r>
  <r>
    <x v="4"/>
    <x v="4"/>
    <s v="Mei"/>
    <s v="Division_A"/>
    <x v="17"/>
    <n v="2012"/>
    <n v="4"/>
    <s v="TM-2"/>
    <n v="14"/>
    <n v="1833"/>
    <s v="130.9"/>
    <x v="2"/>
    <n v="0.81499999999999995"/>
    <n v="11414.5"/>
    <n v="11.414"/>
    <d v="2016-05-01T00:00:00"/>
    <x v="0"/>
    <x v="3"/>
  </r>
  <r>
    <x v="4"/>
    <x v="5"/>
    <s v="Juni"/>
    <s v="Division_A"/>
    <x v="17"/>
    <n v="2012"/>
    <n v="4"/>
    <s v="TM-2"/>
    <n v="14"/>
    <n v="1833"/>
    <s v="130.9"/>
    <x v="2"/>
    <n v="0.85199999999999998"/>
    <n v="11928.6"/>
    <n v="11.929"/>
    <d v="2016-06-01T00:00:00"/>
    <x v="0"/>
    <x v="3"/>
  </r>
  <r>
    <x v="4"/>
    <x v="6"/>
    <s v="Juli"/>
    <s v="Division_A"/>
    <x v="17"/>
    <n v="2012"/>
    <n v="4"/>
    <s v="TM-2"/>
    <n v="14"/>
    <n v="1833"/>
    <s v="130.9"/>
    <x v="2"/>
    <n v="0.63300000000000001"/>
    <n v="8863.1"/>
    <n v="8.8629999999999995"/>
    <d v="2016-07-01T00:00:00"/>
    <x v="0"/>
    <x v="3"/>
  </r>
  <r>
    <x v="4"/>
    <x v="7"/>
    <s v="Agustus"/>
    <s v="Division_A"/>
    <x v="17"/>
    <n v="2012"/>
    <n v="4"/>
    <s v="TM-2"/>
    <n v="14"/>
    <n v="1833"/>
    <s v="130.9"/>
    <x v="2"/>
    <n v="0.58299999999999996"/>
    <n v="8158.6"/>
    <n v="8.1590000000000007"/>
    <d v="2016-08-01T00:00:00"/>
    <x v="0"/>
    <x v="3"/>
  </r>
  <r>
    <x v="4"/>
    <x v="8"/>
    <s v="September"/>
    <s v="Division_A"/>
    <x v="17"/>
    <n v="2012"/>
    <n v="4"/>
    <s v="TM-2"/>
    <n v="14"/>
    <n v="1833"/>
    <s v="130.9"/>
    <x v="2"/>
    <n v="0.47099999999999997"/>
    <n v="6587.8"/>
    <n v="6.5880000000000001"/>
    <d v="2016-09-01T00:00:00"/>
    <x v="0"/>
    <x v="3"/>
  </r>
  <r>
    <x v="4"/>
    <x v="9"/>
    <s v="Oktober"/>
    <s v="Division_A"/>
    <x v="17"/>
    <n v="2012"/>
    <n v="4"/>
    <s v="TM-2"/>
    <n v="14"/>
    <n v="1833"/>
    <s v="130.9"/>
    <x v="2"/>
    <n v="0.83"/>
    <n v="11614.4"/>
    <n v="11.614000000000001"/>
    <d v="2016-10-01T00:00:00"/>
    <x v="0"/>
    <x v="3"/>
  </r>
  <r>
    <x v="4"/>
    <x v="10"/>
    <s v="November"/>
    <s v="Division_A"/>
    <x v="17"/>
    <n v="2012"/>
    <n v="4"/>
    <s v="TM-2"/>
    <n v="14"/>
    <n v="1833"/>
    <s v="130.9"/>
    <x v="2"/>
    <n v="0.748"/>
    <n v="10472"/>
    <n v="10.472"/>
    <d v="2016-11-01T00:00:00"/>
    <x v="0"/>
    <x v="3"/>
  </r>
  <r>
    <x v="4"/>
    <x v="11"/>
    <s v="Desember"/>
    <s v="Division_A"/>
    <x v="17"/>
    <n v="2012"/>
    <n v="4"/>
    <s v="TM-2"/>
    <n v="14"/>
    <n v="1833"/>
    <s v="130.9"/>
    <x v="2"/>
    <n v="0.73399999999999999"/>
    <n v="10272.1"/>
    <n v="10.272"/>
    <d v="2016-12-01T00:00:00"/>
    <x v="0"/>
    <x v="3"/>
  </r>
  <r>
    <x v="4"/>
    <x v="0"/>
    <s v="Januari"/>
    <s v="Division_A"/>
    <x v="18"/>
    <n v="2012"/>
    <n v="4"/>
    <s v="TM-2"/>
    <n v="20"/>
    <n v="1990"/>
    <s v="99.5"/>
    <x v="2"/>
    <n v="0.47499999999999998"/>
    <n v="9492.7999999999993"/>
    <n v="9.4930000000000003"/>
    <d v="2016-01-01T00:00:00"/>
    <x v="0"/>
    <x v="3"/>
  </r>
  <r>
    <x v="4"/>
    <x v="1"/>
    <s v="Februari"/>
    <s v="Division_A"/>
    <x v="18"/>
    <n v="2012"/>
    <n v="4"/>
    <s v="TM-2"/>
    <n v="20"/>
    <n v="1990"/>
    <s v="99.5"/>
    <x v="2"/>
    <n v="0.48499999999999999"/>
    <n v="9696.7999999999993"/>
    <n v="9.6969999999999992"/>
    <d v="2016-02-01T00:00:00"/>
    <x v="0"/>
    <x v="3"/>
  </r>
  <r>
    <x v="4"/>
    <x v="2"/>
    <s v="Maret"/>
    <s v="Division_A"/>
    <x v="18"/>
    <n v="2012"/>
    <n v="4"/>
    <s v="TM-2"/>
    <n v="20"/>
    <n v="1990"/>
    <s v="99.5"/>
    <x v="2"/>
    <n v="0.59499999999999997"/>
    <n v="11900"/>
    <n v="11.9"/>
    <d v="2016-03-01T00:00:00"/>
    <x v="0"/>
    <x v="3"/>
  </r>
  <r>
    <x v="4"/>
    <x v="3"/>
    <s v="April"/>
    <s v="Division_A"/>
    <x v="18"/>
    <n v="2012"/>
    <n v="4"/>
    <s v="TM-2"/>
    <n v="20"/>
    <n v="1990"/>
    <s v="99.5"/>
    <x v="2"/>
    <n v="0.35299999999999998"/>
    <n v="7058.4"/>
    <n v="7.0579999999999998"/>
    <d v="2016-04-01T00:00:00"/>
    <x v="0"/>
    <x v="3"/>
  </r>
  <r>
    <x v="4"/>
    <x v="4"/>
    <s v="Mei"/>
    <s v="Division_A"/>
    <x v="18"/>
    <n v="2012"/>
    <n v="4"/>
    <s v="TM-2"/>
    <n v="20"/>
    <n v="1990"/>
    <s v="99.5"/>
    <x v="2"/>
    <n v="0.81499999999999995"/>
    <n v="16306.4"/>
    <n v="16.306000000000001"/>
    <d v="2016-05-01T00:00:00"/>
    <x v="0"/>
    <x v="3"/>
  </r>
  <r>
    <x v="4"/>
    <x v="5"/>
    <s v="Juni"/>
    <s v="Division_A"/>
    <x v="18"/>
    <n v="2012"/>
    <n v="4"/>
    <s v="TM-2"/>
    <n v="20"/>
    <n v="1990"/>
    <s v="99.5"/>
    <x v="2"/>
    <n v="0.85199999999999998"/>
    <n v="17040.8"/>
    <n v="17.041"/>
    <d v="2016-06-01T00:00:00"/>
    <x v="0"/>
    <x v="3"/>
  </r>
  <r>
    <x v="4"/>
    <x v="6"/>
    <s v="Juli"/>
    <s v="Division_A"/>
    <x v="18"/>
    <n v="2012"/>
    <n v="4"/>
    <s v="TM-2"/>
    <n v="20"/>
    <n v="1990"/>
    <s v="99.5"/>
    <x v="2"/>
    <n v="0.63300000000000001"/>
    <n v="12661.6"/>
    <n v="12.662000000000001"/>
    <d v="2016-07-01T00:00:00"/>
    <x v="0"/>
    <x v="3"/>
  </r>
  <r>
    <x v="4"/>
    <x v="7"/>
    <s v="Agustus"/>
    <s v="Division_A"/>
    <x v="18"/>
    <n v="2012"/>
    <n v="4"/>
    <s v="TM-2"/>
    <n v="20"/>
    <n v="1990"/>
    <s v="99.5"/>
    <x v="2"/>
    <n v="0.58299999999999996"/>
    <n v="11655.2"/>
    <n v="11.654999999999999"/>
    <d v="2016-08-01T00:00:00"/>
    <x v="0"/>
    <x v="3"/>
  </r>
  <r>
    <x v="4"/>
    <x v="8"/>
    <s v="September"/>
    <s v="Division_A"/>
    <x v="18"/>
    <n v="2012"/>
    <n v="4"/>
    <s v="TM-2"/>
    <n v="20"/>
    <n v="1990"/>
    <s v="99.5"/>
    <x v="2"/>
    <n v="0.47099999999999997"/>
    <n v="9411.2000000000007"/>
    <n v="9.4109999999999996"/>
    <d v="2016-09-01T00:00:00"/>
    <x v="0"/>
    <x v="3"/>
  </r>
  <r>
    <x v="4"/>
    <x v="9"/>
    <s v="Oktober"/>
    <s v="Division_A"/>
    <x v="18"/>
    <n v="2012"/>
    <n v="4"/>
    <s v="TM-2"/>
    <n v="20"/>
    <n v="1990"/>
    <s v="99.5"/>
    <x v="2"/>
    <n v="0.83"/>
    <n v="16592"/>
    <n v="16.591999999999999"/>
    <d v="2016-10-01T00:00:00"/>
    <x v="0"/>
    <x v="3"/>
  </r>
  <r>
    <x v="4"/>
    <x v="10"/>
    <s v="November"/>
    <s v="Division_A"/>
    <x v="18"/>
    <n v="2012"/>
    <n v="4"/>
    <s v="TM-2"/>
    <n v="20"/>
    <n v="1990"/>
    <s v="99.5"/>
    <x v="2"/>
    <n v="0.748"/>
    <n v="14960"/>
    <n v="14.96"/>
    <d v="2016-11-01T00:00:00"/>
    <x v="0"/>
    <x v="3"/>
  </r>
  <r>
    <x v="4"/>
    <x v="11"/>
    <s v="Desember"/>
    <s v="Division_A"/>
    <x v="18"/>
    <n v="2012"/>
    <n v="4"/>
    <s v="TM-2"/>
    <n v="20"/>
    <n v="1990"/>
    <s v="99.5"/>
    <x v="2"/>
    <n v="0.73399999999999999"/>
    <n v="14674.4"/>
    <n v="14.673999999999999"/>
    <d v="2016-12-01T00:00:00"/>
    <x v="0"/>
    <x v="3"/>
  </r>
  <r>
    <x v="4"/>
    <x v="0"/>
    <s v="Januari"/>
    <s v="Division_A"/>
    <x v="19"/>
    <n v="2012"/>
    <n v="4"/>
    <s v="TM-2"/>
    <n v="22"/>
    <n v="2606"/>
    <s v="118.5"/>
    <x v="2"/>
    <n v="0.47499999999999998"/>
    <n v="10442.1"/>
    <n v="10.442"/>
    <d v="2016-01-01T00:00:00"/>
    <x v="0"/>
    <x v="3"/>
  </r>
  <r>
    <x v="4"/>
    <x v="1"/>
    <s v="Februari"/>
    <s v="Division_A"/>
    <x v="19"/>
    <n v="2012"/>
    <n v="4"/>
    <s v="TM-2"/>
    <n v="22"/>
    <n v="2606"/>
    <s v="118.5"/>
    <x v="2"/>
    <n v="0.48499999999999999"/>
    <n v="10666.5"/>
    <n v="10.666"/>
    <d v="2016-02-01T00:00:00"/>
    <x v="0"/>
    <x v="3"/>
  </r>
  <r>
    <x v="4"/>
    <x v="2"/>
    <s v="Maret"/>
    <s v="Division_A"/>
    <x v="19"/>
    <n v="2012"/>
    <n v="4"/>
    <s v="TM-2"/>
    <n v="22"/>
    <n v="2606"/>
    <s v="118.5"/>
    <x v="2"/>
    <n v="0.59499999999999997"/>
    <n v="13090"/>
    <n v="13.09"/>
    <d v="2016-03-01T00:00:00"/>
    <x v="0"/>
    <x v="3"/>
  </r>
  <r>
    <x v="4"/>
    <x v="3"/>
    <s v="April"/>
    <s v="Division_A"/>
    <x v="19"/>
    <n v="2012"/>
    <n v="4"/>
    <s v="TM-2"/>
    <n v="22"/>
    <n v="2606"/>
    <s v="118.5"/>
    <x v="2"/>
    <n v="0.35299999999999998"/>
    <n v="7764.2"/>
    <n v="7.7640000000000002"/>
    <d v="2016-04-01T00:00:00"/>
    <x v="0"/>
    <x v="3"/>
  </r>
  <r>
    <x v="4"/>
    <x v="4"/>
    <s v="Mei"/>
    <s v="Division_A"/>
    <x v="19"/>
    <n v="2012"/>
    <n v="4"/>
    <s v="TM-2"/>
    <n v="22"/>
    <n v="2606"/>
    <s v="118.5"/>
    <x v="2"/>
    <n v="0.81499999999999995"/>
    <n v="17937"/>
    <n v="17.937000000000001"/>
    <d v="2016-05-01T00:00:00"/>
    <x v="0"/>
    <x v="3"/>
  </r>
  <r>
    <x v="4"/>
    <x v="5"/>
    <s v="Juni"/>
    <s v="Division_A"/>
    <x v="19"/>
    <n v="2012"/>
    <n v="4"/>
    <s v="TM-2"/>
    <n v="22"/>
    <n v="2606"/>
    <s v="118.5"/>
    <x v="2"/>
    <n v="0.85199999999999998"/>
    <n v="18744.900000000001"/>
    <n v="18.745000000000001"/>
    <d v="2016-06-01T00:00:00"/>
    <x v="0"/>
    <x v="3"/>
  </r>
  <r>
    <x v="4"/>
    <x v="6"/>
    <s v="Juli"/>
    <s v="Division_A"/>
    <x v="19"/>
    <n v="2012"/>
    <n v="4"/>
    <s v="TM-2"/>
    <n v="22"/>
    <n v="2606"/>
    <s v="118.5"/>
    <x v="2"/>
    <n v="0.63300000000000001"/>
    <n v="13927.8"/>
    <n v="13.928000000000001"/>
    <d v="2016-07-01T00:00:00"/>
    <x v="0"/>
    <x v="3"/>
  </r>
  <r>
    <x v="4"/>
    <x v="7"/>
    <s v="Agustus"/>
    <s v="Division_A"/>
    <x v="19"/>
    <n v="2012"/>
    <n v="4"/>
    <s v="TM-2"/>
    <n v="22"/>
    <n v="2606"/>
    <s v="118.5"/>
    <x v="2"/>
    <n v="0.58299999999999996"/>
    <n v="12820.7"/>
    <n v="12.821"/>
    <d v="2016-08-01T00:00:00"/>
    <x v="0"/>
    <x v="3"/>
  </r>
  <r>
    <x v="4"/>
    <x v="8"/>
    <s v="September"/>
    <s v="Division_A"/>
    <x v="19"/>
    <n v="2012"/>
    <n v="4"/>
    <s v="TM-2"/>
    <n v="22"/>
    <n v="2606"/>
    <s v="118.5"/>
    <x v="2"/>
    <n v="0.47099999999999997"/>
    <n v="10352.299999999999"/>
    <n v="10.352"/>
    <d v="2016-09-01T00:00:00"/>
    <x v="0"/>
    <x v="3"/>
  </r>
  <r>
    <x v="4"/>
    <x v="9"/>
    <s v="Oktober"/>
    <s v="Division_A"/>
    <x v="19"/>
    <n v="2012"/>
    <n v="4"/>
    <s v="TM-2"/>
    <n v="22"/>
    <n v="2606"/>
    <s v="118.5"/>
    <x v="2"/>
    <n v="0.83"/>
    <n v="18251.2"/>
    <n v="18.251000000000001"/>
    <d v="2016-10-01T00:00:00"/>
    <x v="0"/>
    <x v="3"/>
  </r>
  <r>
    <x v="4"/>
    <x v="10"/>
    <s v="November"/>
    <s v="Division_A"/>
    <x v="19"/>
    <n v="2012"/>
    <n v="4"/>
    <s v="TM-2"/>
    <n v="22"/>
    <n v="2606"/>
    <s v="118.5"/>
    <x v="2"/>
    <n v="0.748"/>
    <n v="16456"/>
    <n v="16.456"/>
    <d v="2016-11-01T00:00:00"/>
    <x v="0"/>
    <x v="3"/>
  </r>
  <r>
    <x v="4"/>
    <x v="11"/>
    <s v="Desember"/>
    <s v="Division_A"/>
    <x v="19"/>
    <n v="2012"/>
    <n v="4"/>
    <s v="TM-2"/>
    <n v="22"/>
    <n v="2606"/>
    <s v="118.5"/>
    <x v="2"/>
    <n v="0.73399999999999999"/>
    <n v="16141.8"/>
    <n v="16.141999999999999"/>
    <d v="2016-12-01T00:00:00"/>
    <x v="0"/>
    <x v="3"/>
  </r>
  <r>
    <x v="4"/>
    <x v="0"/>
    <s v="Januari"/>
    <s v="Division_A"/>
    <x v="20"/>
    <n v="2012"/>
    <n v="4"/>
    <s v="TM-2"/>
    <n v="22"/>
    <n v="2683"/>
    <s v="122"/>
    <x v="1"/>
    <n v="0.47499999999999998"/>
    <n v="10442.1"/>
    <n v="10.442"/>
    <d v="2016-01-01T00:00:00"/>
    <x v="0"/>
    <x v="3"/>
  </r>
  <r>
    <x v="4"/>
    <x v="1"/>
    <s v="Februari"/>
    <s v="Division_A"/>
    <x v="20"/>
    <n v="2012"/>
    <n v="4"/>
    <s v="TM-2"/>
    <n v="22"/>
    <n v="2683"/>
    <s v="122"/>
    <x v="1"/>
    <n v="0.48499999999999999"/>
    <n v="10666.5"/>
    <n v="10.666"/>
    <d v="2016-02-01T00:00:00"/>
    <x v="0"/>
    <x v="3"/>
  </r>
  <r>
    <x v="4"/>
    <x v="2"/>
    <s v="Maret"/>
    <s v="Division_A"/>
    <x v="20"/>
    <n v="2012"/>
    <n v="4"/>
    <s v="TM-2"/>
    <n v="22"/>
    <n v="2683"/>
    <s v="122"/>
    <x v="1"/>
    <n v="0.59499999999999997"/>
    <n v="13090"/>
    <n v="13.09"/>
    <d v="2016-03-01T00:00:00"/>
    <x v="0"/>
    <x v="3"/>
  </r>
  <r>
    <x v="4"/>
    <x v="3"/>
    <s v="April"/>
    <s v="Division_A"/>
    <x v="20"/>
    <n v="2012"/>
    <n v="4"/>
    <s v="TM-2"/>
    <n v="22"/>
    <n v="2683"/>
    <s v="122"/>
    <x v="1"/>
    <n v="0.35299999999999998"/>
    <n v="7764.2"/>
    <n v="7.7640000000000002"/>
    <d v="2016-04-01T00:00:00"/>
    <x v="0"/>
    <x v="3"/>
  </r>
  <r>
    <x v="4"/>
    <x v="4"/>
    <s v="Mei"/>
    <s v="Division_A"/>
    <x v="20"/>
    <n v="2012"/>
    <n v="4"/>
    <s v="TM-2"/>
    <n v="22"/>
    <n v="2683"/>
    <s v="122"/>
    <x v="1"/>
    <n v="0.81499999999999995"/>
    <n v="17937"/>
    <n v="17.937000000000001"/>
    <d v="2016-05-01T00:00:00"/>
    <x v="0"/>
    <x v="3"/>
  </r>
  <r>
    <x v="4"/>
    <x v="5"/>
    <s v="Juni"/>
    <s v="Division_A"/>
    <x v="20"/>
    <n v="2012"/>
    <n v="4"/>
    <s v="TM-2"/>
    <n v="22"/>
    <n v="2683"/>
    <s v="122"/>
    <x v="1"/>
    <n v="0.85199999999999998"/>
    <n v="18744.900000000001"/>
    <n v="18.745000000000001"/>
    <d v="2016-06-01T00:00:00"/>
    <x v="0"/>
    <x v="3"/>
  </r>
  <r>
    <x v="4"/>
    <x v="6"/>
    <s v="Juli"/>
    <s v="Division_A"/>
    <x v="20"/>
    <n v="2012"/>
    <n v="4"/>
    <s v="TM-2"/>
    <n v="22"/>
    <n v="2683"/>
    <s v="122"/>
    <x v="1"/>
    <n v="0.63300000000000001"/>
    <n v="13927.8"/>
    <n v="13.928000000000001"/>
    <d v="2016-07-01T00:00:00"/>
    <x v="0"/>
    <x v="3"/>
  </r>
  <r>
    <x v="4"/>
    <x v="7"/>
    <s v="Agustus"/>
    <s v="Division_A"/>
    <x v="20"/>
    <n v="2012"/>
    <n v="4"/>
    <s v="TM-2"/>
    <n v="22"/>
    <n v="2683"/>
    <s v="122"/>
    <x v="1"/>
    <n v="0.58299999999999996"/>
    <n v="12820.7"/>
    <n v="12.821"/>
    <d v="2016-08-01T00:00:00"/>
    <x v="0"/>
    <x v="3"/>
  </r>
  <r>
    <x v="4"/>
    <x v="8"/>
    <s v="September"/>
    <s v="Division_A"/>
    <x v="20"/>
    <n v="2012"/>
    <n v="4"/>
    <s v="TM-2"/>
    <n v="22"/>
    <n v="2683"/>
    <s v="122"/>
    <x v="1"/>
    <n v="0.47099999999999997"/>
    <n v="10352.299999999999"/>
    <n v="10.352"/>
    <d v="2016-09-01T00:00:00"/>
    <x v="0"/>
    <x v="3"/>
  </r>
  <r>
    <x v="4"/>
    <x v="9"/>
    <s v="Oktober"/>
    <s v="Division_A"/>
    <x v="20"/>
    <n v="2012"/>
    <n v="4"/>
    <s v="TM-2"/>
    <n v="22"/>
    <n v="2683"/>
    <s v="122"/>
    <x v="1"/>
    <n v="0.83"/>
    <n v="18251.2"/>
    <n v="18.251000000000001"/>
    <d v="2016-10-01T00:00:00"/>
    <x v="0"/>
    <x v="3"/>
  </r>
  <r>
    <x v="4"/>
    <x v="10"/>
    <s v="November"/>
    <s v="Division_A"/>
    <x v="20"/>
    <n v="2012"/>
    <n v="4"/>
    <s v="TM-2"/>
    <n v="22"/>
    <n v="2683"/>
    <s v="122"/>
    <x v="1"/>
    <n v="0.748"/>
    <n v="16456"/>
    <n v="16.456"/>
    <d v="2016-11-01T00:00:00"/>
    <x v="0"/>
    <x v="3"/>
  </r>
  <r>
    <x v="4"/>
    <x v="11"/>
    <s v="Desember"/>
    <s v="Division_A"/>
    <x v="20"/>
    <n v="2012"/>
    <n v="4"/>
    <s v="TM-2"/>
    <n v="22"/>
    <n v="2683"/>
    <s v="122"/>
    <x v="1"/>
    <n v="0.73399999999999999"/>
    <n v="16141.8"/>
    <n v="16.141999999999999"/>
    <d v="2016-12-01T00:00:00"/>
    <x v="0"/>
    <x v="3"/>
  </r>
  <r>
    <x v="4"/>
    <x v="0"/>
    <s v="Januari"/>
    <s v="Division_A"/>
    <x v="21"/>
    <n v="2012"/>
    <n v="4"/>
    <s v="TM-2"/>
    <n v="28"/>
    <n v="3483"/>
    <s v="124.4"/>
    <x v="1"/>
    <n v="0.47499999999999998"/>
    <n v="13289.9"/>
    <n v="13.29"/>
    <d v="2016-01-01T00:00:00"/>
    <x v="0"/>
    <x v="3"/>
  </r>
  <r>
    <x v="4"/>
    <x v="1"/>
    <s v="Februari"/>
    <s v="Division_A"/>
    <x v="21"/>
    <n v="2012"/>
    <n v="4"/>
    <s v="TM-2"/>
    <n v="28"/>
    <n v="3483"/>
    <s v="124.4"/>
    <x v="1"/>
    <n v="0.48499999999999999"/>
    <n v="13575.5"/>
    <n v="13.576000000000001"/>
    <d v="2016-02-01T00:00:00"/>
    <x v="0"/>
    <x v="3"/>
  </r>
  <r>
    <x v="4"/>
    <x v="2"/>
    <s v="Maret"/>
    <s v="Division_A"/>
    <x v="21"/>
    <n v="2012"/>
    <n v="4"/>
    <s v="TM-2"/>
    <n v="28"/>
    <n v="3483"/>
    <s v="124.4"/>
    <x v="1"/>
    <n v="0.59499999999999997"/>
    <n v="16660"/>
    <n v="16.66"/>
    <d v="2016-03-01T00:00:00"/>
    <x v="0"/>
    <x v="3"/>
  </r>
  <r>
    <x v="4"/>
    <x v="3"/>
    <s v="April"/>
    <s v="Division_A"/>
    <x v="21"/>
    <n v="2012"/>
    <n v="4"/>
    <s v="TM-2"/>
    <n v="28"/>
    <n v="3483"/>
    <s v="124.4"/>
    <x v="1"/>
    <n v="0.35299999999999998"/>
    <n v="9881.7999999999993"/>
    <n v="9.8819999999999997"/>
    <d v="2016-04-01T00:00:00"/>
    <x v="0"/>
    <x v="3"/>
  </r>
  <r>
    <x v="4"/>
    <x v="4"/>
    <s v="Mei"/>
    <s v="Division_A"/>
    <x v="21"/>
    <n v="2012"/>
    <n v="4"/>
    <s v="TM-2"/>
    <n v="28"/>
    <n v="3483"/>
    <s v="124.4"/>
    <x v="1"/>
    <n v="0.81499999999999995"/>
    <n v="22829"/>
    <n v="22.829000000000001"/>
    <d v="2016-05-01T00:00:00"/>
    <x v="0"/>
    <x v="3"/>
  </r>
  <r>
    <x v="4"/>
    <x v="5"/>
    <s v="Juni"/>
    <s v="Division_A"/>
    <x v="21"/>
    <n v="2012"/>
    <n v="4"/>
    <s v="TM-2"/>
    <n v="28"/>
    <n v="3483"/>
    <s v="124.4"/>
    <x v="1"/>
    <n v="0.85199999999999998"/>
    <n v="23857.1"/>
    <n v="23.856999999999999"/>
    <d v="2016-06-01T00:00:00"/>
    <x v="0"/>
    <x v="3"/>
  </r>
  <r>
    <x v="4"/>
    <x v="6"/>
    <s v="Juli"/>
    <s v="Division_A"/>
    <x v="21"/>
    <n v="2012"/>
    <n v="4"/>
    <s v="TM-2"/>
    <n v="28"/>
    <n v="3483"/>
    <s v="124.4"/>
    <x v="1"/>
    <n v="0.63300000000000001"/>
    <n v="17726.2"/>
    <n v="17.725999999999999"/>
    <d v="2016-07-01T00:00:00"/>
    <x v="0"/>
    <x v="3"/>
  </r>
  <r>
    <x v="4"/>
    <x v="7"/>
    <s v="Agustus"/>
    <s v="Division_A"/>
    <x v="21"/>
    <n v="2012"/>
    <n v="4"/>
    <s v="TM-2"/>
    <n v="28"/>
    <n v="3483"/>
    <s v="124.4"/>
    <x v="1"/>
    <n v="0.58299999999999996"/>
    <n v="16317.3"/>
    <n v="16.317"/>
    <d v="2016-08-01T00:00:00"/>
    <x v="0"/>
    <x v="3"/>
  </r>
  <r>
    <x v="4"/>
    <x v="8"/>
    <s v="September"/>
    <s v="Division_A"/>
    <x v="21"/>
    <n v="2012"/>
    <n v="4"/>
    <s v="TM-2"/>
    <n v="28"/>
    <n v="3483"/>
    <s v="124.4"/>
    <x v="1"/>
    <n v="0.47099999999999997"/>
    <n v="13175.7"/>
    <n v="13.176"/>
    <d v="2016-09-01T00:00:00"/>
    <x v="0"/>
    <x v="3"/>
  </r>
  <r>
    <x v="4"/>
    <x v="9"/>
    <s v="Oktober"/>
    <s v="Division_A"/>
    <x v="21"/>
    <n v="2012"/>
    <n v="4"/>
    <s v="TM-2"/>
    <n v="28"/>
    <n v="3483"/>
    <s v="124.4"/>
    <x v="1"/>
    <n v="0.83"/>
    <n v="23228.799999999999"/>
    <n v="23.228999999999999"/>
    <d v="2016-10-01T00:00:00"/>
    <x v="0"/>
    <x v="3"/>
  </r>
  <r>
    <x v="4"/>
    <x v="10"/>
    <s v="November"/>
    <s v="Division_A"/>
    <x v="21"/>
    <n v="2012"/>
    <n v="4"/>
    <s v="TM-2"/>
    <n v="28"/>
    <n v="3483"/>
    <s v="124.4"/>
    <x v="1"/>
    <n v="0.748"/>
    <n v="20944"/>
    <n v="20.943999999999999"/>
    <d v="2016-11-01T00:00:00"/>
    <x v="0"/>
    <x v="3"/>
  </r>
  <r>
    <x v="4"/>
    <x v="11"/>
    <s v="Desember"/>
    <s v="Division_A"/>
    <x v="21"/>
    <n v="2012"/>
    <n v="4"/>
    <s v="TM-2"/>
    <n v="28"/>
    <n v="3483"/>
    <s v="124.4"/>
    <x v="1"/>
    <n v="0.73399999999999999"/>
    <n v="20544.2"/>
    <n v="20.544"/>
    <d v="2016-12-01T00:00:00"/>
    <x v="0"/>
    <x v="3"/>
  </r>
  <r>
    <x v="4"/>
    <x v="0"/>
    <s v="Januari"/>
    <s v="Division_A"/>
    <x v="22"/>
    <n v="2013"/>
    <n v="3"/>
    <s v="TM-1"/>
    <n v="24"/>
    <n v="2678"/>
    <s v="111.6"/>
    <x v="1"/>
    <n v="0.26500000000000001"/>
    <n v="6365.8"/>
    <n v="6.3659999999999997"/>
    <d v="2016-01-01T00:00:00"/>
    <x v="0"/>
    <x v="3"/>
  </r>
  <r>
    <x v="4"/>
    <x v="1"/>
    <s v="Februari"/>
    <s v="Division_A"/>
    <x v="22"/>
    <n v="2013"/>
    <n v="3"/>
    <s v="TM-1"/>
    <n v="24"/>
    <n v="2678"/>
    <s v="111.6"/>
    <x v="1"/>
    <n v="0.27100000000000002"/>
    <n v="6502.6"/>
    <n v="6.5030000000000001"/>
    <d v="2016-02-01T00:00:00"/>
    <x v="0"/>
    <x v="3"/>
  </r>
  <r>
    <x v="4"/>
    <x v="2"/>
    <s v="Maret"/>
    <s v="Division_A"/>
    <x v="22"/>
    <n v="2013"/>
    <n v="3"/>
    <s v="TM-1"/>
    <n v="24"/>
    <n v="2678"/>
    <s v="111.6"/>
    <x v="1"/>
    <n v="0.33300000000000002"/>
    <n v="7980"/>
    <n v="7.98"/>
    <d v="2016-03-01T00:00:00"/>
    <x v="0"/>
    <x v="3"/>
  </r>
  <r>
    <x v="4"/>
    <x v="3"/>
    <s v="April"/>
    <s v="Division_A"/>
    <x v="22"/>
    <n v="2013"/>
    <n v="3"/>
    <s v="TM-1"/>
    <n v="24"/>
    <n v="2678"/>
    <s v="111.6"/>
    <x v="1"/>
    <n v="0.19700000000000001"/>
    <n v="4733.3"/>
    <n v="4.7329999999999997"/>
    <d v="2016-04-01T00:00:00"/>
    <x v="0"/>
    <x v="3"/>
  </r>
  <r>
    <x v="4"/>
    <x v="4"/>
    <s v="Mei"/>
    <s v="Division_A"/>
    <x v="22"/>
    <n v="2013"/>
    <n v="3"/>
    <s v="TM-1"/>
    <n v="24"/>
    <n v="2678"/>
    <s v="111.6"/>
    <x v="1"/>
    <n v="0.45600000000000002"/>
    <n v="10934.9"/>
    <n v="10.935"/>
    <d v="2016-05-01T00:00:00"/>
    <x v="0"/>
    <x v="3"/>
  </r>
  <r>
    <x v="4"/>
    <x v="5"/>
    <s v="Juni"/>
    <s v="Division_A"/>
    <x v="22"/>
    <n v="2013"/>
    <n v="3"/>
    <s v="TM-1"/>
    <n v="24"/>
    <n v="2678"/>
    <s v="111.6"/>
    <x v="1"/>
    <n v="0.47599999999999998"/>
    <n v="11427.4"/>
    <n v="11.427"/>
    <d v="2016-06-01T00:00:00"/>
    <x v="0"/>
    <x v="3"/>
  </r>
  <r>
    <x v="4"/>
    <x v="6"/>
    <s v="Juli"/>
    <s v="Division_A"/>
    <x v="22"/>
    <n v="2013"/>
    <n v="3"/>
    <s v="TM-1"/>
    <n v="24"/>
    <n v="2678"/>
    <s v="111.6"/>
    <x v="1"/>
    <n v="0.35399999999999998"/>
    <n v="8490.7000000000007"/>
    <n v="8.4909999999999997"/>
    <d v="2016-07-01T00:00:00"/>
    <x v="0"/>
    <x v="3"/>
  </r>
  <r>
    <x v="4"/>
    <x v="7"/>
    <s v="Agustus"/>
    <s v="Division_A"/>
    <x v="22"/>
    <n v="2013"/>
    <n v="3"/>
    <s v="TM-1"/>
    <n v="24"/>
    <n v="2678"/>
    <s v="111.6"/>
    <x v="1"/>
    <n v="0.32600000000000001"/>
    <n v="7815.8"/>
    <n v="7.8159999999999998"/>
    <d v="2016-08-01T00:00:00"/>
    <x v="0"/>
    <x v="3"/>
  </r>
  <r>
    <x v="4"/>
    <x v="8"/>
    <s v="September"/>
    <s v="Division_A"/>
    <x v="22"/>
    <n v="2013"/>
    <n v="3"/>
    <s v="TM-1"/>
    <n v="24"/>
    <n v="2678"/>
    <s v="111.6"/>
    <x v="1"/>
    <n v="0.26300000000000001"/>
    <n v="6311"/>
    <n v="6.3109999999999999"/>
    <d v="2016-09-01T00:00:00"/>
    <x v="0"/>
    <x v="3"/>
  </r>
  <r>
    <x v="4"/>
    <x v="9"/>
    <s v="Oktober"/>
    <s v="Division_A"/>
    <x v="22"/>
    <n v="2013"/>
    <n v="3"/>
    <s v="TM-1"/>
    <n v="24"/>
    <n v="2678"/>
    <s v="111.6"/>
    <x v="1"/>
    <n v="0.46400000000000002"/>
    <n v="11126.4"/>
    <n v="11.125999999999999"/>
    <d v="2016-10-01T00:00:00"/>
    <x v="0"/>
    <x v="3"/>
  </r>
  <r>
    <x v="4"/>
    <x v="10"/>
    <s v="November"/>
    <s v="Division_A"/>
    <x v="22"/>
    <n v="2013"/>
    <n v="3"/>
    <s v="TM-1"/>
    <n v="24"/>
    <n v="2678"/>
    <s v="111.6"/>
    <x v="1"/>
    <n v="0.41799999999999998"/>
    <n v="10032"/>
    <n v="10.032"/>
    <d v="2016-11-01T00:00:00"/>
    <x v="0"/>
    <x v="3"/>
  </r>
  <r>
    <x v="4"/>
    <x v="11"/>
    <s v="Desember"/>
    <s v="Division_A"/>
    <x v="22"/>
    <n v="2013"/>
    <n v="3"/>
    <s v="TM-1"/>
    <n v="24"/>
    <n v="2678"/>
    <s v="111.6"/>
    <x v="1"/>
    <n v="0.41"/>
    <n v="9840.5"/>
    <n v="9.84"/>
    <d v="2016-12-01T00:00:00"/>
    <x v="0"/>
    <x v="3"/>
  </r>
  <r>
    <x v="4"/>
    <x v="0"/>
    <s v="Januari"/>
    <s v="Division_A"/>
    <x v="23"/>
    <n v="2013"/>
    <n v="3"/>
    <s v="TM-1"/>
    <n v="23"/>
    <n v="2683"/>
    <s v="116.7"/>
    <x v="1"/>
    <n v="0.26500000000000001"/>
    <n v="6100.5"/>
    <n v="6.101"/>
    <d v="2016-01-01T00:00:00"/>
    <x v="0"/>
    <x v="3"/>
  </r>
  <r>
    <x v="4"/>
    <x v="1"/>
    <s v="Februari"/>
    <s v="Division_A"/>
    <x v="23"/>
    <n v="2013"/>
    <n v="3"/>
    <s v="TM-1"/>
    <n v="23"/>
    <n v="2683"/>
    <s v="116.7"/>
    <x v="1"/>
    <n v="0.27100000000000002"/>
    <n v="6231.6"/>
    <n v="6.2320000000000002"/>
    <d v="2016-02-01T00:00:00"/>
    <x v="0"/>
    <x v="3"/>
  </r>
  <r>
    <x v="4"/>
    <x v="2"/>
    <s v="Maret"/>
    <s v="Division_A"/>
    <x v="23"/>
    <n v="2013"/>
    <n v="3"/>
    <s v="TM-1"/>
    <n v="23"/>
    <n v="2683"/>
    <s v="116.7"/>
    <x v="1"/>
    <n v="0.33300000000000002"/>
    <n v="7647.5"/>
    <n v="7.6479999999999997"/>
    <d v="2016-03-01T00:00:00"/>
    <x v="0"/>
    <x v="3"/>
  </r>
  <r>
    <x v="4"/>
    <x v="3"/>
    <s v="April"/>
    <s v="Division_A"/>
    <x v="23"/>
    <n v="2013"/>
    <n v="3"/>
    <s v="TM-1"/>
    <n v="23"/>
    <n v="2683"/>
    <s v="116.7"/>
    <x v="1"/>
    <n v="0.19700000000000001"/>
    <n v="4536.1000000000004"/>
    <n v="4.5359999999999996"/>
    <d v="2016-04-01T00:00:00"/>
    <x v="0"/>
    <x v="3"/>
  </r>
  <r>
    <x v="4"/>
    <x v="4"/>
    <s v="Mei"/>
    <s v="Division_A"/>
    <x v="23"/>
    <n v="2013"/>
    <n v="3"/>
    <s v="TM-1"/>
    <n v="23"/>
    <n v="2683"/>
    <s v="116.7"/>
    <x v="1"/>
    <n v="0.45600000000000002"/>
    <n v="10479.299999999999"/>
    <n v="10.478999999999999"/>
    <d v="2016-05-01T00:00:00"/>
    <x v="0"/>
    <x v="3"/>
  </r>
  <r>
    <x v="4"/>
    <x v="5"/>
    <s v="Juni"/>
    <s v="Division_A"/>
    <x v="23"/>
    <n v="2013"/>
    <n v="3"/>
    <s v="TM-1"/>
    <n v="23"/>
    <n v="2683"/>
    <s v="116.7"/>
    <x v="1"/>
    <n v="0.47599999999999998"/>
    <n v="10951.2"/>
    <n v="10.951000000000001"/>
    <d v="2016-06-01T00:00:00"/>
    <x v="0"/>
    <x v="3"/>
  </r>
  <r>
    <x v="4"/>
    <x v="6"/>
    <s v="Juli"/>
    <s v="Division_A"/>
    <x v="23"/>
    <n v="2013"/>
    <n v="3"/>
    <s v="TM-1"/>
    <n v="23"/>
    <n v="2683"/>
    <s v="116.7"/>
    <x v="1"/>
    <n v="0.35399999999999998"/>
    <n v="8136.9"/>
    <n v="8.1370000000000005"/>
    <d v="2016-07-01T00:00:00"/>
    <x v="0"/>
    <x v="3"/>
  </r>
  <r>
    <x v="4"/>
    <x v="7"/>
    <s v="Agustus"/>
    <s v="Division_A"/>
    <x v="23"/>
    <n v="2013"/>
    <n v="3"/>
    <s v="TM-1"/>
    <n v="23"/>
    <n v="2683"/>
    <s v="116.7"/>
    <x v="1"/>
    <n v="0.32600000000000001"/>
    <n v="7490.2"/>
    <n v="7.49"/>
    <d v="2016-08-01T00:00:00"/>
    <x v="0"/>
    <x v="3"/>
  </r>
  <r>
    <x v="4"/>
    <x v="8"/>
    <s v="September"/>
    <s v="Division_A"/>
    <x v="23"/>
    <n v="2013"/>
    <n v="3"/>
    <s v="TM-1"/>
    <n v="23"/>
    <n v="2683"/>
    <s v="116.7"/>
    <x v="1"/>
    <n v="0.26300000000000001"/>
    <n v="6048.1"/>
    <n v="6.048"/>
    <d v="2016-09-01T00:00:00"/>
    <x v="0"/>
    <x v="3"/>
  </r>
  <r>
    <x v="4"/>
    <x v="9"/>
    <s v="Oktober"/>
    <s v="Division_A"/>
    <x v="23"/>
    <n v="2013"/>
    <n v="3"/>
    <s v="TM-1"/>
    <n v="23"/>
    <n v="2683"/>
    <s v="116.7"/>
    <x v="1"/>
    <n v="0.46400000000000002"/>
    <n v="10662.8"/>
    <n v="10.663"/>
    <d v="2016-10-01T00:00:00"/>
    <x v="0"/>
    <x v="3"/>
  </r>
  <r>
    <x v="4"/>
    <x v="10"/>
    <s v="November"/>
    <s v="Division_A"/>
    <x v="23"/>
    <n v="2013"/>
    <n v="3"/>
    <s v="TM-1"/>
    <n v="23"/>
    <n v="2683"/>
    <s v="116.7"/>
    <x v="1"/>
    <n v="0.41799999999999998"/>
    <n v="9614"/>
    <n v="9.6140000000000008"/>
    <d v="2016-11-01T00:00:00"/>
    <x v="0"/>
    <x v="3"/>
  </r>
  <r>
    <x v="4"/>
    <x v="11"/>
    <s v="Desember"/>
    <s v="Division_A"/>
    <x v="23"/>
    <n v="2013"/>
    <n v="3"/>
    <s v="TM-1"/>
    <n v="23"/>
    <n v="2683"/>
    <s v="116.7"/>
    <x v="1"/>
    <n v="0.41"/>
    <n v="9430.5"/>
    <n v="9.43"/>
    <d v="2016-12-01T00:00:00"/>
    <x v="0"/>
    <x v="3"/>
  </r>
  <r>
    <x v="4"/>
    <x v="0"/>
    <s v="Januari"/>
    <s v="Division_A"/>
    <x v="24"/>
    <n v="2013"/>
    <n v="3"/>
    <s v="TM-1"/>
    <n v="24"/>
    <n v="3445"/>
    <s v="143.5"/>
    <x v="1"/>
    <n v="0.26500000000000001"/>
    <n v="6365.8"/>
    <n v="6.3659999999999997"/>
    <d v="2016-01-01T00:00:00"/>
    <x v="0"/>
    <x v="3"/>
  </r>
  <r>
    <x v="4"/>
    <x v="1"/>
    <s v="Februari"/>
    <s v="Division_A"/>
    <x v="24"/>
    <n v="2013"/>
    <n v="3"/>
    <s v="TM-1"/>
    <n v="24"/>
    <n v="3445"/>
    <s v="143.5"/>
    <x v="1"/>
    <n v="0.27100000000000002"/>
    <n v="6502.6"/>
    <n v="6.5030000000000001"/>
    <d v="2016-02-01T00:00:00"/>
    <x v="0"/>
    <x v="3"/>
  </r>
  <r>
    <x v="4"/>
    <x v="2"/>
    <s v="Maret"/>
    <s v="Division_A"/>
    <x v="24"/>
    <n v="2013"/>
    <n v="3"/>
    <s v="TM-1"/>
    <n v="24"/>
    <n v="3445"/>
    <s v="143.5"/>
    <x v="1"/>
    <n v="0.33300000000000002"/>
    <n v="7980"/>
    <n v="7.98"/>
    <d v="2016-03-01T00:00:00"/>
    <x v="0"/>
    <x v="3"/>
  </r>
  <r>
    <x v="4"/>
    <x v="3"/>
    <s v="April"/>
    <s v="Division_A"/>
    <x v="24"/>
    <n v="2013"/>
    <n v="3"/>
    <s v="TM-1"/>
    <n v="24"/>
    <n v="3445"/>
    <s v="143.5"/>
    <x v="1"/>
    <n v="0.19700000000000001"/>
    <n v="4733.3"/>
    <n v="4.7329999999999997"/>
    <d v="2016-04-01T00:00:00"/>
    <x v="0"/>
    <x v="3"/>
  </r>
  <r>
    <x v="4"/>
    <x v="4"/>
    <s v="Mei"/>
    <s v="Division_A"/>
    <x v="24"/>
    <n v="2013"/>
    <n v="3"/>
    <s v="TM-1"/>
    <n v="24"/>
    <n v="3445"/>
    <s v="143.5"/>
    <x v="1"/>
    <n v="0.45600000000000002"/>
    <n v="10934.9"/>
    <n v="10.935"/>
    <d v="2016-05-01T00:00:00"/>
    <x v="0"/>
    <x v="3"/>
  </r>
  <r>
    <x v="4"/>
    <x v="5"/>
    <s v="Juni"/>
    <s v="Division_A"/>
    <x v="24"/>
    <n v="2013"/>
    <n v="3"/>
    <s v="TM-1"/>
    <n v="24"/>
    <n v="3445"/>
    <s v="143.5"/>
    <x v="1"/>
    <n v="0.47599999999999998"/>
    <n v="11427.4"/>
    <n v="11.427"/>
    <d v="2016-06-01T00:00:00"/>
    <x v="0"/>
    <x v="3"/>
  </r>
  <r>
    <x v="4"/>
    <x v="6"/>
    <s v="Juli"/>
    <s v="Division_A"/>
    <x v="24"/>
    <n v="2013"/>
    <n v="3"/>
    <s v="TM-1"/>
    <n v="24"/>
    <n v="3445"/>
    <s v="143.5"/>
    <x v="1"/>
    <n v="0.35399999999999998"/>
    <n v="8490.7000000000007"/>
    <n v="8.4909999999999997"/>
    <d v="2016-07-01T00:00:00"/>
    <x v="0"/>
    <x v="3"/>
  </r>
  <r>
    <x v="4"/>
    <x v="7"/>
    <s v="Agustus"/>
    <s v="Division_A"/>
    <x v="24"/>
    <n v="2013"/>
    <n v="3"/>
    <s v="TM-1"/>
    <n v="24"/>
    <n v="3445"/>
    <s v="143.5"/>
    <x v="1"/>
    <n v="0.32600000000000001"/>
    <n v="7815.8"/>
    <n v="7.8159999999999998"/>
    <d v="2016-08-01T00:00:00"/>
    <x v="0"/>
    <x v="3"/>
  </r>
  <r>
    <x v="4"/>
    <x v="8"/>
    <s v="September"/>
    <s v="Division_A"/>
    <x v="24"/>
    <n v="2013"/>
    <n v="3"/>
    <s v="TM-1"/>
    <n v="24"/>
    <n v="3445"/>
    <s v="143.5"/>
    <x v="1"/>
    <n v="0.26300000000000001"/>
    <n v="6311"/>
    <n v="6.3109999999999999"/>
    <d v="2016-09-01T00:00:00"/>
    <x v="0"/>
    <x v="3"/>
  </r>
  <r>
    <x v="4"/>
    <x v="9"/>
    <s v="Oktober"/>
    <s v="Division_A"/>
    <x v="24"/>
    <n v="2013"/>
    <n v="3"/>
    <s v="TM-1"/>
    <n v="24"/>
    <n v="3445"/>
    <s v="143.5"/>
    <x v="1"/>
    <n v="0.46400000000000002"/>
    <n v="11126.4"/>
    <n v="11.125999999999999"/>
    <d v="2016-10-01T00:00:00"/>
    <x v="0"/>
    <x v="3"/>
  </r>
  <r>
    <x v="4"/>
    <x v="10"/>
    <s v="November"/>
    <s v="Division_A"/>
    <x v="24"/>
    <n v="2013"/>
    <n v="3"/>
    <s v="TM-1"/>
    <n v="24"/>
    <n v="3445"/>
    <s v="143.5"/>
    <x v="1"/>
    <n v="0.41799999999999998"/>
    <n v="10032"/>
    <n v="10.032"/>
    <d v="2016-11-01T00:00:00"/>
    <x v="0"/>
    <x v="3"/>
  </r>
  <r>
    <x v="4"/>
    <x v="11"/>
    <s v="Desember"/>
    <s v="Division_A"/>
    <x v="24"/>
    <n v="2013"/>
    <n v="3"/>
    <s v="TM-1"/>
    <n v="24"/>
    <n v="3445"/>
    <s v="143.5"/>
    <x v="1"/>
    <n v="0.41"/>
    <n v="9840.5"/>
    <n v="9.84"/>
    <d v="2016-12-01T00:00:00"/>
    <x v="0"/>
    <x v="3"/>
  </r>
  <r>
    <x v="4"/>
    <x v="0"/>
    <s v="Januari"/>
    <s v="Division_A"/>
    <x v="25"/>
    <n v="2013"/>
    <n v="3"/>
    <s v="TM-1"/>
    <n v="24"/>
    <n v="3271"/>
    <s v="136.3"/>
    <x v="1"/>
    <n v="0.26500000000000001"/>
    <n v="6365.8"/>
    <n v="6.3659999999999997"/>
    <d v="2016-01-01T00:00:00"/>
    <x v="0"/>
    <x v="3"/>
  </r>
  <r>
    <x v="4"/>
    <x v="1"/>
    <s v="Februari"/>
    <s v="Division_A"/>
    <x v="25"/>
    <n v="2013"/>
    <n v="3"/>
    <s v="TM-1"/>
    <n v="24"/>
    <n v="3271"/>
    <s v="136.3"/>
    <x v="1"/>
    <n v="0.27100000000000002"/>
    <n v="6502.6"/>
    <n v="6.5030000000000001"/>
    <d v="2016-02-01T00:00:00"/>
    <x v="0"/>
    <x v="3"/>
  </r>
  <r>
    <x v="4"/>
    <x v="2"/>
    <s v="Maret"/>
    <s v="Division_A"/>
    <x v="25"/>
    <n v="2013"/>
    <n v="3"/>
    <s v="TM-1"/>
    <n v="24"/>
    <n v="3271"/>
    <s v="136.3"/>
    <x v="1"/>
    <n v="0.33300000000000002"/>
    <n v="7980"/>
    <n v="7.98"/>
    <d v="2016-03-01T00:00:00"/>
    <x v="0"/>
    <x v="3"/>
  </r>
  <r>
    <x v="4"/>
    <x v="3"/>
    <s v="April"/>
    <s v="Division_A"/>
    <x v="25"/>
    <n v="2013"/>
    <n v="3"/>
    <s v="TM-1"/>
    <n v="24"/>
    <n v="3271"/>
    <s v="136.3"/>
    <x v="1"/>
    <n v="0.19700000000000001"/>
    <n v="4733.3"/>
    <n v="4.7329999999999997"/>
    <d v="2016-04-01T00:00:00"/>
    <x v="0"/>
    <x v="3"/>
  </r>
  <r>
    <x v="4"/>
    <x v="4"/>
    <s v="Mei"/>
    <s v="Division_A"/>
    <x v="25"/>
    <n v="2013"/>
    <n v="3"/>
    <s v="TM-1"/>
    <n v="24"/>
    <n v="3271"/>
    <s v="136.3"/>
    <x v="1"/>
    <n v="0.45600000000000002"/>
    <n v="10934.9"/>
    <n v="10.935"/>
    <d v="2016-05-01T00:00:00"/>
    <x v="0"/>
    <x v="3"/>
  </r>
  <r>
    <x v="4"/>
    <x v="5"/>
    <s v="Juni"/>
    <s v="Division_A"/>
    <x v="25"/>
    <n v="2013"/>
    <n v="3"/>
    <s v="TM-1"/>
    <n v="24"/>
    <n v="3271"/>
    <s v="136.3"/>
    <x v="1"/>
    <n v="0.47599999999999998"/>
    <n v="11427.4"/>
    <n v="11.427"/>
    <d v="2016-06-01T00:00:00"/>
    <x v="0"/>
    <x v="3"/>
  </r>
  <r>
    <x v="4"/>
    <x v="6"/>
    <s v="Juli"/>
    <s v="Division_A"/>
    <x v="25"/>
    <n v="2013"/>
    <n v="3"/>
    <s v="TM-1"/>
    <n v="24"/>
    <n v="3271"/>
    <s v="136.3"/>
    <x v="1"/>
    <n v="0.35399999999999998"/>
    <n v="8490.7000000000007"/>
    <n v="8.4909999999999997"/>
    <d v="2016-07-01T00:00:00"/>
    <x v="0"/>
    <x v="3"/>
  </r>
  <r>
    <x v="4"/>
    <x v="7"/>
    <s v="Agustus"/>
    <s v="Division_A"/>
    <x v="25"/>
    <n v="2013"/>
    <n v="3"/>
    <s v="TM-1"/>
    <n v="24"/>
    <n v="3271"/>
    <s v="136.3"/>
    <x v="1"/>
    <n v="0.32600000000000001"/>
    <n v="7815.8"/>
    <n v="7.8159999999999998"/>
    <d v="2016-08-01T00:00:00"/>
    <x v="0"/>
    <x v="3"/>
  </r>
  <r>
    <x v="4"/>
    <x v="8"/>
    <s v="September"/>
    <s v="Division_A"/>
    <x v="25"/>
    <n v="2013"/>
    <n v="3"/>
    <s v="TM-1"/>
    <n v="24"/>
    <n v="3271"/>
    <s v="136.3"/>
    <x v="1"/>
    <n v="0.26300000000000001"/>
    <n v="6311"/>
    <n v="6.3109999999999999"/>
    <d v="2016-09-01T00:00:00"/>
    <x v="0"/>
    <x v="3"/>
  </r>
  <r>
    <x v="4"/>
    <x v="9"/>
    <s v="Oktober"/>
    <s v="Division_A"/>
    <x v="25"/>
    <n v="2013"/>
    <n v="3"/>
    <s v="TM-1"/>
    <n v="24"/>
    <n v="3271"/>
    <s v="136.3"/>
    <x v="1"/>
    <n v="0.46400000000000002"/>
    <n v="11126.4"/>
    <n v="11.125999999999999"/>
    <d v="2016-10-01T00:00:00"/>
    <x v="0"/>
    <x v="3"/>
  </r>
  <r>
    <x v="4"/>
    <x v="10"/>
    <s v="November"/>
    <s v="Division_A"/>
    <x v="25"/>
    <n v="2013"/>
    <n v="3"/>
    <s v="TM-1"/>
    <n v="24"/>
    <n v="3271"/>
    <s v="136.3"/>
    <x v="1"/>
    <n v="0.41799999999999998"/>
    <n v="10032"/>
    <n v="10.032"/>
    <d v="2016-11-01T00:00:00"/>
    <x v="0"/>
    <x v="3"/>
  </r>
  <r>
    <x v="4"/>
    <x v="11"/>
    <s v="Desember"/>
    <s v="Division_A"/>
    <x v="25"/>
    <n v="2013"/>
    <n v="3"/>
    <s v="TM-1"/>
    <n v="24"/>
    <n v="3271"/>
    <s v="136.3"/>
    <x v="1"/>
    <n v="0.41"/>
    <n v="9840.5"/>
    <n v="9.84"/>
    <d v="2016-12-01T00:00:00"/>
    <x v="0"/>
    <x v="3"/>
  </r>
  <r>
    <x v="4"/>
    <x v="0"/>
    <s v="Januari"/>
    <s v="Division_A"/>
    <x v="26"/>
    <n v="2013"/>
    <n v="3"/>
    <s v="TM-1"/>
    <n v="25"/>
    <n v="3291"/>
    <s v="131.6"/>
    <x v="1"/>
    <n v="0.26500000000000001"/>
    <n v="6631"/>
    <n v="6.6310000000000002"/>
    <d v="2016-01-01T00:00:00"/>
    <x v="0"/>
    <x v="3"/>
  </r>
  <r>
    <x v="4"/>
    <x v="1"/>
    <s v="Februari"/>
    <s v="Division_A"/>
    <x v="26"/>
    <n v="2013"/>
    <n v="3"/>
    <s v="TM-1"/>
    <n v="25"/>
    <n v="3291"/>
    <s v="131.6"/>
    <x v="1"/>
    <n v="0.27100000000000002"/>
    <n v="6773.5"/>
    <n v="6.774"/>
    <d v="2016-02-01T00:00:00"/>
    <x v="0"/>
    <x v="3"/>
  </r>
  <r>
    <x v="4"/>
    <x v="2"/>
    <s v="Maret"/>
    <s v="Division_A"/>
    <x v="26"/>
    <n v="2013"/>
    <n v="3"/>
    <s v="TM-1"/>
    <n v="25"/>
    <n v="3291"/>
    <s v="131.6"/>
    <x v="1"/>
    <n v="0.33300000000000002"/>
    <n v="8312.5"/>
    <n v="8.3119999999999994"/>
    <d v="2016-03-01T00:00:00"/>
    <x v="0"/>
    <x v="3"/>
  </r>
  <r>
    <x v="4"/>
    <x v="3"/>
    <s v="April"/>
    <s v="Division_A"/>
    <x v="26"/>
    <n v="2013"/>
    <n v="3"/>
    <s v="TM-1"/>
    <n v="25"/>
    <n v="3291"/>
    <s v="131.6"/>
    <x v="1"/>
    <n v="0.19700000000000001"/>
    <n v="4930.5"/>
    <n v="4.931"/>
    <d v="2016-04-01T00:00:00"/>
    <x v="0"/>
    <x v="3"/>
  </r>
  <r>
    <x v="4"/>
    <x v="4"/>
    <s v="Mei"/>
    <s v="Division_A"/>
    <x v="26"/>
    <n v="2013"/>
    <n v="3"/>
    <s v="TM-1"/>
    <n v="25"/>
    <n v="3291"/>
    <s v="131.6"/>
    <x v="1"/>
    <n v="0.45600000000000002"/>
    <n v="11390.5"/>
    <n v="11.391"/>
    <d v="2016-05-01T00:00:00"/>
    <x v="0"/>
    <x v="3"/>
  </r>
  <r>
    <x v="4"/>
    <x v="5"/>
    <s v="Juni"/>
    <s v="Division_A"/>
    <x v="26"/>
    <n v="2013"/>
    <n v="3"/>
    <s v="TM-1"/>
    <n v="25"/>
    <n v="3291"/>
    <s v="131.6"/>
    <x v="1"/>
    <n v="0.47599999999999998"/>
    <n v="11903.5"/>
    <n v="11.903"/>
    <d v="2016-06-01T00:00:00"/>
    <x v="0"/>
    <x v="3"/>
  </r>
  <r>
    <x v="4"/>
    <x v="6"/>
    <s v="Juli"/>
    <s v="Division_A"/>
    <x v="26"/>
    <n v="2013"/>
    <n v="3"/>
    <s v="TM-1"/>
    <n v="25"/>
    <n v="3291"/>
    <s v="131.6"/>
    <x v="1"/>
    <n v="0.35399999999999998"/>
    <n v="8844.5"/>
    <n v="8.8450000000000006"/>
    <d v="2016-07-01T00:00:00"/>
    <x v="0"/>
    <x v="3"/>
  </r>
  <r>
    <x v="4"/>
    <x v="7"/>
    <s v="Agustus"/>
    <s v="Division_A"/>
    <x v="26"/>
    <n v="2013"/>
    <n v="3"/>
    <s v="TM-1"/>
    <n v="25"/>
    <n v="3291"/>
    <s v="131.6"/>
    <x v="1"/>
    <n v="0.32600000000000001"/>
    <n v="8141.5"/>
    <n v="8.1419999999999995"/>
    <d v="2016-08-01T00:00:00"/>
    <x v="0"/>
    <x v="3"/>
  </r>
  <r>
    <x v="4"/>
    <x v="8"/>
    <s v="September"/>
    <s v="Division_A"/>
    <x v="26"/>
    <n v="2013"/>
    <n v="3"/>
    <s v="TM-1"/>
    <n v="25"/>
    <n v="3291"/>
    <s v="131.6"/>
    <x v="1"/>
    <n v="0.26300000000000001"/>
    <n v="6574"/>
    <n v="6.5739999999999998"/>
    <d v="2016-09-01T00:00:00"/>
    <x v="0"/>
    <x v="3"/>
  </r>
  <r>
    <x v="4"/>
    <x v="9"/>
    <s v="Oktober"/>
    <s v="Division_A"/>
    <x v="26"/>
    <n v="2013"/>
    <n v="3"/>
    <s v="TM-1"/>
    <n v="25"/>
    <n v="3291"/>
    <s v="131.6"/>
    <x v="1"/>
    <n v="0.46400000000000002"/>
    <n v="11590"/>
    <n v="11.59"/>
    <d v="2016-10-01T00:00:00"/>
    <x v="0"/>
    <x v="3"/>
  </r>
  <r>
    <x v="4"/>
    <x v="10"/>
    <s v="November"/>
    <s v="Division_A"/>
    <x v="26"/>
    <n v="2013"/>
    <n v="3"/>
    <s v="TM-1"/>
    <n v="25"/>
    <n v="3291"/>
    <s v="131.6"/>
    <x v="1"/>
    <n v="0.41799999999999998"/>
    <n v="10450"/>
    <n v="10.45"/>
    <d v="2016-11-01T00:00:00"/>
    <x v="0"/>
    <x v="3"/>
  </r>
  <r>
    <x v="4"/>
    <x v="11"/>
    <s v="Desember"/>
    <s v="Division_A"/>
    <x v="26"/>
    <n v="2013"/>
    <n v="3"/>
    <s v="TM-1"/>
    <n v="25"/>
    <n v="3291"/>
    <s v="131.6"/>
    <x v="1"/>
    <n v="0.41"/>
    <n v="10250.5"/>
    <n v="10.250999999999999"/>
    <d v="2016-12-01T00:00:00"/>
    <x v="0"/>
    <x v="3"/>
  </r>
  <r>
    <x v="4"/>
    <x v="0"/>
    <s v="Januari"/>
    <s v="Division_A"/>
    <x v="27"/>
    <n v="2014"/>
    <n v="2"/>
    <s v="TBM"/>
    <n v="24"/>
    <n v="2208"/>
    <s v="92"/>
    <x v="1"/>
    <n v="0"/>
    <n v="0"/>
    <n v="0"/>
    <d v="2016-01-01T00:00:00"/>
    <x v="1"/>
    <x v="2"/>
  </r>
  <r>
    <x v="4"/>
    <x v="1"/>
    <s v="Februari"/>
    <s v="Division_A"/>
    <x v="27"/>
    <n v="2014"/>
    <n v="2"/>
    <s v="TBM"/>
    <n v="24"/>
    <n v="2208"/>
    <s v="92"/>
    <x v="1"/>
    <n v="0"/>
    <n v="0"/>
    <n v="0"/>
    <d v="2016-02-01T00:00:00"/>
    <x v="1"/>
    <x v="2"/>
  </r>
  <r>
    <x v="4"/>
    <x v="2"/>
    <s v="Maret"/>
    <s v="Division_A"/>
    <x v="27"/>
    <n v="2014"/>
    <n v="2"/>
    <s v="TBM"/>
    <n v="24"/>
    <n v="2208"/>
    <s v="92"/>
    <x v="1"/>
    <n v="0"/>
    <n v="0"/>
    <n v="0"/>
    <d v="2016-03-01T00:00:00"/>
    <x v="1"/>
    <x v="2"/>
  </r>
  <r>
    <x v="4"/>
    <x v="3"/>
    <s v="April"/>
    <s v="Division_A"/>
    <x v="27"/>
    <n v="2014"/>
    <n v="2"/>
    <s v="TBM"/>
    <n v="24"/>
    <n v="2208"/>
    <s v="92"/>
    <x v="1"/>
    <n v="0"/>
    <n v="0"/>
    <n v="0"/>
    <d v="2016-04-01T00:00:00"/>
    <x v="1"/>
    <x v="2"/>
  </r>
  <r>
    <x v="4"/>
    <x v="4"/>
    <s v="Mei"/>
    <s v="Division_A"/>
    <x v="27"/>
    <n v="2014"/>
    <n v="2"/>
    <s v="TBM"/>
    <n v="24"/>
    <n v="2208"/>
    <s v="92"/>
    <x v="1"/>
    <n v="0"/>
    <n v="0"/>
    <n v="0"/>
    <d v="2016-05-01T00:00:00"/>
    <x v="1"/>
    <x v="2"/>
  </r>
  <r>
    <x v="4"/>
    <x v="5"/>
    <s v="Juni"/>
    <s v="Division_A"/>
    <x v="27"/>
    <n v="2014"/>
    <n v="2"/>
    <s v="TBM"/>
    <n v="24"/>
    <n v="2208"/>
    <s v="92"/>
    <x v="1"/>
    <n v="0"/>
    <n v="0"/>
    <n v="0"/>
    <d v="2016-06-01T00:00:00"/>
    <x v="1"/>
    <x v="2"/>
  </r>
  <r>
    <x v="4"/>
    <x v="6"/>
    <s v="Juli"/>
    <s v="Division_A"/>
    <x v="27"/>
    <n v="2014"/>
    <n v="2"/>
    <s v="TBM"/>
    <n v="24"/>
    <n v="2208"/>
    <s v="92"/>
    <x v="1"/>
    <n v="0"/>
    <n v="0"/>
    <n v="0"/>
    <d v="2016-07-01T00:00:00"/>
    <x v="1"/>
    <x v="2"/>
  </r>
  <r>
    <x v="4"/>
    <x v="7"/>
    <s v="Agustus"/>
    <s v="Division_A"/>
    <x v="27"/>
    <n v="2014"/>
    <n v="2"/>
    <s v="TBM"/>
    <n v="24"/>
    <n v="2208"/>
    <s v="92"/>
    <x v="1"/>
    <n v="0"/>
    <n v="0"/>
    <n v="0"/>
    <d v="2016-08-01T00:00:00"/>
    <x v="1"/>
    <x v="2"/>
  </r>
  <r>
    <x v="4"/>
    <x v="8"/>
    <s v="September"/>
    <s v="Division_A"/>
    <x v="27"/>
    <n v="2014"/>
    <n v="2"/>
    <s v="TBM"/>
    <n v="24"/>
    <n v="2208"/>
    <s v="92"/>
    <x v="1"/>
    <n v="0"/>
    <n v="0"/>
    <n v="0"/>
    <d v="2016-09-01T00:00:00"/>
    <x v="1"/>
    <x v="2"/>
  </r>
  <r>
    <x v="4"/>
    <x v="9"/>
    <s v="Oktober"/>
    <s v="Division_A"/>
    <x v="27"/>
    <n v="2014"/>
    <n v="2"/>
    <s v="TBM"/>
    <n v="24"/>
    <n v="2208"/>
    <s v="92"/>
    <x v="1"/>
    <n v="0"/>
    <n v="0"/>
    <n v="0"/>
    <d v="2016-10-01T00:00:00"/>
    <x v="1"/>
    <x v="2"/>
  </r>
  <r>
    <x v="4"/>
    <x v="10"/>
    <s v="November"/>
    <s v="Division_A"/>
    <x v="27"/>
    <n v="2014"/>
    <n v="2"/>
    <s v="TBM"/>
    <n v="24"/>
    <n v="2208"/>
    <s v="92"/>
    <x v="1"/>
    <n v="0"/>
    <n v="0"/>
    <n v="0"/>
    <d v="2016-11-01T00:00:00"/>
    <x v="1"/>
    <x v="2"/>
  </r>
  <r>
    <x v="4"/>
    <x v="11"/>
    <s v="Desember"/>
    <s v="Division_A"/>
    <x v="27"/>
    <n v="2014"/>
    <n v="2"/>
    <s v="TBM"/>
    <n v="24"/>
    <n v="2208"/>
    <s v="92"/>
    <x v="1"/>
    <n v="0"/>
    <n v="0"/>
    <n v="0"/>
    <d v="2016-12-01T00:00:00"/>
    <x v="1"/>
    <x v="2"/>
  </r>
  <r>
    <x v="4"/>
    <x v="0"/>
    <s v="Januari"/>
    <s v="Division_A"/>
    <x v="28"/>
    <n v="2014"/>
    <n v="2"/>
    <s v="TBM"/>
    <n v="20"/>
    <n v="1954"/>
    <s v="97.7"/>
    <x v="1"/>
    <n v="0"/>
    <n v="0"/>
    <n v="0"/>
    <d v="2016-01-01T00:00:00"/>
    <x v="1"/>
    <x v="2"/>
  </r>
  <r>
    <x v="4"/>
    <x v="1"/>
    <s v="Februari"/>
    <s v="Division_A"/>
    <x v="28"/>
    <n v="2014"/>
    <n v="2"/>
    <s v="TBM"/>
    <n v="20"/>
    <n v="1954"/>
    <s v="97.7"/>
    <x v="1"/>
    <n v="0"/>
    <n v="0"/>
    <n v="0"/>
    <d v="2016-02-01T00:00:00"/>
    <x v="1"/>
    <x v="2"/>
  </r>
  <r>
    <x v="4"/>
    <x v="2"/>
    <s v="Maret"/>
    <s v="Division_A"/>
    <x v="28"/>
    <n v="2014"/>
    <n v="2"/>
    <s v="TBM"/>
    <n v="20"/>
    <n v="1954"/>
    <s v="97.7"/>
    <x v="1"/>
    <n v="0"/>
    <n v="0"/>
    <n v="0"/>
    <d v="2016-03-01T00:00:00"/>
    <x v="1"/>
    <x v="2"/>
  </r>
  <r>
    <x v="4"/>
    <x v="3"/>
    <s v="April"/>
    <s v="Division_A"/>
    <x v="28"/>
    <n v="2014"/>
    <n v="2"/>
    <s v="TBM"/>
    <n v="20"/>
    <n v="1954"/>
    <s v="97.7"/>
    <x v="1"/>
    <n v="0"/>
    <n v="0"/>
    <n v="0"/>
    <d v="2016-04-01T00:00:00"/>
    <x v="1"/>
    <x v="2"/>
  </r>
  <r>
    <x v="4"/>
    <x v="4"/>
    <s v="Mei"/>
    <s v="Division_A"/>
    <x v="28"/>
    <n v="2014"/>
    <n v="2"/>
    <s v="TBM"/>
    <n v="20"/>
    <n v="1954"/>
    <s v="97.7"/>
    <x v="1"/>
    <n v="0"/>
    <n v="0"/>
    <n v="0"/>
    <d v="2016-05-01T00:00:00"/>
    <x v="1"/>
    <x v="2"/>
  </r>
  <r>
    <x v="4"/>
    <x v="5"/>
    <s v="Juni"/>
    <s v="Division_A"/>
    <x v="28"/>
    <n v="2014"/>
    <n v="2"/>
    <s v="TBM"/>
    <n v="20"/>
    <n v="1954"/>
    <s v="97.7"/>
    <x v="1"/>
    <n v="0"/>
    <n v="0"/>
    <n v="0"/>
    <d v="2016-06-01T00:00:00"/>
    <x v="1"/>
    <x v="2"/>
  </r>
  <r>
    <x v="4"/>
    <x v="6"/>
    <s v="Juli"/>
    <s v="Division_A"/>
    <x v="28"/>
    <n v="2014"/>
    <n v="2"/>
    <s v="TBM"/>
    <n v="20"/>
    <n v="1954"/>
    <s v="97.7"/>
    <x v="1"/>
    <n v="0"/>
    <n v="0"/>
    <n v="0"/>
    <d v="2016-07-01T00:00:00"/>
    <x v="1"/>
    <x v="2"/>
  </r>
  <r>
    <x v="4"/>
    <x v="7"/>
    <s v="Agustus"/>
    <s v="Division_A"/>
    <x v="28"/>
    <n v="2014"/>
    <n v="2"/>
    <s v="TBM"/>
    <n v="20"/>
    <n v="1954"/>
    <s v="97.7"/>
    <x v="1"/>
    <n v="0"/>
    <n v="0"/>
    <n v="0"/>
    <d v="2016-08-01T00:00:00"/>
    <x v="1"/>
    <x v="2"/>
  </r>
  <r>
    <x v="4"/>
    <x v="8"/>
    <s v="September"/>
    <s v="Division_A"/>
    <x v="28"/>
    <n v="2014"/>
    <n v="2"/>
    <s v="TBM"/>
    <n v="20"/>
    <n v="1954"/>
    <s v="97.7"/>
    <x v="1"/>
    <n v="0"/>
    <n v="0"/>
    <n v="0"/>
    <d v="2016-09-01T00:00:00"/>
    <x v="1"/>
    <x v="2"/>
  </r>
  <r>
    <x v="4"/>
    <x v="9"/>
    <s v="Oktober"/>
    <s v="Division_A"/>
    <x v="28"/>
    <n v="2014"/>
    <n v="2"/>
    <s v="TBM"/>
    <n v="20"/>
    <n v="1954"/>
    <s v="97.7"/>
    <x v="1"/>
    <n v="0"/>
    <n v="0"/>
    <n v="0"/>
    <d v="2016-10-01T00:00:00"/>
    <x v="1"/>
    <x v="2"/>
  </r>
  <r>
    <x v="4"/>
    <x v="10"/>
    <s v="November"/>
    <s v="Division_A"/>
    <x v="28"/>
    <n v="2014"/>
    <n v="2"/>
    <s v="TBM"/>
    <n v="20"/>
    <n v="1954"/>
    <s v="97.7"/>
    <x v="1"/>
    <n v="0"/>
    <n v="0"/>
    <n v="0"/>
    <d v="2016-11-01T00:00:00"/>
    <x v="1"/>
    <x v="2"/>
  </r>
  <r>
    <x v="4"/>
    <x v="11"/>
    <s v="Desember"/>
    <s v="Division_A"/>
    <x v="28"/>
    <n v="2014"/>
    <n v="2"/>
    <s v="TBM"/>
    <n v="20"/>
    <n v="1954"/>
    <s v="97.7"/>
    <x v="1"/>
    <n v="0"/>
    <n v="0"/>
    <n v="0"/>
    <d v="2016-12-01T00:00:00"/>
    <x v="1"/>
    <x v="2"/>
  </r>
  <r>
    <x v="4"/>
    <x v="0"/>
    <s v="Januari"/>
    <s v="Division_A"/>
    <x v="29"/>
    <n v="2014"/>
    <n v="2"/>
    <s v="TBM"/>
    <n v="24"/>
    <n v="1329"/>
    <s v="55.4"/>
    <x v="1"/>
    <n v="0"/>
    <n v="0"/>
    <n v="0"/>
    <d v="2016-01-01T00:00:00"/>
    <x v="1"/>
    <x v="2"/>
  </r>
  <r>
    <x v="4"/>
    <x v="1"/>
    <s v="Februari"/>
    <s v="Division_A"/>
    <x v="29"/>
    <n v="2014"/>
    <n v="2"/>
    <s v="TBM"/>
    <n v="24"/>
    <n v="1329"/>
    <s v="55.4"/>
    <x v="1"/>
    <n v="0"/>
    <n v="0"/>
    <n v="0"/>
    <d v="2016-02-01T00:00:00"/>
    <x v="1"/>
    <x v="2"/>
  </r>
  <r>
    <x v="4"/>
    <x v="2"/>
    <s v="Maret"/>
    <s v="Division_A"/>
    <x v="29"/>
    <n v="2014"/>
    <n v="2"/>
    <s v="TBM"/>
    <n v="24"/>
    <n v="1329"/>
    <s v="55.4"/>
    <x v="1"/>
    <n v="0"/>
    <n v="0"/>
    <n v="0"/>
    <d v="2016-03-01T00:00:00"/>
    <x v="1"/>
    <x v="2"/>
  </r>
  <r>
    <x v="4"/>
    <x v="3"/>
    <s v="April"/>
    <s v="Division_A"/>
    <x v="29"/>
    <n v="2014"/>
    <n v="2"/>
    <s v="TBM"/>
    <n v="24"/>
    <n v="1329"/>
    <s v="55.4"/>
    <x v="1"/>
    <n v="0"/>
    <n v="0"/>
    <n v="0"/>
    <d v="2016-04-01T00:00:00"/>
    <x v="1"/>
    <x v="2"/>
  </r>
  <r>
    <x v="4"/>
    <x v="4"/>
    <s v="Mei"/>
    <s v="Division_A"/>
    <x v="29"/>
    <n v="2014"/>
    <n v="2"/>
    <s v="TBM"/>
    <n v="24"/>
    <n v="1329"/>
    <s v="55.4"/>
    <x v="1"/>
    <n v="0"/>
    <n v="0"/>
    <n v="0"/>
    <d v="2016-05-01T00:00:00"/>
    <x v="1"/>
    <x v="2"/>
  </r>
  <r>
    <x v="4"/>
    <x v="5"/>
    <s v="Juni"/>
    <s v="Division_A"/>
    <x v="29"/>
    <n v="2014"/>
    <n v="2"/>
    <s v="TBM"/>
    <n v="24"/>
    <n v="1329"/>
    <s v="55.4"/>
    <x v="1"/>
    <n v="0"/>
    <n v="0"/>
    <n v="0"/>
    <d v="2016-06-01T00:00:00"/>
    <x v="1"/>
    <x v="2"/>
  </r>
  <r>
    <x v="4"/>
    <x v="6"/>
    <s v="Juli"/>
    <s v="Division_A"/>
    <x v="29"/>
    <n v="2014"/>
    <n v="2"/>
    <s v="TBM"/>
    <n v="24"/>
    <n v="1329"/>
    <s v="55.4"/>
    <x v="1"/>
    <n v="0"/>
    <n v="0"/>
    <n v="0"/>
    <d v="2016-07-01T00:00:00"/>
    <x v="1"/>
    <x v="2"/>
  </r>
  <r>
    <x v="4"/>
    <x v="7"/>
    <s v="Agustus"/>
    <s v="Division_A"/>
    <x v="29"/>
    <n v="2014"/>
    <n v="2"/>
    <s v="TBM"/>
    <n v="24"/>
    <n v="1329"/>
    <s v="55.4"/>
    <x v="1"/>
    <n v="0"/>
    <n v="0"/>
    <n v="0"/>
    <d v="2016-08-01T00:00:00"/>
    <x v="1"/>
    <x v="2"/>
  </r>
  <r>
    <x v="4"/>
    <x v="8"/>
    <s v="September"/>
    <s v="Division_A"/>
    <x v="29"/>
    <n v="2014"/>
    <n v="2"/>
    <s v="TBM"/>
    <n v="24"/>
    <n v="1329"/>
    <s v="55.4"/>
    <x v="1"/>
    <n v="0"/>
    <n v="0"/>
    <n v="0"/>
    <d v="2016-09-01T00:00:00"/>
    <x v="1"/>
    <x v="2"/>
  </r>
  <r>
    <x v="4"/>
    <x v="9"/>
    <s v="Oktober"/>
    <s v="Division_A"/>
    <x v="29"/>
    <n v="2014"/>
    <n v="2"/>
    <s v="TBM"/>
    <n v="24"/>
    <n v="1329"/>
    <s v="55.4"/>
    <x v="1"/>
    <n v="0"/>
    <n v="0"/>
    <n v="0"/>
    <d v="2016-10-01T00:00:00"/>
    <x v="1"/>
    <x v="2"/>
  </r>
  <r>
    <x v="4"/>
    <x v="10"/>
    <s v="November"/>
    <s v="Division_A"/>
    <x v="29"/>
    <n v="2014"/>
    <n v="2"/>
    <s v="TBM"/>
    <n v="24"/>
    <n v="1329"/>
    <s v="55.4"/>
    <x v="1"/>
    <n v="0"/>
    <n v="0"/>
    <n v="0"/>
    <d v="2016-11-01T00:00:00"/>
    <x v="1"/>
    <x v="2"/>
  </r>
  <r>
    <x v="4"/>
    <x v="11"/>
    <s v="Desember"/>
    <s v="Division_A"/>
    <x v="29"/>
    <n v="2014"/>
    <n v="2"/>
    <s v="TBM"/>
    <n v="24"/>
    <n v="1329"/>
    <s v="55.4"/>
    <x v="1"/>
    <n v="0"/>
    <n v="0"/>
    <n v="0"/>
    <d v="2016-12-01T00:00:00"/>
    <x v="1"/>
    <x v="2"/>
  </r>
  <r>
    <x v="4"/>
    <x v="0"/>
    <s v="Januari"/>
    <s v="Division_A"/>
    <x v="30"/>
    <n v="2014"/>
    <n v="2"/>
    <s v="TBM"/>
    <n v="24"/>
    <n v="1573"/>
    <s v="65.5"/>
    <x v="1"/>
    <n v="0"/>
    <n v="0"/>
    <n v="0"/>
    <d v="2016-01-01T00:00:00"/>
    <x v="1"/>
    <x v="2"/>
  </r>
  <r>
    <x v="4"/>
    <x v="1"/>
    <s v="Februari"/>
    <s v="Division_A"/>
    <x v="30"/>
    <n v="2014"/>
    <n v="2"/>
    <s v="TBM"/>
    <n v="24"/>
    <n v="1573"/>
    <s v="65.5"/>
    <x v="1"/>
    <n v="0"/>
    <n v="0"/>
    <n v="0"/>
    <d v="2016-02-01T00:00:00"/>
    <x v="1"/>
    <x v="2"/>
  </r>
  <r>
    <x v="4"/>
    <x v="2"/>
    <s v="Maret"/>
    <s v="Division_A"/>
    <x v="30"/>
    <n v="2014"/>
    <n v="2"/>
    <s v="TBM"/>
    <n v="24"/>
    <n v="1573"/>
    <s v="65.5"/>
    <x v="1"/>
    <n v="0"/>
    <n v="0"/>
    <n v="0"/>
    <d v="2016-03-01T00:00:00"/>
    <x v="1"/>
    <x v="2"/>
  </r>
  <r>
    <x v="4"/>
    <x v="3"/>
    <s v="April"/>
    <s v="Division_A"/>
    <x v="30"/>
    <n v="2014"/>
    <n v="2"/>
    <s v="TBM"/>
    <n v="24"/>
    <n v="1573"/>
    <s v="65.5"/>
    <x v="1"/>
    <n v="0"/>
    <n v="0"/>
    <n v="0"/>
    <d v="2016-04-01T00:00:00"/>
    <x v="1"/>
    <x v="2"/>
  </r>
  <r>
    <x v="4"/>
    <x v="4"/>
    <s v="Mei"/>
    <s v="Division_A"/>
    <x v="30"/>
    <n v="2014"/>
    <n v="2"/>
    <s v="TBM"/>
    <n v="24"/>
    <n v="1573"/>
    <s v="65.5"/>
    <x v="1"/>
    <n v="0"/>
    <n v="0"/>
    <n v="0"/>
    <d v="2016-05-01T00:00:00"/>
    <x v="1"/>
    <x v="2"/>
  </r>
  <r>
    <x v="4"/>
    <x v="5"/>
    <s v="Juni"/>
    <s v="Division_A"/>
    <x v="30"/>
    <n v="2014"/>
    <n v="2"/>
    <s v="TBM"/>
    <n v="24"/>
    <n v="1573"/>
    <s v="65.5"/>
    <x v="1"/>
    <n v="0"/>
    <n v="0"/>
    <n v="0"/>
    <d v="2016-06-01T00:00:00"/>
    <x v="1"/>
    <x v="2"/>
  </r>
  <r>
    <x v="4"/>
    <x v="6"/>
    <s v="Juli"/>
    <s v="Division_A"/>
    <x v="30"/>
    <n v="2014"/>
    <n v="2"/>
    <s v="TBM"/>
    <n v="24"/>
    <n v="1573"/>
    <s v="65.5"/>
    <x v="1"/>
    <n v="0"/>
    <n v="0"/>
    <n v="0"/>
    <d v="2016-07-01T00:00:00"/>
    <x v="1"/>
    <x v="2"/>
  </r>
  <r>
    <x v="4"/>
    <x v="7"/>
    <s v="Agustus"/>
    <s v="Division_A"/>
    <x v="30"/>
    <n v="2014"/>
    <n v="2"/>
    <s v="TBM"/>
    <n v="24"/>
    <n v="1573"/>
    <s v="65.5"/>
    <x v="1"/>
    <n v="0"/>
    <n v="0"/>
    <n v="0"/>
    <d v="2016-08-01T00:00:00"/>
    <x v="1"/>
    <x v="2"/>
  </r>
  <r>
    <x v="4"/>
    <x v="8"/>
    <s v="September"/>
    <s v="Division_A"/>
    <x v="30"/>
    <n v="2014"/>
    <n v="2"/>
    <s v="TBM"/>
    <n v="24"/>
    <n v="1573"/>
    <s v="65.5"/>
    <x v="1"/>
    <n v="0"/>
    <n v="0"/>
    <n v="0"/>
    <d v="2016-09-01T00:00:00"/>
    <x v="1"/>
    <x v="2"/>
  </r>
  <r>
    <x v="4"/>
    <x v="9"/>
    <s v="Oktober"/>
    <s v="Division_A"/>
    <x v="30"/>
    <n v="2014"/>
    <n v="2"/>
    <s v="TBM"/>
    <n v="24"/>
    <n v="1573"/>
    <s v="65.5"/>
    <x v="1"/>
    <n v="0"/>
    <n v="0"/>
    <n v="0"/>
    <d v="2016-10-01T00:00:00"/>
    <x v="1"/>
    <x v="2"/>
  </r>
  <r>
    <x v="4"/>
    <x v="10"/>
    <s v="November"/>
    <s v="Division_A"/>
    <x v="30"/>
    <n v="2014"/>
    <n v="2"/>
    <s v="TBM"/>
    <n v="24"/>
    <n v="1573"/>
    <s v="65.5"/>
    <x v="1"/>
    <n v="0"/>
    <n v="0"/>
    <n v="0"/>
    <d v="2016-11-01T00:00:00"/>
    <x v="1"/>
    <x v="2"/>
  </r>
  <r>
    <x v="4"/>
    <x v="11"/>
    <s v="Desember"/>
    <s v="Division_A"/>
    <x v="30"/>
    <n v="2014"/>
    <n v="2"/>
    <s v="TBM"/>
    <n v="24"/>
    <n v="1573"/>
    <s v="65.5"/>
    <x v="1"/>
    <n v="0"/>
    <n v="0"/>
    <n v="0"/>
    <d v="2016-12-01T00:00:00"/>
    <x v="1"/>
    <x v="2"/>
  </r>
  <r>
    <x v="4"/>
    <x v="0"/>
    <s v="Januari"/>
    <s v="Division_A"/>
    <x v="31"/>
    <n v="2016"/>
    <n v="0"/>
    <s v="TBM"/>
    <n v="22"/>
    <n v="3137"/>
    <s v="142.6"/>
    <x v="0"/>
    <n v="0"/>
    <n v="0"/>
    <n v="0"/>
    <d v="2016-01-01T00:00:00"/>
    <x v="1"/>
    <x v="2"/>
  </r>
  <r>
    <x v="4"/>
    <x v="1"/>
    <s v="Februari"/>
    <s v="Division_A"/>
    <x v="31"/>
    <n v="2016"/>
    <n v="0"/>
    <s v="TBM"/>
    <n v="22"/>
    <n v="3137"/>
    <s v="142.6"/>
    <x v="0"/>
    <n v="0"/>
    <n v="0"/>
    <n v="0"/>
    <d v="2016-02-01T00:00:00"/>
    <x v="1"/>
    <x v="2"/>
  </r>
  <r>
    <x v="4"/>
    <x v="2"/>
    <s v="Maret"/>
    <s v="Division_A"/>
    <x v="31"/>
    <n v="2016"/>
    <n v="0"/>
    <s v="TBM"/>
    <n v="22"/>
    <n v="3137"/>
    <s v="142.6"/>
    <x v="0"/>
    <n v="0"/>
    <n v="0"/>
    <n v="0"/>
    <d v="2016-03-01T00:00:00"/>
    <x v="1"/>
    <x v="2"/>
  </r>
  <r>
    <x v="4"/>
    <x v="3"/>
    <s v="April"/>
    <s v="Division_A"/>
    <x v="31"/>
    <n v="2016"/>
    <n v="0"/>
    <s v="TBM"/>
    <n v="22"/>
    <n v="3137"/>
    <s v="142.6"/>
    <x v="0"/>
    <n v="0"/>
    <n v="0"/>
    <n v="0"/>
    <d v="2016-04-01T00:00:00"/>
    <x v="1"/>
    <x v="2"/>
  </r>
  <r>
    <x v="4"/>
    <x v="4"/>
    <s v="Mei"/>
    <s v="Division_A"/>
    <x v="31"/>
    <n v="2016"/>
    <n v="0"/>
    <s v="TBM"/>
    <n v="22"/>
    <n v="3137"/>
    <s v="142.6"/>
    <x v="0"/>
    <n v="0"/>
    <n v="0"/>
    <n v="0"/>
    <d v="2016-05-01T00:00:00"/>
    <x v="1"/>
    <x v="2"/>
  </r>
  <r>
    <x v="4"/>
    <x v="5"/>
    <s v="Juni"/>
    <s v="Division_A"/>
    <x v="31"/>
    <n v="2016"/>
    <n v="0"/>
    <s v="TBM"/>
    <n v="22"/>
    <n v="3137"/>
    <s v="142.6"/>
    <x v="0"/>
    <n v="0"/>
    <n v="0"/>
    <n v="0"/>
    <d v="2016-06-01T00:00:00"/>
    <x v="1"/>
    <x v="2"/>
  </r>
  <r>
    <x v="4"/>
    <x v="6"/>
    <s v="Juli"/>
    <s v="Division_A"/>
    <x v="31"/>
    <n v="2016"/>
    <n v="0"/>
    <s v="TBM"/>
    <n v="22"/>
    <n v="3137"/>
    <s v="142.6"/>
    <x v="0"/>
    <n v="0"/>
    <n v="0"/>
    <n v="0"/>
    <d v="2016-07-01T00:00:00"/>
    <x v="1"/>
    <x v="2"/>
  </r>
  <r>
    <x v="4"/>
    <x v="7"/>
    <s v="Agustus"/>
    <s v="Division_A"/>
    <x v="31"/>
    <n v="2016"/>
    <n v="0"/>
    <s v="TBM"/>
    <n v="22"/>
    <n v="3137"/>
    <s v="142.6"/>
    <x v="0"/>
    <n v="0"/>
    <n v="0"/>
    <n v="0"/>
    <d v="2016-08-01T00:00:00"/>
    <x v="1"/>
    <x v="2"/>
  </r>
  <r>
    <x v="4"/>
    <x v="8"/>
    <s v="September"/>
    <s v="Division_A"/>
    <x v="31"/>
    <n v="2016"/>
    <n v="0"/>
    <s v="TBM"/>
    <n v="22"/>
    <n v="3137"/>
    <s v="142.6"/>
    <x v="0"/>
    <n v="0"/>
    <n v="0"/>
    <n v="0"/>
    <d v="2016-09-01T00:00:00"/>
    <x v="1"/>
    <x v="2"/>
  </r>
  <r>
    <x v="4"/>
    <x v="9"/>
    <s v="Oktober"/>
    <s v="Division_A"/>
    <x v="31"/>
    <n v="2016"/>
    <n v="0"/>
    <s v="TBM"/>
    <n v="22"/>
    <n v="3137"/>
    <s v="142.6"/>
    <x v="0"/>
    <n v="0"/>
    <n v="0"/>
    <n v="0"/>
    <d v="2016-10-01T00:00:00"/>
    <x v="1"/>
    <x v="2"/>
  </r>
  <r>
    <x v="4"/>
    <x v="10"/>
    <s v="November"/>
    <s v="Division_A"/>
    <x v="31"/>
    <n v="2016"/>
    <n v="0"/>
    <s v="TBM"/>
    <n v="22"/>
    <n v="3137"/>
    <s v="142.6"/>
    <x v="0"/>
    <n v="0"/>
    <n v="0"/>
    <n v="0"/>
    <d v="2016-11-01T00:00:00"/>
    <x v="1"/>
    <x v="2"/>
  </r>
  <r>
    <x v="4"/>
    <x v="11"/>
    <s v="Desember"/>
    <s v="Division_A"/>
    <x v="31"/>
    <n v="2016"/>
    <n v="0"/>
    <s v="TBM"/>
    <n v="22"/>
    <n v="3137"/>
    <s v="142.6"/>
    <x v="0"/>
    <n v="0"/>
    <n v="0"/>
    <n v="0"/>
    <d v="2016-12-01T00:00:00"/>
    <x v="1"/>
    <x v="2"/>
  </r>
  <r>
    <x v="4"/>
    <x v="0"/>
    <s v="Januari"/>
    <s v="Division_A"/>
    <x v="32"/>
    <n v="2016"/>
    <n v="0"/>
    <s v="TBM"/>
    <n v="22"/>
    <n v="3096"/>
    <s v="140.7"/>
    <x v="0"/>
    <n v="0"/>
    <n v="0"/>
    <n v="0"/>
    <d v="2016-01-01T00:00:00"/>
    <x v="1"/>
    <x v="2"/>
  </r>
  <r>
    <x v="4"/>
    <x v="1"/>
    <s v="Februari"/>
    <s v="Division_A"/>
    <x v="32"/>
    <n v="2016"/>
    <n v="0"/>
    <s v="TBM"/>
    <n v="22"/>
    <n v="3096"/>
    <s v="140.7"/>
    <x v="0"/>
    <n v="0"/>
    <n v="0"/>
    <n v="0"/>
    <d v="2016-02-01T00:00:00"/>
    <x v="1"/>
    <x v="2"/>
  </r>
  <r>
    <x v="4"/>
    <x v="2"/>
    <s v="Maret"/>
    <s v="Division_A"/>
    <x v="32"/>
    <n v="2016"/>
    <n v="0"/>
    <s v="TBM"/>
    <n v="22"/>
    <n v="3096"/>
    <s v="140.7"/>
    <x v="0"/>
    <n v="0"/>
    <n v="0"/>
    <n v="0"/>
    <d v="2016-03-01T00:00:00"/>
    <x v="1"/>
    <x v="2"/>
  </r>
  <r>
    <x v="4"/>
    <x v="3"/>
    <s v="April"/>
    <s v="Division_A"/>
    <x v="32"/>
    <n v="2016"/>
    <n v="0"/>
    <s v="TBM"/>
    <n v="22"/>
    <n v="3096"/>
    <s v="140.7"/>
    <x v="0"/>
    <n v="0"/>
    <n v="0"/>
    <n v="0"/>
    <d v="2016-04-01T00:00:00"/>
    <x v="1"/>
    <x v="2"/>
  </r>
  <r>
    <x v="4"/>
    <x v="4"/>
    <s v="Mei"/>
    <s v="Division_A"/>
    <x v="32"/>
    <n v="2016"/>
    <n v="0"/>
    <s v="TBM"/>
    <n v="22"/>
    <n v="3096"/>
    <s v="140.7"/>
    <x v="0"/>
    <n v="0"/>
    <n v="0"/>
    <n v="0"/>
    <d v="2016-05-01T00:00:00"/>
    <x v="1"/>
    <x v="2"/>
  </r>
  <r>
    <x v="4"/>
    <x v="5"/>
    <s v="Juni"/>
    <s v="Division_A"/>
    <x v="32"/>
    <n v="2016"/>
    <n v="0"/>
    <s v="TBM"/>
    <n v="22"/>
    <n v="3096"/>
    <s v="140.7"/>
    <x v="0"/>
    <n v="0"/>
    <n v="0"/>
    <n v="0"/>
    <d v="2016-06-01T00:00:00"/>
    <x v="1"/>
    <x v="2"/>
  </r>
  <r>
    <x v="4"/>
    <x v="6"/>
    <s v="Juli"/>
    <s v="Division_A"/>
    <x v="32"/>
    <n v="2016"/>
    <n v="0"/>
    <s v="TBM"/>
    <n v="22"/>
    <n v="3096"/>
    <s v="140.7"/>
    <x v="0"/>
    <n v="0"/>
    <n v="0"/>
    <n v="0"/>
    <d v="2016-07-01T00:00:00"/>
    <x v="1"/>
    <x v="2"/>
  </r>
  <r>
    <x v="4"/>
    <x v="7"/>
    <s v="Agustus"/>
    <s v="Division_A"/>
    <x v="32"/>
    <n v="2016"/>
    <n v="0"/>
    <s v="TBM"/>
    <n v="22"/>
    <n v="3096"/>
    <s v="140.7"/>
    <x v="0"/>
    <n v="0"/>
    <n v="0"/>
    <n v="0"/>
    <d v="2016-08-01T00:00:00"/>
    <x v="1"/>
    <x v="2"/>
  </r>
  <r>
    <x v="4"/>
    <x v="8"/>
    <s v="September"/>
    <s v="Division_A"/>
    <x v="32"/>
    <n v="2016"/>
    <n v="0"/>
    <s v="TBM"/>
    <n v="22"/>
    <n v="3096"/>
    <s v="140.7"/>
    <x v="0"/>
    <n v="0"/>
    <n v="0"/>
    <n v="0"/>
    <d v="2016-09-01T00:00:00"/>
    <x v="1"/>
    <x v="2"/>
  </r>
  <r>
    <x v="4"/>
    <x v="9"/>
    <s v="Oktober"/>
    <s v="Division_A"/>
    <x v="32"/>
    <n v="2016"/>
    <n v="0"/>
    <s v="TBM"/>
    <n v="22"/>
    <n v="3096"/>
    <s v="140.7"/>
    <x v="0"/>
    <n v="0"/>
    <n v="0"/>
    <n v="0"/>
    <d v="2016-10-01T00:00:00"/>
    <x v="1"/>
    <x v="2"/>
  </r>
  <r>
    <x v="4"/>
    <x v="10"/>
    <s v="November"/>
    <s v="Division_A"/>
    <x v="32"/>
    <n v="2016"/>
    <n v="0"/>
    <s v="TBM"/>
    <n v="22"/>
    <n v="3096"/>
    <s v="140.7"/>
    <x v="0"/>
    <n v="0"/>
    <n v="0"/>
    <n v="0"/>
    <d v="2016-11-01T00:00:00"/>
    <x v="1"/>
    <x v="2"/>
  </r>
  <r>
    <x v="4"/>
    <x v="11"/>
    <s v="Desember"/>
    <s v="Division_A"/>
    <x v="32"/>
    <n v="2016"/>
    <n v="0"/>
    <s v="TBM"/>
    <n v="22"/>
    <n v="3096"/>
    <s v="140.7"/>
    <x v="0"/>
    <n v="0"/>
    <n v="0"/>
    <n v="0"/>
    <d v="2016-12-01T00:00:00"/>
    <x v="1"/>
    <x v="2"/>
  </r>
  <r>
    <x v="4"/>
    <x v="0"/>
    <s v="Januari"/>
    <s v="Division_A"/>
    <x v="33"/>
    <n v="2016"/>
    <n v="0"/>
    <s v="TBM"/>
    <n v="24"/>
    <n v="3317"/>
    <s v="138.2"/>
    <x v="0"/>
    <n v="0"/>
    <n v="0"/>
    <n v="0"/>
    <d v="2016-01-01T00:00:00"/>
    <x v="1"/>
    <x v="2"/>
  </r>
  <r>
    <x v="4"/>
    <x v="1"/>
    <s v="Februari"/>
    <s v="Division_A"/>
    <x v="33"/>
    <n v="2016"/>
    <n v="0"/>
    <s v="TBM"/>
    <n v="24"/>
    <n v="3317"/>
    <s v="138.2"/>
    <x v="0"/>
    <n v="0"/>
    <n v="0"/>
    <n v="0"/>
    <d v="2016-02-01T00:00:00"/>
    <x v="1"/>
    <x v="2"/>
  </r>
  <r>
    <x v="4"/>
    <x v="2"/>
    <s v="Maret"/>
    <s v="Division_A"/>
    <x v="33"/>
    <n v="2016"/>
    <n v="0"/>
    <s v="TBM"/>
    <n v="24"/>
    <n v="3317"/>
    <s v="138.2"/>
    <x v="0"/>
    <n v="0"/>
    <n v="0"/>
    <n v="0"/>
    <d v="2016-03-01T00:00:00"/>
    <x v="1"/>
    <x v="2"/>
  </r>
  <r>
    <x v="4"/>
    <x v="3"/>
    <s v="April"/>
    <s v="Division_A"/>
    <x v="33"/>
    <n v="2016"/>
    <n v="0"/>
    <s v="TBM"/>
    <n v="24"/>
    <n v="3317"/>
    <s v="138.2"/>
    <x v="0"/>
    <n v="0"/>
    <n v="0"/>
    <n v="0"/>
    <d v="2016-04-01T00:00:00"/>
    <x v="1"/>
    <x v="2"/>
  </r>
  <r>
    <x v="4"/>
    <x v="4"/>
    <s v="Mei"/>
    <s v="Division_A"/>
    <x v="33"/>
    <n v="2016"/>
    <n v="0"/>
    <s v="TBM"/>
    <n v="24"/>
    <n v="3317"/>
    <s v="138.2"/>
    <x v="0"/>
    <n v="0"/>
    <n v="0"/>
    <n v="0"/>
    <d v="2016-05-01T00:00:00"/>
    <x v="1"/>
    <x v="2"/>
  </r>
  <r>
    <x v="4"/>
    <x v="5"/>
    <s v="Juni"/>
    <s v="Division_A"/>
    <x v="33"/>
    <n v="2016"/>
    <n v="0"/>
    <s v="TBM"/>
    <n v="24"/>
    <n v="3317"/>
    <s v="138.2"/>
    <x v="0"/>
    <n v="0"/>
    <n v="0"/>
    <n v="0"/>
    <d v="2016-06-01T00:00:00"/>
    <x v="1"/>
    <x v="2"/>
  </r>
  <r>
    <x v="4"/>
    <x v="6"/>
    <s v="Juli"/>
    <s v="Division_A"/>
    <x v="33"/>
    <n v="2016"/>
    <n v="0"/>
    <s v="TBM"/>
    <n v="24"/>
    <n v="3317"/>
    <s v="138.2"/>
    <x v="0"/>
    <n v="0"/>
    <n v="0"/>
    <n v="0"/>
    <d v="2016-07-01T00:00:00"/>
    <x v="1"/>
    <x v="2"/>
  </r>
  <r>
    <x v="4"/>
    <x v="7"/>
    <s v="Agustus"/>
    <s v="Division_A"/>
    <x v="33"/>
    <n v="2016"/>
    <n v="0"/>
    <s v="TBM"/>
    <n v="24"/>
    <n v="3317"/>
    <s v="138.2"/>
    <x v="0"/>
    <n v="0"/>
    <n v="0"/>
    <n v="0"/>
    <d v="2016-08-01T00:00:00"/>
    <x v="1"/>
    <x v="2"/>
  </r>
  <r>
    <x v="4"/>
    <x v="8"/>
    <s v="September"/>
    <s v="Division_A"/>
    <x v="33"/>
    <n v="2016"/>
    <n v="0"/>
    <s v="TBM"/>
    <n v="24"/>
    <n v="3317"/>
    <s v="138.2"/>
    <x v="0"/>
    <n v="0"/>
    <n v="0"/>
    <n v="0"/>
    <d v="2016-09-01T00:00:00"/>
    <x v="1"/>
    <x v="2"/>
  </r>
  <r>
    <x v="4"/>
    <x v="9"/>
    <s v="Oktober"/>
    <s v="Division_A"/>
    <x v="33"/>
    <n v="2016"/>
    <n v="0"/>
    <s v="TBM"/>
    <n v="24"/>
    <n v="3317"/>
    <s v="138.2"/>
    <x v="0"/>
    <n v="0"/>
    <n v="0"/>
    <n v="0"/>
    <d v="2016-10-01T00:00:00"/>
    <x v="1"/>
    <x v="2"/>
  </r>
  <r>
    <x v="4"/>
    <x v="10"/>
    <s v="November"/>
    <s v="Division_A"/>
    <x v="33"/>
    <n v="2016"/>
    <n v="0"/>
    <s v="TBM"/>
    <n v="24"/>
    <n v="3317"/>
    <s v="138.2"/>
    <x v="0"/>
    <n v="0"/>
    <n v="0"/>
    <n v="0"/>
    <d v="2016-11-01T00:00:00"/>
    <x v="1"/>
    <x v="2"/>
  </r>
  <r>
    <x v="4"/>
    <x v="11"/>
    <s v="Desember"/>
    <s v="Division_A"/>
    <x v="33"/>
    <n v="2016"/>
    <n v="0"/>
    <s v="TBM"/>
    <n v="24"/>
    <n v="3317"/>
    <s v="138.2"/>
    <x v="0"/>
    <n v="0"/>
    <n v="0"/>
    <n v="0"/>
    <d v="2016-12-01T00:00:00"/>
    <x v="1"/>
    <x v="2"/>
  </r>
  <r>
    <x v="4"/>
    <x v="0"/>
    <s v="Januari"/>
    <s v="Division_A"/>
    <x v="34"/>
    <n v="2016"/>
    <n v="0"/>
    <s v="TBM"/>
    <n v="17"/>
    <n v="2219"/>
    <s v="130.5"/>
    <x v="0"/>
    <n v="0"/>
    <n v="0"/>
    <n v="0"/>
    <d v="2016-01-01T00:00:00"/>
    <x v="1"/>
    <x v="2"/>
  </r>
  <r>
    <x v="4"/>
    <x v="1"/>
    <s v="Februari"/>
    <s v="Division_A"/>
    <x v="34"/>
    <n v="2016"/>
    <n v="0"/>
    <s v="TBM"/>
    <n v="17"/>
    <n v="2219"/>
    <s v="130.5"/>
    <x v="0"/>
    <n v="0"/>
    <n v="0"/>
    <n v="0"/>
    <d v="2016-02-01T00:00:00"/>
    <x v="1"/>
    <x v="2"/>
  </r>
  <r>
    <x v="4"/>
    <x v="2"/>
    <s v="Maret"/>
    <s v="Division_A"/>
    <x v="34"/>
    <n v="2016"/>
    <n v="0"/>
    <s v="TBM"/>
    <n v="17"/>
    <n v="2219"/>
    <s v="130.5"/>
    <x v="0"/>
    <n v="0"/>
    <n v="0"/>
    <n v="0"/>
    <d v="2016-03-01T00:00:00"/>
    <x v="1"/>
    <x v="2"/>
  </r>
  <r>
    <x v="4"/>
    <x v="3"/>
    <s v="April"/>
    <s v="Division_A"/>
    <x v="34"/>
    <n v="2016"/>
    <n v="0"/>
    <s v="TBM"/>
    <n v="17"/>
    <n v="2219"/>
    <s v="130.5"/>
    <x v="0"/>
    <n v="0"/>
    <n v="0"/>
    <n v="0"/>
    <d v="2016-04-01T00:00:00"/>
    <x v="1"/>
    <x v="2"/>
  </r>
  <r>
    <x v="4"/>
    <x v="4"/>
    <s v="Mei"/>
    <s v="Division_A"/>
    <x v="34"/>
    <n v="2016"/>
    <n v="0"/>
    <s v="TBM"/>
    <n v="17"/>
    <n v="2219"/>
    <s v="130.5"/>
    <x v="0"/>
    <n v="0"/>
    <n v="0"/>
    <n v="0"/>
    <d v="2016-05-01T00:00:00"/>
    <x v="1"/>
    <x v="2"/>
  </r>
  <r>
    <x v="4"/>
    <x v="5"/>
    <s v="Juni"/>
    <s v="Division_A"/>
    <x v="34"/>
    <n v="2016"/>
    <n v="0"/>
    <s v="TBM"/>
    <n v="17"/>
    <n v="2219"/>
    <s v="130.5"/>
    <x v="0"/>
    <n v="0"/>
    <n v="0"/>
    <n v="0"/>
    <d v="2016-06-01T00:00:00"/>
    <x v="1"/>
    <x v="2"/>
  </r>
  <r>
    <x v="4"/>
    <x v="6"/>
    <s v="Juli"/>
    <s v="Division_A"/>
    <x v="34"/>
    <n v="2016"/>
    <n v="0"/>
    <s v="TBM"/>
    <n v="17"/>
    <n v="2219"/>
    <s v="130.5"/>
    <x v="0"/>
    <n v="0"/>
    <n v="0"/>
    <n v="0"/>
    <d v="2016-07-01T00:00:00"/>
    <x v="1"/>
    <x v="2"/>
  </r>
  <r>
    <x v="4"/>
    <x v="7"/>
    <s v="Agustus"/>
    <s v="Division_A"/>
    <x v="34"/>
    <n v="2016"/>
    <n v="0"/>
    <s v="TBM"/>
    <n v="17"/>
    <n v="2219"/>
    <s v="130.5"/>
    <x v="0"/>
    <n v="0"/>
    <n v="0"/>
    <n v="0"/>
    <d v="2016-08-01T00:00:00"/>
    <x v="1"/>
    <x v="2"/>
  </r>
  <r>
    <x v="4"/>
    <x v="8"/>
    <s v="September"/>
    <s v="Division_A"/>
    <x v="34"/>
    <n v="2016"/>
    <n v="0"/>
    <s v="TBM"/>
    <n v="17"/>
    <n v="2219"/>
    <s v="130.5"/>
    <x v="0"/>
    <n v="0"/>
    <n v="0"/>
    <n v="0"/>
    <d v="2016-09-01T00:00:00"/>
    <x v="1"/>
    <x v="2"/>
  </r>
  <r>
    <x v="4"/>
    <x v="9"/>
    <s v="Oktober"/>
    <s v="Division_A"/>
    <x v="34"/>
    <n v="2016"/>
    <n v="0"/>
    <s v="TBM"/>
    <n v="17"/>
    <n v="2219"/>
    <s v="130.5"/>
    <x v="0"/>
    <n v="0"/>
    <n v="0"/>
    <n v="0"/>
    <d v="2016-10-01T00:00:00"/>
    <x v="1"/>
    <x v="2"/>
  </r>
  <r>
    <x v="4"/>
    <x v="10"/>
    <s v="November"/>
    <s v="Division_A"/>
    <x v="34"/>
    <n v="2016"/>
    <n v="0"/>
    <s v="TBM"/>
    <n v="17"/>
    <n v="2219"/>
    <s v="130.5"/>
    <x v="0"/>
    <n v="0"/>
    <n v="0"/>
    <n v="0"/>
    <d v="2016-11-01T00:00:00"/>
    <x v="1"/>
    <x v="2"/>
  </r>
  <r>
    <x v="4"/>
    <x v="11"/>
    <s v="Desember"/>
    <s v="Division_A"/>
    <x v="34"/>
    <n v="2016"/>
    <n v="0"/>
    <s v="TBM"/>
    <n v="17"/>
    <n v="2219"/>
    <s v="130.5"/>
    <x v="0"/>
    <n v="0"/>
    <n v="0"/>
    <n v="0"/>
    <d v="2016-12-01T00:00:00"/>
    <x v="1"/>
    <x v="2"/>
  </r>
  <r>
    <x v="4"/>
    <x v="0"/>
    <s v="Januari"/>
    <s v="Division_A"/>
    <x v="35"/>
    <n v="2016"/>
    <n v="0"/>
    <s v="TBM"/>
    <n v="15"/>
    <n v="2142"/>
    <s v="142.8"/>
    <x v="0"/>
    <n v="0"/>
    <n v="0"/>
    <n v="0"/>
    <d v="2016-01-01T00:00:00"/>
    <x v="1"/>
    <x v="2"/>
  </r>
  <r>
    <x v="4"/>
    <x v="1"/>
    <s v="Februari"/>
    <s v="Division_A"/>
    <x v="35"/>
    <n v="2016"/>
    <n v="0"/>
    <s v="TBM"/>
    <n v="15"/>
    <n v="2142"/>
    <s v="142.8"/>
    <x v="0"/>
    <n v="0"/>
    <n v="0"/>
    <n v="0"/>
    <d v="2016-02-01T00:00:00"/>
    <x v="1"/>
    <x v="2"/>
  </r>
  <r>
    <x v="4"/>
    <x v="2"/>
    <s v="Maret"/>
    <s v="Division_A"/>
    <x v="35"/>
    <n v="2016"/>
    <n v="0"/>
    <s v="TBM"/>
    <n v="15"/>
    <n v="2142"/>
    <s v="142.8"/>
    <x v="0"/>
    <n v="0"/>
    <n v="0"/>
    <n v="0"/>
    <d v="2016-03-01T00:00:00"/>
    <x v="1"/>
    <x v="2"/>
  </r>
  <r>
    <x v="4"/>
    <x v="3"/>
    <s v="April"/>
    <s v="Division_A"/>
    <x v="35"/>
    <n v="2016"/>
    <n v="0"/>
    <s v="TBM"/>
    <n v="15"/>
    <n v="2142"/>
    <s v="142.8"/>
    <x v="0"/>
    <n v="0"/>
    <n v="0"/>
    <n v="0"/>
    <d v="2016-04-01T00:00:00"/>
    <x v="1"/>
    <x v="2"/>
  </r>
  <r>
    <x v="4"/>
    <x v="4"/>
    <s v="Mei"/>
    <s v="Division_A"/>
    <x v="35"/>
    <n v="2016"/>
    <n v="0"/>
    <s v="TBM"/>
    <n v="15"/>
    <n v="2142"/>
    <s v="142.8"/>
    <x v="0"/>
    <n v="0"/>
    <n v="0"/>
    <n v="0"/>
    <d v="2016-05-01T00:00:00"/>
    <x v="1"/>
    <x v="2"/>
  </r>
  <r>
    <x v="4"/>
    <x v="5"/>
    <s v="Juni"/>
    <s v="Division_A"/>
    <x v="35"/>
    <n v="2016"/>
    <n v="0"/>
    <s v="TBM"/>
    <n v="15"/>
    <n v="2142"/>
    <s v="142.8"/>
    <x v="0"/>
    <n v="0"/>
    <n v="0"/>
    <n v="0"/>
    <d v="2016-06-01T00:00:00"/>
    <x v="1"/>
    <x v="2"/>
  </r>
  <r>
    <x v="4"/>
    <x v="6"/>
    <s v="Juli"/>
    <s v="Division_A"/>
    <x v="35"/>
    <n v="2016"/>
    <n v="0"/>
    <s v="TBM"/>
    <n v="15"/>
    <n v="2142"/>
    <s v="142.8"/>
    <x v="0"/>
    <n v="0"/>
    <n v="0"/>
    <n v="0"/>
    <d v="2016-07-01T00:00:00"/>
    <x v="1"/>
    <x v="2"/>
  </r>
  <r>
    <x v="4"/>
    <x v="7"/>
    <s v="Agustus"/>
    <s v="Division_A"/>
    <x v="35"/>
    <n v="2016"/>
    <n v="0"/>
    <s v="TBM"/>
    <n v="15"/>
    <n v="2142"/>
    <s v="142.8"/>
    <x v="0"/>
    <n v="0"/>
    <n v="0"/>
    <n v="0"/>
    <d v="2016-08-01T00:00:00"/>
    <x v="1"/>
    <x v="2"/>
  </r>
  <r>
    <x v="4"/>
    <x v="8"/>
    <s v="September"/>
    <s v="Division_A"/>
    <x v="35"/>
    <n v="2016"/>
    <n v="0"/>
    <s v="TBM"/>
    <n v="15"/>
    <n v="2142"/>
    <s v="142.8"/>
    <x v="0"/>
    <n v="0"/>
    <n v="0"/>
    <n v="0"/>
    <d v="2016-09-01T00:00:00"/>
    <x v="1"/>
    <x v="2"/>
  </r>
  <r>
    <x v="4"/>
    <x v="9"/>
    <s v="Oktober"/>
    <s v="Division_A"/>
    <x v="35"/>
    <n v="2016"/>
    <n v="0"/>
    <s v="TBM"/>
    <n v="15"/>
    <n v="2142"/>
    <s v="142.8"/>
    <x v="0"/>
    <n v="0"/>
    <n v="0"/>
    <n v="0"/>
    <d v="2016-10-01T00:00:00"/>
    <x v="1"/>
    <x v="2"/>
  </r>
  <r>
    <x v="4"/>
    <x v="10"/>
    <s v="November"/>
    <s v="Division_A"/>
    <x v="35"/>
    <n v="2016"/>
    <n v="0"/>
    <s v="TBM"/>
    <n v="15"/>
    <n v="2142"/>
    <s v="142.8"/>
    <x v="0"/>
    <n v="0"/>
    <n v="0"/>
    <n v="0"/>
    <d v="2016-11-01T00:00:00"/>
    <x v="1"/>
    <x v="2"/>
  </r>
  <r>
    <x v="4"/>
    <x v="11"/>
    <s v="Desember"/>
    <s v="Division_A"/>
    <x v="35"/>
    <n v="2016"/>
    <n v="0"/>
    <s v="TBM"/>
    <n v="15"/>
    <n v="2142"/>
    <s v="142.8"/>
    <x v="0"/>
    <n v="0"/>
    <n v="0"/>
    <n v="0"/>
    <d v="2016-12-01T00:00:00"/>
    <x v="1"/>
    <x v="2"/>
  </r>
  <r>
    <x v="4"/>
    <x v="0"/>
    <s v="Januari"/>
    <s v="Division_A"/>
    <x v="36"/>
    <n v="2016"/>
    <n v="0"/>
    <s v="TBM"/>
    <n v="24"/>
    <n v="3324"/>
    <s v="138.5"/>
    <x v="0"/>
    <n v="0"/>
    <n v="0"/>
    <n v="0"/>
    <d v="2016-01-01T00:00:00"/>
    <x v="1"/>
    <x v="2"/>
  </r>
  <r>
    <x v="4"/>
    <x v="1"/>
    <s v="Februari"/>
    <s v="Division_A"/>
    <x v="36"/>
    <n v="2016"/>
    <n v="0"/>
    <s v="TBM"/>
    <n v="24"/>
    <n v="3324"/>
    <s v="138.5"/>
    <x v="0"/>
    <n v="0"/>
    <n v="0"/>
    <n v="0"/>
    <d v="2016-02-01T00:00:00"/>
    <x v="1"/>
    <x v="2"/>
  </r>
  <r>
    <x v="4"/>
    <x v="2"/>
    <s v="Maret"/>
    <s v="Division_A"/>
    <x v="36"/>
    <n v="2016"/>
    <n v="0"/>
    <s v="TBM"/>
    <n v="24"/>
    <n v="3324"/>
    <s v="138.5"/>
    <x v="0"/>
    <n v="0"/>
    <n v="0"/>
    <n v="0"/>
    <d v="2016-03-01T00:00:00"/>
    <x v="1"/>
    <x v="2"/>
  </r>
  <r>
    <x v="4"/>
    <x v="3"/>
    <s v="April"/>
    <s v="Division_A"/>
    <x v="36"/>
    <n v="2016"/>
    <n v="0"/>
    <s v="TBM"/>
    <n v="24"/>
    <n v="3324"/>
    <s v="138.5"/>
    <x v="0"/>
    <n v="0"/>
    <n v="0"/>
    <n v="0"/>
    <d v="2016-04-01T00:00:00"/>
    <x v="1"/>
    <x v="2"/>
  </r>
  <r>
    <x v="4"/>
    <x v="4"/>
    <s v="Mei"/>
    <s v="Division_A"/>
    <x v="36"/>
    <n v="2016"/>
    <n v="0"/>
    <s v="TBM"/>
    <n v="24"/>
    <n v="3324"/>
    <s v="138.5"/>
    <x v="0"/>
    <n v="0"/>
    <n v="0"/>
    <n v="0"/>
    <d v="2016-05-01T00:00:00"/>
    <x v="1"/>
    <x v="2"/>
  </r>
  <r>
    <x v="4"/>
    <x v="5"/>
    <s v="Juni"/>
    <s v="Division_A"/>
    <x v="36"/>
    <n v="2016"/>
    <n v="0"/>
    <s v="TBM"/>
    <n v="24"/>
    <n v="3324"/>
    <s v="138.5"/>
    <x v="0"/>
    <n v="0"/>
    <n v="0"/>
    <n v="0"/>
    <d v="2016-06-01T00:00:00"/>
    <x v="1"/>
    <x v="2"/>
  </r>
  <r>
    <x v="4"/>
    <x v="6"/>
    <s v="Juli"/>
    <s v="Division_A"/>
    <x v="36"/>
    <n v="2016"/>
    <n v="0"/>
    <s v="TBM"/>
    <n v="24"/>
    <n v="3324"/>
    <s v="138.5"/>
    <x v="0"/>
    <n v="0"/>
    <n v="0"/>
    <n v="0"/>
    <d v="2016-07-01T00:00:00"/>
    <x v="1"/>
    <x v="2"/>
  </r>
  <r>
    <x v="4"/>
    <x v="7"/>
    <s v="Agustus"/>
    <s v="Division_A"/>
    <x v="36"/>
    <n v="2016"/>
    <n v="0"/>
    <s v="TBM"/>
    <n v="24"/>
    <n v="3324"/>
    <s v="138.5"/>
    <x v="0"/>
    <n v="0"/>
    <n v="0"/>
    <n v="0"/>
    <d v="2016-08-01T00:00:00"/>
    <x v="1"/>
    <x v="2"/>
  </r>
  <r>
    <x v="4"/>
    <x v="8"/>
    <s v="September"/>
    <s v="Division_A"/>
    <x v="36"/>
    <n v="2016"/>
    <n v="0"/>
    <s v="TBM"/>
    <n v="24"/>
    <n v="3324"/>
    <s v="138.5"/>
    <x v="0"/>
    <n v="0"/>
    <n v="0"/>
    <n v="0"/>
    <d v="2016-09-01T00:00:00"/>
    <x v="1"/>
    <x v="2"/>
  </r>
  <r>
    <x v="4"/>
    <x v="9"/>
    <s v="Oktober"/>
    <s v="Division_A"/>
    <x v="36"/>
    <n v="2016"/>
    <n v="0"/>
    <s v="TBM"/>
    <n v="24"/>
    <n v="3324"/>
    <s v="138.5"/>
    <x v="0"/>
    <n v="0"/>
    <n v="0"/>
    <n v="0"/>
    <d v="2016-10-01T00:00:00"/>
    <x v="1"/>
    <x v="2"/>
  </r>
  <r>
    <x v="4"/>
    <x v="10"/>
    <s v="November"/>
    <s v="Division_A"/>
    <x v="36"/>
    <n v="2016"/>
    <n v="0"/>
    <s v="TBM"/>
    <n v="24"/>
    <n v="3324"/>
    <s v="138.5"/>
    <x v="0"/>
    <n v="0"/>
    <n v="0"/>
    <n v="0"/>
    <d v="2016-11-01T00:00:00"/>
    <x v="1"/>
    <x v="2"/>
  </r>
  <r>
    <x v="4"/>
    <x v="11"/>
    <s v="Desember"/>
    <s v="Division_A"/>
    <x v="36"/>
    <n v="2016"/>
    <n v="0"/>
    <s v="TBM"/>
    <n v="24"/>
    <n v="3324"/>
    <s v="138.5"/>
    <x v="0"/>
    <n v="0"/>
    <n v="0"/>
    <n v="0"/>
    <d v="2016-12-01T00:00:00"/>
    <x v="1"/>
    <x v="2"/>
  </r>
  <r>
    <x v="4"/>
    <x v="0"/>
    <s v="Januari"/>
    <s v="Division_A"/>
    <x v="37"/>
    <n v="2016"/>
    <n v="0"/>
    <s v="TBM"/>
    <n v="20"/>
    <n v="2663"/>
    <s v="133.2"/>
    <x v="0"/>
    <n v="0"/>
    <n v="0"/>
    <n v="0"/>
    <d v="2016-01-01T00:00:00"/>
    <x v="1"/>
    <x v="2"/>
  </r>
  <r>
    <x v="4"/>
    <x v="1"/>
    <s v="Februari"/>
    <s v="Division_A"/>
    <x v="37"/>
    <n v="2016"/>
    <n v="0"/>
    <s v="TBM"/>
    <n v="20"/>
    <n v="2663"/>
    <s v="133.2"/>
    <x v="0"/>
    <n v="0"/>
    <n v="0"/>
    <n v="0"/>
    <d v="2016-02-01T00:00:00"/>
    <x v="1"/>
    <x v="2"/>
  </r>
  <r>
    <x v="4"/>
    <x v="2"/>
    <s v="Maret"/>
    <s v="Division_A"/>
    <x v="37"/>
    <n v="2016"/>
    <n v="0"/>
    <s v="TBM"/>
    <n v="20"/>
    <n v="2663"/>
    <s v="133.2"/>
    <x v="0"/>
    <n v="0"/>
    <n v="0"/>
    <n v="0"/>
    <d v="2016-03-01T00:00:00"/>
    <x v="1"/>
    <x v="2"/>
  </r>
  <r>
    <x v="4"/>
    <x v="3"/>
    <s v="April"/>
    <s v="Division_A"/>
    <x v="37"/>
    <n v="2016"/>
    <n v="0"/>
    <s v="TBM"/>
    <n v="20"/>
    <n v="2663"/>
    <s v="133.2"/>
    <x v="0"/>
    <n v="0"/>
    <n v="0"/>
    <n v="0"/>
    <d v="2016-04-01T00:00:00"/>
    <x v="1"/>
    <x v="2"/>
  </r>
  <r>
    <x v="4"/>
    <x v="4"/>
    <s v="Mei"/>
    <s v="Division_A"/>
    <x v="37"/>
    <n v="2016"/>
    <n v="0"/>
    <s v="TBM"/>
    <n v="20"/>
    <n v="2663"/>
    <s v="133.2"/>
    <x v="0"/>
    <n v="0"/>
    <n v="0"/>
    <n v="0"/>
    <d v="2016-05-01T00:00:00"/>
    <x v="1"/>
    <x v="2"/>
  </r>
  <r>
    <x v="4"/>
    <x v="5"/>
    <s v="Juni"/>
    <s v="Division_A"/>
    <x v="37"/>
    <n v="2016"/>
    <n v="0"/>
    <s v="TBM"/>
    <n v="20"/>
    <n v="2663"/>
    <s v="133.2"/>
    <x v="0"/>
    <n v="0"/>
    <n v="0"/>
    <n v="0"/>
    <d v="2016-06-01T00:00:00"/>
    <x v="1"/>
    <x v="2"/>
  </r>
  <r>
    <x v="4"/>
    <x v="6"/>
    <s v="Juli"/>
    <s v="Division_A"/>
    <x v="37"/>
    <n v="2016"/>
    <n v="0"/>
    <s v="TBM"/>
    <n v="20"/>
    <n v="2663"/>
    <s v="133.2"/>
    <x v="0"/>
    <n v="0"/>
    <n v="0"/>
    <n v="0"/>
    <d v="2016-07-01T00:00:00"/>
    <x v="1"/>
    <x v="2"/>
  </r>
  <r>
    <x v="4"/>
    <x v="7"/>
    <s v="Agustus"/>
    <s v="Division_A"/>
    <x v="37"/>
    <n v="2016"/>
    <n v="0"/>
    <s v="TBM"/>
    <n v="20"/>
    <n v="2663"/>
    <s v="133.2"/>
    <x v="0"/>
    <n v="0"/>
    <n v="0"/>
    <n v="0"/>
    <d v="2016-08-01T00:00:00"/>
    <x v="1"/>
    <x v="2"/>
  </r>
  <r>
    <x v="4"/>
    <x v="8"/>
    <s v="September"/>
    <s v="Division_A"/>
    <x v="37"/>
    <n v="2016"/>
    <n v="0"/>
    <s v="TBM"/>
    <n v="20"/>
    <n v="2663"/>
    <s v="133.2"/>
    <x v="0"/>
    <n v="0"/>
    <n v="0"/>
    <n v="0"/>
    <d v="2016-09-01T00:00:00"/>
    <x v="1"/>
    <x v="2"/>
  </r>
  <r>
    <x v="4"/>
    <x v="9"/>
    <s v="Oktober"/>
    <s v="Division_A"/>
    <x v="37"/>
    <n v="2016"/>
    <n v="0"/>
    <s v="TBM"/>
    <n v="20"/>
    <n v="2663"/>
    <s v="133.2"/>
    <x v="0"/>
    <n v="0"/>
    <n v="0"/>
    <n v="0"/>
    <d v="2016-10-01T00:00:00"/>
    <x v="1"/>
    <x v="2"/>
  </r>
  <r>
    <x v="4"/>
    <x v="10"/>
    <s v="November"/>
    <s v="Division_A"/>
    <x v="37"/>
    <n v="2016"/>
    <n v="0"/>
    <s v="TBM"/>
    <n v="20"/>
    <n v="2663"/>
    <s v="133.2"/>
    <x v="0"/>
    <n v="0"/>
    <n v="0"/>
    <n v="0"/>
    <d v="2016-11-01T00:00:00"/>
    <x v="1"/>
    <x v="2"/>
  </r>
  <r>
    <x v="4"/>
    <x v="11"/>
    <s v="Desember"/>
    <s v="Division_A"/>
    <x v="37"/>
    <n v="2016"/>
    <n v="0"/>
    <s v="TBM"/>
    <n v="20"/>
    <n v="2663"/>
    <s v="133.2"/>
    <x v="0"/>
    <n v="0"/>
    <n v="0"/>
    <n v="0"/>
    <d v="2016-12-01T00:00:00"/>
    <x v="1"/>
    <x v="2"/>
  </r>
  <r>
    <x v="4"/>
    <x v="0"/>
    <s v="Januari"/>
    <s v="Division_A"/>
    <x v="38"/>
    <n v="2016"/>
    <n v="0"/>
    <s v="TBM"/>
    <n v="14"/>
    <n v="1746"/>
    <s v="124.7"/>
    <x v="0"/>
    <n v="0"/>
    <n v="0"/>
    <n v="0"/>
    <d v="2016-01-01T00:00:00"/>
    <x v="1"/>
    <x v="2"/>
  </r>
  <r>
    <x v="4"/>
    <x v="1"/>
    <s v="Februari"/>
    <s v="Division_A"/>
    <x v="38"/>
    <n v="2016"/>
    <n v="0"/>
    <s v="TBM"/>
    <n v="14"/>
    <n v="1746"/>
    <s v="124.7"/>
    <x v="0"/>
    <n v="0"/>
    <n v="0"/>
    <n v="0"/>
    <d v="2016-02-01T00:00:00"/>
    <x v="1"/>
    <x v="2"/>
  </r>
  <r>
    <x v="4"/>
    <x v="2"/>
    <s v="Maret"/>
    <s v="Division_A"/>
    <x v="38"/>
    <n v="2016"/>
    <n v="0"/>
    <s v="TBM"/>
    <n v="14"/>
    <n v="1746"/>
    <s v="124.7"/>
    <x v="0"/>
    <n v="0"/>
    <n v="0"/>
    <n v="0"/>
    <d v="2016-03-01T00:00:00"/>
    <x v="1"/>
    <x v="2"/>
  </r>
  <r>
    <x v="4"/>
    <x v="3"/>
    <s v="April"/>
    <s v="Division_A"/>
    <x v="38"/>
    <n v="2016"/>
    <n v="0"/>
    <s v="TBM"/>
    <n v="14"/>
    <n v="1746"/>
    <s v="124.7"/>
    <x v="0"/>
    <n v="0"/>
    <n v="0"/>
    <n v="0"/>
    <d v="2016-04-01T00:00:00"/>
    <x v="1"/>
    <x v="2"/>
  </r>
  <r>
    <x v="4"/>
    <x v="4"/>
    <s v="Mei"/>
    <s v="Division_A"/>
    <x v="38"/>
    <n v="2016"/>
    <n v="0"/>
    <s v="TBM"/>
    <n v="14"/>
    <n v="1746"/>
    <s v="124.7"/>
    <x v="0"/>
    <n v="0"/>
    <n v="0"/>
    <n v="0"/>
    <d v="2016-05-01T00:00:00"/>
    <x v="1"/>
    <x v="2"/>
  </r>
  <r>
    <x v="4"/>
    <x v="5"/>
    <s v="Juni"/>
    <s v="Division_A"/>
    <x v="38"/>
    <n v="2016"/>
    <n v="0"/>
    <s v="TBM"/>
    <n v="14"/>
    <n v="1746"/>
    <s v="124.7"/>
    <x v="0"/>
    <n v="0"/>
    <n v="0"/>
    <n v="0"/>
    <d v="2016-06-01T00:00:00"/>
    <x v="1"/>
    <x v="2"/>
  </r>
  <r>
    <x v="4"/>
    <x v="6"/>
    <s v="Juli"/>
    <s v="Division_A"/>
    <x v="38"/>
    <n v="2016"/>
    <n v="0"/>
    <s v="TBM"/>
    <n v="14"/>
    <n v="1746"/>
    <s v="124.7"/>
    <x v="0"/>
    <n v="0"/>
    <n v="0"/>
    <n v="0"/>
    <d v="2016-07-01T00:00:00"/>
    <x v="1"/>
    <x v="2"/>
  </r>
  <r>
    <x v="4"/>
    <x v="7"/>
    <s v="Agustus"/>
    <s v="Division_A"/>
    <x v="38"/>
    <n v="2016"/>
    <n v="0"/>
    <s v="TBM"/>
    <n v="14"/>
    <n v="1746"/>
    <s v="124.7"/>
    <x v="0"/>
    <n v="0"/>
    <n v="0"/>
    <n v="0"/>
    <d v="2016-08-01T00:00:00"/>
    <x v="1"/>
    <x v="2"/>
  </r>
  <r>
    <x v="4"/>
    <x v="8"/>
    <s v="September"/>
    <s v="Division_A"/>
    <x v="38"/>
    <n v="2016"/>
    <n v="0"/>
    <s v="TBM"/>
    <n v="14"/>
    <n v="1746"/>
    <s v="124.7"/>
    <x v="0"/>
    <n v="0"/>
    <n v="0"/>
    <n v="0"/>
    <d v="2016-09-01T00:00:00"/>
    <x v="1"/>
    <x v="2"/>
  </r>
  <r>
    <x v="4"/>
    <x v="9"/>
    <s v="Oktober"/>
    <s v="Division_A"/>
    <x v="38"/>
    <n v="2016"/>
    <n v="0"/>
    <s v="TBM"/>
    <n v="14"/>
    <n v="1746"/>
    <s v="124.7"/>
    <x v="0"/>
    <n v="0"/>
    <n v="0"/>
    <n v="0"/>
    <d v="2016-10-01T00:00:00"/>
    <x v="1"/>
    <x v="2"/>
  </r>
  <r>
    <x v="4"/>
    <x v="10"/>
    <s v="November"/>
    <s v="Division_A"/>
    <x v="38"/>
    <n v="2016"/>
    <n v="0"/>
    <s v="TBM"/>
    <n v="14"/>
    <n v="1746"/>
    <s v="124.7"/>
    <x v="0"/>
    <n v="0"/>
    <n v="0"/>
    <n v="0"/>
    <d v="2016-11-01T00:00:00"/>
    <x v="1"/>
    <x v="2"/>
  </r>
  <r>
    <x v="4"/>
    <x v="11"/>
    <s v="Desember"/>
    <s v="Division_A"/>
    <x v="38"/>
    <n v="2016"/>
    <n v="0"/>
    <s v="TBM"/>
    <n v="14"/>
    <n v="1746"/>
    <s v="124.7"/>
    <x v="0"/>
    <n v="0"/>
    <n v="0"/>
    <n v="0"/>
    <d v="2016-12-01T00:00:00"/>
    <x v="1"/>
    <x v="2"/>
  </r>
  <r>
    <x v="4"/>
    <x v="0"/>
    <s v="Januari"/>
    <s v="Division_A"/>
    <x v="39"/>
    <n v="2016"/>
    <n v="0"/>
    <s v="TBM"/>
    <n v="24"/>
    <n v="3377"/>
    <s v="140.7"/>
    <x v="0"/>
    <n v="0"/>
    <n v="0"/>
    <n v="0"/>
    <d v="2016-01-01T00:00:00"/>
    <x v="1"/>
    <x v="2"/>
  </r>
  <r>
    <x v="4"/>
    <x v="1"/>
    <s v="Februari"/>
    <s v="Division_A"/>
    <x v="39"/>
    <n v="2016"/>
    <n v="0"/>
    <s v="TBM"/>
    <n v="24"/>
    <n v="3377"/>
    <s v="140.7"/>
    <x v="0"/>
    <n v="0"/>
    <n v="0"/>
    <n v="0"/>
    <d v="2016-02-01T00:00:00"/>
    <x v="1"/>
    <x v="2"/>
  </r>
  <r>
    <x v="4"/>
    <x v="2"/>
    <s v="Maret"/>
    <s v="Division_A"/>
    <x v="39"/>
    <n v="2016"/>
    <n v="0"/>
    <s v="TBM"/>
    <n v="24"/>
    <n v="3377"/>
    <s v="140.7"/>
    <x v="0"/>
    <n v="0"/>
    <n v="0"/>
    <n v="0"/>
    <d v="2016-03-01T00:00:00"/>
    <x v="1"/>
    <x v="2"/>
  </r>
  <r>
    <x v="4"/>
    <x v="3"/>
    <s v="April"/>
    <s v="Division_A"/>
    <x v="39"/>
    <n v="2016"/>
    <n v="0"/>
    <s v="TBM"/>
    <n v="24"/>
    <n v="3377"/>
    <s v="140.7"/>
    <x v="0"/>
    <n v="0"/>
    <n v="0"/>
    <n v="0"/>
    <d v="2016-04-01T00:00:00"/>
    <x v="1"/>
    <x v="2"/>
  </r>
  <r>
    <x v="4"/>
    <x v="4"/>
    <s v="Mei"/>
    <s v="Division_A"/>
    <x v="39"/>
    <n v="2016"/>
    <n v="0"/>
    <s v="TBM"/>
    <n v="24"/>
    <n v="3377"/>
    <s v="140.7"/>
    <x v="0"/>
    <n v="0"/>
    <n v="0"/>
    <n v="0"/>
    <d v="2016-05-01T00:00:00"/>
    <x v="1"/>
    <x v="2"/>
  </r>
  <r>
    <x v="4"/>
    <x v="5"/>
    <s v="Juni"/>
    <s v="Division_A"/>
    <x v="39"/>
    <n v="2016"/>
    <n v="0"/>
    <s v="TBM"/>
    <n v="24"/>
    <n v="3377"/>
    <s v="140.7"/>
    <x v="0"/>
    <n v="0"/>
    <n v="0"/>
    <n v="0"/>
    <d v="2016-06-01T00:00:00"/>
    <x v="1"/>
    <x v="2"/>
  </r>
  <r>
    <x v="4"/>
    <x v="6"/>
    <s v="Juli"/>
    <s v="Division_A"/>
    <x v="39"/>
    <n v="2016"/>
    <n v="0"/>
    <s v="TBM"/>
    <n v="24"/>
    <n v="3377"/>
    <s v="140.7"/>
    <x v="0"/>
    <n v="0"/>
    <n v="0"/>
    <n v="0"/>
    <d v="2016-07-01T00:00:00"/>
    <x v="1"/>
    <x v="2"/>
  </r>
  <r>
    <x v="4"/>
    <x v="7"/>
    <s v="Agustus"/>
    <s v="Division_A"/>
    <x v="39"/>
    <n v="2016"/>
    <n v="0"/>
    <s v="TBM"/>
    <n v="24"/>
    <n v="3377"/>
    <s v="140.7"/>
    <x v="0"/>
    <n v="0"/>
    <n v="0"/>
    <n v="0"/>
    <d v="2016-08-01T00:00:00"/>
    <x v="1"/>
    <x v="2"/>
  </r>
  <r>
    <x v="4"/>
    <x v="8"/>
    <s v="September"/>
    <s v="Division_A"/>
    <x v="39"/>
    <n v="2016"/>
    <n v="0"/>
    <s v="TBM"/>
    <n v="24"/>
    <n v="3377"/>
    <s v="140.7"/>
    <x v="0"/>
    <n v="0"/>
    <n v="0"/>
    <n v="0"/>
    <d v="2016-09-01T00:00:00"/>
    <x v="1"/>
    <x v="2"/>
  </r>
  <r>
    <x v="4"/>
    <x v="9"/>
    <s v="Oktober"/>
    <s v="Division_A"/>
    <x v="39"/>
    <n v="2016"/>
    <n v="0"/>
    <s v="TBM"/>
    <n v="24"/>
    <n v="3377"/>
    <s v="140.7"/>
    <x v="0"/>
    <n v="0"/>
    <n v="0"/>
    <n v="0"/>
    <d v="2016-10-01T00:00:00"/>
    <x v="1"/>
    <x v="2"/>
  </r>
  <r>
    <x v="4"/>
    <x v="10"/>
    <s v="November"/>
    <s v="Division_A"/>
    <x v="39"/>
    <n v="2016"/>
    <n v="0"/>
    <s v="TBM"/>
    <n v="24"/>
    <n v="3377"/>
    <s v="140.7"/>
    <x v="0"/>
    <n v="0"/>
    <n v="0"/>
    <n v="0"/>
    <d v="2016-11-01T00:00:00"/>
    <x v="1"/>
    <x v="2"/>
  </r>
  <r>
    <x v="4"/>
    <x v="11"/>
    <s v="Desember"/>
    <s v="Division_A"/>
    <x v="39"/>
    <n v="2016"/>
    <n v="0"/>
    <s v="TBM"/>
    <n v="24"/>
    <n v="3377"/>
    <s v="140.7"/>
    <x v="0"/>
    <n v="0"/>
    <n v="0"/>
    <n v="0"/>
    <d v="2016-12-01T00:00:00"/>
    <x v="1"/>
    <x v="2"/>
  </r>
  <r>
    <x v="4"/>
    <x v="0"/>
    <s v="Januari"/>
    <s v="Division_A"/>
    <x v="40"/>
    <n v="2016"/>
    <n v="0"/>
    <s v="TBM"/>
    <n v="25"/>
    <n v="3431"/>
    <s v="137.2"/>
    <x v="0"/>
    <n v="0"/>
    <n v="0"/>
    <n v="0"/>
    <d v="2016-01-01T00:00:00"/>
    <x v="1"/>
    <x v="2"/>
  </r>
  <r>
    <x v="4"/>
    <x v="1"/>
    <s v="Februari"/>
    <s v="Division_A"/>
    <x v="40"/>
    <n v="2016"/>
    <n v="0"/>
    <s v="TBM"/>
    <n v="25"/>
    <n v="3431"/>
    <s v="137.2"/>
    <x v="0"/>
    <n v="0"/>
    <n v="0"/>
    <n v="0"/>
    <d v="2016-02-01T00:00:00"/>
    <x v="1"/>
    <x v="2"/>
  </r>
  <r>
    <x v="4"/>
    <x v="2"/>
    <s v="Maret"/>
    <s v="Division_A"/>
    <x v="40"/>
    <n v="2016"/>
    <n v="0"/>
    <s v="TBM"/>
    <n v="25"/>
    <n v="3431"/>
    <s v="137.2"/>
    <x v="0"/>
    <n v="0"/>
    <n v="0"/>
    <n v="0"/>
    <d v="2016-03-01T00:00:00"/>
    <x v="1"/>
    <x v="2"/>
  </r>
  <r>
    <x v="4"/>
    <x v="3"/>
    <s v="April"/>
    <s v="Division_A"/>
    <x v="40"/>
    <n v="2016"/>
    <n v="0"/>
    <s v="TBM"/>
    <n v="25"/>
    <n v="3431"/>
    <s v="137.2"/>
    <x v="0"/>
    <n v="0"/>
    <n v="0"/>
    <n v="0"/>
    <d v="2016-04-01T00:00:00"/>
    <x v="1"/>
    <x v="2"/>
  </r>
  <r>
    <x v="4"/>
    <x v="4"/>
    <s v="Mei"/>
    <s v="Division_A"/>
    <x v="40"/>
    <n v="2016"/>
    <n v="0"/>
    <s v="TBM"/>
    <n v="25"/>
    <n v="3431"/>
    <s v="137.2"/>
    <x v="0"/>
    <n v="0"/>
    <n v="0"/>
    <n v="0"/>
    <d v="2016-05-01T00:00:00"/>
    <x v="1"/>
    <x v="2"/>
  </r>
  <r>
    <x v="4"/>
    <x v="5"/>
    <s v="Juni"/>
    <s v="Division_A"/>
    <x v="40"/>
    <n v="2016"/>
    <n v="0"/>
    <s v="TBM"/>
    <n v="25"/>
    <n v="3431"/>
    <s v="137.2"/>
    <x v="0"/>
    <n v="0"/>
    <n v="0"/>
    <n v="0"/>
    <d v="2016-06-01T00:00:00"/>
    <x v="1"/>
    <x v="2"/>
  </r>
  <r>
    <x v="4"/>
    <x v="6"/>
    <s v="Juli"/>
    <s v="Division_A"/>
    <x v="40"/>
    <n v="2016"/>
    <n v="0"/>
    <s v="TBM"/>
    <n v="25"/>
    <n v="3431"/>
    <s v="137.2"/>
    <x v="0"/>
    <n v="0"/>
    <n v="0"/>
    <n v="0"/>
    <d v="2016-07-01T00:00:00"/>
    <x v="1"/>
    <x v="2"/>
  </r>
  <r>
    <x v="4"/>
    <x v="7"/>
    <s v="Agustus"/>
    <s v="Division_A"/>
    <x v="40"/>
    <n v="2016"/>
    <n v="0"/>
    <s v="TBM"/>
    <n v="25"/>
    <n v="3431"/>
    <s v="137.2"/>
    <x v="0"/>
    <n v="0"/>
    <n v="0"/>
    <n v="0"/>
    <d v="2016-08-01T00:00:00"/>
    <x v="1"/>
    <x v="2"/>
  </r>
  <r>
    <x v="4"/>
    <x v="8"/>
    <s v="September"/>
    <s v="Division_A"/>
    <x v="40"/>
    <n v="2016"/>
    <n v="0"/>
    <s v="TBM"/>
    <n v="25"/>
    <n v="3431"/>
    <s v="137.2"/>
    <x v="0"/>
    <n v="0"/>
    <n v="0"/>
    <n v="0"/>
    <d v="2016-09-01T00:00:00"/>
    <x v="1"/>
    <x v="2"/>
  </r>
  <r>
    <x v="4"/>
    <x v="9"/>
    <s v="Oktober"/>
    <s v="Division_A"/>
    <x v="40"/>
    <n v="2016"/>
    <n v="0"/>
    <s v="TBM"/>
    <n v="25"/>
    <n v="3431"/>
    <s v="137.2"/>
    <x v="0"/>
    <n v="0"/>
    <n v="0"/>
    <n v="0"/>
    <d v="2016-10-01T00:00:00"/>
    <x v="1"/>
    <x v="2"/>
  </r>
  <r>
    <x v="4"/>
    <x v="10"/>
    <s v="November"/>
    <s v="Division_A"/>
    <x v="40"/>
    <n v="2016"/>
    <n v="0"/>
    <s v="TBM"/>
    <n v="25"/>
    <n v="3431"/>
    <s v="137.2"/>
    <x v="0"/>
    <n v="0"/>
    <n v="0"/>
    <n v="0"/>
    <d v="2016-11-01T00:00:00"/>
    <x v="1"/>
    <x v="2"/>
  </r>
  <r>
    <x v="4"/>
    <x v="11"/>
    <s v="Desember"/>
    <s v="Division_A"/>
    <x v="40"/>
    <n v="2016"/>
    <n v="0"/>
    <s v="TBM"/>
    <n v="25"/>
    <n v="3431"/>
    <s v="137.2"/>
    <x v="0"/>
    <n v="0"/>
    <n v="0"/>
    <n v="0"/>
    <d v="2016-12-01T00:00:00"/>
    <x v="1"/>
    <x v="2"/>
  </r>
  <r>
    <x v="4"/>
    <x v="0"/>
    <s v="Januari"/>
    <s v="Division_A"/>
    <x v="41"/>
    <n v="2016"/>
    <n v="0"/>
    <s v="TBM"/>
    <n v="21"/>
    <n v="2901"/>
    <s v="138.1"/>
    <x v="0"/>
    <n v="0"/>
    <n v="0"/>
    <n v="0"/>
    <d v="2016-01-01T00:00:00"/>
    <x v="1"/>
    <x v="2"/>
  </r>
  <r>
    <x v="4"/>
    <x v="1"/>
    <s v="Februari"/>
    <s v="Division_A"/>
    <x v="41"/>
    <n v="2016"/>
    <n v="0"/>
    <s v="TBM"/>
    <n v="21"/>
    <n v="2901"/>
    <s v="138.1"/>
    <x v="0"/>
    <n v="0"/>
    <n v="0"/>
    <n v="0"/>
    <d v="2016-02-01T00:00:00"/>
    <x v="1"/>
    <x v="2"/>
  </r>
  <r>
    <x v="4"/>
    <x v="2"/>
    <s v="Maret"/>
    <s v="Division_A"/>
    <x v="41"/>
    <n v="2016"/>
    <n v="0"/>
    <s v="TBM"/>
    <n v="21"/>
    <n v="2901"/>
    <s v="138.1"/>
    <x v="0"/>
    <n v="0"/>
    <n v="0"/>
    <n v="0"/>
    <d v="2016-03-01T00:00:00"/>
    <x v="1"/>
    <x v="2"/>
  </r>
  <r>
    <x v="4"/>
    <x v="3"/>
    <s v="April"/>
    <s v="Division_A"/>
    <x v="41"/>
    <n v="2016"/>
    <n v="0"/>
    <s v="TBM"/>
    <n v="21"/>
    <n v="2901"/>
    <s v="138.1"/>
    <x v="0"/>
    <n v="0"/>
    <n v="0"/>
    <n v="0"/>
    <d v="2016-04-01T00:00:00"/>
    <x v="1"/>
    <x v="2"/>
  </r>
  <r>
    <x v="4"/>
    <x v="4"/>
    <s v="Mei"/>
    <s v="Division_A"/>
    <x v="41"/>
    <n v="2016"/>
    <n v="0"/>
    <s v="TBM"/>
    <n v="21"/>
    <n v="2901"/>
    <s v="138.1"/>
    <x v="0"/>
    <n v="0"/>
    <n v="0"/>
    <n v="0"/>
    <d v="2016-05-01T00:00:00"/>
    <x v="1"/>
    <x v="2"/>
  </r>
  <r>
    <x v="4"/>
    <x v="5"/>
    <s v="Juni"/>
    <s v="Division_A"/>
    <x v="41"/>
    <n v="2016"/>
    <n v="0"/>
    <s v="TBM"/>
    <n v="21"/>
    <n v="2901"/>
    <s v="138.1"/>
    <x v="0"/>
    <n v="0"/>
    <n v="0"/>
    <n v="0"/>
    <d v="2016-06-01T00:00:00"/>
    <x v="1"/>
    <x v="2"/>
  </r>
  <r>
    <x v="4"/>
    <x v="6"/>
    <s v="Juli"/>
    <s v="Division_A"/>
    <x v="41"/>
    <n v="2016"/>
    <n v="0"/>
    <s v="TBM"/>
    <n v="21"/>
    <n v="2901"/>
    <s v="138.1"/>
    <x v="0"/>
    <n v="0"/>
    <n v="0"/>
    <n v="0"/>
    <d v="2016-07-01T00:00:00"/>
    <x v="1"/>
    <x v="2"/>
  </r>
  <r>
    <x v="4"/>
    <x v="7"/>
    <s v="Agustus"/>
    <s v="Division_A"/>
    <x v="41"/>
    <n v="2016"/>
    <n v="0"/>
    <s v="TBM"/>
    <n v="21"/>
    <n v="2901"/>
    <s v="138.1"/>
    <x v="0"/>
    <n v="0"/>
    <n v="0"/>
    <n v="0"/>
    <d v="2016-08-01T00:00:00"/>
    <x v="1"/>
    <x v="2"/>
  </r>
  <r>
    <x v="4"/>
    <x v="8"/>
    <s v="September"/>
    <s v="Division_A"/>
    <x v="41"/>
    <n v="2016"/>
    <n v="0"/>
    <s v="TBM"/>
    <n v="21"/>
    <n v="2901"/>
    <s v="138.1"/>
    <x v="0"/>
    <n v="0"/>
    <n v="0"/>
    <n v="0"/>
    <d v="2016-09-01T00:00:00"/>
    <x v="1"/>
    <x v="2"/>
  </r>
  <r>
    <x v="4"/>
    <x v="9"/>
    <s v="Oktober"/>
    <s v="Division_A"/>
    <x v="41"/>
    <n v="2016"/>
    <n v="0"/>
    <s v="TBM"/>
    <n v="21"/>
    <n v="2901"/>
    <s v="138.1"/>
    <x v="0"/>
    <n v="0"/>
    <n v="0"/>
    <n v="0"/>
    <d v="2016-10-01T00:00:00"/>
    <x v="1"/>
    <x v="2"/>
  </r>
  <r>
    <x v="4"/>
    <x v="10"/>
    <s v="November"/>
    <s v="Division_A"/>
    <x v="41"/>
    <n v="2016"/>
    <n v="0"/>
    <s v="TBM"/>
    <n v="21"/>
    <n v="2901"/>
    <s v="138.1"/>
    <x v="0"/>
    <n v="0"/>
    <n v="0"/>
    <n v="0"/>
    <d v="2016-11-01T00:00:00"/>
    <x v="1"/>
    <x v="2"/>
  </r>
  <r>
    <x v="4"/>
    <x v="11"/>
    <s v="Desember"/>
    <s v="Division_A"/>
    <x v="41"/>
    <n v="2016"/>
    <n v="0"/>
    <s v="TBM"/>
    <n v="21"/>
    <n v="2901"/>
    <s v="138.1"/>
    <x v="0"/>
    <n v="0"/>
    <n v="0"/>
    <n v="0"/>
    <d v="2016-12-01T00:00:00"/>
    <x v="1"/>
    <x v="2"/>
  </r>
  <r>
    <x v="5"/>
    <x v="0"/>
    <s v="Januari"/>
    <s v="Division_A"/>
    <x v="0"/>
    <n v="2000"/>
    <n v="17"/>
    <s v="TM-Tua"/>
    <n v="19"/>
    <n v="1490"/>
    <s v="78.4"/>
    <x v="0"/>
    <n v="0.56299999999999994"/>
    <n v="10697.1"/>
    <n v="10.696999999999999"/>
    <d v="2017-01-01T00:00:00"/>
    <x v="0"/>
    <x v="4"/>
  </r>
  <r>
    <x v="5"/>
    <x v="1"/>
    <s v="Februari"/>
    <s v="Division_A"/>
    <x v="0"/>
    <n v="2000"/>
    <n v="17"/>
    <s v="TM-Tua"/>
    <n v="19"/>
    <n v="1490"/>
    <s v="78.4"/>
    <x v="0"/>
    <n v="0.35"/>
    <n v="6642.7"/>
    <n v="6.6429999999999998"/>
    <d v="2017-02-01T00:00:00"/>
    <x v="0"/>
    <x v="4"/>
  </r>
  <r>
    <x v="5"/>
    <x v="2"/>
    <s v="Maret"/>
    <s v="Division_A"/>
    <x v="0"/>
    <n v="2000"/>
    <n v="17"/>
    <s v="TM-Tua"/>
    <n v="19"/>
    <n v="1490"/>
    <s v="78.4"/>
    <x v="0"/>
    <n v="0.56699999999999995"/>
    <n v="10767.9"/>
    <n v="10.768000000000001"/>
    <d v="2017-03-01T00:00:00"/>
    <x v="0"/>
    <x v="4"/>
  </r>
  <r>
    <x v="5"/>
    <x v="3"/>
    <s v="April"/>
    <s v="Division_A"/>
    <x v="0"/>
    <n v="2000"/>
    <n v="17"/>
    <s v="TM-Tua"/>
    <n v="19"/>
    <n v="1490"/>
    <s v="78.4"/>
    <x v="0"/>
    <n v="0.76600000000000001"/>
    <n v="14559.4"/>
    <n v="14.558999999999999"/>
    <d v="2017-04-01T00:00:00"/>
    <x v="0"/>
    <x v="4"/>
  </r>
  <r>
    <x v="5"/>
    <x v="4"/>
    <s v="Mei"/>
    <s v="Division_A"/>
    <x v="0"/>
    <n v="2000"/>
    <n v="17"/>
    <s v="TM-Tua"/>
    <n v="19"/>
    <n v="1490"/>
    <s v="78.4"/>
    <x v="0"/>
    <n v="0.70699999999999996"/>
    <n v="13437.1"/>
    <n v="13.436999999999999"/>
    <d v="2017-05-01T00:00:00"/>
    <x v="0"/>
    <x v="4"/>
  </r>
  <r>
    <x v="5"/>
    <x v="5"/>
    <s v="Juni"/>
    <s v="Division_A"/>
    <x v="0"/>
    <n v="2000"/>
    <n v="17"/>
    <s v="TM-Tua"/>
    <n v="19"/>
    <n v="1490"/>
    <s v="78.4"/>
    <x v="0"/>
    <n v="0.58599999999999997"/>
    <n v="11142"/>
    <n v="11.141999999999999"/>
    <d v="2017-06-01T00:00:00"/>
    <x v="0"/>
    <x v="4"/>
  </r>
  <r>
    <x v="5"/>
    <x v="6"/>
    <s v="Juli"/>
    <s v="Division_A"/>
    <x v="0"/>
    <n v="2000"/>
    <n v="17"/>
    <s v="TM-Tua"/>
    <n v="19"/>
    <n v="1490"/>
    <s v="78.4"/>
    <x v="0"/>
    <n v="0.58899999999999997"/>
    <n v="11192.6"/>
    <n v="11.193"/>
    <d v="2017-07-01T00:00:00"/>
    <x v="0"/>
    <x v="4"/>
  </r>
  <r>
    <x v="5"/>
    <x v="7"/>
    <s v="Agustus"/>
    <s v="Division_A"/>
    <x v="0"/>
    <n v="2000"/>
    <n v="17"/>
    <s v="TM-Tua"/>
    <n v="19"/>
    <n v="1490"/>
    <s v="78.4"/>
    <x v="0"/>
    <n v="0.81899999999999995"/>
    <n v="15560.4"/>
    <n v="15.56"/>
    <d v="2017-08-01T00:00:00"/>
    <x v="0"/>
    <x v="4"/>
  </r>
  <r>
    <x v="5"/>
    <x v="8"/>
    <s v="September"/>
    <s v="Division_A"/>
    <x v="0"/>
    <n v="2000"/>
    <n v="17"/>
    <s v="TM-Tua"/>
    <n v="19"/>
    <n v="1490"/>
    <s v="78.4"/>
    <x v="0"/>
    <n v="0.58599999999999997"/>
    <n v="11131.9"/>
    <n v="11.132"/>
    <d v="2017-09-01T00:00:00"/>
    <x v="0"/>
    <x v="4"/>
  </r>
  <r>
    <x v="5"/>
    <x v="9"/>
    <s v="Oktober"/>
    <s v="Division_A"/>
    <x v="0"/>
    <n v="2000"/>
    <n v="17"/>
    <s v="TM-Tua"/>
    <n v="19"/>
    <n v="1490"/>
    <s v="78.4"/>
    <x v="0"/>
    <n v="0.56299999999999994"/>
    <n v="10697.1"/>
    <n v="10.696999999999999"/>
    <d v="2017-10-01T00:00:00"/>
    <x v="0"/>
    <x v="4"/>
  </r>
  <r>
    <x v="5"/>
    <x v="10"/>
    <s v="November"/>
    <s v="Division_A"/>
    <x v="0"/>
    <n v="2000"/>
    <n v="17"/>
    <s v="TM-Tua"/>
    <n v="19"/>
    <n v="1490"/>
    <s v="78.4"/>
    <x v="0"/>
    <n v="0.57999999999999996"/>
    <n v="11010.6"/>
    <n v="11.010999999999999"/>
    <d v="2017-11-01T00:00:00"/>
    <x v="0"/>
    <x v="4"/>
  </r>
  <r>
    <x v="5"/>
    <x v="11"/>
    <s v="Desember"/>
    <s v="Division_A"/>
    <x v="0"/>
    <n v="2000"/>
    <n v="17"/>
    <s v="TM-Tua"/>
    <n v="19"/>
    <n v="1490"/>
    <s v="78.4"/>
    <x v="0"/>
    <n v="0.49399999999999999"/>
    <n v="9382.7000000000007"/>
    <n v="9.3829999999999991"/>
    <d v="2017-12-01T00:00:00"/>
    <x v="0"/>
    <x v="4"/>
  </r>
  <r>
    <x v="5"/>
    <x v="0"/>
    <s v="Januari"/>
    <s v="Division_A"/>
    <x v="1"/>
    <n v="2000"/>
    <n v="17"/>
    <s v="TM-Tua"/>
    <n v="24"/>
    <n v="1675"/>
    <s v="69.8"/>
    <x v="0"/>
    <n v="0.501"/>
    <n v="12025.3"/>
    <n v="12.025"/>
    <d v="2017-01-01T00:00:00"/>
    <x v="0"/>
    <x v="4"/>
  </r>
  <r>
    <x v="5"/>
    <x v="1"/>
    <s v="Februari"/>
    <s v="Division_A"/>
    <x v="1"/>
    <n v="2000"/>
    <n v="17"/>
    <s v="TM-Tua"/>
    <n v="24"/>
    <n v="1675"/>
    <s v="69.8"/>
    <x v="0"/>
    <n v="0.311"/>
    <n v="7467.5"/>
    <n v="7.468"/>
    <d v="2017-02-01T00:00:00"/>
    <x v="0"/>
    <x v="4"/>
  </r>
  <r>
    <x v="5"/>
    <x v="2"/>
    <s v="Maret"/>
    <s v="Division_A"/>
    <x v="1"/>
    <n v="2000"/>
    <n v="17"/>
    <s v="TM-Tua"/>
    <n v="24"/>
    <n v="1675"/>
    <s v="69.8"/>
    <x v="0"/>
    <n v="0.504"/>
    <n v="12104.9"/>
    <n v="12.105"/>
    <d v="2017-03-01T00:00:00"/>
    <x v="0"/>
    <x v="4"/>
  </r>
  <r>
    <x v="5"/>
    <x v="3"/>
    <s v="April"/>
    <s v="Division_A"/>
    <x v="1"/>
    <n v="2000"/>
    <n v="17"/>
    <s v="TM-Tua"/>
    <n v="24"/>
    <n v="1675"/>
    <s v="69.8"/>
    <x v="0"/>
    <n v="0.68200000000000005"/>
    <n v="16367.1"/>
    <n v="16.367000000000001"/>
    <d v="2017-04-01T00:00:00"/>
    <x v="0"/>
    <x v="4"/>
  </r>
  <r>
    <x v="5"/>
    <x v="4"/>
    <s v="Mei"/>
    <s v="Division_A"/>
    <x v="1"/>
    <n v="2000"/>
    <n v="17"/>
    <s v="TM-Tua"/>
    <n v="24"/>
    <n v="1675"/>
    <s v="69.8"/>
    <x v="0"/>
    <n v="0.629"/>
    <n v="15105.5"/>
    <n v="15.106"/>
    <d v="2017-05-01T00:00:00"/>
    <x v="0"/>
    <x v="4"/>
  </r>
  <r>
    <x v="5"/>
    <x v="5"/>
    <s v="Juni"/>
    <s v="Division_A"/>
    <x v="1"/>
    <n v="2000"/>
    <n v="17"/>
    <s v="TM-Tua"/>
    <n v="24"/>
    <n v="1675"/>
    <s v="69.8"/>
    <x v="0"/>
    <n v="0.52200000000000002"/>
    <n v="12525.4"/>
    <n v="12.525"/>
    <d v="2017-06-01T00:00:00"/>
    <x v="0"/>
    <x v="4"/>
  </r>
  <r>
    <x v="5"/>
    <x v="6"/>
    <s v="Juli"/>
    <s v="Division_A"/>
    <x v="1"/>
    <n v="2000"/>
    <n v="17"/>
    <s v="TM-Tua"/>
    <n v="24"/>
    <n v="1675"/>
    <s v="69.8"/>
    <x v="0"/>
    <n v="0.52400000000000002"/>
    <n v="12582.2"/>
    <n v="12.582000000000001"/>
    <d v="2017-07-01T00:00:00"/>
    <x v="0"/>
    <x v="4"/>
  </r>
  <r>
    <x v="5"/>
    <x v="7"/>
    <s v="Agustus"/>
    <s v="Division_A"/>
    <x v="1"/>
    <n v="2000"/>
    <n v="17"/>
    <s v="TM-Tua"/>
    <n v="24"/>
    <n v="1675"/>
    <s v="69.8"/>
    <x v="0"/>
    <n v="0.72899999999999998"/>
    <n v="17492.400000000001"/>
    <n v="17.492000000000001"/>
    <d v="2017-08-01T00:00:00"/>
    <x v="0"/>
    <x v="4"/>
  </r>
  <r>
    <x v="5"/>
    <x v="8"/>
    <s v="September"/>
    <s v="Division_A"/>
    <x v="1"/>
    <n v="2000"/>
    <n v="17"/>
    <s v="TM-Tua"/>
    <n v="24"/>
    <n v="1675"/>
    <s v="69.8"/>
    <x v="0"/>
    <n v="0.52100000000000002"/>
    <n v="12514"/>
    <n v="12.513999999999999"/>
    <d v="2017-09-01T00:00:00"/>
    <x v="0"/>
    <x v="4"/>
  </r>
  <r>
    <x v="5"/>
    <x v="9"/>
    <s v="Oktober"/>
    <s v="Division_A"/>
    <x v="1"/>
    <n v="2000"/>
    <n v="17"/>
    <s v="TM-Tua"/>
    <n v="24"/>
    <n v="1675"/>
    <s v="69.8"/>
    <x v="0"/>
    <n v="0.501"/>
    <n v="12025.3"/>
    <n v="12.025"/>
    <d v="2017-10-01T00:00:00"/>
    <x v="0"/>
    <x v="4"/>
  </r>
  <r>
    <x v="5"/>
    <x v="10"/>
    <s v="November"/>
    <s v="Division_A"/>
    <x v="1"/>
    <n v="2000"/>
    <n v="17"/>
    <s v="TM-Tua"/>
    <n v="24"/>
    <n v="1675"/>
    <s v="69.8"/>
    <x v="0"/>
    <n v="0.51600000000000001"/>
    <n v="12377.7"/>
    <n v="12.378"/>
    <d v="2017-11-01T00:00:00"/>
    <x v="0"/>
    <x v="4"/>
  </r>
  <r>
    <x v="5"/>
    <x v="11"/>
    <s v="Desember"/>
    <s v="Division_A"/>
    <x v="1"/>
    <n v="2000"/>
    <n v="17"/>
    <s v="TM-Tua"/>
    <n v="24"/>
    <n v="1675"/>
    <s v="69.8"/>
    <x v="0"/>
    <n v="0.439"/>
    <n v="10547.7"/>
    <n v="10.548"/>
    <d v="2017-12-01T00:00:00"/>
    <x v="0"/>
    <x v="4"/>
  </r>
  <r>
    <x v="5"/>
    <x v="0"/>
    <s v="Januari"/>
    <s v="Division_A"/>
    <x v="2"/>
    <n v="2005"/>
    <n v="12"/>
    <s v="TM-Utama"/>
    <n v="18"/>
    <n v="1922"/>
    <s v="106.8"/>
    <x v="0"/>
    <n v="0.84699999999999998"/>
    <n v="15251.1"/>
    <n v="15.250999999999999"/>
    <d v="2017-01-01T00:00:00"/>
    <x v="0"/>
    <x v="0"/>
  </r>
  <r>
    <x v="5"/>
    <x v="1"/>
    <s v="Februari"/>
    <s v="Division_A"/>
    <x v="2"/>
    <n v="2005"/>
    <n v="12"/>
    <s v="TM-Utama"/>
    <n v="18"/>
    <n v="1922"/>
    <s v="106.8"/>
    <x v="0"/>
    <n v="0.52600000000000002"/>
    <n v="9470.7000000000007"/>
    <n v="9.4710000000000001"/>
    <d v="2017-02-01T00:00:00"/>
    <x v="0"/>
    <x v="0"/>
  </r>
  <r>
    <x v="5"/>
    <x v="2"/>
    <s v="Maret"/>
    <s v="Division_A"/>
    <x v="2"/>
    <n v="2005"/>
    <n v="12"/>
    <s v="TM-Utama"/>
    <n v="18"/>
    <n v="1922"/>
    <s v="106.8"/>
    <x v="0"/>
    <n v="0.85299999999999998"/>
    <n v="15352"/>
    <n v="15.352"/>
    <d v="2017-03-01T00:00:00"/>
    <x v="0"/>
    <x v="0"/>
  </r>
  <r>
    <x v="5"/>
    <x v="3"/>
    <s v="April"/>
    <s v="Division_A"/>
    <x v="2"/>
    <n v="2005"/>
    <n v="12"/>
    <s v="TM-Utama"/>
    <n v="18"/>
    <n v="1922"/>
    <s v="106.8"/>
    <x v="0"/>
    <n v="1.153"/>
    <n v="20757.599999999999"/>
    <n v="20.757999999999999"/>
    <d v="2017-04-01T00:00:00"/>
    <x v="0"/>
    <x v="0"/>
  </r>
  <r>
    <x v="5"/>
    <x v="4"/>
    <s v="Mei"/>
    <s v="Division_A"/>
    <x v="2"/>
    <n v="2005"/>
    <n v="12"/>
    <s v="TM-Utama"/>
    <n v="18"/>
    <n v="1922"/>
    <s v="106.8"/>
    <x v="0"/>
    <n v="1.0640000000000001"/>
    <n v="19157.5"/>
    <n v="19.158000000000001"/>
    <d v="2017-05-01T00:00:00"/>
    <x v="0"/>
    <x v="0"/>
  </r>
  <r>
    <x v="5"/>
    <x v="5"/>
    <s v="Juni"/>
    <s v="Division_A"/>
    <x v="2"/>
    <n v="2005"/>
    <n v="12"/>
    <s v="TM-Utama"/>
    <n v="18"/>
    <n v="1922"/>
    <s v="106.8"/>
    <x v="0"/>
    <n v="0.88300000000000001"/>
    <n v="15885.3"/>
    <n v="15.885"/>
    <d v="2017-06-01T00:00:00"/>
    <x v="0"/>
    <x v="0"/>
  </r>
  <r>
    <x v="5"/>
    <x v="6"/>
    <s v="Juli"/>
    <s v="Division_A"/>
    <x v="2"/>
    <n v="2005"/>
    <n v="12"/>
    <s v="TM-Utama"/>
    <n v="18"/>
    <n v="1922"/>
    <s v="106.8"/>
    <x v="0"/>
    <n v="0.88700000000000001"/>
    <n v="15957.4"/>
    <n v="15.957000000000001"/>
    <d v="2017-07-01T00:00:00"/>
    <x v="0"/>
    <x v="0"/>
  </r>
  <r>
    <x v="5"/>
    <x v="7"/>
    <s v="Agustus"/>
    <s v="Division_A"/>
    <x v="2"/>
    <n v="2005"/>
    <n v="12"/>
    <s v="TM-Utama"/>
    <n v="18"/>
    <n v="1922"/>
    <s v="106.8"/>
    <x v="0"/>
    <n v="1.232"/>
    <n v="22184.7"/>
    <n v="22.184999999999999"/>
    <d v="2017-08-01T00:00:00"/>
    <x v="0"/>
    <x v="0"/>
  </r>
  <r>
    <x v="5"/>
    <x v="8"/>
    <s v="September"/>
    <s v="Division_A"/>
    <x v="2"/>
    <n v="2005"/>
    <n v="12"/>
    <s v="TM-Utama"/>
    <n v="18"/>
    <n v="1922"/>
    <s v="106.8"/>
    <x v="0"/>
    <n v="0.88200000000000001"/>
    <n v="15870.9"/>
    <n v="15.871"/>
    <d v="2017-09-01T00:00:00"/>
    <x v="0"/>
    <x v="0"/>
  </r>
  <r>
    <x v="5"/>
    <x v="9"/>
    <s v="Oktober"/>
    <s v="Division_A"/>
    <x v="2"/>
    <n v="2005"/>
    <n v="12"/>
    <s v="TM-Utama"/>
    <n v="18"/>
    <n v="1922"/>
    <s v="106.8"/>
    <x v="0"/>
    <n v="0.84699999999999998"/>
    <n v="15251.1"/>
    <n v="15.250999999999999"/>
    <d v="2017-10-01T00:00:00"/>
    <x v="0"/>
    <x v="0"/>
  </r>
  <r>
    <x v="5"/>
    <x v="10"/>
    <s v="November"/>
    <s v="Division_A"/>
    <x v="2"/>
    <n v="2005"/>
    <n v="12"/>
    <s v="TM-Utama"/>
    <n v="18"/>
    <n v="1922"/>
    <s v="106.8"/>
    <x v="0"/>
    <n v="0.872"/>
    <n v="15697.9"/>
    <n v="15.698"/>
    <d v="2017-11-01T00:00:00"/>
    <x v="0"/>
    <x v="0"/>
  </r>
  <r>
    <x v="5"/>
    <x v="11"/>
    <s v="Desember"/>
    <s v="Division_A"/>
    <x v="2"/>
    <n v="2005"/>
    <n v="12"/>
    <s v="TM-Utama"/>
    <n v="18"/>
    <n v="1922"/>
    <s v="106.8"/>
    <x v="0"/>
    <n v="0.74299999999999999"/>
    <n v="13377.1"/>
    <n v="13.377000000000001"/>
    <d v="2017-12-01T00:00:00"/>
    <x v="0"/>
    <x v="0"/>
  </r>
  <r>
    <x v="5"/>
    <x v="0"/>
    <s v="Januari"/>
    <s v="Division_A"/>
    <x v="3"/>
    <n v="2005"/>
    <n v="12"/>
    <s v="TM-Utama"/>
    <n v="26"/>
    <n v="2827"/>
    <s v="108.7"/>
    <x v="0"/>
    <n v="0.86299999999999999"/>
    <n v="22432.2"/>
    <n v="22.431999999999999"/>
    <d v="2017-01-01T00:00:00"/>
    <x v="0"/>
    <x v="0"/>
  </r>
  <r>
    <x v="5"/>
    <x v="1"/>
    <s v="Februari"/>
    <s v="Division_A"/>
    <x v="3"/>
    <n v="2005"/>
    <n v="12"/>
    <s v="TM-Utama"/>
    <n v="26"/>
    <n v="2827"/>
    <s v="108.7"/>
    <x v="0"/>
    <n v="0.53600000000000003"/>
    <n v="13930"/>
    <n v="13.93"/>
    <d v="2017-02-01T00:00:00"/>
    <x v="0"/>
    <x v="0"/>
  </r>
  <r>
    <x v="5"/>
    <x v="2"/>
    <s v="Maret"/>
    <s v="Division_A"/>
    <x v="3"/>
    <n v="2005"/>
    <n v="12"/>
    <s v="TM-Utama"/>
    <n v="26"/>
    <n v="2827"/>
    <s v="108.7"/>
    <x v="0"/>
    <n v="0.86799999999999999"/>
    <n v="22580.7"/>
    <n v="22.581"/>
    <d v="2017-03-01T00:00:00"/>
    <x v="0"/>
    <x v="0"/>
  </r>
  <r>
    <x v="5"/>
    <x v="3"/>
    <s v="April"/>
    <s v="Division_A"/>
    <x v="3"/>
    <n v="2005"/>
    <n v="12"/>
    <s v="TM-Utama"/>
    <n v="26"/>
    <n v="2827"/>
    <s v="108.7"/>
    <x v="0"/>
    <n v="1.1739999999999999"/>
    <n v="30531.599999999999"/>
    <n v="30.532"/>
    <d v="2017-04-01T00:00:00"/>
    <x v="0"/>
    <x v="0"/>
  </r>
  <r>
    <x v="5"/>
    <x v="4"/>
    <s v="Mei"/>
    <s v="Division_A"/>
    <x v="3"/>
    <n v="2005"/>
    <n v="12"/>
    <s v="TM-Utama"/>
    <n v="26"/>
    <n v="2827"/>
    <s v="108.7"/>
    <x v="0"/>
    <n v="1.0840000000000001"/>
    <n v="28178.1"/>
    <n v="28.178000000000001"/>
    <d v="2017-05-01T00:00:00"/>
    <x v="0"/>
    <x v="0"/>
  </r>
  <r>
    <x v="5"/>
    <x v="5"/>
    <s v="Juni"/>
    <s v="Division_A"/>
    <x v="3"/>
    <n v="2005"/>
    <n v="12"/>
    <s v="TM-Utama"/>
    <n v="26"/>
    <n v="2827"/>
    <s v="108.7"/>
    <x v="0"/>
    <n v="0.89900000000000002"/>
    <n v="23365.200000000001"/>
    <n v="23.364999999999998"/>
    <d v="2017-06-01T00:00:00"/>
    <x v="0"/>
    <x v="0"/>
  </r>
  <r>
    <x v="5"/>
    <x v="6"/>
    <s v="Juli"/>
    <s v="Division_A"/>
    <x v="3"/>
    <n v="2005"/>
    <n v="12"/>
    <s v="TM-Utama"/>
    <n v="26"/>
    <n v="2827"/>
    <s v="108.7"/>
    <x v="0"/>
    <n v="0.90300000000000002"/>
    <n v="23471.200000000001"/>
    <n v="23.471"/>
    <d v="2017-07-01T00:00:00"/>
    <x v="0"/>
    <x v="0"/>
  </r>
  <r>
    <x v="5"/>
    <x v="7"/>
    <s v="Agustus"/>
    <s v="Division_A"/>
    <x v="3"/>
    <n v="2005"/>
    <n v="12"/>
    <s v="TM-Utama"/>
    <n v="26"/>
    <n v="2827"/>
    <s v="108.7"/>
    <x v="0"/>
    <n v="1.2549999999999999"/>
    <n v="32630.6"/>
    <n v="32.631"/>
    <d v="2017-08-01T00:00:00"/>
    <x v="0"/>
    <x v="0"/>
  </r>
  <r>
    <x v="5"/>
    <x v="8"/>
    <s v="September"/>
    <s v="Division_A"/>
    <x v="3"/>
    <n v="2005"/>
    <n v="12"/>
    <s v="TM-Utama"/>
    <n v="26"/>
    <n v="2827"/>
    <s v="108.7"/>
    <x v="0"/>
    <n v="0.89800000000000002"/>
    <n v="23344"/>
    <n v="23.344000000000001"/>
    <d v="2017-09-01T00:00:00"/>
    <x v="0"/>
    <x v="0"/>
  </r>
  <r>
    <x v="5"/>
    <x v="9"/>
    <s v="Oktober"/>
    <s v="Division_A"/>
    <x v="3"/>
    <n v="2005"/>
    <n v="12"/>
    <s v="TM-Utama"/>
    <n v="26"/>
    <n v="2827"/>
    <s v="108.7"/>
    <x v="0"/>
    <n v="0.86299999999999999"/>
    <n v="22432.2"/>
    <n v="22.431999999999999"/>
    <d v="2017-10-01T00:00:00"/>
    <x v="0"/>
    <x v="0"/>
  </r>
  <r>
    <x v="5"/>
    <x v="10"/>
    <s v="November"/>
    <s v="Division_A"/>
    <x v="3"/>
    <n v="2005"/>
    <n v="12"/>
    <s v="TM-Utama"/>
    <n v="26"/>
    <n v="2827"/>
    <s v="108.7"/>
    <x v="0"/>
    <n v="0.88800000000000001"/>
    <n v="23089.5"/>
    <n v="23.09"/>
    <d v="2017-11-01T00:00:00"/>
    <x v="0"/>
    <x v="0"/>
  </r>
  <r>
    <x v="5"/>
    <x v="11"/>
    <s v="Desember"/>
    <s v="Division_A"/>
    <x v="3"/>
    <n v="2005"/>
    <n v="12"/>
    <s v="TM-Utama"/>
    <n v="26"/>
    <n v="2827"/>
    <s v="108.7"/>
    <x v="0"/>
    <n v="0.75700000000000001"/>
    <n v="19675.900000000001"/>
    <n v="19.675999999999998"/>
    <d v="2017-12-01T00:00:00"/>
    <x v="0"/>
    <x v="0"/>
  </r>
  <r>
    <x v="5"/>
    <x v="0"/>
    <s v="Januari"/>
    <s v="Division_A"/>
    <x v="4"/>
    <n v="2005"/>
    <n v="12"/>
    <s v="TM-Utama"/>
    <n v="24"/>
    <n v="1947"/>
    <s v="81.1"/>
    <x v="1"/>
    <n v="0.80900000000000005"/>
    <n v="19424.900000000001"/>
    <n v="19.425000000000001"/>
    <d v="2017-01-01T00:00:00"/>
    <x v="0"/>
    <x v="0"/>
  </r>
  <r>
    <x v="5"/>
    <x v="1"/>
    <s v="Februari"/>
    <s v="Division_A"/>
    <x v="4"/>
    <n v="2005"/>
    <n v="12"/>
    <s v="TM-Utama"/>
    <n v="24"/>
    <n v="1947"/>
    <s v="81.1"/>
    <x v="1"/>
    <n v="0.503"/>
    <n v="12062.5"/>
    <n v="12.063000000000001"/>
    <d v="2017-02-01T00:00:00"/>
    <x v="0"/>
    <x v="0"/>
  </r>
  <r>
    <x v="5"/>
    <x v="2"/>
    <s v="Maret"/>
    <s v="Division_A"/>
    <x v="4"/>
    <n v="2005"/>
    <n v="12"/>
    <s v="TM-Utama"/>
    <n v="24"/>
    <n v="1947"/>
    <s v="81.1"/>
    <x v="1"/>
    <n v="0.81499999999999995"/>
    <n v="19553.400000000001"/>
    <n v="19.553000000000001"/>
    <d v="2017-03-01T00:00:00"/>
    <x v="0"/>
    <x v="0"/>
  </r>
  <r>
    <x v="5"/>
    <x v="3"/>
    <s v="April"/>
    <s v="Division_A"/>
    <x v="4"/>
    <n v="2005"/>
    <n v="12"/>
    <s v="TM-Utama"/>
    <n v="24"/>
    <n v="1947"/>
    <s v="81.1"/>
    <x v="1"/>
    <n v="1.1020000000000001"/>
    <n v="26438.400000000001"/>
    <n v="26.437999999999999"/>
    <d v="2017-04-01T00:00:00"/>
    <x v="0"/>
    <x v="0"/>
  </r>
  <r>
    <x v="5"/>
    <x v="4"/>
    <s v="Mei"/>
    <s v="Division_A"/>
    <x v="4"/>
    <n v="2005"/>
    <n v="12"/>
    <s v="TM-Utama"/>
    <n v="24"/>
    <n v="1947"/>
    <s v="81.1"/>
    <x v="1"/>
    <n v="1.0169999999999999"/>
    <n v="24400.400000000001"/>
    <n v="24.4"/>
    <d v="2017-05-01T00:00:00"/>
    <x v="0"/>
    <x v="0"/>
  </r>
  <r>
    <x v="5"/>
    <x v="5"/>
    <s v="Juni"/>
    <s v="Division_A"/>
    <x v="4"/>
    <n v="2005"/>
    <n v="12"/>
    <s v="TM-Utama"/>
    <n v="24"/>
    <n v="1947"/>
    <s v="81.1"/>
    <x v="1"/>
    <n v="0.84299999999999997"/>
    <n v="20232.7"/>
    <n v="20.233000000000001"/>
    <d v="2017-06-01T00:00:00"/>
    <x v="0"/>
    <x v="0"/>
  </r>
  <r>
    <x v="5"/>
    <x v="6"/>
    <s v="Juli"/>
    <s v="Division_A"/>
    <x v="4"/>
    <n v="2005"/>
    <n v="12"/>
    <s v="TM-Utama"/>
    <n v="24"/>
    <n v="1947"/>
    <s v="81.1"/>
    <x v="1"/>
    <n v="0.84699999999999998"/>
    <n v="20324.5"/>
    <n v="20.324999999999999"/>
    <d v="2017-07-01T00:00:00"/>
    <x v="0"/>
    <x v="0"/>
  </r>
  <r>
    <x v="5"/>
    <x v="7"/>
    <s v="Agustus"/>
    <s v="Division_A"/>
    <x v="4"/>
    <n v="2005"/>
    <n v="12"/>
    <s v="TM-Utama"/>
    <n v="24"/>
    <n v="1947"/>
    <s v="81.1"/>
    <x v="1"/>
    <n v="1.177"/>
    <n v="28256"/>
    <n v="28.256"/>
    <d v="2017-08-01T00:00:00"/>
    <x v="0"/>
    <x v="0"/>
  </r>
  <r>
    <x v="5"/>
    <x v="8"/>
    <s v="September"/>
    <s v="Division_A"/>
    <x v="4"/>
    <n v="2005"/>
    <n v="12"/>
    <s v="TM-Utama"/>
    <n v="24"/>
    <n v="1947"/>
    <s v="81.1"/>
    <x v="1"/>
    <n v="0.84199999999999997"/>
    <n v="20214.400000000001"/>
    <n v="20.213999999999999"/>
    <d v="2017-09-01T00:00:00"/>
    <x v="0"/>
    <x v="0"/>
  </r>
  <r>
    <x v="5"/>
    <x v="9"/>
    <s v="Oktober"/>
    <s v="Division_A"/>
    <x v="4"/>
    <n v="2005"/>
    <n v="12"/>
    <s v="TM-Utama"/>
    <n v="24"/>
    <n v="1947"/>
    <s v="81.1"/>
    <x v="1"/>
    <n v="0.80900000000000005"/>
    <n v="19424.900000000001"/>
    <n v="19.425000000000001"/>
    <d v="2017-10-01T00:00:00"/>
    <x v="0"/>
    <x v="0"/>
  </r>
  <r>
    <x v="5"/>
    <x v="10"/>
    <s v="November"/>
    <s v="Division_A"/>
    <x v="4"/>
    <n v="2005"/>
    <n v="12"/>
    <s v="TM-Utama"/>
    <n v="24"/>
    <n v="1947"/>
    <s v="81.1"/>
    <x v="1"/>
    <n v="0.83299999999999996"/>
    <n v="19994"/>
    <n v="19.994"/>
    <d v="2017-11-01T00:00:00"/>
    <x v="0"/>
    <x v="0"/>
  </r>
  <r>
    <x v="5"/>
    <x v="11"/>
    <s v="Desember"/>
    <s v="Division_A"/>
    <x v="4"/>
    <n v="2005"/>
    <n v="12"/>
    <s v="TM-Utama"/>
    <n v="24"/>
    <n v="1947"/>
    <s v="81.1"/>
    <x v="1"/>
    <n v="0.71"/>
    <n v="17038.099999999999"/>
    <n v="17.038"/>
    <d v="2017-12-01T00:00:00"/>
    <x v="0"/>
    <x v="0"/>
  </r>
  <r>
    <x v="5"/>
    <x v="0"/>
    <s v="Januari"/>
    <s v="Division_A"/>
    <x v="5"/>
    <n v="2006"/>
    <n v="11"/>
    <s v="TM-Utama"/>
    <n v="25"/>
    <n v="2740"/>
    <s v="109.6"/>
    <x v="1"/>
    <n v="0.87"/>
    <n v="21741.9"/>
    <n v="21.742000000000001"/>
    <d v="2017-01-01T00:00:00"/>
    <x v="0"/>
    <x v="0"/>
  </r>
  <r>
    <x v="5"/>
    <x v="1"/>
    <s v="Februari"/>
    <s v="Division_A"/>
    <x v="5"/>
    <n v="2006"/>
    <n v="11"/>
    <s v="TM-Utama"/>
    <n v="25"/>
    <n v="2740"/>
    <s v="109.6"/>
    <x v="1"/>
    <n v="0.54"/>
    <n v="13501.4"/>
    <n v="13.500999999999999"/>
    <d v="2017-02-01T00:00:00"/>
    <x v="0"/>
    <x v="0"/>
  </r>
  <r>
    <x v="5"/>
    <x v="2"/>
    <s v="Maret"/>
    <s v="Division_A"/>
    <x v="5"/>
    <n v="2006"/>
    <n v="11"/>
    <s v="TM-Utama"/>
    <n v="25"/>
    <n v="2740"/>
    <s v="109.6"/>
    <x v="1"/>
    <n v="0.875"/>
    <n v="21885.7"/>
    <n v="21.885999999999999"/>
    <d v="2017-03-01T00:00:00"/>
    <x v="0"/>
    <x v="0"/>
  </r>
  <r>
    <x v="5"/>
    <x v="3"/>
    <s v="April"/>
    <s v="Division_A"/>
    <x v="5"/>
    <n v="2006"/>
    <n v="11"/>
    <s v="TM-Utama"/>
    <n v="25"/>
    <n v="2740"/>
    <s v="109.6"/>
    <x v="1"/>
    <n v="1.1839999999999999"/>
    <n v="29592"/>
    <n v="29.591999999999999"/>
    <d v="2017-04-01T00:00:00"/>
    <x v="0"/>
    <x v="0"/>
  </r>
  <r>
    <x v="5"/>
    <x v="4"/>
    <s v="Mei"/>
    <s v="Division_A"/>
    <x v="5"/>
    <n v="2006"/>
    <n v="11"/>
    <s v="TM-Utama"/>
    <n v="25"/>
    <n v="2740"/>
    <s v="109.6"/>
    <x v="1"/>
    <n v="1.0920000000000001"/>
    <n v="27310.9"/>
    <n v="27.311"/>
    <d v="2017-05-01T00:00:00"/>
    <x v="0"/>
    <x v="0"/>
  </r>
  <r>
    <x v="5"/>
    <x v="5"/>
    <s v="Juni"/>
    <s v="Division_A"/>
    <x v="5"/>
    <n v="2006"/>
    <n v="11"/>
    <s v="TM-Utama"/>
    <n v="25"/>
    <n v="2740"/>
    <s v="109.6"/>
    <x v="1"/>
    <n v="0.90600000000000003"/>
    <n v="22646.1"/>
    <n v="22.646000000000001"/>
    <d v="2017-06-01T00:00:00"/>
    <x v="0"/>
    <x v="0"/>
  </r>
  <r>
    <x v="5"/>
    <x v="6"/>
    <s v="Juli"/>
    <s v="Division_A"/>
    <x v="5"/>
    <n v="2006"/>
    <n v="11"/>
    <s v="TM-Utama"/>
    <n v="25"/>
    <n v="2740"/>
    <s v="109.6"/>
    <x v="1"/>
    <n v="0.91"/>
    <n v="22748.799999999999"/>
    <n v="22.748999999999999"/>
    <d v="2017-07-01T00:00:00"/>
    <x v="0"/>
    <x v="0"/>
  </r>
  <r>
    <x v="5"/>
    <x v="7"/>
    <s v="Agustus"/>
    <s v="Division_A"/>
    <x v="5"/>
    <n v="2006"/>
    <n v="11"/>
    <s v="TM-Utama"/>
    <n v="25"/>
    <n v="2740"/>
    <s v="109.6"/>
    <x v="1"/>
    <n v="1.2649999999999999"/>
    <n v="31626.400000000001"/>
    <n v="31.626000000000001"/>
    <d v="2017-08-01T00:00:00"/>
    <x v="0"/>
    <x v="0"/>
  </r>
  <r>
    <x v="5"/>
    <x v="8"/>
    <s v="September"/>
    <s v="Division_A"/>
    <x v="5"/>
    <n v="2006"/>
    <n v="11"/>
    <s v="TM-Utama"/>
    <n v="25"/>
    <n v="2740"/>
    <s v="109.6"/>
    <x v="1"/>
    <n v="0.90500000000000003"/>
    <n v="22625.5"/>
    <n v="22.626000000000001"/>
    <d v="2017-09-01T00:00:00"/>
    <x v="0"/>
    <x v="0"/>
  </r>
  <r>
    <x v="5"/>
    <x v="9"/>
    <s v="Oktober"/>
    <s v="Division_A"/>
    <x v="5"/>
    <n v="2006"/>
    <n v="11"/>
    <s v="TM-Utama"/>
    <n v="25"/>
    <n v="2740"/>
    <s v="109.6"/>
    <x v="1"/>
    <n v="0.87"/>
    <n v="21741.9"/>
    <n v="21.742000000000001"/>
    <d v="2017-10-01T00:00:00"/>
    <x v="0"/>
    <x v="0"/>
  </r>
  <r>
    <x v="5"/>
    <x v="10"/>
    <s v="November"/>
    <s v="Division_A"/>
    <x v="5"/>
    <n v="2006"/>
    <n v="11"/>
    <s v="TM-Utama"/>
    <n v="25"/>
    <n v="2740"/>
    <s v="109.6"/>
    <x v="1"/>
    <n v="0.89500000000000002"/>
    <n v="22378.9"/>
    <n v="22.379000000000001"/>
    <d v="2017-11-01T00:00:00"/>
    <x v="0"/>
    <x v="0"/>
  </r>
  <r>
    <x v="5"/>
    <x v="11"/>
    <s v="Desember"/>
    <s v="Division_A"/>
    <x v="5"/>
    <n v="2006"/>
    <n v="11"/>
    <s v="TM-Utama"/>
    <n v="25"/>
    <n v="2740"/>
    <s v="109.6"/>
    <x v="1"/>
    <n v="0.76300000000000001"/>
    <n v="19070.400000000001"/>
    <n v="19.07"/>
    <d v="2017-12-01T00:00:00"/>
    <x v="0"/>
    <x v="0"/>
  </r>
  <r>
    <x v="5"/>
    <x v="0"/>
    <s v="Januari"/>
    <s v="Division_A"/>
    <x v="6"/>
    <n v="2006"/>
    <n v="11"/>
    <s v="TM-Utama"/>
    <n v="24"/>
    <n v="3230"/>
    <s v="134.6"/>
    <x v="1"/>
    <n v="1.0680000000000001"/>
    <n v="25630.1"/>
    <n v="25.63"/>
    <d v="2017-01-01T00:00:00"/>
    <x v="0"/>
    <x v="0"/>
  </r>
  <r>
    <x v="5"/>
    <x v="1"/>
    <s v="Februari"/>
    <s v="Division_A"/>
    <x v="6"/>
    <n v="2006"/>
    <n v="11"/>
    <s v="TM-Utama"/>
    <n v="24"/>
    <n v="3230"/>
    <s v="134.6"/>
    <x v="1"/>
    <n v="0.66300000000000003"/>
    <n v="15915.8"/>
    <n v="15.916"/>
    <d v="2017-02-01T00:00:00"/>
    <x v="0"/>
    <x v="0"/>
  </r>
  <r>
    <x v="5"/>
    <x v="2"/>
    <s v="Maret"/>
    <s v="Division_A"/>
    <x v="6"/>
    <n v="2006"/>
    <n v="11"/>
    <s v="TM-Utama"/>
    <n v="24"/>
    <n v="3230"/>
    <s v="134.6"/>
    <x v="1"/>
    <n v="1.075"/>
    <n v="25799.599999999999"/>
    <n v="25.8"/>
    <d v="2017-03-01T00:00:00"/>
    <x v="0"/>
    <x v="0"/>
  </r>
  <r>
    <x v="5"/>
    <x v="3"/>
    <s v="April"/>
    <s v="Division_A"/>
    <x v="6"/>
    <n v="2006"/>
    <n v="11"/>
    <s v="TM-Utama"/>
    <n v="24"/>
    <n v="3230"/>
    <s v="134.6"/>
    <x v="1"/>
    <n v="1.454"/>
    <n v="34884"/>
    <n v="34.884"/>
    <d v="2017-04-01T00:00:00"/>
    <x v="0"/>
    <x v="0"/>
  </r>
  <r>
    <x v="5"/>
    <x v="4"/>
    <s v="Mei"/>
    <s v="Division_A"/>
    <x v="6"/>
    <n v="2006"/>
    <n v="11"/>
    <s v="TM-Utama"/>
    <n v="24"/>
    <n v="3230"/>
    <s v="134.6"/>
    <x v="1"/>
    <n v="1.341"/>
    <n v="32195"/>
    <n v="32.195"/>
    <d v="2017-05-01T00:00:00"/>
    <x v="0"/>
    <x v="0"/>
  </r>
  <r>
    <x v="5"/>
    <x v="5"/>
    <s v="Juni"/>
    <s v="Division_A"/>
    <x v="6"/>
    <n v="2006"/>
    <n v="11"/>
    <s v="TM-Utama"/>
    <n v="24"/>
    <n v="3230"/>
    <s v="134.6"/>
    <x v="1"/>
    <n v="1.1120000000000001"/>
    <n v="26696"/>
    <n v="26.696000000000002"/>
    <d v="2017-06-01T00:00:00"/>
    <x v="0"/>
    <x v="0"/>
  </r>
  <r>
    <x v="5"/>
    <x v="6"/>
    <s v="Juli"/>
    <s v="Division_A"/>
    <x v="6"/>
    <n v="2006"/>
    <n v="11"/>
    <s v="TM-Utama"/>
    <n v="24"/>
    <n v="3230"/>
    <s v="134.6"/>
    <x v="1"/>
    <n v="1.117"/>
    <n v="26817.1"/>
    <n v="26.817"/>
    <d v="2017-07-01T00:00:00"/>
    <x v="0"/>
    <x v="0"/>
  </r>
  <r>
    <x v="5"/>
    <x v="7"/>
    <s v="Agustus"/>
    <s v="Division_A"/>
    <x v="6"/>
    <n v="2006"/>
    <n v="11"/>
    <s v="TM-Utama"/>
    <n v="24"/>
    <n v="3230"/>
    <s v="134.6"/>
    <x v="1"/>
    <n v="1.5529999999999999"/>
    <n v="37282.300000000003"/>
    <n v="37.281999999999996"/>
    <d v="2017-08-01T00:00:00"/>
    <x v="0"/>
    <x v="0"/>
  </r>
  <r>
    <x v="5"/>
    <x v="8"/>
    <s v="September"/>
    <s v="Division_A"/>
    <x v="6"/>
    <n v="2006"/>
    <n v="11"/>
    <s v="TM-Utama"/>
    <n v="24"/>
    <n v="3230"/>
    <s v="134.6"/>
    <x v="1"/>
    <n v="1.111"/>
    <n v="26671.7"/>
    <n v="26.672000000000001"/>
    <d v="2017-09-01T00:00:00"/>
    <x v="0"/>
    <x v="0"/>
  </r>
  <r>
    <x v="5"/>
    <x v="9"/>
    <s v="Oktober"/>
    <s v="Division_A"/>
    <x v="6"/>
    <n v="2006"/>
    <n v="11"/>
    <s v="TM-Utama"/>
    <n v="24"/>
    <n v="3230"/>
    <s v="134.6"/>
    <x v="1"/>
    <n v="1.0680000000000001"/>
    <n v="25630.1"/>
    <n v="25.63"/>
    <d v="2017-10-01T00:00:00"/>
    <x v="0"/>
    <x v="0"/>
  </r>
  <r>
    <x v="5"/>
    <x v="10"/>
    <s v="November"/>
    <s v="Division_A"/>
    <x v="6"/>
    <n v="2006"/>
    <n v="11"/>
    <s v="TM-Utama"/>
    <n v="24"/>
    <n v="3230"/>
    <s v="134.6"/>
    <x v="1"/>
    <n v="1.099"/>
    <n v="26381"/>
    <n v="26.381"/>
    <d v="2017-11-01T00:00:00"/>
    <x v="0"/>
    <x v="0"/>
  </r>
  <r>
    <x v="5"/>
    <x v="11"/>
    <s v="Desember"/>
    <s v="Division_A"/>
    <x v="6"/>
    <n v="2006"/>
    <n v="11"/>
    <s v="TM-Utama"/>
    <n v="24"/>
    <n v="3230"/>
    <s v="134.6"/>
    <x v="1"/>
    <n v="0.93700000000000006"/>
    <n v="22480.799999999999"/>
    <n v="22.481000000000002"/>
    <d v="2017-12-01T00:00:00"/>
    <x v="0"/>
    <x v="0"/>
  </r>
  <r>
    <x v="5"/>
    <x v="0"/>
    <s v="Januari"/>
    <s v="Division_A"/>
    <x v="7"/>
    <n v="2006"/>
    <n v="11"/>
    <s v="TM-Utama"/>
    <n v="22"/>
    <n v="2447"/>
    <s v="111.2"/>
    <x v="1"/>
    <n v="0.88300000000000001"/>
    <n v="19416.900000000001"/>
    <n v="19.417000000000002"/>
    <d v="2017-01-01T00:00:00"/>
    <x v="0"/>
    <x v="0"/>
  </r>
  <r>
    <x v="5"/>
    <x v="1"/>
    <s v="Februari"/>
    <s v="Division_A"/>
    <x v="7"/>
    <n v="2006"/>
    <n v="11"/>
    <s v="TM-Utama"/>
    <n v="22"/>
    <n v="2447"/>
    <s v="111.2"/>
    <x v="1"/>
    <n v="0.54800000000000004"/>
    <n v="12057.6"/>
    <n v="12.058"/>
    <d v="2017-02-01T00:00:00"/>
    <x v="0"/>
    <x v="0"/>
  </r>
  <r>
    <x v="5"/>
    <x v="2"/>
    <s v="Maret"/>
    <s v="Division_A"/>
    <x v="7"/>
    <n v="2006"/>
    <n v="11"/>
    <s v="TM-Utama"/>
    <n v="22"/>
    <n v="2447"/>
    <s v="111.2"/>
    <x v="1"/>
    <n v="0.88800000000000001"/>
    <n v="19545.400000000001"/>
    <n v="19.545000000000002"/>
    <d v="2017-03-01T00:00:00"/>
    <x v="0"/>
    <x v="0"/>
  </r>
  <r>
    <x v="5"/>
    <x v="3"/>
    <s v="April"/>
    <s v="Division_A"/>
    <x v="7"/>
    <n v="2006"/>
    <n v="11"/>
    <s v="TM-Utama"/>
    <n v="22"/>
    <n v="2447"/>
    <s v="111.2"/>
    <x v="1"/>
    <n v="1.2010000000000001"/>
    <n v="26427.599999999999"/>
    <n v="26.428000000000001"/>
    <d v="2017-04-01T00:00:00"/>
    <x v="0"/>
    <x v="0"/>
  </r>
  <r>
    <x v="5"/>
    <x v="4"/>
    <s v="Mei"/>
    <s v="Division_A"/>
    <x v="7"/>
    <n v="2006"/>
    <n v="11"/>
    <s v="TM-Utama"/>
    <n v="22"/>
    <n v="2447"/>
    <s v="111.2"/>
    <x v="1"/>
    <n v="1.109"/>
    <n v="24390.5"/>
    <n v="24.39"/>
    <d v="2017-05-01T00:00:00"/>
    <x v="0"/>
    <x v="0"/>
  </r>
  <r>
    <x v="5"/>
    <x v="5"/>
    <s v="Juni"/>
    <s v="Division_A"/>
    <x v="7"/>
    <n v="2006"/>
    <n v="11"/>
    <s v="TM-Utama"/>
    <n v="22"/>
    <n v="2447"/>
    <s v="111.2"/>
    <x v="1"/>
    <n v="0.91900000000000004"/>
    <n v="20224.5"/>
    <n v="20.224"/>
    <d v="2017-06-01T00:00:00"/>
    <x v="0"/>
    <x v="0"/>
  </r>
  <r>
    <x v="5"/>
    <x v="6"/>
    <s v="Juli"/>
    <s v="Division_A"/>
    <x v="7"/>
    <n v="2006"/>
    <n v="11"/>
    <s v="TM-Utama"/>
    <n v="22"/>
    <n v="2447"/>
    <s v="111.2"/>
    <x v="1"/>
    <n v="0.92300000000000004"/>
    <n v="20316.2"/>
    <n v="20.315999999999999"/>
    <d v="2017-07-01T00:00:00"/>
    <x v="0"/>
    <x v="0"/>
  </r>
  <r>
    <x v="5"/>
    <x v="7"/>
    <s v="Agustus"/>
    <s v="Division_A"/>
    <x v="7"/>
    <n v="2006"/>
    <n v="11"/>
    <s v="TM-Utama"/>
    <n v="22"/>
    <n v="2447"/>
    <s v="111.2"/>
    <x v="1"/>
    <n v="1.284"/>
    <n v="28244.5"/>
    <n v="28.244"/>
    <d v="2017-08-01T00:00:00"/>
    <x v="0"/>
    <x v="0"/>
  </r>
  <r>
    <x v="5"/>
    <x v="8"/>
    <s v="September"/>
    <s v="Division_A"/>
    <x v="7"/>
    <n v="2006"/>
    <n v="11"/>
    <s v="TM-Utama"/>
    <n v="22"/>
    <n v="2447"/>
    <s v="111.2"/>
    <x v="1"/>
    <n v="0.91800000000000004"/>
    <n v="20206.099999999999"/>
    <n v="20.206"/>
    <d v="2017-09-01T00:00:00"/>
    <x v="0"/>
    <x v="0"/>
  </r>
  <r>
    <x v="5"/>
    <x v="9"/>
    <s v="Oktober"/>
    <s v="Division_A"/>
    <x v="7"/>
    <n v="2006"/>
    <n v="11"/>
    <s v="TM-Utama"/>
    <n v="22"/>
    <n v="2447"/>
    <s v="111.2"/>
    <x v="1"/>
    <n v="0.88300000000000001"/>
    <n v="19416.900000000001"/>
    <n v="19.417000000000002"/>
    <d v="2017-10-01T00:00:00"/>
    <x v="0"/>
    <x v="0"/>
  </r>
  <r>
    <x v="5"/>
    <x v="10"/>
    <s v="November"/>
    <s v="Division_A"/>
    <x v="7"/>
    <n v="2006"/>
    <n v="11"/>
    <s v="TM-Utama"/>
    <n v="22"/>
    <n v="2447"/>
    <s v="111.2"/>
    <x v="1"/>
    <n v="0.90800000000000003"/>
    <n v="19985.900000000001"/>
    <n v="19.986000000000001"/>
    <d v="2017-11-01T00:00:00"/>
    <x v="0"/>
    <x v="0"/>
  </r>
  <r>
    <x v="5"/>
    <x v="11"/>
    <s v="Desember"/>
    <s v="Division_A"/>
    <x v="7"/>
    <n v="2006"/>
    <n v="11"/>
    <s v="TM-Utama"/>
    <n v="22"/>
    <n v="2447"/>
    <s v="111.2"/>
    <x v="1"/>
    <n v="0.77400000000000002"/>
    <n v="17031.099999999999"/>
    <n v="17.030999999999999"/>
    <d v="2017-12-01T00:00:00"/>
    <x v="0"/>
    <x v="0"/>
  </r>
  <r>
    <x v="5"/>
    <x v="0"/>
    <s v="Januari"/>
    <s v="Division_A"/>
    <x v="8"/>
    <n v="2006"/>
    <n v="11"/>
    <s v="TM-Utama"/>
    <n v="15"/>
    <n v="1866"/>
    <s v="124.4"/>
    <x v="1"/>
    <n v="0.98699999999999999"/>
    <n v="14806.7"/>
    <n v="14.807"/>
    <d v="2017-01-01T00:00:00"/>
    <x v="0"/>
    <x v="0"/>
  </r>
  <r>
    <x v="5"/>
    <x v="1"/>
    <s v="Februari"/>
    <s v="Division_A"/>
    <x v="8"/>
    <n v="2006"/>
    <n v="11"/>
    <s v="TM-Utama"/>
    <n v="15"/>
    <n v="1866"/>
    <s v="124.4"/>
    <x v="1"/>
    <n v="0.61299999999999999"/>
    <n v="9194.7000000000007"/>
    <n v="9.1950000000000003"/>
    <d v="2017-02-01T00:00:00"/>
    <x v="0"/>
    <x v="0"/>
  </r>
  <r>
    <x v="5"/>
    <x v="2"/>
    <s v="Maret"/>
    <s v="Division_A"/>
    <x v="8"/>
    <n v="2006"/>
    <n v="11"/>
    <s v="TM-Utama"/>
    <n v="15"/>
    <n v="1866"/>
    <s v="124.4"/>
    <x v="1"/>
    <n v="0.99399999999999999"/>
    <n v="14904.7"/>
    <n v="14.904999999999999"/>
    <d v="2017-03-01T00:00:00"/>
    <x v="0"/>
    <x v="0"/>
  </r>
  <r>
    <x v="5"/>
    <x v="3"/>
    <s v="April"/>
    <s v="Division_A"/>
    <x v="8"/>
    <n v="2006"/>
    <n v="11"/>
    <s v="TM-Utama"/>
    <n v="15"/>
    <n v="1866"/>
    <s v="124.4"/>
    <x v="1"/>
    <n v="1.3440000000000001"/>
    <n v="20152.8"/>
    <n v="20.152999999999999"/>
    <d v="2017-04-01T00:00:00"/>
    <x v="0"/>
    <x v="0"/>
  </r>
  <r>
    <x v="5"/>
    <x v="4"/>
    <s v="Mei"/>
    <s v="Division_A"/>
    <x v="8"/>
    <n v="2006"/>
    <n v="11"/>
    <s v="TM-Utama"/>
    <n v="15"/>
    <n v="1866"/>
    <s v="124.4"/>
    <x v="1"/>
    <n v="1.24"/>
    <n v="18599.400000000001"/>
    <n v="18.599"/>
    <d v="2017-05-01T00:00:00"/>
    <x v="0"/>
    <x v="0"/>
  </r>
  <r>
    <x v="5"/>
    <x v="5"/>
    <s v="Juni"/>
    <s v="Division_A"/>
    <x v="8"/>
    <n v="2006"/>
    <n v="11"/>
    <s v="TM-Utama"/>
    <n v="15"/>
    <n v="1866"/>
    <s v="124.4"/>
    <x v="1"/>
    <n v="1.028"/>
    <n v="15422.5"/>
    <n v="15.422000000000001"/>
    <d v="2017-06-01T00:00:00"/>
    <x v="0"/>
    <x v="0"/>
  </r>
  <r>
    <x v="5"/>
    <x v="6"/>
    <s v="Juli"/>
    <s v="Division_A"/>
    <x v="8"/>
    <n v="2006"/>
    <n v="11"/>
    <s v="TM-Utama"/>
    <n v="15"/>
    <n v="1866"/>
    <s v="124.4"/>
    <x v="1"/>
    <n v="1.0329999999999999"/>
    <n v="15492.5"/>
    <n v="15.492000000000001"/>
    <d v="2017-07-01T00:00:00"/>
    <x v="0"/>
    <x v="0"/>
  </r>
  <r>
    <x v="5"/>
    <x v="7"/>
    <s v="Agustus"/>
    <s v="Division_A"/>
    <x v="8"/>
    <n v="2006"/>
    <n v="11"/>
    <s v="TM-Utama"/>
    <n v="15"/>
    <n v="1866"/>
    <s v="124.4"/>
    <x v="1"/>
    <n v="1.4359999999999999"/>
    <n v="21538.3"/>
    <n v="21.538"/>
    <d v="2017-08-01T00:00:00"/>
    <x v="0"/>
    <x v="0"/>
  </r>
  <r>
    <x v="5"/>
    <x v="8"/>
    <s v="September"/>
    <s v="Division_A"/>
    <x v="8"/>
    <n v="2006"/>
    <n v="11"/>
    <s v="TM-Utama"/>
    <n v="15"/>
    <n v="1866"/>
    <s v="124.4"/>
    <x v="1"/>
    <n v="1.0269999999999999"/>
    <n v="15408.5"/>
    <n v="15.407999999999999"/>
    <d v="2017-09-01T00:00:00"/>
    <x v="0"/>
    <x v="0"/>
  </r>
  <r>
    <x v="5"/>
    <x v="9"/>
    <s v="Oktober"/>
    <s v="Division_A"/>
    <x v="8"/>
    <n v="2006"/>
    <n v="11"/>
    <s v="TM-Utama"/>
    <n v="15"/>
    <n v="1866"/>
    <s v="124.4"/>
    <x v="1"/>
    <n v="0.98699999999999999"/>
    <n v="14806.7"/>
    <n v="14.807"/>
    <d v="2017-10-01T00:00:00"/>
    <x v="0"/>
    <x v="0"/>
  </r>
  <r>
    <x v="5"/>
    <x v="10"/>
    <s v="November"/>
    <s v="Division_A"/>
    <x v="8"/>
    <n v="2006"/>
    <n v="11"/>
    <s v="TM-Utama"/>
    <n v="15"/>
    <n v="1866"/>
    <s v="124.4"/>
    <x v="1"/>
    <n v="1.016"/>
    <n v="15240.6"/>
    <n v="15.241"/>
    <d v="2017-11-01T00:00:00"/>
    <x v="0"/>
    <x v="0"/>
  </r>
  <r>
    <x v="5"/>
    <x v="11"/>
    <s v="Desember"/>
    <s v="Division_A"/>
    <x v="8"/>
    <n v="2006"/>
    <n v="11"/>
    <s v="TM-Utama"/>
    <n v="15"/>
    <n v="1866"/>
    <s v="124.4"/>
    <x v="1"/>
    <n v="0.86599999999999999"/>
    <n v="12987.4"/>
    <n v="12.987"/>
    <d v="2017-12-01T00:00:00"/>
    <x v="0"/>
    <x v="0"/>
  </r>
  <r>
    <x v="5"/>
    <x v="0"/>
    <s v="Januari"/>
    <s v="Division_A"/>
    <x v="9"/>
    <n v="2006"/>
    <n v="11"/>
    <s v="TM-Utama"/>
    <n v="25"/>
    <n v="3154"/>
    <s v="126.2"/>
    <x v="1"/>
    <n v="1.0009999999999999"/>
    <n v="25027"/>
    <n v="25.027000000000001"/>
    <d v="2017-01-01T00:00:00"/>
    <x v="0"/>
    <x v="0"/>
  </r>
  <r>
    <x v="5"/>
    <x v="1"/>
    <s v="Februari"/>
    <s v="Division_A"/>
    <x v="9"/>
    <n v="2006"/>
    <n v="11"/>
    <s v="TM-Utama"/>
    <n v="25"/>
    <n v="3154"/>
    <s v="126.2"/>
    <x v="1"/>
    <n v="0.622"/>
    <n v="15541.3"/>
    <n v="15.541"/>
    <d v="2017-02-01T00:00:00"/>
    <x v="0"/>
    <x v="0"/>
  </r>
  <r>
    <x v="5"/>
    <x v="2"/>
    <s v="Maret"/>
    <s v="Division_A"/>
    <x v="9"/>
    <n v="2006"/>
    <n v="11"/>
    <s v="TM-Utama"/>
    <n v="25"/>
    <n v="3154"/>
    <s v="126.2"/>
    <x v="1"/>
    <n v="1.008"/>
    <n v="25192.6"/>
    <n v="25.193000000000001"/>
    <d v="2017-03-01T00:00:00"/>
    <x v="0"/>
    <x v="0"/>
  </r>
  <r>
    <x v="5"/>
    <x v="3"/>
    <s v="April"/>
    <s v="Division_A"/>
    <x v="9"/>
    <n v="2006"/>
    <n v="11"/>
    <s v="TM-Utama"/>
    <n v="25"/>
    <n v="3154"/>
    <s v="126.2"/>
    <x v="1"/>
    <n v="1.363"/>
    <n v="34063.199999999997"/>
    <n v="34.063000000000002"/>
    <d v="2017-04-01T00:00:00"/>
    <x v="0"/>
    <x v="0"/>
  </r>
  <r>
    <x v="5"/>
    <x v="4"/>
    <s v="Mei"/>
    <s v="Division_A"/>
    <x v="9"/>
    <n v="2006"/>
    <n v="11"/>
    <s v="TM-Utama"/>
    <n v="25"/>
    <n v="3154"/>
    <s v="126.2"/>
    <x v="1"/>
    <n v="1.2569999999999999"/>
    <n v="31437.5"/>
    <n v="31.437000000000001"/>
    <d v="2017-05-01T00:00:00"/>
    <x v="0"/>
    <x v="0"/>
  </r>
  <r>
    <x v="5"/>
    <x v="5"/>
    <s v="Juni"/>
    <s v="Division_A"/>
    <x v="9"/>
    <n v="2006"/>
    <n v="11"/>
    <s v="TM-Utama"/>
    <n v="25"/>
    <n v="3154"/>
    <s v="126.2"/>
    <x v="1"/>
    <n v="1.0429999999999999"/>
    <n v="26067.8"/>
    <n v="26.068000000000001"/>
    <d v="2017-06-01T00:00:00"/>
    <x v="0"/>
    <x v="0"/>
  </r>
  <r>
    <x v="5"/>
    <x v="6"/>
    <s v="Juli"/>
    <s v="Division_A"/>
    <x v="9"/>
    <n v="2006"/>
    <n v="11"/>
    <s v="TM-Utama"/>
    <n v="25"/>
    <n v="3154"/>
    <s v="126.2"/>
    <x v="1"/>
    <n v="1.0469999999999999"/>
    <n v="26186.1"/>
    <n v="26.186"/>
    <d v="2017-07-01T00:00:00"/>
    <x v="0"/>
    <x v="0"/>
  </r>
  <r>
    <x v="5"/>
    <x v="7"/>
    <s v="Agustus"/>
    <s v="Division_A"/>
    <x v="9"/>
    <n v="2006"/>
    <n v="11"/>
    <s v="TM-Utama"/>
    <n v="25"/>
    <n v="3154"/>
    <s v="126.2"/>
    <x v="1"/>
    <n v="1.456"/>
    <n v="36405"/>
    <n v="36.405000000000001"/>
    <d v="2017-08-01T00:00:00"/>
    <x v="0"/>
    <x v="0"/>
  </r>
  <r>
    <x v="5"/>
    <x v="8"/>
    <s v="September"/>
    <s v="Division_A"/>
    <x v="9"/>
    <n v="2006"/>
    <n v="11"/>
    <s v="TM-Utama"/>
    <n v="25"/>
    <n v="3154"/>
    <s v="126.2"/>
    <x v="1"/>
    <n v="1.042"/>
    <n v="26044.2"/>
    <n v="26.044"/>
    <d v="2017-09-01T00:00:00"/>
    <x v="0"/>
    <x v="0"/>
  </r>
  <r>
    <x v="5"/>
    <x v="9"/>
    <s v="Oktober"/>
    <s v="Division_A"/>
    <x v="9"/>
    <n v="2006"/>
    <n v="11"/>
    <s v="TM-Utama"/>
    <n v="25"/>
    <n v="3154"/>
    <s v="126.2"/>
    <x v="1"/>
    <n v="1.0009999999999999"/>
    <n v="25027"/>
    <n v="25.027000000000001"/>
    <d v="2017-10-01T00:00:00"/>
    <x v="0"/>
    <x v="0"/>
  </r>
  <r>
    <x v="5"/>
    <x v="10"/>
    <s v="November"/>
    <s v="Division_A"/>
    <x v="9"/>
    <n v="2006"/>
    <n v="11"/>
    <s v="TM-Utama"/>
    <n v="25"/>
    <n v="3154"/>
    <s v="126.2"/>
    <x v="1"/>
    <n v="1.03"/>
    <n v="25760.3"/>
    <n v="25.76"/>
    <d v="2017-11-01T00:00:00"/>
    <x v="0"/>
    <x v="0"/>
  </r>
  <r>
    <x v="5"/>
    <x v="11"/>
    <s v="Desember"/>
    <s v="Division_A"/>
    <x v="9"/>
    <n v="2006"/>
    <n v="11"/>
    <s v="TM-Utama"/>
    <n v="25"/>
    <n v="3154"/>
    <s v="126.2"/>
    <x v="1"/>
    <n v="0.878"/>
    <n v="21951.8"/>
    <n v="21.952000000000002"/>
    <d v="2017-12-01T00:00:00"/>
    <x v="0"/>
    <x v="0"/>
  </r>
  <r>
    <x v="5"/>
    <x v="0"/>
    <s v="Januari"/>
    <s v="Division_A"/>
    <x v="10"/>
    <n v="2006"/>
    <n v="11"/>
    <s v="TM-Utama"/>
    <n v="35"/>
    <n v="4204"/>
    <s v="120.1"/>
    <x v="1"/>
    <n v="0.95299999999999996"/>
    <n v="33358.699999999997"/>
    <n v="33.359000000000002"/>
    <d v="2017-01-01T00:00:00"/>
    <x v="0"/>
    <x v="0"/>
  </r>
  <r>
    <x v="5"/>
    <x v="1"/>
    <s v="Februari"/>
    <s v="Division_A"/>
    <x v="10"/>
    <n v="2006"/>
    <n v="11"/>
    <s v="TM-Utama"/>
    <n v="35"/>
    <n v="4204"/>
    <s v="120.1"/>
    <x v="1"/>
    <n v="0.59199999999999997"/>
    <n v="20715.2"/>
    <n v="20.715"/>
    <d v="2017-02-01T00:00:00"/>
    <x v="0"/>
    <x v="0"/>
  </r>
  <r>
    <x v="5"/>
    <x v="2"/>
    <s v="Maret"/>
    <s v="Division_A"/>
    <x v="10"/>
    <n v="2006"/>
    <n v="11"/>
    <s v="TM-Utama"/>
    <n v="35"/>
    <n v="4204"/>
    <s v="120.1"/>
    <x v="1"/>
    <n v="0.95899999999999996"/>
    <n v="33579.4"/>
    <n v="33.579000000000001"/>
    <d v="2017-03-01T00:00:00"/>
    <x v="0"/>
    <x v="0"/>
  </r>
  <r>
    <x v="5"/>
    <x v="3"/>
    <s v="April"/>
    <s v="Division_A"/>
    <x v="10"/>
    <n v="2006"/>
    <n v="11"/>
    <s v="TM-Utama"/>
    <n v="35"/>
    <n v="4204"/>
    <s v="120.1"/>
    <x v="1"/>
    <n v="1.2969999999999999"/>
    <n v="45403.199999999997"/>
    <n v="45.402999999999999"/>
    <d v="2017-04-01T00:00:00"/>
    <x v="0"/>
    <x v="0"/>
  </r>
  <r>
    <x v="5"/>
    <x v="4"/>
    <s v="Mei"/>
    <s v="Division_A"/>
    <x v="10"/>
    <n v="2006"/>
    <n v="11"/>
    <s v="TM-Utama"/>
    <n v="35"/>
    <n v="4204"/>
    <s v="120.1"/>
    <x v="1"/>
    <n v="1.1970000000000001"/>
    <n v="41903.4"/>
    <n v="41.902999999999999"/>
    <d v="2017-05-01T00:00:00"/>
    <x v="0"/>
    <x v="0"/>
  </r>
  <r>
    <x v="5"/>
    <x v="5"/>
    <s v="Juni"/>
    <s v="Division_A"/>
    <x v="10"/>
    <n v="2006"/>
    <n v="11"/>
    <s v="TM-Utama"/>
    <n v="35"/>
    <n v="4204"/>
    <s v="120.1"/>
    <x v="1"/>
    <n v="0.99299999999999999"/>
    <n v="34746.1"/>
    <n v="34.746000000000002"/>
    <d v="2017-06-01T00:00:00"/>
    <x v="0"/>
    <x v="0"/>
  </r>
  <r>
    <x v="5"/>
    <x v="6"/>
    <s v="Juli"/>
    <s v="Division_A"/>
    <x v="10"/>
    <n v="2006"/>
    <n v="11"/>
    <s v="TM-Utama"/>
    <n v="35"/>
    <n v="4204"/>
    <s v="120.1"/>
    <x v="1"/>
    <n v="0.997"/>
    <n v="34903.699999999997"/>
    <n v="34.904000000000003"/>
    <d v="2017-07-01T00:00:00"/>
    <x v="0"/>
    <x v="0"/>
  </r>
  <r>
    <x v="5"/>
    <x v="7"/>
    <s v="Agustus"/>
    <s v="Division_A"/>
    <x v="10"/>
    <n v="2006"/>
    <n v="11"/>
    <s v="TM-Utama"/>
    <n v="35"/>
    <n v="4204"/>
    <s v="120.1"/>
    <x v="1"/>
    <n v="1.3859999999999999"/>
    <n v="48524.7"/>
    <n v="48.524999999999999"/>
    <d v="2017-08-01T00:00:00"/>
    <x v="0"/>
    <x v="0"/>
  </r>
  <r>
    <x v="5"/>
    <x v="8"/>
    <s v="September"/>
    <s v="Division_A"/>
    <x v="10"/>
    <n v="2006"/>
    <n v="11"/>
    <s v="TM-Utama"/>
    <n v="35"/>
    <n v="4204"/>
    <s v="120.1"/>
    <x v="1"/>
    <n v="0.99199999999999999"/>
    <n v="34714.5"/>
    <n v="34.715000000000003"/>
    <d v="2017-09-01T00:00:00"/>
    <x v="0"/>
    <x v="0"/>
  </r>
  <r>
    <x v="5"/>
    <x v="9"/>
    <s v="Oktober"/>
    <s v="Division_A"/>
    <x v="10"/>
    <n v="2006"/>
    <n v="11"/>
    <s v="TM-Utama"/>
    <n v="35"/>
    <n v="4204"/>
    <s v="120.1"/>
    <x v="1"/>
    <n v="0.95299999999999996"/>
    <n v="33358.699999999997"/>
    <n v="33.359000000000002"/>
    <d v="2017-10-01T00:00:00"/>
    <x v="0"/>
    <x v="0"/>
  </r>
  <r>
    <x v="5"/>
    <x v="10"/>
    <s v="November"/>
    <s v="Division_A"/>
    <x v="10"/>
    <n v="2006"/>
    <n v="11"/>
    <s v="TM-Utama"/>
    <n v="35"/>
    <n v="4204"/>
    <s v="120.1"/>
    <x v="1"/>
    <n v="0.98099999999999998"/>
    <n v="34336.199999999997"/>
    <n v="34.335999999999999"/>
    <d v="2017-11-01T00:00:00"/>
    <x v="0"/>
    <x v="0"/>
  </r>
  <r>
    <x v="5"/>
    <x v="11"/>
    <s v="Desember"/>
    <s v="Division_A"/>
    <x v="10"/>
    <n v="2006"/>
    <n v="11"/>
    <s v="TM-Utama"/>
    <n v="35"/>
    <n v="4204"/>
    <s v="120.1"/>
    <x v="1"/>
    <n v="0.83599999999999997"/>
    <n v="29259.8"/>
    <n v="29.26"/>
    <d v="2017-12-01T00:00:00"/>
    <x v="0"/>
    <x v="0"/>
  </r>
  <r>
    <x v="5"/>
    <x v="0"/>
    <s v="Januari"/>
    <s v="Division_A"/>
    <x v="11"/>
    <n v="2012"/>
    <n v="5"/>
    <s v="TM-3"/>
    <n v="10"/>
    <n v="1434"/>
    <s v="143.4"/>
    <x v="1"/>
    <n v="0.93100000000000005"/>
    <n v="9310.4"/>
    <n v="9.31"/>
    <d v="2017-01-01T00:00:00"/>
    <x v="0"/>
    <x v="3"/>
  </r>
  <r>
    <x v="5"/>
    <x v="1"/>
    <s v="Februari"/>
    <s v="Division_A"/>
    <x v="11"/>
    <n v="2012"/>
    <n v="5"/>
    <s v="TM-3"/>
    <n v="10"/>
    <n v="1434"/>
    <s v="143.4"/>
    <x v="1"/>
    <n v="0.57799999999999996"/>
    <n v="5781.6"/>
    <n v="5.782"/>
    <d v="2017-02-01T00:00:00"/>
    <x v="0"/>
    <x v="3"/>
  </r>
  <r>
    <x v="5"/>
    <x v="2"/>
    <s v="Maret"/>
    <s v="Division_A"/>
    <x v="11"/>
    <n v="2012"/>
    <n v="5"/>
    <s v="TM-3"/>
    <n v="10"/>
    <n v="1434"/>
    <s v="143.4"/>
    <x v="1"/>
    <n v="0.93700000000000006"/>
    <n v="9372"/>
    <n v="9.3719999999999999"/>
    <d v="2017-03-01T00:00:00"/>
    <x v="0"/>
    <x v="3"/>
  </r>
  <r>
    <x v="5"/>
    <x v="3"/>
    <s v="April"/>
    <s v="Division_A"/>
    <x v="11"/>
    <n v="2012"/>
    <n v="5"/>
    <s v="TM-3"/>
    <n v="10"/>
    <n v="1434"/>
    <s v="143.4"/>
    <x v="1"/>
    <n v="1.2669999999999999"/>
    <n v="12672"/>
    <n v="12.672000000000001"/>
    <d v="2017-04-01T00:00:00"/>
    <x v="0"/>
    <x v="3"/>
  </r>
  <r>
    <x v="5"/>
    <x v="4"/>
    <s v="Mei"/>
    <s v="Division_A"/>
    <x v="11"/>
    <n v="2012"/>
    <n v="5"/>
    <s v="TM-3"/>
    <n v="10"/>
    <n v="1434"/>
    <s v="143.4"/>
    <x v="1"/>
    <n v="1.17"/>
    <n v="11695.2"/>
    <n v="11.695"/>
    <d v="2017-05-01T00:00:00"/>
    <x v="0"/>
    <x v="3"/>
  </r>
  <r>
    <x v="5"/>
    <x v="5"/>
    <s v="Juni"/>
    <s v="Division_A"/>
    <x v="11"/>
    <n v="2012"/>
    <n v="5"/>
    <s v="TM-3"/>
    <n v="10"/>
    <n v="1434"/>
    <s v="143.4"/>
    <x v="1"/>
    <n v="0.97"/>
    <n v="9697.6"/>
    <n v="9.6980000000000004"/>
    <d v="2017-06-01T00:00:00"/>
    <x v="0"/>
    <x v="3"/>
  </r>
  <r>
    <x v="5"/>
    <x v="6"/>
    <s v="Juli"/>
    <s v="Division_A"/>
    <x v="11"/>
    <n v="2012"/>
    <n v="5"/>
    <s v="TM-3"/>
    <n v="10"/>
    <n v="1434"/>
    <s v="143.4"/>
    <x v="1"/>
    <n v="0.97399999999999998"/>
    <n v="9741.6"/>
    <n v="9.7420000000000009"/>
    <d v="2017-07-01T00:00:00"/>
    <x v="0"/>
    <x v="3"/>
  </r>
  <r>
    <x v="5"/>
    <x v="7"/>
    <s v="Agustus"/>
    <s v="Division_A"/>
    <x v="11"/>
    <n v="2012"/>
    <n v="5"/>
    <s v="TM-3"/>
    <n v="10"/>
    <n v="1434"/>
    <s v="143.4"/>
    <x v="1"/>
    <n v="1.3540000000000001"/>
    <n v="13543.2"/>
    <n v="13.542999999999999"/>
    <d v="2017-08-01T00:00:00"/>
    <x v="0"/>
    <x v="3"/>
  </r>
  <r>
    <x v="5"/>
    <x v="8"/>
    <s v="September"/>
    <s v="Division_A"/>
    <x v="11"/>
    <n v="2012"/>
    <n v="5"/>
    <s v="TM-3"/>
    <n v="10"/>
    <n v="1434"/>
    <s v="143.4"/>
    <x v="1"/>
    <n v="0.96899999999999997"/>
    <n v="9688.7999999999993"/>
    <n v="9.6890000000000001"/>
    <d v="2017-09-01T00:00:00"/>
    <x v="0"/>
    <x v="3"/>
  </r>
  <r>
    <x v="5"/>
    <x v="9"/>
    <s v="Oktober"/>
    <s v="Division_A"/>
    <x v="11"/>
    <n v="2012"/>
    <n v="5"/>
    <s v="TM-3"/>
    <n v="10"/>
    <n v="1434"/>
    <s v="143.4"/>
    <x v="1"/>
    <n v="0.93100000000000005"/>
    <n v="9310.4"/>
    <n v="9.31"/>
    <d v="2017-10-01T00:00:00"/>
    <x v="0"/>
    <x v="3"/>
  </r>
  <r>
    <x v="5"/>
    <x v="10"/>
    <s v="November"/>
    <s v="Division_A"/>
    <x v="11"/>
    <n v="2012"/>
    <n v="5"/>
    <s v="TM-3"/>
    <n v="10"/>
    <n v="1434"/>
    <s v="143.4"/>
    <x v="1"/>
    <n v="0.95799999999999996"/>
    <n v="9583.2000000000007"/>
    <n v="9.5830000000000002"/>
    <d v="2017-11-01T00:00:00"/>
    <x v="0"/>
    <x v="3"/>
  </r>
  <r>
    <x v="5"/>
    <x v="11"/>
    <s v="Desember"/>
    <s v="Division_A"/>
    <x v="11"/>
    <n v="2012"/>
    <n v="5"/>
    <s v="TM-3"/>
    <n v="10"/>
    <n v="1434"/>
    <s v="143.4"/>
    <x v="1"/>
    <n v="0.81699999999999995"/>
    <n v="8166.4"/>
    <n v="8.1660000000000004"/>
    <d v="2017-12-01T00:00:00"/>
    <x v="0"/>
    <x v="3"/>
  </r>
  <r>
    <x v="5"/>
    <x v="0"/>
    <s v="Januari"/>
    <s v="Division_A"/>
    <x v="12"/>
    <n v="2012"/>
    <n v="5"/>
    <s v="TM-3"/>
    <n v="24"/>
    <n v="3074"/>
    <s v="128.1"/>
    <x v="2"/>
    <n v="0.93100000000000005"/>
    <n v="22345"/>
    <n v="22.344999999999999"/>
    <d v="2017-01-01T00:00:00"/>
    <x v="0"/>
    <x v="3"/>
  </r>
  <r>
    <x v="5"/>
    <x v="1"/>
    <s v="Februari"/>
    <s v="Division_A"/>
    <x v="12"/>
    <n v="2012"/>
    <n v="5"/>
    <s v="TM-3"/>
    <n v="24"/>
    <n v="3074"/>
    <s v="128.1"/>
    <x v="2"/>
    <n v="0.57799999999999996"/>
    <n v="13875.8"/>
    <n v="13.875999999999999"/>
    <d v="2017-02-01T00:00:00"/>
    <x v="0"/>
    <x v="3"/>
  </r>
  <r>
    <x v="5"/>
    <x v="2"/>
    <s v="Maret"/>
    <s v="Division_A"/>
    <x v="12"/>
    <n v="2012"/>
    <n v="5"/>
    <s v="TM-3"/>
    <n v="24"/>
    <n v="3074"/>
    <s v="128.1"/>
    <x v="2"/>
    <n v="0.93700000000000006"/>
    <n v="22492.799999999999"/>
    <n v="22.492999999999999"/>
    <d v="2017-03-01T00:00:00"/>
    <x v="0"/>
    <x v="3"/>
  </r>
  <r>
    <x v="5"/>
    <x v="3"/>
    <s v="April"/>
    <s v="Division_A"/>
    <x v="12"/>
    <n v="2012"/>
    <n v="5"/>
    <s v="TM-3"/>
    <n v="24"/>
    <n v="3074"/>
    <s v="128.1"/>
    <x v="2"/>
    <n v="1.2669999999999999"/>
    <n v="30412.799999999999"/>
    <n v="30.413"/>
    <d v="2017-04-01T00:00:00"/>
    <x v="0"/>
    <x v="3"/>
  </r>
  <r>
    <x v="5"/>
    <x v="4"/>
    <s v="Mei"/>
    <s v="Division_A"/>
    <x v="12"/>
    <n v="2012"/>
    <n v="5"/>
    <s v="TM-3"/>
    <n v="24"/>
    <n v="3074"/>
    <s v="128.1"/>
    <x v="2"/>
    <n v="1.17"/>
    <n v="28068.5"/>
    <n v="28.068000000000001"/>
    <d v="2017-05-01T00:00:00"/>
    <x v="0"/>
    <x v="3"/>
  </r>
  <r>
    <x v="5"/>
    <x v="5"/>
    <s v="Juni"/>
    <s v="Division_A"/>
    <x v="12"/>
    <n v="2012"/>
    <n v="5"/>
    <s v="TM-3"/>
    <n v="24"/>
    <n v="3074"/>
    <s v="128.1"/>
    <x v="2"/>
    <n v="0.97"/>
    <n v="23274.2"/>
    <n v="23.274000000000001"/>
    <d v="2017-06-01T00:00:00"/>
    <x v="0"/>
    <x v="3"/>
  </r>
  <r>
    <x v="5"/>
    <x v="6"/>
    <s v="Juli"/>
    <s v="Division_A"/>
    <x v="12"/>
    <n v="2012"/>
    <n v="5"/>
    <s v="TM-3"/>
    <n v="24"/>
    <n v="3074"/>
    <s v="128.1"/>
    <x v="2"/>
    <n v="0.97399999999999998"/>
    <n v="23379.8"/>
    <n v="23.38"/>
    <d v="2017-07-01T00:00:00"/>
    <x v="0"/>
    <x v="3"/>
  </r>
  <r>
    <x v="5"/>
    <x v="7"/>
    <s v="Agustus"/>
    <s v="Division_A"/>
    <x v="12"/>
    <n v="2012"/>
    <n v="5"/>
    <s v="TM-3"/>
    <n v="24"/>
    <n v="3074"/>
    <s v="128.1"/>
    <x v="2"/>
    <n v="1.3540000000000001"/>
    <n v="32503.7"/>
    <n v="32.503999999999998"/>
    <d v="2017-08-01T00:00:00"/>
    <x v="0"/>
    <x v="3"/>
  </r>
  <r>
    <x v="5"/>
    <x v="8"/>
    <s v="September"/>
    <s v="Division_A"/>
    <x v="12"/>
    <n v="2012"/>
    <n v="5"/>
    <s v="TM-3"/>
    <n v="24"/>
    <n v="3074"/>
    <s v="128.1"/>
    <x v="2"/>
    <n v="0.96899999999999997"/>
    <n v="23253.1"/>
    <n v="23.253"/>
    <d v="2017-09-01T00:00:00"/>
    <x v="0"/>
    <x v="3"/>
  </r>
  <r>
    <x v="5"/>
    <x v="9"/>
    <s v="Oktober"/>
    <s v="Division_A"/>
    <x v="12"/>
    <n v="2012"/>
    <n v="5"/>
    <s v="TM-3"/>
    <n v="24"/>
    <n v="3074"/>
    <s v="128.1"/>
    <x v="2"/>
    <n v="0.93100000000000005"/>
    <n v="22345"/>
    <n v="22.344999999999999"/>
    <d v="2017-10-01T00:00:00"/>
    <x v="0"/>
    <x v="3"/>
  </r>
  <r>
    <x v="5"/>
    <x v="10"/>
    <s v="November"/>
    <s v="Division_A"/>
    <x v="12"/>
    <n v="2012"/>
    <n v="5"/>
    <s v="TM-3"/>
    <n v="24"/>
    <n v="3074"/>
    <s v="128.1"/>
    <x v="2"/>
    <n v="0.95799999999999996"/>
    <n v="22999.7"/>
    <n v="23"/>
    <d v="2017-11-01T00:00:00"/>
    <x v="0"/>
    <x v="3"/>
  </r>
  <r>
    <x v="5"/>
    <x v="11"/>
    <s v="Desember"/>
    <s v="Division_A"/>
    <x v="12"/>
    <n v="2012"/>
    <n v="5"/>
    <s v="TM-3"/>
    <n v="24"/>
    <n v="3074"/>
    <s v="128.1"/>
    <x v="2"/>
    <n v="0.81699999999999995"/>
    <n v="19599.400000000001"/>
    <n v="19.599"/>
    <d v="2017-12-01T00:00:00"/>
    <x v="0"/>
    <x v="3"/>
  </r>
  <r>
    <x v="5"/>
    <x v="0"/>
    <s v="Januari"/>
    <s v="Division_A"/>
    <x v="13"/>
    <n v="2012"/>
    <n v="5"/>
    <s v="TM-3"/>
    <n v="19"/>
    <n v="2418"/>
    <s v="127.3"/>
    <x v="2"/>
    <n v="0.93100000000000005"/>
    <n v="17689.8"/>
    <n v="17.690000000000001"/>
    <d v="2017-01-01T00:00:00"/>
    <x v="0"/>
    <x v="3"/>
  </r>
  <r>
    <x v="5"/>
    <x v="1"/>
    <s v="Februari"/>
    <s v="Division_A"/>
    <x v="13"/>
    <n v="2012"/>
    <n v="5"/>
    <s v="TM-3"/>
    <n v="19"/>
    <n v="2418"/>
    <s v="127.3"/>
    <x v="2"/>
    <n v="0.57799999999999996"/>
    <n v="10985"/>
    <n v="10.984999999999999"/>
    <d v="2017-02-01T00:00:00"/>
    <x v="0"/>
    <x v="3"/>
  </r>
  <r>
    <x v="5"/>
    <x v="2"/>
    <s v="Maret"/>
    <s v="Division_A"/>
    <x v="13"/>
    <n v="2012"/>
    <n v="5"/>
    <s v="TM-3"/>
    <n v="19"/>
    <n v="2418"/>
    <s v="127.3"/>
    <x v="2"/>
    <n v="0.93700000000000006"/>
    <n v="17806.8"/>
    <n v="17.806999999999999"/>
    <d v="2017-03-01T00:00:00"/>
    <x v="0"/>
    <x v="3"/>
  </r>
  <r>
    <x v="5"/>
    <x v="3"/>
    <s v="April"/>
    <s v="Division_A"/>
    <x v="13"/>
    <n v="2012"/>
    <n v="5"/>
    <s v="TM-3"/>
    <n v="19"/>
    <n v="2418"/>
    <s v="127.3"/>
    <x v="2"/>
    <n v="1.2669999999999999"/>
    <n v="24076.799999999999"/>
    <n v="24.077000000000002"/>
    <d v="2017-04-01T00:00:00"/>
    <x v="0"/>
    <x v="3"/>
  </r>
  <r>
    <x v="5"/>
    <x v="4"/>
    <s v="Mei"/>
    <s v="Division_A"/>
    <x v="13"/>
    <n v="2012"/>
    <n v="5"/>
    <s v="TM-3"/>
    <n v="19"/>
    <n v="2418"/>
    <s v="127.3"/>
    <x v="2"/>
    <n v="1.17"/>
    <n v="22220.9"/>
    <n v="22.221"/>
    <d v="2017-05-01T00:00:00"/>
    <x v="0"/>
    <x v="3"/>
  </r>
  <r>
    <x v="5"/>
    <x v="5"/>
    <s v="Juni"/>
    <s v="Division_A"/>
    <x v="13"/>
    <n v="2012"/>
    <n v="5"/>
    <s v="TM-3"/>
    <n v="19"/>
    <n v="2418"/>
    <s v="127.3"/>
    <x v="2"/>
    <n v="0.97"/>
    <n v="18425.400000000001"/>
    <n v="18.425000000000001"/>
    <d v="2017-06-01T00:00:00"/>
    <x v="0"/>
    <x v="3"/>
  </r>
  <r>
    <x v="5"/>
    <x v="6"/>
    <s v="Juli"/>
    <s v="Division_A"/>
    <x v="13"/>
    <n v="2012"/>
    <n v="5"/>
    <s v="TM-3"/>
    <n v="19"/>
    <n v="2418"/>
    <s v="127.3"/>
    <x v="2"/>
    <n v="0.97399999999999998"/>
    <n v="18509"/>
    <n v="18.509"/>
    <d v="2017-07-01T00:00:00"/>
    <x v="0"/>
    <x v="3"/>
  </r>
  <r>
    <x v="5"/>
    <x v="7"/>
    <s v="Agustus"/>
    <s v="Division_A"/>
    <x v="13"/>
    <n v="2012"/>
    <n v="5"/>
    <s v="TM-3"/>
    <n v="19"/>
    <n v="2418"/>
    <s v="127.3"/>
    <x v="2"/>
    <n v="1.3540000000000001"/>
    <n v="25732.1"/>
    <n v="25.731999999999999"/>
    <d v="2017-08-01T00:00:00"/>
    <x v="0"/>
    <x v="3"/>
  </r>
  <r>
    <x v="5"/>
    <x v="8"/>
    <s v="September"/>
    <s v="Division_A"/>
    <x v="13"/>
    <n v="2012"/>
    <n v="5"/>
    <s v="TM-3"/>
    <n v="19"/>
    <n v="2418"/>
    <s v="127.3"/>
    <x v="2"/>
    <n v="0.96899999999999997"/>
    <n v="18408.7"/>
    <n v="18.408999999999999"/>
    <d v="2017-09-01T00:00:00"/>
    <x v="0"/>
    <x v="3"/>
  </r>
  <r>
    <x v="5"/>
    <x v="9"/>
    <s v="Oktober"/>
    <s v="Division_A"/>
    <x v="13"/>
    <n v="2012"/>
    <n v="5"/>
    <s v="TM-3"/>
    <n v="19"/>
    <n v="2418"/>
    <s v="127.3"/>
    <x v="2"/>
    <n v="0.93100000000000005"/>
    <n v="17689.8"/>
    <n v="17.690000000000001"/>
    <d v="2017-10-01T00:00:00"/>
    <x v="0"/>
    <x v="3"/>
  </r>
  <r>
    <x v="5"/>
    <x v="10"/>
    <s v="November"/>
    <s v="Division_A"/>
    <x v="13"/>
    <n v="2012"/>
    <n v="5"/>
    <s v="TM-3"/>
    <n v="19"/>
    <n v="2418"/>
    <s v="127.3"/>
    <x v="2"/>
    <n v="0.95799999999999996"/>
    <n v="18208.099999999999"/>
    <n v="18.207999999999998"/>
    <d v="2017-11-01T00:00:00"/>
    <x v="0"/>
    <x v="3"/>
  </r>
  <r>
    <x v="5"/>
    <x v="11"/>
    <s v="Desember"/>
    <s v="Division_A"/>
    <x v="13"/>
    <n v="2012"/>
    <n v="5"/>
    <s v="TM-3"/>
    <n v="19"/>
    <n v="2418"/>
    <s v="127.3"/>
    <x v="2"/>
    <n v="0.81699999999999995"/>
    <n v="15516.2"/>
    <n v="15.516"/>
    <d v="2017-12-01T00:00:00"/>
    <x v="0"/>
    <x v="3"/>
  </r>
  <r>
    <x v="5"/>
    <x v="0"/>
    <s v="Januari"/>
    <s v="Division_A"/>
    <x v="14"/>
    <n v="2012"/>
    <n v="5"/>
    <s v="TM-3"/>
    <n v="25"/>
    <n v="3205"/>
    <s v="128.2"/>
    <x v="2"/>
    <n v="0.93100000000000005"/>
    <n v="23276"/>
    <n v="23.276"/>
    <d v="2017-01-01T00:00:00"/>
    <x v="0"/>
    <x v="3"/>
  </r>
  <r>
    <x v="5"/>
    <x v="1"/>
    <s v="Februari"/>
    <s v="Division_A"/>
    <x v="14"/>
    <n v="2012"/>
    <n v="5"/>
    <s v="TM-3"/>
    <n v="25"/>
    <n v="3205"/>
    <s v="128.2"/>
    <x v="2"/>
    <n v="0.57799999999999996"/>
    <n v="14454"/>
    <n v="14.454000000000001"/>
    <d v="2017-02-01T00:00:00"/>
    <x v="0"/>
    <x v="3"/>
  </r>
  <r>
    <x v="5"/>
    <x v="2"/>
    <s v="Maret"/>
    <s v="Division_A"/>
    <x v="14"/>
    <n v="2012"/>
    <n v="5"/>
    <s v="TM-3"/>
    <n v="25"/>
    <n v="3205"/>
    <s v="128.2"/>
    <x v="2"/>
    <n v="0.93700000000000006"/>
    <n v="23430"/>
    <n v="23.43"/>
    <d v="2017-03-01T00:00:00"/>
    <x v="0"/>
    <x v="3"/>
  </r>
  <r>
    <x v="5"/>
    <x v="3"/>
    <s v="April"/>
    <s v="Division_A"/>
    <x v="14"/>
    <n v="2012"/>
    <n v="5"/>
    <s v="TM-3"/>
    <n v="25"/>
    <n v="3205"/>
    <s v="128.2"/>
    <x v="2"/>
    <n v="1.2669999999999999"/>
    <n v="31680"/>
    <n v="31.68"/>
    <d v="2017-04-01T00:00:00"/>
    <x v="0"/>
    <x v="3"/>
  </r>
  <r>
    <x v="5"/>
    <x v="4"/>
    <s v="Mei"/>
    <s v="Division_A"/>
    <x v="14"/>
    <n v="2012"/>
    <n v="5"/>
    <s v="TM-3"/>
    <n v="25"/>
    <n v="3205"/>
    <s v="128.2"/>
    <x v="2"/>
    <n v="1.17"/>
    <n v="29238"/>
    <n v="29.238"/>
    <d v="2017-05-01T00:00:00"/>
    <x v="0"/>
    <x v="3"/>
  </r>
  <r>
    <x v="5"/>
    <x v="5"/>
    <s v="Juni"/>
    <s v="Division_A"/>
    <x v="14"/>
    <n v="2012"/>
    <n v="5"/>
    <s v="TM-3"/>
    <n v="25"/>
    <n v="3205"/>
    <s v="128.2"/>
    <x v="2"/>
    <n v="0.97"/>
    <n v="24244"/>
    <n v="24.244"/>
    <d v="2017-06-01T00:00:00"/>
    <x v="0"/>
    <x v="3"/>
  </r>
  <r>
    <x v="5"/>
    <x v="6"/>
    <s v="Juli"/>
    <s v="Division_A"/>
    <x v="14"/>
    <n v="2012"/>
    <n v="5"/>
    <s v="TM-3"/>
    <n v="25"/>
    <n v="3205"/>
    <s v="128.2"/>
    <x v="2"/>
    <n v="0.97399999999999998"/>
    <n v="24354"/>
    <n v="24.353999999999999"/>
    <d v="2017-07-01T00:00:00"/>
    <x v="0"/>
    <x v="3"/>
  </r>
  <r>
    <x v="5"/>
    <x v="7"/>
    <s v="Agustus"/>
    <s v="Division_A"/>
    <x v="14"/>
    <n v="2012"/>
    <n v="5"/>
    <s v="TM-3"/>
    <n v="25"/>
    <n v="3205"/>
    <s v="128.2"/>
    <x v="2"/>
    <n v="1.3540000000000001"/>
    <n v="33858"/>
    <n v="33.857999999999997"/>
    <d v="2017-08-01T00:00:00"/>
    <x v="0"/>
    <x v="3"/>
  </r>
  <r>
    <x v="5"/>
    <x v="8"/>
    <s v="September"/>
    <s v="Division_A"/>
    <x v="14"/>
    <n v="2012"/>
    <n v="5"/>
    <s v="TM-3"/>
    <n v="25"/>
    <n v="3205"/>
    <s v="128.2"/>
    <x v="2"/>
    <n v="0.96899999999999997"/>
    <n v="24222"/>
    <n v="24.222000000000001"/>
    <d v="2017-09-01T00:00:00"/>
    <x v="0"/>
    <x v="3"/>
  </r>
  <r>
    <x v="5"/>
    <x v="9"/>
    <s v="Oktober"/>
    <s v="Division_A"/>
    <x v="14"/>
    <n v="2012"/>
    <n v="5"/>
    <s v="TM-3"/>
    <n v="25"/>
    <n v="3205"/>
    <s v="128.2"/>
    <x v="2"/>
    <n v="0.93100000000000005"/>
    <n v="23276"/>
    <n v="23.276"/>
    <d v="2017-10-01T00:00:00"/>
    <x v="0"/>
    <x v="3"/>
  </r>
  <r>
    <x v="5"/>
    <x v="10"/>
    <s v="November"/>
    <s v="Division_A"/>
    <x v="14"/>
    <n v="2012"/>
    <n v="5"/>
    <s v="TM-3"/>
    <n v="25"/>
    <n v="3205"/>
    <s v="128.2"/>
    <x v="2"/>
    <n v="0.95799999999999996"/>
    <n v="23958"/>
    <n v="23.957999999999998"/>
    <d v="2017-11-01T00:00:00"/>
    <x v="0"/>
    <x v="3"/>
  </r>
  <r>
    <x v="5"/>
    <x v="11"/>
    <s v="Desember"/>
    <s v="Division_A"/>
    <x v="14"/>
    <n v="2012"/>
    <n v="5"/>
    <s v="TM-3"/>
    <n v="25"/>
    <n v="3205"/>
    <s v="128.2"/>
    <x v="2"/>
    <n v="0.81699999999999995"/>
    <n v="20416"/>
    <n v="20.416"/>
    <d v="2017-12-01T00:00:00"/>
    <x v="0"/>
    <x v="3"/>
  </r>
  <r>
    <x v="5"/>
    <x v="0"/>
    <s v="Januari"/>
    <s v="Division_A"/>
    <x v="15"/>
    <n v="2012"/>
    <n v="5"/>
    <s v="TM-3"/>
    <n v="19"/>
    <n v="2469"/>
    <s v="129.9"/>
    <x v="1"/>
    <n v="0.93100000000000005"/>
    <n v="17689.8"/>
    <n v="17.690000000000001"/>
    <d v="2017-01-01T00:00:00"/>
    <x v="0"/>
    <x v="3"/>
  </r>
  <r>
    <x v="5"/>
    <x v="1"/>
    <s v="Februari"/>
    <s v="Division_A"/>
    <x v="15"/>
    <n v="2012"/>
    <n v="5"/>
    <s v="TM-3"/>
    <n v="19"/>
    <n v="2469"/>
    <s v="129.9"/>
    <x v="1"/>
    <n v="0.57799999999999996"/>
    <n v="10985"/>
    <n v="10.984999999999999"/>
    <d v="2017-02-01T00:00:00"/>
    <x v="0"/>
    <x v="3"/>
  </r>
  <r>
    <x v="5"/>
    <x v="2"/>
    <s v="Maret"/>
    <s v="Division_A"/>
    <x v="15"/>
    <n v="2012"/>
    <n v="5"/>
    <s v="TM-3"/>
    <n v="19"/>
    <n v="2469"/>
    <s v="129.9"/>
    <x v="1"/>
    <n v="0.93700000000000006"/>
    <n v="17806.8"/>
    <n v="17.806999999999999"/>
    <d v="2017-03-01T00:00:00"/>
    <x v="0"/>
    <x v="3"/>
  </r>
  <r>
    <x v="5"/>
    <x v="3"/>
    <s v="April"/>
    <s v="Division_A"/>
    <x v="15"/>
    <n v="2012"/>
    <n v="5"/>
    <s v="TM-3"/>
    <n v="19"/>
    <n v="2469"/>
    <s v="129.9"/>
    <x v="1"/>
    <n v="1.2669999999999999"/>
    <n v="24076.799999999999"/>
    <n v="24.077000000000002"/>
    <d v="2017-04-01T00:00:00"/>
    <x v="0"/>
    <x v="3"/>
  </r>
  <r>
    <x v="5"/>
    <x v="4"/>
    <s v="Mei"/>
    <s v="Division_A"/>
    <x v="15"/>
    <n v="2012"/>
    <n v="5"/>
    <s v="TM-3"/>
    <n v="19"/>
    <n v="2469"/>
    <s v="129.9"/>
    <x v="1"/>
    <n v="1.17"/>
    <n v="22220.9"/>
    <n v="22.221"/>
    <d v="2017-05-01T00:00:00"/>
    <x v="0"/>
    <x v="3"/>
  </r>
  <r>
    <x v="5"/>
    <x v="5"/>
    <s v="Juni"/>
    <s v="Division_A"/>
    <x v="15"/>
    <n v="2012"/>
    <n v="5"/>
    <s v="TM-3"/>
    <n v="19"/>
    <n v="2469"/>
    <s v="129.9"/>
    <x v="1"/>
    <n v="0.97"/>
    <n v="18425.400000000001"/>
    <n v="18.425000000000001"/>
    <d v="2017-06-01T00:00:00"/>
    <x v="0"/>
    <x v="3"/>
  </r>
  <r>
    <x v="5"/>
    <x v="6"/>
    <s v="Juli"/>
    <s v="Division_A"/>
    <x v="15"/>
    <n v="2012"/>
    <n v="5"/>
    <s v="TM-3"/>
    <n v="19"/>
    <n v="2469"/>
    <s v="129.9"/>
    <x v="1"/>
    <n v="0.97399999999999998"/>
    <n v="18509"/>
    <n v="18.509"/>
    <d v="2017-07-01T00:00:00"/>
    <x v="0"/>
    <x v="3"/>
  </r>
  <r>
    <x v="5"/>
    <x v="7"/>
    <s v="Agustus"/>
    <s v="Division_A"/>
    <x v="15"/>
    <n v="2012"/>
    <n v="5"/>
    <s v="TM-3"/>
    <n v="19"/>
    <n v="2469"/>
    <s v="129.9"/>
    <x v="1"/>
    <n v="1.3540000000000001"/>
    <n v="25732.1"/>
    <n v="25.731999999999999"/>
    <d v="2017-08-01T00:00:00"/>
    <x v="0"/>
    <x v="3"/>
  </r>
  <r>
    <x v="5"/>
    <x v="8"/>
    <s v="September"/>
    <s v="Division_A"/>
    <x v="15"/>
    <n v="2012"/>
    <n v="5"/>
    <s v="TM-3"/>
    <n v="19"/>
    <n v="2469"/>
    <s v="129.9"/>
    <x v="1"/>
    <n v="0.96899999999999997"/>
    <n v="18408.7"/>
    <n v="18.408999999999999"/>
    <d v="2017-09-01T00:00:00"/>
    <x v="0"/>
    <x v="3"/>
  </r>
  <r>
    <x v="5"/>
    <x v="9"/>
    <s v="Oktober"/>
    <s v="Division_A"/>
    <x v="15"/>
    <n v="2012"/>
    <n v="5"/>
    <s v="TM-3"/>
    <n v="19"/>
    <n v="2469"/>
    <s v="129.9"/>
    <x v="1"/>
    <n v="0.93100000000000005"/>
    <n v="17689.8"/>
    <n v="17.690000000000001"/>
    <d v="2017-10-01T00:00:00"/>
    <x v="0"/>
    <x v="3"/>
  </r>
  <r>
    <x v="5"/>
    <x v="10"/>
    <s v="November"/>
    <s v="Division_A"/>
    <x v="15"/>
    <n v="2012"/>
    <n v="5"/>
    <s v="TM-3"/>
    <n v="19"/>
    <n v="2469"/>
    <s v="129.9"/>
    <x v="1"/>
    <n v="0.95799999999999996"/>
    <n v="18208.099999999999"/>
    <n v="18.207999999999998"/>
    <d v="2017-11-01T00:00:00"/>
    <x v="0"/>
    <x v="3"/>
  </r>
  <r>
    <x v="5"/>
    <x v="11"/>
    <s v="Desember"/>
    <s v="Division_A"/>
    <x v="15"/>
    <n v="2012"/>
    <n v="5"/>
    <s v="TM-3"/>
    <n v="19"/>
    <n v="2469"/>
    <s v="129.9"/>
    <x v="1"/>
    <n v="0.81699999999999995"/>
    <n v="15516.2"/>
    <n v="15.516"/>
    <d v="2017-12-01T00:00:00"/>
    <x v="0"/>
    <x v="3"/>
  </r>
  <r>
    <x v="5"/>
    <x v="0"/>
    <s v="Januari"/>
    <s v="Division_A"/>
    <x v="16"/>
    <n v="2012"/>
    <n v="5"/>
    <s v="TM-3"/>
    <n v="20"/>
    <n v="2704"/>
    <s v="135.2"/>
    <x v="2"/>
    <n v="0.93100000000000005"/>
    <n v="18620.8"/>
    <n v="18.620999999999999"/>
    <d v="2017-01-01T00:00:00"/>
    <x v="0"/>
    <x v="3"/>
  </r>
  <r>
    <x v="5"/>
    <x v="1"/>
    <s v="Februari"/>
    <s v="Division_A"/>
    <x v="16"/>
    <n v="2012"/>
    <n v="5"/>
    <s v="TM-3"/>
    <n v="20"/>
    <n v="2704"/>
    <s v="135.2"/>
    <x v="2"/>
    <n v="0.57799999999999996"/>
    <n v="11563.2"/>
    <n v="11.563000000000001"/>
    <d v="2017-02-01T00:00:00"/>
    <x v="0"/>
    <x v="3"/>
  </r>
  <r>
    <x v="5"/>
    <x v="2"/>
    <s v="Maret"/>
    <s v="Division_A"/>
    <x v="16"/>
    <n v="2012"/>
    <n v="5"/>
    <s v="TM-3"/>
    <n v="20"/>
    <n v="2704"/>
    <s v="135.2"/>
    <x v="2"/>
    <n v="0.93700000000000006"/>
    <n v="18744"/>
    <n v="18.744"/>
    <d v="2017-03-01T00:00:00"/>
    <x v="0"/>
    <x v="3"/>
  </r>
  <r>
    <x v="5"/>
    <x v="3"/>
    <s v="April"/>
    <s v="Division_A"/>
    <x v="16"/>
    <n v="2012"/>
    <n v="5"/>
    <s v="TM-3"/>
    <n v="20"/>
    <n v="2704"/>
    <s v="135.2"/>
    <x v="2"/>
    <n v="1.2669999999999999"/>
    <n v="25344"/>
    <n v="25.344000000000001"/>
    <d v="2017-04-01T00:00:00"/>
    <x v="0"/>
    <x v="3"/>
  </r>
  <r>
    <x v="5"/>
    <x v="4"/>
    <s v="Mei"/>
    <s v="Division_A"/>
    <x v="16"/>
    <n v="2012"/>
    <n v="5"/>
    <s v="TM-3"/>
    <n v="20"/>
    <n v="2704"/>
    <s v="135.2"/>
    <x v="2"/>
    <n v="1.17"/>
    <n v="23390.400000000001"/>
    <n v="23.39"/>
    <d v="2017-05-01T00:00:00"/>
    <x v="0"/>
    <x v="3"/>
  </r>
  <r>
    <x v="5"/>
    <x v="5"/>
    <s v="Juni"/>
    <s v="Division_A"/>
    <x v="16"/>
    <n v="2012"/>
    <n v="5"/>
    <s v="TM-3"/>
    <n v="20"/>
    <n v="2704"/>
    <s v="135.2"/>
    <x v="2"/>
    <n v="0.97"/>
    <n v="19395.2"/>
    <n v="19.395"/>
    <d v="2017-06-01T00:00:00"/>
    <x v="0"/>
    <x v="3"/>
  </r>
  <r>
    <x v="5"/>
    <x v="6"/>
    <s v="Juli"/>
    <s v="Division_A"/>
    <x v="16"/>
    <n v="2012"/>
    <n v="5"/>
    <s v="TM-3"/>
    <n v="20"/>
    <n v="2704"/>
    <s v="135.2"/>
    <x v="2"/>
    <n v="0.97399999999999998"/>
    <n v="19483.2"/>
    <n v="19.483000000000001"/>
    <d v="2017-07-01T00:00:00"/>
    <x v="0"/>
    <x v="3"/>
  </r>
  <r>
    <x v="5"/>
    <x v="7"/>
    <s v="Agustus"/>
    <s v="Division_A"/>
    <x v="16"/>
    <n v="2012"/>
    <n v="5"/>
    <s v="TM-3"/>
    <n v="20"/>
    <n v="2704"/>
    <s v="135.2"/>
    <x v="2"/>
    <n v="1.3540000000000001"/>
    <n v="27086.400000000001"/>
    <n v="27.085999999999999"/>
    <d v="2017-08-01T00:00:00"/>
    <x v="0"/>
    <x v="3"/>
  </r>
  <r>
    <x v="5"/>
    <x v="8"/>
    <s v="September"/>
    <s v="Division_A"/>
    <x v="16"/>
    <n v="2012"/>
    <n v="5"/>
    <s v="TM-3"/>
    <n v="20"/>
    <n v="2704"/>
    <s v="135.2"/>
    <x v="2"/>
    <n v="0.96899999999999997"/>
    <n v="19377.599999999999"/>
    <n v="19.378"/>
    <d v="2017-09-01T00:00:00"/>
    <x v="0"/>
    <x v="3"/>
  </r>
  <r>
    <x v="5"/>
    <x v="9"/>
    <s v="Oktober"/>
    <s v="Division_A"/>
    <x v="16"/>
    <n v="2012"/>
    <n v="5"/>
    <s v="TM-3"/>
    <n v="20"/>
    <n v="2704"/>
    <s v="135.2"/>
    <x v="2"/>
    <n v="0.93100000000000005"/>
    <n v="18620.8"/>
    <n v="18.620999999999999"/>
    <d v="2017-10-01T00:00:00"/>
    <x v="0"/>
    <x v="3"/>
  </r>
  <r>
    <x v="5"/>
    <x v="10"/>
    <s v="November"/>
    <s v="Division_A"/>
    <x v="16"/>
    <n v="2012"/>
    <n v="5"/>
    <s v="TM-3"/>
    <n v="20"/>
    <n v="2704"/>
    <s v="135.2"/>
    <x v="2"/>
    <n v="0.95799999999999996"/>
    <n v="19166.400000000001"/>
    <n v="19.166"/>
    <d v="2017-11-01T00:00:00"/>
    <x v="0"/>
    <x v="3"/>
  </r>
  <r>
    <x v="5"/>
    <x v="11"/>
    <s v="Desember"/>
    <s v="Division_A"/>
    <x v="16"/>
    <n v="2012"/>
    <n v="5"/>
    <s v="TM-3"/>
    <n v="20"/>
    <n v="2704"/>
    <s v="135.2"/>
    <x v="2"/>
    <n v="0.81699999999999995"/>
    <n v="16332.8"/>
    <n v="16.332999999999998"/>
    <d v="2017-12-01T00:00:00"/>
    <x v="0"/>
    <x v="3"/>
  </r>
  <r>
    <x v="5"/>
    <x v="0"/>
    <s v="Januari"/>
    <s v="Division_A"/>
    <x v="17"/>
    <n v="2012"/>
    <n v="5"/>
    <s v="TM-3"/>
    <n v="14"/>
    <n v="1833"/>
    <s v="130.9"/>
    <x v="2"/>
    <n v="0.93100000000000005"/>
    <n v="13034.6"/>
    <n v="13.035"/>
    <d v="2017-01-01T00:00:00"/>
    <x v="0"/>
    <x v="3"/>
  </r>
  <r>
    <x v="5"/>
    <x v="1"/>
    <s v="Februari"/>
    <s v="Division_A"/>
    <x v="17"/>
    <n v="2012"/>
    <n v="5"/>
    <s v="TM-3"/>
    <n v="14"/>
    <n v="1833"/>
    <s v="130.9"/>
    <x v="2"/>
    <n v="0.57799999999999996"/>
    <n v="8094.2"/>
    <n v="8.0939999999999994"/>
    <d v="2017-02-01T00:00:00"/>
    <x v="0"/>
    <x v="3"/>
  </r>
  <r>
    <x v="5"/>
    <x v="2"/>
    <s v="Maret"/>
    <s v="Division_A"/>
    <x v="17"/>
    <n v="2012"/>
    <n v="5"/>
    <s v="TM-3"/>
    <n v="14"/>
    <n v="1833"/>
    <s v="130.9"/>
    <x v="2"/>
    <n v="0.93700000000000006"/>
    <n v="13120.8"/>
    <n v="13.121"/>
    <d v="2017-03-01T00:00:00"/>
    <x v="0"/>
    <x v="3"/>
  </r>
  <r>
    <x v="5"/>
    <x v="3"/>
    <s v="April"/>
    <s v="Division_A"/>
    <x v="17"/>
    <n v="2012"/>
    <n v="5"/>
    <s v="TM-3"/>
    <n v="14"/>
    <n v="1833"/>
    <s v="130.9"/>
    <x v="2"/>
    <n v="1.2669999999999999"/>
    <n v="17740.8"/>
    <n v="17.741"/>
    <d v="2017-04-01T00:00:00"/>
    <x v="0"/>
    <x v="3"/>
  </r>
  <r>
    <x v="5"/>
    <x v="4"/>
    <s v="Mei"/>
    <s v="Division_A"/>
    <x v="17"/>
    <n v="2012"/>
    <n v="5"/>
    <s v="TM-3"/>
    <n v="14"/>
    <n v="1833"/>
    <s v="130.9"/>
    <x v="2"/>
    <n v="1.17"/>
    <n v="16373.3"/>
    <n v="16.373000000000001"/>
    <d v="2017-05-01T00:00:00"/>
    <x v="0"/>
    <x v="3"/>
  </r>
  <r>
    <x v="5"/>
    <x v="5"/>
    <s v="Juni"/>
    <s v="Division_A"/>
    <x v="17"/>
    <n v="2012"/>
    <n v="5"/>
    <s v="TM-3"/>
    <n v="14"/>
    <n v="1833"/>
    <s v="130.9"/>
    <x v="2"/>
    <n v="0.97"/>
    <n v="13576.6"/>
    <n v="13.577"/>
    <d v="2017-06-01T00:00:00"/>
    <x v="0"/>
    <x v="3"/>
  </r>
  <r>
    <x v="5"/>
    <x v="6"/>
    <s v="Juli"/>
    <s v="Division_A"/>
    <x v="17"/>
    <n v="2012"/>
    <n v="5"/>
    <s v="TM-3"/>
    <n v="14"/>
    <n v="1833"/>
    <s v="130.9"/>
    <x v="2"/>
    <n v="0.97399999999999998"/>
    <n v="13638.2"/>
    <n v="13.638"/>
    <d v="2017-07-01T00:00:00"/>
    <x v="0"/>
    <x v="3"/>
  </r>
  <r>
    <x v="5"/>
    <x v="7"/>
    <s v="Agustus"/>
    <s v="Division_A"/>
    <x v="17"/>
    <n v="2012"/>
    <n v="5"/>
    <s v="TM-3"/>
    <n v="14"/>
    <n v="1833"/>
    <s v="130.9"/>
    <x v="2"/>
    <n v="1.3540000000000001"/>
    <n v="18960.5"/>
    <n v="18.96"/>
    <d v="2017-08-01T00:00:00"/>
    <x v="0"/>
    <x v="3"/>
  </r>
  <r>
    <x v="5"/>
    <x v="8"/>
    <s v="September"/>
    <s v="Division_A"/>
    <x v="17"/>
    <n v="2012"/>
    <n v="5"/>
    <s v="TM-3"/>
    <n v="14"/>
    <n v="1833"/>
    <s v="130.9"/>
    <x v="2"/>
    <n v="0.96899999999999997"/>
    <n v="13564.3"/>
    <n v="13.564"/>
    <d v="2017-09-01T00:00:00"/>
    <x v="0"/>
    <x v="3"/>
  </r>
  <r>
    <x v="5"/>
    <x v="9"/>
    <s v="Oktober"/>
    <s v="Division_A"/>
    <x v="17"/>
    <n v="2012"/>
    <n v="5"/>
    <s v="TM-3"/>
    <n v="14"/>
    <n v="1833"/>
    <s v="130.9"/>
    <x v="2"/>
    <n v="0.93100000000000005"/>
    <n v="13034.6"/>
    <n v="13.035"/>
    <d v="2017-10-01T00:00:00"/>
    <x v="0"/>
    <x v="3"/>
  </r>
  <r>
    <x v="5"/>
    <x v="10"/>
    <s v="November"/>
    <s v="Division_A"/>
    <x v="17"/>
    <n v="2012"/>
    <n v="5"/>
    <s v="TM-3"/>
    <n v="14"/>
    <n v="1833"/>
    <s v="130.9"/>
    <x v="2"/>
    <n v="0.95799999999999996"/>
    <n v="13416.5"/>
    <n v="13.416"/>
    <d v="2017-11-01T00:00:00"/>
    <x v="0"/>
    <x v="3"/>
  </r>
  <r>
    <x v="5"/>
    <x v="11"/>
    <s v="Desember"/>
    <s v="Division_A"/>
    <x v="17"/>
    <n v="2012"/>
    <n v="5"/>
    <s v="TM-3"/>
    <n v="14"/>
    <n v="1833"/>
    <s v="130.9"/>
    <x v="2"/>
    <n v="0.81699999999999995"/>
    <n v="11433"/>
    <n v="11.433"/>
    <d v="2017-12-01T00:00:00"/>
    <x v="0"/>
    <x v="3"/>
  </r>
  <r>
    <x v="5"/>
    <x v="0"/>
    <s v="Januari"/>
    <s v="Division_A"/>
    <x v="18"/>
    <n v="2012"/>
    <n v="5"/>
    <s v="TM-3"/>
    <n v="20"/>
    <n v="1990"/>
    <s v="99.5"/>
    <x v="2"/>
    <n v="0.93100000000000005"/>
    <n v="18620.8"/>
    <n v="18.620999999999999"/>
    <d v="2017-01-01T00:00:00"/>
    <x v="0"/>
    <x v="3"/>
  </r>
  <r>
    <x v="5"/>
    <x v="1"/>
    <s v="Februari"/>
    <s v="Division_A"/>
    <x v="18"/>
    <n v="2012"/>
    <n v="5"/>
    <s v="TM-3"/>
    <n v="20"/>
    <n v="1990"/>
    <s v="99.5"/>
    <x v="2"/>
    <n v="0.57799999999999996"/>
    <n v="11563.2"/>
    <n v="11.563000000000001"/>
    <d v="2017-02-01T00:00:00"/>
    <x v="0"/>
    <x v="3"/>
  </r>
  <r>
    <x v="5"/>
    <x v="2"/>
    <s v="Maret"/>
    <s v="Division_A"/>
    <x v="18"/>
    <n v="2012"/>
    <n v="5"/>
    <s v="TM-3"/>
    <n v="20"/>
    <n v="1990"/>
    <s v="99.5"/>
    <x v="2"/>
    <n v="0.93700000000000006"/>
    <n v="18744"/>
    <n v="18.744"/>
    <d v="2017-03-01T00:00:00"/>
    <x v="0"/>
    <x v="3"/>
  </r>
  <r>
    <x v="5"/>
    <x v="3"/>
    <s v="April"/>
    <s v="Division_A"/>
    <x v="18"/>
    <n v="2012"/>
    <n v="5"/>
    <s v="TM-3"/>
    <n v="20"/>
    <n v="1990"/>
    <s v="99.5"/>
    <x v="2"/>
    <n v="1.2669999999999999"/>
    <n v="25344"/>
    <n v="25.344000000000001"/>
    <d v="2017-04-01T00:00:00"/>
    <x v="0"/>
    <x v="3"/>
  </r>
  <r>
    <x v="5"/>
    <x v="4"/>
    <s v="Mei"/>
    <s v="Division_A"/>
    <x v="18"/>
    <n v="2012"/>
    <n v="5"/>
    <s v="TM-3"/>
    <n v="20"/>
    <n v="1990"/>
    <s v="99.5"/>
    <x v="2"/>
    <n v="1.17"/>
    <n v="23390.400000000001"/>
    <n v="23.39"/>
    <d v="2017-05-01T00:00:00"/>
    <x v="0"/>
    <x v="3"/>
  </r>
  <r>
    <x v="5"/>
    <x v="5"/>
    <s v="Juni"/>
    <s v="Division_A"/>
    <x v="18"/>
    <n v="2012"/>
    <n v="5"/>
    <s v="TM-3"/>
    <n v="20"/>
    <n v="1990"/>
    <s v="99.5"/>
    <x v="2"/>
    <n v="0.97"/>
    <n v="19395.2"/>
    <n v="19.395"/>
    <d v="2017-06-01T00:00:00"/>
    <x v="0"/>
    <x v="3"/>
  </r>
  <r>
    <x v="5"/>
    <x v="6"/>
    <s v="Juli"/>
    <s v="Division_A"/>
    <x v="18"/>
    <n v="2012"/>
    <n v="5"/>
    <s v="TM-3"/>
    <n v="20"/>
    <n v="1990"/>
    <s v="99.5"/>
    <x v="2"/>
    <n v="0.97399999999999998"/>
    <n v="19483.2"/>
    <n v="19.483000000000001"/>
    <d v="2017-07-01T00:00:00"/>
    <x v="0"/>
    <x v="3"/>
  </r>
  <r>
    <x v="5"/>
    <x v="7"/>
    <s v="Agustus"/>
    <s v="Division_A"/>
    <x v="18"/>
    <n v="2012"/>
    <n v="5"/>
    <s v="TM-3"/>
    <n v="20"/>
    <n v="1990"/>
    <s v="99.5"/>
    <x v="2"/>
    <n v="1.3540000000000001"/>
    <n v="27086.400000000001"/>
    <n v="27.085999999999999"/>
    <d v="2017-08-01T00:00:00"/>
    <x v="0"/>
    <x v="3"/>
  </r>
  <r>
    <x v="5"/>
    <x v="8"/>
    <s v="September"/>
    <s v="Division_A"/>
    <x v="18"/>
    <n v="2012"/>
    <n v="5"/>
    <s v="TM-3"/>
    <n v="20"/>
    <n v="1990"/>
    <s v="99.5"/>
    <x v="2"/>
    <n v="0.96899999999999997"/>
    <n v="19377.599999999999"/>
    <n v="19.378"/>
    <d v="2017-09-01T00:00:00"/>
    <x v="0"/>
    <x v="3"/>
  </r>
  <r>
    <x v="5"/>
    <x v="9"/>
    <s v="Oktober"/>
    <s v="Division_A"/>
    <x v="18"/>
    <n v="2012"/>
    <n v="5"/>
    <s v="TM-3"/>
    <n v="20"/>
    <n v="1990"/>
    <s v="99.5"/>
    <x v="2"/>
    <n v="0.93100000000000005"/>
    <n v="18620.8"/>
    <n v="18.620999999999999"/>
    <d v="2017-10-01T00:00:00"/>
    <x v="0"/>
    <x v="3"/>
  </r>
  <r>
    <x v="5"/>
    <x v="10"/>
    <s v="November"/>
    <s v="Division_A"/>
    <x v="18"/>
    <n v="2012"/>
    <n v="5"/>
    <s v="TM-3"/>
    <n v="20"/>
    <n v="1990"/>
    <s v="99.5"/>
    <x v="2"/>
    <n v="0.95799999999999996"/>
    <n v="19166.400000000001"/>
    <n v="19.166"/>
    <d v="2017-11-01T00:00:00"/>
    <x v="0"/>
    <x v="3"/>
  </r>
  <r>
    <x v="5"/>
    <x v="11"/>
    <s v="Desember"/>
    <s v="Division_A"/>
    <x v="18"/>
    <n v="2012"/>
    <n v="5"/>
    <s v="TM-3"/>
    <n v="20"/>
    <n v="1990"/>
    <s v="99.5"/>
    <x v="2"/>
    <n v="0.81699999999999995"/>
    <n v="16332.8"/>
    <n v="16.332999999999998"/>
    <d v="2017-12-01T00:00:00"/>
    <x v="0"/>
    <x v="3"/>
  </r>
  <r>
    <x v="5"/>
    <x v="0"/>
    <s v="Januari"/>
    <s v="Division_A"/>
    <x v="19"/>
    <n v="2012"/>
    <n v="5"/>
    <s v="TM-3"/>
    <n v="22"/>
    <n v="2606"/>
    <s v="118.5"/>
    <x v="2"/>
    <n v="0.93100000000000005"/>
    <n v="20482.900000000001"/>
    <n v="20.483000000000001"/>
    <d v="2017-01-01T00:00:00"/>
    <x v="0"/>
    <x v="3"/>
  </r>
  <r>
    <x v="5"/>
    <x v="1"/>
    <s v="Februari"/>
    <s v="Division_A"/>
    <x v="19"/>
    <n v="2012"/>
    <n v="5"/>
    <s v="TM-3"/>
    <n v="22"/>
    <n v="2606"/>
    <s v="118.5"/>
    <x v="2"/>
    <n v="0.57799999999999996"/>
    <n v="12719.5"/>
    <n v="12.72"/>
    <d v="2017-02-01T00:00:00"/>
    <x v="0"/>
    <x v="3"/>
  </r>
  <r>
    <x v="5"/>
    <x v="2"/>
    <s v="Maret"/>
    <s v="Division_A"/>
    <x v="19"/>
    <n v="2012"/>
    <n v="5"/>
    <s v="TM-3"/>
    <n v="22"/>
    <n v="2606"/>
    <s v="118.5"/>
    <x v="2"/>
    <n v="0.93700000000000006"/>
    <n v="20618.400000000001"/>
    <n v="20.617999999999999"/>
    <d v="2017-03-01T00:00:00"/>
    <x v="0"/>
    <x v="3"/>
  </r>
  <r>
    <x v="5"/>
    <x v="3"/>
    <s v="April"/>
    <s v="Division_A"/>
    <x v="19"/>
    <n v="2012"/>
    <n v="5"/>
    <s v="TM-3"/>
    <n v="22"/>
    <n v="2606"/>
    <s v="118.5"/>
    <x v="2"/>
    <n v="1.2669999999999999"/>
    <n v="27878.400000000001"/>
    <n v="27.878"/>
    <d v="2017-04-01T00:00:00"/>
    <x v="0"/>
    <x v="3"/>
  </r>
  <r>
    <x v="5"/>
    <x v="4"/>
    <s v="Mei"/>
    <s v="Division_A"/>
    <x v="19"/>
    <n v="2012"/>
    <n v="5"/>
    <s v="TM-3"/>
    <n v="22"/>
    <n v="2606"/>
    <s v="118.5"/>
    <x v="2"/>
    <n v="1.17"/>
    <n v="25729.4"/>
    <n v="25.728999999999999"/>
    <d v="2017-05-01T00:00:00"/>
    <x v="0"/>
    <x v="3"/>
  </r>
  <r>
    <x v="5"/>
    <x v="5"/>
    <s v="Juni"/>
    <s v="Division_A"/>
    <x v="19"/>
    <n v="2012"/>
    <n v="5"/>
    <s v="TM-3"/>
    <n v="22"/>
    <n v="2606"/>
    <s v="118.5"/>
    <x v="2"/>
    <n v="0.97"/>
    <n v="21334.7"/>
    <n v="21.335000000000001"/>
    <d v="2017-06-01T00:00:00"/>
    <x v="0"/>
    <x v="3"/>
  </r>
  <r>
    <x v="5"/>
    <x v="6"/>
    <s v="Juli"/>
    <s v="Division_A"/>
    <x v="19"/>
    <n v="2012"/>
    <n v="5"/>
    <s v="TM-3"/>
    <n v="22"/>
    <n v="2606"/>
    <s v="118.5"/>
    <x v="2"/>
    <n v="0.97399999999999998"/>
    <n v="21431.5"/>
    <n v="21.431999999999999"/>
    <d v="2017-07-01T00:00:00"/>
    <x v="0"/>
    <x v="3"/>
  </r>
  <r>
    <x v="5"/>
    <x v="7"/>
    <s v="Agustus"/>
    <s v="Division_A"/>
    <x v="19"/>
    <n v="2012"/>
    <n v="5"/>
    <s v="TM-3"/>
    <n v="22"/>
    <n v="2606"/>
    <s v="118.5"/>
    <x v="2"/>
    <n v="1.3540000000000001"/>
    <n v="29795"/>
    <n v="29.795000000000002"/>
    <d v="2017-08-01T00:00:00"/>
    <x v="0"/>
    <x v="3"/>
  </r>
  <r>
    <x v="5"/>
    <x v="8"/>
    <s v="September"/>
    <s v="Division_A"/>
    <x v="19"/>
    <n v="2012"/>
    <n v="5"/>
    <s v="TM-3"/>
    <n v="22"/>
    <n v="2606"/>
    <s v="118.5"/>
    <x v="2"/>
    <n v="0.96899999999999997"/>
    <n v="21315.4"/>
    <n v="21.315000000000001"/>
    <d v="2017-09-01T00:00:00"/>
    <x v="0"/>
    <x v="3"/>
  </r>
  <r>
    <x v="5"/>
    <x v="9"/>
    <s v="Oktober"/>
    <s v="Division_A"/>
    <x v="19"/>
    <n v="2012"/>
    <n v="5"/>
    <s v="TM-3"/>
    <n v="22"/>
    <n v="2606"/>
    <s v="118.5"/>
    <x v="2"/>
    <n v="0.93100000000000005"/>
    <n v="20482.900000000001"/>
    <n v="20.483000000000001"/>
    <d v="2017-10-01T00:00:00"/>
    <x v="0"/>
    <x v="3"/>
  </r>
  <r>
    <x v="5"/>
    <x v="10"/>
    <s v="November"/>
    <s v="Division_A"/>
    <x v="19"/>
    <n v="2012"/>
    <n v="5"/>
    <s v="TM-3"/>
    <n v="22"/>
    <n v="2606"/>
    <s v="118.5"/>
    <x v="2"/>
    <n v="0.95799999999999996"/>
    <n v="21083"/>
    <n v="21.082999999999998"/>
    <d v="2017-11-01T00:00:00"/>
    <x v="0"/>
    <x v="3"/>
  </r>
  <r>
    <x v="5"/>
    <x v="11"/>
    <s v="Desember"/>
    <s v="Division_A"/>
    <x v="19"/>
    <n v="2012"/>
    <n v="5"/>
    <s v="TM-3"/>
    <n v="22"/>
    <n v="2606"/>
    <s v="118.5"/>
    <x v="2"/>
    <n v="0.81699999999999995"/>
    <n v="17966.099999999999"/>
    <n v="17.966000000000001"/>
    <d v="2017-12-01T00:00:00"/>
    <x v="0"/>
    <x v="3"/>
  </r>
  <r>
    <x v="5"/>
    <x v="0"/>
    <s v="Januari"/>
    <s v="Division_A"/>
    <x v="20"/>
    <n v="2012"/>
    <n v="5"/>
    <s v="TM-3"/>
    <n v="22"/>
    <n v="2683"/>
    <s v="122"/>
    <x v="1"/>
    <n v="0.93100000000000005"/>
    <n v="20482.900000000001"/>
    <n v="20.483000000000001"/>
    <d v="2017-01-01T00:00:00"/>
    <x v="0"/>
    <x v="3"/>
  </r>
  <r>
    <x v="5"/>
    <x v="1"/>
    <s v="Februari"/>
    <s v="Division_A"/>
    <x v="20"/>
    <n v="2012"/>
    <n v="5"/>
    <s v="TM-3"/>
    <n v="22"/>
    <n v="2683"/>
    <s v="122"/>
    <x v="1"/>
    <n v="0.57799999999999996"/>
    <n v="12719.5"/>
    <n v="12.72"/>
    <d v="2017-02-01T00:00:00"/>
    <x v="0"/>
    <x v="3"/>
  </r>
  <r>
    <x v="5"/>
    <x v="2"/>
    <s v="Maret"/>
    <s v="Division_A"/>
    <x v="20"/>
    <n v="2012"/>
    <n v="5"/>
    <s v="TM-3"/>
    <n v="22"/>
    <n v="2683"/>
    <s v="122"/>
    <x v="1"/>
    <n v="0.93700000000000006"/>
    <n v="20618.400000000001"/>
    <n v="20.617999999999999"/>
    <d v="2017-03-01T00:00:00"/>
    <x v="0"/>
    <x v="3"/>
  </r>
  <r>
    <x v="5"/>
    <x v="3"/>
    <s v="April"/>
    <s v="Division_A"/>
    <x v="20"/>
    <n v="2012"/>
    <n v="5"/>
    <s v="TM-3"/>
    <n v="22"/>
    <n v="2683"/>
    <s v="122"/>
    <x v="1"/>
    <n v="1.2669999999999999"/>
    <n v="27878.400000000001"/>
    <n v="27.878"/>
    <d v="2017-04-01T00:00:00"/>
    <x v="0"/>
    <x v="3"/>
  </r>
  <r>
    <x v="5"/>
    <x v="4"/>
    <s v="Mei"/>
    <s v="Division_A"/>
    <x v="20"/>
    <n v="2012"/>
    <n v="5"/>
    <s v="TM-3"/>
    <n v="22"/>
    <n v="2683"/>
    <s v="122"/>
    <x v="1"/>
    <n v="1.17"/>
    <n v="25729.4"/>
    <n v="25.728999999999999"/>
    <d v="2017-05-01T00:00:00"/>
    <x v="0"/>
    <x v="3"/>
  </r>
  <r>
    <x v="5"/>
    <x v="5"/>
    <s v="Juni"/>
    <s v="Division_A"/>
    <x v="20"/>
    <n v="2012"/>
    <n v="5"/>
    <s v="TM-3"/>
    <n v="22"/>
    <n v="2683"/>
    <s v="122"/>
    <x v="1"/>
    <n v="0.97"/>
    <n v="21334.7"/>
    <n v="21.335000000000001"/>
    <d v="2017-06-01T00:00:00"/>
    <x v="0"/>
    <x v="3"/>
  </r>
  <r>
    <x v="5"/>
    <x v="6"/>
    <s v="Juli"/>
    <s v="Division_A"/>
    <x v="20"/>
    <n v="2012"/>
    <n v="5"/>
    <s v="TM-3"/>
    <n v="22"/>
    <n v="2683"/>
    <s v="122"/>
    <x v="1"/>
    <n v="0.97399999999999998"/>
    <n v="21431.5"/>
    <n v="21.431999999999999"/>
    <d v="2017-07-01T00:00:00"/>
    <x v="0"/>
    <x v="3"/>
  </r>
  <r>
    <x v="5"/>
    <x v="7"/>
    <s v="Agustus"/>
    <s v="Division_A"/>
    <x v="20"/>
    <n v="2012"/>
    <n v="5"/>
    <s v="TM-3"/>
    <n v="22"/>
    <n v="2683"/>
    <s v="122"/>
    <x v="1"/>
    <n v="1.3540000000000001"/>
    <n v="29795"/>
    <n v="29.795000000000002"/>
    <d v="2017-08-01T00:00:00"/>
    <x v="0"/>
    <x v="3"/>
  </r>
  <r>
    <x v="5"/>
    <x v="8"/>
    <s v="September"/>
    <s v="Division_A"/>
    <x v="20"/>
    <n v="2012"/>
    <n v="5"/>
    <s v="TM-3"/>
    <n v="22"/>
    <n v="2683"/>
    <s v="122"/>
    <x v="1"/>
    <n v="0.96899999999999997"/>
    <n v="21315.4"/>
    <n v="21.315000000000001"/>
    <d v="2017-09-01T00:00:00"/>
    <x v="0"/>
    <x v="3"/>
  </r>
  <r>
    <x v="5"/>
    <x v="9"/>
    <s v="Oktober"/>
    <s v="Division_A"/>
    <x v="20"/>
    <n v="2012"/>
    <n v="5"/>
    <s v="TM-3"/>
    <n v="22"/>
    <n v="2683"/>
    <s v="122"/>
    <x v="1"/>
    <n v="0.93100000000000005"/>
    <n v="20482.900000000001"/>
    <n v="20.483000000000001"/>
    <d v="2017-10-01T00:00:00"/>
    <x v="0"/>
    <x v="3"/>
  </r>
  <r>
    <x v="5"/>
    <x v="10"/>
    <s v="November"/>
    <s v="Division_A"/>
    <x v="20"/>
    <n v="2012"/>
    <n v="5"/>
    <s v="TM-3"/>
    <n v="22"/>
    <n v="2683"/>
    <s v="122"/>
    <x v="1"/>
    <n v="0.95799999999999996"/>
    <n v="21083"/>
    <n v="21.082999999999998"/>
    <d v="2017-11-01T00:00:00"/>
    <x v="0"/>
    <x v="3"/>
  </r>
  <r>
    <x v="5"/>
    <x v="11"/>
    <s v="Desember"/>
    <s v="Division_A"/>
    <x v="20"/>
    <n v="2012"/>
    <n v="5"/>
    <s v="TM-3"/>
    <n v="22"/>
    <n v="2683"/>
    <s v="122"/>
    <x v="1"/>
    <n v="0.81699999999999995"/>
    <n v="17966.099999999999"/>
    <n v="17.966000000000001"/>
    <d v="2017-12-01T00:00:00"/>
    <x v="0"/>
    <x v="3"/>
  </r>
  <r>
    <x v="5"/>
    <x v="0"/>
    <s v="Januari"/>
    <s v="Division_A"/>
    <x v="21"/>
    <n v="2012"/>
    <n v="5"/>
    <s v="TM-3"/>
    <n v="28"/>
    <n v="3483"/>
    <s v="124.4"/>
    <x v="1"/>
    <n v="0.93100000000000005"/>
    <n v="26069.1"/>
    <n v="26.068999999999999"/>
    <d v="2017-01-01T00:00:00"/>
    <x v="0"/>
    <x v="3"/>
  </r>
  <r>
    <x v="5"/>
    <x v="1"/>
    <s v="Februari"/>
    <s v="Division_A"/>
    <x v="21"/>
    <n v="2012"/>
    <n v="5"/>
    <s v="TM-3"/>
    <n v="28"/>
    <n v="3483"/>
    <s v="124.4"/>
    <x v="1"/>
    <n v="0.57799999999999996"/>
    <n v="16188.5"/>
    <n v="16.187999999999999"/>
    <d v="2017-02-01T00:00:00"/>
    <x v="0"/>
    <x v="3"/>
  </r>
  <r>
    <x v="5"/>
    <x v="2"/>
    <s v="Maret"/>
    <s v="Division_A"/>
    <x v="21"/>
    <n v="2012"/>
    <n v="5"/>
    <s v="TM-3"/>
    <n v="28"/>
    <n v="3483"/>
    <s v="124.4"/>
    <x v="1"/>
    <n v="0.93700000000000006"/>
    <n v="26241.599999999999"/>
    <n v="26.242000000000001"/>
    <d v="2017-03-01T00:00:00"/>
    <x v="0"/>
    <x v="3"/>
  </r>
  <r>
    <x v="5"/>
    <x v="3"/>
    <s v="April"/>
    <s v="Division_A"/>
    <x v="21"/>
    <n v="2012"/>
    <n v="5"/>
    <s v="TM-3"/>
    <n v="28"/>
    <n v="3483"/>
    <s v="124.4"/>
    <x v="1"/>
    <n v="1.2669999999999999"/>
    <n v="35481.599999999999"/>
    <n v="35.481999999999999"/>
    <d v="2017-04-01T00:00:00"/>
    <x v="0"/>
    <x v="3"/>
  </r>
  <r>
    <x v="5"/>
    <x v="4"/>
    <s v="Mei"/>
    <s v="Division_A"/>
    <x v="21"/>
    <n v="2012"/>
    <n v="5"/>
    <s v="TM-3"/>
    <n v="28"/>
    <n v="3483"/>
    <s v="124.4"/>
    <x v="1"/>
    <n v="1.17"/>
    <n v="32746.6"/>
    <n v="32.747"/>
    <d v="2017-05-01T00:00:00"/>
    <x v="0"/>
    <x v="3"/>
  </r>
  <r>
    <x v="5"/>
    <x v="5"/>
    <s v="Juni"/>
    <s v="Division_A"/>
    <x v="21"/>
    <n v="2012"/>
    <n v="5"/>
    <s v="TM-3"/>
    <n v="28"/>
    <n v="3483"/>
    <s v="124.4"/>
    <x v="1"/>
    <n v="0.97"/>
    <n v="27153.3"/>
    <n v="27.152999999999999"/>
    <d v="2017-06-01T00:00:00"/>
    <x v="0"/>
    <x v="3"/>
  </r>
  <r>
    <x v="5"/>
    <x v="6"/>
    <s v="Juli"/>
    <s v="Division_A"/>
    <x v="21"/>
    <n v="2012"/>
    <n v="5"/>
    <s v="TM-3"/>
    <n v="28"/>
    <n v="3483"/>
    <s v="124.4"/>
    <x v="1"/>
    <n v="0.97399999999999998"/>
    <n v="27276.5"/>
    <n v="27.276"/>
    <d v="2017-07-01T00:00:00"/>
    <x v="0"/>
    <x v="3"/>
  </r>
  <r>
    <x v="5"/>
    <x v="7"/>
    <s v="Agustus"/>
    <s v="Division_A"/>
    <x v="21"/>
    <n v="2012"/>
    <n v="5"/>
    <s v="TM-3"/>
    <n v="28"/>
    <n v="3483"/>
    <s v="124.4"/>
    <x v="1"/>
    <n v="1.3540000000000001"/>
    <n v="37921"/>
    <n v="37.920999999999999"/>
    <d v="2017-08-01T00:00:00"/>
    <x v="0"/>
    <x v="3"/>
  </r>
  <r>
    <x v="5"/>
    <x v="8"/>
    <s v="September"/>
    <s v="Division_A"/>
    <x v="21"/>
    <n v="2012"/>
    <n v="5"/>
    <s v="TM-3"/>
    <n v="28"/>
    <n v="3483"/>
    <s v="124.4"/>
    <x v="1"/>
    <n v="0.96899999999999997"/>
    <n v="27128.6"/>
    <n v="27.129000000000001"/>
    <d v="2017-09-01T00:00:00"/>
    <x v="0"/>
    <x v="3"/>
  </r>
  <r>
    <x v="5"/>
    <x v="9"/>
    <s v="Oktober"/>
    <s v="Division_A"/>
    <x v="21"/>
    <n v="2012"/>
    <n v="5"/>
    <s v="TM-3"/>
    <n v="28"/>
    <n v="3483"/>
    <s v="124.4"/>
    <x v="1"/>
    <n v="0.93100000000000005"/>
    <n v="26069.1"/>
    <n v="26.068999999999999"/>
    <d v="2017-10-01T00:00:00"/>
    <x v="0"/>
    <x v="3"/>
  </r>
  <r>
    <x v="5"/>
    <x v="10"/>
    <s v="November"/>
    <s v="Division_A"/>
    <x v="21"/>
    <n v="2012"/>
    <n v="5"/>
    <s v="TM-3"/>
    <n v="28"/>
    <n v="3483"/>
    <s v="124.4"/>
    <x v="1"/>
    <n v="0.95799999999999996"/>
    <n v="26833"/>
    <n v="26.832999999999998"/>
    <d v="2017-11-01T00:00:00"/>
    <x v="0"/>
    <x v="3"/>
  </r>
  <r>
    <x v="5"/>
    <x v="11"/>
    <s v="Desember"/>
    <s v="Division_A"/>
    <x v="21"/>
    <n v="2012"/>
    <n v="5"/>
    <s v="TM-3"/>
    <n v="28"/>
    <n v="3483"/>
    <s v="124.4"/>
    <x v="1"/>
    <n v="0.81699999999999995"/>
    <n v="22865.9"/>
    <n v="22.866"/>
    <d v="2017-12-01T00:00:00"/>
    <x v="0"/>
    <x v="3"/>
  </r>
  <r>
    <x v="5"/>
    <x v="0"/>
    <s v="Januari"/>
    <s v="Division_A"/>
    <x v="22"/>
    <n v="2013"/>
    <n v="4"/>
    <s v="TM-2"/>
    <n v="24"/>
    <n v="2678"/>
    <s v="111.6"/>
    <x v="1"/>
    <n v="0.71899999999999997"/>
    <n v="17266.599999999999"/>
    <n v="17.266999999999999"/>
    <d v="2017-01-01T00:00:00"/>
    <x v="0"/>
    <x v="3"/>
  </r>
  <r>
    <x v="5"/>
    <x v="1"/>
    <s v="Februari"/>
    <s v="Division_A"/>
    <x v="22"/>
    <n v="2013"/>
    <n v="4"/>
    <s v="TM-2"/>
    <n v="24"/>
    <n v="2678"/>
    <s v="111.6"/>
    <x v="1"/>
    <n v="0.44700000000000001"/>
    <n v="10722.2"/>
    <n v="10.722"/>
    <d v="2017-02-01T00:00:00"/>
    <x v="0"/>
    <x v="3"/>
  </r>
  <r>
    <x v="5"/>
    <x v="2"/>
    <s v="Maret"/>
    <s v="Division_A"/>
    <x v="22"/>
    <n v="2013"/>
    <n v="4"/>
    <s v="TM-2"/>
    <n v="24"/>
    <n v="2678"/>
    <s v="111.6"/>
    <x v="1"/>
    <n v="0.72399999999999998"/>
    <n v="17380.8"/>
    <n v="17.381"/>
    <d v="2017-03-01T00:00:00"/>
    <x v="0"/>
    <x v="3"/>
  </r>
  <r>
    <x v="5"/>
    <x v="3"/>
    <s v="April"/>
    <s v="Division_A"/>
    <x v="22"/>
    <n v="2013"/>
    <n v="4"/>
    <s v="TM-2"/>
    <n v="24"/>
    <n v="2678"/>
    <s v="111.6"/>
    <x v="1"/>
    <n v="0.97899999999999998"/>
    <n v="23500.799999999999"/>
    <n v="23.501000000000001"/>
    <d v="2017-04-01T00:00:00"/>
    <x v="0"/>
    <x v="3"/>
  </r>
  <r>
    <x v="5"/>
    <x v="4"/>
    <s v="Mei"/>
    <s v="Division_A"/>
    <x v="22"/>
    <n v="2013"/>
    <n v="4"/>
    <s v="TM-2"/>
    <n v="24"/>
    <n v="2678"/>
    <s v="111.6"/>
    <x v="1"/>
    <n v="0.90400000000000003"/>
    <n v="21689.3"/>
    <n v="21.689"/>
    <d v="2017-05-01T00:00:00"/>
    <x v="0"/>
    <x v="3"/>
  </r>
  <r>
    <x v="5"/>
    <x v="5"/>
    <s v="Juni"/>
    <s v="Division_A"/>
    <x v="22"/>
    <n v="2013"/>
    <n v="4"/>
    <s v="TM-2"/>
    <n v="24"/>
    <n v="2678"/>
    <s v="111.6"/>
    <x v="1"/>
    <n v="0.749"/>
    <n v="17984.599999999999"/>
    <n v="17.984999999999999"/>
    <d v="2017-06-01T00:00:00"/>
    <x v="0"/>
    <x v="3"/>
  </r>
  <r>
    <x v="5"/>
    <x v="6"/>
    <s v="Juli"/>
    <s v="Division_A"/>
    <x v="22"/>
    <n v="2013"/>
    <n v="4"/>
    <s v="TM-2"/>
    <n v="24"/>
    <n v="2678"/>
    <s v="111.6"/>
    <x v="1"/>
    <n v="0.753"/>
    <n v="18066.2"/>
    <n v="18.065999999999999"/>
    <d v="2017-07-01T00:00:00"/>
    <x v="0"/>
    <x v="3"/>
  </r>
  <r>
    <x v="5"/>
    <x v="7"/>
    <s v="Agustus"/>
    <s v="Division_A"/>
    <x v="22"/>
    <n v="2013"/>
    <n v="4"/>
    <s v="TM-2"/>
    <n v="24"/>
    <n v="2678"/>
    <s v="111.6"/>
    <x v="1"/>
    <n v="1.0469999999999999"/>
    <n v="25116.5"/>
    <n v="25.116"/>
    <d v="2017-08-01T00:00:00"/>
    <x v="0"/>
    <x v="3"/>
  </r>
  <r>
    <x v="5"/>
    <x v="8"/>
    <s v="September"/>
    <s v="Division_A"/>
    <x v="22"/>
    <n v="2013"/>
    <n v="4"/>
    <s v="TM-2"/>
    <n v="24"/>
    <n v="2678"/>
    <s v="111.6"/>
    <x v="1"/>
    <n v="0.749"/>
    <n v="17968.3"/>
    <n v="17.968"/>
    <d v="2017-09-01T00:00:00"/>
    <x v="0"/>
    <x v="3"/>
  </r>
  <r>
    <x v="5"/>
    <x v="9"/>
    <s v="Oktober"/>
    <s v="Division_A"/>
    <x v="22"/>
    <n v="2013"/>
    <n v="4"/>
    <s v="TM-2"/>
    <n v="24"/>
    <n v="2678"/>
    <s v="111.6"/>
    <x v="1"/>
    <n v="0.71899999999999997"/>
    <n v="17266.599999999999"/>
    <n v="17.266999999999999"/>
    <d v="2017-10-01T00:00:00"/>
    <x v="0"/>
    <x v="3"/>
  </r>
  <r>
    <x v="5"/>
    <x v="10"/>
    <s v="November"/>
    <s v="Division_A"/>
    <x v="22"/>
    <n v="2013"/>
    <n v="4"/>
    <s v="TM-2"/>
    <n v="24"/>
    <n v="2678"/>
    <s v="111.6"/>
    <x v="1"/>
    <n v="0.74099999999999999"/>
    <n v="17772.5"/>
    <n v="17.771999999999998"/>
    <d v="2017-11-01T00:00:00"/>
    <x v="0"/>
    <x v="3"/>
  </r>
  <r>
    <x v="5"/>
    <x v="11"/>
    <s v="Desember"/>
    <s v="Division_A"/>
    <x v="22"/>
    <n v="2013"/>
    <n v="4"/>
    <s v="TM-2"/>
    <n v="24"/>
    <n v="2678"/>
    <s v="111.6"/>
    <x v="1"/>
    <n v="0.63100000000000001"/>
    <n v="15145"/>
    <n v="15.145"/>
    <d v="2017-12-01T00:00:00"/>
    <x v="0"/>
    <x v="3"/>
  </r>
  <r>
    <x v="5"/>
    <x v="0"/>
    <s v="Januari"/>
    <s v="Division_A"/>
    <x v="23"/>
    <n v="2013"/>
    <n v="4"/>
    <s v="TM-2"/>
    <n v="23"/>
    <n v="2683"/>
    <s v="116.7"/>
    <x v="1"/>
    <n v="0.71899999999999997"/>
    <n v="16547.099999999999"/>
    <n v="16.547000000000001"/>
    <d v="2017-01-01T00:00:00"/>
    <x v="0"/>
    <x v="3"/>
  </r>
  <r>
    <x v="5"/>
    <x v="1"/>
    <s v="Februari"/>
    <s v="Division_A"/>
    <x v="23"/>
    <n v="2013"/>
    <n v="4"/>
    <s v="TM-2"/>
    <n v="23"/>
    <n v="2683"/>
    <s v="116.7"/>
    <x v="1"/>
    <n v="0.44700000000000001"/>
    <n v="10275.5"/>
    <n v="10.275"/>
    <d v="2017-02-01T00:00:00"/>
    <x v="0"/>
    <x v="3"/>
  </r>
  <r>
    <x v="5"/>
    <x v="2"/>
    <s v="Maret"/>
    <s v="Division_A"/>
    <x v="23"/>
    <n v="2013"/>
    <n v="4"/>
    <s v="TM-2"/>
    <n v="23"/>
    <n v="2683"/>
    <s v="116.7"/>
    <x v="1"/>
    <n v="0.72399999999999998"/>
    <n v="16656.599999999999"/>
    <n v="16.657"/>
    <d v="2017-03-01T00:00:00"/>
    <x v="0"/>
    <x v="3"/>
  </r>
  <r>
    <x v="5"/>
    <x v="3"/>
    <s v="April"/>
    <s v="Division_A"/>
    <x v="23"/>
    <n v="2013"/>
    <n v="4"/>
    <s v="TM-2"/>
    <n v="23"/>
    <n v="2683"/>
    <s v="116.7"/>
    <x v="1"/>
    <n v="0.97899999999999998"/>
    <n v="22521.599999999999"/>
    <n v="22.521999999999998"/>
    <d v="2017-04-01T00:00:00"/>
    <x v="0"/>
    <x v="3"/>
  </r>
  <r>
    <x v="5"/>
    <x v="4"/>
    <s v="Mei"/>
    <s v="Division_A"/>
    <x v="23"/>
    <n v="2013"/>
    <n v="4"/>
    <s v="TM-2"/>
    <n v="23"/>
    <n v="2683"/>
    <s v="116.7"/>
    <x v="1"/>
    <n v="0.90400000000000003"/>
    <n v="20785.599999999999"/>
    <n v="20.786000000000001"/>
    <d v="2017-05-01T00:00:00"/>
    <x v="0"/>
    <x v="3"/>
  </r>
  <r>
    <x v="5"/>
    <x v="5"/>
    <s v="Juni"/>
    <s v="Division_A"/>
    <x v="23"/>
    <n v="2013"/>
    <n v="4"/>
    <s v="TM-2"/>
    <n v="23"/>
    <n v="2683"/>
    <s v="116.7"/>
    <x v="1"/>
    <n v="0.749"/>
    <n v="17235.3"/>
    <n v="17.234999999999999"/>
    <d v="2017-06-01T00:00:00"/>
    <x v="0"/>
    <x v="3"/>
  </r>
  <r>
    <x v="5"/>
    <x v="6"/>
    <s v="Juli"/>
    <s v="Division_A"/>
    <x v="23"/>
    <n v="2013"/>
    <n v="4"/>
    <s v="TM-2"/>
    <n v="23"/>
    <n v="2683"/>
    <s v="116.7"/>
    <x v="1"/>
    <n v="0.753"/>
    <n v="17313.5"/>
    <n v="17.312999999999999"/>
    <d v="2017-07-01T00:00:00"/>
    <x v="0"/>
    <x v="3"/>
  </r>
  <r>
    <x v="5"/>
    <x v="7"/>
    <s v="Agustus"/>
    <s v="Division_A"/>
    <x v="23"/>
    <n v="2013"/>
    <n v="4"/>
    <s v="TM-2"/>
    <n v="23"/>
    <n v="2683"/>
    <s v="116.7"/>
    <x v="1"/>
    <n v="1.0469999999999999"/>
    <n v="24070"/>
    <n v="24.07"/>
    <d v="2017-08-01T00:00:00"/>
    <x v="0"/>
    <x v="3"/>
  </r>
  <r>
    <x v="5"/>
    <x v="8"/>
    <s v="September"/>
    <s v="Division_A"/>
    <x v="23"/>
    <n v="2013"/>
    <n v="4"/>
    <s v="TM-2"/>
    <n v="23"/>
    <n v="2683"/>
    <s v="116.7"/>
    <x v="1"/>
    <n v="0.749"/>
    <n v="17219.599999999999"/>
    <n v="17.22"/>
    <d v="2017-09-01T00:00:00"/>
    <x v="0"/>
    <x v="3"/>
  </r>
  <r>
    <x v="5"/>
    <x v="9"/>
    <s v="Oktober"/>
    <s v="Division_A"/>
    <x v="23"/>
    <n v="2013"/>
    <n v="4"/>
    <s v="TM-2"/>
    <n v="23"/>
    <n v="2683"/>
    <s v="116.7"/>
    <x v="1"/>
    <n v="0.71899999999999997"/>
    <n v="16547.099999999999"/>
    <n v="16.547000000000001"/>
    <d v="2017-10-01T00:00:00"/>
    <x v="0"/>
    <x v="3"/>
  </r>
  <r>
    <x v="5"/>
    <x v="10"/>
    <s v="November"/>
    <s v="Division_A"/>
    <x v="23"/>
    <n v="2013"/>
    <n v="4"/>
    <s v="TM-2"/>
    <n v="23"/>
    <n v="2683"/>
    <s v="116.7"/>
    <x v="1"/>
    <n v="0.74099999999999999"/>
    <n v="17032"/>
    <n v="17.032"/>
    <d v="2017-11-01T00:00:00"/>
    <x v="0"/>
    <x v="3"/>
  </r>
  <r>
    <x v="5"/>
    <x v="11"/>
    <s v="Desember"/>
    <s v="Division_A"/>
    <x v="23"/>
    <n v="2013"/>
    <n v="4"/>
    <s v="TM-2"/>
    <n v="23"/>
    <n v="2683"/>
    <s v="116.7"/>
    <x v="1"/>
    <n v="0.63100000000000001"/>
    <n v="14513.9"/>
    <n v="14.513999999999999"/>
    <d v="2017-12-01T00:00:00"/>
    <x v="0"/>
    <x v="3"/>
  </r>
  <r>
    <x v="5"/>
    <x v="0"/>
    <s v="Januari"/>
    <s v="Division_A"/>
    <x v="24"/>
    <n v="2013"/>
    <n v="4"/>
    <s v="TM-2"/>
    <n v="24"/>
    <n v="3445"/>
    <s v="143.5"/>
    <x v="1"/>
    <n v="0.71899999999999997"/>
    <n v="17266.599999999999"/>
    <n v="17.266999999999999"/>
    <d v="2017-01-01T00:00:00"/>
    <x v="0"/>
    <x v="3"/>
  </r>
  <r>
    <x v="5"/>
    <x v="1"/>
    <s v="Februari"/>
    <s v="Division_A"/>
    <x v="24"/>
    <n v="2013"/>
    <n v="4"/>
    <s v="TM-2"/>
    <n v="24"/>
    <n v="3445"/>
    <s v="143.5"/>
    <x v="1"/>
    <n v="0.44700000000000001"/>
    <n v="10722.2"/>
    <n v="10.722"/>
    <d v="2017-02-01T00:00:00"/>
    <x v="0"/>
    <x v="3"/>
  </r>
  <r>
    <x v="5"/>
    <x v="2"/>
    <s v="Maret"/>
    <s v="Division_A"/>
    <x v="24"/>
    <n v="2013"/>
    <n v="4"/>
    <s v="TM-2"/>
    <n v="24"/>
    <n v="3445"/>
    <s v="143.5"/>
    <x v="1"/>
    <n v="0.72399999999999998"/>
    <n v="17380.8"/>
    <n v="17.381"/>
    <d v="2017-03-01T00:00:00"/>
    <x v="0"/>
    <x v="3"/>
  </r>
  <r>
    <x v="5"/>
    <x v="3"/>
    <s v="April"/>
    <s v="Division_A"/>
    <x v="24"/>
    <n v="2013"/>
    <n v="4"/>
    <s v="TM-2"/>
    <n v="24"/>
    <n v="3445"/>
    <s v="143.5"/>
    <x v="1"/>
    <n v="0.97899999999999998"/>
    <n v="23500.799999999999"/>
    <n v="23.501000000000001"/>
    <d v="2017-04-01T00:00:00"/>
    <x v="0"/>
    <x v="3"/>
  </r>
  <r>
    <x v="5"/>
    <x v="4"/>
    <s v="Mei"/>
    <s v="Division_A"/>
    <x v="24"/>
    <n v="2013"/>
    <n v="4"/>
    <s v="TM-2"/>
    <n v="24"/>
    <n v="3445"/>
    <s v="143.5"/>
    <x v="1"/>
    <n v="0.90400000000000003"/>
    <n v="21689.3"/>
    <n v="21.689"/>
    <d v="2017-05-01T00:00:00"/>
    <x v="0"/>
    <x v="3"/>
  </r>
  <r>
    <x v="5"/>
    <x v="5"/>
    <s v="Juni"/>
    <s v="Division_A"/>
    <x v="24"/>
    <n v="2013"/>
    <n v="4"/>
    <s v="TM-2"/>
    <n v="24"/>
    <n v="3445"/>
    <s v="143.5"/>
    <x v="1"/>
    <n v="0.749"/>
    <n v="17984.599999999999"/>
    <n v="17.984999999999999"/>
    <d v="2017-06-01T00:00:00"/>
    <x v="0"/>
    <x v="3"/>
  </r>
  <r>
    <x v="5"/>
    <x v="6"/>
    <s v="Juli"/>
    <s v="Division_A"/>
    <x v="24"/>
    <n v="2013"/>
    <n v="4"/>
    <s v="TM-2"/>
    <n v="24"/>
    <n v="3445"/>
    <s v="143.5"/>
    <x v="1"/>
    <n v="0.753"/>
    <n v="18066.2"/>
    <n v="18.065999999999999"/>
    <d v="2017-07-01T00:00:00"/>
    <x v="0"/>
    <x v="3"/>
  </r>
  <r>
    <x v="5"/>
    <x v="7"/>
    <s v="Agustus"/>
    <s v="Division_A"/>
    <x v="24"/>
    <n v="2013"/>
    <n v="4"/>
    <s v="TM-2"/>
    <n v="24"/>
    <n v="3445"/>
    <s v="143.5"/>
    <x v="1"/>
    <n v="1.0469999999999999"/>
    <n v="25116.5"/>
    <n v="25.116"/>
    <d v="2017-08-01T00:00:00"/>
    <x v="0"/>
    <x v="3"/>
  </r>
  <r>
    <x v="5"/>
    <x v="8"/>
    <s v="September"/>
    <s v="Division_A"/>
    <x v="24"/>
    <n v="2013"/>
    <n v="4"/>
    <s v="TM-2"/>
    <n v="24"/>
    <n v="3445"/>
    <s v="143.5"/>
    <x v="1"/>
    <n v="0.749"/>
    <n v="17968.3"/>
    <n v="17.968"/>
    <d v="2017-09-01T00:00:00"/>
    <x v="0"/>
    <x v="3"/>
  </r>
  <r>
    <x v="5"/>
    <x v="9"/>
    <s v="Oktober"/>
    <s v="Division_A"/>
    <x v="24"/>
    <n v="2013"/>
    <n v="4"/>
    <s v="TM-2"/>
    <n v="24"/>
    <n v="3445"/>
    <s v="143.5"/>
    <x v="1"/>
    <n v="0.71899999999999997"/>
    <n v="17266.599999999999"/>
    <n v="17.266999999999999"/>
    <d v="2017-10-01T00:00:00"/>
    <x v="0"/>
    <x v="3"/>
  </r>
  <r>
    <x v="5"/>
    <x v="10"/>
    <s v="November"/>
    <s v="Division_A"/>
    <x v="24"/>
    <n v="2013"/>
    <n v="4"/>
    <s v="TM-2"/>
    <n v="24"/>
    <n v="3445"/>
    <s v="143.5"/>
    <x v="1"/>
    <n v="0.74099999999999999"/>
    <n v="17772.5"/>
    <n v="17.771999999999998"/>
    <d v="2017-11-01T00:00:00"/>
    <x v="0"/>
    <x v="3"/>
  </r>
  <r>
    <x v="5"/>
    <x v="11"/>
    <s v="Desember"/>
    <s v="Division_A"/>
    <x v="24"/>
    <n v="2013"/>
    <n v="4"/>
    <s v="TM-2"/>
    <n v="24"/>
    <n v="3445"/>
    <s v="143.5"/>
    <x v="1"/>
    <n v="0.63100000000000001"/>
    <n v="15145"/>
    <n v="15.145"/>
    <d v="2017-12-01T00:00:00"/>
    <x v="0"/>
    <x v="3"/>
  </r>
  <r>
    <x v="5"/>
    <x v="0"/>
    <s v="Januari"/>
    <s v="Division_A"/>
    <x v="25"/>
    <n v="2013"/>
    <n v="4"/>
    <s v="TM-2"/>
    <n v="24"/>
    <n v="3271"/>
    <s v="136.3"/>
    <x v="1"/>
    <n v="0.71899999999999997"/>
    <n v="17266.599999999999"/>
    <n v="17.266999999999999"/>
    <d v="2017-01-01T00:00:00"/>
    <x v="0"/>
    <x v="3"/>
  </r>
  <r>
    <x v="5"/>
    <x v="1"/>
    <s v="Februari"/>
    <s v="Division_A"/>
    <x v="25"/>
    <n v="2013"/>
    <n v="4"/>
    <s v="TM-2"/>
    <n v="24"/>
    <n v="3271"/>
    <s v="136.3"/>
    <x v="1"/>
    <n v="0.44700000000000001"/>
    <n v="10722.2"/>
    <n v="10.722"/>
    <d v="2017-02-01T00:00:00"/>
    <x v="0"/>
    <x v="3"/>
  </r>
  <r>
    <x v="5"/>
    <x v="2"/>
    <s v="Maret"/>
    <s v="Division_A"/>
    <x v="25"/>
    <n v="2013"/>
    <n v="4"/>
    <s v="TM-2"/>
    <n v="24"/>
    <n v="3271"/>
    <s v="136.3"/>
    <x v="1"/>
    <n v="0.72399999999999998"/>
    <n v="17380.8"/>
    <n v="17.381"/>
    <d v="2017-03-01T00:00:00"/>
    <x v="0"/>
    <x v="3"/>
  </r>
  <r>
    <x v="5"/>
    <x v="3"/>
    <s v="April"/>
    <s v="Division_A"/>
    <x v="25"/>
    <n v="2013"/>
    <n v="4"/>
    <s v="TM-2"/>
    <n v="24"/>
    <n v="3271"/>
    <s v="136.3"/>
    <x v="1"/>
    <n v="0.97899999999999998"/>
    <n v="23500.799999999999"/>
    <n v="23.501000000000001"/>
    <d v="2017-04-01T00:00:00"/>
    <x v="0"/>
    <x v="3"/>
  </r>
  <r>
    <x v="5"/>
    <x v="4"/>
    <s v="Mei"/>
    <s v="Division_A"/>
    <x v="25"/>
    <n v="2013"/>
    <n v="4"/>
    <s v="TM-2"/>
    <n v="24"/>
    <n v="3271"/>
    <s v="136.3"/>
    <x v="1"/>
    <n v="0.90400000000000003"/>
    <n v="21689.3"/>
    <n v="21.689"/>
    <d v="2017-05-01T00:00:00"/>
    <x v="0"/>
    <x v="3"/>
  </r>
  <r>
    <x v="5"/>
    <x v="5"/>
    <s v="Juni"/>
    <s v="Division_A"/>
    <x v="25"/>
    <n v="2013"/>
    <n v="4"/>
    <s v="TM-2"/>
    <n v="24"/>
    <n v="3271"/>
    <s v="136.3"/>
    <x v="1"/>
    <n v="0.749"/>
    <n v="17984.599999999999"/>
    <n v="17.984999999999999"/>
    <d v="2017-06-01T00:00:00"/>
    <x v="0"/>
    <x v="3"/>
  </r>
  <r>
    <x v="5"/>
    <x v="6"/>
    <s v="Juli"/>
    <s v="Division_A"/>
    <x v="25"/>
    <n v="2013"/>
    <n v="4"/>
    <s v="TM-2"/>
    <n v="24"/>
    <n v="3271"/>
    <s v="136.3"/>
    <x v="1"/>
    <n v="0.753"/>
    <n v="18066.2"/>
    <n v="18.065999999999999"/>
    <d v="2017-07-01T00:00:00"/>
    <x v="0"/>
    <x v="3"/>
  </r>
  <r>
    <x v="5"/>
    <x v="7"/>
    <s v="Agustus"/>
    <s v="Division_A"/>
    <x v="25"/>
    <n v="2013"/>
    <n v="4"/>
    <s v="TM-2"/>
    <n v="24"/>
    <n v="3271"/>
    <s v="136.3"/>
    <x v="1"/>
    <n v="1.0469999999999999"/>
    <n v="25116.5"/>
    <n v="25.116"/>
    <d v="2017-08-01T00:00:00"/>
    <x v="0"/>
    <x v="3"/>
  </r>
  <r>
    <x v="5"/>
    <x v="8"/>
    <s v="September"/>
    <s v="Division_A"/>
    <x v="25"/>
    <n v="2013"/>
    <n v="4"/>
    <s v="TM-2"/>
    <n v="24"/>
    <n v="3271"/>
    <s v="136.3"/>
    <x v="1"/>
    <n v="0.749"/>
    <n v="17968.3"/>
    <n v="17.968"/>
    <d v="2017-09-01T00:00:00"/>
    <x v="0"/>
    <x v="3"/>
  </r>
  <r>
    <x v="5"/>
    <x v="9"/>
    <s v="Oktober"/>
    <s v="Division_A"/>
    <x v="25"/>
    <n v="2013"/>
    <n v="4"/>
    <s v="TM-2"/>
    <n v="24"/>
    <n v="3271"/>
    <s v="136.3"/>
    <x v="1"/>
    <n v="0.71899999999999997"/>
    <n v="17266.599999999999"/>
    <n v="17.266999999999999"/>
    <d v="2017-10-01T00:00:00"/>
    <x v="0"/>
    <x v="3"/>
  </r>
  <r>
    <x v="5"/>
    <x v="10"/>
    <s v="November"/>
    <s v="Division_A"/>
    <x v="25"/>
    <n v="2013"/>
    <n v="4"/>
    <s v="TM-2"/>
    <n v="24"/>
    <n v="3271"/>
    <s v="136.3"/>
    <x v="1"/>
    <n v="0.74099999999999999"/>
    <n v="17772.5"/>
    <n v="17.771999999999998"/>
    <d v="2017-11-01T00:00:00"/>
    <x v="0"/>
    <x v="3"/>
  </r>
  <r>
    <x v="5"/>
    <x v="11"/>
    <s v="Desember"/>
    <s v="Division_A"/>
    <x v="25"/>
    <n v="2013"/>
    <n v="4"/>
    <s v="TM-2"/>
    <n v="24"/>
    <n v="3271"/>
    <s v="136.3"/>
    <x v="1"/>
    <n v="0.63100000000000001"/>
    <n v="15145"/>
    <n v="15.145"/>
    <d v="2017-12-01T00:00:00"/>
    <x v="0"/>
    <x v="3"/>
  </r>
  <r>
    <x v="5"/>
    <x v="0"/>
    <s v="Januari"/>
    <s v="Division_A"/>
    <x v="26"/>
    <n v="2013"/>
    <n v="4"/>
    <s v="TM-2"/>
    <n v="25"/>
    <n v="3291"/>
    <s v="131.6"/>
    <x v="1"/>
    <n v="0.71899999999999997"/>
    <n v="17986"/>
    <n v="17.986000000000001"/>
    <d v="2017-01-01T00:00:00"/>
    <x v="0"/>
    <x v="3"/>
  </r>
  <r>
    <x v="5"/>
    <x v="1"/>
    <s v="Februari"/>
    <s v="Division_A"/>
    <x v="26"/>
    <n v="2013"/>
    <n v="4"/>
    <s v="TM-2"/>
    <n v="25"/>
    <n v="3291"/>
    <s v="131.6"/>
    <x v="1"/>
    <n v="0.44700000000000001"/>
    <n v="11169"/>
    <n v="11.169"/>
    <d v="2017-02-01T00:00:00"/>
    <x v="0"/>
    <x v="3"/>
  </r>
  <r>
    <x v="5"/>
    <x v="2"/>
    <s v="Maret"/>
    <s v="Division_A"/>
    <x v="26"/>
    <n v="2013"/>
    <n v="4"/>
    <s v="TM-2"/>
    <n v="25"/>
    <n v="3291"/>
    <s v="131.6"/>
    <x v="1"/>
    <n v="0.72399999999999998"/>
    <n v="18105"/>
    <n v="18.105"/>
    <d v="2017-03-01T00:00:00"/>
    <x v="0"/>
    <x v="3"/>
  </r>
  <r>
    <x v="5"/>
    <x v="3"/>
    <s v="April"/>
    <s v="Division_A"/>
    <x v="26"/>
    <n v="2013"/>
    <n v="4"/>
    <s v="TM-2"/>
    <n v="25"/>
    <n v="3291"/>
    <s v="131.6"/>
    <x v="1"/>
    <n v="0.97899999999999998"/>
    <n v="24480"/>
    <n v="24.48"/>
    <d v="2017-04-01T00:00:00"/>
    <x v="0"/>
    <x v="3"/>
  </r>
  <r>
    <x v="5"/>
    <x v="4"/>
    <s v="Mei"/>
    <s v="Division_A"/>
    <x v="26"/>
    <n v="2013"/>
    <n v="4"/>
    <s v="TM-2"/>
    <n v="25"/>
    <n v="3291"/>
    <s v="131.6"/>
    <x v="1"/>
    <n v="0.90400000000000003"/>
    <n v="22593"/>
    <n v="22.593"/>
    <d v="2017-05-01T00:00:00"/>
    <x v="0"/>
    <x v="3"/>
  </r>
  <r>
    <x v="5"/>
    <x v="5"/>
    <s v="Juni"/>
    <s v="Division_A"/>
    <x v="26"/>
    <n v="2013"/>
    <n v="4"/>
    <s v="TM-2"/>
    <n v="25"/>
    <n v="3291"/>
    <s v="131.6"/>
    <x v="1"/>
    <n v="0.749"/>
    <n v="18734"/>
    <n v="18.734000000000002"/>
    <d v="2017-06-01T00:00:00"/>
    <x v="0"/>
    <x v="3"/>
  </r>
  <r>
    <x v="5"/>
    <x v="6"/>
    <s v="Juli"/>
    <s v="Division_A"/>
    <x v="26"/>
    <n v="2013"/>
    <n v="4"/>
    <s v="TM-2"/>
    <n v="25"/>
    <n v="3291"/>
    <s v="131.6"/>
    <x v="1"/>
    <n v="0.753"/>
    <n v="18819"/>
    <n v="18.818999999999999"/>
    <d v="2017-07-01T00:00:00"/>
    <x v="0"/>
    <x v="3"/>
  </r>
  <r>
    <x v="5"/>
    <x v="7"/>
    <s v="Agustus"/>
    <s v="Division_A"/>
    <x v="26"/>
    <n v="2013"/>
    <n v="4"/>
    <s v="TM-2"/>
    <n v="25"/>
    <n v="3291"/>
    <s v="131.6"/>
    <x v="1"/>
    <n v="1.0469999999999999"/>
    <n v="26163"/>
    <n v="26.163"/>
    <d v="2017-08-01T00:00:00"/>
    <x v="0"/>
    <x v="3"/>
  </r>
  <r>
    <x v="5"/>
    <x v="8"/>
    <s v="September"/>
    <s v="Division_A"/>
    <x v="26"/>
    <n v="2013"/>
    <n v="4"/>
    <s v="TM-2"/>
    <n v="25"/>
    <n v="3291"/>
    <s v="131.6"/>
    <x v="1"/>
    <n v="0.749"/>
    <n v="18717"/>
    <n v="18.716999999999999"/>
    <d v="2017-09-01T00:00:00"/>
    <x v="0"/>
    <x v="3"/>
  </r>
  <r>
    <x v="5"/>
    <x v="9"/>
    <s v="Oktober"/>
    <s v="Division_A"/>
    <x v="26"/>
    <n v="2013"/>
    <n v="4"/>
    <s v="TM-2"/>
    <n v="25"/>
    <n v="3291"/>
    <s v="131.6"/>
    <x v="1"/>
    <n v="0.71899999999999997"/>
    <n v="17986"/>
    <n v="17.986000000000001"/>
    <d v="2017-10-01T00:00:00"/>
    <x v="0"/>
    <x v="3"/>
  </r>
  <r>
    <x v="5"/>
    <x v="10"/>
    <s v="November"/>
    <s v="Division_A"/>
    <x v="26"/>
    <n v="2013"/>
    <n v="4"/>
    <s v="TM-2"/>
    <n v="25"/>
    <n v="3291"/>
    <s v="131.6"/>
    <x v="1"/>
    <n v="0.74099999999999999"/>
    <n v="18513"/>
    <n v="18.513000000000002"/>
    <d v="2017-11-01T00:00:00"/>
    <x v="0"/>
    <x v="3"/>
  </r>
  <r>
    <x v="5"/>
    <x v="11"/>
    <s v="Desember"/>
    <s v="Division_A"/>
    <x v="26"/>
    <n v="2013"/>
    <n v="4"/>
    <s v="TM-2"/>
    <n v="25"/>
    <n v="3291"/>
    <s v="131.6"/>
    <x v="1"/>
    <n v="0.63100000000000001"/>
    <n v="15776"/>
    <n v="15.776"/>
    <d v="2017-12-01T00:00:00"/>
    <x v="0"/>
    <x v="3"/>
  </r>
  <r>
    <x v="5"/>
    <x v="0"/>
    <s v="Januari"/>
    <s v="Division_A"/>
    <x v="27"/>
    <n v="2014"/>
    <n v="3"/>
    <s v="TM-1"/>
    <n v="24"/>
    <n v="2208"/>
    <s v="92"/>
    <x v="1"/>
    <n v="0.40200000000000002"/>
    <n v="9649"/>
    <n v="9.6489999999999991"/>
    <d v="2017-01-01T00:00:00"/>
    <x v="0"/>
    <x v="3"/>
  </r>
  <r>
    <x v="5"/>
    <x v="1"/>
    <s v="Februari"/>
    <s v="Division_A"/>
    <x v="27"/>
    <n v="2014"/>
    <n v="3"/>
    <s v="TM-1"/>
    <n v="24"/>
    <n v="2208"/>
    <s v="92"/>
    <x v="1"/>
    <n v="0.25"/>
    <n v="5991.8"/>
    <n v="5.992"/>
    <d v="2017-02-01T00:00:00"/>
    <x v="0"/>
    <x v="3"/>
  </r>
  <r>
    <x v="5"/>
    <x v="2"/>
    <s v="Maret"/>
    <s v="Division_A"/>
    <x v="27"/>
    <n v="2014"/>
    <n v="3"/>
    <s v="TM-1"/>
    <n v="24"/>
    <n v="2208"/>
    <s v="92"/>
    <x v="1"/>
    <n v="0.40500000000000003"/>
    <n v="9712.7999999999993"/>
    <n v="9.7129999999999992"/>
    <d v="2017-03-01T00:00:00"/>
    <x v="0"/>
    <x v="3"/>
  </r>
  <r>
    <x v="5"/>
    <x v="3"/>
    <s v="April"/>
    <s v="Division_A"/>
    <x v="27"/>
    <n v="2014"/>
    <n v="3"/>
    <s v="TM-1"/>
    <n v="24"/>
    <n v="2208"/>
    <s v="92"/>
    <x v="1"/>
    <n v="0.54700000000000004"/>
    <n v="13132.8"/>
    <n v="13.132999999999999"/>
    <d v="2017-04-01T00:00:00"/>
    <x v="0"/>
    <x v="3"/>
  </r>
  <r>
    <x v="5"/>
    <x v="4"/>
    <s v="Mei"/>
    <s v="Division_A"/>
    <x v="27"/>
    <n v="2014"/>
    <n v="3"/>
    <s v="TM-1"/>
    <n v="24"/>
    <n v="2208"/>
    <s v="92"/>
    <x v="1"/>
    <n v="0.505"/>
    <n v="12120.5"/>
    <n v="12.12"/>
    <d v="2017-05-01T00:00:00"/>
    <x v="0"/>
    <x v="3"/>
  </r>
  <r>
    <x v="5"/>
    <x v="5"/>
    <s v="Juni"/>
    <s v="Division_A"/>
    <x v="27"/>
    <n v="2014"/>
    <n v="3"/>
    <s v="TM-1"/>
    <n v="24"/>
    <n v="2208"/>
    <s v="92"/>
    <x v="1"/>
    <n v="0.41899999999999998"/>
    <n v="10050.200000000001"/>
    <n v="10.050000000000001"/>
    <d v="2017-06-01T00:00:00"/>
    <x v="0"/>
    <x v="3"/>
  </r>
  <r>
    <x v="5"/>
    <x v="6"/>
    <s v="Juli"/>
    <s v="Division_A"/>
    <x v="27"/>
    <n v="2014"/>
    <n v="3"/>
    <s v="TM-1"/>
    <n v="24"/>
    <n v="2208"/>
    <s v="92"/>
    <x v="1"/>
    <n v="0.42099999999999999"/>
    <n v="10095.799999999999"/>
    <n v="10.096"/>
    <d v="2017-07-01T00:00:00"/>
    <x v="0"/>
    <x v="3"/>
  </r>
  <r>
    <x v="5"/>
    <x v="7"/>
    <s v="Agustus"/>
    <s v="Division_A"/>
    <x v="27"/>
    <n v="2014"/>
    <n v="3"/>
    <s v="TM-1"/>
    <n v="24"/>
    <n v="2208"/>
    <s v="92"/>
    <x v="1"/>
    <n v="0.58499999999999996"/>
    <n v="14035.7"/>
    <n v="14.036"/>
    <d v="2017-08-01T00:00:00"/>
    <x v="0"/>
    <x v="3"/>
  </r>
  <r>
    <x v="5"/>
    <x v="8"/>
    <s v="September"/>
    <s v="Division_A"/>
    <x v="27"/>
    <n v="2014"/>
    <n v="3"/>
    <s v="TM-1"/>
    <n v="24"/>
    <n v="2208"/>
    <s v="92"/>
    <x v="1"/>
    <n v="0.41799999999999998"/>
    <n v="10041.1"/>
    <n v="10.041"/>
    <d v="2017-09-01T00:00:00"/>
    <x v="0"/>
    <x v="3"/>
  </r>
  <r>
    <x v="5"/>
    <x v="9"/>
    <s v="Oktober"/>
    <s v="Division_A"/>
    <x v="27"/>
    <n v="2014"/>
    <n v="3"/>
    <s v="TM-1"/>
    <n v="24"/>
    <n v="2208"/>
    <s v="92"/>
    <x v="1"/>
    <n v="0.40200000000000002"/>
    <n v="9649"/>
    <n v="9.6489999999999991"/>
    <d v="2017-10-01T00:00:00"/>
    <x v="0"/>
    <x v="3"/>
  </r>
  <r>
    <x v="5"/>
    <x v="10"/>
    <s v="November"/>
    <s v="Division_A"/>
    <x v="27"/>
    <n v="2014"/>
    <n v="3"/>
    <s v="TM-1"/>
    <n v="24"/>
    <n v="2208"/>
    <s v="92"/>
    <x v="1"/>
    <n v="0.41399999999999998"/>
    <n v="9931.7000000000007"/>
    <n v="9.9320000000000004"/>
    <d v="2017-11-01T00:00:00"/>
    <x v="0"/>
    <x v="3"/>
  </r>
  <r>
    <x v="5"/>
    <x v="11"/>
    <s v="Desember"/>
    <s v="Division_A"/>
    <x v="27"/>
    <n v="2014"/>
    <n v="3"/>
    <s v="TM-1"/>
    <n v="24"/>
    <n v="2208"/>
    <s v="92"/>
    <x v="1"/>
    <n v="0.35299999999999998"/>
    <n v="8463.4"/>
    <n v="8.4629999999999992"/>
    <d v="2017-12-01T00:00:00"/>
    <x v="0"/>
    <x v="3"/>
  </r>
  <r>
    <x v="5"/>
    <x v="0"/>
    <s v="Januari"/>
    <s v="Division_A"/>
    <x v="28"/>
    <n v="2014"/>
    <n v="3"/>
    <s v="TM-1"/>
    <n v="20"/>
    <n v="1954"/>
    <s v="97.7"/>
    <x v="1"/>
    <n v="0.40200000000000002"/>
    <n v="8040.8"/>
    <n v="8.0410000000000004"/>
    <d v="2017-01-01T00:00:00"/>
    <x v="0"/>
    <x v="3"/>
  </r>
  <r>
    <x v="5"/>
    <x v="1"/>
    <s v="Februari"/>
    <s v="Division_A"/>
    <x v="28"/>
    <n v="2014"/>
    <n v="3"/>
    <s v="TM-1"/>
    <n v="20"/>
    <n v="1954"/>
    <s v="97.7"/>
    <x v="1"/>
    <n v="0.25"/>
    <n v="4993.2"/>
    <n v="4.9930000000000003"/>
    <d v="2017-02-01T00:00:00"/>
    <x v="0"/>
    <x v="3"/>
  </r>
  <r>
    <x v="5"/>
    <x v="2"/>
    <s v="Maret"/>
    <s v="Division_A"/>
    <x v="28"/>
    <n v="2014"/>
    <n v="3"/>
    <s v="TM-1"/>
    <n v="20"/>
    <n v="1954"/>
    <s v="97.7"/>
    <x v="1"/>
    <n v="0.40500000000000003"/>
    <n v="8094"/>
    <n v="8.0939999999999994"/>
    <d v="2017-03-01T00:00:00"/>
    <x v="0"/>
    <x v="3"/>
  </r>
  <r>
    <x v="5"/>
    <x v="3"/>
    <s v="April"/>
    <s v="Division_A"/>
    <x v="28"/>
    <n v="2014"/>
    <n v="3"/>
    <s v="TM-1"/>
    <n v="20"/>
    <n v="1954"/>
    <s v="97.7"/>
    <x v="1"/>
    <n v="0.54700000000000004"/>
    <n v="10944"/>
    <n v="10.944000000000001"/>
    <d v="2017-04-01T00:00:00"/>
    <x v="0"/>
    <x v="3"/>
  </r>
  <r>
    <x v="5"/>
    <x v="4"/>
    <s v="Mei"/>
    <s v="Division_A"/>
    <x v="28"/>
    <n v="2014"/>
    <n v="3"/>
    <s v="TM-1"/>
    <n v="20"/>
    <n v="1954"/>
    <s v="97.7"/>
    <x v="1"/>
    <n v="0.505"/>
    <n v="10100.4"/>
    <n v="10.1"/>
    <d v="2017-05-01T00:00:00"/>
    <x v="0"/>
    <x v="3"/>
  </r>
  <r>
    <x v="5"/>
    <x v="5"/>
    <s v="Juni"/>
    <s v="Division_A"/>
    <x v="28"/>
    <n v="2014"/>
    <n v="3"/>
    <s v="TM-1"/>
    <n v="20"/>
    <n v="1954"/>
    <s v="97.7"/>
    <x v="1"/>
    <n v="0.41899999999999998"/>
    <n v="8375.2000000000007"/>
    <n v="8.375"/>
    <d v="2017-06-01T00:00:00"/>
    <x v="0"/>
    <x v="3"/>
  </r>
  <r>
    <x v="5"/>
    <x v="6"/>
    <s v="Juli"/>
    <s v="Division_A"/>
    <x v="28"/>
    <n v="2014"/>
    <n v="3"/>
    <s v="TM-1"/>
    <n v="20"/>
    <n v="1954"/>
    <s v="97.7"/>
    <x v="1"/>
    <n v="0.42099999999999999"/>
    <n v="8413.2000000000007"/>
    <n v="8.4130000000000003"/>
    <d v="2017-07-01T00:00:00"/>
    <x v="0"/>
    <x v="3"/>
  </r>
  <r>
    <x v="5"/>
    <x v="7"/>
    <s v="Agustus"/>
    <s v="Division_A"/>
    <x v="28"/>
    <n v="2014"/>
    <n v="3"/>
    <s v="TM-1"/>
    <n v="20"/>
    <n v="1954"/>
    <s v="97.7"/>
    <x v="1"/>
    <n v="0.58499999999999996"/>
    <n v="11696.4"/>
    <n v="11.696"/>
    <d v="2017-08-01T00:00:00"/>
    <x v="0"/>
    <x v="3"/>
  </r>
  <r>
    <x v="5"/>
    <x v="8"/>
    <s v="September"/>
    <s v="Division_A"/>
    <x v="28"/>
    <n v="2014"/>
    <n v="3"/>
    <s v="TM-1"/>
    <n v="20"/>
    <n v="1954"/>
    <s v="97.7"/>
    <x v="1"/>
    <n v="0.41799999999999998"/>
    <n v="8367.6"/>
    <n v="8.3680000000000003"/>
    <d v="2017-09-01T00:00:00"/>
    <x v="0"/>
    <x v="3"/>
  </r>
  <r>
    <x v="5"/>
    <x v="9"/>
    <s v="Oktober"/>
    <s v="Division_A"/>
    <x v="28"/>
    <n v="2014"/>
    <n v="3"/>
    <s v="TM-1"/>
    <n v="20"/>
    <n v="1954"/>
    <s v="97.7"/>
    <x v="1"/>
    <n v="0.40200000000000002"/>
    <n v="8040.8"/>
    <n v="8.0410000000000004"/>
    <d v="2017-10-01T00:00:00"/>
    <x v="0"/>
    <x v="3"/>
  </r>
  <r>
    <x v="5"/>
    <x v="10"/>
    <s v="November"/>
    <s v="Division_A"/>
    <x v="28"/>
    <n v="2014"/>
    <n v="3"/>
    <s v="TM-1"/>
    <n v="20"/>
    <n v="1954"/>
    <s v="97.7"/>
    <x v="1"/>
    <n v="0.41399999999999998"/>
    <n v="8276.4"/>
    <n v="8.2759999999999998"/>
    <d v="2017-11-01T00:00:00"/>
    <x v="0"/>
    <x v="3"/>
  </r>
  <r>
    <x v="5"/>
    <x v="11"/>
    <s v="Desember"/>
    <s v="Division_A"/>
    <x v="28"/>
    <n v="2014"/>
    <n v="3"/>
    <s v="TM-1"/>
    <n v="20"/>
    <n v="1954"/>
    <s v="97.7"/>
    <x v="1"/>
    <n v="0.35299999999999998"/>
    <n v="7052.8"/>
    <n v="7.0529999999999999"/>
    <d v="2017-12-01T00:00:00"/>
    <x v="0"/>
    <x v="3"/>
  </r>
  <r>
    <x v="5"/>
    <x v="0"/>
    <s v="Januari"/>
    <s v="Division_A"/>
    <x v="29"/>
    <n v="2014"/>
    <n v="3"/>
    <s v="TM-1"/>
    <n v="24"/>
    <n v="1329"/>
    <s v="55.4"/>
    <x v="1"/>
    <n v="0.40200000000000002"/>
    <n v="9649"/>
    <n v="9.6489999999999991"/>
    <d v="2017-01-01T00:00:00"/>
    <x v="0"/>
    <x v="3"/>
  </r>
  <r>
    <x v="5"/>
    <x v="1"/>
    <s v="Februari"/>
    <s v="Division_A"/>
    <x v="29"/>
    <n v="2014"/>
    <n v="3"/>
    <s v="TM-1"/>
    <n v="24"/>
    <n v="1329"/>
    <s v="55.4"/>
    <x v="1"/>
    <n v="0.25"/>
    <n v="5991.8"/>
    <n v="5.992"/>
    <d v="2017-02-01T00:00:00"/>
    <x v="0"/>
    <x v="3"/>
  </r>
  <r>
    <x v="5"/>
    <x v="2"/>
    <s v="Maret"/>
    <s v="Division_A"/>
    <x v="29"/>
    <n v="2014"/>
    <n v="3"/>
    <s v="TM-1"/>
    <n v="24"/>
    <n v="1329"/>
    <s v="55.4"/>
    <x v="1"/>
    <n v="0.40500000000000003"/>
    <n v="9712.7999999999993"/>
    <n v="9.7129999999999992"/>
    <d v="2017-03-01T00:00:00"/>
    <x v="0"/>
    <x v="3"/>
  </r>
  <r>
    <x v="5"/>
    <x v="3"/>
    <s v="April"/>
    <s v="Division_A"/>
    <x v="29"/>
    <n v="2014"/>
    <n v="3"/>
    <s v="TM-1"/>
    <n v="24"/>
    <n v="1329"/>
    <s v="55.4"/>
    <x v="1"/>
    <n v="0.54700000000000004"/>
    <n v="13132.8"/>
    <n v="13.132999999999999"/>
    <d v="2017-04-01T00:00:00"/>
    <x v="0"/>
    <x v="3"/>
  </r>
  <r>
    <x v="5"/>
    <x v="4"/>
    <s v="Mei"/>
    <s v="Division_A"/>
    <x v="29"/>
    <n v="2014"/>
    <n v="3"/>
    <s v="TM-1"/>
    <n v="24"/>
    <n v="1329"/>
    <s v="55.4"/>
    <x v="1"/>
    <n v="0.505"/>
    <n v="12120.5"/>
    <n v="12.12"/>
    <d v="2017-05-01T00:00:00"/>
    <x v="0"/>
    <x v="3"/>
  </r>
  <r>
    <x v="5"/>
    <x v="5"/>
    <s v="Juni"/>
    <s v="Division_A"/>
    <x v="29"/>
    <n v="2014"/>
    <n v="3"/>
    <s v="TM-1"/>
    <n v="24"/>
    <n v="1329"/>
    <s v="55.4"/>
    <x v="1"/>
    <n v="0.41899999999999998"/>
    <n v="10050.200000000001"/>
    <n v="10.050000000000001"/>
    <d v="2017-06-01T00:00:00"/>
    <x v="0"/>
    <x v="3"/>
  </r>
  <r>
    <x v="5"/>
    <x v="6"/>
    <s v="Juli"/>
    <s v="Division_A"/>
    <x v="29"/>
    <n v="2014"/>
    <n v="3"/>
    <s v="TM-1"/>
    <n v="24"/>
    <n v="1329"/>
    <s v="55.4"/>
    <x v="1"/>
    <n v="0.42099999999999999"/>
    <n v="10095.799999999999"/>
    <n v="10.096"/>
    <d v="2017-07-01T00:00:00"/>
    <x v="0"/>
    <x v="3"/>
  </r>
  <r>
    <x v="5"/>
    <x v="7"/>
    <s v="Agustus"/>
    <s v="Division_A"/>
    <x v="29"/>
    <n v="2014"/>
    <n v="3"/>
    <s v="TM-1"/>
    <n v="24"/>
    <n v="1329"/>
    <s v="55.4"/>
    <x v="1"/>
    <n v="0.58499999999999996"/>
    <n v="14035.7"/>
    <n v="14.036"/>
    <d v="2017-08-01T00:00:00"/>
    <x v="0"/>
    <x v="3"/>
  </r>
  <r>
    <x v="5"/>
    <x v="8"/>
    <s v="September"/>
    <s v="Division_A"/>
    <x v="29"/>
    <n v="2014"/>
    <n v="3"/>
    <s v="TM-1"/>
    <n v="24"/>
    <n v="1329"/>
    <s v="55.4"/>
    <x v="1"/>
    <n v="0.41799999999999998"/>
    <n v="10041.1"/>
    <n v="10.041"/>
    <d v="2017-09-01T00:00:00"/>
    <x v="0"/>
    <x v="3"/>
  </r>
  <r>
    <x v="5"/>
    <x v="9"/>
    <s v="Oktober"/>
    <s v="Division_A"/>
    <x v="29"/>
    <n v="2014"/>
    <n v="3"/>
    <s v="TM-1"/>
    <n v="24"/>
    <n v="1329"/>
    <s v="55.4"/>
    <x v="1"/>
    <n v="0.40200000000000002"/>
    <n v="9649"/>
    <n v="9.6489999999999991"/>
    <d v="2017-10-01T00:00:00"/>
    <x v="0"/>
    <x v="3"/>
  </r>
  <r>
    <x v="5"/>
    <x v="10"/>
    <s v="November"/>
    <s v="Division_A"/>
    <x v="29"/>
    <n v="2014"/>
    <n v="3"/>
    <s v="TM-1"/>
    <n v="24"/>
    <n v="1329"/>
    <s v="55.4"/>
    <x v="1"/>
    <n v="0.41399999999999998"/>
    <n v="9931.7000000000007"/>
    <n v="9.9320000000000004"/>
    <d v="2017-11-01T00:00:00"/>
    <x v="0"/>
    <x v="3"/>
  </r>
  <r>
    <x v="5"/>
    <x v="11"/>
    <s v="Desember"/>
    <s v="Division_A"/>
    <x v="29"/>
    <n v="2014"/>
    <n v="3"/>
    <s v="TM-1"/>
    <n v="24"/>
    <n v="1329"/>
    <s v="55.4"/>
    <x v="1"/>
    <n v="0.35299999999999998"/>
    <n v="8463.4"/>
    <n v="8.4629999999999992"/>
    <d v="2017-12-01T00:00:00"/>
    <x v="0"/>
    <x v="3"/>
  </r>
  <r>
    <x v="5"/>
    <x v="0"/>
    <s v="Januari"/>
    <s v="Division_A"/>
    <x v="30"/>
    <n v="2014"/>
    <n v="3"/>
    <s v="TM-1"/>
    <n v="24"/>
    <n v="1573"/>
    <s v="65.5"/>
    <x v="1"/>
    <n v="0.40200000000000002"/>
    <n v="9649"/>
    <n v="9.6489999999999991"/>
    <d v="2017-01-01T00:00:00"/>
    <x v="0"/>
    <x v="3"/>
  </r>
  <r>
    <x v="5"/>
    <x v="1"/>
    <s v="Februari"/>
    <s v="Division_A"/>
    <x v="30"/>
    <n v="2014"/>
    <n v="3"/>
    <s v="TM-1"/>
    <n v="24"/>
    <n v="1573"/>
    <s v="65.5"/>
    <x v="1"/>
    <n v="0.25"/>
    <n v="5991.8"/>
    <n v="5.992"/>
    <d v="2017-02-01T00:00:00"/>
    <x v="0"/>
    <x v="3"/>
  </r>
  <r>
    <x v="5"/>
    <x v="2"/>
    <s v="Maret"/>
    <s v="Division_A"/>
    <x v="30"/>
    <n v="2014"/>
    <n v="3"/>
    <s v="TM-1"/>
    <n v="24"/>
    <n v="1573"/>
    <s v="65.5"/>
    <x v="1"/>
    <n v="0.40500000000000003"/>
    <n v="9712.7999999999993"/>
    <n v="9.7129999999999992"/>
    <d v="2017-03-01T00:00:00"/>
    <x v="0"/>
    <x v="3"/>
  </r>
  <r>
    <x v="5"/>
    <x v="3"/>
    <s v="April"/>
    <s v="Division_A"/>
    <x v="30"/>
    <n v="2014"/>
    <n v="3"/>
    <s v="TM-1"/>
    <n v="24"/>
    <n v="1573"/>
    <s v="65.5"/>
    <x v="1"/>
    <n v="0.54700000000000004"/>
    <n v="13132.8"/>
    <n v="13.132999999999999"/>
    <d v="2017-04-01T00:00:00"/>
    <x v="0"/>
    <x v="3"/>
  </r>
  <r>
    <x v="5"/>
    <x v="4"/>
    <s v="Mei"/>
    <s v="Division_A"/>
    <x v="30"/>
    <n v="2014"/>
    <n v="3"/>
    <s v="TM-1"/>
    <n v="24"/>
    <n v="1573"/>
    <s v="65.5"/>
    <x v="1"/>
    <n v="0.505"/>
    <n v="12120.5"/>
    <n v="12.12"/>
    <d v="2017-05-01T00:00:00"/>
    <x v="0"/>
    <x v="3"/>
  </r>
  <r>
    <x v="5"/>
    <x v="5"/>
    <s v="Juni"/>
    <s v="Division_A"/>
    <x v="30"/>
    <n v="2014"/>
    <n v="3"/>
    <s v="TM-1"/>
    <n v="24"/>
    <n v="1573"/>
    <s v="65.5"/>
    <x v="1"/>
    <n v="0.41899999999999998"/>
    <n v="10050.200000000001"/>
    <n v="10.050000000000001"/>
    <d v="2017-06-01T00:00:00"/>
    <x v="0"/>
    <x v="3"/>
  </r>
  <r>
    <x v="5"/>
    <x v="6"/>
    <s v="Juli"/>
    <s v="Division_A"/>
    <x v="30"/>
    <n v="2014"/>
    <n v="3"/>
    <s v="TM-1"/>
    <n v="24"/>
    <n v="1573"/>
    <s v="65.5"/>
    <x v="1"/>
    <n v="0.42099999999999999"/>
    <n v="10095.799999999999"/>
    <n v="10.096"/>
    <d v="2017-07-01T00:00:00"/>
    <x v="0"/>
    <x v="3"/>
  </r>
  <r>
    <x v="5"/>
    <x v="7"/>
    <s v="Agustus"/>
    <s v="Division_A"/>
    <x v="30"/>
    <n v="2014"/>
    <n v="3"/>
    <s v="TM-1"/>
    <n v="24"/>
    <n v="1573"/>
    <s v="65.5"/>
    <x v="1"/>
    <n v="0.58499999999999996"/>
    <n v="14035.7"/>
    <n v="14.036"/>
    <d v="2017-08-01T00:00:00"/>
    <x v="0"/>
    <x v="3"/>
  </r>
  <r>
    <x v="5"/>
    <x v="8"/>
    <s v="September"/>
    <s v="Division_A"/>
    <x v="30"/>
    <n v="2014"/>
    <n v="3"/>
    <s v="TM-1"/>
    <n v="24"/>
    <n v="1573"/>
    <s v="65.5"/>
    <x v="1"/>
    <n v="0.41799999999999998"/>
    <n v="10041.1"/>
    <n v="10.041"/>
    <d v="2017-09-01T00:00:00"/>
    <x v="0"/>
    <x v="3"/>
  </r>
  <r>
    <x v="5"/>
    <x v="9"/>
    <s v="Oktober"/>
    <s v="Division_A"/>
    <x v="30"/>
    <n v="2014"/>
    <n v="3"/>
    <s v="TM-1"/>
    <n v="24"/>
    <n v="1573"/>
    <s v="65.5"/>
    <x v="1"/>
    <n v="0.40200000000000002"/>
    <n v="9649"/>
    <n v="9.6489999999999991"/>
    <d v="2017-10-01T00:00:00"/>
    <x v="0"/>
    <x v="3"/>
  </r>
  <r>
    <x v="5"/>
    <x v="10"/>
    <s v="November"/>
    <s v="Division_A"/>
    <x v="30"/>
    <n v="2014"/>
    <n v="3"/>
    <s v="TM-1"/>
    <n v="24"/>
    <n v="1573"/>
    <s v="65.5"/>
    <x v="1"/>
    <n v="0.41399999999999998"/>
    <n v="9931.7000000000007"/>
    <n v="9.9320000000000004"/>
    <d v="2017-11-01T00:00:00"/>
    <x v="0"/>
    <x v="3"/>
  </r>
  <r>
    <x v="5"/>
    <x v="11"/>
    <s v="Desember"/>
    <s v="Division_A"/>
    <x v="30"/>
    <n v="2014"/>
    <n v="3"/>
    <s v="TM-1"/>
    <n v="24"/>
    <n v="1573"/>
    <s v="65.5"/>
    <x v="1"/>
    <n v="0.35299999999999998"/>
    <n v="8463.4"/>
    <n v="8.4629999999999992"/>
    <d v="2017-12-01T00:00:00"/>
    <x v="0"/>
    <x v="3"/>
  </r>
  <r>
    <x v="5"/>
    <x v="0"/>
    <s v="Januari"/>
    <s v="Division_A"/>
    <x v="31"/>
    <n v="2016"/>
    <n v="1"/>
    <s v="TBM"/>
    <n v="22"/>
    <n v="3137"/>
    <s v="142.6"/>
    <x v="0"/>
    <n v="0"/>
    <n v="0"/>
    <n v="0"/>
    <d v="2017-01-01T00:00:00"/>
    <x v="1"/>
    <x v="2"/>
  </r>
  <r>
    <x v="5"/>
    <x v="1"/>
    <s v="Februari"/>
    <s v="Division_A"/>
    <x v="31"/>
    <n v="2016"/>
    <n v="1"/>
    <s v="TBM"/>
    <n v="22"/>
    <n v="3137"/>
    <s v="142.6"/>
    <x v="0"/>
    <n v="0"/>
    <n v="0"/>
    <n v="0"/>
    <d v="2017-02-01T00:00:00"/>
    <x v="1"/>
    <x v="2"/>
  </r>
  <r>
    <x v="5"/>
    <x v="2"/>
    <s v="Maret"/>
    <s v="Division_A"/>
    <x v="31"/>
    <n v="2016"/>
    <n v="1"/>
    <s v="TBM"/>
    <n v="22"/>
    <n v="3137"/>
    <s v="142.6"/>
    <x v="0"/>
    <n v="0"/>
    <n v="0"/>
    <n v="0"/>
    <d v="2017-03-01T00:00:00"/>
    <x v="1"/>
    <x v="2"/>
  </r>
  <r>
    <x v="5"/>
    <x v="3"/>
    <s v="April"/>
    <s v="Division_A"/>
    <x v="31"/>
    <n v="2016"/>
    <n v="1"/>
    <s v="TBM"/>
    <n v="22"/>
    <n v="3137"/>
    <s v="142.6"/>
    <x v="0"/>
    <n v="0"/>
    <n v="0"/>
    <n v="0"/>
    <d v="2017-04-01T00:00:00"/>
    <x v="1"/>
    <x v="2"/>
  </r>
  <r>
    <x v="5"/>
    <x v="4"/>
    <s v="Mei"/>
    <s v="Division_A"/>
    <x v="31"/>
    <n v="2016"/>
    <n v="1"/>
    <s v="TBM"/>
    <n v="22"/>
    <n v="3137"/>
    <s v="142.6"/>
    <x v="0"/>
    <n v="0"/>
    <n v="0"/>
    <n v="0"/>
    <d v="2017-05-01T00:00:00"/>
    <x v="1"/>
    <x v="2"/>
  </r>
  <r>
    <x v="5"/>
    <x v="5"/>
    <s v="Juni"/>
    <s v="Division_A"/>
    <x v="31"/>
    <n v="2016"/>
    <n v="1"/>
    <s v="TBM"/>
    <n v="22"/>
    <n v="3137"/>
    <s v="142.6"/>
    <x v="0"/>
    <n v="0"/>
    <n v="0"/>
    <n v="0"/>
    <d v="2017-06-01T00:00:00"/>
    <x v="1"/>
    <x v="2"/>
  </r>
  <r>
    <x v="5"/>
    <x v="6"/>
    <s v="Juli"/>
    <s v="Division_A"/>
    <x v="31"/>
    <n v="2016"/>
    <n v="1"/>
    <s v="TBM"/>
    <n v="22"/>
    <n v="3137"/>
    <s v="142.6"/>
    <x v="0"/>
    <n v="0"/>
    <n v="0"/>
    <n v="0"/>
    <d v="2017-07-01T00:00:00"/>
    <x v="1"/>
    <x v="2"/>
  </r>
  <r>
    <x v="5"/>
    <x v="7"/>
    <s v="Agustus"/>
    <s v="Division_A"/>
    <x v="31"/>
    <n v="2016"/>
    <n v="1"/>
    <s v="TBM"/>
    <n v="22"/>
    <n v="3137"/>
    <s v="142.6"/>
    <x v="0"/>
    <n v="0"/>
    <n v="0"/>
    <n v="0"/>
    <d v="2017-08-01T00:00:00"/>
    <x v="1"/>
    <x v="2"/>
  </r>
  <r>
    <x v="5"/>
    <x v="8"/>
    <s v="September"/>
    <s v="Division_A"/>
    <x v="31"/>
    <n v="2016"/>
    <n v="1"/>
    <s v="TBM"/>
    <n v="22"/>
    <n v="3137"/>
    <s v="142.6"/>
    <x v="0"/>
    <n v="0"/>
    <n v="0"/>
    <n v="0"/>
    <d v="2017-09-01T00:00:00"/>
    <x v="1"/>
    <x v="2"/>
  </r>
  <r>
    <x v="5"/>
    <x v="9"/>
    <s v="Oktober"/>
    <s v="Division_A"/>
    <x v="31"/>
    <n v="2016"/>
    <n v="1"/>
    <s v="TBM"/>
    <n v="22"/>
    <n v="3137"/>
    <s v="142.6"/>
    <x v="0"/>
    <n v="0"/>
    <n v="0"/>
    <n v="0"/>
    <d v="2017-10-01T00:00:00"/>
    <x v="1"/>
    <x v="2"/>
  </r>
  <r>
    <x v="5"/>
    <x v="10"/>
    <s v="November"/>
    <s v="Division_A"/>
    <x v="31"/>
    <n v="2016"/>
    <n v="1"/>
    <s v="TBM"/>
    <n v="22"/>
    <n v="3137"/>
    <s v="142.6"/>
    <x v="0"/>
    <n v="0"/>
    <n v="0"/>
    <n v="0"/>
    <d v="2017-11-01T00:00:00"/>
    <x v="1"/>
    <x v="2"/>
  </r>
  <r>
    <x v="5"/>
    <x v="11"/>
    <s v="Desember"/>
    <s v="Division_A"/>
    <x v="31"/>
    <n v="2016"/>
    <n v="1"/>
    <s v="TBM"/>
    <n v="22"/>
    <n v="3137"/>
    <s v="142.6"/>
    <x v="0"/>
    <n v="0"/>
    <n v="0"/>
    <n v="0"/>
    <d v="2017-12-01T00:00:00"/>
    <x v="1"/>
    <x v="2"/>
  </r>
  <r>
    <x v="5"/>
    <x v="0"/>
    <s v="Januari"/>
    <s v="Division_A"/>
    <x v="32"/>
    <n v="2016"/>
    <n v="1"/>
    <s v="TBM"/>
    <n v="22"/>
    <n v="3096"/>
    <s v="140.7"/>
    <x v="0"/>
    <n v="0"/>
    <n v="0"/>
    <n v="0"/>
    <d v="2017-01-01T00:00:00"/>
    <x v="1"/>
    <x v="2"/>
  </r>
  <r>
    <x v="5"/>
    <x v="1"/>
    <s v="Februari"/>
    <s v="Division_A"/>
    <x v="32"/>
    <n v="2016"/>
    <n v="1"/>
    <s v="TBM"/>
    <n v="22"/>
    <n v="3096"/>
    <s v="140.7"/>
    <x v="0"/>
    <n v="0"/>
    <n v="0"/>
    <n v="0"/>
    <d v="2017-02-01T00:00:00"/>
    <x v="1"/>
    <x v="2"/>
  </r>
  <r>
    <x v="5"/>
    <x v="2"/>
    <s v="Maret"/>
    <s v="Division_A"/>
    <x v="32"/>
    <n v="2016"/>
    <n v="1"/>
    <s v="TBM"/>
    <n v="22"/>
    <n v="3096"/>
    <s v="140.7"/>
    <x v="0"/>
    <n v="0"/>
    <n v="0"/>
    <n v="0"/>
    <d v="2017-03-01T00:00:00"/>
    <x v="1"/>
    <x v="2"/>
  </r>
  <r>
    <x v="5"/>
    <x v="3"/>
    <s v="April"/>
    <s v="Division_A"/>
    <x v="32"/>
    <n v="2016"/>
    <n v="1"/>
    <s v="TBM"/>
    <n v="22"/>
    <n v="3096"/>
    <s v="140.7"/>
    <x v="0"/>
    <n v="0"/>
    <n v="0"/>
    <n v="0"/>
    <d v="2017-04-01T00:00:00"/>
    <x v="1"/>
    <x v="2"/>
  </r>
  <r>
    <x v="5"/>
    <x v="4"/>
    <s v="Mei"/>
    <s v="Division_A"/>
    <x v="32"/>
    <n v="2016"/>
    <n v="1"/>
    <s v="TBM"/>
    <n v="22"/>
    <n v="3096"/>
    <s v="140.7"/>
    <x v="0"/>
    <n v="0"/>
    <n v="0"/>
    <n v="0"/>
    <d v="2017-05-01T00:00:00"/>
    <x v="1"/>
    <x v="2"/>
  </r>
  <r>
    <x v="5"/>
    <x v="5"/>
    <s v="Juni"/>
    <s v="Division_A"/>
    <x v="32"/>
    <n v="2016"/>
    <n v="1"/>
    <s v="TBM"/>
    <n v="22"/>
    <n v="3096"/>
    <s v="140.7"/>
    <x v="0"/>
    <n v="0"/>
    <n v="0"/>
    <n v="0"/>
    <d v="2017-06-01T00:00:00"/>
    <x v="1"/>
    <x v="2"/>
  </r>
  <r>
    <x v="5"/>
    <x v="6"/>
    <s v="Juli"/>
    <s v="Division_A"/>
    <x v="32"/>
    <n v="2016"/>
    <n v="1"/>
    <s v="TBM"/>
    <n v="22"/>
    <n v="3096"/>
    <s v="140.7"/>
    <x v="0"/>
    <n v="0"/>
    <n v="0"/>
    <n v="0"/>
    <d v="2017-07-01T00:00:00"/>
    <x v="1"/>
    <x v="2"/>
  </r>
  <r>
    <x v="5"/>
    <x v="7"/>
    <s v="Agustus"/>
    <s v="Division_A"/>
    <x v="32"/>
    <n v="2016"/>
    <n v="1"/>
    <s v="TBM"/>
    <n v="22"/>
    <n v="3096"/>
    <s v="140.7"/>
    <x v="0"/>
    <n v="0"/>
    <n v="0"/>
    <n v="0"/>
    <d v="2017-08-01T00:00:00"/>
    <x v="1"/>
    <x v="2"/>
  </r>
  <r>
    <x v="5"/>
    <x v="8"/>
    <s v="September"/>
    <s v="Division_A"/>
    <x v="32"/>
    <n v="2016"/>
    <n v="1"/>
    <s v="TBM"/>
    <n v="22"/>
    <n v="3096"/>
    <s v="140.7"/>
    <x v="0"/>
    <n v="0"/>
    <n v="0"/>
    <n v="0"/>
    <d v="2017-09-01T00:00:00"/>
    <x v="1"/>
    <x v="2"/>
  </r>
  <r>
    <x v="5"/>
    <x v="9"/>
    <s v="Oktober"/>
    <s v="Division_A"/>
    <x v="32"/>
    <n v="2016"/>
    <n v="1"/>
    <s v="TBM"/>
    <n v="22"/>
    <n v="3096"/>
    <s v="140.7"/>
    <x v="0"/>
    <n v="0"/>
    <n v="0"/>
    <n v="0"/>
    <d v="2017-10-01T00:00:00"/>
    <x v="1"/>
    <x v="2"/>
  </r>
  <r>
    <x v="5"/>
    <x v="10"/>
    <s v="November"/>
    <s v="Division_A"/>
    <x v="32"/>
    <n v="2016"/>
    <n v="1"/>
    <s v="TBM"/>
    <n v="22"/>
    <n v="3096"/>
    <s v="140.7"/>
    <x v="0"/>
    <n v="0"/>
    <n v="0"/>
    <n v="0"/>
    <d v="2017-11-01T00:00:00"/>
    <x v="1"/>
    <x v="2"/>
  </r>
  <r>
    <x v="5"/>
    <x v="11"/>
    <s v="Desember"/>
    <s v="Division_A"/>
    <x v="32"/>
    <n v="2016"/>
    <n v="1"/>
    <s v="TBM"/>
    <n v="22"/>
    <n v="3096"/>
    <s v="140.7"/>
    <x v="0"/>
    <n v="0"/>
    <n v="0"/>
    <n v="0"/>
    <d v="2017-12-01T00:00:00"/>
    <x v="1"/>
    <x v="2"/>
  </r>
  <r>
    <x v="5"/>
    <x v="0"/>
    <s v="Januari"/>
    <s v="Division_A"/>
    <x v="33"/>
    <n v="2016"/>
    <n v="1"/>
    <s v="TBM"/>
    <n v="24"/>
    <n v="3317"/>
    <s v="138.2"/>
    <x v="0"/>
    <n v="0"/>
    <n v="0"/>
    <n v="0"/>
    <d v="2017-01-01T00:00:00"/>
    <x v="1"/>
    <x v="2"/>
  </r>
  <r>
    <x v="5"/>
    <x v="1"/>
    <s v="Februari"/>
    <s v="Division_A"/>
    <x v="33"/>
    <n v="2016"/>
    <n v="1"/>
    <s v="TBM"/>
    <n v="24"/>
    <n v="3317"/>
    <s v="138.2"/>
    <x v="0"/>
    <n v="0"/>
    <n v="0"/>
    <n v="0"/>
    <d v="2017-02-01T00:00:00"/>
    <x v="1"/>
    <x v="2"/>
  </r>
  <r>
    <x v="5"/>
    <x v="2"/>
    <s v="Maret"/>
    <s v="Division_A"/>
    <x v="33"/>
    <n v="2016"/>
    <n v="1"/>
    <s v="TBM"/>
    <n v="24"/>
    <n v="3317"/>
    <s v="138.2"/>
    <x v="0"/>
    <n v="0"/>
    <n v="0"/>
    <n v="0"/>
    <d v="2017-03-01T00:00:00"/>
    <x v="1"/>
    <x v="2"/>
  </r>
  <r>
    <x v="5"/>
    <x v="3"/>
    <s v="April"/>
    <s v="Division_A"/>
    <x v="33"/>
    <n v="2016"/>
    <n v="1"/>
    <s v="TBM"/>
    <n v="24"/>
    <n v="3317"/>
    <s v="138.2"/>
    <x v="0"/>
    <n v="0"/>
    <n v="0"/>
    <n v="0"/>
    <d v="2017-04-01T00:00:00"/>
    <x v="1"/>
    <x v="2"/>
  </r>
  <r>
    <x v="5"/>
    <x v="4"/>
    <s v="Mei"/>
    <s v="Division_A"/>
    <x v="33"/>
    <n v="2016"/>
    <n v="1"/>
    <s v="TBM"/>
    <n v="24"/>
    <n v="3317"/>
    <s v="138.2"/>
    <x v="0"/>
    <n v="0"/>
    <n v="0"/>
    <n v="0"/>
    <d v="2017-05-01T00:00:00"/>
    <x v="1"/>
    <x v="2"/>
  </r>
  <r>
    <x v="5"/>
    <x v="5"/>
    <s v="Juni"/>
    <s v="Division_A"/>
    <x v="33"/>
    <n v="2016"/>
    <n v="1"/>
    <s v="TBM"/>
    <n v="24"/>
    <n v="3317"/>
    <s v="138.2"/>
    <x v="0"/>
    <n v="0"/>
    <n v="0"/>
    <n v="0"/>
    <d v="2017-06-01T00:00:00"/>
    <x v="1"/>
    <x v="2"/>
  </r>
  <r>
    <x v="5"/>
    <x v="6"/>
    <s v="Juli"/>
    <s v="Division_A"/>
    <x v="33"/>
    <n v="2016"/>
    <n v="1"/>
    <s v="TBM"/>
    <n v="24"/>
    <n v="3317"/>
    <s v="138.2"/>
    <x v="0"/>
    <n v="0"/>
    <n v="0"/>
    <n v="0"/>
    <d v="2017-07-01T00:00:00"/>
    <x v="1"/>
    <x v="2"/>
  </r>
  <r>
    <x v="5"/>
    <x v="7"/>
    <s v="Agustus"/>
    <s v="Division_A"/>
    <x v="33"/>
    <n v="2016"/>
    <n v="1"/>
    <s v="TBM"/>
    <n v="24"/>
    <n v="3317"/>
    <s v="138.2"/>
    <x v="0"/>
    <n v="0"/>
    <n v="0"/>
    <n v="0"/>
    <d v="2017-08-01T00:00:00"/>
    <x v="1"/>
    <x v="2"/>
  </r>
  <r>
    <x v="5"/>
    <x v="8"/>
    <s v="September"/>
    <s v="Division_A"/>
    <x v="33"/>
    <n v="2016"/>
    <n v="1"/>
    <s v="TBM"/>
    <n v="24"/>
    <n v="3317"/>
    <s v="138.2"/>
    <x v="0"/>
    <n v="0"/>
    <n v="0"/>
    <n v="0"/>
    <d v="2017-09-01T00:00:00"/>
    <x v="1"/>
    <x v="2"/>
  </r>
  <r>
    <x v="5"/>
    <x v="9"/>
    <s v="Oktober"/>
    <s v="Division_A"/>
    <x v="33"/>
    <n v="2016"/>
    <n v="1"/>
    <s v="TBM"/>
    <n v="24"/>
    <n v="3317"/>
    <s v="138.2"/>
    <x v="0"/>
    <n v="0"/>
    <n v="0"/>
    <n v="0"/>
    <d v="2017-10-01T00:00:00"/>
    <x v="1"/>
    <x v="2"/>
  </r>
  <r>
    <x v="5"/>
    <x v="10"/>
    <s v="November"/>
    <s v="Division_A"/>
    <x v="33"/>
    <n v="2016"/>
    <n v="1"/>
    <s v="TBM"/>
    <n v="24"/>
    <n v="3317"/>
    <s v="138.2"/>
    <x v="0"/>
    <n v="0"/>
    <n v="0"/>
    <n v="0"/>
    <d v="2017-11-01T00:00:00"/>
    <x v="1"/>
    <x v="2"/>
  </r>
  <r>
    <x v="5"/>
    <x v="11"/>
    <s v="Desember"/>
    <s v="Division_A"/>
    <x v="33"/>
    <n v="2016"/>
    <n v="1"/>
    <s v="TBM"/>
    <n v="24"/>
    <n v="3317"/>
    <s v="138.2"/>
    <x v="0"/>
    <n v="0"/>
    <n v="0"/>
    <n v="0"/>
    <d v="2017-12-01T00:00:00"/>
    <x v="1"/>
    <x v="2"/>
  </r>
  <r>
    <x v="5"/>
    <x v="0"/>
    <s v="Januari"/>
    <s v="Division_A"/>
    <x v="34"/>
    <n v="2016"/>
    <n v="1"/>
    <s v="TBM"/>
    <n v="17"/>
    <n v="2219"/>
    <s v="130.5"/>
    <x v="0"/>
    <n v="0"/>
    <n v="0"/>
    <n v="0"/>
    <d v="2017-01-01T00:00:00"/>
    <x v="1"/>
    <x v="2"/>
  </r>
  <r>
    <x v="5"/>
    <x v="1"/>
    <s v="Februari"/>
    <s v="Division_A"/>
    <x v="34"/>
    <n v="2016"/>
    <n v="1"/>
    <s v="TBM"/>
    <n v="17"/>
    <n v="2219"/>
    <s v="130.5"/>
    <x v="0"/>
    <n v="0"/>
    <n v="0"/>
    <n v="0"/>
    <d v="2017-02-01T00:00:00"/>
    <x v="1"/>
    <x v="2"/>
  </r>
  <r>
    <x v="5"/>
    <x v="2"/>
    <s v="Maret"/>
    <s v="Division_A"/>
    <x v="34"/>
    <n v="2016"/>
    <n v="1"/>
    <s v="TBM"/>
    <n v="17"/>
    <n v="2219"/>
    <s v="130.5"/>
    <x v="0"/>
    <n v="0"/>
    <n v="0"/>
    <n v="0"/>
    <d v="2017-03-01T00:00:00"/>
    <x v="1"/>
    <x v="2"/>
  </r>
  <r>
    <x v="5"/>
    <x v="3"/>
    <s v="April"/>
    <s v="Division_A"/>
    <x v="34"/>
    <n v="2016"/>
    <n v="1"/>
    <s v="TBM"/>
    <n v="17"/>
    <n v="2219"/>
    <s v="130.5"/>
    <x v="0"/>
    <n v="0"/>
    <n v="0"/>
    <n v="0"/>
    <d v="2017-04-01T00:00:00"/>
    <x v="1"/>
    <x v="2"/>
  </r>
  <r>
    <x v="5"/>
    <x v="4"/>
    <s v="Mei"/>
    <s v="Division_A"/>
    <x v="34"/>
    <n v="2016"/>
    <n v="1"/>
    <s v="TBM"/>
    <n v="17"/>
    <n v="2219"/>
    <s v="130.5"/>
    <x v="0"/>
    <n v="0"/>
    <n v="0"/>
    <n v="0"/>
    <d v="2017-05-01T00:00:00"/>
    <x v="1"/>
    <x v="2"/>
  </r>
  <r>
    <x v="5"/>
    <x v="5"/>
    <s v="Juni"/>
    <s v="Division_A"/>
    <x v="34"/>
    <n v="2016"/>
    <n v="1"/>
    <s v="TBM"/>
    <n v="17"/>
    <n v="2219"/>
    <s v="130.5"/>
    <x v="0"/>
    <n v="0"/>
    <n v="0"/>
    <n v="0"/>
    <d v="2017-06-01T00:00:00"/>
    <x v="1"/>
    <x v="2"/>
  </r>
  <r>
    <x v="5"/>
    <x v="6"/>
    <s v="Juli"/>
    <s v="Division_A"/>
    <x v="34"/>
    <n v="2016"/>
    <n v="1"/>
    <s v="TBM"/>
    <n v="17"/>
    <n v="2219"/>
    <s v="130.5"/>
    <x v="0"/>
    <n v="0"/>
    <n v="0"/>
    <n v="0"/>
    <d v="2017-07-01T00:00:00"/>
    <x v="1"/>
    <x v="2"/>
  </r>
  <r>
    <x v="5"/>
    <x v="7"/>
    <s v="Agustus"/>
    <s v="Division_A"/>
    <x v="34"/>
    <n v="2016"/>
    <n v="1"/>
    <s v="TBM"/>
    <n v="17"/>
    <n v="2219"/>
    <s v="130.5"/>
    <x v="0"/>
    <n v="0"/>
    <n v="0"/>
    <n v="0"/>
    <d v="2017-08-01T00:00:00"/>
    <x v="1"/>
    <x v="2"/>
  </r>
  <r>
    <x v="5"/>
    <x v="8"/>
    <s v="September"/>
    <s v="Division_A"/>
    <x v="34"/>
    <n v="2016"/>
    <n v="1"/>
    <s v="TBM"/>
    <n v="17"/>
    <n v="2219"/>
    <s v="130.5"/>
    <x v="0"/>
    <n v="0"/>
    <n v="0"/>
    <n v="0"/>
    <d v="2017-09-01T00:00:00"/>
    <x v="1"/>
    <x v="2"/>
  </r>
  <r>
    <x v="5"/>
    <x v="9"/>
    <s v="Oktober"/>
    <s v="Division_A"/>
    <x v="34"/>
    <n v="2016"/>
    <n v="1"/>
    <s v="TBM"/>
    <n v="17"/>
    <n v="2219"/>
    <s v="130.5"/>
    <x v="0"/>
    <n v="0"/>
    <n v="0"/>
    <n v="0"/>
    <d v="2017-10-01T00:00:00"/>
    <x v="1"/>
    <x v="2"/>
  </r>
  <r>
    <x v="5"/>
    <x v="10"/>
    <s v="November"/>
    <s v="Division_A"/>
    <x v="34"/>
    <n v="2016"/>
    <n v="1"/>
    <s v="TBM"/>
    <n v="17"/>
    <n v="2219"/>
    <s v="130.5"/>
    <x v="0"/>
    <n v="0"/>
    <n v="0"/>
    <n v="0"/>
    <d v="2017-11-01T00:00:00"/>
    <x v="1"/>
    <x v="2"/>
  </r>
  <r>
    <x v="5"/>
    <x v="11"/>
    <s v="Desember"/>
    <s v="Division_A"/>
    <x v="34"/>
    <n v="2016"/>
    <n v="1"/>
    <s v="TBM"/>
    <n v="17"/>
    <n v="2219"/>
    <s v="130.5"/>
    <x v="0"/>
    <n v="0"/>
    <n v="0"/>
    <n v="0"/>
    <d v="2017-12-01T00:00:00"/>
    <x v="1"/>
    <x v="2"/>
  </r>
  <r>
    <x v="5"/>
    <x v="0"/>
    <s v="Januari"/>
    <s v="Division_A"/>
    <x v="35"/>
    <n v="2016"/>
    <n v="1"/>
    <s v="TBM"/>
    <n v="15"/>
    <n v="2142"/>
    <s v="142.8"/>
    <x v="0"/>
    <n v="0"/>
    <n v="0"/>
    <n v="0"/>
    <d v="2017-01-01T00:00:00"/>
    <x v="1"/>
    <x v="2"/>
  </r>
  <r>
    <x v="5"/>
    <x v="1"/>
    <s v="Februari"/>
    <s v="Division_A"/>
    <x v="35"/>
    <n v="2016"/>
    <n v="1"/>
    <s v="TBM"/>
    <n v="15"/>
    <n v="2142"/>
    <s v="142.8"/>
    <x v="0"/>
    <n v="0"/>
    <n v="0"/>
    <n v="0"/>
    <d v="2017-02-01T00:00:00"/>
    <x v="1"/>
    <x v="2"/>
  </r>
  <r>
    <x v="5"/>
    <x v="2"/>
    <s v="Maret"/>
    <s v="Division_A"/>
    <x v="35"/>
    <n v="2016"/>
    <n v="1"/>
    <s v="TBM"/>
    <n v="15"/>
    <n v="2142"/>
    <s v="142.8"/>
    <x v="0"/>
    <n v="0"/>
    <n v="0"/>
    <n v="0"/>
    <d v="2017-03-01T00:00:00"/>
    <x v="1"/>
    <x v="2"/>
  </r>
  <r>
    <x v="5"/>
    <x v="3"/>
    <s v="April"/>
    <s v="Division_A"/>
    <x v="35"/>
    <n v="2016"/>
    <n v="1"/>
    <s v="TBM"/>
    <n v="15"/>
    <n v="2142"/>
    <s v="142.8"/>
    <x v="0"/>
    <n v="0"/>
    <n v="0"/>
    <n v="0"/>
    <d v="2017-04-01T00:00:00"/>
    <x v="1"/>
    <x v="2"/>
  </r>
  <r>
    <x v="5"/>
    <x v="4"/>
    <s v="Mei"/>
    <s v="Division_A"/>
    <x v="35"/>
    <n v="2016"/>
    <n v="1"/>
    <s v="TBM"/>
    <n v="15"/>
    <n v="2142"/>
    <s v="142.8"/>
    <x v="0"/>
    <n v="0"/>
    <n v="0"/>
    <n v="0"/>
    <d v="2017-05-01T00:00:00"/>
    <x v="1"/>
    <x v="2"/>
  </r>
  <r>
    <x v="5"/>
    <x v="5"/>
    <s v="Juni"/>
    <s v="Division_A"/>
    <x v="35"/>
    <n v="2016"/>
    <n v="1"/>
    <s v="TBM"/>
    <n v="15"/>
    <n v="2142"/>
    <s v="142.8"/>
    <x v="0"/>
    <n v="0"/>
    <n v="0"/>
    <n v="0"/>
    <d v="2017-06-01T00:00:00"/>
    <x v="1"/>
    <x v="2"/>
  </r>
  <r>
    <x v="5"/>
    <x v="6"/>
    <s v="Juli"/>
    <s v="Division_A"/>
    <x v="35"/>
    <n v="2016"/>
    <n v="1"/>
    <s v="TBM"/>
    <n v="15"/>
    <n v="2142"/>
    <s v="142.8"/>
    <x v="0"/>
    <n v="0"/>
    <n v="0"/>
    <n v="0"/>
    <d v="2017-07-01T00:00:00"/>
    <x v="1"/>
    <x v="2"/>
  </r>
  <r>
    <x v="5"/>
    <x v="7"/>
    <s v="Agustus"/>
    <s v="Division_A"/>
    <x v="35"/>
    <n v="2016"/>
    <n v="1"/>
    <s v="TBM"/>
    <n v="15"/>
    <n v="2142"/>
    <s v="142.8"/>
    <x v="0"/>
    <n v="0"/>
    <n v="0"/>
    <n v="0"/>
    <d v="2017-08-01T00:00:00"/>
    <x v="1"/>
    <x v="2"/>
  </r>
  <r>
    <x v="5"/>
    <x v="8"/>
    <s v="September"/>
    <s v="Division_A"/>
    <x v="35"/>
    <n v="2016"/>
    <n v="1"/>
    <s v="TBM"/>
    <n v="15"/>
    <n v="2142"/>
    <s v="142.8"/>
    <x v="0"/>
    <n v="0"/>
    <n v="0"/>
    <n v="0"/>
    <d v="2017-09-01T00:00:00"/>
    <x v="1"/>
    <x v="2"/>
  </r>
  <r>
    <x v="5"/>
    <x v="9"/>
    <s v="Oktober"/>
    <s v="Division_A"/>
    <x v="35"/>
    <n v="2016"/>
    <n v="1"/>
    <s v="TBM"/>
    <n v="15"/>
    <n v="2142"/>
    <s v="142.8"/>
    <x v="0"/>
    <n v="0"/>
    <n v="0"/>
    <n v="0"/>
    <d v="2017-10-01T00:00:00"/>
    <x v="1"/>
    <x v="2"/>
  </r>
  <r>
    <x v="5"/>
    <x v="10"/>
    <s v="November"/>
    <s v="Division_A"/>
    <x v="35"/>
    <n v="2016"/>
    <n v="1"/>
    <s v="TBM"/>
    <n v="15"/>
    <n v="2142"/>
    <s v="142.8"/>
    <x v="0"/>
    <n v="0"/>
    <n v="0"/>
    <n v="0"/>
    <d v="2017-11-01T00:00:00"/>
    <x v="1"/>
    <x v="2"/>
  </r>
  <r>
    <x v="5"/>
    <x v="11"/>
    <s v="Desember"/>
    <s v="Division_A"/>
    <x v="35"/>
    <n v="2016"/>
    <n v="1"/>
    <s v="TBM"/>
    <n v="15"/>
    <n v="2142"/>
    <s v="142.8"/>
    <x v="0"/>
    <n v="0"/>
    <n v="0"/>
    <n v="0"/>
    <d v="2017-12-01T00:00:00"/>
    <x v="1"/>
    <x v="2"/>
  </r>
  <r>
    <x v="5"/>
    <x v="0"/>
    <s v="Januari"/>
    <s v="Division_A"/>
    <x v="36"/>
    <n v="2016"/>
    <n v="1"/>
    <s v="TBM"/>
    <n v="24"/>
    <n v="3324"/>
    <s v="138.5"/>
    <x v="0"/>
    <n v="0"/>
    <n v="0"/>
    <n v="0"/>
    <d v="2017-01-01T00:00:00"/>
    <x v="1"/>
    <x v="2"/>
  </r>
  <r>
    <x v="5"/>
    <x v="1"/>
    <s v="Februari"/>
    <s v="Division_A"/>
    <x v="36"/>
    <n v="2016"/>
    <n v="1"/>
    <s v="TBM"/>
    <n v="24"/>
    <n v="3324"/>
    <s v="138.5"/>
    <x v="0"/>
    <n v="0"/>
    <n v="0"/>
    <n v="0"/>
    <d v="2017-02-01T00:00:00"/>
    <x v="1"/>
    <x v="2"/>
  </r>
  <r>
    <x v="5"/>
    <x v="2"/>
    <s v="Maret"/>
    <s v="Division_A"/>
    <x v="36"/>
    <n v="2016"/>
    <n v="1"/>
    <s v="TBM"/>
    <n v="24"/>
    <n v="3324"/>
    <s v="138.5"/>
    <x v="0"/>
    <n v="0"/>
    <n v="0"/>
    <n v="0"/>
    <d v="2017-03-01T00:00:00"/>
    <x v="1"/>
    <x v="2"/>
  </r>
  <r>
    <x v="5"/>
    <x v="3"/>
    <s v="April"/>
    <s v="Division_A"/>
    <x v="36"/>
    <n v="2016"/>
    <n v="1"/>
    <s v="TBM"/>
    <n v="24"/>
    <n v="3324"/>
    <s v="138.5"/>
    <x v="0"/>
    <n v="0"/>
    <n v="0"/>
    <n v="0"/>
    <d v="2017-04-01T00:00:00"/>
    <x v="1"/>
    <x v="2"/>
  </r>
  <r>
    <x v="5"/>
    <x v="4"/>
    <s v="Mei"/>
    <s v="Division_A"/>
    <x v="36"/>
    <n v="2016"/>
    <n v="1"/>
    <s v="TBM"/>
    <n v="24"/>
    <n v="3324"/>
    <s v="138.5"/>
    <x v="0"/>
    <n v="0"/>
    <n v="0"/>
    <n v="0"/>
    <d v="2017-05-01T00:00:00"/>
    <x v="1"/>
    <x v="2"/>
  </r>
  <r>
    <x v="5"/>
    <x v="5"/>
    <s v="Juni"/>
    <s v="Division_A"/>
    <x v="36"/>
    <n v="2016"/>
    <n v="1"/>
    <s v="TBM"/>
    <n v="24"/>
    <n v="3324"/>
    <s v="138.5"/>
    <x v="0"/>
    <n v="0"/>
    <n v="0"/>
    <n v="0"/>
    <d v="2017-06-01T00:00:00"/>
    <x v="1"/>
    <x v="2"/>
  </r>
  <r>
    <x v="5"/>
    <x v="6"/>
    <s v="Juli"/>
    <s v="Division_A"/>
    <x v="36"/>
    <n v="2016"/>
    <n v="1"/>
    <s v="TBM"/>
    <n v="24"/>
    <n v="3324"/>
    <s v="138.5"/>
    <x v="0"/>
    <n v="0"/>
    <n v="0"/>
    <n v="0"/>
    <d v="2017-07-01T00:00:00"/>
    <x v="1"/>
    <x v="2"/>
  </r>
  <r>
    <x v="5"/>
    <x v="7"/>
    <s v="Agustus"/>
    <s v="Division_A"/>
    <x v="36"/>
    <n v="2016"/>
    <n v="1"/>
    <s v="TBM"/>
    <n v="24"/>
    <n v="3324"/>
    <s v="138.5"/>
    <x v="0"/>
    <n v="0"/>
    <n v="0"/>
    <n v="0"/>
    <d v="2017-08-01T00:00:00"/>
    <x v="1"/>
    <x v="2"/>
  </r>
  <r>
    <x v="5"/>
    <x v="8"/>
    <s v="September"/>
    <s v="Division_A"/>
    <x v="36"/>
    <n v="2016"/>
    <n v="1"/>
    <s v="TBM"/>
    <n v="24"/>
    <n v="3324"/>
    <s v="138.5"/>
    <x v="0"/>
    <n v="0"/>
    <n v="0"/>
    <n v="0"/>
    <d v="2017-09-01T00:00:00"/>
    <x v="1"/>
    <x v="2"/>
  </r>
  <r>
    <x v="5"/>
    <x v="9"/>
    <s v="Oktober"/>
    <s v="Division_A"/>
    <x v="36"/>
    <n v="2016"/>
    <n v="1"/>
    <s v="TBM"/>
    <n v="24"/>
    <n v="3324"/>
    <s v="138.5"/>
    <x v="0"/>
    <n v="0"/>
    <n v="0"/>
    <n v="0"/>
    <d v="2017-10-01T00:00:00"/>
    <x v="1"/>
    <x v="2"/>
  </r>
  <r>
    <x v="5"/>
    <x v="10"/>
    <s v="November"/>
    <s v="Division_A"/>
    <x v="36"/>
    <n v="2016"/>
    <n v="1"/>
    <s v="TBM"/>
    <n v="24"/>
    <n v="3324"/>
    <s v="138.5"/>
    <x v="0"/>
    <n v="0"/>
    <n v="0"/>
    <n v="0"/>
    <d v="2017-11-01T00:00:00"/>
    <x v="1"/>
    <x v="2"/>
  </r>
  <r>
    <x v="5"/>
    <x v="11"/>
    <s v="Desember"/>
    <s v="Division_A"/>
    <x v="36"/>
    <n v="2016"/>
    <n v="1"/>
    <s v="TBM"/>
    <n v="24"/>
    <n v="3324"/>
    <s v="138.5"/>
    <x v="0"/>
    <n v="0"/>
    <n v="0"/>
    <n v="0"/>
    <d v="2017-12-01T00:00:00"/>
    <x v="1"/>
    <x v="2"/>
  </r>
  <r>
    <x v="5"/>
    <x v="0"/>
    <s v="Januari"/>
    <s v="Division_A"/>
    <x v="37"/>
    <n v="2016"/>
    <n v="1"/>
    <s v="TBM"/>
    <n v="20"/>
    <n v="2663"/>
    <s v="133.2"/>
    <x v="0"/>
    <n v="0"/>
    <n v="0"/>
    <n v="0"/>
    <d v="2017-01-01T00:00:00"/>
    <x v="1"/>
    <x v="2"/>
  </r>
  <r>
    <x v="5"/>
    <x v="1"/>
    <s v="Februari"/>
    <s v="Division_A"/>
    <x v="37"/>
    <n v="2016"/>
    <n v="1"/>
    <s v="TBM"/>
    <n v="20"/>
    <n v="2663"/>
    <s v="133.2"/>
    <x v="0"/>
    <n v="0"/>
    <n v="0"/>
    <n v="0"/>
    <d v="2017-02-01T00:00:00"/>
    <x v="1"/>
    <x v="2"/>
  </r>
  <r>
    <x v="5"/>
    <x v="2"/>
    <s v="Maret"/>
    <s v="Division_A"/>
    <x v="37"/>
    <n v="2016"/>
    <n v="1"/>
    <s v="TBM"/>
    <n v="20"/>
    <n v="2663"/>
    <s v="133.2"/>
    <x v="0"/>
    <n v="0"/>
    <n v="0"/>
    <n v="0"/>
    <d v="2017-03-01T00:00:00"/>
    <x v="1"/>
    <x v="2"/>
  </r>
  <r>
    <x v="5"/>
    <x v="3"/>
    <s v="April"/>
    <s v="Division_A"/>
    <x v="37"/>
    <n v="2016"/>
    <n v="1"/>
    <s v="TBM"/>
    <n v="20"/>
    <n v="2663"/>
    <s v="133.2"/>
    <x v="0"/>
    <n v="0"/>
    <n v="0"/>
    <n v="0"/>
    <d v="2017-04-01T00:00:00"/>
    <x v="1"/>
    <x v="2"/>
  </r>
  <r>
    <x v="5"/>
    <x v="4"/>
    <s v="Mei"/>
    <s v="Division_A"/>
    <x v="37"/>
    <n v="2016"/>
    <n v="1"/>
    <s v="TBM"/>
    <n v="20"/>
    <n v="2663"/>
    <s v="133.2"/>
    <x v="0"/>
    <n v="0"/>
    <n v="0"/>
    <n v="0"/>
    <d v="2017-05-01T00:00:00"/>
    <x v="1"/>
    <x v="2"/>
  </r>
  <r>
    <x v="5"/>
    <x v="5"/>
    <s v="Juni"/>
    <s v="Division_A"/>
    <x v="37"/>
    <n v="2016"/>
    <n v="1"/>
    <s v="TBM"/>
    <n v="20"/>
    <n v="2663"/>
    <s v="133.2"/>
    <x v="0"/>
    <n v="0"/>
    <n v="0"/>
    <n v="0"/>
    <d v="2017-06-01T00:00:00"/>
    <x v="1"/>
    <x v="2"/>
  </r>
  <r>
    <x v="5"/>
    <x v="6"/>
    <s v="Juli"/>
    <s v="Division_A"/>
    <x v="37"/>
    <n v="2016"/>
    <n v="1"/>
    <s v="TBM"/>
    <n v="20"/>
    <n v="2663"/>
    <s v="133.2"/>
    <x v="0"/>
    <n v="0"/>
    <n v="0"/>
    <n v="0"/>
    <d v="2017-07-01T00:00:00"/>
    <x v="1"/>
    <x v="2"/>
  </r>
  <r>
    <x v="5"/>
    <x v="7"/>
    <s v="Agustus"/>
    <s v="Division_A"/>
    <x v="37"/>
    <n v="2016"/>
    <n v="1"/>
    <s v="TBM"/>
    <n v="20"/>
    <n v="2663"/>
    <s v="133.2"/>
    <x v="0"/>
    <n v="0"/>
    <n v="0"/>
    <n v="0"/>
    <d v="2017-08-01T00:00:00"/>
    <x v="1"/>
    <x v="2"/>
  </r>
  <r>
    <x v="5"/>
    <x v="8"/>
    <s v="September"/>
    <s v="Division_A"/>
    <x v="37"/>
    <n v="2016"/>
    <n v="1"/>
    <s v="TBM"/>
    <n v="20"/>
    <n v="2663"/>
    <s v="133.2"/>
    <x v="0"/>
    <n v="0"/>
    <n v="0"/>
    <n v="0"/>
    <d v="2017-09-01T00:00:00"/>
    <x v="1"/>
    <x v="2"/>
  </r>
  <r>
    <x v="5"/>
    <x v="9"/>
    <s v="Oktober"/>
    <s v="Division_A"/>
    <x v="37"/>
    <n v="2016"/>
    <n v="1"/>
    <s v="TBM"/>
    <n v="20"/>
    <n v="2663"/>
    <s v="133.2"/>
    <x v="0"/>
    <n v="0"/>
    <n v="0"/>
    <n v="0"/>
    <d v="2017-10-01T00:00:00"/>
    <x v="1"/>
    <x v="2"/>
  </r>
  <r>
    <x v="5"/>
    <x v="10"/>
    <s v="November"/>
    <s v="Division_A"/>
    <x v="37"/>
    <n v="2016"/>
    <n v="1"/>
    <s v="TBM"/>
    <n v="20"/>
    <n v="2663"/>
    <s v="133.2"/>
    <x v="0"/>
    <n v="0"/>
    <n v="0"/>
    <n v="0"/>
    <d v="2017-11-01T00:00:00"/>
    <x v="1"/>
    <x v="2"/>
  </r>
  <r>
    <x v="5"/>
    <x v="11"/>
    <s v="Desember"/>
    <s v="Division_A"/>
    <x v="37"/>
    <n v="2016"/>
    <n v="1"/>
    <s v="TBM"/>
    <n v="20"/>
    <n v="2663"/>
    <s v="133.2"/>
    <x v="0"/>
    <n v="0"/>
    <n v="0"/>
    <n v="0"/>
    <d v="2017-12-01T00:00:00"/>
    <x v="1"/>
    <x v="2"/>
  </r>
  <r>
    <x v="5"/>
    <x v="0"/>
    <s v="Januari"/>
    <s v="Division_A"/>
    <x v="38"/>
    <n v="2016"/>
    <n v="1"/>
    <s v="TBM"/>
    <n v="14"/>
    <n v="1746"/>
    <s v="124.7"/>
    <x v="0"/>
    <n v="0"/>
    <n v="0"/>
    <n v="0"/>
    <d v="2017-01-01T00:00:00"/>
    <x v="1"/>
    <x v="2"/>
  </r>
  <r>
    <x v="5"/>
    <x v="1"/>
    <s v="Februari"/>
    <s v="Division_A"/>
    <x v="38"/>
    <n v="2016"/>
    <n v="1"/>
    <s v="TBM"/>
    <n v="14"/>
    <n v="1746"/>
    <s v="124.7"/>
    <x v="0"/>
    <n v="0"/>
    <n v="0"/>
    <n v="0"/>
    <d v="2017-02-01T00:00:00"/>
    <x v="1"/>
    <x v="2"/>
  </r>
  <r>
    <x v="5"/>
    <x v="2"/>
    <s v="Maret"/>
    <s v="Division_A"/>
    <x v="38"/>
    <n v="2016"/>
    <n v="1"/>
    <s v="TBM"/>
    <n v="14"/>
    <n v="1746"/>
    <s v="124.7"/>
    <x v="0"/>
    <n v="0"/>
    <n v="0"/>
    <n v="0"/>
    <d v="2017-03-01T00:00:00"/>
    <x v="1"/>
    <x v="2"/>
  </r>
  <r>
    <x v="5"/>
    <x v="3"/>
    <s v="April"/>
    <s v="Division_A"/>
    <x v="38"/>
    <n v="2016"/>
    <n v="1"/>
    <s v="TBM"/>
    <n v="14"/>
    <n v="1746"/>
    <s v="124.7"/>
    <x v="0"/>
    <n v="0"/>
    <n v="0"/>
    <n v="0"/>
    <d v="2017-04-01T00:00:00"/>
    <x v="1"/>
    <x v="2"/>
  </r>
  <r>
    <x v="5"/>
    <x v="4"/>
    <s v="Mei"/>
    <s v="Division_A"/>
    <x v="38"/>
    <n v="2016"/>
    <n v="1"/>
    <s v="TBM"/>
    <n v="14"/>
    <n v="1746"/>
    <s v="124.7"/>
    <x v="0"/>
    <n v="0"/>
    <n v="0"/>
    <n v="0"/>
    <d v="2017-05-01T00:00:00"/>
    <x v="1"/>
    <x v="2"/>
  </r>
  <r>
    <x v="5"/>
    <x v="5"/>
    <s v="Juni"/>
    <s v="Division_A"/>
    <x v="38"/>
    <n v="2016"/>
    <n v="1"/>
    <s v="TBM"/>
    <n v="14"/>
    <n v="1746"/>
    <s v="124.7"/>
    <x v="0"/>
    <n v="0"/>
    <n v="0"/>
    <n v="0"/>
    <d v="2017-06-01T00:00:00"/>
    <x v="1"/>
    <x v="2"/>
  </r>
  <r>
    <x v="5"/>
    <x v="6"/>
    <s v="Juli"/>
    <s v="Division_A"/>
    <x v="38"/>
    <n v="2016"/>
    <n v="1"/>
    <s v="TBM"/>
    <n v="14"/>
    <n v="1746"/>
    <s v="124.7"/>
    <x v="0"/>
    <n v="0"/>
    <n v="0"/>
    <n v="0"/>
    <d v="2017-07-01T00:00:00"/>
    <x v="1"/>
    <x v="2"/>
  </r>
  <r>
    <x v="5"/>
    <x v="7"/>
    <s v="Agustus"/>
    <s v="Division_A"/>
    <x v="38"/>
    <n v="2016"/>
    <n v="1"/>
    <s v="TBM"/>
    <n v="14"/>
    <n v="1746"/>
    <s v="124.7"/>
    <x v="0"/>
    <n v="0"/>
    <n v="0"/>
    <n v="0"/>
    <d v="2017-08-01T00:00:00"/>
    <x v="1"/>
    <x v="2"/>
  </r>
  <r>
    <x v="5"/>
    <x v="8"/>
    <s v="September"/>
    <s v="Division_A"/>
    <x v="38"/>
    <n v="2016"/>
    <n v="1"/>
    <s v="TBM"/>
    <n v="14"/>
    <n v="1746"/>
    <s v="124.7"/>
    <x v="0"/>
    <n v="0"/>
    <n v="0"/>
    <n v="0"/>
    <d v="2017-09-01T00:00:00"/>
    <x v="1"/>
    <x v="2"/>
  </r>
  <r>
    <x v="5"/>
    <x v="9"/>
    <s v="Oktober"/>
    <s v="Division_A"/>
    <x v="38"/>
    <n v="2016"/>
    <n v="1"/>
    <s v="TBM"/>
    <n v="14"/>
    <n v="1746"/>
    <s v="124.7"/>
    <x v="0"/>
    <n v="0"/>
    <n v="0"/>
    <n v="0"/>
    <d v="2017-10-01T00:00:00"/>
    <x v="1"/>
    <x v="2"/>
  </r>
  <r>
    <x v="5"/>
    <x v="10"/>
    <s v="November"/>
    <s v="Division_A"/>
    <x v="38"/>
    <n v="2016"/>
    <n v="1"/>
    <s v="TBM"/>
    <n v="14"/>
    <n v="1746"/>
    <s v="124.7"/>
    <x v="0"/>
    <n v="0"/>
    <n v="0"/>
    <n v="0"/>
    <d v="2017-11-01T00:00:00"/>
    <x v="1"/>
    <x v="2"/>
  </r>
  <r>
    <x v="5"/>
    <x v="11"/>
    <s v="Desember"/>
    <s v="Division_A"/>
    <x v="38"/>
    <n v="2016"/>
    <n v="1"/>
    <s v="TBM"/>
    <n v="14"/>
    <n v="1746"/>
    <s v="124.7"/>
    <x v="0"/>
    <n v="0"/>
    <n v="0"/>
    <n v="0"/>
    <d v="2017-12-01T00:00:00"/>
    <x v="1"/>
    <x v="2"/>
  </r>
  <r>
    <x v="5"/>
    <x v="0"/>
    <s v="Januari"/>
    <s v="Division_A"/>
    <x v="39"/>
    <n v="2016"/>
    <n v="1"/>
    <s v="TBM"/>
    <n v="24"/>
    <n v="3377"/>
    <s v="140.7"/>
    <x v="0"/>
    <n v="0"/>
    <n v="0"/>
    <n v="0"/>
    <d v="2017-01-01T00:00:00"/>
    <x v="1"/>
    <x v="2"/>
  </r>
  <r>
    <x v="5"/>
    <x v="1"/>
    <s v="Februari"/>
    <s v="Division_A"/>
    <x v="39"/>
    <n v="2016"/>
    <n v="1"/>
    <s v="TBM"/>
    <n v="24"/>
    <n v="3377"/>
    <s v="140.7"/>
    <x v="0"/>
    <n v="0"/>
    <n v="0"/>
    <n v="0"/>
    <d v="2017-02-01T00:00:00"/>
    <x v="1"/>
    <x v="2"/>
  </r>
  <r>
    <x v="5"/>
    <x v="2"/>
    <s v="Maret"/>
    <s v="Division_A"/>
    <x v="39"/>
    <n v="2016"/>
    <n v="1"/>
    <s v="TBM"/>
    <n v="24"/>
    <n v="3377"/>
    <s v="140.7"/>
    <x v="0"/>
    <n v="0"/>
    <n v="0"/>
    <n v="0"/>
    <d v="2017-03-01T00:00:00"/>
    <x v="1"/>
    <x v="2"/>
  </r>
  <r>
    <x v="5"/>
    <x v="3"/>
    <s v="April"/>
    <s v="Division_A"/>
    <x v="39"/>
    <n v="2016"/>
    <n v="1"/>
    <s v="TBM"/>
    <n v="24"/>
    <n v="3377"/>
    <s v="140.7"/>
    <x v="0"/>
    <n v="0"/>
    <n v="0"/>
    <n v="0"/>
    <d v="2017-04-01T00:00:00"/>
    <x v="1"/>
    <x v="2"/>
  </r>
  <r>
    <x v="5"/>
    <x v="4"/>
    <s v="Mei"/>
    <s v="Division_A"/>
    <x v="39"/>
    <n v="2016"/>
    <n v="1"/>
    <s v="TBM"/>
    <n v="24"/>
    <n v="3377"/>
    <s v="140.7"/>
    <x v="0"/>
    <n v="0"/>
    <n v="0"/>
    <n v="0"/>
    <d v="2017-05-01T00:00:00"/>
    <x v="1"/>
    <x v="2"/>
  </r>
  <r>
    <x v="5"/>
    <x v="5"/>
    <s v="Juni"/>
    <s v="Division_A"/>
    <x v="39"/>
    <n v="2016"/>
    <n v="1"/>
    <s v="TBM"/>
    <n v="24"/>
    <n v="3377"/>
    <s v="140.7"/>
    <x v="0"/>
    <n v="0"/>
    <n v="0"/>
    <n v="0"/>
    <d v="2017-06-01T00:00:00"/>
    <x v="1"/>
    <x v="2"/>
  </r>
  <r>
    <x v="5"/>
    <x v="6"/>
    <s v="Juli"/>
    <s v="Division_A"/>
    <x v="39"/>
    <n v="2016"/>
    <n v="1"/>
    <s v="TBM"/>
    <n v="24"/>
    <n v="3377"/>
    <s v="140.7"/>
    <x v="0"/>
    <n v="0"/>
    <n v="0"/>
    <n v="0"/>
    <d v="2017-07-01T00:00:00"/>
    <x v="1"/>
    <x v="2"/>
  </r>
  <r>
    <x v="5"/>
    <x v="7"/>
    <s v="Agustus"/>
    <s v="Division_A"/>
    <x v="39"/>
    <n v="2016"/>
    <n v="1"/>
    <s v="TBM"/>
    <n v="24"/>
    <n v="3377"/>
    <s v="140.7"/>
    <x v="0"/>
    <n v="0"/>
    <n v="0"/>
    <n v="0"/>
    <d v="2017-08-01T00:00:00"/>
    <x v="1"/>
    <x v="2"/>
  </r>
  <r>
    <x v="5"/>
    <x v="8"/>
    <s v="September"/>
    <s v="Division_A"/>
    <x v="39"/>
    <n v="2016"/>
    <n v="1"/>
    <s v="TBM"/>
    <n v="24"/>
    <n v="3377"/>
    <s v="140.7"/>
    <x v="0"/>
    <n v="0"/>
    <n v="0"/>
    <n v="0"/>
    <d v="2017-09-01T00:00:00"/>
    <x v="1"/>
    <x v="2"/>
  </r>
  <r>
    <x v="5"/>
    <x v="9"/>
    <s v="Oktober"/>
    <s v="Division_A"/>
    <x v="39"/>
    <n v="2016"/>
    <n v="1"/>
    <s v="TBM"/>
    <n v="24"/>
    <n v="3377"/>
    <s v="140.7"/>
    <x v="0"/>
    <n v="0"/>
    <n v="0"/>
    <n v="0"/>
    <d v="2017-10-01T00:00:00"/>
    <x v="1"/>
    <x v="2"/>
  </r>
  <r>
    <x v="5"/>
    <x v="10"/>
    <s v="November"/>
    <s v="Division_A"/>
    <x v="39"/>
    <n v="2016"/>
    <n v="1"/>
    <s v="TBM"/>
    <n v="24"/>
    <n v="3377"/>
    <s v="140.7"/>
    <x v="0"/>
    <n v="0"/>
    <n v="0"/>
    <n v="0"/>
    <d v="2017-11-01T00:00:00"/>
    <x v="1"/>
    <x v="2"/>
  </r>
  <r>
    <x v="5"/>
    <x v="11"/>
    <s v="Desember"/>
    <s v="Division_A"/>
    <x v="39"/>
    <n v="2016"/>
    <n v="1"/>
    <s v="TBM"/>
    <n v="24"/>
    <n v="3377"/>
    <s v="140.7"/>
    <x v="0"/>
    <n v="0"/>
    <n v="0"/>
    <n v="0"/>
    <d v="2017-12-01T00:00:00"/>
    <x v="1"/>
    <x v="2"/>
  </r>
  <r>
    <x v="5"/>
    <x v="0"/>
    <s v="Januari"/>
    <s v="Division_A"/>
    <x v="40"/>
    <n v="2016"/>
    <n v="1"/>
    <s v="TBM"/>
    <n v="25"/>
    <n v="3431"/>
    <s v="137.2"/>
    <x v="0"/>
    <n v="0"/>
    <n v="0"/>
    <n v="0"/>
    <d v="2017-01-01T00:00:00"/>
    <x v="1"/>
    <x v="2"/>
  </r>
  <r>
    <x v="5"/>
    <x v="1"/>
    <s v="Februari"/>
    <s v="Division_A"/>
    <x v="40"/>
    <n v="2016"/>
    <n v="1"/>
    <s v="TBM"/>
    <n v="25"/>
    <n v="3431"/>
    <s v="137.2"/>
    <x v="0"/>
    <n v="0"/>
    <n v="0"/>
    <n v="0"/>
    <d v="2017-02-01T00:00:00"/>
    <x v="1"/>
    <x v="2"/>
  </r>
  <r>
    <x v="5"/>
    <x v="2"/>
    <s v="Maret"/>
    <s v="Division_A"/>
    <x v="40"/>
    <n v="2016"/>
    <n v="1"/>
    <s v="TBM"/>
    <n v="25"/>
    <n v="3431"/>
    <s v="137.2"/>
    <x v="0"/>
    <n v="0"/>
    <n v="0"/>
    <n v="0"/>
    <d v="2017-03-01T00:00:00"/>
    <x v="1"/>
    <x v="2"/>
  </r>
  <r>
    <x v="5"/>
    <x v="3"/>
    <s v="April"/>
    <s v="Division_A"/>
    <x v="40"/>
    <n v="2016"/>
    <n v="1"/>
    <s v="TBM"/>
    <n v="25"/>
    <n v="3431"/>
    <s v="137.2"/>
    <x v="0"/>
    <n v="0"/>
    <n v="0"/>
    <n v="0"/>
    <d v="2017-04-01T00:00:00"/>
    <x v="1"/>
    <x v="2"/>
  </r>
  <r>
    <x v="5"/>
    <x v="4"/>
    <s v="Mei"/>
    <s v="Division_A"/>
    <x v="40"/>
    <n v="2016"/>
    <n v="1"/>
    <s v="TBM"/>
    <n v="25"/>
    <n v="3431"/>
    <s v="137.2"/>
    <x v="0"/>
    <n v="0"/>
    <n v="0"/>
    <n v="0"/>
    <d v="2017-05-01T00:00:00"/>
    <x v="1"/>
    <x v="2"/>
  </r>
  <r>
    <x v="5"/>
    <x v="5"/>
    <s v="Juni"/>
    <s v="Division_A"/>
    <x v="40"/>
    <n v="2016"/>
    <n v="1"/>
    <s v="TBM"/>
    <n v="25"/>
    <n v="3431"/>
    <s v="137.2"/>
    <x v="0"/>
    <n v="0"/>
    <n v="0"/>
    <n v="0"/>
    <d v="2017-06-01T00:00:00"/>
    <x v="1"/>
    <x v="2"/>
  </r>
  <r>
    <x v="5"/>
    <x v="6"/>
    <s v="Juli"/>
    <s v="Division_A"/>
    <x v="40"/>
    <n v="2016"/>
    <n v="1"/>
    <s v="TBM"/>
    <n v="25"/>
    <n v="3431"/>
    <s v="137.2"/>
    <x v="0"/>
    <n v="0"/>
    <n v="0"/>
    <n v="0"/>
    <d v="2017-07-01T00:00:00"/>
    <x v="1"/>
    <x v="2"/>
  </r>
  <r>
    <x v="5"/>
    <x v="7"/>
    <s v="Agustus"/>
    <s v="Division_A"/>
    <x v="40"/>
    <n v="2016"/>
    <n v="1"/>
    <s v="TBM"/>
    <n v="25"/>
    <n v="3431"/>
    <s v="137.2"/>
    <x v="0"/>
    <n v="0"/>
    <n v="0"/>
    <n v="0"/>
    <d v="2017-08-01T00:00:00"/>
    <x v="1"/>
    <x v="2"/>
  </r>
  <r>
    <x v="5"/>
    <x v="8"/>
    <s v="September"/>
    <s v="Division_A"/>
    <x v="40"/>
    <n v="2016"/>
    <n v="1"/>
    <s v="TBM"/>
    <n v="25"/>
    <n v="3431"/>
    <s v="137.2"/>
    <x v="0"/>
    <n v="0"/>
    <n v="0"/>
    <n v="0"/>
    <d v="2017-09-01T00:00:00"/>
    <x v="1"/>
    <x v="2"/>
  </r>
  <r>
    <x v="5"/>
    <x v="9"/>
    <s v="Oktober"/>
    <s v="Division_A"/>
    <x v="40"/>
    <n v="2016"/>
    <n v="1"/>
    <s v="TBM"/>
    <n v="25"/>
    <n v="3431"/>
    <s v="137.2"/>
    <x v="0"/>
    <n v="0"/>
    <n v="0"/>
    <n v="0"/>
    <d v="2017-10-01T00:00:00"/>
    <x v="1"/>
    <x v="2"/>
  </r>
  <r>
    <x v="5"/>
    <x v="10"/>
    <s v="November"/>
    <s v="Division_A"/>
    <x v="40"/>
    <n v="2016"/>
    <n v="1"/>
    <s v="TBM"/>
    <n v="25"/>
    <n v="3431"/>
    <s v="137.2"/>
    <x v="0"/>
    <n v="0"/>
    <n v="0"/>
    <n v="0"/>
    <d v="2017-11-01T00:00:00"/>
    <x v="1"/>
    <x v="2"/>
  </r>
  <r>
    <x v="5"/>
    <x v="11"/>
    <s v="Desember"/>
    <s v="Division_A"/>
    <x v="40"/>
    <n v="2016"/>
    <n v="1"/>
    <s v="TBM"/>
    <n v="25"/>
    <n v="3431"/>
    <s v="137.2"/>
    <x v="0"/>
    <n v="0"/>
    <n v="0"/>
    <n v="0"/>
    <d v="2017-12-01T00:00:00"/>
    <x v="1"/>
    <x v="2"/>
  </r>
  <r>
    <x v="5"/>
    <x v="0"/>
    <s v="Januari"/>
    <s v="Division_A"/>
    <x v="41"/>
    <n v="2016"/>
    <n v="1"/>
    <s v="TBM"/>
    <n v="21"/>
    <n v="2901"/>
    <s v="138.1"/>
    <x v="0"/>
    <n v="0"/>
    <n v="0"/>
    <n v="0"/>
    <d v="2017-01-01T00:00:00"/>
    <x v="1"/>
    <x v="2"/>
  </r>
  <r>
    <x v="5"/>
    <x v="1"/>
    <s v="Februari"/>
    <s v="Division_A"/>
    <x v="41"/>
    <n v="2016"/>
    <n v="1"/>
    <s v="TBM"/>
    <n v="21"/>
    <n v="2901"/>
    <s v="138.1"/>
    <x v="0"/>
    <n v="0"/>
    <n v="0"/>
    <n v="0"/>
    <d v="2017-02-01T00:00:00"/>
    <x v="1"/>
    <x v="2"/>
  </r>
  <r>
    <x v="5"/>
    <x v="2"/>
    <s v="Maret"/>
    <s v="Division_A"/>
    <x v="41"/>
    <n v="2016"/>
    <n v="1"/>
    <s v="TBM"/>
    <n v="21"/>
    <n v="2901"/>
    <s v="138.1"/>
    <x v="0"/>
    <n v="0"/>
    <n v="0"/>
    <n v="0"/>
    <d v="2017-03-01T00:00:00"/>
    <x v="1"/>
    <x v="2"/>
  </r>
  <r>
    <x v="5"/>
    <x v="3"/>
    <s v="April"/>
    <s v="Division_A"/>
    <x v="41"/>
    <n v="2016"/>
    <n v="1"/>
    <s v="TBM"/>
    <n v="21"/>
    <n v="2901"/>
    <s v="138.1"/>
    <x v="0"/>
    <n v="0"/>
    <n v="0"/>
    <n v="0"/>
    <d v="2017-04-01T00:00:00"/>
    <x v="1"/>
    <x v="2"/>
  </r>
  <r>
    <x v="5"/>
    <x v="4"/>
    <s v="Mei"/>
    <s v="Division_A"/>
    <x v="41"/>
    <n v="2016"/>
    <n v="1"/>
    <s v="TBM"/>
    <n v="21"/>
    <n v="2901"/>
    <s v="138.1"/>
    <x v="0"/>
    <n v="0"/>
    <n v="0"/>
    <n v="0"/>
    <d v="2017-05-01T00:00:00"/>
    <x v="1"/>
    <x v="2"/>
  </r>
  <r>
    <x v="5"/>
    <x v="5"/>
    <s v="Juni"/>
    <s v="Division_A"/>
    <x v="41"/>
    <n v="2016"/>
    <n v="1"/>
    <s v="TBM"/>
    <n v="21"/>
    <n v="2901"/>
    <s v="138.1"/>
    <x v="0"/>
    <n v="0"/>
    <n v="0"/>
    <n v="0"/>
    <d v="2017-06-01T00:00:00"/>
    <x v="1"/>
    <x v="2"/>
  </r>
  <r>
    <x v="5"/>
    <x v="6"/>
    <s v="Juli"/>
    <s v="Division_A"/>
    <x v="41"/>
    <n v="2016"/>
    <n v="1"/>
    <s v="TBM"/>
    <n v="21"/>
    <n v="2901"/>
    <s v="138.1"/>
    <x v="0"/>
    <n v="0"/>
    <n v="0"/>
    <n v="0"/>
    <d v="2017-07-01T00:00:00"/>
    <x v="1"/>
    <x v="2"/>
  </r>
  <r>
    <x v="5"/>
    <x v="7"/>
    <s v="Agustus"/>
    <s v="Division_A"/>
    <x v="41"/>
    <n v="2016"/>
    <n v="1"/>
    <s v="TBM"/>
    <n v="21"/>
    <n v="2901"/>
    <s v="138.1"/>
    <x v="0"/>
    <n v="0"/>
    <n v="0"/>
    <n v="0"/>
    <d v="2017-08-01T00:00:00"/>
    <x v="1"/>
    <x v="2"/>
  </r>
  <r>
    <x v="5"/>
    <x v="8"/>
    <s v="September"/>
    <s v="Division_A"/>
    <x v="41"/>
    <n v="2016"/>
    <n v="1"/>
    <s v="TBM"/>
    <n v="21"/>
    <n v="2901"/>
    <s v="138.1"/>
    <x v="0"/>
    <n v="0"/>
    <n v="0"/>
    <n v="0"/>
    <d v="2017-09-01T00:00:00"/>
    <x v="1"/>
    <x v="2"/>
  </r>
  <r>
    <x v="5"/>
    <x v="9"/>
    <s v="Oktober"/>
    <s v="Division_A"/>
    <x v="41"/>
    <n v="2016"/>
    <n v="1"/>
    <s v="TBM"/>
    <n v="21"/>
    <n v="2901"/>
    <s v="138.1"/>
    <x v="0"/>
    <n v="0"/>
    <n v="0"/>
    <n v="0"/>
    <d v="2017-10-01T00:00:00"/>
    <x v="1"/>
    <x v="2"/>
  </r>
  <r>
    <x v="5"/>
    <x v="10"/>
    <s v="November"/>
    <s v="Division_A"/>
    <x v="41"/>
    <n v="2016"/>
    <n v="1"/>
    <s v="TBM"/>
    <n v="21"/>
    <n v="2901"/>
    <s v="138.1"/>
    <x v="0"/>
    <n v="0"/>
    <n v="0"/>
    <n v="0"/>
    <d v="2017-11-01T00:00:00"/>
    <x v="1"/>
    <x v="2"/>
  </r>
  <r>
    <x v="5"/>
    <x v="11"/>
    <s v="Desember"/>
    <s v="Division_A"/>
    <x v="41"/>
    <n v="2016"/>
    <n v="1"/>
    <s v="TBM"/>
    <n v="21"/>
    <n v="2901"/>
    <s v="138.1"/>
    <x v="0"/>
    <n v="0"/>
    <n v="0"/>
    <n v="0"/>
    <d v="2017-12-01T00:00:00"/>
    <x v="1"/>
    <x v="2"/>
  </r>
  <r>
    <x v="6"/>
    <x v="0"/>
    <s v="Januari"/>
    <s v="Division_A"/>
    <x v="0"/>
    <n v="2000"/>
    <n v="18"/>
    <s v="TM-Tua"/>
    <n v="19"/>
    <n v="1490"/>
    <s v="78.4"/>
    <x v="0"/>
    <n v="0.53600000000000003"/>
    <n v="10191.6"/>
    <n v="10.192"/>
    <d v="2018-01-01T00:00:00"/>
    <x v="0"/>
    <x v="4"/>
  </r>
  <r>
    <x v="6"/>
    <x v="1"/>
    <s v="Februari"/>
    <s v="Division_A"/>
    <x v="0"/>
    <n v="2000"/>
    <n v="18"/>
    <s v="TM-Tua"/>
    <n v="19"/>
    <n v="1490"/>
    <s v="78.4"/>
    <x v="0"/>
    <n v="0.503"/>
    <n v="9564.7000000000007"/>
    <n v="9.5649999999999995"/>
    <d v="2018-02-01T00:00:00"/>
    <x v="0"/>
    <x v="4"/>
  </r>
  <r>
    <x v="6"/>
    <x v="2"/>
    <s v="Maret"/>
    <s v="Division_A"/>
    <x v="0"/>
    <n v="2000"/>
    <n v="18"/>
    <s v="TM-Tua"/>
    <n v="19"/>
    <n v="1490"/>
    <s v="78.4"/>
    <x v="0"/>
    <n v="0.70099999999999996"/>
    <n v="13315.8"/>
    <n v="13.316000000000001"/>
    <d v="2018-03-01T00:00:00"/>
    <x v="0"/>
    <x v="4"/>
  </r>
  <r>
    <x v="6"/>
    <x v="3"/>
    <s v="April"/>
    <s v="Division_A"/>
    <x v="0"/>
    <n v="2000"/>
    <n v="18"/>
    <s v="TM-Tua"/>
    <n v="19"/>
    <n v="1490"/>
    <s v="78.4"/>
    <x v="0"/>
    <n v="0.622"/>
    <n v="11809.3"/>
    <n v="11.808999999999999"/>
    <d v="2018-04-01T00:00:00"/>
    <x v="0"/>
    <x v="4"/>
  </r>
  <r>
    <x v="6"/>
    <x v="4"/>
    <s v="Mei"/>
    <s v="Division_A"/>
    <x v="0"/>
    <n v="2000"/>
    <n v="18"/>
    <s v="TM-Tua"/>
    <n v="19"/>
    <n v="1490"/>
    <s v="78.4"/>
    <x v="0"/>
    <n v="0.79800000000000004"/>
    <n v="15156"/>
    <n v="15.156000000000001"/>
    <d v="2018-05-01T00:00:00"/>
    <x v="0"/>
    <x v="4"/>
  </r>
  <r>
    <x v="6"/>
    <x v="5"/>
    <s v="Juni"/>
    <s v="Division_A"/>
    <x v="0"/>
    <n v="2000"/>
    <n v="18"/>
    <s v="TM-Tua"/>
    <n v="19"/>
    <n v="1490"/>
    <s v="78.4"/>
    <x v="0"/>
    <n v="0.53900000000000003"/>
    <n v="10242.200000000001"/>
    <n v="10.242000000000001"/>
    <d v="2018-06-01T00:00:00"/>
    <x v="0"/>
    <x v="4"/>
  </r>
  <r>
    <x v="6"/>
    <x v="6"/>
    <s v="Juli"/>
    <s v="Division_A"/>
    <x v="0"/>
    <n v="2000"/>
    <n v="18"/>
    <s v="TM-Tua"/>
    <n v="19"/>
    <n v="1490"/>
    <s v="78.4"/>
    <x v="0"/>
    <n v="0.749"/>
    <n v="14225.8"/>
    <n v="14.226000000000001"/>
    <d v="2018-07-01T00:00:00"/>
    <x v="0"/>
    <x v="4"/>
  </r>
  <r>
    <x v="6"/>
    <x v="7"/>
    <s v="Agustus"/>
    <s v="Division_A"/>
    <x v="0"/>
    <n v="2000"/>
    <n v="18"/>
    <s v="TM-Tua"/>
    <n v="19"/>
    <n v="1490"/>
    <s v="78.4"/>
    <x v="0"/>
    <n v="0.84899999999999998"/>
    <n v="16126.6"/>
    <n v="16.126999999999999"/>
    <d v="2018-08-01T00:00:00"/>
    <x v="0"/>
    <x v="4"/>
  </r>
  <r>
    <x v="6"/>
    <x v="8"/>
    <s v="September"/>
    <s v="Division_A"/>
    <x v="0"/>
    <n v="2000"/>
    <n v="18"/>
    <s v="TM-Tua"/>
    <n v="19"/>
    <n v="1490"/>
    <s v="78.4"/>
    <x v="0"/>
    <n v="0.63200000000000001"/>
    <n v="12011.5"/>
    <n v="12.012"/>
    <d v="2018-09-01T00:00:00"/>
    <x v="0"/>
    <x v="4"/>
  </r>
  <r>
    <x v="6"/>
    <x v="9"/>
    <s v="Oktober"/>
    <s v="Division_A"/>
    <x v="0"/>
    <n v="2000"/>
    <n v="18"/>
    <s v="TM-Tua"/>
    <n v="19"/>
    <n v="1490"/>
    <s v="78.4"/>
    <x v="0"/>
    <n v="0.879"/>
    <n v="16702.900000000001"/>
    <n v="16.702999999999999"/>
    <d v="2018-10-01T00:00:00"/>
    <x v="0"/>
    <x v="4"/>
  </r>
  <r>
    <x v="6"/>
    <x v="10"/>
    <s v="November"/>
    <s v="Division_A"/>
    <x v="0"/>
    <n v="2000"/>
    <n v="18"/>
    <s v="TM-Tua"/>
    <n v="19"/>
    <n v="1490"/>
    <s v="78.4"/>
    <x v="0"/>
    <n v="0.58699999999999997"/>
    <n v="11162.2"/>
    <n v="11.162000000000001"/>
    <d v="2018-11-01T00:00:00"/>
    <x v="0"/>
    <x v="4"/>
  </r>
  <r>
    <x v="6"/>
    <x v="11"/>
    <s v="Desember"/>
    <s v="Division_A"/>
    <x v="0"/>
    <n v="2000"/>
    <n v="18"/>
    <s v="TM-Tua"/>
    <n v="19"/>
    <n v="1490"/>
    <s v="78.4"/>
    <x v="0"/>
    <n v="0.86299999999999999"/>
    <n v="16399.599999999999"/>
    <n v="16.399999999999999"/>
    <d v="2018-12-01T00:00:00"/>
    <x v="0"/>
    <x v="4"/>
  </r>
  <r>
    <x v="6"/>
    <x v="0"/>
    <s v="Januari"/>
    <s v="Division_A"/>
    <x v="1"/>
    <n v="2000"/>
    <n v="18"/>
    <s v="TM-Tua"/>
    <n v="24"/>
    <n v="1675"/>
    <s v="69.8"/>
    <x v="0"/>
    <n v="0.47699999999999998"/>
    <n v="11457"/>
    <n v="11.457000000000001"/>
    <d v="2018-01-01T00:00:00"/>
    <x v="0"/>
    <x v="4"/>
  </r>
  <r>
    <x v="6"/>
    <x v="1"/>
    <s v="Februari"/>
    <s v="Division_A"/>
    <x v="1"/>
    <n v="2000"/>
    <n v="18"/>
    <s v="TM-Tua"/>
    <n v="24"/>
    <n v="1675"/>
    <s v="69.8"/>
    <x v="0"/>
    <n v="0.44800000000000001"/>
    <n v="10752.3"/>
    <n v="10.752000000000001"/>
    <d v="2018-02-01T00:00:00"/>
    <x v="0"/>
    <x v="4"/>
  </r>
  <r>
    <x v="6"/>
    <x v="2"/>
    <s v="Maret"/>
    <s v="Division_A"/>
    <x v="1"/>
    <n v="2000"/>
    <n v="18"/>
    <s v="TM-Tua"/>
    <n v="24"/>
    <n v="1675"/>
    <s v="69.8"/>
    <x v="0"/>
    <n v="0.624"/>
    <n v="14969.1"/>
    <n v="14.968999999999999"/>
    <d v="2018-03-01T00:00:00"/>
    <x v="0"/>
    <x v="4"/>
  </r>
  <r>
    <x v="6"/>
    <x v="3"/>
    <s v="April"/>
    <s v="Division_A"/>
    <x v="1"/>
    <n v="2000"/>
    <n v="18"/>
    <s v="TM-Tua"/>
    <n v="24"/>
    <n v="1675"/>
    <s v="69.8"/>
    <x v="0"/>
    <n v="0.55300000000000005"/>
    <n v="13275.6"/>
    <n v="13.276"/>
    <d v="2018-04-01T00:00:00"/>
    <x v="0"/>
    <x v="4"/>
  </r>
  <r>
    <x v="6"/>
    <x v="4"/>
    <s v="Mei"/>
    <s v="Division_A"/>
    <x v="1"/>
    <n v="2000"/>
    <n v="18"/>
    <s v="TM-Tua"/>
    <n v="24"/>
    <n v="1675"/>
    <s v="69.8"/>
    <x v="0"/>
    <n v="0.71"/>
    <n v="17037.7"/>
    <n v="17.038"/>
    <d v="2018-05-01T00:00:00"/>
    <x v="0"/>
    <x v="4"/>
  </r>
  <r>
    <x v="6"/>
    <x v="5"/>
    <s v="Juni"/>
    <s v="Division_A"/>
    <x v="1"/>
    <n v="2000"/>
    <n v="18"/>
    <s v="TM-Tua"/>
    <n v="24"/>
    <n v="1675"/>
    <s v="69.8"/>
    <x v="0"/>
    <n v="0.48"/>
    <n v="11513.8"/>
    <n v="11.513999999999999"/>
    <d v="2018-06-01T00:00:00"/>
    <x v="0"/>
    <x v="4"/>
  </r>
  <r>
    <x v="6"/>
    <x v="6"/>
    <s v="Juli"/>
    <s v="Division_A"/>
    <x v="1"/>
    <n v="2000"/>
    <n v="18"/>
    <s v="TM-Tua"/>
    <n v="24"/>
    <n v="1675"/>
    <s v="69.8"/>
    <x v="0"/>
    <n v="0.66600000000000004"/>
    <n v="15992.1"/>
    <n v="15.992000000000001"/>
    <d v="2018-07-01T00:00:00"/>
    <x v="0"/>
    <x v="4"/>
  </r>
  <r>
    <x v="6"/>
    <x v="7"/>
    <s v="Agustus"/>
    <s v="Division_A"/>
    <x v="1"/>
    <n v="2000"/>
    <n v="18"/>
    <s v="TM-Tua"/>
    <n v="24"/>
    <n v="1675"/>
    <s v="69.8"/>
    <x v="0"/>
    <n v="0.755"/>
    <n v="18128.900000000001"/>
    <n v="18.129000000000001"/>
    <d v="2018-08-01T00:00:00"/>
    <x v="0"/>
    <x v="4"/>
  </r>
  <r>
    <x v="6"/>
    <x v="8"/>
    <s v="September"/>
    <s v="Division_A"/>
    <x v="1"/>
    <n v="2000"/>
    <n v="18"/>
    <s v="TM-Tua"/>
    <n v="24"/>
    <n v="1675"/>
    <s v="69.8"/>
    <x v="0"/>
    <n v="0.56299999999999994"/>
    <n v="13502.9"/>
    <n v="13.503"/>
    <d v="2018-09-01T00:00:00"/>
    <x v="0"/>
    <x v="4"/>
  </r>
  <r>
    <x v="6"/>
    <x v="9"/>
    <s v="Oktober"/>
    <s v="Division_A"/>
    <x v="1"/>
    <n v="2000"/>
    <n v="18"/>
    <s v="TM-Tua"/>
    <n v="24"/>
    <n v="1675"/>
    <s v="69.8"/>
    <x v="0"/>
    <n v="0.78200000000000003"/>
    <n v="18776.8"/>
    <n v="18.777000000000001"/>
    <d v="2018-10-01T00:00:00"/>
    <x v="0"/>
    <x v="4"/>
  </r>
  <r>
    <x v="6"/>
    <x v="10"/>
    <s v="November"/>
    <s v="Division_A"/>
    <x v="1"/>
    <n v="2000"/>
    <n v="18"/>
    <s v="TM-Tua"/>
    <n v="24"/>
    <n v="1675"/>
    <s v="69.8"/>
    <x v="0"/>
    <n v="0.52300000000000002"/>
    <n v="12548.1"/>
    <n v="12.548"/>
    <d v="2018-11-01T00:00:00"/>
    <x v="0"/>
    <x v="4"/>
  </r>
  <r>
    <x v="6"/>
    <x v="11"/>
    <s v="Desember"/>
    <s v="Division_A"/>
    <x v="1"/>
    <n v="2000"/>
    <n v="18"/>
    <s v="TM-Tua"/>
    <n v="24"/>
    <n v="1675"/>
    <s v="69.8"/>
    <x v="0"/>
    <n v="0.76800000000000002"/>
    <n v="18435.8"/>
    <n v="18.436"/>
    <d v="2018-12-01T00:00:00"/>
    <x v="0"/>
    <x v="4"/>
  </r>
  <r>
    <x v="6"/>
    <x v="0"/>
    <s v="Januari"/>
    <s v="Division_A"/>
    <x v="2"/>
    <n v="2005"/>
    <n v="13"/>
    <s v="TM-Utama"/>
    <n v="18"/>
    <n v="1922"/>
    <s v="106.8"/>
    <x v="0"/>
    <n v="0.80700000000000005"/>
    <n v="14530.3"/>
    <n v="14.53"/>
    <d v="2018-01-01T00:00:00"/>
    <x v="0"/>
    <x v="0"/>
  </r>
  <r>
    <x v="6"/>
    <x v="1"/>
    <s v="Februari"/>
    <s v="Division_A"/>
    <x v="2"/>
    <n v="2005"/>
    <n v="13"/>
    <s v="TM-Utama"/>
    <n v="18"/>
    <n v="1922"/>
    <s v="106.8"/>
    <x v="0"/>
    <n v="0.75800000000000001"/>
    <n v="13636.6"/>
    <n v="13.637"/>
    <d v="2018-02-01T00:00:00"/>
    <x v="0"/>
    <x v="0"/>
  </r>
  <r>
    <x v="6"/>
    <x v="2"/>
    <s v="Maret"/>
    <s v="Division_A"/>
    <x v="2"/>
    <n v="2005"/>
    <n v="13"/>
    <s v="TM-Utama"/>
    <n v="18"/>
    <n v="1922"/>
    <s v="106.8"/>
    <x v="0"/>
    <n v="1.0549999999999999"/>
    <n v="18984.599999999999"/>
    <n v="18.984999999999999"/>
    <d v="2018-03-01T00:00:00"/>
    <x v="0"/>
    <x v="0"/>
  </r>
  <r>
    <x v="6"/>
    <x v="3"/>
    <s v="April"/>
    <s v="Division_A"/>
    <x v="2"/>
    <n v="2005"/>
    <n v="13"/>
    <s v="TM-Utama"/>
    <n v="18"/>
    <n v="1922"/>
    <s v="106.8"/>
    <x v="0"/>
    <n v="0.93500000000000005"/>
    <n v="16836.7"/>
    <n v="16.837"/>
    <d v="2018-04-01T00:00:00"/>
    <x v="0"/>
    <x v="0"/>
  </r>
  <r>
    <x v="6"/>
    <x v="4"/>
    <s v="Mei"/>
    <s v="Division_A"/>
    <x v="2"/>
    <n v="2005"/>
    <n v="13"/>
    <s v="TM-Utama"/>
    <n v="18"/>
    <n v="1922"/>
    <s v="106.8"/>
    <x v="0"/>
    <n v="1.2"/>
    <n v="21608.1"/>
    <n v="21.608000000000001"/>
    <d v="2018-05-01T00:00:00"/>
    <x v="0"/>
    <x v="0"/>
  </r>
  <r>
    <x v="6"/>
    <x v="5"/>
    <s v="Juni"/>
    <s v="Division_A"/>
    <x v="2"/>
    <n v="2005"/>
    <n v="13"/>
    <s v="TM-Utama"/>
    <n v="18"/>
    <n v="1922"/>
    <s v="106.8"/>
    <x v="0"/>
    <n v="0.81100000000000005"/>
    <n v="14602.4"/>
    <n v="14.602"/>
    <d v="2018-06-01T00:00:00"/>
    <x v="0"/>
    <x v="0"/>
  </r>
  <r>
    <x v="6"/>
    <x v="6"/>
    <s v="Juli"/>
    <s v="Division_A"/>
    <x v="2"/>
    <n v="2005"/>
    <n v="13"/>
    <s v="TM-Utama"/>
    <n v="18"/>
    <n v="1922"/>
    <s v="106.8"/>
    <x v="0"/>
    <n v="1.127"/>
    <n v="20281.900000000001"/>
    <n v="20.282"/>
    <d v="2018-07-01T00:00:00"/>
    <x v="0"/>
    <x v="0"/>
  </r>
  <r>
    <x v="6"/>
    <x v="7"/>
    <s v="Agustus"/>
    <s v="Division_A"/>
    <x v="2"/>
    <n v="2005"/>
    <n v="13"/>
    <s v="TM-Utama"/>
    <n v="18"/>
    <n v="1922"/>
    <s v="106.8"/>
    <x v="0"/>
    <n v="1.2769999999999999"/>
    <n v="22991.9"/>
    <n v="22.992000000000001"/>
    <d v="2018-08-01T00:00:00"/>
    <x v="0"/>
    <x v="0"/>
  </r>
  <r>
    <x v="6"/>
    <x v="8"/>
    <s v="September"/>
    <s v="Division_A"/>
    <x v="2"/>
    <n v="2005"/>
    <n v="13"/>
    <s v="TM-Utama"/>
    <n v="18"/>
    <n v="1922"/>
    <s v="106.8"/>
    <x v="0"/>
    <n v="0.95099999999999996"/>
    <n v="17125"/>
    <n v="17.125"/>
    <d v="2018-09-01T00:00:00"/>
    <x v="0"/>
    <x v="0"/>
  </r>
  <r>
    <x v="6"/>
    <x v="9"/>
    <s v="Oktober"/>
    <s v="Division_A"/>
    <x v="2"/>
    <n v="2005"/>
    <n v="13"/>
    <s v="TM-Utama"/>
    <n v="18"/>
    <n v="1922"/>
    <s v="106.8"/>
    <x v="0"/>
    <n v="1.323"/>
    <n v="23813.599999999999"/>
    <n v="23.814"/>
    <d v="2018-10-01T00:00:00"/>
    <x v="0"/>
    <x v="0"/>
  </r>
  <r>
    <x v="6"/>
    <x v="10"/>
    <s v="November"/>
    <s v="Division_A"/>
    <x v="2"/>
    <n v="2005"/>
    <n v="13"/>
    <s v="TM-Utama"/>
    <n v="18"/>
    <n v="1922"/>
    <s v="106.8"/>
    <x v="0"/>
    <n v="0.88400000000000001"/>
    <n v="15914.2"/>
    <n v="15.914"/>
    <d v="2018-11-01T00:00:00"/>
    <x v="0"/>
    <x v="0"/>
  </r>
  <r>
    <x v="6"/>
    <x v="11"/>
    <s v="Desember"/>
    <s v="Division_A"/>
    <x v="2"/>
    <n v="2005"/>
    <n v="13"/>
    <s v="TM-Utama"/>
    <n v="18"/>
    <n v="1922"/>
    <s v="106.8"/>
    <x v="0"/>
    <n v="1.2989999999999999"/>
    <n v="23381.1"/>
    <n v="23.381"/>
    <d v="2018-12-01T00:00:00"/>
    <x v="0"/>
    <x v="0"/>
  </r>
  <r>
    <x v="6"/>
    <x v="0"/>
    <s v="Januari"/>
    <s v="Division_A"/>
    <x v="3"/>
    <n v="2005"/>
    <n v="13"/>
    <s v="TM-Utama"/>
    <n v="26"/>
    <n v="2827"/>
    <s v="108.7"/>
    <x v="0"/>
    <n v="0.82199999999999995"/>
    <n v="21372.1"/>
    <n v="21.372"/>
    <d v="2018-01-01T00:00:00"/>
    <x v="0"/>
    <x v="0"/>
  </r>
  <r>
    <x v="6"/>
    <x v="1"/>
    <s v="Februari"/>
    <s v="Division_A"/>
    <x v="3"/>
    <n v="2005"/>
    <n v="13"/>
    <s v="TM-Utama"/>
    <n v="26"/>
    <n v="2827"/>
    <s v="108.7"/>
    <x v="0"/>
    <n v="0.77100000000000002"/>
    <n v="20057.599999999999"/>
    <n v="20.058"/>
    <d v="2018-02-01T00:00:00"/>
    <x v="0"/>
    <x v="0"/>
  </r>
  <r>
    <x v="6"/>
    <x v="2"/>
    <s v="Maret"/>
    <s v="Division_A"/>
    <x v="3"/>
    <n v="2005"/>
    <n v="13"/>
    <s v="TM-Utama"/>
    <n v="26"/>
    <n v="2827"/>
    <s v="108.7"/>
    <x v="0"/>
    <n v="1.0740000000000001"/>
    <n v="27923.7"/>
    <n v="27.923999999999999"/>
    <d v="2018-03-01T00:00:00"/>
    <x v="0"/>
    <x v="0"/>
  </r>
  <r>
    <x v="6"/>
    <x v="3"/>
    <s v="April"/>
    <s v="Division_A"/>
    <x v="3"/>
    <n v="2005"/>
    <n v="13"/>
    <s v="TM-Utama"/>
    <n v="26"/>
    <n v="2827"/>
    <s v="108.7"/>
    <x v="0"/>
    <n v="0.95199999999999996"/>
    <n v="24764.5"/>
    <n v="24.765000000000001"/>
    <d v="2018-04-01T00:00:00"/>
    <x v="0"/>
    <x v="0"/>
  </r>
  <r>
    <x v="6"/>
    <x v="4"/>
    <s v="Mei"/>
    <s v="Division_A"/>
    <x v="3"/>
    <n v="2005"/>
    <n v="13"/>
    <s v="TM-Utama"/>
    <n v="26"/>
    <n v="2827"/>
    <s v="108.7"/>
    <x v="0"/>
    <n v="1.222"/>
    <n v="31782.5"/>
    <n v="31.783000000000001"/>
    <d v="2018-05-01T00:00:00"/>
    <x v="0"/>
    <x v="0"/>
  </r>
  <r>
    <x v="6"/>
    <x v="5"/>
    <s v="Juni"/>
    <s v="Division_A"/>
    <x v="3"/>
    <n v="2005"/>
    <n v="13"/>
    <s v="TM-Utama"/>
    <n v="26"/>
    <n v="2827"/>
    <s v="108.7"/>
    <x v="0"/>
    <n v="0.82599999999999996"/>
    <n v="21478.1"/>
    <n v="21.478000000000002"/>
    <d v="2018-06-01T00:00:00"/>
    <x v="0"/>
    <x v="0"/>
  </r>
  <r>
    <x v="6"/>
    <x v="6"/>
    <s v="Juli"/>
    <s v="Division_A"/>
    <x v="3"/>
    <n v="2005"/>
    <n v="13"/>
    <s v="TM-Utama"/>
    <n v="26"/>
    <n v="2827"/>
    <s v="108.7"/>
    <x v="0"/>
    <n v="1.147"/>
    <n v="29831.9"/>
    <n v="29.832000000000001"/>
    <d v="2018-07-01T00:00:00"/>
    <x v="0"/>
    <x v="0"/>
  </r>
  <r>
    <x v="6"/>
    <x v="7"/>
    <s v="Agustus"/>
    <s v="Division_A"/>
    <x v="3"/>
    <n v="2005"/>
    <n v="13"/>
    <s v="TM-Utama"/>
    <n v="26"/>
    <n v="2827"/>
    <s v="108.7"/>
    <x v="0"/>
    <n v="1.3009999999999999"/>
    <n v="33818"/>
    <n v="33.817999999999998"/>
    <d v="2018-08-01T00:00:00"/>
    <x v="0"/>
    <x v="0"/>
  </r>
  <r>
    <x v="6"/>
    <x v="8"/>
    <s v="September"/>
    <s v="Division_A"/>
    <x v="3"/>
    <n v="2005"/>
    <n v="13"/>
    <s v="TM-Utama"/>
    <n v="26"/>
    <n v="2827"/>
    <s v="108.7"/>
    <x v="0"/>
    <n v="0.96899999999999997"/>
    <n v="25188.6"/>
    <n v="25.189"/>
    <d v="2018-09-01T00:00:00"/>
    <x v="0"/>
    <x v="0"/>
  </r>
  <r>
    <x v="6"/>
    <x v="9"/>
    <s v="Oktober"/>
    <s v="Division_A"/>
    <x v="3"/>
    <n v="2005"/>
    <n v="13"/>
    <s v="TM-Utama"/>
    <n v="26"/>
    <n v="2827"/>
    <s v="108.7"/>
    <x v="0"/>
    <n v="1.347"/>
    <n v="35026.5"/>
    <n v="35.027000000000001"/>
    <d v="2018-10-01T00:00:00"/>
    <x v="0"/>
    <x v="0"/>
  </r>
  <r>
    <x v="6"/>
    <x v="10"/>
    <s v="November"/>
    <s v="Division_A"/>
    <x v="3"/>
    <n v="2005"/>
    <n v="13"/>
    <s v="TM-Utama"/>
    <n v="26"/>
    <n v="2827"/>
    <s v="108.7"/>
    <x v="0"/>
    <n v="0.9"/>
    <n v="23407.599999999999"/>
    <n v="23.408000000000001"/>
    <d v="2018-11-01T00:00:00"/>
    <x v="0"/>
    <x v="0"/>
  </r>
  <r>
    <x v="6"/>
    <x v="11"/>
    <s v="Desember"/>
    <s v="Division_A"/>
    <x v="3"/>
    <n v="2005"/>
    <n v="13"/>
    <s v="TM-Utama"/>
    <n v="26"/>
    <n v="2827"/>
    <s v="108.7"/>
    <x v="0"/>
    <n v="1.323"/>
    <n v="34390.5"/>
    <n v="34.39"/>
    <d v="2018-12-01T00:00:00"/>
    <x v="0"/>
    <x v="0"/>
  </r>
  <r>
    <x v="6"/>
    <x v="0"/>
    <s v="Januari"/>
    <s v="Division_A"/>
    <x v="4"/>
    <n v="2005"/>
    <n v="13"/>
    <s v="TM-Utama"/>
    <n v="24"/>
    <n v="1947"/>
    <s v="81.1"/>
    <x v="1"/>
    <n v="0.77100000000000002"/>
    <n v="18506.900000000001"/>
    <n v="18.507000000000001"/>
    <d v="2018-01-01T00:00:00"/>
    <x v="0"/>
    <x v="0"/>
  </r>
  <r>
    <x v="6"/>
    <x v="1"/>
    <s v="Februari"/>
    <s v="Division_A"/>
    <x v="4"/>
    <n v="2005"/>
    <n v="13"/>
    <s v="TM-Utama"/>
    <n v="24"/>
    <n v="1947"/>
    <s v="81.1"/>
    <x v="1"/>
    <n v="0.72399999999999998"/>
    <n v="17368.599999999999"/>
    <n v="17.369"/>
    <d v="2018-02-01T00:00:00"/>
    <x v="0"/>
    <x v="0"/>
  </r>
  <r>
    <x v="6"/>
    <x v="2"/>
    <s v="Maret"/>
    <s v="Division_A"/>
    <x v="4"/>
    <n v="2005"/>
    <n v="13"/>
    <s v="TM-Utama"/>
    <n v="24"/>
    <n v="1947"/>
    <s v="81.1"/>
    <x v="1"/>
    <n v="1.008"/>
    <n v="24180.1"/>
    <n v="24.18"/>
    <d v="2018-03-01T00:00:00"/>
    <x v="0"/>
    <x v="0"/>
  </r>
  <r>
    <x v="6"/>
    <x v="3"/>
    <s v="April"/>
    <s v="Division_A"/>
    <x v="4"/>
    <n v="2005"/>
    <n v="13"/>
    <s v="TM-Utama"/>
    <n v="24"/>
    <n v="1947"/>
    <s v="81.1"/>
    <x v="1"/>
    <n v="0.89400000000000002"/>
    <n v="21444.5"/>
    <n v="21.443999999999999"/>
    <d v="2018-04-01T00:00:00"/>
    <x v="0"/>
    <x v="0"/>
  </r>
  <r>
    <x v="6"/>
    <x v="4"/>
    <s v="Mei"/>
    <s v="Division_A"/>
    <x v="4"/>
    <n v="2005"/>
    <n v="13"/>
    <s v="TM-Utama"/>
    <n v="24"/>
    <n v="1947"/>
    <s v="81.1"/>
    <x v="1"/>
    <n v="1.147"/>
    <n v="27521.599999999999"/>
    <n v="27.521999999999998"/>
    <d v="2018-05-01T00:00:00"/>
    <x v="0"/>
    <x v="0"/>
  </r>
  <r>
    <x v="6"/>
    <x v="5"/>
    <s v="Juni"/>
    <s v="Division_A"/>
    <x v="4"/>
    <n v="2005"/>
    <n v="13"/>
    <s v="TM-Utama"/>
    <n v="24"/>
    <n v="1947"/>
    <s v="81.1"/>
    <x v="1"/>
    <n v="0.77500000000000002"/>
    <n v="18598.7"/>
    <n v="18.599"/>
    <d v="2018-06-01T00:00:00"/>
    <x v="0"/>
    <x v="0"/>
  </r>
  <r>
    <x v="6"/>
    <x v="6"/>
    <s v="Juli"/>
    <s v="Division_A"/>
    <x v="4"/>
    <n v="2005"/>
    <n v="13"/>
    <s v="TM-Utama"/>
    <n v="24"/>
    <n v="1947"/>
    <s v="81.1"/>
    <x v="1"/>
    <n v="1.0760000000000001"/>
    <n v="25832.5"/>
    <n v="25.832999999999998"/>
    <d v="2018-07-01T00:00:00"/>
    <x v="0"/>
    <x v="0"/>
  </r>
  <r>
    <x v="6"/>
    <x v="7"/>
    <s v="Agustus"/>
    <s v="Division_A"/>
    <x v="4"/>
    <n v="2005"/>
    <n v="13"/>
    <s v="TM-Utama"/>
    <n v="24"/>
    <n v="1947"/>
    <s v="81.1"/>
    <x v="1"/>
    <n v="1.22"/>
    <n v="29284.2"/>
    <n v="29.283999999999999"/>
    <d v="2018-08-01T00:00:00"/>
    <x v="0"/>
    <x v="0"/>
  </r>
  <r>
    <x v="6"/>
    <x v="8"/>
    <s v="September"/>
    <s v="Division_A"/>
    <x v="4"/>
    <n v="2005"/>
    <n v="13"/>
    <s v="TM-Utama"/>
    <n v="24"/>
    <n v="1947"/>
    <s v="81.1"/>
    <x v="1"/>
    <n v="0.90900000000000003"/>
    <n v="21811.7"/>
    <n v="21.812000000000001"/>
    <d v="2018-09-01T00:00:00"/>
    <x v="0"/>
    <x v="0"/>
  </r>
  <r>
    <x v="6"/>
    <x v="9"/>
    <s v="Oktober"/>
    <s v="Division_A"/>
    <x v="4"/>
    <n v="2005"/>
    <n v="13"/>
    <s v="TM-Utama"/>
    <n v="24"/>
    <n v="1947"/>
    <s v="81.1"/>
    <x v="1"/>
    <n v="1.264"/>
    <n v="30330.7"/>
    <n v="30.331"/>
    <d v="2018-10-01T00:00:00"/>
    <x v="0"/>
    <x v="0"/>
  </r>
  <r>
    <x v="6"/>
    <x v="10"/>
    <s v="November"/>
    <s v="Division_A"/>
    <x v="4"/>
    <n v="2005"/>
    <n v="13"/>
    <s v="TM-Utama"/>
    <n v="24"/>
    <n v="1947"/>
    <s v="81.1"/>
    <x v="1"/>
    <n v="0.84499999999999997"/>
    <n v="20269.400000000001"/>
    <n v="20.268999999999998"/>
    <d v="2018-11-01T00:00:00"/>
    <x v="0"/>
    <x v="0"/>
  </r>
  <r>
    <x v="6"/>
    <x v="11"/>
    <s v="Desember"/>
    <s v="Division_A"/>
    <x v="4"/>
    <n v="2005"/>
    <n v="13"/>
    <s v="TM-Utama"/>
    <n v="24"/>
    <n v="1947"/>
    <s v="81.1"/>
    <x v="1"/>
    <n v="1.2410000000000001"/>
    <n v="29779.9"/>
    <n v="29.78"/>
    <d v="2018-12-01T00:00:00"/>
    <x v="0"/>
    <x v="0"/>
  </r>
  <r>
    <x v="6"/>
    <x v="0"/>
    <s v="Januari"/>
    <s v="Division_A"/>
    <x v="5"/>
    <n v="2006"/>
    <n v="12"/>
    <s v="TM-Utama"/>
    <n v="25"/>
    <n v="2740"/>
    <s v="109.6"/>
    <x v="1"/>
    <n v="0.82899999999999996"/>
    <n v="20714.400000000001"/>
    <n v="20.713999999999999"/>
    <d v="2018-01-01T00:00:00"/>
    <x v="0"/>
    <x v="0"/>
  </r>
  <r>
    <x v="6"/>
    <x v="1"/>
    <s v="Februari"/>
    <s v="Division_A"/>
    <x v="5"/>
    <n v="2006"/>
    <n v="12"/>
    <s v="TM-Utama"/>
    <n v="25"/>
    <n v="2740"/>
    <s v="109.6"/>
    <x v="1"/>
    <n v="0.77800000000000002"/>
    <n v="19440.3"/>
    <n v="19.440000000000001"/>
    <d v="2018-02-01T00:00:00"/>
    <x v="0"/>
    <x v="0"/>
  </r>
  <r>
    <x v="6"/>
    <x v="2"/>
    <s v="Maret"/>
    <s v="Division_A"/>
    <x v="5"/>
    <n v="2006"/>
    <n v="12"/>
    <s v="TM-Utama"/>
    <n v="25"/>
    <n v="2740"/>
    <s v="109.6"/>
    <x v="1"/>
    <n v="1.083"/>
    <n v="27064.3"/>
    <n v="27.064"/>
    <d v="2018-03-01T00:00:00"/>
    <x v="0"/>
    <x v="0"/>
  </r>
  <r>
    <x v="6"/>
    <x v="3"/>
    <s v="April"/>
    <s v="Division_A"/>
    <x v="5"/>
    <n v="2006"/>
    <n v="12"/>
    <s v="TM-Utama"/>
    <n v="25"/>
    <n v="2740"/>
    <s v="109.6"/>
    <x v="1"/>
    <n v="0.96"/>
    <n v="24002.400000000001"/>
    <n v="24.001999999999999"/>
    <d v="2018-04-01T00:00:00"/>
    <x v="0"/>
    <x v="0"/>
  </r>
  <r>
    <x v="6"/>
    <x v="4"/>
    <s v="Mei"/>
    <s v="Division_A"/>
    <x v="5"/>
    <n v="2006"/>
    <n v="12"/>
    <s v="TM-Utama"/>
    <n v="25"/>
    <n v="2740"/>
    <s v="109.6"/>
    <x v="1"/>
    <n v="1.232"/>
    <n v="30804.5"/>
    <n v="30.803999999999998"/>
    <d v="2018-05-01T00:00:00"/>
    <x v="0"/>
    <x v="0"/>
  </r>
  <r>
    <x v="6"/>
    <x v="5"/>
    <s v="Juni"/>
    <s v="Division_A"/>
    <x v="5"/>
    <n v="2006"/>
    <n v="12"/>
    <s v="TM-Utama"/>
    <n v="25"/>
    <n v="2740"/>
    <s v="109.6"/>
    <x v="1"/>
    <n v="0.83299999999999996"/>
    <n v="20817.099999999999"/>
    <n v="20.817"/>
    <d v="2018-06-01T00:00:00"/>
    <x v="0"/>
    <x v="0"/>
  </r>
  <r>
    <x v="6"/>
    <x v="6"/>
    <s v="Juli"/>
    <s v="Division_A"/>
    <x v="5"/>
    <n v="2006"/>
    <n v="12"/>
    <s v="TM-Utama"/>
    <n v="25"/>
    <n v="2740"/>
    <s v="109.6"/>
    <x v="1"/>
    <n v="1.157"/>
    <n v="28913.8"/>
    <n v="28.914000000000001"/>
    <d v="2018-07-01T00:00:00"/>
    <x v="0"/>
    <x v="0"/>
  </r>
  <r>
    <x v="6"/>
    <x v="7"/>
    <s v="Agustus"/>
    <s v="Division_A"/>
    <x v="5"/>
    <n v="2006"/>
    <n v="12"/>
    <s v="TM-Utama"/>
    <n v="25"/>
    <n v="2740"/>
    <s v="109.6"/>
    <x v="1"/>
    <n v="1.3109999999999999"/>
    <n v="32777.199999999997"/>
    <n v="32.777000000000001"/>
    <d v="2018-08-01T00:00:00"/>
    <x v="0"/>
    <x v="0"/>
  </r>
  <r>
    <x v="6"/>
    <x v="8"/>
    <s v="September"/>
    <s v="Division_A"/>
    <x v="5"/>
    <n v="2006"/>
    <n v="12"/>
    <s v="TM-Utama"/>
    <n v="25"/>
    <n v="2740"/>
    <s v="109.6"/>
    <x v="1"/>
    <n v="0.97699999999999998"/>
    <n v="24413.4"/>
    <n v="24.413"/>
    <d v="2018-09-01T00:00:00"/>
    <x v="0"/>
    <x v="0"/>
  </r>
  <r>
    <x v="6"/>
    <x v="9"/>
    <s v="Oktober"/>
    <s v="Division_A"/>
    <x v="5"/>
    <n v="2006"/>
    <n v="12"/>
    <s v="TM-Utama"/>
    <n v="25"/>
    <n v="2740"/>
    <s v="109.6"/>
    <x v="1"/>
    <n v="1.3580000000000001"/>
    <n v="33948.6"/>
    <n v="33.948999999999998"/>
    <d v="2018-10-01T00:00:00"/>
    <x v="0"/>
    <x v="0"/>
  </r>
  <r>
    <x v="6"/>
    <x v="10"/>
    <s v="November"/>
    <s v="Division_A"/>
    <x v="5"/>
    <n v="2006"/>
    <n v="12"/>
    <s v="TM-Utama"/>
    <n v="25"/>
    <n v="2740"/>
    <s v="109.6"/>
    <x v="1"/>
    <n v="0.90700000000000003"/>
    <n v="22687.200000000001"/>
    <n v="22.687000000000001"/>
    <d v="2018-11-01T00:00:00"/>
    <x v="0"/>
    <x v="0"/>
  </r>
  <r>
    <x v="6"/>
    <x v="11"/>
    <s v="Desember"/>
    <s v="Division_A"/>
    <x v="5"/>
    <n v="2006"/>
    <n v="12"/>
    <s v="TM-Utama"/>
    <n v="25"/>
    <n v="2740"/>
    <s v="109.6"/>
    <x v="1"/>
    <n v="1.333"/>
    <n v="33332.1"/>
    <n v="33.332000000000001"/>
    <d v="2018-12-01T00:00:00"/>
    <x v="0"/>
    <x v="0"/>
  </r>
  <r>
    <x v="6"/>
    <x v="0"/>
    <s v="Januari"/>
    <s v="Division_A"/>
    <x v="6"/>
    <n v="2006"/>
    <n v="12"/>
    <s v="TM-Utama"/>
    <n v="24"/>
    <n v="3230"/>
    <s v="134.6"/>
    <x v="1"/>
    <n v="1.0169999999999999"/>
    <n v="24418.799999999999"/>
    <n v="24.419"/>
    <d v="2018-01-01T00:00:00"/>
    <x v="0"/>
    <x v="0"/>
  </r>
  <r>
    <x v="6"/>
    <x v="1"/>
    <s v="Februari"/>
    <s v="Division_A"/>
    <x v="6"/>
    <n v="2006"/>
    <n v="12"/>
    <s v="TM-Utama"/>
    <n v="24"/>
    <n v="3230"/>
    <s v="134.6"/>
    <x v="1"/>
    <n v="0.95499999999999996"/>
    <n v="22916.799999999999"/>
    <n v="22.917000000000002"/>
    <d v="2018-02-01T00:00:00"/>
    <x v="0"/>
    <x v="0"/>
  </r>
  <r>
    <x v="6"/>
    <x v="2"/>
    <s v="Maret"/>
    <s v="Division_A"/>
    <x v="6"/>
    <n v="2006"/>
    <n v="12"/>
    <s v="TM-Utama"/>
    <n v="24"/>
    <n v="3230"/>
    <s v="134.6"/>
    <x v="1"/>
    <n v="1.329"/>
    <n v="31904.3"/>
    <n v="31.904"/>
    <d v="2018-03-01T00:00:00"/>
    <x v="0"/>
    <x v="0"/>
  </r>
  <r>
    <x v="6"/>
    <x v="3"/>
    <s v="April"/>
    <s v="Division_A"/>
    <x v="6"/>
    <n v="2006"/>
    <n v="12"/>
    <s v="TM-Utama"/>
    <n v="24"/>
    <n v="3230"/>
    <s v="134.6"/>
    <x v="1"/>
    <n v="1.179"/>
    <n v="28294.799999999999"/>
    <n v="28.295000000000002"/>
    <d v="2018-04-01T00:00:00"/>
    <x v="0"/>
    <x v="0"/>
  </r>
  <r>
    <x v="6"/>
    <x v="4"/>
    <s v="Mei"/>
    <s v="Division_A"/>
    <x v="6"/>
    <n v="2006"/>
    <n v="12"/>
    <s v="TM-Utama"/>
    <n v="24"/>
    <n v="3230"/>
    <s v="134.6"/>
    <x v="1"/>
    <n v="1.5129999999999999"/>
    <n v="36313.300000000003"/>
    <n v="36.313000000000002"/>
    <d v="2018-05-01T00:00:00"/>
    <x v="0"/>
    <x v="0"/>
  </r>
  <r>
    <x v="6"/>
    <x v="5"/>
    <s v="Juni"/>
    <s v="Division_A"/>
    <x v="6"/>
    <n v="2006"/>
    <n v="12"/>
    <s v="TM-Utama"/>
    <n v="24"/>
    <n v="3230"/>
    <s v="134.6"/>
    <x v="1"/>
    <n v="1.022"/>
    <n v="24539.9"/>
    <n v="24.54"/>
    <d v="2018-06-01T00:00:00"/>
    <x v="0"/>
    <x v="0"/>
  </r>
  <r>
    <x v="6"/>
    <x v="6"/>
    <s v="Juli"/>
    <s v="Division_A"/>
    <x v="6"/>
    <n v="2006"/>
    <n v="12"/>
    <s v="TM-Utama"/>
    <n v="24"/>
    <n v="3230"/>
    <s v="134.6"/>
    <x v="1"/>
    <n v="1.42"/>
    <n v="34084.6"/>
    <n v="34.085000000000001"/>
    <d v="2018-07-01T00:00:00"/>
    <x v="0"/>
    <x v="0"/>
  </r>
  <r>
    <x v="6"/>
    <x v="7"/>
    <s v="Agustus"/>
    <s v="Division_A"/>
    <x v="6"/>
    <n v="2006"/>
    <n v="12"/>
    <s v="TM-Utama"/>
    <n v="24"/>
    <n v="3230"/>
    <s v="134.6"/>
    <x v="1"/>
    <n v="1.61"/>
    <n v="38638.9"/>
    <n v="38.639000000000003"/>
    <d v="2018-08-01T00:00:00"/>
    <x v="0"/>
    <x v="0"/>
  </r>
  <r>
    <x v="6"/>
    <x v="8"/>
    <s v="September"/>
    <s v="Division_A"/>
    <x v="6"/>
    <n v="2006"/>
    <n v="12"/>
    <s v="TM-Utama"/>
    <n v="24"/>
    <n v="3230"/>
    <s v="134.6"/>
    <x v="1"/>
    <n v="1.1990000000000001"/>
    <n v="28779.3"/>
    <n v="28.779"/>
    <d v="2018-09-01T00:00:00"/>
    <x v="0"/>
    <x v="0"/>
  </r>
  <r>
    <x v="6"/>
    <x v="9"/>
    <s v="Oktober"/>
    <s v="Division_A"/>
    <x v="6"/>
    <n v="2006"/>
    <n v="12"/>
    <s v="TM-Utama"/>
    <n v="24"/>
    <n v="3230"/>
    <s v="134.6"/>
    <x v="1"/>
    <n v="1.667"/>
    <n v="40019.699999999997"/>
    <n v="40.020000000000003"/>
    <d v="2018-10-01T00:00:00"/>
    <x v="0"/>
    <x v="0"/>
  </r>
  <r>
    <x v="6"/>
    <x v="10"/>
    <s v="November"/>
    <s v="Division_A"/>
    <x v="6"/>
    <n v="2006"/>
    <n v="12"/>
    <s v="TM-Utama"/>
    <n v="24"/>
    <n v="3230"/>
    <s v="134.6"/>
    <x v="1"/>
    <n v="1.1140000000000001"/>
    <n v="26744.400000000001"/>
    <n v="26.744"/>
    <d v="2018-11-01T00:00:00"/>
    <x v="0"/>
    <x v="0"/>
  </r>
  <r>
    <x v="6"/>
    <x v="11"/>
    <s v="Desember"/>
    <s v="Division_A"/>
    <x v="6"/>
    <n v="2006"/>
    <n v="12"/>
    <s v="TM-Utama"/>
    <n v="24"/>
    <n v="3230"/>
    <s v="134.6"/>
    <x v="1"/>
    <n v="1.637"/>
    <n v="39293"/>
    <n v="39.292999999999999"/>
    <d v="2018-12-01T00:00:00"/>
    <x v="0"/>
    <x v="0"/>
  </r>
  <r>
    <x v="6"/>
    <x v="0"/>
    <s v="Januari"/>
    <s v="Division_A"/>
    <x v="7"/>
    <n v="2006"/>
    <n v="12"/>
    <s v="TM-Utama"/>
    <n v="22"/>
    <n v="2447"/>
    <s v="111.2"/>
    <x v="1"/>
    <n v="0.84099999999999997"/>
    <n v="18499.3"/>
    <n v="18.498999999999999"/>
    <d v="2018-01-01T00:00:00"/>
    <x v="0"/>
    <x v="0"/>
  </r>
  <r>
    <x v="6"/>
    <x v="1"/>
    <s v="Februari"/>
    <s v="Division_A"/>
    <x v="7"/>
    <n v="2006"/>
    <n v="12"/>
    <s v="TM-Utama"/>
    <n v="22"/>
    <n v="2447"/>
    <s v="111.2"/>
    <x v="1"/>
    <n v="0.78900000000000003"/>
    <n v="17361.5"/>
    <n v="17.361000000000001"/>
    <d v="2018-02-01T00:00:00"/>
    <x v="0"/>
    <x v="0"/>
  </r>
  <r>
    <x v="6"/>
    <x v="2"/>
    <s v="Maret"/>
    <s v="Division_A"/>
    <x v="7"/>
    <n v="2006"/>
    <n v="12"/>
    <s v="TM-Utama"/>
    <n v="22"/>
    <n v="2447"/>
    <s v="111.2"/>
    <x v="1"/>
    <n v="1.099"/>
    <n v="24170.2"/>
    <n v="24.17"/>
    <d v="2018-03-01T00:00:00"/>
    <x v="0"/>
    <x v="0"/>
  </r>
  <r>
    <x v="6"/>
    <x v="3"/>
    <s v="April"/>
    <s v="Division_A"/>
    <x v="7"/>
    <n v="2006"/>
    <n v="12"/>
    <s v="TM-Utama"/>
    <n v="22"/>
    <n v="2447"/>
    <s v="111.2"/>
    <x v="1"/>
    <n v="0.97399999999999998"/>
    <n v="21435.7"/>
    <n v="21.436"/>
    <d v="2018-04-01T00:00:00"/>
    <x v="0"/>
    <x v="0"/>
  </r>
  <r>
    <x v="6"/>
    <x v="4"/>
    <s v="Mei"/>
    <s v="Division_A"/>
    <x v="7"/>
    <n v="2006"/>
    <n v="12"/>
    <s v="TM-Utama"/>
    <n v="22"/>
    <n v="2447"/>
    <s v="111.2"/>
    <x v="1"/>
    <n v="1.25"/>
    <n v="27510.400000000001"/>
    <n v="27.51"/>
    <d v="2018-05-01T00:00:00"/>
    <x v="0"/>
    <x v="0"/>
  </r>
  <r>
    <x v="6"/>
    <x v="5"/>
    <s v="Juni"/>
    <s v="Division_A"/>
    <x v="7"/>
    <n v="2006"/>
    <n v="12"/>
    <s v="TM-Utama"/>
    <n v="22"/>
    <n v="2447"/>
    <s v="111.2"/>
    <x v="1"/>
    <n v="0.84499999999999997"/>
    <n v="18591.099999999999"/>
    <n v="18.591000000000001"/>
    <d v="2018-06-01T00:00:00"/>
    <x v="0"/>
    <x v="0"/>
  </r>
  <r>
    <x v="6"/>
    <x v="6"/>
    <s v="Juli"/>
    <s v="Division_A"/>
    <x v="7"/>
    <n v="2006"/>
    <n v="12"/>
    <s v="TM-Utama"/>
    <n v="22"/>
    <n v="2447"/>
    <s v="111.2"/>
    <x v="1"/>
    <n v="1.1739999999999999"/>
    <n v="25822"/>
    <n v="25.821999999999999"/>
    <d v="2018-07-01T00:00:00"/>
    <x v="0"/>
    <x v="0"/>
  </r>
  <r>
    <x v="6"/>
    <x v="7"/>
    <s v="Agustus"/>
    <s v="Division_A"/>
    <x v="7"/>
    <n v="2006"/>
    <n v="12"/>
    <s v="TM-Utama"/>
    <n v="22"/>
    <n v="2447"/>
    <s v="111.2"/>
    <x v="1"/>
    <n v="1.331"/>
    <n v="29272.2"/>
    <n v="29.271999999999998"/>
    <d v="2018-08-01T00:00:00"/>
    <x v="0"/>
    <x v="0"/>
  </r>
  <r>
    <x v="6"/>
    <x v="8"/>
    <s v="September"/>
    <s v="Division_A"/>
    <x v="7"/>
    <n v="2006"/>
    <n v="12"/>
    <s v="TM-Utama"/>
    <n v="22"/>
    <n v="2447"/>
    <s v="111.2"/>
    <x v="1"/>
    <n v="0.99099999999999999"/>
    <n v="21802.799999999999"/>
    <n v="21.803000000000001"/>
    <d v="2018-09-01T00:00:00"/>
    <x v="0"/>
    <x v="0"/>
  </r>
  <r>
    <x v="6"/>
    <x v="9"/>
    <s v="Oktober"/>
    <s v="Division_A"/>
    <x v="7"/>
    <n v="2006"/>
    <n v="12"/>
    <s v="TM-Utama"/>
    <n v="22"/>
    <n v="2447"/>
    <s v="111.2"/>
    <x v="1"/>
    <n v="1.3779999999999999"/>
    <n v="30318.3"/>
    <n v="30.318000000000001"/>
    <d v="2018-10-01T00:00:00"/>
    <x v="0"/>
    <x v="0"/>
  </r>
  <r>
    <x v="6"/>
    <x v="10"/>
    <s v="November"/>
    <s v="Division_A"/>
    <x v="7"/>
    <n v="2006"/>
    <n v="12"/>
    <s v="TM-Utama"/>
    <n v="22"/>
    <n v="2447"/>
    <s v="111.2"/>
    <x v="1"/>
    <n v="0.92100000000000004"/>
    <n v="20261.2"/>
    <n v="20.260999999999999"/>
    <d v="2018-11-01T00:00:00"/>
    <x v="0"/>
    <x v="0"/>
  </r>
  <r>
    <x v="6"/>
    <x v="11"/>
    <s v="Desember"/>
    <s v="Division_A"/>
    <x v="7"/>
    <n v="2006"/>
    <n v="12"/>
    <s v="TM-Utama"/>
    <n v="22"/>
    <n v="2447"/>
    <s v="111.2"/>
    <x v="1"/>
    <n v="1.353"/>
    <n v="29767.8"/>
    <n v="29.768000000000001"/>
    <d v="2018-12-01T00:00:00"/>
    <x v="0"/>
    <x v="0"/>
  </r>
  <r>
    <x v="6"/>
    <x v="0"/>
    <s v="Januari"/>
    <s v="Division_A"/>
    <x v="8"/>
    <n v="2006"/>
    <n v="12"/>
    <s v="TM-Utama"/>
    <n v="15"/>
    <n v="1866"/>
    <s v="124.4"/>
    <x v="1"/>
    <n v="0.94"/>
    <n v="14107"/>
    <n v="14.106999999999999"/>
    <d v="2018-01-01T00:00:00"/>
    <x v="0"/>
    <x v="0"/>
  </r>
  <r>
    <x v="6"/>
    <x v="1"/>
    <s v="Februari"/>
    <s v="Division_A"/>
    <x v="8"/>
    <n v="2006"/>
    <n v="12"/>
    <s v="TM-Utama"/>
    <n v="15"/>
    <n v="1866"/>
    <s v="124.4"/>
    <x v="1"/>
    <n v="0.88300000000000001"/>
    <n v="13239.3"/>
    <n v="13.239000000000001"/>
    <d v="2018-02-01T00:00:00"/>
    <x v="0"/>
    <x v="0"/>
  </r>
  <r>
    <x v="6"/>
    <x v="2"/>
    <s v="Maret"/>
    <s v="Division_A"/>
    <x v="8"/>
    <n v="2006"/>
    <n v="12"/>
    <s v="TM-Utama"/>
    <n v="15"/>
    <n v="1866"/>
    <s v="124.4"/>
    <x v="1"/>
    <n v="1.2290000000000001"/>
    <n v="18431.400000000001"/>
    <n v="18.431000000000001"/>
    <d v="2018-03-01T00:00:00"/>
    <x v="0"/>
    <x v="0"/>
  </r>
  <r>
    <x v="6"/>
    <x v="3"/>
    <s v="April"/>
    <s v="Division_A"/>
    <x v="8"/>
    <n v="2006"/>
    <n v="12"/>
    <s v="TM-Utama"/>
    <n v="15"/>
    <n v="1866"/>
    <s v="124.4"/>
    <x v="1"/>
    <n v="1.0900000000000001"/>
    <n v="16346.2"/>
    <n v="16.346"/>
    <d v="2018-04-01T00:00:00"/>
    <x v="0"/>
    <x v="0"/>
  </r>
  <r>
    <x v="6"/>
    <x v="4"/>
    <s v="Mei"/>
    <s v="Division_A"/>
    <x v="8"/>
    <n v="2006"/>
    <n v="12"/>
    <s v="TM-Utama"/>
    <n v="15"/>
    <n v="1866"/>
    <s v="124.4"/>
    <x v="1"/>
    <n v="1.399"/>
    <n v="20978.5"/>
    <n v="20.978999999999999"/>
    <d v="2018-05-01T00:00:00"/>
    <x v="0"/>
    <x v="0"/>
  </r>
  <r>
    <x v="6"/>
    <x v="5"/>
    <s v="Juni"/>
    <s v="Division_A"/>
    <x v="8"/>
    <n v="2006"/>
    <n v="12"/>
    <s v="TM-Utama"/>
    <n v="15"/>
    <n v="1866"/>
    <s v="124.4"/>
    <x v="1"/>
    <n v="0.94499999999999995"/>
    <n v="14176.9"/>
    <n v="14.177"/>
    <d v="2018-06-01T00:00:00"/>
    <x v="0"/>
    <x v="0"/>
  </r>
  <r>
    <x v="6"/>
    <x v="6"/>
    <s v="Juli"/>
    <s v="Division_A"/>
    <x v="8"/>
    <n v="2006"/>
    <n v="12"/>
    <s v="TM-Utama"/>
    <n v="15"/>
    <n v="1866"/>
    <s v="124.4"/>
    <x v="1"/>
    <n v="1.3129999999999999"/>
    <n v="19691"/>
    <n v="19.690999999999999"/>
    <d v="2018-07-01T00:00:00"/>
    <x v="0"/>
    <x v="0"/>
  </r>
  <r>
    <x v="6"/>
    <x v="7"/>
    <s v="Agustus"/>
    <s v="Division_A"/>
    <x v="8"/>
    <n v="2006"/>
    <n v="12"/>
    <s v="TM-Utama"/>
    <n v="15"/>
    <n v="1866"/>
    <s v="124.4"/>
    <x v="1"/>
    <n v="1.488"/>
    <n v="22322"/>
    <n v="22.321999999999999"/>
    <d v="2018-08-01T00:00:00"/>
    <x v="0"/>
    <x v="0"/>
  </r>
  <r>
    <x v="6"/>
    <x v="8"/>
    <s v="September"/>
    <s v="Division_A"/>
    <x v="8"/>
    <n v="2006"/>
    <n v="12"/>
    <s v="TM-Utama"/>
    <n v="15"/>
    <n v="1866"/>
    <s v="124.4"/>
    <x v="1"/>
    <n v="1.1080000000000001"/>
    <n v="16626.099999999999"/>
    <n v="16.626000000000001"/>
    <d v="2018-09-01T00:00:00"/>
    <x v="0"/>
    <x v="0"/>
  </r>
  <r>
    <x v="6"/>
    <x v="9"/>
    <s v="Oktober"/>
    <s v="Division_A"/>
    <x v="8"/>
    <n v="2006"/>
    <n v="12"/>
    <s v="TM-Utama"/>
    <n v="15"/>
    <n v="1866"/>
    <s v="124.4"/>
    <x v="1"/>
    <n v="1.5409999999999999"/>
    <n v="23119.7"/>
    <n v="23.12"/>
    <d v="2018-10-01T00:00:00"/>
    <x v="0"/>
    <x v="0"/>
  </r>
  <r>
    <x v="6"/>
    <x v="10"/>
    <s v="November"/>
    <s v="Division_A"/>
    <x v="8"/>
    <n v="2006"/>
    <n v="12"/>
    <s v="TM-Utama"/>
    <n v="15"/>
    <n v="1866"/>
    <s v="124.4"/>
    <x v="1"/>
    <n v="1.03"/>
    <n v="15450.5"/>
    <n v="15.45"/>
    <d v="2018-11-01T00:00:00"/>
    <x v="0"/>
    <x v="0"/>
  </r>
  <r>
    <x v="6"/>
    <x v="11"/>
    <s v="Desember"/>
    <s v="Division_A"/>
    <x v="8"/>
    <n v="2006"/>
    <n v="12"/>
    <s v="TM-Utama"/>
    <n v="15"/>
    <n v="1866"/>
    <s v="124.4"/>
    <x v="1"/>
    <n v="1.5129999999999999"/>
    <n v="22699.9"/>
    <n v="22.7"/>
    <d v="2018-12-01T00:00:00"/>
    <x v="0"/>
    <x v="0"/>
  </r>
  <r>
    <x v="6"/>
    <x v="0"/>
    <s v="Januari"/>
    <s v="Division_A"/>
    <x v="9"/>
    <n v="2006"/>
    <n v="12"/>
    <s v="TM-Utama"/>
    <n v="25"/>
    <n v="3154"/>
    <s v="126.2"/>
    <x v="1"/>
    <n v="0.95399999999999996"/>
    <n v="23844.2"/>
    <n v="23.844000000000001"/>
    <d v="2018-01-01T00:00:00"/>
    <x v="0"/>
    <x v="0"/>
  </r>
  <r>
    <x v="6"/>
    <x v="1"/>
    <s v="Februari"/>
    <s v="Division_A"/>
    <x v="9"/>
    <n v="2006"/>
    <n v="12"/>
    <s v="TM-Utama"/>
    <n v="25"/>
    <n v="3154"/>
    <s v="126.2"/>
    <x v="1"/>
    <n v="0.89500000000000002"/>
    <n v="22377.599999999999"/>
    <n v="22.378"/>
    <d v="2018-02-01T00:00:00"/>
    <x v="0"/>
    <x v="0"/>
  </r>
  <r>
    <x v="6"/>
    <x v="2"/>
    <s v="Maret"/>
    <s v="Division_A"/>
    <x v="9"/>
    <n v="2006"/>
    <n v="12"/>
    <s v="TM-Utama"/>
    <n v="25"/>
    <n v="3154"/>
    <s v="126.2"/>
    <x v="1"/>
    <n v="1.246"/>
    <n v="31153.599999999999"/>
    <n v="31.154"/>
    <d v="2018-03-01T00:00:00"/>
    <x v="0"/>
    <x v="0"/>
  </r>
  <r>
    <x v="6"/>
    <x v="3"/>
    <s v="April"/>
    <s v="Division_A"/>
    <x v="9"/>
    <n v="2006"/>
    <n v="12"/>
    <s v="TM-Utama"/>
    <n v="25"/>
    <n v="3154"/>
    <s v="126.2"/>
    <x v="1"/>
    <n v="1.105"/>
    <n v="27629"/>
    <n v="27.629000000000001"/>
    <d v="2018-04-01T00:00:00"/>
    <x v="0"/>
    <x v="0"/>
  </r>
  <r>
    <x v="6"/>
    <x v="4"/>
    <s v="Mei"/>
    <s v="Division_A"/>
    <x v="9"/>
    <n v="2006"/>
    <n v="12"/>
    <s v="TM-Utama"/>
    <n v="25"/>
    <n v="3154"/>
    <s v="126.2"/>
    <x v="1"/>
    <n v="1.4179999999999999"/>
    <n v="35458.800000000003"/>
    <n v="35.459000000000003"/>
    <d v="2018-05-01T00:00:00"/>
    <x v="0"/>
    <x v="0"/>
  </r>
  <r>
    <x v="6"/>
    <x v="5"/>
    <s v="Juni"/>
    <s v="Division_A"/>
    <x v="9"/>
    <n v="2006"/>
    <n v="12"/>
    <s v="TM-Utama"/>
    <n v="25"/>
    <n v="3154"/>
    <s v="126.2"/>
    <x v="1"/>
    <n v="0.95899999999999996"/>
    <n v="23962.5"/>
    <n v="23.963000000000001"/>
    <d v="2018-06-01T00:00:00"/>
    <x v="0"/>
    <x v="0"/>
  </r>
  <r>
    <x v="6"/>
    <x v="6"/>
    <s v="Juli"/>
    <s v="Division_A"/>
    <x v="9"/>
    <n v="2006"/>
    <n v="12"/>
    <s v="TM-Utama"/>
    <n v="25"/>
    <n v="3154"/>
    <s v="126.2"/>
    <x v="1"/>
    <n v="1.331"/>
    <n v="33282.6"/>
    <n v="33.283000000000001"/>
    <d v="2018-07-01T00:00:00"/>
    <x v="0"/>
    <x v="0"/>
  </r>
  <r>
    <x v="6"/>
    <x v="7"/>
    <s v="Agustus"/>
    <s v="Division_A"/>
    <x v="9"/>
    <n v="2006"/>
    <n v="12"/>
    <s v="TM-Utama"/>
    <n v="25"/>
    <n v="3154"/>
    <s v="126.2"/>
    <x v="1"/>
    <n v="1.5089999999999999"/>
    <n v="37729.699999999997"/>
    <n v="37.729999999999997"/>
    <d v="2018-08-01T00:00:00"/>
    <x v="0"/>
    <x v="0"/>
  </r>
  <r>
    <x v="6"/>
    <x v="8"/>
    <s v="September"/>
    <s v="Division_A"/>
    <x v="9"/>
    <n v="2006"/>
    <n v="12"/>
    <s v="TM-Utama"/>
    <n v="25"/>
    <n v="3154"/>
    <s v="126.2"/>
    <x v="1"/>
    <n v="1.1240000000000001"/>
    <n v="28102.1"/>
    <n v="28.102"/>
    <d v="2018-09-01T00:00:00"/>
    <x v="0"/>
    <x v="0"/>
  </r>
  <r>
    <x v="6"/>
    <x v="9"/>
    <s v="Oktober"/>
    <s v="Division_A"/>
    <x v="9"/>
    <n v="2006"/>
    <n v="12"/>
    <s v="TM-Utama"/>
    <n v="25"/>
    <n v="3154"/>
    <s v="126.2"/>
    <x v="1"/>
    <n v="1.5629999999999999"/>
    <n v="39078.1"/>
    <n v="39.078000000000003"/>
    <d v="2018-10-01T00:00:00"/>
    <x v="0"/>
    <x v="0"/>
  </r>
  <r>
    <x v="6"/>
    <x v="10"/>
    <s v="November"/>
    <s v="Division_A"/>
    <x v="9"/>
    <n v="2006"/>
    <n v="12"/>
    <s v="TM-Utama"/>
    <n v="25"/>
    <n v="3154"/>
    <s v="126.2"/>
    <x v="1"/>
    <n v="1.0449999999999999"/>
    <n v="26115.1"/>
    <n v="26.114999999999998"/>
    <d v="2018-11-01T00:00:00"/>
    <x v="0"/>
    <x v="0"/>
  </r>
  <r>
    <x v="6"/>
    <x v="11"/>
    <s v="Desember"/>
    <s v="Division_A"/>
    <x v="9"/>
    <n v="2006"/>
    <n v="12"/>
    <s v="TM-Utama"/>
    <n v="25"/>
    <n v="3154"/>
    <s v="126.2"/>
    <x v="1"/>
    <n v="1.5349999999999999"/>
    <n v="38368.400000000001"/>
    <n v="38.368000000000002"/>
    <d v="2018-12-01T00:00:00"/>
    <x v="0"/>
    <x v="0"/>
  </r>
  <r>
    <x v="6"/>
    <x v="0"/>
    <s v="Januari"/>
    <s v="Division_A"/>
    <x v="10"/>
    <n v="2006"/>
    <n v="12"/>
    <s v="TM-Utama"/>
    <n v="35"/>
    <n v="4204"/>
    <s v="120.1"/>
    <x v="1"/>
    <n v="0.90800000000000003"/>
    <n v="31782.2"/>
    <n v="31.782"/>
    <d v="2018-01-01T00:00:00"/>
    <x v="0"/>
    <x v="0"/>
  </r>
  <r>
    <x v="6"/>
    <x v="1"/>
    <s v="Februari"/>
    <s v="Division_A"/>
    <x v="10"/>
    <n v="2006"/>
    <n v="12"/>
    <s v="TM-Utama"/>
    <n v="35"/>
    <n v="4204"/>
    <s v="120.1"/>
    <x v="1"/>
    <n v="0.85199999999999998"/>
    <n v="29827.4"/>
    <n v="29.827000000000002"/>
    <d v="2018-02-01T00:00:00"/>
    <x v="0"/>
    <x v="0"/>
  </r>
  <r>
    <x v="6"/>
    <x v="2"/>
    <s v="Maret"/>
    <s v="Division_A"/>
    <x v="10"/>
    <n v="2006"/>
    <n v="12"/>
    <s v="TM-Utama"/>
    <n v="35"/>
    <n v="4204"/>
    <s v="120.1"/>
    <x v="1"/>
    <n v="1.1859999999999999"/>
    <n v="41525"/>
    <n v="41.524999999999999"/>
    <d v="2018-03-01T00:00:00"/>
    <x v="0"/>
    <x v="0"/>
  </r>
  <r>
    <x v="6"/>
    <x v="3"/>
    <s v="April"/>
    <s v="Division_A"/>
    <x v="10"/>
    <n v="2006"/>
    <n v="12"/>
    <s v="TM-Utama"/>
    <n v="35"/>
    <n v="4204"/>
    <s v="120.1"/>
    <x v="1"/>
    <n v="1.052"/>
    <n v="36827"/>
    <n v="36.826999999999998"/>
    <d v="2018-04-01T00:00:00"/>
    <x v="0"/>
    <x v="0"/>
  </r>
  <r>
    <x v="6"/>
    <x v="4"/>
    <s v="Mei"/>
    <s v="Division_A"/>
    <x v="10"/>
    <n v="2006"/>
    <n v="12"/>
    <s v="TM-Utama"/>
    <n v="35"/>
    <n v="4204"/>
    <s v="120.1"/>
    <x v="1"/>
    <n v="1.35"/>
    <n v="47263.5"/>
    <n v="47.262999999999998"/>
    <d v="2018-05-01T00:00:00"/>
    <x v="0"/>
    <x v="0"/>
  </r>
  <r>
    <x v="6"/>
    <x v="5"/>
    <s v="Juni"/>
    <s v="Division_A"/>
    <x v="10"/>
    <n v="2006"/>
    <n v="12"/>
    <s v="TM-Utama"/>
    <n v="35"/>
    <n v="4204"/>
    <s v="120.1"/>
    <x v="1"/>
    <n v="0.91300000000000003"/>
    <n v="31939.9"/>
    <n v="31.94"/>
    <d v="2018-06-01T00:00:00"/>
    <x v="0"/>
    <x v="0"/>
  </r>
  <r>
    <x v="6"/>
    <x v="6"/>
    <s v="Juli"/>
    <s v="Division_A"/>
    <x v="10"/>
    <n v="2006"/>
    <n v="12"/>
    <s v="TM-Utama"/>
    <n v="35"/>
    <n v="4204"/>
    <s v="120.1"/>
    <x v="1"/>
    <n v="1.268"/>
    <n v="44362.7"/>
    <n v="44.363"/>
    <d v="2018-07-01T00:00:00"/>
    <x v="0"/>
    <x v="0"/>
  </r>
  <r>
    <x v="6"/>
    <x v="7"/>
    <s v="Agustus"/>
    <s v="Division_A"/>
    <x v="10"/>
    <n v="2006"/>
    <n v="12"/>
    <s v="TM-Utama"/>
    <n v="35"/>
    <n v="4204"/>
    <s v="120.1"/>
    <x v="1"/>
    <n v="1.4370000000000001"/>
    <n v="50290.3"/>
    <n v="50.29"/>
    <d v="2018-08-01T00:00:00"/>
    <x v="0"/>
    <x v="0"/>
  </r>
  <r>
    <x v="6"/>
    <x v="8"/>
    <s v="September"/>
    <s v="Division_A"/>
    <x v="10"/>
    <n v="2006"/>
    <n v="12"/>
    <s v="TM-Utama"/>
    <n v="35"/>
    <n v="4204"/>
    <s v="120.1"/>
    <x v="1"/>
    <n v="1.07"/>
    <n v="37457.599999999999"/>
    <n v="37.457999999999998"/>
    <d v="2018-09-01T00:00:00"/>
    <x v="0"/>
    <x v="0"/>
  </r>
  <r>
    <x v="6"/>
    <x v="9"/>
    <s v="Oktober"/>
    <s v="Division_A"/>
    <x v="10"/>
    <n v="2006"/>
    <n v="12"/>
    <s v="TM-Utama"/>
    <n v="35"/>
    <n v="4204"/>
    <s v="120.1"/>
    <x v="1"/>
    <n v="1.488"/>
    <n v="52087.6"/>
    <n v="52.088000000000001"/>
    <d v="2018-10-01T00:00:00"/>
    <x v="0"/>
    <x v="0"/>
  </r>
  <r>
    <x v="6"/>
    <x v="10"/>
    <s v="November"/>
    <s v="Division_A"/>
    <x v="10"/>
    <n v="2006"/>
    <n v="12"/>
    <s v="TM-Utama"/>
    <n v="35"/>
    <n v="4204"/>
    <s v="120.1"/>
    <x v="1"/>
    <n v="0.995"/>
    <n v="34809.1"/>
    <n v="34.808999999999997"/>
    <d v="2018-11-01T00:00:00"/>
    <x v="0"/>
    <x v="0"/>
  </r>
  <r>
    <x v="6"/>
    <x v="11"/>
    <s v="Desember"/>
    <s v="Division_A"/>
    <x v="10"/>
    <n v="2006"/>
    <n v="12"/>
    <s v="TM-Utama"/>
    <n v="35"/>
    <n v="4204"/>
    <s v="120.1"/>
    <x v="1"/>
    <n v="1.4610000000000001"/>
    <n v="51141.7"/>
    <n v="51.142000000000003"/>
    <d v="2018-12-01T00:00:00"/>
    <x v="0"/>
    <x v="0"/>
  </r>
  <r>
    <x v="6"/>
    <x v="0"/>
    <s v="Januari"/>
    <s v="Division_A"/>
    <x v="11"/>
    <n v="2012"/>
    <n v="6"/>
    <s v="TM-Utama"/>
    <n v="10"/>
    <n v="1434"/>
    <s v="143.4"/>
    <x v="1"/>
    <n v="1.0840000000000001"/>
    <n v="10841"/>
    <n v="10.840999999999999"/>
    <d v="2018-01-01T00:00:00"/>
    <x v="0"/>
    <x v="1"/>
  </r>
  <r>
    <x v="6"/>
    <x v="1"/>
    <s v="Februari"/>
    <s v="Division_A"/>
    <x v="11"/>
    <n v="2012"/>
    <n v="6"/>
    <s v="TM-Utama"/>
    <n v="10"/>
    <n v="1434"/>
    <s v="143.4"/>
    <x v="1"/>
    <n v="1.0169999999999999"/>
    <n v="10174.200000000001"/>
    <n v="10.173999999999999"/>
    <d v="2018-02-01T00:00:00"/>
    <x v="0"/>
    <x v="1"/>
  </r>
  <r>
    <x v="6"/>
    <x v="2"/>
    <s v="Maret"/>
    <s v="Division_A"/>
    <x v="11"/>
    <n v="2012"/>
    <n v="6"/>
    <s v="TM-Utama"/>
    <n v="10"/>
    <n v="1434"/>
    <s v="143.4"/>
    <x v="1"/>
    <n v="1.4159999999999999"/>
    <n v="14164.3"/>
    <n v="14.164"/>
    <d v="2018-03-01T00:00:00"/>
    <x v="0"/>
    <x v="1"/>
  </r>
  <r>
    <x v="6"/>
    <x v="3"/>
    <s v="April"/>
    <s v="Division_A"/>
    <x v="11"/>
    <n v="2012"/>
    <n v="6"/>
    <s v="TM-Utama"/>
    <n v="10"/>
    <n v="1434"/>
    <s v="143.4"/>
    <x v="1"/>
    <n v="1.256"/>
    <n v="12561.8"/>
    <n v="12.561999999999999"/>
    <d v="2018-04-01T00:00:00"/>
    <x v="0"/>
    <x v="1"/>
  </r>
  <r>
    <x v="6"/>
    <x v="4"/>
    <s v="Mei"/>
    <s v="Division_A"/>
    <x v="11"/>
    <n v="2012"/>
    <n v="6"/>
    <s v="TM-Utama"/>
    <n v="10"/>
    <n v="1434"/>
    <s v="143.4"/>
    <x v="1"/>
    <n v="1.6120000000000001"/>
    <n v="16121.7"/>
    <n v="16.122"/>
    <d v="2018-05-01T00:00:00"/>
    <x v="0"/>
    <x v="1"/>
  </r>
  <r>
    <x v="6"/>
    <x v="5"/>
    <s v="Juni"/>
    <s v="Division_A"/>
    <x v="11"/>
    <n v="2012"/>
    <n v="6"/>
    <s v="TM-Utama"/>
    <n v="10"/>
    <n v="1434"/>
    <s v="143.4"/>
    <x v="1"/>
    <n v="1.089"/>
    <n v="10894.8"/>
    <n v="10.895"/>
    <d v="2018-06-01T00:00:00"/>
    <x v="0"/>
    <x v="1"/>
  </r>
  <r>
    <x v="6"/>
    <x v="6"/>
    <s v="Juli"/>
    <s v="Division_A"/>
    <x v="11"/>
    <n v="2012"/>
    <n v="6"/>
    <s v="TM-Utama"/>
    <n v="10"/>
    <n v="1434"/>
    <s v="143.4"/>
    <x v="1"/>
    <n v="1.5129999999999999"/>
    <n v="15132.3"/>
    <n v="15.132"/>
    <d v="2018-07-01T00:00:00"/>
    <x v="0"/>
    <x v="1"/>
  </r>
  <r>
    <x v="6"/>
    <x v="7"/>
    <s v="Agustus"/>
    <s v="Division_A"/>
    <x v="11"/>
    <n v="2012"/>
    <n v="6"/>
    <s v="TM-Utama"/>
    <n v="10"/>
    <n v="1434"/>
    <s v="143.4"/>
    <x v="1"/>
    <n v="1.7150000000000001"/>
    <n v="17154.2"/>
    <n v="17.154"/>
    <d v="2018-08-01T00:00:00"/>
    <x v="0"/>
    <x v="1"/>
  </r>
  <r>
    <x v="6"/>
    <x v="8"/>
    <s v="September"/>
    <s v="Division_A"/>
    <x v="11"/>
    <n v="2012"/>
    <n v="6"/>
    <s v="TM-Utama"/>
    <n v="10"/>
    <n v="1434"/>
    <s v="143.4"/>
    <x v="1"/>
    <n v="1.278"/>
    <n v="12776.9"/>
    <n v="12.776999999999999"/>
    <d v="2018-09-01T00:00:00"/>
    <x v="0"/>
    <x v="1"/>
  </r>
  <r>
    <x v="6"/>
    <x v="9"/>
    <s v="Oktober"/>
    <s v="Division_A"/>
    <x v="11"/>
    <n v="2012"/>
    <n v="6"/>
    <s v="TM-Utama"/>
    <n v="10"/>
    <n v="1434"/>
    <s v="143.4"/>
    <x v="1"/>
    <n v="1.7769999999999999"/>
    <n v="17767.3"/>
    <n v="17.766999999999999"/>
    <d v="2018-10-01T00:00:00"/>
    <x v="0"/>
    <x v="1"/>
  </r>
  <r>
    <x v="6"/>
    <x v="10"/>
    <s v="November"/>
    <s v="Division_A"/>
    <x v="11"/>
    <n v="2012"/>
    <n v="6"/>
    <s v="TM-Utama"/>
    <n v="10"/>
    <n v="1434"/>
    <s v="143.4"/>
    <x v="1"/>
    <n v="1.1870000000000001"/>
    <n v="11873.5"/>
    <n v="11.874000000000001"/>
    <d v="2018-11-01T00:00:00"/>
    <x v="0"/>
    <x v="1"/>
  </r>
  <r>
    <x v="6"/>
    <x v="11"/>
    <s v="Desember"/>
    <s v="Division_A"/>
    <x v="11"/>
    <n v="2012"/>
    <n v="6"/>
    <s v="TM-Utama"/>
    <n v="10"/>
    <n v="1434"/>
    <s v="143.4"/>
    <x v="1"/>
    <n v="1.744"/>
    <n v="17444.599999999999"/>
    <n v="17.445"/>
    <d v="2018-12-01T00:00:00"/>
    <x v="0"/>
    <x v="1"/>
  </r>
  <r>
    <x v="6"/>
    <x v="0"/>
    <s v="Januari"/>
    <s v="Division_A"/>
    <x v="12"/>
    <n v="2012"/>
    <n v="6"/>
    <s v="TM-Utama"/>
    <n v="24"/>
    <n v="3074"/>
    <s v="128.1"/>
    <x v="2"/>
    <n v="0.96799999999999997"/>
    <n v="23239.4"/>
    <n v="23.239000000000001"/>
    <d v="2018-01-01T00:00:00"/>
    <x v="0"/>
    <x v="1"/>
  </r>
  <r>
    <x v="6"/>
    <x v="1"/>
    <s v="Februari"/>
    <s v="Division_A"/>
    <x v="12"/>
    <n v="2012"/>
    <n v="6"/>
    <s v="TM-Utama"/>
    <n v="24"/>
    <n v="3074"/>
    <s v="128.1"/>
    <x v="2"/>
    <n v="0.90900000000000003"/>
    <n v="21810"/>
    <n v="21.81"/>
    <d v="2018-02-01T00:00:00"/>
    <x v="0"/>
    <x v="1"/>
  </r>
  <r>
    <x v="6"/>
    <x v="2"/>
    <s v="Maret"/>
    <s v="Division_A"/>
    <x v="12"/>
    <n v="2012"/>
    <n v="6"/>
    <s v="TM-Utama"/>
    <n v="24"/>
    <n v="3074"/>
    <s v="128.1"/>
    <x v="2"/>
    <n v="1.2649999999999999"/>
    <n v="30363.4"/>
    <n v="30.363"/>
    <d v="2018-03-01T00:00:00"/>
    <x v="0"/>
    <x v="1"/>
  </r>
  <r>
    <x v="6"/>
    <x v="3"/>
    <s v="April"/>
    <s v="Division_A"/>
    <x v="12"/>
    <n v="2012"/>
    <n v="6"/>
    <s v="TM-Utama"/>
    <n v="24"/>
    <n v="3074"/>
    <s v="128.1"/>
    <x v="2"/>
    <n v="1.1220000000000001"/>
    <n v="26928.2"/>
    <n v="26.928000000000001"/>
    <d v="2018-04-01T00:00:00"/>
    <x v="0"/>
    <x v="1"/>
  </r>
  <r>
    <x v="6"/>
    <x v="4"/>
    <s v="Mei"/>
    <s v="Division_A"/>
    <x v="12"/>
    <n v="2012"/>
    <n v="6"/>
    <s v="TM-Utama"/>
    <n v="24"/>
    <n v="3074"/>
    <s v="128.1"/>
    <x v="2"/>
    <n v="1.44"/>
    <n v="34559.4"/>
    <n v="34.558999999999997"/>
    <d v="2018-05-01T00:00:00"/>
    <x v="0"/>
    <x v="1"/>
  </r>
  <r>
    <x v="6"/>
    <x v="5"/>
    <s v="Juni"/>
    <s v="Division_A"/>
    <x v="12"/>
    <n v="2012"/>
    <n v="6"/>
    <s v="TM-Utama"/>
    <n v="24"/>
    <n v="3074"/>
    <s v="128.1"/>
    <x v="2"/>
    <n v="0.97299999999999998"/>
    <n v="23354.7"/>
    <n v="23.355"/>
    <d v="2018-06-01T00:00:00"/>
    <x v="0"/>
    <x v="1"/>
  </r>
  <r>
    <x v="6"/>
    <x v="6"/>
    <s v="Juli"/>
    <s v="Division_A"/>
    <x v="12"/>
    <n v="2012"/>
    <n v="6"/>
    <s v="TM-Utama"/>
    <n v="24"/>
    <n v="3074"/>
    <s v="128.1"/>
    <x v="2"/>
    <n v="1.3520000000000001"/>
    <n v="32438.400000000001"/>
    <n v="32.438000000000002"/>
    <d v="2018-07-01T00:00:00"/>
    <x v="0"/>
    <x v="1"/>
  </r>
  <r>
    <x v="6"/>
    <x v="7"/>
    <s v="Agustus"/>
    <s v="Division_A"/>
    <x v="12"/>
    <n v="2012"/>
    <n v="6"/>
    <s v="TM-Utama"/>
    <n v="24"/>
    <n v="3074"/>
    <s v="128.1"/>
    <x v="2"/>
    <n v="1.532"/>
    <n v="36772.699999999997"/>
    <n v="36.773000000000003"/>
    <d v="2018-08-01T00:00:00"/>
    <x v="0"/>
    <x v="1"/>
  </r>
  <r>
    <x v="6"/>
    <x v="8"/>
    <s v="September"/>
    <s v="Division_A"/>
    <x v="12"/>
    <n v="2012"/>
    <n v="6"/>
    <s v="TM-Utama"/>
    <n v="24"/>
    <n v="3074"/>
    <s v="128.1"/>
    <x v="2"/>
    <n v="1.141"/>
    <n v="27389.3"/>
    <n v="27.388999999999999"/>
    <d v="2018-09-01T00:00:00"/>
    <x v="0"/>
    <x v="1"/>
  </r>
  <r>
    <x v="6"/>
    <x v="9"/>
    <s v="Oktober"/>
    <s v="Division_A"/>
    <x v="12"/>
    <n v="2012"/>
    <n v="6"/>
    <s v="TM-Utama"/>
    <n v="24"/>
    <n v="3074"/>
    <s v="128.1"/>
    <x v="2"/>
    <n v="1.587"/>
    <n v="38086.9"/>
    <n v="38.087000000000003"/>
    <d v="2018-10-01T00:00:00"/>
    <x v="0"/>
    <x v="1"/>
  </r>
  <r>
    <x v="6"/>
    <x v="10"/>
    <s v="November"/>
    <s v="Division_A"/>
    <x v="12"/>
    <n v="2012"/>
    <n v="6"/>
    <s v="TM-Utama"/>
    <n v="24"/>
    <n v="3074"/>
    <s v="128.1"/>
    <x v="2"/>
    <n v="1.0609999999999999"/>
    <n v="25452.7"/>
    <n v="25.452999999999999"/>
    <d v="2018-11-01T00:00:00"/>
    <x v="0"/>
    <x v="1"/>
  </r>
  <r>
    <x v="6"/>
    <x v="11"/>
    <s v="Desember"/>
    <s v="Division_A"/>
    <x v="12"/>
    <n v="2012"/>
    <n v="6"/>
    <s v="TM-Utama"/>
    <n v="24"/>
    <n v="3074"/>
    <s v="128.1"/>
    <x v="2"/>
    <n v="1.5580000000000001"/>
    <n v="37395.199999999997"/>
    <n v="37.395000000000003"/>
    <d v="2018-12-01T00:00:00"/>
    <x v="0"/>
    <x v="1"/>
  </r>
  <r>
    <x v="6"/>
    <x v="0"/>
    <s v="Januari"/>
    <s v="Division_A"/>
    <x v="13"/>
    <n v="2012"/>
    <n v="6"/>
    <s v="TM-Utama"/>
    <n v="19"/>
    <n v="2418"/>
    <s v="127.3"/>
    <x v="2"/>
    <n v="0.96199999999999997"/>
    <n v="18280.099999999999"/>
    <n v="18.28"/>
    <d v="2018-01-01T00:00:00"/>
    <x v="0"/>
    <x v="1"/>
  </r>
  <r>
    <x v="6"/>
    <x v="1"/>
    <s v="Februari"/>
    <s v="Division_A"/>
    <x v="13"/>
    <n v="2012"/>
    <n v="6"/>
    <s v="TM-Utama"/>
    <n v="19"/>
    <n v="2418"/>
    <s v="127.3"/>
    <x v="2"/>
    <n v="0.90300000000000002"/>
    <n v="17155.7"/>
    <n v="17.155999999999999"/>
    <d v="2018-02-01T00:00:00"/>
    <x v="0"/>
    <x v="1"/>
  </r>
  <r>
    <x v="6"/>
    <x v="2"/>
    <s v="Maret"/>
    <s v="Division_A"/>
    <x v="13"/>
    <n v="2012"/>
    <n v="6"/>
    <s v="TM-Utama"/>
    <n v="19"/>
    <n v="2418"/>
    <s v="127.3"/>
    <x v="2"/>
    <n v="1.2569999999999999"/>
    <n v="23883.8"/>
    <n v="23.884"/>
    <d v="2018-03-01T00:00:00"/>
    <x v="0"/>
    <x v="1"/>
  </r>
  <r>
    <x v="6"/>
    <x v="3"/>
    <s v="April"/>
    <s v="Division_A"/>
    <x v="13"/>
    <n v="2012"/>
    <n v="6"/>
    <s v="TM-Utama"/>
    <n v="19"/>
    <n v="2418"/>
    <s v="127.3"/>
    <x v="2"/>
    <n v="1.115"/>
    <n v="21181.7"/>
    <n v="21.181999999999999"/>
    <d v="2018-04-01T00:00:00"/>
    <x v="0"/>
    <x v="1"/>
  </r>
  <r>
    <x v="6"/>
    <x v="4"/>
    <s v="Mei"/>
    <s v="Division_A"/>
    <x v="13"/>
    <n v="2012"/>
    <n v="6"/>
    <s v="TM-Utama"/>
    <n v="19"/>
    <n v="2418"/>
    <s v="127.3"/>
    <x v="2"/>
    <n v="1.431"/>
    <n v="27184.400000000001"/>
    <n v="27.184000000000001"/>
    <d v="2018-05-01T00:00:00"/>
    <x v="0"/>
    <x v="1"/>
  </r>
  <r>
    <x v="6"/>
    <x v="5"/>
    <s v="Juni"/>
    <s v="Division_A"/>
    <x v="13"/>
    <n v="2012"/>
    <n v="6"/>
    <s v="TM-Utama"/>
    <n v="19"/>
    <n v="2418"/>
    <s v="127.3"/>
    <x v="2"/>
    <n v="0.96699999999999997"/>
    <n v="18370.8"/>
    <n v="18.370999999999999"/>
    <d v="2018-06-01T00:00:00"/>
    <x v="0"/>
    <x v="1"/>
  </r>
  <r>
    <x v="6"/>
    <x v="6"/>
    <s v="Juli"/>
    <s v="Division_A"/>
    <x v="13"/>
    <n v="2012"/>
    <n v="6"/>
    <s v="TM-Utama"/>
    <n v="19"/>
    <n v="2418"/>
    <s v="127.3"/>
    <x v="2"/>
    <n v="1.343"/>
    <n v="25515.9"/>
    <n v="25.515999999999998"/>
    <d v="2018-07-01T00:00:00"/>
    <x v="0"/>
    <x v="1"/>
  </r>
  <r>
    <x v="6"/>
    <x v="7"/>
    <s v="Agustus"/>
    <s v="Division_A"/>
    <x v="13"/>
    <n v="2012"/>
    <n v="6"/>
    <s v="TM-Utama"/>
    <n v="19"/>
    <n v="2418"/>
    <s v="127.3"/>
    <x v="2"/>
    <n v="1.522"/>
    <n v="28925.3"/>
    <n v="28.925000000000001"/>
    <d v="2018-08-01T00:00:00"/>
    <x v="0"/>
    <x v="1"/>
  </r>
  <r>
    <x v="6"/>
    <x v="8"/>
    <s v="September"/>
    <s v="Division_A"/>
    <x v="13"/>
    <n v="2012"/>
    <n v="6"/>
    <s v="TM-Utama"/>
    <n v="19"/>
    <n v="2418"/>
    <s v="127.3"/>
    <x v="2"/>
    <n v="1.1339999999999999"/>
    <n v="21544.400000000001"/>
    <n v="21.544"/>
    <d v="2018-09-01T00:00:00"/>
    <x v="0"/>
    <x v="1"/>
  </r>
  <r>
    <x v="6"/>
    <x v="9"/>
    <s v="Oktober"/>
    <s v="Division_A"/>
    <x v="13"/>
    <n v="2012"/>
    <n v="6"/>
    <s v="TM-Utama"/>
    <n v="19"/>
    <n v="2418"/>
    <s v="127.3"/>
    <x v="2"/>
    <n v="1.577"/>
    <n v="29959"/>
    <n v="29.959"/>
    <d v="2018-10-01T00:00:00"/>
    <x v="0"/>
    <x v="1"/>
  </r>
  <r>
    <x v="6"/>
    <x v="10"/>
    <s v="November"/>
    <s v="Division_A"/>
    <x v="13"/>
    <n v="2012"/>
    <n v="6"/>
    <s v="TM-Utama"/>
    <n v="19"/>
    <n v="2418"/>
    <s v="127.3"/>
    <x v="2"/>
    <n v="1.054"/>
    <n v="20021"/>
    <n v="20.021000000000001"/>
    <d v="2018-11-01T00:00:00"/>
    <x v="0"/>
    <x v="1"/>
  </r>
  <r>
    <x v="6"/>
    <x v="11"/>
    <s v="Desember"/>
    <s v="Division_A"/>
    <x v="13"/>
    <n v="2012"/>
    <n v="6"/>
    <s v="TM-Utama"/>
    <n v="19"/>
    <n v="2418"/>
    <s v="127.3"/>
    <x v="2"/>
    <n v="1.548"/>
    <n v="29415"/>
    <n v="29.414999999999999"/>
    <d v="2018-12-01T00:00:00"/>
    <x v="0"/>
    <x v="1"/>
  </r>
  <r>
    <x v="6"/>
    <x v="0"/>
    <s v="Januari"/>
    <s v="Division_A"/>
    <x v="14"/>
    <n v="2012"/>
    <n v="6"/>
    <s v="TM-Utama"/>
    <n v="25"/>
    <n v="3205"/>
    <s v="128.2"/>
    <x v="2"/>
    <n v="0.96899999999999997"/>
    <n v="24229.8"/>
    <n v="24.23"/>
    <d v="2018-01-01T00:00:00"/>
    <x v="0"/>
    <x v="1"/>
  </r>
  <r>
    <x v="6"/>
    <x v="1"/>
    <s v="Februari"/>
    <s v="Division_A"/>
    <x v="14"/>
    <n v="2012"/>
    <n v="6"/>
    <s v="TM-Utama"/>
    <n v="25"/>
    <n v="3205"/>
    <s v="128.2"/>
    <x v="2"/>
    <n v="0.91"/>
    <n v="22739.5"/>
    <n v="22.739000000000001"/>
    <d v="2018-02-01T00:00:00"/>
    <x v="0"/>
    <x v="1"/>
  </r>
  <r>
    <x v="6"/>
    <x v="2"/>
    <s v="Maret"/>
    <s v="Division_A"/>
    <x v="14"/>
    <n v="2012"/>
    <n v="6"/>
    <s v="TM-Utama"/>
    <n v="25"/>
    <n v="3205"/>
    <s v="128.2"/>
    <x v="2"/>
    <n v="1.266"/>
    <n v="31657.4"/>
    <n v="31.657"/>
    <d v="2018-03-01T00:00:00"/>
    <x v="0"/>
    <x v="1"/>
  </r>
  <r>
    <x v="6"/>
    <x v="3"/>
    <s v="April"/>
    <s v="Division_A"/>
    <x v="14"/>
    <n v="2012"/>
    <n v="6"/>
    <s v="TM-Utama"/>
    <n v="25"/>
    <n v="3205"/>
    <s v="128.2"/>
    <x v="2"/>
    <n v="1.123"/>
    <n v="28075.8"/>
    <n v="28.076000000000001"/>
    <d v="2018-04-01T00:00:00"/>
    <x v="0"/>
    <x v="1"/>
  </r>
  <r>
    <x v="6"/>
    <x v="4"/>
    <s v="Mei"/>
    <s v="Division_A"/>
    <x v="14"/>
    <n v="2012"/>
    <n v="6"/>
    <s v="TM-Utama"/>
    <n v="25"/>
    <n v="3205"/>
    <s v="128.2"/>
    <x v="2"/>
    <n v="1.4410000000000001"/>
    <n v="36032.199999999997"/>
    <n v="36.031999999999996"/>
    <d v="2018-05-01T00:00:00"/>
    <x v="0"/>
    <x v="1"/>
  </r>
  <r>
    <x v="6"/>
    <x v="5"/>
    <s v="Juni"/>
    <s v="Division_A"/>
    <x v="14"/>
    <n v="2012"/>
    <n v="6"/>
    <s v="TM-Utama"/>
    <n v="25"/>
    <n v="3205"/>
    <s v="128.2"/>
    <x v="2"/>
    <n v="0.97399999999999998"/>
    <n v="24350"/>
    <n v="24.35"/>
    <d v="2018-06-01T00:00:00"/>
    <x v="0"/>
    <x v="1"/>
  </r>
  <r>
    <x v="6"/>
    <x v="6"/>
    <s v="Juli"/>
    <s v="Division_A"/>
    <x v="14"/>
    <n v="2012"/>
    <n v="6"/>
    <s v="TM-Utama"/>
    <n v="25"/>
    <n v="3205"/>
    <s v="128.2"/>
    <x v="2"/>
    <n v="1.353"/>
    <n v="33820.800000000003"/>
    <n v="33.820999999999998"/>
    <d v="2018-07-01T00:00:00"/>
    <x v="0"/>
    <x v="1"/>
  </r>
  <r>
    <x v="6"/>
    <x v="7"/>
    <s v="Agustus"/>
    <s v="Division_A"/>
    <x v="14"/>
    <n v="2012"/>
    <n v="6"/>
    <s v="TM-Utama"/>
    <n v="25"/>
    <n v="3205"/>
    <s v="128.2"/>
    <x v="2"/>
    <n v="1.534"/>
    <n v="38339.800000000003"/>
    <n v="38.340000000000003"/>
    <d v="2018-08-01T00:00:00"/>
    <x v="0"/>
    <x v="1"/>
  </r>
  <r>
    <x v="6"/>
    <x v="8"/>
    <s v="September"/>
    <s v="Division_A"/>
    <x v="14"/>
    <n v="2012"/>
    <n v="6"/>
    <s v="TM-Utama"/>
    <n v="25"/>
    <n v="3205"/>
    <s v="128.2"/>
    <x v="2"/>
    <n v="1.1419999999999999"/>
    <n v="28556.5"/>
    <n v="28.556999999999999"/>
    <d v="2018-09-01T00:00:00"/>
    <x v="0"/>
    <x v="1"/>
  </r>
  <r>
    <x v="6"/>
    <x v="9"/>
    <s v="Oktober"/>
    <s v="Division_A"/>
    <x v="14"/>
    <n v="2012"/>
    <n v="6"/>
    <s v="TM-Utama"/>
    <n v="25"/>
    <n v="3205"/>
    <s v="128.2"/>
    <x v="2"/>
    <n v="1.5880000000000001"/>
    <n v="39709.9"/>
    <n v="39.71"/>
    <d v="2018-10-01T00:00:00"/>
    <x v="0"/>
    <x v="1"/>
  </r>
  <r>
    <x v="6"/>
    <x v="10"/>
    <s v="November"/>
    <s v="Division_A"/>
    <x v="14"/>
    <n v="2012"/>
    <n v="6"/>
    <s v="TM-Utama"/>
    <n v="25"/>
    <n v="3205"/>
    <s v="128.2"/>
    <x v="2"/>
    <n v="1.0609999999999999"/>
    <n v="26537.4"/>
    <n v="26.536999999999999"/>
    <d v="2018-11-01T00:00:00"/>
    <x v="0"/>
    <x v="1"/>
  </r>
  <r>
    <x v="6"/>
    <x v="11"/>
    <s v="Desember"/>
    <s v="Division_A"/>
    <x v="14"/>
    <n v="2012"/>
    <n v="6"/>
    <s v="TM-Utama"/>
    <n v="25"/>
    <n v="3205"/>
    <s v="128.2"/>
    <x v="2"/>
    <n v="1.56"/>
    <n v="38988.800000000003"/>
    <n v="38.988999999999997"/>
    <d v="2018-12-01T00:00:00"/>
    <x v="0"/>
    <x v="1"/>
  </r>
  <r>
    <x v="6"/>
    <x v="0"/>
    <s v="Januari"/>
    <s v="Division_A"/>
    <x v="15"/>
    <n v="2012"/>
    <n v="6"/>
    <s v="TM-Utama"/>
    <n v="19"/>
    <n v="2469"/>
    <s v="129.9"/>
    <x v="1"/>
    <n v="0.98199999999999998"/>
    <n v="18665.599999999999"/>
    <n v="18.666"/>
    <d v="2018-01-01T00:00:00"/>
    <x v="0"/>
    <x v="1"/>
  </r>
  <r>
    <x v="6"/>
    <x v="1"/>
    <s v="Februari"/>
    <s v="Division_A"/>
    <x v="15"/>
    <n v="2012"/>
    <n v="6"/>
    <s v="TM-Utama"/>
    <n v="19"/>
    <n v="2469"/>
    <s v="129.9"/>
    <x v="1"/>
    <n v="0.92200000000000004"/>
    <n v="17517.599999999999"/>
    <n v="17.518000000000001"/>
    <d v="2018-02-01T00:00:00"/>
    <x v="0"/>
    <x v="1"/>
  </r>
  <r>
    <x v="6"/>
    <x v="2"/>
    <s v="Maret"/>
    <s v="Division_A"/>
    <x v="15"/>
    <n v="2012"/>
    <n v="6"/>
    <s v="TM-Utama"/>
    <n v="19"/>
    <n v="2469"/>
    <s v="129.9"/>
    <x v="1"/>
    <n v="1.284"/>
    <n v="24387.5"/>
    <n v="24.388000000000002"/>
    <d v="2018-03-01T00:00:00"/>
    <x v="0"/>
    <x v="1"/>
  </r>
  <r>
    <x v="6"/>
    <x v="3"/>
    <s v="April"/>
    <s v="Division_A"/>
    <x v="15"/>
    <n v="2012"/>
    <n v="6"/>
    <s v="TM-Utama"/>
    <n v="19"/>
    <n v="2469"/>
    <s v="129.9"/>
    <x v="1"/>
    <n v="1.1379999999999999"/>
    <n v="21628.400000000001"/>
    <n v="21.628"/>
    <d v="2018-04-01T00:00:00"/>
    <x v="0"/>
    <x v="1"/>
  </r>
  <r>
    <x v="6"/>
    <x v="4"/>
    <s v="Mei"/>
    <s v="Division_A"/>
    <x v="15"/>
    <n v="2012"/>
    <n v="6"/>
    <s v="TM-Utama"/>
    <n v="19"/>
    <n v="2469"/>
    <s v="129.9"/>
    <x v="1"/>
    <n v="1.4610000000000001"/>
    <n v="27757.7"/>
    <n v="27.757999999999999"/>
    <d v="2018-05-01T00:00:00"/>
    <x v="0"/>
    <x v="1"/>
  </r>
  <r>
    <x v="6"/>
    <x v="5"/>
    <s v="Juni"/>
    <s v="Division_A"/>
    <x v="15"/>
    <n v="2012"/>
    <n v="6"/>
    <s v="TM-Utama"/>
    <n v="19"/>
    <n v="2469"/>
    <s v="129.9"/>
    <x v="1"/>
    <n v="0.98699999999999999"/>
    <n v="18758.2"/>
    <n v="18.757999999999999"/>
    <d v="2018-06-01T00:00:00"/>
    <x v="0"/>
    <x v="1"/>
  </r>
  <r>
    <x v="6"/>
    <x v="6"/>
    <s v="Juli"/>
    <s v="Division_A"/>
    <x v="15"/>
    <n v="2012"/>
    <n v="6"/>
    <s v="TM-Utama"/>
    <n v="19"/>
    <n v="2469"/>
    <s v="129.9"/>
    <x v="1"/>
    <n v="1.371"/>
    <n v="26054.1"/>
    <n v="26.053999999999998"/>
    <d v="2018-07-01T00:00:00"/>
    <x v="0"/>
    <x v="1"/>
  </r>
  <r>
    <x v="6"/>
    <x v="7"/>
    <s v="Agustus"/>
    <s v="Division_A"/>
    <x v="15"/>
    <n v="2012"/>
    <n v="6"/>
    <s v="TM-Utama"/>
    <n v="19"/>
    <n v="2469"/>
    <s v="129.9"/>
    <x v="1"/>
    <n v="1.554"/>
    <n v="29535.4"/>
    <n v="29.535"/>
    <d v="2018-08-01T00:00:00"/>
    <x v="0"/>
    <x v="1"/>
  </r>
  <r>
    <x v="6"/>
    <x v="8"/>
    <s v="September"/>
    <s v="Division_A"/>
    <x v="15"/>
    <n v="2012"/>
    <n v="6"/>
    <s v="TM-Utama"/>
    <n v="19"/>
    <n v="2469"/>
    <s v="129.9"/>
    <x v="1"/>
    <n v="1.1579999999999999"/>
    <n v="21998.799999999999"/>
    <n v="21.998999999999999"/>
    <d v="2018-09-01T00:00:00"/>
    <x v="0"/>
    <x v="1"/>
  </r>
  <r>
    <x v="6"/>
    <x v="9"/>
    <s v="Oktober"/>
    <s v="Division_A"/>
    <x v="15"/>
    <n v="2012"/>
    <n v="6"/>
    <s v="TM-Utama"/>
    <n v="19"/>
    <n v="2469"/>
    <s v="129.9"/>
    <x v="1"/>
    <n v="1.61"/>
    <n v="30590.9"/>
    <n v="30.591000000000001"/>
    <d v="2018-10-01T00:00:00"/>
    <x v="0"/>
    <x v="1"/>
  </r>
  <r>
    <x v="6"/>
    <x v="10"/>
    <s v="November"/>
    <s v="Division_A"/>
    <x v="15"/>
    <n v="2012"/>
    <n v="6"/>
    <s v="TM-Utama"/>
    <n v="19"/>
    <n v="2469"/>
    <s v="129.9"/>
    <x v="1"/>
    <n v="1.0760000000000001"/>
    <n v="20443.3"/>
    <n v="20.443000000000001"/>
    <d v="2018-11-01T00:00:00"/>
    <x v="0"/>
    <x v="1"/>
  </r>
  <r>
    <x v="6"/>
    <x v="11"/>
    <s v="Desember"/>
    <s v="Division_A"/>
    <x v="15"/>
    <n v="2012"/>
    <n v="6"/>
    <s v="TM-Utama"/>
    <n v="19"/>
    <n v="2469"/>
    <s v="129.9"/>
    <x v="1"/>
    <n v="1.581"/>
    <n v="30035.4"/>
    <n v="30.035"/>
    <d v="2018-12-01T00:00:00"/>
    <x v="0"/>
    <x v="1"/>
  </r>
  <r>
    <x v="6"/>
    <x v="0"/>
    <s v="Januari"/>
    <s v="Division_A"/>
    <x v="16"/>
    <n v="2012"/>
    <n v="6"/>
    <s v="TM-Utama"/>
    <n v="20"/>
    <n v="2704"/>
    <s v="135.2"/>
    <x v="2"/>
    <n v="1.022"/>
    <n v="20442.2"/>
    <n v="20.442"/>
    <d v="2018-01-01T00:00:00"/>
    <x v="0"/>
    <x v="1"/>
  </r>
  <r>
    <x v="6"/>
    <x v="1"/>
    <s v="Februari"/>
    <s v="Division_A"/>
    <x v="16"/>
    <n v="2012"/>
    <n v="6"/>
    <s v="TM-Utama"/>
    <n v="20"/>
    <n v="2704"/>
    <s v="135.2"/>
    <x v="2"/>
    <n v="0.95899999999999996"/>
    <n v="19184.900000000001"/>
    <n v="19.184999999999999"/>
    <d v="2018-02-01T00:00:00"/>
    <x v="0"/>
    <x v="1"/>
  </r>
  <r>
    <x v="6"/>
    <x v="2"/>
    <s v="Maret"/>
    <s v="Division_A"/>
    <x v="16"/>
    <n v="2012"/>
    <n v="6"/>
    <s v="TM-Utama"/>
    <n v="20"/>
    <n v="2704"/>
    <s v="135.2"/>
    <x v="2"/>
    <n v="1.335"/>
    <n v="26708.799999999999"/>
    <n v="26.709"/>
    <d v="2018-03-01T00:00:00"/>
    <x v="0"/>
    <x v="1"/>
  </r>
  <r>
    <x v="6"/>
    <x v="3"/>
    <s v="April"/>
    <s v="Division_A"/>
    <x v="16"/>
    <n v="2012"/>
    <n v="6"/>
    <s v="TM-Utama"/>
    <n v="20"/>
    <n v="2704"/>
    <s v="135.2"/>
    <x v="2"/>
    <n v="1.1839999999999999"/>
    <n v="23687"/>
    <n v="23.687000000000001"/>
    <d v="2018-04-01T00:00:00"/>
    <x v="0"/>
    <x v="1"/>
  </r>
  <r>
    <x v="6"/>
    <x v="4"/>
    <s v="Mei"/>
    <s v="Division_A"/>
    <x v="16"/>
    <n v="2012"/>
    <n v="6"/>
    <s v="TM-Utama"/>
    <n v="20"/>
    <n v="2704"/>
    <s v="135.2"/>
    <x v="2"/>
    <n v="1.52"/>
    <n v="30399.7"/>
    <n v="30.4"/>
    <d v="2018-05-01T00:00:00"/>
    <x v="0"/>
    <x v="1"/>
  </r>
  <r>
    <x v="6"/>
    <x v="5"/>
    <s v="Juni"/>
    <s v="Division_A"/>
    <x v="16"/>
    <n v="2012"/>
    <n v="6"/>
    <s v="TM-Utama"/>
    <n v="20"/>
    <n v="2704"/>
    <s v="135.2"/>
    <x v="2"/>
    <n v="1.0269999999999999"/>
    <n v="20543.599999999999"/>
    <n v="20.544"/>
    <d v="2018-06-01T00:00:00"/>
    <x v="0"/>
    <x v="1"/>
  </r>
  <r>
    <x v="6"/>
    <x v="6"/>
    <s v="Juli"/>
    <s v="Division_A"/>
    <x v="16"/>
    <n v="2012"/>
    <n v="6"/>
    <s v="TM-Utama"/>
    <n v="20"/>
    <n v="2704"/>
    <s v="135.2"/>
    <x v="2"/>
    <n v="1.427"/>
    <n v="28534"/>
    <n v="28.533999999999999"/>
    <d v="2018-07-01T00:00:00"/>
    <x v="0"/>
    <x v="1"/>
  </r>
  <r>
    <x v="6"/>
    <x v="7"/>
    <s v="Agustus"/>
    <s v="Division_A"/>
    <x v="16"/>
    <n v="2012"/>
    <n v="6"/>
    <s v="TM-Utama"/>
    <n v="20"/>
    <n v="2704"/>
    <s v="135.2"/>
    <x v="2"/>
    <n v="1.617"/>
    <n v="32346.6"/>
    <n v="32.347000000000001"/>
    <d v="2018-08-01T00:00:00"/>
    <x v="0"/>
    <x v="1"/>
  </r>
  <r>
    <x v="6"/>
    <x v="8"/>
    <s v="September"/>
    <s v="Division_A"/>
    <x v="16"/>
    <n v="2012"/>
    <n v="6"/>
    <s v="TM-Utama"/>
    <n v="20"/>
    <n v="2704"/>
    <s v="135.2"/>
    <x v="2"/>
    <n v="1.2050000000000001"/>
    <n v="24092.6"/>
    <n v="24.093"/>
    <d v="2018-09-01T00:00:00"/>
    <x v="0"/>
    <x v="1"/>
  </r>
  <r>
    <x v="6"/>
    <x v="9"/>
    <s v="Oktober"/>
    <s v="Division_A"/>
    <x v="16"/>
    <n v="2012"/>
    <n v="6"/>
    <s v="TM-Utama"/>
    <n v="20"/>
    <n v="2704"/>
    <s v="135.2"/>
    <x v="2"/>
    <n v="1.675"/>
    <n v="33502.6"/>
    <n v="33.503"/>
    <d v="2018-10-01T00:00:00"/>
    <x v="0"/>
    <x v="1"/>
  </r>
  <r>
    <x v="6"/>
    <x v="10"/>
    <s v="November"/>
    <s v="Division_A"/>
    <x v="16"/>
    <n v="2012"/>
    <n v="6"/>
    <s v="TM-Utama"/>
    <n v="20"/>
    <n v="2704"/>
    <s v="135.2"/>
    <x v="2"/>
    <n v="1.119"/>
    <n v="22389.1"/>
    <n v="22.388999999999999"/>
    <d v="2018-11-01T00:00:00"/>
    <x v="0"/>
    <x v="1"/>
  </r>
  <r>
    <x v="6"/>
    <x v="11"/>
    <s v="Desember"/>
    <s v="Division_A"/>
    <x v="16"/>
    <n v="2012"/>
    <n v="6"/>
    <s v="TM-Utama"/>
    <n v="20"/>
    <n v="2704"/>
    <s v="135.2"/>
    <x v="2"/>
    <n v="1.645"/>
    <n v="32894.199999999997"/>
    <n v="32.893999999999998"/>
    <d v="2018-12-01T00:00:00"/>
    <x v="0"/>
    <x v="1"/>
  </r>
  <r>
    <x v="6"/>
    <x v="0"/>
    <s v="Januari"/>
    <s v="Division_A"/>
    <x v="17"/>
    <n v="2012"/>
    <n v="6"/>
    <s v="TM-Utama"/>
    <n v="14"/>
    <n v="1833"/>
    <s v="130.9"/>
    <x v="2"/>
    <n v="0.99"/>
    <n v="13857.5"/>
    <n v="13.856999999999999"/>
    <d v="2018-01-01T00:00:00"/>
    <x v="0"/>
    <x v="1"/>
  </r>
  <r>
    <x v="6"/>
    <x v="1"/>
    <s v="Februari"/>
    <s v="Division_A"/>
    <x v="17"/>
    <n v="2012"/>
    <n v="6"/>
    <s v="TM-Utama"/>
    <n v="14"/>
    <n v="1833"/>
    <s v="130.9"/>
    <x v="2"/>
    <n v="0.92900000000000005"/>
    <n v="13005.1"/>
    <n v="13.005000000000001"/>
    <d v="2018-02-01T00:00:00"/>
    <x v="0"/>
    <x v="1"/>
  </r>
  <r>
    <x v="6"/>
    <x v="2"/>
    <s v="Maret"/>
    <s v="Division_A"/>
    <x v="17"/>
    <n v="2012"/>
    <n v="6"/>
    <s v="TM-Utama"/>
    <n v="14"/>
    <n v="1833"/>
    <s v="130.9"/>
    <x v="2"/>
    <n v="1.2929999999999999"/>
    <n v="18105.5"/>
    <n v="18.105"/>
    <d v="2018-03-01T00:00:00"/>
    <x v="0"/>
    <x v="1"/>
  </r>
  <r>
    <x v="6"/>
    <x v="3"/>
    <s v="April"/>
    <s v="Division_A"/>
    <x v="17"/>
    <n v="2012"/>
    <n v="6"/>
    <s v="TM-Utama"/>
    <n v="14"/>
    <n v="1833"/>
    <s v="130.9"/>
    <x v="2"/>
    <n v="1.147"/>
    <n v="16057.1"/>
    <n v="16.056999999999999"/>
    <d v="2018-04-01T00:00:00"/>
    <x v="0"/>
    <x v="1"/>
  </r>
  <r>
    <x v="6"/>
    <x v="4"/>
    <s v="Mei"/>
    <s v="Division_A"/>
    <x v="17"/>
    <n v="2012"/>
    <n v="6"/>
    <s v="TM-Utama"/>
    <n v="14"/>
    <n v="1833"/>
    <s v="130.9"/>
    <x v="2"/>
    <n v="1.472"/>
    <n v="20607.5"/>
    <n v="20.608000000000001"/>
    <d v="2018-05-01T00:00:00"/>
    <x v="0"/>
    <x v="1"/>
  </r>
  <r>
    <x v="6"/>
    <x v="5"/>
    <s v="Juni"/>
    <s v="Division_A"/>
    <x v="17"/>
    <n v="2012"/>
    <n v="6"/>
    <s v="TM-Utama"/>
    <n v="14"/>
    <n v="1833"/>
    <s v="130.9"/>
    <x v="2"/>
    <n v="0.995"/>
    <n v="13926.2"/>
    <n v="13.926"/>
    <d v="2018-06-01T00:00:00"/>
    <x v="0"/>
    <x v="1"/>
  </r>
  <r>
    <x v="6"/>
    <x v="6"/>
    <s v="Juli"/>
    <s v="Division_A"/>
    <x v="17"/>
    <n v="2012"/>
    <n v="6"/>
    <s v="TM-Utama"/>
    <n v="14"/>
    <n v="1833"/>
    <s v="130.9"/>
    <x v="2"/>
    <n v="1.3819999999999999"/>
    <n v="19342.7"/>
    <n v="19.343"/>
    <d v="2018-07-01T00:00:00"/>
    <x v="0"/>
    <x v="1"/>
  </r>
  <r>
    <x v="6"/>
    <x v="7"/>
    <s v="Agustus"/>
    <s v="Division_A"/>
    <x v="17"/>
    <n v="2012"/>
    <n v="6"/>
    <s v="TM-Utama"/>
    <n v="14"/>
    <n v="1833"/>
    <s v="130.9"/>
    <x v="2"/>
    <n v="1.5660000000000001"/>
    <n v="21927.3"/>
    <n v="21.927"/>
    <d v="2018-08-01T00:00:00"/>
    <x v="0"/>
    <x v="1"/>
  </r>
  <r>
    <x v="6"/>
    <x v="8"/>
    <s v="September"/>
    <s v="Division_A"/>
    <x v="17"/>
    <n v="2012"/>
    <n v="6"/>
    <s v="TM-Utama"/>
    <n v="14"/>
    <n v="1833"/>
    <s v="130.9"/>
    <x v="2"/>
    <n v="1.167"/>
    <n v="16332"/>
    <n v="16.332000000000001"/>
    <d v="2018-09-01T00:00:00"/>
    <x v="0"/>
    <x v="1"/>
  </r>
  <r>
    <x v="6"/>
    <x v="9"/>
    <s v="Oktober"/>
    <s v="Division_A"/>
    <x v="17"/>
    <n v="2012"/>
    <n v="6"/>
    <s v="TM-Utama"/>
    <n v="14"/>
    <n v="1833"/>
    <s v="130.9"/>
    <x v="2"/>
    <n v="1.6220000000000001"/>
    <n v="22710.9"/>
    <n v="22.710999999999999"/>
    <d v="2018-10-01T00:00:00"/>
    <x v="0"/>
    <x v="1"/>
  </r>
  <r>
    <x v="6"/>
    <x v="10"/>
    <s v="November"/>
    <s v="Division_A"/>
    <x v="17"/>
    <n v="2012"/>
    <n v="6"/>
    <s v="TM-Utama"/>
    <n v="14"/>
    <n v="1833"/>
    <s v="130.9"/>
    <x v="2"/>
    <n v="1.0840000000000001"/>
    <n v="15177.2"/>
    <n v="15.177"/>
    <d v="2018-11-01T00:00:00"/>
    <x v="0"/>
    <x v="1"/>
  </r>
  <r>
    <x v="6"/>
    <x v="11"/>
    <s v="Desember"/>
    <s v="Division_A"/>
    <x v="17"/>
    <n v="2012"/>
    <n v="6"/>
    <s v="TM-Utama"/>
    <n v="14"/>
    <n v="1833"/>
    <s v="130.9"/>
    <x v="2"/>
    <n v="1.593"/>
    <n v="22298.400000000001"/>
    <n v="22.297999999999998"/>
    <d v="2018-12-01T00:00:00"/>
    <x v="0"/>
    <x v="1"/>
  </r>
  <r>
    <x v="6"/>
    <x v="0"/>
    <s v="Januari"/>
    <s v="Division_A"/>
    <x v="18"/>
    <n v="2012"/>
    <n v="6"/>
    <s v="TM-Utama"/>
    <n v="20"/>
    <n v="1990"/>
    <s v="99.5"/>
    <x v="2"/>
    <n v="0.77100000000000002"/>
    <n v="15422.4"/>
    <n v="15.422000000000001"/>
    <d v="2018-01-01T00:00:00"/>
    <x v="0"/>
    <x v="1"/>
  </r>
  <r>
    <x v="6"/>
    <x v="1"/>
    <s v="Februari"/>
    <s v="Division_A"/>
    <x v="18"/>
    <n v="2012"/>
    <n v="6"/>
    <s v="TM-Utama"/>
    <n v="20"/>
    <n v="1990"/>
    <s v="99.5"/>
    <x v="2"/>
    <n v="0.72399999999999998"/>
    <n v="14473.8"/>
    <n v="14.474"/>
    <d v="2018-02-01T00:00:00"/>
    <x v="0"/>
    <x v="1"/>
  </r>
  <r>
    <x v="6"/>
    <x v="2"/>
    <s v="Maret"/>
    <s v="Division_A"/>
    <x v="18"/>
    <n v="2012"/>
    <n v="6"/>
    <s v="TM-Utama"/>
    <n v="20"/>
    <n v="1990"/>
    <s v="99.5"/>
    <x v="2"/>
    <n v="1.008"/>
    <n v="20150.099999999999"/>
    <n v="20.149999999999999"/>
    <d v="2018-03-01T00:00:00"/>
    <x v="0"/>
    <x v="1"/>
  </r>
  <r>
    <x v="6"/>
    <x v="3"/>
    <s v="April"/>
    <s v="Division_A"/>
    <x v="18"/>
    <n v="2012"/>
    <n v="6"/>
    <s v="TM-Utama"/>
    <n v="20"/>
    <n v="1990"/>
    <s v="99.5"/>
    <x v="2"/>
    <n v="0.89400000000000002"/>
    <n v="17870.400000000001"/>
    <n v="17.87"/>
    <d v="2018-04-01T00:00:00"/>
    <x v="0"/>
    <x v="1"/>
  </r>
  <r>
    <x v="6"/>
    <x v="4"/>
    <s v="Mei"/>
    <s v="Division_A"/>
    <x v="18"/>
    <n v="2012"/>
    <n v="6"/>
    <s v="TM-Utama"/>
    <n v="20"/>
    <n v="1990"/>
    <s v="99.5"/>
    <x v="2"/>
    <n v="1.147"/>
    <n v="22934.7"/>
    <n v="22.934999999999999"/>
    <d v="2018-05-01T00:00:00"/>
    <x v="0"/>
    <x v="1"/>
  </r>
  <r>
    <x v="6"/>
    <x v="5"/>
    <s v="Juni"/>
    <s v="Division_A"/>
    <x v="18"/>
    <n v="2012"/>
    <n v="6"/>
    <s v="TM-Utama"/>
    <n v="20"/>
    <n v="1990"/>
    <s v="99.5"/>
    <x v="2"/>
    <n v="0.77500000000000002"/>
    <n v="15498.9"/>
    <n v="15.499000000000001"/>
    <d v="2018-06-01T00:00:00"/>
    <x v="0"/>
    <x v="1"/>
  </r>
  <r>
    <x v="6"/>
    <x v="6"/>
    <s v="Juli"/>
    <s v="Division_A"/>
    <x v="18"/>
    <n v="2012"/>
    <n v="6"/>
    <s v="TM-Utama"/>
    <n v="20"/>
    <n v="1990"/>
    <s v="99.5"/>
    <x v="2"/>
    <n v="1.0760000000000001"/>
    <n v="21527.1"/>
    <n v="21.527000000000001"/>
    <d v="2018-07-01T00:00:00"/>
    <x v="0"/>
    <x v="1"/>
  </r>
  <r>
    <x v="6"/>
    <x v="7"/>
    <s v="Agustus"/>
    <s v="Division_A"/>
    <x v="18"/>
    <n v="2012"/>
    <n v="6"/>
    <s v="TM-Utama"/>
    <n v="20"/>
    <n v="1990"/>
    <s v="99.5"/>
    <x v="2"/>
    <n v="1.22"/>
    <n v="24403.5"/>
    <n v="24.404"/>
    <d v="2018-08-01T00:00:00"/>
    <x v="0"/>
    <x v="1"/>
  </r>
  <r>
    <x v="6"/>
    <x v="8"/>
    <s v="September"/>
    <s v="Division_A"/>
    <x v="18"/>
    <n v="2012"/>
    <n v="6"/>
    <s v="TM-Utama"/>
    <n v="20"/>
    <n v="1990"/>
    <s v="99.5"/>
    <x v="2"/>
    <n v="0.90900000000000003"/>
    <n v="18176.400000000001"/>
    <n v="18.175999999999998"/>
    <d v="2018-09-01T00:00:00"/>
    <x v="0"/>
    <x v="1"/>
  </r>
  <r>
    <x v="6"/>
    <x v="9"/>
    <s v="Oktober"/>
    <s v="Division_A"/>
    <x v="18"/>
    <n v="2012"/>
    <n v="6"/>
    <s v="TM-Utama"/>
    <n v="20"/>
    <n v="1990"/>
    <s v="99.5"/>
    <x v="2"/>
    <n v="1.264"/>
    <n v="25275.599999999999"/>
    <n v="25.276"/>
    <d v="2018-10-01T00:00:00"/>
    <x v="0"/>
    <x v="1"/>
  </r>
  <r>
    <x v="6"/>
    <x v="10"/>
    <s v="November"/>
    <s v="Division_A"/>
    <x v="18"/>
    <n v="2012"/>
    <n v="6"/>
    <s v="TM-Utama"/>
    <n v="20"/>
    <n v="1990"/>
    <s v="99.5"/>
    <x v="2"/>
    <n v="0.84499999999999997"/>
    <n v="16891.2"/>
    <n v="16.890999999999998"/>
    <d v="2018-11-01T00:00:00"/>
    <x v="0"/>
    <x v="1"/>
  </r>
  <r>
    <x v="6"/>
    <x v="11"/>
    <s v="Desember"/>
    <s v="Division_A"/>
    <x v="18"/>
    <n v="2012"/>
    <n v="6"/>
    <s v="TM-Utama"/>
    <n v="20"/>
    <n v="1990"/>
    <s v="99.5"/>
    <x v="2"/>
    <n v="1.2410000000000001"/>
    <n v="24816.6"/>
    <n v="24.817"/>
    <d v="2018-12-01T00:00:00"/>
    <x v="0"/>
    <x v="1"/>
  </r>
  <r>
    <x v="6"/>
    <x v="0"/>
    <s v="Januari"/>
    <s v="Division_A"/>
    <x v="19"/>
    <n v="2012"/>
    <n v="6"/>
    <s v="TM-Utama"/>
    <n v="22"/>
    <n v="2606"/>
    <s v="118.5"/>
    <x v="2"/>
    <n v="0.89600000000000002"/>
    <n v="19701.400000000001"/>
    <n v="19.701000000000001"/>
    <d v="2018-01-01T00:00:00"/>
    <x v="0"/>
    <x v="1"/>
  </r>
  <r>
    <x v="6"/>
    <x v="1"/>
    <s v="Februari"/>
    <s v="Division_A"/>
    <x v="19"/>
    <n v="2012"/>
    <n v="6"/>
    <s v="TM-Utama"/>
    <n v="22"/>
    <n v="2606"/>
    <s v="118.5"/>
    <x v="2"/>
    <n v="0.84"/>
    <n v="18489.599999999999"/>
    <n v="18.489999999999998"/>
    <d v="2018-02-01T00:00:00"/>
    <x v="0"/>
    <x v="1"/>
  </r>
  <r>
    <x v="6"/>
    <x v="2"/>
    <s v="Maret"/>
    <s v="Division_A"/>
    <x v="19"/>
    <n v="2012"/>
    <n v="6"/>
    <s v="TM-Utama"/>
    <n v="22"/>
    <n v="2606"/>
    <s v="118.5"/>
    <x v="2"/>
    <n v="1.17"/>
    <n v="25740.799999999999"/>
    <n v="25.741"/>
    <d v="2018-03-01T00:00:00"/>
    <x v="0"/>
    <x v="1"/>
  </r>
  <r>
    <x v="6"/>
    <x v="3"/>
    <s v="April"/>
    <s v="Division_A"/>
    <x v="19"/>
    <n v="2012"/>
    <n v="6"/>
    <s v="TM-Utama"/>
    <n v="22"/>
    <n v="2606"/>
    <s v="118.5"/>
    <x v="2"/>
    <n v="1.038"/>
    <n v="22828.6"/>
    <n v="22.829000000000001"/>
    <d v="2018-04-01T00:00:00"/>
    <x v="0"/>
    <x v="1"/>
  </r>
  <r>
    <x v="6"/>
    <x v="4"/>
    <s v="Mei"/>
    <s v="Division_A"/>
    <x v="19"/>
    <n v="2012"/>
    <n v="6"/>
    <s v="TM-Utama"/>
    <n v="22"/>
    <n v="2606"/>
    <s v="118.5"/>
    <x v="2"/>
    <n v="1.3320000000000001"/>
    <n v="29298"/>
    <n v="29.297999999999998"/>
    <d v="2018-05-01T00:00:00"/>
    <x v="0"/>
    <x v="1"/>
  </r>
  <r>
    <x v="6"/>
    <x v="5"/>
    <s v="Juni"/>
    <s v="Division_A"/>
    <x v="19"/>
    <n v="2012"/>
    <n v="6"/>
    <s v="TM-Utama"/>
    <n v="22"/>
    <n v="2606"/>
    <s v="118.5"/>
    <x v="2"/>
    <n v="0.9"/>
    <n v="19799.099999999999"/>
    <n v="19.798999999999999"/>
    <d v="2018-06-01T00:00:00"/>
    <x v="0"/>
    <x v="1"/>
  </r>
  <r>
    <x v="6"/>
    <x v="6"/>
    <s v="Juli"/>
    <s v="Division_A"/>
    <x v="19"/>
    <n v="2012"/>
    <n v="6"/>
    <s v="TM-Utama"/>
    <n v="22"/>
    <n v="2606"/>
    <s v="118.5"/>
    <x v="2"/>
    <n v="1.25"/>
    <n v="27499.8"/>
    <n v="27.5"/>
    <d v="2018-07-01T00:00:00"/>
    <x v="0"/>
    <x v="1"/>
  </r>
  <r>
    <x v="6"/>
    <x v="7"/>
    <s v="Agustus"/>
    <s v="Division_A"/>
    <x v="19"/>
    <n v="2012"/>
    <n v="6"/>
    <s v="TM-Utama"/>
    <n v="22"/>
    <n v="2606"/>
    <s v="118.5"/>
    <x v="2"/>
    <n v="1.417"/>
    <n v="31174.3"/>
    <n v="31.173999999999999"/>
    <d v="2018-08-01T00:00:00"/>
    <x v="0"/>
    <x v="1"/>
  </r>
  <r>
    <x v="6"/>
    <x v="8"/>
    <s v="September"/>
    <s v="Division_A"/>
    <x v="19"/>
    <n v="2012"/>
    <n v="6"/>
    <s v="TM-Utama"/>
    <n v="22"/>
    <n v="2606"/>
    <s v="118.5"/>
    <x v="2"/>
    <n v="1.0549999999999999"/>
    <n v="23219.5"/>
    <n v="23.219000000000001"/>
    <d v="2018-09-01T00:00:00"/>
    <x v="0"/>
    <x v="1"/>
  </r>
  <r>
    <x v="6"/>
    <x v="9"/>
    <s v="Oktober"/>
    <s v="Division_A"/>
    <x v="19"/>
    <n v="2012"/>
    <n v="6"/>
    <s v="TM-Utama"/>
    <n v="22"/>
    <n v="2606"/>
    <s v="118.5"/>
    <x v="2"/>
    <n v="1.468"/>
    <n v="32288.3"/>
    <n v="32.287999999999997"/>
    <d v="2018-10-01T00:00:00"/>
    <x v="0"/>
    <x v="1"/>
  </r>
  <r>
    <x v="6"/>
    <x v="10"/>
    <s v="November"/>
    <s v="Division_A"/>
    <x v="19"/>
    <n v="2012"/>
    <n v="6"/>
    <s v="TM-Utama"/>
    <n v="22"/>
    <n v="2606"/>
    <s v="118.5"/>
    <x v="2"/>
    <n v="0.98099999999999998"/>
    <n v="21577.7"/>
    <n v="21.577999999999999"/>
    <d v="2018-11-01T00:00:00"/>
    <x v="0"/>
    <x v="1"/>
  </r>
  <r>
    <x v="6"/>
    <x v="11"/>
    <s v="Desember"/>
    <s v="Division_A"/>
    <x v="19"/>
    <n v="2012"/>
    <n v="6"/>
    <s v="TM-Utama"/>
    <n v="22"/>
    <n v="2606"/>
    <s v="118.5"/>
    <x v="2"/>
    <n v="1.4410000000000001"/>
    <n v="31702"/>
    <n v="31.702000000000002"/>
    <d v="2018-12-01T00:00:00"/>
    <x v="0"/>
    <x v="1"/>
  </r>
  <r>
    <x v="6"/>
    <x v="0"/>
    <s v="Januari"/>
    <s v="Division_A"/>
    <x v="20"/>
    <n v="2012"/>
    <n v="6"/>
    <s v="TM-Utama"/>
    <n v="22"/>
    <n v="2683"/>
    <s v="122"/>
    <x v="1"/>
    <n v="0.92200000000000004"/>
    <n v="20283.5"/>
    <n v="20.283000000000001"/>
    <d v="2018-01-01T00:00:00"/>
    <x v="0"/>
    <x v="1"/>
  </r>
  <r>
    <x v="6"/>
    <x v="1"/>
    <s v="Februari"/>
    <s v="Division_A"/>
    <x v="20"/>
    <n v="2012"/>
    <n v="6"/>
    <s v="TM-Utama"/>
    <n v="22"/>
    <n v="2683"/>
    <s v="122"/>
    <x v="1"/>
    <n v="0.86499999999999999"/>
    <n v="19035.900000000001"/>
    <n v="19.036000000000001"/>
    <d v="2018-02-01T00:00:00"/>
    <x v="0"/>
    <x v="1"/>
  </r>
  <r>
    <x v="6"/>
    <x v="2"/>
    <s v="Maret"/>
    <s v="Division_A"/>
    <x v="20"/>
    <n v="2012"/>
    <n v="6"/>
    <s v="TM-Utama"/>
    <n v="22"/>
    <n v="2683"/>
    <s v="122"/>
    <x v="1"/>
    <n v="1.2050000000000001"/>
    <n v="26501.3"/>
    <n v="26.501000000000001"/>
    <d v="2018-03-01T00:00:00"/>
    <x v="0"/>
    <x v="1"/>
  </r>
  <r>
    <x v="6"/>
    <x v="3"/>
    <s v="April"/>
    <s v="Division_A"/>
    <x v="20"/>
    <n v="2012"/>
    <n v="6"/>
    <s v="TM-Utama"/>
    <n v="22"/>
    <n v="2683"/>
    <s v="122"/>
    <x v="1"/>
    <n v="1.0680000000000001"/>
    <n v="23503.1"/>
    <n v="23.503"/>
    <d v="2018-04-01T00:00:00"/>
    <x v="0"/>
    <x v="1"/>
  </r>
  <r>
    <x v="6"/>
    <x v="4"/>
    <s v="Mei"/>
    <s v="Division_A"/>
    <x v="20"/>
    <n v="2012"/>
    <n v="6"/>
    <s v="TM-Utama"/>
    <n v="22"/>
    <n v="2683"/>
    <s v="122"/>
    <x v="1"/>
    <n v="1.371"/>
    <n v="30163.599999999999"/>
    <n v="30.164000000000001"/>
    <d v="2018-05-01T00:00:00"/>
    <x v="0"/>
    <x v="1"/>
  </r>
  <r>
    <x v="6"/>
    <x v="5"/>
    <s v="Juni"/>
    <s v="Division_A"/>
    <x v="20"/>
    <n v="2012"/>
    <n v="6"/>
    <s v="TM-Utama"/>
    <n v="22"/>
    <n v="2683"/>
    <s v="122"/>
    <x v="1"/>
    <n v="0.92700000000000005"/>
    <n v="20384.099999999999"/>
    <n v="20.384"/>
    <d v="2018-06-01T00:00:00"/>
    <x v="0"/>
    <x v="1"/>
  </r>
  <r>
    <x v="6"/>
    <x v="6"/>
    <s v="Juli"/>
    <s v="Division_A"/>
    <x v="20"/>
    <n v="2012"/>
    <n v="6"/>
    <s v="TM-Utama"/>
    <n v="22"/>
    <n v="2683"/>
    <s v="122"/>
    <x v="1"/>
    <n v="1.2869999999999999"/>
    <n v="28312.400000000001"/>
    <n v="28.312000000000001"/>
    <d v="2018-07-01T00:00:00"/>
    <x v="0"/>
    <x v="1"/>
  </r>
  <r>
    <x v="6"/>
    <x v="7"/>
    <s v="Agustus"/>
    <s v="Division_A"/>
    <x v="20"/>
    <n v="2012"/>
    <n v="6"/>
    <s v="TM-Utama"/>
    <n v="22"/>
    <n v="2683"/>
    <s v="122"/>
    <x v="1"/>
    <n v="1.4590000000000001"/>
    <n v="32095.4"/>
    <n v="32.094999999999999"/>
    <d v="2018-08-01T00:00:00"/>
    <x v="0"/>
    <x v="1"/>
  </r>
  <r>
    <x v="6"/>
    <x v="8"/>
    <s v="September"/>
    <s v="Division_A"/>
    <x v="20"/>
    <n v="2012"/>
    <n v="6"/>
    <s v="TM-Utama"/>
    <n v="22"/>
    <n v="2683"/>
    <s v="122"/>
    <x v="1"/>
    <n v="1.087"/>
    <n v="23905.5"/>
    <n v="23.905999999999999"/>
    <d v="2018-09-01T00:00:00"/>
    <x v="0"/>
    <x v="1"/>
  </r>
  <r>
    <x v="6"/>
    <x v="9"/>
    <s v="Oktober"/>
    <s v="Division_A"/>
    <x v="20"/>
    <n v="2012"/>
    <n v="6"/>
    <s v="TM-Utama"/>
    <n v="22"/>
    <n v="2683"/>
    <s v="122"/>
    <x v="1"/>
    <n v="1.5109999999999999"/>
    <n v="33242.400000000001"/>
    <n v="33.241999999999997"/>
    <d v="2018-10-01T00:00:00"/>
    <x v="0"/>
    <x v="1"/>
  </r>
  <r>
    <x v="6"/>
    <x v="10"/>
    <s v="November"/>
    <s v="Division_A"/>
    <x v="20"/>
    <n v="2012"/>
    <n v="6"/>
    <s v="TM-Utama"/>
    <n v="22"/>
    <n v="2683"/>
    <s v="122"/>
    <x v="1"/>
    <n v="1.01"/>
    <n v="22215.200000000001"/>
    <n v="22.215"/>
    <d v="2018-11-01T00:00:00"/>
    <x v="0"/>
    <x v="1"/>
  </r>
  <r>
    <x v="6"/>
    <x v="11"/>
    <s v="Desember"/>
    <s v="Division_A"/>
    <x v="20"/>
    <n v="2012"/>
    <n v="6"/>
    <s v="TM-Utama"/>
    <n v="22"/>
    <n v="2683"/>
    <s v="122"/>
    <x v="1"/>
    <n v="1.484"/>
    <n v="32638.7"/>
    <n v="32.639000000000003"/>
    <d v="2018-12-01T00:00:00"/>
    <x v="0"/>
    <x v="1"/>
  </r>
  <r>
    <x v="6"/>
    <x v="0"/>
    <s v="Januari"/>
    <s v="Division_A"/>
    <x v="21"/>
    <n v="2012"/>
    <n v="6"/>
    <s v="TM-Utama"/>
    <n v="28"/>
    <n v="3483"/>
    <s v="124.4"/>
    <x v="1"/>
    <n v="0.94"/>
    <n v="26331.5"/>
    <n v="26.331"/>
    <d v="2018-01-01T00:00:00"/>
    <x v="0"/>
    <x v="1"/>
  </r>
  <r>
    <x v="6"/>
    <x v="1"/>
    <s v="Februari"/>
    <s v="Division_A"/>
    <x v="21"/>
    <n v="2012"/>
    <n v="6"/>
    <s v="TM-Utama"/>
    <n v="28"/>
    <n v="3483"/>
    <s v="124.4"/>
    <x v="1"/>
    <n v="0.88300000000000001"/>
    <n v="24711.9"/>
    <n v="24.712"/>
    <d v="2018-02-01T00:00:00"/>
    <x v="0"/>
    <x v="1"/>
  </r>
  <r>
    <x v="6"/>
    <x v="2"/>
    <s v="Maret"/>
    <s v="Division_A"/>
    <x v="21"/>
    <n v="2012"/>
    <n v="6"/>
    <s v="TM-Utama"/>
    <n v="28"/>
    <n v="3483"/>
    <s v="124.4"/>
    <x v="1"/>
    <n v="1.2290000000000001"/>
    <n v="34403.300000000003"/>
    <n v="34.402999999999999"/>
    <d v="2018-03-01T00:00:00"/>
    <x v="0"/>
    <x v="1"/>
  </r>
  <r>
    <x v="6"/>
    <x v="3"/>
    <s v="April"/>
    <s v="Division_A"/>
    <x v="21"/>
    <n v="2012"/>
    <n v="6"/>
    <s v="TM-Utama"/>
    <n v="28"/>
    <n v="3483"/>
    <s v="124.4"/>
    <x v="1"/>
    <n v="1.0900000000000001"/>
    <n v="30511.1"/>
    <n v="30.510999999999999"/>
    <d v="2018-04-01T00:00:00"/>
    <x v="0"/>
    <x v="1"/>
  </r>
  <r>
    <x v="6"/>
    <x v="4"/>
    <s v="Mei"/>
    <s v="Division_A"/>
    <x v="21"/>
    <n v="2012"/>
    <n v="6"/>
    <s v="TM-Utama"/>
    <n v="28"/>
    <n v="3483"/>
    <s v="124.4"/>
    <x v="1"/>
    <n v="1.3979999999999999"/>
    <n v="39157.599999999999"/>
    <n v="39.158000000000001"/>
    <d v="2018-05-01T00:00:00"/>
    <x v="0"/>
    <x v="1"/>
  </r>
  <r>
    <x v="6"/>
    <x v="5"/>
    <s v="Juni"/>
    <s v="Division_A"/>
    <x v="21"/>
    <n v="2012"/>
    <n v="6"/>
    <s v="TM-Utama"/>
    <n v="28"/>
    <n v="3483"/>
    <s v="124.4"/>
    <x v="1"/>
    <n v="0.94499999999999995"/>
    <n v="26462.1"/>
    <n v="26.462"/>
    <d v="2018-06-01T00:00:00"/>
    <x v="0"/>
    <x v="1"/>
  </r>
  <r>
    <x v="6"/>
    <x v="6"/>
    <s v="Juli"/>
    <s v="Division_A"/>
    <x v="21"/>
    <n v="2012"/>
    <n v="6"/>
    <s v="TM-Utama"/>
    <n v="28"/>
    <n v="3483"/>
    <s v="124.4"/>
    <x v="1"/>
    <n v="1.3129999999999999"/>
    <n v="36754.400000000001"/>
    <n v="36.753999999999998"/>
    <d v="2018-07-01T00:00:00"/>
    <x v="0"/>
    <x v="1"/>
  </r>
  <r>
    <x v="6"/>
    <x v="7"/>
    <s v="Agustus"/>
    <s v="Division_A"/>
    <x v="21"/>
    <n v="2012"/>
    <n v="6"/>
    <s v="TM-Utama"/>
    <n v="28"/>
    <n v="3483"/>
    <s v="124.4"/>
    <x v="1"/>
    <n v="1.488"/>
    <n v="41665.4"/>
    <n v="41.664999999999999"/>
    <d v="2018-08-01T00:00:00"/>
    <x v="0"/>
    <x v="1"/>
  </r>
  <r>
    <x v="6"/>
    <x v="8"/>
    <s v="September"/>
    <s v="Division_A"/>
    <x v="21"/>
    <n v="2012"/>
    <n v="6"/>
    <s v="TM-Utama"/>
    <n v="28"/>
    <n v="3483"/>
    <s v="124.4"/>
    <x v="1"/>
    <n v="1.1080000000000001"/>
    <n v="31033.5"/>
    <n v="31.033999999999999"/>
    <d v="2018-09-01T00:00:00"/>
    <x v="0"/>
    <x v="1"/>
  </r>
  <r>
    <x v="6"/>
    <x v="9"/>
    <s v="Oktober"/>
    <s v="Division_A"/>
    <x v="21"/>
    <n v="2012"/>
    <n v="6"/>
    <s v="TM-Utama"/>
    <n v="28"/>
    <n v="3483"/>
    <s v="124.4"/>
    <x v="1"/>
    <n v="1.5409999999999999"/>
    <n v="43154.400000000001"/>
    <n v="43.154000000000003"/>
    <d v="2018-10-01T00:00:00"/>
    <x v="0"/>
    <x v="1"/>
  </r>
  <r>
    <x v="6"/>
    <x v="10"/>
    <s v="November"/>
    <s v="Division_A"/>
    <x v="21"/>
    <n v="2012"/>
    <n v="6"/>
    <s v="TM-Utama"/>
    <n v="28"/>
    <n v="3483"/>
    <s v="124.4"/>
    <x v="1"/>
    <n v="1.03"/>
    <n v="28839.200000000001"/>
    <n v="28.838999999999999"/>
    <d v="2018-11-01T00:00:00"/>
    <x v="0"/>
    <x v="1"/>
  </r>
  <r>
    <x v="6"/>
    <x v="11"/>
    <s v="Desember"/>
    <s v="Division_A"/>
    <x v="21"/>
    <n v="2012"/>
    <n v="6"/>
    <s v="TM-Utama"/>
    <n v="28"/>
    <n v="3483"/>
    <s v="124.4"/>
    <x v="1"/>
    <n v="1.5129999999999999"/>
    <n v="42370.7"/>
    <n v="42.371000000000002"/>
    <d v="2018-12-01T00:00:00"/>
    <x v="0"/>
    <x v="1"/>
  </r>
  <r>
    <x v="6"/>
    <x v="0"/>
    <s v="Januari"/>
    <s v="Division_A"/>
    <x v="22"/>
    <n v="2013"/>
    <n v="5"/>
    <s v="TM-3"/>
    <n v="24"/>
    <n v="2678"/>
    <s v="111.6"/>
    <x v="1"/>
    <n v="0.88700000000000001"/>
    <n v="21289"/>
    <n v="21.289000000000001"/>
    <d v="2018-01-01T00:00:00"/>
    <x v="0"/>
    <x v="3"/>
  </r>
  <r>
    <x v="6"/>
    <x v="1"/>
    <s v="Februari"/>
    <s v="Division_A"/>
    <x v="22"/>
    <n v="2013"/>
    <n v="5"/>
    <s v="TM-3"/>
    <n v="24"/>
    <n v="2678"/>
    <s v="111.6"/>
    <x v="1"/>
    <n v="0.83199999999999996"/>
    <n v="19979.5"/>
    <n v="19.98"/>
    <d v="2018-02-01T00:00:00"/>
    <x v="0"/>
    <x v="3"/>
  </r>
  <r>
    <x v="6"/>
    <x v="2"/>
    <s v="Maret"/>
    <s v="Division_A"/>
    <x v="22"/>
    <n v="2013"/>
    <n v="5"/>
    <s v="TM-3"/>
    <n v="24"/>
    <n v="2678"/>
    <s v="111.6"/>
    <x v="1"/>
    <n v="1.159"/>
    <n v="27815"/>
    <n v="27.815000000000001"/>
    <d v="2018-03-01T00:00:00"/>
    <x v="0"/>
    <x v="3"/>
  </r>
  <r>
    <x v="6"/>
    <x v="3"/>
    <s v="April"/>
    <s v="Division_A"/>
    <x v="22"/>
    <n v="2013"/>
    <n v="5"/>
    <s v="TM-3"/>
    <n v="24"/>
    <n v="2678"/>
    <s v="111.6"/>
    <x v="1"/>
    <n v="1.028"/>
    <n v="24668.2"/>
    <n v="24.667999999999999"/>
    <d v="2018-04-01T00:00:00"/>
    <x v="0"/>
    <x v="3"/>
  </r>
  <r>
    <x v="6"/>
    <x v="4"/>
    <s v="Mei"/>
    <s v="Division_A"/>
    <x v="22"/>
    <n v="2013"/>
    <n v="5"/>
    <s v="TM-3"/>
    <n v="24"/>
    <n v="2678"/>
    <s v="111.6"/>
    <x v="1"/>
    <n v="1.319"/>
    <n v="31658.9"/>
    <n v="31.658999999999999"/>
    <d v="2018-05-01T00:00:00"/>
    <x v="0"/>
    <x v="3"/>
  </r>
  <r>
    <x v="6"/>
    <x v="5"/>
    <s v="Juni"/>
    <s v="Division_A"/>
    <x v="22"/>
    <n v="2013"/>
    <n v="5"/>
    <s v="TM-3"/>
    <n v="24"/>
    <n v="2678"/>
    <s v="111.6"/>
    <x v="1"/>
    <n v="0.89100000000000001"/>
    <n v="21394.6"/>
    <n v="21.395"/>
    <d v="2018-06-01T00:00:00"/>
    <x v="0"/>
    <x v="3"/>
  </r>
  <r>
    <x v="6"/>
    <x v="6"/>
    <s v="Juli"/>
    <s v="Division_A"/>
    <x v="22"/>
    <n v="2013"/>
    <n v="5"/>
    <s v="TM-3"/>
    <n v="24"/>
    <n v="2678"/>
    <s v="111.6"/>
    <x v="1"/>
    <n v="1.238"/>
    <n v="29715.8"/>
    <n v="29.716000000000001"/>
    <d v="2018-07-01T00:00:00"/>
    <x v="0"/>
    <x v="3"/>
  </r>
  <r>
    <x v="6"/>
    <x v="7"/>
    <s v="Agustus"/>
    <s v="Division_A"/>
    <x v="22"/>
    <n v="2013"/>
    <n v="5"/>
    <s v="TM-3"/>
    <n v="24"/>
    <n v="2678"/>
    <s v="111.6"/>
    <x v="1"/>
    <n v="1.4039999999999999"/>
    <n v="33686.400000000001"/>
    <n v="33.686"/>
    <d v="2018-08-01T00:00:00"/>
    <x v="0"/>
    <x v="3"/>
  </r>
  <r>
    <x v="6"/>
    <x v="8"/>
    <s v="September"/>
    <s v="Division_A"/>
    <x v="22"/>
    <n v="2013"/>
    <n v="5"/>
    <s v="TM-3"/>
    <n v="24"/>
    <n v="2678"/>
    <s v="111.6"/>
    <x v="1"/>
    <n v="1.0449999999999999"/>
    <n v="25090.6"/>
    <n v="25.091000000000001"/>
    <d v="2018-09-01T00:00:00"/>
    <x v="0"/>
    <x v="3"/>
  </r>
  <r>
    <x v="6"/>
    <x v="9"/>
    <s v="Oktober"/>
    <s v="Division_A"/>
    <x v="22"/>
    <n v="2013"/>
    <n v="5"/>
    <s v="TM-3"/>
    <n v="24"/>
    <n v="2678"/>
    <s v="111.6"/>
    <x v="1"/>
    <n v="1.454"/>
    <n v="34890.199999999997"/>
    <n v="34.89"/>
    <d v="2018-10-01T00:00:00"/>
    <x v="0"/>
    <x v="3"/>
  </r>
  <r>
    <x v="6"/>
    <x v="10"/>
    <s v="November"/>
    <s v="Division_A"/>
    <x v="22"/>
    <n v="2013"/>
    <n v="5"/>
    <s v="TM-3"/>
    <n v="24"/>
    <n v="2678"/>
    <s v="111.6"/>
    <x v="1"/>
    <n v="0.97199999999999998"/>
    <n v="23316.5"/>
    <n v="23.315999999999999"/>
    <d v="2018-11-01T00:00:00"/>
    <x v="0"/>
    <x v="3"/>
  </r>
  <r>
    <x v="6"/>
    <x v="11"/>
    <s v="Desember"/>
    <s v="Division_A"/>
    <x v="22"/>
    <n v="2013"/>
    <n v="5"/>
    <s v="TM-3"/>
    <n v="24"/>
    <n v="2678"/>
    <s v="111.6"/>
    <x v="1"/>
    <n v="1.427"/>
    <n v="34256.6"/>
    <n v="34.256999999999998"/>
    <d v="2018-12-01T00:00:00"/>
    <x v="0"/>
    <x v="3"/>
  </r>
  <r>
    <x v="6"/>
    <x v="0"/>
    <s v="Januari"/>
    <s v="Division_A"/>
    <x v="23"/>
    <n v="2013"/>
    <n v="5"/>
    <s v="TM-3"/>
    <n v="23"/>
    <n v="2683"/>
    <s v="116.7"/>
    <x v="1"/>
    <n v="0.88700000000000001"/>
    <n v="20401.900000000001"/>
    <n v="20.402000000000001"/>
    <d v="2018-01-01T00:00:00"/>
    <x v="0"/>
    <x v="3"/>
  </r>
  <r>
    <x v="6"/>
    <x v="1"/>
    <s v="Februari"/>
    <s v="Division_A"/>
    <x v="23"/>
    <n v="2013"/>
    <n v="5"/>
    <s v="TM-3"/>
    <n v="23"/>
    <n v="2683"/>
    <s v="116.7"/>
    <x v="1"/>
    <n v="0.83199999999999996"/>
    <n v="19147"/>
    <n v="19.146999999999998"/>
    <d v="2018-02-01T00:00:00"/>
    <x v="0"/>
    <x v="3"/>
  </r>
  <r>
    <x v="6"/>
    <x v="2"/>
    <s v="Maret"/>
    <s v="Division_A"/>
    <x v="23"/>
    <n v="2013"/>
    <n v="5"/>
    <s v="TM-3"/>
    <n v="23"/>
    <n v="2683"/>
    <s v="116.7"/>
    <x v="1"/>
    <n v="1.159"/>
    <n v="26656.1"/>
    <n v="26.655999999999999"/>
    <d v="2018-03-01T00:00:00"/>
    <x v="0"/>
    <x v="3"/>
  </r>
  <r>
    <x v="6"/>
    <x v="3"/>
    <s v="April"/>
    <s v="Division_A"/>
    <x v="23"/>
    <n v="2013"/>
    <n v="5"/>
    <s v="TM-3"/>
    <n v="23"/>
    <n v="2683"/>
    <s v="116.7"/>
    <x v="1"/>
    <n v="1.028"/>
    <n v="23640.3"/>
    <n v="23.64"/>
    <d v="2018-04-01T00:00:00"/>
    <x v="0"/>
    <x v="3"/>
  </r>
  <r>
    <x v="6"/>
    <x v="4"/>
    <s v="Mei"/>
    <s v="Division_A"/>
    <x v="23"/>
    <n v="2013"/>
    <n v="5"/>
    <s v="TM-3"/>
    <n v="23"/>
    <n v="2683"/>
    <s v="116.7"/>
    <x v="1"/>
    <n v="1.319"/>
    <n v="30339.8"/>
    <n v="30.34"/>
    <d v="2018-05-01T00:00:00"/>
    <x v="0"/>
    <x v="3"/>
  </r>
  <r>
    <x v="6"/>
    <x v="5"/>
    <s v="Juni"/>
    <s v="Division_A"/>
    <x v="23"/>
    <n v="2013"/>
    <n v="5"/>
    <s v="TM-3"/>
    <n v="23"/>
    <n v="2683"/>
    <s v="116.7"/>
    <x v="1"/>
    <n v="0.89100000000000001"/>
    <n v="20503.099999999999"/>
    <n v="20.503"/>
    <d v="2018-06-01T00:00:00"/>
    <x v="0"/>
    <x v="3"/>
  </r>
  <r>
    <x v="6"/>
    <x v="6"/>
    <s v="Juli"/>
    <s v="Division_A"/>
    <x v="23"/>
    <n v="2013"/>
    <n v="5"/>
    <s v="TM-3"/>
    <n v="23"/>
    <n v="2683"/>
    <s v="116.7"/>
    <x v="1"/>
    <n v="1.238"/>
    <n v="28477.7"/>
    <n v="28.478000000000002"/>
    <d v="2018-07-01T00:00:00"/>
    <x v="0"/>
    <x v="3"/>
  </r>
  <r>
    <x v="6"/>
    <x v="7"/>
    <s v="Agustus"/>
    <s v="Division_A"/>
    <x v="23"/>
    <n v="2013"/>
    <n v="5"/>
    <s v="TM-3"/>
    <n v="23"/>
    <n v="2683"/>
    <s v="116.7"/>
    <x v="1"/>
    <n v="1.4039999999999999"/>
    <n v="32282.799999999999"/>
    <n v="32.283000000000001"/>
    <d v="2018-08-01T00:00:00"/>
    <x v="0"/>
    <x v="3"/>
  </r>
  <r>
    <x v="6"/>
    <x v="8"/>
    <s v="September"/>
    <s v="Division_A"/>
    <x v="23"/>
    <n v="2013"/>
    <n v="5"/>
    <s v="TM-3"/>
    <n v="23"/>
    <n v="2683"/>
    <s v="116.7"/>
    <x v="1"/>
    <n v="1.0449999999999999"/>
    <n v="24045.1"/>
    <n v="24.045000000000002"/>
    <d v="2018-09-01T00:00:00"/>
    <x v="0"/>
    <x v="3"/>
  </r>
  <r>
    <x v="6"/>
    <x v="9"/>
    <s v="Oktober"/>
    <s v="Division_A"/>
    <x v="23"/>
    <n v="2013"/>
    <n v="5"/>
    <s v="TM-3"/>
    <n v="23"/>
    <n v="2683"/>
    <s v="116.7"/>
    <x v="1"/>
    <n v="1.454"/>
    <n v="33436.5"/>
    <n v="33.436"/>
    <d v="2018-10-01T00:00:00"/>
    <x v="0"/>
    <x v="3"/>
  </r>
  <r>
    <x v="6"/>
    <x v="10"/>
    <s v="November"/>
    <s v="Division_A"/>
    <x v="23"/>
    <n v="2013"/>
    <n v="5"/>
    <s v="TM-3"/>
    <n v="23"/>
    <n v="2683"/>
    <s v="116.7"/>
    <x v="1"/>
    <n v="0.97199999999999998"/>
    <n v="22345"/>
    <n v="22.344999999999999"/>
    <d v="2018-11-01T00:00:00"/>
    <x v="0"/>
    <x v="3"/>
  </r>
  <r>
    <x v="6"/>
    <x v="11"/>
    <s v="Desember"/>
    <s v="Division_A"/>
    <x v="23"/>
    <n v="2013"/>
    <n v="5"/>
    <s v="TM-3"/>
    <n v="23"/>
    <n v="2683"/>
    <s v="116.7"/>
    <x v="1"/>
    <n v="1.427"/>
    <n v="32829.300000000003"/>
    <n v="32.829000000000001"/>
    <d v="2018-12-01T00:00:00"/>
    <x v="0"/>
    <x v="3"/>
  </r>
  <r>
    <x v="6"/>
    <x v="0"/>
    <s v="Januari"/>
    <s v="Division_A"/>
    <x v="24"/>
    <n v="2013"/>
    <n v="5"/>
    <s v="TM-3"/>
    <n v="24"/>
    <n v="3445"/>
    <s v="143.5"/>
    <x v="1"/>
    <n v="0.88700000000000001"/>
    <n v="21289"/>
    <n v="21.289000000000001"/>
    <d v="2018-01-01T00:00:00"/>
    <x v="0"/>
    <x v="3"/>
  </r>
  <r>
    <x v="6"/>
    <x v="1"/>
    <s v="Februari"/>
    <s v="Division_A"/>
    <x v="24"/>
    <n v="2013"/>
    <n v="5"/>
    <s v="TM-3"/>
    <n v="24"/>
    <n v="3445"/>
    <s v="143.5"/>
    <x v="1"/>
    <n v="0.83199999999999996"/>
    <n v="19979.5"/>
    <n v="19.98"/>
    <d v="2018-02-01T00:00:00"/>
    <x v="0"/>
    <x v="3"/>
  </r>
  <r>
    <x v="6"/>
    <x v="2"/>
    <s v="Maret"/>
    <s v="Division_A"/>
    <x v="24"/>
    <n v="2013"/>
    <n v="5"/>
    <s v="TM-3"/>
    <n v="24"/>
    <n v="3445"/>
    <s v="143.5"/>
    <x v="1"/>
    <n v="1.159"/>
    <n v="27815"/>
    <n v="27.815000000000001"/>
    <d v="2018-03-01T00:00:00"/>
    <x v="0"/>
    <x v="3"/>
  </r>
  <r>
    <x v="6"/>
    <x v="3"/>
    <s v="April"/>
    <s v="Division_A"/>
    <x v="24"/>
    <n v="2013"/>
    <n v="5"/>
    <s v="TM-3"/>
    <n v="24"/>
    <n v="3445"/>
    <s v="143.5"/>
    <x v="1"/>
    <n v="1.028"/>
    <n v="24668.2"/>
    <n v="24.667999999999999"/>
    <d v="2018-04-01T00:00:00"/>
    <x v="0"/>
    <x v="3"/>
  </r>
  <r>
    <x v="6"/>
    <x v="4"/>
    <s v="Mei"/>
    <s v="Division_A"/>
    <x v="24"/>
    <n v="2013"/>
    <n v="5"/>
    <s v="TM-3"/>
    <n v="24"/>
    <n v="3445"/>
    <s v="143.5"/>
    <x v="1"/>
    <n v="1.319"/>
    <n v="31658.9"/>
    <n v="31.658999999999999"/>
    <d v="2018-05-01T00:00:00"/>
    <x v="0"/>
    <x v="3"/>
  </r>
  <r>
    <x v="6"/>
    <x v="5"/>
    <s v="Juni"/>
    <s v="Division_A"/>
    <x v="24"/>
    <n v="2013"/>
    <n v="5"/>
    <s v="TM-3"/>
    <n v="24"/>
    <n v="3445"/>
    <s v="143.5"/>
    <x v="1"/>
    <n v="0.89100000000000001"/>
    <n v="21394.6"/>
    <n v="21.395"/>
    <d v="2018-06-01T00:00:00"/>
    <x v="0"/>
    <x v="3"/>
  </r>
  <r>
    <x v="6"/>
    <x v="6"/>
    <s v="Juli"/>
    <s v="Division_A"/>
    <x v="24"/>
    <n v="2013"/>
    <n v="5"/>
    <s v="TM-3"/>
    <n v="24"/>
    <n v="3445"/>
    <s v="143.5"/>
    <x v="1"/>
    <n v="1.238"/>
    <n v="29715.8"/>
    <n v="29.716000000000001"/>
    <d v="2018-07-01T00:00:00"/>
    <x v="0"/>
    <x v="3"/>
  </r>
  <r>
    <x v="6"/>
    <x v="7"/>
    <s v="Agustus"/>
    <s v="Division_A"/>
    <x v="24"/>
    <n v="2013"/>
    <n v="5"/>
    <s v="TM-3"/>
    <n v="24"/>
    <n v="3445"/>
    <s v="143.5"/>
    <x v="1"/>
    <n v="1.4039999999999999"/>
    <n v="33686.400000000001"/>
    <n v="33.686"/>
    <d v="2018-08-01T00:00:00"/>
    <x v="0"/>
    <x v="3"/>
  </r>
  <r>
    <x v="6"/>
    <x v="8"/>
    <s v="September"/>
    <s v="Division_A"/>
    <x v="24"/>
    <n v="2013"/>
    <n v="5"/>
    <s v="TM-3"/>
    <n v="24"/>
    <n v="3445"/>
    <s v="143.5"/>
    <x v="1"/>
    <n v="1.0449999999999999"/>
    <n v="25090.6"/>
    <n v="25.091000000000001"/>
    <d v="2018-09-01T00:00:00"/>
    <x v="0"/>
    <x v="3"/>
  </r>
  <r>
    <x v="6"/>
    <x v="9"/>
    <s v="Oktober"/>
    <s v="Division_A"/>
    <x v="24"/>
    <n v="2013"/>
    <n v="5"/>
    <s v="TM-3"/>
    <n v="24"/>
    <n v="3445"/>
    <s v="143.5"/>
    <x v="1"/>
    <n v="1.454"/>
    <n v="34890.199999999997"/>
    <n v="34.89"/>
    <d v="2018-10-01T00:00:00"/>
    <x v="0"/>
    <x v="3"/>
  </r>
  <r>
    <x v="6"/>
    <x v="10"/>
    <s v="November"/>
    <s v="Division_A"/>
    <x v="24"/>
    <n v="2013"/>
    <n v="5"/>
    <s v="TM-3"/>
    <n v="24"/>
    <n v="3445"/>
    <s v="143.5"/>
    <x v="1"/>
    <n v="0.97199999999999998"/>
    <n v="23316.5"/>
    <n v="23.315999999999999"/>
    <d v="2018-11-01T00:00:00"/>
    <x v="0"/>
    <x v="3"/>
  </r>
  <r>
    <x v="6"/>
    <x v="11"/>
    <s v="Desember"/>
    <s v="Division_A"/>
    <x v="24"/>
    <n v="2013"/>
    <n v="5"/>
    <s v="TM-3"/>
    <n v="24"/>
    <n v="3445"/>
    <s v="143.5"/>
    <x v="1"/>
    <n v="1.427"/>
    <n v="34256.6"/>
    <n v="34.256999999999998"/>
    <d v="2018-12-01T00:00:00"/>
    <x v="0"/>
    <x v="3"/>
  </r>
  <r>
    <x v="6"/>
    <x v="0"/>
    <s v="Januari"/>
    <s v="Division_A"/>
    <x v="25"/>
    <n v="2013"/>
    <n v="5"/>
    <s v="TM-3"/>
    <n v="24"/>
    <n v="3271"/>
    <s v="136.3"/>
    <x v="1"/>
    <n v="0.88700000000000001"/>
    <n v="21289"/>
    <n v="21.289000000000001"/>
    <d v="2018-01-01T00:00:00"/>
    <x v="0"/>
    <x v="3"/>
  </r>
  <r>
    <x v="6"/>
    <x v="1"/>
    <s v="Februari"/>
    <s v="Division_A"/>
    <x v="25"/>
    <n v="2013"/>
    <n v="5"/>
    <s v="TM-3"/>
    <n v="24"/>
    <n v="3271"/>
    <s v="136.3"/>
    <x v="1"/>
    <n v="0.83199999999999996"/>
    <n v="19979.5"/>
    <n v="19.98"/>
    <d v="2018-02-01T00:00:00"/>
    <x v="0"/>
    <x v="3"/>
  </r>
  <r>
    <x v="6"/>
    <x v="2"/>
    <s v="Maret"/>
    <s v="Division_A"/>
    <x v="25"/>
    <n v="2013"/>
    <n v="5"/>
    <s v="TM-3"/>
    <n v="24"/>
    <n v="3271"/>
    <s v="136.3"/>
    <x v="1"/>
    <n v="1.159"/>
    <n v="27815"/>
    <n v="27.815000000000001"/>
    <d v="2018-03-01T00:00:00"/>
    <x v="0"/>
    <x v="3"/>
  </r>
  <r>
    <x v="6"/>
    <x v="3"/>
    <s v="April"/>
    <s v="Division_A"/>
    <x v="25"/>
    <n v="2013"/>
    <n v="5"/>
    <s v="TM-3"/>
    <n v="24"/>
    <n v="3271"/>
    <s v="136.3"/>
    <x v="1"/>
    <n v="1.028"/>
    <n v="24668.2"/>
    <n v="24.667999999999999"/>
    <d v="2018-04-01T00:00:00"/>
    <x v="0"/>
    <x v="3"/>
  </r>
  <r>
    <x v="6"/>
    <x v="4"/>
    <s v="Mei"/>
    <s v="Division_A"/>
    <x v="25"/>
    <n v="2013"/>
    <n v="5"/>
    <s v="TM-3"/>
    <n v="24"/>
    <n v="3271"/>
    <s v="136.3"/>
    <x v="1"/>
    <n v="1.319"/>
    <n v="31658.9"/>
    <n v="31.658999999999999"/>
    <d v="2018-05-01T00:00:00"/>
    <x v="0"/>
    <x v="3"/>
  </r>
  <r>
    <x v="6"/>
    <x v="5"/>
    <s v="Juni"/>
    <s v="Division_A"/>
    <x v="25"/>
    <n v="2013"/>
    <n v="5"/>
    <s v="TM-3"/>
    <n v="24"/>
    <n v="3271"/>
    <s v="136.3"/>
    <x v="1"/>
    <n v="0.89100000000000001"/>
    <n v="21394.6"/>
    <n v="21.395"/>
    <d v="2018-06-01T00:00:00"/>
    <x v="0"/>
    <x v="3"/>
  </r>
  <r>
    <x v="6"/>
    <x v="6"/>
    <s v="Juli"/>
    <s v="Division_A"/>
    <x v="25"/>
    <n v="2013"/>
    <n v="5"/>
    <s v="TM-3"/>
    <n v="24"/>
    <n v="3271"/>
    <s v="136.3"/>
    <x v="1"/>
    <n v="1.238"/>
    <n v="29715.8"/>
    <n v="29.716000000000001"/>
    <d v="2018-07-01T00:00:00"/>
    <x v="0"/>
    <x v="3"/>
  </r>
  <r>
    <x v="6"/>
    <x v="7"/>
    <s v="Agustus"/>
    <s v="Division_A"/>
    <x v="25"/>
    <n v="2013"/>
    <n v="5"/>
    <s v="TM-3"/>
    <n v="24"/>
    <n v="3271"/>
    <s v="136.3"/>
    <x v="1"/>
    <n v="1.4039999999999999"/>
    <n v="33686.400000000001"/>
    <n v="33.686"/>
    <d v="2018-08-01T00:00:00"/>
    <x v="0"/>
    <x v="3"/>
  </r>
  <r>
    <x v="6"/>
    <x v="8"/>
    <s v="September"/>
    <s v="Division_A"/>
    <x v="25"/>
    <n v="2013"/>
    <n v="5"/>
    <s v="TM-3"/>
    <n v="24"/>
    <n v="3271"/>
    <s v="136.3"/>
    <x v="1"/>
    <n v="1.0449999999999999"/>
    <n v="25090.6"/>
    <n v="25.091000000000001"/>
    <d v="2018-09-01T00:00:00"/>
    <x v="0"/>
    <x v="3"/>
  </r>
  <r>
    <x v="6"/>
    <x v="9"/>
    <s v="Oktober"/>
    <s v="Division_A"/>
    <x v="25"/>
    <n v="2013"/>
    <n v="5"/>
    <s v="TM-3"/>
    <n v="24"/>
    <n v="3271"/>
    <s v="136.3"/>
    <x v="1"/>
    <n v="1.454"/>
    <n v="34890.199999999997"/>
    <n v="34.89"/>
    <d v="2018-10-01T00:00:00"/>
    <x v="0"/>
    <x v="3"/>
  </r>
  <r>
    <x v="6"/>
    <x v="10"/>
    <s v="November"/>
    <s v="Division_A"/>
    <x v="25"/>
    <n v="2013"/>
    <n v="5"/>
    <s v="TM-3"/>
    <n v="24"/>
    <n v="3271"/>
    <s v="136.3"/>
    <x v="1"/>
    <n v="0.97199999999999998"/>
    <n v="23316.5"/>
    <n v="23.315999999999999"/>
    <d v="2018-11-01T00:00:00"/>
    <x v="0"/>
    <x v="3"/>
  </r>
  <r>
    <x v="6"/>
    <x v="11"/>
    <s v="Desember"/>
    <s v="Division_A"/>
    <x v="25"/>
    <n v="2013"/>
    <n v="5"/>
    <s v="TM-3"/>
    <n v="24"/>
    <n v="3271"/>
    <s v="136.3"/>
    <x v="1"/>
    <n v="1.427"/>
    <n v="34256.6"/>
    <n v="34.256999999999998"/>
    <d v="2018-12-01T00:00:00"/>
    <x v="0"/>
    <x v="3"/>
  </r>
  <r>
    <x v="6"/>
    <x v="0"/>
    <s v="Januari"/>
    <s v="Division_A"/>
    <x v="26"/>
    <n v="2013"/>
    <n v="5"/>
    <s v="TM-3"/>
    <n v="25"/>
    <n v="3291"/>
    <s v="131.6"/>
    <x v="1"/>
    <n v="0.88700000000000001"/>
    <n v="22176"/>
    <n v="22.175999999999998"/>
    <d v="2018-01-01T00:00:00"/>
    <x v="0"/>
    <x v="3"/>
  </r>
  <r>
    <x v="6"/>
    <x v="1"/>
    <s v="Februari"/>
    <s v="Division_A"/>
    <x v="26"/>
    <n v="2013"/>
    <n v="5"/>
    <s v="TM-3"/>
    <n v="25"/>
    <n v="3291"/>
    <s v="131.6"/>
    <x v="1"/>
    <n v="0.83199999999999996"/>
    <n v="20812"/>
    <n v="20.812000000000001"/>
    <d v="2018-02-01T00:00:00"/>
    <x v="0"/>
    <x v="3"/>
  </r>
  <r>
    <x v="6"/>
    <x v="2"/>
    <s v="Maret"/>
    <s v="Division_A"/>
    <x v="26"/>
    <n v="2013"/>
    <n v="5"/>
    <s v="TM-3"/>
    <n v="25"/>
    <n v="3291"/>
    <s v="131.6"/>
    <x v="1"/>
    <n v="1.159"/>
    <n v="28974"/>
    <n v="28.974"/>
    <d v="2018-03-01T00:00:00"/>
    <x v="0"/>
    <x v="3"/>
  </r>
  <r>
    <x v="6"/>
    <x v="3"/>
    <s v="April"/>
    <s v="Division_A"/>
    <x v="26"/>
    <n v="2013"/>
    <n v="5"/>
    <s v="TM-3"/>
    <n v="25"/>
    <n v="3291"/>
    <s v="131.6"/>
    <x v="1"/>
    <n v="1.028"/>
    <n v="25696"/>
    <n v="25.696000000000002"/>
    <d v="2018-04-01T00:00:00"/>
    <x v="0"/>
    <x v="3"/>
  </r>
  <r>
    <x v="6"/>
    <x v="4"/>
    <s v="Mei"/>
    <s v="Division_A"/>
    <x v="26"/>
    <n v="2013"/>
    <n v="5"/>
    <s v="TM-3"/>
    <n v="25"/>
    <n v="3291"/>
    <s v="131.6"/>
    <x v="1"/>
    <n v="1.319"/>
    <n v="32978"/>
    <n v="32.978000000000002"/>
    <d v="2018-05-01T00:00:00"/>
    <x v="0"/>
    <x v="3"/>
  </r>
  <r>
    <x v="6"/>
    <x v="5"/>
    <s v="Juni"/>
    <s v="Division_A"/>
    <x v="26"/>
    <n v="2013"/>
    <n v="5"/>
    <s v="TM-3"/>
    <n v="25"/>
    <n v="3291"/>
    <s v="131.6"/>
    <x v="1"/>
    <n v="0.89100000000000001"/>
    <n v="22286"/>
    <n v="22.286000000000001"/>
    <d v="2018-06-01T00:00:00"/>
    <x v="0"/>
    <x v="3"/>
  </r>
  <r>
    <x v="6"/>
    <x v="6"/>
    <s v="Juli"/>
    <s v="Division_A"/>
    <x v="26"/>
    <n v="2013"/>
    <n v="5"/>
    <s v="TM-3"/>
    <n v="25"/>
    <n v="3291"/>
    <s v="131.6"/>
    <x v="1"/>
    <n v="1.238"/>
    <n v="30954"/>
    <n v="30.954000000000001"/>
    <d v="2018-07-01T00:00:00"/>
    <x v="0"/>
    <x v="3"/>
  </r>
  <r>
    <x v="6"/>
    <x v="7"/>
    <s v="Agustus"/>
    <s v="Division_A"/>
    <x v="26"/>
    <n v="2013"/>
    <n v="5"/>
    <s v="TM-3"/>
    <n v="25"/>
    <n v="3291"/>
    <s v="131.6"/>
    <x v="1"/>
    <n v="1.4039999999999999"/>
    <n v="35090"/>
    <n v="35.090000000000003"/>
    <d v="2018-08-01T00:00:00"/>
    <x v="0"/>
    <x v="3"/>
  </r>
  <r>
    <x v="6"/>
    <x v="8"/>
    <s v="September"/>
    <s v="Division_A"/>
    <x v="26"/>
    <n v="2013"/>
    <n v="5"/>
    <s v="TM-3"/>
    <n v="25"/>
    <n v="3291"/>
    <s v="131.6"/>
    <x v="1"/>
    <n v="1.0449999999999999"/>
    <n v="26136"/>
    <n v="26.135999999999999"/>
    <d v="2018-09-01T00:00:00"/>
    <x v="0"/>
    <x v="3"/>
  </r>
  <r>
    <x v="6"/>
    <x v="9"/>
    <s v="Oktober"/>
    <s v="Division_A"/>
    <x v="26"/>
    <n v="2013"/>
    <n v="5"/>
    <s v="TM-3"/>
    <n v="25"/>
    <n v="3291"/>
    <s v="131.6"/>
    <x v="1"/>
    <n v="1.454"/>
    <n v="36344"/>
    <n v="36.344000000000001"/>
    <d v="2018-10-01T00:00:00"/>
    <x v="0"/>
    <x v="3"/>
  </r>
  <r>
    <x v="6"/>
    <x v="10"/>
    <s v="November"/>
    <s v="Division_A"/>
    <x v="26"/>
    <n v="2013"/>
    <n v="5"/>
    <s v="TM-3"/>
    <n v="25"/>
    <n v="3291"/>
    <s v="131.6"/>
    <x v="1"/>
    <n v="0.97199999999999998"/>
    <n v="24288"/>
    <n v="24.288"/>
    <d v="2018-11-01T00:00:00"/>
    <x v="0"/>
    <x v="3"/>
  </r>
  <r>
    <x v="6"/>
    <x v="11"/>
    <s v="Desember"/>
    <s v="Division_A"/>
    <x v="26"/>
    <n v="2013"/>
    <n v="5"/>
    <s v="TM-3"/>
    <n v="25"/>
    <n v="3291"/>
    <s v="131.6"/>
    <x v="1"/>
    <n v="1.427"/>
    <n v="35684"/>
    <n v="35.683999999999997"/>
    <d v="2018-12-01T00:00:00"/>
    <x v="0"/>
    <x v="3"/>
  </r>
  <r>
    <x v="6"/>
    <x v="0"/>
    <s v="Januari"/>
    <s v="Division_A"/>
    <x v="27"/>
    <n v="2014"/>
    <n v="4"/>
    <s v="TM-2"/>
    <n v="24"/>
    <n v="2208"/>
    <s v="92"/>
    <x v="1"/>
    <n v="0.68500000000000005"/>
    <n v="16450.599999999999"/>
    <n v="16.451000000000001"/>
    <d v="2018-01-01T00:00:00"/>
    <x v="0"/>
    <x v="3"/>
  </r>
  <r>
    <x v="6"/>
    <x v="1"/>
    <s v="Februari"/>
    <s v="Division_A"/>
    <x v="27"/>
    <n v="2014"/>
    <n v="4"/>
    <s v="TM-2"/>
    <n v="24"/>
    <n v="2208"/>
    <s v="92"/>
    <x v="1"/>
    <n v="0.64300000000000002"/>
    <n v="15438.7"/>
    <n v="15.439"/>
    <d v="2018-02-01T00:00:00"/>
    <x v="0"/>
    <x v="3"/>
  </r>
  <r>
    <x v="6"/>
    <x v="2"/>
    <s v="Maret"/>
    <s v="Division_A"/>
    <x v="27"/>
    <n v="2014"/>
    <n v="4"/>
    <s v="TM-2"/>
    <n v="24"/>
    <n v="2208"/>
    <s v="92"/>
    <x v="1"/>
    <n v="0.89600000000000002"/>
    <n v="21493.4"/>
    <n v="21.492999999999999"/>
    <d v="2018-03-01T00:00:00"/>
    <x v="0"/>
    <x v="3"/>
  </r>
  <r>
    <x v="6"/>
    <x v="3"/>
    <s v="April"/>
    <s v="Division_A"/>
    <x v="27"/>
    <n v="2014"/>
    <n v="4"/>
    <s v="TM-2"/>
    <n v="24"/>
    <n v="2208"/>
    <s v="92"/>
    <x v="1"/>
    <n v="0.79400000000000004"/>
    <n v="19061.8"/>
    <n v="19.062000000000001"/>
    <d v="2018-04-01T00:00:00"/>
    <x v="0"/>
    <x v="3"/>
  </r>
  <r>
    <x v="6"/>
    <x v="4"/>
    <s v="Mei"/>
    <s v="Division_A"/>
    <x v="27"/>
    <n v="2014"/>
    <n v="4"/>
    <s v="TM-2"/>
    <n v="24"/>
    <n v="2208"/>
    <s v="92"/>
    <x v="1"/>
    <n v="1.0189999999999999"/>
    <n v="24463.7"/>
    <n v="24.463999999999999"/>
    <d v="2018-05-01T00:00:00"/>
    <x v="0"/>
    <x v="3"/>
  </r>
  <r>
    <x v="6"/>
    <x v="5"/>
    <s v="Juni"/>
    <s v="Division_A"/>
    <x v="27"/>
    <n v="2014"/>
    <n v="4"/>
    <s v="TM-2"/>
    <n v="24"/>
    <n v="2208"/>
    <s v="92"/>
    <x v="1"/>
    <n v="0.68899999999999995"/>
    <n v="16532.2"/>
    <n v="16.532"/>
    <d v="2018-06-01T00:00:00"/>
    <x v="0"/>
    <x v="3"/>
  </r>
  <r>
    <x v="6"/>
    <x v="6"/>
    <s v="Juli"/>
    <s v="Division_A"/>
    <x v="27"/>
    <n v="2014"/>
    <n v="4"/>
    <s v="TM-2"/>
    <n v="24"/>
    <n v="2208"/>
    <s v="92"/>
    <x v="1"/>
    <n v="0.95699999999999996"/>
    <n v="22962.2"/>
    <n v="22.962"/>
    <d v="2018-07-01T00:00:00"/>
    <x v="0"/>
    <x v="3"/>
  </r>
  <r>
    <x v="6"/>
    <x v="7"/>
    <s v="Agustus"/>
    <s v="Division_A"/>
    <x v="27"/>
    <n v="2014"/>
    <n v="4"/>
    <s v="TM-2"/>
    <n v="24"/>
    <n v="2208"/>
    <s v="92"/>
    <x v="1"/>
    <n v="1.085"/>
    <n v="26030.400000000001"/>
    <n v="26.03"/>
    <d v="2018-08-01T00:00:00"/>
    <x v="0"/>
    <x v="3"/>
  </r>
  <r>
    <x v="6"/>
    <x v="8"/>
    <s v="September"/>
    <s v="Division_A"/>
    <x v="27"/>
    <n v="2014"/>
    <n v="4"/>
    <s v="TM-2"/>
    <n v="24"/>
    <n v="2208"/>
    <s v="92"/>
    <x v="1"/>
    <n v="0.80800000000000005"/>
    <n v="19388.2"/>
    <n v="19.388000000000002"/>
    <d v="2018-09-01T00:00:00"/>
    <x v="0"/>
    <x v="3"/>
  </r>
  <r>
    <x v="6"/>
    <x v="9"/>
    <s v="Oktober"/>
    <s v="Division_A"/>
    <x v="27"/>
    <n v="2014"/>
    <n v="4"/>
    <s v="TM-2"/>
    <n v="24"/>
    <n v="2208"/>
    <s v="92"/>
    <x v="1"/>
    <n v="1.123"/>
    <n v="26960.6"/>
    <n v="26.960999999999999"/>
    <d v="2018-10-01T00:00:00"/>
    <x v="0"/>
    <x v="3"/>
  </r>
  <r>
    <x v="6"/>
    <x v="10"/>
    <s v="November"/>
    <s v="Division_A"/>
    <x v="27"/>
    <n v="2014"/>
    <n v="4"/>
    <s v="TM-2"/>
    <n v="24"/>
    <n v="2208"/>
    <s v="92"/>
    <x v="1"/>
    <n v="0.751"/>
    <n v="18017.3"/>
    <n v="18.016999999999999"/>
    <d v="2018-11-01T00:00:00"/>
    <x v="0"/>
    <x v="3"/>
  </r>
  <r>
    <x v="6"/>
    <x v="11"/>
    <s v="Desember"/>
    <s v="Division_A"/>
    <x v="27"/>
    <n v="2014"/>
    <n v="4"/>
    <s v="TM-2"/>
    <n v="24"/>
    <n v="2208"/>
    <s v="92"/>
    <x v="1"/>
    <n v="1.103"/>
    <n v="26471"/>
    <n v="26.471"/>
    <d v="2018-12-01T00:00:00"/>
    <x v="0"/>
    <x v="3"/>
  </r>
  <r>
    <x v="6"/>
    <x v="0"/>
    <s v="Januari"/>
    <s v="Division_A"/>
    <x v="28"/>
    <n v="2014"/>
    <n v="4"/>
    <s v="TM-2"/>
    <n v="20"/>
    <n v="1954"/>
    <s v="97.7"/>
    <x v="1"/>
    <n v="0.68500000000000005"/>
    <n v="13708.8"/>
    <n v="13.709"/>
    <d v="2018-01-01T00:00:00"/>
    <x v="0"/>
    <x v="3"/>
  </r>
  <r>
    <x v="6"/>
    <x v="1"/>
    <s v="Februari"/>
    <s v="Division_A"/>
    <x v="28"/>
    <n v="2014"/>
    <n v="4"/>
    <s v="TM-2"/>
    <n v="20"/>
    <n v="1954"/>
    <s v="97.7"/>
    <x v="1"/>
    <n v="0.64300000000000002"/>
    <n v="12865.6"/>
    <n v="12.866"/>
    <d v="2018-02-01T00:00:00"/>
    <x v="0"/>
    <x v="3"/>
  </r>
  <r>
    <x v="6"/>
    <x v="2"/>
    <s v="Maret"/>
    <s v="Division_A"/>
    <x v="28"/>
    <n v="2014"/>
    <n v="4"/>
    <s v="TM-2"/>
    <n v="20"/>
    <n v="1954"/>
    <s v="97.7"/>
    <x v="1"/>
    <n v="0.89600000000000002"/>
    <n v="17911.2"/>
    <n v="17.911000000000001"/>
    <d v="2018-03-01T00:00:00"/>
    <x v="0"/>
    <x v="3"/>
  </r>
  <r>
    <x v="6"/>
    <x v="3"/>
    <s v="April"/>
    <s v="Division_A"/>
    <x v="28"/>
    <n v="2014"/>
    <n v="4"/>
    <s v="TM-2"/>
    <n v="20"/>
    <n v="1954"/>
    <s v="97.7"/>
    <x v="1"/>
    <n v="0.79400000000000004"/>
    <n v="15884.8"/>
    <n v="15.885"/>
    <d v="2018-04-01T00:00:00"/>
    <x v="0"/>
    <x v="3"/>
  </r>
  <r>
    <x v="6"/>
    <x v="4"/>
    <s v="Mei"/>
    <s v="Division_A"/>
    <x v="28"/>
    <n v="2014"/>
    <n v="4"/>
    <s v="TM-2"/>
    <n v="20"/>
    <n v="1954"/>
    <s v="97.7"/>
    <x v="1"/>
    <n v="1.0189999999999999"/>
    <n v="20386.400000000001"/>
    <n v="20.385999999999999"/>
    <d v="2018-05-01T00:00:00"/>
    <x v="0"/>
    <x v="3"/>
  </r>
  <r>
    <x v="6"/>
    <x v="5"/>
    <s v="Juni"/>
    <s v="Division_A"/>
    <x v="28"/>
    <n v="2014"/>
    <n v="4"/>
    <s v="TM-2"/>
    <n v="20"/>
    <n v="1954"/>
    <s v="97.7"/>
    <x v="1"/>
    <n v="0.68899999999999995"/>
    <n v="13776.8"/>
    <n v="13.776999999999999"/>
    <d v="2018-06-01T00:00:00"/>
    <x v="0"/>
    <x v="3"/>
  </r>
  <r>
    <x v="6"/>
    <x v="6"/>
    <s v="Juli"/>
    <s v="Division_A"/>
    <x v="28"/>
    <n v="2014"/>
    <n v="4"/>
    <s v="TM-2"/>
    <n v="20"/>
    <n v="1954"/>
    <s v="97.7"/>
    <x v="1"/>
    <n v="0.95699999999999996"/>
    <n v="19135.2"/>
    <n v="19.135000000000002"/>
    <d v="2018-07-01T00:00:00"/>
    <x v="0"/>
    <x v="3"/>
  </r>
  <r>
    <x v="6"/>
    <x v="7"/>
    <s v="Agustus"/>
    <s v="Division_A"/>
    <x v="28"/>
    <n v="2014"/>
    <n v="4"/>
    <s v="TM-2"/>
    <n v="20"/>
    <n v="1954"/>
    <s v="97.7"/>
    <x v="1"/>
    <n v="1.085"/>
    <n v="21692"/>
    <n v="21.692"/>
    <d v="2018-08-01T00:00:00"/>
    <x v="0"/>
    <x v="3"/>
  </r>
  <r>
    <x v="6"/>
    <x v="8"/>
    <s v="September"/>
    <s v="Division_A"/>
    <x v="28"/>
    <n v="2014"/>
    <n v="4"/>
    <s v="TM-2"/>
    <n v="20"/>
    <n v="1954"/>
    <s v="97.7"/>
    <x v="1"/>
    <n v="0.80800000000000005"/>
    <n v="16156.8"/>
    <n v="16.157"/>
    <d v="2018-09-01T00:00:00"/>
    <x v="0"/>
    <x v="3"/>
  </r>
  <r>
    <x v="6"/>
    <x v="9"/>
    <s v="Oktober"/>
    <s v="Division_A"/>
    <x v="28"/>
    <n v="2014"/>
    <n v="4"/>
    <s v="TM-2"/>
    <n v="20"/>
    <n v="1954"/>
    <s v="97.7"/>
    <x v="1"/>
    <n v="1.123"/>
    <n v="22467.200000000001"/>
    <n v="22.466999999999999"/>
    <d v="2018-10-01T00:00:00"/>
    <x v="0"/>
    <x v="3"/>
  </r>
  <r>
    <x v="6"/>
    <x v="10"/>
    <s v="November"/>
    <s v="Division_A"/>
    <x v="28"/>
    <n v="2014"/>
    <n v="4"/>
    <s v="TM-2"/>
    <n v="20"/>
    <n v="1954"/>
    <s v="97.7"/>
    <x v="1"/>
    <n v="0.751"/>
    <n v="15014.4"/>
    <n v="15.013999999999999"/>
    <d v="2018-11-01T00:00:00"/>
    <x v="0"/>
    <x v="3"/>
  </r>
  <r>
    <x v="6"/>
    <x v="11"/>
    <s v="Desember"/>
    <s v="Division_A"/>
    <x v="28"/>
    <n v="2014"/>
    <n v="4"/>
    <s v="TM-2"/>
    <n v="20"/>
    <n v="1954"/>
    <s v="97.7"/>
    <x v="1"/>
    <n v="1.103"/>
    <n v="22059.200000000001"/>
    <n v="22.059000000000001"/>
    <d v="2018-12-01T00:00:00"/>
    <x v="0"/>
    <x v="3"/>
  </r>
  <r>
    <x v="6"/>
    <x v="0"/>
    <s v="Januari"/>
    <s v="Division_A"/>
    <x v="29"/>
    <n v="2014"/>
    <n v="4"/>
    <s v="TM-2"/>
    <n v="24"/>
    <n v="1329"/>
    <s v="55.4"/>
    <x v="1"/>
    <n v="0.68500000000000005"/>
    <n v="16450.599999999999"/>
    <n v="16.451000000000001"/>
    <d v="2018-01-01T00:00:00"/>
    <x v="0"/>
    <x v="3"/>
  </r>
  <r>
    <x v="6"/>
    <x v="1"/>
    <s v="Februari"/>
    <s v="Division_A"/>
    <x v="29"/>
    <n v="2014"/>
    <n v="4"/>
    <s v="TM-2"/>
    <n v="24"/>
    <n v="1329"/>
    <s v="55.4"/>
    <x v="1"/>
    <n v="0.64300000000000002"/>
    <n v="15438.7"/>
    <n v="15.439"/>
    <d v="2018-02-01T00:00:00"/>
    <x v="0"/>
    <x v="3"/>
  </r>
  <r>
    <x v="6"/>
    <x v="2"/>
    <s v="Maret"/>
    <s v="Division_A"/>
    <x v="29"/>
    <n v="2014"/>
    <n v="4"/>
    <s v="TM-2"/>
    <n v="24"/>
    <n v="1329"/>
    <s v="55.4"/>
    <x v="1"/>
    <n v="0.89600000000000002"/>
    <n v="21493.4"/>
    <n v="21.492999999999999"/>
    <d v="2018-03-01T00:00:00"/>
    <x v="0"/>
    <x v="3"/>
  </r>
  <r>
    <x v="6"/>
    <x v="3"/>
    <s v="April"/>
    <s v="Division_A"/>
    <x v="29"/>
    <n v="2014"/>
    <n v="4"/>
    <s v="TM-2"/>
    <n v="24"/>
    <n v="1329"/>
    <s v="55.4"/>
    <x v="1"/>
    <n v="0.79400000000000004"/>
    <n v="19061.8"/>
    <n v="19.062000000000001"/>
    <d v="2018-04-01T00:00:00"/>
    <x v="0"/>
    <x v="3"/>
  </r>
  <r>
    <x v="6"/>
    <x v="4"/>
    <s v="Mei"/>
    <s v="Division_A"/>
    <x v="29"/>
    <n v="2014"/>
    <n v="4"/>
    <s v="TM-2"/>
    <n v="24"/>
    <n v="1329"/>
    <s v="55.4"/>
    <x v="1"/>
    <n v="1.0189999999999999"/>
    <n v="24463.7"/>
    <n v="24.463999999999999"/>
    <d v="2018-05-01T00:00:00"/>
    <x v="0"/>
    <x v="3"/>
  </r>
  <r>
    <x v="6"/>
    <x v="5"/>
    <s v="Juni"/>
    <s v="Division_A"/>
    <x v="29"/>
    <n v="2014"/>
    <n v="4"/>
    <s v="TM-2"/>
    <n v="24"/>
    <n v="1329"/>
    <s v="55.4"/>
    <x v="1"/>
    <n v="0.68899999999999995"/>
    <n v="16532.2"/>
    <n v="16.532"/>
    <d v="2018-06-01T00:00:00"/>
    <x v="0"/>
    <x v="3"/>
  </r>
  <r>
    <x v="6"/>
    <x v="6"/>
    <s v="Juli"/>
    <s v="Division_A"/>
    <x v="29"/>
    <n v="2014"/>
    <n v="4"/>
    <s v="TM-2"/>
    <n v="24"/>
    <n v="1329"/>
    <s v="55.4"/>
    <x v="1"/>
    <n v="0.95699999999999996"/>
    <n v="22962.2"/>
    <n v="22.962"/>
    <d v="2018-07-01T00:00:00"/>
    <x v="0"/>
    <x v="3"/>
  </r>
  <r>
    <x v="6"/>
    <x v="7"/>
    <s v="Agustus"/>
    <s v="Division_A"/>
    <x v="29"/>
    <n v="2014"/>
    <n v="4"/>
    <s v="TM-2"/>
    <n v="24"/>
    <n v="1329"/>
    <s v="55.4"/>
    <x v="1"/>
    <n v="1.085"/>
    <n v="26030.400000000001"/>
    <n v="26.03"/>
    <d v="2018-08-01T00:00:00"/>
    <x v="0"/>
    <x v="3"/>
  </r>
  <r>
    <x v="6"/>
    <x v="8"/>
    <s v="September"/>
    <s v="Division_A"/>
    <x v="29"/>
    <n v="2014"/>
    <n v="4"/>
    <s v="TM-2"/>
    <n v="24"/>
    <n v="1329"/>
    <s v="55.4"/>
    <x v="1"/>
    <n v="0.80800000000000005"/>
    <n v="19388.2"/>
    <n v="19.388000000000002"/>
    <d v="2018-09-01T00:00:00"/>
    <x v="0"/>
    <x v="3"/>
  </r>
  <r>
    <x v="6"/>
    <x v="9"/>
    <s v="Oktober"/>
    <s v="Division_A"/>
    <x v="29"/>
    <n v="2014"/>
    <n v="4"/>
    <s v="TM-2"/>
    <n v="24"/>
    <n v="1329"/>
    <s v="55.4"/>
    <x v="1"/>
    <n v="1.123"/>
    <n v="26960.6"/>
    <n v="26.960999999999999"/>
    <d v="2018-10-01T00:00:00"/>
    <x v="0"/>
    <x v="3"/>
  </r>
  <r>
    <x v="6"/>
    <x v="10"/>
    <s v="November"/>
    <s v="Division_A"/>
    <x v="29"/>
    <n v="2014"/>
    <n v="4"/>
    <s v="TM-2"/>
    <n v="24"/>
    <n v="1329"/>
    <s v="55.4"/>
    <x v="1"/>
    <n v="0.751"/>
    <n v="18017.3"/>
    <n v="18.016999999999999"/>
    <d v="2018-11-01T00:00:00"/>
    <x v="0"/>
    <x v="3"/>
  </r>
  <r>
    <x v="6"/>
    <x v="11"/>
    <s v="Desember"/>
    <s v="Division_A"/>
    <x v="29"/>
    <n v="2014"/>
    <n v="4"/>
    <s v="TM-2"/>
    <n v="24"/>
    <n v="1329"/>
    <s v="55.4"/>
    <x v="1"/>
    <n v="1.103"/>
    <n v="26471"/>
    <n v="26.471"/>
    <d v="2018-12-01T00:00:00"/>
    <x v="0"/>
    <x v="3"/>
  </r>
  <r>
    <x v="6"/>
    <x v="0"/>
    <s v="Januari"/>
    <s v="Division_A"/>
    <x v="30"/>
    <n v="2014"/>
    <n v="4"/>
    <s v="TM-2"/>
    <n v="24"/>
    <n v="1573"/>
    <s v="65.5"/>
    <x v="1"/>
    <n v="0.68500000000000005"/>
    <n v="16450.599999999999"/>
    <n v="16.451000000000001"/>
    <d v="2018-01-01T00:00:00"/>
    <x v="0"/>
    <x v="3"/>
  </r>
  <r>
    <x v="6"/>
    <x v="1"/>
    <s v="Februari"/>
    <s v="Division_A"/>
    <x v="30"/>
    <n v="2014"/>
    <n v="4"/>
    <s v="TM-2"/>
    <n v="24"/>
    <n v="1573"/>
    <s v="65.5"/>
    <x v="1"/>
    <n v="0.64300000000000002"/>
    <n v="15438.7"/>
    <n v="15.439"/>
    <d v="2018-02-01T00:00:00"/>
    <x v="0"/>
    <x v="3"/>
  </r>
  <r>
    <x v="6"/>
    <x v="2"/>
    <s v="Maret"/>
    <s v="Division_A"/>
    <x v="30"/>
    <n v="2014"/>
    <n v="4"/>
    <s v="TM-2"/>
    <n v="24"/>
    <n v="1573"/>
    <s v="65.5"/>
    <x v="1"/>
    <n v="0.89600000000000002"/>
    <n v="21493.4"/>
    <n v="21.492999999999999"/>
    <d v="2018-03-01T00:00:00"/>
    <x v="0"/>
    <x v="3"/>
  </r>
  <r>
    <x v="6"/>
    <x v="3"/>
    <s v="April"/>
    <s v="Division_A"/>
    <x v="30"/>
    <n v="2014"/>
    <n v="4"/>
    <s v="TM-2"/>
    <n v="24"/>
    <n v="1573"/>
    <s v="65.5"/>
    <x v="1"/>
    <n v="0.79400000000000004"/>
    <n v="19061.8"/>
    <n v="19.062000000000001"/>
    <d v="2018-04-01T00:00:00"/>
    <x v="0"/>
    <x v="3"/>
  </r>
  <r>
    <x v="6"/>
    <x v="4"/>
    <s v="Mei"/>
    <s v="Division_A"/>
    <x v="30"/>
    <n v="2014"/>
    <n v="4"/>
    <s v="TM-2"/>
    <n v="24"/>
    <n v="1573"/>
    <s v="65.5"/>
    <x v="1"/>
    <n v="1.0189999999999999"/>
    <n v="24463.7"/>
    <n v="24.463999999999999"/>
    <d v="2018-05-01T00:00:00"/>
    <x v="0"/>
    <x v="3"/>
  </r>
  <r>
    <x v="6"/>
    <x v="5"/>
    <s v="Juni"/>
    <s v="Division_A"/>
    <x v="30"/>
    <n v="2014"/>
    <n v="4"/>
    <s v="TM-2"/>
    <n v="24"/>
    <n v="1573"/>
    <s v="65.5"/>
    <x v="1"/>
    <n v="0.68899999999999995"/>
    <n v="16532.2"/>
    <n v="16.532"/>
    <d v="2018-06-01T00:00:00"/>
    <x v="0"/>
    <x v="3"/>
  </r>
  <r>
    <x v="6"/>
    <x v="6"/>
    <s v="Juli"/>
    <s v="Division_A"/>
    <x v="30"/>
    <n v="2014"/>
    <n v="4"/>
    <s v="TM-2"/>
    <n v="24"/>
    <n v="1573"/>
    <s v="65.5"/>
    <x v="1"/>
    <n v="0.95699999999999996"/>
    <n v="22962.2"/>
    <n v="22.962"/>
    <d v="2018-07-01T00:00:00"/>
    <x v="0"/>
    <x v="3"/>
  </r>
  <r>
    <x v="6"/>
    <x v="7"/>
    <s v="Agustus"/>
    <s v="Division_A"/>
    <x v="30"/>
    <n v="2014"/>
    <n v="4"/>
    <s v="TM-2"/>
    <n v="24"/>
    <n v="1573"/>
    <s v="65.5"/>
    <x v="1"/>
    <n v="1.085"/>
    <n v="26030.400000000001"/>
    <n v="26.03"/>
    <d v="2018-08-01T00:00:00"/>
    <x v="0"/>
    <x v="3"/>
  </r>
  <r>
    <x v="6"/>
    <x v="8"/>
    <s v="September"/>
    <s v="Division_A"/>
    <x v="30"/>
    <n v="2014"/>
    <n v="4"/>
    <s v="TM-2"/>
    <n v="24"/>
    <n v="1573"/>
    <s v="65.5"/>
    <x v="1"/>
    <n v="0.80800000000000005"/>
    <n v="19388.2"/>
    <n v="19.388000000000002"/>
    <d v="2018-09-01T00:00:00"/>
    <x v="0"/>
    <x v="3"/>
  </r>
  <r>
    <x v="6"/>
    <x v="9"/>
    <s v="Oktober"/>
    <s v="Division_A"/>
    <x v="30"/>
    <n v="2014"/>
    <n v="4"/>
    <s v="TM-2"/>
    <n v="24"/>
    <n v="1573"/>
    <s v="65.5"/>
    <x v="1"/>
    <n v="1.123"/>
    <n v="26960.6"/>
    <n v="26.960999999999999"/>
    <d v="2018-10-01T00:00:00"/>
    <x v="0"/>
    <x v="3"/>
  </r>
  <r>
    <x v="6"/>
    <x v="10"/>
    <s v="November"/>
    <s v="Division_A"/>
    <x v="30"/>
    <n v="2014"/>
    <n v="4"/>
    <s v="TM-2"/>
    <n v="24"/>
    <n v="1573"/>
    <s v="65.5"/>
    <x v="1"/>
    <n v="0.751"/>
    <n v="18017.3"/>
    <n v="18.016999999999999"/>
    <d v="2018-11-01T00:00:00"/>
    <x v="0"/>
    <x v="3"/>
  </r>
  <r>
    <x v="6"/>
    <x v="11"/>
    <s v="Desember"/>
    <s v="Division_A"/>
    <x v="30"/>
    <n v="2014"/>
    <n v="4"/>
    <s v="TM-2"/>
    <n v="24"/>
    <n v="1573"/>
    <s v="65.5"/>
    <x v="1"/>
    <n v="1.103"/>
    <n v="26471"/>
    <n v="26.471"/>
    <d v="2018-12-01T00:00:00"/>
    <x v="0"/>
    <x v="3"/>
  </r>
  <r>
    <x v="6"/>
    <x v="0"/>
    <s v="Januari"/>
    <s v="Division_A"/>
    <x v="31"/>
    <n v="2016"/>
    <n v="2"/>
    <s v="TBM"/>
    <n v="22"/>
    <n v="3137"/>
    <s v="142.6"/>
    <x v="0"/>
    <n v="0"/>
    <n v="0"/>
    <n v="0"/>
    <d v="2018-01-01T00:00:00"/>
    <x v="1"/>
    <x v="2"/>
  </r>
  <r>
    <x v="6"/>
    <x v="1"/>
    <s v="Februari"/>
    <s v="Division_A"/>
    <x v="31"/>
    <n v="2016"/>
    <n v="2"/>
    <s v="TBM"/>
    <n v="22"/>
    <n v="3137"/>
    <s v="142.6"/>
    <x v="0"/>
    <n v="0"/>
    <n v="0"/>
    <n v="0"/>
    <d v="2018-02-01T00:00:00"/>
    <x v="1"/>
    <x v="2"/>
  </r>
  <r>
    <x v="6"/>
    <x v="2"/>
    <s v="Maret"/>
    <s v="Division_A"/>
    <x v="31"/>
    <n v="2016"/>
    <n v="2"/>
    <s v="TBM"/>
    <n v="22"/>
    <n v="3137"/>
    <s v="142.6"/>
    <x v="0"/>
    <n v="0"/>
    <n v="0"/>
    <n v="0"/>
    <d v="2018-03-01T00:00:00"/>
    <x v="1"/>
    <x v="2"/>
  </r>
  <r>
    <x v="6"/>
    <x v="3"/>
    <s v="April"/>
    <s v="Division_A"/>
    <x v="31"/>
    <n v="2016"/>
    <n v="2"/>
    <s v="TBM"/>
    <n v="22"/>
    <n v="3137"/>
    <s v="142.6"/>
    <x v="0"/>
    <n v="0"/>
    <n v="0"/>
    <n v="0"/>
    <d v="2018-04-01T00:00:00"/>
    <x v="1"/>
    <x v="2"/>
  </r>
  <r>
    <x v="6"/>
    <x v="4"/>
    <s v="Mei"/>
    <s v="Division_A"/>
    <x v="31"/>
    <n v="2016"/>
    <n v="2"/>
    <s v="TBM"/>
    <n v="22"/>
    <n v="3137"/>
    <s v="142.6"/>
    <x v="0"/>
    <n v="0"/>
    <n v="0"/>
    <n v="0"/>
    <d v="2018-05-01T00:00:00"/>
    <x v="1"/>
    <x v="2"/>
  </r>
  <r>
    <x v="6"/>
    <x v="5"/>
    <s v="Juni"/>
    <s v="Division_A"/>
    <x v="31"/>
    <n v="2016"/>
    <n v="2"/>
    <s v="TBM"/>
    <n v="22"/>
    <n v="3137"/>
    <s v="142.6"/>
    <x v="0"/>
    <n v="0"/>
    <n v="0"/>
    <n v="0"/>
    <d v="2018-06-01T00:00:00"/>
    <x v="1"/>
    <x v="2"/>
  </r>
  <r>
    <x v="6"/>
    <x v="6"/>
    <s v="Juli"/>
    <s v="Division_A"/>
    <x v="31"/>
    <n v="2016"/>
    <n v="2"/>
    <s v="TBM"/>
    <n v="22"/>
    <n v="3137"/>
    <s v="142.6"/>
    <x v="0"/>
    <n v="0"/>
    <n v="0"/>
    <n v="0"/>
    <d v="2018-07-01T00:00:00"/>
    <x v="1"/>
    <x v="2"/>
  </r>
  <r>
    <x v="6"/>
    <x v="7"/>
    <s v="Agustus"/>
    <s v="Division_A"/>
    <x v="31"/>
    <n v="2016"/>
    <n v="2"/>
    <s v="TBM"/>
    <n v="22"/>
    <n v="3137"/>
    <s v="142.6"/>
    <x v="0"/>
    <n v="0"/>
    <n v="0"/>
    <n v="0"/>
    <d v="2018-08-01T00:00:00"/>
    <x v="1"/>
    <x v="2"/>
  </r>
  <r>
    <x v="6"/>
    <x v="8"/>
    <s v="September"/>
    <s v="Division_A"/>
    <x v="31"/>
    <n v="2016"/>
    <n v="2"/>
    <s v="TBM"/>
    <n v="22"/>
    <n v="3137"/>
    <s v="142.6"/>
    <x v="0"/>
    <n v="0"/>
    <n v="0"/>
    <n v="0"/>
    <d v="2018-09-01T00:00:00"/>
    <x v="1"/>
    <x v="2"/>
  </r>
  <r>
    <x v="6"/>
    <x v="9"/>
    <s v="Oktober"/>
    <s v="Division_A"/>
    <x v="31"/>
    <n v="2016"/>
    <n v="2"/>
    <s v="TBM"/>
    <n v="22"/>
    <n v="3137"/>
    <s v="142.6"/>
    <x v="0"/>
    <n v="0"/>
    <n v="0"/>
    <n v="0"/>
    <d v="2018-10-01T00:00:00"/>
    <x v="1"/>
    <x v="2"/>
  </r>
  <r>
    <x v="6"/>
    <x v="10"/>
    <s v="November"/>
    <s v="Division_A"/>
    <x v="31"/>
    <n v="2016"/>
    <n v="2"/>
    <s v="TBM"/>
    <n v="22"/>
    <n v="3137"/>
    <s v="142.6"/>
    <x v="0"/>
    <n v="0"/>
    <n v="0"/>
    <n v="0"/>
    <d v="2018-11-01T00:00:00"/>
    <x v="1"/>
    <x v="2"/>
  </r>
  <r>
    <x v="6"/>
    <x v="11"/>
    <s v="Desember"/>
    <s v="Division_A"/>
    <x v="31"/>
    <n v="2016"/>
    <n v="2"/>
    <s v="TBM"/>
    <n v="22"/>
    <n v="3137"/>
    <s v="142.6"/>
    <x v="0"/>
    <n v="0"/>
    <n v="0"/>
    <n v="0"/>
    <d v="2018-12-01T00:00:00"/>
    <x v="1"/>
    <x v="2"/>
  </r>
  <r>
    <x v="6"/>
    <x v="0"/>
    <s v="Januari"/>
    <s v="Division_A"/>
    <x v="32"/>
    <n v="2016"/>
    <n v="2"/>
    <s v="TBM"/>
    <n v="22"/>
    <n v="3096"/>
    <s v="140.7"/>
    <x v="0"/>
    <n v="0"/>
    <n v="0"/>
    <n v="0"/>
    <d v="2018-01-01T00:00:00"/>
    <x v="1"/>
    <x v="2"/>
  </r>
  <r>
    <x v="6"/>
    <x v="1"/>
    <s v="Februari"/>
    <s v="Division_A"/>
    <x v="32"/>
    <n v="2016"/>
    <n v="2"/>
    <s v="TBM"/>
    <n v="22"/>
    <n v="3096"/>
    <s v="140.7"/>
    <x v="0"/>
    <n v="0"/>
    <n v="0"/>
    <n v="0"/>
    <d v="2018-02-01T00:00:00"/>
    <x v="1"/>
    <x v="2"/>
  </r>
  <r>
    <x v="6"/>
    <x v="2"/>
    <s v="Maret"/>
    <s v="Division_A"/>
    <x v="32"/>
    <n v="2016"/>
    <n v="2"/>
    <s v="TBM"/>
    <n v="22"/>
    <n v="3096"/>
    <s v="140.7"/>
    <x v="0"/>
    <n v="0"/>
    <n v="0"/>
    <n v="0"/>
    <d v="2018-03-01T00:00:00"/>
    <x v="1"/>
    <x v="2"/>
  </r>
  <r>
    <x v="6"/>
    <x v="3"/>
    <s v="April"/>
    <s v="Division_A"/>
    <x v="32"/>
    <n v="2016"/>
    <n v="2"/>
    <s v="TBM"/>
    <n v="22"/>
    <n v="3096"/>
    <s v="140.7"/>
    <x v="0"/>
    <n v="0"/>
    <n v="0"/>
    <n v="0"/>
    <d v="2018-04-01T00:00:00"/>
    <x v="1"/>
    <x v="2"/>
  </r>
  <r>
    <x v="6"/>
    <x v="4"/>
    <s v="Mei"/>
    <s v="Division_A"/>
    <x v="32"/>
    <n v="2016"/>
    <n v="2"/>
    <s v="TBM"/>
    <n v="22"/>
    <n v="3096"/>
    <s v="140.7"/>
    <x v="0"/>
    <n v="0"/>
    <n v="0"/>
    <n v="0"/>
    <d v="2018-05-01T00:00:00"/>
    <x v="1"/>
    <x v="2"/>
  </r>
  <r>
    <x v="6"/>
    <x v="5"/>
    <s v="Juni"/>
    <s v="Division_A"/>
    <x v="32"/>
    <n v="2016"/>
    <n v="2"/>
    <s v="TBM"/>
    <n v="22"/>
    <n v="3096"/>
    <s v="140.7"/>
    <x v="0"/>
    <n v="0"/>
    <n v="0"/>
    <n v="0"/>
    <d v="2018-06-01T00:00:00"/>
    <x v="1"/>
    <x v="2"/>
  </r>
  <r>
    <x v="6"/>
    <x v="6"/>
    <s v="Juli"/>
    <s v="Division_A"/>
    <x v="32"/>
    <n v="2016"/>
    <n v="2"/>
    <s v="TBM"/>
    <n v="22"/>
    <n v="3096"/>
    <s v="140.7"/>
    <x v="0"/>
    <n v="0"/>
    <n v="0"/>
    <n v="0"/>
    <d v="2018-07-01T00:00:00"/>
    <x v="1"/>
    <x v="2"/>
  </r>
  <r>
    <x v="6"/>
    <x v="7"/>
    <s v="Agustus"/>
    <s v="Division_A"/>
    <x v="32"/>
    <n v="2016"/>
    <n v="2"/>
    <s v="TBM"/>
    <n v="22"/>
    <n v="3096"/>
    <s v="140.7"/>
    <x v="0"/>
    <n v="0"/>
    <n v="0"/>
    <n v="0"/>
    <d v="2018-08-01T00:00:00"/>
    <x v="1"/>
    <x v="2"/>
  </r>
  <r>
    <x v="6"/>
    <x v="8"/>
    <s v="September"/>
    <s v="Division_A"/>
    <x v="32"/>
    <n v="2016"/>
    <n v="2"/>
    <s v="TBM"/>
    <n v="22"/>
    <n v="3096"/>
    <s v="140.7"/>
    <x v="0"/>
    <n v="0"/>
    <n v="0"/>
    <n v="0"/>
    <d v="2018-09-01T00:00:00"/>
    <x v="1"/>
    <x v="2"/>
  </r>
  <r>
    <x v="6"/>
    <x v="9"/>
    <s v="Oktober"/>
    <s v="Division_A"/>
    <x v="32"/>
    <n v="2016"/>
    <n v="2"/>
    <s v="TBM"/>
    <n v="22"/>
    <n v="3096"/>
    <s v="140.7"/>
    <x v="0"/>
    <n v="0"/>
    <n v="0"/>
    <n v="0"/>
    <d v="2018-10-01T00:00:00"/>
    <x v="1"/>
    <x v="2"/>
  </r>
  <r>
    <x v="6"/>
    <x v="10"/>
    <s v="November"/>
    <s v="Division_A"/>
    <x v="32"/>
    <n v="2016"/>
    <n v="2"/>
    <s v="TBM"/>
    <n v="22"/>
    <n v="3096"/>
    <s v="140.7"/>
    <x v="0"/>
    <n v="0"/>
    <n v="0"/>
    <n v="0"/>
    <d v="2018-11-01T00:00:00"/>
    <x v="1"/>
    <x v="2"/>
  </r>
  <r>
    <x v="6"/>
    <x v="11"/>
    <s v="Desember"/>
    <s v="Division_A"/>
    <x v="32"/>
    <n v="2016"/>
    <n v="2"/>
    <s v="TBM"/>
    <n v="22"/>
    <n v="3096"/>
    <s v="140.7"/>
    <x v="0"/>
    <n v="0"/>
    <n v="0"/>
    <n v="0"/>
    <d v="2018-12-01T00:00:00"/>
    <x v="1"/>
    <x v="2"/>
  </r>
  <r>
    <x v="6"/>
    <x v="0"/>
    <s v="Januari"/>
    <s v="Division_A"/>
    <x v="33"/>
    <n v="2016"/>
    <n v="2"/>
    <s v="TBM"/>
    <n v="24"/>
    <n v="3317"/>
    <s v="138.2"/>
    <x v="0"/>
    <n v="0"/>
    <n v="0"/>
    <n v="0"/>
    <d v="2018-01-01T00:00:00"/>
    <x v="1"/>
    <x v="2"/>
  </r>
  <r>
    <x v="6"/>
    <x v="1"/>
    <s v="Februari"/>
    <s v="Division_A"/>
    <x v="33"/>
    <n v="2016"/>
    <n v="2"/>
    <s v="TBM"/>
    <n v="24"/>
    <n v="3317"/>
    <s v="138.2"/>
    <x v="0"/>
    <n v="0"/>
    <n v="0"/>
    <n v="0"/>
    <d v="2018-02-01T00:00:00"/>
    <x v="1"/>
    <x v="2"/>
  </r>
  <r>
    <x v="6"/>
    <x v="2"/>
    <s v="Maret"/>
    <s v="Division_A"/>
    <x v="33"/>
    <n v="2016"/>
    <n v="2"/>
    <s v="TBM"/>
    <n v="24"/>
    <n v="3317"/>
    <s v="138.2"/>
    <x v="0"/>
    <n v="0"/>
    <n v="0"/>
    <n v="0"/>
    <d v="2018-03-01T00:00:00"/>
    <x v="1"/>
    <x v="2"/>
  </r>
  <r>
    <x v="6"/>
    <x v="3"/>
    <s v="April"/>
    <s v="Division_A"/>
    <x v="33"/>
    <n v="2016"/>
    <n v="2"/>
    <s v="TBM"/>
    <n v="24"/>
    <n v="3317"/>
    <s v="138.2"/>
    <x v="0"/>
    <n v="0"/>
    <n v="0"/>
    <n v="0"/>
    <d v="2018-04-01T00:00:00"/>
    <x v="1"/>
    <x v="2"/>
  </r>
  <r>
    <x v="6"/>
    <x v="4"/>
    <s v="Mei"/>
    <s v="Division_A"/>
    <x v="33"/>
    <n v="2016"/>
    <n v="2"/>
    <s v="TBM"/>
    <n v="24"/>
    <n v="3317"/>
    <s v="138.2"/>
    <x v="0"/>
    <n v="0"/>
    <n v="0"/>
    <n v="0"/>
    <d v="2018-05-01T00:00:00"/>
    <x v="1"/>
    <x v="2"/>
  </r>
  <r>
    <x v="6"/>
    <x v="5"/>
    <s v="Juni"/>
    <s v="Division_A"/>
    <x v="33"/>
    <n v="2016"/>
    <n v="2"/>
    <s v="TBM"/>
    <n v="24"/>
    <n v="3317"/>
    <s v="138.2"/>
    <x v="0"/>
    <n v="0"/>
    <n v="0"/>
    <n v="0"/>
    <d v="2018-06-01T00:00:00"/>
    <x v="1"/>
    <x v="2"/>
  </r>
  <r>
    <x v="6"/>
    <x v="6"/>
    <s v="Juli"/>
    <s v="Division_A"/>
    <x v="33"/>
    <n v="2016"/>
    <n v="2"/>
    <s v="TBM"/>
    <n v="24"/>
    <n v="3317"/>
    <s v="138.2"/>
    <x v="0"/>
    <n v="0"/>
    <n v="0"/>
    <n v="0"/>
    <d v="2018-07-01T00:00:00"/>
    <x v="1"/>
    <x v="2"/>
  </r>
  <r>
    <x v="6"/>
    <x v="7"/>
    <s v="Agustus"/>
    <s v="Division_A"/>
    <x v="33"/>
    <n v="2016"/>
    <n v="2"/>
    <s v="TBM"/>
    <n v="24"/>
    <n v="3317"/>
    <s v="138.2"/>
    <x v="0"/>
    <n v="0"/>
    <n v="0"/>
    <n v="0"/>
    <d v="2018-08-01T00:00:00"/>
    <x v="1"/>
    <x v="2"/>
  </r>
  <r>
    <x v="6"/>
    <x v="8"/>
    <s v="September"/>
    <s v="Division_A"/>
    <x v="33"/>
    <n v="2016"/>
    <n v="2"/>
    <s v="TBM"/>
    <n v="24"/>
    <n v="3317"/>
    <s v="138.2"/>
    <x v="0"/>
    <n v="0"/>
    <n v="0"/>
    <n v="0"/>
    <d v="2018-09-01T00:00:00"/>
    <x v="1"/>
    <x v="2"/>
  </r>
  <r>
    <x v="6"/>
    <x v="9"/>
    <s v="Oktober"/>
    <s v="Division_A"/>
    <x v="33"/>
    <n v="2016"/>
    <n v="2"/>
    <s v="TBM"/>
    <n v="24"/>
    <n v="3317"/>
    <s v="138.2"/>
    <x v="0"/>
    <n v="0"/>
    <n v="0"/>
    <n v="0"/>
    <d v="2018-10-01T00:00:00"/>
    <x v="1"/>
    <x v="2"/>
  </r>
  <r>
    <x v="6"/>
    <x v="10"/>
    <s v="November"/>
    <s v="Division_A"/>
    <x v="33"/>
    <n v="2016"/>
    <n v="2"/>
    <s v="TBM"/>
    <n v="24"/>
    <n v="3317"/>
    <s v="138.2"/>
    <x v="0"/>
    <n v="0"/>
    <n v="0"/>
    <n v="0"/>
    <d v="2018-11-01T00:00:00"/>
    <x v="1"/>
    <x v="2"/>
  </r>
  <r>
    <x v="6"/>
    <x v="11"/>
    <s v="Desember"/>
    <s v="Division_A"/>
    <x v="33"/>
    <n v="2016"/>
    <n v="2"/>
    <s v="TBM"/>
    <n v="24"/>
    <n v="3317"/>
    <s v="138.2"/>
    <x v="0"/>
    <n v="0"/>
    <n v="0"/>
    <n v="0"/>
    <d v="2018-12-01T00:00:00"/>
    <x v="1"/>
    <x v="2"/>
  </r>
  <r>
    <x v="6"/>
    <x v="0"/>
    <s v="Januari"/>
    <s v="Division_A"/>
    <x v="34"/>
    <n v="2016"/>
    <n v="2"/>
    <s v="TBM"/>
    <n v="17"/>
    <n v="2219"/>
    <s v="130.5"/>
    <x v="0"/>
    <n v="0"/>
    <n v="0"/>
    <n v="0"/>
    <d v="2018-01-01T00:00:00"/>
    <x v="1"/>
    <x v="2"/>
  </r>
  <r>
    <x v="6"/>
    <x v="1"/>
    <s v="Februari"/>
    <s v="Division_A"/>
    <x v="34"/>
    <n v="2016"/>
    <n v="2"/>
    <s v="TBM"/>
    <n v="17"/>
    <n v="2219"/>
    <s v="130.5"/>
    <x v="0"/>
    <n v="0"/>
    <n v="0"/>
    <n v="0"/>
    <d v="2018-02-01T00:00:00"/>
    <x v="1"/>
    <x v="2"/>
  </r>
  <r>
    <x v="6"/>
    <x v="2"/>
    <s v="Maret"/>
    <s v="Division_A"/>
    <x v="34"/>
    <n v="2016"/>
    <n v="2"/>
    <s v="TBM"/>
    <n v="17"/>
    <n v="2219"/>
    <s v="130.5"/>
    <x v="0"/>
    <n v="0"/>
    <n v="0"/>
    <n v="0"/>
    <d v="2018-03-01T00:00:00"/>
    <x v="1"/>
    <x v="2"/>
  </r>
  <r>
    <x v="6"/>
    <x v="3"/>
    <s v="April"/>
    <s v="Division_A"/>
    <x v="34"/>
    <n v="2016"/>
    <n v="2"/>
    <s v="TBM"/>
    <n v="17"/>
    <n v="2219"/>
    <s v="130.5"/>
    <x v="0"/>
    <n v="0"/>
    <n v="0"/>
    <n v="0"/>
    <d v="2018-04-01T00:00:00"/>
    <x v="1"/>
    <x v="2"/>
  </r>
  <r>
    <x v="6"/>
    <x v="4"/>
    <s v="Mei"/>
    <s v="Division_A"/>
    <x v="34"/>
    <n v="2016"/>
    <n v="2"/>
    <s v="TBM"/>
    <n v="17"/>
    <n v="2219"/>
    <s v="130.5"/>
    <x v="0"/>
    <n v="0"/>
    <n v="0"/>
    <n v="0"/>
    <d v="2018-05-01T00:00:00"/>
    <x v="1"/>
    <x v="2"/>
  </r>
  <r>
    <x v="6"/>
    <x v="5"/>
    <s v="Juni"/>
    <s v="Division_A"/>
    <x v="34"/>
    <n v="2016"/>
    <n v="2"/>
    <s v="TBM"/>
    <n v="17"/>
    <n v="2219"/>
    <s v="130.5"/>
    <x v="0"/>
    <n v="0"/>
    <n v="0"/>
    <n v="0"/>
    <d v="2018-06-01T00:00:00"/>
    <x v="1"/>
    <x v="2"/>
  </r>
  <r>
    <x v="6"/>
    <x v="6"/>
    <s v="Juli"/>
    <s v="Division_A"/>
    <x v="34"/>
    <n v="2016"/>
    <n v="2"/>
    <s v="TBM"/>
    <n v="17"/>
    <n v="2219"/>
    <s v="130.5"/>
    <x v="0"/>
    <n v="0"/>
    <n v="0"/>
    <n v="0"/>
    <d v="2018-07-01T00:00:00"/>
    <x v="1"/>
    <x v="2"/>
  </r>
  <r>
    <x v="6"/>
    <x v="7"/>
    <s v="Agustus"/>
    <s v="Division_A"/>
    <x v="34"/>
    <n v="2016"/>
    <n v="2"/>
    <s v="TBM"/>
    <n v="17"/>
    <n v="2219"/>
    <s v="130.5"/>
    <x v="0"/>
    <n v="0"/>
    <n v="0"/>
    <n v="0"/>
    <d v="2018-08-01T00:00:00"/>
    <x v="1"/>
    <x v="2"/>
  </r>
  <r>
    <x v="6"/>
    <x v="8"/>
    <s v="September"/>
    <s v="Division_A"/>
    <x v="34"/>
    <n v="2016"/>
    <n v="2"/>
    <s v="TBM"/>
    <n v="17"/>
    <n v="2219"/>
    <s v="130.5"/>
    <x v="0"/>
    <n v="0"/>
    <n v="0"/>
    <n v="0"/>
    <d v="2018-09-01T00:00:00"/>
    <x v="1"/>
    <x v="2"/>
  </r>
  <r>
    <x v="6"/>
    <x v="9"/>
    <s v="Oktober"/>
    <s v="Division_A"/>
    <x v="34"/>
    <n v="2016"/>
    <n v="2"/>
    <s v="TBM"/>
    <n v="17"/>
    <n v="2219"/>
    <s v="130.5"/>
    <x v="0"/>
    <n v="0"/>
    <n v="0"/>
    <n v="0"/>
    <d v="2018-10-01T00:00:00"/>
    <x v="1"/>
    <x v="2"/>
  </r>
  <r>
    <x v="6"/>
    <x v="10"/>
    <s v="November"/>
    <s v="Division_A"/>
    <x v="34"/>
    <n v="2016"/>
    <n v="2"/>
    <s v="TBM"/>
    <n v="17"/>
    <n v="2219"/>
    <s v="130.5"/>
    <x v="0"/>
    <n v="0"/>
    <n v="0"/>
    <n v="0"/>
    <d v="2018-11-01T00:00:00"/>
    <x v="1"/>
    <x v="2"/>
  </r>
  <r>
    <x v="6"/>
    <x v="11"/>
    <s v="Desember"/>
    <s v="Division_A"/>
    <x v="34"/>
    <n v="2016"/>
    <n v="2"/>
    <s v="TBM"/>
    <n v="17"/>
    <n v="2219"/>
    <s v="130.5"/>
    <x v="0"/>
    <n v="0"/>
    <n v="0"/>
    <n v="0"/>
    <d v="2018-12-01T00:00:00"/>
    <x v="1"/>
    <x v="2"/>
  </r>
  <r>
    <x v="6"/>
    <x v="0"/>
    <s v="Januari"/>
    <s v="Division_A"/>
    <x v="35"/>
    <n v="2016"/>
    <n v="2"/>
    <s v="TBM"/>
    <n v="15"/>
    <n v="2142"/>
    <s v="142.8"/>
    <x v="0"/>
    <n v="0"/>
    <n v="0"/>
    <n v="0"/>
    <d v="2018-01-01T00:00:00"/>
    <x v="1"/>
    <x v="2"/>
  </r>
  <r>
    <x v="6"/>
    <x v="1"/>
    <s v="Februari"/>
    <s v="Division_A"/>
    <x v="35"/>
    <n v="2016"/>
    <n v="2"/>
    <s v="TBM"/>
    <n v="15"/>
    <n v="2142"/>
    <s v="142.8"/>
    <x v="0"/>
    <n v="0"/>
    <n v="0"/>
    <n v="0"/>
    <d v="2018-02-01T00:00:00"/>
    <x v="1"/>
    <x v="2"/>
  </r>
  <r>
    <x v="6"/>
    <x v="2"/>
    <s v="Maret"/>
    <s v="Division_A"/>
    <x v="35"/>
    <n v="2016"/>
    <n v="2"/>
    <s v="TBM"/>
    <n v="15"/>
    <n v="2142"/>
    <s v="142.8"/>
    <x v="0"/>
    <n v="0"/>
    <n v="0"/>
    <n v="0"/>
    <d v="2018-03-01T00:00:00"/>
    <x v="1"/>
    <x v="2"/>
  </r>
  <r>
    <x v="6"/>
    <x v="3"/>
    <s v="April"/>
    <s v="Division_A"/>
    <x v="35"/>
    <n v="2016"/>
    <n v="2"/>
    <s v="TBM"/>
    <n v="15"/>
    <n v="2142"/>
    <s v="142.8"/>
    <x v="0"/>
    <n v="0"/>
    <n v="0"/>
    <n v="0"/>
    <d v="2018-04-01T00:00:00"/>
    <x v="1"/>
    <x v="2"/>
  </r>
  <r>
    <x v="6"/>
    <x v="4"/>
    <s v="Mei"/>
    <s v="Division_A"/>
    <x v="35"/>
    <n v="2016"/>
    <n v="2"/>
    <s v="TBM"/>
    <n v="15"/>
    <n v="2142"/>
    <s v="142.8"/>
    <x v="0"/>
    <n v="0"/>
    <n v="0"/>
    <n v="0"/>
    <d v="2018-05-01T00:00:00"/>
    <x v="1"/>
    <x v="2"/>
  </r>
  <r>
    <x v="6"/>
    <x v="5"/>
    <s v="Juni"/>
    <s v="Division_A"/>
    <x v="35"/>
    <n v="2016"/>
    <n v="2"/>
    <s v="TBM"/>
    <n v="15"/>
    <n v="2142"/>
    <s v="142.8"/>
    <x v="0"/>
    <n v="0"/>
    <n v="0"/>
    <n v="0"/>
    <d v="2018-06-01T00:00:00"/>
    <x v="1"/>
    <x v="2"/>
  </r>
  <r>
    <x v="6"/>
    <x v="6"/>
    <s v="Juli"/>
    <s v="Division_A"/>
    <x v="35"/>
    <n v="2016"/>
    <n v="2"/>
    <s v="TBM"/>
    <n v="15"/>
    <n v="2142"/>
    <s v="142.8"/>
    <x v="0"/>
    <n v="0"/>
    <n v="0"/>
    <n v="0"/>
    <d v="2018-07-01T00:00:00"/>
    <x v="1"/>
    <x v="2"/>
  </r>
  <r>
    <x v="6"/>
    <x v="7"/>
    <s v="Agustus"/>
    <s v="Division_A"/>
    <x v="35"/>
    <n v="2016"/>
    <n v="2"/>
    <s v="TBM"/>
    <n v="15"/>
    <n v="2142"/>
    <s v="142.8"/>
    <x v="0"/>
    <n v="0"/>
    <n v="0"/>
    <n v="0"/>
    <d v="2018-08-01T00:00:00"/>
    <x v="1"/>
    <x v="2"/>
  </r>
  <r>
    <x v="6"/>
    <x v="8"/>
    <s v="September"/>
    <s v="Division_A"/>
    <x v="35"/>
    <n v="2016"/>
    <n v="2"/>
    <s v="TBM"/>
    <n v="15"/>
    <n v="2142"/>
    <s v="142.8"/>
    <x v="0"/>
    <n v="0"/>
    <n v="0"/>
    <n v="0"/>
    <d v="2018-09-01T00:00:00"/>
    <x v="1"/>
    <x v="2"/>
  </r>
  <r>
    <x v="6"/>
    <x v="9"/>
    <s v="Oktober"/>
    <s v="Division_A"/>
    <x v="35"/>
    <n v="2016"/>
    <n v="2"/>
    <s v="TBM"/>
    <n v="15"/>
    <n v="2142"/>
    <s v="142.8"/>
    <x v="0"/>
    <n v="0"/>
    <n v="0"/>
    <n v="0"/>
    <d v="2018-10-01T00:00:00"/>
    <x v="1"/>
    <x v="2"/>
  </r>
  <r>
    <x v="6"/>
    <x v="10"/>
    <s v="November"/>
    <s v="Division_A"/>
    <x v="35"/>
    <n v="2016"/>
    <n v="2"/>
    <s v="TBM"/>
    <n v="15"/>
    <n v="2142"/>
    <s v="142.8"/>
    <x v="0"/>
    <n v="0"/>
    <n v="0"/>
    <n v="0"/>
    <d v="2018-11-01T00:00:00"/>
    <x v="1"/>
    <x v="2"/>
  </r>
  <r>
    <x v="6"/>
    <x v="11"/>
    <s v="Desember"/>
    <s v="Division_A"/>
    <x v="35"/>
    <n v="2016"/>
    <n v="2"/>
    <s v="TBM"/>
    <n v="15"/>
    <n v="2142"/>
    <s v="142.8"/>
    <x v="0"/>
    <n v="0"/>
    <n v="0"/>
    <n v="0"/>
    <d v="2018-12-01T00:00:00"/>
    <x v="1"/>
    <x v="2"/>
  </r>
  <r>
    <x v="6"/>
    <x v="0"/>
    <s v="Januari"/>
    <s v="Division_A"/>
    <x v="36"/>
    <n v="2016"/>
    <n v="2"/>
    <s v="TBM"/>
    <n v="24"/>
    <n v="3324"/>
    <s v="138.5"/>
    <x v="0"/>
    <n v="0"/>
    <n v="0"/>
    <n v="0"/>
    <d v="2018-01-01T00:00:00"/>
    <x v="1"/>
    <x v="2"/>
  </r>
  <r>
    <x v="6"/>
    <x v="1"/>
    <s v="Februari"/>
    <s v="Division_A"/>
    <x v="36"/>
    <n v="2016"/>
    <n v="2"/>
    <s v="TBM"/>
    <n v="24"/>
    <n v="3324"/>
    <s v="138.5"/>
    <x v="0"/>
    <n v="0"/>
    <n v="0"/>
    <n v="0"/>
    <d v="2018-02-01T00:00:00"/>
    <x v="1"/>
    <x v="2"/>
  </r>
  <r>
    <x v="6"/>
    <x v="2"/>
    <s v="Maret"/>
    <s v="Division_A"/>
    <x v="36"/>
    <n v="2016"/>
    <n v="2"/>
    <s v="TBM"/>
    <n v="24"/>
    <n v="3324"/>
    <s v="138.5"/>
    <x v="0"/>
    <n v="0"/>
    <n v="0"/>
    <n v="0"/>
    <d v="2018-03-01T00:00:00"/>
    <x v="1"/>
    <x v="2"/>
  </r>
  <r>
    <x v="6"/>
    <x v="3"/>
    <s v="April"/>
    <s v="Division_A"/>
    <x v="36"/>
    <n v="2016"/>
    <n v="2"/>
    <s v="TBM"/>
    <n v="24"/>
    <n v="3324"/>
    <s v="138.5"/>
    <x v="0"/>
    <n v="0"/>
    <n v="0"/>
    <n v="0"/>
    <d v="2018-04-01T00:00:00"/>
    <x v="1"/>
    <x v="2"/>
  </r>
  <r>
    <x v="6"/>
    <x v="4"/>
    <s v="Mei"/>
    <s v="Division_A"/>
    <x v="36"/>
    <n v="2016"/>
    <n v="2"/>
    <s v="TBM"/>
    <n v="24"/>
    <n v="3324"/>
    <s v="138.5"/>
    <x v="0"/>
    <n v="0"/>
    <n v="0"/>
    <n v="0"/>
    <d v="2018-05-01T00:00:00"/>
    <x v="1"/>
    <x v="2"/>
  </r>
  <r>
    <x v="6"/>
    <x v="5"/>
    <s v="Juni"/>
    <s v="Division_A"/>
    <x v="36"/>
    <n v="2016"/>
    <n v="2"/>
    <s v="TBM"/>
    <n v="24"/>
    <n v="3324"/>
    <s v="138.5"/>
    <x v="0"/>
    <n v="0"/>
    <n v="0"/>
    <n v="0"/>
    <d v="2018-06-01T00:00:00"/>
    <x v="1"/>
    <x v="2"/>
  </r>
  <r>
    <x v="6"/>
    <x v="6"/>
    <s v="Juli"/>
    <s v="Division_A"/>
    <x v="36"/>
    <n v="2016"/>
    <n v="2"/>
    <s v="TBM"/>
    <n v="24"/>
    <n v="3324"/>
    <s v="138.5"/>
    <x v="0"/>
    <n v="0"/>
    <n v="0"/>
    <n v="0"/>
    <d v="2018-07-01T00:00:00"/>
    <x v="1"/>
    <x v="2"/>
  </r>
  <r>
    <x v="6"/>
    <x v="7"/>
    <s v="Agustus"/>
    <s v="Division_A"/>
    <x v="36"/>
    <n v="2016"/>
    <n v="2"/>
    <s v="TBM"/>
    <n v="24"/>
    <n v="3324"/>
    <s v="138.5"/>
    <x v="0"/>
    <n v="0"/>
    <n v="0"/>
    <n v="0"/>
    <d v="2018-08-01T00:00:00"/>
    <x v="1"/>
    <x v="2"/>
  </r>
  <r>
    <x v="6"/>
    <x v="8"/>
    <s v="September"/>
    <s v="Division_A"/>
    <x v="36"/>
    <n v="2016"/>
    <n v="2"/>
    <s v="TBM"/>
    <n v="24"/>
    <n v="3324"/>
    <s v="138.5"/>
    <x v="0"/>
    <n v="0"/>
    <n v="0"/>
    <n v="0"/>
    <d v="2018-09-01T00:00:00"/>
    <x v="1"/>
    <x v="2"/>
  </r>
  <r>
    <x v="6"/>
    <x v="9"/>
    <s v="Oktober"/>
    <s v="Division_A"/>
    <x v="36"/>
    <n v="2016"/>
    <n v="2"/>
    <s v="TBM"/>
    <n v="24"/>
    <n v="3324"/>
    <s v="138.5"/>
    <x v="0"/>
    <n v="0"/>
    <n v="0"/>
    <n v="0"/>
    <d v="2018-10-01T00:00:00"/>
    <x v="1"/>
    <x v="2"/>
  </r>
  <r>
    <x v="6"/>
    <x v="10"/>
    <s v="November"/>
    <s v="Division_A"/>
    <x v="36"/>
    <n v="2016"/>
    <n v="2"/>
    <s v="TBM"/>
    <n v="24"/>
    <n v="3324"/>
    <s v="138.5"/>
    <x v="0"/>
    <n v="0"/>
    <n v="0"/>
    <n v="0"/>
    <d v="2018-11-01T00:00:00"/>
    <x v="1"/>
    <x v="2"/>
  </r>
  <r>
    <x v="6"/>
    <x v="11"/>
    <s v="Desember"/>
    <s v="Division_A"/>
    <x v="36"/>
    <n v="2016"/>
    <n v="2"/>
    <s v="TBM"/>
    <n v="24"/>
    <n v="3324"/>
    <s v="138.5"/>
    <x v="0"/>
    <n v="0"/>
    <n v="0"/>
    <n v="0"/>
    <d v="2018-12-01T00:00:00"/>
    <x v="1"/>
    <x v="2"/>
  </r>
  <r>
    <x v="6"/>
    <x v="0"/>
    <s v="Januari"/>
    <s v="Division_A"/>
    <x v="37"/>
    <n v="2016"/>
    <n v="2"/>
    <s v="TBM"/>
    <n v="20"/>
    <n v="2663"/>
    <s v="133.2"/>
    <x v="0"/>
    <n v="0"/>
    <n v="0"/>
    <n v="0"/>
    <d v="2018-01-01T00:00:00"/>
    <x v="1"/>
    <x v="2"/>
  </r>
  <r>
    <x v="6"/>
    <x v="1"/>
    <s v="Februari"/>
    <s v="Division_A"/>
    <x v="37"/>
    <n v="2016"/>
    <n v="2"/>
    <s v="TBM"/>
    <n v="20"/>
    <n v="2663"/>
    <s v="133.2"/>
    <x v="0"/>
    <n v="0"/>
    <n v="0"/>
    <n v="0"/>
    <d v="2018-02-01T00:00:00"/>
    <x v="1"/>
    <x v="2"/>
  </r>
  <r>
    <x v="6"/>
    <x v="2"/>
    <s v="Maret"/>
    <s v="Division_A"/>
    <x v="37"/>
    <n v="2016"/>
    <n v="2"/>
    <s v="TBM"/>
    <n v="20"/>
    <n v="2663"/>
    <s v="133.2"/>
    <x v="0"/>
    <n v="0"/>
    <n v="0"/>
    <n v="0"/>
    <d v="2018-03-01T00:00:00"/>
    <x v="1"/>
    <x v="2"/>
  </r>
  <r>
    <x v="6"/>
    <x v="3"/>
    <s v="April"/>
    <s v="Division_A"/>
    <x v="37"/>
    <n v="2016"/>
    <n v="2"/>
    <s v="TBM"/>
    <n v="20"/>
    <n v="2663"/>
    <s v="133.2"/>
    <x v="0"/>
    <n v="0"/>
    <n v="0"/>
    <n v="0"/>
    <d v="2018-04-01T00:00:00"/>
    <x v="1"/>
    <x v="2"/>
  </r>
  <r>
    <x v="6"/>
    <x v="4"/>
    <s v="Mei"/>
    <s v="Division_A"/>
    <x v="37"/>
    <n v="2016"/>
    <n v="2"/>
    <s v="TBM"/>
    <n v="20"/>
    <n v="2663"/>
    <s v="133.2"/>
    <x v="0"/>
    <n v="0"/>
    <n v="0"/>
    <n v="0"/>
    <d v="2018-05-01T00:00:00"/>
    <x v="1"/>
    <x v="2"/>
  </r>
  <r>
    <x v="6"/>
    <x v="5"/>
    <s v="Juni"/>
    <s v="Division_A"/>
    <x v="37"/>
    <n v="2016"/>
    <n v="2"/>
    <s v="TBM"/>
    <n v="20"/>
    <n v="2663"/>
    <s v="133.2"/>
    <x v="0"/>
    <n v="0"/>
    <n v="0"/>
    <n v="0"/>
    <d v="2018-06-01T00:00:00"/>
    <x v="1"/>
    <x v="2"/>
  </r>
  <r>
    <x v="6"/>
    <x v="6"/>
    <s v="Juli"/>
    <s v="Division_A"/>
    <x v="37"/>
    <n v="2016"/>
    <n v="2"/>
    <s v="TBM"/>
    <n v="20"/>
    <n v="2663"/>
    <s v="133.2"/>
    <x v="0"/>
    <n v="0"/>
    <n v="0"/>
    <n v="0"/>
    <d v="2018-07-01T00:00:00"/>
    <x v="1"/>
    <x v="2"/>
  </r>
  <r>
    <x v="6"/>
    <x v="7"/>
    <s v="Agustus"/>
    <s v="Division_A"/>
    <x v="37"/>
    <n v="2016"/>
    <n v="2"/>
    <s v="TBM"/>
    <n v="20"/>
    <n v="2663"/>
    <s v="133.2"/>
    <x v="0"/>
    <n v="0"/>
    <n v="0"/>
    <n v="0"/>
    <d v="2018-08-01T00:00:00"/>
    <x v="1"/>
    <x v="2"/>
  </r>
  <r>
    <x v="6"/>
    <x v="8"/>
    <s v="September"/>
    <s v="Division_A"/>
    <x v="37"/>
    <n v="2016"/>
    <n v="2"/>
    <s v="TBM"/>
    <n v="20"/>
    <n v="2663"/>
    <s v="133.2"/>
    <x v="0"/>
    <n v="0"/>
    <n v="0"/>
    <n v="0"/>
    <d v="2018-09-01T00:00:00"/>
    <x v="1"/>
    <x v="2"/>
  </r>
  <r>
    <x v="6"/>
    <x v="9"/>
    <s v="Oktober"/>
    <s v="Division_A"/>
    <x v="37"/>
    <n v="2016"/>
    <n v="2"/>
    <s v="TBM"/>
    <n v="20"/>
    <n v="2663"/>
    <s v="133.2"/>
    <x v="0"/>
    <n v="0"/>
    <n v="0"/>
    <n v="0"/>
    <d v="2018-10-01T00:00:00"/>
    <x v="1"/>
    <x v="2"/>
  </r>
  <r>
    <x v="6"/>
    <x v="10"/>
    <s v="November"/>
    <s v="Division_A"/>
    <x v="37"/>
    <n v="2016"/>
    <n v="2"/>
    <s v="TBM"/>
    <n v="20"/>
    <n v="2663"/>
    <s v="133.2"/>
    <x v="0"/>
    <n v="0"/>
    <n v="0"/>
    <n v="0"/>
    <d v="2018-11-01T00:00:00"/>
    <x v="1"/>
    <x v="2"/>
  </r>
  <r>
    <x v="6"/>
    <x v="11"/>
    <s v="Desember"/>
    <s v="Division_A"/>
    <x v="37"/>
    <n v="2016"/>
    <n v="2"/>
    <s v="TBM"/>
    <n v="20"/>
    <n v="2663"/>
    <s v="133.2"/>
    <x v="0"/>
    <n v="0"/>
    <n v="0"/>
    <n v="0"/>
    <d v="2018-12-01T00:00:00"/>
    <x v="1"/>
    <x v="2"/>
  </r>
  <r>
    <x v="6"/>
    <x v="0"/>
    <s v="Januari"/>
    <s v="Division_A"/>
    <x v="38"/>
    <n v="2016"/>
    <n v="2"/>
    <s v="TBM"/>
    <n v="14"/>
    <n v="1746"/>
    <s v="124.7"/>
    <x v="0"/>
    <n v="0"/>
    <n v="0"/>
    <n v="0"/>
    <d v="2018-01-01T00:00:00"/>
    <x v="1"/>
    <x v="2"/>
  </r>
  <r>
    <x v="6"/>
    <x v="1"/>
    <s v="Februari"/>
    <s v="Division_A"/>
    <x v="38"/>
    <n v="2016"/>
    <n v="2"/>
    <s v="TBM"/>
    <n v="14"/>
    <n v="1746"/>
    <s v="124.7"/>
    <x v="0"/>
    <n v="0"/>
    <n v="0"/>
    <n v="0"/>
    <d v="2018-02-01T00:00:00"/>
    <x v="1"/>
    <x v="2"/>
  </r>
  <r>
    <x v="6"/>
    <x v="2"/>
    <s v="Maret"/>
    <s v="Division_A"/>
    <x v="38"/>
    <n v="2016"/>
    <n v="2"/>
    <s v="TBM"/>
    <n v="14"/>
    <n v="1746"/>
    <s v="124.7"/>
    <x v="0"/>
    <n v="0"/>
    <n v="0"/>
    <n v="0"/>
    <d v="2018-03-01T00:00:00"/>
    <x v="1"/>
    <x v="2"/>
  </r>
  <r>
    <x v="6"/>
    <x v="3"/>
    <s v="April"/>
    <s v="Division_A"/>
    <x v="38"/>
    <n v="2016"/>
    <n v="2"/>
    <s v="TBM"/>
    <n v="14"/>
    <n v="1746"/>
    <s v="124.7"/>
    <x v="0"/>
    <n v="0"/>
    <n v="0"/>
    <n v="0"/>
    <d v="2018-04-01T00:00:00"/>
    <x v="1"/>
    <x v="2"/>
  </r>
  <r>
    <x v="6"/>
    <x v="4"/>
    <s v="Mei"/>
    <s v="Division_A"/>
    <x v="38"/>
    <n v="2016"/>
    <n v="2"/>
    <s v="TBM"/>
    <n v="14"/>
    <n v="1746"/>
    <s v="124.7"/>
    <x v="0"/>
    <n v="0"/>
    <n v="0"/>
    <n v="0"/>
    <d v="2018-05-01T00:00:00"/>
    <x v="1"/>
    <x v="2"/>
  </r>
  <r>
    <x v="6"/>
    <x v="5"/>
    <s v="Juni"/>
    <s v="Division_A"/>
    <x v="38"/>
    <n v="2016"/>
    <n v="2"/>
    <s v="TBM"/>
    <n v="14"/>
    <n v="1746"/>
    <s v="124.7"/>
    <x v="0"/>
    <n v="0"/>
    <n v="0"/>
    <n v="0"/>
    <d v="2018-06-01T00:00:00"/>
    <x v="1"/>
    <x v="2"/>
  </r>
  <r>
    <x v="6"/>
    <x v="6"/>
    <s v="Juli"/>
    <s v="Division_A"/>
    <x v="38"/>
    <n v="2016"/>
    <n v="2"/>
    <s v="TBM"/>
    <n v="14"/>
    <n v="1746"/>
    <s v="124.7"/>
    <x v="0"/>
    <n v="0"/>
    <n v="0"/>
    <n v="0"/>
    <d v="2018-07-01T00:00:00"/>
    <x v="1"/>
    <x v="2"/>
  </r>
  <r>
    <x v="6"/>
    <x v="7"/>
    <s v="Agustus"/>
    <s v="Division_A"/>
    <x v="38"/>
    <n v="2016"/>
    <n v="2"/>
    <s v="TBM"/>
    <n v="14"/>
    <n v="1746"/>
    <s v="124.7"/>
    <x v="0"/>
    <n v="0"/>
    <n v="0"/>
    <n v="0"/>
    <d v="2018-08-01T00:00:00"/>
    <x v="1"/>
    <x v="2"/>
  </r>
  <r>
    <x v="6"/>
    <x v="8"/>
    <s v="September"/>
    <s v="Division_A"/>
    <x v="38"/>
    <n v="2016"/>
    <n v="2"/>
    <s v="TBM"/>
    <n v="14"/>
    <n v="1746"/>
    <s v="124.7"/>
    <x v="0"/>
    <n v="0"/>
    <n v="0"/>
    <n v="0"/>
    <d v="2018-09-01T00:00:00"/>
    <x v="1"/>
    <x v="2"/>
  </r>
  <r>
    <x v="6"/>
    <x v="9"/>
    <s v="Oktober"/>
    <s v="Division_A"/>
    <x v="38"/>
    <n v="2016"/>
    <n v="2"/>
    <s v="TBM"/>
    <n v="14"/>
    <n v="1746"/>
    <s v="124.7"/>
    <x v="0"/>
    <n v="0"/>
    <n v="0"/>
    <n v="0"/>
    <d v="2018-10-01T00:00:00"/>
    <x v="1"/>
    <x v="2"/>
  </r>
  <r>
    <x v="6"/>
    <x v="10"/>
    <s v="November"/>
    <s v="Division_A"/>
    <x v="38"/>
    <n v="2016"/>
    <n v="2"/>
    <s v="TBM"/>
    <n v="14"/>
    <n v="1746"/>
    <s v="124.7"/>
    <x v="0"/>
    <n v="0"/>
    <n v="0"/>
    <n v="0"/>
    <d v="2018-11-01T00:00:00"/>
    <x v="1"/>
    <x v="2"/>
  </r>
  <r>
    <x v="6"/>
    <x v="11"/>
    <s v="Desember"/>
    <s v="Division_A"/>
    <x v="38"/>
    <n v="2016"/>
    <n v="2"/>
    <s v="TBM"/>
    <n v="14"/>
    <n v="1746"/>
    <s v="124.7"/>
    <x v="0"/>
    <n v="0"/>
    <n v="0"/>
    <n v="0"/>
    <d v="2018-12-01T00:00:00"/>
    <x v="1"/>
    <x v="2"/>
  </r>
  <r>
    <x v="6"/>
    <x v="0"/>
    <s v="Januari"/>
    <s v="Division_A"/>
    <x v="39"/>
    <n v="2016"/>
    <n v="2"/>
    <s v="TBM"/>
    <n v="24"/>
    <n v="3377"/>
    <s v="140.7"/>
    <x v="0"/>
    <n v="0"/>
    <n v="0"/>
    <n v="0"/>
    <d v="2018-01-01T00:00:00"/>
    <x v="1"/>
    <x v="2"/>
  </r>
  <r>
    <x v="6"/>
    <x v="1"/>
    <s v="Februari"/>
    <s v="Division_A"/>
    <x v="39"/>
    <n v="2016"/>
    <n v="2"/>
    <s v="TBM"/>
    <n v="24"/>
    <n v="3377"/>
    <s v="140.7"/>
    <x v="0"/>
    <n v="0"/>
    <n v="0"/>
    <n v="0"/>
    <d v="2018-02-01T00:00:00"/>
    <x v="1"/>
    <x v="2"/>
  </r>
  <r>
    <x v="6"/>
    <x v="2"/>
    <s v="Maret"/>
    <s v="Division_A"/>
    <x v="39"/>
    <n v="2016"/>
    <n v="2"/>
    <s v="TBM"/>
    <n v="24"/>
    <n v="3377"/>
    <s v="140.7"/>
    <x v="0"/>
    <n v="0"/>
    <n v="0"/>
    <n v="0"/>
    <d v="2018-03-01T00:00:00"/>
    <x v="1"/>
    <x v="2"/>
  </r>
  <r>
    <x v="6"/>
    <x v="3"/>
    <s v="April"/>
    <s v="Division_A"/>
    <x v="39"/>
    <n v="2016"/>
    <n v="2"/>
    <s v="TBM"/>
    <n v="24"/>
    <n v="3377"/>
    <s v="140.7"/>
    <x v="0"/>
    <n v="0"/>
    <n v="0"/>
    <n v="0"/>
    <d v="2018-04-01T00:00:00"/>
    <x v="1"/>
    <x v="2"/>
  </r>
  <r>
    <x v="6"/>
    <x v="4"/>
    <s v="Mei"/>
    <s v="Division_A"/>
    <x v="39"/>
    <n v="2016"/>
    <n v="2"/>
    <s v="TBM"/>
    <n v="24"/>
    <n v="3377"/>
    <s v="140.7"/>
    <x v="0"/>
    <n v="0"/>
    <n v="0"/>
    <n v="0"/>
    <d v="2018-05-01T00:00:00"/>
    <x v="1"/>
    <x v="2"/>
  </r>
  <r>
    <x v="6"/>
    <x v="5"/>
    <s v="Juni"/>
    <s v="Division_A"/>
    <x v="39"/>
    <n v="2016"/>
    <n v="2"/>
    <s v="TBM"/>
    <n v="24"/>
    <n v="3377"/>
    <s v="140.7"/>
    <x v="0"/>
    <n v="0"/>
    <n v="0"/>
    <n v="0"/>
    <d v="2018-06-01T00:00:00"/>
    <x v="1"/>
    <x v="2"/>
  </r>
  <r>
    <x v="6"/>
    <x v="6"/>
    <s v="Juli"/>
    <s v="Division_A"/>
    <x v="39"/>
    <n v="2016"/>
    <n v="2"/>
    <s v="TBM"/>
    <n v="24"/>
    <n v="3377"/>
    <s v="140.7"/>
    <x v="0"/>
    <n v="0"/>
    <n v="0"/>
    <n v="0"/>
    <d v="2018-07-01T00:00:00"/>
    <x v="1"/>
    <x v="2"/>
  </r>
  <r>
    <x v="6"/>
    <x v="7"/>
    <s v="Agustus"/>
    <s v="Division_A"/>
    <x v="39"/>
    <n v="2016"/>
    <n v="2"/>
    <s v="TBM"/>
    <n v="24"/>
    <n v="3377"/>
    <s v="140.7"/>
    <x v="0"/>
    <n v="0"/>
    <n v="0"/>
    <n v="0"/>
    <d v="2018-08-01T00:00:00"/>
    <x v="1"/>
    <x v="2"/>
  </r>
  <r>
    <x v="6"/>
    <x v="8"/>
    <s v="September"/>
    <s v="Division_A"/>
    <x v="39"/>
    <n v="2016"/>
    <n v="2"/>
    <s v="TBM"/>
    <n v="24"/>
    <n v="3377"/>
    <s v="140.7"/>
    <x v="0"/>
    <n v="0"/>
    <n v="0"/>
    <n v="0"/>
    <d v="2018-09-01T00:00:00"/>
    <x v="1"/>
    <x v="2"/>
  </r>
  <r>
    <x v="6"/>
    <x v="9"/>
    <s v="Oktober"/>
    <s v="Division_A"/>
    <x v="39"/>
    <n v="2016"/>
    <n v="2"/>
    <s v="TBM"/>
    <n v="24"/>
    <n v="3377"/>
    <s v="140.7"/>
    <x v="0"/>
    <n v="0"/>
    <n v="0"/>
    <n v="0"/>
    <d v="2018-10-01T00:00:00"/>
    <x v="1"/>
    <x v="2"/>
  </r>
  <r>
    <x v="6"/>
    <x v="10"/>
    <s v="November"/>
    <s v="Division_A"/>
    <x v="39"/>
    <n v="2016"/>
    <n v="2"/>
    <s v="TBM"/>
    <n v="24"/>
    <n v="3377"/>
    <s v="140.7"/>
    <x v="0"/>
    <n v="0"/>
    <n v="0"/>
    <n v="0"/>
    <d v="2018-11-01T00:00:00"/>
    <x v="1"/>
    <x v="2"/>
  </r>
  <r>
    <x v="6"/>
    <x v="11"/>
    <s v="Desember"/>
    <s v="Division_A"/>
    <x v="39"/>
    <n v="2016"/>
    <n v="2"/>
    <s v="TBM"/>
    <n v="24"/>
    <n v="3377"/>
    <s v="140.7"/>
    <x v="0"/>
    <n v="0"/>
    <n v="0"/>
    <n v="0"/>
    <d v="2018-12-01T00:00:00"/>
    <x v="1"/>
    <x v="2"/>
  </r>
  <r>
    <x v="6"/>
    <x v="0"/>
    <s v="Januari"/>
    <s v="Division_A"/>
    <x v="40"/>
    <n v="2016"/>
    <n v="2"/>
    <s v="TBM"/>
    <n v="25"/>
    <n v="3431"/>
    <s v="137.2"/>
    <x v="0"/>
    <n v="0"/>
    <n v="0"/>
    <n v="0"/>
    <d v="2018-01-01T00:00:00"/>
    <x v="1"/>
    <x v="2"/>
  </r>
  <r>
    <x v="6"/>
    <x v="1"/>
    <s v="Februari"/>
    <s v="Division_A"/>
    <x v="40"/>
    <n v="2016"/>
    <n v="2"/>
    <s v="TBM"/>
    <n v="25"/>
    <n v="3431"/>
    <s v="137.2"/>
    <x v="0"/>
    <n v="0"/>
    <n v="0"/>
    <n v="0"/>
    <d v="2018-02-01T00:00:00"/>
    <x v="1"/>
    <x v="2"/>
  </r>
  <r>
    <x v="6"/>
    <x v="2"/>
    <s v="Maret"/>
    <s v="Division_A"/>
    <x v="40"/>
    <n v="2016"/>
    <n v="2"/>
    <s v="TBM"/>
    <n v="25"/>
    <n v="3431"/>
    <s v="137.2"/>
    <x v="0"/>
    <n v="0"/>
    <n v="0"/>
    <n v="0"/>
    <d v="2018-03-01T00:00:00"/>
    <x v="1"/>
    <x v="2"/>
  </r>
  <r>
    <x v="6"/>
    <x v="3"/>
    <s v="April"/>
    <s v="Division_A"/>
    <x v="40"/>
    <n v="2016"/>
    <n v="2"/>
    <s v="TBM"/>
    <n v="25"/>
    <n v="3431"/>
    <s v="137.2"/>
    <x v="0"/>
    <n v="0"/>
    <n v="0"/>
    <n v="0"/>
    <d v="2018-04-01T00:00:00"/>
    <x v="1"/>
    <x v="2"/>
  </r>
  <r>
    <x v="6"/>
    <x v="4"/>
    <s v="Mei"/>
    <s v="Division_A"/>
    <x v="40"/>
    <n v="2016"/>
    <n v="2"/>
    <s v="TBM"/>
    <n v="25"/>
    <n v="3431"/>
    <s v="137.2"/>
    <x v="0"/>
    <n v="0"/>
    <n v="0"/>
    <n v="0"/>
    <d v="2018-05-01T00:00:00"/>
    <x v="1"/>
    <x v="2"/>
  </r>
  <r>
    <x v="6"/>
    <x v="5"/>
    <s v="Juni"/>
    <s v="Division_A"/>
    <x v="40"/>
    <n v="2016"/>
    <n v="2"/>
    <s v="TBM"/>
    <n v="25"/>
    <n v="3431"/>
    <s v="137.2"/>
    <x v="0"/>
    <n v="0"/>
    <n v="0"/>
    <n v="0"/>
    <d v="2018-06-01T00:00:00"/>
    <x v="1"/>
    <x v="2"/>
  </r>
  <r>
    <x v="6"/>
    <x v="6"/>
    <s v="Juli"/>
    <s v="Division_A"/>
    <x v="40"/>
    <n v="2016"/>
    <n v="2"/>
    <s v="TBM"/>
    <n v="25"/>
    <n v="3431"/>
    <s v="137.2"/>
    <x v="0"/>
    <n v="0"/>
    <n v="0"/>
    <n v="0"/>
    <d v="2018-07-01T00:00:00"/>
    <x v="1"/>
    <x v="2"/>
  </r>
  <r>
    <x v="6"/>
    <x v="7"/>
    <s v="Agustus"/>
    <s v="Division_A"/>
    <x v="40"/>
    <n v="2016"/>
    <n v="2"/>
    <s v="TBM"/>
    <n v="25"/>
    <n v="3431"/>
    <s v="137.2"/>
    <x v="0"/>
    <n v="0"/>
    <n v="0"/>
    <n v="0"/>
    <d v="2018-08-01T00:00:00"/>
    <x v="1"/>
    <x v="2"/>
  </r>
  <r>
    <x v="6"/>
    <x v="8"/>
    <s v="September"/>
    <s v="Division_A"/>
    <x v="40"/>
    <n v="2016"/>
    <n v="2"/>
    <s v="TBM"/>
    <n v="25"/>
    <n v="3431"/>
    <s v="137.2"/>
    <x v="0"/>
    <n v="0"/>
    <n v="0"/>
    <n v="0"/>
    <d v="2018-09-01T00:00:00"/>
    <x v="1"/>
    <x v="2"/>
  </r>
  <r>
    <x v="6"/>
    <x v="9"/>
    <s v="Oktober"/>
    <s v="Division_A"/>
    <x v="40"/>
    <n v="2016"/>
    <n v="2"/>
    <s v="TBM"/>
    <n v="25"/>
    <n v="3431"/>
    <s v="137.2"/>
    <x v="0"/>
    <n v="0"/>
    <n v="0"/>
    <n v="0"/>
    <d v="2018-10-01T00:00:00"/>
    <x v="1"/>
    <x v="2"/>
  </r>
  <r>
    <x v="6"/>
    <x v="10"/>
    <s v="November"/>
    <s v="Division_A"/>
    <x v="40"/>
    <n v="2016"/>
    <n v="2"/>
    <s v="TBM"/>
    <n v="25"/>
    <n v="3431"/>
    <s v="137.2"/>
    <x v="0"/>
    <n v="0"/>
    <n v="0"/>
    <n v="0"/>
    <d v="2018-11-01T00:00:00"/>
    <x v="1"/>
    <x v="2"/>
  </r>
  <r>
    <x v="6"/>
    <x v="11"/>
    <s v="Desember"/>
    <s v="Division_A"/>
    <x v="40"/>
    <n v="2016"/>
    <n v="2"/>
    <s v="TBM"/>
    <n v="25"/>
    <n v="3431"/>
    <s v="137.2"/>
    <x v="0"/>
    <n v="0"/>
    <n v="0"/>
    <n v="0"/>
    <d v="2018-12-01T00:00:00"/>
    <x v="1"/>
    <x v="2"/>
  </r>
  <r>
    <x v="6"/>
    <x v="0"/>
    <s v="Januari"/>
    <s v="Division_A"/>
    <x v="41"/>
    <n v="2016"/>
    <n v="2"/>
    <s v="TBM"/>
    <n v="21"/>
    <n v="2901"/>
    <s v="138.1"/>
    <x v="0"/>
    <n v="0"/>
    <n v="0"/>
    <n v="0"/>
    <d v="2018-01-01T00:00:00"/>
    <x v="1"/>
    <x v="2"/>
  </r>
  <r>
    <x v="6"/>
    <x v="1"/>
    <s v="Februari"/>
    <s v="Division_A"/>
    <x v="41"/>
    <n v="2016"/>
    <n v="2"/>
    <s v="TBM"/>
    <n v="21"/>
    <n v="2901"/>
    <s v="138.1"/>
    <x v="0"/>
    <n v="0"/>
    <n v="0"/>
    <n v="0"/>
    <d v="2018-02-01T00:00:00"/>
    <x v="1"/>
    <x v="2"/>
  </r>
  <r>
    <x v="6"/>
    <x v="2"/>
    <s v="Maret"/>
    <s v="Division_A"/>
    <x v="41"/>
    <n v="2016"/>
    <n v="2"/>
    <s v="TBM"/>
    <n v="21"/>
    <n v="2901"/>
    <s v="138.1"/>
    <x v="0"/>
    <n v="0"/>
    <n v="0"/>
    <n v="0"/>
    <d v="2018-03-01T00:00:00"/>
    <x v="1"/>
    <x v="2"/>
  </r>
  <r>
    <x v="6"/>
    <x v="3"/>
    <s v="April"/>
    <s v="Division_A"/>
    <x v="41"/>
    <n v="2016"/>
    <n v="2"/>
    <s v="TBM"/>
    <n v="21"/>
    <n v="2901"/>
    <s v="138.1"/>
    <x v="0"/>
    <n v="0"/>
    <n v="0"/>
    <n v="0"/>
    <d v="2018-04-01T00:00:00"/>
    <x v="1"/>
    <x v="2"/>
  </r>
  <r>
    <x v="6"/>
    <x v="4"/>
    <s v="Mei"/>
    <s v="Division_A"/>
    <x v="41"/>
    <n v="2016"/>
    <n v="2"/>
    <s v="TBM"/>
    <n v="21"/>
    <n v="2901"/>
    <s v="138.1"/>
    <x v="0"/>
    <n v="0"/>
    <n v="0"/>
    <n v="0"/>
    <d v="2018-05-01T00:00:00"/>
    <x v="1"/>
    <x v="2"/>
  </r>
  <r>
    <x v="6"/>
    <x v="5"/>
    <s v="Juni"/>
    <s v="Division_A"/>
    <x v="41"/>
    <n v="2016"/>
    <n v="2"/>
    <s v="TBM"/>
    <n v="21"/>
    <n v="2901"/>
    <s v="138.1"/>
    <x v="0"/>
    <n v="0"/>
    <n v="0"/>
    <n v="0"/>
    <d v="2018-06-01T00:00:00"/>
    <x v="1"/>
    <x v="2"/>
  </r>
  <r>
    <x v="6"/>
    <x v="6"/>
    <s v="Juli"/>
    <s v="Division_A"/>
    <x v="41"/>
    <n v="2016"/>
    <n v="2"/>
    <s v="TBM"/>
    <n v="21"/>
    <n v="2901"/>
    <s v="138.1"/>
    <x v="0"/>
    <n v="0"/>
    <n v="0"/>
    <n v="0"/>
    <d v="2018-07-01T00:00:00"/>
    <x v="1"/>
    <x v="2"/>
  </r>
  <r>
    <x v="6"/>
    <x v="7"/>
    <s v="Agustus"/>
    <s v="Division_A"/>
    <x v="41"/>
    <n v="2016"/>
    <n v="2"/>
    <s v="TBM"/>
    <n v="21"/>
    <n v="2901"/>
    <s v="138.1"/>
    <x v="0"/>
    <n v="0"/>
    <n v="0"/>
    <n v="0"/>
    <d v="2018-08-01T00:00:00"/>
    <x v="1"/>
    <x v="2"/>
  </r>
  <r>
    <x v="6"/>
    <x v="8"/>
    <s v="September"/>
    <s v="Division_A"/>
    <x v="41"/>
    <n v="2016"/>
    <n v="2"/>
    <s v="TBM"/>
    <n v="21"/>
    <n v="2901"/>
    <s v="138.1"/>
    <x v="0"/>
    <n v="0"/>
    <n v="0"/>
    <n v="0"/>
    <d v="2018-09-01T00:00:00"/>
    <x v="1"/>
    <x v="2"/>
  </r>
  <r>
    <x v="6"/>
    <x v="9"/>
    <s v="Oktober"/>
    <s v="Division_A"/>
    <x v="41"/>
    <n v="2016"/>
    <n v="2"/>
    <s v="TBM"/>
    <n v="21"/>
    <n v="2901"/>
    <s v="138.1"/>
    <x v="0"/>
    <n v="0"/>
    <n v="0"/>
    <n v="0"/>
    <d v="2018-10-01T00:00:00"/>
    <x v="1"/>
    <x v="2"/>
  </r>
  <r>
    <x v="6"/>
    <x v="10"/>
    <s v="November"/>
    <s v="Division_A"/>
    <x v="41"/>
    <n v="2016"/>
    <n v="2"/>
    <s v="TBM"/>
    <n v="21"/>
    <n v="2901"/>
    <s v="138.1"/>
    <x v="0"/>
    <n v="0"/>
    <n v="0"/>
    <n v="0"/>
    <d v="2018-11-01T00:00:00"/>
    <x v="1"/>
    <x v="2"/>
  </r>
  <r>
    <x v="6"/>
    <x v="11"/>
    <s v="Desember"/>
    <s v="Division_A"/>
    <x v="41"/>
    <n v="2016"/>
    <n v="2"/>
    <s v="TBM"/>
    <n v="21"/>
    <n v="2901"/>
    <s v="138.1"/>
    <x v="0"/>
    <n v="0"/>
    <n v="0"/>
    <n v="0"/>
    <d v="2018-12-01T00:00:00"/>
    <x v="1"/>
    <x v="2"/>
  </r>
  <r>
    <x v="7"/>
    <x v="0"/>
    <s v="Januari"/>
    <s v="Division_A"/>
    <x v="0"/>
    <n v="2000"/>
    <n v="19"/>
    <s v="TM-Tua"/>
    <n v="19"/>
    <n v="1490"/>
    <s v="78.4"/>
    <x v="0"/>
    <n v="0.63800000000000001"/>
    <n v="12122.7"/>
    <n v="12.122999999999999"/>
    <d v="2019-01-01T00:00:00"/>
    <x v="0"/>
    <x v="4"/>
  </r>
  <r>
    <x v="7"/>
    <x v="1"/>
    <s v="Februari"/>
    <s v="Division_A"/>
    <x v="0"/>
    <n v="2000"/>
    <n v="19"/>
    <s v="TM-Tua"/>
    <n v="19"/>
    <n v="1490"/>
    <s v="78.4"/>
    <x v="0"/>
    <n v="0.746"/>
    <n v="14175.2"/>
    <n v="14.175000000000001"/>
    <d v="2019-02-01T00:00:00"/>
    <x v="0"/>
    <x v="4"/>
  </r>
  <r>
    <x v="7"/>
    <x v="2"/>
    <s v="Maret"/>
    <s v="Division_A"/>
    <x v="0"/>
    <n v="2000"/>
    <n v="19"/>
    <s v="TM-Tua"/>
    <n v="19"/>
    <n v="1490"/>
    <s v="78.4"/>
    <x v="0"/>
    <n v="0.86799999999999999"/>
    <n v="16490.599999999999"/>
    <n v="16.491"/>
    <d v="2019-03-01T00:00:00"/>
    <x v="0"/>
    <x v="4"/>
  </r>
  <r>
    <x v="7"/>
    <x v="3"/>
    <s v="April"/>
    <s v="Division_A"/>
    <x v="0"/>
    <n v="2000"/>
    <n v="19"/>
    <s v="TM-Tua"/>
    <n v="19"/>
    <n v="1490"/>
    <s v="78.4"/>
    <x v="0"/>
    <n v="0.97499999999999998"/>
    <n v="18522.8"/>
    <n v="18.523"/>
    <d v="2019-04-01T00:00:00"/>
    <x v="0"/>
    <x v="4"/>
  </r>
  <r>
    <x v="7"/>
    <x v="4"/>
    <s v="Mei"/>
    <s v="Division_A"/>
    <x v="0"/>
    <n v="2000"/>
    <n v="19"/>
    <s v="TM-Tua"/>
    <n v="19"/>
    <n v="1490"/>
    <s v="78.4"/>
    <x v="0"/>
    <n v="0.997"/>
    <n v="18947.5"/>
    <n v="18.946999999999999"/>
    <d v="2019-05-01T00:00:00"/>
    <x v="0"/>
    <x v="4"/>
  </r>
  <r>
    <x v="7"/>
    <x v="5"/>
    <s v="Juni"/>
    <s v="Division_A"/>
    <x v="0"/>
    <n v="2000"/>
    <n v="19"/>
    <s v="TM-Tua"/>
    <n v="19"/>
    <n v="1490"/>
    <s v="78.4"/>
    <x v="0"/>
    <n v="0.94699999999999995"/>
    <n v="17987"/>
    <n v="17.986999999999998"/>
    <d v="2019-06-01T00:00:00"/>
    <x v="0"/>
    <x v="4"/>
  </r>
  <r>
    <x v="7"/>
    <x v="6"/>
    <s v="Juli"/>
    <s v="Division_A"/>
    <x v="0"/>
    <n v="2000"/>
    <n v="19"/>
    <s v="TM-Tua"/>
    <n v="19"/>
    <n v="1490"/>
    <s v="78.4"/>
    <x v="0"/>
    <n v="0.85099999999999998"/>
    <n v="16177.1"/>
    <n v="16.177"/>
    <d v="2019-07-01T00:00:00"/>
    <x v="0"/>
    <x v="4"/>
  </r>
  <r>
    <x v="7"/>
    <x v="7"/>
    <s v="Agustus"/>
    <s v="Division_A"/>
    <x v="0"/>
    <n v="2000"/>
    <n v="19"/>
    <s v="TM-Tua"/>
    <n v="19"/>
    <n v="1490"/>
    <s v="78.4"/>
    <x v="0"/>
    <n v="0.99"/>
    <n v="18805.900000000001"/>
    <n v="18.806000000000001"/>
    <d v="2019-08-01T00:00:00"/>
    <x v="0"/>
    <x v="4"/>
  </r>
  <r>
    <x v="7"/>
    <x v="8"/>
    <s v="September"/>
    <s v="Division_A"/>
    <x v="0"/>
    <n v="2000"/>
    <n v="19"/>
    <s v="TM-Tua"/>
    <n v="19"/>
    <n v="1490"/>
    <s v="78.4"/>
    <x v="0"/>
    <n v="0.70299999999999996"/>
    <n v="13366.4"/>
    <n v="13.366"/>
    <d v="2019-09-01T00:00:00"/>
    <x v="0"/>
    <x v="4"/>
  </r>
  <r>
    <x v="7"/>
    <x v="9"/>
    <s v="Oktober"/>
    <s v="Division_A"/>
    <x v="0"/>
    <n v="2000"/>
    <n v="19"/>
    <s v="TM-Tua"/>
    <n v="19"/>
    <n v="1490"/>
    <s v="78.4"/>
    <x v="0"/>
    <n v="0.92300000000000004"/>
    <n v="17542.099999999999"/>
    <n v="17.542000000000002"/>
    <d v="2019-10-01T00:00:00"/>
    <x v="0"/>
    <x v="4"/>
  </r>
  <r>
    <x v="7"/>
    <x v="10"/>
    <s v="November"/>
    <s v="Division_A"/>
    <x v="0"/>
    <n v="2000"/>
    <n v="19"/>
    <s v="TM-Tua"/>
    <n v="19"/>
    <n v="1490"/>
    <s v="78.4"/>
    <x v="0"/>
    <n v="0.67200000000000004"/>
    <n v="12769.8"/>
    <n v="12.77"/>
    <d v="2019-11-01T00:00:00"/>
    <x v="0"/>
    <x v="4"/>
  </r>
  <r>
    <x v="7"/>
    <x v="11"/>
    <s v="Desember"/>
    <s v="Division_A"/>
    <x v="0"/>
    <n v="2000"/>
    <n v="19"/>
    <s v="TM-Tua"/>
    <n v="19"/>
    <n v="1490"/>
    <s v="78.4"/>
    <x v="0"/>
    <n v="0.50600000000000001"/>
    <n v="9605.2000000000007"/>
    <n v="9.6050000000000004"/>
    <d v="2019-12-01T00:00:00"/>
    <x v="0"/>
    <x v="4"/>
  </r>
  <r>
    <x v="7"/>
    <x v="0"/>
    <s v="Januari"/>
    <s v="Division_A"/>
    <x v="1"/>
    <n v="2000"/>
    <n v="19"/>
    <s v="TM-Tua"/>
    <n v="24"/>
    <n v="1675"/>
    <s v="69.8"/>
    <x v="0"/>
    <n v="0.56799999999999995"/>
    <n v="13627.9"/>
    <n v="13.628"/>
    <d v="2019-01-01T00:00:00"/>
    <x v="0"/>
    <x v="4"/>
  </r>
  <r>
    <x v="7"/>
    <x v="1"/>
    <s v="Februari"/>
    <s v="Division_A"/>
    <x v="1"/>
    <n v="2000"/>
    <n v="19"/>
    <s v="TM-Tua"/>
    <n v="24"/>
    <n v="1675"/>
    <s v="69.8"/>
    <x v="0"/>
    <n v="0.66400000000000003"/>
    <n v="15935.2"/>
    <n v="15.935"/>
    <d v="2019-02-01T00:00:00"/>
    <x v="0"/>
    <x v="4"/>
  </r>
  <r>
    <x v="7"/>
    <x v="2"/>
    <s v="Maret"/>
    <s v="Division_A"/>
    <x v="1"/>
    <n v="2000"/>
    <n v="19"/>
    <s v="TM-Tua"/>
    <n v="24"/>
    <n v="1675"/>
    <s v="69.8"/>
    <x v="0"/>
    <n v="0.77200000000000002"/>
    <n v="18538.099999999999"/>
    <n v="18.538"/>
    <d v="2019-03-01T00:00:00"/>
    <x v="0"/>
    <x v="4"/>
  </r>
  <r>
    <x v="7"/>
    <x v="3"/>
    <s v="April"/>
    <s v="Division_A"/>
    <x v="1"/>
    <n v="2000"/>
    <n v="19"/>
    <s v="TM-Tua"/>
    <n v="24"/>
    <n v="1675"/>
    <s v="69.8"/>
    <x v="0"/>
    <n v="0.86799999999999999"/>
    <n v="20822.599999999999"/>
    <n v="20.823"/>
    <d v="2019-04-01T00:00:00"/>
    <x v="0"/>
    <x v="4"/>
  </r>
  <r>
    <x v="7"/>
    <x v="4"/>
    <s v="Mei"/>
    <s v="Division_A"/>
    <x v="1"/>
    <n v="2000"/>
    <n v="19"/>
    <s v="TM-Tua"/>
    <n v="24"/>
    <n v="1675"/>
    <s v="69.8"/>
    <x v="0"/>
    <n v="0.88800000000000001"/>
    <n v="21300"/>
    <n v="21.3"/>
    <d v="2019-05-01T00:00:00"/>
    <x v="0"/>
    <x v="4"/>
  </r>
  <r>
    <x v="7"/>
    <x v="5"/>
    <s v="Juni"/>
    <s v="Division_A"/>
    <x v="1"/>
    <n v="2000"/>
    <n v="19"/>
    <s v="TM-Tua"/>
    <n v="24"/>
    <n v="1675"/>
    <s v="69.8"/>
    <x v="0"/>
    <n v="0.84299999999999997"/>
    <n v="20220.2"/>
    <n v="20.22"/>
    <d v="2019-06-01T00:00:00"/>
    <x v="0"/>
    <x v="4"/>
  </r>
  <r>
    <x v="7"/>
    <x v="6"/>
    <s v="Juli"/>
    <s v="Division_A"/>
    <x v="1"/>
    <n v="2000"/>
    <n v="19"/>
    <s v="TM-Tua"/>
    <n v="24"/>
    <n v="1675"/>
    <s v="69.8"/>
    <x v="0"/>
    <n v="0.75800000000000001"/>
    <n v="18185.7"/>
    <n v="18.186"/>
    <d v="2019-07-01T00:00:00"/>
    <x v="0"/>
    <x v="4"/>
  </r>
  <r>
    <x v="7"/>
    <x v="7"/>
    <s v="Agustus"/>
    <s v="Division_A"/>
    <x v="1"/>
    <n v="2000"/>
    <n v="19"/>
    <s v="TM-Tua"/>
    <n v="24"/>
    <n v="1675"/>
    <s v="69.8"/>
    <x v="0"/>
    <n v="0.88100000000000001"/>
    <n v="21140.9"/>
    <n v="21.140999999999998"/>
    <d v="2019-08-01T00:00:00"/>
    <x v="0"/>
    <x v="4"/>
  </r>
  <r>
    <x v="7"/>
    <x v="8"/>
    <s v="September"/>
    <s v="Division_A"/>
    <x v="1"/>
    <n v="2000"/>
    <n v="19"/>
    <s v="TM-Tua"/>
    <n v="24"/>
    <n v="1675"/>
    <s v="69.8"/>
    <x v="0"/>
    <n v="0.626"/>
    <n v="15025.9"/>
    <n v="15.026"/>
    <d v="2019-09-01T00:00:00"/>
    <x v="0"/>
    <x v="4"/>
  </r>
  <r>
    <x v="7"/>
    <x v="9"/>
    <s v="Oktober"/>
    <s v="Division_A"/>
    <x v="1"/>
    <n v="2000"/>
    <n v="19"/>
    <s v="TM-Tua"/>
    <n v="24"/>
    <n v="1675"/>
    <s v="69.8"/>
    <x v="0"/>
    <n v="0.82199999999999995"/>
    <n v="19720.099999999999"/>
    <n v="19.72"/>
    <d v="2019-10-01T00:00:00"/>
    <x v="0"/>
    <x v="4"/>
  </r>
  <r>
    <x v="7"/>
    <x v="10"/>
    <s v="November"/>
    <s v="Division_A"/>
    <x v="1"/>
    <n v="2000"/>
    <n v="19"/>
    <s v="TM-Tua"/>
    <n v="24"/>
    <n v="1675"/>
    <s v="69.8"/>
    <x v="0"/>
    <n v="0.59799999999999998"/>
    <n v="14355.3"/>
    <n v="14.355"/>
    <d v="2019-11-01T00:00:00"/>
    <x v="0"/>
    <x v="4"/>
  </r>
  <r>
    <x v="7"/>
    <x v="11"/>
    <s v="Desember"/>
    <s v="Division_A"/>
    <x v="1"/>
    <n v="2000"/>
    <n v="19"/>
    <s v="TM-Tua"/>
    <n v="24"/>
    <n v="1675"/>
    <s v="69.8"/>
    <x v="0"/>
    <n v="0.45"/>
    <n v="10797.8"/>
    <n v="10.798"/>
    <d v="2019-12-01T00:00:00"/>
    <x v="0"/>
    <x v="4"/>
  </r>
  <r>
    <x v="7"/>
    <x v="0"/>
    <s v="Januari"/>
    <s v="Division_A"/>
    <x v="2"/>
    <n v="2005"/>
    <n v="14"/>
    <s v="TM-Utama"/>
    <n v="18"/>
    <n v="1922"/>
    <s v="106.8"/>
    <x v="0"/>
    <n v="0.96"/>
    <n v="17283.599999999999"/>
    <n v="17.283999999999999"/>
    <d v="2019-01-01T00:00:00"/>
    <x v="0"/>
    <x v="0"/>
  </r>
  <r>
    <x v="7"/>
    <x v="1"/>
    <s v="Februari"/>
    <s v="Division_A"/>
    <x v="2"/>
    <n v="2005"/>
    <n v="14"/>
    <s v="TM-Utama"/>
    <n v="18"/>
    <n v="1922"/>
    <s v="106.8"/>
    <x v="0"/>
    <n v="1.123"/>
    <n v="20209.8"/>
    <n v="20.21"/>
    <d v="2019-02-01T00:00:00"/>
    <x v="0"/>
    <x v="0"/>
  </r>
  <r>
    <x v="7"/>
    <x v="2"/>
    <s v="Maret"/>
    <s v="Division_A"/>
    <x v="2"/>
    <n v="2005"/>
    <n v="14"/>
    <s v="TM-Utama"/>
    <n v="18"/>
    <n v="1922"/>
    <s v="106.8"/>
    <x v="0"/>
    <n v="1.306"/>
    <n v="23510.9"/>
    <n v="23.510999999999999"/>
    <d v="2019-03-01T00:00:00"/>
    <x v="0"/>
    <x v="0"/>
  </r>
  <r>
    <x v="7"/>
    <x v="3"/>
    <s v="April"/>
    <s v="Division_A"/>
    <x v="2"/>
    <n v="2005"/>
    <n v="14"/>
    <s v="TM-Utama"/>
    <n v="18"/>
    <n v="1922"/>
    <s v="106.8"/>
    <x v="0"/>
    <n v="1.4670000000000001"/>
    <n v="26408.3"/>
    <n v="26.408000000000001"/>
    <d v="2019-04-01T00:00:00"/>
    <x v="0"/>
    <x v="0"/>
  </r>
  <r>
    <x v="7"/>
    <x v="4"/>
    <s v="Mei"/>
    <s v="Division_A"/>
    <x v="2"/>
    <n v="2005"/>
    <n v="14"/>
    <s v="TM-Utama"/>
    <n v="18"/>
    <n v="1922"/>
    <s v="106.8"/>
    <x v="0"/>
    <n v="1.5009999999999999"/>
    <n v="27013.7"/>
    <n v="27.013999999999999"/>
    <d v="2019-05-01T00:00:00"/>
    <x v="0"/>
    <x v="0"/>
  </r>
  <r>
    <x v="7"/>
    <x v="5"/>
    <s v="Juni"/>
    <s v="Division_A"/>
    <x v="2"/>
    <n v="2005"/>
    <n v="14"/>
    <s v="TM-Utama"/>
    <n v="18"/>
    <n v="1922"/>
    <s v="106.8"/>
    <x v="0"/>
    <n v="1.425"/>
    <n v="25644.3"/>
    <n v="25.643999999999998"/>
    <d v="2019-06-01T00:00:00"/>
    <x v="0"/>
    <x v="0"/>
  </r>
  <r>
    <x v="7"/>
    <x v="6"/>
    <s v="Juli"/>
    <s v="Division_A"/>
    <x v="2"/>
    <n v="2005"/>
    <n v="14"/>
    <s v="TM-Utama"/>
    <n v="18"/>
    <n v="1922"/>
    <s v="106.8"/>
    <x v="0"/>
    <n v="1.2809999999999999"/>
    <n v="23064"/>
    <n v="23.064"/>
    <d v="2019-07-01T00:00:00"/>
    <x v="0"/>
    <x v="0"/>
  </r>
  <r>
    <x v="7"/>
    <x v="7"/>
    <s v="Agustus"/>
    <s v="Division_A"/>
    <x v="2"/>
    <n v="2005"/>
    <n v="14"/>
    <s v="TM-Utama"/>
    <n v="18"/>
    <n v="1922"/>
    <s v="106.8"/>
    <x v="0"/>
    <n v="1.49"/>
    <n v="26811.9"/>
    <n v="26.812000000000001"/>
    <d v="2019-08-01T00:00:00"/>
    <x v="0"/>
    <x v="0"/>
  </r>
  <r>
    <x v="7"/>
    <x v="8"/>
    <s v="September"/>
    <s v="Division_A"/>
    <x v="2"/>
    <n v="2005"/>
    <n v="14"/>
    <s v="TM-Utama"/>
    <n v="18"/>
    <n v="1922"/>
    <s v="106.8"/>
    <x v="0"/>
    <n v="1.0589999999999999"/>
    <n v="19056.599999999999"/>
    <n v="19.056999999999999"/>
    <d v="2019-09-01T00:00:00"/>
    <x v="0"/>
    <x v="0"/>
  </r>
  <r>
    <x v="7"/>
    <x v="9"/>
    <s v="Oktober"/>
    <s v="Division_A"/>
    <x v="2"/>
    <n v="2005"/>
    <n v="14"/>
    <s v="TM-Utama"/>
    <n v="18"/>
    <n v="1922"/>
    <s v="106.8"/>
    <x v="0"/>
    <n v="1.389"/>
    <n v="25010"/>
    <n v="25.01"/>
    <d v="2019-10-01T00:00:00"/>
    <x v="0"/>
    <x v="0"/>
  </r>
  <r>
    <x v="7"/>
    <x v="10"/>
    <s v="November"/>
    <s v="Division_A"/>
    <x v="2"/>
    <n v="2005"/>
    <n v="14"/>
    <s v="TM-Utama"/>
    <n v="18"/>
    <n v="1922"/>
    <s v="106.8"/>
    <x v="0"/>
    <n v="1.0109999999999999"/>
    <n v="18206.099999999999"/>
    <n v="18.206"/>
    <d v="2019-11-01T00:00:00"/>
    <x v="0"/>
    <x v="0"/>
  </r>
  <r>
    <x v="7"/>
    <x v="11"/>
    <s v="Desember"/>
    <s v="Division_A"/>
    <x v="2"/>
    <n v="2005"/>
    <n v="14"/>
    <s v="TM-Utama"/>
    <n v="18"/>
    <n v="1922"/>
    <s v="106.8"/>
    <x v="0"/>
    <n v="0.76100000000000001"/>
    <n v="13694.2"/>
    <n v="13.694000000000001"/>
    <d v="2019-12-01T00:00:00"/>
    <x v="0"/>
    <x v="0"/>
  </r>
  <r>
    <x v="7"/>
    <x v="0"/>
    <s v="Januari"/>
    <s v="Division_A"/>
    <x v="3"/>
    <n v="2005"/>
    <n v="14"/>
    <s v="TM-Utama"/>
    <n v="26"/>
    <n v="2827"/>
    <s v="108.7"/>
    <x v="0"/>
    <n v="0.97799999999999998"/>
    <n v="25421.8"/>
    <n v="25.422000000000001"/>
    <d v="2019-01-01T00:00:00"/>
    <x v="0"/>
    <x v="0"/>
  </r>
  <r>
    <x v="7"/>
    <x v="1"/>
    <s v="Februari"/>
    <s v="Division_A"/>
    <x v="3"/>
    <n v="2005"/>
    <n v="14"/>
    <s v="TM-Utama"/>
    <n v="26"/>
    <n v="2827"/>
    <s v="108.7"/>
    <x v="0"/>
    <n v="1.143"/>
    <n v="29725.9"/>
    <n v="29.725999999999999"/>
    <d v="2019-02-01T00:00:00"/>
    <x v="0"/>
    <x v="0"/>
  </r>
  <r>
    <x v="7"/>
    <x v="2"/>
    <s v="Maret"/>
    <s v="Division_A"/>
    <x v="3"/>
    <n v="2005"/>
    <n v="14"/>
    <s v="TM-Utama"/>
    <n v="26"/>
    <n v="2827"/>
    <s v="108.7"/>
    <x v="0"/>
    <n v="1.33"/>
    <n v="34581.300000000003"/>
    <n v="34.581000000000003"/>
    <d v="2019-03-01T00:00:00"/>
    <x v="0"/>
    <x v="0"/>
  </r>
  <r>
    <x v="7"/>
    <x v="3"/>
    <s v="April"/>
    <s v="Division_A"/>
    <x v="3"/>
    <n v="2005"/>
    <n v="14"/>
    <s v="TM-Utama"/>
    <n v="26"/>
    <n v="2827"/>
    <s v="108.7"/>
    <x v="0"/>
    <n v="1.494"/>
    <n v="38843"/>
    <n v="38.843000000000004"/>
    <d v="2019-04-01T00:00:00"/>
    <x v="0"/>
    <x v="0"/>
  </r>
  <r>
    <x v="7"/>
    <x v="4"/>
    <s v="Mei"/>
    <s v="Division_A"/>
    <x v="3"/>
    <n v="2005"/>
    <n v="14"/>
    <s v="TM-Utama"/>
    <n v="26"/>
    <n v="2827"/>
    <s v="108.7"/>
    <x v="0"/>
    <n v="1.528"/>
    <n v="39733.5"/>
    <n v="39.732999999999997"/>
    <d v="2019-05-01T00:00:00"/>
    <x v="0"/>
    <x v="0"/>
  </r>
  <r>
    <x v="7"/>
    <x v="5"/>
    <s v="Juni"/>
    <s v="Division_A"/>
    <x v="3"/>
    <n v="2005"/>
    <n v="14"/>
    <s v="TM-Utama"/>
    <n v="26"/>
    <n v="2827"/>
    <s v="108.7"/>
    <x v="0"/>
    <n v="1.4510000000000001"/>
    <n v="37719.199999999997"/>
    <n v="37.719000000000001"/>
    <d v="2019-06-01T00:00:00"/>
    <x v="0"/>
    <x v="0"/>
  </r>
  <r>
    <x v="7"/>
    <x v="6"/>
    <s v="Juli"/>
    <s v="Division_A"/>
    <x v="3"/>
    <n v="2005"/>
    <n v="14"/>
    <s v="TM-Utama"/>
    <n v="26"/>
    <n v="2827"/>
    <s v="108.7"/>
    <x v="0"/>
    <n v="1.3049999999999999"/>
    <n v="33924"/>
    <n v="33.923999999999999"/>
    <d v="2019-07-01T00:00:00"/>
    <x v="0"/>
    <x v="0"/>
  </r>
  <r>
    <x v="7"/>
    <x v="7"/>
    <s v="Agustus"/>
    <s v="Division_A"/>
    <x v="3"/>
    <n v="2005"/>
    <n v="14"/>
    <s v="TM-Utama"/>
    <n v="26"/>
    <n v="2827"/>
    <s v="108.7"/>
    <x v="0"/>
    <n v="1.5169999999999999"/>
    <n v="39436.699999999997"/>
    <n v="39.436999999999998"/>
    <d v="2019-08-01T00:00:00"/>
    <x v="0"/>
    <x v="0"/>
  </r>
  <r>
    <x v="7"/>
    <x v="8"/>
    <s v="September"/>
    <s v="Division_A"/>
    <x v="3"/>
    <n v="2005"/>
    <n v="14"/>
    <s v="TM-Utama"/>
    <n v="26"/>
    <n v="2827"/>
    <s v="108.7"/>
    <x v="0"/>
    <n v="1.0780000000000001"/>
    <n v="28029.7"/>
    <n v="28.03"/>
    <d v="2019-09-01T00:00:00"/>
    <x v="0"/>
    <x v="0"/>
  </r>
  <r>
    <x v="7"/>
    <x v="9"/>
    <s v="Oktober"/>
    <s v="Division_A"/>
    <x v="3"/>
    <n v="2005"/>
    <n v="14"/>
    <s v="TM-Utama"/>
    <n v="26"/>
    <n v="2827"/>
    <s v="108.7"/>
    <x v="0"/>
    <n v="1.415"/>
    <n v="36786.300000000003"/>
    <n v="36.786000000000001"/>
    <d v="2019-10-01T00:00:00"/>
    <x v="0"/>
    <x v="0"/>
  </r>
  <r>
    <x v="7"/>
    <x v="10"/>
    <s v="November"/>
    <s v="Division_A"/>
    <x v="3"/>
    <n v="2005"/>
    <n v="14"/>
    <s v="TM-Utama"/>
    <n v="26"/>
    <n v="2827"/>
    <s v="108.7"/>
    <x v="0"/>
    <n v="1.03"/>
    <n v="26778.799999999999"/>
    <n v="26.779"/>
    <d v="2019-11-01T00:00:00"/>
    <x v="0"/>
    <x v="0"/>
  </r>
  <r>
    <x v="7"/>
    <x v="11"/>
    <s v="Desember"/>
    <s v="Division_A"/>
    <x v="3"/>
    <n v="2005"/>
    <n v="14"/>
    <s v="TM-Utama"/>
    <n v="26"/>
    <n v="2827"/>
    <s v="108.7"/>
    <x v="0"/>
    <n v="0.77500000000000002"/>
    <n v="20142.400000000001"/>
    <n v="20.141999999999999"/>
    <d v="2019-12-01T00:00:00"/>
    <x v="0"/>
    <x v="0"/>
  </r>
  <r>
    <x v="7"/>
    <x v="0"/>
    <s v="Januari"/>
    <s v="Division_A"/>
    <x v="4"/>
    <n v="2005"/>
    <n v="14"/>
    <s v="TM-Utama"/>
    <n v="24"/>
    <n v="1947"/>
    <s v="81.1"/>
    <x v="1"/>
    <n v="0.91700000000000004"/>
    <n v="22013.599999999999"/>
    <n v="22.013999999999999"/>
    <d v="2019-01-01T00:00:00"/>
    <x v="0"/>
    <x v="0"/>
  </r>
  <r>
    <x v="7"/>
    <x v="1"/>
    <s v="Februari"/>
    <s v="Division_A"/>
    <x v="4"/>
    <n v="2005"/>
    <n v="14"/>
    <s v="TM-Utama"/>
    <n v="24"/>
    <n v="1947"/>
    <s v="81.1"/>
    <x v="1"/>
    <n v="1.073"/>
    <n v="25740.7"/>
    <n v="25.741"/>
    <d v="2019-02-01T00:00:00"/>
    <x v="0"/>
    <x v="0"/>
  </r>
  <r>
    <x v="7"/>
    <x v="2"/>
    <s v="Maret"/>
    <s v="Division_A"/>
    <x v="4"/>
    <n v="2005"/>
    <n v="14"/>
    <s v="TM-Utama"/>
    <n v="24"/>
    <n v="1947"/>
    <s v="81.1"/>
    <x v="1"/>
    <n v="1.248"/>
    <n v="29945.200000000001"/>
    <n v="29.945"/>
    <d v="2019-03-01T00:00:00"/>
    <x v="0"/>
    <x v="0"/>
  </r>
  <r>
    <x v="7"/>
    <x v="3"/>
    <s v="April"/>
    <s v="Division_A"/>
    <x v="4"/>
    <n v="2005"/>
    <n v="14"/>
    <s v="TM-Utama"/>
    <n v="24"/>
    <n v="1947"/>
    <s v="81.1"/>
    <x v="1"/>
    <n v="1.401"/>
    <n v="33635.5"/>
    <n v="33.636000000000003"/>
    <d v="2019-04-01T00:00:00"/>
    <x v="0"/>
    <x v="0"/>
  </r>
  <r>
    <x v="7"/>
    <x v="4"/>
    <s v="Mei"/>
    <s v="Division_A"/>
    <x v="4"/>
    <n v="2005"/>
    <n v="14"/>
    <s v="TM-Utama"/>
    <n v="24"/>
    <n v="1947"/>
    <s v="81.1"/>
    <x v="1"/>
    <n v="1.4339999999999999"/>
    <n v="34406.6"/>
    <n v="34.406999999999996"/>
    <d v="2019-05-01T00:00:00"/>
    <x v="0"/>
    <x v="0"/>
  </r>
  <r>
    <x v="7"/>
    <x v="5"/>
    <s v="Juni"/>
    <s v="Division_A"/>
    <x v="4"/>
    <n v="2005"/>
    <n v="14"/>
    <s v="TM-Utama"/>
    <n v="24"/>
    <n v="1947"/>
    <s v="81.1"/>
    <x v="1"/>
    <n v="1.361"/>
    <n v="32662.400000000001"/>
    <n v="32.661999999999999"/>
    <d v="2019-06-01T00:00:00"/>
    <x v="0"/>
    <x v="0"/>
  </r>
  <r>
    <x v="7"/>
    <x v="6"/>
    <s v="Juli"/>
    <s v="Division_A"/>
    <x v="4"/>
    <n v="2005"/>
    <n v="14"/>
    <s v="TM-Utama"/>
    <n v="24"/>
    <n v="1947"/>
    <s v="81.1"/>
    <x v="1"/>
    <n v="1.224"/>
    <n v="29376"/>
    <n v="29.376000000000001"/>
    <d v="2019-07-01T00:00:00"/>
    <x v="0"/>
    <x v="0"/>
  </r>
  <r>
    <x v="7"/>
    <x v="7"/>
    <s v="Agustus"/>
    <s v="Division_A"/>
    <x v="4"/>
    <n v="2005"/>
    <n v="14"/>
    <s v="TM-Utama"/>
    <n v="24"/>
    <n v="1947"/>
    <s v="81.1"/>
    <x v="1"/>
    <n v="1.423"/>
    <n v="34149.599999999999"/>
    <n v="34.15"/>
    <d v="2019-08-01T00:00:00"/>
    <x v="0"/>
    <x v="0"/>
  </r>
  <r>
    <x v="7"/>
    <x v="8"/>
    <s v="September"/>
    <s v="Division_A"/>
    <x v="4"/>
    <n v="2005"/>
    <n v="14"/>
    <s v="TM-Utama"/>
    <n v="24"/>
    <n v="1947"/>
    <s v="81.1"/>
    <x v="1"/>
    <n v="1.0109999999999999"/>
    <n v="24271.9"/>
    <n v="24.271999999999998"/>
    <d v="2019-09-01T00:00:00"/>
    <x v="0"/>
    <x v="0"/>
  </r>
  <r>
    <x v="7"/>
    <x v="9"/>
    <s v="Oktober"/>
    <s v="Division_A"/>
    <x v="4"/>
    <n v="2005"/>
    <n v="14"/>
    <s v="TM-Utama"/>
    <n v="24"/>
    <n v="1947"/>
    <s v="81.1"/>
    <x v="1"/>
    <n v="1.327"/>
    <n v="31854.6"/>
    <n v="31.855"/>
    <d v="2019-10-01T00:00:00"/>
    <x v="0"/>
    <x v="0"/>
  </r>
  <r>
    <x v="7"/>
    <x v="10"/>
    <s v="November"/>
    <s v="Division_A"/>
    <x v="4"/>
    <n v="2005"/>
    <n v="14"/>
    <s v="TM-Utama"/>
    <n v="24"/>
    <n v="1947"/>
    <s v="81.1"/>
    <x v="1"/>
    <n v="0.96599999999999997"/>
    <n v="23188.7"/>
    <n v="23.189"/>
    <d v="2019-11-01T00:00:00"/>
    <x v="0"/>
    <x v="0"/>
  </r>
  <r>
    <x v="7"/>
    <x v="11"/>
    <s v="Desember"/>
    <s v="Division_A"/>
    <x v="4"/>
    <n v="2005"/>
    <n v="14"/>
    <s v="TM-Utama"/>
    <n v="24"/>
    <n v="1947"/>
    <s v="81.1"/>
    <x v="1"/>
    <n v="0.72699999999999998"/>
    <n v="17442"/>
    <n v="17.442"/>
    <d v="2019-12-01T00:00:00"/>
    <x v="0"/>
    <x v="0"/>
  </r>
  <r>
    <x v="7"/>
    <x v="0"/>
    <s v="Januari"/>
    <s v="Division_A"/>
    <x v="5"/>
    <n v="2006"/>
    <n v="13"/>
    <s v="TM-Utama"/>
    <n v="25"/>
    <n v="2740"/>
    <s v="109.6"/>
    <x v="1"/>
    <n v="0.98599999999999999"/>
    <n v="24639.5"/>
    <n v="24.638999999999999"/>
    <d v="2019-01-01T00:00:00"/>
    <x v="0"/>
    <x v="0"/>
  </r>
  <r>
    <x v="7"/>
    <x v="1"/>
    <s v="Februari"/>
    <s v="Division_A"/>
    <x v="5"/>
    <n v="2006"/>
    <n v="13"/>
    <s v="TM-Utama"/>
    <n v="25"/>
    <n v="2740"/>
    <s v="109.6"/>
    <x v="1"/>
    <n v="1.1519999999999999"/>
    <n v="28811.1"/>
    <n v="28.811"/>
    <d v="2019-02-01T00:00:00"/>
    <x v="0"/>
    <x v="0"/>
  </r>
  <r>
    <x v="7"/>
    <x v="2"/>
    <s v="Maret"/>
    <s v="Division_A"/>
    <x v="5"/>
    <n v="2006"/>
    <n v="13"/>
    <s v="TM-Utama"/>
    <n v="25"/>
    <n v="2740"/>
    <s v="109.6"/>
    <x v="1"/>
    <n v="1.341"/>
    <n v="33517"/>
    <n v="33.517000000000003"/>
    <d v="2019-03-01T00:00:00"/>
    <x v="0"/>
    <x v="0"/>
  </r>
  <r>
    <x v="7"/>
    <x v="3"/>
    <s v="April"/>
    <s v="Division_A"/>
    <x v="5"/>
    <n v="2006"/>
    <n v="13"/>
    <s v="TM-Utama"/>
    <n v="25"/>
    <n v="2740"/>
    <s v="109.6"/>
    <x v="1"/>
    <n v="1.506"/>
    <n v="37647.599999999999"/>
    <n v="37.648000000000003"/>
    <d v="2019-04-01T00:00:00"/>
    <x v="0"/>
    <x v="0"/>
  </r>
  <r>
    <x v="7"/>
    <x v="4"/>
    <s v="Mei"/>
    <s v="Division_A"/>
    <x v="5"/>
    <n v="2006"/>
    <n v="13"/>
    <s v="TM-Utama"/>
    <n v="25"/>
    <n v="2740"/>
    <s v="109.6"/>
    <x v="1"/>
    <n v="1.54"/>
    <n v="38510.699999999997"/>
    <n v="38.511000000000003"/>
    <d v="2019-05-01T00:00:00"/>
    <x v="0"/>
    <x v="0"/>
  </r>
  <r>
    <x v="7"/>
    <x v="5"/>
    <s v="Juni"/>
    <s v="Division_A"/>
    <x v="5"/>
    <n v="2006"/>
    <n v="13"/>
    <s v="TM-Utama"/>
    <n v="25"/>
    <n v="2740"/>
    <s v="109.6"/>
    <x v="1"/>
    <n v="1.462"/>
    <n v="36558.400000000001"/>
    <n v="36.558"/>
    <d v="2019-06-01T00:00:00"/>
    <x v="0"/>
    <x v="0"/>
  </r>
  <r>
    <x v="7"/>
    <x v="6"/>
    <s v="Juli"/>
    <s v="Division_A"/>
    <x v="5"/>
    <n v="2006"/>
    <n v="13"/>
    <s v="TM-Utama"/>
    <n v="25"/>
    <n v="2740"/>
    <s v="109.6"/>
    <x v="1"/>
    <n v="1.3149999999999999"/>
    <n v="32880"/>
    <n v="32.880000000000003"/>
    <d v="2019-07-01T00:00:00"/>
    <x v="0"/>
    <x v="0"/>
  </r>
  <r>
    <x v="7"/>
    <x v="7"/>
    <s v="Agustus"/>
    <s v="Division_A"/>
    <x v="5"/>
    <n v="2006"/>
    <n v="13"/>
    <s v="TM-Utama"/>
    <n v="25"/>
    <n v="2740"/>
    <s v="109.6"/>
    <x v="1"/>
    <n v="1.5289999999999999"/>
    <n v="38223"/>
    <n v="38.222999999999999"/>
    <d v="2019-08-01T00:00:00"/>
    <x v="0"/>
    <x v="0"/>
  </r>
  <r>
    <x v="7"/>
    <x v="8"/>
    <s v="September"/>
    <s v="Division_A"/>
    <x v="5"/>
    <n v="2006"/>
    <n v="13"/>
    <s v="TM-Utama"/>
    <n v="25"/>
    <n v="2740"/>
    <s v="109.6"/>
    <x v="1"/>
    <n v="1.087"/>
    <n v="27167.1"/>
    <n v="27.167000000000002"/>
    <d v="2019-09-01T00:00:00"/>
    <x v="0"/>
    <x v="0"/>
  </r>
  <r>
    <x v="7"/>
    <x v="9"/>
    <s v="Oktober"/>
    <s v="Division_A"/>
    <x v="5"/>
    <n v="2006"/>
    <n v="13"/>
    <s v="TM-Utama"/>
    <n v="25"/>
    <n v="2740"/>
    <s v="109.6"/>
    <x v="1"/>
    <n v="1.4259999999999999"/>
    <n v="35654.199999999997"/>
    <n v="35.654000000000003"/>
    <d v="2019-10-01T00:00:00"/>
    <x v="0"/>
    <x v="0"/>
  </r>
  <r>
    <x v="7"/>
    <x v="10"/>
    <s v="November"/>
    <s v="Division_A"/>
    <x v="5"/>
    <n v="2006"/>
    <n v="13"/>
    <s v="TM-Utama"/>
    <n v="25"/>
    <n v="2740"/>
    <s v="109.6"/>
    <x v="1"/>
    <n v="1.038"/>
    <n v="25954.6"/>
    <n v="25.954999999999998"/>
    <d v="2019-11-01T00:00:00"/>
    <x v="0"/>
    <x v="0"/>
  </r>
  <r>
    <x v="7"/>
    <x v="11"/>
    <s v="Desember"/>
    <s v="Division_A"/>
    <x v="5"/>
    <n v="2006"/>
    <n v="13"/>
    <s v="TM-Utama"/>
    <n v="25"/>
    <n v="2740"/>
    <s v="109.6"/>
    <x v="1"/>
    <n v="0.78100000000000003"/>
    <n v="19522.5"/>
    <n v="19.521999999999998"/>
    <d v="2019-12-01T00:00:00"/>
    <x v="0"/>
    <x v="0"/>
  </r>
  <r>
    <x v="7"/>
    <x v="0"/>
    <s v="Januari"/>
    <s v="Division_A"/>
    <x v="6"/>
    <n v="2006"/>
    <n v="13"/>
    <s v="TM-Utama"/>
    <n v="24"/>
    <n v="3230"/>
    <s v="134.6"/>
    <x v="1"/>
    <n v="1.21"/>
    <n v="29045.8"/>
    <n v="29.045999999999999"/>
    <d v="2019-01-01T00:00:00"/>
    <x v="0"/>
    <x v="0"/>
  </r>
  <r>
    <x v="7"/>
    <x v="1"/>
    <s v="Februari"/>
    <s v="Division_A"/>
    <x v="6"/>
    <n v="2006"/>
    <n v="13"/>
    <s v="TM-Utama"/>
    <n v="24"/>
    <n v="3230"/>
    <s v="134.6"/>
    <x v="1"/>
    <n v="1.415"/>
    <n v="33963.5"/>
    <n v="33.963000000000001"/>
    <d v="2019-02-01T00:00:00"/>
    <x v="0"/>
    <x v="0"/>
  </r>
  <r>
    <x v="7"/>
    <x v="2"/>
    <s v="Maret"/>
    <s v="Division_A"/>
    <x v="6"/>
    <n v="2006"/>
    <n v="13"/>
    <s v="TM-Utama"/>
    <n v="24"/>
    <n v="3230"/>
    <s v="134.6"/>
    <x v="1"/>
    <n v="1.6459999999999999"/>
    <n v="39511"/>
    <n v="39.511000000000003"/>
    <d v="2019-03-01T00:00:00"/>
    <x v="0"/>
    <x v="0"/>
  </r>
  <r>
    <x v="7"/>
    <x v="3"/>
    <s v="April"/>
    <s v="Division_A"/>
    <x v="6"/>
    <n v="2006"/>
    <n v="13"/>
    <s v="TM-Utama"/>
    <n v="24"/>
    <n v="3230"/>
    <s v="134.6"/>
    <x v="1"/>
    <n v="1.849"/>
    <n v="44380.2"/>
    <n v="44.38"/>
    <d v="2019-04-01T00:00:00"/>
    <x v="0"/>
    <x v="0"/>
  </r>
  <r>
    <x v="7"/>
    <x v="4"/>
    <s v="Mei"/>
    <s v="Division_A"/>
    <x v="6"/>
    <n v="2006"/>
    <n v="13"/>
    <s v="TM-Utama"/>
    <n v="24"/>
    <n v="3230"/>
    <s v="134.6"/>
    <x v="1"/>
    <n v="1.8919999999999999"/>
    <n v="45397.7"/>
    <n v="45.398000000000003"/>
    <d v="2019-05-01T00:00:00"/>
    <x v="0"/>
    <x v="0"/>
  </r>
  <r>
    <x v="7"/>
    <x v="5"/>
    <s v="Juni"/>
    <s v="Division_A"/>
    <x v="6"/>
    <n v="2006"/>
    <n v="13"/>
    <s v="TM-Utama"/>
    <n v="24"/>
    <n v="3230"/>
    <s v="134.6"/>
    <x v="1"/>
    <n v="1.796"/>
    <n v="43096.3"/>
    <n v="43.095999999999997"/>
    <d v="2019-06-01T00:00:00"/>
    <x v="0"/>
    <x v="0"/>
  </r>
  <r>
    <x v="7"/>
    <x v="6"/>
    <s v="Juli"/>
    <s v="Division_A"/>
    <x v="6"/>
    <n v="2006"/>
    <n v="13"/>
    <s v="TM-Utama"/>
    <n v="24"/>
    <n v="3230"/>
    <s v="134.6"/>
    <x v="1"/>
    <n v="1.615"/>
    <n v="38760"/>
    <n v="38.76"/>
    <d v="2019-07-01T00:00:00"/>
    <x v="0"/>
    <x v="0"/>
  </r>
  <r>
    <x v="7"/>
    <x v="7"/>
    <s v="Agustus"/>
    <s v="Division_A"/>
    <x v="6"/>
    <n v="2006"/>
    <n v="13"/>
    <s v="TM-Utama"/>
    <n v="24"/>
    <n v="3230"/>
    <s v="134.6"/>
    <x v="1"/>
    <n v="1.877"/>
    <n v="45058.5"/>
    <n v="45.058999999999997"/>
    <d v="2019-08-01T00:00:00"/>
    <x v="0"/>
    <x v="0"/>
  </r>
  <r>
    <x v="7"/>
    <x v="8"/>
    <s v="September"/>
    <s v="Division_A"/>
    <x v="6"/>
    <n v="2006"/>
    <n v="13"/>
    <s v="TM-Utama"/>
    <n v="24"/>
    <n v="3230"/>
    <s v="134.6"/>
    <x v="1"/>
    <n v="1.3340000000000001"/>
    <n v="32025.5"/>
    <n v="32.024999999999999"/>
    <d v="2019-09-01T00:00:00"/>
    <x v="0"/>
    <x v="0"/>
  </r>
  <r>
    <x v="7"/>
    <x v="9"/>
    <s v="Oktober"/>
    <s v="Division_A"/>
    <x v="6"/>
    <n v="2006"/>
    <n v="13"/>
    <s v="TM-Utama"/>
    <n v="24"/>
    <n v="3230"/>
    <s v="134.6"/>
    <x v="1"/>
    <n v="1.7509999999999999"/>
    <n v="42030.400000000001"/>
    <n v="42.03"/>
    <d v="2019-10-01T00:00:00"/>
    <x v="0"/>
    <x v="0"/>
  </r>
  <r>
    <x v="7"/>
    <x v="10"/>
    <s v="November"/>
    <s v="Division_A"/>
    <x v="6"/>
    <n v="2006"/>
    <n v="13"/>
    <s v="TM-Utama"/>
    <n v="24"/>
    <n v="3230"/>
    <s v="134.6"/>
    <x v="1"/>
    <n v="1.2749999999999999"/>
    <n v="30596.2"/>
    <n v="30.596"/>
    <d v="2019-11-01T00:00:00"/>
    <x v="0"/>
    <x v="0"/>
  </r>
  <r>
    <x v="7"/>
    <x v="11"/>
    <s v="Desember"/>
    <s v="Division_A"/>
    <x v="6"/>
    <n v="2006"/>
    <n v="13"/>
    <s v="TM-Utama"/>
    <n v="24"/>
    <n v="3230"/>
    <s v="134.6"/>
    <x v="1"/>
    <n v="0.95899999999999996"/>
    <n v="23013.8"/>
    <n v="23.013999999999999"/>
    <d v="2019-12-01T00:00:00"/>
    <x v="0"/>
    <x v="0"/>
  </r>
  <r>
    <x v="7"/>
    <x v="0"/>
    <s v="Januari"/>
    <s v="Division_A"/>
    <x v="7"/>
    <n v="2006"/>
    <n v="13"/>
    <s v="TM-Utama"/>
    <n v="22"/>
    <n v="2447"/>
    <s v="111.2"/>
    <x v="1"/>
    <n v="1"/>
    <n v="22004.6"/>
    <n v="22.004999999999999"/>
    <d v="2019-01-01T00:00:00"/>
    <x v="0"/>
    <x v="0"/>
  </r>
  <r>
    <x v="7"/>
    <x v="1"/>
    <s v="Februari"/>
    <s v="Division_A"/>
    <x v="7"/>
    <n v="2006"/>
    <n v="13"/>
    <s v="TM-Utama"/>
    <n v="22"/>
    <n v="2447"/>
    <s v="111.2"/>
    <x v="1"/>
    <n v="1.17"/>
    <n v="25730.2"/>
    <n v="25.73"/>
    <d v="2019-02-01T00:00:00"/>
    <x v="0"/>
    <x v="0"/>
  </r>
  <r>
    <x v="7"/>
    <x v="2"/>
    <s v="Maret"/>
    <s v="Division_A"/>
    <x v="7"/>
    <n v="2006"/>
    <n v="13"/>
    <s v="TM-Utama"/>
    <n v="22"/>
    <n v="2447"/>
    <s v="111.2"/>
    <x v="1"/>
    <n v="1.361"/>
    <n v="29932.9"/>
    <n v="29.933"/>
    <d v="2019-03-01T00:00:00"/>
    <x v="0"/>
    <x v="0"/>
  </r>
  <r>
    <x v="7"/>
    <x v="3"/>
    <s v="April"/>
    <s v="Division_A"/>
    <x v="7"/>
    <n v="2006"/>
    <n v="13"/>
    <s v="TM-Utama"/>
    <n v="22"/>
    <n v="2447"/>
    <s v="111.2"/>
    <x v="1"/>
    <n v="1.528"/>
    <n v="33621.800000000003"/>
    <n v="33.622"/>
    <d v="2019-04-01T00:00:00"/>
    <x v="0"/>
    <x v="0"/>
  </r>
  <r>
    <x v="7"/>
    <x v="4"/>
    <s v="Mei"/>
    <s v="Division_A"/>
    <x v="7"/>
    <n v="2006"/>
    <n v="13"/>
    <s v="TM-Utama"/>
    <n v="22"/>
    <n v="2447"/>
    <s v="111.2"/>
    <x v="1"/>
    <n v="1.5629999999999999"/>
    <n v="34392.6"/>
    <n v="34.393000000000001"/>
    <d v="2019-05-01T00:00:00"/>
    <x v="0"/>
    <x v="0"/>
  </r>
  <r>
    <x v="7"/>
    <x v="5"/>
    <s v="Juni"/>
    <s v="Division_A"/>
    <x v="7"/>
    <n v="2006"/>
    <n v="13"/>
    <s v="TM-Utama"/>
    <n v="22"/>
    <n v="2447"/>
    <s v="111.2"/>
    <x v="1"/>
    <n v="1.484"/>
    <n v="32649.1"/>
    <n v="32.649000000000001"/>
    <d v="2019-06-01T00:00:00"/>
    <x v="0"/>
    <x v="0"/>
  </r>
  <r>
    <x v="7"/>
    <x v="6"/>
    <s v="Juli"/>
    <s v="Division_A"/>
    <x v="7"/>
    <n v="2006"/>
    <n v="13"/>
    <s v="TM-Utama"/>
    <n v="22"/>
    <n v="2447"/>
    <s v="111.2"/>
    <x v="1"/>
    <n v="1.335"/>
    <n v="29364"/>
    <n v="29.364000000000001"/>
    <d v="2019-07-01T00:00:00"/>
    <x v="0"/>
    <x v="0"/>
  </r>
  <r>
    <x v="7"/>
    <x v="7"/>
    <s v="Agustus"/>
    <s v="Division_A"/>
    <x v="7"/>
    <n v="2006"/>
    <n v="13"/>
    <s v="TM-Utama"/>
    <n v="22"/>
    <n v="2447"/>
    <s v="111.2"/>
    <x v="1"/>
    <n v="1.552"/>
    <n v="34135.699999999997"/>
    <n v="34.136000000000003"/>
    <d v="2019-08-01T00:00:00"/>
    <x v="0"/>
    <x v="0"/>
  </r>
  <r>
    <x v="7"/>
    <x v="8"/>
    <s v="September"/>
    <s v="Division_A"/>
    <x v="7"/>
    <n v="2006"/>
    <n v="13"/>
    <s v="TM-Utama"/>
    <n v="22"/>
    <n v="2447"/>
    <s v="111.2"/>
    <x v="1"/>
    <n v="1.103"/>
    <n v="24262"/>
    <n v="24.262"/>
    <d v="2019-09-01T00:00:00"/>
    <x v="0"/>
    <x v="0"/>
  </r>
  <r>
    <x v="7"/>
    <x v="9"/>
    <s v="Oktober"/>
    <s v="Division_A"/>
    <x v="7"/>
    <n v="2006"/>
    <n v="13"/>
    <s v="TM-Utama"/>
    <n v="22"/>
    <n v="2447"/>
    <s v="111.2"/>
    <x v="1"/>
    <n v="1.4470000000000001"/>
    <n v="31841.599999999999"/>
    <n v="31.841999999999999"/>
    <d v="2019-10-01T00:00:00"/>
    <x v="0"/>
    <x v="0"/>
  </r>
  <r>
    <x v="7"/>
    <x v="10"/>
    <s v="November"/>
    <s v="Division_A"/>
    <x v="7"/>
    <n v="2006"/>
    <n v="13"/>
    <s v="TM-Utama"/>
    <n v="22"/>
    <n v="2447"/>
    <s v="111.2"/>
    <x v="1"/>
    <n v="1.054"/>
    <n v="23179.200000000001"/>
    <n v="23.178999999999998"/>
    <d v="2019-11-01T00:00:00"/>
    <x v="0"/>
    <x v="0"/>
  </r>
  <r>
    <x v="7"/>
    <x v="11"/>
    <s v="Desember"/>
    <s v="Division_A"/>
    <x v="7"/>
    <n v="2006"/>
    <n v="13"/>
    <s v="TM-Utama"/>
    <n v="22"/>
    <n v="2447"/>
    <s v="111.2"/>
    <x v="1"/>
    <n v="0.79200000000000004"/>
    <n v="17434.900000000001"/>
    <n v="17.434999999999999"/>
    <d v="2019-12-01T00:00:00"/>
    <x v="0"/>
    <x v="0"/>
  </r>
  <r>
    <x v="7"/>
    <x v="0"/>
    <s v="Januari"/>
    <s v="Division_A"/>
    <x v="8"/>
    <n v="2006"/>
    <n v="13"/>
    <s v="TM-Utama"/>
    <n v="15"/>
    <n v="1866"/>
    <s v="124.4"/>
    <x v="1"/>
    <n v="1.119"/>
    <n v="16780"/>
    <n v="16.78"/>
    <d v="2019-01-01T00:00:00"/>
    <x v="0"/>
    <x v="0"/>
  </r>
  <r>
    <x v="7"/>
    <x v="1"/>
    <s v="Februari"/>
    <s v="Division_A"/>
    <x v="8"/>
    <n v="2006"/>
    <n v="13"/>
    <s v="TM-Utama"/>
    <n v="15"/>
    <n v="1866"/>
    <s v="124.4"/>
    <x v="1"/>
    <n v="1.3080000000000001"/>
    <n v="19621"/>
    <n v="19.620999999999999"/>
    <d v="2019-02-01T00:00:00"/>
    <x v="0"/>
    <x v="0"/>
  </r>
  <r>
    <x v="7"/>
    <x v="2"/>
    <s v="Maret"/>
    <s v="Division_A"/>
    <x v="8"/>
    <n v="2006"/>
    <n v="13"/>
    <s v="TM-Utama"/>
    <n v="15"/>
    <n v="1866"/>
    <s v="124.4"/>
    <x v="1"/>
    <n v="1.522"/>
    <n v="22825.8"/>
    <n v="22.826000000000001"/>
    <d v="2019-03-01T00:00:00"/>
    <x v="0"/>
    <x v="0"/>
  </r>
  <r>
    <x v="7"/>
    <x v="3"/>
    <s v="April"/>
    <s v="Division_A"/>
    <x v="8"/>
    <n v="2006"/>
    <n v="13"/>
    <s v="TM-Utama"/>
    <n v="15"/>
    <n v="1866"/>
    <s v="124.4"/>
    <x v="1"/>
    <n v="1.7090000000000001"/>
    <n v="25638.799999999999"/>
    <n v="25.638999999999999"/>
    <d v="2019-04-01T00:00:00"/>
    <x v="0"/>
    <x v="0"/>
  </r>
  <r>
    <x v="7"/>
    <x v="4"/>
    <s v="Mei"/>
    <s v="Division_A"/>
    <x v="8"/>
    <n v="2006"/>
    <n v="13"/>
    <s v="TM-Utama"/>
    <n v="15"/>
    <n v="1866"/>
    <s v="124.4"/>
    <x v="1"/>
    <n v="1.748"/>
    <n v="26226.6"/>
    <n v="26.227"/>
    <d v="2019-05-01T00:00:00"/>
    <x v="0"/>
    <x v="0"/>
  </r>
  <r>
    <x v="7"/>
    <x v="5"/>
    <s v="Juni"/>
    <s v="Division_A"/>
    <x v="8"/>
    <n v="2006"/>
    <n v="13"/>
    <s v="TM-Utama"/>
    <n v="15"/>
    <n v="1866"/>
    <s v="124.4"/>
    <x v="1"/>
    <n v="1.66"/>
    <n v="24897.1"/>
    <n v="24.896999999999998"/>
    <d v="2019-06-01T00:00:00"/>
    <x v="0"/>
    <x v="0"/>
  </r>
  <r>
    <x v="7"/>
    <x v="6"/>
    <s v="Juli"/>
    <s v="Division_A"/>
    <x v="8"/>
    <n v="2006"/>
    <n v="13"/>
    <s v="TM-Utama"/>
    <n v="15"/>
    <n v="1866"/>
    <s v="124.4"/>
    <x v="1"/>
    <n v="1.4930000000000001"/>
    <n v="22392"/>
    <n v="22.391999999999999"/>
    <d v="2019-07-01T00:00:00"/>
    <x v="0"/>
    <x v="0"/>
  </r>
  <r>
    <x v="7"/>
    <x v="7"/>
    <s v="Agustus"/>
    <s v="Division_A"/>
    <x v="8"/>
    <n v="2006"/>
    <n v="13"/>
    <s v="TM-Utama"/>
    <n v="15"/>
    <n v="1866"/>
    <s v="124.4"/>
    <x v="1"/>
    <n v="1.7350000000000001"/>
    <n v="26030.7"/>
    <n v="26.030999999999999"/>
    <d v="2019-08-01T00:00:00"/>
    <x v="0"/>
    <x v="0"/>
  </r>
  <r>
    <x v="7"/>
    <x v="8"/>
    <s v="September"/>
    <s v="Division_A"/>
    <x v="8"/>
    <n v="2006"/>
    <n v="13"/>
    <s v="TM-Utama"/>
    <n v="15"/>
    <n v="1866"/>
    <s v="124.4"/>
    <x v="1"/>
    <n v="1.2330000000000001"/>
    <n v="18501.400000000001"/>
    <n v="18.501000000000001"/>
    <d v="2019-09-01T00:00:00"/>
    <x v="0"/>
    <x v="0"/>
  </r>
  <r>
    <x v="7"/>
    <x v="9"/>
    <s v="Oktober"/>
    <s v="Division_A"/>
    <x v="8"/>
    <n v="2006"/>
    <n v="13"/>
    <s v="TM-Utama"/>
    <n v="15"/>
    <n v="1866"/>
    <s v="124.4"/>
    <x v="1"/>
    <n v="1.619"/>
    <n v="24281.3"/>
    <n v="24.280999999999999"/>
    <d v="2019-10-01T00:00:00"/>
    <x v="0"/>
    <x v="0"/>
  </r>
  <r>
    <x v="7"/>
    <x v="10"/>
    <s v="November"/>
    <s v="Division_A"/>
    <x v="8"/>
    <n v="2006"/>
    <n v="13"/>
    <s v="TM-Utama"/>
    <n v="15"/>
    <n v="1866"/>
    <s v="124.4"/>
    <x v="1"/>
    <n v="1.1779999999999999"/>
    <n v="17675.7"/>
    <n v="17.675999999999998"/>
    <d v="2019-11-01T00:00:00"/>
    <x v="0"/>
    <x v="0"/>
  </r>
  <r>
    <x v="7"/>
    <x v="11"/>
    <s v="Desember"/>
    <s v="Division_A"/>
    <x v="8"/>
    <n v="2006"/>
    <n v="13"/>
    <s v="TM-Utama"/>
    <n v="15"/>
    <n v="1866"/>
    <s v="124.4"/>
    <x v="1"/>
    <n v="0.88600000000000001"/>
    <n v="13295.2"/>
    <n v="13.295"/>
    <d v="2019-12-01T00:00:00"/>
    <x v="0"/>
    <x v="0"/>
  </r>
  <r>
    <x v="7"/>
    <x v="0"/>
    <s v="Januari"/>
    <s v="Division_A"/>
    <x v="9"/>
    <n v="2006"/>
    <n v="13"/>
    <s v="TM-Utama"/>
    <n v="25"/>
    <n v="3154"/>
    <s v="126.2"/>
    <x v="1"/>
    <n v="1.1339999999999999"/>
    <n v="28362.3"/>
    <n v="28.361999999999998"/>
    <d v="2019-01-01T00:00:00"/>
    <x v="0"/>
    <x v="0"/>
  </r>
  <r>
    <x v="7"/>
    <x v="1"/>
    <s v="Februari"/>
    <s v="Division_A"/>
    <x v="9"/>
    <n v="2006"/>
    <n v="13"/>
    <s v="TM-Utama"/>
    <n v="25"/>
    <n v="3154"/>
    <s v="126.2"/>
    <x v="1"/>
    <n v="1.327"/>
    <n v="33164.300000000003"/>
    <n v="33.164000000000001"/>
    <d v="2019-02-01T00:00:00"/>
    <x v="0"/>
    <x v="0"/>
  </r>
  <r>
    <x v="7"/>
    <x v="2"/>
    <s v="Maret"/>
    <s v="Division_A"/>
    <x v="9"/>
    <n v="2006"/>
    <n v="13"/>
    <s v="TM-Utama"/>
    <n v="25"/>
    <n v="3154"/>
    <s v="126.2"/>
    <x v="1"/>
    <n v="1.5429999999999999"/>
    <n v="38581.300000000003"/>
    <n v="38.581000000000003"/>
    <d v="2019-03-01T00:00:00"/>
    <x v="0"/>
    <x v="0"/>
  </r>
  <r>
    <x v="7"/>
    <x v="3"/>
    <s v="April"/>
    <s v="Division_A"/>
    <x v="9"/>
    <n v="2006"/>
    <n v="13"/>
    <s v="TM-Utama"/>
    <n v="25"/>
    <n v="3154"/>
    <s v="126.2"/>
    <x v="1"/>
    <n v="1.7330000000000001"/>
    <n v="43336"/>
    <n v="43.335999999999999"/>
    <d v="2019-04-01T00:00:00"/>
    <x v="0"/>
    <x v="0"/>
  </r>
  <r>
    <x v="7"/>
    <x v="4"/>
    <s v="Mei"/>
    <s v="Division_A"/>
    <x v="9"/>
    <n v="2006"/>
    <n v="13"/>
    <s v="TM-Utama"/>
    <n v="25"/>
    <n v="3154"/>
    <s v="126.2"/>
    <x v="1"/>
    <n v="1.7729999999999999"/>
    <n v="44329.5"/>
    <n v="44.329000000000001"/>
    <d v="2019-05-01T00:00:00"/>
    <x v="0"/>
    <x v="0"/>
  </r>
  <r>
    <x v="7"/>
    <x v="5"/>
    <s v="Juni"/>
    <s v="Division_A"/>
    <x v="9"/>
    <n v="2006"/>
    <n v="13"/>
    <s v="TM-Utama"/>
    <n v="25"/>
    <n v="3154"/>
    <s v="126.2"/>
    <x v="1"/>
    <n v="1.6830000000000001"/>
    <n v="42082.2"/>
    <n v="42.082000000000001"/>
    <d v="2019-06-01T00:00:00"/>
    <x v="0"/>
    <x v="0"/>
  </r>
  <r>
    <x v="7"/>
    <x v="6"/>
    <s v="Juli"/>
    <s v="Division_A"/>
    <x v="9"/>
    <n v="2006"/>
    <n v="13"/>
    <s v="TM-Utama"/>
    <n v="25"/>
    <n v="3154"/>
    <s v="126.2"/>
    <x v="1"/>
    <n v="1.514"/>
    <n v="37848"/>
    <n v="37.847999999999999"/>
    <d v="2019-07-01T00:00:00"/>
    <x v="0"/>
    <x v="0"/>
  </r>
  <r>
    <x v="7"/>
    <x v="7"/>
    <s v="Agustus"/>
    <s v="Division_A"/>
    <x v="9"/>
    <n v="2006"/>
    <n v="13"/>
    <s v="TM-Utama"/>
    <n v="25"/>
    <n v="3154"/>
    <s v="126.2"/>
    <x v="1"/>
    <n v="1.76"/>
    <n v="43998.3"/>
    <n v="43.997999999999998"/>
    <d v="2019-08-01T00:00:00"/>
    <x v="0"/>
    <x v="0"/>
  </r>
  <r>
    <x v="7"/>
    <x v="8"/>
    <s v="September"/>
    <s v="Division_A"/>
    <x v="9"/>
    <n v="2006"/>
    <n v="13"/>
    <s v="TM-Utama"/>
    <n v="25"/>
    <n v="3154"/>
    <s v="126.2"/>
    <x v="1"/>
    <n v="1.2509999999999999"/>
    <n v="31271.9"/>
    <n v="31.271999999999998"/>
    <d v="2019-09-01T00:00:00"/>
    <x v="0"/>
    <x v="0"/>
  </r>
  <r>
    <x v="7"/>
    <x v="9"/>
    <s v="Oktober"/>
    <s v="Division_A"/>
    <x v="9"/>
    <n v="2006"/>
    <n v="13"/>
    <s v="TM-Utama"/>
    <n v="25"/>
    <n v="3154"/>
    <s v="126.2"/>
    <x v="1"/>
    <n v="1.6419999999999999"/>
    <n v="41041.4"/>
    <n v="41.040999999999997"/>
    <d v="2019-10-01T00:00:00"/>
    <x v="0"/>
    <x v="0"/>
  </r>
  <r>
    <x v="7"/>
    <x v="10"/>
    <s v="November"/>
    <s v="Division_A"/>
    <x v="9"/>
    <n v="2006"/>
    <n v="13"/>
    <s v="TM-Utama"/>
    <n v="25"/>
    <n v="3154"/>
    <s v="126.2"/>
    <x v="1"/>
    <n v="1.1950000000000001"/>
    <n v="29876.3"/>
    <n v="29.876000000000001"/>
    <d v="2019-11-01T00:00:00"/>
    <x v="0"/>
    <x v="0"/>
  </r>
  <r>
    <x v="7"/>
    <x v="11"/>
    <s v="Desember"/>
    <s v="Division_A"/>
    <x v="9"/>
    <n v="2006"/>
    <n v="13"/>
    <s v="TM-Utama"/>
    <n v="25"/>
    <n v="3154"/>
    <s v="126.2"/>
    <x v="1"/>
    <n v="0.89900000000000002"/>
    <n v="22472.2"/>
    <n v="22.472000000000001"/>
    <d v="2019-12-01T00:00:00"/>
    <x v="0"/>
    <x v="0"/>
  </r>
  <r>
    <x v="7"/>
    <x v="0"/>
    <s v="Januari"/>
    <s v="Division_A"/>
    <x v="10"/>
    <n v="2006"/>
    <n v="13"/>
    <s v="TM-Utama"/>
    <n v="35"/>
    <n v="4204"/>
    <s v="120.1"/>
    <x v="1"/>
    <n v="1.08"/>
    <n v="37804.5"/>
    <n v="37.804000000000002"/>
    <d v="2019-01-01T00:00:00"/>
    <x v="0"/>
    <x v="0"/>
  </r>
  <r>
    <x v="7"/>
    <x v="1"/>
    <s v="Februari"/>
    <s v="Division_A"/>
    <x v="10"/>
    <n v="2006"/>
    <n v="13"/>
    <s v="TM-Utama"/>
    <n v="35"/>
    <n v="4204"/>
    <s v="120.1"/>
    <x v="1"/>
    <n v="1.2629999999999999"/>
    <n v="44205.1"/>
    <n v="44.204999999999998"/>
    <d v="2019-02-01T00:00:00"/>
    <x v="0"/>
    <x v="0"/>
  </r>
  <r>
    <x v="7"/>
    <x v="2"/>
    <s v="Maret"/>
    <s v="Division_A"/>
    <x v="10"/>
    <n v="2006"/>
    <n v="13"/>
    <s v="TM-Utama"/>
    <n v="35"/>
    <n v="4204"/>
    <s v="120.1"/>
    <x v="1"/>
    <n v="1.4690000000000001"/>
    <n v="51425.4"/>
    <n v="51.424999999999997"/>
    <d v="2019-03-01T00:00:00"/>
    <x v="0"/>
    <x v="0"/>
  </r>
  <r>
    <x v="7"/>
    <x v="3"/>
    <s v="April"/>
    <s v="Division_A"/>
    <x v="10"/>
    <n v="2006"/>
    <n v="13"/>
    <s v="TM-Utama"/>
    <n v="35"/>
    <n v="4204"/>
    <s v="120.1"/>
    <x v="1"/>
    <n v="1.65"/>
    <n v="57763"/>
    <n v="57.762999999999998"/>
    <d v="2019-04-01T00:00:00"/>
    <x v="0"/>
    <x v="0"/>
  </r>
  <r>
    <x v="7"/>
    <x v="4"/>
    <s v="Mei"/>
    <s v="Division_A"/>
    <x v="10"/>
    <n v="2006"/>
    <n v="13"/>
    <s v="TM-Utama"/>
    <n v="35"/>
    <n v="4204"/>
    <s v="120.1"/>
    <x v="1"/>
    <n v="1.6879999999999999"/>
    <n v="59087.199999999997"/>
    <n v="59.087000000000003"/>
    <d v="2019-05-01T00:00:00"/>
    <x v="0"/>
    <x v="0"/>
  </r>
  <r>
    <x v="7"/>
    <x v="5"/>
    <s v="Juni"/>
    <s v="Division_A"/>
    <x v="10"/>
    <n v="2006"/>
    <n v="13"/>
    <s v="TM-Utama"/>
    <n v="35"/>
    <n v="4204"/>
    <s v="120.1"/>
    <x v="1"/>
    <n v="1.603"/>
    <n v="56091.9"/>
    <n v="56.091999999999999"/>
    <d v="2019-06-01T00:00:00"/>
    <x v="0"/>
    <x v="0"/>
  </r>
  <r>
    <x v="7"/>
    <x v="6"/>
    <s v="Juli"/>
    <s v="Division_A"/>
    <x v="10"/>
    <n v="2006"/>
    <n v="13"/>
    <s v="TM-Utama"/>
    <n v="35"/>
    <n v="4204"/>
    <s v="120.1"/>
    <x v="1"/>
    <n v="1.4410000000000001"/>
    <n v="50448"/>
    <n v="50.448"/>
    <d v="2019-07-01T00:00:00"/>
    <x v="0"/>
    <x v="0"/>
  </r>
  <r>
    <x v="7"/>
    <x v="7"/>
    <s v="Agustus"/>
    <s v="Division_A"/>
    <x v="10"/>
    <n v="2006"/>
    <n v="13"/>
    <s v="TM-Utama"/>
    <n v="35"/>
    <n v="4204"/>
    <s v="120.1"/>
    <x v="1"/>
    <n v="1.6759999999999999"/>
    <n v="58645.8"/>
    <n v="58.646000000000001"/>
    <d v="2019-08-01T00:00:00"/>
    <x v="0"/>
    <x v="0"/>
  </r>
  <r>
    <x v="7"/>
    <x v="8"/>
    <s v="September"/>
    <s v="Division_A"/>
    <x v="10"/>
    <n v="2006"/>
    <n v="13"/>
    <s v="TM-Utama"/>
    <n v="35"/>
    <n v="4204"/>
    <s v="120.1"/>
    <x v="1"/>
    <n v="1.1910000000000001"/>
    <n v="41682.699999999997"/>
    <n v="41.683"/>
    <d v="2019-09-01T00:00:00"/>
    <x v="0"/>
    <x v="0"/>
  </r>
  <r>
    <x v="7"/>
    <x v="9"/>
    <s v="Oktober"/>
    <s v="Division_A"/>
    <x v="10"/>
    <n v="2006"/>
    <n v="13"/>
    <s v="TM-Utama"/>
    <n v="35"/>
    <n v="4204"/>
    <s v="120.1"/>
    <x v="1"/>
    <n v="1.5629999999999999"/>
    <n v="54704.6"/>
    <n v="54.704999999999998"/>
    <d v="2019-10-01T00:00:00"/>
    <x v="0"/>
    <x v="0"/>
  </r>
  <r>
    <x v="7"/>
    <x v="10"/>
    <s v="November"/>
    <s v="Division_A"/>
    <x v="10"/>
    <n v="2006"/>
    <n v="13"/>
    <s v="TM-Utama"/>
    <n v="35"/>
    <n v="4204"/>
    <s v="120.1"/>
    <x v="1"/>
    <n v="1.1379999999999999"/>
    <n v="39822.400000000001"/>
    <n v="39.822000000000003"/>
    <d v="2019-11-01T00:00:00"/>
    <x v="0"/>
    <x v="0"/>
  </r>
  <r>
    <x v="7"/>
    <x v="11"/>
    <s v="Desember"/>
    <s v="Division_A"/>
    <x v="10"/>
    <n v="2006"/>
    <n v="13"/>
    <s v="TM-Utama"/>
    <n v="35"/>
    <n v="4204"/>
    <s v="120.1"/>
    <x v="1"/>
    <n v="0.85599999999999998"/>
    <n v="29953.5"/>
    <n v="29.952999999999999"/>
    <d v="2019-12-01T00:00:00"/>
    <x v="0"/>
    <x v="0"/>
  </r>
  <r>
    <x v="7"/>
    <x v="0"/>
    <s v="Januari"/>
    <s v="Division_A"/>
    <x v="11"/>
    <n v="2012"/>
    <n v="7"/>
    <s v="TM-Utama"/>
    <n v="10"/>
    <n v="1434"/>
    <s v="143.4"/>
    <x v="1"/>
    <n v="1.29"/>
    <n v="12895.2"/>
    <n v="12.895"/>
    <d v="2019-01-01T00:00:00"/>
    <x v="0"/>
    <x v="1"/>
  </r>
  <r>
    <x v="7"/>
    <x v="1"/>
    <s v="Februari"/>
    <s v="Division_A"/>
    <x v="11"/>
    <n v="2012"/>
    <n v="7"/>
    <s v="TM-Utama"/>
    <n v="10"/>
    <n v="1434"/>
    <s v="143.4"/>
    <x v="1"/>
    <n v="1.508"/>
    <n v="15078.5"/>
    <n v="15.079000000000001"/>
    <d v="2019-02-01T00:00:00"/>
    <x v="0"/>
    <x v="1"/>
  </r>
  <r>
    <x v="7"/>
    <x v="2"/>
    <s v="Maret"/>
    <s v="Division_A"/>
    <x v="11"/>
    <n v="2012"/>
    <n v="7"/>
    <s v="TM-Utama"/>
    <n v="10"/>
    <n v="1434"/>
    <s v="143.4"/>
    <x v="1"/>
    <n v="1.754"/>
    <n v="17541.400000000001"/>
    <n v="17.541"/>
    <d v="2019-03-01T00:00:00"/>
    <x v="0"/>
    <x v="1"/>
  </r>
  <r>
    <x v="7"/>
    <x v="3"/>
    <s v="April"/>
    <s v="Division_A"/>
    <x v="11"/>
    <n v="2012"/>
    <n v="7"/>
    <s v="TM-Utama"/>
    <n v="10"/>
    <n v="1434"/>
    <s v="143.4"/>
    <x v="1"/>
    <n v="1.97"/>
    <n v="19703.2"/>
    <n v="19.702999999999999"/>
    <d v="2019-04-01T00:00:00"/>
    <x v="0"/>
    <x v="1"/>
  </r>
  <r>
    <x v="7"/>
    <x v="4"/>
    <s v="Mei"/>
    <s v="Division_A"/>
    <x v="11"/>
    <n v="2012"/>
    <n v="7"/>
    <s v="TM-Utama"/>
    <n v="10"/>
    <n v="1434"/>
    <s v="143.4"/>
    <x v="1"/>
    <n v="2.0150000000000001"/>
    <n v="20154.900000000001"/>
    <n v="20.155000000000001"/>
    <d v="2019-05-01T00:00:00"/>
    <x v="0"/>
    <x v="1"/>
  </r>
  <r>
    <x v="7"/>
    <x v="5"/>
    <s v="Juni"/>
    <s v="Division_A"/>
    <x v="11"/>
    <n v="2012"/>
    <n v="7"/>
    <s v="TM-Utama"/>
    <n v="10"/>
    <n v="1434"/>
    <s v="143.4"/>
    <x v="1"/>
    <n v="1.913"/>
    <n v="19133.099999999999"/>
    <n v="19.132999999999999"/>
    <d v="2019-06-01T00:00:00"/>
    <x v="0"/>
    <x v="1"/>
  </r>
  <r>
    <x v="7"/>
    <x v="6"/>
    <s v="Juli"/>
    <s v="Division_A"/>
    <x v="11"/>
    <n v="2012"/>
    <n v="7"/>
    <s v="TM-Utama"/>
    <n v="10"/>
    <n v="1434"/>
    <s v="143.4"/>
    <x v="1"/>
    <n v="1.7210000000000001"/>
    <n v="17208"/>
    <n v="17.207999999999998"/>
    <d v="2019-07-01T00:00:00"/>
    <x v="0"/>
    <x v="1"/>
  </r>
  <r>
    <x v="7"/>
    <x v="7"/>
    <s v="Agustus"/>
    <s v="Division_A"/>
    <x v="11"/>
    <n v="2012"/>
    <n v="7"/>
    <s v="TM-Utama"/>
    <n v="10"/>
    <n v="1434"/>
    <s v="143.4"/>
    <x v="1"/>
    <n v="2"/>
    <n v="20004.3"/>
    <n v="20.004000000000001"/>
    <d v="2019-08-01T00:00:00"/>
    <x v="0"/>
    <x v="1"/>
  </r>
  <r>
    <x v="7"/>
    <x v="8"/>
    <s v="September"/>
    <s v="Division_A"/>
    <x v="11"/>
    <n v="2012"/>
    <n v="7"/>
    <s v="TM-Utama"/>
    <n v="10"/>
    <n v="1434"/>
    <s v="143.4"/>
    <x v="1"/>
    <n v="1.4219999999999999"/>
    <n v="14218.1"/>
    <n v="14.218"/>
    <d v="2019-09-01T00:00:00"/>
    <x v="0"/>
    <x v="1"/>
  </r>
  <r>
    <x v="7"/>
    <x v="9"/>
    <s v="Oktober"/>
    <s v="Division_A"/>
    <x v="11"/>
    <n v="2012"/>
    <n v="7"/>
    <s v="TM-Utama"/>
    <n v="10"/>
    <n v="1434"/>
    <s v="143.4"/>
    <x v="1"/>
    <n v="1.8660000000000001"/>
    <n v="18659.900000000001"/>
    <n v="18.66"/>
    <d v="2019-10-01T00:00:00"/>
    <x v="0"/>
    <x v="1"/>
  </r>
  <r>
    <x v="7"/>
    <x v="10"/>
    <s v="November"/>
    <s v="Division_A"/>
    <x v="11"/>
    <n v="2012"/>
    <n v="7"/>
    <s v="TM-Utama"/>
    <n v="10"/>
    <n v="1434"/>
    <s v="143.4"/>
    <x v="1"/>
    <n v="1.3580000000000001"/>
    <n v="13583.6"/>
    <n v="13.584"/>
    <d v="2019-11-01T00:00:00"/>
    <x v="0"/>
    <x v="1"/>
  </r>
  <r>
    <x v="7"/>
    <x v="11"/>
    <s v="Desember"/>
    <s v="Division_A"/>
    <x v="11"/>
    <n v="2012"/>
    <n v="7"/>
    <s v="TM-Utama"/>
    <n v="10"/>
    <n v="1434"/>
    <s v="143.4"/>
    <x v="1"/>
    <n v="1.022"/>
    <n v="10217.200000000001"/>
    <n v="10.217000000000001"/>
    <d v="2019-12-01T00:00:00"/>
    <x v="0"/>
    <x v="1"/>
  </r>
  <r>
    <x v="7"/>
    <x v="0"/>
    <s v="Januari"/>
    <s v="Division_A"/>
    <x v="12"/>
    <n v="2012"/>
    <n v="7"/>
    <s v="TM-Utama"/>
    <n v="24"/>
    <n v="3074"/>
    <s v="128.1"/>
    <x v="2"/>
    <n v="1.1519999999999999"/>
    <n v="27642.9"/>
    <n v="27.643000000000001"/>
    <d v="2019-01-01T00:00:00"/>
    <x v="0"/>
    <x v="1"/>
  </r>
  <r>
    <x v="7"/>
    <x v="1"/>
    <s v="Februari"/>
    <s v="Division_A"/>
    <x v="12"/>
    <n v="2012"/>
    <n v="7"/>
    <s v="TM-Utama"/>
    <n v="24"/>
    <n v="3074"/>
    <s v="128.1"/>
    <x v="2"/>
    <n v="1.347"/>
    <n v="32323.1"/>
    <n v="32.323"/>
    <d v="2019-02-01T00:00:00"/>
    <x v="0"/>
    <x v="1"/>
  </r>
  <r>
    <x v="7"/>
    <x v="2"/>
    <s v="Maret"/>
    <s v="Division_A"/>
    <x v="12"/>
    <n v="2012"/>
    <n v="7"/>
    <s v="TM-Utama"/>
    <n v="24"/>
    <n v="3074"/>
    <s v="128.1"/>
    <x v="2"/>
    <n v="1.5669999999999999"/>
    <n v="37602.699999999997"/>
    <n v="37.603000000000002"/>
    <d v="2019-03-01T00:00:00"/>
    <x v="0"/>
    <x v="1"/>
  </r>
  <r>
    <x v="7"/>
    <x v="3"/>
    <s v="April"/>
    <s v="Division_A"/>
    <x v="12"/>
    <n v="2012"/>
    <n v="7"/>
    <s v="TM-Utama"/>
    <n v="24"/>
    <n v="3074"/>
    <s v="128.1"/>
    <x v="2"/>
    <n v="1.76"/>
    <n v="42236.800000000003"/>
    <n v="42.237000000000002"/>
    <d v="2019-04-01T00:00:00"/>
    <x v="0"/>
    <x v="1"/>
  </r>
  <r>
    <x v="7"/>
    <x v="4"/>
    <s v="Mei"/>
    <s v="Division_A"/>
    <x v="12"/>
    <n v="2012"/>
    <n v="7"/>
    <s v="TM-Utama"/>
    <n v="24"/>
    <n v="3074"/>
    <s v="128.1"/>
    <x v="2"/>
    <n v="1.8"/>
    <n v="43205.1"/>
    <n v="43.204999999999998"/>
    <d v="2019-05-01T00:00:00"/>
    <x v="0"/>
    <x v="1"/>
  </r>
  <r>
    <x v="7"/>
    <x v="5"/>
    <s v="Juni"/>
    <s v="Division_A"/>
    <x v="12"/>
    <n v="2012"/>
    <n v="7"/>
    <s v="TM-Utama"/>
    <n v="24"/>
    <n v="3074"/>
    <s v="128.1"/>
    <x v="2"/>
    <n v="1.7090000000000001"/>
    <n v="41014.800000000003"/>
    <n v="41.015000000000001"/>
    <d v="2019-06-01T00:00:00"/>
    <x v="0"/>
    <x v="1"/>
  </r>
  <r>
    <x v="7"/>
    <x v="6"/>
    <s v="Juli"/>
    <s v="Division_A"/>
    <x v="12"/>
    <n v="2012"/>
    <n v="7"/>
    <s v="TM-Utama"/>
    <n v="24"/>
    <n v="3074"/>
    <s v="128.1"/>
    <x v="2"/>
    <n v="1.5369999999999999"/>
    <n v="36888"/>
    <n v="36.887999999999998"/>
    <d v="2019-07-01T00:00:00"/>
    <x v="0"/>
    <x v="1"/>
  </r>
  <r>
    <x v="7"/>
    <x v="7"/>
    <s v="Agustus"/>
    <s v="Division_A"/>
    <x v="12"/>
    <n v="2012"/>
    <n v="7"/>
    <s v="TM-Utama"/>
    <n v="24"/>
    <n v="3074"/>
    <s v="128.1"/>
    <x v="2"/>
    <n v="1.7869999999999999"/>
    <n v="42882.3"/>
    <n v="42.881999999999998"/>
    <d v="2019-08-01T00:00:00"/>
    <x v="0"/>
    <x v="1"/>
  </r>
  <r>
    <x v="7"/>
    <x v="8"/>
    <s v="September"/>
    <s v="Division_A"/>
    <x v="12"/>
    <n v="2012"/>
    <n v="7"/>
    <s v="TM-Utama"/>
    <n v="24"/>
    <n v="3074"/>
    <s v="128.1"/>
    <x v="2"/>
    <n v="1.27"/>
    <n v="30478.7"/>
    <n v="30.478999999999999"/>
    <d v="2019-09-01T00:00:00"/>
    <x v="0"/>
    <x v="1"/>
  </r>
  <r>
    <x v="7"/>
    <x v="9"/>
    <s v="Oktober"/>
    <s v="Division_A"/>
    <x v="12"/>
    <n v="2012"/>
    <n v="7"/>
    <s v="TM-Utama"/>
    <n v="24"/>
    <n v="3074"/>
    <s v="128.1"/>
    <x v="2"/>
    <n v="1.667"/>
    <n v="40000.400000000001"/>
    <n v="40"/>
    <d v="2019-10-01T00:00:00"/>
    <x v="0"/>
    <x v="1"/>
  </r>
  <r>
    <x v="7"/>
    <x v="10"/>
    <s v="November"/>
    <s v="Division_A"/>
    <x v="12"/>
    <n v="2012"/>
    <n v="7"/>
    <s v="TM-Utama"/>
    <n v="24"/>
    <n v="3074"/>
    <s v="128.1"/>
    <x v="2"/>
    <n v="1.2130000000000001"/>
    <n v="29118.5"/>
    <n v="29.117999999999999"/>
    <d v="2019-11-01T00:00:00"/>
    <x v="0"/>
    <x v="1"/>
  </r>
  <r>
    <x v="7"/>
    <x v="11"/>
    <s v="Desember"/>
    <s v="Division_A"/>
    <x v="12"/>
    <n v="2012"/>
    <n v="7"/>
    <s v="TM-Utama"/>
    <n v="24"/>
    <n v="3074"/>
    <s v="128.1"/>
    <x v="2"/>
    <n v="0.91300000000000003"/>
    <n v="21902.2"/>
    <n v="21.902000000000001"/>
    <d v="2019-12-01T00:00:00"/>
    <x v="0"/>
    <x v="1"/>
  </r>
  <r>
    <x v="7"/>
    <x v="0"/>
    <s v="Januari"/>
    <s v="Division_A"/>
    <x v="13"/>
    <n v="2012"/>
    <n v="7"/>
    <s v="TM-Utama"/>
    <n v="19"/>
    <n v="2418"/>
    <s v="127.3"/>
    <x v="2"/>
    <n v="1.1439999999999999"/>
    <n v="21743.9"/>
    <n v="21.744"/>
    <d v="2019-01-01T00:00:00"/>
    <x v="0"/>
    <x v="1"/>
  </r>
  <r>
    <x v="7"/>
    <x v="1"/>
    <s v="Februari"/>
    <s v="Division_A"/>
    <x v="13"/>
    <n v="2012"/>
    <n v="7"/>
    <s v="TM-Utama"/>
    <n v="19"/>
    <n v="2418"/>
    <s v="127.3"/>
    <x v="2"/>
    <n v="1.3380000000000001"/>
    <n v="25425.3"/>
    <n v="25.425000000000001"/>
    <d v="2019-02-01T00:00:00"/>
    <x v="0"/>
    <x v="1"/>
  </r>
  <r>
    <x v="7"/>
    <x v="2"/>
    <s v="Maret"/>
    <s v="Division_A"/>
    <x v="13"/>
    <n v="2012"/>
    <n v="7"/>
    <s v="TM-Utama"/>
    <n v="19"/>
    <n v="2418"/>
    <s v="127.3"/>
    <x v="2"/>
    <n v="1.5569999999999999"/>
    <n v="29578.2"/>
    <n v="29.577999999999999"/>
    <d v="2019-03-01T00:00:00"/>
    <x v="0"/>
    <x v="1"/>
  </r>
  <r>
    <x v="7"/>
    <x v="3"/>
    <s v="April"/>
    <s v="Division_A"/>
    <x v="13"/>
    <n v="2012"/>
    <n v="7"/>
    <s v="TM-Utama"/>
    <n v="19"/>
    <n v="2418"/>
    <s v="127.3"/>
    <x v="2"/>
    <n v="1.7490000000000001"/>
    <n v="33223.300000000003"/>
    <n v="33.222999999999999"/>
    <d v="2019-04-01T00:00:00"/>
    <x v="0"/>
    <x v="1"/>
  </r>
  <r>
    <x v="7"/>
    <x v="4"/>
    <s v="Mei"/>
    <s v="Division_A"/>
    <x v="13"/>
    <n v="2012"/>
    <n v="7"/>
    <s v="TM-Utama"/>
    <n v="19"/>
    <n v="2418"/>
    <s v="127.3"/>
    <x v="2"/>
    <n v="1.7889999999999999"/>
    <n v="33985"/>
    <n v="33.984999999999999"/>
    <d v="2019-05-01T00:00:00"/>
    <x v="0"/>
    <x v="1"/>
  </r>
  <r>
    <x v="7"/>
    <x v="5"/>
    <s v="Juni"/>
    <s v="Division_A"/>
    <x v="13"/>
    <n v="2012"/>
    <n v="7"/>
    <s v="TM-Utama"/>
    <n v="19"/>
    <n v="2418"/>
    <s v="127.3"/>
    <x v="2"/>
    <n v="1.698"/>
    <n v="32262.2"/>
    <n v="32.262"/>
    <d v="2019-06-01T00:00:00"/>
    <x v="0"/>
    <x v="1"/>
  </r>
  <r>
    <x v="7"/>
    <x v="6"/>
    <s v="Juli"/>
    <s v="Division_A"/>
    <x v="13"/>
    <n v="2012"/>
    <n v="7"/>
    <s v="TM-Utama"/>
    <n v="19"/>
    <n v="2418"/>
    <s v="127.3"/>
    <x v="2"/>
    <n v="1.5269999999999999"/>
    <n v="29016"/>
    <n v="29.015999999999998"/>
    <d v="2019-07-01T00:00:00"/>
    <x v="0"/>
    <x v="1"/>
  </r>
  <r>
    <x v="7"/>
    <x v="7"/>
    <s v="Agustus"/>
    <s v="Division_A"/>
    <x v="13"/>
    <n v="2012"/>
    <n v="7"/>
    <s v="TM-Utama"/>
    <n v="19"/>
    <n v="2418"/>
    <s v="127.3"/>
    <x v="2"/>
    <n v="1.7749999999999999"/>
    <n v="33731.1"/>
    <n v="33.731000000000002"/>
    <d v="2019-08-01T00:00:00"/>
    <x v="0"/>
    <x v="1"/>
  </r>
  <r>
    <x v="7"/>
    <x v="8"/>
    <s v="September"/>
    <s v="Division_A"/>
    <x v="13"/>
    <n v="2012"/>
    <n v="7"/>
    <s v="TM-Utama"/>
    <n v="19"/>
    <n v="2418"/>
    <s v="127.3"/>
    <x v="2"/>
    <n v="1.262"/>
    <n v="23974.5"/>
    <n v="23.974"/>
    <d v="2019-09-01T00:00:00"/>
    <x v="0"/>
    <x v="1"/>
  </r>
  <r>
    <x v="7"/>
    <x v="9"/>
    <s v="Oktober"/>
    <s v="Division_A"/>
    <x v="13"/>
    <n v="2012"/>
    <n v="7"/>
    <s v="TM-Utama"/>
    <n v="19"/>
    <n v="2418"/>
    <s v="127.3"/>
    <x v="2"/>
    <n v="1.6559999999999999"/>
    <n v="31464.2"/>
    <n v="31.463999999999999"/>
    <d v="2019-10-01T00:00:00"/>
    <x v="0"/>
    <x v="1"/>
  </r>
  <r>
    <x v="7"/>
    <x v="10"/>
    <s v="November"/>
    <s v="Division_A"/>
    <x v="13"/>
    <n v="2012"/>
    <n v="7"/>
    <s v="TM-Utama"/>
    <n v="19"/>
    <n v="2418"/>
    <s v="127.3"/>
    <x v="2"/>
    <n v="1.206"/>
    <n v="22904.5"/>
    <n v="22.905000000000001"/>
    <d v="2019-11-01T00:00:00"/>
    <x v="0"/>
    <x v="1"/>
  </r>
  <r>
    <x v="7"/>
    <x v="11"/>
    <s v="Desember"/>
    <s v="Division_A"/>
    <x v="13"/>
    <n v="2012"/>
    <n v="7"/>
    <s v="TM-Utama"/>
    <n v="19"/>
    <n v="2418"/>
    <s v="127.3"/>
    <x v="2"/>
    <n v="0.90700000000000003"/>
    <n v="17228.2"/>
    <n v="17.228000000000002"/>
    <d v="2019-12-01T00:00:00"/>
    <x v="0"/>
    <x v="1"/>
  </r>
  <r>
    <x v="7"/>
    <x v="0"/>
    <s v="Januari"/>
    <s v="Division_A"/>
    <x v="14"/>
    <n v="2012"/>
    <n v="7"/>
    <s v="TM-Utama"/>
    <n v="25"/>
    <n v="3205"/>
    <s v="128.2"/>
    <x v="2"/>
    <n v="1.153"/>
    <n v="28821"/>
    <n v="28.821000000000002"/>
    <d v="2019-01-01T00:00:00"/>
    <x v="0"/>
    <x v="1"/>
  </r>
  <r>
    <x v="7"/>
    <x v="1"/>
    <s v="Februari"/>
    <s v="Division_A"/>
    <x v="14"/>
    <n v="2012"/>
    <n v="7"/>
    <s v="TM-Utama"/>
    <n v="25"/>
    <n v="3205"/>
    <s v="128.2"/>
    <x v="2"/>
    <n v="1.3480000000000001"/>
    <n v="33700.6"/>
    <n v="33.701000000000001"/>
    <d v="2019-02-01T00:00:00"/>
    <x v="0"/>
    <x v="1"/>
  </r>
  <r>
    <x v="7"/>
    <x v="2"/>
    <s v="Maret"/>
    <s v="Division_A"/>
    <x v="14"/>
    <n v="2012"/>
    <n v="7"/>
    <s v="TM-Utama"/>
    <n v="25"/>
    <n v="3205"/>
    <s v="128.2"/>
    <x v="2"/>
    <n v="1.5680000000000001"/>
    <n v="39205.199999999997"/>
    <n v="39.204999999999998"/>
    <d v="2019-03-01T00:00:00"/>
    <x v="0"/>
    <x v="1"/>
  </r>
  <r>
    <x v="7"/>
    <x v="3"/>
    <s v="April"/>
    <s v="Division_A"/>
    <x v="14"/>
    <n v="2012"/>
    <n v="7"/>
    <s v="TM-Utama"/>
    <n v="25"/>
    <n v="3205"/>
    <s v="128.2"/>
    <x v="2"/>
    <n v="1.7609999999999999"/>
    <n v="44036.7"/>
    <n v="44.036999999999999"/>
    <d v="2019-04-01T00:00:00"/>
    <x v="0"/>
    <x v="1"/>
  </r>
  <r>
    <x v="7"/>
    <x v="4"/>
    <s v="Mei"/>
    <s v="Division_A"/>
    <x v="14"/>
    <n v="2012"/>
    <n v="7"/>
    <s v="TM-Utama"/>
    <n v="25"/>
    <n v="3205"/>
    <s v="128.2"/>
    <x v="2"/>
    <n v="1.802"/>
    <n v="45046.3"/>
    <n v="45.045999999999999"/>
    <d v="2019-05-01T00:00:00"/>
    <x v="0"/>
    <x v="1"/>
  </r>
  <r>
    <x v="7"/>
    <x v="5"/>
    <s v="Juni"/>
    <s v="Division_A"/>
    <x v="14"/>
    <n v="2012"/>
    <n v="7"/>
    <s v="TM-Utama"/>
    <n v="25"/>
    <n v="3205"/>
    <s v="128.2"/>
    <x v="2"/>
    <n v="1.7110000000000001"/>
    <n v="42762.7"/>
    <n v="42.762999999999998"/>
    <d v="2019-06-01T00:00:00"/>
    <x v="0"/>
    <x v="1"/>
  </r>
  <r>
    <x v="7"/>
    <x v="6"/>
    <s v="Juli"/>
    <s v="Division_A"/>
    <x v="14"/>
    <n v="2012"/>
    <n v="7"/>
    <s v="TM-Utama"/>
    <n v="25"/>
    <n v="3205"/>
    <s v="128.2"/>
    <x v="2"/>
    <n v="1.538"/>
    <n v="38460"/>
    <n v="38.46"/>
    <d v="2019-07-01T00:00:00"/>
    <x v="0"/>
    <x v="1"/>
  </r>
  <r>
    <x v="7"/>
    <x v="7"/>
    <s v="Agustus"/>
    <s v="Division_A"/>
    <x v="14"/>
    <n v="2012"/>
    <n v="7"/>
    <s v="TM-Utama"/>
    <n v="25"/>
    <n v="3205"/>
    <s v="128.2"/>
    <x v="2"/>
    <n v="1.788"/>
    <n v="44709.8"/>
    <n v="44.71"/>
    <d v="2019-08-01T00:00:00"/>
    <x v="0"/>
    <x v="1"/>
  </r>
  <r>
    <x v="7"/>
    <x v="8"/>
    <s v="September"/>
    <s v="Division_A"/>
    <x v="14"/>
    <n v="2012"/>
    <n v="7"/>
    <s v="TM-Utama"/>
    <n v="25"/>
    <n v="3205"/>
    <s v="128.2"/>
    <x v="2"/>
    <n v="1.2709999999999999"/>
    <n v="31777.599999999999"/>
    <n v="31.777999999999999"/>
    <d v="2019-09-01T00:00:00"/>
    <x v="0"/>
    <x v="1"/>
  </r>
  <r>
    <x v="7"/>
    <x v="9"/>
    <s v="Oktober"/>
    <s v="Division_A"/>
    <x v="14"/>
    <n v="2012"/>
    <n v="7"/>
    <s v="TM-Utama"/>
    <n v="25"/>
    <n v="3205"/>
    <s v="128.2"/>
    <x v="2"/>
    <n v="1.6679999999999999"/>
    <n v="41705.1"/>
    <n v="41.704999999999998"/>
    <d v="2019-10-01T00:00:00"/>
    <x v="0"/>
    <x v="1"/>
  </r>
  <r>
    <x v="7"/>
    <x v="10"/>
    <s v="November"/>
    <s v="Division_A"/>
    <x v="14"/>
    <n v="2012"/>
    <n v="7"/>
    <s v="TM-Utama"/>
    <n v="25"/>
    <n v="3205"/>
    <s v="128.2"/>
    <x v="2"/>
    <n v="1.214"/>
    <n v="30359.4"/>
    <n v="30.359000000000002"/>
    <d v="2019-11-01T00:00:00"/>
    <x v="0"/>
    <x v="1"/>
  </r>
  <r>
    <x v="7"/>
    <x v="11"/>
    <s v="Desember"/>
    <s v="Division_A"/>
    <x v="14"/>
    <n v="2012"/>
    <n v="7"/>
    <s v="TM-Utama"/>
    <n v="25"/>
    <n v="3205"/>
    <s v="128.2"/>
    <x v="2"/>
    <n v="0.91300000000000003"/>
    <n v="22835.599999999999"/>
    <n v="22.835999999999999"/>
    <d v="2019-12-01T00:00:00"/>
    <x v="0"/>
    <x v="1"/>
  </r>
  <r>
    <x v="7"/>
    <x v="0"/>
    <s v="Januari"/>
    <s v="Division_A"/>
    <x v="15"/>
    <n v="2012"/>
    <n v="7"/>
    <s v="TM-Utama"/>
    <n v="19"/>
    <n v="2469"/>
    <s v="129.9"/>
    <x v="1"/>
    <n v="1.169"/>
    <n v="22202.5"/>
    <n v="22.202000000000002"/>
    <d v="2019-01-01T00:00:00"/>
    <x v="0"/>
    <x v="1"/>
  </r>
  <r>
    <x v="7"/>
    <x v="1"/>
    <s v="Februari"/>
    <s v="Division_A"/>
    <x v="15"/>
    <n v="2012"/>
    <n v="7"/>
    <s v="TM-Utama"/>
    <n v="19"/>
    <n v="2469"/>
    <s v="129.9"/>
    <x v="1"/>
    <n v="1.3660000000000001"/>
    <n v="25961.5"/>
    <n v="25.962"/>
    <d v="2019-02-01T00:00:00"/>
    <x v="0"/>
    <x v="1"/>
  </r>
  <r>
    <x v="7"/>
    <x v="2"/>
    <s v="Maret"/>
    <s v="Division_A"/>
    <x v="15"/>
    <n v="2012"/>
    <n v="7"/>
    <s v="TM-Utama"/>
    <n v="19"/>
    <n v="2469"/>
    <s v="129.9"/>
    <x v="1"/>
    <n v="1.59"/>
    <n v="30202"/>
    <n v="30.202000000000002"/>
    <d v="2019-03-01T00:00:00"/>
    <x v="0"/>
    <x v="1"/>
  </r>
  <r>
    <x v="7"/>
    <x v="3"/>
    <s v="April"/>
    <s v="Division_A"/>
    <x v="15"/>
    <n v="2012"/>
    <n v="7"/>
    <s v="TM-Utama"/>
    <n v="19"/>
    <n v="2469"/>
    <s v="129.9"/>
    <x v="1"/>
    <n v="1.7849999999999999"/>
    <n v="33924.1"/>
    <n v="33.923999999999999"/>
    <d v="2019-04-01T00:00:00"/>
    <x v="0"/>
    <x v="1"/>
  </r>
  <r>
    <x v="7"/>
    <x v="4"/>
    <s v="Mei"/>
    <s v="Division_A"/>
    <x v="15"/>
    <n v="2012"/>
    <n v="7"/>
    <s v="TM-Utama"/>
    <n v="19"/>
    <n v="2469"/>
    <s v="129.9"/>
    <x v="1"/>
    <n v="1.8260000000000001"/>
    <n v="34701.800000000003"/>
    <n v="34.701999999999998"/>
    <d v="2019-05-01T00:00:00"/>
    <x v="0"/>
    <x v="1"/>
  </r>
  <r>
    <x v="7"/>
    <x v="5"/>
    <s v="Juni"/>
    <s v="Division_A"/>
    <x v="15"/>
    <n v="2012"/>
    <n v="7"/>
    <s v="TM-Utama"/>
    <n v="19"/>
    <n v="2469"/>
    <s v="129.9"/>
    <x v="1"/>
    <n v="1.734"/>
    <n v="32942.6"/>
    <n v="32.942999999999998"/>
    <d v="2019-06-01T00:00:00"/>
    <x v="0"/>
    <x v="1"/>
  </r>
  <r>
    <x v="7"/>
    <x v="6"/>
    <s v="Juli"/>
    <s v="Division_A"/>
    <x v="15"/>
    <n v="2012"/>
    <n v="7"/>
    <s v="TM-Utama"/>
    <n v="19"/>
    <n v="2469"/>
    <s v="129.9"/>
    <x v="1"/>
    <n v="1.5589999999999999"/>
    <n v="29628"/>
    <n v="29.628"/>
    <d v="2019-07-01T00:00:00"/>
    <x v="0"/>
    <x v="1"/>
  </r>
  <r>
    <x v="7"/>
    <x v="7"/>
    <s v="Agustus"/>
    <s v="Division_A"/>
    <x v="15"/>
    <n v="2012"/>
    <n v="7"/>
    <s v="TM-Utama"/>
    <n v="19"/>
    <n v="2469"/>
    <s v="129.9"/>
    <x v="1"/>
    <n v="1.8129999999999999"/>
    <n v="34442.6"/>
    <n v="34.442999999999998"/>
    <d v="2019-08-01T00:00:00"/>
    <x v="0"/>
    <x v="1"/>
  </r>
  <r>
    <x v="7"/>
    <x v="8"/>
    <s v="September"/>
    <s v="Division_A"/>
    <x v="15"/>
    <n v="2012"/>
    <n v="7"/>
    <s v="TM-Utama"/>
    <n v="19"/>
    <n v="2469"/>
    <s v="129.9"/>
    <x v="1"/>
    <n v="1.288"/>
    <n v="24480.1"/>
    <n v="24.48"/>
    <d v="2019-09-01T00:00:00"/>
    <x v="0"/>
    <x v="1"/>
  </r>
  <r>
    <x v="7"/>
    <x v="9"/>
    <s v="Oktober"/>
    <s v="Division_A"/>
    <x v="15"/>
    <n v="2012"/>
    <n v="7"/>
    <s v="TM-Utama"/>
    <n v="19"/>
    <n v="2469"/>
    <s v="129.9"/>
    <x v="1"/>
    <n v="1.6910000000000001"/>
    <n v="32127.9"/>
    <n v="32.128"/>
    <d v="2019-10-01T00:00:00"/>
    <x v="0"/>
    <x v="1"/>
  </r>
  <r>
    <x v="7"/>
    <x v="10"/>
    <s v="November"/>
    <s v="Division_A"/>
    <x v="15"/>
    <n v="2012"/>
    <n v="7"/>
    <s v="TM-Utama"/>
    <n v="19"/>
    <n v="2469"/>
    <s v="129.9"/>
    <x v="1"/>
    <n v="1.2310000000000001"/>
    <n v="23387.599999999999"/>
    <n v="23.388000000000002"/>
    <d v="2019-11-01T00:00:00"/>
    <x v="0"/>
    <x v="1"/>
  </r>
  <r>
    <x v="7"/>
    <x v="11"/>
    <s v="Desember"/>
    <s v="Division_A"/>
    <x v="15"/>
    <n v="2012"/>
    <n v="7"/>
    <s v="TM-Utama"/>
    <n v="19"/>
    <n v="2469"/>
    <s v="129.9"/>
    <x v="1"/>
    <n v="0.92600000000000005"/>
    <n v="17591.599999999999"/>
    <n v="17.591999999999999"/>
    <d v="2019-12-01T00:00:00"/>
    <x v="0"/>
    <x v="1"/>
  </r>
  <r>
    <x v="7"/>
    <x v="0"/>
    <s v="Januari"/>
    <s v="Division_A"/>
    <x v="16"/>
    <n v="2012"/>
    <n v="7"/>
    <s v="TM-Utama"/>
    <n v="20"/>
    <n v="2704"/>
    <s v="135.2"/>
    <x v="2"/>
    <n v="1.216"/>
    <n v="24315.7"/>
    <n v="24.315999999999999"/>
    <d v="2019-01-01T00:00:00"/>
    <x v="0"/>
    <x v="1"/>
  </r>
  <r>
    <x v="7"/>
    <x v="1"/>
    <s v="Februari"/>
    <s v="Division_A"/>
    <x v="16"/>
    <n v="2012"/>
    <n v="7"/>
    <s v="TM-Utama"/>
    <n v="20"/>
    <n v="2704"/>
    <s v="135.2"/>
    <x v="2"/>
    <n v="1.4219999999999999"/>
    <n v="28432.6"/>
    <n v="28.433"/>
    <d v="2019-02-01T00:00:00"/>
    <x v="0"/>
    <x v="1"/>
  </r>
  <r>
    <x v="7"/>
    <x v="2"/>
    <s v="Maret"/>
    <s v="Division_A"/>
    <x v="16"/>
    <n v="2012"/>
    <n v="7"/>
    <s v="TM-Utama"/>
    <n v="20"/>
    <n v="2704"/>
    <s v="135.2"/>
    <x v="2"/>
    <n v="1.6539999999999999"/>
    <n v="33076.699999999997"/>
    <n v="33.076999999999998"/>
    <d v="2019-03-01T00:00:00"/>
    <x v="0"/>
    <x v="1"/>
  </r>
  <r>
    <x v="7"/>
    <x v="3"/>
    <s v="April"/>
    <s v="Division_A"/>
    <x v="16"/>
    <n v="2012"/>
    <n v="7"/>
    <s v="TM-Utama"/>
    <n v="20"/>
    <n v="2704"/>
    <s v="135.2"/>
    <x v="2"/>
    <n v="1.8580000000000001"/>
    <n v="37153"/>
    <n v="37.152999999999999"/>
    <d v="2019-04-01T00:00:00"/>
    <x v="0"/>
    <x v="1"/>
  </r>
  <r>
    <x v="7"/>
    <x v="4"/>
    <s v="Mei"/>
    <s v="Division_A"/>
    <x v="16"/>
    <n v="2012"/>
    <n v="7"/>
    <s v="TM-Utama"/>
    <n v="20"/>
    <n v="2704"/>
    <s v="135.2"/>
    <x v="2"/>
    <n v="1.9"/>
    <n v="38004.699999999997"/>
    <n v="38.005000000000003"/>
    <d v="2019-05-01T00:00:00"/>
    <x v="0"/>
    <x v="1"/>
  </r>
  <r>
    <x v="7"/>
    <x v="5"/>
    <s v="Juni"/>
    <s v="Division_A"/>
    <x v="16"/>
    <n v="2012"/>
    <n v="7"/>
    <s v="TM-Utama"/>
    <n v="20"/>
    <n v="2704"/>
    <s v="135.2"/>
    <x v="2"/>
    <n v="1.804"/>
    <n v="36078.1"/>
    <n v="36.078000000000003"/>
    <d v="2019-06-01T00:00:00"/>
    <x v="0"/>
    <x v="1"/>
  </r>
  <r>
    <x v="7"/>
    <x v="6"/>
    <s v="Juli"/>
    <s v="Division_A"/>
    <x v="16"/>
    <n v="2012"/>
    <n v="7"/>
    <s v="TM-Utama"/>
    <n v="20"/>
    <n v="2704"/>
    <s v="135.2"/>
    <x v="2"/>
    <n v="1.6220000000000001"/>
    <n v="32448"/>
    <n v="32.448"/>
    <d v="2019-07-01T00:00:00"/>
    <x v="0"/>
    <x v="1"/>
  </r>
  <r>
    <x v="7"/>
    <x v="7"/>
    <s v="Agustus"/>
    <s v="Division_A"/>
    <x v="16"/>
    <n v="2012"/>
    <n v="7"/>
    <s v="TM-Utama"/>
    <n v="20"/>
    <n v="2704"/>
    <s v="135.2"/>
    <x v="2"/>
    <n v="1.8859999999999999"/>
    <n v="37720.800000000003"/>
    <n v="37.720999999999997"/>
    <d v="2019-08-01T00:00:00"/>
    <x v="0"/>
    <x v="1"/>
  </r>
  <r>
    <x v="7"/>
    <x v="8"/>
    <s v="September"/>
    <s v="Division_A"/>
    <x v="16"/>
    <n v="2012"/>
    <n v="7"/>
    <s v="TM-Utama"/>
    <n v="20"/>
    <n v="2704"/>
    <s v="135.2"/>
    <x v="2"/>
    <n v="1.341"/>
    <n v="26810.2"/>
    <n v="26.81"/>
    <d v="2019-09-01T00:00:00"/>
    <x v="0"/>
    <x v="1"/>
  </r>
  <r>
    <x v="7"/>
    <x v="9"/>
    <s v="Oktober"/>
    <s v="Division_A"/>
    <x v="16"/>
    <n v="2012"/>
    <n v="7"/>
    <s v="TM-Utama"/>
    <n v="20"/>
    <n v="2704"/>
    <s v="135.2"/>
    <x v="2"/>
    <n v="1.7589999999999999"/>
    <n v="35185.800000000003"/>
    <n v="35.186"/>
    <d v="2019-10-01T00:00:00"/>
    <x v="0"/>
    <x v="1"/>
  </r>
  <r>
    <x v="7"/>
    <x v="10"/>
    <s v="November"/>
    <s v="Division_A"/>
    <x v="16"/>
    <n v="2012"/>
    <n v="7"/>
    <s v="TM-Utama"/>
    <n v="20"/>
    <n v="2704"/>
    <s v="135.2"/>
    <x v="2"/>
    <n v="1.2809999999999999"/>
    <n v="25613.599999999999"/>
    <n v="25.614000000000001"/>
    <d v="2019-11-01T00:00:00"/>
    <x v="0"/>
    <x v="1"/>
  </r>
  <r>
    <x v="7"/>
    <x v="11"/>
    <s v="Desember"/>
    <s v="Division_A"/>
    <x v="16"/>
    <n v="2012"/>
    <n v="7"/>
    <s v="TM-Utama"/>
    <n v="20"/>
    <n v="2704"/>
    <s v="135.2"/>
    <x v="2"/>
    <n v="0.96299999999999997"/>
    <n v="19266"/>
    <n v="19.265999999999998"/>
    <d v="2019-12-01T00:00:00"/>
    <x v="0"/>
    <x v="1"/>
  </r>
  <r>
    <x v="7"/>
    <x v="0"/>
    <s v="Januari"/>
    <s v="Division_A"/>
    <x v="17"/>
    <n v="2012"/>
    <n v="7"/>
    <s v="TM-Utama"/>
    <n v="14"/>
    <n v="1833"/>
    <s v="130.9"/>
    <x v="2"/>
    <n v="1.177"/>
    <n v="16483.3"/>
    <n v="16.483000000000001"/>
    <d v="2019-01-01T00:00:00"/>
    <x v="0"/>
    <x v="1"/>
  </r>
  <r>
    <x v="7"/>
    <x v="1"/>
    <s v="Februari"/>
    <s v="Division_A"/>
    <x v="17"/>
    <n v="2012"/>
    <n v="7"/>
    <s v="TM-Utama"/>
    <n v="14"/>
    <n v="1833"/>
    <s v="130.9"/>
    <x v="2"/>
    <n v="1.377"/>
    <n v="19274"/>
    <n v="19.274000000000001"/>
    <d v="2019-02-01T00:00:00"/>
    <x v="0"/>
    <x v="1"/>
  </r>
  <r>
    <x v="7"/>
    <x v="2"/>
    <s v="Maret"/>
    <s v="Division_A"/>
    <x v="17"/>
    <n v="2012"/>
    <n v="7"/>
    <s v="TM-Utama"/>
    <n v="14"/>
    <n v="1833"/>
    <s v="130.9"/>
    <x v="2"/>
    <n v="1.6020000000000001"/>
    <n v="22422.2"/>
    <n v="22.422000000000001"/>
    <d v="2019-03-01T00:00:00"/>
    <x v="0"/>
    <x v="1"/>
  </r>
  <r>
    <x v="7"/>
    <x v="3"/>
    <s v="April"/>
    <s v="Division_A"/>
    <x v="17"/>
    <n v="2012"/>
    <n v="7"/>
    <s v="TM-Utama"/>
    <n v="14"/>
    <n v="1833"/>
    <s v="130.9"/>
    <x v="2"/>
    <n v="1.7989999999999999"/>
    <n v="25185.4"/>
    <n v="25.184999999999999"/>
    <d v="2019-04-01T00:00:00"/>
    <x v="0"/>
    <x v="1"/>
  </r>
  <r>
    <x v="7"/>
    <x v="4"/>
    <s v="Mei"/>
    <s v="Division_A"/>
    <x v="17"/>
    <n v="2012"/>
    <n v="7"/>
    <s v="TM-Utama"/>
    <n v="14"/>
    <n v="1833"/>
    <s v="130.9"/>
    <x v="2"/>
    <n v="1.84"/>
    <n v="25762.799999999999"/>
    <n v="25.763000000000002"/>
    <d v="2019-05-01T00:00:00"/>
    <x v="0"/>
    <x v="1"/>
  </r>
  <r>
    <x v="7"/>
    <x v="5"/>
    <s v="Juni"/>
    <s v="Division_A"/>
    <x v="17"/>
    <n v="2012"/>
    <n v="7"/>
    <s v="TM-Utama"/>
    <n v="14"/>
    <n v="1833"/>
    <s v="130.9"/>
    <x v="2"/>
    <n v="1.7470000000000001"/>
    <n v="24456.799999999999"/>
    <n v="24.457000000000001"/>
    <d v="2019-06-01T00:00:00"/>
    <x v="0"/>
    <x v="1"/>
  </r>
  <r>
    <x v="7"/>
    <x v="6"/>
    <s v="Juli"/>
    <s v="Division_A"/>
    <x v="17"/>
    <n v="2012"/>
    <n v="7"/>
    <s v="TM-Utama"/>
    <n v="14"/>
    <n v="1833"/>
    <s v="130.9"/>
    <x v="2"/>
    <n v="1.571"/>
    <n v="21996"/>
    <n v="21.995999999999999"/>
    <d v="2019-07-01T00:00:00"/>
    <x v="0"/>
    <x v="1"/>
  </r>
  <r>
    <x v="7"/>
    <x v="7"/>
    <s v="Agustus"/>
    <s v="Division_A"/>
    <x v="17"/>
    <n v="2012"/>
    <n v="7"/>
    <s v="TM-Utama"/>
    <n v="14"/>
    <n v="1833"/>
    <s v="130.9"/>
    <x v="2"/>
    <n v="1.8260000000000001"/>
    <n v="25570.400000000001"/>
    <n v="25.57"/>
    <d v="2019-08-01T00:00:00"/>
    <x v="0"/>
    <x v="1"/>
  </r>
  <r>
    <x v="7"/>
    <x v="8"/>
    <s v="September"/>
    <s v="Division_A"/>
    <x v="17"/>
    <n v="2012"/>
    <n v="7"/>
    <s v="TM-Utama"/>
    <n v="14"/>
    <n v="1833"/>
    <s v="130.9"/>
    <x v="2"/>
    <n v="1.298"/>
    <n v="18174.2"/>
    <n v="18.173999999999999"/>
    <d v="2019-09-01T00:00:00"/>
    <x v="0"/>
    <x v="1"/>
  </r>
  <r>
    <x v="7"/>
    <x v="9"/>
    <s v="Oktober"/>
    <s v="Division_A"/>
    <x v="17"/>
    <n v="2012"/>
    <n v="7"/>
    <s v="TM-Utama"/>
    <n v="14"/>
    <n v="1833"/>
    <s v="130.9"/>
    <x v="2"/>
    <n v="1.704"/>
    <n v="23851.9"/>
    <n v="23.852"/>
    <d v="2019-10-01T00:00:00"/>
    <x v="0"/>
    <x v="1"/>
  </r>
  <r>
    <x v="7"/>
    <x v="10"/>
    <s v="November"/>
    <s v="Division_A"/>
    <x v="17"/>
    <n v="2012"/>
    <n v="7"/>
    <s v="TM-Utama"/>
    <n v="14"/>
    <n v="1833"/>
    <s v="130.9"/>
    <x v="2"/>
    <n v="1.24"/>
    <n v="17363.099999999999"/>
    <n v="17.363"/>
    <d v="2019-11-01T00:00:00"/>
    <x v="0"/>
    <x v="1"/>
  </r>
  <r>
    <x v="7"/>
    <x v="11"/>
    <s v="Desember"/>
    <s v="Division_A"/>
    <x v="17"/>
    <n v="2012"/>
    <n v="7"/>
    <s v="TM-Utama"/>
    <n v="14"/>
    <n v="1833"/>
    <s v="130.9"/>
    <x v="2"/>
    <n v="0.93300000000000005"/>
    <n v="13060.1"/>
    <n v="13.06"/>
    <d v="2019-12-01T00:00:00"/>
    <x v="0"/>
    <x v="1"/>
  </r>
  <r>
    <x v="7"/>
    <x v="0"/>
    <s v="Januari"/>
    <s v="Division_A"/>
    <x v="18"/>
    <n v="2012"/>
    <n v="7"/>
    <s v="TM-Utama"/>
    <n v="20"/>
    <n v="1990"/>
    <s v="99.5"/>
    <x v="2"/>
    <n v="0.91700000000000004"/>
    <n v="18344.7"/>
    <n v="18.344999999999999"/>
    <d v="2019-01-01T00:00:00"/>
    <x v="0"/>
    <x v="1"/>
  </r>
  <r>
    <x v="7"/>
    <x v="1"/>
    <s v="Februari"/>
    <s v="Division_A"/>
    <x v="18"/>
    <n v="2012"/>
    <n v="7"/>
    <s v="TM-Utama"/>
    <n v="20"/>
    <n v="1990"/>
    <s v="99.5"/>
    <x v="2"/>
    <n v="1.073"/>
    <n v="21450.6"/>
    <n v="21.451000000000001"/>
    <d v="2019-02-01T00:00:00"/>
    <x v="0"/>
    <x v="1"/>
  </r>
  <r>
    <x v="7"/>
    <x v="2"/>
    <s v="Maret"/>
    <s v="Division_A"/>
    <x v="18"/>
    <n v="2012"/>
    <n v="7"/>
    <s v="TM-Utama"/>
    <n v="20"/>
    <n v="1990"/>
    <s v="99.5"/>
    <x v="2"/>
    <n v="1.248"/>
    <n v="24954.3"/>
    <n v="24.954000000000001"/>
    <d v="2019-03-01T00:00:00"/>
    <x v="0"/>
    <x v="1"/>
  </r>
  <r>
    <x v="7"/>
    <x v="3"/>
    <s v="April"/>
    <s v="Division_A"/>
    <x v="18"/>
    <n v="2012"/>
    <n v="7"/>
    <s v="TM-Utama"/>
    <n v="20"/>
    <n v="1990"/>
    <s v="99.5"/>
    <x v="2"/>
    <n v="1.401"/>
    <n v="28029.599999999999"/>
    <n v="28.03"/>
    <d v="2019-04-01T00:00:00"/>
    <x v="0"/>
    <x v="1"/>
  </r>
  <r>
    <x v="7"/>
    <x v="4"/>
    <s v="Mei"/>
    <s v="Division_A"/>
    <x v="18"/>
    <n v="2012"/>
    <n v="7"/>
    <s v="TM-Utama"/>
    <n v="20"/>
    <n v="1990"/>
    <s v="99.5"/>
    <x v="2"/>
    <n v="1.4339999999999999"/>
    <n v="28672.2"/>
    <n v="28.672000000000001"/>
    <d v="2019-05-01T00:00:00"/>
    <x v="0"/>
    <x v="1"/>
  </r>
  <r>
    <x v="7"/>
    <x v="5"/>
    <s v="Juni"/>
    <s v="Division_A"/>
    <x v="18"/>
    <n v="2012"/>
    <n v="7"/>
    <s v="TM-Utama"/>
    <n v="20"/>
    <n v="1990"/>
    <s v="99.5"/>
    <x v="2"/>
    <n v="1.361"/>
    <n v="27218.7"/>
    <n v="27.219000000000001"/>
    <d v="2019-06-01T00:00:00"/>
    <x v="0"/>
    <x v="1"/>
  </r>
  <r>
    <x v="7"/>
    <x v="6"/>
    <s v="Juli"/>
    <s v="Division_A"/>
    <x v="18"/>
    <n v="2012"/>
    <n v="7"/>
    <s v="TM-Utama"/>
    <n v="20"/>
    <n v="1990"/>
    <s v="99.5"/>
    <x v="2"/>
    <n v="1.224"/>
    <n v="24480"/>
    <n v="24.48"/>
    <d v="2019-07-01T00:00:00"/>
    <x v="0"/>
    <x v="1"/>
  </r>
  <r>
    <x v="7"/>
    <x v="7"/>
    <s v="Agustus"/>
    <s v="Division_A"/>
    <x v="18"/>
    <n v="2012"/>
    <n v="7"/>
    <s v="TM-Utama"/>
    <n v="20"/>
    <n v="1990"/>
    <s v="99.5"/>
    <x v="2"/>
    <n v="1.423"/>
    <n v="28458"/>
    <n v="28.457999999999998"/>
    <d v="2019-08-01T00:00:00"/>
    <x v="0"/>
    <x v="1"/>
  </r>
  <r>
    <x v="7"/>
    <x v="8"/>
    <s v="September"/>
    <s v="Division_A"/>
    <x v="18"/>
    <n v="2012"/>
    <n v="7"/>
    <s v="TM-Utama"/>
    <n v="20"/>
    <n v="1990"/>
    <s v="99.5"/>
    <x v="2"/>
    <n v="1.0109999999999999"/>
    <n v="20226.599999999999"/>
    <n v="20.227"/>
    <d v="2019-09-01T00:00:00"/>
    <x v="0"/>
    <x v="1"/>
  </r>
  <r>
    <x v="7"/>
    <x v="9"/>
    <s v="Oktober"/>
    <s v="Division_A"/>
    <x v="18"/>
    <n v="2012"/>
    <n v="7"/>
    <s v="TM-Utama"/>
    <n v="20"/>
    <n v="1990"/>
    <s v="99.5"/>
    <x v="2"/>
    <n v="1.327"/>
    <n v="26545.5"/>
    <n v="26.545999999999999"/>
    <d v="2019-10-01T00:00:00"/>
    <x v="0"/>
    <x v="1"/>
  </r>
  <r>
    <x v="7"/>
    <x v="10"/>
    <s v="November"/>
    <s v="Division_A"/>
    <x v="18"/>
    <n v="2012"/>
    <n v="7"/>
    <s v="TM-Utama"/>
    <n v="20"/>
    <n v="1990"/>
    <s v="99.5"/>
    <x v="2"/>
    <n v="0.96599999999999997"/>
    <n v="19323.900000000001"/>
    <n v="19.324000000000002"/>
    <d v="2019-11-01T00:00:00"/>
    <x v="0"/>
    <x v="1"/>
  </r>
  <r>
    <x v="7"/>
    <x v="11"/>
    <s v="Desember"/>
    <s v="Division_A"/>
    <x v="18"/>
    <n v="2012"/>
    <n v="7"/>
    <s v="TM-Utama"/>
    <n v="20"/>
    <n v="1990"/>
    <s v="99.5"/>
    <x v="2"/>
    <n v="0.72699999999999998"/>
    <n v="14535"/>
    <n v="14.535"/>
    <d v="2019-12-01T00:00:00"/>
    <x v="0"/>
    <x v="1"/>
  </r>
  <r>
    <x v="7"/>
    <x v="0"/>
    <s v="Januari"/>
    <s v="Division_A"/>
    <x v="19"/>
    <n v="2012"/>
    <n v="7"/>
    <s v="TM-Utama"/>
    <n v="22"/>
    <n v="2606"/>
    <s v="118.5"/>
    <x v="2"/>
    <n v="1.0649999999999999"/>
    <n v="23434.5"/>
    <n v="23.434000000000001"/>
    <d v="2019-01-01T00:00:00"/>
    <x v="0"/>
    <x v="1"/>
  </r>
  <r>
    <x v="7"/>
    <x v="1"/>
    <s v="Februari"/>
    <s v="Division_A"/>
    <x v="19"/>
    <n v="2012"/>
    <n v="7"/>
    <s v="TM-Utama"/>
    <n v="22"/>
    <n v="2606"/>
    <s v="118.5"/>
    <x v="2"/>
    <n v="1.246"/>
    <n v="27402.1"/>
    <n v="27.402000000000001"/>
    <d v="2019-02-01T00:00:00"/>
    <x v="0"/>
    <x v="1"/>
  </r>
  <r>
    <x v="7"/>
    <x v="2"/>
    <s v="Maret"/>
    <s v="Division_A"/>
    <x v="19"/>
    <n v="2012"/>
    <n v="7"/>
    <s v="TM-Utama"/>
    <n v="22"/>
    <n v="2606"/>
    <s v="118.5"/>
    <x v="2"/>
    <n v="1.4490000000000001"/>
    <n v="31877.9"/>
    <n v="31.878"/>
    <d v="2019-03-01T00:00:00"/>
    <x v="0"/>
    <x v="1"/>
  </r>
  <r>
    <x v="7"/>
    <x v="3"/>
    <s v="April"/>
    <s v="Division_A"/>
    <x v="19"/>
    <n v="2012"/>
    <n v="7"/>
    <s v="TM-Utama"/>
    <n v="22"/>
    <n v="2606"/>
    <s v="118.5"/>
    <x v="2"/>
    <n v="1.6279999999999999"/>
    <n v="35806.400000000001"/>
    <n v="35.805999999999997"/>
    <d v="2019-04-01T00:00:00"/>
    <x v="0"/>
    <x v="1"/>
  </r>
  <r>
    <x v="7"/>
    <x v="4"/>
    <s v="Mei"/>
    <s v="Division_A"/>
    <x v="19"/>
    <n v="2012"/>
    <n v="7"/>
    <s v="TM-Utama"/>
    <n v="22"/>
    <n v="2606"/>
    <s v="118.5"/>
    <x v="2"/>
    <n v="1.665"/>
    <n v="36627.300000000003"/>
    <n v="36.627000000000002"/>
    <d v="2019-05-01T00:00:00"/>
    <x v="0"/>
    <x v="1"/>
  </r>
  <r>
    <x v="7"/>
    <x v="5"/>
    <s v="Juni"/>
    <s v="Division_A"/>
    <x v="19"/>
    <n v="2012"/>
    <n v="7"/>
    <s v="TM-Utama"/>
    <n v="22"/>
    <n v="2606"/>
    <s v="118.5"/>
    <x v="2"/>
    <n v="1.58"/>
    <n v="34770.6"/>
    <n v="34.771000000000001"/>
    <d v="2019-06-01T00:00:00"/>
    <x v="0"/>
    <x v="1"/>
  </r>
  <r>
    <x v="7"/>
    <x v="6"/>
    <s v="Juli"/>
    <s v="Division_A"/>
    <x v="19"/>
    <n v="2012"/>
    <n v="7"/>
    <s v="TM-Utama"/>
    <n v="22"/>
    <n v="2606"/>
    <s v="118.5"/>
    <x v="2"/>
    <n v="1.421"/>
    <n v="31272"/>
    <n v="31.271999999999998"/>
    <d v="2019-07-01T00:00:00"/>
    <x v="0"/>
    <x v="1"/>
  </r>
  <r>
    <x v="7"/>
    <x v="7"/>
    <s v="Agustus"/>
    <s v="Division_A"/>
    <x v="19"/>
    <n v="2012"/>
    <n v="7"/>
    <s v="TM-Utama"/>
    <n v="22"/>
    <n v="2606"/>
    <s v="118.5"/>
    <x v="2"/>
    <n v="1.6519999999999999"/>
    <n v="36353.699999999997"/>
    <n v="36.353999999999999"/>
    <d v="2019-08-01T00:00:00"/>
    <x v="0"/>
    <x v="1"/>
  </r>
  <r>
    <x v="7"/>
    <x v="8"/>
    <s v="September"/>
    <s v="Division_A"/>
    <x v="19"/>
    <n v="2012"/>
    <n v="7"/>
    <s v="TM-Utama"/>
    <n v="22"/>
    <n v="2606"/>
    <s v="118.5"/>
    <x v="2"/>
    <n v="1.1739999999999999"/>
    <n v="25838.5"/>
    <n v="25.838000000000001"/>
    <d v="2019-09-01T00:00:00"/>
    <x v="0"/>
    <x v="1"/>
  </r>
  <r>
    <x v="7"/>
    <x v="9"/>
    <s v="Oktober"/>
    <s v="Division_A"/>
    <x v="19"/>
    <n v="2012"/>
    <n v="7"/>
    <s v="TM-Utama"/>
    <n v="22"/>
    <n v="2606"/>
    <s v="118.5"/>
    <x v="2"/>
    <n v="1.5409999999999999"/>
    <n v="33910.6"/>
    <n v="33.911000000000001"/>
    <d v="2019-10-01T00:00:00"/>
    <x v="0"/>
    <x v="1"/>
  </r>
  <r>
    <x v="7"/>
    <x v="10"/>
    <s v="November"/>
    <s v="Division_A"/>
    <x v="19"/>
    <n v="2012"/>
    <n v="7"/>
    <s v="TM-Utama"/>
    <n v="22"/>
    <n v="2606"/>
    <s v="118.5"/>
    <x v="2"/>
    <n v="1.1220000000000001"/>
    <n v="24685.3"/>
    <n v="24.684999999999999"/>
    <d v="2019-11-01T00:00:00"/>
    <x v="0"/>
    <x v="1"/>
  </r>
  <r>
    <x v="7"/>
    <x v="11"/>
    <s v="Desember"/>
    <s v="Division_A"/>
    <x v="19"/>
    <n v="2012"/>
    <n v="7"/>
    <s v="TM-Utama"/>
    <n v="22"/>
    <n v="2606"/>
    <s v="118.5"/>
    <x v="2"/>
    <n v="0.84399999999999997"/>
    <n v="18567.8"/>
    <n v="18.568000000000001"/>
    <d v="2019-12-01T00:00:00"/>
    <x v="0"/>
    <x v="1"/>
  </r>
  <r>
    <x v="7"/>
    <x v="0"/>
    <s v="Januari"/>
    <s v="Division_A"/>
    <x v="20"/>
    <n v="2012"/>
    <n v="7"/>
    <s v="TM-Utama"/>
    <n v="22"/>
    <n v="2683"/>
    <s v="122"/>
    <x v="1"/>
    <n v="1.097"/>
    <n v="24126.9"/>
    <n v="24.126999999999999"/>
    <d v="2019-01-01T00:00:00"/>
    <x v="0"/>
    <x v="1"/>
  </r>
  <r>
    <x v="7"/>
    <x v="1"/>
    <s v="Februari"/>
    <s v="Division_A"/>
    <x v="20"/>
    <n v="2012"/>
    <n v="7"/>
    <s v="TM-Utama"/>
    <n v="22"/>
    <n v="2683"/>
    <s v="122"/>
    <x v="1"/>
    <n v="1.282"/>
    <n v="28211.7"/>
    <n v="28.212"/>
    <d v="2019-02-01T00:00:00"/>
    <x v="0"/>
    <x v="1"/>
  </r>
  <r>
    <x v="7"/>
    <x v="2"/>
    <s v="Maret"/>
    <s v="Division_A"/>
    <x v="20"/>
    <n v="2012"/>
    <n v="7"/>
    <s v="TM-Utama"/>
    <n v="22"/>
    <n v="2683"/>
    <s v="122"/>
    <x v="1"/>
    <n v="1.492"/>
    <n v="32819.800000000003"/>
    <n v="32.82"/>
    <d v="2019-03-01T00:00:00"/>
    <x v="0"/>
    <x v="1"/>
  </r>
  <r>
    <x v="7"/>
    <x v="3"/>
    <s v="April"/>
    <s v="Division_A"/>
    <x v="20"/>
    <n v="2012"/>
    <n v="7"/>
    <s v="TM-Utama"/>
    <n v="22"/>
    <n v="2683"/>
    <s v="122"/>
    <x v="1"/>
    <n v="1.6759999999999999"/>
    <n v="36864.400000000001"/>
    <n v="36.863999999999997"/>
    <d v="2019-04-01T00:00:00"/>
    <x v="0"/>
    <x v="1"/>
  </r>
  <r>
    <x v="7"/>
    <x v="4"/>
    <s v="Mei"/>
    <s v="Division_A"/>
    <x v="20"/>
    <n v="2012"/>
    <n v="7"/>
    <s v="TM-Utama"/>
    <n v="22"/>
    <n v="2683"/>
    <s v="122"/>
    <x v="1"/>
    <n v="1.714"/>
    <n v="37709.599999999999"/>
    <n v="37.71"/>
    <d v="2019-05-01T00:00:00"/>
    <x v="0"/>
    <x v="1"/>
  </r>
  <r>
    <x v="7"/>
    <x v="5"/>
    <s v="Juni"/>
    <s v="Division_A"/>
    <x v="20"/>
    <n v="2012"/>
    <n v="7"/>
    <s v="TM-Utama"/>
    <n v="22"/>
    <n v="2683"/>
    <s v="122"/>
    <x v="1"/>
    <n v="1.627"/>
    <n v="35797.9"/>
    <n v="35.798000000000002"/>
    <d v="2019-06-01T00:00:00"/>
    <x v="0"/>
    <x v="1"/>
  </r>
  <r>
    <x v="7"/>
    <x v="6"/>
    <s v="Juli"/>
    <s v="Division_A"/>
    <x v="20"/>
    <n v="2012"/>
    <n v="7"/>
    <s v="TM-Utama"/>
    <n v="22"/>
    <n v="2683"/>
    <s v="122"/>
    <x v="1"/>
    <n v="1.4630000000000001"/>
    <n v="32196"/>
    <n v="32.195999999999998"/>
    <d v="2019-07-01T00:00:00"/>
    <x v="0"/>
    <x v="1"/>
  </r>
  <r>
    <x v="7"/>
    <x v="7"/>
    <s v="Agustus"/>
    <s v="Division_A"/>
    <x v="20"/>
    <n v="2012"/>
    <n v="7"/>
    <s v="TM-Utama"/>
    <n v="22"/>
    <n v="2683"/>
    <s v="122"/>
    <x v="1"/>
    <n v="1.7010000000000001"/>
    <n v="37427.9"/>
    <n v="37.427999999999997"/>
    <d v="2019-08-01T00:00:00"/>
    <x v="0"/>
    <x v="1"/>
  </r>
  <r>
    <x v="7"/>
    <x v="8"/>
    <s v="September"/>
    <s v="Division_A"/>
    <x v="20"/>
    <n v="2012"/>
    <n v="7"/>
    <s v="TM-Utama"/>
    <n v="22"/>
    <n v="2683"/>
    <s v="122"/>
    <x v="1"/>
    <n v="1.2090000000000001"/>
    <n v="26601.9"/>
    <n v="26.602"/>
    <d v="2019-09-01T00:00:00"/>
    <x v="0"/>
    <x v="1"/>
  </r>
  <r>
    <x v="7"/>
    <x v="9"/>
    <s v="Oktober"/>
    <s v="Division_A"/>
    <x v="20"/>
    <n v="2012"/>
    <n v="7"/>
    <s v="TM-Utama"/>
    <n v="22"/>
    <n v="2683"/>
    <s v="122"/>
    <x v="1"/>
    <n v="1.587"/>
    <n v="34912.5"/>
    <n v="34.912999999999997"/>
    <d v="2019-10-01T00:00:00"/>
    <x v="0"/>
    <x v="1"/>
  </r>
  <r>
    <x v="7"/>
    <x v="10"/>
    <s v="November"/>
    <s v="Division_A"/>
    <x v="20"/>
    <n v="2012"/>
    <n v="7"/>
    <s v="TM-Utama"/>
    <n v="22"/>
    <n v="2683"/>
    <s v="122"/>
    <x v="1"/>
    <n v="1.155"/>
    <n v="25414.7"/>
    <n v="25.414999999999999"/>
    <d v="2019-11-01T00:00:00"/>
    <x v="0"/>
    <x v="1"/>
  </r>
  <r>
    <x v="7"/>
    <x v="11"/>
    <s v="Desember"/>
    <s v="Division_A"/>
    <x v="20"/>
    <n v="2012"/>
    <n v="7"/>
    <s v="TM-Utama"/>
    <n v="22"/>
    <n v="2683"/>
    <s v="122"/>
    <x v="1"/>
    <n v="0.86899999999999999"/>
    <n v="19116.400000000001"/>
    <n v="19.116"/>
    <d v="2019-12-01T00:00:00"/>
    <x v="0"/>
    <x v="1"/>
  </r>
  <r>
    <x v="7"/>
    <x v="0"/>
    <s v="Januari"/>
    <s v="Division_A"/>
    <x v="21"/>
    <n v="2012"/>
    <n v="7"/>
    <s v="TM-Utama"/>
    <n v="28"/>
    <n v="3483"/>
    <s v="124.4"/>
    <x v="1"/>
    <n v="1.119"/>
    <n v="31320.9"/>
    <n v="31.321000000000002"/>
    <d v="2019-01-01T00:00:00"/>
    <x v="0"/>
    <x v="1"/>
  </r>
  <r>
    <x v="7"/>
    <x v="1"/>
    <s v="Februari"/>
    <s v="Division_A"/>
    <x v="21"/>
    <n v="2012"/>
    <n v="7"/>
    <s v="TM-Utama"/>
    <n v="28"/>
    <n v="3483"/>
    <s v="124.4"/>
    <x v="1"/>
    <n v="1.3080000000000001"/>
    <n v="36623.699999999997"/>
    <n v="36.624000000000002"/>
    <d v="2019-02-01T00:00:00"/>
    <x v="0"/>
    <x v="1"/>
  </r>
  <r>
    <x v="7"/>
    <x v="2"/>
    <s v="Maret"/>
    <s v="Division_A"/>
    <x v="21"/>
    <n v="2012"/>
    <n v="7"/>
    <s v="TM-Utama"/>
    <n v="28"/>
    <n v="3483"/>
    <s v="124.4"/>
    <x v="1"/>
    <n v="1.522"/>
    <n v="42605.8"/>
    <n v="42.606000000000002"/>
    <d v="2019-03-01T00:00:00"/>
    <x v="0"/>
    <x v="1"/>
  </r>
  <r>
    <x v="7"/>
    <x v="3"/>
    <s v="April"/>
    <s v="Division_A"/>
    <x v="21"/>
    <n v="2012"/>
    <n v="7"/>
    <s v="TM-Utama"/>
    <n v="28"/>
    <n v="3483"/>
    <s v="124.4"/>
    <x v="1"/>
    <n v="1.7090000000000001"/>
    <n v="47856.4"/>
    <n v="47.856000000000002"/>
    <d v="2019-04-01T00:00:00"/>
    <x v="0"/>
    <x v="1"/>
  </r>
  <r>
    <x v="7"/>
    <x v="4"/>
    <s v="Mei"/>
    <s v="Division_A"/>
    <x v="21"/>
    <n v="2012"/>
    <n v="7"/>
    <s v="TM-Utama"/>
    <n v="28"/>
    <n v="3483"/>
    <s v="124.4"/>
    <x v="1"/>
    <n v="1.748"/>
    <n v="48953.599999999999"/>
    <n v="48.954000000000001"/>
    <d v="2019-05-01T00:00:00"/>
    <x v="0"/>
    <x v="1"/>
  </r>
  <r>
    <x v="7"/>
    <x v="5"/>
    <s v="Juni"/>
    <s v="Division_A"/>
    <x v="21"/>
    <n v="2012"/>
    <n v="7"/>
    <s v="TM-Utama"/>
    <n v="28"/>
    <n v="3483"/>
    <s v="124.4"/>
    <x v="1"/>
    <n v="1.66"/>
    <n v="46471.9"/>
    <n v="46.472000000000001"/>
    <d v="2019-06-01T00:00:00"/>
    <x v="0"/>
    <x v="1"/>
  </r>
  <r>
    <x v="7"/>
    <x v="6"/>
    <s v="Juli"/>
    <s v="Division_A"/>
    <x v="21"/>
    <n v="2012"/>
    <n v="7"/>
    <s v="TM-Utama"/>
    <n v="28"/>
    <n v="3483"/>
    <s v="124.4"/>
    <x v="1"/>
    <n v="1.4930000000000001"/>
    <n v="41796"/>
    <n v="41.795999999999999"/>
    <d v="2019-07-01T00:00:00"/>
    <x v="0"/>
    <x v="1"/>
  </r>
  <r>
    <x v="7"/>
    <x v="7"/>
    <s v="Agustus"/>
    <s v="Division_A"/>
    <x v="21"/>
    <n v="2012"/>
    <n v="7"/>
    <s v="TM-Utama"/>
    <n v="28"/>
    <n v="3483"/>
    <s v="124.4"/>
    <x v="1"/>
    <n v="1.7350000000000001"/>
    <n v="48587.9"/>
    <n v="48.588000000000001"/>
    <d v="2019-08-01T00:00:00"/>
    <x v="0"/>
    <x v="1"/>
  </r>
  <r>
    <x v="7"/>
    <x v="8"/>
    <s v="September"/>
    <s v="Division_A"/>
    <x v="21"/>
    <n v="2012"/>
    <n v="7"/>
    <s v="TM-Utama"/>
    <n v="28"/>
    <n v="3483"/>
    <s v="124.4"/>
    <x v="1"/>
    <n v="1.2330000000000001"/>
    <n v="34533.9"/>
    <n v="34.533999999999999"/>
    <d v="2019-09-01T00:00:00"/>
    <x v="0"/>
    <x v="1"/>
  </r>
  <r>
    <x v="7"/>
    <x v="9"/>
    <s v="Oktober"/>
    <s v="Division_A"/>
    <x v="21"/>
    <n v="2012"/>
    <n v="7"/>
    <s v="TM-Utama"/>
    <n v="28"/>
    <n v="3483"/>
    <s v="124.4"/>
    <x v="1"/>
    <n v="1.619"/>
    <n v="45322.5"/>
    <n v="45.323"/>
    <d v="2019-10-01T00:00:00"/>
    <x v="0"/>
    <x v="1"/>
  </r>
  <r>
    <x v="7"/>
    <x v="10"/>
    <s v="November"/>
    <s v="Division_A"/>
    <x v="21"/>
    <n v="2012"/>
    <n v="7"/>
    <s v="TM-Utama"/>
    <n v="28"/>
    <n v="3483"/>
    <s v="124.4"/>
    <x v="1"/>
    <n v="1.1779999999999999"/>
    <n v="32992.699999999997"/>
    <n v="32.993000000000002"/>
    <d v="2019-11-01T00:00:00"/>
    <x v="0"/>
    <x v="1"/>
  </r>
  <r>
    <x v="7"/>
    <x v="11"/>
    <s v="Desember"/>
    <s v="Division_A"/>
    <x v="21"/>
    <n v="2012"/>
    <n v="7"/>
    <s v="TM-Utama"/>
    <n v="28"/>
    <n v="3483"/>
    <s v="124.4"/>
    <x v="1"/>
    <n v="0.88600000000000001"/>
    <n v="24816.400000000001"/>
    <n v="24.815999999999999"/>
    <d v="2019-12-01T00:00:00"/>
    <x v="0"/>
    <x v="1"/>
  </r>
  <r>
    <x v="7"/>
    <x v="0"/>
    <s v="Januari"/>
    <s v="Division_A"/>
    <x v="22"/>
    <n v="2013"/>
    <n v="6"/>
    <s v="TM-Utama"/>
    <n v="24"/>
    <n v="2678"/>
    <s v="111.6"/>
    <x v="1"/>
    <n v="1.0029999999999999"/>
    <n v="24081.9"/>
    <n v="24.082000000000001"/>
    <d v="2019-01-01T00:00:00"/>
    <x v="0"/>
    <x v="1"/>
  </r>
  <r>
    <x v="7"/>
    <x v="1"/>
    <s v="Februari"/>
    <s v="Division_A"/>
    <x v="22"/>
    <n v="2013"/>
    <n v="6"/>
    <s v="TM-Utama"/>
    <n v="24"/>
    <n v="2678"/>
    <s v="111.6"/>
    <x v="1"/>
    <n v="1.173"/>
    <n v="28159.200000000001"/>
    <n v="28.158999999999999"/>
    <d v="2019-02-01T00:00:00"/>
    <x v="0"/>
    <x v="1"/>
  </r>
  <r>
    <x v="7"/>
    <x v="2"/>
    <s v="Maret"/>
    <s v="Division_A"/>
    <x v="22"/>
    <n v="2013"/>
    <n v="6"/>
    <s v="TM-Utama"/>
    <n v="24"/>
    <n v="2678"/>
    <s v="111.6"/>
    <x v="1"/>
    <n v="1.365"/>
    <n v="32758.6"/>
    <n v="32.759"/>
    <d v="2019-03-01T00:00:00"/>
    <x v="0"/>
    <x v="1"/>
  </r>
  <r>
    <x v="7"/>
    <x v="3"/>
    <s v="April"/>
    <s v="Division_A"/>
    <x v="22"/>
    <n v="2013"/>
    <n v="6"/>
    <s v="TM-Utama"/>
    <n v="24"/>
    <n v="2678"/>
    <s v="111.6"/>
    <x v="1"/>
    <n v="1.5329999999999999"/>
    <n v="36795.699999999997"/>
    <n v="36.795999999999999"/>
    <d v="2019-04-01T00:00:00"/>
    <x v="0"/>
    <x v="1"/>
  </r>
  <r>
    <x v="7"/>
    <x v="4"/>
    <s v="Mei"/>
    <s v="Division_A"/>
    <x v="22"/>
    <n v="2013"/>
    <n v="6"/>
    <s v="TM-Utama"/>
    <n v="24"/>
    <n v="2678"/>
    <s v="111.6"/>
    <x v="1"/>
    <n v="1.5680000000000001"/>
    <n v="37639.300000000003"/>
    <n v="37.639000000000003"/>
    <d v="2019-05-01T00:00:00"/>
    <x v="0"/>
    <x v="1"/>
  </r>
  <r>
    <x v="7"/>
    <x v="5"/>
    <s v="Juni"/>
    <s v="Division_A"/>
    <x v="22"/>
    <n v="2013"/>
    <n v="6"/>
    <s v="TM-Utama"/>
    <n v="24"/>
    <n v="2678"/>
    <s v="111.6"/>
    <x v="1"/>
    <n v="1.4890000000000001"/>
    <n v="35731.199999999997"/>
    <n v="35.731000000000002"/>
    <d v="2019-06-01T00:00:00"/>
    <x v="0"/>
    <x v="1"/>
  </r>
  <r>
    <x v="7"/>
    <x v="6"/>
    <s v="Juli"/>
    <s v="Division_A"/>
    <x v="22"/>
    <n v="2013"/>
    <n v="6"/>
    <s v="TM-Utama"/>
    <n v="24"/>
    <n v="2678"/>
    <s v="111.6"/>
    <x v="1"/>
    <n v="1.339"/>
    <n v="32136"/>
    <n v="32.136000000000003"/>
    <d v="2019-07-01T00:00:00"/>
    <x v="0"/>
    <x v="1"/>
  </r>
  <r>
    <x v="7"/>
    <x v="7"/>
    <s v="Agustus"/>
    <s v="Division_A"/>
    <x v="22"/>
    <n v="2013"/>
    <n v="6"/>
    <s v="TM-Utama"/>
    <n v="24"/>
    <n v="2678"/>
    <s v="111.6"/>
    <x v="1"/>
    <n v="1.5569999999999999"/>
    <n v="37358.1"/>
    <n v="37.357999999999997"/>
    <d v="2019-08-01T00:00:00"/>
    <x v="0"/>
    <x v="1"/>
  </r>
  <r>
    <x v="7"/>
    <x v="8"/>
    <s v="September"/>
    <s v="Division_A"/>
    <x v="22"/>
    <n v="2013"/>
    <n v="6"/>
    <s v="TM-Utama"/>
    <n v="24"/>
    <n v="2678"/>
    <s v="111.6"/>
    <x v="1"/>
    <n v="1.1060000000000001"/>
    <n v="26552.400000000001"/>
    <n v="26.552"/>
    <d v="2019-09-01T00:00:00"/>
    <x v="0"/>
    <x v="1"/>
  </r>
  <r>
    <x v="7"/>
    <x v="9"/>
    <s v="Oktober"/>
    <s v="Division_A"/>
    <x v="22"/>
    <n v="2013"/>
    <n v="6"/>
    <s v="TM-Utama"/>
    <n v="24"/>
    <n v="2678"/>
    <s v="111.6"/>
    <x v="1"/>
    <n v="1.452"/>
    <n v="34847.5"/>
    <n v="34.847000000000001"/>
    <d v="2019-10-01T00:00:00"/>
    <x v="0"/>
    <x v="1"/>
  </r>
  <r>
    <x v="7"/>
    <x v="10"/>
    <s v="November"/>
    <s v="Division_A"/>
    <x v="22"/>
    <n v="2013"/>
    <n v="6"/>
    <s v="TM-Utama"/>
    <n v="24"/>
    <n v="2678"/>
    <s v="111.6"/>
    <x v="1"/>
    <n v="1.0569999999999999"/>
    <n v="25367.4"/>
    <n v="25.367000000000001"/>
    <d v="2019-11-01T00:00:00"/>
    <x v="0"/>
    <x v="1"/>
  </r>
  <r>
    <x v="7"/>
    <x v="11"/>
    <s v="Desember"/>
    <s v="Division_A"/>
    <x v="22"/>
    <n v="2013"/>
    <n v="6"/>
    <s v="TM-Utama"/>
    <n v="24"/>
    <n v="2678"/>
    <s v="111.6"/>
    <x v="1"/>
    <n v="0.79500000000000004"/>
    <n v="19080.8"/>
    <n v="19.081"/>
    <d v="2019-12-01T00:00:00"/>
    <x v="0"/>
    <x v="1"/>
  </r>
  <r>
    <x v="7"/>
    <x v="0"/>
    <s v="Januari"/>
    <s v="Division_A"/>
    <x v="23"/>
    <n v="2013"/>
    <n v="6"/>
    <s v="TM-Utama"/>
    <n v="23"/>
    <n v="2683"/>
    <s v="116.7"/>
    <x v="1"/>
    <n v="1.0489999999999999"/>
    <n v="24126.9"/>
    <n v="24.126999999999999"/>
    <d v="2019-01-01T00:00:00"/>
    <x v="0"/>
    <x v="1"/>
  </r>
  <r>
    <x v="7"/>
    <x v="1"/>
    <s v="Februari"/>
    <s v="Division_A"/>
    <x v="23"/>
    <n v="2013"/>
    <n v="6"/>
    <s v="TM-Utama"/>
    <n v="23"/>
    <n v="2683"/>
    <s v="116.7"/>
    <x v="1"/>
    <n v="1.2270000000000001"/>
    <n v="28211.7"/>
    <n v="28.212"/>
    <d v="2019-02-01T00:00:00"/>
    <x v="0"/>
    <x v="1"/>
  </r>
  <r>
    <x v="7"/>
    <x v="2"/>
    <s v="Maret"/>
    <s v="Division_A"/>
    <x v="23"/>
    <n v="2013"/>
    <n v="6"/>
    <s v="TM-Utama"/>
    <n v="23"/>
    <n v="2683"/>
    <s v="116.7"/>
    <x v="1"/>
    <n v="1.427"/>
    <n v="32819.800000000003"/>
    <n v="32.82"/>
    <d v="2019-03-01T00:00:00"/>
    <x v="0"/>
    <x v="1"/>
  </r>
  <r>
    <x v="7"/>
    <x v="3"/>
    <s v="April"/>
    <s v="Division_A"/>
    <x v="23"/>
    <n v="2013"/>
    <n v="6"/>
    <s v="TM-Utama"/>
    <n v="23"/>
    <n v="2683"/>
    <s v="116.7"/>
    <x v="1"/>
    <n v="1.603"/>
    <n v="36864.400000000001"/>
    <n v="36.863999999999997"/>
    <d v="2019-04-01T00:00:00"/>
    <x v="0"/>
    <x v="1"/>
  </r>
  <r>
    <x v="7"/>
    <x v="4"/>
    <s v="Mei"/>
    <s v="Division_A"/>
    <x v="23"/>
    <n v="2013"/>
    <n v="6"/>
    <s v="TM-Utama"/>
    <n v="23"/>
    <n v="2683"/>
    <s v="116.7"/>
    <x v="1"/>
    <n v="1.64"/>
    <n v="37709.599999999999"/>
    <n v="37.71"/>
    <d v="2019-05-01T00:00:00"/>
    <x v="0"/>
    <x v="1"/>
  </r>
  <r>
    <x v="7"/>
    <x v="5"/>
    <s v="Juni"/>
    <s v="Division_A"/>
    <x v="23"/>
    <n v="2013"/>
    <n v="6"/>
    <s v="TM-Utama"/>
    <n v="23"/>
    <n v="2683"/>
    <s v="116.7"/>
    <x v="1"/>
    <n v="1.556"/>
    <n v="35797.9"/>
    <n v="35.798000000000002"/>
    <d v="2019-06-01T00:00:00"/>
    <x v="0"/>
    <x v="1"/>
  </r>
  <r>
    <x v="7"/>
    <x v="6"/>
    <s v="Juli"/>
    <s v="Division_A"/>
    <x v="23"/>
    <n v="2013"/>
    <n v="6"/>
    <s v="TM-Utama"/>
    <n v="23"/>
    <n v="2683"/>
    <s v="116.7"/>
    <x v="1"/>
    <n v="1.4"/>
    <n v="32196"/>
    <n v="32.195999999999998"/>
    <d v="2019-07-01T00:00:00"/>
    <x v="0"/>
    <x v="1"/>
  </r>
  <r>
    <x v="7"/>
    <x v="7"/>
    <s v="Agustus"/>
    <s v="Division_A"/>
    <x v="23"/>
    <n v="2013"/>
    <n v="6"/>
    <s v="TM-Utama"/>
    <n v="23"/>
    <n v="2683"/>
    <s v="116.7"/>
    <x v="1"/>
    <n v="1.627"/>
    <n v="37427.800000000003"/>
    <n v="37.427999999999997"/>
    <d v="2019-08-01T00:00:00"/>
    <x v="0"/>
    <x v="1"/>
  </r>
  <r>
    <x v="7"/>
    <x v="8"/>
    <s v="September"/>
    <s v="Division_A"/>
    <x v="23"/>
    <n v="2013"/>
    <n v="6"/>
    <s v="TM-Utama"/>
    <n v="23"/>
    <n v="2683"/>
    <s v="116.7"/>
    <x v="1"/>
    <n v="1.157"/>
    <n v="26601.9"/>
    <n v="26.602"/>
    <d v="2019-09-01T00:00:00"/>
    <x v="0"/>
    <x v="1"/>
  </r>
  <r>
    <x v="7"/>
    <x v="9"/>
    <s v="Oktober"/>
    <s v="Division_A"/>
    <x v="23"/>
    <n v="2013"/>
    <n v="6"/>
    <s v="TM-Utama"/>
    <n v="23"/>
    <n v="2683"/>
    <s v="116.7"/>
    <x v="1"/>
    <n v="1.518"/>
    <n v="34912.5"/>
    <n v="34.912999999999997"/>
    <d v="2019-10-01T00:00:00"/>
    <x v="0"/>
    <x v="1"/>
  </r>
  <r>
    <x v="7"/>
    <x v="10"/>
    <s v="November"/>
    <s v="Division_A"/>
    <x v="23"/>
    <n v="2013"/>
    <n v="6"/>
    <s v="TM-Utama"/>
    <n v="23"/>
    <n v="2683"/>
    <s v="116.7"/>
    <x v="1"/>
    <n v="1.105"/>
    <n v="25414.7"/>
    <n v="25.414999999999999"/>
    <d v="2019-11-01T00:00:00"/>
    <x v="0"/>
    <x v="1"/>
  </r>
  <r>
    <x v="7"/>
    <x v="11"/>
    <s v="Desember"/>
    <s v="Division_A"/>
    <x v="23"/>
    <n v="2013"/>
    <n v="6"/>
    <s v="TM-Utama"/>
    <n v="23"/>
    <n v="2683"/>
    <s v="116.7"/>
    <x v="1"/>
    <n v="0.83099999999999996"/>
    <n v="19116.400000000001"/>
    <n v="19.116"/>
    <d v="2019-12-01T00:00:00"/>
    <x v="0"/>
    <x v="1"/>
  </r>
  <r>
    <x v="7"/>
    <x v="0"/>
    <s v="Januari"/>
    <s v="Division_A"/>
    <x v="24"/>
    <n v="2013"/>
    <n v="6"/>
    <s v="TM-Utama"/>
    <n v="24"/>
    <n v="3445"/>
    <s v="143.5"/>
    <x v="1"/>
    <n v="1.2909999999999999"/>
    <n v="30979.200000000001"/>
    <n v="30.978999999999999"/>
    <d v="2019-01-01T00:00:00"/>
    <x v="0"/>
    <x v="1"/>
  </r>
  <r>
    <x v="7"/>
    <x v="1"/>
    <s v="Februari"/>
    <s v="Division_A"/>
    <x v="24"/>
    <n v="2013"/>
    <n v="6"/>
    <s v="TM-Utama"/>
    <n v="24"/>
    <n v="3445"/>
    <s v="143.5"/>
    <x v="1"/>
    <n v="1.5089999999999999"/>
    <n v="36224.199999999997"/>
    <n v="36.223999999999997"/>
    <d v="2019-02-01T00:00:00"/>
    <x v="0"/>
    <x v="1"/>
  </r>
  <r>
    <x v="7"/>
    <x v="2"/>
    <s v="Maret"/>
    <s v="Division_A"/>
    <x v="24"/>
    <n v="2013"/>
    <n v="6"/>
    <s v="TM-Utama"/>
    <n v="24"/>
    <n v="3445"/>
    <s v="143.5"/>
    <x v="1"/>
    <n v="1.756"/>
    <n v="42141"/>
    <n v="42.140999999999998"/>
    <d v="2019-03-01T00:00:00"/>
    <x v="0"/>
    <x v="1"/>
  </r>
  <r>
    <x v="7"/>
    <x v="3"/>
    <s v="April"/>
    <s v="Division_A"/>
    <x v="24"/>
    <n v="2013"/>
    <n v="6"/>
    <s v="TM-Utama"/>
    <n v="24"/>
    <n v="3445"/>
    <s v="143.5"/>
    <x v="1"/>
    <n v="1.972"/>
    <n v="47334.3"/>
    <n v="47.334000000000003"/>
    <d v="2019-04-01T00:00:00"/>
    <x v="0"/>
    <x v="1"/>
  </r>
  <r>
    <x v="7"/>
    <x v="4"/>
    <s v="Mei"/>
    <s v="Division_A"/>
    <x v="24"/>
    <n v="2013"/>
    <n v="6"/>
    <s v="TM-Utama"/>
    <n v="24"/>
    <n v="3445"/>
    <s v="143.5"/>
    <x v="1"/>
    <n v="2.0169999999999999"/>
    <n v="48419.5"/>
    <n v="48.418999999999997"/>
    <d v="2019-05-01T00:00:00"/>
    <x v="0"/>
    <x v="1"/>
  </r>
  <r>
    <x v="7"/>
    <x v="5"/>
    <s v="Juni"/>
    <s v="Division_A"/>
    <x v="24"/>
    <n v="2013"/>
    <n v="6"/>
    <s v="TM-Utama"/>
    <n v="24"/>
    <n v="3445"/>
    <s v="143.5"/>
    <x v="1"/>
    <n v="1.915"/>
    <n v="45964.9"/>
    <n v="45.965000000000003"/>
    <d v="2019-06-01T00:00:00"/>
    <x v="0"/>
    <x v="1"/>
  </r>
  <r>
    <x v="7"/>
    <x v="6"/>
    <s v="Juli"/>
    <s v="Division_A"/>
    <x v="24"/>
    <n v="2013"/>
    <n v="6"/>
    <s v="TM-Utama"/>
    <n v="24"/>
    <n v="3445"/>
    <s v="143.5"/>
    <x v="1"/>
    <n v="1.7230000000000001"/>
    <n v="41340"/>
    <n v="41.34"/>
    <d v="2019-07-01T00:00:00"/>
    <x v="0"/>
    <x v="1"/>
  </r>
  <r>
    <x v="7"/>
    <x v="7"/>
    <s v="Agustus"/>
    <s v="Division_A"/>
    <x v="24"/>
    <n v="2013"/>
    <n v="6"/>
    <s v="TM-Utama"/>
    <n v="24"/>
    <n v="3445"/>
    <s v="143.5"/>
    <x v="1"/>
    <n v="2.0019999999999998"/>
    <n v="48057.8"/>
    <n v="48.058"/>
    <d v="2019-08-01T00:00:00"/>
    <x v="0"/>
    <x v="1"/>
  </r>
  <r>
    <x v="7"/>
    <x v="8"/>
    <s v="September"/>
    <s v="Division_A"/>
    <x v="24"/>
    <n v="2013"/>
    <n v="6"/>
    <s v="TM-Utama"/>
    <n v="24"/>
    <n v="3445"/>
    <s v="143.5"/>
    <x v="1"/>
    <n v="1.423"/>
    <n v="34157.199999999997"/>
    <n v="34.156999999999996"/>
    <d v="2019-09-01T00:00:00"/>
    <x v="0"/>
    <x v="1"/>
  </r>
  <r>
    <x v="7"/>
    <x v="9"/>
    <s v="Oktober"/>
    <s v="Division_A"/>
    <x v="24"/>
    <n v="2013"/>
    <n v="6"/>
    <s v="TM-Utama"/>
    <n v="24"/>
    <n v="3445"/>
    <s v="143.5"/>
    <x v="1"/>
    <n v="1.8680000000000001"/>
    <n v="44828.1"/>
    <n v="44.828000000000003"/>
    <d v="2019-10-01T00:00:00"/>
    <x v="0"/>
    <x v="1"/>
  </r>
  <r>
    <x v="7"/>
    <x v="10"/>
    <s v="November"/>
    <s v="Division_A"/>
    <x v="24"/>
    <n v="2013"/>
    <n v="6"/>
    <s v="TM-Utama"/>
    <n v="24"/>
    <n v="3445"/>
    <s v="143.5"/>
    <x v="1"/>
    <n v="1.36"/>
    <n v="32632.799999999999"/>
    <n v="32.633000000000003"/>
    <d v="2019-11-01T00:00:00"/>
    <x v="0"/>
    <x v="1"/>
  </r>
  <r>
    <x v="7"/>
    <x v="11"/>
    <s v="Desember"/>
    <s v="Division_A"/>
    <x v="24"/>
    <n v="2013"/>
    <n v="6"/>
    <s v="TM-Utama"/>
    <n v="24"/>
    <n v="3445"/>
    <s v="143.5"/>
    <x v="1"/>
    <n v="1.0229999999999999"/>
    <n v="24545.599999999999"/>
    <n v="24.545999999999999"/>
    <d v="2019-12-01T00:00:00"/>
    <x v="0"/>
    <x v="1"/>
  </r>
  <r>
    <x v="7"/>
    <x v="0"/>
    <s v="Januari"/>
    <s v="Division_A"/>
    <x v="25"/>
    <n v="2013"/>
    <n v="6"/>
    <s v="TM-Utama"/>
    <n v="24"/>
    <n v="3271"/>
    <s v="136.3"/>
    <x v="1"/>
    <n v="1.226"/>
    <n v="29414.5"/>
    <n v="29.414000000000001"/>
    <d v="2019-01-01T00:00:00"/>
    <x v="0"/>
    <x v="1"/>
  </r>
  <r>
    <x v="7"/>
    <x v="1"/>
    <s v="Februari"/>
    <s v="Division_A"/>
    <x v="25"/>
    <n v="2013"/>
    <n v="6"/>
    <s v="TM-Utama"/>
    <n v="24"/>
    <n v="3271"/>
    <s v="136.3"/>
    <x v="1"/>
    <n v="1.4330000000000001"/>
    <n v="34394.6"/>
    <n v="34.395000000000003"/>
    <d v="2019-02-01T00:00:00"/>
    <x v="0"/>
    <x v="1"/>
  </r>
  <r>
    <x v="7"/>
    <x v="2"/>
    <s v="Maret"/>
    <s v="Division_A"/>
    <x v="25"/>
    <n v="2013"/>
    <n v="6"/>
    <s v="TM-Utama"/>
    <n v="24"/>
    <n v="3271"/>
    <s v="136.3"/>
    <x v="1"/>
    <n v="1.667"/>
    <n v="40012.5"/>
    <n v="40.012999999999998"/>
    <d v="2019-03-01T00:00:00"/>
    <x v="0"/>
    <x v="1"/>
  </r>
  <r>
    <x v="7"/>
    <x v="3"/>
    <s v="April"/>
    <s v="Division_A"/>
    <x v="25"/>
    <n v="2013"/>
    <n v="6"/>
    <s v="TM-Utama"/>
    <n v="24"/>
    <n v="3271"/>
    <s v="136.3"/>
    <x v="1"/>
    <n v="1.873"/>
    <n v="44943.5"/>
    <n v="44.944000000000003"/>
    <d v="2019-04-01T00:00:00"/>
    <x v="0"/>
    <x v="1"/>
  </r>
  <r>
    <x v="7"/>
    <x v="4"/>
    <s v="Mei"/>
    <s v="Division_A"/>
    <x v="25"/>
    <n v="2013"/>
    <n v="6"/>
    <s v="TM-Utama"/>
    <n v="24"/>
    <n v="3271"/>
    <s v="136.3"/>
    <x v="1"/>
    <n v="1.9159999999999999"/>
    <n v="45973.9"/>
    <n v="45.973999999999997"/>
    <d v="2019-05-01T00:00:00"/>
    <x v="0"/>
    <x v="1"/>
  </r>
  <r>
    <x v="7"/>
    <x v="5"/>
    <s v="Juni"/>
    <s v="Division_A"/>
    <x v="25"/>
    <n v="2013"/>
    <n v="6"/>
    <s v="TM-Utama"/>
    <n v="24"/>
    <n v="3271"/>
    <s v="136.3"/>
    <x v="1"/>
    <n v="1.8180000000000001"/>
    <n v="43643.3"/>
    <n v="43.643000000000001"/>
    <d v="2019-06-01T00:00:00"/>
    <x v="0"/>
    <x v="1"/>
  </r>
  <r>
    <x v="7"/>
    <x v="6"/>
    <s v="Juli"/>
    <s v="Division_A"/>
    <x v="25"/>
    <n v="2013"/>
    <n v="6"/>
    <s v="TM-Utama"/>
    <n v="24"/>
    <n v="3271"/>
    <s v="136.3"/>
    <x v="1"/>
    <n v="1.635"/>
    <n v="39252"/>
    <n v="39.252000000000002"/>
    <d v="2019-07-01T00:00:00"/>
    <x v="0"/>
    <x v="1"/>
  </r>
  <r>
    <x v="7"/>
    <x v="7"/>
    <s v="Agustus"/>
    <s v="Division_A"/>
    <x v="25"/>
    <n v="2013"/>
    <n v="6"/>
    <s v="TM-Utama"/>
    <n v="24"/>
    <n v="3271"/>
    <s v="136.3"/>
    <x v="1"/>
    <n v="1.901"/>
    <n v="45630.400000000001"/>
    <n v="45.63"/>
    <d v="2019-08-01T00:00:00"/>
    <x v="0"/>
    <x v="1"/>
  </r>
  <r>
    <x v="7"/>
    <x v="8"/>
    <s v="September"/>
    <s v="Division_A"/>
    <x v="25"/>
    <n v="2013"/>
    <n v="6"/>
    <s v="TM-Utama"/>
    <n v="24"/>
    <n v="3271"/>
    <s v="136.3"/>
    <x v="1"/>
    <n v="1.351"/>
    <n v="32432"/>
    <n v="32.432000000000002"/>
    <d v="2019-09-01T00:00:00"/>
    <x v="0"/>
    <x v="1"/>
  </r>
  <r>
    <x v="7"/>
    <x v="9"/>
    <s v="Oktober"/>
    <s v="Division_A"/>
    <x v="25"/>
    <n v="2013"/>
    <n v="6"/>
    <s v="TM-Utama"/>
    <n v="24"/>
    <n v="3271"/>
    <s v="136.3"/>
    <x v="1"/>
    <n v="1.7729999999999999"/>
    <n v="42563.9"/>
    <n v="42.564"/>
    <d v="2019-10-01T00:00:00"/>
    <x v="0"/>
    <x v="1"/>
  </r>
  <r>
    <x v="7"/>
    <x v="10"/>
    <s v="November"/>
    <s v="Division_A"/>
    <x v="25"/>
    <n v="2013"/>
    <n v="6"/>
    <s v="TM-Utama"/>
    <n v="24"/>
    <n v="3271"/>
    <s v="136.3"/>
    <x v="1"/>
    <n v="1.2909999999999999"/>
    <n v="30984.5"/>
    <n v="30.984999999999999"/>
    <d v="2019-11-01T00:00:00"/>
    <x v="0"/>
    <x v="1"/>
  </r>
  <r>
    <x v="7"/>
    <x v="11"/>
    <s v="Desember"/>
    <s v="Division_A"/>
    <x v="25"/>
    <n v="2013"/>
    <n v="6"/>
    <s v="TM-Utama"/>
    <n v="24"/>
    <n v="3271"/>
    <s v="136.3"/>
    <x v="1"/>
    <n v="0.97099999999999997"/>
    <n v="23305.9"/>
    <n v="23.306000000000001"/>
    <d v="2019-12-01T00:00:00"/>
    <x v="0"/>
    <x v="1"/>
  </r>
  <r>
    <x v="7"/>
    <x v="0"/>
    <s v="Januari"/>
    <s v="Division_A"/>
    <x v="26"/>
    <n v="2013"/>
    <n v="6"/>
    <s v="TM-Utama"/>
    <n v="25"/>
    <n v="3291"/>
    <s v="131.6"/>
    <x v="1"/>
    <n v="1.1839999999999999"/>
    <n v="29594.3"/>
    <n v="29.594000000000001"/>
    <d v="2019-01-01T00:00:00"/>
    <x v="0"/>
    <x v="1"/>
  </r>
  <r>
    <x v="7"/>
    <x v="1"/>
    <s v="Februari"/>
    <s v="Division_A"/>
    <x v="26"/>
    <n v="2013"/>
    <n v="6"/>
    <s v="TM-Utama"/>
    <n v="25"/>
    <n v="3291"/>
    <s v="131.6"/>
    <x v="1"/>
    <n v="1.3839999999999999"/>
    <n v="34604.9"/>
    <n v="34.604999999999997"/>
    <d v="2019-02-01T00:00:00"/>
    <x v="0"/>
    <x v="1"/>
  </r>
  <r>
    <x v="7"/>
    <x v="2"/>
    <s v="Maret"/>
    <s v="Division_A"/>
    <x v="26"/>
    <n v="2013"/>
    <n v="6"/>
    <s v="TM-Utama"/>
    <n v="25"/>
    <n v="3291"/>
    <s v="131.6"/>
    <x v="1"/>
    <n v="1.61"/>
    <n v="40257.199999999997"/>
    <n v="40.256999999999998"/>
    <d v="2019-03-01T00:00:00"/>
    <x v="0"/>
    <x v="1"/>
  </r>
  <r>
    <x v="7"/>
    <x v="3"/>
    <s v="April"/>
    <s v="Division_A"/>
    <x v="26"/>
    <n v="2013"/>
    <n v="6"/>
    <s v="TM-Utama"/>
    <n v="25"/>
    <n v="3291"/>
    <s v="131.6"/>
    <x v="1"/>
    <n v="1.8089999999999999"/>
    <n v="45218.3"/>
    <n v="45.218000000000004"/>
    <d v="2019-04-01T00:00:00"/>
    <x v="0"/>
    <x v="1"/>
  </r>
  <r>
    <x v="7"/>
    <x v="4"/>
    <s v="Mei"/>
    <s v="Division_A"/>
    <x v="26"/>
    <n v="2013"/>
    <n v="6"/>
    <s v="TM-Utama"/>
    <n v="25"/>
    <n v="3291"/>
    <s v="131.6"/>
    <x v="1"/>
    <n v="1.85"/>
    <n v="46255"/>
    <n v="46.255000000000003"/>
    <d v="2019-05-01T00:00:00"/>
    <x v="0"/>
    <x v="1"/>
  </r>
  <r>
    <x v="7"/>
    <x v="5"/>
    <s v="Juni"/>
    <s v="Division_A"/>
    <x v="26"/>
    <n v="2013"/>
    <n v="6"/>
    <s v="TM-Utama"/>
    <n v="25"/>
    <n v="3291"/>
    <s v="131.6"/>
    <x v="1"/>
    <n v="1.756"/>
    <n v="43910.2"/>
    <n v="43.91"/>
    <d v="2019-06-01T00:00:00"/>
    <x v="0"/>
    <x v="1"/>
  </r>
  <r>
    <x v="7"/>
    <x v="6"/>
    <s v="Juli"/>
    <s v="Division_A"/>
    <x v="26"/>
    <n v="2013"/>
    <n v="6"/>
    <s v="TM-Utama"/>
    <n v="25"/>
    <n v="3291"/>
    <s v="131.6"/>
    <x v="1"/>
    <n v="1.58"/>
    <n v="39492"/>
    <n v="39.491999999999997"/>
    <d v="2019-07-01T00:00:00"/>
    <x v="0"/>
    <x v="1"/>
  </r>
  <r>
    <x v="7"/>
    <x v="7"/>
    <s v="Agustus"/>
    <s v="Division_A"/>
    <x v="26"/>
    <n v="2013"/>
    <n v="6"/>
    <s v="TM-Utama"/>
    <n v="25"/>
    <n v="3291"/>
    <s v="131.6"/>
    <x v="1"/>
    <n v="1.8360000000000001"/>
    <n v="45909.4"/>
    <n v="45.908999999999999"/>
    <d v="2019-08-01T00:00:00"/>
    <x v="0"/>
    <x v="1"/>
  </r>
  <r>
    <x v="7"/>
    <x v="8"/>
    <s v="September"/>
    <s v="Division_A"/>
    <x v="26"/>
    <n v="2013"/>
    <n v="6"/>
    <s v="TM-Utama"/>
    <n v="25"/>
    <n v="3291"/>
    <s v="131.6"/>
    <x v="1"/>
    <n v="1.3049999999999999"/>
    <n v="32630.3"/>
    <n v="32.630000000000003"/>
    <d v="2019-09-01T00:00:00"/>
    <x v="0"/>
    <x v="1"/>
  </r>
  <r>
    <x v="7"/>
    <x v="9"/>
    <s v="Oktober"/>
    <s v="Division_A"/>
    <x v="26"/>
    <n v="2013"/>
    <n v="6"/>
    <s v="TM-Utama"/>
    <n v="25"/>
    <n v="3291"/>
    <s v="131.6"/>
    <x v="1"/>
    <n v="1.7130000000000001"/>
    <n v="42824.1"/>
    <n v="42.823999999999998"/>
    <d v="2019-10-01T00:00:00"/>
    <x v="0"/>
    <x v="1"/>
  </r>
  <r>
    <x v="7"/>
    <x v="10"/>
    <s v="November"/>
    <s v="Division_A"/>
    <x v="26"/>
    <n v="2013"/>
    <n v="6"/>
    <s v="TM-Utama"/>
    <n v="25"/>
    <n v="3291"/>
    <s v="131.6"/>
    <x v="1"/>
    <n v="1.2470000000000001"/>
    <n v="31174"/>
    <n v="31.173999999999999"/>
    <d v="2019-11-01T00:00:00"/>
    <x v="0"/>
    <x v="1"/>
  </r>
  <r>
    <x v="7"/>
    <x v="11"/>
    <s v="Desember"/>
    <s v="Division_A"/>
    <x v="26"/>
    <n v="2013"/>
    <n v="6"/>
    <s v="TM-Utama"/>
    <n v="25"/>
    <n v="3291"/>
    <s v="131.6"/>
    <x v="1"/>
    <n v="0.93799999999999994"/>
    <n v="23448.400000000001"/>
    <n v="23.448"/>
    <d v="2019-12-01T00:00:00"/>
    <x v="0"/>
    <x v="1"/>
  </r>
  <r>
    <x v="7"/>
    <x v="0"/>
    <s v="Januari"/>
    <s v="Division_A"/>
    <x v="27"/>
    <n v="2014"/>
    <n v="5"/>
    <s v="TM-3"/>
    <n v="24"/>
    <n v="2208"/>
    <s v="92"/>
    <x v="1"/>
    <n v="1.0549999999999999"/>
    <n v="25322.9"/>
    <n v="25.323"/>
    <d v="2019-01-01T00:00:00"/>
    <x v="0"/>
    <x v="3"/>
  </r>
  <r>
    <x v="7"/>
    <x v="1"/>
    <s v="Februari"/>
    <s v="Division_A"/>
    <x v="27"/>
    <n v="2014"/>
    <n v="5"/>
    <s v="TM-3"/>
    <n v="24"/>
    <n v="2208"/>
    <s v="92"/>
    <x v="1"/>
    <n v="1.234"/>
    <n v="29610.2"/>
    <n v="29.61"/>
    <d v="2019-02-01T00:00:00"/>
    <x v="0"/>
    <x v="3"/>
  </r>
  <r>
    <x v="7"/>
    <x v="2"/>
    <s v="Maret"/>
    <s v="Division_A"/>
    <x v="27"/>
    <n v="2014"/>
    <n v="5"/>
    <s v="TM-3"/>
    <n v="24"/>
    <n v="2208"/>
    <s v="92"/>
    <x v="1"/>
    <n v="1.4350000000000001"/>
    <n v="34446.699999999997"/>
    <n v="34.447000000000003"/>
    <d v="2019-03-01T00:00:00"/>
    <x v="0"/>
    <x v="3"/>
  </r>
  <r>
    <x v="7"/>
    <x v="3"/>
    <s v="April"/>
    <s v="Division_A"/>
    <x v="27"/>
    <n v="2014"/>
    <n v="5"/>
    <s v="TM-3"/>
    <n v="24"/>
    <n v="2208"/>
    <s v="92"/>
    <x v="1"/>
    <n v="1.6120000000000001"/>
    <n v="38691.800000000003"/>
    <n v="38.692"/>
    <d v="2019-04-01T00:00:00"/>
    <x v="0"/>
    <x v="3"/>
  </r>
  <r>
    <x v="7"/>
    <x v="4"/>
    <s v="Mei"/>
    <s v="Division_A"/>
    <x v="27"/>
    <n v="2014"/>
    <n v="5"/>
    <s v="TM-3"/>
    <n v="24"/>
    <n v="2208"/>
    <s v="92"/>
    <x v="1"/>
    <n v="1.649"/>
    <n v="39578.9"/>
    <n v="39.579000000000001"/>
    <d v="2019-05-01T00:00:00"/>
    <x v="0"/>
    <x v="3"/>
  </r>
  <r>
    <x v="7"/>
    <x v="5"/>
    <s v="Juni"/>
    <s v="Division_A"/>
    <x v="27"/>
    <n v="2014"/>
    <n v="5"/>
    <s v="TM-3"/>
    <n v="24"/>
    <n v="2208"/>
    <s v="92"/>
    <x v="1"/>
    <n v="1.5660000000000001"/>
    <n v="37572.5"/>
    <n v="37.572000000000003"/>
    <d v="2019-06-01T00:00:00"/>
    <x v="0"/>
    <x v="3"/>
  </r>
  <r>
    <x v="7"/>
    <x v="6"/>
    <s v="Juli"/>
    <s v="Division_A"/>
    <x v="27"/>
    <n v="2014"/>
    <n v="5"/>
    <s v="TM-3"/>
    <n v="24"/>
    <n v="2208"/>
    <s v="92"/>
    <x v="1"/>
    <n v="1.4079999999999999"/>
    <n v="33792"/>
    <n v="33.792000000000002"/>
    <d v="2019-07-01T00:00:00"/>
    <x v="0"/>
    <x v="3"/>
  </r>
  <r>
    <x v="7"/>
    <x v="7"/>
    <s v="Agustus"/>
    <s v="Division_A"/>
    <x v="27"/>
    <n v="2014"/>
    <n v="5"/>
    <s v="TM-3"/>
    <n v="24"/>
    <n v="2208"/>
    <s v="92"/>
    <x v="1"/>
    <n v="1.637"/>
    <n v="39283.199999999997"/>
    <n v="39.283000000000001"/>
    <d v="2019-08-01T00:00:00"/>
    <x v="0"/>
    <x v="3"/>
  </r>
  <r>
    <x v="7"/>
    <x v="8"/>
    <s v="September"/>
    <s v="Division_A"/>
    <x v="27"/>
    <n v="2014"/>
    <n v="5"/>
    <s v="TM-3"/>
    <n v="24"/>
    <n v="2208"/>
    <s v="92"/>
    <x v="1"/>
    <n v="1.163"/>
    <n v="27920.6"/>
    <n v="27.920999999999999"/>
    <d v="2019-09-01T00:00:00"/>
    <x v="0"/>
    <x v="3"/>
  </r>
  <r>
    <x v="7"/>
    <x v="9"/>
    <s v="Oktober"/>
    <s v="Division_A"/>
    <x v="27"/>
    <n v="2014"/>
    <n v="5"/>
    <s v="TM-3"/>
    <n v="24"/>
    <n v="2208"/>
    <s v="92"/>
    <x v="1"/>
    <n v="1.5269999999999999"/>
    <n v="36643.199999999997"/>
    <n v="36.643000000000001"/>
    <d v="2019-10-01T00:00:00"/>
    <x v="0"/>
    <x v="3"/>
  </r>
  <r>
    <x v="7"/>
    <x v="10"/>
    <s v="November"/>
    <s v="Division_A"/>
    <x v="27"/>
    <n v="2014"/>
    <n v="5"/>
    <s v="TM-3"/>
    <n v="24"/>
    <n v="2208"/>
    <s v="92"/>
    <x v="1"/>
    <n v="1.111"/>
    <n v="26674.6"/>
    <n v="26.675000000000001"/>
    <d v="2019-11-01T00:00:00"/>
    <x v="0"/>
    <x v="3"/>
  </r>
  <r>
    <x v="7"/>
    <x v="11"/>
    <s v="Desember"/>
    <s v="Division_A"/>
    <x v="27"/>
    <n v="2014"/>
    <n v="5"/>
    <s v="TM-3"/>
    <n v="24"/>
    <n v="2208"/>
    <s v="92"/>
    <x v="1"/>
    <n v="0.83599999999999997"/>
    <n v="20064"/>
    <n v="20.064"/>
    <d v="2019-12-01T00:00:00"/>
    <x v="0"/>
    <x v="3"/>
  </r>
  <r>
    <x v="7"/>
    <x v="0"/>
    <s v="Januari"/>
    <s v="Division_A"/>
    <x v="28"/>
    <n v="2014"/>
    <n v="5"/>
    <s v="TM-3"/>
    <n v="20"/>
    <n v="1954"/>
    <s v="97.7"/>
    <x v="1"/>
    <n v="1.0549999999999999"/>
    <n v="21102.400000000001"/>
    <n v="21.102"/>
    <d v="2019-01-01T00:00:00"/>
    <x v="0"/>
    <x v="3"/>
  </r>
  <r>
    <x v="7"/>
    <x v="1"/>
    <s v="Februari"/>
    <s v="Division_A"/>
    <x v="28"/>
    <n v="2014"/>
    <n v="5"/>
    <s v="TM-3"/>
    <n v="20"/>
    <n v="1954"/>
    <s v="97.7"/>
    <x v="1"/>
    <n v="1.234"/>
    <n v="24675.200000000001"/>
    <n v="24.675000000000001"/>
    <d v="2019-02-01T00:00:00"/>
    <x v="0"/>
    <x v="3"/>
  </r>
  <r>
    <x v="7"/>
    <x v="2"/>
    <s v="Maret"/>
    <s v="Division_A"/>
    <x v="28"/>
    <n v="2014"/>
    <n v="5"/>
    <s v="TM-3"/>
    <n v="20"/>
    <n v="1954"/>
    <s v="97.7"/>
    <x v="1"/>
    <n v="1.4350000000000001"/>
    <n v="28705.599999999999"/>
    <n v="28.706"/>
    <d v="2019-03-01T00:00:00"/>
    <x v="0"/>
    <x v="3"/>
  </r>
  <r>
    <x v="7"/>
    <x v="3"/>
    <s v="April"/>
    <s v="Division_A"/>
    <x v="28"/>
    <n v="2014"/>
    <n v="5"/>
    <s v="TM-3"/>
    <n v="20"/>
    <n v="1954"/>
    <s v="97.7"/>
    <x v="1"/>
    <n v="1.6120000000000001"/>
    <n v="32243.200000000001"/>
    <n v="32.243000000000002"/>
    <d v="2019-04-01T00:00:00"/>
    <x v="0"/>
    <x v="3"/>
  </r>
  <r>
    <x v="7"/>
    <x v="4"/>
    <s v="Mei"/>
    <s v="Division_A"/>
    <x v="28"/>
    <n v="2014"/>
    <n v="5"/>
    <s v="TM-3"/>
    <n v="20"/>
    <n v="1954"/>
    <s v="97.7"/>
    <x v="1"/>
    <n v="1.649"/>
    <n v="32982.400000000001"/>
    <n v="32.981999999999999"/>
    <d v="2019-05-01T00:00:00"/>
    <x v="0"/>
    <x v="3"/>
  </r>
  <r>
    <x v="7"/>
    <x v="5"/>
    <s v="Juni"/>
    <s v="Division_A"/>
    <x v="28"/>
    <n v="2014"/>
    <n v="5"/>
    <s v="TM-3"/>
    <n v="20"/>
    <n v="1954"/>
    <s v="97.7"/>
    <x v="1"/>
    <n v="1.5660000000000001"/>
    <n v="31310.400000000001"/>
    <n v="31.31"/>
    <d v="2019-06-01T00:00:00"/>
    <x v="0"/>
    <x v="3"/>
  </r>
  <r>
    <x v="7"/>
    <x v="6"/>
    <s v="Juli"/>
    <s v="Division_A"/>
    <x v="28"/>
    <n v="2014"/>
    <n v="5"/>
    <s v="TM-3"/>
    <n v="20"/>
    <n v="1954"/>
    <s v="97.7"/>
    <x v="1"/>
    <n v="1.4079999999999999"/>
    <n v="28160"/>
    <n v="28.16"/>
    <d v="2019-07-01T00:00:00"/>
    <x v="0"/>
    <x v="3"/>
  </r>
  <r>
    <x v="7"/>
    <x v="7"/>
    <s v="Agustus"/>
    <s v="Division_A"/>
    <x v="28"/>
    <n v="2014"/>
    <n v="5"/>
    <s v="TM-3"/>
    <n v="20"/>
    <n v="1954"/>
    <s v="97.7"/>
    <x v="1"/>
    <n v="1.637"/>
    <n v="32736"/>
    <n v="32.735999999999997"/>
    <d v="2019-08-01T00:00:00"/>
    <x v="0"/>
    <x v="3"/>
  </r>
  <r>
    <x v="7"/>
    <x v="8"/>
    <s v="September"/>
    <s v="Division_A"/>
    <x v="28"/>
    <n v="2014"/>
    <n v="5"/>
    <s v="TM-3"/>
    <n v="20"/>
    <n v="1954"/>
    <s v="97.7"/>
    <x v="1"/>
    <n v="1.163"/>
    <n v="23267.200000000001"/>
    <n v="23.266999999999999"/>
    <d v="2019-09-01T00:00:00"/>
    <x v="0"/>
    <x v="3"/>
  </r>
  <r>
    <x v="7"/>
    <x v="9"/>
    <s v="Oktober"/>
    <s v="Division_A"/>
    <x v="28"/>
    <n v="2014"/>
    <n v="5"/>
    <s v="TM-3"/>
    <n v="20"/>
    <n v="1954"/>
    <s v="97.7"/>
    <x v="1"/>
    <n v="1.5269999999999999"/>
    <n v="30536"/>
    <n v="30.536000000000001"/>
    <d v="2019-10-01T00:00:00"/>
    <x v="0"/>
    <x v="3"/>
  </r>
  <r>
    <x v="7"/>
    <x v="10"/>
    <s v="November"/>
    <s v="Division_A"/>
    <x v="28"/>
    <n v="2014"/>
    <n v="5"/>
    <s v="TM-3"/>
    <n v="20"/>
    <n v="1954"/>
    <s v="97.7"/>
    <x v="1"/>
    <n v="1.111"/>
    <n v="22228.799999999999"/>
    <n v="22.228999999999999"/>
    <d v="2019-11-01T00:00:00"/>
    <x v="0"/>
    <x v="3"/>
  </r>
  <r>
    <x v="7"/>
    <x v="11"/>
    <s v="Desember"/>
    <s v="Division_A"/>
    <x v="28"/>
    <n v="2014"/>
    <n v="5"/>
    <s v="TM-3"/>
    <n v="20"/>
    <n v="1954"/>
    <s v="97.7"/>
    <x v="1"/>
    <n v="0.83599999999999997"/>
    <n v="16720"/>
    <n v="16.72"/>
    <d v="2019-12-01T00:00:00"/>
    <x v="0"/>
    <x v="3"/>
  </r>
  <r>
    <x v="7"/>
    <x v="0"/>
    <s v="Januari"/>
    <s v="Division_A"/>
    <x v="29"/>
    <n v="2014"/>
    <n v="5"/>
    <s v="TM-3"/>
    <n v="24"/>
    <n v="1329"/>
    <s v="55.4"/>
    <x v="1"/>
    <n v="1.0549999999999999"/>
    <n v="25322.9"/>
    <n v="25.323"/>
    <d v="2019-01-01T00:00:00"/>
    <x v="0"/>
    <x v="3"/>
  </r>
  <r>
    <x v="7"/>
    <x v="1"/>
    <s v="Februari"/>
    <s v="Division_A"/>
    <x v="29"/>
    <n v="2014"/>
    <n v="5"/>
    <s v="TM-3"/>
    <n v="24"/>
    <n v="1329"/>
    <s v="55.4"/>
    <x v="1"/>
    <n v="1.234"/>
    <n v="29610.2"/>
    <n v="29.61"/>
    <d v="2019-02-01T00:00:00"/>
    <x v="0"/>
    <x v="3"/>
  </r>
  <r>
    <x v="7"/>
    <x v="2"/>
    <s v="Maret"/>
    <s v="Division_A"/>
    <x v="29"/>
    <n v="2014"/>
    <n v="5"/>
    <s v="TM-3"/>
    <n v="24"/>
    <n v="1329"/>
    <s v="55.4"/>
    <x v="1"/>
    <n v="1.4350000000000001"/>
    <n v="34446.699999999997"/>
    <n v="34.447000000000003"/>
    <d v="2019-03-01T00:00:00"/>
    <x v="0"/>
    <x v="3"/>
  </r>
  <r>
    <x v="7"/>
    <x v="3"/>
    <s v="April"/>
    <s v="Division_A"/>
    <x v="29"/>
    <n v="2014"/>
    <n v="5"/>
    <s v="TM-3"/>
    <n v="24"/>
    <n v="1329"/>
    <s v="55.4"/>
    <x v="1"/>
    <n v="1.6120000000000001"/>
    <n v="38691.800000000003"/>
    <n v="38.692"/>
    <d v="2019-04-01T00:00:00"/>
    <x v="0"/>
    <x v="3"/>
  </r>
  <r>
    <x v="7"/>
    <x v="4"/>
    <s v="Mei"/>
    <s v="Division_A"/>
    <x v="29"/>
    <n v="2014"/>
    <n v="5"/>
    <s v="TM-3"/>
    <n v="24"/>
    <n v="1329"/>
    <s v="55.4"/>
    <x v="1"/>
    <n v="1.649"/>
    <n v="39578.9"/>
    <n v="39.579000000000001"/>
    <d v="2019-05-01T00:00:00"/>
    <x v="0"/>
    <x v="3"/>
  </r>
  <r>
    <x v="7"/>
    <x v="5"/>
    <s v="Juni"/>
    <s v="Division_A"/>
    <x v="29"/>
    <n v="2014"/>
    <n v="5"/>
    <s v="TM-3"/>
    <n v="24"/>
    <n v="1329"/>
    <s v="55.4"/>
    <x v="1"/>
    <n v="1.5660000000000001"/>
    <n v="37572.5"/>
    <n v="37.572000000000003"/>
    <d v="2019-06-01T00:00:00"/>
    <x v="0"/>
    <x v="3"/>
  </r>
  <r>
    <x v="7"/>
    <x v="6"/>
    <s v="Juli"/>
    <s v="Division_A"/>
    <x v="29"/>
    <n v="2014"/>
    <n v="5"/>
    <s v="TM-3"/>
    <n v="24"/>
    <n v="1329"/>
    <s v="55.4"/>
    <x v="1"/>
    <n v="1.4079999999999999"/>
    <n v="33792"/>
    <n v="33.792000000000002"/>
    <d v="2019-07-01T00:00:00"/>
    <x v="0"/>
    <x v="3"/>
  </r>
  <r>
    <x v="7"/>
    <x v="7"/>
    <s v="Agustus"/>
    <s v="Division_A"/>
    <x v="29"/>
    <n v="2014"/>
    <n v="5"/>
    <s v="TM-3"/>
    <n v="24"/>
    <n v="1329"/>
    <s v="55.4"/>
    <x v="1"/>
    <n v="1.637"/>
    <n v="39283.199999999997"/>
    <n v="39.283000000000001"/>
    <d v="2019-08-01T00:00:00"/>
    <x v="0"/>
    <x v="3"/>
  </r>
  <r>
    <x v="7"/>
    <x v="8"/>
    <s v="September"/>
    <s v="Division_A"/>
    <x v="29"/>
    <n v="2014"/>
    <n v="5"/>
    <s v="TM-3"/>
    <n v="24"/>
    <n v="1329"/>
    <s v="55.4"/>
    <x v="1"/>
    <n v="1.163"/>
    <n v="27920.6"/>
    <n v="27.920999999999999"/>
    <d v="2019-09-01T00:00:00"/>
    <x v="0"/>
    <x v="3"/>
  </r>
  <r>
    <x v="7"/>
    <x v="9"/>
    <s v="Oktober"/>
    <s v="Division_A"/>
    <x v="29"/>
    <n v="2014"/>
    <n v="5"/>
    <s v="TM-3"/>
    <n v="24"/>
    <n v="1329"/>
    <s v="55.4"/>
    <x v="1"/>
    <n v="1.5269999999999999"/>
    <n v="36643.199999999997"/>
    <n v="36.643000000000001"/>
    <d v="2019-10-01T00:00:00"/>
    <x v="0"/>
    <x v="3"/>
  </r>
  <r>
    <x v="7"/>
    <x v="10"/>
    <s v="November"/>
    <s v="Division_A"/>
    <x v="29"/>
    <n v="2014"/>
    <n v="5"/>
    <s v="TM-3"/>
    <n v="24"/>
    <n v="1329"/>
    <s v="55.4"/>
    <x v="1"/>
    <n v="1.111"/>
    <n v="26674.6"/>
    <n v="26.675000000000001"/>
    <d v="2019-11-01T00:00:00"/>
    <x v="0"/>
    <x v="3"/>
  </r>
  <r>
    <x v="7"/>
    <x v="11"/>
    <s v="Desember"/>
    <s v="Division_A"/>
    <x v="29"/>
    <n v="2014"/>
    <n v="5"/>
    <s v="TM-3"/>
    <n v="24"/>
    <n v="1329"/>
    <s v="55.4"/>
    <x v="1"/>
    <n v="0.83599999999999997"/>
    <n v="20064"/>
    <n v="20.064"/>
    <d v="2019-12-01T00:00:00"/>
    <x v="0"/>
    <x v="3"/>
  </r>
  <r>
    <x v="7"/>
    <x v="0"/>
    <s v="Januari"/>
    <s v="Division_A"/>
    <x v="30"/>
    <n v="2014"/>
    <n v="5"/>
    <s v="TM-3"/>
    <n v="24"/>
    <n v="1573"/>
    <s v="65.5"/>
    <x v="1"/>
    <n v="1.0549999999999999"/>
    <n v="25322.9"/>
    <n v="25.323"/>
    <d v="2019-01-01T00:00:00"/>
    <x v="0"/>
    <x v="3"/>
  </r>
  <r>
    <x v="7"/>
    <x v="1"/>
    <s v="Februari"/>
    <s v="Division_A"/>
    <x v="30"/>
    <n v="2014"/>
    <n v="5"/>
    <s v="TM-3"/>
    <n v="24"/>
    <n v="1573"/>
    <s v="65.5"/>
    <x v="1"/>
    <n v="1.234"/>
    <n v="29610.2"/>
    <n v="29.61"/>
    <d v="2019-02-01T00:00:00"/>
    <x v="0"/>
    <x v="3"/>
  </r>
  <r>
    <x v="7"/>
    <x v="2"/>
    <s v="Maret"/>
    <s v="Division_A"/>
    <x v="30"/>
    <n v="2014"/>
    <n v="5"/>
    <s v="TM-3"/>
    <n v="24"/>
    <n v="1573"/>
    <s v="65.5"/>
    <x v="1"/>
    <n v="1.4350000000000001"/>
    <n v="34446.699999999997"/>
    <n v="34.447000000000003"/>
    <d v="2019-03-01T00:00:00"/>
    <x v="0"/>
    <x v="3"/>
  </r>
  <r>
    <x v="7"/>
    <x v="3"/>
    <s v="April"/>
    <s v="Division_A"/>
    <x v="30"/>
    <n v="2014"/>
    <n v="5"/>
    <s v="TM-3"/>
    <n v="24"/>
    <n v="1573"/>
    <s v="65.5"/>
    <x v="1"/>
    <n v="1.6120000000000001"/>
    <n v="38691.800000000003"/>
    <n v="38.692"/>
    <d v="2019-04-01T00:00:00"/>
    <x v="0"/>
    <x v="3"/>
  </r>
  <r>
    <x v="7"/>
    <x v="4"/>
    <s v="Mei"/>
    <s v="Division_A"/>
    <x v="30"/>
    <n v="2014"/>
    <n v="5"/>
    <s v="TM-3"/>
    <n v="24"/>
    <n v="1573"/>
    <s v="65.5"/>
    <x v="1"/>
    <n v="1.649"/>
    <n v="39578.9"/>
    <n v="39.579000000000001"/>
    <d v="2019-05-01T00:00:00"/>
    <x v="0"/>
    <x v="3"/>
  </r>
  <r>
    <x v="7"/>
    <x v="5"/>
    <s v="Juni"/>
    <s v="Division_A"/>
    <x v="30"/>
    <n v="2014"/>
    <n v="5"/>
    <s v="TM-3"/>
    <n v="24"/>
    <n v="1573"/>
    <s v="65.5"/>
    <x v="1"/>
    <n v="1.5660000000000001"/>
    <n v="37572.5"/>
    <n v="37.572000000000003"/>
    <d v="2019-06-01T00:00:00"/>
    <x v="0"/>
    <x v="3"/>
  </r>
  <r>
    <x v="7"/>
    <x v="6"/>
    <s v="Juli"/>
    <s v="Division_A"/>
    <x v="30"/>
    <n v="2014"/>
    <n v="5"/>
    <s v="TM-3"/>
    <n v="24"/>
    <n v="1573"/>
    <s v="65.5"/>
    <x v="1"/>
    <n v="1.4079999999999999"/>
    <n v="33792"/>
    <n v="33.792000000000002"/>
    <d v="2019-07-01T00:00:00"/>
    <x v="0"/>
    <x v="3"/>
  </r>
  <r>
    <x v="7"/>
    <x v="7"/>
    <s v="Agustus"/>
    <s v="Division_A"/>
    <x v="30"/>
    <n v="2014"/>
    <n v="5"/>
    <s v="TM-3"/>
    <n v="24"/>
    <n v="1573"/>
    <s v="65.5"/>
    <x v="1"/>
    <n v="1.637"/>
    <n v="39283.199999999997"/>
    <n v="39.283000000000001"/>
    <d v="2019-08-01T00:00:00"/>
    <x v="0"/>
    <x v="3"/>
  </r>
  <r>
    <x v="7"/>
    <x v="8"/>
    <s v="September"/>
    <s v="Division_A"/>
    <x v="30"/>
    <n v="2014"/>
    <n v="5"/>
    <s v="TM-3"/>
    <n v="24"/>
    <n v="1573"/>
    <s v="65.5"/>
    <x v="1"/>
    <n v="1.163"/>
    <n v="27920.6"/>
    <n v="27.920999999999999"/>
    <d v="2019-09-01T00:00:00"/>
    <x v="0"/>
    <x v="3"/>
  </r>
  <r>
    <x v="7"/>
    <x v="9"/>
    <s v="Oktober"/>
    <s v="Division_A"/>
    <x v="30"/>
    <n v="2014"/>
    <n v="5"/>
    <s v="TM-3"/>
    <n v="24"/>
    <n v="1573"/>
    <s v="65.5"/>
    <x v="1"/>
    <n v="1.5269999999999999"/>
    <n v="36643.199999999997"/>
    <n v="36.643000000000001"/>
    <d v="2019-10-01T00:00:00"/>
    <x v="0"/>
    <x v="3"/>
  </r>
  <r>
    <x v="7"/>
    <x v="10"/>
    <s v="November"/>
    <s v="Division_A"/>
    <x v="30"/>
    <n v="2014"/>
    <n v="5"/>
    <s v="TM-3"/>
    <n v="24"/>
    <n v="1573"/>
    <s v="65.5"/>
    <x v="1"/>
    <n v="1.111"/>
    <n v="26674.6"/>
    <n v="26.675000000000001"/>
    <d v="2019-11-01T00:00:00"/>
    <x v="0"/>
    <x v="3"/>
  </r>
  <r>
    <x v="7"/>
    <x v="11"/>
    <s v="Desember"/>
    <s v="Division_A"/>
    <x v="30"/>
    <n v="2014"/>
    <n v="5"/>
    <s v="TM-3"/>
    <n v="24"/>
    <n v="1573"/>
    <s v="65.5"/>
    <x v="1"/>
    <n v="0.83599999999999997"/>
    <n v="20064"/>
    <n v="20.064"/>
    <d v="2019-12-01T00:00:00"/>
    <x v="0"/>
    <x v="3"/>
  </r>
  <r>
    <x v="7"/>
    <x v="0"/>
    <s v="Januari"/>
    <s v="Division_A"/>
    <x v="31"/>
    <n v="2016"/>
    <n v="3"/>
    <s v="TM-1"/>
    <n v="22"/>
    <n v="3137"/>
    <s v="142.6"/>
    <x v="0"/>
    <n v="0.45600000000000002"/>
    <n v="10023.6"/>
    <n v="10.023999999999999"/>
    <d v="2019-01-01T00:00:00"/>
    <x v="0"/>
    <x v="3"/>
  </r>
  <r>
    <x v="7"/>
    <x v="1"/>
    <s v="Februari"/>
    <s v="Division_A"/>
    <x v="31"/>
    <n v="2016"/>
    <n v="3"/>
    <s v="TM-1"/>
    <n v="22"/>
    <n v="3137"/>
    <s v="142.6"/>
    <x v="0"/>
    <n v="0.53300000000000003"/>
    <n v="11720.7"/>
    <n v="11.721"/>
    <d v="2019-02-01T00:00:00"/>
    <x v="0"/>
    <x v="3"/>
  </r>
  <r>
    <x v="7"/>
    <x v="2"/>
    <s v="Maret"/>
    <s v="Division_A"/>
    <x v="31"/>
    <n v="2016"/>
    <n v="3"/>
    <s v="TM-1"/>
    <n v="22"/>
    <n v="3137"/>
    <s v="142.6"/>
    <x v="0"/>
    <n v="0.62"/>
    <n v="13635.2"/>
    <n v="13.635"/>
    <d v="2019-03-01T00:00:00"/>
    <x v="0"/>
    <x v="3"/>
  </r>
  <r>
    <x v="7"/>
    <x v="3"/>
    <s v="April"/>
    <s v="Division_A"/>
    <x v="31"/>
    <n v="2016"/>
    <n v="3"/>
    <s v="TM-1"/>
    <n v="22"/>
    <n v="3137"/>
    <s v="142.6"/>
    <x v="0"/>
    <n v="0.69599999999999995"/>
    <n v="15315.5"/>
    <n v="15.316000000000001"/>
    <d v="2019-04-01T00:00:00"/>
    <x v="0"/>
    <x v="3"/>
  </r>
  <r>
    <x v="7"/>
    <x v="4"/>
    <s v="Mei"/>
    <s v="Division_A"/>
    <x v="31"/>
    <n v="2016"/>
    <n v="3"/>
    <s v="TM-1"/>
    <n v="22"/>
    <n v="3137"/>
    <s v="142.6"/>
    <x v="0"/>
    <n v="0.71199999999999997"/>
    <n v="15666.6"/>
    <n v="15.667"/>
    <d v="2019-05-01T00:00:00"/>
    <x v="0"/>
    <x v="3"/>
  </r>
  <r>
    <x v="7"/>
    <x v="5"/>
    <s v="Juni"/>
    <s v="Division_A"/>
    <x v="31"/>
    <n v="2016"/>
    <n v="3"/>
    <s v="TM-1"/>
    <n v="22"/>
    <n v="3137"/>
    <s v="142.6"/>
    <x v="0"/>
    <n v="0.67600000000000005"/>
    <n v="14872.4"/>
    <n v="14.872"/>
    <d v="2019-06-01T00:00:00"/>
    <x v="0"/>
    <x v="3"/>
  </r>
  <r>
    <x v="7"/>
    <x v="6"/>
    <s v="Juli"/>
    <s v="Division_A"/>
    <x v="31"/>
    <n v="2016"/>
    <n v="3"/>
    <s v="TM-1"/>
    <n v="22"/>
    <n v="3137"/>
    <s v="142.6"/>
    <x v="0"/>
    <n v="0.60799999999999998"/>
    <n v="13376"/>
    <n v="13.375999999999999"/>
    <d v="2019-07-01T00:00:00"/>
    <x v="0"/>
    <x v="3"/>
  </r>
  <r>
    <x v="7"/>
    <x v="7"/>
    <s v="Agustus"/>
    <s v="Division_A"/>
    <x v="31"/>
    <n v="2016"/>
    <n v="3"/>
    <s v="TM-1"/>
    <n v="22"/>
    <n v="3137"/>
    <s v="142.6"/>
    <x v="0"/>
    <n v="0.70699999999999996"/>
    <n v="15549.6"/>
    <n v="15.55"/>
    <d v="2019-08-01T00:00:00"/>
    <x v="0"/>
    <x v="3"/>
  </r>
  <r>
    <x v="7"/>
    <x v="8"/>
    <s v="September"/>
    <s v="Division_A"/>
    <x v="31"/>
    <n v="2016"/>
    <n v="3"/>
    <s v="TM-1"/>
    <n v="22"/>
    <n v="3137"/>
    <s v="142.6"/>
    <x v="0"/>
    <n v="0.502"/>
    <n v="11051.9"/>
    <n v="11.052"/>
    <d v="2019-09-01T00:00:00"/>
    <x v="0"/>
    <x v="3"/>
  </r>
  <r>
    <x v="7"/>
    <x v="9"/>
    <s v="Oktober"/>
    <s v="Division_A"/>
    <x v="31"/>
    <n v="2016"/>
    <n v="3"/>
    <s v="TM-1"/>
    <n v="22"/>
    <n v="3137"/>
    <s v="142.6"/>
    <x v="0"/>
    <n v="0.65900000000000003"/>
    <n v="14504.6"/>
    <n v="14.505000000000001"/>
    <d v="2019-10-01T00:00:00"/>
    <x v="0"/>
    <x v="3"/>
  </r>
  <r>
    <x v="7"/>
    <x v="10"/>
    <s v="November"/>
    <s v="Division_A"/>
    <x v="31"/>
    <n v="2016"/>
    <n v="3"/>
    <s v="TM-1"/>
    <n v="22"/>
    <n v="3137"/>
    <s v="142.6"/>
    <x v="0"/>
    <n v="0.48"/>
    <n v="10558.7"/>
    <n v="10.558999999999999"/>
    <d v="2019-11-01T00:00:00"/>
    <x v="0"/>
    <x v="3"/>
  </r>
  <r>
    <x v="7"/>
    <x v="11"/>
    <s v="Desember"/>
    <s v="Division_A"/>
    <x v="31"/>
    <n v="2016"/>
    <n v="3"/>
    <s v="TM-1"/>
    <n v="22"/>
    <n v="3137"/>
    <s v="142.6"/>
    <x v="0"/>
    <n v="0.36099999999999999"/>
    <n v="7942"/>
    <n v="7.9420000000000002"/>
    <d v="2019-12-01T00:00:00"/>
    <x v="0"/>
    <x v="3"/>
  </r>
  <r>
    <x v="7"/>
    <x v="0"/>
    <s v="Januari"/>
    <s v="Division_A"/>
    <x v="32"/>
    <n v="2016"/>
    <n v="3"/>
    <s v="TM-1"/>
    <n v="22"/>
    <n v="3096"/>
    <s v="140.7"/>
    <x v="0"/>
    <n v="0.45600000000000002"/>
    <n v="10023.6"/>
    <n v="10.023999999999999"/>
    <d v="2019-01-01T00:00:00"/>
    <x v="0"/>
    <x v="3"/>
  </r>
  <r>
    <x v="7"/>
    <x v="1"/>
    <s v="Februari"/>
    <s v="Division_A"/>
    <x v="32"/>
    <n v="2016"/>
    <n v="3"/>
    <s v="TM-1"/>
    <n v="22"/>
    <n v="3096"/>
    <s v="140.7"/>
    <x v="0"/>
    <n v="0.53300000000000003"/>
    <n v="11720.7"/>
    <n v="11.721"/>
    <d v="2019-02-01T00:00:00"/>
    <x v="0"/>
    <x v="3"/>
  </r>
  <r>
    <x v="7"/>
    <x v="2"/>
    <s v="Maret"/>
    <s v="Division_A"/>
    <x v="32"/>
    <n v="2016"/>
    <n v="3"/>
    <s v="TM-1"/>
    <n v="22"/>
    <n v="3096"/>
    <s v="140.7"/>
    <x v="0"/>
    <n v="0.62"/>
    <n v="13635.2"/>
    <n v="13.635"/>
    <d v="2019-03-01T00:00:00"/>
    <x v="0"/>
    <x v="3"/>
  </r>
  <r>
    <x v="7"/>
    <x v="3"/>
    <s v="April"/>
    <s v="Division_A"/>
    <x v="32"/>
    <n v="2016"/>
    <n v="3"/>
    <s v="TM-1"/>
    <n v="22"/>
    <n v="3096"/>
    <s v="140.7"/>
    <x v="0"/>
    <n v="0.69599999999999995"/>
    <n v="15315.5"/>
    <n v="15.316000000000001"/>
    <d v="2019-04-01T00:00:00"/>
    <x v="0"/>
    <x v="3"/>
  </r>
  <r>
    <x v="7"/>
    <x v="4"/>
    <s v="Mei"/>
    <s v="Division_A"/>
    <x v="32"/>
    <n v="2016"/>
    <n v="3"/>
    <s v="TM-1"/>
    <n v="22"/>
    <n v="3096"/>
    <s v="140.7"/>
    <x v="0"/>
    <n v="0.71199999999999997"/>
    <n v="15666.6"/>
    <n v="15.667"/>
    <d v="2019-05-01T00:00:00"/>
    <x v="0"/>
    <x v="3"/>
  </r>
  <r>
    <x v="7"/>
    <x v="5"/>
    <s v="Juni"/>
    <s v="Division_A"/>
    <x v="32"/>
    <n v="2016"/>
    <n v="3"/>
    <s v="TM-1"/>
    <n v="22"/>
    <n v="3096"/>
    <s v="140.7"/>
    <x v="0"/>
    <n v="0.67600000000000005"/>
    <n v="14872.4"/>
    <n v="14.872"/>
    <d v="2019-06-01T00:00:00"/>
    <x v="0"/>
    <x v="3"/>
  </r>
  <r>
    <x v="7"/>
    <x v="6"/>
    <s v="Juli"/>
    <s v="Division_A"/>
    <x v="32"/>
    <n v="2016"/>
    <n v="3"/>
    <s v="TM-1"/>
    <n v="22"/>
    <n v="3096"/>
    <s v="140.7"/>
    <x v="0"/>
    <n v="0.60799999999999998"/>
    <n v="13376"/>
    <n v="13.375999999999999"/>
    <d v="2019-07-01T00:00:00"/>
    <x v="0"/>
    <x v="3"/>
  </r>
  <r>
    <x v="7"/>
    <x v="7"/>
    <s v="Agustus"/>
    <s v="Division_A"/>
    <x v="32"/>
    <n v="2016"/>
    <n v="3"/>
    <s v="TM-1"/>
    <n v="22"/>
    <n v="3096"/>
    <s v="140.7"/>
    <x v="0"/>
    <n v="0.70699999999999996"/>
    <n v="15549.6"/>
    <n v="15.55"/>
    <d v="2019-08-01T00:00:00"/>
    <x v="0"/>
    <x v="3"/>
  </r>
  <r>
    <x v="7"/>
    <x v="8"/>
    <s v="September"/>
    <s v="Division_A"/>
    <x v="32"/>
    <n v="2016"/>
    <n v="3"/>
    <s v="TM-1"/>
    <n v="22"/>
    <n v="3096"/>
    <s v="140.7"/>
    <x v="0"/>
    <n v="0.502"/>
    <n v="11051.9"/>
    <n v="11.052"/>
    <d v="2019-09-01T00:00:00"/>
    <x v="0"/>
    <x v="3"/>
  </r>
  <r>
    <x v="7"/>
    <x v="9"/>
    <s v="Oktober"/>
    <s v="Division_A"/>
    <x v="32"/>
    <n v="2016"/>
    <n v="3"/>
    <s v="TM-1"/>
    <n v="22"/>
    <n v="3096"/>
    <s v="140.7"/>
    <x v="0"/>
    <n v="0.65900000000000003"/>
    <n v="14504.6"/>
    <n v="14.505000000000001"/>
    <d v="2019-10-01T00:00:00"/>
    <x v="0"/>
    <x v="3"/>
  </r>
  <r>
    <x v="7"/>
    <x v="10"/>
    <s v="November"/>
    <s v="Division_A"/>
    <x v="32"/>
    <n v="2016"/>
    <n v="3"/>
    <s v="TM-1"/>
    <n v="22"/>
    <n v="3096"/>
    <s v="140.7"/>
    <x v="0"/>
    <n v="0.48"/>
    <n v="10558.7"/>
    <n v="10.558999999999999"/>
    <d v="2019-11-01T00:00:00"/>
    <x v="0"/>
    <x v="3"/>
  </r>
  <r>
    <x v="7"/>
    <x v="11"/>
    <s v="Desember"/>
    <s v="Division_A"/>
    <x v="32"/>
    <n v="2016"/>
    <n v="3"/>
    <s v="TM-1"/>
    <n v="22"/>
    <n v="3096"/>
    <s v="140.7"/>
    <x v="0"/>
    <n v="0.36099999999999999"/>
    <n v="7942"/>
    <n v="7.9420000000000002"/>
    <d v="2019-12-01T00:00:00"/>
    <x v="0"/>
    <x v="3"/>
  </r>
  <r>
    <x v="7"/>
    <x v="0"/>
    <s v="Januari"/>
    <s v="Division_A"/>
    <x v="33"/>
    <n v="2016"/>
    <n v="3"/>
    <s v="TM-1"/>
    <n v="24"/>
    <n v="3317"/>
    <s v="138.2"/>
    <x v="0"/>
    <n v="0.45600000000000002"/>
    <n v="10934.9"/>
    <n v="10.935"/>
    <d v="2019-01-01T00:00:00"/>
    <x v="0"/>
    <x v="3"/>
  </r>
  <r>
    <x v="7"/>
    <x v="1"/>
    <s v="Februari"/>
    <s v="Division_A"/>
    <x v="33"/>
    <n v="2016"/>
    <n v="3"/>
    <s v="TM-1"/>
    <n v="24"/>
    <n v="3317"/>
    <s v="138.2"/>
    <x v="0"/>
    <n v="0.53300000000000003"/>
    <n v="12786.2"/>
    <n v="12.786"/>
    <d v="2019-02-01T00:00:00"/>
    <x v="0"/>
    <x v="3"/>
  </r>
  <r>
    <x v="7"/>
    <x v="2"/>
    <s v="Maret"/>
    <s v="Division_A"/>
    <x v="33"/>
    <n v="2016"/>
    <n v="3"/>
    <s v="TM-1"/>
    <n v="24"/>
    <n v="3317"/>
    <s v="138.2"/>
    <x v="0"/>
    <n v="0.62"/>
    <n v="14874.7"/>
    <n v="14.875"/>
    <d v="2019-03-01T00:00:00"/>
    <x v="0"/>
    <x v="3"/>
  </r>
  <r>
    <x v="7"/>
    <x v="3"/>
    <s v="April"/>
    <s v="Division_A"/>
    <x v="33"/>
    <n v="2016"/>
    <n v="3"/>
    <s v="TM-1"/>
    <n v="24"/>
    <n v="3317"/>
    <s v="138.2"/>
    <x v="0"/>
    <n v="0.69599999999999995"/>
    <n v="16707.8"/>
    <n v="16.707999999999998"/>
    <d v="2019-04-01T00:00:00"/>
    <x v="0"/>
    <x v="3"/>
  </r>
  <r>
    <x v="7"/>
    <x v="4"/>
    <s v="Mei"/>
    <s v="Division_A"/>
    <x v="33"/>
    <n v="2016"/>
    <n v="3"/>
    <s v="TM-1"/>
    <n v="24"/>
    <n v="3317"/>
    <s v="138.2"/>
    <x v="0"/>
    <n v="0.71199999999999997"/>
    <n v="17090.900000000001"/>
    <n v="17.091000000000001"/>
    <d v="2019-05-01T00:00:00"/>
    <x v="0"/>
    <x v="3"/>
  </r>
  <r>
    <x v="7"/>
    <x v="5"/>
    <s v="Juni"/>
    <s v="Division_A"/>
    <x v="33"/>
    <n v="2016"/>
    <n v="3"/>
    <s v="TM-1"/>
    <n v="24"/>
    <n v="3317"/>
    <s v="138.2"/>
    <x v="0"/>
    <n v="0.67600000000000005"/>
    <n v="16224.5"/>
    <n v="16.224"/>
    <d v="2019-06-01T00:00:00"/>
    <x v="0"/>
    <x v="3"/>
  </r>
  <r>
    <x v="7"/>
    <x v="6"/>
    <s v="Juli"/>
    <s v="Division_A"/>
    <x v="33"/>
    <n v="2016"/>
    <n v="3"/>
    <s v="TM-1"/>
    <n v="24"/>
    <n v="3317"/>
    <s v="138.2"/>
    <x v="0"/>
    <n v="0.60799999999999998"/>
    <n v="14592"/>
    <n v="14.592000000000001"/>
    <d v="2019-07-01T00:00:00"/>
    <x v="0"/>
    <x v="3"/>
  </r>
  <r>
    <x v="7"/>
    <x v="7"/>
    <s v="Agustus"/>
    <s v="Division_A"/>
    <x v="33"/>
    <n v="2016"/>
    <n v="3"/>
    <s v="TM-1"/>
    <n v="24"/>
    <n v="3317"/>
    <s v="138.2"/>
    <x v="0"/>
    <n v="0.70699999999999996"/>
    <n v="16963.2"/>
    <n v="16.963000000000001"/>
    <d v="2019-08-01T00:00:00"/>
    <x v="0"/>
    <x v="3"/>
  </r>
  <r>
    <x v="7"/>
    <x v="8"/>
    <s v="September"/>
    <s v="Division_A"/>
    <x v="33"/>
    <n v="2016"/>
    <n v="3"/>
    <s v="TM-1"/>
    <n v="24"/>
    <n v="3317"/>
    <s v="138.2"/>
    <x v="0"/>
    <n v="0.502"/>
    <n v="12056.6"/>
    <n v="12.057"/>
    <d v="2019-09-01T00:00:00"/>
    <x v="0"/>
    <x v="3"/>
  </r>
  <r>
    <x v="7"/>
    <x v="9"/>
    <s v="Oktober"/>
    <s v="Division_A"/>
    <x v="33"/>
    <n v="2016"/>
    <n v="3"/>
    <s v="TM-1"/>
    <n v="24"/>
    <n v="3317"/>
    <s v="138.2"/>
    <x v="0"/>
    <n v="0.65900000000000003"/>
    <n v="15823.2"/>
    <n v="15.823"/>
    <d v="2019-10-01T00:00:00"/>
    <x v="0"/>
    <x v="3"/>
  </r>
  <r>
    <x v="7"/>
    <x v="10"/>
    <s v="November"/>
    <s v="Division_A"/>
    <x v="33"/>
    <n v="2016"/>
    <n v="3"/>
    <s v="TM-1"/>
    <n v="24"/>
    <n v="3317"/>
    <s v="138.2"/>
    <x v="0"/>
    <n v="0.48"/>
    <n v="11518.6"/>
    <n v="11.519"/>
    <d v="2019-11-01T00:00:00"/>
    <x v="0"/>
    <x v="3"/>
  </r>
  <r>
    <x v="7"/>
    <x v="11"/>
    <s v="Desember"/>
    <s v="Division_A"/>
    <x v="33"/>
    <n v="2016"/>
    <n v="3"/>
    <s v="TM-1"/>
    <n v="24"/>
    <n v="3317"/>
    <s v="138.2"/>
    <x v="0"/>
    <n v="0.36099999999999999"/>
    <n v="8664"/>
    <n v="8.6639999999999997"/>
    <d v="2019-12-01T00:00:00"/>
    <x v="0"/>
    <x v="3"/>
  </r>
  <r>
    <x v="7"/>
    <x v="0"/>
    <s v="Januari"/>
    <s v="Division_A"/>
    <x v="34"/>
    <n v="2016"/>
    <n v="3"/>
    <s v="TM-1"/>
    <n v="17"/>
    <n v="2219"/>
    <s v="130.5"/>
    <x v="0"/>
    <n v="0.45600000000000002"/>
    <n v="7745.5"/>
    <n v="7.7460000000000004"/>
    <d v="2019-01-01T00:00:00"/>
    <x v="0"/>
    <x v="3"/>
  </r>
  <r>
    <x v="7"/>
    <x v="1"/>
    <s v="Februari"/>
    <s v="Division_A"/>
    <x v="34"/>
    <n v="2016"/>
    <n v="3"/>
    <s v="TM-1"/>
    <n v="17"/>
    <n v="2219"/>
    <s v="130.5"/>
    <x v="0"/>
    <n v="0.53300000000000003"/>
    <n v="9056.9"/>
    <n v="9.0570000000000004"/>
    <d v="2019-02-01T00:00:00"/>
    <x v="0"/>
    <x v="3"/>
  </r>
  <r>
    <x v="7"/>
    <x v="2"/>
    <s v="Maret"/>
    <s v="Division_A"/>
    <x v="34"/>
    <n v="2016"/>
    <n v="3"/>
    <s v="TM-1"/>
    <n v="17"/>
    <n v="2219"/>
    <s v="130.5"/>
    <x v="0"/>
    <n v="0.62"/>
    <n v="10536.3"/>
    <n v="10.536"/>
    <d v="2019-03-01T00:00:00"/>
    <x v="0"/>
    <x v="3"/>
  </r>
  <r>
    <x v="7"/>
    <x v="3"/>
    <s v="April"/>
    <s v="Division_A"/>
    <x v="34"/>
    <n v="2016"/>
    <n v="3"/>
    <s v="TM-1"/>
    <n v="17"/>
    <n v="2219"/>
    <s v="130.5"/>
    <x v="0"/>
    <n v="0.69599999999999995"/>
    <n v="11834.7"/>
    <n v="11.835000000000001"/>
    <d v="2019-04-01T00:00:00"/>
    <x v="0"/>
    <x v="3"/>
  </r>
  <r>
    <x v="7"/>
    <x v="4"/>
    <s v="Mei"/>
    <s v="Division_A"/>
    <x v="34"/>
    <n v="2016"/>
    <n v="3"/>
    <s v="TM-1"/>
    <n v="17"/>
    <n v="2219"/>
    <s v="130.5"/>
    <x v="0"/>
    <n v="0.71199999999999997"/>
    <n v="12106"/>
    <n v="12.106"/>
    <d v="2019-05-01T00:00:00"/>
    <x v="0"/>
    <x v="3"/>
  </r>
  <r>
    <x v="7"/>
    <x v="5"/>
    <s v="Juni"/>
    <s v="Division_A"/>
    <x v="34"/>
    <n v="2016"/>
    <n v="3"/>
    <s v="TM-1"/>
    <n v="17"/>
    <n v="2219"/>
    <s v="130.5"/>
    <x v="0"/>
    <n v="0.67600000000000005"/>
    <n v="11492.3"/>
    <n v="11.492000000000001"/>
    <d v="2019-06-01T00:00:00"/>
    <x v="0"/>
    <x v="3"/>
  </r>
  <r>
    <x v="7"/>
    <x v="6"/>
    <s v="Juli"/>
    <s v="Division_A"/>
    <x v="34"/>
    <n v="2016"/>
    <n v="3"/>
    <s v="TM-1"/>
    <n v="17"/>
    <n v="2219"/>
    <s v="130.5"/>
    <x v="0"/>
    <n v="0.60799999999999998"/>
    <n v="10336"/>
    <n v="10.336"/>
    <d v="2019-07-01T00:00:00"/>
    <x v="0"/>
    <x v="3"/>
  </r>
  <r>
    <x v="7"/>
    <x v="7"/>
    <s v="Agustus"/>
    <s v="Division_A"/>
    <x v="34"/>
    <n v="2016"/>
    <n v="3"/>
    <s v="TM-1"/>
    <n v="17"/>
    <n v="2219"/>
    <s v="130.5"/>
    <x v="0"/>
    <n v="0.70699999999999996"/>
    <n v="12015.6"/>
    <n v="12.016"/>
    <d v="2019-08-01T00:00:00"/>
    <x v="0"/>
    <x v="3"/>
  </r>
  <r>
    <x v="7"/>
    <x v="8"/>
    <s v="September"/>
    <s v="Division_A"/>
    <x v="34"/>
    <n v="2016"/>
    <n v="3"/>
    <s v="TM-1"/>
    <n v="17"/>
    <n v="2219"/>
    <s v="130.5"/>
    <x v="0"/>
    <n v="0.502"/>
    <n v="8540.1"/>
    <n v="8.5399999999999991"/>
    <d v="2019-09-01T00:00:00"/>
    <x v="0"/>
    <x v="3"/>
  </r>
  <r>
    <x v="7"/>
    <x v="9"/>
    <s v="Oktober"/>
    <s v="Division_A"/>
    <x v="34"/>
    <n v="2016"/>
    <n v="3"/>
    <s v="TM-1"/>
    <n v="17"/>
    <n v="2219"/>
    <s v="130.5"/>
    <x v="0"/>
    <n v="0.65900000000000003"/>
    <n v="11208.1"/>
    <n v="11.208"/>
    <d v="2019-10-01T00:00:00"/>
    <x v="0"/>
    <x v="3"/>
  </r>
  <r>
    <x v="7"/>
    <x v="10"/>
    <s v="November"/>
    <s v="Division_A"/>
    <x v="34"/>
    <n v="2016"/>
    <n v="3"/>
    <s v="TM-1"/>
    <n v="17"/>
    <n v="2219"/>
    <s v="130.5"/>
    <x v="0"/>
    <n v="0.48"/>
    <n v="8159"/>
    <n v="8.1590000000000007"/>
    <d v="2019-11-01T00:00:00"/>
    <x v="0"/>
    <x v="3"/>
  </r>
  <r>
    <x v="7"/>
    <x v="11"/>
    <s v="Desember"/>
    <s v="Division_A"/>
    <x v="34"/>
    <n v="2016"/>
    <n v="3"/>
    <s v="TM-1"/>
    <n v="17"/>
    <n v="2219"/>
    <s v="130.5"/>
    <x v="0"/>
    <n v="0.36099999999999999"/>
    <n v="6137"/>
    <n v="6.1369999999999996"/>
    <d v="2019-12-01T00:00:00"/>
    <x v="0"/>
    <x v="3"/>
  </r>
  <r>
    <x v="7"/>
    <x v="0"/>
    <s v="Januari"/>
    <s v="Division_A"/>
    <x v="35"/>
    <n v="2016"/>
    <n v="3"/>
    <s v="TM-1"/>
    <n v="15"/>
    <n v="2142"/>
    <s v="142.8"/>
    <x v="0"/>
    <n v="0.45600000000000002"/>
    <n v="6834.3"/>
    <n v="6.8339999999999996"/>
    <d v="2019-01-01T00:00:00"/>
    <x v="0"/>
    <x v="3"/>
  </r>
  <r>
    <x v="7"/>
    <x v="1"/>
    <s v="Februari"/>
    <s v="Division_A"/>
    <x v="35"/>
    <n v="2016"/>
    <n v="3"/>
    <s v="TM-1"/>
    <n v="15"/>
    <n v="2142"/>
    <s v="142.8"/>
    <x v="0"/>
    <n v="0.53300000000000003"/>
    <n v="7991.4"/>
    <n v="7.9909999999999997"/>
    <d v="2019-02-01T00:00:00"/>
    <x v="0"/>
    <x v="3"/>
  </r>
  <r>
    <x v="7"/>
    <x v="2"/>
    <s v="Maret"/>
    <s v="Division_A"/>
    <x v="35"/>
    <n v="2016"/>
    <n v="3"/>
    <s v="TM-1"/>
    <n v="15"/>
    <n v="2142"/>
    <s v="142.8"/>
    <x v="0"/>
    <n v="0.62"/>
    <n v="9296.7000000000007"/>
    <n v="9.2970000000000006"/>
    <d v="2019-03-01T00:00:00"/>
    <x v="0"/>
    <x v="3"/>
  </r>
  <r>
    <x v="7"/>
    <x v="3"/>
    <s v="April"/>
    <s v="Division_A"/>
    <x v="35"/>
    <n v="2016"/>
    <n v="3"/>
    <s v="TM-1"/>
    <n v="15"/>
    <n v="2142"/>
    <s v="142.8"/>
    <x v="0"/>
    <n v="0.69599999999999995"/>
    <n v="10442.4"/>
    <n v="10.442"/>
    <d v="2019-04-01T00:00:00"/>
    <x v="0"/>
    <x v="3"/>
  </r>
  <r>
    <x v="7"/>
    <x v="4"/>
    <s v="Mei"/>
    <s v="Division_A"/>
    <x v="35"/>
    <n v="2016"/>
    <n v="3"/>
    <s v="TM-1"/>
    <n v="15"/>
    <n v="2142"/>
    <s v="142.8"/>
    <x v="0"/>
    <n v="0.71199999999999997"/>
    <n v="10681.8"/>
    <n v="10.682"/>
    <d v="2019-05-01T00:00:00"/>
    <x v="0"/>
    <x v="3"/>
  </r>
  <r>
    <x v="7"/>
    <x v="5"/>
    <s v="Juni"/>
    <s v="Division_A"/>
    <x v="35"/>
    <n v="2016"/>
    <n v="3"/>
    <s v="TM-1"/>
    <n v="15"/>
    <n v="2142"/>
    <s v="142.8"/>
    <x v="0"/>
    <n v="0.67600000000000005"/>
    <n v="10140.299999999999"/>
    <n v="10.14"/>
    <d v="2019-06-01T00:00:00"/>
    <x v="0"/>
    <x v="3"/>
  </r>
  <r>
    <x v="7"/>
    <x v="6"/>
    <s v="Juli"/>
    <s v="Division_A"/>
    <x v="35"/>
    <n v="2016"/>
    <n v="3"/>
    <s v="TM-1"/>
    <n v="15"/>
    <n v="2142"/>
    <s v="142.8"/>
    <x v="0"/>
    <n v="0.60799999999999998"/>
    <n v="9120"/>
    <n v="9.1199999999999992"/>
    <d v="2019-07-01T00:00:00"/>
    <x v="0"/>
    <x v="3"/>
  </r>
  <r>
    <x v="7"/>
    <x v="7"/>
    <s v="Agustus"/>
    <s v="Division_A"/>
    <x v="35"/>
    <n v="2016"/>
    <n v="3"/>
    <s v="TM-1"/>
    <n v="15"/>
    <n v="2142"/>
    <s v="142.8"/>
    <x v="0"/>
    <n v="0.70699999999999996"/>
    <n v="10602"/>
    <n v="10.602"/>
    <d v="2019-08-01T00:00:00"/>
    <x v="0"/>
    <x v="3"/>
  </r>
  <r>
    <x v="7"/>
    <x v="8"/>
    <s v="September"/>
    <s v="Division_A"/>
    <x v="35"/>
    <n v="2016"/>
    <n v="3"/>
    <s v="TM-1"/>
    <n v="15"/>
    <n v="2142"/>
    <s v="142.8"/>
    <x v="0"/>
    <n v="0.502"/>
    <n v="7535.4"/>
    <n v="7.5350000000000001"/>
    <d v="2019-09-01T00:00:00"/>
    <x v="0"/>
    <x v="3"/>
  </r>
  <r>
    <x v="7"/>
    <x v="9"/>
    <s v="Oktober"/>
    <s v="Division_A"/>
    <x v="35"/>
    <n v="2016"/>
    <n v="3"/>
    <s v="TM-1"/>
    <n v="15"/>
    <n v="2142"/>
    <s v="142.8"/>
    <x v="0"/>
    <n v="0.65900000000000003"/>
    <n v="9889.5"/>
    <n v="9.8889999999999993"/>
    <d v="2019-10-01T00:00:00"/>
    <x v="0"/>
    <x v="3"/>
  </r>
  <r>
    <x v="7"/>
    <x v="10"/>
    <s v="November"/>
    <s v="Division_A"/>
    <x v="35"/>
    <n v="2016"/>
    <n v="3"/>
    <s v="TM-1"/>
    <n v="15"/>
    <n v="2142"/>
    <s v="142.8"/>
    <x v="0"/>
    <n v="0.48"/>
    <n v="7199.1"/>
    <n v="7.1989999999999998"/>
    <d v="2019-11-01T00:00:00"/>
    <x v="0"/>
    <x v="3"/>
  </r>
  <r>
    <x v="7"/>
    <x v="11"/>
    <s v="Desember"/>
    <s v="Division_A"/>
    <x v="35"/>
    <n v="2016"/>
    <n v="3"/>
    <s v="TM-1"/>
    <n v="15"/>
    <n v="2142"/>
    <s v="142.8"/>
    <x v="0"/>
    <n v="0.36099999999999999"/>
    <n v="5415"/>
    <n v="5.415"/>
    <d v="2019-12-01T00:00:00"/>
    <x v="0"/>
    <x v="3"/>
  </r>
  <r>
    <x v="7"/>
    <x v="0"/>
    <s v="Januari"/>
    <s v="Division_A"/>
    <x v="36"/>
    <n v="2016"/>
    <n v="3"/>
    <s v="TM-1"/>
    <n v="24"/>
    <n v="3324"/>
    <s v="138.5"/>
    <x v="0"/>
    <n v="0.45600000000000002"/>
    <n v="10934.9"/>
    <n v="10.935"/>
    <d v="2019-01-01T00:00:00"/>
    <x v="0"/>
    <x v="3"/>
  </r>
  <r>
    <x v="7"/>
    <x v="1"/>
    <s v="Februari"/>
    <s v="Division_A"/>
    <x v="36"/>
    <n v="2016"/>
    <n v="3"/>
    <s v="TM-1"/>
    <n v="24"/>
    <n v="3324"/>
    <s v="138.5"/>
    <x v="0"/>
    <n v="0.53300000000000003"/>
    <n v="12786.2"/>
    <n v="12.786"/>
    <d v="2019-02-01T00:00:00"/>
    <x v="0"/>
    <x v="3"/>
  </r>
  <r>
    <x v="7"/>
    <x v="2"/>
    <s v="Maret"/>
    <s v="Division_A"/>
    <x v="36"/>
    <n v="2016"/>
    <n v="3"/>
    <s v="TM-1"/>
    <n v="24"/>
    <n v="3324"/>
    <s v="138.5"/>
    <x v="0"/>
    <n v="0.62"/>
    <n v="14874.7"/>
    <n v="14.875"/>
    <d v="2019-03-01T00:00:00"/>
    <x v="0"/>
    <x v="3"/>
  </r>
  <r>
    <x v="7"/>
    <x v="3"/>
    <s v="April"/>
    <s v="Division_A"/>
    <x v="36"/>
    <n v="2016"/>
    <n v="3"/>
    <s v="TM-1"/>
    <n v="24"/>
    <n v="3324"/>
    <s v="138.5"/>
    <x v="0"/>
    <n v="0.69599999999999995"/>
    <n v="16707.8"/>
    <n v="16.707999999999998"/>
    <d v="2019-04-01T00:00:00"/>
    <x v="0"/>
    <x v="3"/>
  </r>
  <r>
    <x v="7"/>
    <x v="4"/>
    <s v="Mei"/>
    <s v="Division_A"/>
    <x v="36"/>
    <n v="2016"/>
    <n v="3"/>
    <s v="TM-1"/>
    <n v="24"/>
    <n v="3324"/>
    <s v="138.5"/>
    <x v="0"/>
    <n v="0.71199999999999997"/>
    <n v="17090.900000000001"/>
    <n v="17.091000000000001"/>
    <d v="2019-05-01T00:00:00"/>
    <x v="0"/>
    <x v="3"/>
  </r>
  <r>
    <x v="7"/>
    <x v="5"/>
    <s v="Juni"/>
    <s v="Division_A"/>
    <x v="36"/>
    <n v="2016"/>
    <n v="3"/>
    <s v="TM-1"/>
    <n v="24"/>
    <n v="3324"/>
    <s v="138.5"/>
    <x v="0"/>
    <n v="0.67600000000000005"/>
    <n v="16224.5"/>
    <n v="16.224"/>
    <d v="2019-06-01T00:00:00"/>
    <x v="0"/>
    <x v="3"/>
  </r>
  <r>
    <x v="7"/>
    <x v="6"/>
    <s v="Juli"/>
    <s v="Division_A"/>
    <x v="36"/>
    <n v="2016"/>
    <n v="3"/>
    <s v="TM-1"/>
    <n v="24"/>
    <n v="3324"/>
    <s v="138.5"/>
    <x v="0"/>
    <n v="0.60799999999999998"/>
    <n v="14592"/>
    <n v="14.592000000000001"/>
    <d v="2019-07-01T00:00:00"/>
    <x v="0"/>
    <x v="3"/>
  </r>
  <r>
    <x v="7"/>
    <x v="7"/>
    <s v="Agustus"/>
    <s v="Division_A"/>
    <x v="36"/>
    <n v="2016"/>
    <n v="3"/>
    <s v="TM-1"/>
    <n v="24"/>
    <n v="3324"/>
    <s v="138.5"/>
    <x v="0"/>
    <n v="0.70699999999999996"/>
    <n v="16963.2"/>
    <n v="16.963000000000001"/>
    <d v="2019-08-01T00:00:00"/>
    <x v="0"/>
    <x v="3"/>
  </r>
  <r>
    <x v="7"/>
    <x v="8"/>
    <s v="September"/>
    <s v="Division_A"/>
    <x v="36"/>
    <n v="2016"/>
    <n v="3"/>
    <s v="TM-1"/>
    <n v="24"/>
    <n v="3324"/>
    <s v="138.5"/>
    <x v="0"/>
    <n v="0.502"/>
    <n v="12056.6"/>
    <n v="12.057"/>
    <d v="2019-09-01T00:00:00"/>
    <x v="0"/>
    <x v="3"/>
  </r>
  <r>
    <x v="7"/>
    <x v="9"/>
    <s v="Oktober"/>
    <s v="Division_A"/>
    <x v="36"/>
    <n v="2016"/>
    <n v="3"/>
    <s v="TM-1"/>
    <n v="24"/>
    <n v="3324"/>
    <s v="138.5"/>
    <x v="0"/>
    <n v="0.65900000000000003"/>
    <n v="15823.2"/>
    <n v="15.823"/>
    <d v="2019-10-01T00:00:00"/>
    <x v="0"/>
    <x v="3"/>
  </r>
  <r>
    <x v="7"/>
    <x v="10"/>
    <s v="November"/>
    <s v="Division_A"/>
    <x v="36"/>
    <n v="2016"/>
    <n v="3"/>
    <s v="TM-1"/>
    <n v="24"/>
    <n v="3324"/>
    <s v="138.5"/>
    <x v="0"/>
    <n v="0.48"/>
    <n v="11518.6"/>
    <n v="11.519"/>
    <d v="2019-11-01T00:00:00"/>
    <x v="0"/>
    <x v="3"/>
  </r>
  <r>
    <x v="7"/>
    <x v="11"/>
    <s v="Desember"/>
    <s v="Division_A"/>
    <x v="36"/>
    <n v="2016"/>
    <n v="3"/>
    <s v="TM-1"/>
    <n v="24"/>
    <n v="3324"/>
    <s v="138.5"/>
    <x v="0"/>
    <n v="0.36099999999999999"/>
    <n v="8664"/>
    <n v="8.6639999999999997"/>
    <d v="2019-12-01T00:00:00"/>
    <x v="0"/>
    <x v="3"/>
  </r>
  <r>
    <x v="7"/>
    <x v="0"/>
    <s v="Januari"/>
    <s v="Division_A"/>
    <x v="37"/>
    <n v="2016"/>
    <n v="3"/>
    <s v="TM-1"/>
    <n v="20"/>
    <n v="2663"/>
    <s v="133.2"/>
    <x v="0"/>
    <n v="0.45600000000000002"/>
    <n v="9112.4"/>
    <n v="9.1120000000000001"/>
    <d v="2019-01-01T00:00:00"/>
    <x v="0"/>
    <x v="3"/>
  </r>
  <r>
    <x v="7"/>
    <x v="1"/>
    <s v="Februari"/>
    <s v="Division_A"/>
    <x v="37"/>
    <n v="2016"/>
    <n v="3"/>
    <s v="TM-1"/>
    <n v="20"/>
    <n v="2663"/>
    <s v="133.2"/>
    <x v="0"/>
    <n v="0.53300000000000003"/>
    <n v="10655.2"/>
    <n v="10.654999999999999"/>
    <d v="2019-02-01T00:00:00"/>
    <x v="0"/>
    <x v="3"/>
  </r>
  <r>
    <x v="7"/>
    <x v="2"/>
    <s v="Maret"/>
    <s v="Division_A"/>
    <x v="37"/>
    <n v="2016"/>
    <n v="3"/>
    <s v="TM-1"/>
    <n v="20"/>
    <n v="2663"/>
    <s v="133.2"/>
    <x v="0"/>
    <n v="0.62"/>
    <n v="12395.6"/>
    <n v="12.396000000000001"/>
    <d v="2019-03-01T00:00:00"/>
    <x v="0"/>
    <x v="3"/>
  </r>
  <r>
    <x v="7"/>
    <x v="3"/>
    <s v="April"/>
    <s v="Division_A"/>
    <x v="37"/>
    <n v="2016"/>
    <n v="3"/>
    <s v="TM-1"/>
    <n v="20"/>
    <n v="2663"/>
    <s v="133.2"/>
    <x v="0"/>
    <n v="0.69599999999999995"/>
    <n v="13923.2"/>
    <n v="13.923"/>
    <d v="2019-04-01T00:00:00"/>
    <x v="0"/>
    <x v="3"/>
  </r>
  <r>
    <x v="7"/>
    <x v="4"/>
    <s v="Mei"/>
    <s v="Division_A"/>
    <x v="37"/>
    <n v="2016"/>
    <n v="3"/>
    <s v="TM-1"/>
    <n v="20"/>
    <n v="2663"/>
    <s v="133.2"/>
    <x v="0"/>
    <n v="0.71199999999999997"/>
    <n v="14242.4"/>
    <n v="14.242000000000001"/>
    <d v="2019-05-01T00:00:00"/>
    <x v="0"/>
    <x v="3"/>
  </r>
  <r>
    <x v="7"/>
    <x v="5"/>
    <s v="Juni"/>
    <s v="Division_A"/>
    <x v="37"/>
    <n v="2016"/>
    <n v="3"/>
    <s v="TM-1"/>
    <n v="20"/>
    <n v="2663"/>
    <s v="133.2"/>
    <x v="0"/>
    <n v="0.67600000000000005"/>
    <n v="13520.4"/>
    <n v="13.52"/>
    <d v="2019-06-01T00:00:00"/>
    <x v="0"/>
    <x v="3"/>
  </r>
  <r>
    <x v="7"/>
    <x v="6"/>
    <s v="Juli"/>
    <s v="Division_A"/>
    <x v="37"/>
    <n v="2016"/>
    <n v="3"/>
    <s v="TM-1"/>
    <n v="20"/>
    <n v="2663"/>
    <s v="133.2"/>
    <x v="0"/>
    <n v="0.60799999999999998"/>
    <n v="12160"/>
    <n v="12.16"/>
    <d v="2019-07-01T00:00:00"/>
    <x v="0"/>
    <x v="3"/>
  </r>
  <r>
    <x v="7"/>
    <x v="7"/>
    <s v="Agustus"/>
    <s v="Division_A"/>
    <x v="37"/>
    <n v="2016"/>
    <n v="3"/>
    <s v="TM-1"/>
    <n v="20"/>
    <n v="2663"/>
    <s v="133.2"/>
    <x v="0"/>
    <n v="0.70699999999999996"/>
    <n v="14136"/>
    <n v="14.135999999999999"/>
    <d v="2019-08-01T00:00:00"/>
    <x v="0"/>
    <x v="3"/>
  </r>
  <r>
    <x v="7"/>
    <x v="8"/>
    <s v="September"/>
    <s v="Division_A"/>
    <x v="37"/>
    <n v="2016"/>
    <n v="3"/>
    <s v="TM-1"/>
    <n v="20"/>
    <n v="2663"/>
    <s v="133.2"/>
    <x v="0"/>
    <n v="0.502"/>
    <n v="10047.200000000001"/>
    <n v="10.047000000000001"/>
    <d v="2019-09-01T00:00:00"/>
    <x v="0"/>
    <x v="3"/>
  </r>
  <r>
    <x v="7"/>
    <x v="9"/>
    <s v="Oktober"/>
    <s v="Division_A"/>
    <x v="37"/>
    <n v="2016"/>
    <n v="3"/>
    <s v="TM-1"/>
    <n v="20"/>
    <n v="2663"/>
    <s v="133.2"/>
    <x v="0"/>
    <n v="0.65900000000000003"/>
    <n v="13186"/>
    <n v="13.186"/>
    <d v="2019-10-01T00:00:00"/>
    <x v="0"/>
    <x v="3"/>
  </r>
  <r>
    <x v="7"/>
    <x v="10"/>
    <s v="November"/>
    <s v="Division_A"/>
    <x v="37"/>
    <n v="2016"/>
    <n v="3"/>
    <s v="TM-1"/>
    <n v="20"/>
    <n v="2663"/>
    <s v="133.2"/>
    <x v="0"/>
    <n v="0.48"/>
    <n v="9598.7999999999993"/>
    <n v="9.5990000000000002"/>
    <d v="2019-11-01T00:00:00"/>
    <x v="0"/>
    <x v="3"/>
  </r>
  <r>
    <x v="7"/>
    <x v="11"/>
    <s v="Desember"/>
    <s v="Division_A"/>
    <x v="37"/>
    <n v="2016"/>
    <n v="3"/>
    <s v="TM-1"/>
    <n v="20"/>
    <n v="2663"/>
    <s v="133.2"/>
    <x v="0"/>
    <n v="0.36099999999999999"/>
    <n v="7220"/>
    <n v="7.22"/>
    <d v="2019-12-01T00:00:00"/>
    <x v="0"/>
    <x v="3"/>
  </r>
  <r>
    <x v="7"/>
    <x v="0"/>
    <s v="Januari"/>
    <s v="Division_A"/>
    <x v="38"/>
    <n v="2016"/>
    <n v="3"/>
    <s v="TM-1"/>
    <n v="14"/>
    <n v="1746"/>
    <s v="124.7"/>
    <x v="0"/>
    <n v="0.45600000000000002"/>
    <n v="6378.7"/>
    <n v="6.3789999999999996"/>
    <d v="2019-01-01T00:00:00"/>
    <x v="0"/>
    <x v="3"/>
  </r>
  <r>
    <x v="7"/>
    <x v="1"/>
    <s v="Februari"/>
    <s v="Division_A"/>
    <x v="38"/>
    <n v="2016"/>
    <n v="3"/>
    <s v="TM-1"/>
    <n v="14"/>
    <n v="1746"/>
    <s v="124.7"/>
    <x v="0"/>
    <n v="0.53300000000000003"/>
    <n v="7458.6"/>
    <n v="7.4589999999999996"/>
    <d v="2019-02-01T00:00:00"/>
    <x v="0"/>
    <x v="3"/>
  </r>
  <r>
    <x v="7"/>
    <x v="2"/>
    <s v="Maret"/>
    <s v="Division_A"/>
    <x v="38"/>
    <n v="2016"/>
    <n v="3"/>
    <s v="TM-1"/>
    <n v="14"/>
    <n v="1746"/>
    <s v="124.7"/>
    <x v="0"/>
    <n v="0.62"/>
    <n v="8676.9"/>
    <n v="8.6769999999999996"/>
    <d v="2019-03-01T00:00:00"/>
    <x v="0"/>
    <x v="3"/>
  </r>
  <r>
    <x v="7"/>
    <x v="3"/>
    <s v="April"/>
    <s v="Division_A"/>
    <x v="38"/>
    <n v="2016"/>
    <n v="3"/>
    <s v="TM-1"/>
    <n v="14"/>
    <n v="1746"/>
    <s v="124.7"/>
    <x v="0"/>
    <n v="0.69599999999999995"/>
    <n v="9746.2000000000007"/>
    <n v="9.7460000000000004"/>
    <d v="2019-04-01T00:00:00"/>
    <x v="0"/>
    <x v="3"/>
  </r>
  <r>
    <x v="7"/>
    <x v="4"/>
    <s v="Mei"/>
    <s v="Division_A"/>
    <x v="38"/>
    <n v="2016"/>
    <n v="3"/>
    <s v="TM-1"/>
    <n v="14"/>
    <n v="1746"/>
    <s v="124.7"/>
    <x v="0"/>
    <n v="0.71199999999999997"/>
    <n v="9969.7000000000007"/>
    <n v="9.9700000000000006"/>
    <d v="2019-05-01T00:00:00"/>
    <x v="0"/>
    <x v="3"/>
  </r>
  <r>
    <x v="7"/>
    <x v="5"/>
    <s v="Juni"/>
    <s v="Division_A"/>
    <x v="38"/>
    <n v="2016"/>
    <n v="3"/>
    <s v="TM-1"/>
    <n v="14"/>
    <n v="1746"/>
    <s v="124.7"/>
    <x v="0"/>
    <n v="0.67600000000000005"/>
    <n v="9464.2999999999993"/>
    <n v="9.4640000000000004"/>
    <d v="2019-06-01T00:00:00"/>
    <x v="0"/>
    <x v="3"/>
  </r>
  <r>
    <x v="7"/>
    <x v="6"/>
    <s v="Juli"/>
    <s v="Division_A"/>
    <x v="38"/>
    <n v="2016"/>
    <n v="3"/>
    <s v="TM-1"/>
    <n v="14"/>
    <n v="1746"/>
    <s v="124.7"/>
    <x v="0"/>
    <n v="0.60799999999999998"/>
    <n v="8512"/>
    <n v="8.5120000000000005"/>
    <d v="2019-07-01T00:00:00"/>
    <x v="0"/>
    <x v="3"/>
  </r>
  <r>
    <x v="7"/>
    <x v="7"/>
    <s v="Agustus"/>
    <s v="Division_A"/>
    <x v="38"/>
    <n v="2016"/>
    <n v="3"/>
    <s v="TM-1"/>
    <n v="14"/>
    <n v="1746"/>
    <s v="124.7"/>
    <x v="0"/>
    <n v="0.70699999999999996"/>
    <n v="9895.2000000000007"/>
    <n v="9.8949999999999996"/>
    <d v="2019-08-01T00:00:00"/>
    <x v="0"/>
    <x v="3"/>
  </r>
  <r>
    <x v="7"/>
    <x v="8"/>
    <s v="September"/>
    <s v="Division_A"/>
    <x v="38"/>
    <n v="2016"/>
    <n v="3"/>
    <s v="TM-1"/>
    <n v="14"/>
    <n v="1746"/>
    <s v="124.7"/>
    <x v="0"/>
    <n v="0.502"/>
    <n v="7033"/>
    <n v="7.0330000000000004"/>
    <d v="2019-09-01T00:00:00"/>
    <x v="0"/>
    <x v="3"/>
  </r>
  <r>
    <x v="7"/>
    <x v="9"/>
    <s v="Oktober"/>
    <s v="Division_A"/>
    <x v="38"/>
    <n v="2016"/>
    <n v="3"/>
    <s v="TM-1"/>
    <n v="14"/>
    <n v="1746"/>
    <s v="124.7"/>
    <x v="0"/>
    <n v="0.65900000000000003"/>
    <n v="9230.2000000000007"/>
    <n v="9.23"/>
    <d v="2019-10-01T00:00:00"/>
    <x v="0"/>
    <x v="3"/>
  </r>
  <r>
    <x v="7"/>
    <x v="10"/>
    <s v="November"/>
    <s v="Division_A"/>
    <x v="38"/>
    <n v="2016"/>
    <n v="3"/>
    <s v="TM-1"/>
    <n v="14"/>
    <n v="1746"/>
    <s v="124.7"/>
    <x v="0"/>
    <n v="0.48"/>
    <n v="6719.2"/>
    <n v="6.7190000000000003"/>
    <d v="2019-11-01T00:00:00"/>
    <x v="0"/>
    <x v="3"/>
  </r>
  <r>
    <x v="7"/>
    <x v="11"/>
    <s v="Desember"/>
    <s v="Division_A"/>
    <x v="38"/>
    <n v="2016"/>
    <n v="3"/>
    <s v="TM-1"/>
    <n v="14"/>
    <n v="1746"/>
    <s v="124.7"/>
    <x v="0"/>
    <n v="0.36099999999999999"/>
    <n v="5054"/>
    <n v="5.0540000000000003"/>
    <d v="2019-12-01T00:00:00"/>
    <x v="0"/>
    <x v="3"/>
  </r>
  <r>
    <x v="7"/>
    <x v="0"/>
    <s v="Januari"/>
    <s v="Division_A"/>
    <x v="39"/>
    <n v="2016"/>
    <n v="3"/>
    <s v="TM-1"/>
    <n v="24"/>
    <n v="3377"/>
    <s v="140.7"/>
    <x v="0"/>
    <n v="0.45600000000000002"/>
    <n v="10934.9"/>
    <n v="10.935"/>
    <d v="2019-01-01T00:00:00"/>
    <x v="0"/>
    <x v="3"/>
  </r>
  <r>
    <x v="7"/>
    <x v="1"/>
    <s v="Februari"/>
    <s v="Division_A"/>
    <x v="39"/>
    <n v="2016"/>
    <n v="3"/>
    <s v="TM-1"/>
    <n v="24"/>
    <n v="3377"/>
    <s v="140.7"/>
    <x v="0"/>
    <n v="0.53300000000000003"/>
    <n v="12786.2"/>
    <n v="12.786"/>
    <d v="2019-02-01T00:00:00"/>
    <x v="0"/>
    <x v="3"/>
  </r>
  <r>
    <x v="7"/>
    <x v="2"/>
    <s v="Maret"/>
    <s v="Division_A"/>
    <x v="39"/>
    <n v="2016"/>
    <n v="3"/>
    <s v="TM-1"/>
    <n v="24"/>
    <n v="3377"/>
    <s v="140.7"/>
    <x v="0"/>
    <n v="0.62"/>
    <n v="14874.7"/>
    <n v="14.875"/>
    <d v="2019-03-01T00:00:00"/>
    <x v="0"/>
    <x v="3"/>
  </r>
  <r>
    <x v="7"/>
    <x v="3"/>
    <s v="April"/>
    <s v="Division_A"/>
    <x v="39"/>
    <n v="2016"/>
    <n v="3"/>
    <s v="TM-1"/>
    <n v="24"/>
    <n v="3377"/>
    <s v="140.7"/>
    <x v="0"/>
    <n v="0.69599999999999995"/>
    <n v="16707.8"/>
    <n v="16.707999999999998"/>
    <d v="2019-04-01T00:00:00"/>
    <x v="0"/>
    <x v="3"/>
  </r>
  <r>
    <x v="7"/>
    <x v="4"/>
    <s v="Mei"/>
    <s v="Division_A"/>
    <x v="39"/>
    <n v="2016"/>
    <n v="3"/>
    <s v="TM-1"/>
    <n v="24"/>
    <n v="3377"/>
    <s v="140.7"/>
    <x v="0"/>
    <n v="0.71199999999999997"/>
    <n v="17090.900000000001"/>
    <n v="17.091000000000001"/>
    <d v="2019-05-01T00:00:00"/>
    <x v="0"/>
    <x v="3"/>
  </r>
  <r>
    <x v="7"/>
    <x v="5"/>
    <s v="Juni"/>
    <s v="Division_A"/>
    <x v="39"/>
    <n v="2016"/>
    <n v="3"/>
    <s v="TM-1"/>
    <n v="24"/>
    <n v="3377"/>
    <s v="140.7"/>
    <x v="0"/>
    <n v="0.67600000000000005"/>
    <n v="16224.5"/>
    <n v="16.224"/>
    <d v="2019-06-01T00:00:00"/>
    <x v="0"/>
    <x v="3"/>
  </r>
  <r>
    <x v="7"/>
    <x v="6"/>
    <s v="Juli"/>
    <s v="Division_A"/>
    <x v="39"/>
    <n v="2016"/>
    <n v="3"/>
    <s v="TM-1"/>
    <n v="24"/>
    <n v="3377"/>
    <s v="140.7"/>
    <x v="0"/>
    <n v="0.60799999999999998"/>
    <n v="14592"/>
    <n v="14.592000000000001"/>
    <d v="2019-07-01T00:00:00"/>
    <x v="0"/>
    <x v="3"/>
  </r>
  <r>
    <x v="7"/>
    <x v="7"/>
    <s v="Agustus"/>
    <s v="Division_A"/>
    <x v="39"/>
    <n v="2016"/>
    <n v="3"/>
    <s v="TM-1"/>
    <n v="24"/>
    <n v="3377"/>
    <s v="140.7"/>
    <x v="0"/>
    <n v="0.70699999999999996"/>
    <n v="16963.2"/>
    <n v="16.963000000000001"/>
    <d v="2019-08-01T00:00:00"/>
    <x v="0"/>
    <x v="3"/>
  </r>
  <r>
    <x v="7"/>
    <x v="8"/>
    <s v="September"/>
    <s v="Division_A"/>
    <x v="39"/>
    <n v="2016"/>
    <n v="3"/>
    <s v="TM-1"/>
    <n v="24"/>
    <n v="3377"/>
    <s v="140.7"/>
    <x v="0"/>
    <n v="0.502"/>
    <n v="12056.6"/>
    <n v="12.057"/>
    <d v="2019-09-01T00:00:00"/>
    <x v="0"/>
    <x v="3"/>
  </r>
  <r>
    <x v="7"/>
    <x v="9"/>
    <s v="Oktober"/>
    <s v="Division_A"/>
    <x v="39"/>
    <n v="2016"/>
    <n v="3"/>
    <s v="TM-1"/>
    <n v="24"/>
    <n v="3377"/>
    <s v="140.7"/>
    <x v="0"/>
    <n v="0.65900000000000003"/>
    <n v="15823.2"/>
    <n v="15.823"/>
    <d v="2019-10-01T00:00:00"/>
    <x v="0"/>
    <x v="3"/>
  </r>
  <r>
    <x v="7"/>
    <x v="10"/>
    <s v="November"/>
    <s v="Division_A"/>
    <x v="39"/>
    <n v="2016"/>
    <n v="3"/>
    <s v="TM-1"/>
    <n v="24"/>
    <n v="3377"/>
    <s v="140.7"/>
    <x v="0"/>
    <n v="0.48"/>
    <n v="11518.6"/>
    <n v="11.519"/>
    <d v="2019-11-01T00:00:00"/>
    <x v="0"/>
    <x v="3"/>
  </r>
  <r>
    <x v="7"/>
    <x v="11"/>
    <s v="Desember"/>
    <s v="Division_A"/>
    <x v="39"/>
    <n v="2016"/>
    <n v="3"/>
    <s v="TM-1"/>
    <n v="24"/>
    <n v="3377"/>
    <s v="140.7"/>
    <x v="0"/>
    <n v="0.36099999999999999"/>
    <n v="8664"/>
    <n v="8.6639999999999997"/>
    <d v="2019-12-01T00:00:00"/>
    <x v="0"/>
    <x v="3"/>
  </r>
  <r>
    <x v="7"/>
    <x v="0"/>
    <s v="Januari"/>
    <s v="Division_A"/>
    <x v="40"/>
    <n v="2016"/>
    <n v="3"/>
    <s v="TM-1"/>
    <n v="25"/>
    <n v="3431"/>
    <s v="137.2"/>
    <x v="0"/>
    <n v="0.45600000000000002"/>
    <n v="11390.5"/>
    <n v="11.391"/>
    <d v="2019-01-01T00:00:00"/>
    <x v="0"/>
    <x v="3"/>
  </r>
  <r>
    <x v="7"/>
    <x v="1"/>
    <s v="Februari"/>
    <s v="Division_A"/>
    <x v="40"/>
    <n v="2016"/>
    <n v="3"/>
    <s v="TM-1"/>
    <n v="25"/>
    <n v="3431"/>
    <s v="137.2"/>
    <x v="0"/>
    <n v="0.53300000000000003"/>
    <n v="13319"/>
    <n v="13.319000000000001"/>
    <d v="2019-02-01T00:00:00"/>
    <x v="0"/>
    <x v="3"/>
  </r>
  <r>
    <x v="7"/>
    <x v="2"/>
    <s v="Maret"/>
    <s v="Division_A"/>
    <x v="40"/>
    <n v="2016"/>
    <n v="3"/>
    <s v="TM-1"/>
    <n v="25"/>
    <n v="3431"/>
    <s v="137.2"/>
    <x v="0"/>
    <n v="0.62"/>
    <n v="15494.5"/>
    <n v="15.494999999999999"/>
    <d v="2019-03-01T00:00:00"/>
    <x v="0"/>
    <x v="3"/>
  </r>
  <r>
    <x v="7"/>
    <x v="3"/>
    <s v="April"/>
    <s v="Division_A"/>
    <x v="40"/>
    <n v="2016"/>
    <n v="3"/>
    <s v="TM-1"/>
    <n v="25"/>
    <n v="3431"/>
    <s v="137.2"/>
    <x v="0"/>
    <n v="0.69599999999999995"/>
    <n v="17404"/>
    <n v="17.404"/>
    <d v="2019-04-01T00:00:00"/>
    <x v="0"/>
    <x v="3"/>
  </r>
  <r>
    <x v="7"/>
    <x v="4"/>
    <s v="Mei"/>
    <s v="Division_A"/>
    <x v="40"/>
    <n v="2016"/>
    <n v="3"/>
    <s v="TM-1"/>
    <n v="25"/>
    <n v="3431"/>
    <s v="137.2"/>
    <x v="0"/>
    <n v="0.71199999999999997"/>
    <n v="17803"/>
    <n v="17.803000000000001"/>
    <d v="2019-05-01T00:00:00"/>
    <x v="0"/>
    <x v="3"/>
  </r>
  <r>
    <x v="7"/>
    <x v="5"/>
    <s v="Juni"/>
    <s v="Division_A"/>
    <x v="40"/>
    <n v="2016"/>
    <n v="3"/>
    <s v="TM-1"/>
    <n v="25"/>
    <n v="3431"/>
    <s v="137.2"/>
    <x v="0"/>
    <n v="0.67600000000000005"/>
    <n v="16900.5"/>
    <n v="16.899999999999999"/>
    <d v="2019-06-01T00:00:00"/>
    <x v="0"/>
    <x v="3"/>
  </r>
  <r>
    <x v="7"/>
    <x v="6"/>
    <s v="Juli"/>
    <s v="Division_A"/>
    <x v="40"/>
    <n v="2016"/>
    <n v="3"/>
    <s v="TM-1"/>
    <n v="25"/>
    <n v="3431"/>
    <s v="137.2"/>
    <x v="0"/>
    <n v="0.60799999999999998"/>
    <n v="15200"/>
    <n v="15.2"/>
    <d v="2019-07-01T00:00:00"/>
    <x v="0"/>
    <x v="3"/>
  </r>
  <r>
    <x v="7"/>
    <x v="7"/>
    <s v="Agustus"/>
    <s v="Division_A"/>
    <x v="40"/>
    <n v="2016"/>
    <n v="3"/>
    <s v="TM-1"/>
    <n v="25"/>
    <n v="3431"/>
    <s v="137.2"/>
    <x v="0"/>
    <n v="0.70699999999999996"/>
    <n v="17670"/>
    <n v="17.670000000000002"/>
    <d v="2019-08-01T00:00:00"/>
    <x v="0"/>
    <x v="3"/>
  </r>
  <r>
    <x v="7"/>
    <x v="8"/>
    <s v="September"/>
    <s v="Division_A"/>
    <x v="40"/>
    <n v="2016"/>
    <n v="3"/>
    <s v="TM-1"/>
    <n v="25"/>
    <n v="3431"/>
    <s v="137.2"/>
    <x v="0"/>
    <n v="0.502"/>
    <n v="12559"/>
    <n v="12.558999999999999"/>
    <d v="2019-09-01T00:00:00"/>
    <x v="0"/>
    <x v="3"/>
  </r>
  <r>
    <x v="7"/>
    <x v="9"/>
    <s v="Oktober"/>
    <s v="Division_A"/>
    <x v="40"/>
    <n v="2016"/>
    <n v="3"/>
    <s v="TM-1"/>
    <n v="25"/>
    <n v="3431"/>
    <s v="137.2"/>
    <x v="0"/>
    <n v="0.65900000000000003"/>
    <n v="16482.5"/>
    <n v="16.483000000000001"/>
    <d v="2019-10-01T00:00:00"/>
    <x v="0"/>
    <x v="3"/>
  </r>
  <r>
    <x v="7"/>
    <x v="10"/>
    <s v="November"/>
    <s v="Division_A"/>
    <x v="40"/>
    <n v="2016"/>
    <n v="3"/>
    <s v="TM-1"/>
    <n v="25"/>
    <n v="3431"/>
    <s v="137.2"/>
    <x v="0"/>
    <n v="0.48"/>
    <n v="11998.5"/>
    <n v="11.997999999999999"/>
    <d v="2019-11-01T00:00:00"/>
    <x v="0"/>
    <x v="3"/>
  </r>
  <r>
    <x v="7"/>
    <x v="11"/>
    <s v="Desember"/>
    <s v="Division_A"/>
    <x v="40"/>
    <n v="2016"/>
    <n v="3"/>
    <s v="TM-1"/>
    <n v="25"/>
    <n v="3431"/>
    <s v="137.2"/>
    <x v="0"/>
    <n v="0.36099999999999999"/>
    <n v="9025"/>
    <n v="9.0250000000000004"/>
    <d v="2019-12-01T00:00:00"/>
    <x v="0"/>
    <x v="3"/>
  </r>
  <r>
    <x v="7"/>
    <x v="0"/>
    <s v="Januari"/>
    <s v="Division_A"/>
    <x v="41"/>
    <n v="2016"/>
    <n v="3"/>
    <s v="TM-1"/>
    <n v="21"/>
    <n v="2901"/>
    <s v="138.1"/>
    <x v="0"/>
    <n v="0.45600000000000002"/>
    <n v="9568"/>
    <n v="9.5679999999999996"/>
    <d v="2019-01-01T00:00:00"/>
    <x v="0"/>
    <x v="3"/>
  </r>
  <r>
    <x v="7"/>
    <x v="1"/>
    <s v="Februari"/>
    <s v="Division_A"/>
    <x v="41"/>
    <n v="2016"/>
    <n v="3"/>
    <s v="TM-1"/>
    <n v="21"/>
    <n v="2901"/>
    <s v="138.1"/>
    <x v="0"/>
    <n v="0.53300000000000003"/>
    <n v="11188"/>
    <n v="11.188000000000001"/>
    <d v="2019-02-01T00:00:00"/>
    <x v="0"/>
    <x v="3"/>
  </r>
  <r>
    <x v="7"/>
    <x v="2"/>
    <s v="Maret"/>
    <s v="Division_A"/>
    <x v="41"/>
    <n v="2016"/>
    <n v="3"/>
    <s v="TM-1"/>
    <n v="21"/>
    <n v="2901"/>
    <s v="138.1"/>
    <x v="0"/>
    <n v="0.62"/>
    <n v="13015.4"/>
    <n v="13.015000000000001"/>
    <d v="2019-03-01T00:00:00"/>
    <x v="0"/>
    <x v="3"/>
  </r>
  <r>
    <x v="7"/>
    <x v="3"/>
    <s v="April"/>
    <s v="Division_A"/>
    <x v="41"/>
    <n v="2016"/>
    <n v="3"/>
    <s v="TM-1"/>
    <n v="21"/>
    <n v="2901"/>
    <s v="138.1"/>
    <x v="0"/>
    <n v="0.69599999999999995"/>
    <n v="14619.4"/>
    <n v="14.619"/>
    <d v="2019-04-01T00:00:00"/>
    <x v="0"/>
    <x v="3"/>
  </r>
  <r>
    <x v="7"/>
    <x v="4"/>
    <s v="Mei"/>
    <s v="Division_A"/>
    <x v="41"/>
    <n v="2016"/>
    <n v="3"/>
    <s v="TM-1"/>
    <n v="21"/>
    <n v="2901"/>
    <s v="138.1"/>
    <x v="0"/>
    <n v="0.71199999999999997"/>
    <n v="14954.5"/>
    <n v="14.955"/>
    <d v="2019-05-01T00:00:00"/>
    <x v="0"/>
    <x v="3"/>
  </r>
  <r>
    <x v="7"/>
    <x v="5"/>
    <s v="Juni"/>
    <s v="Division_A"/>
    <x v="41"/>
    <n v="2016"/>
    <n v="3"/>
    <s v="TM-1"/>
    <n v="21"/>
    <n v="2901"/>
    <s v="138.1"/>
    <x v="0"/>
    <n v="0.67600000000000005"/>
    <n v="14196.4"/>
    <n v="14.196"/>
    <d v="2019-06-01T00:00:00"/>
    <x v="0"/>
    <x v="3"/>
  </r>
  <r>
    <x v="7"/>
    <x v="6"/>
    <s v="Juli"/>
    <s v="Division_A"/>
    <x v="41"/>
    <n v="2016"/>
    <n v="3"/>
    <s v="TM-1"/>
    <n v="21"/>
    <n v="2901"/>
    <s v="138.1"/>
    <x v="0"/>
    <n v="0.60799999999999998"/>
    <n v="12768"/>
    <n v="12.768000000000001"/>
    <d v="2019-07-01T00:00:00"/>
    <x v="0"/>
    <x v="3"/>
  </r>
  <r>
    <x v="7"/>
    <x v="7"/>
    <s v="Agustus"/>
    <s v="Division_A"/>
    <x v="41"/>
    <n v="2016"/>
    <n v="3"/>
    <s v="TM-1"/>
    <n v="21"/>
    <n v="2901"/>
    <s v="138.1"/>
    <x v="0"/>
    <n v="0.70699999999999996"/>
    <n v="14842.8"/>
    <n v="14.843"/>
    <d v="2019-08-01T00:00:00"/>
    <x v="0"/>
    <x v="3"/>
  </r>
  <r>
    <x v="7"/>
    <x v="8"/>
    <s v="September"/>
    <s v="Division_A"/>
    <x v="41"/>
    <n v="2016"/>
    <n v="3"/>
    <s v="TM-1"/>
    <n v="21"/>
    <n v="2901"/>
    <s v="138.1"/>
    <x v="0"/>
    <n v="0.502"/>
    <n v="10549.6"/>
    <n v="10.55"/>
    <d v="2019-09-01T00:00:00"/>
    <x v="0"/>
    <x v="3"/>
  </r>
  <r>
    <x v="7"/>
    <x v="9"/>
    <s v="Oktober"/>
    <s v="Division_A"/>
    <x v="41"/>
    <n v="2016"/>
    <n v="3"/>
    <s v="TM-1"/>
    <n v="21"/>
    <n v="2901"/>
    <s v="138.1"/>
    <x v="0"/>
    <n v="0.65900000000000003"/>
    <n v="13845.3"/>
    <n v="13.845000000000001"/>
    <d v="2019-10-01T00:00:00"/>
    <x v="0"/>
    <x v="3"/>
  </r>
  <r>
    <x v="7"/>
    <x v="10"/>
    <s v="November"/>
    <s v="Division_A"/>
    <x v="41"/>
    <n v="2016"/>
    <n v="3"/>
    <s v="TM-1"/>
    <n v="21"/>
    <n v="2901"/>
    <s v="138.1"/>
    <x v="0"/>
    <n v="0.48"/>
    <n v="10078.700000000001"/>
    <n v="10.079000000000001"/>
    <d v="2019-11-01T00:00:00"/>
    <x v="0"/>
    <x v="3"/>
  </r>
  <r>
    <x v="7"/>
    <x v="11"/>
    <s v="Desember"/>
    <s v="Division_A"/>
    <x v="41"/>
    <n v="2016"/>
    <n v="3"/>
    <s v="TM-1"/>
    <n v="21"/>
    <n v="2901"/>
    <s v="138.1"/>
    <x v="0"/>
    <n v="0.36099999999999999"/>
    <n v="7581"/>
    <n v="7.5810000000000004"/>
    <d v="2019-12-01T00:00:00"/>
    <x v="0"/>
    <x v="3"/>
  </r>
  <r>
    <x v="8"/>
    <x v="0"/>
    <s v="Januari"/>
    <s v="Division_A"/>
    <x v="0"/>
    <n v="2000"/>
    <n v="20"/>
    <s v="TM-Tua"/>
    <n v="19"/>
    <n v="1490"/>
    <s v="78.4"/>
    <x v="0"/>
    <n v="0.5"/>
    <n v="9504.1"/>
    <n v="9.5039999999999996"/>
    <d v="2020-01-01T00:00:00"/>
    <x v="0"/>
    <x v="4"/>
  </r>
  <r>
    <x v="8"/>
    <x v="1"/>
    <s v="Februari"/>
    <s v="Division_A"/>
    <x v="0"/>
    <n v="2000"/>
    <n v="20"/>
    <s v="TM-Tua"/>
    <n v="19"/>
    <n v="1490"/>
    <s v="78.4"/>
    <x v="0"/>
    <n v="0.50700000000000001"/>
    <n v="9625.4"/>
    <n v="9.625"/>
    <d v="2020-02-01T00:00:00"/>
    <x v="0"/>
    <x v="4"/>
  </r>
  <r>
    <x v="8"/>
    <x v="2"/>
    <s v="Maret"/>
    <s v="Division_A"/>
    <x v="0"/>
    <n v="2000"/>
    <n v="20"/>
    <s v="TM-Tua"/>
    <n v="19"/>
    <n v="1490"/>
    <s v="78.4"/>
    <x v="0"/>
    <n v="0.58499999999999996"/>
    <n v="11121.8"/>
    <n v="11.122"/>
    <d v="2020-03-01T00:00:00"/>
    <x v="0"/>
    <x v="4"/>
  </r>
  <r>
    <x v="8"/>
    <x v="3"/>
    <s v="April"/>
    <s v="Division_A"/>
    <x v="0"/>
    <n v="2000"/>
    <n v="20"/>
    <s v="TM-Tua"/>
    <n v="19"/>
    <n v="1490"/>
    <s v="78.4"/>
    <x v="0"/>
    <n v="1.0269999999999999"/>
    <n v="19503.599999999999"/>
    <n v="19.504000000000001"/>
    <d v="2020-04-01T00:00:00"/>
    <x v="0"/>
    <x v="4"/>
  </r>
  <r>
    <x v="8"/>
    <x v="4"/>
    <s v="Mei"/>
    <s v="Division_A"/>
    <x v="0"/>
    <n v="2000"/>
    <n v="20"/>
    <s v="TM-Tua"/>
    <n v="19"/>
    <n v="1490"/>
    <s v="78.4"/>
    <x v="0"/>
    <n v="1.149"/>
    <n v="21829"/>
    <n v="21.829000000000001"/>
    <d v="2020-05-01T00:00:00"/>
    <x v="0"/>
    <x v="4"/>
  </r>
  <r>
    <x v="8"/>
    <x v="5"/>
    <s v="Juni"/>
    <s v="Division_A"/>
    <x v="0"/>
    <n v="2000"/>
    <n v="20"/>
    <s v="TM-Tua"/>
    <n v="19"/>
    <n v="1490"/>
    <s v="78.4"/>
    <x v="0"/>
    <n v="1.1970000000000001"/>
    <n v="22739"/>
    <n v="22.739000000000001"/>
    <d v="2020-06-01T00:00:00"/>
    <x v="0"/>
    <x v="4"/>
  </r>
  <r>
    <x v="8"/>
    <x v="6"/>
    <s v="Juli"/>
    <s v="Division_A"/>
    <x v="0"/>
    <n v="2000"/>
    <n v="20"/>
    <s v="TM-Tua"/>
    <n v="19"/>
    <n v="1490"/>
    <s v="78.4"/>
    <x v="0"/>
    <n v="1.2230000000000001"/>
    <n v="23234.400000000001"/>
    <n v="23.234000000000002"/>
    <d v="2020-07-01T00:00:00"/>
    <x v="0"/>
    <x v="4"/>
  </r>
  <r>
    <x v="8"/>
    <x v="7"/>
    <s v="Agustus"/>
    <s v="Division_A"/>
    <x v="0"/>
    <n v="2000"/>
    <n v="20"/>
    <s v="TM-Tua"/>
    <n v="19"/>
    <n v="1490"/>
    <s v="78.4"/>
    <x v="0"/>
    <n v="1.169"/>
    <n v="22203.1"/>
    <n v="22.202999999999999"/>
    <d v="2020-08-01T00:00:00"/>
    <x v="0"/>
    <x v="4"/>
  </r>
  <r>
    <x v="8"/>
    <x v="8"/>
    <s v="September"/>
    <s v="Division_A"/>
    <x v="0"/>
    <n v="2000"/>
    <n v="20"/>
    <s v="TM-Tua"/>
    <n v="19"/>
    <n v="1490"/>
    <s v="78.4"/>
    <x v="0"/>
    <n v="1.23"/>
    <n v="23376"/>
    <n v="23.376000000000001"/>
    <d v="2020-09-01T00:00:00"/>
    <x v="0"/>
    <x v="4"/>
  </r>
  <r>
    <x v="8"/>
    <x v="9"/>
    <s v="Oktober"/>
    <s v="Division_A"/>
    <x v="0"/>
    <n v="2000"/>
    <n v="20"/>
    <s v="TM-Tua"/>
    <n v="19"/>
    <n v="1490"/>
    <s v="78.4"/>
    <x v="0"/>
    <n v="1.139"/>
    <n v="21647"/>
    <n v="21.646999999999998"/>
    <d v="2020-10-01T00:00:00"/>
    <x v="0"/>
    <x v="4"/>
  </r>
  <r>
    <x v="8"/>
    <x v="10"/>
    <s v="November"/>
    <s v="Division_A"/>
    <x v="0"/>
    <n v="2000"/>
    <n v="20"/>
    <s v="TM-Tua"/>
    <n v="19"/>
    <n v="1490"/>
    <s v="78.4"/>
    <x v="0"/>
    <n v="0.97"/>
    <n v="18421.7"/>
    <n v="18.422000000000001"/>
    <d v="2020-11-01T00:00:00"/>
    <x v="0"/>
    <x v="4"/>
  </r>
  <r>
    <x v="8"/>
    <x v="11"/>
    <s v="Desember"/>
    <s v="Division_A"/>
    <x v="0"/>
    <n v="2000"/>
    <n v="20"/>
    <s v="TM-Tua"/>
    <n v="19"/>
    <n v="1490"/>
    <s v="78.4"/>
    <x v="0"/>
    <n v="0.87"/>
    <n v="16520.900000000001"/>
    <n v="16.521000000000001"/>
    <d v="2020-12-01T00:00:00"/>
    <x v="0"/>
    <x v="4"/>
  </r>
  <r>
    <x v="8"/>
    <x v="0"/>
    <s v="Januari"/>
    <s v="Division_A"/>
    <x v="1"/>
    <n v="2000"/>
    <n v="20"/>
    <s v="TM-Tua"/>
    <n v="24"/>
    <n v="1675"/>
    <s v="69.8"/>
    <x v="0"/>
    <n v="0.44500000000000001"/>
    <n v="10684.1"/>
    <n v="10.683999999999999"/>
    <d v="2020-01-01T00:00:00"/>
    <x v="0"/>
    <x v="4"/>
  </r>
  <r>
    <x v="8"/>
    <x v="1"/>
    <s v="Februari"/>
    <s v="Division_A"/>
    <x v="1"/>
    <n v="2000"/>
    <n v="20"/>
    <s v="TM-Tua"/>
    <n v="24"/>
    <n v="1675"/>
    <s v="69.8"/>
    <x v="0"/>
    <n v="0.45100000000000001"/>
    <n v="10820.5"/>
    <n v="10.82"/>
    <d v="2020-02-01T00:00:00"/>
    <x v="0"/>
    <x v="4"/>
  </r>
  <r>
    <x v="8"/>
    <x v="2"/>
    <s v="Maret"/>
    <s v="Division_A"/>
    <x v="1"/>
    <n v="2000"/>
    <n v="20"/>
    <s v="TM-Tua"/>
    <n v="24"/>
    <n v="1675"/>
    <s v="69.8"/>
    <x v="0"/>
    <n v="0.52100000000000002"/>
    <n v="12502.7"/>
    <n v="12.503"/>
    <d v="2020-03-01T00:00:00"/>
    <x v="0"/>
    <x v="4"/>
  </r>
  <r>
    <x v="8"/>
    <x v="3"/>
    <s v="April"/>
    <s v="Division_A"/>
    <x v="1"/>
    <n v="2000"/>
    <n v="20"/>
    <s v="TM-Tua"/>
    <n v="24"/>
    <n v="1675"/>
    <s v="69.8"/>
    <x v="0"/>
    <n v="0.91400000000000003"/>
    <n v="21925.200000000001"/>
    <n v="21.925000000000001"/>
    <d v="2020-04-01T00:00:00"/>
    <x v="0"/>
    <x v="4"/>
  </r>
  <r>
    <x v="8"/>
    <x v="4"/>
    <s v="Mei"/>
    <s v="Division_A"/>
    <x v="1"/>
    <n v="2000"/>
    <n v="20"/>
    <s v="TM-Tua"/>
    <n v="24"/>
    <n v="1675"/>
    <s v="69.8"/>
    <x v="0"/>
    <n v="1.022"/>
    <n v="24539.3"/>
    <n v="24.539000000000001"/>
    <d v="2020-05-01T00:00:00"/>
    <x v="0"/>
    <x v="4"/>
  </r>
  <r>
    <x v="8"/>
    <x v="5"/>
    <s v="Juni"/>
    <s v="Division_A"/>
    <x v="1"/>
    <n v="2000"/>
    <n v="20"/>
    <s v="TM-Tua"/>
    <n v="24"/>
    <n v="1675"/>
    <s v="69.8"/>
    <x v="0"/>
    <n v="1.0649999999999999"/>
    <n v="25562.3"/>
    <n v="25.562000000000001"/>
    <d v="2020-06-01T00:00:00"/>
    <x v="0"/>
    <x v="4"/>
  </r>
  <r>
    <x v="8"/>
    <x v="6"/>
    <s v="Juli"/>
    <s v="Division_A"/>
    <x v="1"/>
    <n v="2000"/>
    <n v="20"/>
    <s v="TM-Tua"/>
    <n v="24"/>
    <n v="1675"/>
    <s v="69.8"/>
    <x v="0"/>
    <n v="1.0880000000000001"/>
    <n v="26119.200000000001"/>
    <n v="26.119"/>
    <d v="2020-07-01T00:00:00"/>
    <x v="0"/>
    <x v="4"/>
  </r>
  <r>
    <x v="8"/>
    <x v="7"/>
    <s v="Agustus"/>
    <s v="Division_A"/>
    <x v="1"/>
    <n v="2000"/>
    <n v="20"/>
    <s v="TM-Tua"/>
    <n v="24"/>
    <n v="1675"/>
    <s v="69.8"/>
    <x v="0"/>
    <n v="1.04"/>
    <n v="24959.9"/>
    <n v="24.96"/>
    <d v="2020-08-01T00:00:00"/>
    <x v="0"/>
    <x v="4"/>
  </r>
  <r>
    <x v="8"/>
    <x v="8"/>
    <s v="September"/>
    <s v="Division_A"/>
    <x v="1"/>
    <n v="2000"/>
    <n v="20"/>
    <s v="TM-Tua"/>
    <n v="24"/>
    <n v="1675"/>
    <s v="69.8"/>
    <x v="0"/>
    <n v="1.095"/>
    <n v="26278.400000000001"/>
    <n v="26.277999999999999"/>
    <d v="2020-09-01T00:00:00"/>
    <x v="0"/>
    <x v="4"/>
  </r>
  <r>
    <x v="8"/>
    <x v="9"/>
    <s v="Oktober"/>
    <s v="Division_A"/>
    <x v="1"/>
    <n v="2000"/>
    <n v="20"/>
    <s v="TM-Tua"/>
    <n v="24"/>
    <n v="1675"/>
    <s v="69.8"/>
    <x v="0"/>
    <n v="1.014"/>
    <n v="24334.799999999999"/>
    <n v="24.335000000000001"/>
    <d v="2020-10-01T00:00:00"/>
    <x v="0"/>
    <x v="4"/>
  </r>
  <r>
    <x v="8"/>
    <x v="10"/>
    <s v="November"/>
    <s v="Division_A"/>
    <x v="1"/>
    <n v="2000"/>
    <n v="20"/>
    <s v="TM-Tua"/>
    <n v="24"/>
    <n v="1675"/>
    <s v="69.8"/>
    <x v="0"/>
    <n v="0.86299999999999999"/>
    <n v="20709"/>
    <n v="20.709"/>
    <d v="2020-11-01T00:00:00"/>
    <x v="0"/>
    <x v="4"/>
  </r>
  <r>
    <x v="8"/>
    <x v="11"/>
    <s v="Desember"/>
    <s v="Division_A"/>
    <x v="1"/>
    <n v="2000"/>
    <n v="20"/>
    <s v="TM-Tua"/>
    <n v="24"/>
    <n v="1675"/>
    <s v="69.8"/>
    <x v="0"/>
    <n v="0.77400000000000002"/>
    <n v="18572.2"/>
    <n v="18.571999999999999"/>
    <d v="2020-12-01T00:00:00"/>
    <x v="0"/>
    <x v="4"/>
  </r>
  <r>
    <x v="8"/>
    <x v="0"/>
    <s v="Januari"/>
    <s v="Division_A"/>
    <x v="2"/>
    <n v="2005"/>
    <n v="15"/>
    <s v="TM-Utama"/>
    <n v="18"/>
    <n v="1922"/>
    <s v="106.8"/>
    <x v="0"/>
    <n v="0.753"/>
    <n v="13550.1"/>
    <n v="13.55"/>
    <d v="2020-01-01T00:00:00"/>
    <x v="0"/>
    <x v="0"/>
  </r>
  <r>
    <x v="8"/>
    <x v="1"/>
    <s v="Februari"/>
    <s v="Division_A"/>
    <x v="2"/>
    <n v="2005"/>
    <n v="15"/>
    <s v="TM-Utama"/>
    <n v="18"/>
    <n v="1922"/>
    <s v="106.8"/>
    <x v="0"/>
    <n v="0.76200000000000001"/>
    <n v="13723.1"/>
    <n v="13.723000000000001"/>
    <d v="2020-02-01T00:00:00"/>
    <x v="0"/>
    <x v="0"/>
  </r>
  <r>
    <x v="8"/>
    <x v="2"/>
    <s v="Maret"/>
    <s v="Division_A"/>
    <x v="2"/>
    <n v="2005"/>
    <n v="15"/>
    <s v="TM-Utama"/>
    <n v="18"/>
    <n v="1922"/>
    <s v="106.8"/>
    <x v="0"/>
    <n v="0.88100000000000001"/>
    <n v="15856.5"/>
    <n v="15.856999999999999"/>
    <d v="2020-03-01T00:00:00"/>
    <x v="0"/>
    <x v="0"/>
  </r>
  <r>
    <x v="8"/>
    <x v="3"/>
    <s v="April"/>
    <s v="Division_A"/>
    <x v="2"/>
    <n v="2005"/>
    <n v="15"/>
    <s v="TM-Utama"/>
    <n v="18"/>
    <n v="1922"/>
    <s v="106.8"/>
    <x v="0"/>
    <n v="1.5449999999999999"/>
    <n v="27806.5"/>
    <n v="27.806999999999999"/>
    <d v="2020-04-01T00:00:00"/>
    <x v="0"/>
    <x v="0"/>
  </r>
  <r>
    <x v="8"/>
    <x v="4"/>
    <s v="Mei"/>
    <s v="Division_A"/>
    <x v="2"/>
    <n v="2005"/>
    <n v="15"/>
    <s v="TM-Utama"/>
    <n v="18"/>
    <n v="1922"/>
    <s v="106.8"/>
    <x v="0"/>
    <n v="1.7290000000000001"/>
    <n v="31122"/>
    <n v="31.122"/>
    <d v="2020-05-01T00:00:00"/>
    <x v="0"/>
    <x v="0"/>
  </r>
  <r>
    <x v="8"/>
    <x v="5"/>
    <s v="Juni"/>
    <s v="Division_A"/>
    <x v="2"/>
    <n v="2005"/>
    <n v="15"/>
    <s v="TM-Utama"/>
    <n v="18"/>
    <n v="1922"/>
    <s v="106.8"/>
    <x v="0"/>
    <n v="1.8009999999999999"/>
    <n v="32419.3"/>
    <n v="32.418999999999997"/>
    <d v="2020-06-01T00:00:00"/>
    <x v="0"/>
    <x v="0"/>
  </r>
  <r>
    <x v="8"/>
    <x v="6"/>
    <s v="Juli"/>
    <s v="Division_A"/>
    <x v="2"/>
    <n v="2005"/>
    <n v="15"/>
    <s v="TM-Utama"/>
    <n v="18"/>
    <n v="1922"/>
    <s v="106.8"/>
    <x v="0"/>
    <n v="1.84"/>
    <n v="33125.699999999997"/>
    <n v="33.125999999999998"/>
    <d v="2020-07-01T00:00:00"/>
    <x v="0"/>
    <x v="0"/>
  </r>
  <r>
    <x v="8"/>
    <x v="7"/>
    <s v="Agustus"/>
    <s v="Division_A"/>
    <x v="2"/>
    <n v="2005"/>
    <n v="15"/>
    <s v="TM-Utama"/>
    <n v="18"/>
    <n v="1922"/>
    <s v="106.8"/>
    <x v="0"/>
    <n v="1.7589999999999999"/>
    <n v="31655.3"/>
    <n v="31.655000000000001"/>
    <d v="2020-08-01T00:00:00"/>
    <x v="0"/>
    <x v="0"/>
  </r>
  <r>
    <x v="8"/>
    <x v="8"/>
    <s v="September"/>
    <s v="Division_A"/>
    <x v="2"/>
    <n v="2005"/>
    <n v="15"/>
    <s v="TM-Utama"/>
    <n v="18"/>
    <n v="1922"/>
    <s v="106.8"/>
    <x v="0"/>
    <n v="1.8520000000000001"/>
    <n v="33327.5"/>
    <n v="33.326999999999998"/>
    <d v="2020-09-01T00:00:00"/>
    <x v="0"/>
    <x v="0"/>
  </r>
  <r>
    <x v="8"/>
    <x v="9"/>
    <s v="Oktober"/>
    <s v="Division_A"/>
    <x v="2"/>
    <n v="2005"/>
    <n v="15"/>
    <s v="TM-Utama"/>
    <n v="18"/>
    <n v="1922"/>
    <s v="106.8"/>
    <x v="0"/>
    <n v="1.7150000000000001"/>
    <n v="30862.5"/>
    <n v="30.863"/>
    <d v="2020-10-01T00:00:00"/>
    <x v="0"/>
    <x v="0"/>
  </r>
  <r>
    <x v="8"/>
    <x v="10"/>
    <s v="November"/>
    <s v="Division_A"/>
    <x v="2"/>
    <n v="2005"/>
    <n v="15"/>
    <s v="TM-Utama"/>
    <n v="18"/>
    <n v="1922"/>
    <s v="106.8"/>
    <x v="0"/>
    <n v="1.4590000000000001"/>
    <n v="26264.1"/>
    <n v="26.263999999999999"/>
    <d v="2020-11-01T00:00:00"/>
    <x v="0"/>
    <x v="0"/>
  </r>
  <r>
    <x v="8"/>
    <x v="11"/>
    <s v="Desember"/>
    <s v="Division_A"/>
    <x v="2"/>
    <n v="2005"/>
    <n v="15"/>
    <s v="TM-Utama"/>
    <n v="18"/>
    <n v="1922"/>
    <s v="106.8"/>
    <x v="0"/>
    <n v="1.3089999999999999"/>
    <n v="23554.1"/>
    <n v="23.553999999999998"/>
    <d v="2020-12-01T00:00:00"/>
    <x v="0"/>
    <x v="0"/>
  </r>
  <r>
    <x v="8"/>
    <x v="0"/>
    <s v="Januari"/>
    <s v="Division_A"/>
    <x v="3"/>
    <n v="2005"/>
    <n v="15"/>
    <s v="TM-Utama"/>
    <n v="26"/>
    <n v="2827"/>
    <s v="108.7"/>
    <x v="0"/>
    <n v="0.76700000000000002"/>
    <n v="19930.3"/>
    <n v="19.93"/>
    <d v="2020-01-01T00:00:00"/>
    <x v="0"/>
    <x v="0"/>
  </r>
  <r>
    <x v="8"/>
    <x v="1"/>
    <s v="Februari"/>
    <s v="Division_A"/>
    <x v="3"/>
    <n v="2005"/>
    <n v="15"/>
    <s v="TM-Utama"/>
    <n v="26"/>
    <n v="2827"/>
    <s v="108.7"/>
    <x v="0"/>
    <n v="0.77600000000000002"/>
    <n v="20184.8"/>
    <n v="20.184999999999999"/>
    <d v="2020-02-01T00:00:00"/>
    <x v="0"/>
    <x v="0"/>
  </r>
  <r>
    <x v="8"/>
    <x v="2"/>
    <s v="Maret"/>
    <s v="Division_A"/>
    <x v="3"/>
    <n v="2005"/>
    <n v="15"/>
    <s v="TM-Utama"/>
    <n v="26"/>
    <n v="2827"/>
    <s v="108.7"/>
    <x v="0"/>
    <n v="0.89700000000000002"/>
    <n v="23322.799999999999"/>
    <n v="23.323"/>
    <d v="2020-03-01T00:00:00"/>
    <x v="0"/>
    <x v="0"/>
  </r>
  <r>
    <x v="8"/>
    <x v="3"/>
    <s v="April"/>
    <s v="Division_A"/>
    <x v="3"/>
    <n v="2005"/>
    <n v="15"/>
    <s v="TM-Utama"/>
    <n v="26"/>
    <n v="2827"/>
    <s v="108.7"/>
    <x v="0"/>
    <n v="1.573"/>
    <n v="40899.599999999999"/>
    <n v="40.9"/>
    <d v="2020-04-01T00:00:00"/>
    <x v="0"/>
    <x v="0"/>
  </r>
  <r>
    <x v="8"/>
    <x v="4"/>
    <s v="Mei"/>
    <s v="Division_A"/>
    <x v="3"/>
    <n v="2005"/>
    <n v="15"/>
    <s v="TM-Utama"/>
    <n v="26"/>
    <n v="2827"/>
    <s v="108.7"/>
    <x v="0"/>
    <n v="1.7609999999999999"/>
    <n v="45776.2"/>
    <n v="45.776000000000003"/>
    <d v="2020-05-01T00:00:00"/>
    <x v="0"/>
    <x v="0"/>
  </r>
  <r>
    <x v="8"/>
    <x v="5"/>
    <s v="Juni"/>
    <s v="Division_A"/>
    <x v="3"/>
    <n v="2005"/>
    <n v="15"/>
    <s v="TM-Utama"/>
    <n v="26"/>
    <n v="2827"/>
    <s v="108.7"/>
    <x v="0"/>
    <n v="1.8340000000000001"/>
    <n v="47684.4"/>
    <n v="47.683999999999997"/>
    <d v="2020-06-01T00:00:00"/>
    <x v="0"/>
    <x v="0"/>
  </r>
  <r>
    <x v="8"/>
    <x v="6"/>
    <s v="Juli"/>
    <s v="Division_A"/>
    <x v="3"/>
    <n v="2005"/>
    <n v="15"/>
    <s v="TM-Utama"/>
    <n v="26"/>
    <n v="2827"/>
    <s v="108.7"/>
    <x v="0"/>
    <n v="1.8740000000000001"/>
    <n v="48723.3"/>
    <n v="48.722999999999999"/>
    <d v="2020-07-01T00:00:00"/>
    <x v="0"/>
    <x v="0"/>
  </r>
  <r>
    <x v="8"/>
    <x v="7"/>
    <s v="Agustus"/>
    <s v="Division_A"/>
    <x v="3"/>
    <n v="2005"/>
    <n v="15"/>
    <s v="TM-Utama"/>
    <n v="26"/>
    <n v="2827"/>
    <s v="108.7"/>
    <x v="0"/>
    <n v="1.7909999999999999"/>
    <n v="46560.7"/>
    <n v="46.561"/>
    <d v="2020-08-01T00:00:00"/>
    <x v="0"/>
    <x v="0"/>
  </r>
  <r>
    <x v="8"/>
    <x v="8"/>
    <s v="September"/>
    <s v="Division_A"/>
    <x v="3"/>
    <n v="2005"/>
    <n v="15"/>
    <s v="TM-Utama"/>
    <n v="26"/>
    <n v="2827"/>
    <s v="108.7"/>
    <x v="0"/>
    <n v="1.885"/>
    <n v="49020.2"/>
    <n v="49.02"/>
    <d v="2020-09-01T00:00:00"/>
    <x v="0"/>
    <x v="0"/>
  </r>
  <r>
    <x v="8"/>
    <x v="9"/>
    <s v="Oktober"/>
    <s v="Division_A"/>
    <x v="3"/>
    <n v="2005"/>
    <n v="15"/>
    <s v="TM-Utama"/>
    <n v="26"/>
    <n v="2827"/>
    <s v="108.7"/>
    <x v="0"/>
    <n v="1.746"/>
    <n v="45394.6"/>
    <n v="45.395000000000003"/>
    <d v="2020-10-01T00:00:00"/>
    <x v="0"/>
    <x v="0"/>
  </r>
  <r>
    <x v="8"/>
    <x v="10"/>
    <s v="November"/>
    <s v="Division_A"/>
    <x v="3"/>
    <n v="2005"/>
    <n v="15"/>
    <s v="TM-Utama"/>
    <n v="26"/>
    <n v="2827"/>
    <s v="108.7"/>
    <x v="0"/>
    <n v="1.486"/>
    <n v="38631"/>
    <n v="38.631"/>
    <d v="2020-11-01T00:00:00"/>
    <x v="0"/>
    <x v="0"/>
  </r>
  <r>
    <x v="8"/>
    <x v="11"/>
    <s v="Desember"/>
    <s v="Division_A"/>
    <x v="3"/>
    <n v="2005"/>
    <n v="15"/>
    <s v="TM-Utama"/>
    <n v="26"/>
    <n v="2827"/>
    <s v="108.7"/>
    <x v="0"/>
    <n v="1.3320000000000001"/>
    <n v="34644.9"/>
    <n v="34.645000000000003"/>
    <d v="2020-12-01T00:00:00"/>
    <x v="0"/>
    <x v="0"/>
  </r>
  <r>
    <x v="8"/>
    <x v="0"/>
    <s v="Januari"/>
    <s v="Division_A"/>
    <x v="4"/>
    <n v="2005"/>
    <n v="15"/>
    <s v="TM-Utama"/>
    <n v="24"/>
    <n v="1947"/>
    <s v="81.1"/>
    <x v="1"/>
    <n v="0.71899999999999997"/>
    <n v="17258.400000000001"/>
    <n v="17.257999999999999"/>
    <d v="2020-01-01T00:00:00"/>
    <x v="0"/>
    <x v="0"/>
  </r>
  <r>
    <x v="8"/>
    <x v="1"/>
    <s v="Februari"/>
    <s v="Division_A"/>
    <x v="4"/>
    <n v="2005"/>
    <n v="15"/>
    <s v="TM-Utama"/>
    <n v="24"/>
    <n v="1947"/>
    <s v="81.1"/>
    <x v="1"/>
    <n v="0.72799999999999998"/>
    <n v="17478.7"/>
    <n v="17.478999999999999"/>
    <d v="2020-02-01T00:00:00"/>
    <x v="0"/>
    <x v="0"/>
  </r>
  <r>
    <x v="8"/>
    <x v="2"/>
    <s v="Maret"/>
    <s v="Division_A"/>
    <x v="4"/>
    <n v="2005"/>
    <n v="15"/>
    <s v="TM-Utama"/>
    <n v="24"/>
    <n v="1947"/>
    <s v="81.1"/>
    <x v="1"/>
    <n v="0.84199999999999997"/>
    <n v="20196"/>
    <n v="20.196000000000002"/>
    <d v="2020-03-01T00:00:00"/>
    <x v="0"/>
    <x v="0"/>
  </r>
  <r>
    <x v="8"/>
    <x v="3"/>
    <s v="April"/>
    <s v="Division_A"/>
    <x v="4"/>
    <n v="2005"/>
    <n v="15"/>
    <s v="TM-Utama"/>
    <n v="24"/>
    <n v="1947"/>
    <s v="81.1"/>
    <x v="1"/>
    <n v="1.476"/>
    <n v="35416.400000000001"/>
    <n v="35.415999999999997"/>
    <d v="2020-04-01T00:00:00"/>
    <x v="0"/>
    <x v="0"/>
  </r>
  <r>
    <x v="8"/>
    <x v="4"/>
    <s v="Mei"/>
    <s v="Division_A"/>
    <x v="4"/>
    <n v="2005"/>
    <n v="15"/>
    <s v="TM-Utama"/>
    <n v="24"/>
    <n v="1947"/>
    <s v="81.1"/>
    <x v="1"/>
    <n v="1.6519999999999999"/>
    <n v="39639.199999999997"/>
    <n v="39.639000000000003"/>
    <d v="2020-05-01T00:00:00"/>
    <x v="0"/>
    <x v="0"/>
  </r>
  <r>
    <x v="8"/>
    <x v="5"/>
    <s v="Juni"/>
    <s v="Division_A"/>
    <x v="4"/>
    <n v="2005"/>
    <n v="15"/>
    <s v="TM-Utama"/>
    <n v="24"/>
    <n v="1947"/>
    <s v="81.1"/>
    <x v="1"/>
    <n v="1.72"/>
    <n v="41291.599999999999"/>
    <n v="41.292000000000002"/>
    <d v="2020-06-01T00:00:00"/>
    <x v="0"/>
    <x v="0"/>
  </r>
  <r>
    <x v="8"/>
    <x v="6"/>
    <s v="Juli"/>
    <s v="Division_A"/>
    <x v="4"/>
    <n v="2005"/>
    <n v="15"/>
    <s v="TM-Utama"/>
    <n v="24"/>
    <n v="1947"/>
    <s v="81.1"/>
    <x v="1"/>
    <n v="1.758"/>
    <n v="42191.3"/>
    <n v="42.191000000000003"/>
    <d v="2020-07-01T00:00:00"/>
    <x v="0"/>
    <x v="0"/>
  </r>
  <r>
    <x v="8"/>
    <x v="7"/>
    <s v="Agustus"/>
    <s v="Division_A"/>
    <x v="4"/>
    <n v="2005"/>
    <n v="15"/>
    <s v="TM-Utama"/>
    <n v="24"/>
    <n v="1947"/>
    <s v="81.1"/>
    <x v="1"/>
    <n v="1.68"/>
    <n v="40318.6"/>
    <n v="40.319000000000003"/>
    <d v="2020-08-01T00:00:00"/>
    <x v="0"/>
    <x v="0"/>
  </r>
  <r>
    <x v="8"/>
    <x v="8"/>
    <s v="September"/>
    <s v="Division_A"/>
    <x v="4"/>
    <n v="2005"/>
    <n v="15"/>
    <s v="TM-Utama"/>
    <n v="24"/>
    <n v="1947"/>
    <s v="81.1"/>
    <x v="1"/>
    <n v="1.7689999999999999"/>
    <n v="42448.3"/>
    <n v="42.448"/>
    <d v="2020-09-01T00:00:00"/>
    <x v="0"/>
    <x v="0"/>
  </r>
  <r>
    <x v="8"/>
    <x v="9"/>
    <s v="Oktober"/>
    <s v="Division_A"/>
    <x v="4"/>
    <n v="2005"/>
    <n v="15"/>
    <s v="TM-Utama"/>
    <n v="24"/>
    <n v="1947"/>
    <s v="81.1"/>
    <x v="1"/>
    <n v="1.6379999999999999"/>
    <n v="39308.800000000003"/>
    <n v="39.308999999999997"/>
    <d v="2020-10-01T00:00:00"/>
    <x v="0"/>
    <x v="0"/>
  </r>
  <r>
    <x v="8"/>
    <x v="10"/>
    <s v="November"/>
    <s v="Division_A"/>
    <x v="4"/>
    <n v="2005"/>
    <n v="15"/>
    <s v="TM-Utama"/>
    <n v="24"/>
    <n v="1947"/>
    <s v="81.1"/>
    <x v="1"/>
    <n v="1.3939999999999999"/>
    <n v="33451.9"/>
    <n v="33.451999999999998"/>
    <d v="2020-11-01T00:00:00"/>
    <x v="0"/>
    <x v="0"/>
  </r>
  <r>
    <x v="8"/>
    <x v="11"/>
    <s v="Desember"/>
    <s v="Division_A"/>
    <x v="4"/>
    <n v="2005"/>
    <n v="15"/>
    <s v="TM-Utama"/>
    <n v="24"/>
    <n v="1947"/>
    <s v="81.1"/>
    <x v="1"/>
    <n v="1.25"/>
    <n v="30000.2"/>
    <n v="30"/>
    <d v="2020-12-01T00:00:00"/>
    <x v="0"/>
    <x v="0"/>
  </r>
  <r>
    <x v="8"/>
    <x v="0"/>
    <s v="Januari"/>
    <s v="Division_A"/>
    <x v="5"/>
    <n v="2006"/>
    <n v="14"/>
    <s v="TM-Utama"/>
    <n v="25"/>
    <n v="2740"/>
    <s v="109.6"/>
    <x v="1"/>
    <n v="0.77300000000000002"/>
    <n v="19317"/>
    <n v="19.317"/>
    <d v="2020-01-01T00:00:00"/>
    <x v="0"/>
    <x v="0"/>
  </r>
  <r>
    <x v="8"/>
    <x v="1"/>
    <s v="Februari"/>
    <s v="Division_A"/>
    <x v="5"/>
    <n v="2006"/>
    <n v="14"/>
    <s v="TM-Utama"/>
    <n v="25"/>
    <n v="2740"/>
    <s v="109.6"/>
    <x v="1"/>
    <n v="0.78300000000000003"/>
    <n v="19563.599999999999"/>
    <n v="19.564"/>
    <d v="2020-02-01T00:00:00"/>
    <x v="0"/>
    <x v="0"/>
  </r>
  <r>
    <x v="8"/>
    <x v="2"/>
    <s v="Maret"/>
    <s v="Division_A"/>
    <x v="5"/>
    <n v="2006"/>
    <n v="14"/>
    <s v="TM-Utama"/>
    <n v="25"/>
    <n v="2740"/>
    <s v="109.6"/>
    <x v="1"/>
    <n v="0.90400000000000003"/>
    <n v="22605"/>
    <n v="22.605"/>
    <d v="2020-03-01T00:00:00"/>
    <x v="0"/>
    <x v="0"/>
  </r>
  <r>
    <x v="8"/>
    <x v="3"/>
    <s v="April"/>
    <s v="Division_A"/>
    <x v="5"/>
    <n v="2006"/>
    <n v="14"/>
    <s v="TM-Utama"/>
    <n v="25"/>
    <n v="2740"/>
    <s v="109.6"/>
    <x v="1"/>
    <n v="1.5860000000000001"/>
    <n v="39640.9"/>
    <n v="39.640999999999998"/>
    <d v="2020-04-01T00:00:00"/>
    <x v="0"/>
    <x v="0"/>
  </r>
  <r>
    <x v="8"/>
    <x v="4"/>
    <s v="Mei"/>
    <s v="Division_A"/>
    <x v="5"/>
    <n v="2006"/>
    <n v="14"/>
    <s v="TM-Utama"/>
    <n v="25"/>
    <n v="2740"/>
    <s v="109.6"/>
    <x v="1"/>
    <n v="1.7749999999999999"/>
    <n v="44367.4"/>
    <n v="44.366999999999997"/>
    <d v="2020-05-01T00:00:00"/>
    <x v="0"/>
    <x v="0"/>
  </r>
  <r>
    <x v="8"/>
    <x v="5"/>
    <s v="Juni"/>
    <s v="Division_A"/>
    <x v="5"/>
    <n v="2006"/>
    <n v="14"/>
    <s v="TM-Utama"/>
    <n v="25"/>
    <n v="2740"/>
    <s v="109.6"/>
    <x v="1"/>
    <n v="1.849"/>
    <n v="46217"/>
    <n v="46.216999999999999"/>
    <d v="2020-06-01T00:00:00"/>
    <x v="0"/>
    <x v="0"/>
  </r>
  <r>
    <x v="8"/>
    <x v="6"/>
    <s v="Juli"/>
    <s v="Division_A"/>
    <x v="5"/>
    <n v="2006"/>
    <n v="14"/>
    <s v="TM-Utama"/>
    <n v="25"/>
    <n v="2740"/>
    <s v="109.6"/>
    <x v="1"/>
    <n v="1.889"/>
    <n v="47223.9"/>
    <n v="47.223999999999997"/>
    <d v="2020-07-01T00:00:00"/>
    <x v="0"/>
    <x v="0"/>
  </r>
  <r>
    <x v="8"/>
    <x v="7"/>
    <s v="Agustus"/>
    <s v="Division_A"/>
    <x v="5"/>
    <n v="2006"/>
    <n v="14"/>
    <s v="TM-Utama"/>
    <n v="25"/>
    <n v="2740"/>
    <s v="109.6"/>
    <x v="1"/>
    <n v="1.8049999999999999"/>
    <n v="45127.8"/>
    <n v="45.128"/>
    <d v="2020-08-01T00:00:00"/>
    <x v="0"/>
    <x v="0"/>
  </r>
  <r>
    <x v="8"/>
    <x v="8"/>
    <s v="September"/>
    <s v="Division_A"/>
    <x v="5"/>
    <n v="2006"/>
    <n v="14"/>
    <s v="TM-Utama"/>
    <n v="25"/>
    <n v="2740"/>
    <s v="109.6"/>
    <x v="1"/>
    <n v="1.9"/>
    <n v="47511.6"/>
    <n v="47.512"/>
    <d v="2020-09-01T00:00:00"/>
    <x v="0"/>
    <x v="0"/>
  </r>
  <r>
    <x v="8"/>
    <x v="9"/>
    <s v="Oktober"/>
    <s v="Division_A"/>
    <x v="5"/>
    <n v="2006"/>
    <n v="14"/>
    <s v="TM-Utama"/>
    <n v="25"/>
    <n v="2740"/>
    <s v="109.6"/>
    <x v="1"/>
    <n v="1.76"/>
    <n v="43997.5"/>
    <n v="43.997999999999998"/>
    <d v="2020-10-01T00:00:00"/>
    <x v="0"/>
    <x v="0"/>
  </r>
  <r>
    <x v="8"/>
    <x v="10"/>
    <s v="November"/>
    <s v="Division_A"/>
    <x v="5"/>
    <n v="2006"/>
    <n v="14"/>
    <s v="TM-Utama"/>
    <n v="25"/>
    <n v="2740"/>
    <s v="109.6"/>
    <x v="1"/>
    <n v="1.498"/>
    <n v="37442.1"/>
    <n v="37.442"/>
    <d v="2020-11-01T00:00:00"/>
    <x v="0"/>
    <x v="0"/>
  </r>
  <r>
    <x v="8"/>
    <x v="11"/>
    <s v="Desember"/>
    <s v="Division_A"/>
    <x v="5"/>
    <n v="2006"/>
    <n v="14"/>
    <s v="TM-Utama"/>
    <n v="25"/>
    <n v="2740"/>
    <s v="109.6"/>
    <x v="1"/>
    <n v="1.343"/>
    <n v="33578.699999999997"/>
    <n v="33.579000000000001"/>
    <d v="2020-12-01T00:00:00"/>
    <x v="0"/>
    <x v="0"/>
  </r>
  <r>
    <x v="8"/>
    <x v="0"/>
    <s v="Januari"/>
    <s v="Division_A"/>
    <x v="6"/>
    <n v="2006"/>
    <n v="14"/>
    <s v="TM-Utama"/>
    <n v="24"/>
    <n v="3230"/>
    <s v="134.6"/>
    <x v="1"/>
    <n v="0.94899999999999995"/>
    <n v="22771.5"/>
    <n v="22.771999999999998"/>
    <d v="2020-01-01T00:00:00"/>
    <x v="0"/>
    <x v="0"/>
  </r>
  <r>
    <x v="8"/>
    <x v="1"/>
    <s v="Februari"/>
    <s v="Division_A"/>
    <x v="6"/>
    <n v="2006"/>
    <n v="14"/>
    <s v="TM-Utama"/>
    <n v="24"/>
    <n v="3230"/>
    <s v="134.6"/>
    <x v="1"/>
    <n v="0.96099999999999997"/>
    <n v="23062.2"/>
    <n v="23.062000000000001"/>
    <d v="2020-02-01T00:00:00"/>
    <x v="0"/>
    <x v="0"/>
  </r>
  <r>
    <x v="8"/>
    <x v="2"/>
    <s v="Maret"/>
    <s v="Division_A"/>
    <x v="6"/>
    <n v="2006"/>
    <n v="14"/>
    <s v="TM-Utama"/>
    <n v="24"/>
    <n v="3230"/>
    <s v="134.6"/>
    <x v="1"/>
    <n v="1.1100000000000001"/>
    <n v="26647.5"/>
    <n v="26.648"/>
    <d v="2020-03-01T00:00:00"/>
    <x v="0"/>
    <x v="0"/>
  </r>
  <r>
    <x v="8"/>
    <x v="3"/>
    <s v="April"/>
    <s v="Division_A"/>
    <x v="6"/>
    <n v="2006"/>
    <n v="14"/>
    <s v="TM-Utama"/>
    <n v="24"/>
    <n v="3230"/>
    <s v="134.6"/>
    <x v="1"/>
    <n v="1.9470000000000001"/>
    <n v="46730"/>
    <n v="46.73"/>
    <d v="2020-04-01T00:00:00"/>
    <x v="0"/>
    <x v="0"/>
  </r>
  <r>
    <x v="8"/>
    <x v="4"/>
    <s v="Mei"/>
    <s v="Division_A"/>
    <x v="6"/>
    <n v="2006"/>
    <n v="14"/>
    <s v="TM-Utama"/>
    <n v="24"/>
    <n v="3230"/>
    <s v="134.6"/>
    <x v="1"/>
    <n v="2.1789999999999998"/>
    <n v="52301.8"/>
    <n v="52.302"/>
    <d v="2020-05-01T00:00:00"/>
    <x v="0"/>
    <x v="0"/>
  </r>
  <r>
    <x v="8"/>
    <x v="5"/>
    <s v="Juni"/>
    <s v="Division_A"/>
    <x v="6"/>
    <n v="2006"/>
    <n v="14"/>
    <s v="TM-Utama"/>
    <n v="24"/>
    <n v="3230"/>
    <s v="134.6"/>
    <x v="1"/>
    <n v="2.27"/>
    <n v="54482"/>
    <n v="54.481999999999999"/>
    <d v="2020-06-01T00:00:00"/>
    <x v="0"/>
    <x v="0"/>
  </r>
  <r>
    <x v="8"/>
    <x v="6"/>
    <s v="Juli"/>
    <s v="Division_A"/>
    <x v="6"/>
    <n v="2006"/>
    <n v="14"/>
    <s v="TM-Utama"/>
    <n v="24"/>
    <n v="3230"/>
    <s v="134.6"/>
    <x v="1"/>
    <n v="2.3199999999999998"/>
    <n v="55669.1"/>
    <n v="55.668999999999997"/>
    <d v="2020-07-01T00:00:00"/>
    <x v="0"/>
    <x v="0"/>
  </r>
  <r>
    <x v="8"/>
    <x v="7"/>
    <s v="Agustus"/>
    <s v="Division_A"/>
    <x v="6"/>
    <n v="2006"/>
    <n v="14"/>
    <s v="TM-Utama"/>
    <n v="24"/>
    <n v="3230"/>
    <s v="134.6"/>
    <x v="1"/>
    <n v="2.2170000000000001"/>
    <n v="53198.1"/>
    <n v="53.198"/>
    <d v="2020-08-01T00:00:00"/>
    <x v="0"/>
    <x v="0"/>
  </r>
  <r>
    <x v="8"/>
    <x v="8"/>
    <s v="September"/>
    <s v="Division_A"/>
    <x v="6"/>
    <n v="2006"/>
    <n v="14"/>
    <s v="TM-Utama"/>
    <n v="24"/>
    <n v="3230"/>
    <s v="134.6"/>
    <x v="1"/>
    <n v="2.3340000000000001"/>
    <n v="56008.2"/>
    <n v="56.008000000000003"/>
    <d v="2020-09-01T00:00:00"/>
    <x v="0"/>
    <x v="0"/>
  </r>
  <r>
    <x v="8"/>
    <x v="9"/>
    <s v="Oktober"/>
    <s v="Division_A"/>
    <x v="6"/>
    <n v="2006"/>
    <n v="14"/>
    <s v="TM-Utama"/>
    <n v="24"/>
    <n v="3230"/>
    <s v="134.6"/>
    <x v="1"/>
    <n v="2.161"/>
    <n v="51865.7"/>
    <n v="51.866"/>
    <d v="2020-10-01T00:00:00"/>
    <x v="0"/>
    <x v="0"/>
  </r>
  <r>
    <x v="8"/>
    <x v="10"/>
    <s v="November"/>
    <s v="Division_A"/>
    <x v="6"/>
    <n v="2006"/>
    <n v="14"/>
    <s v="TM-Utama"/>
    <n v="24"/>
    <n v="3230"/>
    <s v="134.6"/>
    <x v="1"/>
    <n v="1.839"/>
    <n v="44138"/>
    <n v="44.137999999999998"/>
    <d v="2020-11-01T00:00:00"/>
    <x v="0"/>
    <x v="0"/>
  </r>
  <r>
    <x v="8"/>
    <x v="11"/>
    <s v="Desember"/>
    <s v="Division_A"/>
    <x v="6"/>
    <n v="2006"/>
    <n v="14"/>
    <s v="TM-Utama"/>
    <n v="24"/>
    <n v="3230"/>
    <s v="134.6"/>
    <x v="1"/>
    <n v="1.649"/>
    <n v="39583.699999999997"/>
    <n v="39.584000000000003"/>
    <d v="2020-12-01T00:00:00"/>
    <x v="0"/>
    <x v="0"/>
  </r>
  <r>
    <x v="8"/>
    <x v="0"/>
    <s v="Januari"/>
    <s v="Division_A"/>
    <x v="7"/>
    <n v="2006"/>
    <n v="14"/>
    <s v="TM-Utama"/>
    <n v="22"/>
    <n v="2447"/>
    <s v="111.2"/>
    <x v="1"/>
    <n v="0.78400000000000003"/>
    <n v="17251.3"/>
    <n v="17.251000000000001"/>
    <d v="2020-01-01T00:00:00"/>
    <x v="0"/>
    <x v="0"/>
  </r>
  <r>
    <x v="8"/>
    <x v="1"/>
    <s v="Februari"/>
    <s v="Division_A"/>
    <x v="7"/>
    <n v="2006"/>
    <n v="14"/>
    <s v="TM-Utama"/>
    <n v="22"/>
    <n v="2447"/>
    <s v="111.2"/>
    <x v="1"/>
    <n v="0.79400000000000004"/>
    <n v="17471.599999999999"/>
    <n v="17.472000000000001"/>
    <d v="2020-02-01T00:00:00"/>
    <x v="0"/>
    <x v="0"/>
  </r>
  <r>
    <x v="8"/>
    <x v="2"/>
    <s v="Maret"/>
    <s v="Division_A"/>
    <x v="7"/>
    <n v="2006"/>
    <n v="14"/>
    <s v="TM-Utama"/>
    <n v="22"/>
    <n v="2447"/>
    <s v="111.2"/>
    <x v="1"/>
    <n v="0.91800000000000004"/>
    <n v="20187.8"/>
    <n v="20.187999999999999"/>
    <d v="2020-03-01T00:00:00"/>
    <x v="0"/>
    <x v="0"/>
  </r>
  <r>
    <x v="8"/>
    <x v="3"/>
    <s v="April"/>
    <s v="Division_A"/>
    <x v="7"/>
    <n v="2006"/>
    <n v="14"/>
    <s v="TM-Utama"/>
    <n v="22"/>
    <n v="2447"/>
    <s v="111.2"/>
    <x v="1"/>
    <n v="1.609"/>
    <n v="35402"/>
    <n v="35.402000000000001"/>
    <d v="2020-04-01T00:00:00"/>
    <x v="0"/>
    <x v="0"/>
  </r>
  <r>
    <x v="8"/>
    <x v="4"/>
    <s v="Mei"/>
    <s v="Division_A"/>
    <x v="7"/>
    <n v="2006"/>
    <n v="14"/>
    <s v="TM-Utama"/>
    <n v="22"/>
    <n v="2447"/>
    <s v="111.2"/>
    <x v="1"/>
    <n v="1.8009999999999999"/>
    <n v="39623"/>
    <n v="39.622999999999998"/>
    <d v="2020-05-01T00:00:00"/>
    <x v="0"/>
    <x v="0"/>
  </r>
  <r>
    <x v="8"/>
    <x v="5"/>
    <s v="Juni"/>
    <s v="Division_A"/>
    <x v="7"/>
    <n v="2006"/>
    <n v="14"/>
    <s v="TM-Utama"/>
    <n v="22"/>
    <n v="2447"/>
    <s v="111.2"/>
    <x v="1"/>
    <n v="1.8759999999999999"/>
    <n v="41274.800000000003"/>
    <n v="41.274999999999999"/>
    <d v="2020-06-01T00:00:00"/>
    <x v="0"/>
    <x v="0"/>
  </r>
  <r>
    <x v="8"/>
    <x v="6"/>
    <s v="Juli"/>
    <s v="Division_A"/>
    <x v="7"/>
    <n v="2006"/>
    <n v="14"/>
    <s v="TM-Utama"/>
    <n v="22"/>
    <n v="2447"/>
    <s v="111.2"/>
    <x v="1"/>
    <n v="1.917"/>
    <n v="42174"/>
    <n v="42.173999999999999"/>
    <d v="2020-07-01T00:00:00"/>
    <x v="0"/>
    <x v="0"/>
  </r>
  <r>
    <x v="8"/>
    <x v="7"/>
    <s v="Agustus"/>
    <s v="Division_A"/>
    <x v="7"/>
    <n v="2006"/>
    <n v="14"/>
    <s v="TM-Utama"/>
    <n v="22"/>
    <n v="2447"/>
    <s v="111.2"/>
    <x v="1"/>
    <n v="1.8320000000000001"/>
    <n v="40302.1"/>
    <n v="40.302"/>
    <d v="2020-08-01T00:00:00"/>
    <x v="0"/>
    <x v="0"/>
  </r>
  <r>
    <x v="8"/>
    <x v="8"/>
    <s v="September"/>
    <s v="Division_A"/>
    <x v="7"/>
    <n v="2006"/>
    <n v="14"/>
    <s v="TM-Utama"/>
    <n v="22"/>
    <n v="2447"/>
    <s v="111.2"/>
    <x v="1"/>
    <n v="1.929"/>
    <n v="42431"/>
    <n v="42.430999999999997"/>
    <d v="2020-09-01T00:00:00"/>
    <x v="0"/>
    <x v="0"/>
  </r>
  <r>
    <x v="8"/>
    <x v="9"/>
    <s v="Oktober"/>
    <s v="Division_A"/>
    <x v="7"/>
    <n v="2006"/>
    <n v="14"/>
    <s v="TM-Utama"/>
    <n v="22"/>
    <n v="2447"/>
    <s v="111.2"/>
    <x v="1"/>
    <n v="1.786"/>
    <n v="39292.699999999997"/>
    <n v="39.292999999999999"/>
    <d v="2020-10-01T00:00:00"/>
    <x v="0"/>
    <x v="0"/>
  </r>
  <r>
    <x v="8"/>
    <x v="10"/>
    <s v="November"/>
    <s v="Division_A"/>
    <x v="7"/>
    <n v="2006"/>
    <n v="14"/>
    <s v="TM-Utama"/>
    <n v="22"/>
    <n v="2447"/>
    <s v="111.2"/>
    <x v="1"/>
    <n v="1.52"/>
    <n v="33438.300000000003"/>
    <n v="33.438000000000002"/>
    <d v="2020-11-01T00:00:00"/>
    <x v="0"/>
    <x v="0"/>
  </r>
  <r>
    <x v="8"/>
    <x v="11"/>
    <s v="Desember"/>
    <s v="Division_A"/>
    <x v="7"/>
    <n v="2006"/>
    <n v="14"/>
    <s v="TM-Utama"/>
    <n v="22"/>
    <n v="2447"/>
    <s v="111.2"/>
    <x v="1"/>
    <n v="1.363"/>
    <n v="29988"/>
    <n v="29.988"/>
    <d v="2020-12-01T00:00:00"/>
    <x v="0"/>
    <x v="0"/>
  </r>
  <r>
    <x v="8"/>
    <x v="0"/>
    <s v="Januari"/>
    <s v="Division_A"/>
    <x v="8"/>
    <n v="2006"/>
    <n v="14"/>
    <s v="TM-Utama"/>
    <n v="15"/>
    <n v="1866"/>
    <s v="124.4"/>
    <x v="1"/>
    <n v="0.877"/>
    <n v="13155.3"/>
    <n v="13.154999999999999"/>
    <d v="2020-01-01T00:00:00"/>
    <x v="0"/>
    <x v="0"/>
  </r>
  <r>
    <x v="8"/>
    <x v="1"/>
    <s v="Februari"/>
    <s v="Division_A"/>
    <x v="8"/>
    <n v="2006"/>
    <n v="14"/>
    <s v="TM-Utama"/>
    <n v="15"/>
    <n v="1866"/>
    <s v="124.4"/>
    <x v="1"/>
    <n v="0.88800000000000001"/>
    <n v="13323.2"/>
    <n v="13.323"/>
    <d v="2020-02-01T00:00:00"/>
    <x v="0"/>
    <x v="0"/>
  </r>
  <r>
    <x v="8"/>
    <x v="2"/>
    <s v="Maret"/>
    <s v="Division_A"/>
    <x v="8"/>
    <n v="2006"/>
    <n v="14"/>
    <s v="TM-Utama"/>
    <n v="15"/>
    <n v="1866"/>
    <s v="124.4"/>
    <x v="1"/>
    <n v="1.026"/>
    <n v="15394.5"/>
    <n v="15.395"/>
    <d v="2020-03-01T00:00:00"/>
    <x v="0"/>
    <x v="0"/>
  </r>
  <r>
    <x v="8"/>
    <x v="3"/>
    <s v="April"/>
    <s v="Division_A"/>
    <x v="8"/>
    <n v="2006"/>
    <n v="14"/>
    <s v="TM-Utama"/>
    <n v="15"/>
    <n v="1866"/>
    <s v="124.4"/>
    <x v="1"/>
    <n v="1.8"/>
    <n v="26996.400000000001"/>
    <n v="26.995999999999999"/>
    <d v="2020-04-01T00:00:00"/>
    <x v="0"/>
    <x v="0"/>
  </r>
  <r>
    <x v="8"/>
    <x v="4"/>
    <s v="Mei"/>
    <s v="Division_A"/>
    <x v="8"/>
    <n v="2006"/>
    <n v="14"/>
    <s v="TM-Utama"/>
    <n v="15"/>
    <n v="1866"/>
    <s v="124.4"/>
    <x v="1"/>
    <n v="2.0139999999999998"/>
    <n v="30215.200000000001"/>
    <n v="30.215"/>
    <d v="2020-05-01T00:00:00"/>
    <x v="0"/>
    <x v="0"/>
  </r>
  <r>
    <x v="8"/>
    <x v="5"/>
    <s v="Juni"/>
    <s v="Division_A"/>
    <x v="8"/>
    <n v="2006"/>
    <n v="14"/>
    <s v="TM-Utama"/>
    <n v="15"/>
    <n v="1866"/>
    <s v="124.4"/>
    <x v="1"/>
    <n v="2.0979999999999999"/>
    <n v="31474.799999999999"/>
    <n v="31.475000000000001"/>
    <d v="2020-06-01T00:00:00"/>
    <x v="0"/>
    <x v="0"/>
  </r>
  <r>
    <x v="8"/>
    <x v="6"/>
    <s v="Juli"/>
    <s v="Division_A"/>
    <x v="8"/>
    <n v="2006"/>
    <n v="14"/>
    <s v="TM-Utama"/>
    <n v="15"/>
    <n v="1866"/>
    <s v="124.4"/>
    <x v="1"/>
    <n v="2.1440000000000001"/>
    <n v="32160.5"/>
    <n v="32.161000000000001"/>
    <d v="2020-07-01T00:00:00"/>
    <x v="0"/>
    <x v="0"/>
  </r>
  <r>
    <x v="8"/>
    <x v="7"/>
    <s v="Agustus"/>
    <s v="Division_A"/>
    <x v="8"/>
    <n v="2006"/>
    <n v="14"/>
    <s v="TM-Utama"/>
    <n v="15"/>
    <n v="1866"/>
    <s v="124.4"/>
    <x v="1"/>
    <n v="2.0489999999999999"/>
    <n v="30733"/>
    <n v="30.733000000000001"/>
    <d v="2020-08-01T00:00:00"/>
    <x v="0"/>
    <x v="0"/>
  </r>
  <r>
    <x v="8"/>
    <x v="8"/>
    <s v="September"/>
    <s v="Division_A"/>
    <x v="8"/>
    <n v="2006"/>
    <n v="14"/>
    <s v="TM-Utama"/>
    <n v="15"/>
    <n v="1866"/>
    <s v="124.4"/>
    <x v="1"/>
    <n v="2.157"/>
    <n v="32356.400000000001"/>
    <n v="32.356000000000002"/>
    <d v="2020-09-01T00:00:00"/>
    <x v="0"/>
    <x v="0"/>
  </r>
  <r>
    <x v="8"/>
    <x v="9"/>
    <s v="Oktober"/>
    <s v="Division_A"/>
    <x v="8"/>
    <n v="2006"/>
    <n v="14"/>
    <s v="TM-Utama"/>
    <n v="15"/>
    <n v="1866"/>
    <s v="124.4"/>
    <x v="1"/>
    <n v="1.998"/>
    <n v="29963.3"/>
    <n v="29.963000000000001"/>
    <d v="2020-10-01T00:00:00"/>
    <x v="0"/>
    <x v="0"/>
  </r>
  <r>
    <x v="8"/>
    <x v="10"/>
    <s v="November"/>
    <s v="Division_A"/>
    <x v="8"/>
    <n v="2006"/>
    <n v="14"/>
    <s v="TM-Utama"/>
    <n v="15"/>
    <n v="1866"/>
    <s v="124.4"/>
    <x v="1"/>
    <n v="1.7"/>
    <n v="25498.9"/>
    <n v="25.498999999999999"/>
    <d v="2020-11-01T00:00:00"/>
    <x v="0"/>
    <x v="0"/>
  </r>
  <r>
    <x v="8"/>
    <x v="11"/>
    <s v="Desember"/>
    <s v="Division_A"/>
    <x v="8"/>
    <n v="2006"/>
    <n v="14"/>
    <s v="TM-Utama"/>
    <n v="15"/>
    <n v="1866"/>
    <s v="124.4"/>
    <x v="1"/>
    <n v="1.5249999999999999"/>
    <n v="22867.8"/>
    <n v="22.867999999999999"/>
    <d v="2020-12-01T00:00:00"/>
    <x v="0"/>
    <x v="0"/>
  </r>
  <r>
    <x v="8"/>
    <x v="0"/>
    <s v="Januari"/>
    <s v="Division_A"/>
    <x v="9"/>
    <n v="2006"/>
    <n v="14"/>
    <s v="TM-Utama"/>
    <n v="25"/>
    <n v="3154"/>
    <s v="126.2"/>
    <x v="1"/>
    <n v="0.88900000000000001"/>
    <n v="22235.7"/>
    <n v="22.236000000000001"/>
    <d v="2020-01-01T00:00:00"/>
    <x v="0"/>
    <x v="0"/>
  </r>
  <r>
    <x v="8"/>
    <x v="1"/>
    <s v="Februari"/>
    <s v="Division_A"/>
    <x v="9"/>
    <n v="2006"/>
    <n v="14"/>
    <s v="TM-Utama"/>
    <n v="25"/>
    <n v="3154"/>
    <s v="126.2"/>
    <x v="1"/>
    <n v="0.90100000000000002"/>
    <n v="22519.599999999999"/>
    <n v="22.52"/>
    <d v="2020-02-01T00:00:00"/>
    <x v="0"/>
    <x v="0"/>
  </r>
  <r>
    <x v="8"/>
    <x v="2"/>
    <s v="Maret"/>
    <s v="Division_A"/>
    <x v="9"/>
    <n v="2006"/>
    <n v="14"/>
    <s v="TM-Utama"/>
    <n v="25"/>
    <n v="3154"/>
    <s v="126.2"/>
    <x v="1"/>
    <n v="1.0409999999999999"/>
    <n v="26020.5"/>
    <n v="26.021000000000001"/>
    <d v="2020-03-01T00:00:00"/>
    <x v="0"/>
    <x v="0"/>
  </r>
  <r>
    <x v="8"/>
    <x v="3"/>
    <s v="April"/>
    <s v="Division_A"/>
    <x v="9"/>
    <n v="2006"/>
    <n v="14"/>
    <s v="TM-Utama"/>
    <n v="25"/>
    <n v="3154"/>
    <s v="126.2"/>
    <x v="1"/>
    <n v="1.825"/>
    <n v="45630.5"/>
    <n v="45.63"/>
    <d v="2020-04-01T00:00:00"/>
    <x v="0"/>
    <x v="0"/>
  </r>
  <r>
    <x v="8"/>
    <x v="4"/>
    <s v="Mei"/>
    <s v="Division_A"/>
    <x v="9"/>
    <n v="2006"/>
    <n v="14"/>
    <s v="TM-Utama"/>
    <n v="25"/>
    <n v="3154"/>
    <s v="126.2"/>
    <x v="1"/>
    <n v="2.0430000000000001"/>
    <n v="51071.1"/>
    <n v="51.070999999999998"/>
    <d v="2020-05-01T00:00:00"/>
    <x v="0"/>
    <x v="0"/>
  </r>
  <r>
    <x v="8"/>
    <x v="5"/>
    <s v="Juni"/>
    <s v="Division_A"/>
    <x v="9"/>
    <n v="2006"/>
    <n v="14"/>
    <s v="TM-Utama"/>
    <n v="25"/>
    <n v="3154"/>
    <s v="126.2"/>
    <x v="1"/>
    <n v="2.1280000000000001"/>
    <n v="53200.1"/>
    <n v="53.2"/>
    <d v="2020-06-01T00:00:00"/>
    <x v="0"/>
    <x v="0"/>
  </r>
  <r>
    <x v="8"/>
    <x v="6"/>
    <s v="Juli"/>
    <s v="Division_A"/>
    <x v="9"/>
    <n v="2006"/>
    <n v="14"/>
    <s v="TM-Utama"/>
    <n v="25"/>
    <n v="3154"/>
    <s v="126.2"/>
    <x v="1"/>
    <n v="2.1739999999999999"/>
    <n v="54359.199999999997"/>
    <n v="54.359000000000002"/>
    <d v="2020-07-01T00:00:00"/>
    <x v="0"/>
    <x v="0"/>
  </r>
  <r>
    <x v="8"/>
    <x v="7"/>
    <s v="Agustus"/>
    <s v="Division_A"/>
    <x v="9"/>
    <n v="2006"/>
    <n v="14"/>
    <s v="TM-Utama"/>
    <n v="25"/>
    <n v="3154"/>
    <s v="126.2"/>
    <x v="1"/>
    <n v="2.0779999999999998"/>
    <n v="51946.400000000001"/>
    <n v="51.945999999999998"/>
    <d v="2020-08-01T00:00:00"/>
    <x v="0"/>
    <x v="0"/>
  </r>
  <r>
    <x v="8"/>
    <x v="8"/>
    <s v="September"/>
    <s v="Division_A"/>
    <x v="9"/>
    <n v="2006"/>
    <n v="14"/>
    <s v="TM-Utama"/>
    <n v="25"/>
    <n v="3154"/>
    <s v="126.2"/>
    <x v="1"/>
    <n v="2.1880000000000002"/>
    <n v="54690.400000000001"/>
    <n v="54.69"/>
    <d v="2020-09-01T00:00:00"/>
    <x v="0"/>
    <x v="0"/>
  </r>
  <r>
    <x v="8"/>
    <x v="9"/>
    <s v="Oktober"/>
    <s v="Division_A"/>
    <x v="9"/>
    <n v="2006"/>
    <n v="14"/>
    <s v="TM-Utama"/>
    <n v="25"/>
    <n v="3154"/>
    <s v="126.2"/>
    <x v="1"/>
    <n v="2.0259999999999998"/>
    <n v="50645.4"/>
    <n v="50.645000000000003"/>
    <d v="2020-10-01T00:00:00"/>
    <x v="0"/>
    <x v="0"/>
  </r>
  <r>
    <x v="8"/>
    <x v="10"/>
    <s v="November"/>
    <s v="Division_A"/>
    <x v="9"/>
    <n v="2006"/>
    <n v="14"/>
    <s v="TM-Utama"/>
    <n v="25"/>
    <n v="3154"/>
    <s v="126.2"/>
    <x v="1"/>
    <n v="1.724"/>
    <n v="43099.4"/>
    <n v="43.098999999999997"/>
    <d v="2020-11-01T00:00:00"/>
    <x v="0"/>
    <x v="0"/>
  </r>
  <r>
    <x v="8"/>
    <x v="11"/>
    <s v="Desember"/>
    <s v="Division_A"/>
    <x v="9"/>
    <n v="2006"/>
    <n v="14"/>
    <s v="TM-Utama"/>
    <n v="25"/>
    <n v="3154"/>
    <s v="126.2"/>
    <x v="1"/>
    <n v="1.546"/>
    <n v="38652.300000000003"/>
    <n v="38.652000000000001"/>
    <d v="2020-12-01T00:00:00"/>
    <x v="0"/>
    <x v="0"/>
  </r>
  <r>
    <x v="8"/>
    <x v="0"/>
    <s v="Januari"/>
    <s v="Division_A"/>
    <x v="10"/>
    <n v="2006"/>
    <n v="14"/>
    <s v="TM-Utama"/>
    <n v="35"/>
    <n v="4204"/>
    <s v="120.1"/>
    <x v="1"/>
    <n v="0.84699999999999998"/>
    <n v="29638.2"/>
    <n v="29.638000000000002"/>
    <d v="2020-01-01T00:00:00"/>
    <x v="0"/>
    <x v="0"/>
  </r>
  <r>
    <x v="8"/>
    <x v="1"/>
    <s v="Februari"/>
    <s v="Division_A"/>
    <x v="10"/>
    <n v="2006"/>
    <n v="14"/>
    <s v="TM-Utama"/>
    <n v="35"/>
    <n v="4204"/>
    <s v="120.1"/>
    <x v="1"/>
    <n v="0.85799999999999998"/>
    <n v="30016.6"/>
    <n v="30.016999999999999"/>
    <d v="2020-02-01T00:00:00"/>
    <x v="0"/>
    <x v="0"/>
  </r>
  <r>
    <x v="8"/>
    <x v="2"/>
    <s v="Maret"/>
    <s v="Division_A"/>
    <x v="10"/>
    <n v="2006"/>
    <n v="14"/>
    <s v="TM-Utama"/>
    <n v="35"/>
    <n v="4204"/>
    <s v="120.1"/>
    <x v="1"/>
    <n v="0.99099999999999999"/>
    <n v="34683"/>
    <n v="34.683"/>
    <d v="2020-03-01T00:00:00"/>
    <x v="0"/>
    <x v="0"/>
  </r>
  <r>
    <x v="8"/>
    <x v="3"/>
    <s v="April"/>
    <s v="Division_A"/>
    <x v="10"/>
    <n v="2006"/>
    <n v="14"/>
    <s v="TM-Utama"/>
    <n v="35"/>
    <n v="4204"/>
    <s v="120.1"/>
    <x v="1"/>
    <n v="1.738"/>
    <n v="60821.4"/>
    <n v="60.820999999999998"/>
    <d v="2020-04-01T00:00:00"/>
    <x v="0"/>
    <x v="0"/>
  </r>
  <r>
    <x v="8"/>
    <x v="4"/>
    <s v="Mei"/>
    <s v="Division_A"/>
    <x v="10"/>
    <n v="2006"/>
    <n v="14"/>
    <s v="TM-Utama"/>
    <n v="35"/>
    <n v="4204"/>
    <s v="120.1"/>
    <x v="1"/>
    <n v="1.9450000000000001"/>
    <n v="68073.3"/>
    <n v="68.072999999999993"/>
    <d v="2020-05-01T00:00:00"/>
    <x v="0"/>
    <x v="0"/>
  </r>
  <r>
    <x v="8"/>
    <x v="5"/>
    <s v="Juni"/>
    <s v="Division_A"/>
    <x v="10"/>
    <n v="2006"/>
    <n v="14"/>
    <s v="TM-Utama"/>
    <n v="35"/>
    <n v="4204"/>
    <s v="120.1"/>
    <x v="1"/>
    <n v="2.0259999999999998"/>
    <n v="70911"/>
    <n v="70.911000000000001"/>
    <d v="2020-06-01T00:00:00"/>
    <x v="0"/>
    <x v="0"/>
  </r>
  <r>
    <x v="8"/>
    <x v="6"/>
    <s v="Juli"/>
    <s v="Division_A"/>
    <x v="10"/>
    <n v="2006"/>
    <n v="14"/>
    <s v="TM-Utama"/>
    <n v="35"/>
    <n v="4204"/>
    <s v="120.1"/>
    <x v="1"/>
    <n v="2.0699999999999998"/>
    <n v="72455.899999999994"/>
    <n v="72.456000000000003"/>
    <d v="2020-07-01T00:00:00"/>
    <x v="0"/>
    <x v="0"/>
  </r>
  <r>
    <x v="8"/>
    <x v="7"/>
    <s v="Agustus"/>
    <s v="Division_A"/>
    <x v="10"/>
    <n v="2006"/>
    <n v="14"/>
    <s v="TM-Utama"/>
    <n v="35"/>
    <n v="4204"/>
    <s v="120.1"/>
    <x v="1"/>
    <n v="1.978"/>
    <n v="69239.899999999994"/>
    <n v="69.239999999999995"/>
    <d v="2020-08-01T00:00:00"/>
    <x v="0"/>
    <x v="0"/>
  </r>
  <r>
    <x v="8"/>
    <x v="8"/>
    <s v="September"/>
    <s v="Division_A"/>
    <x v="10"/>
    <n v="2006"/>
    <n v="14"/>
    <s v="TM-Utama"/>
    <n v="35"/>
    <n v="4204"/>
    <s v="120.1"/>
    <x v="1"/>
    <n v="2.0830000000000002"/>
    <n v="72897.399999999994"/>
    <n v="72.897000000000006"/>
    <d v="2020-09-01T00:00:00"/>
    <x v="0"/>
    <x v="0"/>
  </r>
  <r>
    <x v="8"/>
    <x v="9"/>
    <s v="Oktober"/>
    <s v="Division_A"/>
    <x v="10"/>
    <n v="2006"/>
    <n v="14"/>
    <s v="TM-Utama"/>
    <n v="35"/>
    <n v="4204"/>
    <s v="120.1"/>
    <x v="1"/>
    <n v="1.929"/>
    <n v="67505.7"/>
    <n v="67.506"/>
    <d v="2020-10-01T00:00:00"/>
    <x v="0"/>
    <x v="0"/>
  </r>
  <r>
    <x v="8"/>
    <x v="10"/>
    <s v="November"/>
    <s v="Division_A"/>
    <x v="10"/>
    <n v="2006"/>
    <n v="14"/>
    <s v="TM-Utama"/>
    <n v="35"/>
    <n v="4204"/>
    <s v="120.1"/>
    <x v="1"/>
    <n v="1.641"/>
    <n v="57447.7"/>
    <n v="57.448"/>
    <d v="2020-11-01T00:00:00"/>
    <x v="0"/>
    <x v="0"/>
  </r>
  <r>
    <x v="8"/>
    <x v="11"/>
    <s v="Desember"/>
    <s v="Division_A"/>
    <x v="10"/>
    <n v="2006"/>
    <n v="14"/>
    <s v="TM-Utama"/>
    <n v="35"/>
    <n v="4204"/>
    <s v="120.1"/>
    <x v="1"/>
    <n v="1.472"/>
    <n v="51520"/>
    <n v="51.52"/>
    <d v="2020-12-01T00:00:00"/>
    <x v="0"/>
    <x v="0"/>
  </r>
  <r>
    <x v="8"/>
    <x v="0"/>
    <s v="Januari"/>
    <s v="Division_A"/>
    <x v="11"/>
    <n v="2012"/>
    <n v="8"/>
    <s v="TM-Utama"/>
    <n v="10"/>
    <n v="1434"/>
    <s v="143.4"/>
    <x v="1"/>
    <n v="1.0109999999999999"/>
    <n v="10109.700000000001"/>
    <n v="10.11"/>
    <d v="2020-01-01T00:00:00"/>
    <x v="0"/>
    <x v="1"/>
  </r>
  <r>
    <x v="8"/>
    <x v="1"/>
    <s v="Februari"/>
    <s v="Division_A"/>
    <x v="11"/>
    <n v="2012"/>
    <n v="8"/>
    <s v="TM-Utama"/>
    <n v="10"/>
    <n v="1434"/>
    <s v="143.4"/>
    <x v="1"/>
    <n v="1.024"/>
    <n v="10238.799999999999"/>
    <n v="10.239000000000001"/>
    <d v="2020-02-01T00:00:00"/>
    <x v="0"/>
    <x v="1"/>
  </r>
  <r>
    <x v="8"/>
    <x v="2"/>
    <s v="Maret"/>
    <s v="Division_A"/>
    <x v="11"/>
    <n v="2012"/>
    <n v="8"/>
    <s v="TM-Utama"/>
    <n v="10"/>
    <n v="1434"/>
    <s v="143.4"/>
    <x v="1"/>
    <n v="1.1830000000000001"/>
    <n v="11830.5"/>
    <n v="11.831"/>
    <d v="2020-03-01T00:00:00"/>
    <x v="0"/>
    <x v="1"/>
  </r>
  <r>
    <x v="8"/>
    <x v="3"/>
    <s v="April"/>
    <s v="Division_A"/>
    <x v="11"/>
    <n v="2012"/>
    <n v="8"/>
    <s v="TM-Utama"/>
    <n v="10"/>
    <n v="1434"/>
    <s v="143.4"/>
    <x v="1"/>
    <n v="2.0750000000000002"/>
    <n v="20746.400000000001"/>
    <n v="20.745999999999999"/>
    <d v="2020-04-01T00:00:00"/>
    <x v="0"/>
    <x v="1"/>
  </r>
  <r>
    <x v="8"/>
    <x v="4"/>
    <s v="Mei"/>
    <s v="Division_A"/>
    <x v="11"/>
    <n v="2012"/>
    <n v="8"/>
    <s v="TM-Utama"/>
    <n v="10"/>
    <n v="1434"/>
    <s v="143.4"/>
    <x v="1"/>
    <n v="2.3220000000000001"/>
    <n v="23220"/>
    <n v="23.22"/>
    <d v="2020-05-01T00:00:00"/>
    <x v="0"/>
    <x v="1"/>
  </r>
  <r>
    <x v="8"/>
    <x v="5"/>
    <s v="Juni"/>
    <s v="Division_A"/>
    <x v="11"/>
    <n v="2012"/>
    <n v="8"/>
    <s v="TM-Utama"/>
    <n v="10"/>
    <n v="1434"/>
    <s v="143.4"/>
    <x v="1"/>
    <n v="2.419"/>
    <n v="24188"/>
    <n v="24.187999999999999"/>
    <d v="2020-06-01T00:00:00"/>
    <x v="0"/>
    <x v="1"/>
  </r>
  <r>
    <x v="8"/>
    <x v="6"/>
    <s v="Juli"/>
    <s v="Division_A"/>
    <x v="11"/>
    <n v="2012"/>
    <n v="8"/>
    <s v="TM-Utama"/>
    <n v="10"/>
    <n v="1434"/>
    <s v="143.4"/>
    <x v="1"/>
    <n v="2.4710000000000001"/>
    <n v="24715"/>
    <n v="24.715"/>
    <d v="2020-07-01T00:00:00"/>
    <x v="0"/>
    <x v="1"/>
  </r>
  <r>
    <x v="8"/>
    <x v="7"/>
    <s v="Agustus"/>
    <s v="Division_A"/>
    <x v="11"/>
    <n v="2012"/>
    <n v="8"/>
    <s v="TM-Utama"/>
    <n v="10"/>
    <n v="1434"/>
    <s v="143.4"/>
    <x v="1"/>
    <n v="2.3620000000000001"/>
    <n v="23618"/>
    <n v="23.617999999999999"/>
    <d v="2020-08-01T00:00:00"/>
    <x v="0"/>
    <x v="1"/>
  </r>
  <r>
    <x v="8"/>
    <x v="8"/>
    <s v="September"/>
    <s v="Division_A"/>
    <x v="11"/>
    <n v="2012"/>
    <n v="8"/>
    <s v="TM-Utama"/>
    <n v="10"/>
    <n v="1434"/>
    <s v="143.4"/>
    <x v="1"/>
    <n v="2.4870000000000001"/>
    <n v="24865.599999999999"/>
    <n v="24.866"/>
    <d v="2020-09-01T00:00:00"/>
    <x v="0"/>
    <x v="1"/>
  </r>
  <r>
    <x v="8"/>
    <x v="9"/>
    <s v="Oktober"/>
    <s v="Division_A"/>
    <x v="11"/>
    <n v="2012"/>
    <n v="8"/>
    <s v="TM-Utama"/>
    <n v="10"/>
    <n v="1434"/>
    <s v="143.4"/>
    <x v="1"/>
    <n v="2.3029999999999999"/>
    <n v="23026.5"/>
    <n v="23.026"/>
    <d v="2020-10-01T00:00:00"/>
    <x v="0"/>
    <x v="1"/>
  </r>
  <r>
    <x v="8"/>
    <x v="10"/>
    <s v="November"/>
    <s v="Division_A"/>
    <x v="11"/>
    <n v="2012"/>
    <n v="8"/>
    <s v="TM-Utama"/>
    <n v="10"/>
    <n v="1434"/>
    <s v="143.4"/>
    <x v="1"/>
    <n v="1.96"/>
    <n v="19595.599999999999"/>
    <n v="19.596"/>
    <d v="2020-11-01T00:00:00"/>
    <x v="0"/>
    <x v="1"/>
  </r>
  <r>
    <x v="8"/>
    <x v="11"/>
    <s v="Desember"/>
    <s v="Division_A"/>
    <x v="11"/>
    <n v="2012"/>
    <n v="8"/>
    <s v="TM-Utama"/>
    <n v="10"/>
    <n v="1434"/>
    <s v="143.4"/>
    <x v="1"/>
    <n v="1.7569999999999999"/>
    <n v="17573.7"/>
    <n v="17.574000000000002"/>
    <d v="2020-12-01T00:00:00"/>
    <x v="0"/>
    <x v="1"/>
  </r>
  <r>
    <x v="8"/>
    <x v="0"/>
    <s v="Januari"/>
    <s v="Division_A"/>
    <x v="12"/>
    <n v="2012"/>
    <n v="8"/>
    <s v="TM-Utama"/>
    <n v="24"/>
    <n v="3074"/>
    <s v="128.1"/>
    <x v="2"/>
    <n v="0.90300000000000002"/>
    <n v="21671.7"/>
    <n v="21.672000000000001"/>
    <d v="2020-01-01T00:00:00"/>
    <x v="0"/>
    <x v="1"/>
  </r>
  <r>
    <x v="8"/>
    <x v="1"/>
    <s v="Februari"/>
    <s v="Division_A"/>
    <x v="12"/>
    <n v="2012"/>
    <n v="8"/>
    <s v="TM-Utama"/>
    <n v="24"/>
    <n v="3074"/>
    <s v="128.1"/>
    <x v="2"/>
    <n v="0.91500000000000004"/>
    <n v="21948.400000000001"/>
    <n v="21.948"/>
    <d v="2020-02-01T00:00:00"/>
    <x v="0"/>
    <x v="1"/>
  </r>
  <r>
    <x v="8"/>
    <x v="2"/>
    <s v="Maret"/>
    <s v="Division_A"/>
    <x v="12"/>
    <n v="2012"/>
    <n v="8"/>
    <s v="TM-Utama"/>
    <n v="24"/>
    <n v="3074"/>
    <s v="128.1"/>
    <x v="2"/>
    <n v="1.0569999999999999"/>
    <n v="25360.5"/>
    <n v="25.361000000000001"/>
    <d v="2020-03-01T00:00:00"/>
    <x v="0"/>
    <x v="1"/>
  </r>
  <r>
    <x v="8"/>
    <x v="3"/>
    <s v="April"/>
    <s v="Division_A"/>
    <x v="12"/>
    <n v="2012"/>
    <n v="8"/>
    <s v="TM-Utama"/>
    <n v="24"/>
    <n v="3074"/>
    <s v="128.1"/>
    <x v="2"/>
    <n v="1.853"/>
    <n v="44473.1"/>
    <n v="44.472999999999999"/>
    <d v="2020-04-01T00:00:00"/>
    <x v="0"/>
    <x v="1"/>
  </r>
  <r>
    <x v="8"/>
    <x v="4"/>
    <s v="Mei"/>
    <s v="Division_A"/>
    <x v="12"/>
    <n v="2012"/>
    <n v="8"/>
    <s v="TM-Utama"/>
    <n v="24"/>
    <n v="3074"/>
    <s v="128.1"/>
    <x v="2"/>
    <n v="2.0739999999999998"/>
    <n v="49775.7"/>
    <n v="49.776000000000003"/>
    <d v="2020-05-01T00:00:00"/>
    <x v="0"/>
    <x v="1"/>
  </r>
  <r>
    <x v="8"/>
    <x v="5"/>
    <s v="Juni"/>
    <s v="Division_A"/>
    <x v="12"/>
    <n v="2012"/>
    <n v="8"/>
    <s v="TM-Utama"/>
    <n v="24"/>
    <n v="3074"/>
    <s v="128.1"/>
    <x v="2"/>
    <n v="2.16"/>
    <n v="51850.7"/>
    <n v="51.850999999999999"/>
    <d v="2020-06-01T00:00:00"/>
    <x v="0"/>
    <x v="1"/>
  </r>
  <r>
    <x v="8"/>
    <x v="6"/>
    <s v="Juli"/>
    <s v="Division_A"/>
    <x v="12"/>
    <n v="2012"/>
    <n v="8"/>
    <s v="TM-Utama"/>
    <n v="24"/>
    <n v="3074"/>
    <s v="128.1"/>
    <x v="2"/>
    <n v="2.2080000000000002"/>
    <n v="52980.4"/>
    <n v="52.98"/>
    <d v="2020-07-01T00:00:00"/>
    <x v="0"/>
    <x v="1"/>
  </r>
  <r>
    <x v="8"/>
    <x v="7"/>
    <s v="Agustus"/>
    <s v="Division_A"/>
    <x v="12"/>
    <n v="2012"/>
    <n v="8"/>
    <s v="TM-Utama"/>
    <n v="24"/>
    <n v="3074"/>
    <s v="128.1"/>
    <x v="2"/>
    <n v="2.11"/>
    <n v="50628.800000000003"/>
    <n v="50.628999999999998"/>
    <d v="2020-08-01T00:00:00"/>
    <x v="0"/>
    <x v="1"/>
  </r>
  <r>
    <x v="8"/>
    <x v="8"/>
    <s v="September"/>
    <s v="Division_A"/>
    <x v="12"/>
    <n v="2012"/>
    <n v="8"/>
    <s v="TM-Utama"/>
    <n v="24"/>
    <n v="3074"/>
    <s v="128.1"/>
    <x v="2"/>
    <n v="2.2210000000000001"/>
    <n v="53303.199999999997"/>
    <n v="53.302999999999997"/>
    <d v="2020-09-01T00:00:00"/>
    <x v="0"/>
    <x v="1"/>
  </r>
  <r>
    <x v="8"/>
    <x v="9"/>
    <s v="Oktober"/>
    <s v="Division_A"/>
    <x v="12"/>
    <n v="2012"/>
    <n v="8"/>
    <s v="TM-Utama"/>
    <n v="24"/>
    <n v="3074"/>
    <s v="128.1"/>
    <x v="2"/>
    <n v="2.0569999999999999"/>
    <n v="49360.800000000003"/>
    <n v="49.360999999999997"/>
    <d v="2020-10-01T00:00:00"/>
    <x v="0"/>
    <x v="1"/>
  </r>
  <r>
    <x v="8"/>
    <x v="10"/>
    <s v="November"/>
    <s v="Division_A"/>
    <x v="12"/>
    <n v="2012"/>
    <n v="8"/>
    <s v="TM-Utama"/>
    <n v="24"/>
    <n v="3074"/>
    <s v="128.1"/>
    <x v="2"/>
    <n v="1.75"/>
    <n v="42006.2"/>
    <n v="42.006"/>
    <d v="2020-11-01T00:00:00"/>
    <x v="0"/>
    <x v="1"/>
  </r>
  <r>
    <x v="8"/>
    <x v="11"/>
    <s v="Desember"/>
    <s v="Division_A"/>
    <x v="12"/>
    <n v="2012"/>
    <n v="8"/>
    <s v="TM-Utama"/>
    <n v="24"/>
    <n v="3074"/>
    <s v="128.1"/>
    <x v="2"/>
    <n v="1.57"/>
    <n v="37671.9"/>
    <n v="37.671999999999997"/>
    <d v="2020-12-01T00:00:00"/>
    <x v="0"/>
    <x v="1"/>
  </r>
  <r>
    <x v="8"/>
    <x v="0"/>
    <s v="Januari"/>
    <s v="Division_A"/>
    <x v="13"/>
    <n v="2012"/>
    <n v="8"/>
    <s v="TM-Utama"/>
    <n v="19"/>
    <n v="2418"/>
    <s v="127.3"/>
    <x v="2"/>
    <n v="0.89700000000000002"/>
    <n v="17046.900000000001"/>
    <n v="17.047000000000001"/>
    <d v="2020-01-01T00:00:00"/>
    <x v="0"/>
    <x v="1"/>
  </r>
  <r>
    <x v="8"/>
    <x v="1"/>
    <s v="Februari"/>
    <s v="Division_A"/>
    <x v="13"/>
    <n v="2012"/>
    <n v="8"/>
    <s v="TM-Utama"/>
    <n v="19"/>
    <n v="2418"/>
    <s v="127.3"/>
    <x v="2"/>
    <n v="0.90900000000000003"/>
    <n v="17264.5"/>
    <n v="17.265000000000001"/>
    <d v="2020-02-01T00:00:00"/>
    <x v="0"/>
    <x v="1"/>
  </r>
  <r>
    <x v="8"/>
    <x v="2"/>
    <s v="Maret"/>
    <s v="Division_A"/>
    <x v="13"/>
    <n v="2012"/>
    <n v="8"/>
    <s v="TM-Utama"/>
    <n v="19"/>
    <n v="2418"/>
    <s v="127.3"/>
    <x v="2"/>
    <n v="1.05"/>
    <n v="19948.5"/>
    <n v="19.948"/>
    <d v="2020-03-01T00:00:00"/>
    <x v="0"/>
    <x v="1"/>
  </r>
  <r>
    <x v="8"/>
    <x v="3"/>
    <s v="April"/>
    <s v="Division_A"/>
    <x v="13"/>
    <n v="2012"/>
    <n v="8"/>
    <s v="TM-Utama"/>
    <n v="19"/>
    <n v="2418"/>
    <s v="127.3"/>
    <x v="2"/>
    <n v="1.841"/>
    <n v="34982.400000000001"/>
    <n v="34.981999999999999"/>
    <d v="2020-04-01T00:00:00"/>
    <x v="0"/>
    <x v="1"/>
  </r>
  <r>
    <x v="8"/>
    <x v="4"/>
    <s v="Mei"/>
    <s v="Division_A"/>
    <x v="13"/>
    <n v="2012"/>
    <n v="8"/>
    <s v="TM-Utama"/>
    <n v="19"/>
    <n v="2418"/>
    <s v="127.3"/>
    <x v="2"/>
    <n v="2.0609999999999999"/>
    <n v="39153.5"/>
    <n v="39.152999999999999"/>
    <d v="2020-05-01T00:00:00"/>
    <x v="0"/>
    <x v="1"/>
  </r>
  <r>
    <x v="8"/>
    <x v="5"/>
    <s v="Juni"/>
    <s v="Division_A"/>
    <x v="13"/>
    <n v="2012"/>
    <n v="8"/>
    <s v="TM-Utama"/>
    <n v="19"/>
    <n v="2418"/>
    <s v="127.3"/>
    <x v="2"/>
    <n v="2.1469999999999998"/>
    <n v="40785.599999999999"/>
    <n v="40.786000000000001"/>
    <d v="2020-06-01T00:00:00"/>
    <x v="0"/>
    <x v="1"/>
  </r>
  <r>
    <x v="8"/>
    <x v="6"/>
    <s v="Juli"/>
    <s v="Division_A"/>
    <x v="13"/>
    <n v="2012"/>
    <n v="8"/>
    <s v="TM-Utama"/>
    <n v="19"/>
    <n v="2418"/>
    <s v="127.3"/>
    <x v="2"/>
    <n v="2.1930000000000001"/>
    <n v="41674.199999999997"/>
    <n v="41.673999999999999"/>
    <d v="2020-07-01T00:00:00"/>
    <x v="0"/>
    <x v="1"/>
  </r>
  <r>
    <x v="8"/>
    <x v="7"/>
    <s v="Agustus"/>
    <s v="Division_A"/>
    <x v="13"/>
    <n v="2012"/>
    <n v="8"/>
    <s v="TM-Utama"/>
    <n v="19"/>
    <n v="2418"/>
    <s v="127.3"/>
    <x v="2"/>
    <n v="2.0960000000000001"/>
    <n v="39824.5"/>
    <n v="39.823999999999998"/>
    <d v="2020-08-01T00:00:00"/>
    <x v="0"/>
    <x v="1"/>
  </r>
  <r>
    <x v="8"/>
    <x v="8"/>
    <s v="September"/>
    <s v="Division_A"/>
    <x v="13"/>
    <n v="2012"/>
    <n v="8"/>
    <s v="TM-Utama"/>
    <n v="19"/>
    <n v="2418"/>
    <s v="127.3"/>
    <x v="2"/>
    <n v="2.2069999999999999"/>
    <n v="41928.1"/>
    <n v="41.927999999999997"/>
    <d v="2020-09-01T00:00:00"/>
    <x v="0"/>
    <x v="1"/>
  </r>
  <r>
    <x v="8"/>
    <x v="9"/>
    <s v="Oktober"/>
    <s v="Division_A"/>
    <x v="13"/>
    <n v="2012"/>
    <n v="8"/>
    <s v="TM-Utama"/>
    <n v="19"/>
    <n v="2418"/>
    <s v="127.3"/>
    <x v="2"/>
    <n v="2.044"/>
    <n v="38827"/>
    <n v="38.826999999999998"/>
    <d v="2020-10-01T00:00:00"/>
    <x v="0"/>
    <x v="1"/>
  </r>
  <r>
    <x v="8"/>
    <x v="10"/>
    <s v="November"/>
    <s v="Division_A"/>
    <x v="13"/>
    <n v="2012"/>
    <n v="8"/>
    <s v="TM-Utama"/>
    <n v="19"/>
    <n v="2418"/>
    <s v="127.3"/>
    <x v="2"/>
    <n v="1.7390000000000001"/>
    <n v="33042"/>
    <n v="33.042000000000002"/>
    <d v="2020-11-01T00:00:00"/>
    <x v="0"/>
    <x v="1"/>
  </r>
  <r>
    <x v="8"/>
    <x v="11"/>
    <s v="Desember"/>
    <s v="Division_A"/>
    <x v="13"/>
    <n v="2012"/>
    <n v="8"/>
    <s v="TM-Utama"/>
    <n v="19"/>
    <n v="2418"/>
    <s v="127.3"/>
    <x v="2"/>
    <n v="1.56"/>
    <n v="29632.6"/>
    <n v="29.632999999999999"/>
    <d v="2020-12-01T00:00:00"/>
    <x v="0"/>
    <x v="1"/>
  </r>
  <r>
    <x v="8"/>
    <x v="0"/>
    <s v="Januari"/>
    <s v="Division_A"/>
    <x v="14"/>
    <n v="2012"/>
    <n v="8"/>
    <s v="TM-Utama"/>
    <n v="25"/>
    <n v="3205"/>
    <s v="128.2"/>
    <x v="2"/>
    <n v="0.90400000000000003"/>
    <n v="22595.200000000001"/>
    <n v="22.594999999999999"/>
    <d v="2020-01-01T00:00:00"/>
    <x v="0"/>
    <x v="1"/>
  </r>
  <r>
    <x v="8"/>
    <x v="1"/>
    <s v="Februari"/>
    <s v="Division_A"/>
    <x v="14"/>
    <n v="2012"/>
    <n v="8"/>
    <s v="TM-Utama"/>
    <n v="25"/>
    <n v="3205"/>
    <s v="128.2"/>
    <x v="2"/>
    <n v="0.91500000000000004"/>
    <n v="22883.7"/>
    <n v="22.884"/>
    <d v="2020-02-01T00:00:00"/>
    <x v="0"/>
    <x v="1"/>
  </r>
  <r>
    <x v="8"/>
    <x v="2"/>
    <s v="Maret"/>
    <s v="Division_A"/>
    <x v="14"/>
    <n v="2012"/>
    <n v="8"/>
    <s v="TM-Utama"/>
    <n v="25"/>
    <n v="3205"/>
    <s v="128.2"/>
    <x v="2"/>
    <n v="1.0580000000000001"/>
    <n v="26441.200000000001"/>
    <n v="26.440999999999999"/>
    <d v="2020-03-01T00:00:00"/>
    <x v="0"/>
    <x v="1"/>
  </r>
  <r>
    <x v="8"/>
    <x v="3"/>
    <s v="April"/>
    <s v="Division_A"/>
    <x v="14"/>
    <n v="2012"/>
    <n v="8"/>
    <s v="TM-Utama"/>
    <n v="25"/>
    <n v="3205"/>
    <s v="128.2"/>
    <x v="2"/>
    <n v="1.855"/>
    <n v="46368.3"/>
    <n v="46.368000000000002"/>
    <d v="2020-04-01T00:00:00"/>
    <x v="0"/>
    <x v="1"/>
  </r>
  <r>
    <x v="8"/>
    <x v="4"/>
    <s v="Mei"/>
    <s v="Division_A"/>
    <x v="14"/>
    <n v="2012"/>
    <n v="8"/>
    <s v="TM-Utama"/>
    <n v="25"/>
    <n v="3205"/>
    <s v="128.2"/>
    <x v="2"/>
    <n v="2.0760000000000001"/>
    <n v="51897"/>
    <n v="51.896999999999998"/>
    <d v="2020-05-01T00:00:00"/>
    <x v="0"/>
    <x v="1"/>
  </r>
  <r>
    <x v="8"/>
    <x v="5"/>
    <s v="Juni"/>
    <s v="Division_A"/>
    <x v="14"/>
    <n v="2012"/>
    <n v="8"/>
    <s v="TM-Utama"/>
    <n v="25"/>
    <n v="3205"/>
    <s v="128.2"/>
    <x v="2"/>
    <n v="2.1619999999999999"/>
    <n v="54060.3"/>
    <n v="54.06"/>
    <d v="2020-06-01T00:00:00"/>
    <x v="0"/>
    <x v="1"/>
  </r>
  <r>
    <x v="8"/>
    <x v="6"/>
    <s v="Juli"/>
    <s v="Division_A"/>
    <x v="14"/>
    <n v="2012"/>
    <n v="8"/>
    <s v="TM-Utama"/>
    <n v="25"/>
    <n v="3205"/>
    <s v="128.2"/>
    <x v="2"/>
    <n v="2.21"/>
    <n v="55238.2"/>
    <n v="55.238"/>
    <d v="2020-07-01T00:00:00"/>
    <x v="0"/>
    <x v="1"/>
  </r>
  <r>
    <x v="8"/>
    <x v="7"/>
    <s v="Agustus"/>
    <s v="Division_A"/>
    <x v="14"/>
    <n v="2012"/>
    <n v="8"/>
    <s v="TM-Utama"/>
    <n v="25"/>
    <n v="3205"/>
    <s v="128.2"/>
    <x v="2"/>
    <n v="2.1110000000000002"/>
    <n v="52786.400000000001"/>
    <n v="52.786000000000001"/>
    <d v="2020-08-01T00:00:00"/>
    <x v="0"/>
    <x v="1"/>
  </r>
  <r>
    <x v="8"/>
    <x v="8"/>
    <s v="September"/>
    <s v="Division_A"/>
    <x v="14"/>
    <n v="2012"/>
    <n v="8"/>
    <s v="TM-Utama"/>
    <n v="25"/>
    <n v="3205"/>
    <s v="128.2"/>
    <x v="2"/>
    <n v="2.2229999999999999"/>
    <n v="55574.7"/>
    <n v="55.575000000000003"/>
    <d v="2020-09-01T00:00:00"/>
    <x v="0"/>
    <x v="1"/>
  </r>
  <r>
    <x v="8"/>
    <x v="9"/>
    <s v="Oktober"/>
    <s v="Division_A"/>
    <x v="14"/>
    <n v="2012"/>
    <n v="8"/>
    <s v="TM-Utama"/>
    <n v="25"/>
    <n v="3205"/>
    <s v="128.2"/>
    <x v="2"/>
    <n v="2.0590000000000002"/>
    <n v="51464.3"/>
    <n v="51.463999999999999"/>
    <d v="2020-10-01T00:00:00"/>
    <x v="0"/>
    <x v="1"/>
  </r>
  <r>
    <x v="8"/>
    <x v="10"/>
    <s v="November"/>
    <s v="Division_A"/>
    <x v="14"/>
    <n v="2012"/>
    <n v="8"/>
    <s v="TM-Utama"/>
    <n v="25"/>
    <n v="3205"/>
    <s v="128.2"/>
    <x v="2"/>
    <n v="1.752"/>
    <n v="43796.3"/>
    <n v="43.795999999999999"/>
    <d v="2020-11-01T00:00:00"/>
    <x v="0"/>
    <x v="1"/>
  </r>
  <r>
    <x v="8"/>
    <x v="11"/>
    <s v="Desember"/>
    <s v="Division_A"/>
    <x v="14"/>
    <n v="2012"/>
    <n v="8"/>
    <s v="TM-Utama"/>
    <n v="25"/>
    <n v="3205"/>
    <s v="128.2"/>
    <x v="2"/>
    <n v="1.571"/>
    <n v="39277.300000000003"/>
    <n v="39.277000000000001"/>
    <d v="2020-12-01T00:00:00"/>
    <x v="0"/>
    <x v="1"/>
  </r>
  <r>
    <x v="8"/>
    <x v="0"/>
    <s v="Januari"/>
    <s v="Division_A"/>
    <x v="15"/>
    <n v="2012"/>
    <n v="8"/>
    <s v="TM-Utama"/>
    <n v="19"/>
    <n v="2469"/>
    <s v="129.9"/>
    <x v="1"/>
    <n v="0.91600000000000004"/>
    <n v="17406.5"/>
    <n v="17.405999999999999"/>
    <d v="2020-01-01T00:00:00"/>
    <x v="0"/>
    <x v="1"/>
  </r>
  <r>
    <x v="8"/>
    <x v="1"/>
    <s v="Februari"/>
    <s v="Division_A"/>
    <x v="15"/>
    <n v="2012"/>
    <n v="8"/>
    <s v="TM-Utama"/>
    <n v="19"/>
    <n v="2469"/>
    <s v="129.9"/>
    <x v="1"/>
    <n v="0.92800000000000005"/>
    <n v="17628.7"/>
    <n v="17.629000000000001"/>
    <d v="2020-02-01T00:00:00"/>
    <x v="0"/>
    <x v="1"/>
  </r>
  <r>
    <x v="8"/>
    <x v="2"/>
    <s v="Maret"/>
    <s v="Division_A"/>
    <x v="15"/>
    <n v="2012"/>
    <n v="8"/>
    <s v="TM-Utama"/>
    <n v="19"/>
    <n v="2469"/>
    <s v="129.9"/>
    <x v="1"/>
    <n v="1.0720000000000001"/>
    <n v="20369.2"/>
    <n v="20.369"/>
    <d v="2020-03-01T00:00:00"/>
    <x v="0"/>
    <x v="1"/>
  </r>
  <r>
    <x v="8"/>
    <x v="3"/>
    <s v="April"/>
    <s v="Division_A"/>
    <x v="15"/>
    <n v="2012"/>
    <n v="8"/>
    <s v="TM-Utama"/>
    <n v="19"/>
    <n v="2469"/>
    <s v="129.9"/>
    <x v="1"/>
    <n v="1.88"/>
    <n v="35720.300000000003"/>
    <n v="35.72"/>
    <d v="2020-04-01T00:00:00"/>
    <x v="0"/>
    <x v="1"/>
  </r>
  <r>
    <x v="8"/>
    <x v="4"/>
    <s v="Mei"/>
    <s v="Division_A"/>
    <x v="15"/>
    <n v="2012"/>
    <n v="8"/>
    <s v="TM-Utama"/>
    <n v="19"/>
    <n v="2469"/>
    <s v="129.9"/>
    <x v="1"/>
    <n v="2.1040000000000001"/>
    <n v="39979.300000000003"/>
    <n v="39.978999999999999"/>
    <d v="2020-05-01T00:00:00"/>
    <x v="0"/>
    <x v="1"/>
  </r>
  <r>
    <x v="8"/>
    <x v="5"/>
    <s v="Juni"/>
    <s v="Division_A"/>
    <x v="15"/>
    <n v="2012"/>
    <n v="8"/>
    <s v="TM-Utama"/>
    <n v="19"/>
    <n v="2469"/>
    <s v="129.9"/>
    <x v="1"/>
    <n v="2.1920000000000002"/>
    <n v="41645.9"/>
    <n v="41.646000000000001"/>
    <d v="2020-06-01T00:00:00"/>
    <x v="0"/>
    <x v="1"/>
  </r>
  <r>
    <x v="8"/>
    <x v="6"/>
    <s v="Juli"/>
    <s v="Division_A"/>
    <x v="15"/>
    <n v="2012"/>
    <n v="8"/>
    <s v="TM-Utama"/>
    <n v="19"/>
    <n v="2469"/>
    <s v="129.9"/>
    <x v="1"/>
    <n v="2.2400000000000002"/>
    <n v="42553.2"/>
    <n v="42.552999999999997"/>
    <d v="2020-07-01T00:00:00"/>
    <x v="0"/>
    <x v="1"/>
  </r>
  <r>
    <x v="8"/>
    <x v="7"/>
    <s v="Agustus"/>
    <s v="Division_A"/>
    <x v="15"/>
    <n v="2012"/>
    <n v="8"/>
    <s v="TM-Utama"/>
    <n v="19"/>
    <n v="2469"/>
    <s v="129.9"/>
    <x v="1"/>
    <n v="2.14"/>
    <n v="40664.400000000001"/>
    <n v="40.664000000000001"/>
    <d v="2020-08-01T00:00:00"/>
    <x v="0"/>
    <x v="1"/>
  </r>
  <r>
    <x v="8"/>
    <x v="8"/>
    <s v="September"/>
    <s v="Division_A"/>
    <x v="15"/>
    <n v="2012"/>
    <n v="8"/>
    <s v="TM-Utama"/>
    <n v="19"/>
    <n v="2469"/>
    <s v="129.9"/>
    <x v="1"/>
    <n v="2.2530000000000001"/>
    <n v="42812.5"/>
    <n v="42.811999999999998"/>
    <d v="2020-09-01T00:00:00"/>
    <x v="0"/>
    <x v="1"/>
  </r>
  <r>
    <x v="8"/>
    <x v="9"/>
    <s v="Oktober"/>
    <s v="Division_A"/>
    <x v="15"/>
    <n v="2012"/>
    <n v="8"/>
    <s v="TM-Utama"/>
    <n v="19"/>
    <n v="2469"/>
    <s v="129.9"/>
    <x v="1"/>
    <n v="2.0870000000000002"/>
    <n v="39646"/>
    <n v="39.646000000000001"/>
    <d v="2020-10-01T00:00:00"/>
    <x v="0"/>
    <x v="1"/>
  </r>
  <r>
    <x v="8"/>
    <x v="10"/>
    <s v="November"/>
    <s v="Division_A"/>
    <x v="15"/>
    <n v="2012"/>
    <n v="8"/>
    <s v="TM-Utama"/>
    <n v="19"/>
    <n v="2469"/>
    <s v="129.9"/>
    <x v="1"/>
    <n v="1.776"/>
    <n v="33738.9"/>
    <n v="33.738999999999997"/>
    <d v="2020-11-01T00:00:00"/>
    <x v="0"/>
    <x v="1"/>
  </r>
  <r>
    <x v="8"/>
    <x v="11"/>
    <s v="Desember"/>
    <s v="Division_A"/>
    <x v="15"/>
    <n v="2012"/>
    <n v="8"/>
    <s v="TM-Utama"/>
    <n v="19"/>
    <n v="2469"/>
    <s v="129.9"/>
    <x v="1"/>
    <n v="1.593"/>
    <n v="30257.599999999999"/>
    <n v="30.257999999999999"/>
    <d v="2020-12-01T00:00:00"/>
    <x v="0"/>
    <x v="1"/>
  </r>
  <r>
    <x v="8"/>
    <x v="0"/>
    <s v="Januari"/>
    <s v="Division_A"/>
    <x v="16"/>
    <n v="2012"/>
    <n v="8"/>
    <s v="TM-Utama"/>
    <n v="20"/>
    <n v="2704"/>
    <s v="135.2"/>
    <x v="2"/>
    <n v="0.95299999999999996"/>
    <n v="19063.2"/>
    <n v="19.062999999999999"/>
    <d v="2020-01-01T00:00:00"/>
    <x v="0"/>
    <x v="1"/>
  </r>
  <r>
    <x v="8"/>
    <x v="1"/>
    <s v="Februari"/>
    <s v="Division_A"/>
    <x v="16"/>
    <n v="2012"/>
    <n v="8"/>
    <s v="TM-Utama"/>
    <n v="20"/>
    <n v="2704"/>
    <s v="135.2"/>
    <x v="2"/>
    <n v="0.96499999999999997"/>
    <n v="19306.599999999999"/>
    <n v="19.306999999999999"/>
    <d v="2020-02-01T00:00:00"/>
    <x v="0"/>
    <x v="1"/>
  </r>
  <r>
    <x v="8"/>
    <x v="2"/>
    <s v="Maret"/>
    <s v="Division_A"/>
    <x v="16"/>
    <n v="2012"/>
    <n v="8"/>
    <s v="TM-Utama"/>
    <n v="20"/>
    <n v="2704"/>
    <s v="135.2"/>
    <x v="2"/>
    <n v="1.115"/>
    <n v="22308"/>
    <n v="22.308"/>
    <d v="2020-03-01T00:00:00"/>
    <x v="0"/>
    <x v="1"/>
  </r>
  <r>
    <x v="8"/>
    <x v="3"/>
    <s v="April"/>
    <s v="Division_A"/>
    <x v="16"/>
    <n v="2012"/>
    <n v="8"/>
    <s v="TM-Utama"/>
    <n v="20"/>
    <n v="2704"/>
    <s v="135.2"/>
    <x v="2"/>
    <n v="1.956"/>
    <n v="39120.1"/>
    <n v="39.119999999999997"/>
    <d v="2020-04-01T00:00:00"/>
    <x v="0"/>
    <x v="1"/>
  </r>
  <r>
    <x v="8"/>
    <x v="4"/>
    <s v="Mei"/>
    <s v="Division_A"/>
    <x v="16"/>
    <n v="2012"/>
    <n v="8"/>
    <s v="TM-Utama"/>
    <n v="20"/>
    <n v="2704"/>
    <s v="135.2"/>
    <x v="2"/>
    <n v="2.1890000000000001"/>
    <n v="43784.5"/>
    <n v="43.784999999999997"/>
    <d v="2020-05-01T00:00:00"/>
    <x v="0"/>
    <x v="1"/>
  </r>
  <r>
    <x v="8"/>
    <x v="5"/>
    <s v="Juni"/>
    <s v="Division_A"/>
    <x v="16"/>
    <n v="2012"/>
    <n v="8"/>
    <s v="TM-Utama"/>
    <n v="20"/>
    <n v="2704"/>
    <s v="135.2"/>
    <x v="2"/>
    <n v="2.2799999999999998"/>
    <n v="45609.7"/>
    <n v="45.61"/>
    <d v="2020-06-01T00:00:00"/>
    <x v="0"/>
    <x v="1"/>
  </r>
  <r>
    <x v="8"/>
    <x v="6"/>
    <s v="Juli"/>
    <s v="Division_A"/>
    <x v="16"/>
    <n v="2012"/>
    <n v="8"/>
    <s v="TM-Utama"/>
    <n v="20"/>
    <n v="2704"/>
    <s v="135.2"/>
    <x v="2"/>
    <n v="2.33"/>
    <n v="46603.4"/>
    <n v="46.603000000000002"/>
    <d v="2020-07-01T00:00:00"/>
    <x v="0"/>
    <x v="1"/>
  </r>
  <r>
    <x v="8"/>
    <x v="7"/>
    <s v="Agustus"/>
    <s v="Division_A"/>
    <x v="16"/>
    <n v="2012"/>
    <n v="8"/>
    <s v="TM-Utama"/>
    <n v="20"/>
    <n v="2704"/>
    <s v="135.2"/>
    <x v="2"/>
    <n v="2.2269999999999999"/>
    <n v="44534.9"/>
    <n v="44.534999999999997"/>
    <d v="2020-08-01T00:00:00"/>
    <x v="0"/>
    <x v="1"/>
  </r>
  <r>
    <x v="8"/>
    <x v="8"/>
    <s v="September"/>
    <s v="Division_A"/>
    <x v="16"/>
    <n v="2012"/>
    <n v="8"/>
    <s v="TM-Utama"/>
    <n v="20"/>
    <n v="2704"/>
    <s v="135.2"/>
    <x v="2"/>
    <n v="2.3439999999999999"/>
    <n v="46887.4"/>
    <n v="46.887"/>
    <d v="2020-09-01T00:00:00"/>
    <x v="0"/>
    <x v="1"/>
  </r>
  <r>
    <x v="8"/>
    <x v="9"/>
    <s v="Oktober"/>
    <s v="Division_A"/>
    <x v="16"/>
    <n v="2012"/>
    <n v="8"/>
    <s v="TM-Utama"/>
    <n v="20"/>
    <n v="2704"/>
    <s v="135.2"/>
    <x v="2"/>
    <n v="2.1709999999999998"/>
    <n v="43419.5"/>
    <n v="43.418999999999997"/>
    <d v="2020-10-01T00:00:00"/>
    <x v="0"/>
    <x v="1"/>
  </r>
  <r>
    <x v="8"/>
    <x v="10"/>
    <s v="November"/>
    <s v="Division_A"/>
    <x v="16"/>
    <n v="2012"/>
    <n v="8"/>
    <s v="TM-Utama"/>
    <n v="20"/>
    <n v="2704"/>
    <s v="135.2"/>
    <x v="2"/>
    <n v="1.8480000000000001"/>
    <n v="36950.199999999997"/>
    <n v="36.950000000000003"/>
    <d v="2020-11-01T00:00:00"/>
    <x v="0"/>
    <x v="1"/>
  </r>
  <r>
    <x v="8"/>
    <x v="11"/>
    <s v="Desember"/>
    <s v="Division_A"/>
    <x v="16"/>
    <n v="2012"/>
    <n v="8"/>
    <s v="TM-Utama"/>
    <n v="20"/>
    <n v="2704"/>
    <s v="135.2"/>
    <x v="2"/>
    <n v="1.657"/>
    <n v="33137.5"/>
    <n v="33.137999999999998"/>
    <d v="2020-12-01T00:00:00"/>
    <x v="0"/>
    <x v="1"/>
  </r>
  <r>
    <x v="8"/>
    <x v="0"/>
    <s v="Januari"/>
    <s v="Division_A"/>
    <x v="17"/>
    <n v="2012"/>
    <n v="8"/>
    <s v="TM-Utama"/>
    <n v="14"/>
    <n v="1833"/>
    <s v="130.9"/>
    <x v="2"/>
    <n v="0.92300000000000004"/>
    <n v="12922.6"/>
    <n v="12.923"/>
    <d v="2020-01-01T00:00:00"/>
    <x v="0"/>
    <x v="1"/>
  </r>
  <r>
    <x v="8"/>
    <x v="1"/>
    <s v="Februari"/>
    <s v="Division_A"/>
    <x v="17"/>
    <n v="2012"/>
    <n v="8"/>
    <s v="TM-Utama"/>
    <n v="14"/>
    <n v="1833"/>
    <s v="130.9"/>
    <x v="2"/>
    <n v="0.93500000000000005"/>
    <n v="13087.6"/>
    <n v="13.087999999999999"/>
    <d v="2020-02-01T00:00:00"/>
    <x v="0"/>
    <x v="1"/>
  </r>
  <r>
    <x v="8"/>
    <x v="2"/>
    <s v="Maret"/>
    <s v="Division_A"/>
    <x v="17"/>
    <n v="2012"/>
    <n v="8"/>
    <s v="TM-Utama"/>
    <n v="14"/>
    <n v="1833"/>
    <s v="130.9"/>
    <x v="2"/>
    <n v="1.08"/>
    <n v="15122.3"/>
    <n v="15.122"/>
    <d v="2020-03-01T00:00:00"/>
    <x v="0"/>
    <x v="1"/>
  </r>
  <r>
    <x v="8"/>
    <x v="3"/>
    <s v="April"/>
    <s v="Division_A"/>
    <x v="17"/>
    <n v="2012"/>
    <n v="8"/>
    <s v="TM-Utama"/>
    <n v="14"/>
    <n v="1833"/>
    <s v="130.9"/>
    <x v="2"/>
    <n v="1.8939999999999999"/>
    <n v="26518.9"/>
    <n v="26.518999999999998"/>
    <d v="2020-04-01T00:00:00"/>
    <x v="0"/>
    <x v="1"/>
  </r>
  <r>
    <x v="8"/>
    <x v="4"/>
    <s v="Mei"/>
    <s v="Division_A"/>
    <x v="17"/>
    <n v="2012"/>
    <n v="8"/>
    <s v="TM-Utama"/>
    <n v="14"/>
    <n v="1833"/>
    <s v="130.9"/>
    <x v="2"/>
    <n v="2.12"/>
    <n v="29680.9"/>
    <n v="29.681000000000001"/>
    <d v="2020-05-01T00:00:00"/>
    <x v="0"/>
    <x v="1"/>
  </r>
  <r>
    <x v="8"/>
    <x v="5"/>
    <s v="Juni"/>
    <s v="Division_A"/>
    <x v="17"/>
    <n v="2012"/>
    <n v="8"/>
    <s v="TM-Utama"/>
    <n v="14"/>
    <n v="1833"/>
    <s v="130.9"/>
    <x v="2"/>
    <n v="2.2080000000000002"/>
    <n v="30918.1"/>
    <n v="30.917999999999999"/>
    <d v="2020-06-01T00:00:00"/>
    <x v="0"/>
    <x v="1"/>
  </r>
  <r>
    <x v="8"/>
    <x v="6"/>
    <s v="Juli"/>
    <s v="Division_A"/>
    <x v="17"/>
    <n v="2012"/>
    <n v="8"/>
    <s v="TM-Utama"/>
    <n v="14"/>
    <n v="1833"/>
    <s v="130.9"/>
    <x v="2"/>
    <n v="2.2570000000000001"/>
    <n v="31591.8"/>
    <n v="31.591999999999999"/>
    <d v="2020-07-01T00:00:00"/>
    <x v="0"/>
    <x v="1"/>
  </r>
  <r>
    <x v="8"/>
    <x v="7"/>
    <s v="Agustus"/>
    <s v="Division_A"/>
    <x v="17"/>
    <n v="2012"/>
    <n v="8"/>
    <s v="TM-Utama"/>
    <n v="14"/>
    <n v="1833"/>
    <s v="130.9"/>
    <x v="2"/>
    <n v="2.1560000000000001"/>
    <n v="30189.5"/>
    <n v="30.19"/>
    <d v="2020-08-01T00:00:00"/>
    <x v="0"/>
    <x v="1"/>
  </r>
  <r>
    <x v="8"/>
    <x v="8"/>
    <s v="September"/>
    <s v="Division_A"/>
    <x v="17"/>
    <n v="2012"/>
    <n v="8"/>
    <s v="TM-Utama"/>
    <n v="14"/>
    <n v="1833"/>
    <s v="130.9"/>
    <x v="2"/>
    <n v="2.27"/>
    <n v="31784.2"/>
    <n v="31.783999999999999"/>
    <d v="2020-09-01T00:00:00"/>
    <x v="0"/>
    <x v="1"/>
  </r>
  <r>
    <x v="8"/>
    <x v="9"/>
    <s v="Oktober"/>
    <s v="Division_A"/>
    <x v="17"/>
    <n v="2012"/>
    <n v="8"/>
    <s v="TM-Utama"/>
    <n v="14"/>
    <n v="1833"/>
    <s v="130.9"/>
    <x v="2"/>
    <n v="2.1019999999999999"/>
    <n v="29433.4"/>
    <n v="29.433"/>
    <d v="2020-10-01T00:00:00"/>
    <x v="0"/>
    <x v="1"/>
  </r>
  <r>
    <x v="8"/>
    <x v="10"/>
    <s v="November"/>
    <s v="Division_A"/>
    <x v="17"/>
    <n v="2012"/>
    <n v="8"/>
    <s v="TM-Utama"/>
    <n v="14"/>
    <n v="1833"/>
    <s v="130.9"/>
    <x v="2"/>
    <n v="1.7889999999999999"/>
    <n v="25047.9"/>
    <n v="25.047999999999998"/>
    <d v="2020-11-01T00:00:00"/>
    <x v="0"/>
    <x v="1"/>
  </r>
  <r>
    <x v="8"/>
    <x v="11"/>
    <s v="Desember"/>
    <s v="Division_A"/>
    <x v="17"/>
    <n v="2012"/>
    <n v="8"/>
    <s v="TM-Utama"/>
    <n v="14"/>
    <n v="1833"/>
    <s v="130.9"/>
    <x v="2"/>
    <n v="1.605"/>
    <n v="22463.4"/>
    <n v="22.463000000000001"/>
    <d v="2020-12-01T00:00:00"/>
    <x v="0"/>
    <x v="1"/>
  </r>
  <r>
    <x v="8"/>
    <x v="0"/>
    <s v="Januari"/>
    <s v="Division_A"/>
    <x v="18"/>
    <n v="2012"/>
    <n v="8"/>
    <s v="TM-Utama"/>
    <n v="20"/>
    <n v="1990"/>
    <s v="99.5"/>
    <x v="2"/>
    <n v="0.71899999999999997"/>
    <n v="14382"/>
    <n v="14.382"/>
    <d v="2020-01-01T00:00:00"/>
    <x v="0"/>
    <x v="1"/>
  </r>
  <r>
    <x v="8"/>
    <x v="1"/>
    <s v="Februari"/>
    <s v="Division_A"/>
    <x v="18"/>
    <n v="2012"/>
    <n v="8"/>
    <s v="TM-Utama"/>
    <n v="20"/>
    <n v="1990"/>
    <s v="99.5"/>
    <x v="2"/>
    <n v="0.72799999999999998"/>
    <n v="14565.6"/>
    <n v="14.566000000000001"/>
    <d v="2020-02-01T00:00:00"/>
    <x v="0"/>
    <x v="1"/>
  </r>
  <r>
    <x v="8"/>
    <x v="2"/>
    <s v="Maret"/>
    <s v="Division_A"/>
    <x v="18"/>
    <n v="2012"/>
    <n v="8"/>
    <s v="TM-Utama"/>
    <n v="20"/>
    <n v="1990"/>
    <s v="99.5"/>
    <x v="2"/>
    <n v="0.84199999999999997"/>
    <n v="16830"/>
    <n v="16.829999999999998"/>
    <d v="2020-03-01T00:00:00"/>
    <x v="0"/>
    <x v="1"/>
  </r>
  <r>
    <x v="8"/>
    <x v="3"/>
    <s v="April"/>
    <s v="Division_A"/>
    <x v="18"/>
    <n v="2012"/>
    <n v="8"/>
    <s v="TM-Utama"/>
    <n v="20"/>
    <n v="1990"/>
    <s v="99.5"/>
    <x v="2"/>
    <n v="1.476"/>
    <n v="29513.7"/>
    <n v="29.513999999999999"/>
    <d v="2020-04-01T00:00:00"/>
    <x v="0"/>
    <x v="1"/>
  </r>
  <r>
    <x v="8"/>
    <x v="4"/>
    <s v="Mei"/>
    <s v="Division_A"/>
    <x v="18"/>
    <n v="2012"/>
    <n v="8"/>
    <s v="TM-Utama"/>
    <n v="20"/>
    <n v="1990"/>
    <s v="99.5"/>
    <x v="2"/>
    <n v="1.6519999999999999"/>
    <n v="33032.699999999997"/>
    <n v="33.033000000000001"/>
    <d v="2020-05-01T00:00:00"/>
    <x v="0"/>
    <x v="1"/>
  </r>
  <r>
    <x v="8"/>
    <x v="5"/>
    <s v="Juni"/>
    <s v="Division_A"/>
    <x v="18"/>
    <n v="2012"/>
    <n v="8"/>
    <s v="TM-Utama"/>
    <n v="20"/>
    <n v="1990"/>
    <s v="99.5"/>
    <x v="2"/>
    <n v="1.72"/>
    <n v="34409.699999999997"/>
    <n v="34.409999999999997"/>
    <d v="2020-06-01T00:00:00"/>
    <x v="0"/>
    <x v="1"/>
  </r>
  <r>
    <x v="8"/>
    <x v="6"/>
    <s v="Juli"/>
    <s v="Division_A"/>
    <x v="18"/>
    <n v="2012"/>
    <n v="8"/>
    <s v="TM-Utama"/>
    <n v="20"/>
    <n v="1990"/>
    <s v="99.5"/>
    <x v="2"/>
    <n v="1.758"/>
    <n v="35159.4"/>
    <n v="35.158999999999999"/>
    <d v="2020-07-01T00:00:00"/>
    <x v="0"/>
    <x v="1"/>
  </r>
  <r>
    <x v="8"/>
    <x v="7"/>
    <s v="Agustus"/>
    <s v="Division_A"/>
    <x v="18"/>
    <n v="2012"/>
    <n v="8"/>
    <s v="TM-Utama"/>
    <n v="20"/>
    <n v="1990"/>
    <s v="99.5"/>
    <x v="2"/>
    <n v="1.68"/>
    <n v="33598.800000000003"/>
    <n v="33.598999999999997"/>
    <d v="2020-08-01T00:00:00"/>
    <x v="0"/>
    <x v="1"/>
  </r>
  <r>
    <x v="8"/>
    <x v="8"/>
    <s v="September"/>
    <s v="Division_A"/>
    <x v="18"/>
    <n v="2012"/>
    <n v="8"/>
    <s v="TM-Utama"/>
    <n v="20"/>
    <n v="1990"/>
    <s v="99.5"/>
    <x v="2"/>
    <n v="1.7689999999999999"/>
    <n v="35373.599999999999"/>
    <n v="35.374000000000002"/>
    <d v="2020-09-01T00:00:00"/>
    <x v="0"/>
    <x v="1"/>
  </r>
  <r>
    <x v="8"/>
    <x v="9"/>
    <s v="Oktober"/>
    <s v="Division_A"/>
    <x v="18"/>
    <n v="2012"/>
    <n v="8"/>
    <s v="TM-Utama"/>
    <n v="20"/>
    <n v="1990"/>
    <s v="99.5"/>
    <x v="2"/>
    <n v="1.6379999999999999"/>
    <n v="32757.3"/>
    <n v="32.756999999999998"/>
    <d v="2020-10-01T00:00:00"/>
    <x v="0"/>
    <x v="1"/>
  </r>
  <r>
    <x v="8"/>
    <x v="10"/>
    <s v="November"/>
    <s v="Division_A"/>
    <x v="18"/>
    <n v="2012"/>
    <n v="8"/>
    <s v="TM-Utama"/>
    <n v="20"/>
    <n v="1990"/>
    <s v="99.5"/>
    <x v="2"/>
    <n v="1.3939999999999999"/>
    <n v="27876.6"/>
    <n v="27.876999999999999"/>
    <d v="2020-11-01T00:00:00"/>
    <x v="0"/>
    <x v="1"/>
  </r>
  <r>
    <x v="8"/>
    <x v="11"/>
    <s v="Desember"/>
    <s v="Division_A"/>
    <x v="18"/>
    <n v="2012"/>
    <n v="8"/>
    <s v="TM-Utama"/>
    <n v="20"/>
    <n v="1990"/>
    <s v="99.5"/>
    <x v="2"/>
    <n v="1.25"/>
    <n v="25000.2"/>
    <n v="25"/>
    <d v="2020-12-01T00:00:00"/>
    <x v="0"/>
    <x v="1"/>
  </r>
  <r>
    <x v="8"/>
    <x v="0"/>
    <s v="Januari"/>
    <s v="Division_A"/>
    <x v="19"/>
    <n v="2012"/>
    <n v="8"/>
    <s v="TM-Utama"/>
    <n v="22"/>
    <n v="2606"/>
    <s v="118.5"/>
    <x v="2"/>
    <n v="0.83499999999999996"/>
    <n v="18372.3"/>
    <n v="18.372"/>
    <d v="2020-01-01T00:00:00"/>
    <x v="0"/>
    <x v="1"/>
  </r>
  <r>
    <x v="8"/>
    <x v="1"/>
    <s v="Februari"/>
    <s v="Division_A"/>
    <x v="19"/>
    <n v="2012"/>
    <n v="8"/>
    <s v="TM-Utama"/>
    <n v="22"/>
    <n v="2606"/>
    <s v="118.5"/>
    <x v="2"/>
    <n v="0.84599999999999997"/>
    <n v="18606.8"/>
    <n v="18.606999999999999"/>
    <d v="2020-02-01T00:00:00"/>
    <x v="0"/>
    <x v="1"/>
  </r>
  <r>
    <x v="8"/>
    <x v="2"/>
    <s v="Maret"/>
    <s v="Division_A"/>
    <x v="19"/>
    <n v="2012"/>
    <n v="8"/>
    <s v="TM-Utama"/>
    <n v="22"/>
    <n v="2606"/>
    <s v="118.5"/>
    <x v="2"/>
    <n v="0.97699999999999998"/>
    <n v="21499.5"/>
    <n v="21.5"/>
    <d v="2020-03-01T00:00:00"/>
    <x v="0"/>
    <x v="1"/>
  </r>
  <r>
    <x v="8"/>
    <x v="3"/>
    <s v="April"/>
    <s v="Division_A"/>
    <x v="19"/>
    <n v="2012"/>
    <n v="8"/>
    <s v="TM-Utama"/>
    <n v="22"/>
    <n v="2606"/>
    <s v="118.5"/>
    <x v="2"/>
    <n v="1.714"/>
    <n v="37702.300000000003"/>
    <n v="37.701999999999998"/>
    <d v="2020-04-01T00:00:00"/>
    <x v="0"/>
    <x v="1"/>
  </r>
  <r>
    <x v="8"/>
    <x v="4"/>
    <s v="Mei"/>
    <s v="Division_A"/>
    <x v="19"/>
    <n v="2012"/>
    <n v="8"/>
    <s v="TM-Utama"/>
    <n v="22"/>
    <n v="2606"/>
    <s v="118.5"/>
    <x v="2"/>
    <n v="1.9179999999999999"/>
    <n v="42197.7"/>
    <n v="42.198"/>
    <d v="2020-05-01T00:00:00"/>
    <x v="0"/>
    <x v="1"/>
  </r>
  <r>
    <x v="8"/>
    <x v="5"/>
    <s v="Juni"/>
    <s v="Division_A"/>
    <x v="19"/>
    <n v="2012"/>
    <n v="8"/>
    <s v="TM-Utama"/>
    <n v="22"/>
    <n v="2606"/>
    <s v="118.5"/>
    <x v="2"/>
    <n v="1.998"/>
    <n v="43956.7"/>
    <n v="43.957000000000001"/>
    <d v="2020-06-01T00:00:00"/>
    <x v="0"/>
    <x v="1"/>
  </r>
  <r>
    <x v="8"/>
    <x v="6"/>
    <s v="Juli"/>
    <s v="Division_A"/>
    <x v="19"/>
    <n v="2012"/>
    <n v="8"/>
    <s v="TM-Utama"/>
    <n v="22"/>
    <n v="2606"/>
    <s v="118.5"/>
    <x v="2"/>
    <n v="2.0419999999999998"/>
    <n v="44914.400000000001"/>
    <n v="44.914000000000001"/>
    <d v="2020-07-01T00:00:00"/>
    <x v="0"/>
    <x v="1"/>
  </r>
  <r>
    <x v="8"/>
    <x v="7"/>
    <s v="Agustus"/>
    <s v="Division_A"/>
    <x v="19"/>
    <n v="2012"/>
    <n v="8"/>
    <s v="TM-Utama"/>
    <n v="22"/>
    <n v="2606"/>
    <s v="118.5"/>
    <x v="2"/>
    <n v="1.9510000000000001"/>
    <n v="42920.800000000003"/>
    <n v="42.920999999999999"/>
    <d v="2020-08-01T00:00:00"/>
    <x v="0"/>
    <x v="1"/>
  </r>
  <r>
    <x v="8"/>
    <x v="8"/>
    <s v="September"/>
    <s v="Division_A"/>
    <x v="19"/>
    <n v="2012"/>
    <n v="8"/>
    <s v="TM-Utama"/>
    <n v="22"/>
    <n v="2606"/>
    <s v="118.5"/>
    <x v="2"/>
    <n v="2.0539999999999998"/>
    <n v="45188"/>
    <n v="45.188000000000002"/>
    <d v="2020-09-01T00:00:00"/>
    <x v="0"/>
    <x v="1"/>
  </r>
  <r>
    <x v="8"/>
    <x v="9"/>
    <s v="Oktober"/>
    <s v="Division_A"/>
    <x v="19"/>
    <n v="2012"/>
    <n v="8"/>
    <s v="TM-Utama"/>
    <n v="22"/>
    <n v="2606"/>
    <s v="118.5"/>
    <x v="2"/>
    <n v="1.9019999999999999"/>
    <n v="41845.800000000003"/>
    <n v="41.845999999999997"/>
    <d v="2020-10-01T00:00:00"/>
    <x v="0"/>
    <x v="1"/>
  </r>
  <r>
    <x v="8"/>
    <x v="10"/>
    <s v="November"/>
    <s v="Division_A"/>
    <x v="19"/>
    <n v="2012"/>
    <n v="8"/>
    <s v="TM-Utama"/>
    <n v="22"/>
    <n v="2606"/>
    <s v="118.5"/>
    <x v="2"/>
    <n v="1.619"/>
    <n v="35611"/>
    <n v="35.610999999999997"/>
    <d v="2020-11-01T00:00:00"/>
    <x v="0"/>
    <x v="1"/>
  </r>
  <r>
    <x v="8"/>
    <x v="11"/>
    <s v="Desember"/>
    <s v="Division_A"/>
    <x v="19"/>
    <n v="2012"/>
    <n v="8"/>
    <s v="TM-Utama"/>
    <n v="22"/>
    <n v="2606"/>
    <s v="118.5"/>
    <x v="2"/>
    <n v="1.452"/>
    <n v="31936.5"/>
    <n v="31.937000000000001"/>
    <d v="2020-12-01T00:00:00"/>
    <x v="0"/>
    <x v="1"/>
  </r>
  <r>
    <x v="8"/>
    <x v="0"/>
    <s v="Januari"/>
    <s v="Division_A"/>
    <x v="20"/>
    <n v="2012"/>
    <n v="8"/>
    <s v="TM-Utama"/>
    <n v="22"/>
    <n v="2683"/>
    <s v="122"/>
    <x v="1"/>
    <n v="0.86"/>
    <n v="18915.099999999999"/>
    <n v="18.914999999999999"/>
    <d v="2020-01-01T00:00:00"/>
    <x v="0"/>
    <x v="1"/>
  </r>
  <r>
    <x v="8"/>
    <x v="1"/>
    <s v="Februari"/>
    <s v="Division_A"/>
    <x v="20"/>
    <n v="2012"/>
    <n v="8"/>
    <s v="TM-Utama"/>
    <n v="22"/>
    <n v="2683"/>
    <s v="122"/>
    <x v="1"/>
    <n v="0.871"/>
    <n v="19156.599999999999"/>
    <n v="19.157"/>
    <d v="2020-02-01T00:00:00"/>
    <x v="0"/>
    <x v="1"/>
  </r>
  <r>
    <x v="8"/>
    <x v="2"/>
    <s v="Maret"/>
    <s v="Division_A"/>
    <x v="20"/>
    <n v="2012"/>
    <n v="8"/>
    <s v="TM-Utama"/>
    <n v="22"/>
    <n v="2683"/>
    <s v="122"/>
    <x v="1"/>
    <n v="1.006"/>
    <n v="22134.799999999999"/>
    <n v="22.135000000000002"/>
    <d v="2020-03-01T00:00:00"/>
    <x v="0"/>
    <x v="1"/>
  </r>
  <r>
    <x v="8"/>
    <x v="3"/>
    <s v="April"/>
    <s v="Division_A"/>
    <x v="20"/>
    <n v="2012"/>
    <n v="8"/>
    <s v="TM-Utama"/>
    <n v="22"/>
    <n v="2683"/>
    <s v="122"/>
    <x v="1"/>
    <n v="1.764"/>
    <n v="38816.300000000003"/>
    <n v="38.816000000000003"/>
    <d v="2020-04-01T00:00:00"/>
    <x v="0"/>
    <x v="1"/>
  </r>
  <r>
    <x v="8"/>
    <x v="4"/>
    <s v="Mei"/>
    <s v="Division_A"/>
    <x v="20"/>
    <n v="2012"/>
    <n v="8"/>
    <s v="TM-Utama"/>
    <n v="22"/>
    <n v="2683"/>
    <s v="122"/>
    <x v="1"/>
    <n v="1.9750000000000001"/>
    <n v="43444.5"/>
    <n v="43.444000000000003"/>
    <d v="2020-05-01T00:00:00"/>
    <x v="0"/>
    <x v="1"/>
  </r>
  <r>
    <x v="8"/>
    <x v="5"/>
    <s v="Juni"/>
    <s v="Division_A"/>
    <x v="20"/>
    <n v="2012"/>
    <n v="8"/>
    <s v="TM-Utama"/>
    <n v="22"/>
    <n v="2683"/>
    <s v="122"/>
    <x v="1"/>
    <n v="2.0569999999999999"/>
    <n v="45255.5"/>
    <n v="45.256"/>
    <d v="2020-06-01T00:00:00"/>
    <x v="0"/>
    <x v="1"/>
  </r>
  <r>
    <x v="8"/>
    <x v="6"/>
    <s v="Juli"/>
    <s v="Division_A"/>
    <x v="20"/>
    <n v="2012"/>
    <n v="8"/>
    <s v="TM-Utama"/>
    <n v="22"/>
    <n v="2683"/>
    <s v="122"/>
    <x v="1"/>
    <n v="2.1019999999999999"/>
    <n v="46241.5"/>
    <n v="46.241999999999997"/>
    <d v="2020-07-01T00:00:00"/>
    <x v="0"/>
    <x v="1"/>
  </r>
  <r>
    <x v="8"/>
    <x v="7"/>
    <s v="Agustus"/>
    <s v="Division_A"/>
    <x v="20"/>
    <n v="2012"/>
    <n v="8"/>
    <s v="TM-Utama"/>
    <n v="22"/>
    <n v="2683"/>
    <s v="122"/>
    <x v="1"/>
    <n v="2.0089999999999999"/>
    <n v="44189"/>
    <n v="44.189"/>
    <d v="2020-08-01T00:00:00"/>
    <x v="0"/>
    <x v="1"/>
  </r>
  <r>
    <x v="8"/>
    <x v="8"/>
    <s v="September"/>
    <s v="Division_A"/>
    <x v="20"/>
    <n v="2012"/>
    <n v="8"/>
    <s v="TM-Utama"/>
    <n v="22"/>
    <n v="2683"/>
    <s v="122"/>
    <x v="1"/>
    <n v="2.1150000000000002"/>
    <n v="46523.199999999997"/>
    <n v="46.523000000000003"/>
    <d v="2020-09-01T00:00:00"/>
    <x v="0"/>
    <x v="1"/>
  </r>
  <r>
    <x v="8"/>
    <x v="9"/>
    <s v="Oktober"/>
    <s v="Division_A"/>
    <x v="20"/>
    <n v="2012"/>
    <n v="8"/>
    <s v="TM-Utama"/>
    <n v="22"/>
    <n v="2683"/>
    <s v="122"/>
    <x v="1"/>
    <n v="1.958"/>
    <n v="43082.3"/>
    <n v="43.082000000000001"/>
    <d v="2020-10-01T00:00:00"/>
    <x v="0"/>
    <x v="1"/>
  </r>
  <r>
    <x v="8"/>
    <x v="10"/>
    <s v="November"/>
    <s v="Division_A"/>
    <x v="20"/>
    <n v="2012"/>
    <n v="8"/>
    <s v="TM-Utama"/>
    <n v="22"/>
    <n v="2683"/>
    <s v="122"/>
    <x v="1"/>
    <n v="1.667"/>
    <n v="36663.199999999997"/>
    <n v="36.662999999999997"/>
    <d v="2020-11-01T00:00:00"/>
    <x v="0"/>
    <x v="1"/>
  </r>
  <r>
    <x v="8"/>
    <x v="11"/>
    <s v="Desember"/>
    <s v="Division_A"/>
    <x v="20"/>
    <n v="2012"/>
    <n v="8"/>
    <s v="TM-Utama"/>
    <n v="22"/>
    <n v="2683"/>
    <s v="122"/>
    <x v="1"/>
    <n v="1.4950000000000001"/>
    <n v="32880.199999999997"/>
    <n v="32.880000000000003"/>
    <d v="2020-12-01T00:00:00"/>
    <x v="0"/>
    <x v="1"/>
  </r>
  <r>
    <x v="8"/>
    <x v="0"/>
    <s v="Januari"/>
    <s v="Division_A"/>
    <x v="21"/>
    <n v="2012"/>
    <n v="8"/>
    <s v="TM-Utama"/>
    <n v="28"/>
    <n v="3483"/>
    <s v="124.4"/>
    <x v="1"/>
    <n v="0.877"/>
    <n v="24555.1"/>
    <n v="24.555"/>
    <d v="2020-01-01T00:00:00"/>
    <x v="0"/>
    <x v="1"/>
  </r>
  <r>
    <x v="8"/>
    <x v="1"/>
    <s v="Februari"/>
    <s v="Division_A"/>
    <x v="21"/>
    <n v="2012"/>
    <n v="8"/>
    <s v="TM-Utama"/>
    <n v="28"/>
    <n v="3483"/>
    <s v="124.4"/>
    <x v="1"/>
    <n v="0.88800000000000001"/>
    <n v="24868.6"/>
    <n v="24.869"/>
    <d v="2020-02-01T00:00:00"/>
    <x v="0"/>
    <x v="1"/>
  </r>
  <r>
    <x v="8"/>
    <x v="2"/>
    <s v="Maret"/>
    <s v="Division_A"/>
    <x v="21"/>
    <n v="2012"/>
    <n v="8"/>
    <s v="TM-Utama"/>
    <n v="28"/>
    <n v="3483"/>
    <s v="124.4"/>
    <x v="1"/>
    <n v="1.026"/>
    <n v="28734.799999999999"/>
    <n v="28.734999999999999"/>
    <d v="2020-03-01T00:00:00"/>
    <x v="0"/>
    <x v="1"/>
  </r>
  <r>
    <x v="8"/>
    <x v="3"/>
    <s v="April"/>
    <s v="Division_A"/>
    <x v="21"/>
    <n v="2012"/>
    <n v="8"/>
    <s v="TM-Utama"/>
    <n v="28"/>
    <n v="3483"/>
    <s v="124.4"/>
    <x v="1"/>
    <n v="1.8"/>
    <n v="50390.3"/>
    <n v="50.39"/>
    <d v="2020-04-01T00:00:00"/>
    <x v="0"/>
    <x v="1"/>
  </r>
  <r>
    <x v="8"/>
    <x v="4"/>
    <s v="Mei"/>
    <s v="Division_A"/>
    <x v="21"/>
    <n v="2012"/>
    <n v="8"/>
    <s v="TM-Utama"/>
    <n v="28"/>
    <n v="3483"/>
    <s v="124.4"/>
    <x v="1"/>
    <n v="2.0139999999999998"/>
    <n v="56398.5"/>
    <n v="56.398000000000003"/>
    <d v="2020-05-01T00:00:00"/>
    <x v="0"/>
    <x v="1"/>
  </r>
  <r>
    <x v="8"/>
    <x v="5"/>
    <s v="Juni"/>
    <s v="Division_A"/>
    <x v="21"/>
    <n v="2012"/>
    <n v="8"/>
    <s v="TM-Utama"/>
    <n v="28"/>
    <n v="3483"/>
    <s v="124.4"/>
    <x v="1"/>
    <n v="2.0979999999999999"/>
    <n v="58749.5"/>
    <n v="58.75"/>
    <d v="2020-06-01T00:00:00"/>
    <x v="0"/>
    <x v="1"/>
  </r>
  <r>
    <x v="8"/>
    <x v="6"/>
    <s v="Juli"/>
    <s v="Division_A"/>
    <x v="21"/>
    <n v="2012"/>
    <n v="8"/>
    <s v="TM-Utama"/>
    <n v="28"/>
    <n v="3483"/>
    <s v="124.4"/>
    <x v="1"/>
    <n v="2.1440000000000001"/>
    <n v="60029.5"/>
    <n v="60.03"/>
    <d v="2020-07-01T00:00:00"/>
    <x v="0"/>
    <x v="1"/>
  </r>
  <r>
    <x v="8"/>
    <x v="7"/>
    <s v="Agustus"/>
    <s v="Division_A"/>
    <x v="21"/>
    <n v="2012"/>
    <n v="8"/>
    <s v="TM-Utama"/>
    <n v="28"/>
    <n v="3483"/>
    <s v="124.4"/>
    <x v="1"/>
    <n v="2.0489999999999999"/>
    <n v="57365"/>
    <n v="57.365000000000002"/>
    <d v="2020-08-01T00:00:00"/>
    <x v="0"/>
    <x v="1"/>
  </r>
  <r>
    <x v="8"/>
    <x v="8"/>
    <s v="September"/>
    <s v="Division_A"/>
    <x v="21"/>
    <n v="2012"/>
    <n v="8"/>
    <s v="TM-Utama"/>
    <n v="28"/>
    <n v="3483"/>
    <s v="124.4"/>
    <x v="1"/>
    <n v="2.157"/>
    <n v="60395.199999999997"/>
    <n v="60.395000000000003"/>
    <d v="2020-09-01T00:00:00"/>
    <x v="0"/>
    <x v="1"/>
  </r>
  <r>
    <x v="8"/>
    <x v="9"/>
    <s v="Oktober"/>
    <s v="Division_A"/>
    <x v="21"/>
    <n v="2012"/>
    <n v="8"/>
    <s v="TM-Utama"/>
    <n v="28"/>
    <n v="3483"/>
    <s v="124.4"/>
    <x v="1"/>
    <n v="1.9970000000000001"/>
    <n v="55928.3"/>
    <n v="55.927999999999997"/>
    <d v="2020-10-01T00:00:00"/>
    <x v="0"/>
    <x v="1"/>
  </r>
  <r>
    <x v="8"/>
    <x v="10"/>
    <s v="November"/>
    <s v="Division_A"/>
    <x v="21"/>
    <n v="2012"/>
    <n v="8"/>
    <s v="TM-Utama"/>
    <n v="28"/>
    <n v="3483"/>
    <s v="124.4"/>
    <x v="1"/>
    <n v="1.7"/>
    <n v="47595.199999999997"/>
    <n v="47.594999999999999"/>
    <d v="2020-11-01T00:00:00"/>
    <x v="0"/>
    <x v="1"/>
  </r>
  <r>
    <x v="8"/>
    <x v="11"/>
    <s v="Desember"/>
    <s v="Division_A"/>
    <x v="21"/>
    <n v="2012"/>
    <n v="8"/>
    <s v="TM-Utama"/>
    <n v="28"/>
    <n v="3483"/>
    <s v="124.4"/>
    <x v="1"/>
    <n v="1.524"/>
    <n v="42684.2"/>
    <n v="42.683999999999997"/>
    <d v="2020-12-01T00:00:00"/>
    <x v="0"/>
    <x v="1"/>
  </r>
  <r>
    <x v="8"/>
    <x v="0"/>
    <s v="Januari"/>
    <s v="Division_A"/>
    <x v="22"/>
    <n v="2013"/>
    <n v="7"/>
    <s v="TM-Utama"/>
    <n v="24"/>
    <n v="2678"/>
    <s v="111.6"/>
    <x v="1"/>
    <n v="0.78700000000000003"/>
    <n v="18879.900000000001"/>
    <n v="18.88"/>
    <d v="2020-01-01T00:00:00"/>
    <x v="0"/>
    <x v="1"/>
  </r>
  <r>
    <x v="8"/>
    <x v="1"/>
    <s v="Februari"/>
    <s v="Division_A"/>
    <x v="22"/>
    <n v="2013"/>
    <n v="7"/>
    <s v="TM-Utama"/>
    <n v="24"/>
    <n v="2678"/>
    <s v="111.6"/>
    <x v="1"/>
    <n v="0.79700000000000004"/>
    <n v="19120.900000000001"/>
    <n v="19.120999999999999"/>
    <d v="2020-02-01T00:00:00"/>
    <x v="0"/>
    <x v="1"/>
  </r>
  <r>
    <x v="8"/>
    <x v="2"/>
    <s v="Maret"/>
    <s v="Division_A"/>
    <x v="22"/>
    <n v="2013"/>
    <n v="7"/>
    <s v="TM-Utama"/>
    <n v="24"/>
    <n v="2678"/>
    <s v="111.6"/>
    <x v="1"/>
    <n v="0.92100000000000004"/>
    <n v="22093.5"/>
    <n v="22.094000000000001"/>
    <d v="2020-03-01T00:00:00"/>
    <x v="0"/>
    <x v="1"/>
  </r>
  <r>
    <x v="8"/>
    <x v="3"/>
    <s v="April"/>
    <s v="Division_A"/>
    <x v="22"/>
    <n v="2013"/>
    <n v="7"/>
    <s v="TM-Utama"/>
    <n v="24"/>
    <n v="2678"/>
    <s v="111.6"/>
    <x v="1"/>
    <n v="1.6140000000000001"/>
    <n v="38744"/>
    <n v="38.744"/>
    <d v="2020-04-01T00:00:00"/>
    <x v="0"/>
    <x v="1"/>
  </r>
  <r>
    <x v="8"/>
    <x v="4"/>
    <s v="Mei"/>
    <s v="Division_A"/>
    <x v="22"/>
    <n v="2013"/>
    <n v="7"/>
    <s v="TM-Utama"/>
    <n v="24"/>
    <n v="2678"/>
    <s v="111.6"/>
    <x v="1"/>
    <n v="1.8069999999999999"/>
    <n v="43363.5"/>
    <n v="43.363999999999997"/>
    <d v="2020-05-01T00:00:00"/>
    <x v="0"/>
    <x v="1"/>
  </r>
  <r>
    <x v="8"/>
    <x v="5"/>
    <s v="Juni"/>
    <s v="Division_A"/>
    <x v="22"/>
    <n v="2013"/>
    <n v="7"/>
    <s v="TM-Utama"/>
    <n v="24"/>
    <n v="2678"/>
    <s v="111.6"/>
    <x v="1"/>
    <n v="1.8819999999999999"/>
    <n v="45171.199999999997"/>
    <n v="45.170999999999999"/>
    <d v="2020-06-01T00:00:00"/>
    <x v="0"/>
    <x v="1"/>
  </r>
  <r>
    <x v="8"/>
    <x v="6"/>
    <s v="Juli"/>
    <s v="Division_A"/>
    <x v="22"/>
    <n v="2013"/>
    <n v="7"/>
    <s v="TM-Utama"/>
    <n v="24"/>
    <n v="2678"/>
    <s v="111.6"/>
    <x v="1"/>
    <n v="1.923"/>
    <n v="46155.3"/>
    <n v="46.155000000000001"/>
    <d v="2020-07-01T00:00:00"/>
    <x v="0"/>
    <x v="1"/>
  </r>
  <r>
    <x v="8"/>
    <x v="7"/>
    <s v="Agustus"/>
    <s v="Division_A"/>
    <x v="22"/>
    <n v="2013"/>
    <n v="7"/>
    <s v="TM-Utama"/>
    <n v="24"/>
    <n v="2678"/>
    <s v="111.6"/>
    <x v="1"/>
    <n v="1.8380000000000001"/>
    <n v="44106.7"/>
    <n v="44.106999999999999"/>
    <d v="2020-08-01T00:00:00"/>
    <x v="0"/>
    <x v="1"/>
  </r>
  <r>
    <x v="8"/>
    <x v="8"/>
    <s v="September"/>
    <s v="Division_A"/>
    <x v="22"/>
    <n v="2013"/>
    <n v="7"/>
    <s v="TM-Utama"/>
    <n v="24"/>
    <n v="2678"/>
    <s v="111.6"/>
    <x v="1"/>
    <n v="1.9350000000000001"/>
    <n v="46436.5"/>
    <n v="46.436999999999998"/>
    <d v="2020-09-01T00:00:00"/>
    <x v="0"/>
    <x v="1"/>
  </r>
  <r>
    <x v="8"/>
    <x v="9"/>
    <s v="Oktober"/>
    <s v="Division_A"/>
    <x v="22"/>
    <n v="2013"/>
    <n v="7"/>
    <s v="TM-Utama"/>
    <n v="24"/>
    <n v="2678"/>
    <s v="111.6"/>
    <x v="1"/>
    <n v="1.792"/>
    <n v="43002"/>
    <n v="43.002000000000002"/>
    <d v="2020-10-01T00:00:00"/>
    <x v="0"/>
    <x v="1"/>
  </r>
  <r>
    <x v="8"/>
    <x v="10"/>
    <s v="November"/>
    <s v="Division_A"/>
    <x v="22"/>
    <n v="2013"/>
    <n v="7"/>
    <s v="TM-Utama"/>
    <n v="24"/>
    <n v="2678"/>
    <s v="111.6"/>
    <x v="1"/>
    <n v="1.5249999999999999"/>
    <n v="36594.9"/>
    <n v="36.594999999999999"/>
    <d v="2020-11-01T00:00:00"/>
    <x v="0"/>
    <x v="1"/>
  </r>
  <r>
    <x v="8"/>
    <x v="11"/>
    <s v="Desember"/>
    <s v="Division_A"/>
    <x v="22"/>
    <n v="2013"/>
    <n v="7"/>
    <s v="TM-Utama"/>
    <n v="24"/>
    <n v="2678"/>
    <s v="111.6"/>
    <x v="1"/>
    <n v="1.367"/>
    <n v="32818.9"/>
    <n v="32.819000000000003"/>
    <d v="2020-12-01T00:00:00"/>
    <x v="0"/>
    <x v="1"/>
  </r>
  <r>
    <x v="8"/>
    <x v="0"/>
    <s v="Januari"/>
    <s v="Division_A"/>
    <x v="23"/>
    <n v="2013"/>
    <n v="7"/>
    <s v="TM-Utama"/>
    <n v="23"/>
    <n v="2683"/>
    <s v="116.7"/>
    <x v="1"/>
    <n v="0.82199999999999995"/>
    <n v="18915.2"/>
    <n v="18.914999999999999"/>
    <d v="2020-01-01T00:00:00"/>
    <x v="0"/>
    <x v="1"/>
  </r>
  <r>
    <x v="8"/>
    <x v="1"/>
    <s v="Februari"/>
    <s v="Division_A"/>
    <x v="23"/>
    <n v="2013"/>
    <n v="7"/>
    <s v="TM-Utama"/>
    <n v="23"/>
    <n v="2683"/>
    <s v="116.7"/>
    <x v="1"/>
    <n v="0.83299999999999996"/>
    <n v="19156.599999999999"/>
    <n v="19.157"/>
    <d v="2020-02-01T00:00:00"/>
    <x v="0"/>
    <x v="1"/>
  </r>
  <r>
    <x v="8"/>
    <x v="2"/>
    <s v="Maret"/>
    <s v="Division_A"/>
    <x v="23"/>
    <n v="2013"/>
    <n v="7"/>
    <s v="TM-Utama"/>
    <n v="23"/>
    <n v="2683"/>
    <s v="116.7"/>
    <x v="1"/>
    <n v="0.96199999999999997"/>
    <n v="22134.799999999999"/>
    <n v="22.135000000000002"/>
    <d v="2020-03-01T00:00:00"/>
    <x v="0"/>
    <x v="1"/>
  </r>
  <r>
    <x v="8"/>
    <x v="3"/>
    <s v="April"/>
    <s v="Division_A"/>
    <x v="23"/>
    <n v="2013"/>
    <n v="7"/>
    <s v="TM-Utama"/>
    <n v="23"/>
    <n v="2683"/>
    <s v="116.7"/>
    <x v="1"/>
    <n v="1.6879999999999999"/>
    <n v="38816.300000000003"/>
    <n v="38.816000000000003"/>
    <d v="2020-04-01T00:00:00"/>
    <x v="0"/>
    <x v="1"/>
  </r>
  <r>
    <x v="8"/>
    <x v="4"/>
    <s v="Mei"/>
    <s v="Division_A"/>
    <x v="23"/>
    <n v="2013"/>
    <n v="7"/>
    <s v="TM-Utama"/>
    <n v="23"/>
    <n v="2683"/>
    <s v="116.7"/>
    <x v="1"/>
    <n v="1.889"/>
    <n v="43444.5"/>
    <n v="43.444000000000003"/>
    <d v="2020-05-01T00:00:00"/>
    <x v="0"/>
    <x v="1"/>
  </r>
  <r>
    <x v="8"/>
    <x v="5"/>
    <s v="Juni"/>
    <s v="Division_A"/>
    <x v="23"/>
    <n v="2013"/>
    <n v="7"/>
    <s v="TM-Utama"/>
    <n v="23"/>
    <n v="2683"/>
    <s v="116.7"/>
    <x v="1"/>
    <n v="1.968"/>
    <n v="45255.5"/>
    <n v="45.256"/>
    <d v="2020-06-01T00:00:00"/>
    <x v="0"/>
    <x v="1"/>
  </r>
  <r>
    <x v="8"/>
    <x v="6"/>
    <s v="Juli"/>
    <s v="Division_A"/>
    <x v="23"/>
    <n v="2013"/>
    <n v="7"/>
    <s v="TM-Utama"/>
    <n v="23"/>
    <n v="2683"/>
    <s v="116.7"/>
    <x v="1"/>
    <n v="2.0110000000000001"/>
    <n v="46241.5"/>
    <n v="46.241999999999997"/>
    <d v="2020-07-01T00:00:00"/>
    <x v="0"/>
    <x v="1"/>
  </r>
  <r>
    <x v="8"/>
    <x v="7"/>
    <s v="Agustus"/>
    <s v="Division_A"/>
    <x v="23"/>
    <n v="2013"/>
    <n v="7"/>
    <s v="TM-Utama"/>
    <n v="23"/>
    <n v="2683"/>
    <s v="116.7"/>
    <x v="1"/>
    <n v="1.921"/>
    <n v="44189"/>
    <n v="44.189"/>
    <d v="2020-08-01T00:00:00"/>
    <x v="0"/>
    <x v="1"/>
  </r>
  <r>
    <x v="8"/>
    <x v="8"/>
    <s v="September"/>
    <s v="Division_A"/>
    <x v="23"/>
    <n v="2013"/>
    <n v="7"/>
    <s v="TM-Utama"/>
    <n v="23"/>
    <n v="2683"/>
    <s v="116.7"/>
    <x v="1"/>
    <n v="2.0230000000000001"/>
    <n v="46523.199999999997"/>
    <n v="46.523000000000003"/>
    <d v="2020-09-01T00:00:00"/>
    <x v="0"/>
    <x v="1"/>
  </r>
  <r>
    <x v="8"/>
    <x v="9"/>
    <s v="Oktober"/>
    <s v="Division_A"/>
    <x v="23"/>
    <n v="2013"/>
    <n v="7"/>
    <s v="TM-Utama"/>
    <n v="23"/>
    <n v="2683"/>
    <s v="116.7"/>
    <x v="1"/>
    <n v="1.873"/>
    <n v="43082.3"/>
    <n v="43.082000000000001"/>
    <d v="2020-10-01T00:00:00"/>
    <x v="0"/>
    <x v="1"/>
  </r>
  <r>
    <x v="8"/>
    <x v="10"/>
    <s v="November"/>
    <s v="Division_A"/>
    <x v="23"/>
    <n v="2013"/>
    <n v="7"/>
    <s v="TM-Utama"/>
    <n v="23"/>
    <n v="2683"/>
    <s v="116.7"/>
    <x v="1"/>
    <n v="1.5940000000000001"/>
    <n v="36663.199999999997"/>
    <n v="36.662999999999997"/>
    <d v="2020-11-01T00:00:00"/>
    <x v="0"/>
    <x v="1"/>
  </r>
  <r>
    <x v="8"/>
    <x v="11"/>
    <s v="Desember"/>
    <s v="Division_A"/>
    <x v="23"/>
    <n v="2013"/>
    <n v="7"/>
    <s v="TM-Utama"/>
    <n v="23"/>
    <n v="2683"/>
    <s v="116.7"/>
    <x v="1"/>
    <n v="1.43"/>
    <n v="32880.199999999997"/>
    <n v="32.880000000000003"/>
    <d v="2020-12-01T00:00:00"/>
    <x v="0"/>
    <x v="1"/>
  </r>
  <r>
    <x v="8"/>
    <x v="0"/>
    <s v="Januari"/>
    <s v="Division_A"/>
    <x v="24"/>
    <n v="2013"/>
    <n v="7"/>
    <s v="TM-Utama"/>
    <n v="24"/>
    <n v="3445"/>
    <s v="143.5"/>
    <x v="1"/>
    <n v="1.012"/>
    <n v="24287.200000000001"/>
    <n v="24.286999999999999"/>
    <d v="2020-01-01T00:00:00"/>
    <x v="0"/>
    <x v="1"/>
  </r>
  <r>
    <x v="8"/>
    <x v="1"/>
    <s v="Februari"/>
    <s v="Division_A"/>
    <x v="24"/>
    <n v="2013"/>
    <n v="7"/>
    <s v="TM-Utama"/>
    <n v="24"/>
    <n v="3445"/>
    <s v="143.5"/>
    <x v="1"/>
    <n v="1.0249999999999999"/>
    <n v="24597.3"/>
    <n v="24.597000000000001"/>
    <d v="2020-02-01T00:00:00"/>
    <x v="0"/>
    <x v="1"/>
  </r>
  <r>
    <x v="8"/>
    <x v="2"/>
    <s v="Maret"/>
    <s v="Division_A"/>
    <x v="24"/>
    <n v="2013"/>
    <n v="7"/>
    <s v="TM-Utama"/>
    <n v="24"/>
    <n v="3445"/>
    <s v="143.5"/>
    <x v="1"/>
    <n v="1.1839999999999999"/>
    <n v="28421.200000000001"/>
    <n v="28.420999999999999"/>
    <d v="2020-03-01T00:00:00"/>
    <x v="0"/>
    <x v="1"/>
  </r>
  <r>
    <x v="8"/>
    <x v="3"/>
    <s v="April"/>
    <s v="Division_A"/>
    <x v="24"/>
    <n v="2013"/>
    <n v="7"/>
    <s v="TM-Utama"/>
    <n v="24"/>
    <n v="3445"/>
    <s v="143.5"/>
    <x v="1"/>
    <n v="2.077"/>
    <n v="49840.5"/>
    <n v="49.841000000000001"/>
    <d v="2020-04-01T00:00:00"/>
    <x v="0"/>
    <x v="1"/>
  </r>
  <r>
    <x v="8"/>
    <x v="4"/>
    <s v="Mei"/>
    <s v="Division_A"/>
    <x v="24"/>
    <n v="2013"/>
    <n v="7"/>
    <s v="TM-Utama"/>
    <n v="24"/>
    <n v="3445"/>
    <s v="143.5"/>
    <x v="1"/>
    <n v="2.3239999999999998"/>
    <n v="55783.199999999997"/>
    <n v="55.783000000000001"/>
    <d v="2020-05-01T00:00:00"/>
    <x v="0"/>
    <x v="1"/>
  </r>
  <r>
    <x v="8"/>
    <x v="5"/>
    <s v="Juni"/>
    <s v="Division_A"/>
    <x v="24"/>
    <n v="2013"/>
    <n v="7"/>
    <s v="TM-Utama"/>
    <n v="24"/>
    <n v="3445"/>
    <s v="143.5"/>
    <x v="1"/>
    <n v="2.4209999999999998"/>
    <n v="58108.5"/>
    <n v="58.109000000000002"/>
    <d v="2020-06-01T00:00:00"/>
    <x v="0"/>
    <x v="1"/>
  </r>
  <r>
    <x v="8"/>
    <x v="6"/>
    <s v="Juli"/>
    <s v="Division_A"/>
    <x v="24"/>
    <n v="2013"/>
    <n v="7"/>
    <s v="TM-Utama"/>
    <n v="24"/>
    <n v="3445"/>
    <s v="143.5"/>
    <x v="1"/>
    <n v="2.4740000000000002"/>
    <n v="59374.6"/>
    <n v="59.375"/>
    <d v="2020-07-01T00:00:00"/>
    <x v="0"/>
    <x v="1"/>
  </r>
  <r>
    <x v="8"/>
    <x v="7"/>
    <s v="Agustus"/>
    <s v="Division_A"/>
    <x v="24"/>
    <n v="2013"/>
    <n v="7"/>
    <s v="TM-Utama"/>
    <n v="24"/>
    <n v="3445"/>
    <s v="143.5"/>
    <x v="1"/>
    <n v="2.3639999999999999"/>
    <n v="56739.199999999997"/>
    <n v="56.738999999999997"/>
    <d v="2020-08-01T00:00:00"/>
    <x v="0"/>
    <x v="1"/>
  </r>
  <r>
    <x v="8"/>
    <x v="8"/>
    <s v="September"/>
    <s v="Division_A"/>
    <x v="24"/>
    <n v="2013"/>
    <n v="7"/>
    <s v="TM-Utama"/>
    <n v="24"/>
    <n v="3445"/>
    <s v="143.5"/>
    <x v="1"/>
    <n v="2.4889999999999999"/>
    <n v="59736.3"/>
    <n v="59.735999999999997"/>
    <d v="2020-09-01T00:00:00"/>
    <x v="0"/>
    <x v="1"/>
  </r>
  <r>
    <x v="8"/>
    <x v="9"/>
    <s v="Oktober"/>
    <s v="Division_A"/>
    <x v="24"/>
    <n v="2013"/>
    <n v="7"/>
    <s v="TM-Utama"/>
    <n v="24"/>
    <n v="3445"/>
    <s v="143.5"/>
    <x v="1"/>
    <n v="2.3050000000000002"/>
    <n v="55318.1"/>
    <n v="55.317999999999998"/>
    <d v="2020-10-01T00:00:00"/>
    <x v="0"/>
    <x v="1"/>
  </r>
  <r>
    <x v="8"/>
    <x v="10"/>
    <s v="November"/>
    <s v="Division_A"/>
    <x v="24"/>
    <n v="2013"/>
    <n v="7"/>
    <s v="TM-Utama"/>
    <n v="24"/>
    <n v="3445"/>
    <s v="143.5"/>
    <x v="1"/>
    <n v="1.9610000000000001"/>
    <n v="47075.9"/>
    <n v="47.076000000000001"/>
    <d v="2020-11-01T00:00:00"/>
    <x v="0"/>
    <x v="1"/>
  </r>
  <r>
    <x v="8"/>
    <x v="11"/>
    <s v="Desember"/>
    <s v="Division_A"/>
    <x v="24"/>
    <n v="2013"/>
    <n v="7"/>
    <s v="TM-Utama"/>
    <n v="24"/>
    <n v="3445"/>
    <s v="143.5"/>
    <x v="1"/>
    <n v="1.7589999999999999"/>
    <n v="42218.5"/>
    <n v="42.218000000000004"/>
    <d v="2020-12-01T00:00:00"/>
    <x v="0"/>
    <x v="1"/>
  </r>
  <r>
    <x v="8"/>
    <x v="0"/>
    <s v="Januari"/>
    <s v="Division_A"/>
    <x v="25"/>
    <n v="2013"/>
    <n v="7"/>
    <s v="TM-Utama"/>
    <n v="24"/>
    <n v="3271"/>
    <s v="136.3"/>
    <x v="1"/>
    <n v="0.96099999999999997"/>
    <n v="23060.5"/>
    <n v="23.061"/>
    <d v="2020-01-01T00:00:00"/>
    <x v="0"/>
    <x v="1"/>
  </r>
  <r>
    <x v="8"/>
    <x v="1"/>
    <s v="Februari"/>
    <s v="Division_A"/>
    <x v="25"/>
    <n v="2013"/>
    <n v="7"/>
    <s v="TM-Utama"/>
    <n v="24"/>
    <n v="3271"/>
    <s v="136.3"/>
    <x v="1"/>
    <n v="0.97299999999999998"/>
    <n v="23354.9"/>
    <n v="23.355"/>
    <d v="2020-02-01T00:00:00"/>
    <x v="0"/>
    <x v="1"/>
  </r>
  <r>
    <x v="8"/>
    <x v="2"/>
    <s v="Maret"/>
    <s v="Division_A"/>
    <x v="25"/>
    <n v="2013"/>
    <n v="7"/>
    <s v="TM-Utama"/>
    <n v="24"/>
    <n v="3271"/>
    <s v="136.3"/>
    <x v="1"/>
    <n v="1.1240000000000001"/>
    <n v="26985.7"/>
    <n v="26.986000000000001"/>
    <d v="2020-03-01T00:00:00"/>
    <x v="0"/>
    <x v="1"/>
  </r>
  <r>
    <x v="8"/>
    <x v="3"/>
    <s v="April"/>
    <s v="Division_A"/>
    <x v="25"/>
    <n v="2013"/>
    <n v="7"/>
    <s v="TM-Utama"/>
    <n v="24"/>
    <n v="3271"/>
    <s v="136.3"/>
    <x v="1"/>
    <n v="1.972"/>
    <n v="47323.199999999997"/>
    <n v="47.323"/>
    <d v="2020-04-01T00:00:00"/>
    <x v="0"/>
    <x v="1"/>
  </r>
  <r>
    <x v="8"/>
    <x v="4"/>
    <s v="Mei"/>
    <s v="Division_A"/>
    <x v="25"/>
    <n v="2013"/>
    <n v="7"/>
    <s v="TM-Utama"/>
    <n v="24"/>
    <n v="3271"/>
    <s v="136.3"/>
    <x v="1"/>
    <n v="2.2069999999999999"/>
    <n v="52965.7"/>
    <n v="52.966000000000001"/>
    <d v="2020-05-01T00:00:00"/>
    <x v="0"/>
    <x v="1"/>
  </r>
  <r>
    <x v="8"/>
    <x v="5"/>
    <s v="Juni"/>
    <s v="Division_A"/>
    <x v="25"/>
    <n v="2013"/>
    <n v="7"/>
    <s v="TM-Utama"/>
    <n v="24"/>
    <n v="3271"/>
    <s v="136.3"/>
    <x v="1"/>
    <n v="2.2989999999999999"/>
    <n v="55173.599999999999"/>
    <n v="55.173999999999999"/>
    <d v="2020-06-01T00:00:00"/>
    <x v="0"/>
    <x v="1"/>
  </r>
  <r>
    <x v="8"/>
    <x v="6"/>
    <s v="Juli"/>
    <s v="Division_A"/>
    <x v="25"/>
    <n v="2013"/>
    <n v="7"/>
    <s v="TM-Utama"/>
    <n v="24"/>
    <n v="3271"/>
    <s v="136.3"/>
    <x v="1"/>
    <n v="2.3490000000000002"/>
    <n v="56375.7"/>
    <n v="56.375999999999998"/>
    <d v="2020-07-01T00:00:00"/>
    <x v="0"/>
    <x v="1"/>
  </r>
  <r>
    <x v="8"/>
    <x v="7"/>
    <s v="Agustus"/>
    <s v="Division_A"/>
    <x v="25"/>
    <n v="2013"/>
    <n v="7"/>
    <s v="TM-Utama"/>
    <n v="24"/>
    <n v="3271"/>
    <s v="136.3"/>
    <x v="1"/>
    <n v="2.2450000000000001"/>
    <n v="53873.4"/>
    <n v="53.872999999999998"/>
    <d v="2020-08-01T00:00:00"/>
    <x v="0"/>
    <x v="1"/>
  </r>
  <r>
    <x v="8"/>
    <x v="8"/>
    <s v="September"/>
    <s v="Division_A"/>
    <x v="25"/>
    <n v="2013"/>
    <n v="7"/>
    <s v="TM-Utama"/>
    <n v="24"/>
    <n v="3271"/>
    <s v="136.3"/>
    <x v="1"/>
    <n v="2.363"/>
    <n v="56719.1"/>
    <n v="56.719000000000001"/>
    <d v="2020-09-01T00:00:00"/>
    <x v="0"/>
    <x v="1"/>
  </r>
  <r>
    <x v="8"/>
    <x v="9"/>
    <s v="Oktober"/>
    <s v="Division_A"/>
    <x v="25"/>
    <n v="2013"/>
    <n v="7"/>
    <s v="TM-Utama"/>
    <n v="24"/>
    <n v="3271"/>
    <s v="136.3"/>
    <x v="1"/>
    <n v="2.1890000000000001"/>
    <n v="52524.1"/>
    <n v="52.524000000000001"/>
    <d v="2020-10-01T00:00:00"/>
    <x v="0"/>
    <x v="1"/>
  </r>
  <r>
    <x v="8"/>
    <x v="10"/>
    <s v="November"/>
    <s v="Division_A"/>
    <x v="25"/>
    <n v="2013"/>
    <n v="7"/>
    <s v="TM-Utama"/>
    <n v="24"/>
    <n v="3271"/>
    <s v="136.3"/>
    <x v="1"/>
    <n v="1.8620000000000001"/>
    <n v="44698.2"/>
    <n v="44.698"/>
    <d v="2020-11-01T00:00:00"/>
    <x v="0"/>
    <x v="1"/>
  </r>
  <r>
    <x v="8"/>
    <x v="11"/>
    <s v="Desember"/>
    <s v="Division_A"/>
    <x v="25"/>
    <n v="2013"/>
    <n v="7"/>
    <s v="TM-Utama"/>
    <n v="24"/>
    <n v="3271"/>
    <s v="136.3"/>
    <x v="1"/>
    <n v="1.67"/>
    <n v="40086.1"/>
    <n v="40.085999999999999"/>
    <d v="2020-12-01T00:00:00"/>
    <x v="0"/>
    <x v="1"/>
  </r>
  <r>
    <x v="8"/>
    <x v="0"/>
    <s v="Januari"/>
    <s v="Division_A"/>
    <x v="26"/>
    <n v="2013"/>
    <n v="7"/>
    <s v="TM-Utama"/>
    <n v="25"/>
    <n v="3291"/>
    <s v="131.6"/>
    <x v="1"/>
    <n v="0.92800000000000005"/>
    <n v="23201.5"/>
    <n v="23.202000000000002"/>
    <d v="2020-01-01T00:00:00"/>
    <x v="0"/>
    <x v="1"/>
  </r>
  <r>
    <x v="8"/>
    <x v="1"/>
    <s v="Februari"/>
    <s v="Division_A"/>
    <x v="26"/>
    <n v="2013"/>
    <n v="7"/>
    <s v="TM-Utama"/>
    <n v="25"/>
    <n v="3291"/>
    <s v="131.6"/>
    <x v="1"/>
    <n v="0.94"/>
    <n v="23497.7"/>
    <n v="23.498000000000001"/>
    <d v="2020-02-01T00:00:00"/>
    <x v="0"/>
    <x v="1"/>
  </r>
  <r>
    <x v="8"/>
    <x v="2"/>
    <s v="Maret"/>
    <s v="Division_A"/>
    <x v="26"/>
    <n v="2013"/>
    <n v="7"/>
    <s v="TM-Utama"/>
    <n v="25"/>
    <n v="3291"/>
    <s v="131.6"/>
    <x v="1"/>
    <n v="1.0860000000000001"/>
    <n v="27150.7"/>
    <n v="27.151"/>
    <d v="2020-03-01T00:00:00"/>
    <x v="0"/>
    <x v="1"/>
  </r>
  <r>
    <x v="8"/>
    <x v="3"/>
    <s v="April"/>
    <s v="Division_A"/>
    <x v="26"/>
    <n v="2013"/>
    <n v="7"/>
    <s v="TM-Utama"/>
    <n v="25"/>
    <n v="3291"/>
    <s v="131.6"/>
    <x v="1"/>
    <n v="1.905"/>
    <n v="47612.5"/>
    <n v="47.613"/>
    <d v="2020-04-01T00:00:00"/>
    <x v="0"/>
    <x v="1"/>
  </r>
  <r>
    <x v="8"/>
    <x v="4"/>
    <s v="Mei"/>
    <s v="Division_A"/>
    <x v="26"/>
    <n v="2013"/>
    <n v="7"/>
    <s v="TM-Utama"/>
    <n v="25"/>
    <n v="3291"/>
    <s v="131.6"/>
    <x v="1"/>
    <n v="2.1320000000000001"/>
    <n v="53289.5"/>
    <n v="53.29"/>
    <d v="2020-05-01T00:00:00"/>
    <x v="0"/>
    <x v="1"/>
  </r>
  <r>
    <x v="8"/>
    <x v="5"/>
    <s v="Juni"/>
    <s v="Division_A"/>
    <x v="26"/>
    <n v="2013"/>
    <n v="7"/>
    <s v="TM-Utama"/>
    <n v="25"/>
    <n v="3291"/>
    <s v="131.6"/>
    <x v="1"/>
    <n v="2.2200000000000002"/>
    <n v="55510.9"/>
    <n v="55.511000000000003"/>
    <d v="2020-06-01T00:00:00"/>
    <x v="0"/>
    <x v="1"/>
  </r>
  <r>
    <x v="8"/>
    <x v="6"/>
    <s v="Juli"/>
    <s v="Division_A"/>
    <x v="26"/>
    <n v="2013"/>
    <n v="7"/>
    <s v="TM-Utama"/>
    <n v="25"/>
    <n v="3291"/>
    <s v="131.6"/>
    <x v="1"/>
    <n v="2.2690000000000001"/>
    <n v="56720.4"/>
    <n v="56.72"/>
    <d v="2020-07-01T00:00:00"/>
    <x v="0"/>
    <x v="1"/>
  </r>
  <r>
    <x v="8"/>
    <x v="7"/>
    <s v="Agustus"/>
    <s v="Division_A"/>
    <x v="26"/>
    <n v="2013"/>
    <n v="7"/>
    <s v="TM-Utama"/>
    <n v="25"/>
    <n v="3291"/>
    <s v="131.6"/>
    <x v="1"/>
    <n v="2.1680000000000001"/>
    <n v="54202.8"/>
    <n v="54.203000000000003"/>
    <d v="2020-08-01T00:00:00"/>
    <x v="0"/>
    <x v="1"/>
  </r>
  <r>
    <x v="8"/>
    <x v="8"/>
    <s v="September"/>
    <s v="Division_A"/>
    <x v="26"/>
    <n v="2013"/>
    <n v="7"/>
    <s v="TM-Utama"/>
    <n v="25"/>
    <n v="3291"/>
    <s v="131.6"/>
    <x v="1"/>
    <n v="2.2829999999999999"/>
    <n v="57065.9"/>
    <n v="57.066000000000003"/>
    <d v="2020-09-01T00:00:00"/>
    <x v="0"/>
    <x v="1"/>
  </r>
  <r>
    <x v="8"/>
    <x v="9"/>
    <s v="Oktober"/>
    <s v="Division_A"/>
    <x v="26"/>
    <n v="2013"/>
    <n v="7"/>
    <s v="TM-Utama"/>
    <n v="25"/>
    <n v="3291"/>
    <s v="131.6"/>
    <x v="1"/>
    <n v="2.1139999999999999"/>
    <n v="52845.2"/>
    <n v="52.844999999999999"/>
    <d v="2020-10-01T00:00:00"/>
    <x v="0"/>
    <x v="1"/>
  </r>
  <r>
    <x v="8"/>
    <x v="10"/>
    <s v="November"/>
    <s v="Division_A"/>
    <x v="26"/>
    <n v="2013"/>
    <n v="7"/>
    <s v="TM-Utama"/>
    <n v="25"/>
    <n v="3291"/>
    <s v="131.6"/>
    <x v="1"/>
    <n v="1.7989999999999999"/>
    <n v="44971.5"/>
    <n v="44.972000000000001"/>
    <d v="2020-11-01T00:00:00"/>
    <x v="0"/>
    <x v="1"/>
  </r>
  <r>
    <x v="8"/>
    <x v="11"/>
    <s v="Desember"/>
    <s v="Division_A"/>
    <x v="26"/>
    <n v="2013"/>
    <n v="7"/>
    <s v="TM-Utama"/>
    <n v="25"/>
    <n v="3291"/>
    <s v="131.6"/>
    <x v="1"/>
    <n v="1.613"/>
    <n v="40331.199999999997"/>
    <n v="40.331000000000003"/>
    <d v="2020-12-01T00:00:00"/>
    <x v="0"/>
    <x v="1"/>
  </r>
  <r>
    <x v="8"/>
    <x v="0"/>
    <s v="Januari"/>
    <s v="Division_A"/>
    <x v="27"/>
    <n v="2014"/>
    <n v="6"/>
    <s v="TM-Utama"/>
    <n v="24"/>
    <n v="2208"/>
    <s v="92"/>
    <x v="1"/>
    <n v="0.71899999999999997"/>
    <n v="17258.400000000001"/>
    <n v="17.257999999999999"/>
    <d v="2020-01-01T00:00:00"/>
    <x v="0"/>
    <x v="1"/>
  </r>
  <r>
    <x v="8"/>
    <x v="1"/>
    <s v="Februari"/>
    <s v="Division_A"/>
    <x v="27"/>
    <n v="2014"/>
    <n v="6"/>
    <s v="TM-Utama"/>
    <n v="24"/>
    <n v="2208"/>
    <s v="92"/>
    <x v="1"/>
    <n v="0.72799999999999998"/>
    <n v="17478.7"/>
    <n v="17.478999999999999"/>
    <d v="2020-02-01T00:00:00"/>
    <x v="0"/>
    <x v="1"/>
  </r>
  <r>
    <x v="8"/>
    <x v="2"/>
    <s v="Maret"/>
    <s v="Division_A"/>
    <x v="27"/>
    <n v="2014"/>
    <n v="6"/>
    <s v="TM-Utama"/>
    <n v="24"/>
    <n v="2208"/>
    <s v="92"/>
    <x v="1"/>
    <n v="0.84199999999999997"/>
    <n v="20196"/>
    <n v="20.196000000000002"/>
    <d v="2020-03-01T00:00:00"/>
    <x v="0"/>
    <x v="1"/>
  </r>
  <r>
    <x v="8"/>
    <x v="3"/>
    <s v="April"/>
    <s v="Division_A"/>
    <x v="27"/>
    <n v="2014"/>
    <n v="6"/>
    <s v="TM-Utama"/>
    <n v="24"/>
    <n v="2208"/>
    <s v="92"/>
    <x v="1"/>
    <n v="1.476"/>
    <n v="35416.400000000001"/>
    <n v="35.415999999999997"/>
    <d v="2020-04-01T00:00:00"/>
    <x v="0"/>
    <x v="1"/>
  </r>
  <r>
    <x v="8"/>
    <x v="4"/>
    <s v="Mei"/>
    <s v="Division_A"/>
    <x v="27"/>
    <n v="2014"/>
    <n v="6"/>
    <s v="TM-Utama"/>
    <n v="24"/>
    <n v="2208"/>
    <s v="92"/>
    <x v="1"/>
    <n v="1.6519999999999999"/>
    <n v="39639.199999999997"/>
    <n v="39.639000000000003"/>
    <d v="2020-05-01T00:00:00"/>
    <x v="0"/>
    <x v="1"/>
  </r>
  <r>
    <x v="8"/>
    <x v="5"/>
    <s v="Juni"/>
    <s v="Division_A"/>
    <x v="27"/>
    <n v="2014"/>
    <n v="6"/>
    <s v="TM-Utama"/>
    <n v="24"/>
    <n v="2208"/>
    <s v="92"/>
    <x v="1"/>
    <n v="1.72"/>
    <n v="41291.599999999999"/>
    <n v="41.292000000000002"/>
    <d v="2020-06-01T00:00:00"/>
    <x v="0"/>
    <x v="1"/>
  </r>
  <r>
    <x v="8"/>
    <x v="6"/>
    <s v="Juli"/>
    <s v="Division_A"/>
    <x v="27"/>
    <n v="2014"/>
    <n v="6"/>
    <s v="TM-Utama"/>
    <n v="24"/>
    <n v="2208"/>
    <s v="92"/>
    <x v="1"/>
    <n v="1.758"/>
    <n v="42191.3"/>
    <n v="42.191000000000003"/>
    <d v="2020-07-01T00:00:00"/>
    <x v="0"/>
    <x v="1"/>
  </r>
  <r>
    <x v="8"/>
    <x v="7"/>
    <s v="Agustus"/>
    <s v="Division_A"/>
    <x v="27"/>
    <n v="2014"/>
    <n v="6"/>
    <s v="TM-Utama"/>
    <n v="24"/>
    <n v="2208"/>
    <s v="92"/>
    <x v="1"/>
    <n v="1.68"/>
    <n v="40318.6"/>
    <n v="40.319000000000003"/>
    <d v="2020-08-01T00:00:00"/>
    <x v="0"/>
    <x v="1"/>
  </r>
  <r>
    <x v="8"/>
    <x v="8"/>
    <s v="September"/>
    <s v="Division_A"/>
    <x v="27"/>
    <n v="2014"/>
    <n v="6"/>
    <s v="TM-Utama"/>
    <n v="24"/>
    <n v="2208"/>
    <s v="92"/>
    <x v="1"/>
    <n v="1.7689999999999999"/>
    <n v="42448.3"/>
    <n v="42.448"/>
    <d v="2020-09-01T00:00:00"/>
    <x v="0"/>
    <x v="1"/>
  </r>
  <r>
    <x v="8"/>
    <x v="9"/>
    <s v="Oktober"/>
    <s v="Division_A"/>
    <x v="27"/>
    <n v="2014"/>
    <n v="6"/>
    <s v="TM-Utama"/>
    <n v="24"/>
    <n v="2208"/>
    <s v="92"/>
    <x v="1"/>
    <n v="1.6379999999999999"/>
    <n v="39308.800000000003"/>
    <n v="39.308999999999997"/>
    <d v="2020-10-01T00:00:00"/>
    <x v="0"/>
    <x v="1"/>
  </r>
  <r>
    <x v="8"/>
    <x v="10"/>
    <s v="November"/>
    <s v="Division_A"/>
    <x v="27"/>
    <n v="2014"/>
    <n v="6"/>
    <s v="TM-Utama"/>
    <n v="24"/>
    <n v="2208"/>
    <s v="92"/>
    <x v="1"/>
    <n v="1.3939999999999999"/>
    <n v="33451.9"/>
    <n v="33.451999999999998"/>
    <d v="2020-11-01T00:00:00"/>
    <x v="0"/>
    <x v="1"/>
  </r>
  <r>
    <x v="8"/>
    <x v="11"/>
    <s v="Desember"/>
    <s v="Division_A"/>
    <x v="27"/>
    <n v="2014"/>
    <n v="6"/>
    <s v="TM-Utama"/>
    <n v="24"/>
    <n v="2208"/>
    <s v="92"/>
    <x v="1"/>
    <n v="1.25"/>
    <n v="30000.2"/>
    <n v="30"/>
    <d v="2020-12-01T00:00:00"/>
    <x v="0"/>
    <x v="1"/>
  </r>
  <r>
    <x v="8"/>
    <x v="0"/>
    <s v="Januari"/>
    <s v="Division_A"/>
    <x v="28"/>
    <n v="2014"/>
    <n v="6"/>
    <s v="TM-Utama"/>
    <n v="20"/>
    <n v="1954"/>
    <s v="97.7"/>
    <x v="1"/>
    <n v="0.71899999999999997"/>
    <n v="14382"/>
    <n v="14.382"/>
    <d v="2020-01-01T00:00:00"/>
    <x v="0"/>
    <x v="1"/>
  </r>
  <r>
    <x v="8"/>
    <x v="1"/>
    <s v="Februari"/>
    <s v="Division_A"/>
    <x v="28"/>
    <n v="2014"/>
    <n v="6"/>
    <s v="TM-Utama"/>
    <n v="20"/>
    <n v="1954"/>
    <s v="97.7"/>
    <x v="1"/>
    <n v="0.72799999999999998"/>
    <n v="14565.6"/>
    <n v="14.566000000000001"/>
    <d v="2020-02-01T00:00:00"/>
    <x v="0"/>
    <x v="1"/>
  </r>
  <r>
    <x v="8"/>
    <x v="2"/>
    <s v="Maret"/>
    <s v="Division_A"/>
    <x v="28"/>
    <n v="2014"/>
    <n v="6"/>
    <s v="TM-Utama"/>
    <n v="20"/>
    <n v="1954"/>
    <s v="97.7"/>
    <x v="1"/>
    <n v="0.84199999999999997"/>
    <n v="16830"/>
    <n v="16.829999999999998"/>
    <d v="2020-03-01T00:00:00"/>
    <x v="0"/>
    <x v="1"/>
  </r>
  <r>
    <x v="8"/>
    <x v="3"/>
    <s v="April"/>
    <s v="Division_A"/>
    <x v="28"/>
    <n v="2014"/>
    <n v="6"/>
    <s v="TM-Utama"/>
    <n v="20"/>
    <n v="1954"/>
    <s v="97.7"/>
    <x v="1"/>
    <n v="1.476"/>
    <n v="29513.7"/>
    <n v="29.513999999999999"/>
    <d v="2020-04-01T00:00:00"/>
    <x v="0"/>
    <x v="1"/>
  </r>
  <r>
    <x v="8"/>
    <x v="4"/>
    <s v="Mei"/>
    <s v="Division_A"/>
    <x v="28"/>
    <n v="2014"/>
    <n v="6"/>
    <s v="TM-Utama"/>
    <n v="20"/>
    <n v="1954"/>
    <s v="97.7"/>
    <x v="1"/>
    <n v="1.6519999999999999"/>
    <n v="33032.699999999997"/>
    <n v="33.033000000000001"/>
    <d v="2020-05-01T00:00:00"/>
    <x v="0"/>
    <x v="1"/>
  </r>
  <r>
    <x v="8"/>
    <x v="5"/>
    <s v="Juni"/>
    <s v="Division_A"/>
    <x v="28"/>
    <n v="2014"/>
    <n v="6"/>
    <s v="TM-Utama"/>
    <n v="20"/>
    <n v="1954"/>
    <s v="97.7"/>
    <x v="1"/>
    <n v="1.72"/>
    <n v="34409.699999999997"/>
    <n v="34.409999999999997"/>
    <d v="2020-06-01T00:00:00"/>
    <x v="0"/>
    <x v="1"/>
  </r>
  <r>
    <x v="8"/>
    <x v="6"/>
    <s v="Juli"/>
    <s v="Division_A"/>
    <x v="28"/>
    <n v="2014"/>
    <n v="6"/>
    <s v="TM-Utama"/>
    <n v="20"/>
    <n v="1954"/>
    <s v="97.7"/>
    <x v="1"/>
    <n v="1.758"/>
    <n v="35159.4"/>
    <n v="35.158999999999999"/>
    <d v="2020-07-01T00:00:00"/>
    <x v="0"/>
    <x v="1"/>
  </r>
  <r>
    <x v="8"/>
    <x v="7"/>
    <s v="Agustus"/>
    <s v="Division_A"/>
    <x v="28"/>
    <n v="2014"/>
    <n v="6"/>
    <s v="TM-Utama"/>
    <n v="20"/>
    <n v="1954"/>
    <s v="97.7"/>
    <x v="1"/>
    <n v="1.68"/>
    <n v="33598.800000000003"/>
    <n v="33.598999999999997"/>
    <d v="2020-08-01T00:00:00"/>
    <x v="0"/>
    <x v="1"/>
  </r>
  <r>
    <x v="8"/>
    <x v="8"/>
    <s v="September"/>
    <s v="Division_A"/>
    <x v="28"/>
    <n v="2014"/>
    <n v="6"/>
    <s v="TM-Utama"/>
    <n v="20"/>
    <n v="1954"/>
    <s v="97.7"/>
    <x v="1"/>
    <n v="1.7689999999999999"/>
    <n v="35373.599999999999"/>
    <n v="35.374000000000002"/>
    <d v="2020-09-01T00:00:00"/>
    <x v="0"/>
    <x v="1"/>
  </r>
  <r>
    <x v="8"/>
    <x v="9"/>
    <s v="Oktober"/>
    <s v="Division_A"/>
    <x v="28"/>
    <n v="2014"/>
    <n v="6"/>
    <s v="TM-Utama"/>
    <n v="20"/>
    <n v="1954"/>
    <s v="97.7"/>
    <x v="1"/>
    <n v="1.6379999999999999"/>
    <n v="32757.3"/>
    <n v="32.756999999999998"/>
    <d v="2020-10-01T00:00:00"/>
    <x v="0"/>
    <x v="1"/>
  </r>
  <r>
    <x v="8"/>
    <x v="10"/>
    <s v="November"/>
    <s v="Division_A"/>
    <x v="28"/>
    <n v="2014"/>
    <n v="6"/>
    <s v="TM-Utama"/>
    <n v="20"/>
    <n v="1954"/>
    <s v="97.7"/>
    <x v="1"/>
    <n v="1.3939999999999999"/>
    <n v="27876.6"/>
    <n v="27.876999999999999"/>
    <d v="2020-11-01T00:00:00"/>
    <x v="0"/>
    <x v="1"/>
  </r>
  <r>
    <x v="8"/>
    <x v="11"/>
    <s v="Desember"/>
    <s v="Division_A"/>
    <x v="28"/>
    <n v="2014"/>
    <n v="6"/>
    <s v="TM-Utama"/>
    <n v="20"/>
    <n v="1954"/>
    <s v="97.7"/>
    <x v="1"/>
    <n v="1.25"/>
    <n v="25000.2"/>
    <n v="25"/>
    <d v="2020-12-01T00:00:00"/>
    <x v="0"/>
    <x v="1"/>
  </r>
  <r>
    <x v="8"/>
    <x v="0"/>
    <s v="Januari"/>
    <s v="Division_A"/>
    <x v="29"/>
    <n v="2014"/>
    <n v="6"/>
    <s v="TM-Utama"/>
    <n v="24"/>
    <n v="1329"/>
    <s v="55.4"/>
    <x v="1"/>
    <n v="0.71899999999999997"/>
    <n v="17258.400000000001"/>
    <n v="17.257999999999999"/>
    <d v="2020-01-01T00:00:00"/>
    <x v="0"/>
    <x v="1"/>
  </r>
  <r>
    <x v="8"/>
    <x v="1"/>
    <s v="Februari"/>
    <s v="Division_A"/>
    <x v="29"/>
    <n v="2014"/>
    <n v="6"/>
    <s v="TM-Utama"/>
    <n v="24"/>
    <n v="1329"/>
    <s v="55.4"/>
    <x v="1"/>
    <n v="0.72799999999999998"/>
    <n v="17478.7"/>
    <n v="17.478999999999999"/>
    <d v="2020-02-01T00:00:00"/>
    <x v="0"/>
    <x v="1"/>
  </r>
  <r>
    <x v="8"/>
    <x v="2"/>
    <s v="Maret"/>
    <s v="Division_A"/>
    <x v="29"/>
    <n v="2014"/>
    <n v="6"/>
    <s v="TM-Utama"/>
    <n v="24"/>
    <n v="1329"/>
    <s v="55.4"/>
    <x v="1"/>
    <n v="0.84199999999999997"/>
    <n v="20196"/>
    <n v="20.196000000000002"/>
    <d v="2020-03-01T00:00:00"/>
    <x v="0"/>
    <x v="1"/>
  </r>
  <r>
    <x v="8"/>
    <x v="3"/>
    <s v="April"/>
    <s v="Division_A"/>
    <x v="29"/>
    <n v="2014"/>
    <n v="6"/>
    <s v="TM-Utama"/>
    <n v="24"/>
    <n v="1329"/>
    <s v="55.4"/>
    <x v="1"/>
    <n v="1.476"/>
    <n v="35416.400000000001"/>
    <n v="35.415999999999997"/>
    <d v="2020-04-01T00:00:00"/>
    <x v="0"/>
    <x v="1"/>
  </r>
  <r>
    <x v="8"/>
    <x v="4"/>
    <s v="Mei"/>
    <s v="Division_A"/>
    <x v="29"/>
    <n v="2014"/>
    <n v="6"/>
    <s v="TM-Utama"/>
    <n v="24"/>
    <n v="1329"/>
    <s v="55.4"/>
    <x v="1"/>
    <n v="1.6519999999999999"/>
    <n v="39639.199999999997"/>
    <n v="39.639000000000003"/>
    <d v="2020-05-01T00:00:00"/>
    <x v="0"/>
    <x v="1"/>
  </r>
  <r>
    <x v="8"/>
    <x v="5"/>
    <s v="Juni"/>
    <s v="Division_A"/>
    <x v="29"/>
    <n v="2014"/>
    <n v="6"/>
    <s v="TM-Utama"/>
    <n v="24"/>
    <n v="1329"/>
    <s v="55.4"/>
    <x v="1"/>
    <n v="1.72"/>
    <n v="41291.599999999999"/>
    <n v="41.292000000000002"/>
    <d v="2020-06-01T00:00:00"/>
    <x v="0"/>
    <x v="1"/>
  </r>
  <r>
    <x v="8"/>
    <x v="6"/>
    <s v="Juli"/>
    <s v="Division_A"/>
    <x v="29"/>
    <n v="2014"/>
    <n v="6"/>
    <s v="TM-Utama"/>
    <n v="24"/>
    <n v="1329"/>
    <s v="55.4"/>
    <x v="1"/>
    <n v="1.758"/>
    <n v="42191.3"/>
    <n v="42.191000000000003"/>
    <d v="2020-07-01T00:00:00"/>
    <x v="0"/>
    <x v="1"/>
  </r>
  <r>
    <x v="8"/>
    <x v="7"/>
    <s v="Agustus"/>
    <s v="Division_A"/>
    <x v="29"/>
    <n v="2014"/>
    <n v="6"/>
    <s v="TM-Utama"/>
    <n v="24"/>
    <n v="1329"/>
    <s v="55.4"/>
    <x v="1"/>
    <n v="1.68"/>
    <n v="40318.6"/>
    <n v="40.319000000000003"/>
    <d v="2020-08-01T00:00:00"/>
    <x v="0"/>
    <x v="1"/>
  </r>
  <r>
    <x v="8"/>
    <x v="8"/>
    <s v="September"/>
    <s v="Division_A"/>
    <x v="29"/>
    <n v="2014"/>
    <n v="6"/>
    <s v="TM-Utama"/>
    <n v="24"/>
    <n v="1329"/>
    <s v="55.4"/>
    <x v="1"/>
    <n v="1.7689999999999999"/>
    <n v="42448.3"/>
    <n v="42.448"/>
    <d v="2020-09-01T00:00:00"/>
    <x v="0"/>
    <x v="1"/>
  </r>
  <r>
    <x v="8"/>
    <x v="9"/>
    <s v="Oktober"/>
    <s v="Division_A"/>
    <x v="29"/>
    <n v="2014"/>
    <n v="6"/>
    <s v="TM-Utama"/>
    <n v="24"/>
    <n v="1329"/>
    <s v="55.4"/>
    <x v="1"/>
    <n v="1.6379999999999999"/>
    <n v="39308.800000000003"/>
    <n v="39.308999999999997"/>
    <d v="2020-10-01T00:00:00"/>
    <x v="0"/>
    <x v="1"/>
  </r>
  <r>
    <x v="8"/>
    <x v="10"/>
    <s v="November"/>
    <s v="Division_A"/>
    <x v="29"/>
    <n v="2014"/>
    <n v="6"/>
    <s v="TM-Utama"/>
    <n v="24"/>
    <n v="1329"/>
    <s v="55.4"/>
    <x v="1"/>
    <n v="1.3939999999999999"/>
    <n v="33451.9"/>
    <n v="33.451999999999998"/>
    <d v="2020-11-01T00:00:00"/>
    <x v="0"/>
    <x v="1"/>
  </r>
  <r>
    <x v="8"/>
    <x v="11"/>
    <s v="Desember"/>
    <s v="Division_A"/>
    <x v="29"/>
    <n v="2014"/>
    <n v="6"/>
    <s v="TM-Utama"/>
    <n v="24"/>
    <n v="1329"/>
    <s v="55.4"/>
    <x v="1"/>
    <n v="1.25"/>
    <n v="30000.2"/>
    <n v="30"/>
    <d v="2020-12-01T00:00:00"/>
    <x v="0"/>
    <x v="1"/>
  </r>
  <r>
    <x v="8"/>
    <x v="0"/>
    <s v="Januari"/>
    <s v="Division_A"/>
    <x v="30"/>
    <n v="2014"/>
    <n v="6"/>
    <s v="TM-Utama"/>
    <n v="24"/>
    <n v="1573"/>
    <s v="65.5"/>
    <x v="1"/>
    <n v="0.71899999999999997"/>
    <n v="17258.400000000001"/>
    <n v="17.257999999999999"/>
    <d v="2020-01-01T00:00:00"/>
    <x v="0"/>
    <x v="1"/>
  </r>
  <r>
    <x v="8"/>
    <x v="1"/>
    <s v="Februari"/>
    <s v="Division_A"/>
    <x v="30"/>
    <n v="2014"/>
    <n v="6"/>
    <s v="TM-Utama"/>
    <n v="24"/>
    <n v="1573"/>
    <s v="65.5"/>
    <x v="1"/>
    <n v="0.72799999999999998"/>
    <n v="17478.7"/>
    <n v="17.478999999999999"/>
    <d v="2020-02-01T00:00:00"/>
    <x v="0"/>
    <x v="1"/>
  </r>
  <r>
    <x v="8"/>
    <x v="2"/>
    <s v="Maret"/>
    <s v="Division_A"/>
    <x v="30"/>
    <n v="2014"/>
    <n v="6"/>
    <s v="TM-Utama"/>
    <n v="24"/>
    <n v="1573"/>
    <s v="65.5"/>
    <x v="1"/>
    <n v="0.84199999999999997"/>
    <n v="20196"/>
    <n v="20.196000000000002"/>
    <d v="2020-03-01T00:00:00"/>
    <x v="0"/>
    <x v="1"/>
  </r>
  <r>
    <x v="8"/>
    <x v="3"/>
    <s v="April"/>
    <s v="Division_A"/>
    <x v="30"/>
    <n v="2014"/>
    <n v="6"/>
    <s v="TM-Utama"/>
    <n v="24"/>
    <n v="1573"/>
    <s v="65.5"/>
    <x v="1"/>
    <n v="1.476"/>
    <n v="35416.400000000001"/>
    <n v="35.415999999999997"/>
    <d v="2020-04-01T00:00:00"/>
    <x v="0"/>
    <x v="1"/>
  </r>
  <r>
    <x v="8"/>
    <x v="4"/>
    <s v="Mei"/>
    <s v="Division_A"/>
    <x v="30"/>
    <n v="2014"/>
    <n v="6"/>
    <s v="TM-Utama"/>
    <n v="24"/>
    <n v="1573"/>
    <s v="65.5"/>
    <x v="1"/>
    <n v="1.6519999999999999"/>
    <n v="39639.199999999997"/>
    <n v="39.639000000000003"/>
    <d v="2020-05-01T00:00:00"/>
    <x v="0"/>
    <x v="1"/>
  </r>
  <r>
    <x v="8"/>
    <x v="5"/>
    <s v="Juni"/>
    <s v="Division_A"/>
    <x v="30"/>
    <n v="2014"/>
    <n v="6"/>
    <s v="TM-Utama"/>
    <n v="24"/>
    <n v="1573"/>
    <s v="65.5"/>
    <x v="1"/>
    <n v="1.72"/>
    <n v="41291.599999999999"/>
    <n v="41.292000000000002"/>
    <d v="2020-06-01T00:00:00"/>
    <x v="0"/>
    <x v="1"/>
  </r>
  <r>
    <x v="8"/>
    <x v="6"/>
    <s v="Juli"/>
    <s v="Division_A"/>
    <x v="30"/>
    <n v="2014"/>
    <n v="6"/>
    <s v="TM-Utama"/>
    <n v="24"/>
    <n v="1573"/>
    <s v="65.5"/>
    <x v="1"/>
    <n v="1.758"/>
    <n v="42191.3"/>
    <n v="42.191000000000003"/>
    <d v="2020-07-01T00:00:00"/>
    <x v="0"/>
    <x v="1"/>
  </r>
  <r>
    <x v="8"/>
    <x v="7"/>
    <s v="Agustus"/>
    <s v="Division_A"/>
    <x v="30"/>
    <n v="2014"/>
    <n v="6"/>
    <s v="TM-Utama"/>
    <n v="24"/>
    <n v="1573"/>
    <s v="65.5"/>
    <x v="1"/>
    <n v="1.68"/>
    <n v="40318.6"/>
    <n v="40.319000000000003"/>
    <d v="2020-08-01T00:00:00"/>
    <x v="0"/>
    <x v="1"/>
  </r>
  <r>
    <x v="8"/>
    <x v="8"/>
    <s v="September"/>
    <s v="Division_A"/>
    <x v="30"/>
    <n v="2014"/>
    <n v="6"/>
    <s v="TM-Utama"/>
    <n v="24"/>
    <n v="1573"/>
    <s v="65.5"/>
    <x v="1"/>
    <n v="1.7689999999999999"/>
    <n v="42448.3"/>
    <n v="42.448"/>
    <d v="2020-09-01T00:00:00"/>
    <x v="0"/>
    <x v="1"/>
  </r>
  <r>
    <x v="8"/>
    <x v="9"/>
    <s v="Oktober"/>
    <s v="Division_A"/>
    <x v="30"/>
    <n v="2014"/>
    <n v="6"/>
    <s v="TM-Utama"/>
    <n v="24"/>
    <n v="1573"/>
    <s v="65.5"/>
    <x v="1"/>
    <n v="1.6379999999999999"/>
    <n v="39308.800000000003"/>
    <n v="39.308999999999997"/>
    <d v="2020-10-01T00:00:00"/>
    <x v="0"/>
    <x v="1"/>
  </r>
  <r>
    <x v="8"/>
    <x v="10"/>
    <s v="November"/>
    <s v="Division_A"/>
    <x v="30"/>
    <n v="2014"/>
    <n v="6"/>
    <s v="TM-Utama"/>
    <n v="24"/>
    <n v="1573"/>
    <s v="65.5"/>
    <x v="1"/>
    <n v="1.3939999999999999"/>
    <n v="33451.9"/>
    <n v="33.451999999999998"/>
    <d v="2020-11-01T00:00:00"/>
    <x v="0"/>
    <x v="1"/>
  </r>
  <r>
    <x v="8"/>
    <x v="11"/>
    <s v="Desember"/>
    <s v="Division_A"/>
    <x v="30"/>
    <n v="2014"/>
    <n v="6"/>
    <s v="TM-Utama"/>
    <n v="24"/>
    <n v="1573"/>
    <s v="65.5"/>
    <x v="1"/>
    <n v="1.25"/>
    <n v="30000.2"/>
    <n v="30"/>
    <d v="2020-12-01T00:00:00"/>
    <x v="0"/>
    <x v="1"/>
  </r>
  <r>
    <x v="8"/>
    <x v="0"/>
    <s v="Januari"/>
    <s v="Division_A"/>
    <x v="31"/>
    <n v="2016"/>
    <n v="4"/>
    <s v="TM-2"/>
    <n v="22"/>
    <n v="3137"/>
    <s v="142.6"/>
    <x v="0"/>
    <n v="0.63900000000000001"/>
    <n v="14062.4"/>
    <n v="14.061999999999999"/>
    <d v="2020-01-01T00:00:00"/>
    <x v="0"/>
    <x v="3"/>
  </r>
  <r>
    <x v="8"/>
    <x v="1"/>
    <s v="Februari"/>
    <s v="Division_A"/>
    <x v="31"/>
    <n v="2016"/>
    <n v="4"/>
    <s v="TM-2"/>
    <n v="22"/>
    <n v="3137"/>
    <s v="142.6"/>
    <x v="0"/>
    <n v="0.64700000000000002"/>
    <n v="14241.9"/>
    <n v="14.242000000000001"/>
    <d v="2020-02-01T00:00:00"/>
    <x v="0"/>
    <x v="3"/>
  </r>
  <r>
    <x v="8"/>
    <x v="2"/>
    <s v="Maret"/>
    <s v="Division_A"/>
    <x v="31"/>
    <n v="2016"/>
    <n v="4"/>
    <s v="TM-2"/>
    <n v="22"/>
    <n v="3137"/>
    <s v="142.6"/>
    <x v="0"/>
    <n v="0.748"/>
    <n v="16456"/>
    <n v="16.456"/>
    <d v="2020-03-01T00:00:00"/>
    <x v="0"/>
    <x v="3"/>
  </r>
  <r>
    <x v="8"/>
    <x v="3"/>
    <s v="April"/>
    <s v="Division_A"/>
    <x v="31"/>
    <n v="2016"/>
    <n v="4"/>
    <s v="TM-2"/>
    <n v="22"/>
    <n v="3137"/>
    <s v="142.6"/>
    <x v="0"/>
    <n v="1.3120000000000001"/>
    <n v="28857.8"/>
    <n v="28.858000000000001"/>
    <d v="2020-04-01T00:00:00"/>
    <x v="0"/>
    <x v="3"/>
  </r>
  <r>
    <x v="8"/>
    <x v="4"/>
    <s v="Mei"/>
    <s v="Division_A"/>
    <x v="31"/>
    <n v="2016"/>
    <n v="4"/>
    <s v="TM-2"/>
    <n v="22"/>
    <n v="3137"/>
    <s v="142.6"/>
    <x v="0"/>
    <n v="1.468"/>
    <n v="32298.6"/>
    <n v="32.298999999999999"/>
    <d v="2020-05-01T00:00:00"/>
    <x v="0"/>
    <x v="3"/>
  </r>
  <r>
    <x v="8"/>
    <x v="5"/>
    <s v="Juni"/>
    <s v="Division_A"/>
    <x v="31"/>
    <n v="2016"/>
    <n v="4"/>
    <s v="TM-2"/>
    <n v="22"/>
    <n v="3137"/>
    <s v="142.6"/>
    <x v="0"/>
    <n v="1.5289999999999999"/>
    <n v="33645"/>
    <n v="33.645000000000003"/>
    <d v="2020-06-01T00:00:00"/>
    <x v="0"/>
    <x v="3"/>
  </r>
  <r>
    <x v="8"/>
    <x v="6"/>
    <s v="Juli"/>
    <s v="Division_A"/>
    <x v="31"/>
    <n v="2016"/>
    <n v="4"/>
    <s v="TM-2"/>
    <n v="22"/>
    <n v="3137"/>
    <s v="142.6"/>
    <x v="0"/>
    <n v="1.5629999999999999"/>
    <n v="34378.1"/>
    <n v="34.378"/>
    <d v="2020-07-01T00:00:00"/>
    <x v="0"/>
    <x v="3"/>
  </r>
  <r>
    <x v="8"/>
    <x v="7"/>
    <s v="Agustus"/>
    <s v="Division_A"/>
    <x v="31"/>
    <n v="2016"/>
    <n v="4"/>
    <s v="TM-2"/>
    <n v="22"/>
    <n v="3137"/>
    <s v="142.6"/>
    <x v="0"/>
    <n v="1.4930000000000001"/>
    <n v="32852.199999999997"/>
    <n v="32.851999999999997"/>
    <d v="2020-08-01T00:00:00"/>
    <x v="0"/>
    <x v="3"/>
  </r>
  <r>
    <x v="8"/>
    <x v="8"/>
    <s v="September"/>
    <s v="Division_A"/>
    <x v="31"/>
    <n v="2016"/>
    <n v="4"/>
    <s v="TM-2"/>
    <n v="22"/>
    <n v="3137"/>
    <s v="142.6"/>
    <x v="0"/>
    <n v="1.5720000000000001"/>
    <n v="34587.5"/>
    <n v="34.588000000000001"/>
    <d v="2020-09-01T00:00:00"/>
    <x v="0"/>
    <x v="3"/>
  </r>
  <r>
    <x v="8"/>
    <x v="9"/>
    <s v="Oktober"/>
    <s v="Division_A"/>
    <x v="31"/>
    <n v="2016"/>
    <n v="4"/>
    <s v="TM-2"/>
    <n v="22"/>
    <n v="3137"/>
    <s v="142.6"/>
    <x v="0"/>
    <n v="1.456"/>
    <n v="32029.4"/>
    <n v="32.029000000000003"/>
    <d v="2020-10-01T00:00:00"/>
    <x v="0"/>
    <x v="3"/>
  </r>
  <r>
    <x v="8"/>
    <x v="10"/>
    <s v="November"/>
    <s v="Division_A"/>
    <x v="31"/>
    <n v="2016"/>
    <n v="4"/>
    <s v="TM-2"/>
    <n v="22"/>
    <n v="3137"/>
    <s v="142.6"/>
    <x v="0"/>
    <n v="1.2390000000000001"/>
    <n v="27257.1"/>
    <n v="27.257000000000001"/>
    <d v="2020-11-01T00:00:00"/>
    <x v="0"/>
    <x v="3"/>
  </r>
  <r>
    <x v="8"/>
    <x v="11"/>
    <s v="Desember"/>
    <s v="Division_A"/>
    <x v="31"/>
    <n v="2016"/>
    <n v="4"/>
    <s v="TM-2"/>
    <n v="22"/>
    <n v="3137"/>
    <s v="142.6"/>
    <x v="0"/>
    <n v="1.111"/>
    <n v="24444.6"/>
    <n v="24.445"/>
    <d v="2020-12-01T00:00:00"/>
    <x v="0"/>
    <x v="3"/>
  </r>
  <r>
    <x v="8"/>
    <x v="0"/>
    <s v="Januari"/>
    <s v="Division_A"/>
    <x v="32"/>
    <n v="2016"/>
    <n v="4"/>
    <s v="TM-2"/>
    <n v="22"/>
    <n v="3096"/>
    <s v="140.7"/>
    <x v="0"/>
    <n v="0.63900000000000001"/>
    <n v="14062.4"/>
    <n v="14.061999999999999"/>
    <d v="2020-01-01T00:00:00"/>
    <x v="0"/>
    <x v="3"/>
  </r>
  <r>
    <x v="8"/>
    <x v="1"/>
    <s v="Februari"/>
    <s v="Division_A"/>
    <x v="32"/>
    <n v="2016"/>
    <n v="4"/>
    <s v="TM-2"/>
    <n v="22"/>
    <n v="3096"/>
    <s v="140.7"/>
    <x v="0"/>
    <n v="0.64700000000000002"/>
    <n v="14241.9"/>
    <n v="14.242000000000001"/>
    <d v="2020-02-01T00:00:00"/>
    <x v="0"/>
    <x v="3"/>
  </r>
  <r>
    <x v="8"/>
    <x v="2"/>
    <s v="Maret"/>
    <s v="Division_A"/>
    <x v="32"/>
    <n v="2016"/>
    <n v="4"/>
    <s v="TM-2"/>
    <n v="22"/>
    <n v="3096"/>
    <s v="140.7"/>
    <x v="0"/>
    <n v="0.748"/>
    <n v="16456"/>
    <n v="16.456"/>
    <d v="2020-03-01T00:00:00"/>
    <x v="0"/>
    <x v="3"/>
  </r>
  <r>
    <x v="8"/>
    <x v="3"/>
    <s v="April"/>
    <s v="Division_A"/>
    <x v="32"/>
    <n v="2016"/>
    <n v="4"/>
    <s v="TM-2"/>
    <n v="22"/>
    <n v="3096"/>
    <s v="140.7"/>
    <x v="0"/>
    <n v="1.3120000000000001"/>
    <n v="28857.8"/>
    <n v="28.858000000000001"/>
    <d v="2020-04-01T00:00:00"/>
    <x v="0"/>
    <x v="3"/>
  </r>
  <r>
    <x v="8"/>
    <x v="4"/>
    <s v="Mei"/>
    <s v="Division_A"/>
    <x v="32"/>
    <n v="2016"/>
    <n v="4"/>
    <s v="TM-2"/>
    <n v="22"/>
    <n v="3096"/>
    <s v="140.7"/>
    <x v="0"/>
    <n v="1.468"/>
    <n v="32298.6"/>
    <n v="32.298999999999999"/>
    <d v="2020-05-01T00:00:00"/>
    <x v="0"/>
    <x v="3"/>
  </r>
  <r>
    <x v="8"/>
    <x v="5"/>
    <s v="Juni"/>
    <s v="Division_A"/>
    <x v="32"/>
    <n v="2016"/>
    <n v="4"/>
    <s v="TM-2"/>
    <n v="22"/>
    <n v="3096"/>
    <s v="140.7"/>
    <x v="0"/>
    <n v="1.5289999999999999"/>
    <n v="33645"/>
    <n v="33.645000000000003"/>
    <d v="2020-06-01T00:00:00"/>
    <x v="0"/>
    <x v="3"/>
  </r>
  <r>
    <x v="8"/>
    <x v="6"/>
    <s v="Juli"/>
    <s v="Division_A"/>
    <x v="32"/>
    <n v="2016"/>
    <n v="4"/>
    <s v="TM-2"/>
    <n v="22"/>
    <n v="3096"/>
    <s v="140.7"/>
    <x v="0"/>
    <n v="1.5629999999999999"/>
    <n v="34378.1"/>
    <n v="34.378"/>
    <d v="2020-07-01T00:00:00"/>
    <x v="0"/>
    <x v="3"/>
  </r>
  <r>
    <x v="8"/>
    <x v="7"/>
    <s v="Agustus"/>
    <s v="Division_A"/>
    <x v="32"/>
    <n v="2016"/>
    <n v="4"/>
    <s v="TM-2"/>
    <n v="22"/>
    <n v="3096"/>
    <s v="140.7"/>
    <x v="0"/>
    <n v="1.4930000000000001"/>
    <n v="32852.199999999997"/>
    <n v="32.851999999999997"/>
    <d v="2020-08-01T00:00:00"/>
    <x v="0"/>
    <x v="3"/>
  </r>
  <r>
    <x v="8"/>
    <x v="8"/>
    <s v="September"/>
    <s v="Division_A"/>
    <x v="32"/>
    <n v="2016"/>
    <n v="4"/>
    <s v="TM-2"/>
    <n v="22"/>
    <n v="3096"/>
    <s v="140.7"/>
    <x v="0"/>
    <n v="1.5720000000000001"/>
    <n v="34587.5"/>
    <n v="34.588000000000001"/>
    <d v="2020-09-01T00:00:00"/>
    <x v="0"/>
    <x v="3"/>
  </r>
  <r>
    <x v="8"/>
    <x v="9"/>
    <s v="Oktober"/>
    <s v="Division_A"/>
    <x v="32"/>
    <n v="2016"/>
    <n v="4"/>
    <s v="TM-2"/>
    <n v="22"/>
    <n v="3096"/>
    <s v="140.7"/>
    <x v="0"/>
    <n v="1.456"/>
    <n v="32029.4"/>
    <n v="32.029000000000003"/>
    <d v="2020-10-01T00:00:00"/>
    <x v="0"/>
    <x v="3"/>
  </r>
  <r>
    <x v="8"/>
    <x v="10"/>
    <s v="November"/>
    <s v="Division_A"/>
    <x v="32"/>
    <n v="2016"/>
    <n v="4"/>
    <s v="TM-2"/>
    <n v="22"/>
    <n v="3096"/>
    <s v="140.7"/>
    <x v="0"/>
    <n v="1.2390000000000001"/>
    <n v="27257.1"/>
    <n v="27.257000000000001"/>
    <d v="2020-11-01T00:00:00"/>
    <x v="0"/>
    <x v="3"/>
  </r>
  <r>
    <x v="8"/>
    <x v="11"/>
    <s v="Desember"/>
    <s v="Division_A"/>
    <x v="32"/>
    <n v="2016"/>
    <n v="4"/>
    <s v="TM-2"/>
    <n v="22"/>
    <n v="3096"/>
    <s v="140.7"/>
    <x v="0"/>
    <n v="1.111"/>
    <n v="24444.6"/>
    <n v="24.445"/>
    <d v="2020-12-01T00:00:00"/>
    <x v="0"/>
    <x v="3"/>
  </r>
  <r>
    <x v="8"/>
    <x v="0"/>
    <s v="Januari"/>
    <s v="Division_A"/>
    <x v="33"/>
    <n v="2016"/>
    <n v="4"/>
    <s v="TM-2"/>
    <n v="24"/>
    <n v="3317"/>
    <s v="138.2"/>
    <x v="0"/>
    <n v="0.63900000000000001"/>
    <n v="15340.8"/>
    <n v="15.340999999999999"/>
    <d v="2020-01-01T00:00:00"/>
    <x v="0"/>
    <x v="3"/>
  </r>
  <r>
    <x v="8"/>
    <x v="1"/>
    <s v="Februari"/>
    <s v="Division_A"/>
    <x v="33"/>
    <n v="2016"/>
    <n v="4"/>
    <s v="TM-2"/>
    <n v="24"/>
    <n v="3317"/>
    <s v="138.2"/>
    <x v="0"/>
    <n v="0.64700000000000002"/>
    <n v="15536.6"/>
    <n v="15.537000000000001"/>
    <d v="2020-02-01T00:00:00"/>
    <x v="0"/>
    <x v="3"/>
  </r>
  <r>
    <x v="8"/>
    <x v="2"/>
    <s v="Maret"/>
    <s v="Division_A"/>
    <x v="33"/>
    <n v="2016"/>
    <n v="4"/>
    <s v="TM-2"/>
    <n v="24"/>
    <n v="3317"/>
    <s v="138.2"/>
    <x v="0"/>
    <n v="0.748"/>
    <n v="17952"/>
    <n v="17.952000000000002"/>
    <d v="2020-03-01T00:00:00"/>
    <x v="0"/>
    <x v="3"/>
  </r>
  <r>
    <x v="8"/>
    <x v="3"/>
    <s v="April"/>
    <s v="Division_A"/>
    <x v="33"/>
    <n v="2016"/>
    <n v="4"/>
    <s v="TM-2"/>
    <n v="24"/>
    <n v="3317"/>
    <s v="138.2"/>
    <x v="0"/>
    <n v="1.3120000000000001"/>
    <n v="31481.3"/>
    <n v="31.481000000000002"/>
    <d v="2020-04-01T00:00:00"/>
    <x v="0"/>
    <x v="3"/>
  </r>
  <r>
    <x v="8"/>
    <x v="4"/>
    <s v="Mei"/>
    <s v="Division_A"/>
    <x v="33"/>
    <n v="2016"/>
    <n v="4"/>
    <s v="TM-2"/>
    <n v="24"/>
    <n v="3317"/>
    <s v="138.2"/>
    <x v="0"/>
    <n v="1.468"/>
    <n v="35234.9"/>
    <n v="35.234999999999999"/>
    <d v="2020-05-01T00:00:00"/>
    <x v="0"/>
    <x v="3"/>
  </r>
  <r>
    <x v="8"/>
    <x v="5"/>
    <s v="Juni"/>
    <s v="Division_A"/>
    <x v="33"/>
    <n v="2016"/>
    <n v="4"/>
    <s v="TM-2"/>
    <n v="24"/>
    <n v="3317"/>
    <s v="138.2"/>
    <x v="0"/>
    <n v="1.5289999999999999"/>
    <n v="36703.699999999997"/>
    <n v="36.704000000000001"/>
    <d v="2020-06-01T00:00:00"/>
    <x v="0"/>
    <x v="3"/>
  </r>
  <r>
    <x v="8"/>
    <x v="6"/>
    <s v="Juli"/>
    <s v="Division_A"/>
    <x v="33"/>
    <n v="2016"/>
    <n v="4"/>
    <s v="TM-2"/>
    <n v="24"/>
    <n v="3317"/>
    <s v="138.2"/>
    <x v="0"/>
    <n v="1.5629999999999999"/>
    <n v="37503.4"/>
    <n v="37.503"/>
    <d v="2020-07-01T00:00:00"/>
    <x v="0"/>
    <x v="3"/>
  </r>
  <r>
    <x v="8"/>
    <x v="7"/>
    <s v="Agustus"/>
    <s v="Division_A"/>
    <x v="33"/>
    <n v="2016"/>
    <n v="4"/>
    <s v="TM-2"/>
    <n v="24"/>
    <n v="3317"/>
    <s v="138.2"/>
    <x v="0"/>
    <n v="1.4930000000000001"/>
    <n v="35838.699999999997"/>
    <n v="35.838999999999999"/>
    <d v="2020-08-01T00:00:00"/>
    <x v="0"/>
    <x v="3"/>
  </r>
  <r>
    <x v="8"/>
    <x v="8"/>
    <s v="September"/>
    <s v="Division_A"/>
    <x v="33"/>
    <n v="2016"/>
    <n v="4"/>
    <s v="TM-2"/>
    <n v="24"/>
    <n v="3317"/>
    <s v="138.2"/>
    <x v="0"/>
    <n v="1.5720000000000001"/>
    <n v="37731.800000000003"/>
    <n v="37.731999999999999"/>
    <d v="2020-09-01T00:00:00"/>
    <x v="0"/>
    <x v="3"/>
  </r>
  <r>
    <x v="8"/>
    <x v="9"/>
    <s v="Oktober"/>
    <s v="Division_A"/>
    <x v="33"/>
    <n v="2016"/>
    <n v="4"/>
    <s v="TM-2"/>
    <n v="24"/>
    <n v="3317"/>
    <s v="138.2"/>
    <x v="0"/>
    <n v="1.456"/>
    <n v="34941.1"/>
    <n v="34.941000000000003"/>
    <d v="2020-10-01T00:00:00"/>
    <x v="0"/>
    <x v="3"/>
  </r>
  <r>
    <x v="8"/>
    <x v="10"/>
    <s v="November"/>
    <s v="Division_A"/>
    <x v="33"/>
    <n v="2016"/>
    <n v="4"/>
    <s v="TM-2"/>
    <n v="24"/>
    <n v="3317"/>
    <s v="138.2"/>
    <x v="0"/>
    <n v="1.2390000000000001"/>
    <n v="29735"/>
    <n v="29.734999999999999"/>
    <d v="2020-11-01T00:00:00"/>
    <x v="0"/>
    <x v="3"/>
  </r>
  <r>
    <x v="8"/>
    <x v="11"/>
    <s v="Desember"/>
    <s v="Division_A"/>
    <x v="33"/>
    <n v="2016"/>
    <n v="4"/>
    <s v="TM-2"/>
    <n v="24"/>
    <n v="3317"/>
    <s v="138.2"/>
    <x v="0"/>
    <n v="1.111"/>
    <n v="26666.9"/>
    <n v="26.667000000000002"/>
    <d v="2020-12-01T00:00:00"/>
    <x v="0"/>
    <x v="3"/>
  </r>
  <r>
    <x v="8"/>
    <x v="0"/>
    <s v="Januari"/>
    <s v="Division_A"/>
    <x v="34"/>
    <n v="2016"/>
    <n v="4"/>
    <s v="TM-2"/>
    <n v="17"/>
    <n v="2219"/>
    <s v="130.5"/>
    <x v="0"/>
    <n v="0.63900000000000001"/>
    <n v="10866.4"/>
    <n v="10.866"/>
    <d v="2020-01-01T00:00:00"/>
    <x v="0"/>
    <x v="3"/>
  </r>
  <r>
    <x v="8"/>
    <x v="1"/>
    <s v="Februari"/>
    <s v="Division_A"/>
    <x v="34"/>
    <n v="2016"/>
    <n v="4"/>
    <s v="TM-2"/>
    <n v="17"/>
    <n v="2219"/>
    <s v="130.5"/>
    <x v="0"/>
    <n v="0.64700000000000002"/>
    <n v="11005.1"/>
    <n v="11.005000000000001"/>
    <d v="2020-02-01T00:00:00"/>
    <x v="0"/>
    <x v="3"/>
  </r>
  <r>
    <x v="8"/>
    <x v="2"/>
    <s v="Maret"/>
    <s v="Division_A"/>
    <x v="34"/>
    <n v="2016"/>
    <n v="4"/>
    <s v="TM-2"/>
    <n v="17"/>
    <n v="2219"/>
    <s v="130.5"/>
    <x v="0"/>
    <n v="0.748"/>
    <n v="12716"/>
    <n v="12.715999999999999"/>
    <d v="2020-03-01T00:00:00"/>
    <x v="0"/>
    <x v="3"/>
  </r>
  <r>
    <x v="8"/>
    <x v="3"/>
    <s v="April"/>
    <s v="Division_A"/>
    <x v="34"/>
    <n v="2016"/>
    <n v="4"/>
    <s v="TM-2"/>
    <n v="17"/>
    <n v="2219"/>
    <s v="130.5"/>
    <x v="0"/>
    <n v="1.3120000000000001"/>
    <n v="22299.200000000001"/>
    <n v="22.298999999999999"/>
    <d v="2020-04-01T00:00:00"/>
    <x v="0"/>
    <x v="3"/>
  </r>
  <r>
    <x v="8"/>
    <x v="4"/>
    <s v="Mei"/>
    <s v="Division_A"/>
    <x v="34"/>
    <n v="2016"/>
    <n v="4"/>
    <s v="TM-2"/>
    <n v="17"/>
    <n v="2219"/>
    <s v="130.5"/>
    <x v="0"/>
    <n v="1.468"/>
    <n v="24958"/>
    <n v="24.957999999999998"/>
    <d v="2020-05-01T00:00:00"/>
    <x v="0"/>
    <x v="3"/>
  </r>
  <r>
    <x v="8"/>
    <x v="5"/>
    <s v="Juni"/>
    <s v="Division_A"/>
    <x v="34"/>
    <n v="2016"/>
    <n v="4"/>
    <s v="TM-2"/>
    <n v="17"/>
    <n v="2219"/>
    <s v="130.5"/>
    <x v="0"/>
    <n v="1.5289999999999999"/>
    <n v="25998.400000000001"/>
    <n v="25.998000000000001"/>
    <d v="2020-06-01T00:00:00"/>
    <x v="0"/>
    <x v="3"/>
  </r>
  <r>
    <x v="8"/>
    <x v="6"/>
    <s v="Juli"/>
    <s v="Division_A"/>
    <x v="34"/>
    <n v="2016"/>
    <n v="4"/>
    <s v="TM-2"/>
    <n v="17"/>
    <n v="2219"/>
    <s v="130.5"/>
    <x v="0"/>
    <n v="1.5629999999999999"/>
    <n v="26564.9"/>
    <n v="26.565000000000001"/>
    <d v="2020-07-01T00:00:00"/>
    <x v="0"/>
    <x v="3"/>
  </r>
  <r>
    <x v="8"/>
    <x v="7"/>
    <s v="Agustus"/>
    <s v="Division_A"/>
    <x v="34"/>
    <n v="2016"/>
    <n v="4"/>
    <s v="TM-2"/>
    <n v="17"/>
    <n v="2219"/>
    <s v="130.5"/>
    <x v="0"/>
    <n v="1.4930000000000001"/>
    <n v="25385.8"/>
    <n v="25.385999999999999"/>
    <d v="2020-08-01T00:00:00"/>
    <x v="0"/>
    <x v="3"/>
  </r>
  <r>
    <x v="8"/>
    <x v="8"/>
    <s v="September"/>
    <s v="Division_A"/>
    <x v="34"/>
    <n v="2016"/>
    <n v="4"/>
    <s v="TM-2"/>
    <n v="17"/>
    <n v="2219"/>
    <s v="130.5"/>
    <x v="0"/>
    <n v="1.5720000000000001"/>
    <n v="26726.7"/>
    <n v="26.727"/>
    <d v="2020-09-01T00:00:00"/>
    <x v="0"/>
    <x v="3"/>
  </r>
  <r>
    <x v="8"/>
    <x v="9"/>
    <s v="Oktober"/>
    <s v="Division_A"/>
    <x v="34"/>
    <n v="2016"/>
    <n v="4"/>
    <s v="TM-2"/>
    <n v="17"/>
    <n v="2219"/>
    <s v="130.5"/>
    <x v="0"/>
    <n v="1.456"/>
    <n v="24750"/>
    <n v="24.75"/>
    <d v="2020-10-01T00:00:00"/>
    <x v="0"/>
    <x v="3"/>
  </r>
  <r>
    <x v="8"/>
    <x v="10"/>
    <s v="November"/>
    <s v="Division_A"/>
    <x v="34"/>
    <n v="2016"/>
    <n v="4"/>
    <s v="TM-2"/>
    <n v="17"/>
    <n v="2219"/>
    <s v="130.5"/>
    <x v="0"/>
    <n v="1.2390000000000001"/>
    <n v="21062.3"/>
    <n v="21.062000000000001"/>
    <d v="2020-11-01T00:00:00"/>
    <x v="0"/>
    <x v="3"/>
  </r>
  <r>
    <x v="8"/>
    <x v="11"/>
    <s v="Desember"/>
    <s v="Division_A"/>
    <x v="34"/>
    <n v="2016"/>
    <n v="4"/>
    <s v="TM-2"/>
    <n v="17"/>
    <n v="2219"/>
    <s v="130.5"/>
    <x v="0"/>
    <n v="1.111"/>
    <n v="18889"/>
    <n v="18.888999999999999"/>
    <d v="2020-12-01T00:00:00"/>
    <x v="0"/>
    <x v="3"/>
  </r>
  <r>
    <x v="8"/>
    <x v="0"/>
    <s v="Januari"/>
    <s v="Division_A"/>
    <x v="35"/>
    <n v="2016"/>
    <n v="4"/>
    <s v="TM-2"/>
    <n v="15"/>
    <n v="2142"/>
    <s v="142.8"/>
    <x v="0"/>
    <n v="0.63900000000000001"/>
    <n v="9588"/>
    <n v="9.5879999999999992"/>
    <d v="2020-01-01T00:00:00"/>
    <x v="0"/>
    <x v="3"/>
  </r>
  <r>
    <x v="8"/>
    <x v="1"/>
    <s v="Februari"/>
    <s v="Division_A"/>
    <x v="35"/>
    <n v="2016"/>
    <n v="4"/>
    <s v="TM-2"/>
    <n v="15"/>
    <n v="2142"/>
    <s v="142.8"/>
    <x v="0"/>
    <n v="0.64700000000000002"/>
    <n v="9710.4"/>
    <n v="9.7100000000000009"/>
    <d v="2020-02-01T00:00:00"/>
    <x v="0"/>
    <x v="3"/>
  </r>
  <r>
    <x v="8"/>
    <x v="2"/>
    <s v="Maret"/>
    <s v="Division_A"/>
    <x v="35"/>
    <n v="2016"/>
    <n v="4"/>
    <s v="TM-2"/>
    <n v="15"/>
    <n v="2142"/>
    <s v="142.8"/>
    <x v="0"/>
    <n v="0.748"/>
    <n v="11220"/>
    <n v="11.22"/>
    <d v="2020-03-01T00:00:00"/>
    <x v="0"/>
    <x v="3"/>
  </r>
  <r>
    <x v="8"/>
    <x v="3"/>
    <s v="April"/>
    <s v="Division_A"/>
    <x v="35"/>
    <n v="2016"/>
    <n v="4"/>
    <s v="TM-2"/>
    <n v="15"/>
    <n v="2142"/>
    <s v="142.8"/>
    <x v="0"/>
    <n v="1.3120000000000001"/>
    <n v="19675.8"/>
    <n v="19.675999999999998"/>
    <d v="2020-04-01T00:00:00"/>
    <x v="0"/>
    <x v="3"/>
  </r>
  <r>
    <x v="8"/>
    <x v="4"/>
    <s v="Mei"/>
    <s v="Division_A"/>
    <x v="35"/>
    <n v="2016"/>
    <n v="4"/>
    <s v="TM-2"/>
    <n v="15"/>
    <n v="2142"/>
    <s v="142.8"/>
    <x v="0"/>
    <n v="1.468"/>
    <n v="22021.8"/>
    <n v="22.021999999999998"/>
    <d v="2020-05-01T00:00:00"/>
    <x v="0"/>
    <x v="3"/>
  </r>
  <r>
    <x v="8"/>
    <x v="5"/>
    <s v="Juni"/>
    <s v="Division_A"/>
    <x v="35"/>
    <n v="2016"/>
    <n v="4"/>
    <s v="TM-2"/>
    <n v="15"/>
    <n v="2142"/>
    <s v="142.8"/>
    <x v="0"/>
    <n v="1.5289999999999999"/>
    <n v="22939.8"/>
    <n v="22.94"/>
    <d v="2020-06-01T00:00:00"/>
    <x v="0"/>
    <x v="3"/>
  </r>
  <r>
    <x v="8"/>
    <x v="6"/>
    <s v="Juli"/>
    <s v="Division_A"/>
    <x v="35"/>
    <n v="2016"/>
    <n v="4"/>
    <s v="TM-2"/>
    <n v="15"/>
    <n v="2142"/>
    <s v="142.8"/>
    <x v="0"/>
    <n v="1.5629999999999999"/>
    <n v="23439.599999999999"/>
    <n v="23.44"/>
    <d v="2020-07-01T00:00:00"/>
    <x v="0"/>
    <x v="3"/>
  </r>
  <r>
    <x v="8"/>
    <x v="7"/>
    <s v="Agustus"/>
    <s v="Division_A"/>
    <x v="35"/>
    <n v="2016"/>
    <n v="4"/>
    <s v="TM-2"/>
    <n v="15"/>
    <n v="2142"/>
    <s v="142.8"/>
    <x v="0"/>
    <n v="1.4930000000000001"/>
    <n v="22399.200000000001"/>
    <n v="22.399000000000001"/>
    <d v="2020-08-01T00:00:00"/>
    <x v="0"/>
    <x v="3"/>
  </r>
  <r>
    <x v="8"/>
    <x v="8"/>
    <s v="September"/>
    <s v="Division_A"/>
    <x v="35"/>
    <n v="2016"/>
    <n v="4"/>
    <s v="TM-2"/>
    <n v="15"/>
    <n v="2142"/>
    <s v="142.8"/>
    <x v="0"/>
    <n v="1.5720000000000001"/>
    <n v="23582.400000000001"/>
    <n v="23.582000000000001"/>
    <d v="2020-09-01T00:00:00"/>
    <x v="0"/>
    <x v="3"/>
  </r>
  <r>
    <x v="8"/>
    <x v="9"/>
    <s v="Oktober"/>
    <s v="Division_A"/>
    <x v="35"/>
    <n v="2016"/>
    <n v="4"/>
    <s v="TM-2"/>
    <n v="15"/>
    <n v="2142"/>
    <s v="142.8"/>
    <x v="0"/>
    <n v="1.456"/>
    <n v="21838.2"/>
    <n v="21.838000000000001"/>
    <d v="2020-10-01T00:00:00"/>
    <x v="0"/>
    <x v="3"/>
  </r>
  <r>
    <x v="8"/>
    <x v="10"/>
    <s v="November"/>
    <s v="Division_A"/>
    <x v="35"/>
    <n v="2016"/>
    <n v="4"/>
    <s v="TM-2"/>
    <n v="15"/>
    <n v="2142"/>
    <s v="142.8"/>
    <x v="0"/>
    <n v="1.2390000000000001"/>
    <n v="18584.400000000001"/>
    <n v="18.584"/>
    <d v="2020-11-01T00:00:00"/>
    <x v="0"/>
    <x v="3"/>
  </r>
  <r>
    <x v="8"/>
    <x v="11"/>
    <s v="Desember"/>
    <s v="Division_A"/>
    <x v="35"/>
    <n v="2016"/>
    <n v="4"/>
    <s v="TM-2"/>
    <n v="15"/>
    <n v="2142"/>
    <s v="142.8"/>
    <x v="0"/>
    <n v="1.111"/>
    <n v="16666.8"/>
    <n v="16.667000000000002"/>
    <d v="2020-12-01T00:00:00"/>
    <x v="0"/>
    <x v="3"/>
  </r>
  <r>
    <x v="8"/>
    <x v="0"/>
    <s v="Januari"/>
    <s v="Division_A"/>
    <x v="36"/>
    <n v="2016"/>
    <n v="4"/>
    <s v="TM-2"/>
    <n v="24"/>
    <n v="3324"/>
    <s v="138.5"/>
    <x v="0"/>
    <n v="0.63900000000000001"/>
    <n v="15340.8"/>
    <n v="15.340999999999999"/>
    <d v="2020-01-01T00:00:00"/>
    <x v="0"/>
    <x v="3"/>
  </r>
  <r>
    <x v="8"/>
    <x v="1"/>
    <s v="Februari"/>
    <s v="Division_A"/>
    <x v="36"/>
    <n v="2016"/>
    <n v="4"/>
    <s v="TM-2"/>
    <n v="24"/>
    <n v="3324"/>
    <s v="138.5"/>
    <x v="0"/>
    <n v="0.64700000000000002"/>
    <n v="15536.6"/>
    <n v="15.537000000000001"/>
    <d v="2020-02-01T00:00:00"/>
    <x v="0"/>
    <x v="3"/>
  </r>
  <r>
    <x v="8"/>
    <x v="2"/>
    <s v="Maret"/>
    <s v="Division_A"/>
    <x v="36"/>
    <n v="2016"/>
    <n v="4"/>
    <s v="TM-2"/>
    <n v="24"/>
    <n v="3324"/>
    <s v="138.5"/>
    <x v="0"/>
    <n v="0.748"/>
    <n v="17952"/>
    <n v="17.952000000000002"/>
    <d v="2020-03-01T00:00:00"/>
    <x v="0"/>
    <x v="3"/>
  </r>
  <r>
    <x v="8"/>
    <x v="3"/>
    <s v="April"/>
    <s v="Division_A"/>
    <x v="36"/>
    <n v="2016"/>
    <n v="4"/>
    <s v="TM-2"/>
    <n v="24"/>
    <n v="3324"/>
    <s v="138.5"/>
    <x v="0"/>
    <n v="1.3120000000000001"/>
    <n v="31481.3"/>
    <n v="31.481000000000002"/>
    <d v="2020-04-01T00:00:00"/>
    <x v="0"/>
    <x v="3"/>
  </r>
  <r>
    <x v="8"/>
    <x v="4"/>
    <s v="Mei"/>
    <s v="Division_A"/>
    <x v="36"/>
    <n v="2016"/>
    <n v="4"/>
    <s v="TM-2"/>
    <n v="24"/>
    <n v="3324"/>
    <s v="138.5"/>
    <x v="0"/>
    <n v="1.468"/>
    <n v="35234.9"/>
    <n v="35.234999999999999"/>
    <d v="2020-05-01T00:00:00"/>
    <x v="0"/>
    <x v="3"/>
  </r>
  <r>
    <x v="8"/>
    <x v="5"/>
    <s v="Juni"/>
    <s v="Division_A"/>
    <x v="36"/>
    <n v="2016"/>
    <n v="4"/>
    <s v="TM-2"/>
    <n v="24"/>
    <n v="3324"/>
    <s v="138.5"/>
    <x v="0"/>
    <n v="1.5289999999999999"/>
    <n v="36703.699999999997"/>
    <n v="36.704000000000001"/>
    <d v="2020-06-01T00:00:00"/>
    <x v="0"/>
    <x v="3"/>
  </r>
  <r>
    <x v="8"/>
    <x v="6"/>
    <s v="Juli"/>
    <s v="Division_A"/>
    <x v="36"/>
    <n v="2016"/>
    <n v="4"/>
    <s v="TM-2"/>
    <n v="24"/>
    <n v="3324"/>
    <s v="138.5"/>
    <x v="0"/>
    <n v="1.5629999999999999"/>
    <n v="37503.4"/>
    <n v="37.503"/>
    <d v="2020-07-01T00:00:00"/>
    <x v="0"/>
    <x v="3"/>
  </r>
  <r>
    <x v="8"/>
    <x v="7"/>
    <s v="Agustus"/>
    <s v="Division_A"/>
    <x v="36"/>
    <n v="2016"/>
    <n v="4"/>
    <s v="TM-2"/>
    <n v="24"/>
    <n v="3324"/>
    <s v="138.5"/>
    <x v="0"/>
    <n v="1.4930000000000001"/>
    <n v="35838.699999999997"/>
    <n v="35.838999999999999"/>
    <d v="2020-08-01T00:00:00"/>
    <x v="0"/>
    <x v="3"/>
  </r>
  <r>
    <x v="8"/>
    <x v="8"/>
    <s v="September"/>
    <s v="Division_A"/>
    <x v="36"/>
    <n v="2016"/>
    <n v="4"/>
    <s v="TM-2"/>
    <n v="24"/>
    <n v="3324"/>
    <s v="138.5"/>
    <x v="0"/>
    <n v="1.5720000000000001"/>
    <n v="37731.800000000003"/>
    <n v="37.731999999999999"/>
    <d v="2020-09-01T00:00:00"/>
    <x v="0"/>
    <x v="3"/>
  </r>
  <r>
    <x v="8"/>
    <x v="9"/>
    <s v="Oktober"/>
    <s v="Division_A"/>
    <x v="36"/>
    <n v="2016"/>
    <n v="4"/>
    <s v="TM-2"/>
    <n v="24"/>
    <n v="3324"/>
    <s v="138.5"/>
    <x v="0"/>
    <n v="1.456"/>
    <n v="34941.1"/>
    <n v="34.941000000000003"/>
    <d v="2020-10-01T00:00:00"/>
    <x v="0"/>
    <x v="3"/>
  </r>
  <r>
    <x v="8"/>
    <x v="10"/>
    <s v="November"/>
    <s v="Division_A"/>
    <x v="36"/>
    <n v="2016"/>
    <n v="4"/>
    <s v="TM-2"/>
    <n v="24"/>
    <n v="3324"/>
    <s v="138.5"/>
    <x v="0"/>
    <n v="1.2390000000000001"/>
    <n v="29735"/>
    <n v="29.734999999999999"/>
    <d v="2020-11-01T00:00:00"/>
    <x v="0"/>
    <x v="3"/>
  </r>
  <r>
    <x v="8"/>
    <x v="11"/>
    <s v="Desember"/>
    <s v="Division_A"/>
    <x v="36"/>
    <n v="2016"/>
    <n v="4"/>
    <s v="TM-2"/>
    <n v="24"/>
    <n v="3324"/>
    <s v="138.5"/>
    <x v="0"/>
    <n v="1.111"/>
    <n v="26666.9"/>
    <n v="26.667000000000002"/>
    <d v="2020-12-01T00:00:00"/>
    <x v="0"/>
    <x v="3"/>
  </r>
  <r>
    <x v="8"/>
    <x v="0"/>
    <s v="Januari"/>
    <s v="Division_A"/>
    <x v="37"/>
    <n v="2016"/>
    <n v="4"/>
    <s v="TM-2"/>
    <n v="20"/>
    <n v="2663"/>
    <s v="133.2"/>
    <x v="0"/>
    <n v="0.63900000000000001"/>
    <n v="12784"/>
    <n v="12.784000000000001"/>
    <d v="2020-01-01T00:00:00"/>
    <x v="0"/>
    <x v="3"/>
  </r>
  <r>
    <x v="8"/>
    <x v="1"/>
    <s v="Februari"/>
    <s v="Division_A"/>
    <x v="37"/>
    <n v="2016"/>
    <n v="4"/>
    <s v="TM-2"/>
    <n v="20"/>
    <n v="2663"/>
    <s v="133.2"/>
    <x v="0"/>
    <n v="0.64700000000000002"/>
    <n v="12947.2"/>
    <n v="12.946999999999999"/>
    <d v="2020-02-01T00:00:00"/>
    <x v="0"/>
    <x v="3"/>
  </r>
  <r>
    <x v="8"/>
    <x v="2"/>
    <s v="Maret"/>
    <s v="Division_A"/>
    <x v="37"/>
    <n v="2016"/>
    <n v="4"/>
    <s v="TM-2"/>
    <n v="20"/>
    <n v="2663"/>
    <s v="133.2"/>
    <x v="0"/>
    <n v="0.748"/>
    <n v="14960"/>
    <n v="14.96"/>
    <d v="2020-03-01T00:00:00"/>
    <x v="0"/>
    <x v="3"/>
  </r>
  <r>
    <x v="8"/>
    <x v="3"/>
    <s v="April"/>
    <s v="Division_A"/>
    <x v="37"/>
    <n v="2016"/>
    <n v="4"/>
    <s v="TM-2"/>
    <n v="20"/>
    <n v="2663"/>
    <s v="133.2"/>
    <x v="0"/>
    <n v="1.3120000000000001"/>
    <n v="26234.400000000001"/>
    <n v="26.234000000000002"/>
    <d v="2020-04-01T00:00:00"/>
    <x v="0"/>
    <x v="3"/>
  </r>
  <r>
    <x v="8"/>
    <x v="4"/>
    <s v="Mei"/>
    <s v="Division_A"/>
    <x v="37"/>
    <n v="2016"/>
    <n v="4"/>
    <s v="TM-2"/>
    <n v="20"/>
    <n v="2663"/>
    <s v="133.2"/>
    <x v="0"/>
    <n v="1.468"/>
    <n v="29362.400000000001"/>
    <n v="29.361999999999998"/>
    <d v="2020-05-01T00:00:00"/>
    <x v="0"/>
    <x v="3"/>
  </r>
  <r>
    <x v="8"/>
    <x v="5"/>
    <s v="Juni"/>
    <s v="Division_A"/>
    <x v="37"/>
    <n v="2016"/>
    <n v="4"/>
    <s v="TM-2"/>
    <n v="20"/>
    <n v="2663"/>
    <s v="133.2"/>
    <x v="0"/>
    <n v="1.5289999999999999"/>
    <n v="30586.400000000001"/>
    <n v="30.585999999999999"/>
    <d v="2020-06-01T00:00:00"/>
    <x v="0"/>
    <x v="3"/>
  </r>
  <r>
    <x v="8"/>
    <x v="6"/>
    <s v="Juli"/>
    <s v="Division_A"/>
    <x v="37"/>
    <n v="2016"/>
    <n v="4"/>
    <s v="TM-2"/>
    <n v="20"/>
    <n v="2663"/>
    <s v="133.2"/>
    <x v="0"/>
    <n v="1.5629999999999999"/>
    <n v="31252.799999999999"/>
    <n v="31.253"/>
    <d v="2020-07-01T00:00:00"/>
    <x v="0"/>
    <x v="3"/>
  </r>
  <r>
    <x v="8"/>
    <x v="7"/>
    <s v="Agustus"/>
    <s v="Division_A"/>
    <x v="37"/>
    <n v="2016"/>
    <n v="4"/>
    <s v="TM-2"/>
    <n v="20"/>
    <n v="2663"/>
    <s v="133.2"/>
    <x v="0"/>
    <n v="1.4930000000000001"/>
    <n v="29865.599999999999"/>
    <n v="29.866"/>
    <d v="2020-08-01T00:00:00"/>
    <x v="0"/>
    <x v="3"/>
  </r>
  <r>
    <x v="8"/>
    <x v="8"/>
    <s v="September"/>
    <s v="Division_A"/>
    <x v="37"/>
    <n v="2016"/>
    <n v="4"/>
    <s v="TM-2"/>
    <n v="20"/>
    <n v="2663"/>
    <s v="133.2"/>
    <x v="0"/>
    <n v="1.5720000000000001"/>
    <n v="31443.200000000001"/>
    <n v="31.443000000000001"/>
    <d v="2020-09-01T00:00:00"/>
    <x v="0"/>
    <x v="3"/>
  </r>
  <r>
    <x v="8"/>
    <x v="9"/>
    <s v="Oktober"/>
    <s v="Division_A"/>
    <x v="37"/>
    <n v="2016"/>
    <n v="4"/>
    <s v="TM-2"/>
    <n v="20"/>
    <n v="2663"/>
    <s v="133.2"/>
    <x v="0"/>
    <n v="1.456"/>
    <n v="29117.599999999999"/>
    <n v="29.117999999999999"/>
    <d v="2020-10-01T00:00:00"/>
    <x v="0"/>
    <x v="3"/>
  </r>
  <r>
    <x v="8"/>
    <x v="10"/>
    <s v="November"/>
    <s v="Division_A"/>
    <x v="37"/>
    <n v="2016"/>
    <n v="4"/>
    <s v="TM-2"/>
    <n v="20"/>
    <n v="2663"/>
    <s v="133.2"/>
    <x v="0"/>
    <n v="1.2390000000000001"/>
    <n v="24779.200000000001"/>
    <n v="24.779"/>
    <d v="2020-11-01T00:00:00"/>
    <x v="0"/>
    <x v="3"/>
  </r>
  <r>
    <x v="8"/>
    <x v="11"/>
    <s v="Desember"/>
    <s v="Division_A"/>
    <x v="37"/>
    <n v="2016"/>
    <n v="4"/>
    <s v="TM-2"/>
    <n v="20"/>
    <n v="2663"/>
    <s v="133.2"/>
    <x v="0"/>
    <n v="1.111"/>
    <n v="22222.400000000001"/>
    <n v="22.222000000000001"/>
    <d v="2020-12-01T00:00:00"/>
    <x v="0"/>
    <x v="3"/>
  </r>
  <r>
    <x v="8"/>
    <x v="0"/>
    <s v="Januari"/>
    <s v="Division_A"/>
    <x v="38"/>
    <n v="2016"/>
    <n v="4"/>
    <s v="TM-2"/>
    <n v="14"/>
    <n v="1746"/>
    <s v="124.7"/>
    <x v="0"/>
    <n v="0.63900000000000001"/>
    <n v="8948.7999999999993"/>
    <n v="8.9489999999999998"/>
    <d v="2020-01-01T00:00:00"/>
    <x v="0"/>
    <x v="3"/>
  </r>
  <r>
    <x v="8"/>
    <x v="1"/>
    <s v="Februari"/>
    <s v="Division_A"/>
    <x v="38"/>
    <n v="2016"/>
    <n v="4"/>
    <s v="TM-2"/>
    <n v="14"/>
    <n v="1746"/>
    <s v="124.7"/>
    <x v="0"/>
    <n v="0.64700000000000002"/>
    <n v="9063"/>
    <n v="9.0630000000000006"/>
    <d v="2020-02-01T00:00:00"/>
    <x v="0"/>
    <x v="3"/>
  </r>
  <r>
    <x v="8"/>
    <x v="2"/>
    <s v="Maret"/>
    <s v="Division_A"/>
    <x v="38"/>
    <n v="2016"/>
    <n v="4"/>
    <s v="TM-2"/>
    <n v="14"/>
    <n v="1746"/>
    <s v="124.7"/>
    <x v="0"/>
    <n v="0.748"/>
    <n v="10472"/>
    <n v="10.472"/>
    <d v="2020-03-01T00:00:00"/>
    <x v="0"/>
    <x v="3"/>
  </r>
  <r>
    <x v="8"/>
    <x v="3"/>
    <s v="April"/>
    <s v="Division_A"/>
    <x v="38"/>
    <n v="2016"/>
    <n v="4"/>
    <s v="TM-2"/>
    <n v="14"/>
    <n v="1746"/>
    <s v="124.7"/>
    <x v="0"/>
    <n v="1.3120000000000001"/>
    <n v="18364.099999999999"/>
    <n v="18.364000000000001"/>
    <d v="2020-04-01T00:00:00"/>
    <x v="0"/>
    <x v="3"/>
  </r>
  <r>
    <x v="8"/>
    <x v="4"/>
    <s v="Mei"/>
    <s v="Division_A"/>
    <x v="38"/>
    <n v="2016"/>
    <n v="4"/>
    <s v="TM-2"/>
    <n v="14"/>
    <n v="1746"/>
    <s v="124.7"/>
    <x v="0"/>
    <n v="1.468"/>
    <n v="20553.7"/>
    <n v="20.553999999999998"/>
    <d v="2020-05-01T00:00:00"/>
    <x v="0"/>
    <x v="3"/>
  </r>
  <r>
    <x v="8"/>
    <x v="5"/>
    <s v="Juni"/>
    <s v="Division_A"/>
    <x v="38"/>
    <n v="2016"/>
    <n v="4"/>
    <s v="TM-2"/>
    <n v="14"/>
    <n v="1746"/>
    <s v="124.7"/>
    <x v="0"/>
    <n v="1.5289999999999999"/>
    <n v="21410.5"/>
    <n v="21.41"/>
    <d v="2020-06-01T00:00:00"/>
    <x v="0"/>
    <x v="3"/>
  </r>
  <r>
    <x v="8"/>
    <x v="6"/>
    <s v="Juli"/>
    <s v="Division_A"/>
    <x v="38"/>
    <n v="2016"/>
    <n v="4"/>
    <s v="TM-2"/>
    <n v="14"/>
    <n v="1746"/>
    <s v="124.7"/>
    <x v="0"/>
    <n v="1.5629999999999999"/>
    <n v="21877"/>
    <n v="21.876999999999999"/>
    <d v="2020-07-01T00:00:00"/>
    <x v="0"/>
    <x v="3"/>
  </r>
  <r>
    <x v="8"/>
    <x v="7"/>
    <s v="Agustus"/>
    <s v="Division_A"/>
    <x v="38"/>
    <n v="2016"/>
    <n v="4"/>
    <s v="TM-2"/>
    <n v="14"/>
    <n v="1746"/>
    <s v="124.7"/>
    <x v="0"/>
    <n v="1.4930000000000001"/>
    <n v="20905.900000000001"/>
    <n v="20.905999999999999"/>
    <d v="2020-08-01T00:00:00"/>
    <x v="0"/>
    <x v="3"/>
  </r>
  <r>
    <x v="8"/>
    <x v="8"/>
    <s v="September"/>
    <s v="Division_A"/>
    <x v="38"/>
    <n v="2016"/>
    <n v="4"/>
    <s v="TM-2"/>
    <n v="14"/>
    <n v="1746"/>
    <s v="124.7"/>
    <x v="0"/>
    <n v="1.5720000000000001"/>
    <n v="22010.2"/>
    <n v="22.01"/>
    <d v="2020-09-01T00:00:00"/>
    <x v="0"/>
    <x v="3"/>
  </r>
  <r>
    <x v="8"/>
    <x v="9"/>
    <s v="Oktober"/>
    <s v="Division_A"/>
    <x v="38"/>
    <n v="2016"/>
    <n v="4"/>
    <s v="TM-2"/>
    <n v="14"/>
    <n v="1746"/>
    <s v="124.7"/>
    <x v="0"/>
    <n v="1.456"/>
    <n v="20382.3"/>
    <n v="20.382000000000001"/>
    <d v="2020-10-01T00:00:00"/>
    <x v="0"/>
    <x v="3"/>
  </r>
  <r>
    <x v="8"/>
    <x v="10"/>
    <s v="November"/>
    <s v="Division_A"/>
    <x v="38"/>
    <n v="2016"/>
    <n v="4"/>
    <s v="TM-2"/>
    <n v="14"/>
    <n v="1746"/>
    <s v="124.7"/>
    <x v="0"/>
    <n v="1.2390000000000001"/>
    <n v="17345.400000000001"/>
    <n v="17.344999999999999"/>
    <d v="2020-11-01T00:00:00"/>
    <x v="0"/>
    <x v="3"/>
  </r>
  <r>
    <x v="8"/>
    <x v="11"/>
    <s v="Desember"/>
    <s v="Division_A"/>
    <x v="38"/>
    <n v="2016"/>
    <n v="4"/>
    <s v="TM-2"/>
    <n v="14"/>
    <n v="1746"/>
    <s v="124.7"/>
    <x v="0"/>
    <n v="1.111"/>
    <n v="15555.7"/>
    <n v="15.555999999999999"/>
    <d v="2020-12-01T00:00:00"/>
    <x v="0"/>
    <x v="3"/>
  </r>
  <r>
    <x v="8"/>
    <x v="0"/>
    <s v="Januari"/>
    <s v="Division_A"/>
    <x v="39"/>
    <n v="2016"/>
    <n v="4"/>
    <s v="TM-2"/>
    <n v="24"/>
    <n v="3377"/>
    <s v="140.7"/>
    <x v="0"/>
    <n v="0.63900000000000001"/>
    <n v="15340.8"/>
    <n v="15.340999999999999"/>
    <d v="2020-01-01T00:00:00"/>
    <x v="0"/>
    <x v="3"/>
  </r>
  <r>
    <x v="8"/>
    <x v="1"/>
    <s v="Februari"/>
    <s v="Division_A"/>
    <x v="39"/>
    <n v="2016"/>
    <n v="4"/>
    <s v="TM-2"/>
    <n v="24"/>
    <n v="3377"/>
    <s v="140.7"/>
    <x v="0"/>
    <n v="0.64700000000000002"/>
    <n v="15536.6"/>
    <n v="15.537000000000001"/>
    <d v="2020-02-01T00:00:00"/>
    <x v="0"/>
    <x v="3"/>
  </r>
  <r>
    <x v="8"/>
    <x v="2"/>
    <s v="Maret"/>
    <s v="Division_A"/>
    <x v="39"/>
    <n v="2016"/>
    <n v="4"/>
    <s v="TM-2"/>
    <n v="24"/>
    <n v="3377"/>
    <s v="140.7"/>
    <x v="0"/>
    <n v="0.748"/>
    <n v="17952"/>
    <n v="17.952000000000002"/>
    <d v="2020-03-01T00:00:00"/>
    <x v="0"/>
    <x v="3"/>
  </r>
  <r>
    <x v="8"/>
    <x v="3"/>
    <s v="April"/>
    <s v="Division_A"/>
    <x v="39"/>
    <n v="2016"/>
    <n v="4"/>
    <s v="TM-2"/>
    <n v="24"/>
    <n v="3377"/>
    <s v="140.7"/>
    <x v="0"/>
    <n v="1.3120000000000001"/>
    <n v="31481.3"/>
    <n v="31.481000000000002"/>
    <d v="2020-04-01T00:00:00"/>
    <x v="0"/>
    <x v="3"/>
  </r>
  <r>
    <x v="8"/>
    <x v="4"/>
    <s v="Mei"/>
    <s v="Division_A"/>
    <x v="39"/>
    <n v="2016"/>
    <n v="4"/>
    <s v="TM-2"/>
    <n v="24"/>
    <n v="3377"/>
    <s v="140.7"/>
    <x v="0"/>
    <n v="1.468"/>
    <n v="35234.9"/>
    <n v="35.234999999999999"/>
    <d v="2020-05-01T00:00:00"/>
    <x v="0"/>
    <x v="3"/>
  </r>
  <r>
    <x v="8"/>
    <x v="5"/>
    <s v="Juni"/>
    <s v="Division_A"/>
    <x v="39"/>
    <n v="2016"/>
    <n v="4"/>
    <s v="TM-2"/>
    <n v="24"/>
    <n v="3377"/>
    <s v="140.7"/>
    <x v="0"/>
    <n v="1.5289999999999999"/>
    <n v="36703.699999999997"/>
    <n v="36.704000000000001"/>
    <d v="2020-06-01T00:00:00"/>
    <x v="0"/>
    <x v="3"/>
  </r>
  <r>
    <x v="8"/>
    <x v="6"/>
    <s v="Juli"/>
    <s v="Division_A"/>
    <x v="39"/>
    <n v="2016"/>
    <n v="4"/>
    <s v="TM-2"/>
    <n v="24"/>
    <n v="3377"/>
    <s v="140.7"/>
    <x v="0"/>
    <n v="1.5629999999999999"/>
    <n v="37503.4"/>
    <n v="37.503"/>
    <d v="2020-07-01T00:00:00"/>
    <x v="0"/>
    <x v="3"/>
  </r>
  <r>
    <x v="8"/>
    <x v="7"/>
    <s v="Agustus"/>
    <s v="Division_A"/>
    <x v="39"/>
    <n v="2016"/>
    <n v="4"/>
    <s v="TM-2"/>
    <n v="24"/>
    <n v="3377"/>
    <s v="140.7"/>
    <x v="0"/>
    <n v="1.4930000000000001"/>
    <n v="35838.699999999997"/>
    <n v="35.838999999999999"/>
    <d v="2020-08-01T00:00:00"/>
    <x v="0"/>
    <x v="3"/>
  </r>
  <r>
    <x v="8"/>
    <x v="8"/>
    <s v="September"/>
    <s v="Division_A"/>
    <x v="39"/>
    <n v="2016"/>
    <n v="4"/>
    <s v="TM-2"/>
    <n v="24"/>
    <n v="3377"/>
    <s v="140.7"/>
    <x v="0"/>
    <n v="1.5720000000000001"/>
    <n v="37731.800000000003"/>
    <n v="37.731999999999999"/>
    <d v="2020-09-01T00:00:00"/>
    <x v="0"/>
    <x v="3"/>
  </r>
  <r>
    <x v="8"/>
    <x v="9"/>
    <s v="Oktober"/>
    <s v="Division_A"/>
    <x v="39"/>
    <n v="2016"/>
    <n v="4"/>
    <s v="TM-2"/>
    <n v="24"/>
    <n v="3377"/>
    <s v="140.7"/>
    <x v="0"/>
    <n v="1.456"/>
    <n v="34941.1"/>
    <n v="34.941000000000003"/>
    <d v="2020-10-01T00:00:00"/>
    <x v="0"/>
    <x v="3"/>
  </r>
  <r>
    <x v="8"/>
    <x v="10"/>
    <s v="November"/>
    <s v="Division_A"/>
    <x v="39"/>
    <n v="2016"/>
    <n v="4"/>
    <s v="TM-2"/>
    <n v="24"/>
    <n v="3377"/>
    <s v="140.7"/>
    <x v="0"/>
    <n v="1.2390000000000001"/>
    <n v="29735"/>
    <n v="29.734999999999999"/>
    <d v="2020-11-01T00:00:00"/>
    <x v="0"/>
    <x v="3"/>
  </r>
  <r>
    <x v="8"/>
    <x v="11"/>
    <s v="Desember"/>
    <s v="Division_A"/>
    <x v="39"/>
    <n v="2016"/>
    <n v="4"/>
    <s v="TM-2"/>
    <n v="24"/>
    <n v="3377"/>
    <s v="140.7"/>
    <x v="0"/>
    <n v="1.111"/>
    <n v="26666.9"/>
    <n v="26.667000000000002"/>
    <d v="2020-12-01T00:00:00"/>
    <x v="0"/>
    <x v="3"/>
  </r>
  <r>
    <x v="8"/>
    <x v="0"/>
    <s v="Januari"/>
    <s v="Division_A"/>
    <x v="40"/>
    <n v="2016"/>
    <n v="4"/>
    <s v="TM-2"/>
    <n v="25"/>
    <n v="3431"/>
    <s v="137.2"/>
    <x v="0"/>
    <n v="0.63900000000000001"/>
    <n v="15980"/>
    <n v="15.98"/>
    <d v="2020-01-01T00:00:00"/>
    <x v="0"/>
    <x v="3"/>
  </r>
  <r>
    <x v="8"/>
    <x v="1"/>
    <s v="Februari"/>
    <s v="Division_A"/>
    <x v="40"/>
    <n v="2016"/>
    <n v="4"/>
    <s v="TM-2"/>
    <n v="25"/>
    <n v="3431"/>
    <s v="137.2"/>
    <x v="0"/>
    <n v="0.64700000000000002"/>
    <n v="16184"/>
    <n v="16.184000000000001"/>
    <d v="2020-02-01T00:00:00"/>
    <x v="0"/>
    <x v="3"/>
  </r>
  <r>
    <x v="8"/>
    <x v="2"/>
    <s v="Maret"/>
    <s v="Division_A"/>
    <x v="40"/>
    <n v="2016"/>
    <n v="4"/>
    <s v="TM-2"/>
    <n v="25"/>
    <n v="3431"/>
    <s v="137.2"/>
    <x v="0"/>
    <n v="0.748"/>
    <n v="18700"/>
    <n v="18.7"/>
    <d v="2020-03-01T00:00:00"/>
    <x v="0"/>
    <x v="3"/>
  </r>
  <r>
    <x v="8"/>
    <x v="3"/>
    <s v="April"/>
    <s v="Division_A"/>
    <x v="40"/>
    <n v="2016"/>
    <n v="4"/>
    <s v="TM-2"/>
    <n v="25"/>
    <n v="3431"/>
    <s v="137.2"/>
    <x v="0"/>
    <n v="1.3120000000000001"/>
    <n v="32793"/>
    <n v="32.792999999999999"/>
    <d v="2020-04-01T00:00:00"/>
    <x v="0"/>
    <x v="3"/>
  </r>
  <r>
    <x v="8"/>
    <x v="4"/>
    <s v="Mei"/>
    <s v="Division_A"/>
    <x v="40"/>
    <n v="2016"/>
    <n v="4"/>
    <s v="TM-2"/>
    <n v="25"/>
    <n v="3431"/>
    <s v="137.2"/>
    <x v="0"/>
    <n v="1.468"/>
    <n v="36703"/>
    <n v="36.703000000000003"/>
    <d v="2020-05-01T00:00:00"/>
    <x v="0"/>
    <x v="3"/>
  </r>
  <r>
    <x v="8"/>
    <x v="5"/>
    <s v="Juni"/>
    <s v="Division_A"/>
    <x v="40"/>
    <n v="2016"/>
    <n v="4"/>
    <s v="TM-2"/>
    <n v="25"/>
    <n v="3431"/>
    <s v="137.2"/>
    <x v="0"/>
    <n v="1.5289999999999999"/>
    <n v="38233"/>
    <n v="38.232999999999997"/>
    <d v="2020-06-01T00:00:00"/>
    <x v="0"/>
    <x v="3"/>
  </r>
  <r>
    <x v="8"/>
    <x v="6"/>
    <s v="Juli"/>
    <s v="Division_A"/>
    <x v="40"/>
    <n v="2016"/>
    <n v="4"/>
    <s v="TM-2"/>
    <n v="25"/>
    <n v="3431"/>
    <s v="137.2"/>
    <x v="0"/>
    <n v="1.5629999999999999"/>
    <n v="39066"/>
    <n v="39.066000000000003"/>
    <d v="2020-07-01T00:00:00"/>
    <x v="0"/>
    <x v="3"/>
  </r>
  <r>
    <x v="8"/>
    <x v="7"/>
    <s v="Agustus"/>
    <s v="Division_A"/>
    <x v="40"/>
    <n v="2016"/>
    <n v="4"/>
    <s v="TM-2"/>
    <n v="25"/>
    <n v="3431"/>
    <s v="137.2"/>
    <x v="0"/>
    <n v="1.4930000000000001"/>
    <n v="37332"/>
    <n v="37.332000000000001"/>
    <d v="2020-08-01T00:00:00"/>
    <x v="0"/>
    <x v="3"/>
  </r>
  <r>
    <x v="8"/>
    <x v="8"/>
    <s v="September"/>
    <s v="Division_A"/>
    <x v="40"/>
    <n v="2016"/>
    <n v="4"/>
    <s v="TM-2"/>
    <n v="25"/>
    <n v="3431"/>
    <s v="137.2"/>
    <x v="0"/>
    <n v="1.5720000000000001"/>
    <n v="39304"/>
    <n v="39.304000000000002"/>
    <d v="2020-09-01T00:00:00"/>
    <x v="0"/>
    <x v="3"/>
  </r>
  <r>
    <x v="8"/>
    <x v="9"/>
    <s v="Oktober"/>
    <s v="Division_A"/>
    <x v="40"/>
    <n v="2016"/>
    <n v="4"/>
    <s v="TM-2"/>
    <n v="25"/>
    <n v="3431"/>
    <s v="137.2"/>
    <x v="0"/>
    <n v="1.456"/>
    <n v="36397"/>
    <n v="36.396999999999998"/>
    <d v="2020-10-01T00:00:00"/>
    <x v="0"/>
    <x v="3"/>
  </r>
  <r>
    <x v="8"/>
    <x v="10"/>
    <s v="November"/>
    <s v="Division_A"/>
    <x v="40"/>
    <n v="2016"/>
    <n v="4"/>
    <s v="TM-2"/>
    <n v="25"/>
    <n v="3431"/>
    <s v="137.2"/>
    <x v="0"/>
    <n v="1.2390000000000001"/>
    <n v="30974"/>
    <n v="30.974"/>
    <d v="2020-11-01T00:00:00"/>
    <x v="0"/>
    <x v="3"/>
  </r>
  <r>
    <x v="8"/>
    <x v="11"/>
    <s v="Desember"/>
    <s v="Division_A"/>
    <x v="40"/>
    <n v="2016"/>
    <n v="4"/>
    <s v="TM-2"/>
    <n v="25"/>
    <n v="3431"/>
    <s v="137.2"/>
    <x v="0"/>
    <n v="1.111"/>
    <n v="27778"/>
    <n v="27.777999999999999"/>
    <d v="2020-12-01T00:00:00"/>
    <x v="0"/>
    <x v="3"/>
  </r>
  <r>
    <x v="8"/>
    <x v="0"/>
    <s v="Januari"/>
    <s v="Division_A"/>
    <x v="41"/>
    <n v="2016"/>
    <n v="4"/>
    <s v="TM-2"/>
    <n v="21"/>
    <n v="2901"/>
    <s v="138.1"/>
    <x v="0"/>
    <n v="0.63900000000000001"/>
    <n v="13423.2"/>
    <n v="13.423"/>
    <d v="2020-01-01T00:00:00"/>
    <x v="0"/>
    <x v="3"/>
  </r>
  <r>
    <x v="8"/>
    <x v="1"/>
    <s v="Februari"/>
    <s v="Division_A"/>
    <x v="41"/>
    <n v="2016"/>
    <n v="4"/>
    <s v="TM-2"/>
    <n v="21"/>
    <n v="2901"/>
    <s v="138.1"/>
    <x v="0"/>
    <n v="0.64700000000000002"/>
    <n v="13594.6"/>
    <n v="13.595000000000001"/>
    <d v="2020-02-01T00:00:00"/>
    <x v="0"/>
    <x v="3"/>
  </r>
  <r>
    <x v="8"/>
    <x v="2"/>
    <s v="Maret"/>
    <s v="Division_A"/>
    <x v="41"/>
    <n v="2016"/>
    <n v="4"/>
    <s v="TM-2"/>
    <n v="21"/>
    <n v="2901"/>
    <s v="138.1"/>
    <x v="0"/>
    <n v="0.748"/>
    <n v="15708"/>
    <n v="15.708"/>
    <d v="2020-03-01T00:00:00"/>
    <x v="0"/>
    <x v="3"/>
  </r>
  <r>
    <x v="8"/>
    <x v="3"/>
    <s v="April"/>
    <s v="Division_A"/>
    <x v="41"/>
    <n v="2016"/>
    <n v="4"/>
    <s v="TM-2"/>
    <n v="21"/>
    <n v="2901"/>
    <s v="138.1"/>
    <x v="0"/>
    <n v="1.3120000000000001"/>
    <n v="27546.1"/>
    <n v="27.545999999999999"/>
    <d v="2020-04-01T00:00:00"/>
    <x v="0"/>
    <x v="3"/>
  </r>
  <r>
    <x v="8"/>
    <x v="4"/>
    <s v="Mei"/>
    <s v="Division_A"/>
    <x v="41"/>
    <n v="2016"/>
    <n v="4"/>
    <s v="TM-2"/>
    <n v="21"/>
    <n v="2901"/>
    <s v="138.1"/>
    <x v="0"/>
    <n v="1.468"/>
    <n v="30830.5"/>
    <n v="30.831"/>
    <d v="2020-05-01T00:00:00"/>
    <x v="0"/>
    <x v="3"/>
  </r>
  <r>
    <x v="8"/>
    <x v="5"/>
    <s v="Juni"/>
    <s v="Division_A"/>
    <x v="41"/>
    <n v="2016"/>
    <n v="4"/>
    <s v="TM-2"/>
    <n v="21"/>
    <n v="2901"/>
    <s v="138.1"/>
    <x v="0"/>
    <n v="1.5289999999999999"/>
    <n v="32115.7"/>
    <n v="32.116"/>
    <d v="2020-06-01T00:00:00"/>
    <x v="0"/>
    <x v="3"/>
  </r>
  <r>
    <x v="8"/>
    <x v="6"/>
    <s v="Juli"/>
    <s v="Division_A"/>
    <x v="41"/>
    <n v="2016"/>
    <n v="4"/>
    <s v="TM-2"/>
    <n v="21"/>
    <n v="2901"/>
    <s v="138.1"/>
    <x v="0"/>
    <n v="1.5629999999999999"/>
    <n v="32815.4"/>
    <n v="32.814999999999998"/>
    <d v="2020-07-01T00:00:00"/>
    <x v="0"/>
    <x v="3"/>
  </r>
  <r>
    <x v="8"/>
    <x v="7"/>
    <s v="Agustus"/>
    <s v="Division_A"/>
    <x v="41"/>
    <n v="2016"/>
    <n v="4"/>
    <s v="TM-2"/>
    <n v="21"/>
    <n v="2901"/>
    <s v="138.1"/>
    <x v="0"/>
    <n v="1.4930000000000001"/>
    <n v="31358.9"/>
    <n v="31.359000000000002"/>
    <d v="2020-08-01T00:00:00"/>
    <x v="0"/>
    <x v="3"/>
  </r>
  <r>
    <x v="8"/>
    <x v="8"/>
    <s v="September"/>
    <s v="Division_A"/>
    <x v="41"/>
    <n v="2016"/>
    <n v="4"/>
    <s v="TM-2"/>
    <n v="21"/>
    <n v="2901"/>
    <s v="138.1"/>
    <x v="0"/>
    <n v="1.5720000000000001"/>
    <n v="33015.4"/>
    <n v="33.015000000000001"/>
    <d v="2020-09-01T00:00:00"/>
    <x v="0"/>
    <x v="3"/>
  </r>
  <r>
    <x v="8"/>
    <x v="9"/>
    <s v="Oktober"/>
    <s v="Division_A"/>
    <x v="41"/>
    <n v="2016"/>
    <n v="4"/>
    <s v="TM-2"/>
    <n v="21"/>
    <n v="2901"/>
    <s v="138.1"/>
    <x v="0"/>
    <n v="1.456"/>
    <n v="30573.5"/>
    <n v="30.573"/>
    <d v="2020-10-01T00:00:00"/>
    <x v="0"/>
    <x v="3"/>
  </r>
  <r>
    <x v="8"/>
    <x v="10"/>
    <s v="November"/>
    <s v="Division_A"/>
    <x v="41"/>
    <n v="2016"/>
    <n v="4"/>
    <s v="TM-2"/>
    <n v="21"/>
    <n v="2901"/>
    <s v="138.1"/>
    <x v="0"/>
    <n v="1.2390000000000001"/>
    <n v="26018.2"/>
    <n v="26.018000000000001"/>
    <d v="2020-11-01T00:00:00"/>
    <x v="0"/>
    <x v="3"/>
  </r>
  <r>
    <x v="8"/>
    <x v="11"/>
    <s v="Desember"/>
    <s v="Division_A"/>
    <x v="41"/>
    <n v="2016"/>
    <n v="4"/>
    <s v="TM-2"/>
    <n v="21"/>
    <n v="2901"/>
    <s v="138.1"/>
    <x v="0"/>
    <n v="1.111"/>
    <n v="23333.5"/>
    <n v="23.334"/>
    <d v="2020-12-01T00:00:00"/>
    <x v="0"/>
    <x v="3"/>
  </r>
  <r>
    <x v="9"/>
    <x v="0"/>
    <s v="Januari"/>
    <s v="Division_A"/>
    <x v="0"/>
    <n v="2000"/>
    <n v="21"/>
    <s v="TM-Tua"/>
    <n v="19"/>
    <n v="1490"/>
    <s v="78.4"/>
    <x v="0"/>
    <n v="0.33500000000000002"/>
    <n v="6369.8"/>
    <n v="6.37"/>
    <d v="2021-01-01T00:00:00"/>
    <x v="0"/>
    <x v="4"/>
  </r>
  <r>
    <x v="9"/>
    <x v="1"/>
    <s v="Februari"/>
    <s v="Division_A"/>
    <x v="0"/>
    <n v="2000"/>
    <n v="21"/>
    <s v="TM-Tua"/>
    <n v="19"/>
    <n v="1490"/>
    <s v="78.4"/>
    <x v="0"/>
    <n v="0.55700000000000005"/>
    <n v="10575.8"/>
    <n v="10.576000000000001"/>
    <d v="2021-02-01T00:00:00"/>
    <x v="0"/>
    <x v="4"/>
  </r>
  <r>
    <x v="9"/>
    <x v="2"/>
    <s v="Maret"/>
    <s v="Division_A"/>
    <x v="0"/>
    <n v="2000"/>
    <n v="21"/>
    <s v="TM-Tua"/>
    <n v="19"/>
    <n v="1490"/>
    <s v="78.4"/>
    <x v="0"/>
    <n v="0.90700000000000003"/>
    <n v="17228.7"/>
    <n v="17.228999999999999"/>
    <d v="2021-03-01T00:00:00"/>
    <x v="0"/>
    <x v="4"/>
  </r>
  <r>
    <x v="9"/>
    <x v="3"/>
    <s v="April"/>
    <s v="Division_A"/>
    <x v="0"/>
    <n v="2000"/>
    <n v="21"/>
    <s v="TM-Tua"/>
    <n v="19"/>
    <n v="1490"/>
    <s v="78.4"/>
    <x v="0"/>
    <n v="1.0529999999999999"/>
    <n v="20009.099999999999"/>
    <n v="20.009"/>
    <d v="2021-04-01T00:00:00"/>
    <x v="0"/>
    <x v="4"/>
  </r>
  <r>
    <x v="9"/>
    <x v="4"/>
    <s v="Mei"/>
    <s v="Division_A"/>
    <x v="0"/>
    <n v="2000"/>
    <n v="21"/>
    <s v="TM-Tua"/>
    <n v="19"/>
    <n v="1490"/>
    <s v="78.4"/>
    <x v="0"/>
    <n v="1.026"/>
    <n v="19493.5"/>
    <n v="19.492999999999999"/>
    <d v="2021-05-01T00:00:00"/>
    <x v="0"/>
    <x v="4"/>
  </r>
  <r>
    <x v="9"/>
    <x v="5"/>
    <s v="Juni"/>
    <s v="Division_A"/>
    <x v="0"/>
    <n v="2000"/>
    <n v="21"/>
    <s v="TM-Tua"/>
    <n v="19"/>
    <n v="1490"/>
    <s v="78.4"/>
    <x v="0"/>
    <n v="1.0049999999999999"/>
    <n v="19099.099999999999"/>
    <n v="19.099"/>
    <d v="2021-06-01T00:00:00"/>
    <x v="0"/>
    <x v="4"/>
  </r>
  <r>
    <x v="9"/>
    <x v="6"/>
    <s v="Juli"/>
    <s v="Division_A"/>
    <x v="0"/>
    <n v="2000"/>
    <n v="21"/>
    <s v="TM-Tua"/>
    <n v="19"/>
    <n v="1490"/>
    <s v="78.4"/>
    <x v="0"/>
    <n v="1.149"/>
    <n v="21839.1"/>
    <n v="21.838999999999999"/>
    <d v="2021-07-01T00:00:00"/>
    <x v="0"/>
    <x v="4"/>
  </r>
  <r>
    <x v="9"/>
    <x v="7"/>
    <s v="Agustus"/>
    <s v="Division_A"/>
    <x v="0"/>
    <n v="2000"/>
    <n v="21"/>
    <s v="TM-Tua"/>
    <n v="19"/>
    <n v="1490"/>
    <s v="78.4"/>
    <x v="0"/>
    <n v="1.111"/>
    <n v="21111.200000000001"/>
    <n v="21.111000000000001"/>
    <d v="2021-08-01T00:00:00"/>
    <x v="0"/>
    <x v="4"/>
  </r>
  <r>
    <x v="9"/>
    <x v="8"/>
    <s v="September"/>
    <s v="Division_A"/>
    <x v="0"/>
    <n v="2000"/>
    <n v="21"/>
    <s v="TM-Tua"/>
    <n v="19"/>
    <n v="1490"/>
    <s v="78.4"/>
    <x v="0"/>
    <n v="1.0620000000000001"/>
    <n v="20170.900000000001"/>
    <n v="20.170999999999999"/>
    <d v="2021-09-01T00:00:00"/>
    <x v="0"/>
    <x v="4"/>
  </r>
  <r>
    <x v="9"/>
    <x v="9"/>
    <s v="Oktober"/>
    <s v="Division_A"/>
    <x v="0"/>
    <n v="2000"/>
    <n v="21"/>
    <s v="TM-Tua"/>
    <n v="19"/>
    <n v="1490"/>
    <s v="78.4"/>
    <x v="0"/>
    <n v="1.123"/>
    <n v="21343.7"/>
    <n v="21.344000000000001"/>
    <d v="2021-10-01T00:00:00"/>
    <x v="0"/>
    <x v="4"/>
  </r>
  <r>
    <x v="9"/>
    <x v="10"/>
    <s v="November"/>
    <s v="Division_A"/>
    <x v="0"/>
    <n v="2000"/>
    <n v="21"/>
    <s v="TM-Tua"/>
    <n v="19"/>
    <n v="1490"/>
    <s v="78.4"/>
    <x v="0"/>
    <n v="1.095"/>
    <n v="20797.7"/>
    <n v="20.797999999999998"/>
    <d v="2021-11-01T00:00:00"/>
    <x v="0"/>
    <x v="4"/>
  </r>
  <r>
    <x v="9"/>
    <x v="11"/>
    <s v="Desember"/>
    <s v="Division_A"/>
    <x v="0"/>
    <n v="2000"/>
    <n v="21"/>
    <s v="TM-Tua"/>
    <n v="19"/>
    <n v="1490"/>
    <s v="78.4"/>
    <x v="0"/>
    <n v="1.111"/>
    <n v="21101.1"/>
    <n v="21.100999999999999"/>
    <d v="2021-12-01T00:00:00"/>
    <x v="0"/>
    <x v="4"/>
  </r>
  <r>
    <x v="9"/>
    <x v="0"/>
    <s v="Januari"/>
    <s v="Division_A"/>
    <x v="1"/>
    <n v="2000"/>
    <n v="21"/>
    <s v="TM-Tua"/>
    <n v="24"/>
    <n v="1675"/>
    <s v="69.8"/>
    <x v="0"/>
    <n v="0.29799999999999999"/>
    <n v="7160.6"/>
    <n v="7.1609999999999996"/>
    <d v="2021-01-01T00:00:00"/>
    <x v="0"/>
    <x v="4"/>
  </r>
  <r>
    <x v="9"/>
    <x v="1"/>
    <s v="Februari"/>
    <s v="Division_A"/>
    <x v="1"/>
    <n v="2000"/>
    <n v="21"/>
    <s v="TM-Tua"/>
    <n v="24"/>
    <n v="1675"/>
    <s v="69.8"/>
    <x v="0"/>
    <n v="0.495"/>
    <n v="11888.9"/>
    <n v="11.888999999999999"/>
    <d v="2021-02-01T00:00:00"/>
    <x v="0"/>
    <x v="4"/>
  </r>
  <r>
    <x v="9"/>
    <x v="2"/>
    <s v="Maret"/>
    <s v="Division_A"/>
    <x v="1"/>
    <n v="2000"/>
    <n v="21"/>
    <s v="TM-Tua"/>
    <n v="24"/>
    <n v="1675"/>
    <s v="69.8"/>
    <x v="0"/>
    <n v="0.80700000000000005"/>
    <n v="19367.8"/>
    <n v="19.367999999999999"/>
    <d v="2021-03-01T00:00:00"/>
    <x v="0"/>
    <x v="4"/>
  </r>
  <r>
    <x v="9"/>
    <x v="3"/>
    <s v="April"/>
    <s v="Division_A"/>
    <x v="1"/>
    <n v="2000"/>
    <n v="21"/>
    <s v="TM-Tua"/>
    <n v="24"/>
    <n v="1675"/>
    <s v="69.8"/>
    <x v="0"/>
    <n v="0.93700000000000006"/>
    <n v="22493.5"/>
    <n v="22.492999999999999"/>
    <d v="2021-04-01T00:00:00"/>
    <x v="0"/>
    <x v="4"/>
  </r>
  <r>
    <x v="9"/>
    <x v="4"/>
    <s v="Mei"/>
    <s v="Division_A"/>
    <x v="1"/>
    <n v="2000"/>
    <n v="21"/>
    <s v="TM-Tua"/>
    <n v="24"/>
    <n v="1675"/>
    <s v="69.8"/>
    <x v="0"/>
    <n v="0.91300000000000003"/>
    <n v="21913.8"/>
    <n v="21.914000000000001"/>
    <d v="2021-05-01T00:00:00"/>
    <x v="0"/>
    <x v="4"/>
  </r>
  <r>
    <x v="9"/>
    <x v="5"/>
    <s v="Juni"/>
    <s v="Division_A"/>
    <x v="1"/>
    <n v="2000"/>
    <n v="21"/>
    <s v="TM-Tua"/>
    <n v="24"/>
    <n v="1675"/>
    <s v="69.8"/>
    <x v="0"/>
    <n v="0.89500000000000002"/>
    <n v="21470.5"/>
    <n v="21.471"/>
    <d v="2021-06-01T00:00:00"/>
    <x v="0"/>
    <x v="4"/>
  </r>
  <r>
    <x v="9"/>
    <x v="6"/>
    <s v="Juli"/>
    <s v="Division_A"/>
    <x v="1"/>
    <n v="2000"/>
    <n v="21"/>
    <s v="TM-Tua"/>
    <n v="24"/>
    <n v="1675"/>
    <s v="69.8"/>
    <x v="0"/>
    <n v="1.0229999999999999"/>
    <n v="24550.7"/>
    <n v="24.550999999999998"/>
    <d v="2021-07-01T00:00:00"/>
    <x v="0"/>
    <x v="4"/>
  </r>
  <r>
    <x v="9"/>
    <x v="7"/>
    <s v="Agustus"/>
    <s v="Division_A"/>
    <x v="1"/>
    <n v="2000"/>
    <n v="21"/>
    <s v="TM-Tua"/>
    <n v="24"/>
    <n v="1675"/>
    <s v="69.8"/>
    <x v="0"/>
    <n v="0.98899999999999999"/>
    <n v="23732.400000000001"/>
    <n v="23.731999999999999"/>
    <d v="2021-08-01T00:00:00"/>
    <x v="0"/>
    <x v="4"/>
  </r>
  <r>
    <x v="9"/>
    <x v="8"/>
    <s v="September"/>
    <s v="Division_A"/>
    <x v="1"/>
    <n v="2000"/>
    <n v="21"/>
    <s v="TM-Tua"/>
    <n v="24"/>
    <n v="1675"/>
    <s v="69.8"/>
    <x v="0"/>
    <n v="0.94499999999999995"/>
    <n v="22675.3"/>
    <n v="22.675000000000001"/>
    <d v="2021-09-01T00:00:00"/>
    <x v="0"/>
    <x v="4"/>
  </r>
  <r>
    <x v="9"/>
    <x v="9"/>
    <s v="Oktober"/>
    <s v="Division_A"/>
    <x v="1"/>
    <n v="2000"/>
    <n v="21"/>
    <s v="TM-Tua"/>
    <n v="24"/>
    <n v="1675"/>
    <s v="69.8"/>
    <x v="0"/>
    <n v="1"/>
    <n v="23993.8"/>
    <n v="23.994"/>
    <d v="2021-10-01T00:00:00"/>
    <x v="0"/>
    <x v="4"/>
  </r>
  <r>
    <x v="9"/>
    <x v="10"/>
    <s v="November"/>
    <s v="Division_A"/>
    <x v="1"/>
    <n v="2000"/>
    <n v="21"/>
    <s v="TM-Tua"/>
    <n v="24"/>
    <n v="1675"/>
    <s v="69.8"/>
    <x v="0"/>
    <n v="0.97399999999999998"/>
    <n v="23380"/>
    <n v="23.38"/>
    <d v="2021-11-01T00:00:00"/>
    <x v="0"/>
    <x v="4"/>
  </r>
  <r>
    <x v="9"/>
    <x v="11"/>
    <s v="Desember"/>
    <s v="Division_A"/>
    <x v="1"/>
    <n v="2000"/>
    <n v="21"/>
    <s v="TM-Tua"/>
    <n v="24"/>
    <n v="1675"/>
    <s v="69.8"/>
    <x v="0"/>
    <n v="0.98799999999999999"/>
    <n v="23721"/>
    <n v="23.721"/>
    <d v="2021-12-01T00:00:00"/>
    <x v="0"/>
    <x v="4"/>
  </r>
  <r>
    <x v="9"/>
    <x v="0"/>
    <s v="Januari"/>
    <s v="Division_A"/>
    <x v="2"/>
    <n v="2005"/>
    <n v="16"/>
    <s v="TM-Utama"/>
    <n v="18"/>
    <n v="1922"/>
    <s v="106.8"/>
    <x v="0"/>
    <n v="0.505"/>
    <n v="9081.5"/>
    <n v="9.0809999999999995"/>
    <d v="2021-01-01T00:00:00"/>
    <x v="0"/>
    <x v="0"/>
  </r>
  <r>
    <x v="9"/>
    <x v="1"/>
    <s v="Februari"/>
    <s v="Division_A"/>
    <x v="2"/>
    <n v="2005"/>
    <n v="16"/>
    <s v="TM-Utama"/>
    <n v="18"/>
    <n v="1922"/>
    <s v="106.8"/>
    <x v="0"/>
    <n v="0.83799999999999997"/>
    <n v="15078.1"/>
    <n v="15.077999999999999"/>
    <d v="2021-02-01T00:00:00"/>
    <x v="0"/>
    <x v="0"/>
  </r>
  <r>
    <x v="9"/>
    <x v="2"/>
    <s v="Maret"/>
    <s v="Division_A"/>
    <x v="2"/>
    <n v="2005"/>
    <n v="16"/>
    <s v="TM-Utama"/>
    <n v="18"/>
    <n v="1922"/>
    <s v="106.8"/>
    <x v="0"/>
    <n v="1.365"/>
    <n v="24563.200000000001"/>
    <n v="24.562999999999999"/>
    <d v="2021-03-01T00:00:00"/>
    <x v="0"/>
    <x v="0"/>
  </r>
  <r>
    <x v="9"/>
    <x v="3"/>
    <s v="April"/>
    <s v="Division_A"/>
    <x v="2"/>
    <n v="2005"/>
    <n v="16"/>
    <s v="TM-Utama"/>
    <n v="18"/>
    <n v="1922"/>
    <s v="106.8"/>
    <x v="0"/>
    <n v="1.585"/>
    <n v="28527.3"/>
    <n v="28.527000000000001"/>
    <d v="2021-04-01T00:00:00"/>
    <x v="0"/>
    <x v="0"/>
  </r>
  <r>
    <x v="9"/>
    <x v="4"/>
    <s v="Mei"/>
    <s v="Division_A"/>
    <x v="2"/>
    <n v="2005"/>
    <n v="16"/>
    <s v="TM-Utama"/>
    <n v="18"/>
    <n v="1922"/>
    <s v="106.8"/>
    <x v="0"/>
    <n v="1.544"/>
    <n v="27792.1"/>
    <n v="27.792000000000002"/>
    <d v="2021-05-01T00:00:00"/>
    <x v="0"/>
    <x v="0"/>
  </r>
  <r>
    <x v="9"/>
    <x v="5"/>
    <s v="Juni"/>
    <s v="Division_A"/>
    <x v="2"/>
    <n v="2005"/>
    <n v="16"/>
    <s v="TM-Utama"/>
    <n v="18"/>
    <n v="1922"/>
    <s v="106.8"/>
    <x v="0"/>
    <n v="1.5129999999999999"/>
    <n v="27229.9"/>
    <n v="27.23"/>
    <d v="2021-06-01T00:00:00"/>
    <x v="0"/>
    <x v="0"/>
  </r>
  <r>
    <x v="9"/>
    <x v="6"/>
    <s v="Juli"/>
    <s v="Division_A"/>
    <x v="2"/>
    <n v="2005"/>
    <n v="16"/>
    <s v="TM-Utama"/>
    <n v="18"/>
    <n v="1922"/>
    <s v="106.8"/>
    <x v="0"/>
    <n v="1.73"/>
    <n v="31136.400000000001"/>
    <n v="31.135999999999999"/>
    <d v="2021-07-01T00:00:00"/>
    <x v="0"/>
    <x v="0"/>
  </r>
  <r>
    <x v="9"/>
    <x v="7"/>
    <s v="Agustus"/>
    <s v="Division_A"/>
    <x v="2"/>
    <n v="2005"/>
    <n v="16"/>
    <s v="TM-Utama"/>
    <n v="18"/>
    <n v="1922"/>
    <s v="106.8"/>
    <x v="0"/>
    <n v="1.6719999999999999"/>
    <n v="30098.5"/>
    <n v="30.099"/>
    <d v="2021-08-01T00:00:00"/>
    <x v="0"/>
    <x v="0"/>
  </r>
  <r>
    <x v="9"/>
    <x v="8"/>
    <s v="September"/>
    <s v="Division_A"/>
    <x v="2"/>
    <n v="2005"/>
    <n v="16"/>
    <s v="TM-Utama"/>
    <n v="18"/>
    <n v="1922"/>
    <s v="106.8"/>
    <x v="0"/>
    <n v="1.5980000000000001"/>
    <n v="28757.9"/>
    <n v="28.757999999999999"/>
    <d v="2021-09-01T00:00:00"/>
    <x v="0"/>
    <x v="0"/>
  </r>
  <r>
    <x v="9"/>
    <x v="9"/>
    <s v="Oktober"/>
    <s v="Division_A"/>
    <x v="2"/>
    <n v="2005"/>
    <n v="16"/>
    <s v="TM-Utama"/>
    <n v="18"/>
    <n v="1922"/>
    <s v="106.8"/>
    <x v="0"/>
    <n v="1.6910000000000001"/>
    <n v="30430.1"/>
    <n v="30.43"/>
    <d v="2021-10-01T00:00:00"/>
    <x v="0"/>
    <x v="0"/>
  </r>
  <r>
    <x v="9"/>
    <x v="10"/>
    <s v="November"/>
    <s v="Division_A"/>
    <x v="2"/>
    <n v="2005"/>
    <n v="16"/>
    <s v="TM-Utama"/>
    <n v="18"/>
    <n v="1922"/>
    <s v="106.8"/>
    <x v="0"/>
    <n v="1.647"/>
    <n v="29651.7"/>
    <n v="29.652000000000001"/>
    <d v="2021-11-01T00:00:00"/>
    <x v="0"/>
    <x v="0"/>
  </r>
  <r>
    <x v="9"/>
    <x v="11"/>
    <s v="Desember"/>
    <s v="Division_A"/>
    <x v="2"/>
    <n v="2005"/>
    <n v="16"/>
    <s v="TM-Utama"/>
    <n v="18"/>
    <n v="1922"/>
    <s v="106.8"/>
    <x v="0"/>
    <n v="1.671"/>
    <n v="30084.1"/>
    <n v="30.084"/>
    <d v="2021-12-01T00:00:00"/>
    <x v="0"/>
    <x v="0"/>
  </r>
  <r>
    <x v="9"/>
    <x v="0"/>
    <s v="Januari"/>
    <s v="Division_A"/>
    <x v="3"/>
    <n v="2005"/>
    <n v="16"/>
    <s v="TM-Utama"/>
    <n v="26"/>
    <n v="2827"/>
    <s v="108.7"/>
    <x v="0"/>
    <n v="0.51400000000000001"/>
    <n v="13357.6"/>
    <n v="13.358000000000001"/>
    <d v="2021-01-01T00:00:00"/>
    <x v="0"/>
    <x v="0"/>
  </r>
  <r>
    <x v="9"/>
    <x v="1"/>
    <s v="Februari"/>
    <s v="Division_A"/>
    <x v="3"/>
    <n v="2005"/>
    <n v="16"/>
    <s v="TM-Utama"/>
    <n v="26"/>
    <n v="2827"/>
    <s v="108.7"/>
    <x v="0"/>
    <n v="0.85299999999999998"/>
    <n v="22177.8"/>
    <n v="22.178000000000001"/>
    <d v="2021-02-01T00:00:00"/>
    <x v="0"/>
    <x v="0"/>
  </r>
  <r>
    <x v="9"/>
    <x v="2"/>
    <s v="Maret"/>
    <s v="Division_A"/>
    <x v="3"/>
    <n v="2005"/>
    <n v="16"/>
    <s v="TM-Utama"/>
    <n v="26"/>
    <n v="2827"/>
    <s v="108.7"/>
    <x v="0"/>
    <n v="1.39"/>
    <n v="36129.1"/>
    <n v="36.128999999999998"/>
    <d v="2021-03-01T00:00:00"/>
    <x v="0"/>
    <x v="0"/>
  </r>
  <r>
    <x v="9"/>
    <x v="3"/>
    <s v="April"/>
    <s v="Division_A"/>
    <x v="3"/>
    <n v="2005"/>
    <n v="16"/>
    <s v="TM-Utama"/>
    <n v="26"/>
    <n v="2827"/>
    <s v="108.7"/>
    <x v="0"/>
    <n v="1.6140000000000001"/>
    <n v="41959.7"/>
    <n v="41.96"/>
    <d v="2021-04-01T00:00:00"/>
    <x v="0"/>
    <x v="0"/>
  </r>
  <r>
    <x v="9"/>
    <x v="4"/>
    <s v="Mei"/>
    <s v="Division_A"/>
    <x v="3"/>
    <n v="2005"/>
    <n v="16"/>
    <s v="TM-Utama"/>
    <n v="26"/>
    <n v="2827"/>
    <s v="108.7"/>
    <x v="0"/>
    <n v="1.5720000000000001"/>
    <n v="40878.400000000001"/>
    <n v="40.878"/>
    <d v="2021-05-01T00:00:00"/>
    <x v="0"/>
    <x v="0"/>
  </r>
  <r>
    <x v="9"/>
    <x v="5"/>
    <s v="Juni"/>
    <s v="Division_A"/>
    <x v="3"/>
    <n v="2005"/>
    <n v="16"/>
    <s v="TM-Utama"/>
    <n v="26"/>
    <n v="2827"/>
    <s v="108.7"/>
    <x v="0"/>
    <n v="1.54"/>
    <n v="40051.5"/>
    <n v="40.052"/>
    <d v="2021-06-01T00:00:00"/>
    <x v="0"/>
    <x v="0"/>
  </r>
  <r>
    <x v="9"/>
    <x v="6"/>
    <s v="Juli"/>
    <s v="Division_A"/>
    <x v="3"/>
    <n v="2005"/>
    <n v="16"/>
    <s v="TM-Utama"/>
    <n v="26"/>
    <n v="2827"/>
    <s v="108.7"/>
    <x v="0"/>
    <n v="1.7609999999999999"/>
    <n v="45797.4"/>
    <n v="45.796999999999997"/>
    <d v="2021-07-01T00:00:00"/>
    <x v="0"/>
    <x v="0"/>
  </r>
  <r>
    <x v="9"/>
    <x v="7"/>
    <s v="Agustus"/>
    <s v="Division_A"/>
    <x v="3"/>
    <n v="2005"/>
    <n v="16"/>
    <s v="TM-Utama"/>
    <n v="26"/>
    <n v="2827"/>
    <s v="108.7"/>
    <x v="0"/>
    <n v="1.7030000000000001"/>
    <n v="44270.8"/>
    <n v="44.271000000000001"/>
    <d v="2021-08-01T00:00:00"/>
    <x v="0"/>
    <x v="0"/>
  </r>
  <r>
    <x v="9"/>
    <x v="8"/>
    <s v="September"/>
    <s v="Division_A"/>
    <x v="3"/>
    <n v="2005"/>
    <n v="16"/>
    <s v="TM-Utama"/>
    <n v="26"/>
    <n v="2827"/>
    <s v="108.7"/>
    <x v="0"/>
    <n v="1.627"/>
    <n v="42299"/>
    <n v="42.298999999999999"/>
    <d v="2021-09-01T00:00:00"/>
    <x v="0"/>
    <x v="0"/>
  </r>
  <r>
    <x v="9"/>
    <x v="9"/>
    <s v="Oktober"/>
    <s v="Division_A"/>
    <x v="3"/>
    <n v="2005"/>
    <n v="16"/>
    <s v="TM-Utama"/>
    <n v="26"/>
    <n v="2827"/>
    <s v="108.7"/>
    <x v="0"/>
    <n v="1.7210000000000001"/>
    <n v="44758.5"/>
    <n v="44.758000000000003"/>
    <d v="2021-10-01T00:00:00"/>
    <x v="0"/>
    <x v="0"/>
  </r>
  <r>
    <x v="9"/>
    <x v="10"/>
    <s v="November"/>
    <s v="Division_A"/>
    <x v="3"/>
    <n v="2005"/>
    <n v="16"/>
    <s v="TM-Utama"/>
    <n v="26"/>
    <n v="2827"/>
    <s v="108.7"/>
    <x v="0"/>
    <n v="1.677"/>
    <n v="43613.5"/>
    <n v="43.613999999999997"/>
    <d v="2021-11-01T00:00:00"/>
    <x v="0"/>
    <x v="0"/>
  </r>
  <r>
    <x v="9"/>
    <x v="11"/>
    <s v="Desember"/>
    <s v="Division_A"/>
    <x v="3"/>
    <n v="2005"/>
    <n v="16"/>
    <s v="TM-Utama"/>
    <n v="26"/>
    <n v="2827"/>
    <s v="108.7"/>
    <x v="0"/>
    <n v="1.702"/>
    <n v="44249.599999999999"/>
    <n v="44.25"/>
    <d v="2021-12-01T00:00:00"/>
    <x v="0"/>
    <x v="0"/>
  </r>
  <r>
    <x v="9"/>
    <x v="0"/>
    <s v="Januari"/>
    <s v="Division_A"/>
    <x v="4"/>
    <n v="2005"/>
    <n v="16"/>
    <s v="TM-Utama"/>
    <n v="24"/>
    <n v="1947"/>
    <s v="81.1"/>
    <x v="1"/>
    <n v="0.48199999999999998"/>
    <n v="11566.8"/>
    <n v="11.567"/>
    <d v="2021-01-01T00:00:00"/>
    <x v="0"/>
    <x v="0"/>
  </r>
  <r>
    <x v="9"/>
    <x v="1"/>
    <s v="Februari"/>
    <s v="Division_A"/>
    <x v="4"/>
    <n v="2005"/>
    <n v="16"/>
    <s v="TM-Utama"/>
    <n v="24"/>
    <n v="1947"/>
    <s v="81.1"/>
    <x v="1"/>
    <n v="0.8"/>
    <n v="19204.599999999999"/>
    <n v="19.204999999999998"/>
    <d v="2021-02-01T00:00:00"/>
    <x v="0"/>
    <x v="0"/>
  </r>
  <r>
    <x v="9"/>
    <x v="2"/>
    <s v="Maret"/>
    <s v="Division_A"/>
    <x v="4"/>
    <n v="2005"/>
    <n v="16"/>
    <s v="TM-Utama"/>
    <n v="24"/>
    <n v="1947"/>
    <s v="81.1"/>
    <x v="1"/>
    <n v="1.304"/>
    <n v="31285.4"/>
    <n v="31.285"/>
    <d v="2021-03-01T00:00:00"/>
    <x v="0"/>
    <x v="0"/>
  </r>
  <r>
    <x v="9"/>
    <x v="3"/>
    <s v="April"/>
    <s v="Division_A"/>
    <x v="4"/>
    <n v="2005"/>
    <n v="16"/>
    <s v="TM-Utama"/>
    <n v="24"/>
    <n v="1947"/>
    <s v="81.1"/>
    <x v="1"/>
    <n v="1.514"/>
    <n v="36334.400000000001"/>
    <n v="36.334000000000003"/>
    <d v="2021-04-01T00:00:00"/>
    <x v="0"/>
    <x v="0"/>
  </r>
  <r>
    <x v="9"/>
    <x v="4"/>
    <s v="Mei"/>
    <s v="Division_A"/>
    <x v="4"/>
    <n v="2005"/>
    <n v="16"/>
    <s v="TM-Utama"/>
    <n v="24"/>
    <n v="1947"/>
    <s v="81.1"/>
    <x v="1"/>
    <n v="1.4750000000000001"/>
    <n v="35398.1"/>
    <n v="35.398000000000003"/>
    <d v="2021-05-01T00:00:00"/>
    <x v="0"/>
    <x v="0"/>
  </r>
  <r>
    <x v="9"/>
    <x v="5"/>
    <s v="Juni"/>
    <s v="Division_A"/>
    <x v="4"/>
    <n v="2005"/>
    <n v="16"/>
    <s v="TM-Utama"/>
    <n v="24"/>
    <n v="1947"/>
    <s v="81.1"/>
    <x v="1"/>
    <n v="1.4450000000000001"/>
    <n v="34682"/>
    <n v="34.682000000000002"/>
    <d v="2021-06-01T00:00:00"/>
    <x v="0"/>
    <x v="0"/>
  </r>
  <r>
    <x v="9"/>
    <x v="6"/>
    <s v="Juli"/>
    <s v="Division_A"/>
    <x v="4"/>
    <n v="2005"/>
    <n v="16"/>
    <s v="TM-Utama"/>
    <n v="24"/>
    <n v="1947"/>
    <s v="81.1"/>
    <x v="1"/>
    <n v="1.6519999999999999"/>
    <n v="39657.599999999999"/>
    <n v="39.658000000000001"/>
    <d v="2021-07-01T00:00:00"/>
    <x v="0"/>
    <x v="0"/>
  </r>
  <r>
    <x v="9"/>
    <x v="7"/>
    <s v="Agustus"/>
    <s v="Division_A"/>
    <x v="4"/>
    <n v="2005"/>
    <n v="16"/>
    <s v="TM-Utama"/>
    <n v="24"/>
    <n v="1947"/>
    <s v="81.1"/>
    <x v="1"/>
    <n v="1.597"/>
    <n v="38335.699999999997"/>
    <n v="38.335999999999999"/>
    <d v="2021-08-01T00:00:00"/>
    <x v="0"/>
    <x v="0"/>
  </r>
  <r>
    <x v="9"/>
    <x v="8"/>
    <s v="September"/>
    <s v="Division_A"/>
    <x v="4"/>
    <n v="2005"/>
    <n v="16"/>
    <s v="TM-Utama"/>
    <n v="24"/>
    <n v="1947"/>
    <s v="81.1"/>
    <x v="1"/>
    <n v="1.526"/>
    <n v="36628.199999999997"/>
    <n v="36.628"/>
    <d v="2021-09-01T00:00:00"/>
    <x v="0"/>
    <x v="0"/>
  </r>
  <r>
    <x v="9"/>
    <x v="9"/>
    <s v="Oktober"/>
    <s v="Division_A"/>
    <x v="4"/>
    <n v="2005"/>
    <n v="16"/>
    <s v="TM-Utama"/>
    <n v="24"/>
    <n v="1947"/>
    <s v="81.1"/>
    <x v="1"/>
    <n v="1.615"/>
    <n v="38758"/>
    <n v="38.758000000000003"/>
    <d v="2021-10-01T00:00:00"/>
    <x v="0"/>
    <x v="0"/>
  </r>
  <r>
    <x v="9"/>
    <x v="10"/>
    <s v="November"/>
    <s v="Division_A"/>
    <x v="4"/>
    <n v="2005"/>
    <n v="16"/>
    <s v="TM-Utama"/>
    <n v="24"/>
    <n v="1947"/>
    <s v="81.1"/>
    <x v="1"/>
    <n v="1.5740000000000001"/>
    <n v="37766.5"/>
    <n v="37.767000000000003"/>
    <d v="2021-11-01T00:00:00"/>
    <x v="0"/>
    <x v="0"/>
  </r>
  <r>
    <x v="9"/>
    <x v="11"/>
    <s v="Desember"/>
    <s v="Division_A"/>
    <x v="4"/>
    <n v="2005"/>
    <n v="16"/>
    <s v="TM-Utama"/>
    <n v="24"/>
    <n v="1947"/>
    <s v="81.1"/>
    <x v="1"/>
    <n v="1.597"/>
    <n v="38317.300000000003"/>
    <n v="38.317"/>
    <d v="2021-12-01T00:00:00"/>
    <x v="0"/>
    <x v="0"/>
  </r>
  <r>
    <x v="9"/>
    <x v="0"/>
    <s v="Januari"/>
    <s v="Division_A"/>
    <x v="5"/>
    <n v="2006"/>
    <n v="15"/>
    <s v="TM-Utama"/>
    <n v="25"/>
    <n v="2740"/>
    <s v="109.6"/>
    <x v="1"/>
    <n v="0.51800000000000002"/>
    <n v="12946.5"/>
    <n v="12.946999999999999"/>
    <d v="2021-01-01T00:00:00"/>
    <x v="0"/>
    <x v="0"/>
  </r>
  <r>
    <x v="9"/>
    <x v="1"/>
    <s v="Februari"/>
    <s v="Division_A"/>
    <x v="5"/>
    <n v="2006"/>
    <n v="15"/>
    <s v="TM-Utama"/>
    <n v="25"/>
    <n v="2740"/>
    <s v="109.6"/>
    <x v="1"/>
    <n v="0.86"/>
    <n v="21495.3"/>
    <n v="21.495000000000001"/>
    <d v="2021-02-01T00:00:00"/>
    <x v="0"/>
    <x v="0"/>
  </r>
  <r>
    <x v="9"/>
    <x v="2"/>
    <s v="Maret"/>
    <s v="Division_A"/>
    <x v="5"/>
    <n v="2006"/>
    <n v="15"/>
    <s v="TM-Utama"/>
    <n v="25"/>
    <n v="2740"/>
    <s v="109.6"/>
    <x v="1"/>
    <n v="1.401"/>
    <n v="35017.199999999997"/>
    <n v="35.017000000000003"/>
    <d v="2021-03-01T00:00:00"/>
    <x v="0"/>
    <x v="0"/>
  </r>
  <r>
    <x v="9"/>
    <x v="3"/>
    <s v="April"/>
    <s v="Division_A"/>
    <x v="5"/>
    <n v="2006"/>
    <n v="15"/>
    <s v="TM-Utama"/>
    <n v="25"/>
    <n v="2740"/>
    <s v="109.6"/>
    <x v="1"/>
    <n v="1.627"/>
    <n v="40668.400000000001"/>
    <n v="40.667999999999999"/>
    <d v="2021-04-01T00:00:00"/>
    <x v="0"/>
    <x v="0"/>
  </r>
  <r>
    <x v="9"/>
    <x v="4"/>
    <s v="Mei"/>
    <s v="Division_A"/>
    <x v="5"/>
    <n v="2006"/>
    <n v="15"/>
    <s v="TM-Utama"/>
    <n v="25"/>
    <n v="2740"/>
    <s v="109.6"/>
    <x v="1"/>
    <n v="1.585"/>
    <n v="39620.400000000001"/>
    <n v="39.619999999999997"/>
    <d v="2021-05-01T00:00:00"/>
    <x v="0"/>
    <x v="0"/>
  </r>
  <r>
    <x v="9"/>
    <x v="5"/>
    <s v="Juni"/>
    <s v="Division_A"/>
    <x v="5"/>
    <n v="2006"/>
    <n v="15"/>
    <s v="TM-Utama"/>
    <n v="25"/>
    <n v="2740"/>
    <s v="109.6"/>
    <x v="1"/>
    <n v="1.5529999999999999"/>
    <n v="38818.9"/>
    <n v="38.819000000000003"/>
    <d v="2021-06-01T00:00:00"/>
    <x v="0"/>
    <x v="0"/>
  </r>
  <r>
    <x v="9"/>
    <x v="6"/>
    <s v="Juli"/>
    <s v="Division_A"/>
    <x v="5"/>
    <n v="2006"/>
    <n v="15"/>
    <s v="TM-Utama"/>
    <n v="25"/>
    <n v="2740"/>
    <s v="109.6"/>
    <x v="1"/>
    <n v="1.776"/>
    <n v="44388"/>
    <n v="44.387999999999998"/>
    <d v="2021-07-01T00:00:00"/>
    <x v="0"/>
    <x v="0"/>
  </r>
  <r>
    <x v="9"/>
    <x v="7"/>
    <s v="Agustus"/>
    <s v="Division_A"/>
    <x v="5"/>
    <n v="2006"/>
    <n v="15"/>
    <s v="TM-Utama"/>
    <n v="25"/>
    <n v="2740"/>
    <s v="109.6"/>
    <x v="1"/>
    <n v="1.716"/>
    <n v="42908.4"/>
    <n v="42.908000000000001"/>
    <d v="2021-08-01T00:00:00"/>
    <x v="0"/>
    <x v="0"/>
  </r>
  <r>
    <x v="9"/>
    <x v="8"/>
    <s v="September"/>
    <s v="Division_A"/>
    <x v="5"/>
    <n v="2006"/>
    <n v="15"/>
    <s v="TM-Utama"/>
    <n v="25"/>
    <n v="2740"/>
    <s v="109.6"/>
    <x v="1"/>
    <n v="1.64"/>
    <n v="40997.199999999997"/>
    <n v="40.997"/>
    <d v="2021-09-01T00:00:00"/>
    <x v="0"/>
    <x v="0"/>
  </r>
  <r>
    <x v="9"/>
    <x v="9"/>
    <s v="Oktober"/>
    <s v="Division_A"/>
    <x v="5"/>
    <n v="2006"/>
    <n v="15"/>
    <s v="TM-Utama"/>
    <n v="25"/>
    <n v="2740"/>
    <s v="109.6"/>
    <x v="1"/>
    <n v="1.7350000000000001"/>
    <n v="43381.1"/>
    <n v="43.381"/>
    <d v="2021-10-01T00:00:00"/>
    <x v="0"/>
    <x v="0"/>
  </r>
  <r>
    <x v="9"/>
    <x v="10"/>
    <s v="November"/>
    <s v="Division_A"/>
    <x v="5"/>
    <n v="2006"/>
    <n v="15"/>
    <s v="TM-Utama"/>
    <n v="25"/>
    <n v="2740"/>
    <s v="109.6"/>
    <x v="1"/>
    <n v="1.6910000000000001"/>
    <n v="42271.3"/>
    <n v="42.271000000000001"/>
    <d v="2021-11-01T00:00:00"/>
    <x v="0"/>
    <x v="0"/>
  </r>
  <r>
    <x v="9"/>
    <x v="11"/>
    <s v="Desember"/>
    <s v="Division_A"/>
    <x v="5"/>
    <n v="2006"/>
    <n v="15"/>
    <s v="TM-Utama"/>
    <n v="25"/>
    <n v="2740"/>
    <s v="109.6"/>
    <x v="1"/>
    <n v="1.716"/>
    <n v="42887.8"/>
    <n v="42.887999999999998"/>
    <d v="2021-12-01T00:00:00"/>
    <x v="0"/>
    <x v="0"/>
  </r>
  <r>
    <x v="9"/>
    <x v="0"/>
    <s v="Januari"/>
    <s v="Division_A"/>
    <x v="6"/>
    <n v="2006"/>
    <n v="15"/>
    <s v="TM-Utama"/>
    <n v="24"/>
    <n v="3230"/>
    <s v="134.6"/>
    <x v="1"/>
    <n v="0.63600000000000001"/>
    <n v="15261.8"/>
    <n v="15.262"/>
    <d v="2021-01-01T00:00:00"/>
    <x v="0"/>
    <x v="0"/>
  </r>
  <r>
    <x v="9"/>
    <x v="1"/>
    <s v="Februari"/>
    <s v="Division_A"/>
    <x v="6"/>
    <n v="2006"/>
    <n v="15"/>
    <s v="TM-Utama"/>
    <n v="24"/>
    <n v="3230"/>
    <s v="134.6"/>
    <x v="1"/>
    <n v="1.056"/>
    <n v="25339.4"/>
    <n v="25.338999999999999"/>
    <d v="2021-02-01T00:00:00"/>
    <x v="0"/>
    <x v="0"/>
  </r>
  <r>
    <x v="9"/>
    <x v="2"/>
    <s v="Maret"/>
    <s v="Division_A"/>
    <x v="6"/>
    <n v="2006"/>
    <n v="15"/>
    <s v="TM-Utama"/>
    <n v="24"/>
    <n v="3230"/>
    <s v="134.6"/>
    <x v="1"/>
    <n v="1.72"/>
    <n v="41279.4"/>
    <n v="41.279000000000003"/>
    <d v="2021-03-01T00:00:00"/>
    <x v="0"/>
    <x v="0"/>
  </r>
  <r>
    <x v="9"/>
    <x v="3"/>
    <s v="April"/>
    <s v="Division_A"/>
    <x v="6"/>
    <n v="2006"/>
    <n v="15"/>
    <s v="TM-Utama"/>
    <n v="24"/>
    <n v="3230"/>
    <s v="134.6"/>
    <x v="1"/>
    <n v="1.998"/>
    <n v="47941.3"/>
    <n v="47.941000000000003"/>
    <d v="2021-04-01T00:00:00"/>
    <x v="0"/>
    <x v="0"/>
  </r>
  <r>
    <x v="9"/>
    <x v="4"/>
    <s v="Mei"/>
    <s v="Division_A"/>
    <x v="6"/>
    <n v="2006"/>
    <n v="15"/>
    <s v="TM-Utama"/>
    <n v="24"/>
    <n v="3230"/>
    <s v="134.6"/>
    <x v="1"/>
    <n v="1.946"/>
    <n v="46705.8"/>
    <n v="46.706000000000003"/>
    <d v="2021-05-01T00:00:00"/>
    <x v="0"/>
    <x v="0"/>
  </r>
  <r>
    <x v="9"/>
    <x v="5"/>
    <s v="Juni"/>
    <s v="Division_A"/>
    <x v="6"/>
    <n v="2006"/>
    <n v="15"/>
    <s v="TM-Utama"/>
    <n v="24"/>
    <n v="3230"/>
    <s v="134.6"/>
    <x v="1"/>
    <n v="1.907"/>
    <n v="45761"/>
    <n v="45.761000000000003"/>
    <d v="2021-06-01T00:00:00"/>
    <x v="0"/>
    <x v="0"/>
  </r>
  <r>
    <x v="9"/>
    <x v="6"/>
    <s v="Juli"/>
    <s v="Division_A"/>
    <x v="6"/>
    <n v="2006"/>
    <n v="15"/>
    <s v="TM-Utama"/>
    <n v="24"/>
    <n v="3230"/>
    <s v="134.6"/>
    <x v="1"/>
    <n v="2.1800000000000002"/>
    <n v="52326"/>
    <n v="52.326000000000001"/>
    <d v="2021-07-01T00:00:00"/>
    <x v="0"/>
    <x v="0"/>
  </r>
  <r>
    <x v="9"/>
    <x v="7"/>
    <s v="Agustus"/>
    <s v="Division_A"/>
    <x v="6"/>
    <n v="2006"/>
    <n v="15"/>
    <s v="TM-Utama"/>
    <n v="24"/>
    <n v="3230"/>
    <s v="134.6"/>
    <x v="1"/>
    <n v="2.1080000000000001"/>
    <n v="50581.8"/>
    <n v="50.582000000000001"/>
    <d v="2021-08-01T00:00:00"/>
    <x v="0"/>
    <x v="0"/>
  </r>
  <r>
    <x v="9"/>
    <x v="8"/>
    <s v="September"/>
    <s v="Division_A"/>
    <x v="6"/>
    <n v="2006"/>
    <n v="15"/>
    <s v="TM-Utama"/>
    <n v="24"/>
    <n v="3230"/>
    <s v="134.6"/>
    <x v="1"/>
    <n v="2.0139999999999998"/>
    <n v="48328.9"/>
    <n v="48.329000000000001"/>
    <d v="2021-09-01T00:00:00"/>
    <x v="0"/>
    <x v="0"/>
  </r>
  <r>
    <x v="9"/>
    <x v="9"/>
    <s v="Oktober"/>
    <s v="Division_A"/>
    <x v="6"/>
    <n v="2006"/>
    <n v="15"/>
    <s v="TM-Utama"/>
    <n v="24"/>
    <n v="3230"/>
    <s v="134.6"/>
    <x v="1"/>
    <n v="2.1309999999999998"/>
    <n v="51139"/>
    <n v="51.139000000000003"/>
    <d v="2021-10-01T00:00:00"/>
    <x v="0"/>
    <x v="0"/>
  </r>
  <r>
    <x v="9"/>
    <x v="10"/>
    <s v="November"/>
    <s v="Division_A"/>
    <x v="6"/>
    <n v="2006"/>
    <n v="15"/>
    <s v="TM-Utama"/>
    <n v="24"/>
    <n v="3230"/>
    <s v="134.6"/>
    <x v="1"/>
    <n v="2.0760000000000001"/>
    <n v="49830.8"/>
    <n v="49.831000000000003"/>
    <d v="2021-11-01T00:00:00"/>
    <x v="0"/>
    <x v="0"/>
  </r>
  <r>
    <x v="9"/>
    <x v="11"/>
    <s v="Desember"/>
    <s v="Division_A"/>
    <x v="6"/>
    <n v="2006"/>
    <n v="15"/>
    <s v="TM-Utama"/>
    <n v="24"/>
    <n v="3230"/>
    <s v="134.6"/>
    <x v="1"/>
    <n v="2.1070000000000002"/>
    <n v="50557.599999999999"/>
    <n v="50.558"/>
    <d v="2021-12-01T00:00:00"/>
    <x v="0"/>
    <x v="0"/>
  </r>
  <r>
    <x v="9"/>
    <x v="0"/>
    <s v="Januari"/>
    <s v="Division_A"/>
    <x v="7"/>
    <n v="2006"/>
    <n v="15"/>
    <s v="TM-Utama"/>
    <n v="22"/>
    <n v="2447"/>
    <s v="111.2"/>
    <x v="1"/>
    <n v="0.52600000000000002"/>
    <n v="11562.1"/>
    <n v="11.561999999999999"/>
    <d v="2021-01-01T00:00:00"/>
    <x v="0"/>
    <x v="0"/>
  </r>
  <r>
    <x v="9"/>
    <x v="1"/>
    <s v="Februari"/>
    <s v="Division_A"/>
    <x v="7"/>
    <n v="2006"/>
    <n v="15"/>
    <s v="TM-Utama"/>
    <n v="22"/>
    <n v="2447"/>
    <s v="111.2"/>
    <x v="1"/>
    <n v="0.873"/>
    <n v="19196.7"/>
    <n v="19.196999999999999"/>
    <d v="2021-02-01T00:00:00"/>
    <x v="0"/>
    <x v="0"/>
  </r>
  <r>
    <x v="9"/>
    <x v="2"/>
    <s v="Maret"/>
    <s v="Division_A"/>
    <x v="7"/>
    <n v="2006"/>
    <n v="15"/>
    <s v="TM-Utama"/>
    <n v="22"/>
    <n v="2447"/>
    <s v="111.2"/>
    <x v="1"/>
    <n v="1.421"/>
    <n v="31272.7"/>
    <n v="31.273"/>
    <d v="2021-03-01T00:00:00"/>
    <x v="0"/>
    <x v="0"/>
  </r>
  <r>
    <x v="9"/>
    <x v="3"/>
    <s v="April"/>
    <s v="Division_A"/>
    <x v="7"/>
    <n v="2006"/>
    <n v="15"/>
    <s v="TM-Utama"/>
    <n v="22"/>
    <n v="2447"/>
    <s v="111.2"/>
    <x v="1"/>
    <n v="1.651"/>
    <n v="36319.599999999999"/>
    <n v="36.32"/>
    <d v="2021-04-01T00:00:00"/>
    <x v="0"/>
    <x v="0"/>
  </r>
  <r>
    <x v="9"/>
    <x v="4"/>
    <s v="Mei"/>
    <s v="Division_A"/>
    <x v="7"/>
    <n v="2006"/>
    <n v="15"/>
    <s v="TM-Utama"/>
    <n v="22"/>
    <n v="2447"/>
    <s v="111.2"/>
    <x v="1"/>
    <n v="1.6080000000000001"/>
    <n v="35383.599999999999"/>
    <n v="35.384"/>
    <d v="2021-05-01T00:00:00"/>
    <x v="0"/>
    <x v="0"/>
  </r>
  <r>
    <x v="9"/>
    <x v="5"/>
    <s v="Juni"/>
    <s v="Division_A"/>
    <x v="7"/>
    <n v="2006"/>
    <n v="15"/>
    <s v="TM-Utama"/>
    <n v="22"/>
    <n v="2447"/>
    <s v="111.2"/>
    <x v="1"/>
    <n v="1.5760000000000001"/>
    <n v="34667.9"/>
    <n v="34.667999999999999"/>
    <d v="2021-06-01T00:00:00"/>
    <x v="0"/>
    <x v="0"/>
  </r>
  <r>
    <x v="9"/>
    <x v="6"/>
    <s v="Juli"/>
    <s v="Division_A"/>
    <x v="7"/>
    <n v="2006"/>
    <n v="15"/>
    <s v="TM-Utama"/>
    <n v="22"/>
    <n v="2447"/>
    <s v="111.2"/>
    <x v="1"/>
    <n v="1.802"/>
    <n v="39641.4"/>
    <n v="39.640999999999998"/>
    <d v="2021-07-01T00:00:00"/>
    <x v="0"/>
    <x v="0"/>
  </r>
  <r>
    <x v="9"/>
    <x v="7"/>
    <s v="Agustus"/>
    <s v="Division_A"/>
    <x v="7"/>
    <n v="2006"/>
    <n v="15"/>
    <s v="TM-Utama"/>
    <n v="22"/>
    <n v="2447"/>
    <s v="111.2"/>
    <x v="1"/>
    <n v="1.742"/>
    <n v="38320"/>
    <n v="38.32"/>
    <d v="2021-08-01T00:00:00"/>
    <x v="0"/>
    <x v="0"/>
  </r>
  <r>
    <x v="9"/>
    <x v="8"/>
    <s v="September"/>
    <s v="Division_A"/>
    <x v="7"/>
    <n v="2006"/>
    <n v="15"/>
    <s v="TM-Utama"/>
    <n v="22"/>
    <n v="2447"/>
    <s v="111.2"/>
    <x v="1"/>
    <n v="1.6639999999999999"/>
    <n v="36613.199999999997"/>
    <n v="36.613"/>
    <d v="2021-09-01T00:00:00"/>
    <x v="0"/>
    <x v="0"/>
  </r>
  <r>
    <x v="9"/>
    <x v="9"/>
    <s v="Oktober"/>
    <s v="Division_A"/>
    <x v="7"/>
    <n v="2006"/>
    <n v="15"/>
    <s v="TM-Utama"/>
    <n v="22"/>
    <n v="2447"/>
    <s v="111.2"/>
    <x v="1"/>
    <n v="1.7609999999999999"/>
    <n v="38742.1"/>
    <n v="38.741999999999997"/>
    <d v="2021-10-01T00:00:00"/>
    <x v="0"/>
    <x v="0"/>
  </r>
  <r>
    <x v="9"/>
    <x v="10"/>
    <s v="November"/>
    <s v="Division_A"/>
    <x v="7"/>
    <n v="2006"/>
    <n v="15"/>
    <s v="TM-Utama"/>
    <n v="22"/>
    <n v="2447"/>
    <s v="111.2"/>
    <x v="1"/>
    <n v="1.716"/>
    <n v="37751.1"/>
    <n v="37.750999999999998"/>
    <d v="2021-11-01T00:00:00"/>
    <x v="0"/>
    <x v="0"/>
  </r>
  <r>
    <x v="9"/>
    <x v="11"/>
    <s v="Desember"/>
    <s v="Division_A"/>
    <x v="7"/>
    <n v="2006"/>
    <n v="15"/>
    <s v="TM-Utama"/>
    <n v="22"/>
    <n v="2447"/>
    <s v="111.2"/>
    <x v="1"/>
    <n v="1.7410000000000001"/>
    <n v="38301.699999999997"/>
    <n v="38.302"/>
    <d v="2021-12-01T00:00:00"/>
    <x v="0"/>
    <x v="0"/>
  </r>
  <r>
    <x v="9"/>
    <x v="0"/>
    <s v="Januari"/>
    <s v="Division_A"/>
    <x v="8"/>
    <n v="2006"/>
    <n v="15"/>
    <s v="TM-Utama"/>
    <n v="15"/>
    <n v="1866"/>
    <s v="124.4"/>
    <x v="1"/>
    <n v="0.58799999999999997"/>
    <n v="8816.9"/>
    <n v="8.8170000000000002"/>
    <d v="2021-01-01T00:00:00"/>
    <x v="0"/>
    <x v="0"/>
  </r>
  <r>
    <x v="9"/>
    <x v="1"/>
    <s v="Februari"/>
    <s v="Division_A"/>
    <x v="8"/>
    <n v="2006"/>
    <n v="15"/>
    <s v="TM-Utama"/>
    <n v="15"/>
    <n v="1866"/>
    <s v="124.4"/>
    <x v="1"/>
    <n v="0.97599999999999998"/>
    <n v="14638.8"/>
    <n v="14.638999999999999"/>
    <d v="2021-02-01T00:00:00"/>
    <x v="0"/>
    <x v="0"/>
  </r>
  <r>
    <x v="9"/>
    <x v="2"/>
    <s v="Maret"/>
    <s v="Division_A"/>
    <x v="8"/>
    <n v="2006"/>
    <n v="15"/>
    <s v="TM-Utama"/>
    <n v="15"/>
    <n v="1866"/>
    <s v="124.4"/>
    <x v="1"/>
    <n v="1.59"/>
    <n v="23847.5"/>
    <n v="23.847000000000001"/>
    <d v="2021-03-01T00:00:00"/>
    <x v="0"/>
    <x v="0"/>
  </r>
  <r>
    <x v="9"/>
    <x v="3"/>
    <s v="April"/>
    <s v="Division_A"/>
    <x v="8"/>
    <n v="2006"/>
    <n v="15"/>
    <s v="TM-Utama"/>
    <n v="15"/>
    <n v="1866"/>
    <s v="124.4"/>
    <x v="1"/>
    <n v="1.8460000000000001"/>
    <n v="27696.1"/>
    <n v="27.696000000000002"/>
    <d v="2021-04-01T00:00:00"/>
    <x v="0"/>
    <x v="0"/>
  </r>
  <r>
    <x v="9"/>
    <x v="4"/>
    <s v="Mei"/>
    <s v="Division_A"/>
    <x v="8"/>
    <n v="2006"/>
    <n v="15"/>
    <s v="TM-Utama"/>
    <n v="15"/>
    <n v="1866"/>
    <s v="124.4"/>
    <x v="1"/>
    <n v="1.7989999999999999"/>
    <n v="26982.400000000001"/>
    <n v="26.981999999999999"/>
    <d v="2021-05-01T00:00:00"/>
    <x v="0"/>
    <x v="0"/>
  </r>
  <r>
    <x v="9"/>
    <x v="5"/>
    <s v="Juni"/>
    <s v="Division_A"/>
    <x v="8"/>
    <n v="2006"/>
    <n v="15"/>
    <s v="TM-Utama"/>
    <n v="15"/>
    <n v="1866"/>
    <s v="124.4"/>
    <x v="1"/>
    <n v="1.762"/>
    <n v="26436.6"/>
    <n v="26.437000000000001"/>
    <d v="2021-06-01T00:00:00"/>
    <x v="0"/>
    <x v="0"/>
  </r>
  <r>
    <x v="9"/>
    <x v="6"/>
    <s v="Juli"/>
    <s v="Division_A"/>
    <x v="8"/>
    <n v="2006"/>
    <n v="15"/>
    <s v="TM-Utama"/>
    <n v="15"/>
    <n v="1866"/>
    <s v="124.4"/>
    <x v="1"/>
    <n v="2.0150000000000001"/>
    <n v="30229.200000000001"/>
    <n v="30.228999999999999"/>
    <d v="2021-07-01T00:00:00"/>
    <x v="0"/>
    <x v="0"/>
  </r>
  <r>
    <x v="9"/>
    <x v="7"/>
    <s v="Agustus"/>
    <s v="Division_A"/>
    <x v="8"/>
    <n v="2006"/>
    <n v="15"/>
    <s v="TM-Utama"/>
    <n v="15"/>
    <n v="1866"/>
    <s v="124.4"/>
    <x v="1"/>
    <n v="1.948"/>
    <n v="29221.599999999999"/>
    <n v="29.222000000000001"/>
    <d v="2021-08-01T00:00:00"/>
    <x v="0"/>
    <x v="0"/>
  </r>
  <r>
    <x v="9"/>
    <x v="8"/>
    <s v="September"/>
    <s v="Division_A"/>
    <x v="8"/>
    <n v="2006"/>
    <n v="15"/>
    <s v="TM-Utama"/>
    <n v="15"/>
    <n v="1866"/>
    <s v="124.4"/>
    <x v="1"/>
    <n v="1.861"/>
    <n v="27920"/>
    <n v="27.92"/>
    <d v="2021-09-01T00:00:00"/>
    <x v="0"/>
    <x v="0"/>
  </r>
  <r>
    <x v="9"/>
    <x v="9"/>
    <s v="Oktober"/>
    <s v="Division_A"/>
    <x v="8"/>
    <n v="2006"/>
    <n v="15"/>
    <s v="TM-Utama"/>
    <n v="15"/>
    <n v="1866"/>
    <s v="124.4"/>
    <x v="1"/>
    <n v="1.97"/>
    <n v="29543.4"/>
    <n v="29.542999999999999"/>
    <d v="2021-10-01T00:00:00"/>
    <x v="0"/>
    <x v="0"/>
  </r>
  <r>
    <x v="9"/>
    <x v="10"/>
    <s v="November"/>
    <s v="Division_A"/>
    <x v="8"/>
    <n v="2006"/>
    <n v="15"/>
    <s v="TM-Utama"/>
    <n v="15"/>
    <n v="1866"/>
    <s v="124.4"/>
    <x v="1"/>
    <n v="1.919"/>
    <n v="28787.7"/>
    <n v="28.788"/>
    <d v="2021-11-01T00:00:00"/>
    <x v="0"/>
    <x v="0"/>
  </r>
  <r>
    <x v="9"/>
    <x v="11"/>
    <s v="Desember"/>
    <s v="Division_A"/>
    <x v="8"/>
    <n v="2006"/>
    <n v="15"/>
    <s v="TM-Utama"/>
    <n v="15"/>
    <n v="1866"/>
    <s v="124.4"/>
    <x v="1"/>
    <n v="1.9470000000000001"/>
    <n v="29207.599999999999"/>
    <n v="29.207999999999998"/>
    <d v="2021-12-01T00:00:00"/>
    <x v="0"/>
    <x v="0"/>
  </r>
  <r>
    <x v="9"/>
    <x v="0"/>
    <s v="Januari"/>
    <s v="Division_A"/>
    <x v="9"/>
    <n v="2006"/>
    <n v="15"/>
    <s v="TM-Utama"/>
    <n v="25"/>
    <n v="3154"/>
    <s v="126.2"/>
    <x v="1"/>
    <n v="0.59599999999999997"/>
    <n v="14902.6"/>
    <n v="14.903"/>
    <d v="2021-01-01T00:00:00"/>
    <x v="0"/>
    <x v="0"/>
  </r>
  <r>
    <x v="9"/>
    <x v="1"/>
    <s v="Februari"/>
    <s v="Division_A"/>
    <x v="9"/>
    <n v="2006"/>
    <n v="15"/>
    <s v="TM-Utama"/>
    <n v="25"/>
    <n v="3154"/>
    <s v="126.2"/>
    <x v="1"/>
    <n v="0.99"/>
    <n v="24743.1"/>
    <n v="24.742999999999999"/>
    <d v="2021-02-01T00:00:00"/>
    <x v="0"/>
    <x v="0"/>
  </r>
  <r>
    <x v="9"/>
    <x v="2"/>
    <s v="Maret"/>
    <s v="Division_A"/>
    <x v="9"/>
    <n v="2006"/>
    <n v="15"/>
    <s v="TM-Utama"/>
    <n v="25"/>
    <n v="3154"/>
    <s v="126.2"/>
    <x v="1"/>
    <n v="1.6120000000000001"/>
    <n v="40308.1"/>
    <n v="40.308"/>
    <d v="2021-03-01T00:00:00"/>
    <x v="0"/>
    <x v="0"/>
  </r>
  <r>
    <x v="9"/>
    <x v="3"/>
    <s v="April"/>
    <s v="Division_A"/>
    <x v="9"/>
    <n v="2006"/>
    <n v="15"/>
    <s v="TM-Utama"/>
    <n v="25"/>
    <n v="3154"/>
    <s v="126.2"/>
    <x v="1"/>
    <n v="1.873"/>
    <n v="46813.2"/>
    <n v="46.813000000000002"/>
    <d v="2021-04-01T00:00:00"/>
    <x v="0"/>
    <x v="0"/>
  </r>
  <r>
    <x v="9"/>
    <x v="4"/>
    <s v="Mei"/>
    <s v="Division_A"/>
    <x v="9"/>
    <n v="2006"/>
    <n v="15"/>
    <s v="TM-Utama"/>
    <n v="25"/>
    <n v="3154"/>
    <s v="126.2"/>
    <x v="1"/>
    <n v="1.8240000000000001"/>
    <n v="45606.8"/>
    <n v="45.606999999999999"/>
    <d v="2021-05-01T00:00:00"/>
    <x v="0"/>
    <x v="0"/>
  </r>
  <r>
    <x v="9"/>
    <x v="5"/>
    <s v="Juni"/>
    <s v="Division_A"/>
    <x v="9"/>
    <n v="2006"/>
    <n v="15"/>
    <s v="TM-Utama"/>
    <n v="25"/>
    <n v="3154"/>
    <s v="126.2"/>
    <x v="1"/>
    <n v="1.7869999999999999"/>
    <n v="44684.3"/>
    <n v="44.683999999999997"/>
    <d v="2021-06-01T00:00:00"/>
    <x v="0"/>
    <x v="0"/>
  </r>
  <r>
    <x v="9"/>
    <x v="6"/>
    <s v="Juli"/>
    <s v="Division_A"/>
    <x v="9"/>
    <n v="2006"/>
    <n v="15"/>
    <s v="TM-Utama"/>
    <n v="25"/>
    <n v="3154"/>
    <s v="126.2"/>
    <x v="1"/>
    <n v="2.044"/>
    <n v="51094.8"/>
    <n v="51.094999999999999"/>
    <d v="2021-07-01T00:00:00"/>
    <x v="0"/>
    <x v="0"/>
  </r>
  <r>
    <x v="9"/>
    <x v="7"/>
    <s v="Agustus"/>
    <s v="Division_A"/>
    <x v="9"/>
    <n v="2006"/>
    <n v="15"/>
    <s v="TM-Utama"/>
    <n v="25"/>
    <n v="3154"/>
    <s v="126.2"/>
    <x v="1"/>
    <n v="1.976"/>
    <n v="49391.6"/>
    <n v="49.392000000000003"/>
    <d v="2021-08-01T00:00:00"/>
    <x v="0"/>
    <x v="0"/>
  </r>
  <r>
    <x v="9"/>
    <x v="8"/>
    <s v="September"/>
    <s v="Division_A"/>
    <x v="9"/>
    <n v="2006"/>
    <n v="15"/>
    <s v="TM-Utama"/>
    <n v="25"/>
    <n v="3154"/>
    <s v="126.2"/>
    <x v="1"/>
    <n v="1.8879999999999999"/>
    <n v="47191.7"/>
    <n v="47.192"/>
    <d v="2021-09-01T00:00:00"/>
    <x v="0"/>
    <x v="0"/>
  </r>
  <r>
    <x v="9"/>
    <x v="9"/>
    <s v="Oktober"/>
    <s v="Division_A"/>
    <x v="9"/>
    <n v="2006"/>
    <n v="15"/>
    <s v="TM-Utama"/>
    <n v="25"/>
    <n v="3154"/>
    <s v="126.2"/>
    <x v="1"/>
    <n v="1.9970000000000001"/>
    <n v="49935.7"/>
    <n v="49.936"/>
    <d v="2021-10-01T00:00:00"/>
    <x v="0"/>
    <x v="0"/>
  </r>
  <r>
    <x v="9"/>
    <x v="10"/>
    <s v="November"/>
    <s v="Division_A"/>
    <x v="9"/>
    <n v="2006"/>
    <n v="15"/>
    <s v="TM-Utama"/>
    <n v="25"/>
    <n v="3154"/>
    <s v="126.2"/>
    <x v="1"/>
    <n v="1.946"/>
    <n v="48658.3"/>
    <n v="48.658000000000001"/>
    <d v="2021-11-01T00:00:00"/>
    <x v="0"/>
    <x v="0"/>
  </r>
  <r>
    <x v="9"/>
    <x v="11"/>
    <s v="Desember"/>
    <s v="Division_A"/>
    <x v="9"/>
    <n v="2006"/>
    <n v="15"/>
    <s v="TM-Utama"/>
    <n v="25"/>
    <n v="3154"/>
    <s v="126.2"/>
    <x v="1"/>
    <n v="1.9750000000000001"/>
    <n v="49368"/>
    <n v="49.368000000000002"/>
    <d v="2021-12-01T00:00:00"/>
    <x v="0"/>
    <x v="0"/>
  </r>
  <r>
    <x v="9"/>
    <x v="0"/>
    <s v="Januari"/>
    <s v="Division_A"/>
    <x v="10"/>
    <n v="2006"/>
    <n v="15"/>
    <s v="TM-Utama"/>
    <n v="35"/>
    <n v="4204"/>
    <s v="120.1"/>
    <x v="1"/>
    <n v="0.56799999999999995"/>
    <n v="19863.900000000001"/>
    <n v="19.864000000000001"/>
    <d v="2021-01-01T00:00:00"/>
    <x v="0"/>
    <x v="0"/>
  </r>
  <r>
    <x v="9"/>
    <x v="1"/>
    <s v="Februari"/>
    <s v="Division_A"/>
    <x v="10"/>
    <n v="2006"/>
    <n v="15"/>
    <s v="TM-Utama"/>
    <n v="35"/>
    <n v="4204"/>
    <s v="120.1"/>
    <x v="1"/>
    <n v="0.94199999999999995"/>
    <n v="32980.400000000001"/>
    <n v="32.979999999999997"/>
    <d v="2021-02-01T00:00:00"/>
    <x v="0"/>
    <x v="0"/>
  </r>
  <r>
    <x v="9"/>
    <x v="2"/>
    <s v="Maret"/>
    <s v="Division_A"/>
    <x v="10"/>
    <n v="2006"/>
    <n v="15"/>
    <s v="TM-Utama"/>
    <n v="35"/>
    <n v="4204"/>
    <s v="120.1"/>
    <x v="1"/>
    <n v="1.5349999999999999"/>
    <n v="53727.1"/>
    <n v="53.726999999999997"/>
    <d v="2021-03-01T00:00:00"/>
    <x v="0"/>
    <x v="0"/>
  </r>
  <r>
    <x v="9"/>
    <x v="3"/>
    <s v="April"/>
    <s v="Division_A"/>
    <x v="10"/>
    <n v="2006"/>
    <n v="15"/>
    <s v="TM-Utama"/>
    <n v="35"/>
    <n v="4204"/>
    <s v="120.1"/>
    <x v="1"/>
    <n v="1.7829999999999999"/>
    <n v="62397.9"/>
    <n v="62.398000000000003"/>
    <d v="2021-04-01T00:00:00"/>
    <x v="0"/>
    <x v="0"/>
  </r>
  <r>
    <x v="9"/>
    <x v="4"/>
    <s v="Mei"/>
    <s v="Division_A"/>
    <x v="10"/>
    <n v="2006"/>
    <n v="15"/>
    <s v="TM-Utama"/>
    <n v="35"/>
    <n v="4204"/>
    <s v="120.1"/>
    <x v="1"/>
    <n v="1.7370000000000001"/>
    <n v="60789.8"/>
    <n v="60.79"/>
    <d v="2021-05-01T00:00:00"/>
    <x v="0"/>
    <x v="0"/>
  </r>
  <r>
    <x v="9"/>
    <x v="5"/>
    <s v="Juni"/>
    <s v="Division_A"/>
    <x v="10"/>
    <n v="2006"/>
    <n v="15"/>
    <s v="TM-Utama"/>
    <n v="35"/>
    <n v="4204"/>
    <s v="120.1"/>
    <x v="1"/>
    <n v="1.702"/>
    <n v="59560.2"/>
    <n v="59.56"/>
    <d v="2021-06-01T00:00:00"/>
    <x v="0"/>
    <x v="0"/>
  </r>
  <r>
    <x v="9"/>
    <x v="6"/>
    <s v="Juli"/>
    <s v="Division_A"/>
    <x v="10"/>
    <n v="2006"/>
    <n v="15"/>
    <s v="TM-Utama"/>
    <n v="35"/>
    <n v="4204"/>
    <s v="120.1"/>
    <x v="1"/>
    <n v="1.946"/>
    <n v="68104.800000000003"/>
    <n v="68.105000000000004"/>
    <d v="2021-07-01T00:00:00"/>
    <x v="0"/>
    <x v="0"/>
  </r>
  <r>
    <x v="9"/>
    <x v="7"/>
    <s v="Agustus"/>
    <s v="Division_A"/>
    <x v="10"/>
    <n v="2006"/>
    <n v="15"/>
    <s v="TM-Utama"/>
    <n v="35"/>
    <n v="4204"/>
    <s v="120.1"/>
    <x v="1"/>
    <n v="1.881"/>
    <n v="65834.600000000006"/>
    <n v="65.834999999999994"/>
    <d v="2021-08-01T00:00:00"/>
    <x v="0"/>
    <x v="0"/>
  </r>
  <r>
    <x v="9"/>
    <x v="8"/>
    <s v="September"/>
    <s v="Division_A"/>
    <x v="10"/>
    <n v="2006"/>
    <n v="15"/>
    <s v="TM-Utama"/>
    <n v="35"/>
    <n v="4204"/>
    <s v="120.1"/>
    <x v="1"/>
    <n v="1.7969999999999999"/>
    <n v="62902.3"/>
    <n v="62.902000000000001"/>
    <d v="2021-09-01T00:00:00"/>
    <x v="0"/>
    <x v="0"/>
  </r>
  <r>
    <x v="9"/>
    <x v="9"/>
    <s v="Oktober"/>
    <s v="Division_A"/>
    <x v="10"/>
    <n v="2006"/>
    <n v="15"/>
    <s v="TM-Utama"/>
    <n v="35"/>
    <n v="4204"/>
    <s v="120.1"/>
    <x v="1"/>
    <n v="1.9019999999999999"/>
    <n v="66559.8"/>
    <n v="66.56"/>
    <d v="2021-10-01T00:00:00"/>
    <x v="0"/>
    <x v="0"/>
  </r>
  <r>
    <x v="9"/>
    <x v="10"/>
    <s v="November"/>
    <s v="Division_A"/>
    <x v="10"/>
    <n v="2006"/>
    <n v="15"/>
    <s v="TM-Utama"/>
    <n v="35"/>
    <n v="4204"/>
    <s v="120.1"/>
    <x v="1"/>
    <n v="1.853"/>
    <n v="64857.2"/>
    <n v="64.856999999999999"/>
    <d v="2021-11-01T00:00:00"/>
    <x v="0"/>
    <x v="0"/>
  </r>
  <r>
    <x v="9"/>
    <x v="11"/>
    <s v="Desember"/>
    <s v="Division_A"/>
    <x v="10"/>
    <n v="2006"/>
    <n v="15"/>
    <s v="TM-Utama"/>
    <n v="35"/>
    <n v="4204"/>
    <s v="120.1"/>
    <x v="1"/>
    <n v="1.88"/>
    <n v="65803.100000000006"/>
    <n v="65.802999999999997"/>
    <d v="2021-12-01T00:00:00"/>
    <x v="0"/>
    <x v="0"/>
  </r>
  <r>
    <x v="9"/>
    <x v="0"/>
    <s v="Januari"/>
    <s v="Division_A"/>
    <x v="11"/>
    <n v="2012"/>
    <n v="9"/>
    <s v="TM-Utama"/>
    <n v="10"/>
    <n v="1434"/>
    <s v="143.4"/>
    <x v="1"/>
    <n v="0.67800000000000005"/>
    <n v="6775.7"/>
    <n v="6.7759999999999998"/>
    <d v="2021-01-01T00:00:00"/>
    <x v="0"/>
    <x v="1"/>
  </r>
  <r>
    <x v="9"/>
    <x v="1"/>
    <s v="Februari"/>
    <s v="Division_A"/>
    <x v="11"/>
    <n v="2012"/>
    <n v="9"/>
    <s v="TM-Utama"/>
    <n v="10"/>
    <n v="1434"/>
    <s v="143.4"/>
    <x v="1"/>
    <n v="1.125"/>
    <n v="11249.7"/>
    <n v="11.25"/>
    <d v="2021-02-01T00:00:00"/>
    <x v="0"/>
    <x v="1"/>
  </r>
  <r>
    <x v="9"/>
    <x v="2"/>
    <s v="Maret"/>
    <s v="Division_A"/>
    <x v="11"/>
    <n v="2012"/>
    <n v="9"/>
    <s v="TM-Utama"/>
    <n v="10"/>
    <n v="1434"/>
    <s v="143.4"/>
    <x v="1"/>
    <n v="1.833"/>
    <n v="18326.5"/>
    <n v="18.327000000000002"/>
    <d v="2021-03-01T00:00:00"/>
    <x v="0"/>
    <x v="1"/>
  </r>
  <r>
    <x v="9"/>
    <x v="3"/>
    <s v="April"/>
    <s v="Division_A"/>
    <x v="11"/>
    <n v="2012"/>
    <n v="9"/>
    <s v="TM-Utama"/>
    <n v="10"/>
    <n v="1434"/>
    <s v="143.4"/>
    <x v="1"/>
    <n v="2.1280000000000001"/>
    <n v="21284.1"/>
    <n v="21.283999999999999"/>
    <d v="2021-04-01T00:00:00"/>
    <x v="0"/>
    <x v="1"/>
  </r>
  <r>
    <x v="9"/>
    <x v="4"/>
    <s v="Mei"/>
    <s v="Division_A"/>
    <x v="11"/>
    <n v="2012"/>
    <n v="9"/>
    <s v="TM-Utama"/>
    <n v="10"/>
    <n v="1434"/>
    <s v="143.4"/>
    <x v="1"/>
    <n v="2.0739999999999998"/>
    <n v="20735.599999999999"/>
    <n v="20.736000000000001"/>
    <d v="2021-05-01T00:00:00"/>
    <x v="0"/>
    <x v="1"/>
  </r>
  <r>
    <x v="9"/>
    <x v="5"/>
    <s v="Juni"/>
    <s v="Division_A"/>
    <x v="11"/>
    <n v="2012"/>
    <n v="9"/>
    <s v="TM-Utama"/>
    <n v="10"/>
    <n v="1434"/>
    <s v="143.4"/>
    <x v="1"/>
    <n v="2.032"/>
    <n v="20316.2"/>
    <n v="20.315999999999999"/>
    <d v="2021-06-01T00:00:00"/>
    <x v="0"/>
    <x v="1"/>
  </r>
  <r>
    <x v="9"/>
    <x v="6"/>
    <s v="Juli"/>
    <s v="Division_A"/>
    <x v="11"/>
    <n v="2012"/>
    <n v="9"/>
    <s v="TM-Utama"/>
    <n v="10"/>
    <n v="1434"/>
    <s v="143.4"/>
    <x v="1"/>
    <n v="2.323"/>
    <n v="23230.799999999999"/>
    <n v="23.231000000000002"/>
    <d v="2021-07-01T00:00:00"/>
    <x v="0"/>
    <x v="1"/>
  </r>
  <r>
    <x v="9"/>
    <x v="7"/>
    <s v="Agustus"/>
    <s v="Division_A"/>
    <x v="11"/>
    <n v="2012"/>
    <n v="9"/>
    <s v="TM-Utama"/>
    <n v="10"/>
    <n v="1434"/>
    <s v="143.4"/>
    <x v="1"/>
    <n v="2.246"/>
    <n v="22456.400000000001"/>
    <n v="22.456"/>
    <d v="2021-08-01T00:00:00"/>
    <x v="0"/>
    <x v="1"/>
  </r>
  <r>
    <x v="9"/>
    <x v="8"/>
    <s v="September"/>
    <s v="Division_A"/>
    <x v="11"/>
    <n v="2012"/>
    <n v="9"/>
    <s v="TM-Utama"/>
    <n v="10"/>
    <n v="1434"/>
    <s v="143.4"/>
    <x v="1"/>
    <n v="2.1459999999999999"/>
    <n v="21456.2"/>
    <n v="21.456"/>
    <d v="2021-09-01T00:00:00"/>
    <x v="0"/>
    <x v="1"/>
  </r>
  <r>
    <x v="9"/>
    <x v="9"/>
    <s v="Oktober"/>
    <s v="Division_A"/>
    <x v="11"/>
    <n v="2012"/>
    <n v="9"/>
    <s v="TM-Utama"/>
    <n v="10"/>
    <n v="1434"/>
    <s v="143.4"/>
    <x v="1"/>
    <n v="2.27"/>
    <n v="22703.8"/>
    <n v="22.704000000000001"/>
    <d v="2021-10-01T00:00:00"/>
    <x v="0"/>
    <x v="1"/>
  </r>
  <r>
    <x v="9"/>
    <x v="10"/>
    <s v="November"/>
    <s v="Division_A"/>
    <x v="11"/>
    <n v="2012"/>
    <n v="9"/>
    <s v="TM-Utama"/>
    <n v="10"/>
    <n v="1434"/>
    <s v="143.4"/>
    <x v="1"/>
    <n v="2.2120000000000002"/>
    <n v="22123"/>
    <n v="22.123000000000001"/>
    <d v="2021-11-01T00:00:00"/>
    <x v="0"/>
    <x v="1"/>
  </r>
  <r>
    <x v="9"/>
    <x v="11"/>
    <s v="Desember"/>
    <s v="Division_A"/>
    <x v="11"/>
    <n v="2012"/>
    <n v="9"/>
    <s v="TM-Utama"/>
    <n v="10"/>
    <n v="1434"/>
    <s v="143.4"/>
    <x v="1"/>
    <n v="2.2450000000000001"/>
    <n v="22445.7"/>
    <n v="22.446000000000002"/>
    <d v="2021-12-01T00:00:00"/>
    <x v="0"/>
    <x v="1"/>
  </r>
  <r>
    <x v="9"/>
    <x v="0"/>
    <s v="Januari"/>
    <s v="Division_A"/>
    <x v="12"/>
    <n v="2012"/>
    <n v="9"/>
    <s v="TM-Utama"/>
    <n v="24"/>
    <n v="3074"/>
    <s v="128.1"/>
    <x v="2"/>
    <n v="0.60499999999999998"/>
    <n v="14524.7"/>
    <n v="14.525"/>
    <d v="2021-01-01T00:00:00"/>
    <x v="0"/>
    <x v="1"/>
  </r>
  <r>
    <x v="9"/>
    <x v="1"/>
    <s v="Februari"/>
    <s v="Division_A"/>
    <x v="12"/>
    <n v="2012"/>
    <n v="9"/>
    <s v="TM-Utama"/>
    <n v="24"/>
    <n v="3074"/>
    <s v="128.1"/>
    <x v="2"/>
    <n v="1.0049999999999999"/>
    <n v="24115.5"/>
    <n v="24.116"/>
    <d v="2021-02-01T00:00:00"/>
    <x v="0"/>
    <x v="1"/>
  </r>
  <r>
    <x v="9"/>
    <x v="2"/>
    <s v="Maret"/>
    <s v="Division_A"/>
    <x v="12"/>
    <n v="2012"/>
    <n v="9"/>
    <s v="TM-Utama"/>
    <n v="24"/>
    <n v="3074"/>
    <s v="128.1"/>
    <x v="2"/>
    <n v="1.637"/>
    <n v="39285.699999999997"/>
    <n v="39.286000000000001"/>
    <d v="2021-03-01T00:00:00"/>
    <x v="0"/>
    <x v="1"/>
  </r>
  <r>
    <x v="9"/>
    <x v="3"/>
    <s v="April"/>
    <s v="Division_A"/>
    <x v="12"/>
    <n v="2012"/>
    <n v="9"/>
    <s v="TM-Utama"/>
    <n v="24"/>
    <n v="3074"/>
    <s v="128.1"/>
    <x v="2"/>
    <n v="1.901"/>
    <n v="45625.8"/>
    <n v="45.625999999999998"/>
    <d v="2021-04-01T00:00:00"/>
    <x v="0"/>
    <x v="1"/>
  </r>
  <r>
    <x v="9"/>
    <x v="4"/>
    <s v="Mei"/>
    <s v="Division_A"/>
    <x v="12"/>
    <n v="2012"/>
    <n v="9"/>
    <s v="TM-Utama"/>
    <n v="24"/>
    <n v="3074"/>
    <s v="128.1"/>
    <x v="2"/>
    <n v="1.8520000000000001"/>
    <n v="44450"/>
    <n v="44.45"/>
    <d v="2021-05-01T00:00:00"/>
    <x v="0"/>
    <x v="1"/>
  </r>
  <r>
    <x v="9"/>
    <x v="5"/>
    <s v="Juni"/>
    <s v="Division_A"/>
    <x v="12"/>
    <n v="2012"/>
    <n v="9"/>
    <s v="TM-Utama"/>
    <n v="24"/>
    <n v="3074"/>
    <s v="128.1"/>
    <x v="2"/>
    <n v="1.8149999999999999"/>
    <n v="43550.9"/>
    <n v="43.551000000000002"/>
    <d v="2021-06-01T00:00:00"/>
    <x v="0"/>
    <x v="1"/>
  </r>
  <r>
    <x v="9"/>
    <x v="6"/>
    <s v="Juli"/>
    <s v="Division_A"/>
    <x v="12"/>
    <n v="2012"/>
    <n v="9"/>
    <s v="TM-Utama"/>
    <n v="24"/>
    <n v="3074"/>
    <s v="128.1"/>
    <x v="2"/>
    <n v="2.0750000000000002"/>
    <n v="49798.8"/>
    <n v="49.798999999999999"/>
    <d v="2021-07-01T00:00:00"/>
    <x v="0"/>
    <x v="1"/>
  </r>
  <r>
    <x v="9"/>
    <x v="7"/>
    <s v="Agustus"/>
    <s v="Division_A"/>
    <x v="12"/>
    <n v="2012"/>
    <n v="9"/>
    <s v="TM-Utama"/>
    <n v="24"/>
    <n v="3074"/>
    <s v="128.1"/>
    <x v="2"/>
    <n v="2.0059999999999998"/>
    <n v="48138.8"/>
    <n v="48.139000000000003"/>
    <d v="2021-08-01T00:00:00"/>
    <x v="0"/>
    <x v="1"/>
  </r>
  <r>
    <x v="9"/>
    <x v="8"/>
    <s v="September"/>
    <s v="Division_A"/>
    <x v="12"/>
    <n v="2012"/>
    <n v="9"/>
    <s v="TM-Utama"/>
    <n v="24"/>
    <n v="3074"/>
    <s v="128.1"/>
    <x v="2"/>
    <n v="1.9159999999999999"/>
    <n v="45994.7"/>
    <n v="45.994999999999997"/>
    <d v="2021-09-01T00:00:00"/>
    <x v="0"/>
    <x v="1"/>
  </r>
  <r>
    <x v="9"/>
    <x v="9"/>
    <s v="Oktober"/>
    <s v="Division_A"/>
    <x v="12"/>
    <n v="2012"/>
    <n v="9"/>
    <s v="TM-Utama"/>
    <n v="24"/>
    <n v="3074"/>
    <s v="128.1"/>
    <x v="2"/>
    <n v="2.028"/>
    <n v="48669.1"/>
    <n v="48.668999999999997"/>
    <d v="2021-10-01T00:00:00"/>
    <x v="0"/>
    <x v="1"/>
  </r>
  <r>
    <x v="9"/>
    <x v="10"/>
    <s v="November"/>
    <s v="Division_A"/>
    <x v="12"/>
    <n v="2012"/>
    <n v="9"/>
    <s v="TM-Utama"/>
    <n v="24"/>
    <n v="3074"/>
    <s v="128.1"/>
    <x v="2"/>
    <n v="1.976"/>
    <n v="47424.1"/>
    <n v="47.423999999999999"/>
    <d v="2021-11-01T00:00:00"/>
    <x v="0"/>
    <x v="1"/>
  </r>
  <r>
    <x v="9"/>
    <x v="11"/>
    <s v="Desember"/>
    <s v="Division_A"/>
    <x v="12"/>
    <n v="2012"/>
    <n v="9"/>
    <s v="TM-Utama"/>
    <n v="24"/>
    <n v="3074"/>
    <s v="128.1"/>
    <x v="2"/>
    <n v="2.0049999999999999"/>
    <n v="48115.8"/>
    <n v="48.116"/>
    <d v="2021-12-01T00:00:00"/>
    <x v="0"/>
    <x v="1"/>
  </r>
  <r>
    <x v="9"/>
    <x v="0"/>
    <s v="Januari"/>
    <s v="Division_A"/>
    <x v="13"/>
    <n v="2012"/>
    <n v="9"/>
    <s v="TM-Utama"/>
    <n v="19"/>
    <n v="2418"/>
    <s v="127.3"/>
    <x v="2"/>
    <n v="0.60099999999999998"/>
    <n v="11425"/>
    <n v="11.425000000000001"/>
    <d v="2021-01-01T00:00:00"/>
    <x v="0"/>
    <x v="1"/>
  </r>
  <r>
    <x v="9"/>
    <x v="1"/>
    <s v="Februari"/>
    <s v="Division_A"/>
    <x v="13"/>
    <n v="2012"/>
    <n v="9"/>
    <s v="TM-Utama"/>
    <n v="19"/>
    <n v="2418"/>
    <s v="127.3"/>
    <x v="2"/>
    <n v="0.998"/>
    <n v="18969.2"/>
    <n v="18.969000000000001"/>
    <d v="2021-02-01T00:00:00"/>
    <x v="0"/>
    <x v="1"/>
  </r>
  <r>
    <x v="9"/>
    <x v="2"/>
    <s v="Maret"/>
    <s v="Division_A"/>
    <x v="13"/>
    <n v="2012"/>
    <n v="9"/>
    <s v="TM-Utama"/>
    <n v="19"/>
    <n v="2418"/>
    <s v="127.3"/>
    <x v="2"/>
    <n v="1.6259999999999999"/>
    <n v="30902"/>
    <n v="30.902000000000001"/>
    <d v="2021-03-01T00:00:00"/>
    <x v="0"/>
    <x v="1"/>
  </r>
  <r>
    <x v="9"/>
    <x v="3"/>
    <s v="April"/>
    <s v="Division_A"/>
    <x v="13"/>
    <n v="2012"/>
    <n v="9"/>
    <s v="TM-Utama"/>
    <n v="19"/>
    <n v="2418"/>
    <s v="127.3"/>
    <x v="2"/>
    <n v="1.889"/>
    <n v="35889.199999999997"/>
    <n v="35.889000000000003"/>
    <d v="2021-04-01T00:00:00"/>
    <x v="0"/>
    <x v="1"/>
  </r>
  <r>
    <x v="9"/>
    <x v="4"/>
    <s v="Mei"/>
    <s v="Division_A"/>
    <x v="13"/>
    <n v="2012"/>
    <n v="9"/>
    <s v="TM-Utama"/>
    <n v="19"/>
    <n v="2418"/>
    <s v="127.3"/>
    <x v="2"/>
    <n v="1.84"/>
    <n v="34964.300000000003"/>
    <n v="34.963999999999999"/>
    <d v="2021-05-01T00:00:00"/>
    <x v="0"/>
    <x v="1"/>
  </r>
  <r>
    <x v="9"/>
    <x v="5"/>
    <s v="Juni"/>
    <s v="Division_A"/>
    <x v="13"/>
    <n v="2012"/>
    <n v="9"/>
    <s v="TM-Utama"/>
    <n v="19"/>
    <n v="2418"/>
    <s v="127.3"/>
    <x v="2"/>
    <n v="1.8029999999999999"/>
    <n v="34257"/>
    <n v="34.256999999999998"/>
    <d v="2021-06-01T00:00:00"/>
    <x v="0"/>
    <x v="1"/>
  </r>
  <r>
    <x v="9"/>
    <x v="6"/>
    <s v="Juli"/>
    <s v="Division_A"/>
    <x v="13"/>
    <n v="2012"/>
    <n v="9"/>
    <s v="TM-Utama"/>
    <n v="19"/>
    <n v="2418"/>
    <s v="127.3"/>
    <x v="2"/>
    <n v="2.0619999999999998"/>
    <n v="39171.599999999999"/>
    <n v="39.171999999999997"/>
    <d v="2021-07-01T00:00:00"/>
    <x v="0"/>
    <x v="1"/>
  </r>
  <r>
    <x v="9"/>
    <x v="7"/>
    <s v="Agustus"/>
    <s v="Division_A"/>
    <x v="13"/>
    <n v="2012"/>
    <n v="9"/>
    <s v="TM-Utama"/>
    <n v="19"/>
    <n v="2418"/>
    <s v="127.3"/>
    <x v="2"/>
    <n v="1.9930000000000001"/>
    <n v="37865.9"/>
    <n v="37.866"/>
    <d v="2021-08-01T00:00:00"/>
    <x v="0"/>
    <x v="1"/>
  </r>
  <r>
    <x v="9"/>
    <x v="8"/>
    <s v="September"/>
    <s v="Division_A"/>
    <x v="13"/>
    <n v="2012"/>
    <n v="9"/>
    <s v="TM-Utama"/>
    <n v="19"/>
    <n v="2418"/>
    <s v="127.3"/>
    <x v="2"/>
    <n v="1.9039999999999999"/>
    <n v="36179.300000000003"/>
    <n v="36.179000000000002"/>
    <d v="2021-09-01T00:00:00"/>
    <x v="0"/>
    <x v="1"/>
  </r>
  <r>
    <x v="9"/>
    <x v="9"/>
    <s v="Oktober"/>
    <s v="Division_A"/>
    <x v="13"/>
    <n v="2012"/>
    <n v="9"/>
    <s v="TM-Utama"/>
    <n v="19"/>
    <n v="2418"/>
    <s v="127.3"/>
    <x v="2"/>
    <n v="2.0150000000000001"/>
    <n v="38283"/>
    <n v="38.283000000000001"/>
    <d v="2021-10-01T00:00:00"/>
    <x v="0"/>
    <x v="1"/>
  </r>
  <r>
    <x v="9"/>
    <x v="10"/>
    <s v="November"/>
    <s v="Division_A"/>
    <x v="13"/>
    <n v="2012"/>
    <n v="9"/>
    <s v="TM-Utama"/>
    <n v="19"/>
    <n v="2418"/>
    <s v="127.3"/>
    <x v="2"/>
    <n v="1.9630000000000001"/>
    <n v="37303.699999999997"/>
    <n v="37.304000000000002"/>
    <d v="2021-11-01T00:00:00"/>
    <x v="0"/>
    <x v="1"/>
  </r>
  <r>
    <x v="9"/>
    <x v="11"/>
    <s v="Desember"/>
    <s v="Division_A"/>
    <x v="13"/>
    <n v="2012"/>
    <n v="9"/>
    <s v="TM-Utama"/>
    <n v="19"/>
    <n v="2418"/>
    <s v="127.3"/>
    <x v="2"/>
    <n v="1.992"/>
    <n v="37847.699999999997"/>
    <n v="37.847999999999999"/>
    <d v="2021-12-01T00:00:00"/>
    <x v="0"/>
    <x v="1"/>
  </r>
  <r>
    <x v="9"/>
    <x v="0"/>
    <s v="Januari"/>
    <s v="Division_A"/>
    <x v="14"/>
    <n v="2012"/>
    <n v="9"/>
    <s v="TM-Utama"/>
    <n v="25"/>
    <n v="3205"/>
    <s v="128.2"/>
    <x v="2"/>
    <n v="0.60599999999999998"/>
    <n v="15143.6"/>
    <n v="15.144"/>
    <d v="2021-01-01T00:00:00"/>
    <x v="0"/>
    <x v="1"/>
  </r>
  <r>
    <x v="9"/>
    <x v="1"/>
    <s v="Februari"/>
    <s v="Division_A"/>
    <x v="14"/>
    <n v="2012"/>
    <n v="9"/>
    <s v="TM-Utama"/>
    <n v="25"/>
    <n v="3205"/>
    <s v="128.2"/>
    <x v="2"/>
    <n v="1.006"/>
    <n v="25143.200000000001"/>
    <n v="25.143000000000001"/>
    <d v="2021-02-01T00:00:00"/>
    <x v="0"/>
    <x v="1"/>
  </r>
  <r>
    <x v="9"/>
    <x v="2"/>
    <s v="Maret"/>
    <s v="Division_A"/>
    <x v="14"/>
    <n v="2012"/>
    <n v="9"/>
    <s v="TM-Utama"/>
    <n v="25"/>
    <n v="3205"/>
    <s v="128.2"/>
    <x v="2"/>
    <n v="1.6379999999999999"/>
    <n v="40959.9"/>
    <n v="40.96"/>
    <d v="2021-03-01T00:00:00"/>
    <x v="0"/>
    <x v="1"/>
  </r>
  <r>
    <x v="9"/>
    <x v="3"/>
    <s v="April"/>
    <s v="Division_A"/>
    <x v="14"/>
    <n v="2012"/>
    <n v="9"/>
    <s v="TM-Utama"/>
    <n v="25"/>
    <n v="3205"/>
    <s v="128.2"/>
    <x v="2"/>
    <n v="1.903"/>
    <n v="47570.2"/>
    <n v="47.57"/>
    <d v="2021-04-01T00:00:00"/>
    <x v="0"/>
    <x v="1"/>
  </r>
  <r>
    <x v="9"/>
    <x v="4"/>
    <s v="Mei"/>
    <s v="Division_A"/>
    <x v="14"/>
    <n v="2012"/>
    <n v="9"/>
    <s v="TM-Utama"/>
    <n v="25"/>
    <n v="3205"/>
    <s v="128.2"/>
    <x v="2"/>
    <n v="1.8540000000000001"/>
    <n v="46344.3"/>
    <n v="46.344000000000001"/>
    <d v="2021-05-01T00:00:00"/>
    <x v="0"/>
    <x v="1"/>
  </r>
  <r>
    <x v="9"/>
    <x v="5"/>
    <s v="Juni"/>
    <s v="Division_A"/>
    <x v="14"/>
    <n v="2012"/>
    <n v="9"/>
    <s v="TM-Utama"/>
    <n v="25"/>
    <n v="3205"/>
    <s v="128.2"/>
    <x v="2"/>
    <n v="1.8160000000000001"/>
    <n v="45406.8"/>
    <n v="45.406999999999996"/>
    <d v="2021-06-01T00:00:00"/>
    <x v="0"/>
    <x v="1"/>
  </r>
  <r>
    <x v="9"/>
    <x v="6"/>
    <s v="Juli"/>
    <s v="Division_A"/>
    <x v="14"/>
    <n v="2012"/>
    <n v="9"/>
    <s v="TM-Utama"/>
    <n v="25"/>
    <n v="3205"/>
    <s v="128.2"/>
    <x v="2"/>
    <n v="2.077"/>
    <n v="51921"/>
    <n v="51.920999999999999"/>
    <d v="2021-07-01T00:00:00"/>
    <x v="0"/>
    <x v="1"/>
  </r>
  <r>
    <x v="9"/>
    <x v="7"/>
    <s v="Agustus"/>
    <s v="Division_A"/>
    <x v="14"/>
    <n v="2012"/>
    <n v="9"/>
    <s v="TM-Utama"/>
    <n v="25"/>
    <n v="3205"/>
    <s v="128.2"/>
    <x v="2"/>
    <n v="2.008"/>
    <n v="50190.3"/>
    <n v="50.19"/>
    <d v="2021-08-01T00:00:00"/>
    <x v="0"/>
    <x v="1"/>
  </r>
  <r>
    <x v="9"/>
    <x v="8"/>
    <s v="September"/>
    <s v="Division_A"/>
    <x v="14"/>
    <n v="2012"/>
    <n v="9"/>
    <s v="TM-Utama"/>
    <n v="25"/>
    <n v="3205"/>
    <s v="128.2"/>
    <x v="2"/>
    <n v="1.9179999999999999"/>
    <n v="47954.8"/>
    <n v="47.954999999999998"/>
    <d v="2021-09-01T00:00:00"/>
    <x v="0"/>
    <x v="1"/>
  </r>
  <r>
    <x v="9"/>
    <x v="9"/>
    <s v="Oktober"/>
    <s v="Division_A"/>
    <x v="14"/>
    <n v="2012"/>
    <n v="9"/>
    <s v="TM-Utama"/>
    <n v="25"/>
    <n v="3205"/>
    <s v="128.2"/>
    <x v="2"/>
    <n v="2.0299999999999998"/>
    <n v="50743.199999999997"/>
    <n v="50.743000000000002"/>
    <d v="2021-10-01T00:00:00"/>
    <x v="0"/>
    <x v="1"/>
  </r>
  <r>
    <x v="9"/>
    <x v="10"/>
    <s v="November"/>
    <s v="Division_A"/>
    <x v="14"/>
    <n v="2012"/>
    <n v="9"/>
    <s v="TM-Utama"/>
    <n v="25"/>
    <n v="3205"/>
    <s v="128.2"/>
    <x v="2"/>
    <n v="1.978"/>
    <n v="49445.1"/>
    <n v="49.445"/>
    <d v="2021-11-01T00:00:00"/>
    <x v="0"/>
    <x v="1"/>
  </r>
  <r>
    <x v="9"/>
    <x v="11"/>
    <s v="Desember"/>
    <s v="Division_A"/>
    <x v="14"/>
    <n v="2012"/>
    <n v="9"/>
    <s v="TM-Utama"/>
    <n v="25"/>
    <n v="3205"/>
    <s v="128.2"/>
    <x v="2"/>
    <n v="2.0070000000000001"/>
    <n v="50166.3"/>
    <n v="50.165999999999997"/>
    <d v="2021-12-01T00:00:00"/>
    <x v="0"/>
    <x v="1"/>
  </r>
  <r>
    <x v="9"/>
    <x v="0"/>
    <s v="Januari"/>
    <s v="Division_A"/>
    <x v="15"/>
    <n v="2012"/>
    <n v="9"/>
    <s v="TM-Utama"/>
    <n v="19"/>
    <n v="2469"/>
    <s v="129.9"/>
    <x v="1"/>
    <n v="0.61399999999999999"/>
    <n v="11666"/>
    <n v="11.666"/>
    <d v="2021-01-01T00:00:00"/>
    <x v="0"/>
    <x v="1"/>
  </r>
  <r>
    <x v="9"/>
    <x v="1"/>
    <s v="Februari"/>
    <s v="Division_A"/>
    <x v="15"/>
    <n v="2012"/>
    <n v="9"/>
    <s v="TM-Utama"/>
    <n v="19"/>
    <n v="2469"/>
    <s v="129.9"/>
    <x v="1"/>
    <n v="1.0189999999999999"/>
    <n v="19369.3"/>
    <n v="19.369"/>
    <d v="2021-02-01T00:00:00"/>
    <x v="0"/>
    <x v="1"/>
  </r>
  <r>
    <x v="9"/>
    <x v="2"/>
    <s v="Maret"/>
    <s v="Division_A"/>
    <x v="15"/>
    <n v="2012"/>
    <n v="9"/>
    <s v="TM-Utama"/>
    <n v="19"/>
    <n v="2469"/>
    <s v="129.9"/>
    <x v="1"/>
    <n v="1.661"/>
    <n v="31553.8"/>
    <n v="31.553999999999998"/>
    <d v="2021-03-01T00:00:00"/>
    <x v="0"/>
    <x v="1"/>
  </r>
  <r>
    <x v="9"/>
    <x v="3"/>
    <s v="April"/>
    <s v="Division_A"/>
    <x v="15"/>
    <n v="2012"/>
    <n v="9"/>
    <s v="TM-Utama"/>
    <n v="19"/>
    <n v="2469"/>
    <s v="129.9"/>
    <x v="1"/>
    <n v="1.929"/>
    <n v="36646.1"/>
    <n v="36.646000000000001"/>
    <d v="2021-04-01T00:00:00"/>
    <x v="0"/>
    <x v="1"/>
  </r>
  <r>
    <x v="9"/>
    <x v="4"/>
    <s v="Mei"/>
    <s v="Division_A"/>
    <x v="15"/>
    <n v="2012"/>
    <n v="9"/>
    <s v="TM-Utama"/>
    <n v="19"/>
    <n v="2469"/>
    <s v="129.9"/>
    <x v="1"/>
    <n v="1.879"/>
    <n v="35701.699999999997"/>
    <n v="35.701999999999998"/>
    <d v="2021-05-01T00:00:00"/>
    <x v="0"/>
    <x v="1"/>
  </r>
  <r>
    <x v="9"/>
    <x v="5"/>
    <s v="Juni"/>
    <s v="Division_A"/>
    <x v="15"/>
    <n v="2012"/>
    <n v="9"/>
    <s v="TM-Utama"/>
    <n v="19"/>
    <n v="2469"/>
    <s v="129.9"/>
    <x v="1"/>
    <n v="1.841"/>
    <n v="34979.599999999999"/>
    <n v="34.979999999999997"/>
    <d v="2021-06-01T00:00:00"/>
    <x v="0"/>
    <x v="1"/>
  </r>
  <r>
    <x v="9"/>
    <x v="6"/>
    <s v="Juli"/>
    <s v="Division_A"/>
    <x v="15"/>
    <n v="2012"/>
    <n v="9"/>
    <s v="TM-Utama"/>
    <n v="19"/>
    <n v="2469"/>
    <s v="129.9"/>
    <x v="1"/>
    <n v="2.105"/>
    <n v="39997.800000000003"/>
    <n v="39.997999999999998"/>
    <d v="2021-07-01T00:00:00"/>
    <x v="0"/>
    <x v="1"/>
  </r>
  <r>
    <x v="9"/>
    <x v="7"/>
    <s v="Agustus"/>
    <s v="Division_A"/>
    <x v="15"/>
    <n v="2012"/>
    <n v="9"/>
    <s v="TM-Utama"/>
    <n v="19"/>
    <n v="2469"/>
    <s v="129.9"/>
    <x v="1"/>
    <n v="2.0350000000000001"/>
    <n v="38664.5"/>
    <n v="38.664999999999999"/>
    <d v="2021-08-01T00:00:00"/>
    <x v="0"/>
    <x v="1"/>
  </r>
  <r>
    <x v="9"/>
    <x v="8"/>
    <s v="September"/>
    <s v="Division_A"/>
    <x v="15"/>
    <n v="2012"/>
    <n v="9"/>
    <s v="TM-Utama"/>
    <n v="19"/>
    <n v="2469"/>
    <s v="129.9"/>
    <x v="1"/>
    <n v="1.944"/>
    <n v="36942.400000000001"/>
    <n v="36.942"/>
    <d v="2021-09-01T00:00:00"/>
    <x v="0"/>
    <x v="1"/>
  </r>
  <r>
    <x v="9"/>
    <x v="9"/>
    <s v="Oktober"/>
    <s v="Division_A"/>
    <x v="15"/>
    <n v="2012"/>
    <n v="9"/>
    <s v="TM-Utama"/>
    <n v="19"/>
    <n v="2469"/>
    <s v="129.9"/>
    <x v="1"/>
    <n v="2.0569999999999999"/>
    <n v="39090.400000000001"/>
    <n v="39.090000000000003"/>
    <d v="2021-10-01T00:00:00"/>
    <x v="0"/>
    <x v="1"/>
  </r>
  <r>
    <x v="9"/>
    <x v="10"/>
    <s v="November"/>
    <s v="Division_A"/>
    <x v="15"/>
    <n v="2012"/>
    <n v="9"/>
    <s v="TM-Utama"/>
    <n v="19"/>
    <n v="2469"/>
    <s v="129.9"/>
    <x v="1"/>
    <n v="2.0049999999999999"/>
    <n v="38090.5"/>
    <n v="38.090000000000003"/>
    <d v="2021-11-01T00:00:00"/>
    <x v="0"/>
    <x v="1"/>
  </r>
  <r>
    <x v="9"/>
    <x v="11"/>
    <s v="Desember"/>
    <s v="Division_A"/>
    <x v="15"/>
    <n v="2012"/>
    <n v="9"/>
    <s v="TM-Utama"/>
    <n v="19"/>
    <n v="2469"/>
    <s v="129.9"/>
    <x v="1"/>
    <n v="2.0339999999999998"/>
    <n v="38646"/>
    <n v="38.646000000000001"/>
    <d v="2021-12-01T00:00:00"/>
    <x v="0"/>
    <x v="1"/>
  </r>
  <r>
    <x v="9"/>
    <x v="0"/>
    <s v="Januari"/>
    <s v="Division_A"/>
    <x v="16"/>
    <n v="2012"/>
    <n v="9"/>
    <s v="TM-Utama"/>
    <n v="20"/>
    <n v="2704"/>
    <s v="135.2"/>
    <x v="2"/>
    <n v="0.63900000000000001"/>
    <n v="12776.4"/>
    <n v="12.776"/>
    <d v="2021-01-01T00:00:00"/>
    <x v="0"/>
    <x v="1"/>
  </r>
  <r>
    <x v="9"/>
    <x v="1"/>
    <s v="Februari"/>
    <s v="Division_A"/>
    <x v="16"/>
    <n v="2012"/>
    <n v="9"/>
    <s v="TM-Utama"/>
    <n v="20"/>
    <n v="2704"/>
    <s v="135.2"/>
    <x v="2"/>
    <n v="1.0609999999999999"/>
    <n v="21212.9"/>
    <n v="21.213000000000001"/>
    <d v="2021-02-01T00:00:00"/>
    <x v="0"/>
    <x v="1"/>
  </r>
  <r>
    <x v="9"/>
    <x v="2"/>
    <s v="Maret"/>
    <s v="Division_A"/>
    <x v="16"/>
    <n v="2012"/>
    <n v="9"/>
    <s v="TM-Utama"/>
    <n v="20"/>
    <n v="2704"/>
    <s v="135.2"/>
    <x v="2"/>
    <n v="1.728"/>
    <n v="34557.1"/>
    <n v="34.557000000000002"/>
    <d v="2021-03-01T00:00:00"/>
    <x v="0"/>
    <x v="1"/>
  </r>
  <r>
    <x v="9"/>
    <x v="3"/>
    <s v="April"/>
    <s v="Division_A"/>
    <x v="16"/>
    <n v="2012"/>
    <n v="9"/>
    <s v="TM-Utama"/>
    <n v="20"/>
    <n v="2704"/>
    <s v="135.2"/>
    <x v="2"/>
    <n v="2.0070000000000001"/>
    <n v="40134.1"/>
    <n v="40.134"/>
    <d v="2021-04-01T00:00:00"/>
    <x v="0"/>
    <x v="1"/>
  </r>
  <r>
    <x v="9"/>
    <x v="4"/>
    <s v="Mei"/>
    <s v="Division_A"/>
    <x v="16"/>
    <n v="2012"/>
    <n v="9"/>
    <s v="TM-Utama"/>
    <n v="20"/>
    <n v="2704"/>
    <s v="135.2"/>
    <x v="2"/>
    <n v="1.9550000000000001"/>
    <n v="39099.800000000003"/>
    <n v="39.1"/>
    <d v="2021-05-01T00:00:00"/>
    <x v="0"/>
    <x v="1"/>
  </r>
  <r>
    <x v="9"/>
    <x v="5"/>
    <s v="Juni"/>
    <s v="Division_A"/>
    <x v="16"/>
    <n v="2012"/>
    <n v="9"/>
    <s v="TM-Utama"/>
    <n v="20"/>
    <n v="2704"/>
    <s v="135.2"/>
    <x v="2"/>
    <n v="1.915"/>
    <n v="38308.9"/>
    <n v="38.308999999999997"/>
    <d v="2021-06-01T00:00:00"/>
    <x v="0"/>
    <x v="1"/>
  </r>
  <r>
    <x v="9"/>
    <x v="6"/>
    <s v="Juli"/>
    <s v="Division_A"/>
    <x v="16"/>
    <n v="2012"/>
    <n v="9"/>
    <s v="TM-Utama"/>
    <n v="20"/>
    <n v="2704"/>
    <s v="135.2"/>
    <x v="2"/>
    <n v="2.19"/>
    <n v="43804.800000000003"/>
    <n v="43.805"/>
    <d v="2021-07-01T00:00:00"/>
    <x v="0"/>
    <x v="1"/>
  </r>
  <r>
    <x v="9"/>
    <x v="7"/>
    <s v="Agustus"/>
    <s v="Division_A"/>
    <x v="16"/>
    <n v="2012"/>
    <n v="9"/>
    <s v="TM-Utama"/>
    <n v="20"/>
    <n v="2704"/>
    <s v="135.2"/>
    <x v="2"/>
    <n v="2.117"/>
    <n v="42344.6"/>
    <n v="42.344999999999999"/>
    <d v="2021-08-01T00:00:00"/>
    <x v="0"/>
    <x v="1"/>
  </r>
  <r>
    <x v="9"/>
    <x v="8"/>
    <s v="September"/>
    <s v="Division_A"/>
    <x v="16"/>
    <n v="2012"/>
    <n v="9"/>
    <s v="TM-Utama"/>
    <n v="20"/>
    <n v="2704"/>
    <s v="135.2"/>
    <x v="2"/>
    <n v="2.0230000000000001"/>
    <n v="40458.6"/>
    <n v="40.459000000000003"/>
    <d v="2021-09-01T00:00:00"/>
    <x v="0"/>
    <x v="1"/>
  </r>
  <r>
    <x v="9"/>
    <x v="9"/>
    <s v="Oktober"/>
    <s v="Division_A"/>
    <x v="16"/>
    <n v="2012"/>
    <n v="9"/>
    <s v="TM-Utama"/>
    <n v="20"/>
    <n v="2704"/>
    <s v="135.2"/>
    <x v="2"/>
    <n v="2.141"/>
    <n v="42811.1"/>
    <n v="42.811"/>
    <d v="2021-10-01T00:00:00"/>
    <x v="0"/>
    <x v="1"/>
  </r>
  <r>
    <x v="9"/>
    <x v="10"/>
    <s v="November"/>
    <s v="Division_A"/>
    <x v="16"/>
    <n v="2012"/>
    <n v="9"/>
    <s v="TM-Utama"/>
    <n v="20"/>
    <n v="2704"/>
    <s v="135.2"/>
    <x v="2"/>
    <n v="2.0859999999999999"/>
    <n v="41716"/>
    <n v="41.716000000000001"/>
    <d v="2021-11-01T00:00:00"/>
    <x v="0"/>
    <x v="1"/>
  </r>
  <r>
    <x v="9"/>
    <x v="11"/>
    <s v="Desember"/>
    <s v="Division_A"/>
    <x v="16"/>
    <n v="2012"/>
    <n v="9"/>
    <s v="TM-Utama"/>
    <n v="20"/>
    <n v="2704"/>
    <s v="135.2"/>
    <x v="2"/>
    <n v="2.1160000000000001"/>
    <n v="42324.4"/>
    <n v="42.323999999999998"/>
    <d v="2021-12-01T00:00:00"/>
    <x v="0"/>
    <x v="1"/>
  </r>
  <r>
    <x v="9"/>
    <x v="0"/>
    <s v="Januari"/>
    <s v="Division_A"/>
    <x v="17"/>
    <n v="2012"/>
    <n v="9"/>
    <s v="TM-Utama"/>
    <n v="14"/>
    <n v="1833"/>
    <s v="130.9"/>
    <x v="2"/>
    <n v="0.61899999999999999"/>
    <n v="8660.9"/>
    <n v="8.6609999999999996"/>
    <d v="2021-01-01T00:00:00"/>
    <x v="0"/>
    <x v="1"/>
  </r>
  <r>
    <x v="9"/>
    <x v="1"/>
    <s v="Februari"/>
    <s v="Division_A"/>
    <x v="17"/>
    <n v="2012"/>
    <n v="9"/>
    <s v="TM-Utama"/>
    <n v="14"/>
    <n v="1833"/>
    <s v="130.9"/>
    <x v="2"/>
    <n v="1.0269999999999999"/>
    <n v="14379.9"/>
    <n v="14.38"/>
    <d v="2021-02-01T00:00:00"/>
    <x v="0"/>
    <x v="1"/>
  </r>
  <r>
    <x v="9"/>
    <x v="2"/>
    <s v="Maret"/>
    <s v="Division_A"/>
    <x v="17"/>
    <n v="2012"/>
    <n v="9"/>
    <s v="TM-Utama"/>
    <n v="14"/>
    <n v="1833"/>
    <s v="130.9"/>
    <x v="2"/>
    <n v="1.673"/>
    <n v="23425.7"/>
    <n v="23.425999999999998"/>
    <d v="2021-03-01T00:00:00"/>
    <x v="0"/>
    <x v="1"/>
  </r>
  <r>
    <x v="9"/>
    <x v="3"/>
    <s v="April"/>
    <s v="Division_A"/>
    <x v="17"/>
    <n v="2012"/>
    <n v="9"/>
    <s v="TM-Utama"/>
    <n v="14"/>
    <n v="1833"/>
    <s v="130.9"/>
    <x v="2"/>
    <n v="1.9430000000000001"/>
    <n v="27206.3"/>
    <n v="27.206"/>
    <d v="2021-04-01T00:00:00"/>
    <x v="0"/>
    <x v="1"/>
  </r>
  <r>
    <x v="9"/>
    <x v="4"/>
    <s v="Mei"/>
    <s v="Division_A"/>
    <x v="17"/>
    <n v="2012"/>
    <n v="9"/>
    <s v="TM-Utama"/>
    <n v="14"/>
    <n v="1833"/>
    <s v="130.9"/>
    <x v="2"/>
    <n v="1.893"/>
    <n v="26505.200000000001"/>
    <n v="26.504999999999999"/>
    <d v="2021-05-01T00:00:00"/>
    <x v="0"/>
    <x v="1"/>
  </r>
  <r>
    <x v="9"/>
    <x v="5"/>
    <s v="Juni"/>
    <s v="Division_A"/>
    <x v="17"/>
    <n v="2012"/>
    <n v="9"/>
    <s v="TM-Utama"/>
    <n v="14"/>
    <n v="1833"/>
    <s v="130.9"/>
    <x v="2"/>
    <n v="1.855"/>
    <n v="25969"/>
    <n v="25.969000000000001"/>
    <d v="2021-06-01T00:00:00"/>
    <x v="0"/>
    <x v="1"/>
  </r>
  <r>
    <x v="9"/>
    <x v="6"/>
    <s v="Juli"/>
    <s v="Division_A"/>
    <x v="17"/>
    <n v="2012"/>
    <n v="9"/>
    <s v="TM-Utama"/>
    <n v="14"/>
    <n v="1833"/>
    <s v="130.9"/>
    <x v="2"/>
    <n v="2.121"/>
    <n v="29694.6"/>
    <n v="29.695"/>
    <d v="2021-07-01T00:00:00"/>
    <x v="0"/>
    <x v="1"/>
  </r>
  <r>
    <x v="9"/>
    <x v="7"/>
    <s v="Agustus"/>
    <s v="Division_A"/>
    <x v="17"/>
    <n v="2012"/>
    <n v="9"/>
    <s v="TM-Utama"/>
    <n v="14"/>
    <n v="1833"/>
    <s v="130.9"/>
    <x v="2"/>
    <n v="2.0499999999999998"/>
    <n v="28704.799999999999"/>
    <n v="28.704999999999998"/>
    <d v="2021-08-01T00:00:00"/>
    <x v="0"/>
    <x v="1"/>
  </r>
  <r>
    <x v="9"/>
    <x v="8"/>
    <s v="September"/>
    <s v="Division_A"/>
    <x v="17"/>
    <n v="2012"/>
    <n v="9"/>
    <s v="TM-Utama"/>
    <n v="14"/>
    <n v="1833"/>
    <s v="130.9"/>
    <x v="2"/>
    <n v="1.9590000000000001"/>
    <n v="27426.3"/>
    <n v="27.425999999999998"/>
    <d v="2021-09-01T00:00:00"/>
    <x v="0"/>
    <x v="1"/>
  </r>
  <r>
    <x v="9"/>
    <x v="9"/>
    <s v="Oktober"/>
    <s v="Division_A"/>
    <x v="17"/>
    <n v="2012"/>
    <n v="9"/>
    <s v="TM-Utama"/>
    <n v="14"/>
    <n v="1833"/>
    <s v="130.9"/>
    <x v="2"/>
    <n v="2.073"/>
    <n v="29021"/>
    <n v="29.021000000000001"/>
    <d v="2021-10-01T00:00:00"/>
    <x v="0"/>
    <x v="1"/>
  </r>
  <r>
    <x v="9"/>
    <x v="10"/>
    <s v="November"/>
    <s v="Division_A"/>
    <x v="17"/>
    <n v="2012"/>
    <n v="9"/>
    <s v="TM-Utama"/>
    <n v="14"/>
    <n v="1833"/>
    <s v="130.9"/>
    <x v="2"/>
    <n v="2.02"/>
    <n v="28278.6"/>
    <n v="28.279"/>
    <d v="2021-11-01T00:00:00"/>
    <x v="0"/>
    <x v="1"/>
  </r>
  <r>
    <x v="9"/>
    <x v="11"/>
    <s v="Desember"/>
    <s v="Division_A"/>
    <x v="17"/>
    <n v="2012"/>
    <n v="9"/>
    <s v="TM-Utama"/>
    <n v="14"/>
    <n v="1833"/>
    <s v="130.9"/>
    <x v="2"/>
    <n v="2.0489999999999999"/>
    <n v="28691"/>
    <n v="28.690999999999999"/>
    <d v="2021-12-01T00:00:00"/>
    <x v="0"/>
    <x v="1"/>
  </r>
  <r>
    <x v="9"/>
    <x v="0"/>
    <s v="Januari"/>
    <s v="Division_A"/>
    <x v="18"/>
    <n v="2012"/>
    <n v="9"/>
    <s v="TM-Utama"/>
    <n v="20"/>
    <n v="1990"/>
    <s v="99.5"/>
    <x v="2"/>
    <n v="0.48199999999999998"/>
    <n v="9639"/>
    <n v="9.6389999999999993"/>
    <d v="2021-01-01T00:00:00"/>
    <x v="0"/>
    <x v="1"/>
  </r>
  <r>
    <x v="9"/>
    <x v="1"/>
    <s v="Februari"/>
    <s v="Division_A"/>
    <x v="18"/>
    <n v="2012"/>
    <n v="9"/>
    <s v="TM-Utama"/>
    <n v="20"/>
    <n v="1990"/>
    <s v="99.5"/>
    <x v="2"/>
    <n v="0.8"/>
    <n v="16003.8"/>
    <n v="16.004000000000001"/>
    <d v="2021-02-01T00:00:00"/>
    <x v="0"/>
    <x v="1"/>
  </r>
  <r>
    <x v="9"/>
    <x v="2"/>
    <s v="Maret"/>
    <s v="Division_A"/>
    <x v="18"/>
    <n v="2012"/>
    <n v="9"/>
    <s v="TM-Utama"/>
    <n v="20"/>
    <n v="1990"/>
    <s v="99.5"/>
    <x v="2"/>
    <n v="1.304"/>
    <n v="26071.200000000001"/>
    <n v="26.071000000000002"/>
    <d v="2021-03-01T00:00:00"/>
    <x v="0"/>
    <x v="1"/>
  </r>
  <r>
    <x v="9"/>
    <x v="3"/>
    <s v="April"/>
    <s v="Division_A"/>
    <x v="18"/>
    <n v="2012"/>
    <n v="9"/>
    <s v="TM-Utama"/>
    <n v="20"/>
    <n v="1990"/>
    <s v="99.5"/>
    <x v="2"/>
    <n v="1.514"/>
    <n v="30278.7"/>
    <n v="30.279"/>
    <d v="2021-04-01T00:00:00"/>
    <x v="0"/>
    <x v="1"/>
  </r>
  <r>
    <x v="9"/>
    <x v="4"/>
    <s v="Mei"/>
    <s v="Division_A"/>
    <x v="18"/>
    <n v="2012"/>
    <n v="9"/>
    <s v="TM-Utama"/>
    <n v="20"/>
    <n v="1990"/>
    <s v="99.5"/>
    <x v="2"/>
    <n v="1.4750000000000001"/>
    <n v="29498.400000000001"/>
    <n v="29.498000000000001"/>
    <d v="2021-05-01T00:00:00"/>
    <x v="0"/>
    <x v="1"/>
  </r>
  <r>
    <x v="9"/>
    <x v="5"/>
    <s v="Juni"/>
    <s v="Division_A"/>
    <x v="18"/>
    <n v="2012"/>
    <n v="9"/>
    <s v="TM-Utama"/>
    <n v="20"/>
    <n v="1990"/>
    <s v="99.5"/>
    <x v="2"/>
    <n v="1.4450000000000001"/>
    <n v="28901.7"/>
    <n v="28.902000000000001"/>
    <d v="2021-06-01T00:00:00"/>
    <x v="0"/>
    <x v="1"/>
  </r>
  <r>
    <x v="9"/>
    <x v="6"/>
    <s v="Juli"/>
    <s v="Division_A"/>
    <x v="18"/>
    <n v="2012"/>
    <n v="9"/>
    <s v="TM-Utama"/>
    <n v="20"/>
    <n v="1990"/>
    <s v="99.5"/>
    <x v="2"/>
    <n v="1.6519999999999999"/>
    <n v="33048"/>
    <n v="33.048000000000002"/>
    <d v="2021-07-01T00:00:00"/>
    <x v="0"/>
    <x v="1"/>
  </r>
  <r>
    <x v="9"/>
    <x v="7"/>
    <s v="Agustus"/>
    <s v="Division_A"/>
    <x v="18"/>
    <n v="2012"/>
    <n v="9"/>
    <s v="TM-Utama"/>
    <n v="20"/>
    <n v="1990"/>
    <s v="99.5"/>
    <x v="2"/>
    <n v="1.597"/>
    <n v="31946.400000000001"/>
    <n v="31.946000000000002"/>
    <d v="2021-08-01T00:00:00"/>
    <x v="0"/>
    <x v="1"/>
  </r>
  <r>
    <x v="9"/>
    <x v="8"/>
    <s v="September"/>
    <s v="Division_A"/>
    <x v="18"/>
    <n v="2012"/>
    <n v="9"/>
    <s v="TM-Utama"/>
    <n v="20"/>
    <n v="1990"/>
    <s v="99.5"/>
    <x v="2"/>
    <n v="1.526"/>
    <n v="30523.5"/>
    <n v="30.524000000000001"/>
    <d v="2021-09-01T00:00:00"/>
    <x v="0"/>
    <x v="1"/>
  </r>
  <r>
    <x v="9"/>
    <x v="9"/>
    <s v="Oktober"/>
    <s v="Division_A"/>
    <x v="18"/>
    <n v="2012"/>
    <n v="9"/>
    <s v="TM-Utama"/>
    <n v="20"/>
    <n v="1990"/>
    <s v="99.5"/>
    <x v="2"/>
    <n v="1.615"/>
    <n v="32298.3"/>
    <n v="32.298000000000002"/>
    <d v="2021-10-01T00:00:00"/>
    <x v="0"/>
    <x v="1"/>
  </r>
  <r>
    <x v="9"/>
    <x v="10"/>
    <s v="November"/>
    <s v="Division_A"/>
    <x v="18"/>
    <n v="2012"/>
    <n v="9"/>
    <s v="TM-Utama"/>
    <n v="20"/>
    <n v="1990"/>
    <s v="99.5"/>
    <x v="2"/>
    <n v="1.5740000000000001"/>
    <n v="31472.1"/>
    <n v="31.472000000000001"/>
    <d v="2021-11-01T00:00:00"/>
    <x v="0"/>
    <x v="1"/>
  </r>
  <r>
    <x v="9"/>
    <x v="11"/>
    <s v="Desember"/>
    <s v="Division_A"/>
    <x v="18"/>
    <n v="2012"/>
    <n v="9"/>
    <s v="TM-Utama"/>
    <n v="20"/>
    <n v="1990"/>
    <s v="99.5"/>
    <x v="2"/>
    <n v="1.597"/>
    <n v="31931.1"/>
    <n v="31.931000000000001"/>
    <d v="2021-12-01T00:00:00"/>
    <x v="0"/>
    <x v="1"/>
  </r>
  <r>
    <x v="9"/>
    <x v="0"/>
    <s v="Januari"/>
    <s v="Division_A"/>
    <x v="19"/>
    <n v="2012"/>
    <n v="9"/>
    <s v="TM-Utama"/>
    <n v="22"/>
    <n v="2606"/>
    <s v="118.5"/>
    <x v="2"/>
    <n v="0.56000000000000005"/>
    <n v="12313.4"/>
    <n v="12.313000000000001"/>
    <d v="2021-01-01T00:00:00"/>
    <x v="0"/>
    <x v="1"/>
  </r>
  <r>
    <x v="9"/>
    <x v="1"/>
    <s v="Februari"/>
    <s v="Division_A"/>
    <x v="19"/>
    <n v="2012"/>
    <n v="9"/>
    <s v="TM-Utama"/>
    <n v="22"/>
    <n v="2606"/>
    <s v="118.5"/>
    <x v="2"/>
    <n v="0.92900000000000005"/>
    <n v="20444.099999999999"/>
    <n v="20.443999999999999"/>
    <d v="2021-02-01T00:00:00"/>
    <x v="0"/>
    <x v="1"/>
  </r>
  <r>
    <x v="9"/>
    <x v="2"/>
    <s v="Maret"/>
    <s v="Division_A"/>
    <x v="19"/>
    <n v="2012"/>
    <n v="9"/>
    <s v="TM-Utama"/>
    <n v="22"/>
    <n v="2606"/>
    <s v="118.5"/>
    <x v="2"/>
    <n v="1.514"/>
    <n v="33304.699999999997"/>
    <n v="33.305"/>
    <d v="2021-03-01T00:00:00"/>
    <x v="0"/>
    <x v="1"/>
  </r>
  <r>
    <x v="9"/>
    <x v="3"/>
    <s v="April"/>
    <s v="Division_A"/>
    <x v="19"/>
    <n v="2012"/>
    <n v="9"/>
    <s v="TM-Utama"/>
    <n v="22"/>
    <n v="2606"/>
    <s v="118.5"/>
    <x v="2"/>
    <n v="1.758"/>
    <n v="38679.599999999999"/>
    <n v="38.68"/>
    <d v="2021-04-01T00:00:00"/>
    <x v="0"/>
    <x v="1"/>
  </r>
  <r>
    <x v="9"/>
    <x v="4"/>
    <s v="Mei"/>
    <s v="Division_A"/>
    <x v="19"/>
    <n v="2012"/>
    <n v="9"/>
    <s v="TM-Utama"/>
    <n v="22"/>
    <n v="2606"/>
    <s v="118.5"/>
    <x v="2"/>
    <n v="1.7130000000000001"/>
    <n v="37682.800000000003"/>
    <n v="37.683"/>
    <d v="2021-05-01T00:00:00"/>
    <x v="0"/>
    <x v="1"/>
  </r>
  <r>
    <x v="9"/>
    <x v="5"/>
    <s v="Juni"/>
    <s v="Division_A"/>
    <x v="19"/>
    <n v="2012"/>
    <n v="9"/>
    <s v="TM-Utama"/>
    <n v="22"/>
    <n v="2606"/>
    <s v="118.5"/>
    <x v="2"/>
    <n v="1.6779999999999999"/>
    <n v="36920.5"/>
    <n v="36.920999999999999"/>
    <d v="2021-06-01T00:00:00"/>
    <x v="0"/>
    <x v="1"/>
  </r>
  <r>
    <x v="9"/>
    <x v="6"/>
    <s v="Juli"/>
    <s v="Division_A"/>
    <x v="19"/>
    <n v="2012"/>
    <n v="9"/>
    <s v="TM-Utama"/>
    <n v="22"/>
    <n v="2606"/>
    <s v="118.5"/>
    <x v="2"/>
    <n v="1.919"/>
    <n v="42217.2"/>
    <n v="42.216999999999999"/>
    <d v="2021-07-01T00:00:00"/>
    <x v="0"/>
    <x v="1"/>
  </r>
  <r>
    <x v="9"/>
    <x v="7"/>
    <s v="Agustus"/>
    <s v="Division_A"/>
    <x v="19"/>
    <n v="2012"/>
    <n v="9"/>
    <s v="TM-Utama"/>
    <n v="22"/>
    <n v="2606"/>
    <s v="118.5"/>
    <x v="2"/>
    <n v="1.855"/>
    <n v="40810"/>
    <n v="40.81"/>
    <d v="2021-08-01T00:00:00"/>
    <x v="0"/>
    <x v="1"/>
  </r>
  <r>
    <x v="9"/>
    <x v="8"/>
    <s v="September"/>
    <s v="Division_A"/>
    <x v="19"/>
    <n v="2012"/>
    <n v="9"/>
    <s v="TM-Utama"/>
    <n v="22"/>
    <n v="2606"/>
    <s v="118.5"/>
    <x v="2"/>
    <n v="1.772"/>
    <n v="38992.300000000003"/>
    <n v="38.991999999999997"/>
    <d v="2021-09-01T00:00:00"/>
    <x v="0"/>
    <x v="1"/>
  </r>
  <r>
    <x v="9"/>
    <x v="9"/>
    <s v="Oktober"/>
    <s v="Division_A"/>
    <x v="19"/>
    <n v="2012"/>
    <n v="9"/>
    <s v="TM-Utama"/>
    <n v="22"/>
    <n v="2606"/>
    <s v="118.5"/>
    <x v="2"/>
    <n v="1.875"/>
    <n v="41259.5"/>
    <n v="41.259"/>
    <d v="2021-10-01T00:00:00"/>
    <x v="0"/>
    <x v="1"/>
  </r>
  <r>
    <x v="9"/>
    <x v="10"/>
    <s v="November"/>
    <s v="Division_A"/>
    <x v="19"/>
    <n v="2012"/>
    <n v="9"/>
    <s v="TM-Utama"/>
    <n v="22"/>
    <n v="2606"/>
    <s v="118.5"/>
    <x v="2"/>
    <n v="1.827"/>
    <n v="40204.1"/>
    <n v="40.204000000000001"/>
    <d v="2021-11-01T00:00:00"/>
    <x v="0"/>
    <x v="1"/>
  </r>
  <r>
    <x v="9"/>
    <x v="11"/>
    <s v="Desember"/>
    <s v="Division_A"/>
    <x v="19"/>
    <n v="2012"/>
    <n v="9"/>
    <s v="TM-Utama"/>
    <n v="22"/>
    <n v="2606"/>
    <s v="118.5"/>
    <x v="2"/>
    <n v="1.8540000000000001"/>
    <n v="40790.400000000001"/>
    <n v="40.79"/>
    <d v="2021-12-01T00:00:00"/>
    <x v="0"/>
    <x v="1"/>
  </r>
  <r>
    <x v="9"/>
    <x v="0"/>
    <s v="Januari"/>
    <s v="Division_A"/>
    <x v="20"/>
    <n v="2012"/>
    <n v="9"/>
    <s v="TM-Utama"/>
    <n v="22"/>
    <n v="2683"/>
    <s v="122"/>
    <x v="1"/>
    <n v="0.57599999999999996"/>
    <n v="12677.2"/>
    <n v="12.677"/>
    <d v="2021-01-01T00:00:00"/>
    <x v="0"/>
    <x v="1"/>
  </r>
  <r>
    <x v="9"/>
    <x v="1"/>
    <s v="Februari"/>
    <s v="Division_A"/>
    <x v="20"/>
    <n v="2012"/>
    <n v="9"/>
    <s v="TM-Utama"/>
    <n v="22"/>
    <n v="2683"/>
    <s v="122"/>
    <x v="1"/>
    <n v="0.95699999999999996"/>
    <n v="21048.1"/>
    <n v="21.047999999999998"/>
    <d v="2021-02-01T00:00:00"/>
    <x v="0"/>
    <x v="1"/>
  </r>
  <r>
    <x v="9"/>
    <x v="2"/>
    <s v="Maret"/>
    <s v="Division_A"/>
    <x v="20"/>
    <n v="2012"/>
    <n v="9"/>
    <s v="TM-Utama"/>
    <n v="22"/>
    <n v="2683"/>
    <s v="122"/>
    <x v="1"/>
    <n v="1.5589999999999999"/>
    <n v="34288.699999999997"/>
    <n v="34.289000000000001"/>
    <d v="2021-03-01T00:00:00"/>
    <x v="0"/>
    <x v="1"/>
  </r>
  <r>
    <x v="9"/>
    <x v="3"/>
    <s v="April"/>
    <s v="Division_A"/>
    <x v="20"/>
    <n v="2012"/>
    <n v="9"/>
    <s v="TM-Utama"/>
    <n v="22"/>
    <n v="2683"/>
    <s v="122"/>
    <x v="1"/>
    <n v="1.81"/>
    <n v="39822.400000000001"/>
    <n v="39.822000000000003"/>
    <d v="2021-04-01T00:00:00"/>
    <x v="0"/>
    <x v="1"/>
  </r>
  <r>
    <x v="9"/>
    <x v="4"/>
    <s v="Mei"/>
    <s v="Division_A"/>
    <x v="20"/>
    <n v="2012"/>
    <n v="9"/>
    <s v="TM-Utama"/>
    <n v="22"/>
    <n v="2683"/>
    <s v="122"/>
    <x v="1"/>
    <n v="1.7629999999999999"/>
    <n v="38796.199999999997"/>
    <n v="38.795999999999999"/>
    <d v="2021-05-01T00:00:00"/>
    <x v="0"/>
    <x v="1"/>
  </r>
  <r>
    <x v="9"/>
    <x v="5"/>
    <s v="Juni"/>
    <s v="Division_A"/>
    <x v="20"/>
    <n v="2012"/>
    <n v="9"/>
    <s v="TM-Utama"/>
    <n v="22"/>
    <n v="2683"/>
    <s v="122"/>
    <x v="1"/>
    <n v="1.728"/>
    <n v="38011.4"/>
    <n v="38.011000000000003"/>
    <d v="2021-06-01T00:00:00"/>
    <x v="0"/>
    <x v="1"/>
  </r>
  <r>
    <x v="9"/>
    <x v="6"/>
    <s v="Juli"/>
    <s v="Division_A"/>
    <x v="20"/>
    <n v="2012"/>
    <n v="9"/>
    <s v="TM-Utama"/>
    <n v="22"/>
    <n v="2683"/>
    <s v="122"/>
    <x v="1"/>
    <n v="1.976"/>
    <n v="43464.6"/>
    <n v="43.465000000000003"/>
    <d v="2021-07-01T00:00:00"/>
    <x v="0"/>
    <x v="1"/>
  </r>
  <r>
    <x v="9"/>
    <x v="7"/>
    <s v="Agustus"/>
    <s v="Division_A"/>
    <x v="20"/>
    <n v="2012"/>
    <n v="9"/>
    <s v="TM-Utama"/>
    <n v="22"/>
    <n v="2683"/>
    <s v="122"/>
    <x v="1"/>
    <n v="1.91"/>
    <n v="42015.8"/>
    <n v="42.015999999999998"/>
    <d v="2021-08-01T00:00:00"/>
    <x v="0"/>
    <x v="1"/>
  </r>
  <r>
    <x v="9"/>
    <x v="8"/>
    <s v="September"/>
    <s v="Division_A"/>
    <x v="20"/>
    <n v="2012"/>
    <n v="9"/>
    <s v="TM-Utama"/>
    <n v="22"/>
    <n v="2683"/>
    <s v="122"/>
    <x v="1"/>
    <n v="1.825"/>
    <n v="40144.400000000001"/>
    <n v="40.143999999999998"/>
    <d v="2021-09-01T00:00:00"/>
    <x v="0"/>
    <x v="1"/>
  </r>
  <r>
    <x v="9"/>
    <x v="9"/>
    <s v="Oktober"/>
    <s v="Division_A"/>
    <x v="20"/>
    <n v="2012"/>
    <n v="9"/>
    <s v="TM-Utama"/>
    <n v="22"/>
    <n v="2683"/>
    <s v="122"/>
    <x v="1"/>
    <n v="1.931"/>
    <n v="42478.6"/>
    <n v="42.478999999999999"/>
    <d v="2021-10-01T00:00:00"/>
    <x v="0"/>
    <x v="1"/>
  </r>
  <r>
    <x v="9"/>
    <x v="10"/>
    <s v="November"/>
    <s v="Division_A"/>
    <x v="20"/>
    <n v="2012"/>
    <n v="9"/>
    <s v="TM-Utama"/>
    <n v="22"/>
    <n v="2683"/>
    <s v="122"/>
    <x v="1"/>
    <n v="1.881"/>
    <n v="41392"/>
    <n v="41.392000000000003"/>
    <d v="2021-11-01T00:00:00"/>
    <x v="0"/>
    <x v="1"/>
  </r>
  <r>
    <x v="9"/>
    <x v="11"/>
    <s v="Desember"/>
    <s v="Division_A"/>
    <x v="20"/>
    <n v="2012"/>
    <n v="9"/>
    <s v="TM-Utama"/>
    <n v="22"/>
    <n v="2683"/>
    <s v="122"/>
    <x v="1"/>
    <n v="1.909"/>
    <n v="41995.7"/>
    <n v="41.996000000000002"/>
    <d v="2021-12-01T00:00:00"/>
    <x v="0"/>
    <x v="1"/>
  </r>
  <r>
    <x v="9"/>
    <x v="0"/>
    <s v="Januari"/>
    <s v="Division_A"/>
    <x v="21"/>
    <n v="2012"/>
    <n v="9"/>
    <s v="TM-Utama"/>
    <n v="28"/>
    <n v="3483"/>
    <s v="124.4"/>
    <x v="1"/>
    <n v="0.58799999999999997"/>
    <n v="16457.2"/>
    <n v="16.457000000000001"/>
    <d v="2021-01-01T00:00:00"/>
    <x v="0"/>
    <x v="1"/>
  </r>
  <r>
    <x v="9"/>
    <x v="1"/>
    <s v="Februari"/>
    <s v="Division_A"/>
    <x v="21"/>
    <n v="2012"/>
    <n v="9"/>
    <s v="TM-Utama"/>
    <n v="28"/>
    <n v="3483"/>
    <s v="124.4"/>
    <x v="1"/>
    <n v="0.97599999999999998"/>
    <n v="27324.1"/>
    <n v="27.324000000000002"/>
    <d v="2021-02-01T00:00:00"/>
    <x v="0"/>
    <x v="1"/>
  </r>
  <r>
    <x v="9"/>
    <x v="2"/>
    <s v="Maret"/>
    <s v="Division_A"/>
    <x v="21"/>
    <n v="2012"/>
    <n v="9"/>
    <s v="TM-Utama"/>
    <n v="28"/>
    <n v="3483"/>
    <s v="124.4"/>
    <x v="1"/>
    <n v="1.59"/>
    <n v="44512.7"/>
    <n v="44.512999999999998"/>
    <d v="2021-03-01T00:00:00"/>
    <x v="0"/>
    <x v="1"/>
  </r>
  <r>
    <x v="9"/>
    <x v="3"/>
    <s v="April"/>
    <s v="Division_A"/>
    <x v="21"/>
    <n v="2012"/>
    <n v="9"/>
    <s v="TM-Utama"/>
    <n v="28"/>
    <n v="3483"/>
    <s v="124.4"/>
    <x v="1"/>
    <n v="1.8460000000000001"/>
    <n v="51696.4"/>
    <n v="51.695999999999998"/>
    <d v="2021-04-01T00:00:00"/>
    <x v="0"/>
    <x v="1"/>
  </r>
  <r>
    <x v="9"/>
    <x v="4"/>
    <s v="Mei"/>
    <s v="Division_A"/>
    <x v="21"/>
    <n v="2012"/>
    <n v="9"/>
    <s v="TM-Utama"/>
    <n v="28"/>
    <n v="3483"/>
    <s v="124.4"/>
    <x v="1"/>
    <n v="1.7989999999999999"/>
    <n v="50364.2"/>
    <n v="50.363999999999997"/>
    <d v="2021-05-01T00:00:00"/>
    <x v="0"/>
    <x v="1"/>
  </r>
  <r>
    <x v="9"/>
    <x v="5"/>
    <s v="Juni"/>
    <s v="Division_A"/>
    <x v="21"/>
    <n v="2012"/>
    <n v="9"/>
    <s v="TM-Utama"/>
    <n v="28"/>
    <n v="3483"/>
    <s v="124.4"/>
    <x v="1"/>
    <n v="1.762"/>
    <n v="49345.4"/>
    <n v="49.344999999999999"/>
    <d v="2021-06-01T00:00:00"/>
    <x v="0"/>
    <x v="1"/>
  </r>
  <r>
    <x v="9"/>
    <x v="6"/>
    <s v="Juli"/>
    <s v="Division_A"/>
    <x v="21"/>
    <n v="2012"/>
    <n v="9"/>
    <s v="TM-Utama"/>
    <n v="28"/>
    <n v="3483"/>
    <s v="124.4"/>
    <x v="1"/>
    <n v="2.0150000000000001"/>
    <n v="56424.6"/>
    <n v="56.424999999999997"/>
    <d v="2021-07-01T00:00:00"/>
    <x v="0"/>
    <x v="1"/>
  </r>
  <r>
    <x v="9"/>
    <x v="7"/>
    <s v="Agustus"/>
    <s v="Division_A"/>
    <x v="21"/>
    <n v="2012"/>
    <n v="9"/>
    <s v="TM-Utama"/>
    <n v="28"/>
    <n v="3483"/>
    <s v="124.4"/>
    <x v="1"/>
    <n v="1.948"/>
    <n v="54543.8"/>
    <n v="54.543999999999997"/>
    <d v="2021-08-01T00:00:00"/>
    <x v="0"/>
    <x v="1"/>
  </r>
  <r>
    <x v="9"/>
    <x v="8"/>
    <s v="September"/>
    <s v="Division_A"/>
    <x v="21"/>
    <n v="2012"/>
    <n v="9"/>
    <s v="TM-Utama"/>
    <n v="28"/>
    <n v="3483"/>
    <s v="124.4"/>
    <x v="1"/>
    <n v="1.861"/>
    <n v="52114.400000000001"/>
    <n v="52.113999999999997"/>
    <d v="2021-09-01T00:00:00"/>
    <x v="0"/>
    <x v="1"/>
  </r>
  <r>
    <x v="9"/>
    <x v="9"/>
    <s v="Oktober"/>
    <s v="Division_A"/>
    <x v="21"/>
    <n v="2012"/>
    <n v="9"/>
    <s v="TM-Utama"/>
    <n v="28"/>
    <n v="3483"/>
    <s v="124.4"/>
    <x v="1"/>
    <n v="1.9690000000000001"/>
    <n v="55144.6"/>
    <n v="55.145000000000003"/>
    <d v="2021-10-01T00:00:00"/>
    <x v="0"/>
    <x v="1"/>
  </r>
  <r>
    <x v="9"/>
    <x v="10"/>
    <s v="November"/>
    <s v="Division_A"/>
    <x v="21"/>
    <n v="2012"/>
    <n v="9"/>
    <s v="TM-Utama"/>
    <n v="28"/>
    <n v="3483"/>
    <s v="124.4"/>
    <x v="1"/>
    <n v="1.919"/>
    <n v="53734"/>
    <n v="53.734000000000002"/>
    <d v="2021-11-01T00:00:00"/>
    <x v="0"/>
    <x v="1"/>
  </r>
  <r>
    <x v="9"/>
    <x v="11"/>
    <s v="Desember"/>
    <s v="Division_A"/>
    <x v="21"/>
    <n v="2012"/>
    <n v="9"/>
    <s v="TM-Utama"/>
    <n v="28"/>
    <n v="3483"/>
    <s v="124.4"/>
    <x v="1"/>
    <n v="1.9470000000000001"/>
    <n v="54517.7"/>
    <n v="54.518000000000001"/>
    <d v="2021-12-01T00:00:00"/>
    <x v="0"/>
    <x v="1"/>
  </r>
  <r>
    <x v="9"/>
    <x v="0"/>
    <s v="Januari"/>
    <s v="Division_A"/>
    <x v="22"/>
    <n v="2013"/>
    <n v="8"/>
    <s v="TM-Utama"/>
    <n v="24"/>
    <n v="2678"/>
    <s v="111.6"/>
    <x v="1"/>
    <n v="0.52700000000000002"/>
    <n v="12653.6"/>
    <n v="12.654"/>
    <d v="2021-01-01T00:00:00"/>
    <x v="0"/>
    <x v="1"/>
  </r>
  <r>
    <x v="9"/>
    <x v="1"/>
    <s v="Februari"/>
    <s v="Division_A"/>
    <x v="22"/>
    <n v="2013"/>
    <n v="8"/>
    <s v="TM-Utama"/>
    <n v="24"/>
    <n v="2678"/>
    <s v="111.6"/>
    <x v="1"/>
    <n v="0.875"/>
    <n v="21008.9"/>
    <n v="21.009"/>
    <d v="2021-02-01T00:00:00"/>
    <x v="0"/>
    <x v="1"/>
  </r>
  <r>
    <x v="9"/>
    <x v="2"/>
    <s v="Maret"/>
    <s v="Division_A"/>
    <x v="22"/>
    <n v="2013"/>
    <n v="8"/>
    <s v="TM-Utama"/>
    <n v="24"/>
    <n v="2678"/>
    <s v="111.6"/>
    <x v="1"/>
    <n v="1.4259999999999999"/>
    <n v="34224.800000000003"/>
    <n v="34.225000000000001"/>
    <d v="2021-03-01T00:00:00"/>
    <x v="0"/>
    <x v="1"/>
  </r>
  <r>
    <x v="9"/>
    <x v="3"/>
    <s v="April"/>
    <s v="Division_A"/>
    <x v="22"/>
    <n v="2013"/>
    <n v="8"/>
    <s v="TM-Utama"/>
    <n v="24"/>
    <n v="2678"/>
    <s v="111.6"/>
    <x v="1"/>
    <n v="1.6559999999999999"/>
    <n v="39748.199999999997"/>
    <n v="39.747999999999998"/>
    <d v="2021-04-01T00:00:00"/>
    <x v="0"/>
    <x v="1"/>
  </r>
  <r>
    <x v="9"/>
    <x v="4"/>
    <s v="Mei"/>
    <s v="Division_A"/>
    <x v="22"/>
    <n v="2013"/>
    <n v="8"/>
    <s v="TM-Utama"/>
    <n v="24"/>
    <n v="2678"/>
    <s v="111.6"/>
    <x v="1"/>
    <n v="1.613"/>
    <n v="38723.9"/>
    <n v="38.723999999999997"/>
    <d v="2021-05-01T00:00:00"/>
    <x v="0"/>
    <x v="1"/>
  </r>
  <r>
    <x v="9"/>
    <x v="5"/>
    <s v="Juni"/>
    <s v="Division_A"/>
    <x v="22"/>
    <n v="2013"/>
    <n v="8"/>
    <s v="TM-Utama"/>
    <n v="24"/>
    <n v="2678"/>
    <s v="111.6"/>
    <x v="1"/>
    <n v="1.581"/>
    <n v="37940.6"/>
    <n v="37.941000000000003"/>
    <d v="2021-06-01T00:00:00"/>
    <x v="0"/>
    <x v="1"/>
  </r>
  <r>
    <x v="9"/>
    <x v="6"/>
    <s v="Juli"/>
    <s v="Division_A"/>
    <x v="22"/>
    <n v="2013"/>
    <n v="8"/>
    <s v="TM-Utama"/>
    <n v="24"/>
    <n v="2678"/>
    <s v="111.6"/>
    <x v="1"/>
    <n v="1.8080000000000001"/>
    <n v="43383.6"/>
    <n v="43.384"/>
    <d v="2021-07-01T00:00:00"/>
    <x v="0"/>
    <x v="1"/>
  </r>
  <r>
    <x v="9"/>
    <x v="7"/>
    <s v="Agustus"/>
    <s v="Division_A"/>
    <x v="22"/>
    <n v="2013"/>
    <n v="8"/>
    <s v="TM-Utama"/>
    <n v="24"/>
    <n v="2678"/>
    <s v="111.6"/>
    <x v="1"/>
    <n v="1.7470000000000001"/>
    <n v="41937.5"/>
    <n v="41.936999999999998"/>
    <d v="2021-08-01T00:00:00"/>
    <x v="0"/>
    <x v="1"/>
  </r>
  <r>
    <x v="9"/>
    <x v="8"/>
    <s v="September"/>
    <s v="Division_A"/>
    <x v="22"/>
    <n v="2013"/>
    <n v="8"/>
    <s v="TM-Utama"/>
    <n v="24"/>
    <n v="2678"/>
    <s v="111.6"/>
    <x v="1"/>
    <n v="1.67"/>
    <n v="40069.599999999999"/>
    <n v="40.07"/>
    <d v="2021-09-01T00:00:00"/>
    <x v="0"/>
    <x v="1"/>
  </r>
  <r>
    <x v="9"/>
    <x v="9"/>
    <s v="Oktober"/>
    <s v="Division_A"/>
    <x v="22"/>
    <n v="2013"/>
    <n v="8"/>
    <s v="TM-Utama"/>
    <n v="24"/>
    <n v="2678"/>
    <s v="111.6"/>
    <x v="1"/>
    <n v="1.7669999999999999"/>
    <n v="42399.4"/>
    <n v="42.399000000000001"/>
    <d v="2021-10-01T00:00:00"/>
    <x v="0"/>
    <x v="1"/>
  </r>
  <r>
    <x v="9"/>
    <x v="10"/>
    <s v="November"/>
    <s v="Division_A"/>
    <x v="22"/>
    <n v="2013"/>
    <n v="8"/>
    <s v="TM-Utama"/>
    <n v="24"/>
    <n v="2678"/>
    <s v="111.6"/>
    <x v="1"/>
    <n v="1.7210000000000001"/>
    <n v="41314.800000000003"/>
    <n v="41.314999999999998"/>
    <d v="2021-11-01T00:00:00"/>
    <x v="0"/>
    <x v="1"/>
  </r>
  <r>
    <x v="9"/>
    <x v="11"/>
    <s v="Desember"/>
    <s v="Division_A"/>
    <x v="22"/>
    <n v="2013"/>
    <n v="8"/>
    <s v="TM-Utama"/>
    <n v="24"/>
    <n v="2678"/>
    <s v="111.6"/>
    <x v="1"/>
    <n v="1.7470000000000001"/>
    <n v="41917.4"/>
    <n v="41.917000000000002"/>
    <d v="2021-12-01T00:00:00"/>
    <x v="0"/>
    <x v="1"/>
  </r>
  <r>
    <x v="9"/>
    <x v="0"/>
    <s v="Januari"/>
    <s v="Division_A"/>
    <x v="23"/>
    <n v="2013"/>
    <n v="8"/>
    <s v="TM-Utama"/>
    <n v="23"/>
    <n v="2683"/>
    <s v="116.7"/>
    <x v="1"/>
    <n v="0.55100000000000005"/>
    <n v="12677.2"/>
    <n v="12.677"/>
    <d v="2021-01-01T00:00:00"/>
    <x v="0"/>
    <x v="1"/>
  </r>
  <r>
    <x v="9"/>
    <x v="1"/>
    <s v="Februari"/>
    <s v="Division_A"/>
    <x v="23"/>
    <n v="2013"/>
    <n v="8"/>
    <s v="TM-Utama"/>
    <n v="23"/>
    <n v="2683"/>
    <s v="116.7"/>
    <x v="1"/>
    <n v="0.91500000000000004"/>
    <n v="21048.1"/>
    <n v="21.047999999999998"/>
    <d v="2021-02-01T00:00:00"/>
    <x v="0"/>
    <x v="1"/>
  </r>
  <r>
    <x v="9"/>
    <x v="2"/>
    <s v="Maret"/>
    <s v="Division_A"/>
    <x v="23"/>
    <n v="2013"/>
    <n v="8"/>
    <s v="TM-Utama"/>
    <n v="23"/>
    <n v="2683"/>
    <s v="116.7"/>
    <x v="1"/>
    <n v="1.4910000000000001"/>
    <n v="34288.699999999997"/>
    <n v="34.289000000000001"/>
    <d v="2021-03-01T00:00:00"/>
    <x v="0"/>
    <x v="1"/>
  </r>
  <r>
    <x v="9"/>
    <x v="3"/>
    <s v="April"/>
    <s v="Division_A"/>
    <x v="23"/>
    <n v="2013"/>
    <n v="8"/>
    <s v="TM-Utama"/>
    <n v="23"/>
    <n v="2683"/>
    <s v="116.7"/>
    <x v="1"/>
    <n v="1.7310000000000001"/>
    <n v="39822.400000000001"/>
    <n v="39.822000000000003"/>
    <d v="2021-04-01T00:00:00"/>
    <x v="0"/>
    <x v="1"/>
  </r>
  <r>
    <x v="9"/>
    <x v="4"/>
    <s v="Mei"/>
    <s v="Division_A"/>
    <x v="23"/>
    <n v="2013"/>
    <n v="8"/>
    <s v="TM-Utama"/>
    <n v="23"/>
    <n v="2683"/>
    <s v="116.7"/>
    <x v="1"/>
    <n v="1.6870000000000001"/>
    <n v="38796.199999999997"/>
    <n v="38.795999999999999"/>
    <d v="2021-05-01T00:00:00"/>
    <x v="0"/>
    <x v="1"/>
  </r>
  <r>
    <x v="9"/>
    <x v="5"/>
    <s v="Juni"/>
    <s v="Division_A"/>
    <x v="23"/>
    <n v="2013"/>
    <n v="8"/>
    <s v="TM-Utama"/>
    <n v="23"/>
    <n v="2683"/>
    <s v="116.7"/>
    <x v="1"/>
    <n v="1.653"/>
    <n v="38011.4"/>
    <n v="38.011000000000003"/>
    <d v="2021-06-01T00:00:00"/>
    <x v="0"/>
    <x v="1"/>
  </r>
  <r>
    <x v="9"/>
    <x v="6"/>
    <s v="Juli"/>
    <s v="Division_A"/>
    <x v="23"/>
    <n v="2013"/>
    <n v="8"/>
    <s v="TM-Utama"/>
    <n v="23"/>
    <n v="2683"/>
    <s v="116.7"/>
    <x v="1"/>
    <n v="1.89"/>
    <n v="43464.6"/>
    <n v="43.465000000000003"/>
    <d v="2021-07-01T00:00:00"/>
    <x v="0"/>
    <x v="1"/>
  </r>
  <r>
    <x v="9"/>
    <x v="7"/>
    <s v="Agustus"/>
    <s v="Division_A"/>
    <x v="23"/>
    <n v="2013"/>
    <n v="8"/>
    <s v="TM-Utama"/>
    <n v="23"/>
    <n v="2683"/>
    <s v="116.7"/>
    <x v="1"/>
    <n v="1.827"/>
    <n v="42015.8"/>
    <n v="42.015999999999998"/>
    <d v="2021-08-01T00:00:00"/>
    <x v="0"/>
    <x v="1"/>
  </r>
  <r>
    <x v="9"/>
    <x v="8"/>
    <s v="September"/>
    <s v="Division_A"/>
    <x v="23"/>
    <n v="2013"/>
    <n v="8"/>
    <s v="TM-Utama"/>
    <n v="23"/>
    <n v="2683"/>
    <s v="116.7"/>
    <x v="1"/>
    <n v="1.7450000000000001"/>
    <n v="40144.400000000001"/>
    <n v="40.143999999999998"/>
    <d v="2021-09-01T00:00:00"/>
    <x v="0"/>
    <x v="1"/>
  </r>
  <r>
    <x v="9"/>
    <x v="9"/>
    <s v="Oktober"/>
    <s v="Division_A"/>
    <x v="23"/>
    <n v="2013"/>
    <n v="8"/>
    <s v="TM-Utama"/>
    <n v="23"/>
    <n v="2683"/>
    <s v="116.7"/>
    <x v="1"/>
    <n v="1.847"/>
    <n v="42478.6"/>
    <n v="42.478999999999999"/>
    <d v="2021-10-01T00:00:00"/>
    <x v="0"/>
    <x v="1"/>
  </r>
  <r>
    <x v="9"/>
    <x v="10"/>
    <s v="November"/>
    <s v="Division_A"/>
    <x v="23"/>
    <n v="2013"/>
    <n v="8"/>
    <s v="TM-Utama"/>
    <n v="23"/>
    <n v="2683"/>
    <s v="116.7"/>
    <x v="1"/>
    <n v="1.8"/>
    <n v="41392"/>
    <n v="41.392000000000003"/>
    <d v="2021-11-01T00:00:00"/>
    <x v="0"/>
    <x v="1"/>
  </r>
  <r>
    <x v="9"/>
    <x v="11"/>
    <s v="Desember"/>
    <s v="Division_A"/>
    <x v="23"/>
    <n v="2013"/>
    <n v="8"/>
    <s v="TM-Utama"/>
    <n v="23"/>
    <n v="2683"/>
    <s v="116.7"/>
    <x v="1"/>
    <n v="1.8260000000000001"/>
    <n v="41995.7"/>
    <n v="41.996000000000002"/>
    <d v="2021-12-01T00:00:00"/>
    <x v="0"/>
    <x v="1"/>
  </r>
  <r>
    <x v="9"/>
    <x v="0"/>
    <s v="Januari"/>
    <s v="Division_A"/>
    <x v="24"/>
    <n v="2013"/>
    <n v="8"/>
    <s v="TM-Utama"/>
    <n v="24"/>
    <n v="3445"/>
    <s v="143.5"/>
    <x v="1"/>
    <n v="0.67800000000000005"/>
    <n v="16277.6"/>
    <n v="16.277999999999999"/>
    <d v="2021-01-01T00:00:00"/>
    <x v="0"/>
    <x v="1"/>
  </r>
  <r>
    <x v="9"/>
    <x v="1"/>
    <s v="Februari"/>
    <s v="Division_A"/>
    <x v="24"/>
    <n v="2013"/>
    <n v="8"/>
    <s v="TM-Utama"/>
    <n v="24"/>
    <n v="3445"/>
    <s v="143.5"/>
    <x v="1"/>
    <n v="1.1259999999999999"/>
    <n v="27026"/>
    <n v="27.026"/>
    <d v="2021-02-01T00:00:00"/>
    <x v="0"/>
    <x v="1"/>
  </r>
  <r>
    <x v="9"/>
    <x v="2"/>
    <s v="Maret"/>
    <s v="Division_A"/>
    <x v="24"/>
    <n v="2013"/>
    <n v="8"/>
    <s v="TM-Utama"/>
    <n v="24"/>
    <n v="3445"/>
    <s v="143.5"/>
    <x v="1"/>
    <n v="1.8340000000000001"/>
    <n v="44027.1"/>
    <n v="44.027000000000001"/>
    <d v="2021-03-01T00:00:00"/>
    <x v="0"/>
    <x v="1"/>
  </r>
  <r>
    <x v="9"/>
    <x v="3"/>
    <s v="April"/>
    <s v="Division_A"/>
    <x v="24"/>
    <n v="2013"/>
    <n v="8"/>
    <s v="TM-Utama"/>
    <n v="24"/>
    <n v="3445"/>
    <s v="143.5"/>
    <x v="1"/>
    <n v="2.1309999999999998"/>
    <n v="51132.4"/>
    <n v="51.131999999999998"/>
    <d v="2021-04-01T00:00:00"/>
    <x v="0"/>
    <x v="1"/>
  </r>
  <r>
    <x v="9"/>
    <x v="4"/>
    <s v="Mei"/>
    <s v="Division_A"/>
    <x v="24"/>
    <n v="2013"/>
    <n v="8"/>
    <s v="TM-Utama"/>
    <n v="24"/>
    <n v="3445"/>
    <s v="143.5"/>
    <x v="1"/>
    <n v="2.0760000000000001"/>
    <n v="49814.7"/>
    <n v="49.814999999999998"/>
    <d v="2021-05-01T00:00:00"/>
    <x v="0"/>
    <x v="1"/>
  </r>
  <r>
    <x v="9"/>
    <x v="5"/>
    <s v="Juni"/>
    <s v="Division_A"/>
    <x v="24"/>
    <n v="2013"/>
    <n v="8"/>
    <s v="TM-Utama"/>
    <n v="24"/>
    <n v="3445"/>
    <s v="143.5"/>
    <x v="1"/>
    <n v="2.0339999999999998"/>
    <n v="48807"/>
    <n v="48.807000000000002"/>
    <d v="2021-06-01T00:00:00"/>
    <x v="0"/>
    <x v="1"/>
  </r>
  <r>
    <x v="9"/>
    <x v="6"/>
    <s v="Juli"/>
    <s v="Division_A"/>
    <x v="24"/>
    <n v="2013"/>
    <n v="8"/>
    <s v="TM-Utama"/>
    <n v="24"/>
    <n v="3445"/>
    <s v="143.5"/>
    <x v="1"/>
    <n v="2.3250000000000002"/>
    <n v="55809"/>
    <n v="55.808999999999997"/>
    <d v="2021-07-01T00:00:00"/>
    <x v="0"/>
    <x v="1"/>
  </r>
  <r>
    <x v="9"/>
    <x v="7"/>
    <s v="Agustus"/>
    <s v="Division_A"/>
    <x v="24"/>
    <n v="2013"/>
    <n v="8"/>
    <s v="TM-Utama"/>
    <n v="24"/>
    <n v="3445"/>
    <s v="143.5"/>
    <x v="1"/>
    <n v="2.2480000000000002"/>
    <n v="53948.7"/>
    <n v="53.948999999999998"/>
    <d v="2021-08-01T00:00:00"/>
    <x v="0"/>
    <x v="1"/>
  </r>
  <r>
    <x v="9"/>
    <x v="8"/>
    <s v="September"/>
    <s v="Division_A"/>
    <x v="24"/>
    <n v="2013"/>
    <n v="8"/>
    <s v="TM-Utama"/>
    <n v="24"/>
    <n v="3445"/>
    <s v="143.5"/>
    <x v="1"/>
    <n v="2.1480000000000001"/>
    <n v="51545.8"/>
    <n v="51.545999999999999"/>
    <d v="2021-09-01T00:00:00"/>
    <x v="0"/>
    <x v="1"/>
  </r>
  <r>
    <x v="9"/>
    <x v="9"/>
    <s v="Oktober"/>
    <s v="Division_A"/>
    <x v="24"/>
    <n v="2013"/>
    <n v="8"/>
    <s v="TM-Utama"/>
    <n v="24"/>
    <n v="3445"/>
    <s v="143.5"/>
    <x v="1"/>
    <n v="2.2730000000000001"/>
    <n v="54543"/>
    <n v="54.542999999999999"/>
    <d v="2021-10-01T00:00:00"/>
    <x v="0"/>
    <x v="1"/>
  </r>
  <r>
    <x v="9"/>
    <x v="10"/>
    <s v="November"/>
    <s v="Division_A"/>
    <x v="24"/>
    <n v="2013"/>
    <n v="8"/>
    <s v="TM-Utama"/>
    <n v="24"/>
    <n v="3445"/>
    <s v="143.5"/>
    <x v="1"/>
    <n v="2.214"/>
    <n v="53147.7"/>
    <n v="53.148000000000003"/>
    <d v="2021-11-01T00:00:00"/>
    <x v="0"/>
    <x v="1"/>
  </r>
  <r>
    <x v="9"/>
    <x v="11"/>
    <s v="Desember"/>
    <s v="Division_A"/>
    <x v="24"/>
    <n v="2013"/>
    <n v="8"/>
    <s v="TM-Utama"/>
    <n v="24"/>
    <n v="3445"/>
    <s v="143.5"/>
    <x v="1"/>
    <n v="2.2469999999999999"/>
    <n v="53922.9"/>
    <n v="53.923000000000002"/>
    <d v="2021-12-01T00:00:00"/>
    <x v="0"/>
    <x v="1"/>
  </r>
  <r>
    <x v="9"/>
    <x v="0"/>
    <s v="Januari"/>
    <s v="Division_A"/>
    <x v="25"/>
    <n v="2013"/>
    <n v="8"/>
    <s v="TM-Utama"/>
    <n v="24"/>
    <n v="3271"/>
    <s v="136.3"/>
    <x v="1"/>
    <n v="0.64400000000000002"/>
    <n v="15455.5"/>
    <n v="15.455"/>
    <d v="2021-01-01T00:00:00"/>
    <x v="0"/>
    <x v="1"/>
  </r>
  <r>
    <x v="9"/>
    <x v="1"/>
    <s v="Februari"/>
    <s v="Division_A"/>
    <x v="25"/>
    <n v="2013"/>
    <n v="8"/>
    <s v="TM-Utama"/>
    <n v="24"/>
    <n v="3271"/>
    <s v="136.3"/>
    <x v="1"/>
    <n v="1.069"/>
    <n v="25661"/>
    <n v="25.661000000000001"/>
    <d v="2021-02-01T00:00:00"/>
    <x v="0"/>
    <x v="1"/>
  </r>
  <r>
    <x v="9"/>
    <x v="2"/>
    <s v="Maret"/>
    <s v="Division_A"/>
    <x v="25"/>
    <n v="2013"/>
    <n v="8"/>
    <s v="TM-Utama"/>
    <n v="24"/>
    <n v="3271"/>
    <s v="136.3"/>
    <x v="1"/>
    <n v="1.742"/>
    <n v="41803.4"/>
    <n v="41.802999999999997"/>
    <d v="2021-03-01T00:00:00"/>
    <x v="0"/>
    <x v="1"/>
  </r>
  <r>
    <x v="9"/>
    <x v="3"/>
    <s v="April"/>
    <s v="Division_A"/>
    <x v="25"/>
    <n v="2013"/>
    <n v="8"/>
    <s v="TM-Utama"/>
    <n v="24"/>
    <n v="3271"/>
    <s v="136.3"/>
    <x v="1"/>
    <n v="2.0230000000000001"/>
    <n v="48549.8"/>
    <n v="48.55"/>
    <d v="2021-04-01T00:00:00"/>
    <x v="0"/>
    <x v="1"/>
  </r>
  <r>
    <x v="9"/>
    <x v="4"/>
    <s v="Mei"/>
    <s v="Division_A"/>
    <x v="25"/>
    <n v="2013"/>
    <n v="8"/>
    <s v="TM-Utama"/>
    <n v="24"/>
    <n v="3271"/>
    <s v="136.3"/>
    <x v="1"/>
    <n v="1.9710000000000001"/>
    <n v="47298.7"/>
    <n v="47.298999999999999"/>
    <d v="2021-05-01T00:00:00"/>
    <x v="0"/>
    <x v="1"/>
  </r>
  <r>
    <x v="9"/>
    <x v="5"/>
    <s v="Juni"/>
    <s v="Division_A"/>
    <x v="25"/>
    <n v="2013"/>
    <n v="8"/>
    <s v="TM-Utama"/>
    <n v="24"/>
    <n v="3271"/>
    <s v="136.3"/>
    <x v="1"/>
    <n v="1.931"/>
    <n v="46341.9"/>
    <n v="46.341999999999999"/>
    <d v="2021-06-01T00:00:00"/>
    <x v="0"/>
    <x v="1"/>
  </r>
  <r>
    <x v="9"/>
    <x v="6"/>
    <s v="Juli"/>
    <s v="Division_A"/>
    <x v="25"/>
    <n v="2013"/>
    <n v="8"/>
    <s v="TM-Utama"/>
    <n v="24"/>
    <n v="3271"/>
    <s v="136.3"/>
    <x v="1"/>
    <n v="2.2080000000000002"/>
    <n v="52990.2"/>
    <n v="52.99"/>
    <d v="2021-07-01T00:00:00"/>
    <x v="0"/>
    <x v="1"/>
  </r>
  <r>
    <x v="9"/>
    <x v="7"/>
    <s v="Agustus"/>
    <s v="Division_A"/>
    <x v="25"/>
    <n v="2013"/>
    <n v="8"/>
    <s v="TM-Utama"/>
    <n v="24"/>
    <n v="3271"/>
    <s v="136.3"/>
    <x v="1"/>
    <n v="2.1339999999999999"/>
    <n v="51223.9"/>
    <n v="51.223999999999997"/>
    <d v="2021-08-01T00:00:00"/>
    <x v="0"/>
    <x v="1"/>
  </r>
  <r>
    <x v="9"/>
    <x v="8"/>
    <s v="September"/>
    <s v="Division_A"/>
    <x v="25"/>
    <n v="2013"/>
    <n v="8"/>
    <s v="TM-Utama"/>
    <n v="24"/>
    <n v="3271"/>
    <s v="136.3"/>
    <x v="1"/>
    <n v="2.0390000000000001"/>
    <n v="48942.3"/>
    <n v="48.942"/>
    <d v="2021-09-01T00:00:00"/>
    <x v="0"/>
    <x v="1"/>
  </r>
  <r>
    <x v="9"/>
    <x v="9"/>
    <s v="Oktober"/>
    <s v="Division_A"/>
    <x v="25"/>
    <n v="2013"/>
    <n v="8"/>
    <s v="TM-Utama"/>
    <n v="24"/>
    <n v="3271"/>
    <s v="136.3"/>
    <x v="1"/>
    <n v="2.1579999999999999"/>
    <n v="51788.1"/>
    <n v="51.787999999999997"/>
    <d v="2021-10-01T00:00:00"/>
    <x v="0"/>
    <x v="1"/>
  </r>
  <r>
    <x v="9"/>
    <x v="10"/>
    <s v="November"/>
    <s v="Division_A"/>
    <x v="25"/>
    <n v="2013"/>
    <n v="8"/>
    <s v="TM-Utama"/>
    <n v="24"/>
    <n v="3271"/>
    <s v="136.3"/>
    <x v="1"/>
    <n v="2.1030000000000002"/>
    <n v="50463.4"/>
    <n v="50.463000000000001"/>
    <d v="2021-11-01T00:00:00"/>
    <x v="0"/>
    <x v="1"/>
  </r>
  <r>
    <x v="9"/>
    <x v="11"/>
    <s v="Desember"/>
    <s v="Division_A"/>
    <x v="25"/>
    <n v="2013"/>
    <n v="8"/>
    <s v="TM-Utama"/>
    <n v="24"/>
    <n v="3271"/>
    <s v="136.3"/>
    <x v="1"/>
    <n v="2.133"/>
    <n v="51199.3"/>
    <n v="51.198999999999998"/>
    <d v="2021-12-01T00:00:00"/>
    <x v="0"/>
    <x v="1"/>
  </r>
  <r>
    <x v="9"/>
    <x v="0"/>
    <s v="Januari"/>
    <s v="Division_A"/>
    <x v="26"/>
    <n v="2013"/>
    <n v="8"/>
    <s v="TM-Utama"/>
    <n v="25"/>
    <n v="3291"/>
    <s v="131.6"/>
    <x v="1"/>
    <n v="0.622"/>
    <n v="15550"/>
    <n v="15.55"/>
    <d v="2021-01-01T00:00:00"/>
    <x v="0"/>
    <x v="1"/>
  </r>
  <r>
    <x v="9"/>
    <x v="1"/>
    <s v="Februari"/>
    <s v="Division_A"/>
    <x v="26"/>
    <n v="2013"/>
    <n v="8"/>
    <s v="TM-Utama"/>
    <n v="25"/>
    <n v="3291"/>
    <s v="131.6"/>
    <x v="1"/>
    <n v="1.0329999999999999"/>
    <n v="25817.9"/>
    <n v="25.818000000000001"/>
    <d v="2021-02-01T00:00:00"/>
    <x v="0"/>
    <x v="1"/>
  </r>
  <r>
    <x v="9"/>
    <x v="2"/>
    <s v="Maret"/>
    <s v="Division_A"/>
    <x v="26"/>
    <n v="2013"/>
    <n v="8"/>
    <s v="TM-Utama"/>
    <n v="25"/>
    <n v="3291"/>
    <s v="131.6"/>
    <x v="1"/>
    <n v="1.6819999999999999"/>
    <n v="42059"/>
    <n v="42.058999999999997"/>
    <d v="2021-03-01T00:00:00"/>
    <x v="0"/>
    <x v="1"/>
  </r>
  <r>
    <x v="9"/>
    <x v="3"/>
    <s v="April"/>
    <s v="Division_A"/>
    <x v="26"/>
    <n v="2013"/>
    <n v="8"/>
    <s v="TM-Utama"/>
    <n v="25"/>
    <n v="3291"/>
    <s v="131.6"/>
    <x v="1"/>
    <n v="1.954"/>
    <n v="48846.7"/>
    <n v="48.847000000000001"/>
    <d v="2021-04-01T00:00:00"/>
    <x v="0"/>
    <x v="1"/>
  </r>
  <r>
    <x v="9"/>
    <x v="4"/>
    <s v="Mei"/>
    <s v="Division_A"/>
    <x v="26"/>
    <n v="2013"/>
    <n v="8"/>
    <s v="TM-Utama"/>
    <n v="25"/>
    <n v="3291"/>
    <s v="131.6"/>
    <x v="1"/>
    <n v="1.9039999999999999"/>
    <n v="47587.9"/>
    <n v="47.588000000000001"/>
    <d v="2021-05-01T00:00:00"/>
    <x v="0"/>
    <x v="1"/>
  </r>
  <r>
    <x v="9"/>
    <x v="5"/>
    <s v="Juni"/>
    <s v="Division_A"/>
    <x v="26"/>
    <n v="2013"/>
    <n v="8"/>
    <s v="TM-Utama"/>
    <n v="25"/>
    <n v="3291"/>
    <s v="131.6"/>
    <x v="1"/>
    <n v="1.865"/>
    <n v="46625.2"/>
    <n v="46.625"/>
    <d v="2021-06-01T00:00:00"/>
    <x v="0"/>
    <x v="1"/>
  </r>
  <r>
    <x v="9"/>
    <x v="6"/>
    <s v="Juli"/>
    <s v="Division_A"/>
    <x v="26"/>
    <n v="2013"/>
    <n v="8"/>
    <s v="TM-Utama"/>
    <n v="25"/>
    <n v="3291"/>
    <s v="131.6"/>
    <x v="1"/>
    <n v="2.133"/>
    <n v="53314.2"/>
    <n v="53.314"/>
    <d v="2021-07-01T00:00:00"/>
    <x v="0"/>
    <x v="1"/>
  </r>
  <r>
    <x v="9"/>
    <x v="7"/>
    <s v="Agustus"/>
    <s v="Division_A"/>
    <x v="26"/>
    <n v="2013"/>
    <n v="8"/>
    <s v="TM-Utama"/>
    <n v="25"/>
    <n v="3291"/>
    <s v="131.6"/>
    <x v="1"/>
    <n v="2.0609999999999999"/>
    <n v="51537.1"/>
    <n v="51.536999999999999"/>
    <d v="2021-08-01T00:00:00"/>
    <x v="0"/>
    <x v="1"/>
  </r>
  <r>
    <x v="9"/>
    <x v="8"/>
    <s v="September"/>
    <s v="Division_A"/>
    <x v="26"/>
    <n v="2013"/>
    <n v="8"/>
    <s v="TM-Utama"/>
    <n v="25"/>
    <n v="3291"/>
    <s v="131.6"/>
    <x v="1"/>
    <n v="1.97"/>
    <n v="49241.599999999999"/>
    <n v="49.241999999999997"/>
    <d v="2021-09-01T00:00:00"/>
    <x v="0"/>
    <x v="1"/>
  </r>
  <r>
    <x v="9"/>
    <x v="9"/>
    <s v="Oktober"/>
    <s v="Division_A"/>
    <x v="26"/>
    <n v="2013"/>
    <n v="8"/>
    <s v="TM-Utama"/>
    <n v="25"/>
    <n v="3291"/>
    <s v="131.6"/>
    <x v="1"/>
    <n v="2.0840000000000001"/>
    <n v="52104.800000000003"/>
    <n v="52.104999999999997"/>
    <d v="2021-10-01T00:00:00"/>
    <x v="0"/>
    <x v="1"/>
  </r>
  <r>
    <x v="9"/>
    <x v="10"/>
    <s v="November"/>
    <s v="Division_A"/>
    <x v="26"/>
    <n v="2013"/>
    <n v="8"/>
    <s v="TM-Utama"/>
    <n v="25"/>
    <n v="3291"/>
    <s v="131.6"/>
    <x v="1"/>
    <n v="2.0310000000000001"/>
    <n v="50771.9"/>
    <n v="50.771999999999998"/>
    <d v="2021-11-01T00:00:00"/>
    <x v="0"/>
    <x v="1"/>
  </r>
  <r>
    <x v="9"/>
    <x v="11"/>
    <s v="Desember"/>
    <s v="Division_A"/>
    <x v="26"/>
    <n v="2013"/>
    <n v="8"/>
    <s v="TM-Utama"/>
    <n v="25"/>
    <n v="3291"/>
    <s v="131.6"/>
    <x v="1"/>
    <n v="2.06"/>
    <n v="51512.4"/>
    <n v="51.512"/>
    <d v="2021-12-01T00:00:00"/>
    <x v="0"/>
    <x v="1"/>
  </r>
  <r>
    <x v="9"/>
    <x v="0"/>
    <s v="Januari"/>
    <s v="Division_A"/>
    <x v="27"/>
    <n v="2014"/>
    <n v="7"/>
    <s v="TM-Utama"/>
    <n v="24"/>
    <n v="2208"/>
    <s v="92"/>
    <x v="1"/>
    <n v="0.48199999999999998"/>
    <n v="11566.8"/>
    <n v="11.567"/>
    <d v="2021-01-01T00:00:00"/>
    <x v="0"/>
    <x v="1"/>
  </r>
  <r>
    <x v="9"/>
    <x v="1"/>
    <s v="Februari"/>
    <s v="Division_A"/>
    <x v="27"/>
    <n v="2014"/>
    <n v="7"/>
    <s v="TM-Utama"/>
    <n v="24"/>
    <n v="2208"/>
    <s v="92"/>
    <x v="1"/>
    <n v="0.8"/>
    <n v="19204.599999999999"/>
    <n v="19.204999999999998"/>
    <d v="2021-02-01T00:00:00"/>
    <x v="0"/>
    <x v="1"/>
  </r>
  <r>
    <x v="9"/>
    <x v="2"/>
    <s v="Maret"/>
    <s v="Division_A"/>
    <x v="27"/>
    <n v="2014"/>
    <n v="7"/>
    <s v="TM-Utama"/>
    <n v="24"/>
    <n v="2208"/>
    <s v="92"/>
    <x v="1"/>
    <n v="1.304"/>
    <n v="31285.4"/>
    <n v="31.285"/>
    <d v="2021-03-01T00:00:00"/>
    <x v="0"/>
    <x v="1"/>
  </r>
  <r>
    <x v="9"/>
    <x v="3"/>
    <s v="April"/>
    <s v="Division_A"/>
    <x v="27"/>
    <n v="2014"/>
    <n v="7"/>
    <s v="TM-Utama"/>
    <n v="24"/>
    <n v="2208"/>
    <s v="92"/>
    <x v="1"/>
    <n v="1.514"/>
    <n v="36334.400000000001"/>
    <n v="36.334000000000003"/>
    <d v="2021-04-01T00:00:00"/>
    <x v="0"/>
    <x v="1"/>
  </r>
  <r>
    <x v="9"/>
    <x v="4"/>
    <s v="Mei"/>
    <s v="Division_A"/>
    <x v="27"/>
    <n v="2014"/>
    <n v="7"/>
    <s v="TM-Utama"/>
    <n v="24"/>
    <n v="2208"/>
    <s v="92"/>
    <x v="1"/>
    <n v="1.4750000000000001"/>
    <n v="35398.1"/>
    <n v="35.398000000000003"/>
    <d v="2021-05-01T00:00:00"/>
    <x v="0"/>
    <x v="1"/>
  </r>
  <r>
    <x v="9"/>
    <x v="5"/>
    <s v="Juni"/>
    <s v="Division_A"/>
    <x v="27"/>
    <n v="2014"/>
    <n v="7"/>
    <s v="TM-Utama"/>
    <n v="24"/>
    <n v="2208"/>
    <s v="92"/>
    <x v="1"/>
    <n v="1.4450000000000001"/>
    <n v="34682"/>
    <n v="34.682000000000002"/>
    <d v="2021-06-01T00:00:00"/>
    <x v="0"/>
    <x v="1"/>
  </r>
  <r>
    <x v="9"/>
    <x v="6"/>
    <s v="Juli"/>
    <s v="Division_A"/>
    <x v="27"/>
    <n v="2014"/>
    <n v="7"/>
    <s v="TM-Utama"/>
    <n v="24"/>
    <n v="2208"/>
    <s v="92"/>
    <x v="1"/>
    <n v="1.6519999999999999"/>
    <n v="39657.599999999999"/>
    <n v="39.658000000000001"/>
    <d v="2021-07-01T00:00:00"/>
    <x v="0"/>
    <x v="1"/>
  </r>
  <r>
    <x v="9"/>
    <x v="7"/>
    <s v="Agustus"/>
    <s v="Division_A"/>
    <x v="27"/>
    <n v="2014"/>
    <n v="7"/>
    <s v="TM-Utama"/>
    <n v="24"/>
    <n v="2208"/>
    <s v="92"/>
    <x v="1"/>
    <n v="1.597"/>
    <n v="38335.699999999997"/>
    <n v="38.335999999999999"/>
    <d v="2021-08-01T00:00:00"/>
    <x v="0"/>
    <x v="1"/>
  </r>
  <r>
    <x v="9"/>
    <x v="8"/>
    <s v="September"/>
    <s v="Division_A"/>
    <x v="27"/>
    <n v="2014"/>
    <n v="7"/>
    <s v="TM-Utama"/>
    <n v="24"/>
    <n v="2208"/>
    <s v="92"/>
    <x v="1"/>
    <n v="1.526"/>
    <n v="36628.199999999997"/>
    <n v="36.628"/>
    <d v="2021-09-01T00:00:00"/>
    <x v="0"/>
    <x v="1"/>
  </r>
  <r>
    <x v="9"/>
    <x v="9"/>
    <s v="Oktober"/>
    <s v="Division_A"/>
    <x v="27"/>
    <n v="2014"/>
    <n v="7"/>
    <s v="TM-Utama"/>
    <n v="24"/>
    <n v="2208"/>
    <s v="92"/>
    <x v="1"/>
    <n v="1.615"/>
    <n v="38758"/>
    <n v="38.758000000000003"/>
    <d v="2021-10-01T00:00:00"/>
    <x v="0"/>
    <x v="1"/>
  </r>
  <r>
    <x v="9"/>
    <x v="10"/>
    <s v="November"/>
    <s v="Division_A"/>
    <x v="27"/>
    <n v="2014"/>
    <n v="7"/>
    <s v="TM-Utama"/>
    <n v="24"/>
    <n v="2208"/>
    <s v="92"/>
    <x v="1"/>
    <n v="1.5740000000000001"/>
    <n v="37766.5"/>
    <n v="37.767000000000003"/>
    <d v="2021-11-01T00:00:00"/>
    <x v="0"/>
    <x v="1"/>
  </r>
  <r>
    <x v="9"/>
    <x v="11"/>
    <s v="Desember"/>
    <s v="Division_A"/>
    <x v="27"/>
    <n v="2014"/>
    <n v="7"/>
    <s v="TM-Utama"/>
    <n v="24"/>
    <n v="2208"/>
    <s v="92"/>
    <x v="1"/>
    <n v="1.597"/>
    <n v="38317.300000000003"/>
    <n v="38.317"/>
    <d v="2021-12-01T00:00:00"/>
    <x v="0"/>
    <x v="1"/>
  </r>
  <r>
    <x v="9"/>
    <x v="0"/>
    <s v="Januari"/>
    <s v="Division_A"/>
    <x v="28"/>
    <n v="2014"/>
    <n v="7"/>
    <s v="TM-Utama"/>
    <n v="20"/>
    <n v="1954"/>
    <s v="97.7"/>
    <x v="1"/>
    <n v="0.48199999999999998"/>
    <n v="9639"/>
    <n v="9.6389999999999993"/>
    <d v="2021-01-01T00:00:00"/>
    <x v="0"/>
    <x v="1"/>
  </r>
  <r>
    <x v="9"/>
    <x v="1"/>
    <s v="Februari"/>
    <s v="Division_A"/>
    <x v="28"/>
    <n v="2014"/>
    <n v="7"/>
    <s v="TM-Utama"/>
    <n v="20"/>
    <n v="1954"/>
    <s v="97.7"/>
    <x v="1"/>
    <n v="0.8"/>
    <n v="16003.8"/>
    <n v="16.004000000000001"/>
    <d v="2021-02-01T00:00:00"/>
    <x v="0"/>
    <x v="1"/>
  </r>
  <r>
    <x v="9"/>
    <x v="2"/>
    <s v="Maret"/>
    <s v="Division_A"/>
    <x v="28"/>
    <n v="2014"/>
    <n v="7"/>
    <s v="TM-Utama"/>
    <n v="20"/>
    <n v="1954"/>
    <s v="97.7"/>
    <x v="1"/>
    <n v="1.304"/>
    <n v="26071.200000000001"/>
    <n v="26.071000000000002"/>
    <d v="2021-03-01T00:00:00"/>
    <x v="0"/>
    <x v="1"/>
  </r>
  <r>
    <x v="9"/>
    <x v="3"/>
    <s v="April"/>
    <s v="Division_A"/>
    <x v="28"/>
    <n v="2014"/>
    <n v="7"/>
    <s v="TM-Utama"/>
    <n v="20"/>
    <n v="1954"/>
    <s v="97.7"/>
    <x v="1"/>
    <n v="1.514"/>
    <n v="30278.7"/>
    <n v="30.279"/>
    <d v="2021-04-01T00:00:00"/>
    <x v="0"/>
    <x v="1"/>
  </r>
  <r>
    <x v="9"/>
    <x v="4"/>
    <s v="Mei"/>
    <s v="Division_A"/>
    <x v="28"/>
    <n v="2014"/>
    <n v="7"/>
    <s v="TM-Utama"/>
    <n v="20"/>
    <n v="1954"/>
    <s v="97.7"/>
    <x v="1"/>
    <n v="1.4750000000000001"/>
    <n v="29498.400000000001"/>
    <n v="29.498000000000001"/>
    <d v="2021-05-01T00:00:00"/>
    <x v="0"/>
    <x v="1"/>
  </r>
  <r>
    <x v="9"/>
    <x v="5"/>
    <s v="Juni"/>
    <s v="Division_A"/>
    <x v="28"/>
    <n v="2014"/>
    <n v="7"/>
    <s v="TM-Utama"/>
    <n v="20"/>
    <n v="1954"/>
    <s v="97.7"/>
    <x v="1"/>
    <n v="1.4450000000000001"/>
    <n v="28901.7"/>
    <n v="28.902000000000001"/>
    <d v="2021-06-01T00:00:00"/>
    <x v="0"/>
    <x v="1"/>
  </r>
  <r>
    <x v="9"/>
    <x v="6"/>
    <s v="Juli"/>
    <s v="Division_A"/>
    <x v="28"/>
    <n v="2014"/>
    <n v="7"/>
    <s v="TM-Utama"/>
    <n v="20"/>
    <n v="1954"/>
    <s v="97.7"/>
    <x v="1"/>
    <n v="1.6519999999999999"/>
    <n v="33048"/>
    <n v="33.048000000000002"/>
    <d v="2021-07-01T00:00:00"/>
    <x v="0"/>
    <x v="1"/>
  </r>
  <r>
    <x v="9"/>
    <x v="7"/>
    <s v="Agustus"/>
    <s v="Division_A"/>
    <x v="28"/>
    <n v="2014"/>
    <n v="7"/>
    <s v="TM-Utama"/>
    <n v="20"/>
    <n v="1954"/>
    <s v="97.7"/>
    <x v="1"/>
    <n v="1.597"/>
    <n v="31946.400000000001"/>
    <n v="31.946000000000002"/>
    <d v="2021-08-01T00:00:00"/>
    <x v="0"/>
    <x v="1"/>
  </r>
  <r>
    <x v="9"/>
    <x v="8"/>
    <s v="September"/>
    <s v="Division_A"/>
    <x v="28"/>
    <n v="2014"/>
    <n v="7"/>
    <s v="TM-Utama"/>
    <n v="20"/>
    <n v="1954"/>
    <s v="97.7"/>
    <x v="1"/>
    <n v="1.526"/>
    <n v="30523.5"/>
    <n v="30.524000000000001"/>
    <d v="2021-09-01T00:00:00"/>
    <x v="0"/>
    <x v="1"/>
  </r>
  <r>
    <x v="9"/>
    <x v="9"/>
    <s v="Oktober"/>
    <s v="Division_A"/>
    <x v="28"/>
    <n v="2014"/>
    <n v="7"/>
    <s v="TM-Utama"/>
    <n v="20"/>
    <n v="1954"/>
    <s v="97.7"/>
    <x v="1"/>
    <n v="1.615"/>
    <n v="32298.3"/>
    <n v="32.298000000000002"/>
    <d v="2021-10-01T00:00:00"/>
    <x v="0"/>
    <x v="1"/>
  </r>
  <r>
    <x v="9"/>
    <x v="10"/>
    <s v="November"/>
    <s v="Division_A"/>
    <x v="28"/>
    <n v="2014"/>
    <n v="7"/>
    <s v="TM-Utama"/>
    <n v="20"/>
    <n v="1954"/>
    <s v="97.7"/>
    <x v="1"/>
    <n v="1.5740000000000001"/>
    <n v="31472.1"/>
    <n v="31.472000000000001"/>
    <d v="2021-11-01T00:00:00"/>
    <x v="0"/>
    <x v="1"/>
  </r>
  <r>
    <x v="9"/>
    <x v="11"/>
    <s v="Desember"/>
    <s v="Division_A"/>
    <x v="28"/>
    <n v="2014"/>
    <n v="7"/>
    <s v="TM-Utama"/>
    <n v="20"/>
    <n v="1954"/>
    <s v="97.7"/>
    <x v="1"/>
    <n v="1.597"/>
    <n v="31931.1"/>
    <n v="31.931000000000001"/>
    <d v="2021-12-01T00:00:00"/>
    <x v="0"/>
    <x v="1"/>
  </r>
  <r>
    <x v="9"/>
    <x v="0"/>
    <s v="Januari"/>
    <s v="Division_A"/>
    <x v="29"/>
    <n v="2014"/>
    <n v="7"/>
    <s v="TM-Utama"/>
    <n v="24"/>
    <n v="1329"/>
    <s v="55.4"/>
    <x v="1"/>
    <n v="0.48199999999999998"/>
    <n v="11566.8"/>
    <n v="11.567"/>
    <d v="2021-01-01T00:00:00"/>
    <x v="0"/>
    <x v="1"/>
  </r>
  <r>
    <x v="9"/>
    <x v="1"/>
    <s v="Februari"/>
    <s v="Division_A"/>
    <x v="29"/>
    <n v="2014"/>
    <n v="7"/>
    <s v="TM-Utama"/>
    <n v="24"/>
    <n v="1329"/>
    <s v="55.4"/>
    <x v="1"/>
    <n v="0.8"/>
    <n v="19204.599999999999"/>
    <n v="19.204999999999998"/>
    <d v="2021-02-01T00:00:00"/>
    <x v="0"/>
    <x v="1"/>
  </r>
  <r>
    <x v="9"/>
    <x v="2"/>
    <s v="Maret"/>
    <s v="Division_A"/>
    <x v="29"/>
    <n v="2014"/>
    <n v="7"/>
    <s v="TM-Utama"/>
    <n v="24"/>
    <n v="1329"/>
    <s v="55.4"/>
    <x v="1"/>
    <n v="1.304"/>
    <n v="31285.4"/>
    <n v="31.285"/>
    <d v="2021-03-01T00:00:00"/>
    <x v="0"/>
    <x v="1"/>
  </r>
  <r>
    <x v="9"/>
    <x v="3"/>
    <s v="April"/>
    <s v="Division_A"/>
    <x v="29"/>
    <n v="2014"/>
    <n v="7"/>
    <s v="TM-Utama"/>
    <n v="24"/>
    <n v="1329"/>
    <s v="55.4"/>
    <x v="1"/>
    <n v="1.514"/>
    <n v="36334.400000000001"/>
    <n v="36.334000000000003"/>
    <d v="2021-04-01T00:00:00"/>
    <x v="0"/>
    <x v="1"/>
  </r>
  <r>
    <x v="9"/>
    <x v="4"/>
    <s v="Mei"/>
    <s v="Division_A"/>
    <x v="29"/>
    <n v="2014"/>
    <n v="7"/>
    <s v="TM-Utama"/>
    <n v="24"/>
    <n v="1329"/>
    <s v="55.4"/>
    <x v="1"/>
    <n v="1.4750000000000001"/>
    <n v="35398.1"/>
    <n v="35.398000000000003"/>
    <d v="2021-05-01T00:00:00"/>
    <x v="0"/>
    <x v="1"/>
  </r>
  <r>
    <x v="9"/>
    <x v="5"/>
    <s v="Juni"/>
    <s v="Division_A"/>
    <x v="29"/>
    <n v="2014"/>
    <n v="7"/>
    <s v="TM-Utama"/>
    <n v="24"/>
    <n v="1329"/>
    <s v="55.4"/>
    <x v="1"/>
    <n v="1.4450000000000001"/>
    <n v="34682"/>
    <n v="34.682000000000002"/>
    <d v="2021-06-01T00:00:00"/>
    <x v="0"/>
    <x v="1"/>
  </r>
  <r>
    <x v="9"/>
    <x v="6"/>
    <s v="Juli"/>
    <s v="Division_A"/>
    <x v="29"/>
    <n v="2014"/>
    <n v="7"/>
    <s v="TM-Utama"/>
    <n v="24"/>
    <n v="1329"/>
    <s v="55.4"/>
    <x v="1"/>
    <n v="1.6519999999999999"/>
    <n v="39657.599999999999"/>
    <n v="39.658000000000001"/>
    <d v="2021-07-01T00:00:00"/>
    <x v="0"/>
    <x v="1"/>
  </r>
  <r>
    <x v="9"/>
    <x v="7"/>
    <s v="Agustus"/>
    <s v="Division_A"/>
    <x v="29"/>
    <n v="2014"/>
    <n v="7"/>
    <s v="TM-Utama"/>
    <n v="24"/>
    <n v="1329"/>
    <s v="55.4"/>
    <x v="1"/>
    <n v="1.597"/>
    <n v="38335.699999999997"/>
    <n v="38.335999999999999"/>
    <d v="2021-08-01T00:00:00"/>
    <x v="0"/>
    <x v="1"/>
  </r>
  <r>
    <x v="9"/>
    <x v="8"/>
    <s v="September"/>
    <s v="Division_A"/>
    <x v="29"/>
    <n v="2014"/>
    <n v="7"/>
    <s v="TM-Utama"/>
    <n v="24"/>
    <n v="1329"/>
    <s v="55.4"/>
    <x v="1"/>
    <n v="1.526"/>
    <n v="36628.199999999997"/>
    <n v="36.628"/>
    <d v="2021-09-01T00:00:00"/>
    <x v="0"/>
    <x v="1"/>
  </r>
  <r>
    <x v="9"/>
    <x v="9"/>
    <s v="Oktober"/>
    <s v="Division_A"/>
    <x v="29"/>
    <n v="2014"/>
    <n v="7"/>
    <s v="TM-Utama"/>
    <n v="24"/>
    <n v="1329"/>
    <s v="55.4"/>
    <x v="1"/>
    <n v="1.615"/>
    <n v="38758"/>
    <n v="38.758000000000003"/>
    <d v="2021-10-01T00:00:00"/>
    <x v="0"/>
    <x v="1"/>
  </r>
  <r>
    <x v="9"/>
    <x v="10"/>
    <s v="November"/>
    <s v="Division_A"/>
    <x v="29"/>
    <n v="2014"/>
    <n v="7"/>
    <s v="TM-Utama"/>
    <n v="24"/>
    <n v="1329"/>
    <s v="55.4"/>
    <x v="1"/>
    <n v="1.5740000000000001"/>
    <n v="37766.5"/>
    <n v="37.767000000000003"/>
    <d v="2021-11-01T00:00:00"/>
    <x v="0"/>
    <x v="1"/>
  </r>
  <r>
    <x v="9"/>
    <x v="11"/>
    <s v="Desember"/>
    <s v="Division_A"/>
    <x v="29"/>
    <n v="2014"/>
    <n v="7"/>
    <s v="TM-Utama"/>
    <n v="24"/>
    <n v="1329"/>
    <s v="55.4"/>
    <x v="1"/>
    <n v="1.597"/>
    <n v="38317.300000000003"/>
    <n v="38.317"/>
    <d v="2021-12-01T00:00:00"/>
    <x v="0"/>
    <x v="1"/>
  </r>
  <r>
    <x v="9"/>
    <x v="0"/>
    <s v="Januari"/>
    <s v="Division_A"/>
    <x v="30"/>
    <n v="2014"/>
    <n v="7"/>
    <s v="TM-Utama"/>
    <n v="24"/>
    <n v="1573"/>
    <s v="65.5"/>
    <x v="1"/>
    <n v="0.48199999999999998"/>
    <n v="11566.8"/>
    <n v="11.567"/>
    <d v="2021-01-01T00:00:00"/>
    <x v="0"/>
    <x v="1"/>
  </r>
  <r>
    <x v="9"/>
    <x v="1"/>
    <s v="Februari"/>
    <s v="Division_A"/>
    <x v="30"/>
    <n v="2014"/>
    <n v="7"/>
    <s v="TM-Utama"/>
    <n v="24"/>
    <n v="1573"/>
    <s v="65.5"/>
    <x v="1"/>
    <n v="0.8"/>
    <n v="19204.599999999999"/>
    <n v="19.204999999999998"/>
    <d v="2021-02-01T00:00:00"/>
    <x v="0"/>
    <x v="1"/>
  </r>
  <r>
    <x v="9"/>
    <x v="2"/>
    <s v="Maret"/>
    <s v="Division_A"/>
    <x v="30"/>
    <n v="2014"/>
    <n v="7"/>
    <s v="TM-Utama"/>
    <n v="24"/>
    <n v="1573"/>
    <s v="65.5"/>
    <x v="1"/>
    <n v="1.304"/>
    <n v="31285.4"/>
    <n v="31.285"/>
    <d v="2021-03-01T00:00:00"/>
    <x v="0"/>
    <x v="1"/>
  </r>
  <r>
    <x v="9"/>
    <x v="3"/>
    <s v="April"/>
    <s v="Division_A"/>
    <x v="30"/>
    <n v="2014"/>
    <n v="7"/>
    <s v="TM-Utama"/>
    <n v="24"/>
    <n v="1573"/>
    <s v="65.5"/>
    <x v="1"/>
    <n v="1.514"/>
    <n v="36334.400000000001"/>
    <n v="36.334000000000003"/>
    <d v="2021-04-01T00:00:00"/>
    <x v="0"/>
    <x v="1"/>
  </r>
  <r>
    <x v="9"/>
    <x v="4"/>
    <s v="Mei"/>
    <s v="Division_A"/>
    <x v="30"/>
    <n v="2014"/>
    <n v="7"/>
    <s v="TM-Utama"/>
    <n v="24"/>
    <n v="1573"/>
    <s v="65.5"/>
    <x v="1"/>
    <n v="1.4750000000000001"/>
    <n v="35398.1"/>
    <n v="35.398000000000003"/>
    <d v="2021-05-01T00:00:00"/>
    <x v="0"/>
    <x v="1"/>
  </r>
  <r>
    <x v="9"/>
    <x v="5"/>
    <s v="Juni"/>
    <s v="Division_A"/>
    <x v="30"/>
    <n v="2014"/>
    <n v="7"/>
    <s v="TM-Utama"/>
    <n v="24"/>
    <n v="1573"/>
    <s v="65.5"/>
    <x v="1"/>
    <n v="1.4450000000000001"/>
    <n v="34682"/>
    <n v="34.682000000000002"/>
    <d v="2021-06-01T00:00:00"/>
    <x v="0"/>
    <x v="1"/>
  </r>
  <r>
    <x v="9"/>
    <x v="6"/>
    <s v="Juli"/>
    <s v="Division_A"/>
    <x v="30"/>
    <n v="2014"/>
    <n v="7"/>
    <s v="TM-Utama"/>
    <n v="24"/>
    <n v="1573"/>
    <s v="65.5"/>
    <x v="1"/>
    <n v="1.6519999999999999"/>
    <n v="39657.599999999999"/>
    <n v="39.658000000000001"/>
    <d v="2021-07-01T00:00:00"/>
    <x v="0"/>
    <x v="1"/>
  </r>
  <r>
    <x v="9"/>
    <x v="7"/>
    <s v="Agustus"/>
    <s v="Division_A"/>
    <x v="30"/>
    <n v="2014"/>
    <n v="7"/>
    <s v="TM-Utama"/>
    <n v="24"/>
    <n v="1573"/>
    <s v="65.5"/>
    <x v="1"/>
    <n v="1.597"/>
    <n v="38335.699999999997"/>
    <n v="38.335999999999999"/>
    <d v="2021-08-01T00:00:00"/>
    <x v="0"/>
    <x v="1"/>
  </r>
  <r>
    <x v="9"/>
    <x v="8"/>
    <s v="September"/>
    <s v="Division_A"/>
    <x v="30"/>
    <n v="2014"/>
    <n v="7"/>
    <s v="TM-Utama"/>
    <n v="24"/>
    <n v="1573"/>
    <s v="65.5"/>
    <x v="1"/>
    <n v="1.526"/>
    <n v="36628.199999999997"/>
    <n v="36.628"/>
    <d v="2021-09-01T00:00:00"/>
    <x v="0"/>
    <x v="1"/>
  </r>
  <r>
    <x v="9"/>
    <x v="9"/>
    <s v="Oktober"/>
    <s v="Division_A"/>
    <x v="30"/>
    <n v="2014"/>
    <n v="7"/>
    <s v="TM-Utama"/>
    <n v="24"/>
    <n v="1573"/>
    <s v="65.5"/>
    <x v="1"/>
    <n v="1.615"/>
    <n v="38758"/>
    <n v="38.758000000000003"/>
    <d v="2021-10-01T00:00:00"/>
    <x v="0"/>
    <x v="1"/>
  </r>
  <r>
    <x v="9"/>
    <x v="10"/>
    <s v="November"/>
    <s v="Division_A"/>
    <x v="30"/>
    <n v="2014"/>
    <n v="7"/>
    <s v="TM-Utama"/>
    <n v="24"/>
    <n v="1573"/>
    <s v="65.5"/>
    <x v="1"/>
    <n v="1.5740000000000001"/>
    <n v="37766.5"/>
    <n v="37.767000000000003"/>
    <d v="2021-11-01T00:00:00"/>
    <x v="0"/>
    <x v="1"/>
  </r>
  <r>
    <x v="9"/>
    <x v="11"/>
    <s v="Desember"/>
    <s v="Division_A"/>
    <x v="30"/>
    <n v="2014"/>
    <n v="7"/>
    <s v="TM-Utama"/>
    <n v="24"/>
    <n v="1573"/>
    <s v="65.5"/>
    <x v="1"/>
    <n v="1.597"/>
    <n v="38317.300000000003"/>
    <n v="38.317"/>
    <d v="2021-12-01T00:00:00"/>
    <x v="0"/>
    <x v="1"/>
  </r>
  <r>
    <x v="9"/>
    <x v="0"/>
    <s v="Januari"/>
    <s v="Division_A"/>
    <x v="31"/>
    <n v="2016"/>
    <n v="5"/>
    <s v="TM-3"/>
    <n v="22"/>
    <n v="3137"/>
    <s v="142.6"/>
    <x v="0"/>
    <n v="0.55400000000000005"/>
    <n v="12196.8"/>
    <n v="12.196999999999999"/>
    <d v="2021-01-01T00:00:00"/>
    <x v="0"/>
    <x v="3"/>
  </r>
  <r>
    <x v="9"/>
    <x v="1"/>
    <s v="Februari"/>
    <s v="Division_A"/>
    <x v="31"/>
    <n v="2016"/>
    <n v="5"/>
    <s v="TM-3"/>
    <n v="22"/>
    <n v="3137"/>
    <s v="142.6"/>
    <x v="0"/>
    <n v="0.92"/>
    <n v="20250.599999999999"/>
    <n v="20.251000000000001"/>
    <d v="2021-02-01T00:00:00"/>
    <x v="0"/>
    <x v="3"/>
  </r>
  <r>
    <x v="9"/>
    <x v="2"/>
    <s v="Maret"/>
    <s v="Division_A"/>
    <x v="31"/>
    <n v="2016"/>
    <n v="5"/>
    <s v="TM-3"/>
    <n v="22"/>
    <n v="3137"/>
    <s v="142.6"/>
    <x v="0"/>
    <n v="1.5"/>
    <n v="32989.4"/>
    <n v="32.988999999999997"/>
    <d v="2021-03-01T00:00:00"/>
    <x v="0"/>
    <x v="3"/>
  </r>
  <r>
    <x v="9"/>
    <x v="3"/>
    <s v="April"/>
    <s v="Division_A"/>
    <x v="31"/>
    <n v="2016"/>
    <n v="5"/>
    <s v="TM-3"/>
    <n v="22"/>
    <n v="3137"/>
    <s v="142.6"/>
    <x v="0"/>
    <n v="1.742"/>
    <n v="38313.4"/>
    <n v="38.313000000000002"/>
    <d v="2021-04-01T00:00:00"/>
    <x v="0"/>
    <x v="3"/>
  </r>
  <r>
    <x v="9"/>
    <x v="4"/>
    <s v="Mei"/>
    <s v="Division_A"/>
    <x v="31"/>
    <n v="2016"/>
    <n v="5"/>
    <s v="TM-3"/>
    <n v="22"/>
    <n v="3137"/>
    <s v="142.6"/>
    <x v="0"/>
    <n v="1.6970000000000001"/>
    <n v="37326.1"/>
    <n v="37.326000000000001"/>
    <d v="2021-05-01T00:00:00"/>
    <x v="0"/>
    <x v="3"/>
  </r>
  <r>
    <x v="9"/>
    <x v="5"/>
    <s v="Juni"/>
    <s v="Division_A"/>
    <x v="31"/>
    <n v="2016"/>
    <n v="5"/>
    <s v="TM-3"/>
    <n v="22"/>
    <n v="3137"/>
    <s v="142.6"/>
    <x v="0"/>
    <n v="1.6619999999999999"/>
    <n v="36571"/>
    <n v="36.570999999999998"/>
    <d v="2021-06-01T00:00:00"/>
    <x v="0"/>
    <x v="3"/>
  </r>
  <r>
    <x v="9"/>
    <x v="6"/>
    <s v="Juli"/>
    <s v="Division_A"/>
    <x v="31"/>
    <n v="2016"/>
    <n v="5"/>
    <s v="TM-3"/>
    <n v="22"/>
    <n v="3137"/>
    <s v="142.6"/>
    <x v="0"/>
    <n v="1.901"/>
    <n v="41817.599999999999"/>
    <n v="41.817999999999998"/>
    <d v="2021-07-01T00:00:00"/>
    <x v="0"/>
    <x v="3"/>
  </r>
  <r>
    <x v="9"/>
    <x v="7"/>
    <s v="Agustus"/>
    <s v="Division_A"/>
    <x v="31"/>
    <n v="2016"/>
    <n v="5"/>
    <s v="TM-3"/>
    <n v="22"/>
    <n v="3137"/>
    <s v="142.6"/>
    <x v="0"/>
    <n v="1.837"/>
    <n v="40423.699999999997"/>
    <n v="40.423999999999999"/>
    <d v="2021-08-01T00:00:00"/>
    <x v="0"/>
    <x v="3"/>
  </r>
  <r>
    <x v="9"/>
    <x v="8"/>
    <s v="September"/>
    <s v="Division_A"/>
    <x v="31"/>
    <n v="2016"/>
    <n v="5"/>
    <s v="TM-3"/>
    <n v="22"/>
    <n v="3137"/>
    <s v="142.6"/>
    <x v="0"/>
    <n v="1.756"/>
    <n v="38623.199999999997"/>
    <n v="38.622999999999998"/>
    <d v="2021-09-01T00:00:00"/>
    <x v="0"/>
    <x v="3"/>
  </r>
  <r>
    <x v="9"/>
    <x v="9"/>
    <s v="Oktober"/>
    <s v="Division_A"/>
    <x v="31"/>
    <n v="2016"/>
    <n v="5"/>
    <s v="TM-3"/>
    <n v="22"/>
    <n v="3137"/>
    <s v="142.6"/>
    <x v="0"/>
    <n v="1.8580000000000001"/>
    <n v="40869"/>
    <n v="40.869"/>
    <d v="2021-10-01T00:00:00"/>
    <x v="0"/>
    <x v="3"/>
  </r>
  <r>
    <x v="9"/>
    <x v="10"/>
    <s v="November"/>
    <s v="Division_A"/>
    <x v="31"/>
    <n v="2016"/>
    <n v="5"/>
    <s v="TM-3"/>
    <n v="22"/>
    <n v="3137"/>
    <s v="142.6"/>
    <x v="0"/>
    <n v="1.81"/>
    <n v="39823.5"/>
    <n v="39.823999999999998"/>
    <d v="2021-11-01T00:00:00"/>
    <x v="0"/>
    <x v="3"/>
  </r>
  <r>
    <x v="9"/>
    <x v="11"/>
    <s v="Desember"/>
    <s v="Division_A"/>
    <x v="31"/>
    <n v="2016"/>
    <n v="5"/>
    <s v="TM-3"/>
    <n v="22"/>
    <n v="3137"/>
    <s v="142.6"/>
    <x v="0"/>
    <n v="1.837"/>
    <n v="40404.300000000003"/>
    <n v="40.404000000000003"/>
    <d v="2021-12-01T00:00:00"/>
    <x v="0"/>
    <x v="3"/>
  </r>
  <r>
    <x v="9"/>
    <x v="0"/>
    <s v="Januari"/>
    <s v="Division_A"/>
    <x v="32"/>
    <n v="2016"/>
    <n v="5"/>
    <s v="TM-3"/>
    <n v="22"/>
    <n v="3096"/>
    <s v="140.7"/>
    <x v="0"/>
    <n v="0.55400000000000005"/>
    <n v="12196.8"/>
    <n v="12.196999999999999"/>
    <d v="2021-01-01T00:00:00"/>
    <x v="0"/>
    <x v="3"/>
  </r>
  <r>
    <x v="9"/>
    <x v="1"/>
    <s v="Februari"/>
    <s v="Division_A"/>
    <x v="32"/>
    <n v="2016"/>
    <n v="5"/>
    <s v="TM-3"/>
    <n v="22"/>
    <n v="3096"/>
    <s v="140.7"/>
    <x v="0"/>
    <n v="0.92"/>
    <n v="20250.599999999999"/>
    <n v="20.251000000000001"/>
    <d v="2021-02-01T00:00:00"/>
    <x v="0"/>
    <x v="3"/>
  </r>
  <r>
    <x v="9"/>
    <x v="2"/>
    <s v="Maret"/>
    <s v="Division_A"/>
    <x v="32"/>
    <n v="2016"/>
    <n v="5"/>
    <s v="TM-3"/>
    <n v="22"/>
    <n v="3096"/>
    <s v="140.7"/>
    <x v="0"/>
    <n v="1.5"/>
    <n v="32989.4"/>
    <n v="32.988999999999997"/>
    <d v="2021-03-01T00:00:00"/>
    <x v="0"/>
    <x v="3"/>
  </r>
  <r>
    <x v="9"/>
    <x v="3"/>
    <s v="April"/>
    <s v="Division_A"/>
    <x v="32"/>
    <n v="2016"/>
    <n v="5"/>
    <s v="TM-3"/>
    <n v="22"/>
    <n v="3096"/>
    <s v="140.7"/>
    <x v="0"/>
    <n v="1.742"/>
    <n v="38313.4"/>
    <n v="38.313000000000002"/>
    <d v="2021-04-01T00:00:00"/>
    <x v="0"/>
    <x v="3"/>
  </r>
  <r>
    <x v="9"/>
    <x v="4"/>
    <s v="Mei"/>
    <s v="Division_A"/>
    <x v="32"/>
    <n v="2016"/>
    <n v="5"/>
    <s v="TM-3"/>
    <n v="22"/>
    <n v="3096"/>
    <s v="140.7"/>
    <x v="0"/>
    <n v="1.6970000000000001"/>
    <n v="37326.1"/>
    <n v="37.326000000000001"/>
    <d v="2021-05-01T00:00:00"/>
    <x v="0"/>
    <x v="3"/>
  </r>
  <r>
    <x v="9"/>
    <x v="5"/>
    <s v="Juni"/>
    <s v="Division_A"/>
    <x v="32"/>
    <n v="2016"/>
    <n v="5"/>
    <s v="TM-3"/>
    <n v="22"/>
    <n v="3096"/>
    <s v="140.7"/>
    <x v="0"/>
    <n v="1.6619999999999999"/>
    <n v="36571"/>
    <n v="36.570999999999998"/>
    <d v="2021-06-01T00:00:00"/>
    <x v="0"/>
    <x v="3"/>
  </r>
  <r>
    <x v="9"/>
    <x v="6"/>
    <s v="Juli"/>
    <s v="Division_A"/>
    <x v="32"/>
    <n v="2016"/>
    <n v="5"/>
    <s v="TM-3"/>
    <n v="22"/>
    <n v="3096"/>
    <s v="140.7"/>
    <x v="0"/>
    <n v="1.901"/>
    <n v="41817.599999999999"/>
    <n v="41.817999999999998"/>
    <d v="2021-07-01T00:00:00"/>
    <x v="0"/>
    <x v="3"/>
  </r>
  <r>
    <x v="9"/>
    <x v="7"/>
    <s v="Agustus"/>
    <s v="Division_A"/>
    <x v="32"/>
    <n v="2016"/>
    <n v="5"/>
    <s v="TM-3"/>
    <n v="22"/>
    <n v="3096"/>
    <s v="140.7"/>
    <x v="0"/>
    <n v="1.837"/>
    <n v="40423.699999999997"/>
    <n v="40.423999999999999"/>
    <d v="2021-08-01T00:00:00"/>
    <x v="0"/>
    <x v="3"/>
  </r>
  <r>
    <x v="9"/>
    <x v="8"/>
    <s v="September"/>
    <s v="Division_A"/>
    <x v="32"/>
    <n v="2016"/>
    <n v="5"/>
    <s v="TM-3"/>
    <n v="22"/>
    <n v="3096"/>
    <s v="140.7"/>
    <x v="0"/>
    <n v="1.756"/>
    <n v="38623.199999999997"/>
    <n v="38.622999999999998"/>
    <d v="2021-09-01T00:00:00"/>
    <x v="0"/>
    <x v="3"/>
  </r>
  <r>
    <x v="9"/>
    <x v="9"/>
    <s v="Oktober"/>
    <s v="Division_A"/>
    <x v="32"/>
    <n v="2016"/>
    <n v="5"/>
    <s v="TM-3"/>
    <n v="22"/>
    <n v="3096"/>
    <s v="140.7"/>
    <x v="0"/>
    <n v="1.8580000000000001"/>
    <n v="40869"/>
    <n v="40.869"/>
    <d v="2021-10-01T00:00:00"/>
    <x v="0"/>
    <x v="3"/>
  </r>
  <r>
    <x v="9"/>
    <x v="10"/>
    <s v="November"/>
    <s v="Division_A"/>
    <x v="32"/>
    <n v="2016"/>
    <n v="5"/>
    <s v="TM-3"/>
    <n v="22"/>
    <n v="3096"/>
    <s v="140.7"/>
    <x v="0"/>
    <n v="1.81"/>
    <n v="39823.5"/>
    <n v="39.823999999999998"/>
    <d v="2021-11-01T00:00:00"/>
    <x v="0"/>
    <x v="3"/>
  </r>
  <r>
    <x v="9"/>
    <x v="11"/>
    <s v="Desember"/>
    <s v="Division_A"/>
    <x v="32"/>
    <n v="2016"/>
    <n v="5"/>
    <s v="TM-3"/>
    <n v="22"/>
    <n v="3096"/>
    <s v="140.7"/>
    <x v="0"/>
    <n v="1.837"/>
    <n v="40404.300000000003"/>
    <n v="40.404000000000003"/>
    <d v="2021-12-01T00:00:00"/>
    <x v="0"/>
    <x v="3"/>
  </r>
  <r>
    <x v="9"/>
    <x v="0"/>
    <s v="Januari"/>
    <s v="Division_A"/>
    <x v="33"/>
    <n v="2016"/>
    <n v="5"/>
    <s v="TM-3"/>
    <n v="24"/>
    <n v="3317"/>
    <s v="138.2"/>
    <x v="0"/>
    <n v="0.55400000000000005"/>
    <n v="13305.6"/>
    <n v="13.305999999999999"/>
    <d v="2021-01-01T00:00:00"/>
    <x v="0"/>
    <x v="3"/>
  </r>
  <r>
    <x v="9"/>
    <x v="1"/>
    <s v="Februari"/>
    <s v="Division_A"/>
    <x v="33"/>
    <n v="2016"/>
    <n v="5"/>
    <s v="TM-3"/>
    <n v="24"/>
    <n v="3317"/>
    <s v="138.2"/>
    <x v="0"/>
    <n v="0.92"/>
    <n v="22091.5"/>
    <n v="22.091999999999999"/>
    <d v="2021-02-01T00:00:00"/>
    <x v="0"/>
    <x v="3"/>
  </r>
  <r>
    <x v="9"/>
    <x v="2"/>
    <s v="Maret"/>
    <s v="Division_A"/>
    <x v="33"/>
    <n v="2016"/>
    <n v="5"/>
    <s v="TM-3"/>
    <n v="24"/>
    <n v="3317"/>
    <s v="138.2"/>
    <x v="0"/>
    <n v="1.5"/>
    <n v="35988.5"/>
    <n v="35.988"/>
    <d v="2021-03-01T00:00:00"/>
    <x v="0"/>
    <x v="3"/>
  </r>
  <r>
    <x v="9"/>
    <x v="3"/>
    <s v="April"/>
    <s v="Division_A"/>
    <x v="33"/>
    <n v="2016"/>
    <n v="5"/>
    <s v="TM-3"/>
    <n v="24"/>
    <n v="3317"/>
    <s v="138.2"/>
    <x v="0"/>
    <n v="1.742"/>
    <n v="41796.5"/>
    <n v="41.795999999999999"/>
    <d v="2021-04-01T00:00:00"/>
    <x v="0"/>
    <x v="3"/>
  </r>
  <r>
    <x v="9"/>
    <x v="4"/>
    <s v="Mei"/>
    <s v="Division_A"/>
    <x v="33"/>
    <n v="2016"/>
    <n v="5"/>
    <s v="TM-3"/>
    <n v="24"/>
    <n v="3317"/>
    <s v="138.2"/>
    <x v="0"/>
    <n v="1.6970000000000001"/>
    <n v="40719.4"/>
    <n v="40.719000000000001"/>
    <d v="2021-05-01T00:00:00"/>
    <x v="0"/>
    <x v="3"/>
  </r>
  <r>
    <x v="9"/>
    <x v="5"/>
    <s v="Juni"/>
    <s v="Division_A"/>
    <x v="33"/>
    <n v="2016"/>
    <n v="5"/>
    <s v="TM-3"/>
    <n v="24"/>
    <n v="3317"/>
    <s v="138.2"/>
    <x v="0"/>
    <n v="1.6619999999999999"/>
    <n v="39895.699999999997"/>
    <n v="39.896000000000001"/>
    <d v="2021-06-01T00:00:00"/>
    <x v="0"/>
    <x v="3"/>
  </r>
  <r>
    <x v="9"/>
    <x v="6"/>
    <s v="Juli"/>
    <s v="Division_A"/>
    <x v="33"/>
    <n v="2016"/>
    <n v="5"/>
    <s v="TM-3"/>
    <n v="24"/>
    <n v="3317"/>
    <s v="138.2"/>
    <x v="0"/>
    <n v="1.901"/>
    <n v="45619.199999999997"/>
    <n v="45.619"/>
    <d v="2021-07-01T00:00:00"/>
    <x v="0"/>
    <x v="3"/>
  </r>
  <r>
    <x v="9"/>
    <x v="7"/>
    <s v="Agustus"/>
    <s v="Division_A"/>
    <x v="33"/>
    <n v="2016"/>
    <n v="5"/>
    <s v="TM-3"/>
    <n v="24"/>
    <n v="3317"/>
    <s v="138.2"/>
    <x v="0"/>
    <n v="1.837"/>
    <n v="44098.6"/>
    <n v="44.098999999999997"/>
    <d v="2021-08-01T00:00:00"/>
    <x v="0"/>
    <x v="3"/>
  </r>
  <r>
    <x v="9"/>
    <x v="8"/>
    <s v="September"/>
    <s v="Division_A"/>
    <x v="33"/>
    <n v="2016"/>
    <n v="5"/>
    <s v="TM-3"/>
    <n v="24"/>
    <n v="3317"/>
    <s v="138.2"/>
    <x v="0"/>
    <n v="1.756"/>
    <n v="42134.400000000001"/>
    <n v="42.134"/>
    <d v="2021-09-01T00:00:00"/>
    <x v="0"/>
    <x v="3"/>
  </r>
  <r>
    <x v="9"/>
    <x v="9"/>
    <s v="Oktober"/>
    <s v="Division_A"/>
    <x v="33"/>
    <n v="2016"/>
    <n v="5"/>
    <s v="TM-3"/>
    <n v="24"/>
    <n v="3317"/>
    <s v="138.2"/>
    <x v="0"/>
    <n v="1.8580000000000001"/>
    <n v="44584.3"/>
    <n v="44.584000000000003"/>
    <d v="2021-10-01T00:00:00"/>
    <x v="0"/>
    <x v="3"/>
  </r>
  <r>
    <x v="9"/>
    <x v="10"/>
    <s v="November"/>
    <s v="Division_A"/>
    <x v="33"/>
    <n v="2016"/>
    <n v="5"/>
    <s v="TM-3"/>
    <n v="24"/>
    <n v="3317"/>
    <s v="138.2"/>
    <x v="0"/>
    <n v="1.81"/>
    <n v="43443.8"/>
    <n v="43.444000000000003"/>
    <d v="2021-11-01T00:00:00"/>
    <x v="0"/>
    <x v="3"/>
  </r>
  <r>
    <x v="9"/>
    <x v="11"/>
    <s v="Desember"/>
    <s v="Division_A"/>
    <x v="33"/>
    <n v="2016"/>
    <n v="5"/>
    <s v="TM-3"/>
    <n v="24"/>
    <n v="3317"/>
    <s v="138.2"/>
    <x v="0"/>
    <n v="1.837"/>
    <n v="44077.4"/>
    <n v="44.076999999999998"/>
    <d v="2021-12-01T00:00:00"/>
    <x v="0"/>
    <x v="3"/>
  </r>
  <r>
    <x v="9"/>
    <x v="0"/>
    <s v="Januari"/>
    <s v="Division_A"/>
    <x v="34"/>
    <n v="2016"/>
    <n v="5"/>
    <s v="TM-3"/>
    <n v="17"/>
    <n v="2219"/>
    <s v="130.5"/>
    <x v="0"/>
    <n v="0.55400000000000005"/>
    <n v="9424.7999999999993"/>
    <n v="9.4250000000000007"/>
    <d v="2021-01-01T00:00:00"/>
    <x v="0"/>
    <x v="3"/>
  </r>
  <r>
    <x v="9"/>
    <x v="1"/>
    <s v="Februari"/>
    <s v="Division_A"/>
    <x v="34"/>
    <n v="2016"/>
    <n v="5"/>
    <s v="TM-3"/>
    <n v="17"/>
    <n v="2219"/>
    <s v="130.5"/>
    <x v="0"/>
    <n v="0.92"/>
    <n v="15648.2"/>
    <n v="15.648"/>
    <d v="2021-02-01T00:00:00"/>
    <x v="0"/>
    <x v="3"/>
  </r>
  <r>
    <x v="9"/>
    <x v="2"/>
    <s v="Maret"/>
    <s v="Division_A"/>
    <x v="34"/>
    <n v="2016"/>
    <n v="5"/>
    <s v="TM-3"/>
    <n v="17"/>
    <n v="2219"/>
    <s v="130.5"/>
    <x v="0"/>
    <n v="1.5"/>
    <n v="25491.8"/>
    <n v="25.492000000000001"/>
    <d v="2021-03-01T00:00:00"/>
    <x v="0"/>
    <x v="3"/>
  </r>
  <r>
    <x v="9"/>
    <x v="3"/>
    <s v="April"/>
    <s v="Division_A"/>
    <x v="34"/>
    <n v="2016"/>
    <n v="5"/>
    <s v="TM-3"/>
    <n v="17"/>
    <n v="2219"/>
    <s v="130.5"/>
    <x v="0"/>
    <n v="1.742"/>
    <n v="29605.8"/>
    <n v="29.606000000000002"/>
    <d v="2021-04-01T00:00:00"/>
    <x v="0"/>
    <x v="3"/>
  </r>
  <r>
    <x v="9"/>
    <x v="4"/>
    <s v="Mei"/>
    <s v="Division_A"/>
    <x v="34"/>
    <n v="2016"/>
    <n v="5"/>
    <s v="TM-3"/>
    <n v="17"/>
    <n v="2219"/>
    <s v="130.5"/>
    <x v="0"/>
    <n v="1.6970000000000001"/>
    <n v="28842.9"/>
    <n v="28.843"/>
    <d v="2021-05-01T00:00:00"/>
    <x v="0"/>
    <x v="3"/>
  </r>
  <r>
    <x v="9"/>
    <x v="5"/>
    <s v="Juni"/>
    <s v="Division_A"/>
    <x v="34"/>
    <n v="2016"/>
    <n v="5"/>
    <s v="TM-3"/>
    <n v="17"/>
    <n v="2219"/>
    <s v="130.5"/>
    <x v="0"/>
    <n v="1.6619999999999999"/>
    <n v="28259.4"/>
    <n v="28.259"/>
    <d v="2021-06-01T00:00:00"/>
    <x v="0"/>
    <x v="3"/>
  </r>
  <r>
    <x v="9"/>
    <x v="6"/>
    <s v="Juli"/>
    <s v="Division_A"/>
    <x v="34"/>
    <n v="2016"/>
    <n v="5"/>
    <s v="TM-3"/>
    <n v="17"/>
    <n v="2219"/>
    <s v="130.5"/>
    <x v="0"/>
    <n v="1.901"/>
    <n v="32313.599999999999"/>
    <n v="32.314"/>
    <d v="2021-07-01T00:00:00"/>
    <x v="0"/>
    <x v="3"/>
  </r>
  <r>
    <x v="9"/>
    <x v="7"/>
    <s v="Agustus"/>
    <s v="Division_A"/>
    <x v="34"/>
    <n v="2016"/>
    <n v="5"/>
    <s v="TM-3"/>
    <n v="17"/>
    <n v="2219"/>
    <s v="130.5"/>
    <x v="0"/>
    <n v="1.837"/>
    <n v="31236.5"/>
    <n v="31.236000000000001"/>
    <d v="2021-08-01T00:00:00"/>
    <x v="0"/>
    <x v="3"/>
  </r>
  <r>
    <x v="9"/>
    <x v="8"/>
    <s v="September"/>
    <s v="Division_A"/>
    <x v="34"/>
    <n v="2016"/>
    <n v="5"/>
    <s v="TM-3"/>
    <n v="17"/>
    <n v="2219"/>
    <s v="130.5"/>
    <x v="0"/>
    <n v="1.756"/>
    <n v="29845.200000000001"/>
    <n v="29.844999999999999"/>
    <d v="2021-09-01T00:00:00"/>
    <x v="0"/>
    <x v="3"/>
  </r>
  <r>
    <x v="9"/>
    <x v="9"/>
    <s v="Oktober"/>
    <s v="Division_A"/>
    <x v="34"/>
    <n v="2016"/>
    <n v="5"/>
    <s v="TM-3"/>
    <n v="17"/>
    <n v="2219"/>
    <s v="130.5"/>
    <x v="0"/>
    <n v="1.8580000000000001"/>
    <n v="31580.6"/>
    <n v="31.581"/>
    <d v="2021-10-01T00:00:00"/>
    <x v="0"/>
    <x v="3"/>
  </r>
  <r>
    <x v="9"/>
    <x v="10"/>
    <s v="November"/>
    <s v="Division_A"/>
    <x v="34"/>
    <n v="2016"/>
    <n v="5"/>
    <s v="TM-3"/>
    <n v="17"/>
    <n v="2219"/>
    <s v="130.5"/>
    <x v="0"/>
    <n v="1.81"/>
    <n v="30772.7"/>
    <n v="30.773"/>
    <d v="2021-11-01T00:00:00"/>
    <x v="0"/>
    <x v="3"/>
  </r>
  <r>
    <x v="9"/>
    <x v="11"/>
    <s v="Desember"/>
    <s v="Division_A"/>
    <x v="34"/>
    <n v="2016"/>
    <n v="5"/>
    <s v="TM-3"/>
    <n v="17"/>
    <n v="2219"/>
    <s v="130.5"/>
    <x v="0"/>
    <n v="1.837"/>
    <n v="31221.5"/>
    <n v="31.222000000000001"/>
    <d v="2021-12-01T00:00:00"/>
    <x v="0"/>
    <x v="3"/>
  </r>
  <r>
    <x v="9"/>
    <x v="0"/>
    <s v="Januari"/>
    <s v="Division_A"/>
    <x v="35"/>
    <n v="2016"/>
    <n v="5"/>
    <s v="TM-3"/>
    <n v="15"/>
    <n v="2142"/>
    <s v="142.8"/>
    <x v="0"/>
    <n v="0.55400000000000005"/>
    <n v="8316"/>
    <n v="8.3160000000000007"/>
    <d v="2021-01-01T00:00:00"/>
    <x v="0"/>
    <x v="3"/>
  </r>
  <r>
    <x v="9"/>
    <x v="1"/>
    <s v="Februari"/>
    <s v="Division_A"/>
    <x v="35"/>
    <n v="2016"/>
    <n v="5"/>
    <s v="TM-3"/>
    <n v="15"/>
    <n v="2142"/>
    <s v="142.8"/>
    <x v="0"/>
    <n v="0.92"/>
    <n v="13807.2"/>
    <n v="13.807"/>
    <d v="2021-02-01T00:00:00"/>
    <x v="0"/>
    <x v="3"/>
  </r>
  <r>
    <x v="9"/>
    <x v="2"/>
    <s v="Maret"/>
    <s v="Division_A"/>
    <x v="35"/>
    <n v="2016"/>
    <n v="5"/>
    <s v="TM-3"/>
    <n v="15"/>
    <n v="2142"/>
    <s v="142.8"/>
    <x v="0"/>
    <n v="1.5"/>
    <n v="22492.799999999999"/>
    <n v="22.492999999999999"/>
    <d v="2021-03-01T00:00:00"/>
    <x v="0"/>
    <x v="3"/>
  </r>
  <r>
    <x v="9"/>
    <x v="3"/>
    <s v="April"/>
    <s v="Division_A"/>
    <x v="35"/>
    <n v="2016"/>
    <n v="5"/>
    <s v="TM-3"/>
    <n v="15"/>
    <n v="2142"/>
    <s v="142.8"/>
    <x v="0"/>
    <n v="1.742"/>
    <n v="26122.799999999999"/>
    <n v="26.123000000000001"/>
    <d v="2021-04-01T00:00:00"/>
    <x v="0"/>
    <x v="3"/>
  </r>
  <r>
    <x v="9"/>
    <x v="4"/>
    <s v="Mei"/>
    <s v="Division_A"/>
    <x v="35"/>
    <n v="2016"/>
    <n v="5"/>
    <s v="TM-3"/>
    <n v="15"/>
    <n v="2142"/>
    <s v="142.8"/>
    <x v="0"/>
    <n v="1.6970000000000001"/>
    <n v="25449.599999999999"/>
    <n v="25.45"/>
    <d v="2021-05-01T00:00:00"/>
    <x v="0"/>
    <x v="3"/>
  </r>
  <r>
    <x v="9"/>
    <x v="5"/>
    <s v="Juni"/>
    <s v="Division_A"/>
    <x v="35"/>
    <n v="2016"/>
    <n v="5"/>
    <s v="TM-3"/>
    <n v="15"/>
    <n v="2142"/>
    <s v="142.8"/>
    <x v="0"/>
    <n v="1.6619999999999999"/>
    <n v="24934.799999999999"/>
    <n v="24.934999999999999"/>
    <d v="2021-06-01T00:00:00"/>
    <x v="0"/>
    <x v="3"/>
  </r>
  <r>
    <x v="9"/>
    <x v="6"/>
    <s v="Juli"/>
    <s v="Division_A"/>
    <x v="35"/>
    <n v="2016"/>
    <n v="5"/>
    <s v="TM-3"/>
    <n v="15"/>
    <n v="2142"/>
    <s v="142.8"/>
    <x v="0"/>
    <n v="1.901"/>
    <n v="28512"/>
    <n v="28.512"/>
    <d v="2021-07-01T00:00:00"/>
    <x v="0"/>
    <x v="3"/>
  </r>
  <r>
    <x v="9"/>
    <x v="7"/>
    <s v="Agustus"/>
    <s v="Division_A"/>
    <x v="35"/>
    <n v="2016"/>
    <n v="5"/>
    <s v="TM-3"/>
    <n v="15"/>
    <n v="2142"/>
    <s v="142.8"/>
    <x v="0"/>
    <n v="1.837"/>
    <n v="27561.599999999999"/>
    <n v="27.562000000000001"/>
    <d v="2021-08-01T00:00:00"/>
    <x v="0"/>
    <x v="3"/>
  </r>
  <r>
    <x v="9"/>
    <x v="8"/>
    <s v="September"/>
    <s v="Division_A"/>
    <x v="35"/>
    <n v="2016"/>
    <n v="5"/>
    <s v="TM-3"/>
    <n v="15"/>
    <n v="2142"/>
    <s v="142.8"/>
    <x v="0"/>
    <n v="1.756"/>
    <n v="26334"/>
    <n v="26.334"/>
    <d v="2021-09-01T00:00:00"/>
    <x v="0"/>
    <x v="3"/>
  </r>
  <r>
    <x v="9"/>
    <x v="9"/>
    <s v="Oktober"/>
    <s v="Division_A"/>
    <x v="35"/>
    <n v="2016"/>
    <n v="5"/>
    <s v="TM-3"/>
    <n v="15"/>
    <n v="2142"/>
    <s v="142.8"/>
    <x v="0"/>
    <n v="1.8580000000000001"/>
    <n v="27865.200000000001"/>
    <n v="27.864999999999998"/>
    <d v="2021-10-01T00:00:00"/>
    <x v="0"/>
    <x v="3"/>
  </r>
  <r>
    <x v="9"/>
    <x v="10"/>
    <s v="November"/>
    <s v="Division_A"/>
    <x v="35"/>
    <n v="2016"/>
    <n v="5"/>
    <s v="TM-3"/>
    <n v="15"/>
    <n v="2142"/>
    <s v="142.8"/>
    <x v="0"/>
    <n v="1.81"/>
    <n v="27152.400000000001"/>
    <n v="27.152000000000001"/>
    <d v="2021-11-01T00:00:00"/>
    <x v="0"/>
    <x v="3"/>
  </r>
  <r>
    <x v="9"/>
    <x v="11"/>
    <s v="Desember"/>
    <s v="Division_A"/>
    <x v="35"/>
    <n v="2016"/>
    <n v="5"/>
    <s v="TM-3"/>
    <n v="15"/>
    <n v="2142"/>
    <s v="142.8"/>
    <x v="0"/>
    <n v="1.837"/>
    <n v="27548.400000000001"/>
    <n v="27.547999999999998"/>
    <d v="2021-12-01T00:00:00"/>
    <x v="0"/>
    <x v="3"/>
  </r>
  <r>
    <x v="9"/>
    <x v="0"/>
    <s v="Januari"/>
    <s v="Division_A"/>
    <x v="36"/>
    <n v="2016"/>
    <n v="5"/>
    <s v="TM-3"/>
    <n v="24"/>
    <n v="3324"/>
    <s v="138.5"/>
    <x v="0"/>
    <n v="0.55400000000000005"/>
    <n v="13305.6"/>
    <n v="13.305999999999999"/>
    <d v="2021-01-01T00:00:00"/>
    <x v="0"/>
    <x v="3"/>
  </r>
  <r>
    <x v="9"/>
    <x v="1"/>
    <s v="Februari"/>
    <s v="Division_A"/>
    <x v="36"/>
    <n v="2016"/>
    <n v="5"/>
    <s v="TM-3"/>
    <n v="24"/>
    <n v="3324"/>
    <s v="138.5"/>
    <x v="0"/>
    <n v="0.92"/>
    <n v="22091.5"/>
    <n v="22.091999999999999"/>
    <d v="2021-02-01T00:00:00"/>
    <x v="0"/>
    <x v="3"/>
  </r>
  <r>
    <x v="9"/>
    <x v="2"/>
    <s v="Maret"/>
    <s v="Division_A"/>
    <x v="36"/>
    <n v="2016"/>
    <n v="5"/>
    <s v="TM-3"/>
    <n v="24"/>
    <n v="3324"/>
    <s v="138.5"/>
    <x v="0"/>
    <n v="1.5"/>
    <n v="35988.5"/>
    <n v="35.988"/>
    <d v="2021-03-01T00:00:00"/>
    <x v="0"/>
    <x v="3"/>
  </r>
  <r>
    <x v="9"/>
    <x v="3"/>
    <s v="April"/>
    <s v="Division_A"/>
    <x v="36"/>
    <n v="2016"/>
    <n v="5"/>
    <s v="TM-3"/>
    <n v="24"/>
    <n v="3324"/>
    <s v="138.5"/>
    <x v="0"/>
    <n v="1.742"/>
    <n v="41796.5"/>
    <n v="41.795999999999999"/>
    <d v="2021-04-01T00:00:00"/>
    <x v="0"/>
    <x v="3"/>
  </r>
  <r>
    <x v="9"/>
    <x v="4"/>
    <s v="Mei"/>
    <s v="Division_A"/>
    <x v="36"/>
    <n v="2016"/>
    <n v="5"/>
    <s v="TM-3"/>
    <n v="24"/>
    <n v="3324"/>
    <s v="138.5"/>
    <x v="0"/>
    <n v="1.6970000000000001"/>
    <n v="40719.4"/>
    <n v="40.719000000000001"/>
    <d v="2021-05-01T00:00:00"/>
    <x v="0"/>
    <x v="3"/>
  </r>
  <r>
    <x v="9"/>
    <x v="5"/>
    <s v="Juni"/>
    <s v="Division_A"/>
    <x v="36"/>
    <n v="2016"/>
    <n v="5"/>
    <s v="TM-3"/>
    <n v="24"/>
    <n v="3324"/>
    <s v="138.5"/>
    <x v="0"/>
    <n v="1.6619999999999999"/>
    <n v="39895.699999999997"/>
    <n v="39.896000000000001"/>
    <d v="2021-06-01T00:00:00"/>
    <x v="0"/>
    <x v="3"/>
  </r>
  <r>
    <x v="9"/>
    <x v="6"/>
    <s v="Juli"/>
    <s v="Division_A"/>
    <x v="36"/>
    <n v="2016"/>
    <n v="5"/>
    <s v="TM-3"/>
    <n v="24"/>
    <n v="3324"/>
    <s v="138.5"/>
    <x v="0"/>
    <n v="1.901"/>
    <n v="45619.199999999997"/>
    <n v="45.619"/>
    <d v="2021-07-01T00:00:00"/>
    <x v="0"/>
    <x v="3"/>
  </r>
  <r>
    <x v="9"/>
    <x v="7"/>
    <s v="Agustus"/>
    <s v="Division_A"/>
    <x v="36"/>
    <n v="2016"/>
    <n v="5"/>
    <s v="TM-3"/>
    <n v="24"/>
    <n v="3324"/>
    <s v="138.5"/>
    <x v="0"/>
    <n v="1.837"/>
    <n v="44098.6"/>
    <n v="44.098999999999997"/>
    <d v="2021-08-01T00:00:00"/>
    <x v="0"/>
    <x v="3"/>
  </r>
  <r>
    <x v="9"/>
    <x v="8"/>
    <s v="September"/>
    <s v="Division_A"/>
    <x v="36"/>
    <n v="2016"/>
    <n v="5"/>
    <s v="TM-3"/>
    <n v="24"/>
    <n v="3324"/>
    <s v="138.5"/>
    <x v="0"/>
    <n v="1.756"/>
    <n v="42134.400000000001"/>
    <n v="42.134"/>
    <d v="2021-09-01T00:00:00"/>
    <x v="0"/>
    <x v="3"/>
  </r>
  <r>
    <x v="9"/>
    <x v="9"/>
    <s v="Oktober"/>
    <s v="Division_A"/>
    <x v="36"/>
    <n v="2016"/>
    <n v="5"/>
    <s v="TM-3"/>
    <n v="24"/>
    <n v="3324"/>
    <s v="138.5"/>
    <x v="0"/>
    <n v="1.8580000000000001"/>
    <n v="44584.3"/>
    <n v="44.584000000000003"/>
    <d v="2021-10-01T00:00:00"/>
    <x v="0"/>
    <x v="3"/>
  </r>
  <r>
    <x v="9"/>
    <x v="10"/>
    <s v="November"/>
    <s v="Division_A"/>
    <x v="36"/>
    <n v="2016"/>
    <n v="5"/>
    <s v="TM-3"/>
    <n v="24"/>
    <n v="3324"/>
    <s v="138.5"/>
    <x v="0"/>
    <n v="1.81"/>
    <n v="43443.8"/>
    <n v="43.444000000000003"/>
    <d v="2021-11-01T00:00:00"/>
    <x v="0"/>
    <x v="3"/>
  </r>
  <r>
    <x v="9"/>
    <x v="11"/>
    <s v="Desember"/>
    <s v="Division_A"/>
    <x v="36"/>
    <n v="2016"/>
    <n v="5"/>
    <s v="TM-3"/>
    <n v="24"/>
    <n v="3324"/>
    <s v="138.5"/>
    <x v="0"/>
    <n v="1.837"/>
    <n v="44077.4"/>
    <n v="44.076999999999998"/>
    <d v="2021-12-01T00:00:00"/>
    <x v="0"/>
    <x v="3"/>
  </r>
  <r>
    <x v="9"/>
    <x v="0"/>
    <s v="Januari"/>
    <s v="Division_A"/>
    <x v="37"/>
    <n v="2016"/>
    <n v="5"/>
    <s v="TM-3"/>
    <n v="20"/>
    <n v="2663"/>
    <s v="133.2"/>
    <x v="0"/>
    <n v="0.55400000000000005"/>
    <n v="11088"/>
    <n v="11.087999999999999"/>
    <d v="2021-01-01T00:00:00"/>
    <x v="0"/>
    <x v="3"/>
  </r>
  <r>
    <x v="9"/>
    <x v="1"/>
    <s v="Februari"/>
    <s v="Division_A"/>
    <x v="37"/>
    <n v="2016"/>
    <n v="5"/>
    <s v="TM-3"/>
    <n v="20"/>
    <n v="2663"/>
    <s v="133.2"/>
    <x v="0"/>
    <n v="0.92"/>
    <n v="18409.599999999999"/>
    <n v="18.41"/>
    <d v="2021-02-01T00:00:00"/>
    <x v="0"/>
    <x v="3"/>
  </r>
  <r>
    <x v="9"/>
    <x v="2"/>
    <s v="Maret"/>
    <s v="Division_A"/>
    <x v="37"/>
    <n v="2016"/>
    <n v="5"/>
    <s v="TM-3"/>
    <n v="20"/>
    <n v="2663"/>
    <s v="133.2"/>
    <x v="0"/>
    <n v="1.5"/>
    <n v="29990.400000000001"/>
    <n v="29.99"/>
    <d v="2021-03-01T00:00:00"/>
    <x v="0"/>
    <x v="3"/>
  </r>
  <r>
    <x v="9"/>
    <x v="3"/>
    <s v="April"/>
    <s v="Division_A"/>
    <x v="37"/>
    <n v="2016"/>
    <n v="5"/>
    <s v="TM-3"/>
    <n v="20"/>
    <n v="2663"/>
    <s v="133.2"/>
    <x v="0"/>
    <n v="1.742"/>
    <n v="34830.400000000001"/>
    <n v="34.83"/>
    <d v="2021-04-01T00:00:00"/>
    <x v="0"/>
    <x v="3"/>
  </r>
  <r>
    <x v="9"/>
    <x v="4"/>
    <s v="Mei"/>
    <s v="Division_A"/>
    <x v="37"/>
    <n v="2016"/>
    <n v="5"/>
    <s v="TM-3"/>
    <n v="20"/>
    <n v="2663"/>
    <s v="133.2"/>
    <x v="0"/>
    <n v="1.6970000000000001"/>
    <n v="33932.800000000003"/>
    <n v="33.933"/>
    <d v="2021-05-01T00:00:00"/>
    <x v="0"/>
    <x v="3"/>
  </r>
  <r>
    <x v="9"/>
    <x v="5"/>
    <s v="Juni"/>
    <s v="Division_A"/>
    <x v="37"/>
    <n v="2016"/>
    <n v="5"/>
    <s v="TM-3"/>
    <n v="20"/>
    <n v="2663"/>
    <s v="133.2"/>
    <x v="0"/>
    <n v="1.6619999999999999"/>
    <n v="33246.400000000001"/>
    <n v="33.246000000000002"/>
    <d v="2021-06-01T00:00:00"/>
    <x v="0"/>
    <x v="3"/>
  </r>
  <r>
    <x v="9"/>
    <x v="6"/>
    <s v="Juli"/>
    <s v="Division_A"/>
    <x v="37"/>
    <n v="2016"/>
    <n v="5"/>
    <s v="TM-3"/>
    <n v="20"/>
    <n v="2663"/>
    <s v="133.2"/>
    <x v="0"/>
    <n v="1.901"/>
    <n v="38016"/>
    <n v="38.015999999999998"/>
    <d v="2021-07-01T00:00:00"/>
    <x v="0"/>
    <x v="3"/>
  </r>
  <r>
    <x v="9"/>
    <x v="7"/>
    <s v="Agustus"/>
    <s v="Division_A"/>
    <x v="37"/>
    <n v="2016"/>
    <n v="5"/>
    <s v="TM-3"/>
    <n v="20"/>
    <n v="2663"/>
    <s v="133.2"/>
    <x v="0"/>
    <n v="1.837"/>
    <n v="36748.800000000003"/>
    <n v="36.749000000000002"/>
    <d v="2021-08-01T00:00:00"/>
    <x v="0"/>
    <x v="3"/>
  </r>
  <r>
    <x v="9"/>
    <x v="8"/>
    <s v="September"/>
    <s v="Division_A"/>
    <x v="37"/>
    <n v="2016"/>
    <n v="5"/>
    <s v="TM-3"/>
    <n v="20"/>
    <n v="2663"/>
    <s v="133.2"/>
    <x v="0"/>
    <n v="1.756"/>
    <n v="35112"/>
    <n v="35.112000000000002"/>
    <d v="2021-09-01T00:00:00"/>
    <x v="0"/>
    <x v="3"/>
  </r>
  <r>
    <x v="9"/>
    <x v="9"/>
    <s v="Oktober"/>
    <s v="Division_A"/>
    <x v="37"/>
    <n v="2016"/>
    <n v="5"/>
    <s v="TM-3"/>
    <n v="20"/>
    <n v="2663"/>
    <s v="133.2"/>
    <x v="0"/>
    <n v="1.8580000000000001"/>
    <n v="37153.599999999999"/>
    <n v="37.154000000000003"/>
    <d v="2021-10-01T00:00:00"/>
    <x v="0"/>
    <x v="3"/>
  </r>
  <r>
    <x v="9"/>
    <x v="10"/>
    <s v="November"/>
    <s v="Division_A"/>
    <x v="37"/>
    <n v="2016"/>
    <n v="5"/>
    <s v="TM-3"/>
    <n v="20"/>
    <n v="2663"/>
    <s v="133.2"/>
    <x v="0"/>
    <n v="1.81"/>
    <n v="36203.199999999997"/>
    <n v="36.203000000000003"/>
    <d v="2021-11-01T00:00:00"/>
    <x v="0"/>
    <x v="3"/>
  </r>
  <r>
    <x v="9"/>
    <x v="11"/>
    <s v="Desember"/>
    <s v="Division_A"/>
    <x v="37"/>
    <n v="2016"/>
    <n v="5"/>
    <s v="TM-3"/>
    <n v="20"/>
    <n v="2663"/>
    <s v="133.2"/>
    <x v="0"/>
    <n v="1.837"/>
    <n v="36731.199999999997"/>
    <n v="36.731000000000002"/>
    <d v="2021-12-01T00:00:00"/>
    <x v="0"/>
    <x v="3"/>
  </r>
  <r>
    <x v="9"/>
    <x v="0"/>
    <s v="Januari"/>
    <s v="Division_A"/>
    <x v="38"/>
    <n v="2016"/>
    <n v="5"/>
    <s v="TM-3"/>
    <n v="14"/>
    <n v="1746"/>
    <s v="124.7"/>
    <x v="0"/>
    <n v="0.55400000000000005"/>
    <n v="7761.6"/>
    <n v="7.7619999999999996"/>
    <d v="2021-01-01T00:00:00"/>
    <x v="0"/>
    <x v="3"/>
  </r>
  <r>
    <x v="9"/>
    <x v="1"/>
    <s v="Februari"/>
    <s v="Division_A"/>
    <x v="38"/>
    <n v="2016"/>
    <n v="5"/>
    <s v="TM-3"/>
    <n v="14"/>
    <n v="1746"/>
    <s v="124.7"/>
    <x v="0"/>
    <n v="0.92"/>
    <n v="12886.7"/>
    <n v="12.887"/>
    <d v="2021-02-01T00:00:00"/>
    <x v="0"/>
    <x v="3"/>
  </r>
  <r>
    <x v="9"/>
    <x v="2"/>
    <s v="Maret"/>
    <s v="Division_A"/>
    <x v="38"/>
    <n v="2016"/>
    <n v="5"/>
    <s v="TM-3"/>
    <n v="14"/>
    <n v="1746"/>
    <s v="124.7"/>
    <x v="0"/>
    <n v="1.5"/>
    <n v="20993.3"/>
    <n v="20.992999999999999"/>
    <d v="2021-03-01T00:00:00"/>
    <x v="0"/>
    <x v="3"/>
  </r>
  <r>
    <x v="9"/>
    <x v="3"/>
    <s v="April"/>
    <s v="Division_A"/>
    <x v="38"/>
    <n v="2016"/>
    <n v="5"/>
    <s v="TM-3"/>
    <n v="14"/>
    <n v="1746"/>
    <s v="124.7"/>
    <x v="0"/>
    <n v="1.742"/>
    <n v="24381.3"/>
    <n v="24.381"/>
    <d v="2021-04-01T00:00:00"/>
    <x v="0"/>
    <x v="3"/>
  </r>
  <r>
    <x v="9"/>
    <x v="4"/>
    <s v="Mei"/>
    <s v="Division_A"/>
    <x v="38"/>
    <n v="2016"/>
    <n v="5"/>
    <s v="TM-3"/>
    <n v="14"/>
    <n v="1746"/>
    <s v="124.7"/>
    <x v="0"/>
    <n v="1.6970000000000001"/>
    <n v="23753"/>
    <n v="23.753"/>
    <d v="2021-05-01T00:00:00"/>
    <x v="0"/>
    <x v="3"/>
  </r>
  <r>
    <x v="9"/>
    <x v="5"/>
    <s v="Juni"/>
    <s v="Division_A"/>
    <x v="38"/>
    <n v="2016"/>
    <n v="5"/>
    <s v="TM-3"/>
    <n v="14"/>
    <n v="1746"/>
    <s v="124.7"/>
    <x v="0"/>
    <n v="1.6619999999999999"/>
    <n v="23272.5"/>
    <n v="23.271999999999998"/>
    <d v="2021-06-01T00:00:00"/>
    <x v="0"/>
    <x v="3"/>
  </r>
  <r>
    <x v="9"/>
    <x v="6"/>
    <s v="Juli"/>
    <s v="Division_A"/>
    <x v="38"/>
    <n v="2016"/>
    <n v="5"/>
    <s v="TM-3"/>
    <n v="14"/>
    <n v="1746"/>
    <s v="124.7"/>
    <x v="0"/>
    <n v="1.901"/>
    <n v="26611.200000000001"/>
    <n v="26.611000000000001"/>
    <d v="2021-07-01T00:00:00"/>
    <x v="0"/>
    <x v="3"/>
  </r>
  <r>
    <x v="9"/>
    <x v="7"/>
    <s v="Agustus"/>
    <s v="Division_A"/>
    <x v="38"/>
    <n v="2016"/>
    <n v="5"/>
    <s v="TM-3"/>
    <n v="14"/>
    <n v="1746"/>
    <s v="124.7"/>
    <x v="0"/>
    <n v="1.837"/>
    <n v="25724.2"/>
    <n v="25.724"/>
    <d v="2021-08-01T00:00:00"/>
    <x v="0"/>
    <x v="3"/>
  </r>
  <r>
    <x v="9"/>
    <x v="8"/>
    <s v="September"/>
    <s v="Division_A"/>
    <x v="38"/>
    <n v="2016"/>
    <n v="5"/>
    <s v="TM-3"/>
    <n v="14"/>
    <n v="1746"/>
    <s v="124.7"/>
    <x v="0"/>
    <n v="1.756"/>
    <n v="24578.400000000001"/>
    <n v="24.577999999999999"/>
    <d v="2021-09-01T00:00:00"/>
    <x v="0"/>
    <x v="3"/>
  </r>
  <r>
    <x v="9"/>
    <x v="9"/>
    <s v="Oktober"/>
    <s v="Division_A"/>
    <x v="38"/>
    <n v="2016"/>
    <n v="5"/>
    <s v="TM-3"/>
    <n v="14"/>
    <n v="1746"/>
    <s v="124.7"/>
    <x v="0"/>
    <n v="1.8580000000000001"/>
    <n v="26007.5"/>
    <n v="26.007999999999999"/>
    <d v="2021-10-01T00:00:00"/>
    <x v="0"/>
    <x v="3"/>
  </r>
  <r>
    <x v="9"/>
    <x v="10"/>
    <s v="November"/>
    <s v="Division_A"/>
    <x v="38"/>
    <n v="2016"/>
    <n v="5"/>
    <s v="TM-3"/>
    <n v="14"/>
    <n v="1746"/>
    <s v="124.7"/>
    <x v="0"/>
    <n v="1.81"/>
    <n v="25342.2"/>
    <n v="25.341999999999999"/>
    <d v="2021-11-01T00:00:00"/>
    <x v="0"/>
    <x v="3"/>
  </r>
  <r>
    <x v="9"/>
    <x v="11"/>
    <s v="Desember"/>
    <s v="Division_A"/>
    <x v="38"/>
    <n v="2016"/>
    <n v="5"/>
    <s v="TM-3"/>
    <n v="14"/>
    <n v="1746"/>
    <s v="124.7"/>
    <x v="0"/>
    <n v="1.837"/>
    <n v="25711.8"/>
    <n v="25.712"/>
    <d v="2021-12-01T00:00:00"/>
    <x v="0"/>
    <x v="3"/>
  </r>
  <r>
    <x v="9"/>
    <x v="0"/>
    <s v="Januari"/>
    <s v="Division_A"/>
    <x v="39"/>
    <n v="2016"/>
    <n v="5"/>
    <s v="TM-3"/>
    <n v="24"/>
    <n v="3377"/>
    <s v="140.7"/>
    <x v="0"/>
    <n v="0.55400000000000005"/>
    <n v="13305.6"/>
    <n v="13.305999999999999"/>
    <d v="2021-01-01T00:00:00"/>
    <x v="0"/>
    <x v="3"/>
  </r>
  <r>
    <x v="9"/>
    <x v="1"/>
    <s v="Februari"/>
    <s v="Division_A"/>
    <x v="39"/>
    <n v="2016"/>
    <n v="5"/>
    <s v="TM-3"/>
    <n v="24"/>
    <n v="3377"/>
    <s v="140.7"/>
    <x v="0"/>
    <n v="0.92"/>
    <n v="22091.5"/>
    <n v="22.091999999999999"/>
    <d v="2021-02-01T00:00:00"/>
    <x v="0"/>
    <x v="3"/>
  </r>
  <r>
    <x v="9"/>
    <x v="2"/>
    <s v="Maret"/>
    <s v="Division_A"/>
    <x v="39"/>
    <n v="2016"/>
    <n v="5"/>
    <s v="TM-3"/>
    <n v="24"/>
    <n v="3377"/>
    <s v="140.7"/>
    <x v="0"/>
    <n v="1.5"/>
    <n v="35988.5"/>
    <n v="35.988"/>
    <d v="2021-03-01T00:00:00"/>
    <x v="0"/>
    <x v="3"/>
  </r>
  <r>
    <x v="9"/>
    <x v="3"/>
    <s v="April"/>
    <s v="Division_A"/>
    <x v="39"/>
    <n v="2016"/>
    <n v="5"/>
    <s v="TM-3"/>
    <n v="24"/>
    <n v="3377"/>
    <s v="140.7"/>
    <x v="0"/>
    <n v="1.742"/>
    <n v="41796.5"/>
    <n v="41.795999999999999"/>
    <d v="2021-04-01T00:00:00"/>
    <x v="0"/>
    <x v="3"/>
  </r>
  <r>
    <x v="9"/>
    <x v="4"/>
    <s v="Mei"/>
    <s v="Division_A"/>
    <x v="39"/>
    <n v="2016"/>
    <n v="5"/>
    <s v="TM-3"/>
    <n v="24"/>
    <n v="3377"/>
    <s v="140.7"/>
    <x v="0"/>
    <n v="1.6970000000000001"/>
    <n v="40719.4"/>
    <n v="40.719000000000001"/>
    <d v="2021-05-01T00:00:00"/>
    <x v="0"/>
    <x v="3"/>
  </r>
  <r>
    <x v="9"/>
    <x v="5"/>
    <s v="Juni"/>
    <s v="Division_A"/>
    <x v="39"/>
    <n v="2016"/>
    <n v="5"/>
    <s v="TM-3"/>
    <n v="24"/>
    <n v="3377"/>
    <s v="140.7"/>
    <x v="0"/>
    <n v="1.6619999999999999"/>
    <n v="39895.699999999997"/>
    <n v="39.896000000000001"/>
    <d v="2021-06-01T00:00:00"/>
    <x v="0"/>
    <x v="3"/>
  </r>
  <r>
    <x v="9"/>
    <x v="6"/>
    <s v="Juli"/>
    <s v="Division_A"/>
    <x v="39"/>
    <n v="2016"/>
    <n v="5"/>
    <s v="TM-3"/>
    <n v="24"/>
    <n v="3377"/>
    <s v="140.7"/>
    <x v="0"/>
    <n v="1.901"/>
    <n v="45619.199999999997"/>
    <n v="45.619"/>
    <d v="2021-07-01T00:00:00"/>
    <x v="0"/>
    <x v="3"/>
  </r>
  <r>
    <x v="9"/>
    <x v="7"/>
    <s v="Agustus"/>
    <s v="Division_A"/>
    <x v="39"/>
    <n v="2016"/>
    <n v="5"/>
    <s v="TM-3"/>
    <n v="24"/>
    <n v="3377"/>
    <s v="140.7"/>
    <x v="0"/>
    <n v="1.837"/>
    <n v="44098.6"/>
    <n v="44.098999999999997"/>
    <d v="2021-08-01T00:00:00"/>
    <x v="0"/>
    <x v="3"/>
  </r>
  <r>
    <x v="9"/>
    <x v="8"/>
    <s v="September"/>
    <s v="Division_A"/>
    <x v="39"/>
    <n v="2016"/>
    <n v="5"/>
    <s v="TM-3"/>
    <n v="24"/>
    <n v="3377"/>
    <s v="140.7"/>
    <x v="0"/>
    <n v="1.756"/>
    <n v="42134.400000000001"/>
    <n v="42.134"/>
    <d v="2021-09-01T00:00:00"/>
    <x v="0"/>
    <x v="3"/>
  </r>
  <r>
    <x v="9"/>
    <x v="9"/>
    <s v="Oktober"/>
    <s v="Division_A"/>
    <x v="39"/>
    <n v="2016"/>
    <n v="5"/>
    <s v="TM-3"/>
    <n v="24"/>
    <n v="3377"/>
    <s v="140.7"/>
    <x v="0"/>
    <n v="1.8580000000000001"/>
    <n v="44584.3"/>
    <n v="44.584000000000003"/>
    <d v="2021-10-01T00:00:00"/>
    <x v="0"/>
    <x v="3"/>
  </r>
  <r>
    <x v="9"/>
    <x v="10"/>
    <s v="November"/>
    <s v="Division_A"/>
    <x v="39"/>
    <n v="2016"/>
    <n v="5"/>
    <s v="TM-3"/>
    <n v="24"/>
    <n v="3377"/>
    <s v="140.7"/>
    <x v="0"/>
    <n v="1.81"/>
    <n v="43443.8"/>
    <n v="43.444000000000003"/>
    <d v="2021-11-01T00:00:00"/>
    <x v="0"/>
    <x v="3"/>
  </r>
  <r>
    <x v="9"/>
    <x v="11"/>
    <s v="Desember"/>
    <s v="Division_A"/>
    <x v="39"/>
    <n v="2016"/>
    <n v="5"/>
    <s v="TM-3"/>
    <n v="24"/>
    <n v="3377"/>
    <s v="140.7"/>
    <x v="0"/>
    <n v="1.837"/>
    <n v="44077.4"/>
    <n v="44.076999999999998"/>
    <d v="2021-12-01T00:00:00"/>
    <x v="0"/>
    <x v="3"/>
  </r>
  <r>
    <x v="9"/>
    <x v="0"/>
    <s v="Januari"/>
    <s v="Division_A"/>
    <x v="40"/>
    <n v="2016"/>
    <n v="5"/>
    <s v="TM-3"/>
    <n v="25"/>
    <n v="3431"/>
    <s v="137.2"/>
    <x v="0"/>
    <n v="0.55400000000000005"/>
    <n v="13860"/>
    <n v="13.86"/>
    <d v="2021-01-01T00:00:00"/>
    <x v="0"/>
    <x v="3"/>
  </r>
  <r>
    <x v="9"/>
    <x v="1"/>
    <s v="Februari"/>
    <s v="Division_A"/>
    <x v="40"/>
    <n v="2016"/>
    <n v="5"/>
    <s v="TM-3"/>
    <n v="25"/>
    <n v="3431"/>
    <s v="137.2"/>
    <x v="0"/>
    <n v="0.92"/>
    <n v="23012"/>
    <n v="23.012"/>
    <d v="2021-02-01T00:00:00"/>
    <x v="0"/>
    <x v="3"/>
  </r>
  <r>
    <x v="9"/>
    <x v="2"/>
    <s v="Maret"/>
    <s v="Division_A"/>
    <x v="40"/>
    <n v="2016"/>
    <n v="5"/>
    <s v="TM-3"/>
    <n v="25"/>
    <n v="3431"/>
    <s v="137.2"/>
    <x v="0"/>
    <n v="1.5"/>
    <n v="37488"/>
    <n v="37.488"/>
    <d v="2021-03-01T00:00:00"/>
    <x v="0"/>
    <x v="3"/>
  </r>
  <r>
    <x v="9"/>
    <x v="3"/>
    <s v="April"/>
    <s v="Division_A"/>
    <x v="40"/>
    <n v="2016"/>
    <n v="5"/>
    <s v="TM-3"/>
    <n v="25"/>
    <n v="3431"/>
    <s v="137.2"/>
    <x v="0"/>
    <n v="1.742"/>
    <n v="43538"/>
    <n v="43.537999999999997"/>
    <d v="2021-04-01T00:00:00"/>
    <x v="0"/>
    <x v="3"/>
  </r>
  <r>
    <x v="9"/>
    <x v="4"/>
    <s v="Mei"/>
    <s v="Division_A"/>
    <x v="40"/>
    <n v="2016"/>
    <n v="5"/>
    <s v="TM-3"/>
    <n v="25"/>
    <n v="3431"/>
    <s v="137.2"/>
    <x v="0"/>
    <n v="1.6970000000000001"/>
    <n v="42416"/>
    <n v="42.415999999999997"/>
    <d v="2021-05-01T00:00:00"/>
    <x v="0"/>
    <x v="3"/>
  </r>
  <r>
    <x v="9"/>
    <x v="5"/>
    <s v="Juni"/>
    <s v="Division_A"/>
    <x v="40"/>
    <n v="2016"/>
    <n v="5"/>
    <s v="TM-3"/>
    <n v="25"/>
    <n v="3431"/>
    <s v="137.2"/>
    <x v="0"/>
    <n v="1.6619999999999999"/>
    <n v="41558"/>
    <n v="41.558"/>
    <d v="2021-06-01T00:00:00"/>
    <x v="0"/>
    <x v="3"/>
  </r>
  <r>
    <x v="9"/>
    <x v="6"/>
    <s v="Juli"/>
    <s v="Division_A"/>
    <x v="40"/>
    <n v="2016"/>
    <n v="5"/>
    <s v="TM-3"/>
    <n v="25"/>
    <n v="3431"/>
    <s v="137.2"/>
    <x v="0"/>
    <n v="1.901"/>
    <n v="47520"/>
    <n v="47.52"/>
    <d v="2021-07-01T00:00:00"/>
    <x v="0"/>
    <x v="3"/>
  </r>
  <r>
    <x v="9"/>
    <x v="7"/>
    <s v="Agustus"/>
    <s v="Division_A"/>
    <x v="40"/>
    <n v="2016"/>
    <n v="5"/>
    <s v="TM-3"/>
    <n v="25"/>
    <n v="3431"/>
    <s v="137.2"/>
    <x v="0"/>
    <n v="1.837"/>
    <n v="45936"/>
    <n v="45.936"/>
    <d v="2021-08-01T00:00:00"/>
    <x v="0"/>
    <x v="3"/>
  </r>
  <r>
    <x v="9"/>
    <x v="8"/>
    <s v="September"/>
    <s v="Division_A"/>
    <x v="40"/>
    <n v="2016"/>
    <n v="5"/>
    <s v="TM-3"/>
    <n v="25"/>
    <n v="3431"/>
    <s v="137.2"/>
    <x v="0"/>
    <n v="1.756"/>
    <n v="43890"/>
    <n v="43.89"/>
    <d v="2021-09-01T00:00:00"/>
    <x v="0"/>
    <x v="3"/>
  </r>
  <r>
    <x v="9"/>
    <x v="9"/>
    <s v="Oktober"/>
    <s v="Division_A"/>
    <x v="40"/>
    <n v="2016"/>
    <n v="5"/>
    <s v="TM-3"/>
    <n v="25"/>
    <n v="3431"/>
    <s v="137.2"/>
    <x v="0"/>
    <n v="1.8580000000000001"/>
    <n v="46442"/>
    <n v="46.442"/>
    <d v="2021-10-01T00:00:00"/>
    <x v="0"/>
    <x v="3"/>
  </r>
  <r>
    <x v="9"/>
    <x v="10"/>
    <s v="November"/>
    <s v="Division_A"/>
    <x v="40"/>
    <n v="2016"/>
    <n v="5"/>
    <s v="TM-3"/>
    <n v="25"/>
    <n v="3431"/>
    <s v="137.2"/>
    <x v="0"/>
    <n v="1.81"/>
    <n v="45254"/>
    <n v="45.253999999999998"/>
    <d v="2021-11-01T00:00:00"/>
    <x v="0"/>
    <x v="3"/>
  </r>
  <r>
    <x v="9"/>
    <x v="11"/>
    <s v="Desember"/>
    <s v="Division_A"/>
    <x v="40"/>
    <n v="2016"/>
    <n v="5"/>
    <s v="TM-3"/>
    <n v="25"/>
    <n v="3431"/>
    <s v="137.2"/>
    <x v="0"/>
    <n v="1.837"/>
    <n v="45914"/>
    <n v="45.914000000000001"/>
    <d v="2021-12-01T00:00:00"/>
    <x v="0"/>
    <x v="3"/>
  </r>
  <r>
    <x v="9"/>
    <x v="0"/>
    <s v="Januari"/>
    <s v="Division_A"/>
    <x v="41"/>
    <n v="2016"/>
    <n v="5"/>
    <s v="TM-3"/>
    <n v="21"/>
    <n v="2901"/>
    <s v="138.1"/>
    <x v="0"/>
    <n v="0.55400000000000005"/>
    <n v="11642.4"/>
    <n v="11.641999999999999"/>
    <d v="2021-01-01T00:00:00"/>
    <x v="0"/>
    <x v="3"/>
  </r>
  <r>
    <x v="9"/>
    <x v="1"/>
    <s v="Februari"/>
    <s v="Division_A"/>
    <x v="41"/>
    <n v="2016"/>
    <n v="5"/>
    <s v="TM-3"/>
    <n v="21"/>
    <n v="2901"/>
    <s v="138.1"/>
    <x v="0"/>
    <n v="0.92"/>
    <n v="19330.099999999999"/>
    <n v="19.329999999999998"/>
    <d v="2021-02-01T00:00:00"/>
    <x v="0"/>
    <x v="3"/>
  </r>
  <r>
    <x v="9"/>
    <x v="2"/>
    <s v="Maret"/>
    <s v="Division_A"/>
    <x v="41"/>
    <n v="2016"/>
    <n v="5"/>
    <s v="TM-3"/>
    <n v="21"/>
    <n v="2901"/>
    <s v="138.1"/>
    <x v="0"/>
    <n v="1.5"/>
    <n v="31489.9"/>
    <n v="31.49"/>
    <d v="2021-03-01T00:00:00"/>
    <x v="0"/>
    <x v="3"/>
  </r>
  <r>
    <x v="9"/>
    <x v="3"/>
    <s v="April"/>
    <s v="Division_A"/>
    <x v="41"/>
    <n v="2016"/>
    <n v="5"/>
    <s v="TM-3"/>
    <n v="21"/>
    <n v="2901"/>
    <s v="138.1"/>
    <x v="0"/>
    <n v="1.742"/>
    <n v="36571.9"/>
    <n v="36.572000000000003"/>
    <d v="2021-04-01T00:00:00"/>
    <x v="0"/>
    <x v="3"/>
  </r>
  <r>
    <x v="9"/>
    <x v="4"/>
    <s v="Mei"/>
    <s v="Division_A"/>
    <x v="41"/>
    <n v="2016"/>
    <n v="5"/>
    <s v="TM-3"/>
    <n v="21"/>
    <n v="2901"/>
    <s v="138.1"/>
    <x v="0"/>
    <n v="1.6970000000000001"/>
    <n v="35629.4"/>
    <n v="35.628999999999998"/>
    <d v="2021-05-01T00:00:00"/>
    <x v="0"/>
    <x v="3"/>
  </r>
  <r>
    <x v="9"/>
    <x v="5"/>
    <s v="Juni"/>
    <s v="Division_A"/>
    <x v="41"/>
    <n v="2016"/>
    <n v="5"/>
    <s v="TM-3"/>
    <n v="21"/>
    <n v="2901"/>
    <s v="138.1"/>
    <x v="0"/>
    <n v="1.6619999999999999"/>
    <n v="34908.699999999997"/>
    <n v="34.908999999999999"/>
    <d v="2021-06-01T00:00:00"/>
    <x v="0"/>
    <x v="3"/>
  </r>
  <r>
    <x v="9"/>
    <x v="6"/>
    <s v="Juli"/>
    <s v="Division_A"/>
    <x v="41"/>
    <n v="2016"/>
    <n v="5"/>
    <s v="TM-3"/>
    <n v="21"/>
    <n v="2901"/>
    <s v="138.1"/>
    <x v="0"/>
    <n v="1.901"/>
    <n v="39916.800000000003"/>
    <n v="39.917000000000002"/>
    <d v="2021-07-01T00:00:00"/>
    <x v="0"/>
    <x v="3"/>
  </r>
  <r>
    <x v="9"/>
    <x v="7"/>
    <s v="Agustus"/>
    <s v="Division_A"/>
    <x v="41"/>
    <n v="2016"/>
    <n v="5"/>
    <s v="TM-3"/>
    <n v="21"/>
    <n v="2901"/>
    <s v="138.1"/>
    <x v="0"/>
    <n v="1.837"/>
    <n v="38586.199999999997"/>
    <n v="38.585999999999999"/>
    <d v="2021-08-01T00:00:00"/>
    <x v="0"/>
    <x v="3"/>
  </r>
  <r>
    <x v="9"/>
    <x v="8"/>
    <s v="September"/>
    <s v="Division_A"/>
    <x v="41"/>
    <n v="2016"/>
    <n v="5"/>
    <s v="TM-3"/>
    <n v="21"/>
    <n v="2901"/>
    <s v="138.1"/>
    <x v="0"/>
    <n v="1.756"/>
    <n v="36867.599999999999"/>
    <n v="36.868000000000002"/>
    <d v="2021-09-01T00:00:00"/>
    <x v="0"/>
    <x v="3"/>
  </r>
  <r>
    <x v="9"/>
    <x v="9"/>
    <s v="Oktober"/>
    <s v="Division_A"/>
    <x v="41"/>
    <n v="2016"/>
    <n v="5"/>
    <s v="TM-3"/>
    <n v="21"/>
    <n v="2901"/>
    <s v="138.1"/>
    <x v="0"/>
    <n v="1.8580000000000001"/>
    <n v="39011.300000000003"/>
    <n v="39.011000000000003"/>
    <d v="2021-10-01T00:00:00"/>
    <x v="0"/>
    <x v="3"/>
  </r>
  <r>
    <x v="9"/>
    <x v="10"/>
    <s v="November"/>
    <s v="Division_A"/>
    <x v="41"/>
    <n v="2016"/>
    <n v="5"/>
    <s v="TM-3"/>
    <n v="21"/>
    <n v="2901"/>
    <s v="138.1"/>
    <x v="0"/>
    <n v="1.81"/>
    <n v="38013.4"/>
    <n v="38.012999999999998"/>
    <d v="2021-11-01T00:00:00"/>
    <x v="0"/>
    <x v="3"/>
  </r>
  <r>
    <x v="9"/>
    <x v="11"/>
    <s v="Desember"/>
    <s v="Division_A"/>
    <x v="41"/>
    <n v="2016"/>
    <n v="5"/>
    <s v="TM-3"/>
    <n v="21"/>
    <n v="2901"/>
    <s v="138.1"/>
    <x v="0"/>
    <n v="1.837"/>
    <n v="38567.800000000003"/>
    <n v="38.567999999999998"/>
    <d v="2021-12-01T00:00:00"/>
    <x v="0"/>
    <x v="3"/>
  </r>
  <r>
    <x v="10"/>
    <x v="0"/>
    <s v="Januari"/>
    <s v="Division_A"/>
    <x v="0"/>
    <n v="2000"/>
    <n v="22"/>
    <s v="TM-Tua"/>
    <n v="19"/>
    <n v="1490"/>
    <s v="78.4"/>
    <x v="0"/>
    <n v="0.252"/>
    <n v="4782.3999999999996"/>
    <n v="4.782"/>
    <d v="2022-01-01T00:00:00"/>
    <x v="0"/>
    <x v="4"/>
  </r>
  <r>
    <x v="10"/>
    <x v="1"/>
    <s v="Februari"/>
    <s v="Division_A"/>
    <x v="0"/>
    <n v="2000"/>
    <n v="22"/>
    <s v="TM-Tua"/>
    <n v="19"/>
    <n v="1490"/>
    <s v="78.4"/>
    <x v="0"/>
    <n v="0.90500000000000003"/>
    <n v="17188.2"/>
    <n v="17.187999999999999"/>
    <d v="2022-02-01T00:00:00"/>
    <x v="0"/>
    <x v="4"/>
  </r>
  <r>
    <x v="10"/>
    <x v="2"/>
    <s v="Maret"/>
    <s v="Division_A"/>
    <x v="0"/>
    <n v="2000"/>
    <n v="22"/>
    <s v="TM-Tua"/>
    <n v="19"/>
    <n v="1490"/>
    <s v="78.4"/>
    <x v="0"/>
    <n v="1.0840000000000001"/>
    <n v="20595.5"/>
    <n v="20.596"/>
    <d v="2022-03-01T00:00:00"/>
    <x v="0"/>
    <x v="4"/>
  </r>
  <r>
    <x v="10"/>
    <x v="3"/>
    <s v="April"/>
    <s v="Division_A"/>
    <x v="0"/>
    <n v="2000"/>
    <n v="22"/>
    <s v="TM-Tua"/>
    <n v="19"/>
    <n v="1490"/>
    <s v="78.4"/>
    <x v="0"/>
    <n v="1.2390000000000001"/>
    <n v="23547.9"/>
    <n v="23.547999999999998"/>
    <d v="2022-04-01T00:00:00"/>
    <x v="0"/>
    <x v="4"/>
  </r>
  <r>
    <x v="10"/>
    <x v="4"/>
    <s v="Mei"/>
    <s v="Division_A"/>
    <x v="0"/>
    <n v="2000"/>
    <n v="22"/>
    <s v="TM-Tua"/>
    <n v="19"/>
    <n v="1490"/>
    <s v="78.4"/>
    <x v="0"/>
    <n v="1.1379999999999999"/>
    <n v="21626.799999999999"/>
    <n v="21.626999999999999"/>
    <d v="2022-05-01T00:00:00"/>
    <x v="0"/>
    <x v="4"/>
  </r>
  <r>
    <x v="10"/>
    <x v="5"/>
    <s v="Juni"/>
    <s v="Division_A"/>
    <x v="0"/>
    <n v="2000"/>
    <n v="22"/>
    <s v="TM-Tua"/>
    <n v="19"/>
    <n v="1490"/>
    <s v="78.4"/>
    <x v="0"/>
    <n v="1.254"/>
    <n v="23831"/>
    <n v="23.831"/>
    <d v="2022-06-01T00:00:00"/>
    <x v="0"/>
    <x v="4"/>
  </r>
  <r>
    <x v="10"/>
    <x v="6"/>
    <s v="Juli"/>
    <s v="Division_A"/>
    <x v="0"/>
    <n v="2000"/>
    <n v="22"/>
    <s v="TM-Tua"/>
    <n v="19"/>
    <n v="1490"/>
    <s v="78.4"/>
    <x v="0"/>
    <n v="0.72899999999999998"/>
    <n v="13851.7"/>
    <n v="13.852"/>
    <d v="2022-07-01T00:00:00"/>
    <x v="0"/>
    <x v="4"/>
  </r>
  <r>
    <x v="10"/>
    <x v="7"/>
    <s v="Agustus"/>
    <s v="Division_A"/>
    <x v="0"/>
    <n v="2000"/>
    <n v="22"/>
    <s v="TM-Tua"/>
    <n v="19"/>
    <n v="1490"/>
    <s v="78.4"/>
    <x v="0"/>
    <n v="1.2310000000000001"/>
    <n v="23396.2"/>
    <n v="23.396000000000001"/>
    <d v="2022-08-01T00:00:00"/>
    <x v="0"/>
    <x v="4"/>
  </r>
  <r>
    <x v="10"/>
    <x v="8"/>
    <s v="September"/>
    <s v="Division_A"/>
    <x v="0"/>
    <n v="2000"/>
    <n v="22"/>
    <s v="TM-Tua"/>
    <n v="19"/>
    <n v="1490"/>
    <s v="78.4"/>
    <x v="0"/>
    <n v="1.329"/>
    <n v="25246.5"/>
    <n v="25.245999999999999"/>
    <d v="2022-09-01T00:00:00"/>
    <x v="0"/>
    <x v="4"/>
  </r>
  <r>
    <x v="10"/>
    <x v="9"/>
    <s v="Oktober"/>
    <s v="Division_A"/>
    <x v="0"/>
    <n v="2000"/>
    <n v="22"/>
    <s v="TM-Tua"/>
    <n v="19"/>
    <n v="1490"/>
    <s v="78.4"/>
    <x v="0"/>
    <n v="1.262"/>
    <n v="23972.5"/>
    <n v="23.972999999999999"/>
    <d v="2022-10-01T00:00:00"/>
    <x v="0"/>
    <x v="4"/>
  </r>
  <r>
    <x v="10"/>
    <x v="10"/>
    <s v="November"/>
    <s v="Division_A"/>
    <x v="0"/>
    <n v="2000"/>
    <n v="22"/>
    <s v="TM-Tua"/>
    <n v="19"/>
    <n v="1490"/>
    <s v="78.4"/>
    <x v="0"/>
    <n v="1.129"/>
    <n v="21454.9"/>
    <n v="21.454999999999998"/>
    <d v="2022-11-01T00:00:00"/>
    <x v="0"/>
    <x v="4"/>
  </r>
  <r>
    <x v="10"/>
    <x v="11"/>
    <s v="Desember"/>
    <s v="Division_A"/>
    <x v="0"/>
    <n v="2000"/>
    <n v="22"/>
    <s v="TM-Tua"/>
    <n v="19"/>
    <n v="1490"/>
    <s v="78.4"/>
    <x v="0"/>
    <n v="1.143"/>
    <n v="21707.7"/>
    <n v="21.707999999999998"/>
    <d v="2022-12-01T00:00:00"/>
    <x v="0"/>
    <x v="4"/>
  </r>
  <r>
    <x v="10"/>
    <x v="0"/>
    <s v="Januari"/>
    <s v="Division_A"/>
    <x v="1"/>
    <n v="2000"/>
    <n v="22"/>
    <s v="TM-Tua"/>
    <n v="24"/>
    <n v="1675"/>
    <s v="69.8"/>
    <x v="0"/>
    <n v="0.224"/>
    <n v="5376.2"/>
    <n v="5.3760000000000003"/>
    <d v="2022-01-01T00:00:00"/>
    <x v="0"/>
    <x v="4"/>
  </r>
  <r>
    <x v="10"/>
    <x v="1"/>
    <s v="Februari"/>
    <s v="Division_A"/>
    <x v="1"/>
    <n v="2000"/>
    <n v="22"/>
    <s v="TM-Tua"/>
    <n v="24"/>
    <n v="1675"/>
    <s v="69.8"/>
    <x v="0"/>
    <n v="0.80500000000000005"/>
    <n v="19322.3"/>
    <n v="19.321999999999999"/>
    <d v="2022-02-01T00:00:00"/>
    <x v="0"/>
    <x v="4"/>
  </r>
  <r>
    <x v="10"/>
    <x v="2"/>
    <s v="Maret"/>
    <s v="Division_A"/>
    <x v="1"/>
    <n v="2000"/>
    <n v="22"/>
    <s v="TM-Tua"/>
    <n v="24"/>
    <n v="1675"/>
    <s v="69.8"/>
    <x v="0"/>
    <n v="0.96499999999999997"/>
    <n v="23152.7"/>
    <n v="23.152999999999999"/>
    <d v="2022-03-01T00:00:00"/>
    <x v="0"/>
    <x v="4"/>
  </r>
  <r>
    <x v="10"/>
    <x v="3"/>
    <s v="April"/>
    <s v="Division_A"/>
    <x v="1"/>
    <n v="2000"/>
    <n v="22"/>
    <s v="TM-Tua"/>
    <n v="24"/>
    <n v="1675"/>
    <s v="69.8"/>
    <x v="0"/>
    <n v="1.103"/>
    <n v="26471.599999999999"/>
    <n v="26.472000000000001"/>
    <d v="2022-04-01T00:00:00"/>
    <x v="0"/>
    <x v="4"/>
  </r>
  <r>
    <x v="10"/>
    <x v="4"/>
    <s v="Mei"/>
    <s v="Division_A"/>
    <x v="1"/>
    <n v="2000"/>
    <n v="22"/>
    <s v="TM-Tua"/>
    <n v="24"/>
    <n v="1675"/>
    <s v="69.8"/>
    <x v="0"/>
    <n v="1.0129999999999999"/>
    <n v="24312"/>
    <n v="24.312000000000001"/>
    <d v="2022-05-01T00:00:00"/>
    <x v="0"/>
    <x v="4"/>
  </r>
  <r>
    <x v="10"/>
    <x v="5"/>
    <s v="Juni"/>
    <s v="Division_A"/>
    <x v="1"/>
    <n v="2000"/>
    <n v="22"/>
    <s v="TM-Tua"/>
    <n v="24"/>
    <n v="1675"/>
    <s v="69.8"/>
    <x v="0"/>
    <n v="1.1160000000000001"/>
    <n v="26789.8"/>
    <n v="26.79"/>
    <d v="2022-06-01T00:00:00"/>
    <x v="0"/>
    <x v="4"/>
  </r>
  <r>
    <x v="10"/>
    <x v="6"/>
    <s v="Juli"/>
    <s v="Division_A"/>
    <x v="1"/>
    <n v="2000"/>
    <n v="22"/>
    <s v="TM-Tua"/>
    <n v="24"/>
    <n v="1675"/>
    <s v="69.8"/>
    <x v="0"/>
    <n v="0.64900000000000002"/>
    <n v="15571.5"/>
    <n v="15.571999999999999"/>
    <d v="2022-07-01T00:00:00"/>
    <x v="0"/>
    <x v="4"/>
  </r>
  <r>
    <x v="10"/>
    <x v="7"/>
    <s v="Agustus"/>
    <s v="Division_A"/>
    <x v="1"/>
    <n v="2000"/>
    <n v="22"/>
    <s v="TM-Tua"/>
    <n v="24"/>
    <n v="1675"/>
    <s v="69.8"/>
    <x v="0"/>
    <n v="1.0960000000000001"/>
    <n v="26301.1"/>
    <n v="26.300999999999998"/>
    <d v="2022-08-01T00:00:00"/>
    <x v="0"/>
    <x v="4"/>
  </r>
  <r>
    <x v="10"/>
    <x v="8"/>
    <s v="September"/>
    <s v="Division_A"/>
    <x v="1"/>
    <n v="2000"/>
    <n v="22"/>
    <s v="TM-Tua"/>
    <n v="24"/>
    <n v="1675"/>
    <s v="69.8"/>
    <x v="0"/>
    <n v="1.1830000000000001"/>
    <n v="28381.1"/>
    <n v="28.381"/>
    <d v="2022-09-01T00:00:00"/>
    <x v="0"/>
    <x v="4"/>
  </r>
  <r>
    <x v="10"/>
    <x v="9"/>
    <s v="Oktober"/>
    <s v="Division_A"/>
    <x v="1"/>
    <n v="2000"/>
    <n v="22"/>
    <s v="TM-Tua"/>
    <n v="24"/>
    <n v="1675"/>
    <s v="69.8"/>
    <x v="0"/>
    <n v="1.123"/>
    <n v="26949"/>
    <n v="26.949000000000002"/>
    <d v="2022-10-01T00:00:00"/>
    <x v="0"/>
    <x v="4"/>
  </r>
  <r>
    <x v="10"/>
    <x v="10"/>
    <s v="November"/>
    <s v="Division_A"/>
    <x v="1"/>
    <n v="2000"/>
    <n v="22"/>
    <s v="TM-Tua"/>
    <n v="24"/>
    <n v="1675"/>
    <s v="69.8"/>
    <x v="0"/>
    <n v="1.0049999999999999"/>
    <n v="24118.799999999999"/>
    <n v="24.119"/>
    <d v="2022-11-01T00:00:00"/>
    <x v="0"/>
    <x v="4"/>
  </r>
  <r>
    <x v="10"/>
    <x v="11"/>
    <s v="Desember"/>
    <s v="Division_A"/>
    <x v="1"/>
    <n v="2000"/>
    <n v="22"/>
    <s v="TM-Tua"/>
    <n v="24"/>
    <n v="1675"/>
    <s v="69.8"/>
    <x v="0"/>
    <n v="1.0169999999999999"/>
    <n v="24403"/>
    <n v="24.402999999999999"/>
    <d v="2022-12-01T00:00:00"/>
    <x v="0"/>
    <x v="4"/>
  </r>
  <r>
    <x v="10"/>
    <x v="0"/>
    <s v="Januari"/>
    <s v="Division_A"/>
    <x v="2"/>
    <n v="2005"/>
    <n v="17"/>
    <s v="TM-Tua"/>
    <n v="18"/>
    <n v="1922"/>
    <s v="106.8"/>
    <x v="0"/>
    <n v="0.34300000000000003"/>
    <n v="6168.9"/>
    <n v="6.1689999999999996"/>
    <d v="2022-01-01T00:00:00"/>
    <x v="0"/>
    <x v="4"/>
  </r>
  <r>
    <x v="10"/>
    <x v="1"/>
    <s v="Februari"/>
    <s v="Division_A"/>
    <x v="2"/>
    <n v="2005"/>
    <n v="17"/>
    <s v="TM-Tua"/>
    <n v="18"/>
    <n v="1922"/>
    <s v="106.8"/>
    <x v="0"/>
    <n v="1.232"/>
    <n v="22171.599999999999"/>
    <n v="22.172000000000001"/>
    <d v="2022-02-01T00:00:00"/>
    <x v="0"/>
    <x v="4"/>
  </r>
  <r>
    <x v="10"/>
    <x v="2"/>
    <s v="Maret"/>
    <s v="Division_A"/>
    <x v="2"/>
    <n v="2005"/>
    <n v="17"/>
    <s v="TM-Tua"/>
    <n v="18"/>
    <n v="1922"/>
    <s v="106.8"/>
    <x v="0"/>
    <n v="1.476"/>
    <n v="26566.799999999999"/>
    <n v="26.567"/>
    <d v="2022-03-01T00:00:00"/>
    <x v="0"/>
    <x v="4"/>
  </r>
  <r>
    <x v="10"/>
    <x v="3"/>
    <s v="April"/>
    <s v="Division_A"/>
    <x v="2"/>
    <n v="2005"/>
    <n v="17"/>
    <s v="TM-Tua"/>
    <n v="18"/>
    <n v="1922"/>
    <s v="106.8"/>
    <x v="0"/>
    <n v="1.6879999999999999"/>
    <n v="30375.200000000001"/>
    <n v="30.375"/>
    <d v="2022-04-01T00:00:00"/>
    <x v="0"/>
    <x v="4"/>
  </r>
  <r>
    <x v="10"/>
    <x v="4"/>
    <s v="Mei"/>
    <s v="Division_A"/>
    <x v="2"/>
    <n v="2005"/>
    <n v="17"/>
    <s v="TM-Tua"/>
    <n v="18"/>
    <n v="1922"/>
    <s v="106.8"/>
    <x v="0"/>
    <n v="1.55"/>
    <n v="27897.1"/>
    <n v="27.896999999999998"/>
    <d v="2022-05-01T00:00:00"/>
    <x v="0"/>
    <x v="4"/>
  </r>
  <r>
    <x v="10"/>
    <x v="5"/>
    <s v="Juni"/>
    <s v="Division_A"/>
    <x v="2"/>
    <n v="2005"/>
    <n v="17"/>
    <s v="TM-Tua"/>
    <n v="18"/>
    <n v="1922"/>
    <s v="106.8"/>
    <x v="0"/>
    <n v="1.708"/>
    <n v="30740.3"/>
    <n v="30.74"/>
    <d v="2022-06-01T00:00:00"/>
    <x v="0"/>
    <x v="4"/>
  </r>
  <r>
    <x v="10"/>
    <x v="6"/>
    <s v="Juli"/>
    <s v="Division_A"/>
    <x v="2"/>
    <n v="2005"/>
    <n v="17"/>
    <s v="TM-Tua"/>
    <n v="18"/>
    <n v="1922"/>
    <s v="106.8"/>
    <x v="0"/>
    <n v="0.99299999999999999"/>
    <n v="17867.7"/>
    <n v="17.867999999999999"/>
    <d v="2022-07-01T00:00:00"/>
    <x v="0"/>
    <x v="4"/>
  </r>
  <r>
    <x v="10"/>
    <x v="7"/>
    <s v="Agustus"/>
    <s v="Division_A"/>
    <x v="2"/>
    <n v="2005"/>
    <n v="17"/>
    <s v="TM-Tua"/>
    <n v="18"/>
    <n v="1922"/>
    <s v="106.8"/>
    <x v="0"/>
    <n v="1.677"/>
    <n v="30179.5"/>
    <n v="30.18"/>
    <d v="2022-08-01T00:00:00"/>
    <x v="0"/>
    <x v="4"/>
  </r>
  <r>
    <x v="10"/>
    <x v="8"/>
    <s v="September"/>
    <s v="Division_A"/>
    <x v="2"/>
    <n v="2005"/>
    <n v="17"/>
    <s v="TM-Tua"/>
    <n v="18"/>
    <n v="1922"/>
    <s v="106.8"/>
    <x v="0"/>
    <n v="1.8089999999999999"/>
    <n v="32566.2"/>
    <n v="32.566000000000003"/>
    <d v="2022-09-01T00:00:00"/>
    <x v="0"/>
    <x v="4"/>
  </r>
  <r>
    <x v="10"/>
    <x v="9"/>
    <s v="Oktober"/>
    <s v="Division_A"/>
    <x v="2"/>
    <n v="2005"/>
    <n v="17"/>
    <s v="TM-Tua"/>
    <n v="18"/>
    <n v="1922"/>
    <s v="106.8"/>
    <x v="0"/>
    <n v="1.718"/>
    <n v="30922.9"/>
    <n v="30.922999999999998"/>
    <d v="2022-10-01T00:00:00"/>
    <x v="0"/>
    <x v="4"/>
  </r>
  <r>
    <x v="10"/>
    <x v="10"/>
    <s v="November"/>
    <s v="Division_A"/>
    <x v="2"/>
    <n v="2005"/>
    <n v="17"/>
    <s v="TM-Tua"/>
    <n v="18"/>
    <n v="1922"/>
    <s v="106.8"/>
    <x v="0"/>
    <n v="1.538"/>
    <n v="27675.4"/>
    <n v="27.675000000000001"/>
    <d v="2022-11-01T00:00:00"/>
    <x v="0"/>
    <x v="4"/>
  </r>
  <r>
    <x v="10"/>
    <x v="11"/>
    <s v="Desember"/>
    <s v="Division_A"/>
    <x v="2"/>
    <n v="2005"/>
    <n v="17"/>
    <s v="TM-Tua"/>
    <n v="18"/>
    <n v="1922"/>
    <s v="106.8"/>
    <x v="0"/>
    <n v="1.556"/>
    <n v="28001.5"/>
    <n v="28.001000000000001"/>
    <d v="2022-12-01T00:00:00"/>
    <x v="0"/>
    <x v="4"/>
  </r>
  <r>
    <x v="10"/>
    <x v="0"/>
    <s v="Januari"/>
    <s v="Division_A"/>
    <x v="3"/>
    <n v="2005"/>
    <n v="17"/>
    <s v="TM-Tua"/>
    <n v="26"/>
    <n v="2827"/>
    <s v="108.7"/>
    <x v="0"/>
    <n v="0.34899999999999998"/>
    <n v="9073.7000000000007"/>
    <n v="9.0739999999999998"/>
    <d v="2022-01-01T00:00:00"/>
    <x v="0"/>
    <x v="4"/>
  </r>
  <r>
    <x v="10"/>
    <x v="1"/>
    <s v="Februari"/>
    <s v="Division_A"/>
    <x v="3"/>
    <n v="2005"/>
    <n v="17"/>
    <s v="TM-Tua"/>
    <n v="26"/>
    <n v="2827"/>
    <s v="108.7"/>
    <x v="0"/>
    <n v="1.254"/>
    <n v="32611.5"/>
    <n v="32.610999999999997"/>
    <d v="2022-02-01T00:00:00"/>
    <x v="0"/>
    <x v="4"/>
  </r>
  <r>
    <x v="10"/>
    <x v="2"/>
    <s v="Maret"/>
    <s v="Division_A"/>
    <x v="3"/>
    <n v="2005"/>
    <n v="17"/>
    <s v="TM-Tua"/>
    <n v="26"/>
    <n v="2827"/>
    <s v="108.7"/>
    <x v="0"/>
    <n v="1.5029999999999999"/>
    <n v="39076.199999999997"/>
    <n v="39.076000000000001"/>
    <d v="2022-03-01T00:00:00"/>
    <x v="0"/>
    <x v="4"/>
  </r>
  <r>
    <x v="10"/>
    <x v="3"/>
    <s v="April"/>
    <s v="Division_A"/>
    <x v="3"/>
    <n v="2005"/>
    <n v="17"/>
    <s v="TM-Tua"/>
    <n v="26"/>
    <n v="2827"/>
    <s v="108.7"/>
    <x v="0"/>
    <n v="1.718"/>
    <n v="44677.7"/>
    <n v="44.677999999999997"/>
    <d v="2022-04-01T00:00:00"/>
    <x v="0"/>
    <x v="4"/>
  </r>
  <r>
    <x v="10"/>
    <x v="4"/>
    <s v="Mei"/>
    <s v="Division_A"/>
    <x v="3"/>
    <n v="2005"/>
    <n v="17"/>
    <s v="TM-Tua"/>
    <n v="26"/>
    <n v="2827"/>
    <s v="108.7"/>
    <x v="0"/>
    <n v="1.5780000000000001"/>
    <n v="41032.9"/>
    <n v="41.033000000000001"/>
    <d v="2022-05-01T00:00:00"/>
    <x v="0"/>
    <x v="4"/>
  </r>
  <r>
    <x v="10"/>
    <x v="5"/>
    <s v="Juni"/>
    <s v="Division_A"/>
    <x v="3"/>
    <n v="2005"/>
    <n v="17"/>
    <s v="TM-Tua"/>
    <n v="26"/>
    <n v="2827"/>
    <s v="108.7"/>
    <x v="0"/>
    <n v="1.7390000000000001"/>
    <n v="45214.8"/>
    <n v="45.215000000000003"/>
    <d v="2022-06-01T00:00:00"/>
    <x v="0"/>
    <x v="4"/>
  </r>
  <r>
    <x v="10"/>
    <x v="6"/>
    <s v="Juli"/>
    <s v="Division_A"/>
    <x v="3"/>
    <n v="2005"/>
    <n v="17"/>
    <s v="TM-Tua"/>
    <n v="26"/>
    <n v="2827"/>
    <s v="108.7"/>
    <x v="0"/>
    <n v="1.0109999999999999"/>
    <n v="26281"/>
    <n v="26.280999999999999"/>
    <d v="2022-07-01T00:00:00"/>
    <x v="0"/>
    <x v="4"/>
  </r>
  <r>
    <x v="10"/>
    <x v="7"/>
    <s v="Agustus"/>
    <s v="Division_A"/>
    <x v="3"/>
    <n v="2005"/>
    <n v="17"/>
    <s v="TM-Tua"/>
    <n v="26"/>
    <n v="2827"/>
    <s v="108.7"/>
    <x v="0"/>
    <n v="1.7070000000000001"/>
    <n v="44390"/>
    <n v="44.39"/>
    <d v="2022-08-01T00:00:00"/>
    <x v="0"/>
    <x v="4"/>
  </r>
  <r>
    <x v="10"/>
    <x v="8"/>
    <s v="September"/>
    <s v="Division_A"/>
    <x v="3"/>
    <n v="2005"/>
    <n v="17"/>
    <s v="TM-Tua"/>
    <n v="26"/>
    <n v="2827"/>
    <s v="108.7"/>
    <x v="0"/>
    <n v="1.8420000000000001"/>
    <n v="47900.5"/>
    <n v="47.9"/>
    <d v="2022-09-01T00:00:00"/>
    <x v="0"/>
    <x v="4"/>
  </r>
  <r>
    <x v="10"/>
    <x v="9"/>
    <s v="Oktober"/>
    <s v="Division_A"/>
    <x v="3"/>
    <n v="2005"/>
    <n v="17"/>
    <s v="TM-Tua"/>
    <n v="26"/>
    <n v="2827"/>
    <s v="108.7"/>
    <x v="0"/>
    <n v="1.7490000000000001"/>
    <n v="45483.4"/>
    <n v="45.482999999999997"/>
    <d v="2022-10-01T00:00:00"/>
    <x v="0"/>
    <x v="4"/>
  </r>
  <r>
    <x v="10"/>
    <x v="10"/>
    <s v="November"/>
    <s v="Division_A"/>
    <x v="3"/>
    <n v="2005"/>
    <n v="17"/>
    <s v="TM-Tua"/>
    <n v="26"/>
    <n v="2827"/>
    <s v="108.7"/>
    <x v="0"/>
    <n v="1.5660000000000001"/>
    <n v="40706.800000000003"/>
    <n v="40.707000000000001"/>
    <d v="2022-11-01T00:00:00"/>
    <x v="0"/>
    <x v="4"/>
  </r>
  <r>
    <x v="10"/>
    <x v="11"/>
    <s v="Desember"/>
    <s v="Division_A"/>
    <x v="3"/>
    <n v="2005"/>
    <n v="17"/>
    <s v="TM-Tua"/>
    <n v="26"/>
    <n v="2827"/>
    <s v="108.7"/>
    <x v="0"/>
    <n v="1.5840000000000001"/>
    <n v="41186.400000000001"/>
    <n v="41.186"/>
    <d v="2022-12-01T00:00:00"/>
    <x v="0"/>
    <x v="4"/>
  </r>
  <r>
    <x v="10"/>
    <x v="0"/>
    <s v="Januari"/>
    <s v="Division_A"/>
    <x v="4"/>
    <n v="2005"/>
    <n v="17"/>
    <s v="TM-Tua"/>
    <n v="24"/>
    <n v="1947"/>
    <s v="81.1"/>
    <x v="1"/>
    <n v="0.26"/>
    <n v="6249.2"/>
    <n v="6.2489999999999997"/>
    <d v="2022-01-01T00:00:00"/>
    <x v="0"/>
    <x v="4"/>
  </r>
  <r>
    <x v="10"/>
    <x v="1"/>
    <s v="Februari"/>
    <s v="Division_A"/>
    <x v="4"/>
    <n v="2005"/>
    <n v="17"/>
    <s v="TM-Tua"/>
    <n v="24"/>
    <n v="1947"/>
    <s v="81.1"/>
    <x v="1"/>
    <n v="0.93600000000000005"/>
    <n v="22460"/>
    <n v="22.46"/>
    <d v="2022-02-01T00:00:00"/>
    <x v="0"/>
    <x v="4"/>
  </r>
  <r>
    <x v="10"/>
    <x v="2"/>
    <s v="Maret"/>
    <s v="Division_A"/>
    <x v="4"/>
    <n v="2005"/>
    <n v="17"/>
    <s v="TM-Tua"/>
    <n v="24"/>
    <n v="1947"/>
    <s v="81.1"/>
    <x v="1"/>
    <n v="1.121"/>
    <n v="26912.400000000001"/>
    <n v="26.911999999999999"/>
    <d v="2022-03-01T00:00:00"/>
    <x v="0"/>
    <x v="4"/>
  </r>
  <r>
    <x v="10"/>
    <x v="3"/>
    <s v="April"/>
    <s v="Division_A"/>
    <x v="4"/>
    <n v="2005"/>
    <n v="17"/>
    <s v="TM-Tua"/>
    <n v="24"/>
    <n v="1947"/>
    <s v="81.1"/>
    <x v="1"/>
    <n v="1.282"/>
    <n v="30770.2"/>
    <n v="30.77"/>
    <d v="2022-04-01T00:00:00"/>
    <x v="0"/>
    <x v="4"/>
  </r>
  <r>
    <x v="10"/>
    <x v="4"/>
    <s v="Mei"/>
    <s v="Division_A"/>
    <x v="4"/>
    <n v="2005"/>
    <n v="17"/>
    <s v="TM-Tua"/>
    <n v="24"/>
    <n v="1947"/>
    <s v="81.1"/>
    <x v="1"/>
    <n v="1.1779999999999999"/>
    <n v="28260"/>
    <n v="28.26"/>
    <d v="2022-05-01T00:00:00"/>
    <x v="0"/>
    <x v="4"/>
  </r>
  <r>
    <x v="10"/>
    <x v="5"/>
    <s v="Juni"/>
    <s v="Division_A"/>
    <x v="4"/>
    <n v="2005"/>
    <n v="17"/>
    <s v="TM-Tua"/>
    <n v="24"/>
    <n v="1947"/>
    <s v="81.1"/>
    <x v="1"/>
    <n v="1.298"/>
    <n v="31140.2"/>
    <n v="31.14"/>
    <d v="2022-06-01T00:00:00"/>
    <x v="0"/>
    <x v="4"/>
  </r>
  <r>
    <x v="10"/>
    <x v="6"/>
    <s v="Juli"/>
    <s v="Division_A"/>
    <x v="4"/>
    <n v="2005"/>
    <n v="17"/>
    <s v="TM-Tua"/>
    <n v="24"/>
    <n v="1947"/>
    <s v="81.1"/>
    <x v="1"/>
    <n v="0.754"/>
    <n v="18100.099999999999"/>
    <n v="18.100000000000001"/>
    <d v="2022-07-01T00:00:00"/>
    <x v="0"/>
    <x v="4"/>
  </r>
  <r>
    <x v="10"/>
    <x v="7"/>
    <s v="Agustus"/>
    <s v="Division_A"/>
    <x v="4"/>
    <n v="2005"/>
    <n v="17"/>
    <s v="TM-Tua"/>
    <n v="24"/>
    <n v="1947"/>
    <s v="81.1"/>
    <x v="1"/>
    <n v="1.274"/>
    <n v="30572.1"/>
    <n v="30.571999999999999"/>
    <d v="2022-08-01T00:00:00"/>
    <x v="0"/>
    <x v="4"/>
  </r>
  <r>
    <x v="10"/>
    <x v="8"/>
    <s v="September"/>
    <s v="Division_A"/>
    <x v="4"/>
    <n v="2005"/>
    <n v="17"/>
    <s v="TM-Tua"/>
    <n v="24"/>
    <n v="1947"/>
    <s v="81.1"/>
    <x v="1"/>
    <n v="1.375"/>
    <n v="32989.800000000003"/>
    <n v="32.99"/>
    <d v="2022-09-01T00:00:00"/>
    <x v="0"/>
    <x v="4"/>
  </r>
  <r>
    <x v="10"/>
    <x v="9"/>
    <s v="Oktober"/>
    <s v="Division_A"/>
    <x v="4"/>
    <n v="2005"/>
    <n v="17"/>
    <s v="TM-Tua"/>
    <n v="24"/>
    <n v="1947"/>
    <s v="81.1"/>
    <x v="1"/>
    <n v="1.3049999999999999"/>
    <n v="31325.1"/>
    <n v="31.324999999999999"/>
    <d v="2022-10-01T00:00:00"/>
    <x v="0"/>
    <x v="4"/>
  </r>
  <r>
    <x v="10"/>
    <x v="10"/>
    <s v="November"/>
    <s v="Division_A"/>
    <x v="4"/>
    <n v="2005"/>
    <n v="17"/>
    <s v="TM-Tua"/>
    <n v="24"/>
    <n v="1947"/>
    <s v="81.1"/>
    <x v="1"/>
    <n v="1.1679999999999999"/>
    <n v="28035.4"/>
    <n v="28.035"/>
    <d v="2022-11-01T00:00:00"/>
    <x v="0"/>
    <x v="4"/>
  </r>
  <r>
    <x v="10"/>
    <x v="11"/>
    <s v="Desember"/>
    <s v="Division_A"/>
    <x v="4"/>
    <n v="2005"/>
    <n v="17"/>
    <s v="TM-Tua"/>
    <n v="24"/>
    <n v="1947"/>
    <s v="81.1"/>
    <x v="1"/>
    <n v="1.1819999999999999"/>
    <n v="28365.7"/>
    <n v="28.366"/>
    <d v="2022-12-01T00:00:00"/>
    <x v="0"/>
    <x v="4"/>
  </r>
  <r>
    <x v="10"/>
    <x v="0"/>
    <s v="Januari"/>
    <s v="Division_A"/>
    <x v="5"/>
    <n v="2006"/>
    <n v="16"/>
    <s v="TM-Utama"/>
    <n v="25"/>
    <n v="2740"/>
    <s v="109.6"/>
    <x v="1"/>
    <n v="0.38900000000000001"/>
    <n v="9720.1"/>
    <n v="9.7200000000000006"/>
    <d v="2022-01-01T00:00:00"/>
    <x v="0"/>
    <x v="0"/>
  </r>
  <r>
    <x v="10"/>
    <x v="1"/>
    <s v="Februari"/>
    <s v="Division_A"/>
    <x v="5"/>
    <n v="2006"/>
    <n v="16"/>
    <s v="TM-Utama"/>
    <n v="25"/>
    <n v="2740"/>
    <s v="109.6"/>
    <x v="1"/>
    <n v="1.397"/>
    <n v="34935"/>
    <n v="34.935000000000002"/>
    <d v="2022-02-01T00:00:00"/>
    <x v="0"/>
    <x v="0"/>
  </r>
  <r>
    <x v="10"/>
    <x v="2"/>
    <s v="Maret"/>
    <s v="Division_A"/>
    <x v="5"/>
    <n v="2006"/>
    <n v="16"/>
    <s v="TM-Utama"/>
    <n v="25"/>
    <n v="2740"/>
    <s v="109.6"/>
    <x v="1"/>
    <n v="1.6739999999999999"/>
    <n v="41860.300000000003"/>
    <n v="41.86"/>
    <d v="2022-03-01T00:00:00"/>
    <x v="0"/>
    <x v="0"/>
  </r>
  <r>
    <x v="10"/>
    <x v="3"/>
    <s v="April"/>
    <s v="Division_A"/>
    <x v="5"/>
    <n v="2006"/>
    <n v="16"/>
    <s v="TM-Utama"/>
    <n v="25"/>
    <n v="2740"/>
    <s v="109.6"/>
    <x v="1"/>
    <n v="1.9139999999999999"/>
    <n v="47861"/>
    <n v="47.860999999999997"/>
    <d v="2022-04-01T00:00:00"/>
    <x v="0"/>
    <x v="0"/>
  </r>
  <r>
    <x v="10"/>
    <x v="4"/>
    <s v="Mei"/>
    <s v="Division_A"/>
    <x v="5"/>
    <n v="2006"/>
    <n v="16"/>
    <s v="TM-Utama"/>
    <n v="25"/>
    <n v="2740"/>
    <s v="109.6"/>
    <x v="1"/>
    <n v="1.758"/>
    <n v="43956.4"/>
    <n v="43.956000000000003"/>
    <d v="2022-05-01T00:00:00"/>
    <x v="0"/>
    <x v="0"/>
  </r>
  <r>
    <x v="10"/>
    <x v="5"/>
    <s v="Juni"/>
    <s v="Division_A"/>
    <x v="5"/>
    <n v="2006"/>
    <n v="16"/>
    <s v="TM-Utama"/>
    <n v="25"/>
    <n v="2740"/>
    <s v="109.6"/>
    <x v="1"/>
    <n v="1.9370000000000001"/>
    <n v="48436.3"/>
    <n v="48.436"/>
    <d v="2022-06-01T00:00:00"/>
    <x v="0"/>
    <x v="0"/>
  </r>
  <r>
    <x v="10"/>
    <x v="6"/>
    <s v="Juli"/>
    <s v="Division_A"/>
    <x v="5"/>
    <n v="2006"/>
    <n v="16"/>
    <s v="TM-Utama"/>
    <n v="25"/>
    <n v="2740"/>
    <s v="109.6"/>
    <x v="1"/>
    <n v="1.1259999999999999"/>
    <n v="28153.5"/>
    <n v="28.152999999999999"/>
    <d v="2022-07-01T00:00:00"/>
    <x v="0"/>
    <x v="0"/>
  </r>
  <r>
    <x v="10"/>
    <x v="7"/>
    <s v="Agustus"/>
    <s v="Division_A"/>
    <x v="5"/>
    <n v="2006"/>
    <n v="16"/>
    <s v="TM-Utama"/>
    <n v="25"/>
    <n v="2740"/>
    <s v="109.6"/>
    <x v="1"/>
    <n v="1.9019999999999999"/>
    <n v="47552.7"/>
    <n v="47.552999999999997"/>
    <d v="2022-08-01T00:00:00"/>
    <x v="0"/>
    <x v="0"/>
  </r>
  <r>
    <x v="10"/>
    <x v="8"/>
    <s v="September"/>
    <s v="Division_A"/>
    <x v="5"/>
    <n v="2006"/>
    <n v="16"/>
    <s v="TM-Utama"/>
    <n v="25"/>
    <n v="2740"/>
    <s v="109.6"/>
    <x v="1"/>
    <n v="2.0529999999999999"/>
    <n v="51313.3"/>
    <n v="51.313000000000002"/>
    <d v="2022-09-01T00:00:00"/>
    <x v="0"/>
    <x v="0"/>
  </r>
  <r>
    <x v="10"/>
    <x v="9"/>
    <s v="Oktober"/>
    <s v="Division_A"/>
    <x v="5"/>
    <n v="2006"/>
    <n v="16"/>
    <s v="TM-Utama"/>
    <n v="25"/>
    <n v="2740"/>
    <s v="109.6"/>
    <x v="1"/>
    <n v="1.9490000000000001"/>
    <n v="48724"/>
    <n v="48.723999999999997"/>
    <d v="2022-10-01T00:00:00"/>
    <x v="0"/>
    <x v="0"/>
  </r>
  <r>
    <x v="10"/>
    <x v="10"/>
    <s v="November"/>
    <s v="Division_A"/>
    <x v="5"/>
    <n v="2006"/>
    <n v="16"/>
    <s v="TM-Utama"/>
    <n v="25"/>
    <n v="2740"/>
    <s v="109.6"/>
    <x v="1"/>
    <n v="1.744"/>
    <n v="43607.1"/>
    <n v="43.606999999999999"/>
    <d v="2022-11-01T00:00:00"/>
    <x v="0"/>
    <x v="0"/>
  </r>
  <r>
    <x v="10"/>
    <x v="11"/>
    <s v="Desember"/>
    <s v="Division_A"/>
    <x v="5"/>
    <n v="2006"/>
    <n v="16"/>
    <s v="TM-Utama"/>
    <n v="25"/>
    <n v="2740"/>
    <s v="109.6"/>
    <x v="1"/>
    <n v="1.7649999999999999"/>
    <n v="44120.800000000003"/>
    <n v="44.121000000000002"/>
    <d v="2022-12-01T00:00:00"/>
    <x v="0"/>
    <x v="0"/>
  </r>
  <r>
    <x v="10"/>
    <x v="0"/>
    <s v="Januari"/>
    <s v="Division_A"/>
    <x v="6"/>
    <n v="2006"/>
    <n v="16"/>
    <s v="TM-Utama"/>
    <n v="24"/>
    <n v="3230"/>
    <s v="134.6"/>
    <x v="1"/>
    <n v="0.47699999999999998"/>
    <n v="11458.4"/>
    <n v="11.458"/>
    <d v="2022-01-01T00:00:00"/>
    <x v="0"/>
    <x v="0"/>
  </r>
  <r>
    <x v="10"/>
    <x v="1"/>
    <s v="Februari"/>
    <s v="Division_A"/>
    <x v="6"/>
    <n v="2006"/>
    <n v="16"/>
    <s v="TM-Utama"/>
    <n v="24"/>
    <n v="3230"/>
    <s v="134.6"/>
    <x v="1"/>
    <n v="1.716"/>
    <n v="41182.5"/>
    <n v="41.183"/>
    <d v="2022-02-01T00:00:00"/>
    <x v="0"/>
    <x v="0"/>
  </r>
  <r>
    <x v="10"/>
    <x v="2"/>
    <s v="Maret"/>
    <s v="Division_A"/>
    <x v="6"/>
    <n v="2006"/>
    <n v="16"/>
    <s v="TM-Utama"/>
    <n v="24"/>
    <n v="3230"/>
    <s v="134.6"/>
    <x v="1"/>
    <n v="2.056"/>
    <n v="49346.3"/>
    <n v="49.345999999999997"/>
    <d v="2022-03-01T00:00:00"/>
    <x v="0"/>
    <x v="0"/>
  </r>
  <r>
    <x v="10"/>
    <x v="3"/>
    <s v="April"/>
    <s v="Division_A"/>
    <x v="6"/>
    <n v="2006"/>
    <n v="16"/>
    <s v="TM-Utama"/>
    <n v="24"/>
    <n v="3230"/>
    <s v="134.6"/>
    <x v="1"/>
    <n v="2.351"/>
    <n v="56420"/>
    <n v="56.42"/>
    <d v="2022-04-01T00:00:00"/>
    <x v="0"/>
    <x v="0"/>
  </r>
  <r>
    <x v="10"/>
    <x v="4"/>
    <s v="Mei"/>
    <s v="Division_A"/>
    <x v="6"/>
    <n v="2006"/>
    <n v="16"/>
    <s v="TM-Utama"/>
    <n v="24"/>
    <n v="3230"/>
    <s v="134.6"/>
    <x v="1"/>
    <n v="2.1589999999999998"/>
    <n v="51817.3"/>
    <n v="51.817"/>
    <d v="2022-05-01T00:00:00"/>
    <x v="0"/>
    <x v="0"/>
  </r>
  <r>
    <x v="10"/>
    <x v="5"/>
    <s v="Juni"/>
    <s v="Division_A"/>
    <x v="6"/>
    <n v="2006"/>
    <n v="16"/>
    <s v="TM-Utama"/>
    <n v="24"/>
    <n v="3230"/>
    <s v="134.6"/>
    <x v="1"/>
    <n v="2.379"/>
    <n v="57098.3"/>
    <n v="57.097999999999999"/>
    <d v="2022-06-01T00:00:00"/>
    <x v="0"/>
    <x v="0"/>
  </r>
  <r>
    <x v="10"/>
    <x v="6"/>
    <s v="Juli"/>
    <s v="Division_A"/>
    <x v="6"/>
    <n v="2006"/>
    <n v="16"/>
    <s v="TM-Utama"/>
    <n v="24"/>
    <n v="3230"/>
    <s v="134.6"/>
    <x v="1"/>
    <n v="1.383"/>
    <n v="33188.300000000003"/>
    <n v="33.188000000000002"/>
    <d v="2022-07-01T00:00:00"/>
    <x v="0"/>
    <x v="0"/>
  </r>
  <r>
    <x v="10"/>
    <x v="7"/>
    <s v="Agustus"/>
    <s v="Division_A"/>
    <x v="6"/>
    <n v="2006"/>
    <n v="16"/>
    <s v="TM-Utama"/>
    <n v="24"/>
    <n v="3230"/>
    <s v="134.6"/>
    <x v="1"/>
    <n v="2.3359999999999999"/>
    <n v="56056.7"/>
    <n v="56.057000000000002"/>
    <d v="2022-08-01T00:00:00"/>
    <x v="0"/>
    <x v="0"/>
  </r>
  <r>
    <x v="10"/>
    <x v="8"/>
    <s v="September"/>
    <s v="Division_A"/>
    <x v="6"/>
    <n v="2006"/>
    <n v="16"/>
    <s v="TM-Utama"/>
    <n v="24"/>
    <n v="3230"/>
    <s v="134.6"/>
    <x v="1"/>
    <n v="2.52"/>
    <n v="60489.8"/>
    <n v="60.49"/>
    <d v="2022-09-01T00:00:00"/>
    <x v="0"/>
    <x v="0"/>
  </r>
  <r>
    <x v="10"/>
    <x v="9"/>
    <s v="Oktober"/>
    <s v="Division_A"/>
    <x v="6"/>
    <n v="2006"/>
    <n v="16"/>
    <s v="TM-Utama"/>
    <n v="24"/>
    <n v="3230"/>
    <s v="134.6"/>
    <x v="1"/>
    <n v="2.3929999999999998"/>
    <n v="57437.5"/>
    <n v="57.436999999999998"/>
    <d v="2022-10-01T00:00:00"/>
    <x v="0"/>
    <x v="0"/>
  </r>
  <r>
    <x v="10"/>
    <x v="10"/>
    <s v="November"/>
    <s v="Division_A"/>
    <x v="6"/>
    <n v="2006"/>
    <n v="16"/>
    <s v="TM-Utama"/>
    <n v="24"/>
    <n v="3230"/>
    <s v="134.6"/>
    <x v="1"/>
    <n v="2.1419999999999999"/>
    <n v="51405.5"/>
    <n v="51.405000000000001"/>
    <d v="2022-11-01T00:00:00"/>
    <x v="0"/>
    <x v="0"/>
  </r>
  <r>
    <x v="10"/>
    <x v="11"/>
    <s v="Desember"/>
    <s v="Division_A"/>
    <x v="6"/>
    <n v="2006"/>
    <n v="16"/>
    <s v="TM-Utama"/>
    <n v="24"/>
    <n v="3230"/>
    <s v="134.6"/>
    <x v="1"/>
    <n v="2.1669999999999998"/>
    <n v="52011.1"/>
    <n v="52.011000000000003"/>
    <d v="2022-12-01T00:00:00"/>
    <x v="0"/>
    <x v="0"/>
  </r>
  <r>
    <x v="10"/>
    <x v="0"/>
    <s v="Januari"/>
    <s v="Division_A"/>
    <x v="7"/>
    <n v="2006"/>
    <n v="16"/>
    <s v="TM-Utama"/>
    <n v="22"/>
    <n v="2447"/>
    <s v="111.2"/>
    <x v="1"/>
    <n v="0.39500000000000002"/>
    <n v="8680.7000000000007"/>
    <n v="8.6809999999999992"/>
    <d v="2022-01-01T00:00:00"/>
    <x v="0"/>
    <x v="0"/>
  </r>
  <r>
    <x v="10"/>
    <x v="1"/>
    <s v="Februari"/>
    <s v="Division_A"/>
    <x v="7"/>
    <n v="2006"/>
    <n v="16"/>
    <s v="TM-Utama"/>
    <n v="22"/>
    <n v="2447"/>
    <s v="111.2"/>
    <x v="1"/>
    <n v="1.4179999999999999"/>
    <n v="31199.200000000001"/>
    <n v="31.199000000000002"/>
    <d v="2022-02-01T00:00:00"/>
    <x v="0"/>
    <x v="0"/>
  </r>
  <r>
    <x v="10"/>
    <x v="2"/>
    <s v="Maret"/>
    <s v="Division_A"/>
    <x v="7"/>
    <n v="2006"/>
    <n v="16"/>
    <s v="TM-Utama"/>
    <n v="22"/>
    <n v="2447"/>
    <s v="111.2"/>
    <x v="1"/>
    <n v="1.6990000000000001"/>
    <n v="37384"/>
    <n v="37.384"/>
    <d v="2022-03-01T00:00:00"/>
    <x v="0"/>
    <x v="0"/>
  </r>
  <r>
    <x v="10"/>
    <x v="3"/>
    <s v="April"/>
    <s v="Division_A"/>
    <x v="7"/>
    <n v="2006"/>
    <n v="16"/>
    <s v="TM-Utama"/>
    <n v="22"/>
    <n v="2447"/>
    <s v="111.2"/>
    <x v="1"/>
    <n v="1.9430000000000001"/>
    <n v="42743"/>
    <n v="42.743000000000002"/>
    <d v="2022-04-01T00:00:00"/>
    <x v="0"/>
    <x v="0"/>
  </r>
  <r>
    <x v="10"/>
    <x v="4"/>
    <s v="Mei"/>
    <s v="Division_A"/>
    <x v="7"/>
    <n v="2006"/>
    <n v="16"/>
    <s v="TM-Utama"/>
    <n v="22"/>
    <n v="2447"/>
    <s v="111.2"/>
    <x v="1"/>
    <n v="1.784"/>
    <n v="39256"/>
    <n v="39.256"/>
    <d v="2022-05-01T00:00:00"/>
    <x v="0"/>
    <x v="0"/>
  </r>
  <r>
    <x v="10"/>
    <x v="5"/>
    <s v="Juni"/>
    <s v="Division_A"/>
    <x v="7"/>
    <n v="2006"/>
    <n v="16"/>
    <s v="TM-Utama"/>
    <n v="22"/>
    <n v="2447"/>
    <s v="111.2"/>
    <x v="1"/>
    <n v="1.966"/>
    <n v="43256.800000000003"/>
    <n v="43.256999999999998"/>
    <d v="2022-06-01T00:00:00"/>
    <x v="0"/>
    <x v="0"/>
  </r>
  <r>
    <x v="10"/>
    <x v="6"/>
    <s v="Juli"/>
    <s v="Division_A"/>
    <x v="7"/>
    <n v="2006"/>
    <n v="16"/>
    <s v="TM-Utama"/>
    <n v="22"/>
    <n v="2447"/>
    <s v="111.2"/>
    <x v="1"/>
    <n v="1.143"/>
    <n v="25142.9"/>
    <n v="25.143000000000001"/>
    <d v="2022-07-01T00:00:00"/>
    <x v="0"/>
    <x v="0"/>
  </r>
  <r>
    <x v="10"/>
    <x v="7"/>
    <s v="Agustus"/>
    <s v="Division_A"/>
    <x v="7"/>
    <n v="2006"/>
    <n v="16"/>
    <s v="TM-Utama"/>
    <n v="22"/>
    <n v="2447"/>
    <s v="111.2"/>
    <x v="1"/>
    <n v="1.93"/>
    <n v="42467.7"/>
    <n v="42.468000000000004"/>
    <d v="2022-08-01T00:00:00"/>
    <x v="0"/>
    <x v="0"/>
  </r>
  <r>
    <x v="10"/>
    <x v="8"/>
    <s v="September"/>
    <s v="Division_A"/>
    <x v="7"/>
    <n v="2006"/>
    <n v="16"/>
    <s v="TM-Utama"/>
    <n v="22"/>
    <n v="2447"/>
    <s v="111.2"/>
    <x v="1"/>
    <n v="2.0830000000000002"/>
    <n v="45826.2"/>
    <n v="45.826000000000001"/>
    <d v="2022-09-01T00:00:00"/>
    <x v="0"/>
    <x v="0"/>
  </r>
  <r>
    <x v="10"/>
    <x v="9"/>
    <s v="Oktober"/>
    <s v="Division_A"/>
    <x v="7"/>
    <n v="2006"/>
    <n v="16"/>
    <s v="TM-Utama"/>
    <n v="22"/>
    <n v="2447"/>
    <s v="111.2"/>
    <x v="1"/>
    <n v="1.978"/>
    <n v="43513.8"/>
    <n v="43.514000000000003"/>
    <d v="2022-10-01T00:00:00"/>
    <x v="0"/>
    <x v="0"/>
  </r>
  <r>
    <x v="10"/>
    <x v="10"/>
    <s v="November"/>
    <s v="Division_A"/>
    <x v="7"/>
    <n v="2006"/>
    <n v="16"/>
    <s v="TM-Utama"/>
    <n v="22"/>
    <n v="2447"/>
    <s v="111.2"/>
    <x v="1"/>
    <n v="1.77"/>
    <n v="38944"/>
    <n v="38.944000000000003"/>
    <d v="2022-11-01T00:00:00"/>
    <x v="0"/>
    <x v="0"/>
  </r>
  <r>
    <x v="10"/>
    <x v="11"/>
    <s v="Desember"/>
    <s v="Division_A"/>
    <x v="7"/>
    <n v="2006"/>
    <n v="16"/>
    <s v="TM-Utama"/>
    <n v="22"/>
    <n v="2447"/>
    <s v="111.2"/>
    <x v="1"/>
    <n v="1.7909999999999999"/>
    <n v="39402.800000000003"/>
    <n v="39.402999999999999"/>
    <d v="2022-12-01T00:00:00"/>
    <x v="0"/>
    <x v="0"/>
  </r>
  <r>
    <x v="10"/>
    <x v="0"/>
    <s v="Januari"/>
    <s v="Division_A"/>
    <x v="8"/>
    <n v="2006"/>
    <n v="16"/>
    <s v="TM-Utama"/>
    <n v="15"/>
    <n v="1866"/>
    <s v="124.4"/>
    <x v="1"/>
    <n v="0.441"/>
    <n v="6619.6"/>
    <n v="6.62"/>
    <d v="2022-01-01T00:00:00"/>
    <x v="0"/>
    <x v="0"/>
  </r>
  <r>
    <x v="10"/>
    <x v="1"/>
    <s v="Februari"/>
    <s v="Division_A"/>
    <x v="8"/>
    <n v="2006"/>
    <n v="16"/>
    <s v="TM-Utama"/>
    <n v="15"/>
    <n v="1866"/>
    <s v="124.4"/>
    <x v="1"/>
    <n v="1.5860000000000001"/>
    <n v="23791.5"/>
    <n v="23.791"/>
    <d v="2022-02-01T00:00:00"/>
    <x v="0"/>
    <x v="0"/>
  </r>
  <r>
    <x v="10"/>
    <x v="2"/>
    <s v="Maret"/>
    <s v="Division_A"/>
    <x v="8"/>
    <n v="2006"/>
    <n v="16"/>
    <s v="TM-Utama"/>
    <n v="15"/>
    <n v="1866"/>
    <s v="124.4"/>
    <x v="1"/>
    <n v="1.901"/>
    <n v="28507.8"/>
    <n v="28.507999999999999"/>
    <d v="2022-03-01T00:00:00"/>
    <x v="0"/>
    <x v="0"/>
  </r>
  <r>
    <x v="10"/>
    <x v="3"/>
    <s v="April"/>
    <s v="Division_A"/>
    <x v="8"/>
    <n v="2006"/>
    <n v="16"/>
    <s v="TM-Utama"/>
    <n v="15"/>
    <n v="1866"/>
    <s v="124.4"/>
    <x v="1"/>
    <n v="2.173"/>
    <n v="32594.400000000001"/>
    <n v="32.594000000000001"/>
    <d v="2022-04-01T00:00:00"/>
    <x v="0"/>
    <x v="0"/>
  </r>
  <r>
    <x v="10"/>
    <x v="4"/>
    <s v="Mei"/>
    <s v="Division_A"/>
    <x v="8"/>
    <n v="2006"/>
    <n v="16"/>
    <s v="TM-Utama"/>
    <n v="15"/>
    <n v="1866"/>
    <s v="124.4"/>
    <x v="1"/>
    <n v="1.996"/>
    <n v="29935.3"/>
    <n v="29.934999999999999"/>
    <d v="2022-05-01T00:00:00"/>
    <x v="0"/>
    <x v="0"/>
  </r>
  <r>
    <x v="10"/>
    <x v="5"/>
    <s v="Juni"/>
    <s v="Division_A"/>
    <x v="8"/>
    <n v="2006"/>
    <n v="16"/>
    <s v="TM-Utama"/>
    <n v="15"/>
    <n v="1866"/>
    <s v="124.4"/>
    <x v="1"/>
    <n v="2.1989999999999998"/>
    <n v="32986.199999999997"/>
    <n v="32.985999999999997"/>
    <d v="2022-06-01T00:00:00"/>
    <x v="0"/>
    <x v="0"/>
  </r>
  <r>
    <x v="10"/>
    <x v="6"/>
    <s v="Juli"/>
    <s v="Division_A"/>
    <x v="8"/>
    <n v="2006"/>
    <n v="16"/>
    <s v="TM-Utama"/>
    <n v="15"/>
    <n v="1866"/>
    <s v="124.4"/>
    <x v="1"/>
    <n v="1.278"/>
    <n v="19173.2"/>
    <n v="19.172999999999998"/>
    <d v="2022-07-01T00:00:00"/>
    <x v="0"/>
    <x v="0"/>
  </r>
  <r>
    <x v="10"/>
    <x v="7"/>
    <s v="Agustus"/>
    <s v="Division_A"/>
    <x v="8"/>
    <n v="2006"/>
    <n v="16"/>
    <s v="TM-Utama"/>
    <n v="15"/>
    <n v="1866"/>
    <s v="124.4"/>
    <x v="1"/>
    <n v="2.1589999999999998"/>
    <n v="32384.400000000001"/>
    <n v="32.384"/>
    <d v="2022-08-01T00:00:00"/>
    <x v="0"/>
    <x v="0"/>
  </r>
  <r>
    <x v="10"/>
    <x v="8"/>
    <s v="September"/>
    <s v="Division_A"/>
    <x v="8"/>
    <n v="2006"/>
    <n v="16"/>
    <s v="TM-Utama"/>
    <n v="15"/>
    <n v="1866"/>
    <s v="124.4"/>
    <x v="1"/>
    <n v="2.33"/>
    <n v="34945.5"/>
    <n v="34.945999999999998"/>
    <d v="2022-09-01T00:00:00"/>
    <x v="0"/>
    <x v="0"/>
  </r>
  <r>
    <x v="10"/>
    <x v="9"/>
    <s v="Oktober"/>
    <s v="Division_A"/>
    <x v="8"/>
    <n v="2006"/>
    <n v="16"/>
    <s v="TM-Utama"/>
    <n v="15"/>
    <n v="1866"/>
    <s v="124.4"/>
    <x v="1"/>
    <n v="2.2120000000000002"/>
    <n v="33182.1"/>
    <n v="33.182000000000002"/>
    <d v="2022-10-01T00:00:00"/>
    <x v="0"/>
    <x v="0"/>
  </r>
  <r>
    <x v="10"/>
    <x v="10"/>
    <s v="November"/>
    <s v="Division_A"/>
    <x v="8"/>
    <n v="2006"/>
    <n v="16"/>
    <s v="TM-Utama"/>
    <n v="15"/>
    <n v="1866"/>
    <s v="124.4"/>
    <x v="1"/>
    <n v="1.98"/>
    <n v="29697.4"/>
    <n v="29.696999999999999"/>
    <d v="2022-11-01T00:00:00"/>
    <x v="0"/>
    <x v="0"/>
  </r>
  <r>
    <x v="10"/>
    <x v="11"/>
    <s v="Desember"/>
    <s v="Division_A"/>
    <x v="8"/>
    <n v="2006"/>
    <n v="16"/>
    <s v="TM-Utama"/>
    <n v="15"/>
    <n v="1866"/>
    <s v="124.4"/>
    <x v="1"/>
    <n v="2.0030000000000001"/>
    <n v="30047.3"/>
    <n v="30.047000000000001"/>
    <d v="2022-12-01T00:00:00"/>
    <x v="0"/>
    <x v="0"/>
  </r>
  <r>
    <x v="10"/>
    <x v="0"/>
    <s v="Januari"/>
    <s v="Division_A"/>
    <x v="9"/>
    <n v="2006"/>
    <n v="16"/>
    <s v="TM-Utama"/>
    <n v="25"/>
    <n v="3154"/>
    <s v="126.2"/>
    <x v="1"/>
    <n v="0.44800000000000001"/>
    <n v="11188.8"/>
    <n v="11.189"/>
    <d v="2022-01-01T00:00:00"/>
    <x v="0"/>
    <x v="0"/>
  </r>
  <r>
    <x v="10"/>
    <x v="1"/>
    <s v="Februari"/>
    <s v="Division_A"/>
    <x v="9"/>
    <n v="2006"/>
    <n v="16"/>
    <s v="TM-Utama"/>
    <n v="25"/>
    <n v="3154"/>
    <s v="126.2"/>
    <x v="1"/>
    <n v="1.609"/>
    <n v="40213.5"/>
    <n v="40.213000000000001"/>
    <d v="2022-02-01T00:00:00"/>
    <x v="0"/>
    <x v="0"/>
  </r>
  <r>
    <x v="10"/>
    <x v="2"/>
    <s v="Maret"/>
    <s v="Division_A"/>
    <x v="9"/>
    <n v="2006"/>
    <n v="16"/>
    <s v="TM-Utama"/>
    <n v="25"/>
    <n v="3154"/>
    <s v="126.2"/>
    <x v="1"/>
    <n v="1.927"/>
    <n v="48185.2"/>
    <n v="48.185000000000002"/>
    <d v="2022-03-01T00:00:00"/>
    <x v="0"/>
    <x v="0"/>
  </r>
  <r>
    <x v="10"/>
    <x v="3"/>
    <s v="April"/>
    <s v="Division_A"/>
    <x v="9"/>
    <n v="2006"/>
    <n v="16"/>
    <s v="TM-Utama"/>
    <n v="25"/>
    <n v="3154"/>
    <s v="126.2"/>
    <x v="1"/>
    <n v="2.2040000000000002"/>
    <n v="55092.5"/>
    <n v="55.091999999999999"/>
    <d v="2022-04-01T00:00:00"/>
    <x v="0"/>
    <x v="0"/>
  </r>
  <r>
    <x v="10"/>
    <x v="4"/>
    <s v="Mei"/>
    <s v="Division_A"/>
    <x v="9"/>
    <n v="2006"/>
    <n v="16"/>
    <s v="TM-Utama"/>
    <n v="25"/>
    <n v="3154"/>
    <s v="126.2"/>
    <x v="1"/>
    <n v="2.024"/>
    <n v="50598"/>
    <n v="50.597999999999999"/>
    <d v="2022-05-01T00:00:00"/>
    <x v="0"/>
    <x v="0"/>
  </r>
  <r>
    <x v="10"/>
    <x v="5"/>
    <s v="Juni"/>
    <s v="Division_A"/>
    <x v="9"/>
    <n v="2006"/>
    <n v="16"/>
    <s v="TM-Utama"/>
    <n v="25"/>
    <n v="3154"/>
    <s v="126.2"/>
    <x v="1"/>
    <n v="2.23"/>
    <n v="55754.8"/>
    <n v="55.755000000000003"/>
    <d v="2022-06-01T00:00:00"/>
    <x v="0"/>
    <x v="0"/>
  </r>
  <r>
    <x v="10"/>
    <x v="6"/>
    <s v="Juli"/>
    <s v="Division_A"/>
    <x v="9"/>
    <n v="2006"/>
    <n v="16"/>
    <s v="TM-Utama"/>
    <n v="25"/>
    <n v="3154"/>
    <s v="126.2"/>
    <x v="1"/>
    <n v="1.296"/>
    <n v="32407.4"/>
    <n v="32.406999999999996"/>
    <d v="2022-07-01T00:00:00"/>
    <x v="0"/>
    <x v="0"/>
  </r>
  <r>
    <x v="10"/>
    <x v="7"/>
    <s v="Agustus"/>
    <s v="Division_A"/>
    <x v="9"/>
    <n v="2006"/>
    <n v="16"/>
    <s v="TM-Utama"/>
    <n v="25"/>
    <n v="3154"/>
    <s v="126.2"/>
    <x v="1"/>
    <n v="2.19"/>
    <n v="54737.7"/>
    <n v="54.738"/>
    <d v="2022-08-01T00:00:00"/>
    <x v="0"/>
    <x v="0"/>
  </r>
  <r>
    <x v="10"/>
    <x v="8"/>
    <s v="September"/>
    <s v="Division_A"/>
    <x v="9"/>
    <n v="2006"/>
    <n v="16"/>
    <s v="TM-Utama"/>
    <n v="25"/>
    <n v="3154"/>
    <s v="126.2"/>
    <x v="1"/>
    <n v="2.363"/>
    <n v="59066.5"/>
    <n v="59.067"/>
    <d v="2022-09-01T00:00:00"/>
    <x v="0"/>
    <x v="0"/>
  </r>
  <r>
    <x v="10"/>
    <x v="9"/>
    <s v="Oktober"/>
    <s v="Division_A"/>
    <x v="9"/>
    <n v="2006"/>
    <n v="16"/>
    <s v="TM-Utama"/>
    <n v="25"/>
    <n v="3154"/>
    <s v="126.2"/>
    <x v="1"/>
    <n v="2.2429999999999999"/>
    <n v="56086"/>
    <n v="56.085999999999999"/>
    <d v="2022-10-01T00:00:00"/>
    <x v="0"/>
    <x v="0"/>
  </r>
  <r>
    <x v="10"/>
    <x v="10"/>
    <s v="November"/>
    <s v="Division_A"/>
    <x v="9"/>
    <n v="2006"/>
    <n v="16"/>
    <s v="TM-Utama"/>
    <n v="25"/>
    <n v="3154"/>
    <s v="126.2"/>
    <x v="1"/>
    <n v="2.008"/>
    <n v="50195.9"/>
    <n v="50.195999999999998"/>
    <d v="2022-11-01T00:00:00"/>
    <x v="0"/>
    <x v="0"/>
  </r>
  <r>
    <x v="10"/>
    <x v="11"/>
    <s v="Desember"/>
    <s v="Division_A"/>
    <x v="9"/>
    <n v="2006"/>
    <n v="16"/>
    <s v="TM-Utama"/>
    <n v="25"/>
    <n v="3154"/>
    <s v="126.2"/>
    <x v="1"/>
    <n v="2.0310000000000001"/>
    <n v="50787.3"/>
    <n v="50.786999999999999"/>
    <d v="2022-12-01T00:00:00"/>
    <x v="0"/>
    <x v="0"/>
  </r>
  <r>
    <x v="10"/>
    <x v="0"/>
    <s v="Januari"/>
    <s v="Division_A"/>
    <x v="10"/>
    <n v="2006"/>
    <n v="16"/>
    <s v="TM-Utama"/>
    <n v="35"/>
    <n v="4204"/>
    <s v="120.1"/>
    <x v="1"/>
    <n v="0.42599999999999999"/>
    <n v="14913.7"/>
    <n v="14.914"/>
    <d v="2022-01-01T00:00:00"/>
    <x v="0"/>
    <x v="0"/>
  </r>
  <r>
    <x v="10"/>
    <x v="1"/>
    <s v="Februari"/>
    <s v="Division_A"/>
    <x v="10"/>
    <n v="2006"/>
    <n v="16"/>
    <s v="TM-Utama"/>
    <n v="35"/>
    <n v="4204"/>
    <s v="120.1"/>
    <x v="1"/>
    <n v="1.5309999999999999"/>
    <n v="53601"/>
    <n v="53.600999999999999"/>
    <d v="2022-02-01T00:00:00"/>
    <x v="0"/>
    <x v="0"/>
  </r>
  <r>
    <x v="10"/>
    <x v="2"/>
    <s v="Maret"/>
    <s v="Division_A"/>
    <x v="10"/>
    <n v="2006"/>
    <n v="16"/>
    <s v="TM-Utama"/>
    <n v="35"/>
    <n v="4204"/>
    <s v="120.1"/>
    <x v="1"/>
    <n v="1.835"/>
    <n v="64226.6"/>
    <n v="64.227000000000004"/>
    <d v="2022-03-01T00:00:00"/>
    <x v="0"/>
    <x v="0"/>
  </r>
  <r>
    <x v="10"/>
    <x v="3"/>
    <s v="April"/>
    <s v="Division_A"/>
    <x v="10"/>
    <n v="2006"/>
    <n v="16"/>
    <s v="TM-Utama"/>
    <n v="35"/>
    <n v="4204"/>
    <s v="120.1"/>
    <x v="1"/>
    <n v="2.0979999999999999"/>
    <n v="73433.399999999994"/>
    <n v="73.433000000000007"/>
    <d v="2022-04-01T00:00:00"/>
    <x v="0"/>
    <x v="0"/>
  </r>
  <r>
    <x v="10"/>
    <x v="4"/>
    <s v="Mei"/>
    <s v="Division_A"/>
    <x v="10"/>
    <n v="2006"/>
    <n v="16"/>
    <s v="TM-Utama"/>
    <n v="35"/>
    <n v="4204"/>
    <s v="120.1"/>
    <x v="1"/>
    <n v="1.927"/>
    <n v="67442.7"/>
    <n v="67.442999999999998"/>
    <d v="2022-05-01T00:00:00"/>
    <x v="0"/>
    <x v="0"/>
  </r>
  <r>
    <x v="10"/>
    <x v="5"/>
    <s v="Juni"/>
    <s v="Division_A"/>
    <x v="10"/>
    <n v="2006"/>
    <n v="16"/>
    <s v="TM-Utama"/>
    <n v="35"/>
    <n v="4204"/>
    <s v="120.1"/>
    <x v="1"/>
    <n v="2.1230000000000002"/>
    <n v="74316.2"/>
    <n v="74.316000000000003"/>
    <d v="2022-06-01T00:00:00"/>
    <x v="0"/>
    <x v="0"/>
  </r>
  <r>
    <x v="10"/>
    <x v="6"/>
    <s v="Juli"/>
    <s v="Division_A"/>
    <x v="10"/>
    <n v="2006"/>
    <n v="16"/>
    <s v="TM-Utama"/>
    <n v="35"/>
    <n v="4204"/>
    <s v="120.1"/>
    <x v="1"/>
    <n v="1.234"/>
    <n v="43196.1"/>
    <n v="43.195999999999998"/>
    <d v="2022-07-01T00:00:00"/>
    <x v="0"/>
    <x v="0"/>
  </r>
  <r>
    <x v="10"/>
    <x v="7"/>
    <s v="Agustus"/>
    <s v="Division_A"/>
    <x v="10"/>
    <n v="2006"/>
    <n v="16"/>
    <s v="TM-Utama"/>
    <n v="35"/>
    <n v="4204"/>
    <s v="120.1"/>
    <x v="1"/>
    <n v="2.085"/>
    <n v="72960.399999999994"/>
    <n v="72.959999999999994"/>
    <d v="2022-08-01T00:00:00"/>
    <x v="0"/>
    <x v="0"/>
  </r>
  <r>
    <x v="10"/>
    <x v="8"/>
    <s v="September"/>
    <s v="Division_A"/>
    <x v="10"/>
    <n v="2006"/>
    <n v="16"/>
    <s v="TM-Utama"/>
    <n v="35"/>
    <n v="4204"/>
    <s v="120.1"/>
    <x v="1"/>
    <n v="2.2490000000000001"/>
    <n v="78730.399999999994"/>
    <n v="78.73"/>
    <d v="2022-09-01T00:00:00"/>
    <x v="0"/>
    <x v="0"/>
  </r>
  <r>
    <x v="10"/>
    <x v="9"/>
    <s v="Oktober"/>
    <s v="Division_A"/>
    <x v="10"/>
    <n v="2006"/>
    <n v="16"/>
    <s v="TM-Utama"/>
    <n v="35"/>
    <n v="4204"/>
    <s v="120.1"/>
    <x v="1"/>
    <n v="2.1360000000000001"/>
    <n v="74757.600000000006"/>
    <n v="74.757999999999996"/>
    <d v="2022-10-01T00:00:00"/>
    <x v="0"/>
    <x v="0"/>
  </r>
  <r>
    <x v="10"/>
    <x v="10"/>
    <s v="November"/>
    <s v="Division_A"/>
    <x v="10"/>
    <n v="2006"/>
    <n v="16"/>
    <s v="TM-Utama"/>
    <n v="35"/>
    <n v="4204"/>
    <s v="120.1"/>
    <x v="1"/>
    <n v="1.9119999999999999"/>
    <n v="66906.7"/>
    <n v="66.906999999999996"/>
    <d v="2022-11-01T00:00:00"/>
    <x v="0"/>
    <x v="0"/>
  </r>
  <r>
    <x v="10"/>
    <x v="11"/>
    <s v="Desember"/>
    <s v="Division_A"/>
    <x v="10"/>
    <n v="2006"/>
    <n v="16"/>
    <s v="TM-Utama"/>
    <n v="35"/>
    <n v="4204"/>
    <s v="120.1"/>
    <x v="1"/>
    <n v="1.9339999999999999"/>
    <n v="67694.899999999994"/>
    <n v="67.694999999999993"/>
    <d v="2022-12-01T00:00:00"/>
    <x v="0"/>
    <x v="0"/>
  </r>
  <r>
    <x v="10"/>
    <x v="0"/>
    <s v="Januari"/>
    <s v="Division_A"/>
    <x v="11"/>
    <n v="2012"/>
    <n v="10"/>
    <s v="TM-Utama"/>
    <n v="10"/>
    <n v="1434"/>
    <s v="143.4"/>
    <x v="1"/>
    <n v="0.50900000000000001"/>
    <n v="5087.1000000000004"/>
    <n v="5.0869999999999997"/>
    <d v="2022-01-01T00:00:00"/>
    <x v="0"/>
    <x v="1"/>
  </r>
  <r>
    <x v="10"/>
    <x v="1"/>
    <s v="Februari"/>
    <s v="Division_A"/>
    <x v="11"/>
    <n v="2012"/>
    <n v="10"/>
    <s v="TM-Utama"/>
    <n v="10"/>
    <n v="1434"/>
    <s v="143.4"/>
    <x v="1"/>
    <n v="1.8280000000000001"/>
    <n v="18283.5"/>
    <n v="18.283999999999999"/>
    <d v="2022-02-01T00:00:00"/>
    <x v="0"/>
    <x v="1"/>
  </r>
  <r>
    <x v="10"/>
    <x v="2"/>
    <s v="Maret"/>
    <s v="Division_A"/>
    <x v="11"/>
    <n v="2012"/>
    <n v="10"/>
    <s v="TM-Utama"/>
    <n v="10"/>
    <n v="1434"/>
    <s v="143.4"/>
    <x v="1"/>
    <n v="2.1909999999999998"/>
    <n v="21907.9"/>
    <n v="21.908000000000001"/>
    <d v="2022-03-01T00:00:00"/>
    <x v="0"/>
    <x v="1"/>
  </r>
  <r>
    <x v="10"/>
    <x v="3"/>
    <s v="April"/>
    <s v="Division_A"/>
    <x v="11"/>
    <n v="2012"/>
    <n v="10"/>
    <s v="TM-Utama"/>
    <n v="10"/>
    <n v="1434"/>
    <s v="143.4"/>
    <x v="1"/>
    <n v="2.5049999999999999"/>
    <n v="25048.400000000001"/>
    <n v="25.047999999999998"/>
    <d v="2022-04-01T00:00:00"/>
    <x v="0"/>
    <x v="1"/>
  </r>
  <r>
    <x v="10"/>
    <x v="4"/>
    <s v="Mei"/>
    <s v="Division_A"/>
    <x v="11"/>
    <n v="2012"/>
    <n v="10"/>
    <s v="TM-Utama"/>
    <n v="10"/>
    <n v="1434"/>
    <s v="143.4"/>
    <x v="1"/>
    <n v="2.2999999999999998"/>
    <n v="23004.9"/>
    <n v="23.004999999999999"/>
    <d v="2022-05-01T00:00:00"/>
    <x v="0"/>
    <x v="1"/>
  </r>
  <r>
    <x v="10"/>
    <x v="5"/>
    <s v="Juni"/>
    <s v="Division_A"/>
    <x v="11"/>
    <n v="2012"/>
    <n v="10"/>
    <s v="TM-Utama"/>
    <n v="10"/>
    <n v="1434"/>
    <s v="143.4"/>
    <x v="1"/>
    <n v="2.5350000000000001"/>
    <n v="25349.5"/>
    <n v="25.35"/>
    <d v="2022-06-01T00:00:00"/>
    <x v="0"/>
    <x v="1"/>
  </r>
  <r>
    <x v="10"/>
    <x v="6"/>
    <s v="Juli"/>
    <s v="Division_A"/>
    <x v="11"/>
    <n v="2012"/>
    <n v="10"/>
    <s v="TM-Utama"/>
    <n v="10"/>
    <n v="1434"/>
    <s v="143.4"/>
    <x v="1"/>
    <n v="1.4730000000000001"/>
    <n v="14734.4"/>
    <n v="14.734"/>
    <d v="2022-07-01T00:00:00"/>
    <x v="0"/>
    <x v="1"/>
  </r>
  <r>
    <x v="10"/>
    <x v="7"/>
    <s v="Agustus"/>
    <s v="Division_A"/>
    <x v="11"/>
    <n v="2012"/>
    <n v="10"/>
    <s v="TM-Utama"/>
    <n v="10"/>
    <n v="1434"/>
    <s v="143.4"/>
    <x v="1"/>
    <n v="2.4889999999999999"/>
    <n v="24887.1"/>
    <n v="24.887"/>
    <d v="2022-08-01T00:00:00"/>
    <x v="0"/>
    <x v="1"/>
  </r>
  <r>
    <x v="10"/>
    <x v="8"/>
    <s v="September"/>
    <s v="Division_A"/>
    <x v="11"/>
    <n v="2012"/>
    <n v="10"/>
    <s v="TM-Utama"/>
    <n v="10"/>
    <n v="1434"/>
    <s v="143.4"/>
    <x v="1"/>
    <n v="2.6859999999999999"/>
    <n v="26855.200000000001"/>
    <n v="26.855"/>
    <d v="2022-09-01T00:00:00"/>
    <x v="0"/>
    <x v="1"/>
  </r>
  <r>
    <x v="10"/>
    <x v="9"/>
    <s v="Oktober"/>
    <s v="Division_A"/>
    <x v="11"/>
    <n v="2012"/>
    <n v="10"/>
    <s v="TM-Utama"/>
    <n v="10"/>
    <n v="1434"/>
    <s v="143.4"/>
    <x v="1"/>
    <n v="2.5499999999999998"/>
    <n v="25500.1"/>
    <n v="25.5"/>
    <d v="2022-10-01T00:00:00"/>
    <x v="0"/>
    <x v="1"/>
  </r>
  <r>
    <x v="10"/>
    <x v="10"/>
    <s v="November"/>
    <s v="Division_A"/>
    <x v="11"/>
    <n v="2012"/>
    <n v="10"/>
    <s v="TM-Utama"/>
    <n v="10"/>
    <n v="1434"/>
    <s v="143.4"/>
    <x v="1"/>
    <n v="2.282"/>
    <n v="22822.1"/>
    <n v="22.821999999999999"/>
    <d v="2022-11-01T00:00:00"/>
    <x v="0"/>
    <x v="1"/>
  </r>
  <r>
    <x v="10"/>
    <x v="11"/>
    <s v="Desember"/>
    <s v="Division_A"/>
    <x v="11"/>
    <n v="2012"/>
    <n v="10"/>
    <s v="TM-Utama"/>
    <n v="10"/>
    <n v="1434"/>
    <s v="143.4"/>
    <x v="1"/>
    <n v="2.3090000000000002"/>
    <n v="23091"/>
    <n v="23.091000000000001"/>
    <d v="2022-12-01T00:00:00"/>
    <x v="0"/>
    <x v="1"/>
  </r>
  <r>
    <x v="10"/>
    <x v="0"/>
    <s v="Januari"/>
    <s v="Division_A"/>
    <x v="12"/>
    <n v="2012"/>
    <n v="10"/>
    <s v="TM-Utama"/>
    <n v="24"/>
    <n v="3074"/>
    <s v="128.1"/>
    <x v="2"/>
    <n v="0.45400000000000001"/>
    <n v="10905"/>
    <n v="10.904999999999999"/>
    <d v="2022-01-01T00:00:00"/>
    <x v="0"/>
    <x v="1"/>
  </r>
  <r>
    <x v="10"/>
    <x v="1"/>
    <s v="Februari"/>
    <s v="Division_A"/>
    <x v="12"/>
    <n v="2012"/>
    <n v="10"/>
    <s v="TM-Utama"/>
    <n v="24"/>
    <n v="3074"/>
    <s v="128.1"/>
    <x v="2"/>
    <n v="1.633"/>
    <n v="39193.5"/>
    <n v="39.194000000000003"/>
    <d v="2022-02-01T00:00:00"/>
    <x v="0"/>
    <x v="1"/>
  </r>
  <r>
    <x v="10"/>
    <x v="2"/>
    <s v="Maret"/>
    <s v="Division_A"/>
    <x v="12"/>
    <n v="2012"/>
    <n v="10"/>
    <s v="TM-Utama"/>
    <n v="24"/>
    <n v="3074"/>
    <s v="128.1"/>
    <x v="2"/>
    <n v="1.9570000000000001"/>
    <n v="46963"/>
    <n v="46.963000000000001"/>
    <d v="2022-03-01T00:00:00"/>
    <x v="0"/>
    <x v="1"/>
  </r>
  <r>
    <x v="10"/>
    <x v="3"/>
    <s v="April"/>
    <s v="Division_A"/>
    <x v="12"/>
    <n v="2012"/>
    <n v="10"/>
    <s v="TM-Utama"/>
    <n v="24"/>
    <n v="3074"/>
    <s v="128.1"/>
    <x v="2"/>
    <n v="2.2370000000000001"/>
    <n v="53695.1"/>
    <n v="53.695"/>
    <d v="2022-04-01T00:00:00"/>
    <x v="0"/>
    <x v="1"/>
  </r>
  <r>
    <x v="10"/>
    <x v="4"/>
    <s v="Mei"/>
    <s v="Division_A"/>
    <x v="12"/>
    <n v="2012"/>
    <n v="10"/>
    <s v="TM-Utama"/>
    <n v="24"/>
    <n v="3074"/>
    <s v="128.1"/>
    <x v="2"/>
    <n v="2.0550000000000002"/>
    <n v="49314.6"/>
    <n v="49.314999999999998"/>
    <d v="2022-05-01T00:00:00"/>
    <x v="0"/>
    <x v="1"/>
  </r>
  <r>
    <x v="10"/>
    <x v="5"/>
    <s v="Juni"/>
    <s v="Division_A"/>
    <x v="12"/>
    <n v="2012"/>
    <n v="10"/>
    <s v="TM-Utama"/>
    <n v="24"/>
    <n v="3074"/>
    <s v="128.1"/>
    <x v="2"/>
    <n v="2.2639999999999998"/>
    <n v="54340.6"/>
    <n v="54.341000000000001"/>
    <d v="2022-06-01T00:00:00"/>
    <x v="0"/>
    <x v="1"/>
  </r>
  <r>
    <x v="10"/>
    <x v="6"/>
    <s v="Juli"/>
    <s v="Division_A"/>
    <x v="12"/>
    <n v="2012"/>
    <n v="10"/>
    <s v="TM-Utama"/>
    <n v="24"/>
    <n v="3074"/>
    <s v="128.1"/>
    <x v="2"/>
    <n v="1.3160000000000001"/>
    <n v="31585.4"/>
    <n v="31.585000000000001"/>
    <d v="2022-07-01T00:00:00"/>
    <x v="0"/>
    <x v="1"/>
  </r>
  <r>
    <x v="10"/>
    <x v="7"/>
    <s v="Agustus"/>
    <s v="Division_A"/>
    <x v="12"/>
    <n v="2012"/>
    <n v="10"/>
    <s v="TM-Utama"/>
    <n v="24"/>
    <n v="3074"/>
    <s v="128.1"/>
    <x v="2"/>
    <n v="2.2229999999999999"/>
    <n v="53349.3"/>
    <n v="53.348999999999997"/>
    <d v="2022-08-01T00:00:00"/>
    <x v="0"/>
    <x v="1"/>
  </r>
  <r>
    <x v="10"/>
    <x v="8"/>
    <s v="September"/>
    <s v="Division_A"/>
    <x v="12"/>
    <n v="2012"/>
    <n v="10"/>
    <s v="TM-Utama"/>
    <n v="24"/>
    <n v="3074"/>
    <s v="128.1"/>
    <x v="2"/>
    <n v="2.399"/>
    <n v="57568.3"/>
    <n v="57.567999999999998"/>
    <d v="2022-09-01T00:00:00"/>
    <x v="0"/>
    <x v="1"/>
  </r>
  <r>
    <x v="10"/>
    <x v="9"/>
    <s v="Oktober"/>
    <s v="Division_A"/>
    <x v="12"/>
    <n v="2012"/>
    <n v="10"/>
    <s v="TM-Utama"/>
    <n v="24"/>
    <n v="3074"/>
    <s v="128.1"/>
    <x v="2"/>
    <n v="2.278"/>
    <n v="54663.4"/>
    <n v="54.662999999999997"/>
    <d v="2022-10-01T00:00:00"/>
    <x v="0"/>
    <x v="1"/>
  </r>
  <r>
    <x v="10"/>
    <x v="10"/>
    <s v="November"/>
    <s v="Division_A"/>
    <x v="12"/>
    <n v="2012"/>
    <n v="10"/>
    <s v="TM-Utama"/>
    <n v="24"/>
    <n v="3074"/>
    <s v="128.1"/>
    <x v="2"/>
    <n v="2.0379999999999998"/>
    <n v="48922.7"/>
    <n v="48.923000000000002"/>
    <d v="2022-11-01T00:00:00"/>
    <x v="0"/>
    <x v="1"/>
  </r>
  <r>
    <x v="10"/>
    <x v="11"/>
    <s v="Desember"/>
    <s v="Division_A"/>
    <x v="12"/>
    <n v="2012"/>
    <n v="10"/>
    <s v="TM-Utama"/>
    <n v="24"/>
    <n v="3074"/>
    <s v="128.1"/>
    <x v="2"/>
    <n v="2.0619999999999998"/>
    <n v="49499.1"/>
    <n v="49.499000000000002"/>
    <d v="2022-12-01T00:00:00"/>
    <x v="0"/>
    <x v="1"/>
  </r>
  <r>
    <x v="10"/>
    <x v="0"/>
    <s v="Januari"/>
    <s v="Division_A"/>
    <x v="13"/>
    <n v="2012"/>
    <n v="10"/>
    <s v="TM-Utama"/>
    <n v="19"/>
    <n v="2418"/>
    <s v="127.3"/>
    <x v="2"/>
    <n v="0.45100000000000001"/>
    <n v="8577.9"/>
    <n v="8.5779999999999994"/>
    <d v="2022-01-01T00:00:00"/>
    <x v="0"/>
    <x v="1"/>
  </r>
  <r>
    <x v="10"/>
    <x v="1"/>
    <s v="Februari"/>
    <s v="Division_A"/>
    <x v="13"/>
    <n v="2012"/>
    <n v="10"/>
    <s v="TM-Utama"/>
    <n v="19"/>
    <n v="2418"/>
    <s v="127.3"/>
    <x v="2"/>
    <n v="1.623"/>
    <n v="30829.5"/>
    <n v="30.829000000000001"/>
    <d v="2022-02-01T00:00:00"/>
    <x v="0"/>
    <x v="1"/>
  </r>
  <r>
    <x v="10"/>
    <x v="2"/>
    <s v="Maret"/>
    <s v="Division_A"/>
    <x v="13"/>
    <n v="2012"/>
    <n v="10"/>
    <s v="TM-Utama"/>
    <n v="19"/>
    <n v="2418"/>
    <s v="127.3"/>
    <x v="2"/>
    <n v="1.944"/>
    <n v="36941"/>
    <n v="36.941000000000003"/>
    <d v="2022-03-01T00:00:00"/>
    <x v="0"/>
    <x v="1"/>
  </r>
  <r>
    <x v="10"/>
    <x v="3"/>
    <s v="April"/>
    <s v="Division_A"/>
    <x v="13"/>
    <n v="2012"/>
    <n v="10"/>
    <s v="TM-Utama"/>
    <n v="19"/>
    <n v="2418"/>
    <s v="127.3"/>
    <x v="2"/>
    <n v="2.2229999999999999"/>
    <n v="42236.4"/>
    <n v="42.235999999999997"/>
    <d v="2022-04-01T00:00:00"/>
    <x v="0"/>
    <x v="1"/>
  </r>
  <r>
    <x v="10"/>
    <x v="4"/>
    <s v="Mei"/>
    <s v="Division_A"/>
    <x v="13"/>
    <n v="2012"/>
    <n v="10"/>
    <s v="TM-Utama"/>
    <n v="19"/>
    <n v="2418"/>
    <s v="127.3"/>
    <x v="2"/>
    <n v="2.0419999999999998"/>
    <n v="38790.800000000003"/>
    <n v="38.790999999999997"/>
    <d v="2022-05-01T00:00:00"/>
    <x v="0"/>
    <x v="1"/>
  </r>
  <r>
    <x v="10"/>
    <x v="5"/>
    <s v="Juni"/>
    <s v="Division_A"/>
    <x v="13"/>
    <n v="2012"/>
    <n v="10"/>
    <s v="TM-Utama"/>
    <n v="19"/>
    <n v="2418"/>
    <s v="127.3"/>
    <x v="2"/>
    <n v="2.25"/>
    <n v="42744.2"/>
    <n v="42.744"/>
    <d v="2022-06-01T00:00:00"/>
    <x v="0"/>
    <x v="1"/>
  </r>
  <r>
    <x v="10"/>
    <x v="6"/>
    <s v="Juli"/>
    <s v="Division_A"/>
    <x v="13"/>
    <n v="2012"/>
    <n v="10"/>
    <s v="TM-Utama"/>
    <n v="19"/>
    <n v="2418"/>
    <s v="127.3"/>
    <x v="2"/>
    <n v="1.3080000000000001"/>
    <n v="24845"/>
    <n v="24.844999999999999"/>
    <d v="2022-07-01T00:00:00"/>
    <x v="0"/>
    <x v="1"/>
  </r>
  <r>
    <x v="10"/>
    <x v="7"/>
    <s v="Agustus"/>
    <s v="Division_A"/>
    <x v="13"/>
    <n v="2012"/>
    <n v="10"/>
    <s v="TM-Utama"/>
    <n v="19"/>
    <n v="2418"/>
    <s v="127.3"/>
    <x v="2"/>
    <n v="2.2090000000000001"/>
    <n v="41964.4"/>
    <n v="41.963999999999999"/>
    <d v="2022-08-01T00:00:00"/>
    <x v="0"/>
    <x v="1"/>
  </r>
  <r>
    <x v="10"/>
    <x v="8"/>
    <s v="September"/>
    <s v="Division_A"/>
    <x v="13"/>
    <n v="2012"/>
    <n v="10"/>
    <s v="TM-Utama"/>
    <n v="19"/>
    <n v="2418"/>
    <s v="127.3"/>
    <x v="2"/>
    <n v="2.383"/>
    <n v="45283.1"/>
    <n v="45.283000000000001"/>
    <d v="2022-09-01T00:00:00"/>
    <x v="0"/>
    <x v="1"/>
  </r>
  <r>
    <x v="10"/>
    <x v="9"/>
    <s v="Oktober"/>
    <s v="Division_A"/>
    <x v="13"/>
    <n v="2012"/>
    <n v="10"/>
    <s v="TM-Utama"/>
    <n v="19"/>
    <n v="2418"/>
    <s v="127.3"/>
    <x v="2"/>
    <n v="2.2629999999999999"/>
    <n v="42998.1"/>
    <n v="42.997999999999998"/>
    <d v="2022-10-01T00:00:00"/>
    <x v="0"/>
    <x v="1"/>
  </r>
  <r>
    <x v="10"/>
    <x v="10"/>
    <s v="November"/>
    <s v="Division_A"/>
    <x v="13"/>
    <n v="2012"/>
    <n v="10"/>
    <s v="TM-Utama"/>
    <n v="19"/>
    <n v="2418"/>
    <s v="127.3"/>
    <x v="2"/>
    <n v="2.0249999999999999"/>
    <n v="38482.5"/>
    <n v="38.481999999999999"/>
    <d v="2022-11-01T00:00:00"/>
    <x v="0"/>
    <x v="1"/>
  </r>
  <r>
    <x v="10"/>
    <x v="11"/>
    <s v="Desember"/>
    <s v="Division_A"/>
    <x v="13"/>
    <n v="2012"/>
    <n v="10"/>
    <s v="TM-Utama"/>
    <n v="19"/>
    <n v="2418"/>
    <s v="127.3"/>
    <x v="2"/>
    <n v="2.0489999999999999"/>
    <n v="38935.800000000003"/>
    <n v="38.936"/>
    <d v="2022-12-01T00:00:00"/>
    <x v="0"/>
    <x v="1"/>
  </r>
  <r>
    <x v="10"/>
    <x v="0"/>
    <s v="Januari"/>
    <s v="Division_A"/>
    <x v="14"/>
    <n v="2012"/>
    <n v="10"/>
    <s v="TM-Utama"/>
    <n v="25"/>
    <n v="3205"/>
    <s v="128.2"/>
    <x v="2"/>
    <n v="0.45500000000000002"/>
    <n v="11369.7"/>
    <n v="11.37"/>
    <d v="2022-01-01T00:00:00"/>
    <x v="0"/>
    <x v="1"/>
  </r>
  <r>
    <x v="10"/>
    <x v="1"/>
    <s v="Februari"/>
    <s v="Division_A"/>
    <x v="14"/>
    <n v="2012"/>
    <n v="10"/>
    <s v="TM-Utama"/>
    <n v="25"/>
    <n v="3205"/>
    <s v="128.2"/>
    <x v="2"/>
    <n v="1.635"/>
    <n v="40863.699999999997"/>
    <n v="40.863999999999997"/>
    <d v="2022-02-01T00:00:00"/>
    <x v="0"/>
    <x v="1"/>
  </r>
  <r>
    <x v="10"/>
    <x v="2"/>
    <s v="Maret"/>
    <s v="Division_A"/>
    <x v="14"/>
    <n v="2012"/>
    <n v="10"/>
    <s v="TM-Utama"/>
    <n v="25"/>
    <n v="3205"/>
    <s v="128.2"/>
    <x v="2"/>
    <n v="1.9590000000000001"/>
    <n v="48964.4"/>
    <n v="48.963999999999999"/>
    <d v="2022-03-01T00:00:00"/>
    <x v="0"/>
    <x v="1"/>
  </r>
  <r>
    <x v="10"/>
    <x v="3"/>
    <s v="April"/>
    <s v="Division_A"/>
    <x v="14"/>
    <n v="2012"/>
    <n v="10"/>
    <s v="TM-Utama"/>
    <n v="25"/>
    <n v="3205"/>
    <s v="128.2"/>
    <x v="2"/>
    <n v="2.2389999999999999"/>
    <n v="55983.3"/>
    <n v="55.982999999999997"/>
    <d v="2022-04-01T00:00:00"/>
    <x v="0"/>
    <x v="1"/>
  </r>
  <r>
    <x v="10"/>
    <x v="4"/>
    <s v="Mei"/>
    <s v="Division_A"/>
    <x v="14"/>
    <n v="2012"/>
    <n v="10"/>
    <s v="TM-Utama"/>
    <n v="25"/>
    <n v="3205"/>
    <s v="128.2"/>
    <x v="2"/>
    <n v="2.0569999999999999"/>
    <n v="51416.2"/>
    <n v="51.415999999999997"/>
    <d v="2022-05-01T00:00:00"/>
    <x v="0"/>
    <x v="1"/>
  </r>
  <r>
    <x v="10"/>
    <x v="5"/>
    <s v="Juni"/>
    <s v="Division_A"/>
    <x v="14"/>
    <n v="2012"/>
    <n v="10"/>
    <s v="TM-Utama"/>
    <n v="25"/>
    <n v="3205"/>
    <s v="128.2"/>
    <x v="2"/>
    <n v="2.266"/>
    <n v="56656.4"/>
    <n v="56.655999999999999"/>
    <d v="2022-06-01T00:00:00"/>
    <x v="0"/>
    <x v="1"/>
  </r>
  <r>
    <x v="10"/>
    <x v="6"/>
    <s v="Juli"/>
    <s v="Division_A"/>
    <x v="14"/>
    <n v="2012"/>
    <n v="10"/>
    <s v="TM-Utama"/>
    <n v="25"/>
    <n v="3205"/>
    <s v="128.2"/>
    <x v="2"/>
    <n v="1.3169999999999999"/>
    <n v="32931.4"/>
    <n v="32.930999999999997"/>
    <d v="2022-07-01T00:00:00"/>
    <x v="0"/>
    <x v="1"/>
  </r>
  <r>
    <x v="10"/>
    <x v="7"/>
    <s v="Agustus"/>
    <s v="Division_A"/>
    <x v="14"/>
    <n v="2012"/>
    <n v="10"/>
    <s v="TM-Utama"/>
    <n v="25"/>
    <n v="3205"/>
    <s v="128.2"/>
    <x v="2"/>
    <n v="2.2250000000000001"/>
    <n v="55622.8"/>
    <n v="55.622999999999998"/>
    <d v="2022-08-01T00:00:00"/>
    <x v="0"/>
    <x v="1"/>
  </r>
  <r>
    <x v="10"/>
    <x v="8"/>
    <s v="September"/>
    <s v="Division_A"/>
    <x v="14"/>
    <n v="2012"/>
    <n v="10"/>
    <s v="TM-Utama"/>
    <n v="25"/>
    <n v="3205"/>
    <s v="128.2"/>
    <x v="2"/>
    <n v="2.4009999999999998"/>
    <n v="60021.599999999999"/>
    <n v="60.021999999999998"/>
    <d v="2022-09-01T00:00:00"/>
    <x v="0"/>
    <x v="1"/>
  </r>
  <r>
    <x v="10"/>
    <x v="9"/>
    <s v="Oktober"/>
    <s v="Division_A"/>
    <x v="14"/>
    <n v="2012"/>
    <n v="10"/>
    <s v="TM-Utama"/>
    <n v="25"/>
    <n v="3205"/>
    <s v="128.2"/>
    <x v="2"/>
    <n v="2.2799999999999998"/>
    <n v="56992.9"/>
    <n v="56.993000000000002"/>
    <d v="2022-10-01T00:00:00"/>
    <x v="0"/>
    <x v="1"/>
  </r>
  <r>
    <x v="10"/>
    <x v="10"/>
    <s v="November"/>
    <s v="Division_A"/>
    <x v="14"/>
    <n v="2012"/>
    <n v="10"/>
    <s v="TM-Utama"/>
    <n v="25"/>
    <n v="3205"/>
    <s v="128.2"/>
    <x v="2"/>
    <n v="2.04"/>
    <n v="51007.6"/>
    <n v="51.008000000000003"/>
    <d v="2022-11-01T00:00:00"/>
    <x v="0"/>
    <x v="1"/>
  </r>
  <r>
    <x v="10"/>
    <x v="11"/>
    <s v="Desember"/>
    <s v="Division_A"/>
    <x v="14"/>
    <n v="2012"/>
    <n v="10"/>
    <s v="TM-Utama"/>
    <n v="25"/>
    <n v="3205"/>
    <s v="128.2"/>
    <x v="2"/>
    <n v="2.0640000000000001"/>
    <n v="51608.5"/>
    <n v="51.609000000000002"/>
    <d v="2022-12-01T00:00:00"/>
    <x v="0"/>
    <x v="1"/>
  </r>
  <r>
    <x v="10"/>
    <x v="0"/>
    <s v="Januari"/>
    <s v="Division_A"/>
    <x v="15"/>
    <n v="2012"/>
    <n v="10"/>
    <s v="TM-Utama"/>
    <n v="19"/>
    <n v="2469"/>
    <s v="129.9"/>
    <x v="1"/>
    <n v="0.46100000000000002"/>
    <n v="8758.7999999999993"/>
    <n v="8.7590000000000003"/>
    <d v="2022-01-01T00:00:00"/>
    <x v="0"/>
    <x v="1"/>
  </r>
  <r>
    <x v="10"/>
    <x v="1"/>
    <s v="Februari"/>
    <s v="Division_A"/>
    <x v="15"/>
    <n v="2012"/>
    <n v="10"/>
    <s v="TM-Utama"/>
    <n v="19"/>
    <n v="2469"/>
    <s v="129.9"/>
    <x v="1"/>
    <n v="1.657"/>
    <n v="31479.8"/>
    <n v="31.48"/>
    <d v="2022-02-01T00:00:00"/>
    <x v="0"/>
    <x v="1"/>
  </r>
  <r>
    <x v="10"/>
    <x v="2"/>
    <s v="Maret"/>
    <s v="Division_A"/>
    <x v="15"/>
    <n v="2012"/>
    <n v="10"/>
    <s v="TM-Utama"/>
    <n v="19"/>
    <n v="2469"/>
    <s v="129.9"/>
    <x v="1"/>
    <n v="1.9850000000000001"/>
    <n v="37720.1"/>
    <n v="37.72"/>
    <d v="2022-03-01T00:00:00"/>
    <x v="0"/>
    <x v="1"/>
  </r>
  <r>
    <x v="10"/>
    <x v="3"/>
    <s v="April"/>
    <s v="Division_A"/>
    <x v="15"/>
    <n v="2012"/>
    <n v="10"/>
    <s v="TM-Utama"/>
    <n v="19"/>
    <n v="2469"/>
    <s v="129.9"/>
    <x v="1"/>
    <n v="2.27"/>
    <n v="43127.3"/>
    <n v="43.127000000000002"/>
    <d v="2022-04-01T00:00:00"/>
    <x v="0"/>
    <x v="1"/>
  </r>
  <r>
    <x v="10"/>
    <x v="4"/>
    <s v="Mei"/>
    <s v="Division_A"/>
    <x v="15"/>
    <n v="2012"/>
    <n v="10"/>
    <s v="TM-Utama"/>
    <n v="19"/>
    <n v="2469"/>
    <s v="129.9"/>
    <x v="1"/>
    <n v="2.085"/>
    <n v="39608.9"/>
    <n v="39.609000000000002"/>
    <d v="2022-05-01T00:00:00"/>
    <x v="0"/>
    <x v="1"/>
  </r>
  <r>
    <x v="10"/>
    <x v="5"/>
    <s v="Juni"/>
    <s v="Division_A"/>
    <x v="15"/>
    <n v="2012"/>
    <n v="10"/>
    <s v="TM-Utama"/>
    <n v="19"/>
    <n v="2469"/>
    <s v="129.9"/>
    <x v="1"/>
    <n v="2.2970000000000002"/>
    <n v="43645.7"/>
    <n v="43.646000000000001"/>
    <d v="2022-06-01T00:00:00"/>
    <x v="0"/>
    <x v="1"/>
  </r>
  <r>
    <x v="10"/>
    <x v="6"/>
    <s v="Juli"/>
    <s v="Division_A"/>
    <x v="15"/>
    <n v="2012"/>
    <n v="10"/>
    <s v="TM-Utama"/>
    <n v="19"/>
    <n v="2469"/>
    <s v="129.9"/>
    <x v="1"/>
    <n v="1.335"/>
    <n v="25369"/>
    <n v="25.369"/>
    <d v="2022-07-01T00:00:00"/>
    <x v="0"/>
    <x v="1"/>
  </r>
  <r>
    <x v="10"/>
    <x v="7"/>
    <s v="Agustus"/>
    <s v="Division_A"/>
    <x v="15"/>
    <n v="2012"/>
    <n v="10"/>
    <s v="TM-Utama"/>
    <n v="19"/>
    <n v="2469"/>
    <s v="129.9"/>
    <x v="1"/>
    <n v="2.2549999999999999"/>
    <n v="42849.5"/>
    <n v="42.848999999999997"/>
    <d v="2022-08-01T00:00:00"/>
    <x v="0"/>
    <x v="1"/>
  </r>
  <r>
    <x v="10"/>
    <x v="8"/>
    <s v="September"/>
    <s v="Division_A"/>
    <x v="15"/>
    <n v="2012"/>
    <n v="10"/>
    <s v="TM-Utama"/>
    <n v="19"/>
    <n v="2469"/>
    <s v="129.9"/>
    <x v="1"/>
    <n v="2.4340000000000002"/>
    <n v="46238.2"/>
    <n v="46.238"/>
    <d v="2022-09-01T00:00:00"/>
    <x v="0"/>
    <x v="1"/>
  </r>
  <r>
    <x v="10"/>
    <x v="9"/>
    <s v="Oktober"/>
    <s v="Division_A"/>
    <x v="15"/>
    <n v="2012"/>
    <n v="10"/>
    <s v="TM-Utama"/>
    <n v="19"/>
    <n v="2469"/>
    <s v="129.9"/>
    <x v="1"/>
    <n v="2.3109999999999999"/>
    <n v="43905"/>
    <n v="43.905000000000001"/>
    <d v="2022-10-01T00:00:00"/>
    <x v="0"/>
    <x v="1"/>
  </r>
  <r>
    <x v="10"/>
    <x v="10"/>
    <s v="November"/>
    <s v="Division_A"/>
    <x v="15"/>
    <n v="2012"/>
    <n v="10"/>
    <s v="TM-Utama"/>
    <n v="19"/>
    <n v="2469"/>
    <s v="129.9"/>
    <x v="1"/>
    <n v="2.0680000000000001"/>
    <n v="39294.1"/>
    <n v="39.293999999999997"/>
    <d v="2022-11-01T00:00:00"/>
    <x v="0"/>
    <x v="1"/>
  </r>
  <r>
    <x v="10"/>
    <x v="11"/>
    <s v="Desember"/>
    <s v="Division_A"/>
    <x v="15"/>
    <n v="2012"/>
    <n v="10"/>
    <s v="TM-Utama"/>
    <n v="19"/>
    <n v="2469"/>
    <s v="129.9"/>
    <x v="1"/>
    <n v="2.0920000000000001"/>
    <n v="39757.1"/>
    <n v="39.756999999999998"/>
    <d v="2022-12-01T00:00:00"/>
    <x v="0"/>
    <x v="1"/>
  </r>
  <r>
    <x v="10"/>
    <x v="0"/>
    <s v="Januari"/>
    <s v="Division_A"/>
    <x v="16"/>
    <n v="2012"/>
    <n v="10"/>
    <s v="TM-Utama"/>
    <n v="20"/>
    <n v="2704"/>
    <s v="135.2"/>
    <x v="2"/>
    <n v="0.48"/>
    <n v="9592.4"/>
    <n v="9.5920000000000005"/>
    <d v="2022-01-01T00:00:00"/>
    <x v="0"/>
    <x v="1"/>
  </r>
  <r>
    <x v="10"/>
    <x v="1"/>
    <s v="Februari"/>
    <s v="Division_A"/>
    <x v="16"/>
    <n v="2012"/>
    <n v="10"/>
    <s v="TM-Utama"/>
    <n v="20"/>
    <n v="2704"/>
    <s v="135.2"/>
    <x v="2"/>
    <n v="1.724"/>
    <n v="34476"/>
    <n v="34.475999999999999"/>
    <d v="2022-02-01T00:00:00"/>
    <x v="0"/>
    <x v="1"/>
  </r>
  <r>
    <x v="10"/>
    <x v="2"/>
    <s v="Maret"/>
    <s v="Division_A"/>
    <x v="16"/>
    <n v="2012"/>
    <n v="10"/>
    <s v="TM-Utama"/>
    <n v="20"/>
    <n v="2704"/>
    <s v="135.2"/>
    <x v="2"/>
    <n v="2.0659999999999998"/>
    <n v="41310.400000000001"/>
    <n v="41.31"/>
    <d v="2022-03-01T00:00:00"/>
    <x v="0"/>
    <x v="1"/>
  </r>
  <r>
    <x v="10"/>
    <x v="3"/>
    <s v="April"/>
    <s v="Division_A"/>
    <x v="16"/>
    <n v="2012"/>
    <n v="10"/>
    <s v="TM-Utama"/>
    <n v="20"/>
    <n v="2704"/>
    <s v="135.2"/>
    <x v="2"/>
    <n v="2.3620000000000001"/>
    <n v="47232.1"/>
    <n v="47.231999999999999"/>
    <d v="2022-04-01T00:00:00"/>
    <x v="0"/>
    <x v="1"/>
  </r>
  <r>
    <x v="10"/>
    <x v="4"/>
    <s v="Mei"/>
    <s v="Division_A"/>
    <x v="16"/>
    <n v="2012"/>
    <n v="10"/>
    <s v="TM-Utama"/>
    <n v="20"/>
    <n v="2704"/>
    <s v="135.2"/>
    <x v="2"/>
    <n v="2.169"/>
    <n v="43378.9"/>
    <n v="43.378999999999998"/>
    <d v="2022-05-01T00:00:00"/>
    <x v="0"/>
    <x v="1"/>
  </r>
  <r>
    <x v="10"/>
    <x v="5"/>
    <s v="Juni"/>
    <s v="Division_A"/>
    <x v="16"/>
    <n v="2012"/>
    <n v="10"/>
    <s v="TM-Utama"/>
    <n v="20"/>
    <n v="2704"/>
    <s v="135.2"/>
    <x v="2"/>
    <n v="2.39"/>
    <n v="47800"/>
    <n v="47.8"/>
    <d v="2022-06-01T00:00:00"/>
    <x v="0"/>
    <x v="1"/>
  </r>
  <r>
    <x v="10"/>
    <x v="6"/>
    <s v="Juli"/>
    <s v="Division_A"/>
    <x v="16"/>
    <n v="2012"/>
    <n v="10"/>
    <s v="TM-Utama"/>
    <n v="20"/>
    <n v="2704"/>
    <s v="135.2"/>
    <x v="2"/>
    <n v="1.389"/>
    <n v="27783.599999999999"/>
    <n v="27.783999999999999"/>
    <d v="2022-07-01T00:00:00"/>
    <x v="0"/>
    <x v="1"/>
  </r>
  <r>
    <x v="10"/>
    <x v="7"/>
    <s v="Agustus"/>
    <s v="Division_A"/>
    <x v="16"/>
    <n v="2012"/>
    <n v="10"/>
    <s v="TM-Utama"/>
    <n v="20"/>
    <n v="2704"/>
    <s v="135.2"/>
    <x v="2"/>
    <n v="2.3460000000000001"/>
    <n v="46927.9"/>
    <n v="46.927999999999997"/>
    <d v="2022-08-01T00:00:00"/>
    <x v="0"/>
    <x v="1"/>
  </r>
  <r>
    <x v="10"/>
    <x v="8"/>
    <s v="September"/>
    <s v="Division_A"/>
    <x v="16"/>
    <n v="2012"/>
    <n v="10"/>
    <s v="TM-Utama"/>
    <n v="20"/>
    <n v="2704"/>
    <s v="135.2"/>
    <x v="2"/>
    <n v="2.532"/>
    <n v="50639.199999999997"/>
    <n v="50.639000000000003"/>
    <d v="2022-09-01T00:00:00"/>
    <x v="0"/>
    <x v="1"/>
  </r>
  <r>
    <x v="10"/>
    <x v="9"/>
    <s v="Oktober"/>
    <s v="Division_A"/>
    <x v="16"/>
    <n v="2012"/>
    <n v="10"/>
    <s v="TM-Utama"/>
    <n v="20"/>
    <n v="2704"/>
    <s v="135.2"/>
    <x v="2"/>
    <n v="2.4039999999999999"/>
    <n v="48083.9"/>
    <n v="48.084000000000003"/>
    <d v="2022-10-01T00:00:00"/>
    <x v="0"/>
    <x v="1"/>
  </r>
  <r>
    <x v="10"/>
    <x v="10"/>
    <s v="November"/>
    <s v="Division_A"/>
    <x v="16"/>
    <n v="2012"/>
    <n v="10"/>
    <s v="TM-Utama"/>
    <n v="20"/>
    <n v="2704"/>
    <s v="135.2"/>
    <x v="2"/>
    <n v="2.1520000000000001"/>
    <n v="43034.2"/>
    <n v="43.033999999999999"/>
    <d v="2022-11-01T00:00:00"/>
    <x v="0"/>
    <x v="1"/>
  </r>
  <r>
    <x v="10"/>
    <x v="11"/>
    <s v="Desember"/>
    <s v="Division_A"/>
    <x v="16"/>
    <n v="2012"/>
    <n v="10"/>
    <s v="TM-Utama"/>
    <n v="20"/>
    <n v="2704"/>
    <s v="135.2"/>
    <x v="2"/>
    <n v="2.177"/>
    <n v="43541.2"/>
    <n v="43.540999999999997"/>
    <d v="2022-12-01T00:00:00"/>
    <x v="0"/>
    <x v="1"/>
  </r>
  <r>
    <x v="10"/>
    <x v="0"/>
    <s v="Januari"/>
    <s v="Division_A"/>
    <x v="17"/>
    <n v="2012"/>
    <n v="10"/>
    <s v="TM-Utama"/>
    <n v="14"/>
    <n v="1833"/>
    <s v="130.9"/>
    <x v="2"/>
    <n v="0.46400000000000002"/>
    <n v="6502.6"/>
    <n v="6.5030000000000001"/>
    <d v="2022-01-01T00:00:00"/>
    <x v="0"/>
    <x v="1"/>
  </r>
  <r>
    <x v="10"/>
    <x v="1"/>
    <s v="Februari"/>
    <s v="Division_A"/>
    <x v="17"/>
    <n v="2012"/>
    <n v="10"/>
    <s v="TM-Utama"/>
    <n v="14"/>
    <n v="1833"/>
    <s v="130.9"/>
    <x v="2"/>
    <n v="1.669"/>
    <n v="23370.7"/>
    <n v="23.370999999999999"/>
    <d v="2022-02-01T00:00:00"/>
    <x v="0"/>
    <x v="1"/>
  </r>
  <r>
    <x v="10"/>
    <x v="2"/>
    <s v="Maret"/>
    <s v="Division_A"/>
    <x v="17"/>
    <n v="2012"/>
    <n v="10"/>
    <s v="TM-Utama"/>
    <n v="14"/>
    <n v="1833"/>
    <s v="130.9"/>
    <x v="2"/>
    <n v="2"/>
    <n v="28003.7"/>
    <n v="28.004000000000001"/>
    <d v="2022-03-01T00:00:00"/>
    <x v="0"/>
    <x v="1"/>
  </r>
  <r>
    <x v="10"/>
    <x v="3"/>
    <s v="April"/>
    <s v="Division_A"/>
    <x v="17"/>
    <n v="2012"/>
    <n v="10"/>
    <s v="TM-Utama"/>
    <n v="14"/>
    <n v="1833"/>
    <s v="130.9"/>
    <x v="2"/>
    <n v="2.2869999999999999"/>
    <n v="32017.9"/>
    <n v="32.018000000000001"/>
    <d v="2022-04-01T00:00:00"/>
    <x v="0"/>
    <x v="1"/>
  </r>
  <r>
    <x v="10"/>
    <x v="4"/>
    <s v="Mei"/>
    <s v="Division_A"/>
    <x v="17"/>
    <n v="2012"/>
    <n v="10"/>
    <s v="TM-Utama"/>
    <n v="14"/>
    <n v="1833"/>
    <s v="130.9"/>
    <x v="2"/>
    <n v="2.1"/>
    <n v="29405.9"/>
    <n v="29.405999999999999"/>
    <d v="2022-05-01T00:00:00"/>
    <x v="0"/>
    <x v="1"/>
  </r>
  <r>
    <x v="10"/>
    <x v="5"/>
    <s v="Juni"/>
    <s v="Division_A"/>
    <x v="17"/>
    <n v="2012"/>
    <n v="10"/>
    <s v="TM-Utama"/>
    <n v="14"/>
    <n v="1833"/>
    <s v="130.9"/>
    <x v="2"/>
    <n v="2.3140000000000001"/>
    <n v="32402.9"/>
    <n v="32.402999999999999"/>
    <d v="2022-06-01T00:00:00"/>
    <x v="0"/>
    <x v="1"/>
  </r>
  <r>
    <x v="10"/>
    <x v="6"/>
    <s v="Juli"/>
    <s v="Division_A"/>
    <x v="17"/>
    <n v="2012"/>
    <n v="10"/>
    <s v="TM-Utama"/>
    <n v="14"/>
    <n v="1833"/>
    <s v="130.9"/>
    <x v="2"/>
    <n v="1.345"/>
    <n v="18834.099999999999"/>
    <n v="18.834"/>
    <d v="2022-07-01T00:00:00"/>
    <x v="0"/>
    <x v="1"/>
  </r>
  <r>
    <x v="10"/>
    <x v="7"/>
    <s v="Agustus"/>
    <s v="Division_A"/>
    <x v="17"/>
    <n v="2012"/>
    <n v="10"/>
    <s v="TM-Utama"/>
    <n v="14"/>
    <n v="1833"/>
    <s v="130.9"/>
    <x v="2"/>
    <n v="2.2719999999999998"/>
    <n v="31811.7"/>
    <n v="31.812000000000001"/>
    <d v="2022-08-01T00:00:00"/>
    <x v="0"/>
    <x v="1"/>
  </r>
  <r>
    <x v="10"/>
    <x v="8"/>
    <s v="September"/>
    <s v="Division_A"/>
    <x v="17"/>
    <n v="2012"/>
    <n v="10"/>
    <s v="TM-Utama"/>
    <n v="14"/>
    <n v="1833"/>
    <s v="130.9"/>
    <x v="2"/>
    <n v="2.452"/>
    <n v="34327.5"/>
    <n v="34.328000000000003"/>
    <d v="2022-09-01T00:00:00"/>
    <x v="0"/>
    <x v="1"/>
  </r>
  <r>
    <x v="10"/>
    <x v="9"/>
    <s v="Oktober"/>
    <s v="Division_A"/>
    <x v="17"/>
    <n v="2012"/>
    <n v="10"/>
    <s v="TM-Utama"/>
    <n v="14"/>
    <n v="1833"/>
    <s v="130.9"/>
    <x v="2"/>
    <n v="2.3279999999999998"/>
    <n v="32595.3"/>
    <n v="32.594999999999999"/>
    <d v="2022-10-01T00:00:00"/>
    <x v="0"/>
    <x v="1"/>
  </r>
  <r>
    <x v="10"/>
    <x v="10"/>
    <s v="November"/>
    <s v="Division_A"/>
    <x v="17"/>
    <n v="2012"/>
    <n v="10"/>
    <s v="TM-Utama"/>
    <n v="14"/>
    <n v="1833"/>
    <s v="130.9"/>
    <x v="2"/>
    <n v="2.0840000000000001"/>
    <n v="29172.2"/>
    <n v="29.172000000000001"/>
    <d v="2022-11-01T00:00:00"/>
    <x v="0"/>
    <x v="1"/>
  </r>
  <r>
    <x v="10"/>
    <x v="11"/>
    <s v="Desember"/>
    <s v="Division_A"/>
    <x v="17"/>
    <n v="2012"/>
    <n v="10"/>
    <s v="TM-Utama"/>
    <n v="14"/>
    <n v="1833"/>
    <s v="130.9"/>
    <x v="2"/>
    <n v="2.1080000000000001"/>
    <n v="29515.9"/>
    <n v="29.515999999999998"/>
    <d v="2022-12-01T00:00:00"/>
    <x v="0"/>
    <x v="1"/>
  </r>
  <r>
    <x v="10"/>
    <x v="0"/>
    <s v="Januari"/>
    <s v="Division_A"/>
    <x v="18"/>
    <n v="2012"/>
    <n v="10"/>
    <s v="TM-Utama"/>
    <n v="20"/>
    <n v="1990"/>
    <s v="99.5"/>
    <x v="2"/>
    <n v="0.36199999999999999"/>
    <n v="7236.9"/>
    <n v="7.2370000000000001"/>
    <d v="2022-01-01T00:00:00"/>
    <x v="0"/>
    <x v="1"/>
  </r>
  <r>
    <x v="10"/>
    <x v="1"/>
    <s v="Februari"/>
    <s v="Division_A"/>
    <x v="18"/>
    <n v="2012"/>
    <n v="10"/>
    <s v="TM-Utama"/>
    <n v="20"/>
    <n v="1990"/>
    <s v="99.5"/>
    <x v="2"/>
    <n v="1.3"/>
    <n v="26010"/>
    <n v="26.01"/>
    <d v="2022-02-01T00:00:00"/>
    <x v="0"/>
    <x v="1"/>
  </r>
  <r>
    <x v="10"/>
    <x v="2"/>
    <s v="Maret"/>
    <s v="Division_A"/>
    <x v="18"/>
    <n v="2012"/>
    <n v="10"/>
    <s v="TM-Utama"/>
    <n v="20"/>
    <n v="1990"/>
    <s v="99.5"/>
    <x v="2"/>
    <n v="1.5580000000000001"/>
    <n v="31166.1"/>
    <n v="31.166"/>
    <d v="2022-03-01T00:00:00"/>
    <x v="0"/>
    <x v="1"/>
  </r>
  <r>
    <x v="10"/>
    <x v="3"/>
    <s v="April"/>
    <s v="Division_A"/>
    <x v="18"/>
    <n v="2012"/>
    <n v="10"/>
    <s v="TM-Utama"/>
    <n v="20"/>
    <n v="1990"/>
    <s v="99.5"/>
    <x v="2"/>
    <n v="1.782"/>
    <n v="35633.699999999997"/>
    <n v="35.634"/>
    <d v="2022-04-01T00:00:00"/>
    <x v="0"/>
    <x v="1"/>
  </r>
  <r>
    <x v="10"/>
    <x v="4"/>
    <s v="Mei"/>
    <s v="Division_A"/>
    <x v="18"/>
    <n v="2012"/>
    <n v="10"/>
    <s v="TM-Utama"/>
    <n v="20"/>
    <n v="1990"/>
    <s v="99.5"/>
    <x v="2"/>
    <n v="1.6359999999999999"/>
    <n v="32726.7"/>
    <n v="32.726999999999997"/>
    <d v="2022-05-01T00:00:00"/>
    <x v="0"/>
    <x v="1"/>
  </r>
  <r>
    <x v="10"/>
    <x v="5"/>
    <s v="Juni"/>
    <s v="Division_A"/>
    <x v="18"/>
    <n v="2012"/>
    <n v="10"/>
    <s v="TM-Utama"/>
    <n v="20"/>
    <n v="1990"/>
    <s v="99.5"/>
    <x v="2"/>
    <n v="1.8029999999999999"/>
    <n v="36062.1"/>
    <n v="36.061999999999998"/>
    <d v="2022-06-01T00:00:00"/>
    <x v="0"/>
    <x v="1"/>
  </r>
  <r>
    <x v="10"/>
    <x v="6"/>
    <s v="Juli"/>
    <s v="Division_A"/>
    <x v="18"/>
    <n v="2012"/>
    <n v="10"/>
    <s v="TM-Utama"/>
    <n v="20"/>
    <n v="1990"/>
    <s v="99.5"/>
    <x v="2"/>
    <n v="1.048"/>
    <n v="20961"/>
    <n v="20.960999999999999"/>
    <d v="2022-07-01T00:00:00"/>
    <x v="0"/>
    <x v="1"/>
  </r>
  <r>
    <x v="10"/>
    <x v="7"/>
    <s v="Agustus"/>
    <s v="Division_A"/>
    <x v="18"/>
    <n v="2012"/>
    <n v="10"/>
    <s v="TM-Utama"/>
    <n v="20"/>
    <n v="1990"/>
    <s v="99.5"/>
    <x v="2"/>
    <n v="1.77"/>
    <n v="35404.199999999997"/>
    <n v="35.404000000000003"/>
    <d v="2022-08-01T00:00:00"/>
    <x v="0"/>
    <x v="1"/>
  </r>
  <r>
    <x v="10"/>
    <x v="8"/>
    <s v="September"/>
    <s v="Division_A"/>
    <x v="18"/>
    <n v="2012"/>
    <n v="10"/>
    <s v="TM-Utama"/>
    <n v="20"/>
    <n v="1990"/>
    <s v="99.5"/>
    <x v="2"/>
    <n v="1.91"/>
    <n v="38204.1"/>
    <n v="38.204000000000001"/>
    <d v="2022-09-01T00:00:00"/>
    <x v="0"/>
    <x v="1"/>
  </r>
  <r>
    <x v="10"/>
    <x v="9"/>
    <s v="Oktober"/>
    <s v="Division_A"/>
    <x v="18"/>
    <n v="2012"/>
    <n v="10"/>
    <s v="TM-Utama"/>
    <n v="20"/>
    <n v="1990"/>
    <s v="99.5"/>
    <x v="2"/>
    <n v="1.8140000000000001"/>
    <n v="36276.300000000003"/>
    <n v="36.276000000000003"/>
    <d v="2022-10-01T00:00:00"/>
    <x v="0"/>
    <x v="1"/>
  </r>
  <r>
    <x v="10"/>
    <x v="10"/>
    <s v="November"/>
    <s v="Division_A"/>
    <x v="18"/>
    <n v="2012"/>
    <n v="10"/>
    <s v="TM-Utama"/>
    <n v="20"/>
    <n v="1990"/>
    <s v="99.5"/>
    <x v="2"/>
    <n v="1.623"/>
    <n v="32466.6"/>
    <n v="32.466999999999999"/>
    <d v="2022-11-01T00:00:00"/>
    <x v="0"/>
    <x v="1"/>
  </r>
  <r>
    <x v="10"/>
    <x v="11"/>
    <s v="Desember"/>
    <s v="Division_A"/>
    <x v="18"/>
    <n v="2012"/>
    <n v="10"/>
    <s v="TM-Utama"/>
    <n v="20"/>
    <n v="1990"/>
    <s v="99.5"/>
    <x v="2"/>
    <n v="1.6419999999999999"/>
    <n v="32849.1"/>
    <n v="32.848999999999997"/>
    <d v="2022-12-01T00:00:00"/>
    <x v="0"/>
    <x v="1"/>
  </r>
  <r>
    <x v="10"/>
    <x v="0"/>
    <s v="Januari"/>
    <s v="Division_A"/>
    <x v="19"/>
    <n v="2012"/>
    <n v="10"/>
    <s v="TM-Utama"/>
    <n v="22"/>
    <n v="2606"/>
    <s v="118.5"/>
    <x v="2"/>
    <n v="0.42"/>
    <n v="9244.7999999999993"/>
    <n v="9.2449999999999992"/>
    <d v="2022-01-01T00:00:00"/>
    <x v="0"/>
    <x v="1"/>
  </r>
  <r>
    <x v="10"/>
    <x v="1"/>
    <s v="Februari"/>
    <s v="Division_A"/>
    <x v="19"/>
    <n v="2012"/>
    <n v="10"/>
    <s v="TM-Utama"/>
    <n v="22"/>
    <n v="2606"/>
    <s v="118.5"/>
    <x v="2"/>
    <n v="1.51"/>
    <n v="33226.5"/>
    <n v="33.226999999999997"/>
    <d v="2022-02-01T00:00:00"/>
    <x v="0"/>
    <x v="1"/>
  </r>
  <r>
    <x v="10"/>
    <x v="2"/>
    <s v="Maret"/>
    <s v="Division_A"/>
    <x v="19"/>
    <n v="2012"/>
    <n v="10"/>
    <s v="TM-Utama"/>
    <n v="22"/>
    <n v="2606"/>
    <s v="118.5"/>
    <x v="2"/>
    <n v="1.81"/>
    <n v="39813.199999999997"/>
    <n v="39.813000000000002"/>
    <d v="2022-03-01T00:00:00"/>
    <x v="0"/>
    <x v="1"/>
  </r>
  <r>
    <x v="10"/>
    <x v="3"/>
    <s v="April"/>
    <s v="Division_A"/>
    <x v="19"/>
    <n v="2012"/>
    <n v="10"/>
    <s v="TM-Utama"/>
    <n v="22"/>
    <n v="2606"/>
    <s v="118.5"/>
    <x v="2"/>
    <n v="2.069"/>
    <n v="45520.3"/>
    <n v="45.52"/>
    <d v="2022-04-01T00:00:00"/>
    <x v="0"/>
    <x v="1"/>
  </r>
  <r>
    <x v="10"/>
    <x v="4"/>
    <s v="Mei"/>
    <s v="Division_A"/>
    <x v="19"/>
    <n v="2012"/>
    <n v="10"/>
    <s v="TM-Utama"/>
    <n v="22"/>
    <n v="2606"/>
    <s v="118.5"/>
    <x v="2"/>
    <n v="1.9"/>
    <n v="41806.800000000003"/>
    <n v="41.807000000000002"/>
    <d v="2022-05-01T00:00:00"/>
    <x v="0"/>
    <x v="1"/>
  </r>
  <r>
    <x v="10"/>
    <x v="5"/>
    <s v="Juni"/>
    <s v="Division_A"/>
    <x v="19"/>
    <n v="2012"/>
    <n v="10"/>
    <s v="TM-Utama"/>
    <n v="22"/>
    <n v="2606"/>
    <s v="118.5"/>
    <x v="2"/>
    <n v="2.0939999999999999"/>
    <n v="46067.6"/>
    <n v="46.067999999999998"/>
    <d v="2022-06-01T00:00:00"/>
    <x v="0"/>
    <x v="1"/>
  </r>
  <r>
    <x v="10"/>
    <x v="6"/>
    <s v="Juli"/>
    <s v="Division_A"/>
    <x v="19"/>
    <n v="2012"/>
    <n v="10"/>
    <s v="TM-Utama"/>
    <n v="22"/>
    <n v="2606"/>
    <s v="118.5"/>
    <x v="2"/>
    <n v="1.2170000000000001"/>
    <n v="26776.7"/>
    <n v="26.777000000000001"/>
    <d v="2022-07-01T00:00:00"/>
    <x v="0"/>
    <x v="1"/>
  </r>
  <r>
    <x v="10"/>
    <x v="7"/>
    <s v="Agustus"/>
    <s v="Division_A"/>
    <x v="19"/>
    <n v="2012"/>
    <n v="10"/>
    <s v="TM-Utama"/>
    <n v="22"/>
    <n v="2606"/>
    <s v="118.5"/>
    <x v="2"/>
    <n v="2.056"/>
    <n v="45227.1"/>
    <n v="45.226999999999997"/>
    <d v="2022-08-01T00:00:00"/>
    <x v="0"/>
    <x v="1"/>
  </r>
  <r>
    <x v="10"/>
    <x v="8"/>
    <s v="September"/>
    <s v="Division_A"/>
    <x v="19"/>
    <n v="2012"/>
    <n v="10"/>
    <s v="TM-Utama"/>
    <n v="22"/>
    <n v="2606"/>
    <s v="118.5"/>
    <x v="2"/>
    <n v="2.218"/>
    <n v="48803.9"/>
    <n v="48.804000000000002"/>
    <d v="2022-09-01T00:00:00"/>
    <x v="0"/>
    <x v="1"/>
  </r>
  <r>
    <x v="10"/>
    <x v="9"/>
    <s v="Oktober"/>
    <s v="Division_A"/>
    <x v="19"/>
    <n v="2012"/>
    <n v="10"/>
    <s v="TM-Utama"/>
    <n v="22"/>
    <n v="2606"/>
    <s v="118.5"/>
    <x v="2"/>
    <n v="2.1059999999999999"/>
    <n v="46341.2"/>
    <n v="46.341000000000001"/>
    <d v="2022-10-01T00:00:00"/>
    <x v="0"/>
    <x v="1"/>
  </r>
  <r>
    <x v="10"/>
    <x v="10"/>
    <s v="November"/>
    <s v="Division_A"/>
    <x v="19"/>
    <n v="2012"/>
    <n v="10"/>
    <s v="TM-Utama"/>
    <n v="22"/>
    <n v="2606"/>
    <s v="118.5"/>
    <x v="2"/>
    <n v="1.885"/>
    <n v="41474.5"/>
    <n v="41.473999999999997"/>
    <d v="2022-11-01T00:00:00"/>
    <x v="0"/>
    <x v="1"/>
  </r>
  <r>
    <x v="10"/>
    <x v="11"/>
    <s v="Desember"/>
    <s v="Division_A"/>
    <x v="19"/>
    <n v="2012"/>
    <n v="10"/>
    <s v="TM-Utama"/>
    <n v="22"/>
    <n v="2606"/>
    <s v="118.5"/>
    <x v="2"/>
    <n v="1.907"/>
    <n v="41963.1"/>
    <n v="41.963000000000001"/>
    <d v="2022-12-01T00:00:00"/>
    <x v="0"/>
    <x v="1"/>
  </r>
  <r>
    <x v="10"/>
    <x v="0"/>
    <s v="Januari"/>
    <s v="Division_A"/>
    <x v="20"/>
    <n v="2012"/>
    <n v="10"/>
    <s v="TM-Utama"/>
    <n v="22"/>
    <n v="2683"/>
    <s v="122"/>
    <x v="1"/>
    <n v="0.433"/>
    <n v="9517.9"/>
    <n v="9.5180000000000007"/>
    <d v="2022-01-01T00:00:00"/>
    <x v="0"/>
    <x v="1"/>
  </r>
  <r>
    <x v="10"/>
    <x v="1"/>
    <s v="Februari"/>
    <s v="Division_A"/>
    <x v="20"/>
    <n v="2012"/>
    <n v="10"/>
    <s v="TM-Utama"/>
    <n v="22"/>
    <n v="2683"/>
    <s v="122"/>
    <x v="1"/>
    <n v="1.5549999999999999"/>
    <n v="34208.199999999997"/>
    <n v="34.207999999999998"/>
    <d v="2022-02-01T00:00:00"/>
    <x v="0"/>
    <x v="1"/>
  </r>
  <r>
    <x v="10"/>
    <x v="2"/>
    <s v="Maret"/>
    <s v="Division_A"/>
    <x v="20"/>
    <n v="2012"/>
    <n v="10"/>
    <s v="TM-Utama"/>
    <n v="22"/>
    <n v="2683"/>
    <s v="122"/>
    <x v="1"/>
    <n v="1.863"/>
    <n v="40989.5"/>
    <n v="40.99"/>
    <d v="2022-03-01T00:00:00"/>
    <x v="0"/>
    <x v="1"/>
  </r>
  <r>
    <x v="10"/>
    <x v="3"/>
    <s v="April"/>
    <s v="Division_A"/>
    <x v="20"/>
    <n v="2012"/>
    <n v="10"/>
    <s v="TM-Utama"/>
    <n v="22"/>
    <n v="2683"/>
    <s v="122"/>
    <x v="1"/>
    <n v="2.13"/>
    <n v="46865.3"/>
    <n v="46.865000000000002"/>
    <d v="2022-04-01T00:00:00"/>
    <x v="0"/>
    <x v="1"/>
  </r>
  <r>
    <x v="10"/>
    <x v="4"/>
    <s v="Mei"/>
    <s v="Division_A"/>
    <x v="20"/>
    <n v="2012"/>
    <n v="10"/>
    <s v="TM-Utama"/>
    <n v="22"/>
    <n v="2683"/>
    <s v="122"/>
    <x v="1"/>
    <n v="1.956"/>
    <n v="43042"/>
    <n v="43.042000000000002"/>
    <d v="2022-05-01T00:00:00"/>
    <x v="0"/>
    <x v="1"/>
  </r>
  <r>
    <x v="10"/>
    <x v="5"/>
    <s v="Juni"/>
    <s v="Division_A"/>
    <x v="20"/>
    <n v="2012"/>
    <n v="10"/>
    <s v="TM-Utama"/>
    <n v="22"/>
    <n v="2683"/>
    <s v="122"/>
    <x v="1"/>
    <n v="2.1560000000000001"/>
    <n v="47428.7"/>
    <n v="47.429000000000002"/>
    <d v="2022-06-01T00:00:00"/>
    <x v="0"/>
    <x v="1"/>
  </r>
  <r>
    <x v="10"/>
    <x v="6"/>
    <s v="Juli"/>
    <s v="Division_A"/>
    <x v="20"/>
    <n v="2012"/>
    <n v="10"/>
    <s v="TM-Utama"/>
    <n v="22"/>
    <n v="2683"/>
    <s v="122"/>
    <x v="1"/>
    <n v="1.2529999999999999"/>
    <n v="27567.8"/>
    <n v="27.568000000000001"/>
    <d v="2022-07-01T00:00:00"/>
    <x v="0"/>
    <x v="1"/>
  </r>
  <r>
    <x v="10"/>
    <x v="7"/>
    <s v="Agustus"/>
    <s v="Division_A"/>
    <x v="20"/>
    <n v="2012"/>
    <n v="10"/>
    <s v="TM-Utama"/>
    <n v="22"/>
    <n v="2683"/>
    <s v="122"/>
    <x v="1"/>
    <n v="2.117"/>
    <n v="46563.5"/>
    <n v="46.563000000000002"/>
    <d v="2022-08-01T00:00:00"/>
    <x v="0"/>
    <x v="1"/>
  </r>
  <r>
    <x v="10"/>
    <x v="8"/>
    <s v="September"/>
    <s v="Division_A"/>
    <x v="20"/>
    <n v="2012"/>
    <n v="10"/>
    <s v="TM-Utama"/>
    <n v="22"/>
    <n v="2683"/>
    <s v="122"/>
    <x v="1"/>
    <n v="2.2839999999999998"/>
    <n v="50245.9"/>
    <n v="50.246000000000002"/>
    <d v="2022-09-01T00:00:00"/>
    <x v="0"/>
    <x v="1"/>
  </r>
  <r>
    <x v="10"/>
    <x v="9"/>
    <s v="Oktober"/>
    <s v="Division_A"/>
    <x v="20"/>
    <n v="2012"/>
    <n v="10"/>
    <s v="TM-Utama"/>
    <n v="22"/>
    <n v="2683"/>
    <s v="122"/>
    <x v="1"/>
    <n v="2.169"/>
    <n v="47710.400000000001"/>
    <n v="47.71"/>
    <d v="2022-10-01T00:00:00"/>
    <x v="0"/>
    <x v="1"/>
  </r>
  <r>
    <x v="10"/>
    <x v="10"/>
    <s v="November"/>
    <s v="Division_A"/>
    <x v="20"/>
    <n v="2012"/>
    <n v="10"/>
    <s v="TM-Utama"/>
    <n v="22"/>
    <n v="2683"/>
    <s v="122"/>
    <x v="1"/>
    <n v="1.9410000000000001"/>
    <n v="42699.9"/>
    <n v="42.7"/>
    <d v="2022-11-01T00:00:00"/>
    <x v="0"/>
    <x v="1"/>
  </r>
  <r>
    <x v="10"/>
    <x v="11"/>
    <s v="Desember"/>
    <s v="Division_A"/>
    <x v="20"/>
    <n v="2012"/>
    <n v="10"/>
    <s v="TM-Utama"/>
    <n v="22"/>
    <n v="2683"/>
    <s v="122"/>
    <x v="1"/>
    <n v="1.964"/>
    <n v="43203"/>
    <n v="43.203000000000003"/>
    <d v="2022-12-01T00:00:00"/>
    <x v="0"/>
    <x v="1"/>
  </r>
  <r>
    <x v="10"/>
    <x v="0"/>
    <s v="Januari"/>
    <s v="Division_A"/>
    <x v="21"/>
    <n v="2012"/>
    <n v="10"/>
    <s v="TM-Utama"/>
    <n v="28"/>
    <n v="3483"/>
    <s v="124.4"/>
    <x v="1"/>
    <n v="0.441"/>
    <n v="12355.9"/>
    <n v="12.356"/>
    <d v="2022-01-01T00:00:00"/>
    <x v="0"/>
    <x v="1"/>
  </r>
  <r>
    <x v="10"/>
    <x v="1"/>
    <s v="Februari"/>
    <s v="Division_A"/>
    <x v="21"/>
    <n v="2012"/>
    <n v="10"/>
    <s v="TM-Utama"/>
    <n v="28"/>
    <n v="3483"/>
    <s v="124.4"/>
    <x v="1"/>
    <n v="1.5860000000000001"/>
    <n v="44408.2"/>
    <n v="44.408000000000001"/>
    <d v="2022-02-01T00:00:00"/>
    <x v="0"/>
    <x v="1"/>
  </r>
  <r>
    <x v="10"/>
    <x v="2"/>
    <s v="Maret"/>
    <s v="Division_A"/>
    <x v="21"/>
    <n v="2012"/>
    <n v="10"/>
    <s v="TM-Utama"/>
    <n v="28"/>
    <n v="3483"/>
    <s v="124.4"/>
    <x v="1"/>
    <n v="1.9"/>
    <n v="53211.5"/>
    <n v="53.212000000000003"/>
    <d v="2022-03-01T00:00:00"/>
    <x v="0"/>
    <x v="1"/>
  </r>
  <r>
    <x v="10"/>
    <x v="3"/>
    <s v="April"/>
    <s v="Division_A"/>
    <x v="21"/>
    <n v="2012"/>
    <n v="10"/>
    <s v="TM-Utama"/>
    <n v="28"/>
    <n v="3483"/>
    <s v="124.4"/>
    <x v="1"/>
    <n v="2.173"/>
    <n v="60839.3"/>
    <n v="60.838999999999999"/>
    <d v="2022-04-01T00:00:00"/>
    <x v="0"/>
    <x v="1"/>
  </r>
  <r>
    <x v="10"/>
    <x v="4"/>
    <s v="Mei"/>
    <s v="Division_A"/>
    <x v="21"/>
    <n v="2012"/>
    <n v="10"/>
    <s v="TM-Utama"/>
    <n v="28"/>
    <n v="3483"/>
    <s v="124.4"/>
    <x v="1"/>
    <n v="1.996"/>
    <n v="55876"/>
    <n v="55.875999999999998"/>
    <d v="2022-05-01T00:00:00"/>
    <x v="0"/>
    <x v="1"/>
  </r>
  <r>
    <x v="10"/>
    <x v="5"/>
    <s v="Juni"/>
    <s v="Division_A"/>
    <x v="21"/>
    <n v="2012"/>
    <n v="10"/>
    <s v="TM-Utama"/>
    <n v="28"/>
    <n v="3483"/>
    <s v="124.4"/>
    <x v="1"/>
    <n v="2.1989999999999998"/>
    <n v="61570.7"/>
    <n v="61.570999999999998"/>
    <d v="2022-06-01T00:00:00"/>
    <x v="0"/>
    <x v="1"/>
  </r>
  <r>
    <x v="10"/>
    <x v="6"/>
    <s v="Juli"/>
    <s v="Division_A"/>
    <x v="21"/>
    <n v="2012"/>
    <n v="10"/>
    <s v="TM-Utama"/>
    <n v="28"/>
    <n v="3483"/>
    <s v="124.4"/>
    <x v="1"/>
    <n v="1.278"/>
    <n v="35787.800000000003"/>
    <n v="35.787999999999997"/>
    <d v="2022-07-01T00:00:00"/>
    <x v="0"/>
    <x v="1"/>
  </r>
  <r>
    <x v="10"/>
    <x v="7"/>
    <s v="Agustus"/>
    <s v="Division_A"/>
    <x v="21"/>
    <n v="2012"/>
    <n v="10"/>
    <s v="TM-Utama"/>
    <n v="28"/>
    <n v="3483"/>
    <s v="124.4"/>
    <x v="1"/>
    <n v="2.1589999999999998"/>
    <n v="60447.5"/>
    <n v="60.447000000000003"/>
    <d v="2022-08-01T00:00:00"/>
    <x v="0"/>
    <x v="1"/>
  </r>
  <r>
    <x v="10"/>
    <x v="8"/>
    <s v="September"/>
    <s v="Division_A"/>
    <x v="21"/>
    <n v="2012"/>
    <n v="10"/>
    <s v="TM-Utama"/>
    <n v="28"/>
    <n v="3483"/>
    <s v="124.4"/>
    <x v="1"/>
    <n v="2.33"/>
    <n v="65227.9"/>
    <n v="65.227999999999994"/>
    <d v="2022-09-01T00:00:00"/>
    <x v="0"/>
    <x v="1"/>
  </r>
  <r>
    <x v="10"/>
    <x v="9"/>
    <s v="Oktober"/>
    <s v="Division_A"/>
    <x v="21"/>
    <n v="2012"/>
    <n v="10"/>
    <s v="TM-Utama"/>
    <n v="28"/>
    <n v="3483"/>
    <s v="124.4"/>
    <x v="1"/>
    <n v="2.2120000000000002"/>
    <n v="61936.4"/>
    <n v="61.936"/>
    <d v="2022-10-01T00:00:00"/>
    <x v="0"/>
    <x v="1"/>
  </r>
  <r>
    <x v="10"/>
    <x v="10"/>
    <s v="November"/>
    <s v="Division_A"/>
    <x v="21"/>
    <n v="2012"/>
    <n v="10"/>
    <s v="TM-Utama"/>
    <n v="28"/>
    <n v="3483"/>
    <s v="124.4"/>
    <x v="1"/>
    <n v="1.98"/>
    <n v="55431.9"/>
    <n v="55.432000000000002"/>
    <d v="2022-11-01T00:00:00"/>
    <x v="0"/>
    <x v="1"/>
  </r>
  <r>
    <x v="10"/>
    <x v="11"/>
    <s v="Desember"/>
    <s v="Division_A"/>
    <x v="21"/>
    <n v="2012"/>
    <n v="10"/>
    <s v="TM-Utama"/>
    <n v="28"/>
    <n v="3483"/>
    <s v="124.4"/>
    <x v="1"/>
    <n v="2.0030000000000001"/>
    <n v="56085"/>
    <n v="56.085000000000001"/>
    <d v="2022-12-01T00:00:00"/>
    <x v="0"/>
    <x v="1"/>
  </r>
  <r>
    <x v="10"/>
    <x v="0"/>
    <s v="Januari"/>
    <s v="Division_A"/>
    <x v="22"/>
    <n v="2013"/>
    <n v="9"/>
    <s v="TM-Utama"/>
    <n v="24"/>
    <n v="2678"/>
    <s v="111.6"/>
    <x v="1"/>
    <n v="0.39600000000000002"/>
    <n v="9500.2000000000007"/>
    <n v="9.5"/>
    <d v="2022-01-01T00:00:00"/>
    <x v="0"/>
    <x v="1"/>
  </r>
  <r>
    <x v="10"/>
    <x v="1"/>
    <s v="Februari"/>
    <s v="Division_A"/>
    <x v="22"/>
    <n v="2013"/>
    <n v="9"/>
    <s v="TM-Utama"/>
    <n v="24"/>
    <n v="2678"/>
    <s v="111.6"/>
    <x v="1"/>
    <n v="1.423"/>
    <n v="34144.5"/>
    <n v="34.145000000000003"/>
    <d v="2022-02-01T00:00:00"/>
    <x v="0"/>
    <x v="1"/>
  </r>
  <r>
    <x v="10"/>
    <x v="2"/>
    <s v="Maret"/>
    <s v="Division_A"/>
    <x v="22"/>
    <n v="2013"/>
    <n v="9"/>
    <s v="TM-Utama"/>
    <n v="24"/>
    <n v="2678"/>
    <s v="111.6"/>
    <x v="1"/>
    <n v="1.7050000000000001"/>
    <n v="40913.1"/>
    <n v="40.912999999999997"/>
    <d v="2022-03-01T00:00:00"/>
    <x v="0"/>
    <x v="1"/>
  </r>
  <r>
    <x v="10"/>
    <x v="3"/>
    <s v="April"/>
    <s v="Division_A"/>
    <x v="22"/>
    <n v="2013"/>
    <n v="9"/>
    <s v="TM-Utama"/>
    <n v="24"/>
    <n v="2678"/>
    <s v="111.6"/>
    <x v="1"/>
    <n v="1.9490000000000001"/>
    <n v="46778"/>
    <n v="46.777999999999999"/>
    <d v="2022-04-01T00:00:00"/>
    <x v="0"/>
    <x v="1"/>
  </r>
  <r>
    <x v="10"/>
    <x v="4"/>
    <s v="Mei"/>
    <s v="Division_A"/>
    <x v="22"/>
    <n v="2013"/>
    <n v="9"/>
    <s v="TM-Utama"/>
    <n v="24"/>
    <n v="2678"/>
    <s v="111.6"/>
    <x v="1"/>
    <n v="1.79"/>
    <n v="42961.8"/>
    <n v="42.962000000000003"/>
    <d v="2022-05-01T00:00:00"/>
    <x v="0"/>
    <x v="1"/>
  </r>
  <r>
    <x v="10"/>
    <x v="5"/>
    <s v="Juni"/>
    <s v="Division_A"/>
    <x v="22"/>
    <n v="2013"/>
    <n v="9"/>
    <s v="TM-Utama"/>
    <n v="24"/>
    <n v="2678"/>
    <s v="111.6"/>
    <x v="1"/>
    <n v="1.9730000000000001"/>
    <n v="47340.3"/>
    <n v="47.34"/>
    <d v="2022-06-01T00:00:00"/>
    <x v="0"/>
    <x v="1"/>
  </r>
  <r>
    <x v="10"/>
    <x v="6"/>
    <s v="Juli"/>
    <s v="Division_A"/>
    <x v="22"/>
    <n v="2013"/>
    <n v="9"/>
    <s v="TM-Utama"/>
    <n v="24"/>
    <n v="2678"/>
    <s v="111.6"/>
    <x v="1"/>
    <n v="1.147"/>
    <n v="27516.5"/>
    <n v="27.515999999999998"/>
    <d v="2022-07-01T00:00:00"/>
    <x v="0"/>
    <x v="1"/>
  </r>
  <r>
    <x v="10"/>
    <x v="7"/>
    <s v="Agustus"/>
    <s v="Division_A"/>
    <x v="22"/>
    <n v="2013"/>
    <n v="9"/>
    <s v="TM-Utama"/>
    <n v="24"/>
    <n v="2678"/>
    <s v="111.6"/>
    <x v="1"/>
    <n v="1.9370000000000001"/>
    <n v="46476.7"/>
    <n v="46.476999999999997"/>
    <d v="2022-08-01T00:00:00"/>
    <x v="0"/>
    <x v="1"/>
  </r>
  <r>
    <x v="10"/>
    <x v="8"/>
    <s v="September"/>
    <s v="Division_A"/>
    <x v="22"/>
    <n v="2013"/>
    <n v="9"/>
    <s v="TM-Utama"/>
    <n v="24"/>
    <n v="2678"/>
    <s v="111.6"/>
    <x v="1"/>
    <n v="2.09"/>
    <n v="50152.2"/>
    <n v="50.152000000000001"/>
    <d v="2022-09-01T00:00:00"/>
    <x v="0"/>
    <x v="1"/>
  </r>
  <r>
    <x v="10"/>
    <x v="9"/>
    <s v="Oktober"/>
    <s v="Division_A"/>
    <x v="22"/>
    <n v="2013"/>
    <n v="9"/>
    <s v="TM-Utama"/>
    <n v="24"/>
    <n v="2678"/>
    <s v="111.6"/>
    <x v="1"/>
    <n v="1.984"/>
    <n v="47621.5"/>
    <n v="47.622"/>
    <d v="2022-10-01T00:00:00"/>
    <x v="0"/>
    <x v="1"/>
  </r>
  <r>
    <x v="10"/>
    <x v="10"/>
    <s v="November"/>
    <s v="Division_A"/>
    <x v="22"/>
    <n v="2013"/>
    <n v="9"/>
    <s v="TM-Utama"/>
    <n v="24"/>
    <n v="2678"/>
    <s v="111.6"/>
    <x v="1"/>
    <n v="1.776"/>
    <n v="42620.4"/>
    <n v="42.62"/>
    <d v="2022-11-01T00:00:00"/>
    <x v="0"/>
    <x v="1"/>
  </r>
  <r>
    <x v="10"/>
    <x v="11"/>
    <s v="Desember"/>
    <s v="Division_A"/>
    <x v="22"/>
    <n v="2013"/>
    <n v="9"/>
    <s v="TM-Utama"/>
    <n v="24"/>
    <n v="2678"/>
    <s v="111.6"/>
    <x v="1"/>
    <n v="1.7969999999999999"/>
    <n v="43122.5"/>
    <n v="43.122"/>
    <d v="2022-12-01T00:00:00"/>
    <x v="0"/>
    <x v="1"/>
  </r>
  <r>
    <x v="10"/>
    <x v="0"/>
    <s v="Januari"/>
    <s v="Division_A"/>
    <x v="23"/>
    <n v="2013"/>
    <n v="9"/>
    <s v="TM-Utama"/>
    <n v="23"/>
    <n v="2683"/>
    <s v="116.7"/>
    <x v="1"/>
    <n v="0.41399999999999998"/>
    <n v="9517.9"/>
    <n v="9.5180000000000007"/>
    <d v="2022-01-01T00:00:00"/>
    <x v="0"/>
    <x v="1"/>
  </r>
  <r>
    <x v="10"/>
    <x v="1"/>
    <s v="Februari"/>
    <s v="Division_A"/>
    <x v="23"/>
    <n v="2013"/>
    <n v="9"/>
    <s v="TM-Utama"/>
    <n v="23"/>
    <n v="2683"/>
    <s v="116.7"/>
    <x v="1"/>
    <n v="1.4870000000000001"/>
    <n v="34208.199999999997"/>
    <n v="34.207999999999998"/>
    <d v="2022-02-01T00:00:00"/>
    <x v="0"/>
    <x v="1"/>
  </r>
  <r>
    <x v="10"/>
    <x v="2"/>
    <s v="Maret"/>
    <s v="Division_A"/>
    <x v="23"/>
    <n v="2013"/>
    <n v="9"/>
    <s v="TM-Utama"/>
    <n v="23"/>
    <n v="2683"/>
    <s v="116.7"/>
    <x v="1"/>
    <n v="1.782"/>
    <n v="40989.5"/>
    <n v="40.99"/>
    <d v="2022-03-01T00:00:00"/>
    <x v="0"/>
    <x v="1"/>
  </r>
  <r>
    <x v="10"/>
    <x v="3"/>
    <s v="April"/>
    <s v="Division_A"/>
    <x v="23"/>
    <n v="2013"/>
    <n v="9"/>
    <s v="TM-Utama"/>
    <n v="23"/>
    <n v="2683"/>
    <s v="116.7"/>
    <x v="1"/>
    <n v="2.0379999999999998"/>
    <n v="46865.3"/>
    <n v="46.865000000000002"/>
    <d v="2022-04-01T00:00:00"/>
    <x v="0"/>
    <x v="1"/>
  </r>
  <r>
    <x v="10"/>
    <x v="4"/>
    <s v="Mei"/>
    <s v="Division_A"/>
    <x v="23"/>
    <n v="2013"/>
    <n v="9"/>
    <s v="TM-Utama"/>
    <n v="23"/>
    <n v="2683"/>
    <s v="116.7"/>
    <x v="1"/>
    <n v="1.871"/>
    <n v="43042"/>
    <n v="43.042000000000002"/>
    <d v="2022-05-01T00:00:00"/>
    <x v="0"/>
    <x v="1"/>
  </r>
  <r>
    <x v="10"/>
    <x v="5"/>
    <s v="Juni"/>
    <s v="Division_A"/>
    <x v="23"/>
    <n v="2013"/>
    <n v="9"/>
    <s v="TM-Utama"/>
    <n v="23"/>
    <n v="2683"/>
    <s v="116.7"/>
    <x v="1"/>
    <n v="2.0619999999999998"/>
    <n v="47428.7"/>
    <n v="47.429000000000002"/>
    <d v="2022-06-01T00:00:00"/>
    <x v="0"/>
    <x v="1"/>
  </r>
  <r>
    <x v="10"/>
    <x v="6"/>
    <s v="Juli"/>
    <s v="Division_A"/>
    <x v="23"/>
    <n v="2013"/>
    <n v="9"/>
    <s v="TM-Utama"/>
    <n v="23"/>
    <n v="2683"/>
    <s v="116.7"/>
    <x v="1"/>
    <n v="1.1990000000000001"/>
    <n v="27567.8"/>
    <n v="27.568000000000001"/>
    <d v="2022-07-01T00:00:00"/>
    <x v="0"/>
    <x v="1"/>
  </r>
  <r>
    <x v="10"/>
    <x v="7"/>
    <s v="Agustus"/>
    <s v="Division_A"/>
    <x v="23"/>
    <n v="2013"/>
    <n v="9"/>
    <s v="TM-Utama"/>
    <n v="23"/>
    <n v="2683"/>
    <s v="116.7"/>
    <x v="1"/>
    <n v="2.024"/>
    <n v="46563.5"/>
    <n v="46.563000000000002"/>
    <d v="2022-08-01T00:00:00"/>
    <x v="0"/>
    <x v="1"/>
  </r>
  <r>
    <x v="10"/>
    <x v="8"/>
    <s v="September"/>
    <s v="Division_A"/>
    <x v="23"/>
    <n v="2013"/>
    <n v="9"/>
    <s v="TM-Utama"/>
    <n v="23"/>
    <n v="2683"/>
    <s v="116.7"/>
    <x v="1"/>
    <n v="2.1850000000000001"/>
    <n v="50245.9"/>
    <n v="50.246000000000002"/>
    <d v="2022-09-01T00:00:00"/>
    <x v="0"/>
    <x v="1"/>
  </r>
  <r>
    <x v="10"/>
    <x v="9"/>
    <s v="Oktober"/>
    <s v="Division_A"/>
    <x v="23"/>
    <n v="2013"/>
    <n v="9"/>
    <s v="TM-Utama"/>
    <n v="23"/>
    <n v="2683"/>
    <s v="116.7"/>
    <x v="1"/>
    <n v="2.0739999999999998"/>
    <n v="47710.400000000001"/>
    <n v="47.71"/>
    <d v="2022-10-01T00:00:00"/>
    <x v="0"/>
    <x v="1"/>
  </r>
  <r>
    <x v="10"/>
    <x v="10"/>
    <s v="November"/>
    <s v="Division_A"/>
    <x v="23"/>
    <n v="2013"/>
    <n v="9"/>
    <s v="TM-Utama"/>
    <n v="23"/>
    <n v="2683"/>
    <s v="116.7"/>
    <x v="1"/>
    <n v="1.857"/>
    <n v="42699.9"/>
    <n v="42.7"/>
    <d v="2022-11-01T00:00:00"/>
    <x v="0"/>
    <x v="1"/>
  </r>
  <r>
    <x v="10"/>
    <x v="11"/>
    <s v="Desember"/>
    <s v="Division_A"/>
    <x v="23"/>
    <n v="2013"/>
    <n v="9"/>
    <s v="TM-Utama"/>
    <n v="23"/>
    <n v="2683"/>
    <s v="116.7"/>
    <x v="1"/>
    <n v="1.8779999999999999"/>
    <n v="43203"/>
    <n v="43.203000000000003"/>
    <d v="2022-12-01T00:00:00"/>
    <x v="0"/>
    <x v="1"/>
  </r>
  <r>
    <x v="10"/>
    <x v="0"/>
    <s v="Januari"/>
    <s v="Division_A"/>
    <x v="24"/>
    <n v="2013"/>
    <n v="9"/>
    <s v="TM-Utama"/>
    <n v="24"/>
    <n v="3445"/>
    <s v="143.5"/>
    <x v="1"/>
    <n v="0.50900000000000001"/>
    <n v="12221.1"/>
    <n v="12.221"/>
    <d v="2022-01-01T00:00:00"/>
    <x v="0"/>
    <x v="1"/>
  </r>
  <r>
    <x v="10"/>
    <x v="1"/>
    <s v="Februari"/>
    <s v="Division_A"/>
    <x v="24"/>
    <n v="2013"/>
    <n v="9"/>
    <s v="TM-Utama"/>
    <n v="24"/>
    <n v="3445"/>
    <s v="143.5"/>
    <x v="1"/>
    <n v="1.83"/>
    <n v="43923.8"/>
    <n v="43.923999999999999"/>
    <d v="2022-02-01T00:00:00"/>
    <x v="0"/>
    <x v="1"/>
  </r>
  <r>
    <x v="10"/>
    <x v="2"/>
    <s v="Maret"/>
    <s v="Division_A"/>
    <x v="24"/>
    <n v="2013"/>
    <n v="9"/>
    <s v="TM-Utama"/>
    <n v="24"/>
    <n v="3445"/>
    <s v="143.5"/>
    <x v="1"/>
    <n v="2.1930000000000001"/>
    <n v="52631"/>
    <n v="52.631"/>
    <d v="2022-03-01T00:00:00"/>
    <x v="0"/>
    <x v="1"/>
  </r>
  <r>
    <x v="10"/>
    <x v="3"/>
    <s v="April"/>
    <s v="Division_A"/>
    <x v="24"/>
    <n v="2013"/>
    <n v="9"/>
    <s v="TM-Utama"/>
    <n v="24"/>
    <n v="3445"/>
    <s v="143.5"/>
    <x v="1"/>
    <n v="2.5070000000000001"/>
    <n v="60175.5"/>
    <n v="60.176000000000002"/>
    <d v="2022-04-01T00:00:00"/>
    <x v="0"/>
    <x v="1"/>
  </r>
  <r>
    <x v="10"/>
    <x v="4"/>
    <s v="Mei"/>
    <s v="Division_A"/>
    <x v="24"/>
    <n v="2013"/>
    <n v="9"/>
    <s v="TM-Utama"/>
    <n v="24"/>
    <n v="3445"/>
    <s v="143.5"/>
    <x v="1"/>
    <n v="2.3029999999999999"/>
    <n v="55266.400000000001"/>
    <n v="55.265999999999998"/>
    <d v="2022-05-01T00:00:00"/>
    <x v="0"/>
    <x v="1"/>
  </r>
  <r>
    <x v="10"/>
    <x v="5"/>
    <s v="Juni"/>
    <s v="Division_A"/>
    <x v="24"/>
    <n v="2013"/>
    <n v="9"/>
    <s v="TM-Utama"/>
    <n v="24"/>
    <n v="3445"/>
    <s v="143.5"/>
    <x v="1"/>
    <n v="2.5369999999999999"/>
    <n v="60899"/>
    <n v="60.899000000000001"/>
    <d v="2022-06-01T00:00:00"/>
    <x v="0"/>
    <x v="1"/>
  </r>
  <r>
    <x v="10"/>
    <x v="6"/>
    <s v="Juli"/>
    <s v="Division_A"/>
    <x v="24"/>
    <n v="2013"/>
    <n v="9"/>
    <s v="TM-Utama"/>
    <n v="24"/>
    <n v="3445"/>
    <s v="143.5"/>
    <x v="1"/>
    <n v="1.4750000000000001"/>
    <n v="35397.4"/>
    <n v="35.396999999999998"/>
    <d v="2022-07-01T00:00:00"/>
    <x v="0"/>
    <x v="1"/>
  </r>
  <r>
    <x v="10"/>
    <x v="7"/>
    <s v="Agustus"/>
    <s v="Division_A"/>
    <x v="24"/>
    <n v="2013"/>
    <n v="9"/>
    <s v="TM-Utama"/>
    <n v="24"/>
    <n v="3445"/>
    <s v="143.5"/>
    <x v="1"/>
    <n v="2.4910000000000001"/>
    <n v="59788"/>
    <n v="59.787999999999997"/>
    <d v="2022-08-01T00:00:00"/>
    <x v="0"/>
    <x v="1"/>
  </r>
  <r>
    <x v="10"/>
    <x v="8"/>
    <s v="September"/>
    <s v="Division_A"/>
    <x v="24"/>
    <n v="2013"/>
    <n v="9"/>
    <s v="TM-Utama"/>
    <n v="24"/>
    <n v="3445"/>
    <s v="143.5"/>
    <x v="1"/>
    <n v="2.6880000000000002"/>
    <n v="64516.2"/>
    <n v="64.516000000000005"/>
    <d v="2022-09-01T00:00:00"/>
    <x v="0"/>
    <x v="1"/>
  </r>
  <r>
    <x v="10"/>
    <x v="9"/>
    <s v="Oktober"/>
    <s v="Division_A"/>
    <x v="24"/>
    <n v="2013"/>
    <n v="9"/>
    <s v="TM-Utama"/>
    <n v="24"/>
    <n v="3445"/>
    <s v="143.5"/>
    <x v="1"/>
    <n v="2.5529999999999999"/>
    <n v="61260.7"/>
    <n v="61.261000000000003"/>
    <d v="2022-10-01T00:00:00"/>
    <x v="0"/>
    <x v="1"/>
  </r>
  <r>
    <x v="10"/>
    <x v="10"/>
    <s v="November"/>
    <s v="Division_A"/>
    <x v="24"/>
    <n v="2013"/>
    <n v="9"/>
    <s v="TM-Utama"/>
    <n v="24"/>
    <n v="3445"/>
    <s v="143.5"/>
    <x v="1"/>
    <n v="2.2839999999999998"/>
    <n v="54827.199999999997"/>
    <n v="54.826999999999998"/>
    <d v="2022-11-01T00:00:00"/>
    <x v="0"/>
    <x v="1"/>
  </r>
  <r>
    <x v="10"/>
    <x v="11"/>
    <s v="Desember"/>
    <s v="Division_A"/>
    <x v="24"/>
    <n v="2013"/>
    <n v="9"/>
    <s v="TM-Utama"/>
    <n v="24"/>
    <n v="3445"/>
    <s v="143.5"/>
    <x v="1"/>
    <n v="2.3109999999999999"/>
    <n v="55473.1"/>
    <n v="55.472999999999999"/>
    <d v="2022-12-01T00:00:00"/>
    <x v="0"/>
    <x v="1"/>
  </r>
  <r>
    <x v="10"/>
    <x v="0"/>
    <s v="Januari"/>
    <s v="Division_A"/>
    <x v="25"/>
    <n v="2013"/>
    <n v="9"/>
    <s v="TM-Utama"/>
    <n v="24"/>
    <n v="3271"/>
    <s v="136.3"/>
    <x v="1"/>
    <n v="0.48299999999999998"/>
    <n v="11603.9"/>
    <n v="11.603999999999999"/>
    <d v="2022-01-01T00:00:00"/>
    <x v="0"/>
    <x v="1"/>
  </r>
  <r>
    <x v="10"/>
    <x v="1"/>
    <s v="Februari"/>
    <s v="Division_A"/>
    <x v="25"/>
    <n v="2013"/>
    <n v="9"/>
    <s v="TM-Utama"/>
    <n v="24"/>
    <n v="3271"/>
    <s v="136.3"/>
    <x v="1"/>
    <n v="1.738"/>
    <n v="41705.199999999997"/>
    <n v="41.704999999999998"/>
    <d v="2022-02-01T00:00:00"/>
    <x v="0"/>
    <x v="1"/>
  </r>
  <r>
    <x v="10"/>
    <x v="2"/>
    <s v="Maret"/>
    <s v="Division_A"/>
    <x v="25"/>
    <n v="2013"/>
    <n v="9"/>
    <s v="TM-Utama"/>
    <n v="24"/>
    <n v="3271"/>
    <s v="136.3"/>
    <x v="1"/>
    <n v="2.0819999999999999"/>
    <n v="49972.7"/>
    <n v="49.972999999999999"/>
    <d v="2022-03-01T00:00:00"/>
    <x v="0"/>
    <x v="1"/>
  </r>
  <r>
    <x v="10"/>
    <x v="3"/>
    <s v="April"/>
    <s v="Division_A"/>
    <x v="25"/>
    <n v="2013"/>
    <n v="9"/>
    <s v="TM-Utama"/>
    <n v="24"/>
    <n v="3271"/>
    <s v="136.3"/>
    <x v="1"/>
    <n v="2.3809999999999998"/>
    <n v="57136.2"/>
    <n v="57.136000000000003"/>
    <d v="2022-04-01T00:00:00"/>
    <x v="0"/>
    <x v="1"/>
  </r>
  <r>
    <x v="10"/>
    <x v="4"/>
    <s v="Mei"/>
    <s v="Division_A"/>
    <x v="25"/>
    <n v="2013"/>
    <n v="9"/>
    <s v="TM-Utama"/>
    <n v="24"/>
    <n v="3271"/>
    <s v="136.3"/>
    <x v="1"/>
    <n v="2.1859999999999999"/>
    <n v="52475"/>
    <n v="52.475000000000001"/>
    <d v="2022-05-01T00:00:00"/>
    <x v="0"/>
    <x v="1"/>
  </r>
  <r>
    <x v="10"/>
    <x v="5"/>
    <s v="Juni"/>
    <s v="Division_A"/>
    <x v="25"/>
    <n v="2013"/>
    <n v="9"/>
    <s v="TM-Utama"/>
    <n v="24"/>
    <n v="3271"/>
    <s v="136.3"/>
    <x v="1"/>
    <n v="2.4089999999999998"/>
    <n v="57823.1"/>
    <n v="57.823"/>
    <d v="2022-06-01T00:00:00"/>
    <x v="0"/>
    <x v="1"/>
  </r>
  <r>
    <x v="10"/>
    <x v="6"/>
    <s v="Juli"/>
    <s v="Division_A"/>
    <x v="25"/>
    <n v="2013"/>
    <n v="9"/>
    <s v="TM-Utama"/>
    <n v="24"/>
    <n v="3271"/>
    <s v="136.3"/>
    <x v="1"/>
    <n v="1.4"/>
    <n v="33609.5"/>
    <n v="33.61"/>
    <d v="2022-07-01T00:00:00"/>
    <x v="0"/>
    <x v="1"/>
  </r>
  <r>
    <x v="10"/>
    <x v="7"/>
    <s v="Agustus"/>
    <s v="Division_A"/>
    <x v="25"/>
    <n v="2013"/>
    <n v="9"/>
    <s v="TM-Utama"/>
    <n v="24"/>
    <n v="3271"/>
    <s v="136.3"/>
    <x v="1"/>
    <n v="2.3650000000000002"/>
    <n v="56768.2"/>
    <n v="56.768000000000001"/>
    <d v="2022-08-01T00:00:00"/>
    <x v="0"/>
    <x v="1"/>
  </r>
  <r>
    <x v="10"/>
    <x v="8"/>
    <s v="September"/>
    <s v="Division_A"/>
    <x v="25"/>
    <n v="2013"/>
    <n v="9"/>
    <s v="TM-Utama"/>
    <n v="24"/>
    <n v="3271"/>
    <s v="136.3"/>
    <x v="1"/>
    <n v="2.552"/>
    <n v="61257.7"/>
    <n v="61.258000000000003"/>
    <d v="2022-09-01T00:00:00"/>
    <x v="0"/>
    <x v="1"/>
  </r>
  <r>
    <x v="10"/>
    <x v="9"/>
    <s v="Oktober"/>
    <s v="Division_A"/>
    <x v="25"/>
    <n v="2013"/>
    <n v="9"/>
    <s v="TM-Utama"/>
    <n v="24"/>
    <n v="3271"/>
    <s v="136.3"/>
    <x v="1"/>
    <n v="2.4239999999999999"/>
    <n v="58166.6"/>
    <n v="58.167000000000002"/>
    <d v="2022-10-01T00:00:00"/>
    <x v="0"/>
    <x v="1"/>
  </r>
  <r>
    <x v="10"/>
    <x v="10"/>
    <s v="November"/>
    <s v="Division_A"/>
    <x v="25"/>
    <n v="2013"/>
    <n v="9"/>
    <s v="TM-Utama"/>
    <n v="24"/>
    <n v="3271"/>
    <s v="136.3"/>
    <x v="1"/>
    <n v="2.169"/>
    <n v="52058"/>
    <n v="52.058"/>
    <d v="2022-11-01T00:00:00"/>
    <x v="0"/>
    <x v="1"/>
  </r>
  <r>
    <x v="10"/>
    <x v="11"/>
    <s v="Desember"/>
    <s v="Division_A"/>
    <x v="25"/>
    <n v="2013"/>
    <n v="9"/>
    <s v="TM-Utama"/>
    <n v="24"/>
    <n v="3271"/>
    <s v="136.3"/>
    <x v="1"/>
    <n v="2.1949999999999998"/>
    <n v="52671.3"/>
    <n v="52.670999999999999"/>
    <d v="2022-12-01T00:00:00"/>
    <x v="0"/>
    <x v="1"/>
  </r>
  <r>
    <x v="10"/>
    <x v="0"/>
    <s v="Januari"/>
    <s v="Division_A"/>
    <x v="26"/>
    <n v="2013"/>
    <n v="9"/>
    <s v="TM-Utama"/>
    <n v="25"/>
    <n v="3291"/>
    <s v="131.6"/>
    <x v="1"/>
    <n v="0.46700000000000003"/>
    <n v="11674.8"/>
    <n v="11.675000000000001"/>
    <d v="2022-01-01T00:00:00"/>
    <x v="0"/>
    <x v="1"/>
  </r>
  <r>
    <x v="10"/>
    <x v="1"/>
    <s v="Februari"/>
    <s v="Division_A"/>
    <x v="26"/>
    <n v="2013"/>
    <n v="9"/>
    <s v="TM-Utama"/>
    <n v="25"/>
    <n v="3291"/>
    <s v="131.6"/>
    <x v="1"/>
    <n v="1.6779999999999999"/>
    <n v="41960.2"/>
    <n v="41.96"/>
    <d v="2022-02-01T00:00:00"/>
    <x v="0"/>
    <x v="1"/>
  </r>
  <r>
    <x v="10"/>
    <x v="2"/>
    <s v="Maret"/>
    <s v="Division_A"/>
    <x v="26"/>
    <n v="2013"/>
    <n v="9"/>
    <s v="TM-Utama"/>
    <n v="25"/>
    <n v="3291"/>
    <s v="131.6"/>
    <x v="1"/>
    <n v="2.0110000000000001"/>
    <n v="50278.3"/>
    <n v="50.277999999999999"/>
    <d v="2022-03-01T00:00:00"/>
    <x v="0"/>
    <x v="1"/>
  </r>
  <r>
    <x v="10"/>
    <x v="3"/>
    <s v="April"/>
    <s v="Division_A"/>
    <x v="26"/>
    <n v="2013"/>
    <n v="9"/>
    <s v="TM-Utama"/>
    <n v="25"/>
    <n v="3291"/>
    <s v="131.6"/>
    <x v="1"/>
    <n v="2.2989999999999999"/>
    <n v="57485.5"/>
    <n v="57.485999999999997"/>
    <d v="2022-04-01T00:00:00"/>
    <x v="0"/>
    <x v="1"/>
  </r>
  <r>
    <x v="10"/>
    <x v="4"/>
    <s v="Mei"/>
    <s v="Division_A"/>
    <x v="26"/>
    <n v="2013"/>
    <n v="9"/>
    <s v="TM-Utama"/>
    <n v="25"/>
    <n v="3291"/>
    <s v="131.6"/>
    <x v="1"/>
    <n v="2.1120000000000001"/>
    <n v="52795.9"/>
    <n v="52.795999999999999"/>
    <d v="2022-05-01T00:00:00"/>
    <x v="0"/>
    <x v="1"/>
  </r>
  <r>
    <x v="10"/>
    <x v="5"/>
    <s v="Juni"/>
    <s v="Division_A"/>
    <x v="26"/>
    <n v="2013"/>
    <n v="9"/>
    <s v="TM-Utama"/>
    <n v="25"/>
    <n v="3291"/>
    <s v="131.6"/>
    <x v="1"/>
    <n v="2.327"/>
    <n v="58176.7"/>
    <n v="58.177"/>
    <d v="2022-06-01T00:00:00"/>
    <x v="0"/>
    <x v="1"/>
  </r>
  <r>
    <x v="10"/>
    <x v="6"/>
    <s v="Juli"/>
    <s v="Division_A"/>
    <x v="26"/>
    <n v="2013"/>
    <n v="9"/>
    <s v="TM-Utama"/>
    <n v="25"/>
    <n v="3291"/>
    <s v="131.6"/>
    <x v="1"/>
    <n v="1.353"/>
    <n v="33815"/>
    <n v="33.814999999999998"/>
    <d v="2022-07-01T00:00:00"/>
    <x v="0"/>
    <x v="1"/>
  </r>
  <r>
    <x v="10"/>
    <x v="7"/>
    <s v="Agustus"/>
    <s v="Division_A"/>
    <x v="26"/>
    <n v="2013"/>
    <n v="9"/>
    <s v="TM-Utama"/>
    <n v="25"/>
    <n v="3291"/>
    <s v="131.6"/>
    <x v="1"/>
    <n v="2.2850000000000001"/>
    <n v="57115.3"/>
    <n v="57.115000000000002"/>
    <d v="2022-08-01T00:00:00"/>
    <x v="0"/>
    <x v="1"/>
  </r>
  <r>
    <x v="10"/>
    <x v="8"/>
    <s v="September"/>
    <s v="Division_A"/>
    <x v="26"/>
    <n v="2013"/>
    <n v="9"/>
    <s v="TM-Utama"/>
    <n v="25"/>
    <n v="3291"/>
    <s v="131.6"/>
    <x v="1"/>
    <n v="2.4649999999999999"/>
    <n v="61632.2"/>
    <n v="61.631999999999998"/>
    <d v="2022-09-01T00:00:00"/>
    <x v="0"/>
    <x v="1"/>
  </r>
  <r>
    <x v="10"/>
    <x v="9"/>
    <s v="Oktober"/>
    <s v="Division_A"/>
    <x v="26"/>
    <n v="2013"/>
    <n v="9"/>
    <s v="TM-Utama"/>
    <n v="25"/>
    <n v="3291"/>
    <s v="131.6"/>
    <x v="1"/>
    <n v="2.3410000000000002"/>
    <n v="58522.2"/>
    <n v="58.521999999999998"/>
    <d v="2022-10-01T00:00:00"/>
    <x v="0"/>
    <x v="1"/>
  </r>
  <r>
    <x v="10"/>
    <x v="10"/>
    <s v="November"/>
    <s v="Division_A"/>
    <x v="26"/>
    <n v="2013"/>
    <n v="9"/>
    <s v="TM-Utama"/>
    <n v="25"/>
    <n v="3291"/>
    <s v="131.6"/>
    <x v="1"/>
    <n v="2.0950000000000002"/>
    <n v="52376.3"/>
    <n v="52.375999999999998"/>
    <d v="2022-11-01T00:00:00"/>
    <x v="0"/>
    <x v="1"/>
  </r>
  <r>
    <x v="10"/>
    <x v="11"/>
    <s v="Desember"/>
    <s v="Division_A"/>
    <x v="26"/>
    <n v="2013"/>
    <n v="9"/>
    <s v="TM-Utama"/>
    <n v="25"/>
    <n v="3291"/>
    <s v="131.6"/>
    <x v="1"/>
    <n v="2.12"/>
    <n v="52993.3"/>
    <n v="52.993000000000002"/>
    <d v="2022-12-01T00:00:00"/>
    <x v="0"/>
    <x v="1"/>
  </r>
  <r>
    <x v="10"/>
    <x v="0"/>
    <s v="Januari"/>
    <s v="Division_A"/>
    <x v="27"/>
    <n v="2014"/>
    <n v="8"/>
    <s v="TM-Utama"/>
    <n v="24"/>
    <n v="2208"/>
    <s v="92"/>
    <x v="1"/>
    <n v="0.36199999999999999"/>
    <n v="8684.2999999999993"/>
    <n v="8.6839999999999993"/>
    <d v="2022-01-01T00:00:00"/>
    <x v="0"/>
    <x v="1"/>
  </r>
  <r>
    <x v="10"/>
    <x v="1"/>
    <s v="Februari"/>
    <s v="Division_A"/>
    <x v="27"/>
    <n v="2014"/>
    <n v="8"/>
    <s v="TM-Utama"/>
    <n v="24"/>
    <n v="2208"/>
    <s v="92"/>
    <x v="1"/>
    <n v="1.3"/>
    <n v="31212"/>
    <n v="31.212"/>
    <d v="2022-02-01T00:00:00"/>
    <x v="0"/>
    <x v="1"/>
  </r>
  <r>
    <x v="10"/>
    <x v="2"/>
    <s v="Maret"/>
    <s v="Division_A"/>
    <x v="27"/>
    <n v="2014"/>
    <n v="8"/>
    <s v="TM-Utama"/>
    <n v="24"/>
    <n v="2208"/>
    <s v="92"/>
    <x v="1"/>
    <n v="1.5580000000000001"/>
    <n v="37399.300000000003"/>
    <n v="37.399000000000001"/>
    <d v="2022-03-01T00:00:00"/>
    <x v="0"/>
    <x v="1"/>
  </r>
  <r>
    <x v="10"/>
    <x v="3"/>
    <s v="April"/>
    <s v="Division_A"/>
    <x v="27"/>
    <n v="2014"/>
    <n v="8"/>
    <s v="TM-Utama"/>
    <n v="24"/>
    <n v="2208"/>
    <s v="92"/>
    <x v="1"/>
    <n v="1.782"/>
    <n v="42760.4"/>
    <n v="42.76"/>
    <d v="2022-04-01T00:00:00"/>
    <x v="0"/>
    <x v="1"/>
  </r>
  <r>
    <x v="10"/>
    <x v="4"/>
    <s v="Mei"/>
    <s v="Division_A"/>
    <x v="27"/>
    <n v="2014"/>
    <n v="8"/>
    <s v="TM-Utama"/>
    <n v="24"/>
    <n v="2208"/>
    <s v="92"/>
    <x v="1"/>
    <n v="1.6359999999999999"/>
    <n v="39272"/>
    <n v="39.271999999999998"/>
    <d v="2022-05-01T00:00:00"/>
    <x v="0"/>
    <x v="1"/>
  </r>
  <r>
    <x v="10"/>
    <x v="5"/>
    <s v="Juni"/>
    <s v="Division_A"/>
    <x v="27"/>
    <n v="2014"/>
    <n v="8"/>
    <s v="TM-Utama"/>
    <n v="24"/>
    <n v="2208"/>
    <s v="92"/>
    <x v="1"/>
    <n v="1.8029999999999999"/>
    <n v="43274.5"/>
    <n v="43.274999999999999"/>
    <d v="2022-06-01T00:00:00"/>
    <x v="0"/>
    <x v="1"/>
  </r>
  <r>
    <x v="10"/>
    <x v="6"/>
    <s v="Juli"/>
    <s v="Division_A"/>
    <x v="27"/>
    <n v="2014"/>
    <n v="8"/>
    <s v="TM-Utama"/>
    <n v="24"/>
    <n v="2208"/>
    <s v="92"/>
    <x v="1"/>
    <n v="1.048"/>
    <n v="25153.200000000001"/>
    <n v="25.152999999999999"/>
    <d v="2022-07-01T00:00:00"/>
    <x v="0"/>
    <x v="1"/>
  </r>
  <r>
    <x v="10"/>
    <x v="7"/>
    <s v="Agustus"/>
    <s v="Division_A"/>
    <x v="27"/>
    <n v="2014"/>
    <n v="8"/>
    <s v="TM-Utama"/>
    <n v="24"/>
    <n v="2208"/>
    <s v="92"/>
    <x v="1"/>
    <n v="1.77"/>
    <n v="42485"/>
    <n v="42.484999999999999"/>
    <d v="2022-08-01T00:00:00"/>
    <x v="0"/>
    <x v="1"/>
  </r>
  <r>
    <x v="10"/>
    <x v="8"/>
    <s v="September"/>
    <s v="Division_A"/>
    <x v="27"/>
    <n v="2014"/>
    <n v="8"/>
    <s v="TM-Utama"/>
    <n v="24"/>
    <n v="2208"/>
    <s v="92"/>
    <x v="1"/>
    <n v="1.91"/>
    <n v="45844.9"/>
    <n v="45.844999999999999"/>
    <d v="2022-09-01T00:00:00"/>
    <x v="0"/>
    <x v="1"/>
  </r>
  <r>
    <x v="10"/>
    <x v="9"/>
    <s v="Oktober"/>
    <s v="Division_A"/>
    <x v="27"/>
    <n v="2014"/>
    <n v="8"/>
    <s v="TM-Utama"/>
    <n v="24"/>
    <n v="2208"/>
    <s v="92"/>
    <x v="1"/>
    <n v="1.8140000000000001"/>
    <n v="43531.6"/>
    <n v="43.531999999999996"/>
    <d v="2022-10-01T00:00:00"/>
    <x v="0"/>
    <x v="1"/>
  </r>
  <r>
    <x v="10"/>
    <x v="10"/>
    <s v="November"/>
    <s v="Division_A"/>
    <x v="27"/>
    <n v="2014"/>
    <n v="8"/>
    <s v="TM-Utama"/>
    <n v="24"/>
    <n v="2208"/>
    <s v="92"/>
    <x v="1"/>
    <n v="1.623"/>
    <n v="38959.9"/>
    <n v="38.96"/>
    <d v="2022-11-01T00:00:00"/>
    <x v="0"/>
    <x v="1"/>
  </r>
  <r>
    <x v="10"/>
    <x v="11"/>
    <s v="Desember"/>
    <s v="Division_A"/>
    <x v="27"/>
    <n v="2014"/>
    <n v="8"/>
    <s v="TM-Utama"/>
    <n v="24"/>
    <n v="2208"/>
    <s v="92"/>
    <x v="1"/>
    <n v="1.6419999999999999"/>
    <n v="39418.9"/>
    <n v="39.418999999999997"/>
    <d v="2022-12-01T00:00:00"/>
    <x v="0"/>
    <x v="1"/>
  </r>
  <r>
    <x v="10"/>
    <x v="0"/>
    <s v="Januari"/>
    <s v="Division_A"/>
    <x v="28"/>
    <n v="2014"/>
    <n v="8"/>
    <s v="TM-Utama"/>
    <n v="20"/>
    <n v="1954"/>
    <s v="97.7"/>
    <x v="1"/>
    <n v="0.36199999999999999"/>
    <n v="7236.9"/>
    <n v="7.2370000000000001"/>
    <d v="2022-01-01T00:00:00"/>
    <x v="0"/>
    <x v="1"/>
  </r>
  <r>
    <x v="10"/>
    <x v="1"/>
    <s v="Februari"/>
    <s v="Division_A"/>
    <x v="28"/>
    <n v="2014"/>
    <n v="8"/>
    <s v="TM-Utama"/>
    <n v="20"/>
    <n v="1954"/>
    <s v="97.7"/>
    <x v="1"/>
    <n v="1.3"/>
    <n v="26010"/>
    <n v="26.01"/>
    <d v="2022-02-01T00:00:00"/>
    <x v="0"/>
    <x v="1"/>
  </r>
  <r>
    <x v="10"/>
    <x v="2"/>
    <s v="Maret"/>
    <s v="Division_A"/>
    <x v="28"/>
    <n v="2014"/>
    <n v="8"/>
    <s v="TM-Utama"/>
    <n v="20"/>
    <n v="1954"/>
    <s v="97.7"/>
    <x v="1"/>
    <n v="1.5580000000000001"/>
    <n v="31166.1"/>
    <n v="31.166"/>
    <d v="2022-03-01T00:00:00"/>
    <x v="0"/>
    <x v="1"/>
  </r>
  <r>
    <x v="10"/>
    <x v="3"/>
    <s v="April"/>
    <s v="Division_A"/>
    <x v="28"/>
    <n v="2014"/>
    <n v="8"/>
    <s v="TM-Utama"/>
    <n v="20"/>
    <n v="1954"/>
    <s v="97.7"/>
    <x v="1"/>
    <n v="1.782"/>
    <n v="35633.699999999997"/>
    <n v="35.634"/>
    <d v="2022-04-01T00:00:00"/>
    <x v="0"/>
    <x v="1"/>
  </r>
  <r>
    <x v="10"/>
    <x v="4"/>
    <s v="Mei"/>
    <s v="Division_A"/>
    <x v="28"/>
    <n v="2014"/>
    <n v="8"/>
    <s v="TM-Utama"/>
    <n v="20"/>
    <n v="1954"/>
    <s v="97.7"/>
    <x v="1"/>
    <n v="1.6359999999999999"/>
    <n v="32726.7"/>
    <n v="32.726999999999997"/>
    <d v="2022-05-01T00:00:00"/>
    <x v="0"/>
    <x v="1"/>
  </r>
  <r>
    <x v="10"/>
    <x v="5"/>
    <s v="Juni"/>
    <s v="Division_A"/>
    <x v="28"/>
    <n v="2014"/>
    <n v="8"/>
    <s v="TM-Utama"/>
    <n v="20"/>
    <n v="1954"/>
    <s v="97.7"/>
    <x v="1"/>
    <n v="1.8029999999999999"/>
    <n v="36062.1"/>
    <n v="36.061999999999998"/>
    <d v="2022-06-01T00:00:00"/>
    <x v="0"/>
    <x v="1"/>
  </r>
  <r>
    <x v="10"/>
    <x v="6"/>
    <s v="Juli"/>
    <s v="Division_A"/>
    <x v="28"/>
    <n v="2014"/>
    <n v="8"/>
    <s v="TM-Utama"/>
    <n v="20"/>
    <n v="1954"/>
    <s v="97.7"/>
    <x v="1"/>
    <n v="1.048"/>
    <n v="20961"/>
    <n v="20.960999999999999"/>
    <d v="2022-07-01T00:00:00"/>
    <x v="0"/>
    <x v="1"/>
  </r>
  <r>
    <x v="10"/>
    <x v="7"/>
    <s v="Agustus"/>
    <s v="Division_A"/>
    <x v="28"/>
    <n v="2014"/>
    <n v="8"/>
    <s v="TM-Utama"/>
    <n v="20"/>
    <n v="1954"/>
    <s v="97.7"/>
    <x v="1"/>
    <n v="1.77"/>
    <n v="35404.199999999997"/>
    <n v="35.404000000000003"/>
    <d v="2022-08-01T00:00:00"/>
    <x v="0"/>
    <x v="1"/>
  </r>
  <r>
    <x v="10"/>
    <x v="8"/>
    <s v="September"/>
    <s v="Division_A"/>
    <x v="28"/>
    <n v="2014"/>
    <n v="8"/>
    <s v="TM-Utama"/>
    <n v="20"/>
    <n v="1954"/>
    <s v="97.7"/>
    <x v="1"/>
    <n v="1.91"/>
    <n v="38204.1"/>
    <n v="38.204000000000001"/>
    <d v="2022-09-01T00:00:00"/>
    <x v="0"/>
    <x v="1"/>
  </r>
  <r>
    <x v="10"/>
    <x v="9"/>
    <s v="Oktober"/>
    <s v="Division_A"/>
    <x v="28"/>
    <n v="2014"/>
    <n v="8"/>
    <s v="TM-Utama"/>
    <n v="20"/>
    <n v="1954"/>
    <s v="97.7"/>
    <x v="1"/>
    <n v="1.8140000000000001"/>
    <n v="36276.300000000003"/>
    <n v="36.276000000000003"/>
    <d v="2022-10-01T00:00:00"/>
    <x v="0"/>
    <x v="1"/>
  </r>
  <r>
    <x v="10"/>
    <x v="10"/>
    <s v="November"/>
    <s v="Division_A"/>
    <x v="28"/>
    <n v="2014"/>
    <n v="8"/>
    <s v="TM-Utama"/>
    <n v="20"/>
    <n v="1954"/>
    <s v="97.7"/>
    <x v="1"/>
    <n v="1.623"/>
    <n v="32466.6"/>
    <n v="32.466999999999999"/>
    <d v="2022-11-01T00:00:00"/>
    <x v="0"/>
    <x v="1"/>
  </r>
  <r>
    <x v="10"/>
    <x v="11"/>
    <s v="Desember"/>
    <s v="Division_A"/>
    <x v="28"/>
    <n v="2014"/>
    <n v="8"/>
    <s v="TM-Utama"/>
    <n v="20"/>
    <n v="1954"/>
    <s v="97.7"/>
    <x v="1"/>
    <n v="1.6419999999999999"/>
    <n v="32849.1"/>
    <n v="32.848999999999997"/>
    <d v="2022-12-01T00:00:00"/>
    <x v="0"/>
    <x v="1"/>
  </r>
  <r>
    <x v="10"/>
    <x v="0"/>
    <s v="Januari"/>
    <s v="Division_A"/>
    <x v="29"/>
    <n v="2014"/>
    <n v="8"/>
    <s v="TM-Utama"/>
    <n v="24"/>
    <n v="1329"/>
    <s v="55.4"/>
    <x v="1"/>
    <n v="0.36199999999999999"/>
    <n v="8684.2999999999993"/>
    <n v="8.6839999999999993"/>
    <d v="2022-01-01T00:00:00"/>
    <x v="0"/>
    <x v="1"/>
  </r>
  <r>
    <x v="10"/>
    <x v="1"/>
    <s v="Februari"/>
    <s v="Division_A"/>
    <x v="29"/>
    <n v="2014"/>
    <n v="8"/>
    <s v="TM-Utama"/>
    <n v="24"/>
    <n v="1329"/>
    <s v="55.4"/>
    <x v="1"/>
    <n v="1.3"/>
    <n v="31212"/>
    <n v="31.212"/>
    <d v="2022-02-01T00:00:00"/>
    <x v="0"/>
    <x v="1"/>
  </r>
  <r>
    <x v="10"/>
    <x v="2"/>
    <s v="Maret"/>
    <s v="Division_A"/>
    <x v="29"/>
    <n v="2014"/>
    <n v="8"/>
    <s v="TM-Utama"/>
    <n v="24"/>
    <n v="1329"/>
    <s v="55.4"/>
    <x v="1"/>
    <n v="1.5580000000000001"/>
    <n v="37399.300000000003"/>
    <n v="37.399000000000001"/>
    <d v="2022-03-01T00:00:00"/>
    <x v="0"/>
    <x v="1"/>
  </r>
  <r>
    <x v="10"/>
    <x v="3"/>
    <s v="April"/>
    <s v="Division_A"/>
    <x v="29"/>
    <n v="2014"/>
    <n v="8"/>
    <s v="TM-Utama"/>
    <n v="24"/>
    <n v="1329"/>
    <s v="55.4"/>
    <x v="1"/>
    <n v="1.782"/>
    <n v="42760.4"/>
    <n v="42.76"/>
    <d v="2022-04-01T00:00:00"/>
    <x v="0"/>
    <x v="1"/>
  </r>
  <r>
    <x v="10"/>
    <x v="4"/>
    <s v="Mei"/>
    <s v="Division_A"/>
    <x v="29"/>
    <n v="2014"/>
    <n v="8"/>
    <s v="TM-Utama"/>
    <n v="24"/>
    <n v="1329"/>
    <s v="55.4"/>
    <x v="1"/>
    <n v="1.6359999999999999"/>
    <n v="39272"/>
    <n v="39.271999999999998"/>
    <d v="2022-05-01T00:00:00"/>
    <x v="0"/>
    <x v="1"/>
  </r>
  <r>
    <x v="10"/>
    <x v="5"/>
    <s v="Juni"/>
    <s v="Division_A"/>
    <x v="29"/>
    <n v="2014"/>
    <n v="8"/>
    <s v="TM-Utama"/>
    <n v="24"/>
    <n v="1329"/>
    <s v="55.4"/>
    <x v="1"/>
    <n v="1.8029999999999999"/>
    <n v="43274.5"/>
    <n v="43.274999999999999"/>
    <d v="2022-06-01T00:00:00"/>
    <x v="0"/>
    <x v="1"/>
  </r>
  <r>
    <x v="10"/>
    <x v="6"/>
    <s v="Juli"/>
    <s v="Division_A"/>
    <x v="29"/>
    <n v="2014"/>
    <n v="8"/>
    <s v="TM-Utama"/>
    <n v="24"/>
    <n v="1329"/>
    <s v="55.4"/>
    <x v="1"/>
    <n v="1.048"/>
    <n v="25153.200000000001"/>
    <n v="25.152999999999999"/>
    <d v="2022-07-01T00:00:00"/>
    <x v="0"/>
    <x v="1"/>
  </r>
  <r>
    <x v="10"/>
    <x v="7"/>
    <s v="Agustus"/>
    <s v="Division_A"/>
    <x v="29"/>
    <n v="2014"/>
    <n v="8"/>
    <s v="TM-Utama"/>
    <n v="24"/>
    <n v="1329"/>
    <s v="55.4"/>
    <x v="1"/>
    <n v="1.77"/>
    <n v="42485"/>
    <n v="42.484999999999999"/>
    <d v="2022-08-01T00:00:00"/>
    <x v="0"/>
    <x v="1"/>
  </r>
  <r>
    <x v="10"/>
    <x v="8"/>
    <s v="September"/>
    <s v="Division_A"/>
    <x v="29"/>
    <n v="2014"/>
    <n v="8"/>
    <s v="TM-Utama"/>
    <n v="24"/>
    <n v="1329"/>
    <s v="55.4"/>
    <x v="1"/>
    <n v="1.91"/>
    <n v="45844.9"/>
    <n v="45.844999999999999"/>
    <d v="2022-09-01T00:00:00"/>
    <x v="0"/>
    <x v="1"/>
  </r>
  <r>
    <x v="10"/>
    <x v="9"/>
    <s v="Oktober"/>
    <s v="Division_A"/>
    <x v="29"/>
    <n v="2014"/>
    <n v="8"/>
    <s v="TM-Utama"/>
    <n v="24"/>
    <n v="1329"/>
    <s v="55.4"/>
    <x v="1"/>
    <n v="1.8140000000000001"/>
    <n v="43531.6"/>
    <n v="43.531999999999996"/>
    <d v="2022-10-01T00:00:00"/>
    <x v="0"/>
    <x v="1"/>
  </r>
  <r>
    <x v="10"/>
    <x v="10"/>
    <s v="November"/>
    <s v="Division_A"/>
    <x v="29"/>
    <n v="2014"/>
    <n v="8"/>
    <s v="TM-Utama"/>
    <n v="24"/>
    <n v="1329"/>
    <s v="55.4"/>
    <x v="1"/>
    <n v="1.623"/>
    <n v="38959.9"/>
    <n v="38.96"/>
    <d v="2022-11-01T00:00:00"/>
    <x v="0"/>
    <x v="1"/>
  </r>
  <r>
    <x v="10"/>
    <x v="11"/>
    <s v="Desember"/>
    <s v="Division_A"/>
    <x v="29"/>
    <n v="2014"/>
    <n v="8"/>
    <s v="TM-Utama"/>
    <n v="24"/>
    <n v="1329"/>
    <s v="55.4"/>
    <x v="1"/>
    <n v="1.6419999999999999"/>
    <n v="39418.9"/>
    <n v="39.418999999999997"/>
    <d v="2022-12-01T00:00:00"/>
    <x v="0"/>
    <x v="1"/>
  </r>
  <r>
    <x v="10"/>
    <x v="0"/>
    <s v="Januari"/>
    <s v="Division_A"/>
    <x v="30"/>
    <n v="2014"/>
    <n v="8"/>
    <s v="TM-Utama"/>
    <n v="24"/>
    <n v="1573"/>
    <s v="65.5"/>
    <x v="1"/>
    <n v="0.36199999999999999"/>
    <n v="8684.2999999999993"/>
    <n v="8.6839999999999993"/>
    <d v="2022-01-01T00:00:00"/>
    <x v="0"/>
    <x v="1"/>
  </r>
  <r>
    <x v="10"/>
    <x v="1"/>
    <s v="Februari"/>
    <s v="Division_A"/>
    <x v="30"/>
    <n v="2014"/>
    <n v="8"/>
    <s v="TM-Utama"/>
    <n v="24"/>
    <n v="1573"/>
    <s v="65.5"/>
    <x v="1"/>
    <n v="1.3"/>
    <n v="31212"/>
    <n v="31.212"/>
    <d v="2022-02-01T00:00:00"/>
    <x v="0"/>
    <x v="1"/>
  </r>
  <r>
    <x v="10"/>
    <x v="2"/>
    <s v="Maret"/>
    <s v="Division_A"/>
    <x v="30"/>
    <n v="2014"/>
    <n v="8"/>
    <s v="TM-Utama"/>
    <n v="24"/>
    <n v="1573"/>
    <s v="65.5"/>
    <x v="1"/>
    <n v="1.5580000000000001"/>
    <n v="37399.300000000003"/>
    <n v="37.399000000000001"/>
    <d v="2022-03-01T00:00:00"/>
    <x v="0"/>
    <x v="1"/>
  </r>
  <r>
    <x v="10"/>
    <x v="3"/>
    <s v="April"/>
    <s v="Division_A"/>
    <x v="30"/>
    <n v="2014"/>
    <n v="8"/>
    <s v="TM-Utama"/>
    <n v="24"/>
    <n v="1573"/>
    <s v="65.5"/>
    <x v="1"/>
    <n v="1.782"/>
    <n v="42760.4"/>
    <n v="42.76"/>
    <d v="2022-04-01T00:00:00"/>
    <x v="0"/>
    <x v="1"/>
  </r>
  <r>
    <x v="10"/>
    <x v="4"/>
    <s v="Mei"/>
    <s v="Division_A"/>
    <x v="30"/>
    <n v="2014"/>
    <n v="8"/>
    <s v="TM-Utama"/>
    <n v="24"/>
    <n v="1573"/>
    <s v="65.5"/>
    <x v="1"/>
    <n v="1.6359999999999999"/>
    <n v="39272"/>
    <n v="39.271999999999998"/>
    <d v="2022-05-01T00:00:00"/>
    <x v="0"/>
    <x v="1"/>
  </r>
  <r>
    <x v="10"/>
    <x v="5"/>
    <s v="Juni"/>
    <s v="Division_A"/>
    <x v="30"/>
    <n v="2014"/>
    <n v="8"/>
    <s v="TM-Utama"/>
    <n v="24"/>
    <n v="1573"/>
    <s v="65.5"/>
    <x v="1"/>
    <n v="1.8029999999999999"/>
    <n v="43274.5"/>
    <n v="43.274999999999999"/>
    <d v="2022-06-01T00:00:00"/>
    <x v="0"/>
    <x v="1"/>
  </r>
  <r>
    <x v="10"/>
    <x v="6"/>
    <s v="Juli"/>
    <s v="Division_A"/>
    <x v="30"/>
    <n v="2014"/>
    <n v="8"/>
    <s v="TM-Utama"/>
    <n v="24"/>
    <n v="1573"/>
    <s v="65.5"/>
    <x v="1"/>
    <n v="1.048"/>
    <n v="25153.200000000001"/>
    <n v="25.152999999999999"/>
    <d v="2022-07-01T00:00:00"/>
    <x v="0"/>
    <x v="1"/>
  </r>
  <r>
    <x v="10"/>
    <x v="7"/>
    <s v="Agustus"/>
    <s v="Division_A"/>
    <x v="30"/>
    <n v="2014"/>
    <n v="8"/>
    <s v="TM-Utama"/>
    <n v="24"/>
    <n v="1573"/>
    <s v="65.5"/>
    <x v="1"/>
    <n v="1.77"/>
    <n v="42485"/>
    <n v="42.484999999999999"/>
    <d v="2022-08-01T00:00:00"/>
    <x v="0"/>
    <x v="1"/>
  </r>
  <r>
    <x v="10"/>
    <x v="8"/>
    <s v="September"/>
    <s v="Division_A"/>
    <x v="30"/>
    <n v="2014"/>
    <n v="8"/>
    <s v="TM-Utama"/>
    <n v="24"/>
    <n v="1573"/>
    <s v="65.5"/>
    <x v="1"/>
    <n v="1.91"/>
    <n v="45844.9"/>
    <n v="45.844999999999999"/>
    <d v="2022-09-01T00:00:00"/>
    <x v="0"/>
    <x v="1"/>
  </r>
  <r>
    <x v="10"/>
    <x v="9"/>
    <s v="Oktober"/>
    <s v="Division_A"/>
    <x v="30"/>
    <n v="2014"/>
    <n v="8"/>
    <s v="TM-Utama"/>
    <n v="24"/>
    <n v="1573"/>
    <s v="65.5"/>
    <x v="1"/>
    <n v="1.8140000000000001"/>
    <n v="43531.6"/>
    <n v="43.531999999999996"/>
    <d v="2022-10-01T00:00:00"/>
    <x v="0"/>
    <x v="1"/>
  </r>
  <r>
    <x v="10"/>
    <x v="10"/>
    <s v="November"/>
    <s v="Division_A"/>
    <x v="30"/>
    <n v="2014"/>
    <n v="8"/>
    <s v="TM-Utama"/>
    <n v="24"/>
    <n v="1573"/>
    <s v="65.5"/>
    <x v="1"/>
    <n v="1.623"/>
    <n v="38959.9"/>
    <n v="38.96"/>
    <d v="2022-11-01T00:00:00"/>
    <x v="0"/>
    <x v="1"/>
  </r>
  <r>
    <x v="10"/>
    <x v="11"/>
    <s v="Desember"/>
    <s v="Division_A"/>
    <x v="30"/>
    <n v="2014"/>
    <n v="8"/>
    <s v="TM-Utama"/>
    <n v="24"/>
    <n v="1573"/>
    <s v="65.5"/>
    <x v="1"/>
    <n v="1.6419999999999999"/>
    <n v="39418.9"/>
    <n v="39.418999999999997"/>
    <d v="2022-12-01T00:00:00"/>
    <x v="0"/>
    <x v="1"/>
  </r>
  <r>
    <x v="10"/>
    <x v="0"/>
    <s v="Januari"/>
    <s v="Division_A"/>
    <x v="31"/>
    <n v="2016"/>
    <n v="6"/>
    <s v="TM-Utama"/>
    <n v="22"/>
    <n v="3137"/>
    <s v="142.6"/>
    <x v="0"/>
    <n v="0.50600000000000001"/>
    <n v="11128.5"/>
    <n v="11.129"/>
    <d v="2022-01-01T00:00:00"/>
    <x v="0"/>
    <x v="1"/>
  </r>
  <r>
    <x v="10"/>
    <x v="1"/>
    <s v="Februari"/>
    <s v="Division_A"/>
    <x v="31"/>
    <n v="2016"/>
    <n v="6"/>
    <s v="TM-Utama"/>
    <n v="22"/>
    <n v="3137"/>
    <s v="142.6"/>
    <x v="0"/>
    <n v="1.8180000000000001"/>
    <n v="39996.800000000003"/>
    <n v="39.997"/>
    <d v="2022-02-01T00:00:00"/>
    <x v="0"/>
    <x v="1"/>
  </r>
  <r>
    <x v="10"/>
    <x v="2"/>
    <s v="Maret"/>
    <s v="Division_A"/>
    <x v="31"/>
    <n v="2016"/>
    <n v="6"/>
    <s v="TM-Utama"/>
    <n v="22"/>
    <n v="3137"/>
    <s v="142.6"/>
    <x v="0"/>
    <n v="2.1779999999999999"/>
    <n v="47925.5"/>
    <n v="47.926000000000002"/>
    <d v="2022-03-01T00:00:00"/>
    <x v="0"/>
    <x v="1"/>
  </r>
  <r>
    <x v="10"/>
    <x v="3"/>
    <s v="April"/>
    <s v="Division_A"/>
    <x v="31"/>
    <n v="2016"/>
    <n v="6"/>
    <s v="TM-Utama"/>
    <n v="22"/>
    <n v="3137"/>
    <s v="142.6"/>
    <x v="0"/>
    <n v="2.4910000000000001"/>
    <n v="54795.5"/>
    <n v="54.795999999999999"/>
    <d v="2022-04-01T00:00:00"/>
    <x v="0"/>
    <x v="1"/>
  </r>
  <r>
    <x v="10"/>
    <x v="4"/>
    <s v="Mei"/>
    <s v="Division_A"/>
    <x v="31"/>
    <n v="2016"/>
    <n v="6"/>
    <s v="TM-Utama"/>
    <n v="22"/>
    <n v="3137"/>
    <s v="142.6"/>
    <x v="0"/>
    <n v="2.2879999999999998"/>
    <n v="50325.3"/>
    <n v="50.325000000000003"/>
    <d v="2022-05-01T00:00:00"/>
    <x v="0"/>
    <x v="1"/>
  </r>
  <r>
    <x v="10"/>
    <x v="5"/>
    <s v="Juni"/>
    <s v="Division_A"/>
    <x v="31"/>
    <n v="2016"/>
    <n v="6"/>
    <s v="TM-Utama"/>
    <n v="22"/>
    <n v="3137"/>
    <s v="142.6"/>
    <x v="0"/>
    <n v="2.5209999999999999"/>
    <n v="55454.3"/>
    <n v="55.454000000000001"/>
    <d v="2022-06-01T00:00:00"/>
    <x v="0"/>
    <x v="1"/>
  </r>
  <r>
    <x v="10"/>
    <x v="6"/>
    <s v="Juli"/>
    <s v="Division_A"/>
    <x v="31"/>
    <n v="2016"/>
    <n v="6"/>
    <s v="TM-Utama"/>
    <n v="22"/>
    <n v="3137"/>
    <s v="142.6"/>
    <x v="0"/>
    <n v="1.4650000000000001"/>
    <n v="32232.7"/>
    <n v="32.232999999999997"/>
    <d v="2022-07-01T00:00:00"/>
    <x v="0"/>
    <x v="1"/>
  </r>
  <r>
    <x v="10"/>
    <x v="7"/>
    <s v="Agustus"/>
    <s v="Division_A"/>
    <x v="31"/>
    <n v="2016"/>
    <n v="6"/>
    <s v="TM-Utama"/>
    <n v="22"/>
    <n v="3137"/>
    <s v="142.6"/>
    <x v="0"/>
    <n v="2.4750000000000001"/>
    <n v="54442.6"/>
    <n v="54.442999999999998"/>
    <d v="2022-08-01T00:00:00"/>
    <x v="0"/>
    <x v="1"/>
  </r>
  <r>
    <x v="10"/>
    <x v="8"/>
    <s v="September"/>
    <s v="Division_A"/>
    <x v="31"/>
    <n v="2016"/>
    <n v="6"/>
    <s v="TM-Utama"/>
    <n v="22"/>
    <n v="3137"/>
    <s v="142.6"/>
    <x v="0"/>
    <n v="2.67"/>
    <n v="58748.2"/>
    <n v="58.747999999999998"/>
    <d v="2022-09-01T00:00:00"/>
    <x v="0"/>
    <x v="1"/>
  </r>
  <r>
    <x v="10"/>
    <x v="9"/>
    <s v="Oktober"/>
    <s v="Division_A"/>
    <x v="31"/>
    <n v="2016"/>
    <n v="6"/>
    <s v="TM-Utama"/>
    <n v="22"/>
    <n v="3137"/>
    <s v="142.6"/>
    <x v="0"/>
    <n v="2.536"/>
    <n v="55783.7"/>
    <n v="55.783999999999999"/>
    <d v="2022-10-01T00:00:00"/>
    <x v="0"/>
    <x v="1"/>
  </r>
  <r>
    <x v="10"/>
    <x v="10"/>
    <s v="November"/>
    <s v="Division_A"/>
    <x v="31"/>
    <n v="2016"/>
    <n v="6"/>
    <s v="TM-Utama"/>
    <n v="22"/>
    <n v="3137"/>
    <s v="142.6"/>
    <x v="0"/>
    <n v="2.2690000000000001"/>
    <n v="49925.4"/>
    <n v="49.924999999999997"/>
    <d v="2022-11-01T00:00:00"/>
    <x v="0"/>
    <x v="1"/>
  </r>
  <r>
    <x v="10"/>
    <x v="11"/>
    <s v="Desember"/>
    <s v="Division_A"/>
    <x v="31"/>
    <n v="2016"/>
    <n v="6"/>
    <s v="TM-Utama"/>
    <n v="22"/>
    <n v="3137"/>
    <s v="142.6"/>
    <x v="0"/>
    <n v="2.2959999999999998"/>
    <n v="50513.5"/>
    <n v="50.514000000000003"/>
    <d v="2022-12-01T00:00:00"/>
    <x v="0"/>
    <x v="1"/>
  </r>
  <r>
    <x v="10"/>
    <x v="0"/>
    <s v="Januari"/>
    <s v="Division_A"/>
    <x v="32"/>
    <n v="2016"/>
    <n v="6"/>
    <s v="TM-Utama"/>
    <n v="22"/>
    <n v="3096"/>
    <s v="140.7"/>
    <x v="0"/>
    <n v="0.499"/>
    <n v="10983.1"/>
    <n v="10.983000000000001"/>
    <d v="2022-01-01T00:00:00"/>
    <x v="0"/>
    <x v="1"/>
  </r>
  <r>
    <x v="10"/>
    <x v="1"/>
    <s v="Februari"/>
    <s v="Division_A"/>
    <x v="32"/>
    <n v="2016"/>
    <n v="6"/>
    <s v="TM-Utama"/>
    <n v="22"/>
    <n v="3096"/>
    <s v="140.7"/>
    <x v="0"/>
    <n v="1.794"/>
    <n v="39474"/>
    <n v="39.473999999999997"/>
    <d v="2022-02-01T00:00:00"/>
    <x v="0"/>
    <x v="1"/>
  </r>
  <r>
    <x v="10"/>
    <x v="2"/>
    <s v="Maret"/>
    <s v="Division_A"/>
    <x v="32"/>
    <n v="2016"/>
    <n v="6"/>
    <s v="TM-Utama"/>
    <n v="22"/>
    <n v="3096"/>
    <s v="140.7"/>
    <x v="0"/>
    <n v="2.15"/>
    <n v="47299.1"/>
    <n v="47.298999999999999"/>
    <d v="2022-03-01T00:00:00"/>
    <x v="0"/>
    <x v="1"/>
  </r>
  <r>
    <x v="10"/>
    <x v="3"/>
    <s v="April"/>
    <s v="Division_A"/>
    <x v="32"/>
    <n v="2016"/>
    <n v="6"/>
    <s v="TM-Utama"/>
    <n v="22"/>
    <n v="3096"/>
    <s v="140.7"/>
    <x v="0"/>
    <n v="2.4580000000000002"/>
    <n v="54079.4"/>
    <n v="54.079000000000001"/>
    <d v="2022-04-01T00:00:00"/>
    <x v="0"/>
    <x v="1"/>
  </r>
  <r>
    <x v="10"/>
    <x v="4"/>
    <s v="Mei"/>
    <s v="Division_A"/>
    <x v="32"/>
    <n v="2016"/>
    <n v="6"/>
    <s v="TM-Utama"/>
    <n v="22"/>
    <n v="3096"/>
    <s v="140.7"/>
    <x v="0"/>
    <n v="2.258"/>
    <n v="49667.6"/>
    <n v="49.667999999999999"/>
    <d v="2022-05-01T00:00:00"/>
    <x v="0"/>
    <x v="1"/>
  </r>
  <r>
    <x v="10"/>
    <x v="5"/>
    <s v="Juni"/>
    <s v="Division_A"/>
    <x v="32"/>
    <n v="2016"/>
    <n v="6"/>
    <s v="TM-Utama"/>
    <n v="22"/>
    <n v="3096"/>
    <s v="140.7"/>
    <x v="0"/>
    <n v="2.488"/>
    <n v="54729.5"/>
    <n v="54.73"/>
    <d v="2022-06-01T00:00:00"/>
    <x v="0"/>
    <x v="1"/>
  </r>
  <r>
    <x v="10"/>
    <x v="6"/>
    <s v="Juli"/>
    <s v="Division_A"/>
    <x v="32"/>
    <n v="2016"/>
    <n v="6"/>
    <s v="TM-Utama"/>
    <n v="22"/>
    <n v="3096"/>
    <s v="140.7"/>
    <x v="0"/>
    <n v="1.446"/>
    <n v="31811.4"/>
    <n v="31.811"/>
    <d v="2022-07-01T00:00:00"/>
    <x v="0"/>
    <x v="1"/>
  </r>
  <r>
    <x v="10"/>
    <x v="7"/>
    <s v="Agustus"/>
    <s v="Division_A"/>
    <x v="32"/>
    <n v="2016"/>
    <n v="6"/>
    <s v="TM-Utama"/>
    <n v="22"/>
    <n v="3096"/>
    <s v="140.7"/>
    <x v="0"/>
    <n v="2.4420000000000002"/>
    <n v="53731.1"/>
    <n v="53.731000000000002"/>
    <d v="2022-08-01T00:00:00"/>
    <x v="0"/>
    <x v="1"/>
  </r>
  <r>
    <x v="10"/>
    <x v="8"/>
    <s v="September"/>
    <s v="Division_A"/>
    <x v="32"/>
    <n v="2016"/>
    <n v="6"/>
    <s v="TM-Utama"/>
    <n v="22"/>
    <n v="3096"/>
    <s v="140.7"/>
    <x v="0"/>
    <n v="2.6349999999999998"/>
    <n v="57980.3"/>
    <n v="57.98"/>
    <d v="2022-09-01T00:00:00"/>
    <x v="0"/>
    <x v="1"/>
  </r>
  <r>
    <x v="10"/>
    <x v="9"/>
    <s v="Oktober"/>
    <s v="Division_A"/>
    <x v="32"/>
    <n v="2016"/>
    <n v="6"/>
    <s v="TM-Utama"/>
    <n v="22"/>
    <n v="3096"/>
    <s v="140.7"/>
    <x v="0"/>
    <n v="2.5019999999999998"/>
    <n v="55054.6"/>
    <n v="55.055"/>
    <d v="2022-10-01T00:00:00"/>
    <x v="0"/>
    <x v="1"/>
  </r>
  <r>
    <x v="10"/>
    <x v="10"/>
    <s v="November"/>
    <s v="Division_A"/>
    <x v="32"/>
    <n v="2016"/>
    <n v="6"/>
    <s v="TM-Utama"/>
    <n v="22"/>
    <n v="3096"/>
    <s v="140.7"/>
    <x v="0"/>
    <n v="2.2400000000000002"/>
    <n v="49272.800000000003"/>
    <n v="49.273000000000003"/>
    <d v="2022-11-01T00:00:00"/>
    <x v="0"/>
    <x v="1"/>
  </r>
  <r>
    <x v="10"/>
    <x v="11"/>
    <s v="Desember"/>
    <s v="Division_A"/>
    <x v="32"/>
    <n v="2016"/>
    <n v="6"/>
    <s v="TM-Utama"/>
    <n v="22"/>
    <n v="3096"/>
    <s v="140.7"/>
    <x v="0"/>
    <n v="2.266"/>
    <n v="49853.3"/>
    <n v="49.853000000000002"/>
    <d v="2022-12-01T00:00:00"/>
    <x v="0"/>
    <x v="1"/>
  </r>
  <r>
    <x v="10"/>
    <x v="0"/>
    <s v="Januari"/>
    <s v="Division_A"/>
    <x v="33"/>
    <n v="2016"/>
    <n v="6"/>
    <s v="TM-Utama"/>
    <n v="24"/>
    <n v="3317"/>
    <s v="138.2"/>
    <x v="0"/>
    <n v="0.49"/>
    <n v="11767.1"/>
    <n v="11.766999999999999"/>
    <d v="2022-01-01T00:00:00"/>
    <x v="0"/>
    <x v="1"/>
  </r>
  <r>
    <x v="10"/>
    <x v="1"/>
    <s v="Februari"/>
    <s v="Division_A"/>
    <x v="33"/>
    <n v="2016"/>
    <n v="6"/>
    <s v="TM-Utama"/>
    <n v="24"/>
    <n v="3317"/>
    <s v="138.2"/>
    <x v="0"/>
    <n v="1.762"/>
    <n v="42291.8"/>
    <n v="42.292000000000002"/>
    <d v="2022-02-01T00:00:00"/>
    <x v="0"/>
    <x v="1"/>
  </r>
  <r>
    <x v="10"/>
    <x v="2"/>
    <s v="Maret"/>
    <s v="Division_A"/>
    <x v="33"/>
    <n v="2016"/>
    <n v="6"/>
    <s v="TM-Utama"/>
    <n v="24"/>
    <n v="3317"/>
    <s v="138.2"/>
    <x v="0"/>
    <n v="2.1110000000000002"/>
    <n v="50675.5"/>
    <n v="50.674999999999997"/>
    <d v="2022-03-01T00:00:00"/>
    <x v="0"/>
    <x v="1"/>
  </r>
  <r>
    <x v="10"/>
    <x v="3"/>
    <s v="April"/>
    <s v="Division_A"/>
    <x v="33"/>
    <n v="2016"/>
    <n v="6"/>
    <s v="TM-Utama"/>
    <n v="24"/>
    <n v="3317"/>
    <s v="138.2"/>
    <x v="0"/>
    <n v="2.4140000000000001"/>
    <n v="57939.7"/>
    <n v="57.94"/>
    <d v="2022-04-01T00:00:00"/>
    <x v="0"/>
    <x v="1"/>
  </r>
  <r>
    <x v="10"/>
    <x v="4"/>
    <s v="Mei"/>
    <s v="Division_A"/>
    <x v="33"/>
    <n v="2016"/>
    <n v="6"/>
    <s v="TM-Utama"/>
    <n v="24"/>
    <n v="3317"/>
    <s v="138.2"/>
    <x v="0"/>
    <n v="2.2170000000000001"/>
    <n v="53213"/>
    <n v="53.213000000000001"/>
    <d v="2022-05-01T00:00:00"/>
    <x v="0"/>
    <x v="1"/>
  </r>
  <r>
    <x v="10"/>
    <x v="5"/>
    <s v="Juni"/>
    <s v="Division_A"/>
    <x v="33"/>
    <n v="2016"/>
    <n v="6"/>
    <s v="TM-Utama"/>
    <n v="24"/>
    <n v="3317"/>
    <s v="138.2"/>
    <x v="0"/>
    <n v="2.4430000000000001"/>
    <n v="58636.3"/>
    <n v="58.636000000000003"/>
    <d v="2022-06-01T00:00:00"/>
    <x v="0"/>
    <x v="1"/>
  </r>
  <r>
    <x v="10"/>
    <x v="6"/>
    <s v="Juli"/>
    <s v="Division_A"/>
    <x v="33"/>
    <n v="2016"/>
    <n v="6"/>
    <s v="TM-Utama"/>
    <n v="24"/>
    <n v="3317"/>
    <s v="138.2"/>
    <x v="0"/>
    <n v="1.42"/>
    <n v="34082.199999999997"/>
    <n v="34.082000000000001"/>
    <d v="2022-07-01T00:00:00"/>
    <x v="0"/>
    <x v="1"/>
  </r>
  <r>
    <x v="10"/>
    <x v="7"/>
    <s v="Agustus"/>
    <s v="Division_A"/>
    <x v="33"/>
    <n v="2016"/>
    <n v="6"/>
    <s v="TM-Utama"/>
    <n v="24"/>
    <n v="3317"/>
    <s v="138.2"/>
    <x v="0"/>
    <n v="2.399"/>
    <n v="57566.5"/>
    <n v="57.567"/>
    <d v="2022-08-01T00:00:00"/>
    <x v="0"/>
    <x v="1"/>
  </r>
  <r>
    <x v="10"/>
    <x v="8"/>
    <s v="September"/>
    <s v="Division_A"/>
    <x v="33"/>
    <n v="2016"/>
    <n v="6"/>
    <s v="TM-Utama"/>
    <n v="24"/>
    <n v="3317"/>
    <s v="138.2"/>
    <x v="0"/>
    <n v="2.5880000000000001"/>
    <n v="62119.1"/>
    <n v="62.119"/>
    <d v="2022-09-01T00:00:00"/>
    <x v="0"/>
    <x v="1"/>
  </r>
  <r>
    <x v="10"/>
    <x v="9"/>
    <s v="Oktober"/>
    <s v="Division_A"/>
    <x v="33"/>
    <n v="2016"/>
    <n v="6"/>
    <s v="TM-Utama"/>
    <n v="24"/>
    <n v="3317"/>
    <s v="138.2"/>
    <x v="0"/>
    <n v="2.4580000000000002"/>
    <n v="58984.6"/>
    <n v="58.984999999999999"/>
    <d v="2022-10-01T00:00:00"/>
    <x v="0"/>
    <x v="1"/>
  </r>
  <r>
    <x v="10"/>
    <x v="10"/>
    <s v="November"/>
    <s v="Division_A"/>
    <x v="33"/>
    <n v="2016"/>
    <n v="6"/>
    <s v="TM-Utama"/>
    <n v="24"/>
    <n v="3317"/>
    <s v="138.2"/>
    <x v="0"/>
    <n v="2.2000000000000002"/>
    <n v="52790.1"/>
    <n v="52.79"/>
    <d v="2022-11-01T00:00:00"/>
    <x v="0"/>
    <x v="1"/>
  </r>
  <r>
    <x v="10"/>
    <x v="11"/>
    <s v="Desember"/>
    <s v="Division_A"/>
    <x v="33"/>
    <n v="2016"/>
    <n v="6"/>
    <s v="TM-Utama"/>
    <n v="24"/>
    <n v="3317"/>
    <s v="138.2"/>
    <x v="0"/>
    <n v="2.2250000000000001"/>
    <n v="53412"/>
    <n v="53.411999999999999"/>
    <d v="2022-12-01T00:00:00"/>
    <x v="0"/>
    <x v="1"/>
  </r>
  <r>
    <x v="10"/>
    <x v="0"/>
    <s v="Januari"/>
    <s v="Division_A"/>
    <x v="34"/>
    <n v="2016"/>
    <n v="6"/>
    <s v="TM-Utama"/>
    <n v="17"/>
    <n v="2219"/>
    <s v="130.5"/>
    <x v="0"/>
    <n v="0.46300000000000002"/>
    <n v="7871.9"/>
    <n v="7.8719999999999999"/>
    <d v="2022-01-01T00:00:00"/>
    <x v="0"/>
    <x v="1"/>
  </r>
  <r>
    <x v="10"/>
    <x v="1"/>
    <s v="Februari"/>
    <s v="Division_A"/>
    <x v="34"/>
    <n v="2016"/>
    <n v="6"/>
    <s v="TM-Utama"/>
    <n v="17"/>
    <n v="2219"/>
    <s v="130.5"/>
    <x v="0"/>
    <n v="1.6639999999999999"/>
    <n v="28292.2"/>
    <n v="28.292000000000002"/>
    <d v="2022-02-01T00:00:00"/>
    <x v="0"/>
    <x v="1"/>
  </r>
  <r>
    <x v="10"/>
    <x v="2"/>
    <s v="Maret"/>
    <s v="Division_A"/>
    <x v="34"/>
    <n v="2016"/>
    <n v="6"/>
    <s v="TM-Utama"/>
    <n v="17"/>
    <n v="2219"/>
    <s v="130.5"/>
    <x v="0"/>
    <n v="1.994"/>
    <n v="33900.800000000003"/>
    <n v="33.901000000000003"/>
    <d v="2022-03-01T00:00:00"/>
    <x v="0"/>
    <x v="1"/>
  </r>
  <r>
    <x v="10"/>
    <x v="3"/>
    <s v="April"/>
    <s v="Division_A"/>
    <x v="34"/>
    <n v="2016"/>
    <n v="6"/>
    <s v="TM-Utama"/>
    <n v="17"/>
    <n v="2219"/>
    <s v="130.5"/>
    <x v="0"/>
    <n v="2.2799999999999998"/>
    <n v="38760.400000000001"/>
    <n v="38.76"/>
    <d v="2022-04-01T00:00:00"/>
    <x v="0"/>
    <x v="1"/>
  </r>
  <r>
    <x v="10"/>
    <x v="4"/>
    <s v="Mei"/>
    <s v="Division_A"/>
    <x v="34"/>
    <n v="2016"/>
    <n v="6"/>
    <s v="TM-Utama"/>
    <n v="17"/>
    <n v="2219"/>
    <s v="130.5"/>
    <x v="0"/>
    <n v="2.0939999999999999"/>
    <n v="35598.300000000003"/>
    <n v="35.597999999999999"/>
    <d v="2022-05-01T00:00:00"/>
    <x v="0"/>
    <x v="1"/>
  </r>
  <r>
    <x v="10"/>
    <x v="5"/>
    <s v="Juni"/>
    <s v="Division_A"/>
    <x v="34"/>
    <n v="2016"/>
    <n v="6"/>
    <s v="TM-Utama"/>
    <n v="17"/>
    <n v="2219"/>
    <s v="130.5"/>
    <x v="0"/>
    <n v="2.3069999999999999"/>
    <n v="39226.400000000001"/>
    <n v="39.225999999999999"/>
    <d v="2022-06-01T00:00:00"/>
    <x v="0"/>
    <x v="1"/>
  </r>
  <r>
    <x v="10"/>
    <x v="6"/>
    <s v="Juli"/>
    <s v="Division_A"/>
    <x v="34"/>
    <n v="2016"/>
    <n v="6"/>
    <s v="TM-Utama"/>
    <n v="17"/>
    <n v="2219"/>
    <s v="130.5"/>
    <x v="0"/>
    <n v="1.341"/>
    <n v="22800.2"/>
    <n v="22.8"/>
    <d v="2022-07-01T00:00:00"/>
    <x v="0"/>
    <x v="1"/>
  </r>
  <r>
    <x v="10"/>
    <x v="7"/>
    <s v="Agustus"/>
    <s v="Division_A"/>
    <x v="34"/>
    <n v="2016"/>
    <n v="6"/>
    <s v="TM-Utama"/>
    <n v="17"/>
    <n v="2219"/>
    <s v="130.5"/>
    <x v="0"/>
    <n v="2.2650000000000001"/>
    <n v="38510.699999999997"/>
    <n v="38.511000000000003"/>
    <d v="2022-08-01T00:00:00"/>
    <x v="0"/>
    <x v="1"/>
  </r>
  <r>
    <x v="10"/>
    <x v="8"/>
    <s v="September"/>
    <s v="Division_A"/>
    <x v="34"/>
    <n v="2016"/>
    <n v="6"/>
    <s v="TM-Utama"/>
    <n v="17"/>
    <n v="2219"/>
    <s v="130.5"/>
    <x v="0"/>
    <n v="2.444"/>
    <n v="41556.300000000003"/>
    <n v="41.555999999999997"/>
    <d v="2022-09-01T00:00:00"/>
    <x v="0"/>
    <x v="1"/>
  </r>
  <r>
    <x v="10"/>
    <x v="9"/>
    <s v="Oktober"/>
    <s v="Division_A"/>
    <x v="34"/>
    <n v="2016"/>
    <n v="6"/>
    <s v="TM-Utama"/>
    <n v="17"/>
    <n v="2219"/>
    <s v="130.5"/>
    <x v="0"/>
    <n v="2.3210000000000002"/>
    <n v="39459.4"/>
    <n v="39.459000000000003"/>
    <d v="2022-10-01T00:00:00"/>
    <x v="0"/>
    <x v="1"/>
  </r>
  <r>
    <x v="10"/>
    <x v="10"/>
    <s v="November"/>
    <s v="Division_A"/>
    <x v="34"/>
    <n v="2016"/>
    <n v="6"/>
    <s v="TM-Utama"/>
    <n v="17"/>
    <n v="2219"/>
    <s v="130.5"/>
    <x v="0"/>
    <n v="2.077"/>
    <n v="35315.4"/>
    <n v="35.314999999999998"/>
    <d v="2022-11-01T00:00:00"/>
    <x v="0"/>
    <x v="1"/>
  </r>
  <r>
    <x v="10"/>
    <x v="11"/>
    <s v="Desember"/>
    <s v="Division_A"/>
    <x v="34"/>
    <n v="2016"/>
    <n v="6"/>
    <s v="TM-Utama"/>
    <n v="17"/>
    <n v="2219"/>
    <s v="130.5"/>
    <x v="0"/>
    <n v="2.1019999999999999"/>
    <n v="35731.4"/>
    <n v="35.731000000000002"/>
    <d v="2022-12-01T00:00:00"/>
    <x v="0"/>
    <x v="1"/>
  </r>
  <r>
    <x v="10"/>
    <x v="0"/>
    <s v="Januari"/>
    <s v="Division_A"/>
    <x v="35"/>
    <n v="2016"/>
    <n v="6"/>
    <s v="TM-Utama"/>
    <n v="15"/>
    <n v="2142"/>
    <s v="142.8"/>
    <x v="0"/>
    <n v="0.50700000000000001"/>
    <n v="7598.7"/>
    <n v="7.5990000000000002"/>
    <d v="2022-01-01T00:00:00"/>
    <x v="0"/>
    <x v="1"/>
  </r>
  <r>
    <x v="10"/>
    <x v="1"/>
    <s v="Februari"/>
    <s v="Division_A"/>
    <x v="35"/>
    <n v="2016"/>
    <n v="6"/>
    <s v="TM-Utama"/>
    <n v="15"/>
    <n v="2142"/>
    <s v="142.8"/>
    <x v="0"/>
    <n v="1.821"/>
    <n v="27310.5"/>
    <n v="27.311"/>
    <d v="2022-02-01T00:00:00"/>
    <x v="0"/>
    <x v="1"/>
  </r>
  <r>
    <x v="10"/>
    <x v="2"/>
    <s v="Maret"/>
    <s v="Division_A"/>
    <x v="35"/>
    <n v="2016"/>
    <n v="6"/>
    <s v="TM-Utama"/>
    <n v="15"/>
    <n v="2142"/>
    <s v="142.8"/>
    <x v="0"/>
    <n v="2.1819999999999999"/>
    <n v="32724.400000000001"/>
    <n v="32.723999999999997"/>
    <d v="2022-03-01T00:00:00"/>
    <x v="0"/>
    <x v="1"/>
  </r>
  <r>
    <x v="10"/>
    <x v="3"/>
    <s v="April"/>
    <s v="Division_A"/>
    <x v="35"/>
    <n v="2016"/>
    <n v="6"/>
    <s v="TM-Utama"/>
    <n v="15"/>
    <n v="2142"/>
    <s v="142.8"/>
    <x v="0"/>
    <n v="2.4940000000000002"/>
    <n v="37415.4"/>
    <n v="37.414999999999999"/>
    <d v="2022-04-01T00:00:00"/>
    <x v="0"/>
    <x v="1"/>
  </r>
  <r>
    <x v="10"/>
    <x v="4"/>
    <s v="Mei"/>
    <s v="Division_A"/>
    <x v="35"/>
    <n v="2016"/>
    <n v="6"/>
    <s v="TM-Utama"/>
    <n v="15"/>
    <n v="2142"/>
    <s v="142.8"/>
    <x v="0"/>
    <n v="2.2909999999999999"/>
    <n v="34363"/>
    <n v="34.363"/>
    <d v="2022-05-01T00:00:00"/>
    <x v="0"/>
    <x v="1"/>
  </r>
  <r>
    <x v="10"/>
    <x v="5"/>
    <s v="Juni"/>
    <s v="Division_A"/>
    <x v="35"/>
    <n v="2016"/>
    <n v="6"/>
    <s v="TM-Utama"/>
    <n v="15"/>
    <n v="2142"/>
    <s v="142.8"/>
    <x v="0"/>
    <n v="2.524"/>
    <n v="37865.199999999997"/>
    <n v="37.865000000000002"/>
    <d v="2022-06-01T00:00:00"/>
    <x v="0"/>
    <x v="1"/>
  </r>
  <r>
    <x v="10"/>
    <x v="6"/>
    <s v="Juli"/>
    <s v="Division_A"/>
    <x v="35"/>
    <n v="2016"/>
    <n v="6"/>
    <s v="TM-Utama"/>
    <n v="15"/>
    <n v="2142"/>
    <s v="142.8"/>
    <x v="0"/>
    <n v="1.4670000000000001"/>
    <n v="22009.1"/>
    <n v="22.009"/>
    <d v="2022-07-01T00:00:00"/>
    <x v="0"/>
    <x v="1"/>
  </r>
  <r>
    <x v="10"/>
    <x v="7"/>
    <s v="Agustus"/>
    <s v="Division_A"/>
    <x v="35"/>
    <n v="2016"/>
    <n v="6"/>
    <s v="TM-Utama"/>
    <n v="15"/>
    <n v="2142"/>
    <s v="142.8"/>
    <x v="0"/>
    <n v="2.4780000000000002"/>
    <n v="37174.400000000001"/>
    <n v="37.173999999999999"/>
    <d v="2022-08-01T00:00:00"/>
    <x v="0"/>
    <x v="1"/>
  </r>
  <r>
    <x v="10"/>
    <x v="8"/>
    <s v="September"/>
    <s v="Division_A"/>
    <x v="35"/>
    <n v="2016"/>
    <n v="6"/>
    <s v="TM-Utama"/>
    <n v="15"/>
    <n v="2142"/>
    <s v="142.8"/>
    <x v="0"/>
    <n v="2.6739999999999999"/>
    <n v="40114.300000000003"/>
    <n v="40.113999999999997"/>
    <d v="2022-09-01T00:00:00"/>
    <x v="0"/>
    <x v="1"/>
  </r>
  <r>
    <x v="10"/>
    <x v="9"/>
    <s v="Oktober"/>
    <s v="Division_A"/>
    <x v="35"/>
    <n v="2016"/>
    <n v="6"/>
    <s v="TM-Utama"/>
    <n v="15"/>
    <n v="2142"/>
    <s v="142.8"/>
    <x v="0"/>
    <n v="2.5390000000000001"/>
    <n v="38090.1"/>
    <n v="38.090000000000003"/>
    <d v="2022-10-01T00:00:00"/>
    <x v="0"/>
    <x v="1"/>
  </r>
  <r>
    <x v="10"/>
    <x v="10"/>
    <s v="November"/>
    <s v="Division_A"/>
    <x v="35"/>
    <n v="2016"/>
    <n v="6"/>
    <s v="TM-Utama"/>
    <n v="15"/>
    <n v="2142"/>
    <s v="142.8"/>
    <x v="0"/>
    <n v="2.2730000000000001"/>
    <n v="34089.9"/>
    <n v="34.090000000000003"/>
    <d v="2022-11-01T00:00:00"/>
    <x v="0"/>
    <x v="1"/>
  </r>
  <r>
    <x v="10"/>
    <x v="11"/>
    <s v="Desember"/>
    <s v="Division_A"/>
    <x v="35"/>
    <n v="2016"/>
    <n v="6"/>
    <s v="TM-Utama"/>
    <n v="15"/>
    <n v="2142"/>
    <s v="142.8"/>
    <x v="0"/>
    <n v="2.2989999999999999"/>
    <n v="34491.599999999999"/>
    <n v="34.491999999999997"/>
    <d v="2022-12-01T00:00:00"/>
    <x v="0"/>
    <x v="1"/>
  </r>
  <r>
    <x v="10"/>
    <x v="0"/>
    <s v="Januari"/>
    <s v="Division_A"/>
    <x v="36"/>
    <n v="2016"/>
    <n v="6"/>
    <s v="TM-Utama"/>
    <n v="24"/>
    <n v="3324"/>
    <s v="138.5"/>
    <x v="0"/>
    <n v="0.49099999999999999"/>
    <n v="11791.9"/>
    <n v="11.792"/>
    <d v="2022-01-01T00:00:00"/>
    <x v="0"/>
    <x v="1"/>
  </r>
  <r>
    <x v="10"/>
    <x v="1"/>
    <s v="Februari"/>
    <s v="Division_A"/>
    <x v="36"/>
    <n v="2016"/>
    <n v="6"/>
    <s v="TM-Utama"/>
    <n v="24"/>
    <n v="3324"/>
    <s v="138.5"/>
    <x v="0"/>
    <n v="1.766"/>
    <n v="42381"/>
    <n v="42.381"/>
    <d v="2022-02-01T00:00:00"/>
    <x v="0"/>
    <x v="1"/>
  </r>
  <r>
    <x v="10"/>
    <x v="2"/>
    <s v="Maret"/>
    <s v="Division_A"/>
    <x v="36"/>
    <n v="2016"/>
    <n v="6"/>
    <s v="TM-Utama"/>
    <n v="24"/>
    <n v="3324"/>
    <s v="138.5"/>
    <x v="0"/>
    <n v="2.1160000000000001"/>
    <n v="50782.400000000001"/>
    <n v="50.781999999999996"/>
    <d v="2022-03-01T00:00:00"/>
    <x v="0"/>
    <x v="1"/>
  </r>
  <r>
    <x v="10"/>
    <x v="3"/>
    <s v="April"/>
    <s v="Division_A"/>
    <x v="36"/>
    <n v="2016"/>
    <n v="6"/>
    <s v="TM-Utama"/>
    <n v="24"/>
    <n v="3324"/>
    <s v="138.5"/>
    <x v="0"/>
    <n v="2.419"/>
    <n v="58062"/>
    <n v="58.061999999999998"/>
    <d v="2022-04-01T00:00:00"/>
    <x v="0"/>
    <x v="1"/>
  </r>
  <r>
    <x v="10"/>
    <x v="4"/>
    <s v="Mei"/>
    <s v="Division_A"/>
    <x v="36"/>
    <n v="2016"/>
    <n v="6"/>
    <s v="TM-Utama"/>
    <n v="24"/>
    <n v="3324"/>
    <s v="138.5"/>
    <x v="0"/>
    <n v="2.222"/>
    <n v="53325.3"/>
    <n v="53.325000000000003"/>
    <d v="2022-05-01T00:00:00"/>
    <x v="0"/>
    <x v="1"/>
  </r>
  <r>
    <x v="10"/>
    <x v="5"/>
    <s v="Juni"/>
    <s v="Division_A"/>
    <x v="36"/>
    <n v="2016"/>
    <n v="6"/>
    <s v="TM-Utama"/>
    <n v="24"/>
    <n v="3324"/>
    <s v="138.5"/>
    <x v="0"/>
    <n v="2.448"/>
    <n v="58760"/>
    <n v="58.76"/>
    <d v="2022-06-01T00:00:00"/>
    <x v="0"/>
    <x v="1"/>
  </r>
  <r>
    <x v="10"/>
    <x v="6"/>
    <s v="Juli"/>
    <s v="Division_A"/>
    <x v="36"/>
    <n v="2016"/>
    <n v="6"/>
    <s v="TM-Utama"/>
    <n v="24"/>
    <n v="3324"/>
    <s v="138.5"/>
    <x v="0"/>
    <n v="1.423"/>
    <n v="34154.1"/>
    <n v="34.154000000000003"/>
    <d v="2022-07-01T00:00:00"/>
    <x v="0"/>
    <x v="1"/>
  </r>
  <r>
    <x v="10"/>
    <x v="7"/>
    <s v="Agustus"/>
    <s v="Division_A"/>
    <x v="36"/>
    <n v="2016"/>
    <n v="6"/>
    <s v="TM-Utama"/>
    <n v="24"/>
    <n v="3324"/>
    <s v="138.5"/>
    <x v="0"/>
    <n v="2.4039999999999999"/>
    <n v="57688"/>
    <n v="57.688000000000002"/>
    <d v="2022-08-01T00:00:00"/>
    <x v="0"/>
    <x v="1"/>
  </r>
  <r>
    <x v="10"/>
    <x v="8"/>
    <s v="September"/>
    <s v="Division_A"/>
    <x v="36"/>
    <n v="2016"/>
    <n v="6"/>
    <s v="TM-Utama"/>
    <n v="24"/>
    <n v="3324"/>
    <s v="138.5"/>
    <x v="0"/>
    <n v="2.5939999999999999"/>
    <n v="62250.2"/>
    <n v="62.25"/>
    <d v="2022-09-01T00:00:00"/>
    <x v="0"/>
    <x v="1"/>
  </r>
  <r>
    <x v="10"/>
    <x v="9"/>
    <s v="Oktober"/>
    <s v="Division_A"/>
    <x v="36"/>
    <n v="2016"/>
    <n v="6"/>
    <s v="TM-Utama"/>
    <n v="24"/>
    <n v="3324"/>
    <s v="138.5"/>
    <x v="0"/>
    <n v="2.4630000000000001"/>
    <n v="59109"/>
    <n v="59.109000000000002"/>
    <d v="2022-10-01T00:00:00"/>
    <x v="0"/>
    <x v="1"/>
  </r>
  <r>
    <x v="10"/>
    <x v="10"/>
    <s v="November"/>
    <s v="Division_A"/>
    <x v="36"/>
    <n v="2016"/>
    <n v="6"/>
    <s v="TM-Utama"/>
    <n v="24"/>
    <n v="3324"/>
    <s v="138.5"/>
    <x v="0"/>
    <n v="2.2040000000000002"/>
    <n v="52901.5"/>
    <n v="52.901000000000003"/>
    <d v="2022-11-01T00:00:00"/>
    <x v="0"/>
    <x v="1"/>
  </r>
  <r>
    <x v="10"/>
    <x v="11"/>
    <s v="Desember"/>
    <s v="Division_A"/>
    <x v="36"/>
    <n v="2016"/>
    <n v="6"/>
    <s v="TM-Utama"/>
    <n v="24"/>
    <n v="3324"/>
    <s v="138.5"/>
    <x v="0"/>
    <n v="2.23"/>
    <n v="53524.7"/>
    <n v="53.524999999999999"/>
    <d v="2022-12-01T00:00:00"/>
    <x v="0"/>
    <x v="1"/>
  </r>
  <r>
    <x v="10"/>
    <x v="0"/>
    <s v="Januari"/>
    <s v="Division_A"/>
    <x v="37"/>
    <n v="2016"/>
    <n v="6"/>
    <s v="TM-Utama"/>
    <n v="20"/>
    <n v="2663"/>
    <s v="133.2"/>
    <x v="0"/>
    <n v="0.47199999999999998"/>
    <n v="9447"/>
    <n v="9.4469999999999992"/>
    <d v="2022-01-01T00:00:00"/>
    <x v="0"/>
    <x v="1"/>
  </r>
  <r>
    <x v="10"/>
    <x v="1"/>
    <s v="Februari"/>
    <s v="Division_A"/>
    <x v="37"/>
    <n v="2016"/>
    <n v="6"/>
    <s v="TM-Utama"/>
    <n v="20"/>
    <n v="2663"/>
    <s v="133.2"/>
    <x v="0"/>
    <n v="1.698"/>
    <n v="33953.300000000003"/>
    <n v="33.953000000000003"/>
    <d v="2022-02-01T00:00:00"/>
    <x v="0"/>
    <x v="1"/>
  </r>
  <r>
    <x v="10"/>
    <x v="2"/>
    <s v="Maret"/>
    <s v="Division_A"/>
    <x v="37"/>
    <n v="2016"/>
    <n v="6"/>
    <s v="TM-Utama"/>
    <n v="20"/>
    <n v="2663"/>
    <s v="133.2"/>
    <x v="0"/>
    <n v="2.0339999999999998"/>
    <n v="40684"/>
    <n v="40.683999999999997"/>
    <d v="2022-03-01T00:00:00"/>
    <x v="0"/>
    <x v="1"/>
  </r>
  <r>
    <x v="10"/>
    <x v="3"/>
    <s v="April"/>
    <s v="Division_A"/>
    <x v="37"/>
    <n v="2016"/>
    <n v="6"/>
    <s v="TM-Utama"/>
    <n v="20"/>
    <n v="2663"/>
    <s v="133.2"/>
    <x v="0"/>
    <n v="2.3260000000000001"/>
    <n v="46516"/>
    <n v="46.515999999999998"/>
    <d v="2022-04-01T00:00:00"/>
    <x v="0"/>
    <x v="1"/>
  </r>
  <r>
    <x v="10"/>
    <x v="4"/>
    <s v="Mei"/>
    <s v="Division_A"/>
    <x v="37"/>
    <n v="2016"/>
    <n v="6"/>
    <s v="TM-Utama"/>
    <n v="20"/>
    <n v="2663"/>
    <s v="133.2"/>
    <x v="0"/>
    <n v="2.1360000000000001"/>
    <n v="42721.2"/>
    <n v="42.720999999999997"/>
    <d v="2022-05-01T00:00:00"/>
    <x v="0"/>
    <x v="1"/>
  </r>
  <r>
    <x v="10"/>
    <x v="5"/>
    <s v="Juni"/>
    <s v="Division_A"/>
    <x v="37"/>
    <n v="2016"/>
    <n v="6"/>
    <s v="TM-Utama"/>
    <n v="20"/>
    <n v="2663"/>
    <s v="133.2"/>
    <x v="0"/>
    <n v="2.3540000000000001"/>
    <n v="47075.199999999997"/>
    <n v="47.075000000000003"/>
    <d v="2022-06-01T00:00:00"/>
    <x v="0"/>
    <x v="1"/>
  </r>
  <r>
    <x v="10"/>
    <x v="6"/>
    <s v="Juli"/>
    <s v="Division_A"/>
    <x v="37"/>
    <n v="2016"/>
    <n v="6"/>
    <s v="TM-Utama"/>
    <n v="20"/>
    <n v="2663"/>
    <s v="133.2"/>
    <x v="0"/>
    <n v="1.3680000000000001"/>
    <n v="27362.3"/>
    <n v="27.361999999999998"/>
    <d v="2022-07-01T00:00:00"/>
    <x v="0"/>
    <x v="1"/>
  </r>
  <r>
    <x v="10"/>
    <x v="7"/>
    <s v="Agustus"/>
    <s v="Division_A"/>
    <x v="37"/>
    <n v="2016"/>
    <n v="6"/>
    <s v="TM-Utama"/>
    <n v="20"/>
    <n v="2663"/>
    <s v="133.2"/>
    <x v="0"/>
    <n v="2.3109999999999999"/>
    <n v="46216.4"/>
    <n v="46.216000000000001"/>
    <d v="2022-08-01T00:00:00"/>
    <x v="0"/>
    <x v="1"/>
  </r>
  <r>
    <x v="10"/>
    <x v="8"/>
    <s v="September"/>
    <s v="Division_A"/>
    <x v="37"/>
    <n v="2016"/>
    <n v="6"/>
    <s v="TM-Utama"/>
    <n v="20"/>
    <n v="2663"/>
    <s v="133.2"/>
    <x v="0"/>
    <n v="2.4940000000000002"/>
    <n v="49871.3"/>
    <n v="49.871000000000002"/>
    <d v="2022-09-01T00:00:00"/>
    <x v="0"/>
    <x v="1"/>
  </r>
  <r>
    <x v="10"/>
    <x v="9"/>
    <s v="Oktober"/>
    <s v="Division_A"/>
    <x v="37"/>
    <n v="2016"/>
    <n v="6"/>
    <s v="TM-Utama"/>
    <n v="20"/>
    <n v="2663"/>
    <s v="133.2"/>
    <x v="0"/>
    <n v="2.3679999999999999"/>
    <n v="47354.8"/>
    <n v="47.354999999999997"/>
    <d v="2022-10-01T00:00:00"/>
    <x v="0"/>
    <x v="1"/>
  </r>
  <r>
    <x v="10"/>
    <x v="10"/>
    <s v="November"/>
    <s v="Division_A"/>
    <x v="37"/>
    <n v="2016"/>
    <n v="6"/>
    <s v="TM-Utama"/>
    <n v="20"/>
    <n v="2663"/>
    <s v="133.2"/>
    <x v="0"/>
    <n v="2.1190000000000002"/>
    <n v="42381.599999999999"/>
    <n v="42.381999999999998"/>
    <d v="2022-11-01T00:00:00"/>
    <x v="0"/>
    <x v="1"/>
  </r>
  <r>
    <x v="10"/>
    <x v="11"/>
    <s v="Desember"/>
    <s v="Division_A"/>
    <x v="37"/>
    <n v="2016"/>
    <n v="6"/>
    <s v="TM-Utama"/>
    <n v="20"/>
    <n v="2663"/>
    <s v="133.2"/>
    <x v="0"/>
    <n v="2.1440000000000001"/>
    <n v="42881"/>
    <n v="42.881"/>
    <d v="2022-12-01T00:00:00"/>
    <x v="0"/>
    <x v="1"/>
  </r>
  <r>
    <x v="10"/>
    <x v="0"/>
    <s v="Januari"/>
    <s v="Division_A"/>
    <x v="38"/>
    <n v="2016"/>
    <n v="6"/>
    <s v="TM-Utama"/>
    <n v="14"/>
    <n v="1746"/>
    <s v="124.7"/>
    <x v="0"/>
    <n v="0.442"/>
    <n v="6193.9"/>
    <n v="6.194"/>
    <d v="2022-01-01T00:00:00"/>
    <x v="0"/>
    <x v="1"/>
  </r>
  <r>
    <x v="10"/>
    <x v="1"/>
    <s v="Februari"/>
    <s v="Division_A"/>
    <x v="38"/>
    <n v="2016"/>
    <n v="6"/>
    <s v="TM-Utama"/>
    <n v="14"/>
    <n v="1746"/>
    <s v="124.7"/>
    <x v="0"/>
    <n v="1.59"/>
    <n v="22261.5"/>
    <n v="22.262"/>
    <d v="2022-02-01T00:00:00"/>
    <x v="0"/>
    <x v="1"/>
  </r>
  <r>
    <x v="10"/>
    <x v="2"/>
    <s v="Maret"/>
    <s v="Division_A"/>
    <x v="38"/>
    <n v="2016"/>
    <n v="6"/>
    <s v="TM-Utama"/>
    <n v="14"/>
    <n v="1746"/>
    <s v="124.7"/>
    <x v="0"/>
    <n v="1.905"/>
    <n v="26674.5"/>
    <n v="26.675000000000001"/>
    <d v="2022-03-01T00:00:00"/>
    <x v="0"/>
    <x v="1"/>
  </r>
  <r>
    <x v="10"/>
    <x v="3"/>
    <s v="April"/>
    <s v="Division_A"/>
    <x v="38"/>
    <n v="2016"/>
    <n v="6"/>
    <s v="TM-Utama"/>
    <n v="14"/>
    <n v="1746"/>
    <s v="124.7"/>
    <x v="0"/>
    <n v="2.1779999999999999"/>
    <n v="30498.3"/>
    <n v="30.498000000000001"/>
    <d v="2022-04-01T00:00:00"/>
    <x v="0"/>
    <x v="1"/>
  </r>
  <r>
    <x v="10"/>
    <x v="4"/>
    <s v="Mei"/>
    <s v="Division_A"/>
    <x v="38"/>
    <n v="2016"/>
    <n v="6"/>
    <s v="TM-Utama"/>
    <n v="14"/>
    <n v="1746"/>
    <s v="124.7"/>
    <x v="0"/>
    <n v="2.0009999999999999"/>
    <n v="28010.2"/>
    <n v="28.01"/>
    <d v="2022-05-01T00:00:00"/>
    <x v="0"/>
    <x v="1"/>
  </r>
  <r>
    <x v="10"/>
    <x v="5"/>
    <s v="Juni"/>
    <s v="Division_A"/>
    <x v="38"/>
    <n v="2016"/>
    <n v="6"/>
    <s v="TM-Utama"/>
    <n v="14"/>
    <n v="1746"/>
    <s v="124.7"/>
    <x v="0"/>
    <n v="2.2050000000000001"/>
    <n v="30864.9"/>
    <n v="30.864999999999998"/>
    <d v="2022-06-01T00:00:00"/>
    <x v="0"/>
    <x v="1"/>
  </r>
  <r>
    <x v="10"/>
    <x v="6"/>
    <s v="Juli"/>
    <s v="Division_A"/>
    <x v="38"/>
    <n v="2016"/>
    <n v="6"/>
    <s v="TM-Utama"/>
    <n v="14"/>
    <n v="1746"/>
    <s v="124.7"/>
    <x v="0"/>
    <n v="1.2809999999999999"/>
    <n v="17940.2"/>
    <n v="17.940000000000001"/>
    <d v="2022-07-01T00:00:00"/>
    <x v="0"/>
    <x v="1"/>
  </r>
  <r>
    <x v="10"/>
    <x v="7"/>
    <s v="Agustus"/>
    <s v="Division_A"/>
    <x v="38"/>
    <n v="2016"/>
    <n v="6"/>
    <s v="TM-Utama"/>
    <n v="14"/>
    <n v="1746"/>
    <s v="124.7"/>
    <x v="0"/>
    <n v="2.1640000000000001"/>
    <n v="30301.8"/>
    <n v="30.302"/>
    <d v="2022-08-01T00:00:00"/>
    <x v="0"/>
    <x v="1"/>
  </r>
  <r>
    <x v="10"/>
    <x v="8"/>
    <s v="September"/>
    <s v="Division_A"/>
    <x v="38"/>
    <n v="2016"/>
    <n v="6"/>
    <s v="TM-Utama"/>
    <n v="14"/>
    <n v="1746"/>
    <s v="124.7"/>
    <x v="0"/>
    <n v="2.3359999999999999"/>
    <n v="32698.2"/>
    <n v="32.698"/>
    <d v="2022-09-01T00:00:00"/>
    <x v="0"/>
    <x v="1"/>
  </r>
  <r>
    <x v="10"/>
    <x v="9"/>
    <s v="Oktober"/>
    <s v="Division_A"/>
    <x v="38"/>
    <n v="2016"/>
    <n v="6"/>
    <s v="TM-Utama"/>
    <n v="14"/>
    <n v="1746"/>
    <s v="124.7"/>
    <x v="0"/>
    <n v="2.218"/>
    <n v="31048.2"/>
    <n v="31.047999999999998"/>
    <d v="2022-10-01T00:00:00"/>
    <x v="0"/>
    <x v="1"/>
  </r>
  <r>
    <x v="10"/>
    <x v="10"/>
    <s v="November"/>
    <s v="Division_A"/>
    <x v="38"/>
    <n v="2016"/>
    <n v="6"/>
    <s v="TM-Utama"/>
    <n v="14"/>
    <n v="1746"/>
    <s v="124.7"/>
    <x v="0"/>
    <n v="1.9850000000000001"/>
    <n v="27787.599999999999"/>
    <n v="27.788"/>
    <d v="2022-11-01T00:00:00"/>
    <x v="0"/>
    <x v="1"/>
  </r>
  <r>
    <x v="10"/>
    <x v="11"/>
    <s v="Desember"/>
    <s v="Division_A"/>
    <x v="38"/>
    <n v="2016"/>
    <n v="6"/>
    <s v="TM-Utama"/>
    <n v="14"/>
    <n v="1746"/>
    <s v="124.7"/>
    <x v="0"/>
    <n v="2.008"/>
    <n v="28115"/>
    <n v="28.114999999999998"/>
    <d v="2022-12-01T00:00:00"/>
    <x v="0"/>
    <x v="1"/>
  </r>
  <r>
    <x v="10"/>
    <x v="0"/>
    <s v="Januari"/>
    <s v="Division_A"/>
    <x v="39"/>
    <n v="2016"/>
    <n v="6"/>
    <s v="TM-Utama"/>
    <n v="24"/>
    <n v="3377"/>
    <s v="140.7"/>
    <x v="0"/>
    <n v="0.499"/>
    <n v="11979.9"/>
    <n v="11.98"/>
    <d v="2022-01-01T00:00:00"/>
    <x v="0"/>
    <x v="1"/>
  </r>
  <r>
    <x v="10"/>
    <x v="1"/>
    <s v="Februari"/>
    <s v="Division_A"/>
    <x v="39"/>
    <n v="2016"/>
    <n v="6"/>
    <s v="TM-Utama"/>
    <n v="24"/>
    <n v="3377"/>
    <s v="140.7"/>
    <x v="0"/>
    <n v="1.794"/>
    <n v="43056.800000000003"/>
    <n v="43.057000000000002"/>
    <d v="2022-02-01T00:00:00"/>
    <x v="0"/>
    <x v="1"/>
  </r>
  <r>
    <x v="10"/>
    <x v="2"/>
    <s v="Maret"/>
    <s v="Division_A"/>
    <x v="39"/>
    <n v="2016"/>
    <n v="6"/>
    <s v="TM-Utama"/>
    <n v="24"/>
    <n v="3377"/>
    <s v="140.7"/>
    <x v="0"/>
    <n v="2.15"/>
    <n v="51592.1"/>
    <n v="51.591999999999999"/>
    <d v="2022-03-01T00:00:00"/>
    <x v="0"/>
    <x v="1"/>
  </r>
  <r>
    <x v="10"/>
    <x v="3"/>
    <s v="April"/>
    <s v="Division_A"/>
    <x v="39"/>
    <n v="2016"/>
    <n v="6"/>
    <s v="TM-Utama"/>
    <n v="24"/>
    <n v="3377"/>
    <s v="140.7"/>
    <x v="0"/>
    <n v="2.4580000000000002"/>
    <n v="58987.7"/>
    <n v="58.988"/>
    <d v="2022-04-01T00:00:00"/>
    <x v="0"/>
    <x v="1"/>
  </r>
  <r>
    <x v="10"/>
    <x v="4"/>
    <s v="Mei"/>
    <s v="Division_A"/>
    <x v="39"/>
    <n v="2016"/>
    <n v="6"/>
    <s v="TM-Utama"/>
    <n v="24"/>
    <n v="3377"/>
    <s v="140.7"/>
    <x v="0"/>
    <n v="2.2570000000000001"/>
    <n v="54175.5"/>
    <n v="54.176000000000002"/>
    <d v="2022-05-01T00:00:00"/>
    <x v="0"/>
    <x v="1"/>
  </r>
  <r>
    <x v="10"/>
    <x v="5"/>
    <s v="Juni"/>
    <s v="Division_A"/>
    <x v="39"/>
    <n v="2016"/>
    <n v="6"/>
    <s v="TM-Utama"/>
    <n v="24"/>
    <n v="3377"/>
    <s v="140.7"/>
    <x v="0"/>
    <n v="2.4870000000000001"/>
    <n v="59696.9"/>
    <n v="59.697000000000003"/>
    <d v="2022-06-01T00:00:00"/>
    <x v="0"/>
    <x v="1"/>
  </r>
  <r>
    <x v="10"/>
    <x v="6"/>
    <s v="Juli"/>
    <s v="Division_A"/>
    <x v="39"/>
    <n v="2016"/>
    <n v="6"/>
    <s v="TM-Utama"/>
    <n v="24"/>
    <n v="3377"/>
    <s v="140.7"/>
    <x v="0"/>
    <n v="1.446"/>
    <n v="34698.699999999997"/>
    <n v="34.698999999999998"/>
    <d v="2022-07-01T00:00:00"/>
    <x v="0"/>
    <x v="1"/>
  </r>
  <r>
    <x v="10"/>
    <x v="7"/>
    <s v="Agustus"/>
    <s v="Division_A"/>
    <x v="39"/>
    <n v="2016"/>
    <n v="6"/>
    <s v="TM-Utama"/>
    <n v="24"/>
    <n v="3377"/>
    <s v="140.7"/>
    <x v="0"/>
    <n v="2.4420000000000002"/>
    <n v="58607.8"/>
    <n v="58.607999999999997"/>
    <d v="2022-08-01T00:00:00"/>
    <x v="0"/>
    <x v="1"/>
  </r>
  <r>
    <x v="10"/>
    <x v="8"/>
    <s v="September"/>
    <s v="Division_A"/>
    <x v="39"/>
    <n v="2016"/>
    <n v="6"/>
    <s v="TM-Utama"/>
    <n v="24"/>
    <n v="3377"/>
    <s v="140.7"/>
    <x v="0"/>
    <n v="2.6349999999999998"/>
    <n v="63242.8"/>
    <n v="63.243000000000002"/>
    <d v="2022-09-01T00:00:00"/>
    <x v="0"/>
    <x v="1"/>
  </r>
  <r>
    <x v="10"/>
    <x v="9"/>
    <s v="Oktober"/>
    <s v="Division_A"/>
    <x v="39"/>
    <n v="2016"/>
    <n v="6"/>
    <s v="TM-Utama"/>
    <n v="24"/>
    <n v="3377"/>
    <s v="140.7"/>
    <x v="0"/>
    <n v="2.5019999999999998"/>
    <n v="60051.5"/>
    <n v="60.052"/>
    <d v="2022-10-01T00:00:00"/>
    <x v="0"/>
    <x v="1"/>
  </r>
  <r>
    <x v="10"/>
    <x v="10"/>
    <s v="November"/>
    <s v="Division_A"/>
    <x v="39"/>
    <n v="2016"/>
    <n v="6"/>
    <s v="TM-Utama"/>
    <n v="24"/>
    <n v="3377"/>
    <s v="140.7"/>
    <x v="0"/>
    <n v="2.2389999999999999"/>
    <n v="53745"/>
    <n v="53.744999999999997"/>
    <d v="2022-11-01T00:00:00"/>
    <x v="0"/>
    <x v="1"/>
  </r>
  <r>
    <x v="10"/>
    <x v="11"/>
    <s v="Desember"/>
    <s v="Division_A"/>
    <x v="39"/>
    <n v="2016"/>
    <n v="6"/>
    <s v="TM-Utama"/>
    <n v="24"/>
    <n v="3377"/>
    <s v="140.7"/>
    <x v="0"/>
    <n v="2.266"/>
    <n v="54378.1"/>
    <n v="54.378"/>
    <d v="2022-12-01T00:00:00"/>
    <x v="0"/>
    <x v="1"/>
  </r>
  <r>
    <x v="10"/>
    <x v="0"/>
    <s v="Januari"/>
    <s v="Division_A"/>
    <x v="40"/>
    <n v="2016"/>
    <n v="6"/>
    <s v="TM-Utama"/>
    <n v="25"/>
    <n v="3431"/>
    <s v="137.2"/>
    <x v="0"/>
    <n v="0.48699999999999999"/>
    <n v="12171.5"/>
    <n v="12.170999999999999"/>
    <d v="2022-01-01T00:00:00"/>
    <x v="0"/>
    <x v="1"/>
  </r>
  <r>
    <x v="10"/>
    <x v="1"/>
    <s v="Februari"/>
    <s v="Division_A"/>
    <x v="40"/>
    <n v="2016"/>
    <n v="6"/>
    <s v="TM-Utama"/>
    <n v="25"/>
    <n v="3431"/>
    <s v="137.2"/>
    <x v="0"/>
    <n v="1.75"/>
    <n v="43745.2"/>
    <n v="43.744999999999997"/>
    <d v="2022-02-01T00:00:00"/>
    <x v="0"/>
    <x v="1"/>
  </r>
  <r>
    <x v="10"/>
    <x v="2"/>
    <s v="Maret"/>
    <s v="Division_A"/>
    <x v="40"/>
    <n v="2016"/>
    <n v="6"/>
    <s v="TM-Utama"/>
    <n v="25"/>
    <n v="3431"/>
    <s v="137.2"/>
    <x v="0"/>
    <n v="2.097"/>
    <n v="52417.1"/>
    <n v="52.417000000000002"/>
    <d v="2022-03-01T00:00:00"/>
    <x v="0"/>
    <x v="1"/>
  </r>
  <r>
    <x v="10"/>
    <x v="3"/>
    <s v="April"/>
    <s v="Division_A"/>
    <x v="40"/>
    <n v="2016"/>
    <n v="6"/>
    <s v="TM-Utama"/>
    <n v="25"/>
    <n v="3431"/>
    <s v="137.2"/>
    <x v="0"/>
    <n v="2.3969999999999998"/>
    <n v="59931"/>
    <n v="59.930999999999997"/>
    <d v="2022-04-01T00:00:00"/>
    <x v="0"/>
    <x v="1"/>
  </r>
  <r>
    <x v="10"/>
    <x v="4"/>
    <s v="Mei"/>
    <s v="Division_A"/>
    <x v="40"/>
    <n v="2016"/>
    <n v="6"/>
    <s v="TM-Utama"/>
    <n v="25"/>
    <n v="3431"/>
    <s v="137.2"/>
    <x v="0"/>
    <n v="2.202"/>
    <n v="55041.8"/>
    <n v="55.042000000000002"/>
    <d v="2022-05-01T00:00:00"/>
    <x v="0"/>
    <x v="1"/>
  </r>
  <r>
    <x v="10"/>
    <x v="5"/>
    <s v="Juni"/>
    <s v="Division_A"/>
    <x v="40"/>
    <n v="2016"/>
    <n v="6"/>
    <s v="TM-Utama"/>
    <n v="25"/>
    <n v="3431"/>
    <s v="137.2"/>
    <x v="0"/>
    <n v="2.4260000000000002"/>
    <n v="60651.5"/>
    <n v="60.652000000000001"/>
    <d v="2022-06-01T00:00:00"/>
    <x v="0"/>
    <x v="1"/>
  </r>
  <r>
    <x v="10"/>
    <x v="6"/>
    <s v="Juli"/>
    <s v="Division_A"/>
    <x v="40"/>
    <n v="2016"/>
    <n v="6"/>
    <s v="TM-Utama"/>
    <n v="25"/>
    <n v="3431"/>
    <s v="137.2"/>
    <x v="0"/>
    <n v="1.41"/>
    <n v="35253.5"/>
    <n v="35.253999999999998"/>
    <d v="2022-07-01T00:00:00"/>
    <x v="0"/>
    <x v="1"/>
  </r>
  <r>
    <x v="10"/>
    <x v="7"/>
    <s v="Agustus"/>
    <s v="Division_A"/>
    <x v="40"/>
    <n v="2016"/>
    <n v="6"/>
    <s v="TM-Utama"/>
    <n v="25"/>
    <n v="3431"/>
    <s v="137.2"/>
    <x v="0"/>
    <n v="2.3820000000000001"/>
    <n v="59545"/>
    <n v="59.545000000000002"/>
    <d v="2022-08-01T00:00:00"/>
    <x v="0"/>
    <x v="1"/>
  </r>
  <r>
    <x v="10"/>
    <x v="8"/>
    <s v="September"/>
    <s v="Division_A"/>
    <x v="40"/>
    <n v="2016"/>
    <n v="6"/>
    <s v="TM-Utama"/>
    <n v="25"/>
    <n v="3431"/>
    <s v="137.2"/>
    <x v="0"/>
    <n v="2.57"/>
    <n v="64254.1"/>
    <n v="64.254000000000005"/>
    <d v="2022-09-01T00:00:00"/>
    <x v="0"/>
    <x v="1"/>
  </r>
  <r>
    <x v="10"/>
    <x v="9"/>
    <s v="Oktober"/>
    <s v="Division_A"/>
    <x v="40"/>
    <n v="2016"/>
    <n v="6"/>
    <s v="TM-Utama"/>
    <n v="25"/>
    <n v="3431"/>
    <s v="137.2"/>
    <x v="0"/>
    <n v="2.44"/>
    <n v="61011.8"/>
    <n v="61.012"/>
    <d v="2022-10-01T00:00:00"/>
    <x v="0"/>
    <x v="1"/>
  </r>
  <r>
    <x v="10"/>
    <x v="10"/>
    <s v="November"/>
    <s v="Division_A"/>
    <x v="40"/>
    <n v="2016"/>
    <n v="6"/>
    <s v="TM-Utama"/>
    <n v="25"/>
    <n v="3431"/>
    <s v="137.2"/>
    <x v="0"/>
    <n v="2.1840000000000002"/>
    <n v="54604.4"/>
    <n v="54.603999999999999"/>
    <d v="2022-11-01T00:00:00"/>
    <x v="0"/>
    <x v="1"/>
  </r>
  <r>
    <x v="10"/>
    <x v="11"/>
    <s v="Desember"/>
    <s v="Division_A"/>
    <x v="40"/>
    <n v="2016"/>
    <n v="6"/>
    <s v="TM-Utama"/>
    <n v="25"/>
    <n v="3431"/>
    <s v="137.2"/>
    <x v="0"/>
    <n v="2.21"/>
    <n v="55247.7"/>
    <n v="55.247999999999998"/>
    <d v="2022-12-01T00:00:00"/>
    <x v="0"/>
    <x v="1"/>
  </r>
  <r>
    <x v="10"/>
    <x v="0"/>
    <s v="Januari"/>
    <s v="Division_A"/>
    <x v="41"/>
    <n v="2016"/>
    <n v="6"/>
    <s v="TM-Utama"/>
    <n v="21"/>
    <n v="2901"/>
    <s v="138.1"/>
    <x v="0"/>
    <n v="0.49"/>
    <n v="10291.299999999999"/>
    <n v="10.291"/>
    <d v="2022-01-01T00:00:00"/>
    <x v="0"/>
    <x v="1"/>
  </r>
  <r>
    <x v="10"/>
    <x v="1"/>
    <s v="Februari"/>
    <s v="Division_A"/>
    <x v="41"/>
    <n v="2016"/>
    <n v="6"/>
    <s v="TM-Utama"/>
    <n v="21"/>
    <n v="2901"/>
    <s v="138.1"/>
    <x v="0"/>
    <n v="1.7609999999999999"/>
    <n v="36987.800000000003"/>
    <n v="36.988"/>
    <d v="2022-02-01T00:00:00"/>
    <x v="0"/>
    <x v="1"/>
  </r>
  <r>
    <x v="10"/>
    <x v="2"/>
    <s v="Maret"/>
    <s v="Division_A"/>
    <x v="41"/>
    <n v="2016"/>
    <n v="6"/>
    <s v="TM-Utama"/>
    <n v="21"/>
    <n v="2901"/>
    <s v="138.1"/>
    <x v="0"/>
    <n v="2.11"/>
    <n v="44320"/>
    <n v="44.32"/>
    <d v="2022-03-01T00:00:00"/>
    <x v="0"/>
    <x v="1"/>
  </r>
  <r>
    <x v="10"/>
    <x v="3"/>
    <s v="April"/>
    <s v="Division_A"/>
    <x v="41"/>
    <n v="2016"/>
    <n v="6"/>
    <s v="TM-Utama"/>
    <n v="21"/>
    <n v="2901"/>
    <s v="138.1"/>
    <x v="0"/>
    <n v="2.4129999999999998"/>
    <n v="50673.2"/>
    <n v="50.673000000000002"/>
    <d v="2022-04-01T00:00:00"/>
    <x v="0"/>
    <x v="1"/>
  </r>
  <r>
    <x v="10"/>
    <x v="4"/>
    <s v="Mei"/>
    <s v="Division_A"/>
    <x v="41"/>
    <n v="2016"/>
    <n v="6"/>
    <s v="TM-Utama"/>
    <n v="21"/>
    <n v="2901"/>
    <s v="138.1"/>
    <x v="0"/>
    <n v="2.2160000000000002"/>
    <n v="46539.3"/>
    <n v="46.539000000000001"/>
    <d v="2022-05-01T00:00:00"/>
    <x v="0"/>
    <x v="1"/>
  </r>
  <r>
    <x v="10"/>
    <x v="5"/>
    <s v="Juni"/>
    <s v="Division_A"/>
    <x v="41"/>
    <n v="2016"/>
    <n v="6"/>
    <s v="TM-Utama"/>
    <n v="21"/>
    <n v="2901"/>
    <s v="138.1"/>
    <x v="0"/>
    <n v="2.4420000000000002"/>
    <n v="51282.400000000001"/>
    <n v="51.281999999999996"/>
    <d v="2022-06-01T00:00:00"/>
    <x v="0"/>
    <x v="1"/>
  </r>
  <r>
    <x v="10"/>
    <x v="6"/>
    <s v="Juli"/>
    <s v="Division_A"/>
    <x v="41"/>
    <n v="2016"/>
    <n v="6"/>
    <s v="TM-Utama"/>
    <n v="21"/>
    <n v="2901"/>
    <s v="138.1"/>
    <x v="0"/>
    <n v="1.419"/>
    <n v="29807.8"/>
    <n v="29.808"/>
    <d v="2022-07-01T00:00:00"/>
    <x v="0"/>
    <x v="1"/>
  </r>
  <r>
    <x v="10"/>
    <x v="7"/>
    <s v="Agustus"/>
    <s v="Division_A"/>
    <x v="41"/>
    <n v="2016"/>
    <n v="6"/>
    <s v="TM-Utama"/>
    <n v="21"/>
    <n v="2901"/>
    <s v="138.1"/>
    <x v="0"/>
    <n v="2.3969999999999998"/>
    <n v="50346.9"/>
    <n v="50.347000000000001"/>
    <d v="2022-08-01T00:00:00"/>
    <x v="0"/>
    <x v="1"/>
  </r>
  <r>
    <x v="10"/>
    <x v="8"/>
    <s v="September"/>
    <s v="Division_A"/>
    <x v="41"/>
    <n v="2016"/>
    <n v="6"/>
    <s v="TM-Utama"/>
    <n v="21"/>
    <n v="2901"/>
    <s v="138.1"/>
    <x v="0"/>
    <n v="2.5870000000000002"/>
    <n v="54328.5"/>
    <n v="54.328000000000003"/>
    <d v="2022-09-01T00:00:00"/>
    <x v="0"/>
    <x v="1"/>
  </r>
  <r>
    <x v="10"/>
    <x v="9"/>
    <s v="Oktober"/>
    <s v="Division_A"/>
    <x v="41"/>
    <n v="2016"/>
    <n v="6"/>
    <s v="TM-Utama"/>
    <n v="21"/>
    <n v="2901"/>
    <s v="138.1"/>
    <x v="0"/>
    <n v="2.4569999999999999"/>
    <n v="51587"/>
    <n v="51.587000000000003"/>
    <d v="2022-10-01T00:00:00"/>
    <x v="0"/>
    <x v="1"/>
  </r>
  <r>
    <x v="10"/>
    <x v="10"/>
    <s v="November"/>
    <s v="Division_A"/>
    <x v="41"/>
    <n v="2016"/>
    <n v="6"/>
    <s v="TM-Utama"/>
    <n v="21"/>
    <n v="2901"/>
    <s v="138.1"/>
    <x v="0"/>
    <n v="2.1989999999999998"/>
    <n v="46169.4"/>
    <n v="46.168999999999997"/>
    <d v="2022-11-01T00:00:00"/>
    <x v="0"/>
    <x v="1"/>
  </r>
  <r>
    <x v="10"/>
    <x v="11"/>
    <s v="Desember"/>
    <s v="Division_A"/>
    <x v="41"/>
    <n v="2016"/>
    <n v="6"/>
    <s v="TM-Utama"/>
    <n v="21"/>
    <n v="2901"/>
    <s v="138.1"/>
    <x v="0"/>
    <n v="2.2240000000000002"/>
    <n v="46713.4"/>
    <n v="46.713000000000001"/>
    <d v="2022-12-01T00:00:00"/>
    <x v="0"/>
    <x v="1"/>
  </r>
  <r>
    <x v="11"/>
    <x v="0"/>
    <s v="Januari"/>
    <s v="Division_A"/>
    <x v="0"/>
    <n v="2000"/>
    <n v="23"/>
    <s v="TM-Tua"/>
    <n v="19"/>
    <n v="1490"/>
    <s v="78.4"/>
    <x v="0"/>
    <n v="0.68799999999999994"/>
    <n v="13073.2"/>
    <n v="13.073"/>
    <d v="2023-01-01T00:00:00"/>
    <x v="0"/>
    <x v="4"/>
  </r>
  <r>
    <x v="11"/>
    <x v="1"/>
    <s v="Februari"/>
    <s v="Division_A"/>
    <x v="0"/>
    <n v="2000"/>
    <n v="23"/>
    <s v="TM-Tua"/>
    <n v="19"/>
    <n v="1490"/>
    <s v="78.4"/>
    <x v="0"/>
    <n v="0.98699999999999999"/>
    <n v="18755.400000000001"/>
    <n v="18.754999999999999"/>
    <d v="2023-02-01T00:00:00"/>
    <x v="0"/>
    <x v="4"/>
  </r>
  <r>
    <x v="11"/>
    <x v="2"/>
    <s v="Maret"/>
    <s v="Division_A"/>
    <x v="0"/>
    <n v="2000"/>
    <n v="23"/>
    <s v="TM-Tua"/>
    <n v="19"/>
    <n v="1490"/>
    <s v="78.4"/>
    <x v="0"/>
    <n v="1.1459999999999999"/>
    <n v="21778.5"/>
    <n v="21.777999999999999"/>
    <d v="2023-03-01T00:00:00"/>
    <x v="0"/>
    <x v="4"/>
  </r>
  <r>
    <x v="11"/>
    <x v="3"/>
    <s v="April"/>
    <s v="Division_A"/>
    <x v="0"/>
    <n v="2000"/>
    <n v="23"/>
    <s v="TM-Tua"/>
    <n v="19"/>
    <n v="1490"/>
    <s v="78.4"/>
    <x v="0"/>
    <n v="1.165"/>
    <n v="22132.400000000001"/>
    <n v="22.132000000000001"/>
    <d v="2023-04-01T00:00:00"/>
    <x v="0"/>
    <x v="4"/>
  </r>
  <r>
    <x v="11"/>
    <x v="4"/>
    <s v="Mei"/>
    <s v="Division_A"/>
    <x v="0"/>
    <n v="2000"/>
    <n v="23"/>
    <s v="TM-Tua"/>
    <n v="19"/>
    <n v="1490"/>
    <s v="78.4"/>
    <x v="0"/>
    <n v="1.157"/>
    <n v="21990.799999999999"/>
    <n v="21.991"/>
    <d v="2023-05-01T00:00:00"/>
    <x v="0"/>
    <x v="4"/>
  </r>
  <r>
    <x v="11"/>
    <x v="5"/>
    <s v="Juni"/>
    <s v="Division_A"/>
    <x v="0"/>
    <n v="2000"/>
    <n v="23"/>
    <s v="TM-Tua"/>
    <n v="19"/>
    <n v="1490"/>
    <s v="78.4"/>
    <x v="0"/>
    <n v="1.2809999999999999"/>
    <n v="24336.5"/>
    <n v="24.335999999999999"/>
    <d v="2023-06-01T00:00:00"/>
    <x v="0"/>
    <x v="4"/>
  </r>
  <r>
    <x v="11"/>
    <x v="6"/>
    <s v="Juli"/>
    <s v="Division_A"/>
    <x v="0"/>
    <n v="2000"/>
    <n v="23"/>
    <s v="TM-Tua"/>
    <n v="19"/>
    <n v="1490"/>
    <s v="78.4"/>
    <x v="0"/>
    <n v="1.1779999999999999"/>
    <n v="22375"/>
    <n v="22.375"/>
    <d v="2023-07-01T00:00:00"/>
    <x v="0"/>
    <x v="4"/>
  </r>
  <r>
    <x v="11"/>
    <x v="7"/>
    <s v="Agustus"/>
    <s v="Division_A"/>
    <x v="0"/>
    <n v="2000"/>
    <n v="23"/>
    <s v="TM-Tua"/>
    <n v="19"/>
    <n v="1490"/>
    <s v="78.4"/>
    <x v="0"/>
    <n v="1.238"/>
    <n v="23527.599999999999"/>
    <n v="23.527999999999999"/>
    <d v="2023-08-01T00:00:00"/>
    <x v="0"/>
    <x v="4"/>
  </r>
  <r>
    <x v="11"/>
    <x v="8"/>
    <s v="September"/>
    <s v="Division_A"/>
    <x v="0"/>
    <n v="2000"/>
    <n v="23"/>
    <s v="TM-Tua"/>
    <n v="19"/>
    <n v="1490"/>
    <s v="78.4"/>
    <x v="0"/>
    <n v="1.28"/>
    <n v="24326.400000000001"/>
    <n v="24.326000000000001"/>
    <d v="2023-09-01T00:00:00"/>
    <x v="0"/>
    <x v="4"/>
  </r>
  <r>
    <x v="11"/>
    <x v="9"/>
    <s v="Oktober"/>
    <s v="Division_A"/>
    <x v="0"/>
    <n v="2000"/>
    <n v="23"/>
    <s v="TM-Tua"/>
    <n v="19"/>
    <n v="1490"/>
    <s v="78.4"/>
    <x v="0"/>
    <n v="1.1359999999999999"/>
    <n v="21576.3"/>
    <n v="21.576000000000001"/>
    <d v="2023-10-01T00:00:00"/>
    <x v="0"/>
    <x v="4"/>
  </r>
  <r>
    <x v="11"/>
    <x v="10"/>
    <s v="November"/>
    <s v="Division_A"/>
    <x v="0"/>
    <n v="2000"/>
    <n v="23"/>
    <s v="TM-Tua"/>
    <n v="19"/>
    <n v="1490"/>
    <s v="78.4"/>
    <x v="0"/>
    <n v="0.93899999999999995"/>
    <n v="17845.400000000001"/>
    <n v="17.844999999999999"/>
    <d v="2023-11-01T00:00:00"/>
    <x v="0"/>
    <x v="4"/>
  </r>
  <r>
    <x v="11"/>
    <x v="11"/>
    <s v="Desember"/>
    <s v="Division_A"/>
    <x v="0"/>
    <n v="2000"/>
    <n v="23"/>
    <s v="TM-Tua"/>
    <n v="19"/>
    <n v="1490"/>
    <s v="78.4"/>
    <x v="0"/>
    <n v="0.45400000000000001"/>
    <n v="8624.4"/>
    <n v="8.6240000000000006"/>
    <d v="2023-12-01T00:00:00"/>
    <x v="0"/>
    <x v="4"/>
  </r>
  <r>
    <x v="11"/>
    <x v="0"/>
    <s v="Januari"/>
    <s v="Division_A"/>
    <x v="1"/>
    <n v="2000"/>
    <n v="23"/>
    <s v="TM-Tua"/>
    <n v="24"/>
    <n v="1675"/>
    <s v="69.8"/>
    <x v="0"/>
    <n v="0.61199999999999999"/>
    <n v="14696.3"/>
    <n v="14.696"/>
    <d v="2023-01-01T00:00:00"/>
    <x v="0"/>
    <x v="4"/>
  </r>
  <r>
    <x v="11"/>
    <x v="1"/>
    <s v="Februari"/>
    <s v="Division_A"/>
    <x v="1"/>
    <n v="2000"/>
    <n v="23"/>
    <s v="TM-Tua"/>
    <n v="24"/>
    <n v="1675"/>
    <s v="69.8"/>
    <x v="0"/>
    <n v="0.879"/>
    <n v="21084.1"/>
    <n v="21.084"/>
    <d v="2023-02-01T00:00:00"/>
    <x v="0"/>
    <x v="4"/>
  </r>
  <r>
    <x v="11"/>
    <x v="2"/>
    <s v="Maret"/>
    <s v="Division_A"/>
    <x v="1"/>
    <n v="2000"/>
    <n v="23"/>
    <s v="TM-Tua"/>
    <n v="24"/>
    <n v="1675"/>
    <s v="69.8"/>
    <x v="0"/>
    <n v="1.02"/>
    <n v="24482.5"/>
    <n v="24.483000000000001"/>
    <d v="2023-03-01T00:00:00"/>
    <x v="0"/>
    <x v="4"/>
  </r>
  <r>
    <x v="11"/>
    <x v="3"/>
    <s v="April"/>
    <s v="Division_A"/>
    <x v="1"/>
    <n v="2000"/>
    <n v="23"/>
    <s v="TM-Tua"/>
    <n v="24"/>
    <n v="1675"/>
    <s v="69.8"/>
    <x v="0"/>
    <n v="1.0369999999999999"/>
    <n v="24880.3"/>
    <n v="24.88"/>
    <d v="2023-04-01T00:00:00"/>
    <x v="0"/>
    <x v="4"/>
  </r>
  <r>
    <x v="11"/>
    <x v="4"/>
    <s v="Mei"/>
    <s v="Division_A"/>
    <x v="1"/>
    <n v="2000"/>
    <n v="23"/>
    <s v="TM-Tua"/>
    <n v="24"/>
    <n v="1675"/>
    <s v="69.8"/>
    <x v="0"/>
    <n v="1.03"/>
    <n v="24721.200000000001"/>
    <n v="24.721"/>
    <d v="2023-05-01T00:00:00"/>
    <x v="0"/>
    <x v="4"/>
  </r>
  <r>
    <x v="11"/>
    <x v="5"/>
    <s v="Juni"/>
    <s v="Division_A"/>
    <x v="1"/>
    <n v="2000"/>
    <n v="23"/>
    <s v="TM-Tua"/>
    <n v="24"/>
    <n v="1675"/>
    <s v="69.8"/>
    <x v="0"/>
    <n v="1.1399999999999999"/>
    <n v="27358.1"/>
    <n v="27.358000000000001"/>
    <d v="2023-06-01T00:00:00"/>
    <x v="0"/>
    <x v="4"/>
  </r>
  <r>
    <x v="11"/>
    <x v="6"/>
    <s v="Juli"/>
    <s v="Division_A"/>
    <x v="1"/>
    <n v="2000"/>
    <n v="23"/>
    <s v="TM-Tua"/>
    <n v="24"/>
    <n v="1675"/>
    <s v="69.8"/>
    <x v="0"/>
    <n v="1.048"/>
    <n v="25153.1"/>
    <n v="25.152999999999999"/>
    <d v="2023-07-01T00:00:00"/>
    <x v="0"/>
    <x v="4"/>
  </r>
  <r>
    <x v="11"/>
    <x v="7"/>
    <s v="Agustus"/>
    <s v="Division_A"/>
    <x v="1"/>
    <n v="2000"/>
    <n v="23"/>
    <s v="TM-Tua"/>
    <n v="24"/>
    <n v="1675"/>
    <s v="69.8"/>
    <x v="0"/>
    <n v="1.1020000000000001"/>
    <n v="26448.799999999999"/>
    <n v="26.449000000000002"/>
    <d v="2023-08-01T00:00:00"/>
    <x v="0"/>
    <x v="4"/>
  </r>
  <r>
    <x v="11"/>
    <x v="8"/>
    <s v="September"/>
    <s v="Division_A"/>
    <x v="1"/>
    <n v="2000"/>
    <n v="23"/>
    <s v="TM-Tua"/>
    <n v="24"/>
    <n v="1675"/>
    <s v="69.8"/>
    <x v="0"/>
    <n v="1.139"/>
    <n v="27346.799999999999"/>
    <n v="27.347000000000001"/>
    <d v="2023-09-01T00:00:00"/>
    <x v="0"/>
    <x v="4"/>
  </r>
  <r>
    <x v="11"/>
    <x v="9"/>
    <s v="Oktober"/>
    <s v="Division_A"/>
    <x v="1"/>
    <n v="2000"/>
    <n v="23"/>
    <s v="TM-Tua"/>
    <n v="24"/>
    <n v="1675"/>
    <s v="69.8"/>
    <x v="0"/>
    <n v="1.0109999999999999"/>
    <n v="24255.200000000001"/>
    <n v="24.254999999999999"/>
    <d v="2023-10-01T00:00:00"/>
    <x v="0"/>
    <x v="4"/>
  </r>
  <r>
    <x v="11"/>
    <x v="10"/>
    <s v="November"/>
    <s v="Division_A"/>
    <x v="1"/>
    <n v="2000"/>
    <n v="23"/>
    <s v="TM-Tua"/>
    <n v="24"/>
    <n v="1675"/>
    <s v="69.8"/>
    <x v="0"/>
    <n v="0.83599999999999997"/>
    <n v="20061.099999999999"/>
    <n v="20.061"/>
    <d v="2023-11-01T00:00:00"/>
    <x v="0"/>
    <x v="4"/>
  </r>
  <r>
    <x v="11"/>
    <x v="11"/>
    <s v="Desember"/>
    <s v="Division_A"/>
    <x v="1"/>
    <n v="2000"/>
    <n v="23"/>
    <s v="TM-Tua"/>
    <n v="24"/>
    <n v="1675"/>
    <s v="69.8"/>
    <x v="0"/>
    <n v="0.40400000000000003"/>
    <n v="9695.2999999999993"/>
    <n v="9.6950000000000003"/>
    <d v="2023-12-01T00:00:00"/>
    <x v="0"/>
    <x v="4"/>
  </r>
  <r>
    <x v="11"/>
    <x v="0"/>
    <s v="Januari"/>
    <s v="Division_A"/>
    <x v="2"/>
    <n v="2005"/>
    <n v="18"/>
    <s v="TM-Tua"/>
    <n v="18"/>
    <n v="1922"/>
    <s v="106.8"/>
    <x v="0"/>
    <n v="0.93700000000000006"/>
    <n v="16863.5"/>
    <n v="16.863"/>
    <d v="2023-01-01T00:00:00"/>
    <x v="0"/>
    <x v="4"/>
  </r>
  <r>
    <x v="11"/>
    <x v="1"/>
    <s v="Februari"/>
    <s v="Division_A"/>
    <x v="2"/>
    <n v="2005"/>
    <n v="18"/>
    <s v="TM-Tua"/>
    <n v="18"/>
    <n v="1922"/>
    <s v="106.8"/>
    <x v="0"/>
    <n v="1.3440000000000001"/>
    <n v="24193.200000000001"/>
    <n v="24.193000000000001"/>
    <d v="2023-02-01T00:00:00"/>
    <x v="0"/>
    <x v="4"/>
  </r>
  <r>
    <x v="11"/>
    <x v="2"/>
    <s v="Maret"/>
    <s v="Division_A"/>
    <x v="2"/>
    <n v="2005"/>
    <n v="18"/>
    <s v="TM-Tua"/>
    <n v="18"/>
    <n v="1922"/>
    <s v="106.8"/>
    <x v="0"/>
    <n v="1.5609999999999999"/>
    <n v="28092.799999999999"/>
    <n v="28.093"/>
    <d v="2023-03-01T00:00:00"/>
    <x v="0"/>
    <x v="4"/>
  </r>
  <r>
    <x v="11"/>
    <x v="3"/>
    <s v="April"/>
    <s v="Division_A"/>
    <x v="2"/>
    <n v="2005"/>
    <n v="18"/>
    <s v="TM-Tua"/>
    <n v="18"/>
    <n v="1922"/>
    <s v="106.8"/>
    <x v="0"/>
    <n v="1.5860000000000001"/>
    <n v="28549.3"/>
    <n v="28.548999999999999"/>
    <d v="2023-04-01T00:00:00"/>
    <x v="0"/>
    <x v="4"/>
  </r>
  <r>
    <x v="11"/>
    <x v="4"/>
    <s v="Mei"/>
    <s v="Division_A"/>
    <x v="2"/>
    <n v="2005"/>
    <n v="18"/>
    <s v="TM-Tua"/>
    <n v="18"/>
    <n v="1922"/>
    <s v="106.8"/>
    <x v="0"/>
    <n v="1.5760000000000001"/>
    <n v="28366.7"/>
    <n v="28.367000000000001"/>
    <d v="2023-05-01T00:00:00"/>
    <x v="0"/>
    <x v="4"/>
  </r>
  <r>
    <x v="11"/>
    <x v="5"/>
    <s v="Juni"/>
    <s v="Division_A"/>
    <x v="2"/>
    <n v="2005"/>
    <n v="18"/>
    <s v="TM-Tua"/>
    <n v="18"/>
    <n v="1922"/>
    <s v="106.8"/>
    <x v="0"/>
    <n v="1.744"/>
    <n v="31392.400000000001"/>
    <n v="31.391999999999999"/>
    <d v="2023-06-01T00:00:00"/>
    <x v="0"/>
    <x v="4"/>
  </r>
  <r>
    <x v="11"/>
    <x v="6"/>
    <s v="Juli"/>
    <s v="Division_A"/>
    <x v="2"/>
    <n v="2005"/>
    <n v="18"/>
    <s v="TM-Tua"/>
    <n v="18"/>
    <n v="1922"/>
    <s v="106.8"/>
    <x v="0"/>
    <n v="1.603"/>
    <n v="28862.3"/>
    <n v="28.861999999999998"/>
    <d v="2023-07-01T00:00:00"/>
    <x v="0"/>
    <x v="4"/>
  </r>
  <r>
    <x v="11"/>
    <x v="7"/>
    <s v="Agustus"/>
    <s v="Division_A"/>
    <x v="2"/>
    <n v="2005"/>
    <n v="18"/>
    <s v="TM-Tua"/>
    <n v="18"/>
    <n v="1922"/>
    <s v="106.8"/>
    <x v="0"/>
    <n v="1.6859999999999999"/>
    <n v="30349.1"/>
    <n v="30.349"/>
    <d v="2023-08-01T00:00:00"/>
    <x v="0"/>
    <x v="4"/>
  </r>
  <r>
    <x v="11"/>
    <x v="8"/>
    <s v="September"/>
    <s v="Division_A"/>
    <x v="2"/>
    <n v="2005"/>
    <n v="18"/>
    <s v="TM-Tua"/>
    <n v="18"/>
    <n v="1922"/>
    <s v="106.8"/>
    <x v="0"/>
    <n v="1.7430000000000001"/>
    <n v="31379.4"/>
    <n v="31.379000000000001"/>
    <d v="2023-09-01T00:00:00"/>
    <x v="0"/>
    <x v="4"/>
  </r>
  <r>
    <x v="11"/>
    <x v="9"/>
    <s v="Oktober"/>
    <s v="Division_A"/>
    <x v="2"/>
    <n v="2005"/>
    <n v="18"/>
    <s v="TM-Tua"/>
    <n v="18"/>
    <n v="1922"/>
    <s v="106.8"/>
    <x v="0"/>
    <n v="1.546"/>
    <n v="27831.9"/>
    <n v="27.832000000000001"/>
    <d v="2023-10-01T00:00:00"/>
    <x v="0"/>
    <x v="4"/>
  </r>
  <r>
    <x v="11"/>
    <x v="10"/>
    <s v="November"/>
    <s v="Division_A"/>
    <x v="2"/>
    <n v="2005"/>
    <n v="18"/>
    <s v="TM-Tua"/>
    <n v="18"/>
    <n v="1922"/>
    <s v="106.8"/>
    <x v="0"/>
    <n v="1.2789999999999999"/>
    <n v="23019.4"/>
    <n v="23.018999999999998"/>
    <d v="2023-11-01T00:00:00"/>
    <x v="0"/>
    <x v="4"/>
  </r>
  <r>
    <x v="11"/>
    <x v="11"/>
    <s v="Desember"/>
    <s v="Division_A"/>
    <x v="2"/>
    <n v="2005"/>
    <n v="18"/>
    <s v="TM-Tua"/>
    <n v="18"/>
    <n v="1922"/>
    <s v="106.8"/>
    <x v="0"/>
    <n v="0.61799999999999999"/>
    <n v="11124.9"/>
    <n v="11.125"/>
    <d v="2023-12-01T00:00:00"/>
    <x v="0"/>
    <x v="4"/>
  </r>
  <r>
    <x v="11"/>
    <x v="0"/>
    <s v="Januari"/>
    <s v="Division_A"/>
    <x v="3"/>
    <n v="2005"/>
    <n v="18"/>
    <s v="TM-Tua"/>
    <n v="26"/>
    <n v="2827"/>
    <s v="108.7"/>
    <x v="0"/>
    <n v="0.95399999999999996"/>
    <n v="24803.9"/>
    <n v="24.803999999999998"/>
    <d v="2023-01-01T00:00:00"/>
    <x v="0"/>
    <x v="4"/>
  </r>
  <r>
    <x v="11"/>
    <x v="1"/>
    <s v="Februari"/>
    <s v="Division_A"/>
    <x v="3"/>
    <n v="2005"/>
    <n v="18"/>
    <s v="TM-Tua"/>
    <n v="26"/>
    <n v="2827"/>
    <s v="108.7"/>
    <x v="0"/>
    <n v="1.369"/>
    <n v="35584.9"/>
    <n v="35.585000000000001"/>
    <d v="2023-02-01T00:00:00"/>
    <x v="0"/>
    <x v="4"/>
  </r>
  <r>
    <x v="11"/>
    <x v="2"/>
    <s v="Maret"/>
    <s v="Division_A"/>
    <x v="3"/>
    <n v="2005"/>
    <n v="18"/>
    <s v="TM-Tua"/>
    <n v="26"/>
    <n v="2827"/>
    <s v="108.7"/>
    <x v="0"/>
    <n v="1.589"/>
    <n v="41320.6"/>
    <n v="41.320999999999998"/>
    <d v="2023-03-01T00:00:00"/>
    <x v="0"/>
    <x v="4"/>
  </r>
  <r>
    <x v="11"/>
    <x v="3"/>
    <s v="April"/>
    <s v="Division_A"/>
    <x v="3"/>
    <n v="2005"/>
    <n v="18"/>
    <s v="TM-Tua"/>
    <n v="26"/>
    <n v="2827"/>
    <s v="108.7"/>
    <x v="0"/>
    <n v="1.615"/>
    <n v="41992.1"/>
    <n v="41.991999999999997"/>
    <d v="2023-04-01T00:00:00"/>
    <x v="0"/>
    <x v="4"/>
  </r>
  <r>
    <x v="11"/>
    <x v="4"/>
    <s v="Mei"/>
    <s v="Division_A"/>
    <x v="3"/>
    <n v="2005"/>
    <n v="18"/>
    <s v="TM-Tua"/>
    <n v="26"/>
    <n v="2827"/>
    <s v="108.7"/>
    <x v="0"/>
    <n v="1.605"/>
    <n v="41723.5"/>
    <n v="41.722999999999999"/>
    <d v="2023-05-01T00:00:00"/>
    <x v="0"/>
    <x v="4"/>
  </r>
  <r>
    <x v="11"/>
    <x v="5"/>
    <s v="Juni"/>
    <s v="Division_A"/>
    <x v="3"/>
    <n v="2005"/>
    <n v="18"/>
    <s v="TM-Tua"/>
    <n v="26"/>
    <n v="2827"/>
    <s v="108.7"/>
    <x v="0"/>
    <n v="1.776"/>
    <n v="46174"/>
    <n v="46.173999999999999"/>
    <d v="2023-06-01T00:00:00"/>
    <x v="0"/>
    <x v="4"/>
  </r>
  <r>
    <x v="11"/>
    <x v="6"/>
    <s v="Juli"/>
    <s v="Division_A"/>
    <x v="3"/>
    <n v="2005"/>
    <n v="18"/>
    <s v="TM-Tua"/>
    <n v="26"/>
    <n v="2827"/>
    <s v="108.7"/>
    <x v="0"/>
    <n v="1.633"/>
    <n v="42452.5"/>
    <n v="42.451999999999998"/>
    <d v="2023-07-01T00:00:00"/>
    <x v="0"/>
    <x v="4"/>
  </r>
  <r>
    <x v="11"/>
    <x v="7"/>
    <s v="Agustus"/>
    <s v="Division_A"/>
    <x v="3"/>
    <n v="2005"/>
    <n v="18"/>
    <s v="TM-Tua"/>
    <n v="26"/>
    <n v="2827"/>
    <s v="108.7"/>
    <x v="0"/>
    <n v="1.7170000000000001"/>
    <n v="44639.3"/>
    <n v="44.639000000000003"/>
    <d v="2023-08-01T00:00:00"/>
    <x v="0"/>
    <x v="4"/>
  </r>
  <r>
    <x v="11"/>
    <x v="8"/>
    <s v="September"/>
    <s v="Division_A"/>
    <x v="3"/>
    <n v="2005"/>
    <n v="18"/>
    <s v="TM-Tua"/>
    <n v="26"/>
    <n v="2827"/>
    <s v="108.7"/>
    <x v="0"/>
    <n v="1.7749999999999999"/>
    <n v="46154.8"/>
    <n v="46.155000000000001"/>
    <d v="2023-09-01T00:00:00"/>
    <x v="0"/>
    <x v="4"/>
  </r>
  <r>
    <x v="11"/>
    <x v="9"/>
    <s v="Oktober"/>
    <s v="Division_A"/>
    <x v="3"/>
    <n v="2005"/>
    <n v="18"/>
    <s v="TM-Tua"/>
    <n v="26"/>
    <n v="2827"/>
    <s v="108.7"/>
    <x v="0"/>
    <n v="1.5740000000000001"/>
    <n v="40937"/>
    <n v="40.936999999999998"/>
    <d v="2023-10-01T00:00:00"/>
    <x v="0"/>
    <x v="4"/>
  </r>
  <r>
    <x v="11"/>
    <x v="10"/>
    <s v="November"/>
    <s v="Division_A"/>
    <x v="3"/>
    <n v="2005"/>
    <n v="18"/>
    <s v="TM-Tua"/>
    <n v="26"/>
    <n v="2827"/>
    <s v="108.7"/>
    <x v="0"/>
    <n v="1.302"/>
    <n v="33858.400000000001"/>
    <n v="33.857999999999997"/>
    <d v="2023-11-01T00:00:00"/>
    <x v="0"/>
    <x v="4"/>
  </r>
  <r>
    <x v="11"/>
    <x v="11"/>
    <s v="Desember"/>
    <s v="Division_A"/>
    <x v="3"/>
    <n v="2005"/>
    <n v="18"/>
    <s v="TM-Tua"/>
    <n v="26"/>
    <n v="2827"/>
    <s v="108.7"/>
    <x v="0"/>
    <n v="0.629"/>
    <n v="16363.3"/>
    <n v="16.363"/>
    <d v="2023-12-01T00:00:00"/>
    <x v="0"/>
    <x v="4"/>
  </r>
  <r>
    <x v="11"/>
    <x v="0"/>
    <s v="Januari"/>
    <s v="Division_A"/>
    <x v="4"/>
    <n v="2005"/>
    <n v="18"/>
    <s v="TM-Tua"/>
    <n v="24"/>
    <n v="1947"/>
    <s v="81.1"/>
    <x v="1"/>
    <n v="0.71199999999999997"/>
    <n v="17082.8"/>
    <n v="17.082999999999998"/>
    <d v="2023-01-01T00:00:00"/>
    <x v="0"/>
    <x v="4"/>
  </r>
  <r>
    <x v="11"/>
    <x v="1"/>
    <s v="Februari"/>
    <s v="Division_A"/>
    <x v="4"/>
    <n v="2005"/>
    <n v="18"/>
    <s v="TM-Tua"/>
    <n v="24"/>
    <n v="1947"/>
    <s v="81.1"/>
    <x v="1"/>
    <n v="1.0209999999999999"/>
    <n v="24507.9"/>
    <n v="24.507999999999999"/>
    <d v="2023-02-01T00:00:00"/>
    <x v="0"/>
    <x v="4"/>
  </r>
  <r>
    <x v="11"/>
    <x v="2"/>
    <s v="Maret"/>
    <s v="Division_A"/>
    <x v="4"/>
    <n v="2005"/>
    <n v="18"/>
    <s v="TM-Tua"/>
    <n v="24"/>
    <n v="1947"/>
    <s v="81.1"/>
    <x v="1"/>
    <n v="1.1859999999999999"/>
    <n v="28458.2"/>
    <n v="28.457999999999998"/>
    <d v="2023-03-01T00:00:00"/>
    <x v="0"/>
    <x v="4"/>
  </r>
  <r>
    <x v="11"/>
    <x v="3"/>
    <s v="April"/>
    <s v="Division_A"/>
    <x v="4"/>
    <n v="2005"/>
    <n v="18"/>
    <s v="TM-Tua"/>
    <n v="24"/>
    <n v="1947"/>
    <s v="81.1"/>
    <x v="1"/>
    <n v="1.2050000000000001"/>
    <n v="28920.6"/>
    <n v="28.920999999999999"/>
    <d v="2023-04-01T00:00:00"/>
    <x v="0"/>
    <x v="4"/>
  </r>
  <r>
    <x v="11"/>
    <x v="4"/>
    <s v="Mei"/>
    <s v="Division_A"/>
    <x v="4"/>
    <n v="2005"/>
    <n v="18"/>
    <s v="TM-Tua"/>
    <n v="24"/>
    <n v="1947"/>
    <s v="81.1"/>
    <x v="1"/>
    <n v="1.1970000000000001"/>
    <n v="28735.599999999999"/>
    <n v="28.736000000000001"/>
    <d v="2023-05-01T00:00:00"/>
    <x v="0"/>
    <x v="4"/>
  </r>
  <r>
    <x v="11"/>
    <x v="5"/>
    <s v="Juni"/>
    <s v="Division_A"/>
    <x v="4"/>
    <n v="2005"/>
    <n v="18"/>
    <s v="TM-Tua"/>
    <n v="24"/>
    <n v="1947"/>
    <s v="81.1"/>
    <x v="1"/>
    <n v="1.325"/>
    <n v="31800.799999999999"/>
    <n v="31.800999999999998"/>
    <d v="2023-06-01T00:00:00"/>
    <x v="0"/>
    <x v="4"/>
  </r>
  <r>
    <x v="11"/>
    <x v="6"/>
    <s v="Juli"/>
    <s v="Division_A"/>
    <x v="4"/>
    <n v="2005"/>
    <n v="18"/>
    <s v="TM-Tua"/>
    <n v="24"/>
    <n v="1947"/>
    <s v="81.1"/>
    <x v="1"/>
    <n v="1.218"/>
    <n v="29237.7"/>
    <n v="29.238"/>
    <d v="2023-07-01T00:00:00"/>
    <x v="0"/>
    <x v="4"/>
  </r>
  <r>
    <x v="11"/>
    <x v="7"/>
    <s v="Agustus"/>
    <s v="Division_A"/>
    <x v="4"/>
    <n v="2005"/>
    <n v="18"/>
    <s v="TM-Tua"/>
    <n v="24"/>
    <n v="1947"/>
    <s v="81.1"/>
    <x v="1"/>
    <n v="1.2809999999999999"/>
    <n v="30743.8"/>
    <n v="30.744"/>
    <d v="2023-08-01T00:00:00"/>
    <x v="0"/>
    <x v="4"/>
  </r>
  <r>
    <x v="11"/>
    <x v="8"/>
    <s v="September"/>
    <s v="Division_A"/>
    <x v="4"/>
    <n v="2005"/>
    <n v="18"/>
    <s v="TM-Tua"/>
    <n v="24"/>
    <n v="1947"/>
    <s v="81.1"/>
    <x v="1"/>
    <n v="1.3240000000000001"/>
    <n v="31787.599999999999"/>
    <n v="31.788"/>
    <d v="2023-09-01T00:00:00"/>
    <x v="0"/>
    <x v="4"/>
  </r>
  <r>
    <x v="11"/>
    <x v="9"/>
    <s v="Oktober"/>
    <s v="Division_A"/>
    <x v="4"/>
    <n v="2005"/>
    <n v="18"/>
    <s v="TM-Tua"/>
    <n v="24"/>
    <n v="1947"/>
    <s v="81.1"/>
    <x v="1"/>
    <n v="1.175"/>
    <n v="28194"/>
    <n v="28.193999999999999"/>
    <d v="2023-10-01T00:00:00"/>
    <x v="0"/>
    <x v="4"/>
  </r>
  <r>
    <x v="11"/>
    <x v="10"/>
    <s v="November"/>
    <s v="Division_A"/>
    <x v="4"/>
    <n v="2005"/>
    <n v="18"/>
    <s v="TM-Tua"/>
    <n v="24"/>
    <n v="1947"/>
    <s v="81.1"/>
    <x v="1"/>
    <n v="0.97199999999999998"/>
    <n v="23318.799999999999"/>
    <n v="23.318999999999999"/>
    <d v="2023-11-01T00:00:00"/>
    <x v="0"/>
    <x v="4"/>
  </r>
  <r>
    <x v="11"/>
    <x v="11"/>
    <s v="Desember"/>
    <s v="Division_A"/>
    <x v="4"/>
    <n v="2005"/>
    <n v="18"/>
    <s v="TM-Tua"/>
    <n v="24"/>
    <n v="1947"/>
    <s v="81.1"/>
    <x v="1"/>
    <n v="0.47"/>
    <n v="11269.7"/>
    <n v="11.27"/>
    <d v="2023-12-01T00:00:00"/>
    <x v="0"/>
    <x v="4"/>
  </r>
  <r>
    <x v="11"/>
    <x v="0"/>
    <s v="Januari"/>
    <s v="Division_A"/>
    <x v="5"/>
    <n v="2006"/>
    <n v="17"/>
    <s v="TM-Tua"/>
    <n v="25"/>
    <n v="2740"/>
    <s v="109.6"/>
    <x v="1"/>
    <n v="0.96199999999999997"/>
    <n v="24040.6"/>
    <n v="24.041"/>
    <d v="2023-01-01T00:00:00"/>
    <x v="0"/>
    <x v="4"/>
  </r>
  <r>
    <x v="11"/>
    <x v="1"/>
    <s v="Februari"/>
    <s v="Division_A"/>
    <x v="5"/>
    <n v="2006"/>
    <n v="17"/>
    <s v="TM-Tua"/>
    <n v="25"/>
    <n v="2740"/>
    <s v="109.6"/>
    <x v="1"/>
    <n v="1.38"/>
    <n v="34489.699999999997"/>
    <n v="34.49"/>
    <d v="2023-02-01T00:00:00"/>
    <x v="0"/>
    <x v="4"/>
  </r>
  <r>
    <x v="11"/>
    <x v="2"/>
    <s v="Maret"/>
    <s v="Division_A"/>
    <x v="5"/>
    <n v="2006"/>
    <n v="17"/>
    <s v="TM-Tua"/>
    <n v="25"/>
    <n v="2740"/>
    <s v="109.6"/>
    <x v="1"/>
    <n v="1.6020000000000001"/>
    <n v="40049"/>
    <n v="40.048999999999999"/>
    <d v="2023-03-01T00:00:00"/>
    <x v="0"/>
    <x v="4"/>
  </r>
  <r>
    <x v="11"/>
    <x v="3"/>
    <s v="April"/>
    <s v="Division_A"/>
    <x v="5"/>
    <n v="2006"/>
    <n v="17"/>
    <s v="TM-Tua"/>
    <n v="25"/>
    <n v="2740"/>
    <s v="109.6"/>
    <x v="1"/>
    <n v="1.6279999999999999"/>
    <n v="40699.800000000003"/>
    <n v="40.700000000000003"/>
    <d v="2023-04-01T00:00:00"/>
    <x v="0"/>
    <x v="4"/>
  </r>
  <r>
    <x v="11"/>
    <x v="4"/>
    <s v="Mei"/>
    <s v="Division_A"/>
    <x v="5"/>
    <n v="2006"/>
    <n v="17"/>
    <s v="TM-Tua"/>
    <n v="25"/>
    <n v="2740"/>
    <s v="109.6"/>
    <x v="1"/>
    <n v="1.6180000000000001"/>
    <n v="40439.5"/>
    <n v="40.439"/>
    <d v="2023-05-01T00:00:00"/>
    <x v="0"/>
    <x v="4"/>
  </r>
  <r>
    <x v="11"/>
    <x v="5"/>
    <s v="Juni"/>
    <s v="Division_A"/>
    <x v="5"/>
    <n v="2006"/>
    <n v="17"/>
    <s v="TM-Tua"/>
    <n v="25"/>
    <n v="2740"/>
    <s v="109.6"/>
    <x v="1"/>
    <n v="1.79"/>
    <n v="44753"/>
    <n v="44.753"/>
    <d v="2023-06-01T00:00:00"/>
    <x v="0"/>
    <x v="4"/>
  </r>
  <r>
    <x v="11"/>
    <x v="6"/>
    <s v="Juli"/>
    <s v="Division_A"/>
    <x v="5"/>
    <n v="2006"/>
    <n v="17"/>
    <s v="TM-Tua"/>
    <n v="25"/>
    <n v="2740"/>
    <s v="109.6"/>
    <x v="1"/>
    <n v="1.6459999999999999"/>
    <n v="41146"/>
    <n v="41.146000000000001"/>
    <d v="2023-07-01T00:00:00"/>
    <x v="0"/>
    <x v="4"/>
  </r>
  <r>
    <x v="11"/>
    <x v="7"/>
    <s v="Agustus"/>
    <s v="Division_A"/>
    <x v="5"/>
    <n v="2006"/>
    <n v="17"/>
    <s v="TM-Tua"/>
    <n v="25"/>
    <n v="2740"/>
    <s v="109.6"/>
    <x v="1"/>
    <n v="1.7310000000000001"/>
    <n v="43265.599999999999"/>
    <n v="43.265999999999998"/>
    <d v="2023-08-01T00:00:00"/>
    <x v="0"/>
    <x v="4"/>
  </r>
  <r>
    <x v="11"/>
    <x v="8"/>
    <s v="September"/>
    <s v="Division_A"/>
    <x v="5"/>
    <n v="2006"/>
    <n v="17"/>
    <s v="TM-Tua"/>
    <n v="25"/>
    <n v="2740"/>
    <s v="109.6"/>
    <x v="1"/>
    <n v="1.7889999999999999"/>
    <n v="44734.400000000001"/>
    <n v="44.734000000000002"/>
    <d v="2023-09-01T00:00:00"/>
    <x v="0"/>
    <x v="4"/>
  </r>
  <r>
    <x v="11"/>
    <x v="9"/>
    <s v="Oktober"/>
    <s v="Division_A"/>
    <x v="5"/>
    <n v="2006"/>
    <n v="17"/>
    <s v="TM-Tua"/>
    <n v="25"/>
    <n v="2740"/>
    <s v="109.6"/>
    <x v="1"/>
    <n v="1.587"/>
    <n v="39677.199999999997"/>
    <n v="39.677"/>
    <d v="2023-10-01T00:00:00"/>
    <x v="0"/>
    <x v="4"/>
  </r>
  <r>
    <x v="11"/>
    <x v="10"/>
    <s v="November"/>
    <s v="Division_A"/>
    <x v="5"/>
    <n v="2006"/>
    <n v="17"/>
    <s v="TM-Tua"/>
    <n v="25"/>
    <n v="2740"/>
    <s v="109.6"/>
    <x v="1"/>
    <n v="1.3129999999999999"/>
    <n v="32816.400000000001"/>
    <n v="32.816000000000003"/>
    <d v="2023-11-01T00:00:00"/>
    <x v="0"/>
    <x v="4"/>
  </r>
  <r>
    <x v="11"/>
    <x v="11"/>
    <s v="Desember"/>
    <s v="Division_A"/>
    <x v="5"/>
    <n v="2006"/>
    <n v="17"/>
    <s v="TM-Tua"/>
    <n v="25"/>
    <n v="2740"/>
    <s v="109.6"/>
    <x v="1"/>
    <n v="0.63400000000000001"/>
    <n v="15859.7"/>
    <n v="15.86"/>
    <d v="2023-12-01T00:00:00"/>
    <x v="0"/>
    <x v="4"/>
  </r>
  <r>
    <x v="11"/>
    <x v="0"/>
    <s v="Januari"/>
    <s v="Division_A"/>
    <x v="6"/>
    <n v="2006"/>
    <n v="17"/>
    <s v="TM-Tua"/>
    <n v="24"/>
    <n v="3230"/>
    <s v="134.6"/>
    <x v="1"/>
    <n v="1.181"/>
    <n v="28339.8"/>
    <n v="28.34"/>
    <d v="2023-01-01T00:00:00"/>
    <x v="0"/>
    <x v="4"/>
  </r>
  <r>
    <x v="11"/>
    <x v="1"/>
    <s v="Februari"/>
    <s v="Division_A"/>
    <x v="6"/>
    <n v="2006"/>
    <n v="17"/>
    <s v="TM-Tua"/>
    <n v="24"/>
    <n v="3230"/>
    <s v="134.6"/>
    <x v="1"/>
    <n v="1.694"/>
    <n v="40657.599999999999"/>
    <n v="40.658000000000001"/>
    <d v="2023-02-01T00:00:00"/>
    <x v="0"/>
    <x v="4"/>
  </r>
  <r>
    <x v="11"/>
    <x v="2"/>
    <s v="Maret"/>
    <s v="Division_A"/>
    <x v="6"/>
    <n v="2006"/>
    <n v="17"/>
    <s v="TM-Tua"/>
    <n v="24"/>
    <n v="3230"/>
    <s v="134.6"/>
    <x v="1"/>
    <n v="1.9670000000000001"/>
    <n v="47211.1"/>
    <n v="47.210999999999999"/>
    <d v="2023-03-01T00:00:00"/>
    <x v="0"/>
    <x v="4"/>
  </r>
  <r>
    <x v="11"/>
    <x v="3"/>
    <s v="April"/>
    <s v="Division_A"/>
    <x v="6"/>
    <n v="2006"/>
    <n v="17"/>
    <s v="TM-Tua"/>
    <n v="24"/>
    <n v="3230"/>
    <s v="134.6"/>
    <x v="1"/>
    <n v="1.9990000000000001"/>
    <n v="47978.2"/>
    <n v="47.978000000000002"/>
    <d v="2023-04-01T00:00:00"/>
    <x v="0"/>
    <x v="4"/>
  </r>
  <r>
    <x v="11"/>
    <x v="4"/>
    <s v="Mei"/>
    <s v="Division_A"/>
    <x v="6"/>
    <n v="2006"/>
    <n v="17"/>
    <s v="TM-Tua"/>
    <n v="24"/>
    <n v="3230"/>
    <s v="134.6"/>
    <x v="1"/>
    <n v="1.986"/>
    <n v="47671.3"/>
    <n v="47.670999999999999"/>
    <d v="2023-05-01T00:00:00"/>
    <x v="0"/>
    <x v="4"/>
  </r>
  <r>
    <x v="11"/>
    <x v="5"/>
    <s v="Juni"/>
    <s v="Division_A"/>
    <x v="6"/>
    <n v="2006"/>
    <n v="17"/>
    <s v="TM-Tua"/>
    <n v="24"/>
    <n v="3230"/>
    <s v="134.6"/>
    <x v="1"/>
    <n v="2.198"/>
    <n v="52756.3"/>
    <n v="52.756"/>
    <d v="2023-06-01T00:00:00"/>
    <x v="0"/>
    <x v="4"/>
  </r>
  <r>
    <x v="11"/>
    <x v="6"/>
    <s v="Juli"/>
    <s v="Division_A"/>
    <x v="6"/>
    <n v="2006"/>
    <n v="17"/>
    <s v="TM-Tua"/>
    <n v="24"/>
    <n v="3230"/>
    <s v="134.6"/>
    <x v="1"/>
    <n v="2.0209999999999999"/>
    <n v="48504.2"/>
    <n v="48.503999999999998"/>
    <d v="2023-07-01T00:00:00"/>
    <x v="0"/>
    <x v="4"/>
  </r>
  <r>
    <x v="11"/>
    <x v="7"/>
    <s v="Agustus"/>
    <s v="Division_A"/>
    <x v="6"/>
    <n v="2006"/>
    <n v="17"/>
    <s v="TM-Tua"/>
    <n v="24"/>
    <n v="3230"/>
    <s v="134.6"/>
    <x v="1"/>
    <n v="2.125"/>
    <n v="51002.9"/>
    <n v="51.003"/>
    <d v="2023-08-01T00:00:00"/>
    <x v="0"/>
    <x v="4"/>
  </r>
  <r>
    <x v="11"/>
    <x v="8"/>
    <s v="September"/>
    <s v="Division_A"/>
    <x v="6"/>
    <n v="2006"/>
    <n v="17"/>
    <s v="TM-Tua"/>
    <n v="24"/>
    <n v="3230"/>
    <s v="134.6"/>
    <x v="1"/>
    <n v="2.1970000000000001"/>
    <n v="52734.400000000001"/>
    <n v="52.734000000000002"/>
    <d v="2023-09-01T00:00:00"/>
    <x v="0"/>
    <x v="4"/>
  </r>
  <r>
    <x v="11"/>
    <x v="9"/>
    <s v="Oktober"/>
    <s v="Division_A"/>
    <x v="6"/>
    <n v="2006"/>
    <n v="17"/>
    <s v="TM-Tua"/>
    <n v="24"/>
    <n v="3230"/>
    <s v="134.6"/>
    <x v="1"/>
    <n v="1.9490000000000001"/>
    <n v="46772.7"/>
    <n v="46.773000000000003"/>
    <d v="2023-10-01T00:00:00"/>
    <x v="0"/>
    <x v="4"/>
  </r>
  <r>
    <x v="11"/>
    <x v="10"/>
    <s v="November"/>
    <s v="Division_A"/>
    <x v="6"/>
    <n v="2006"/>
    <n v="17"/>
    <s v="TM-Tua"/>
    <n v="24"/>
    <n v="3230"/>
    <s v="134.6"/>
    <x v="1"/>
    <n v="1.6120000000000001"/>
    <n v="38685"/>
    <n v="38.685000000000002"/>
    <d v="2023-11-01T00:00:00"/>
    <x v="0"/>
    <x v="4"/>
  </r>
  <r>
    <x v="11"/>
    <x v="11"/>
    <s v="Desember"/>
    <s v="Division_A"/>
    <x v="6"/>
    <n v="2006"/>
    <n v="17"/>
    <s v="TM-Tua"/>
    <n v="24"/>
    <n v="3230"/>
    <s v="134.6"/>
    <x v="1"/>
    <n v="0.77900000000000003"/>
    <n v="18695.900000000001"/>
    <n v="18.696000000000002"/>
    <d v="2023-12-01T00:00:00"/>
    <x v="0"/>
    <x v="4"/>
  </r>
  <r>
    <x v="11"/>
    <x v="0"/>
    <s v="Januari"/>
    <s v="Division_A"/>
    <x v="7"/>
    <n v="2006"/>
    <n v="17"/>
    <s v="TM-Tua"/>
    <n v="22"/>
    <n v="2447"/>
    <s v="111.2"/>
    <x v="1"/>
    <n v="0.97599999999999998"/>
    <n v="21469.8"/>
    <n v="21.47"/>
    <d v="2023-01-01T00:00:00"/>
    <x v="0"/>
    <x v="4"/>
  </r>
  <r>
    <x v="11"/>
    <x v="1"/>
    <s v="Februari"/>
    <s v="Division_A"/>
    <x v="7"/>
    <n v="2006"/>
    <n v="17"/>
    <s v="TM-Tua"/>
    <n v="22"/>
    <n v="2447"/>
    <s v="111.2"/>
    <x v="1"/>
    <n v="1.4"/>
    <n v="30801.599999999999"/>
    <n v="30.802"/>
    <d v="2023-02-01T00:00:00"/>
    <x v="0"/>
    <x v="4"/>
  </r>
  <r>
    <x v="11"/>
    <x v="2"/>
    <s v="Maret"/>
    <s v="Division_A"/>
    <x v="7"/>
    <n v="2006"/>
    <n v="17"/>
    <s v="TM-Tua"/>
    <n v="22"/>
    <n v="2447"/>
    <s v="111.2"/>
    <x v="1"/>
    <n v="1.6259999999999999"/>
    <n v="35766.400000000001"/>
    <n v="35.765999999999998"/>
    <d v="2023-03-01T00:00:00"/>
    <x v="0"/>
    <x v="4"/>
  </r>
  <r>
    <x v="11"/>
    <x v="3"/>
    <s v="April"/>
    <s v="Division_A"/>
    <x v="7"/>
    <n v="2006"/>
    <n v="17"/>
    <s v="TM-Tua"/>
    <n v="22"/>
    <n v="2447"/>
    <s v="111.2"/>
    <x v="1"/>
    <n v="1.6519999999999999"/>
    <n v="36347.599999999999"/>
    <n v="36.347999999999999"/>
    <d v="2023-04-01T00:00:00"/>
    <x v="0"/>
    <x v="4"/>
  </r>
  <r>
    <x v="11"/>
    <x v="4"/>
    <s v="Mei"/>
    <s v="Division_A"/>
    <x v="7"/>
    <n v="2006"/>
    <n v="17"/>
    <s v="TM-Tua"/>
    <n v="22"/>
    <n v="2447"/>
    <s v="111.2"/>
    <x v="1"/>
    <n v="1.6419999999999999"/>
    <n v="36115.1"/>
    <n v="36.115000000000002"/>
    <d v="2023-05-01T00:00:00"/>
    <x v="0"/>
    <x v="4"/>
  </r>
  <r>
    <x v="11"/>
    <x v="5"/>
    <s v="Juni"/>
    <s v="Division_A"/>
    <x v="7"/>
    <n v="2006"/>
    <n v="17"/>
    <s v="TM-Tua"/>
    <n v="22"/>
    <n v="2447"/>
    <s v="111.2"/>
    <x v="1"/>
    <n v="1.8169999999999999"/>
    <n v="39967.4"/>
    <n v="39.966999999999999"/>
    <d v="2023-06-01T00:00:00"/>
    <x v="0"/>
    <x v="4"/>
  </r>
  <r>
    <x v="11"/>
    <x v="6"/>
    <s v="Juli"/>
    <s v="Division_A"/>
    <x v="7"/>
    <n v="2006"/>
    <n v="17"/>
    <s v="TM-Tua"/>
    <n v="22"/>
    <n v="2447"/>
    <s v="111.2"/>
    <x v="1"/>
    <n v="1.67"/>
    <n v="36746.1"/>
    <n v="36.746000000000002"/>
    <d v="2023-07-01T00:00:00"/>
    <x v="0"/>
    <x v="4"/>
  </r>
  <r>
    <x v="11"/>
    <x v="7"/>
    <s v="Agustus"/>
    <s v="Division_A"/>
    <x v="7"/>
    <n v="2006"/>
    <n v="17"/>
    <s v="TM-Tua"/>
    <n v="22"/>
    <n v="2447"/>
    <s v="111.2"/>
    <x v="1"/>
    <n v="1.756"/>
    <n v="38639"/>
    <n v="38.639000000000003"/>
    <d v="2023-08-01T00:00:00"/>
    <x v="0"/>
    <x v="4"/>
  </r>
  <r>
    <x v="11"/>
    <x v="8"/>
    <s v="September"/>
    <s v="Division_A"/>
    <x v="7"/>
    <n v="2006"/>
    <n v="17"/>
    <s v="TM-Tua"/>
    <n v="22"/>
    <n v="2447"/>
    <s v="111.2"/>
    <x v="1"/>
    <n v="1.8160000000000001"/>
    <n v="39950.800000000003"/>
    <n v="39.951000000000001"/>
    <d v="2023-09-01T00:00:00"/>
    <x v="0"/>
    <x v="4"/>
  </r>
  <r>
    <x v="11"/>
    <x v="9"/>
    <s v="Oktober"/>
    <s v="Division_A"/>
    <x v="7"/>
    <n v="2006"/>
    <n v="17"/>
    <s v="TM-Tua"/>
    <n v="22"/>
    <n v="2447"/>
    <s v="111.2"/>
    <x v="1"/>
    <n v="1.611"/>
    <n v="35434.300000000003"/>
    <n v="35.433999999999997"/>
    <d v="2023-10-01T00:00:00"/>
    <x v="0"/>
    <x v="4"/>
  </r>
  <r>
    <x v="11"/>
    <x v="10"/>
    <s v="November"/>
    <s v="Division_A"/>
    <x v="7"/>
    <n v="2006"/>
    <n v="17"/>
    <s v="TM-Tua"/>
    <n v="22"/>
    <n v="2447"/>
    <s v="111.2"/>
    <x v="1"/>
    <n v="1.3320000000000001"/>
    <n v="29307.200000000001"/>
    <n v="29.306999999999999"/>
    <d v="2023-11-01T00:00:00"/>
    <x v="0"/>
    <x v="4"/>
  </r>
  <r>
    <x v="11"/>
    <x v="11"/>
    <s v="Desember"/>
    <s v="Division_A"/>
    <x v="7"/>
    <n v="2006"/>
    <n v="17"/>
    <s v="TM-Tua"/>
    <n v="22"/>
    <n v="2447"/>
    <s v="111.2"/>
    <x v="1"/>
    <n v="0.64400000000000002"/>
    <n v="14163.8"/>
    <n v="14.164"/>
    <d v="2023-12-01T00:00:00"/>
    <x v="0"/>
    <x v="4"/>
  </r>
  <r>
    <x v="11"/>
    <x v="0"/>
    <s v="Januari"/>
    <s v="Division_A"/>
    <x v="8"/>
    <n v="2006"/>
    <n v="17"/>
    <s v="TM-Tua"/>
    <n v="15"/>
    <n v="1866"/>
    <s v="124.4"/>
    <x v="1"/>
    <n v="1.091"/>
    <n v="16372.2"/>
    <n v="16.372"/>
    <d v="2023-01-01T00:00:00"/>
    <x v="0"/>
    <x v="4"/>
  </r>
  <r>
    <x v="11"/>
    <x v="1"/>
    <s v="Februari"/>
    <s v="Division_A"/>
    <x v="8"/>
    <n v="2006"/>
    <n v="17"/>
    <s v="TM-Tua"/>
    <n v="15"/>
    <n v="1866"/>
    <s v="124.4"/>
    <x v="1"/>
    <n v="1.5660000000000001"/>
    <n v="23488.3"/>
    <n v="23.488"/>
    <d v="2023-02-01T00:00:00"/>
    <x v="0"/>
    <x v="4"/>
  </r>
  <r>
    <x v="11"/>
    <x v="2"/>
    <s v="Maret"/>
    <s v="Division_A"/>
    <x v="8"/>
    <n v="2006"/>
    <n v="17"/>
    <s v="TM-Tua"/>
    <n v="15"/>
    <n v="1866"/>
    <s v="124.4"/>
    <x v="1"/>
    <n v="1.8180000000000001"/>
    <n v="27274.3"/>
    <n v="27.274000000000001"/>
    <d v="2023-03-01T00:00:00"/>
    <x v="0"/>
    <x v="4"/>
  </r>
  <r>
    <x v="11"/>
    <x v="3"/>
    <s v="April"/>
    <s v="Division_A"/>
    <x v="8"/>
    <n v="2006"/>
    <n v="17"/>
    <s v="TM-Tua"/>
    <n v="15"/>
    <n v="1866"/>
    <s v="124.4"/>
    <x v="1"/>
    <n v="1.8480000000000001"/>
    <n v="27717.4"/>
    <n v="27.716999999999999"/>
    <d v="2023-04-01T00:00:00"/>
    <x v="0"/>
    <x v="4"/>
  </r>
  <r>
    <x v="11"/>
    <x v="4"/>
    <s v="Mei"/>
    <s v="Division_A"/>
    <x v="8"/>
    <n v="2006"/>
    <n v="17"/>
    <s v="TM-Tua"/>
    <n v="15"/>
    <n v="1866"/>
    <s v="124.4"/>
    <x v="1"/>
    <n v="1.8360000000000001"/>
    <n v="27540.2"/>
    <n v="27.54"/>
    <d v="2023-05-01T00:00:00"/>
    <x v="0"/>
    <x v="4"/>
  </r>
  <r>
    <x v="11"/>
    <x v="5"/>
    <s v="Juni"/>
    <s v="Division_A"/>
    <x v="8"/>
    <n v="2006"/>
    <n v="17"/>
    <s v="TM-Tua"/>
    <n v="15"/>
    <n v="1866"/>
    <s v="124.4"/>
    <x v="1"/>
    <n v="2.032"/>
    <n v="30477.8"/>
    <n v="30.478000000000002"/>
    <d v="2023-06-01T00:00:00"/>
    <x v="0"/>
    <x v="4"/>
  </r>
  <r>
    <x v="11"/>
    <x v="6"/>
    <s v="Juli"/>
    <s v="Division_A"/>
    <x v="8"/>
    <n v="2006"/>
    <n v="17"/>
    <s v="TM-Tua"/>
    <n v="15"/>
    <n v="1866"/>
    <s v="124.4"/>
    <x v="1"/>
    <n v="1.8680000000000001"/>
    <n v="28021.3"/>
    <n v="28.021000000000001"/>
    <d v="2023-07-01T00:00:00"/>
    <x v="0"/>
    <x v="4"/>
  </r>
  <r>
    <x v="11"/>
    <x v="7"/>
    <s v="Agustus"/>
    <s v="Division_A"/>
    <x v="8"/>
    <n v="2006"/>
    <n v="17"/>
    <s v="TM-Tua"/>
    <n v="15"/>
    <n v="1866"/>
    <s v="124.4"/>
    <x v="1"/>
    <n v="1.964"/>
    <n v="29464.799999999999"/>
    <n v="29.465"/>
    <d v="2023-08-01T00:00:00"/>
    <x v="0"/>
    <x v="4"/>
  </r>
  <r>
    <x v="11"/>
    <x v="8"/>
    <s v="September"/>
    <s v="Division_A"/>
    <x v="8"/>
    <n v="2006"/>
    <n v="17"/>
    <s v="TM-Tua"/>
    <n v="15"/>
    <n v="1866"/>
    <s v="124.4"/>
    <x v="1"/>
    <n v="2.0310000000000001"/>
    <n v="30465.1"/>
    <n v="30.465"/>
    <d v="2023-09-01T00:00:00"/>
    <x v="0"/>
    <x v="4"/>
  </r>
  <r>
    <x v="11"/>
    <x v="9"/>
    <s v="Oktober"/>
    <s v="Division_A"/>
    <x v="8"/>
    <n v="2006"/>
    <n v="17"/>
    <s v="TM-Tua"/>
    <n v="15"/>
    <n v="1866"/>
    <s v="124.4"/>
    <x v="1"/>
    <n v="1.8009999999999999"/>
    <n v="27021"/>
    <n v="27.021000000000001"/>
    <d v="2023-10-01T00:00:00"/>
    <x v="0"/>
    <x v="4"/>
  </r>
  <r>
    <x v="11"/>
    <x v="10"/>
    <s v="November"/>
    <s v="Division_A"/>
    <x v="8"/>
    <n v="2006"/>
    <n v="17"/>
    <s v="TM-Tua"/>
    <n v="15"/>
    <n v="1866"/>
    <s v="124.4"/>
    <x v="1"/>
    <n v="1.49"/>
    <n v="22348.7"/>
    <n v="22.349"/>
    <d v="2023-11-01T00:00:00"/>
    <x v="0"/>
    <x v="4"/>
  </r>
  <r>
    <x v="11"/>
    <x v="11"/>
    <s v="Desember"/>
    <s v="Division_A"/>
    <x v="8"/>
    <n v="2006"/>
    <n v="17"/>
    <s v="TM-Tua"/>
    <n v="15"/>
    <n v="1866"/>
    <s v="124.4"/>
    <x v="1"/>
    <n v="0.72"/>
    <n v="10800.8"/>
    <n v="10.801"/>
    <d v="2023-12-01T00:00:00"/>
    <x v="0"/>
    <x v="4"/>
  </r>
  <r>
    <x v="11"/>
    <x v="0"/>
    <s v="Januari"/>
    <s v="Division_A"/>
    <x v="9"/>
    <n v="2006"/>
    <n v="17"/>
    <s v="TM-Tua"/>
    <n v="25"/>
    <n v="3154"/>
    <s v="126.2"/>
    <x v="1"/>
    <n v="1.107"/>
    <n v="27673"/>
    <n v="27.672999999999998"/>
    <d v="2023-01-01T00:00:00"/>
    <x v="0"/>
    <x v="4"/>
  </r>
  <r>
    <x v="11"/>
    <x v="1"/>
    <s v="Februari"/>
    <s v="Division_A"/>
    <x v="9"/>
    <n v="2006"/>
    <n v="17"/>
    <s v="TM-Tua"/>
    <n v="25"/>
    <n v="3154"/>
    <s v="126.2"/>
    <x v="1"/>
    <n v="1.5880000000000001"/>
    <n v="39701"/>
    <n v="39.701000000000001"/>
    <d v="2023-02-01T00:00:00"/>
    <x v="0"/>
    <x v="4"/>
  </r>
  <r>
    <x v="11"/>
    <x v="2"/>
    <s v="Maret"/>
    <s v="Division_A"/>
    <x v="9"/>
    <n v="2006"/>
    <n v="17"/>
    <s v="TM-Tua"/>
    <n v="25"/>
    <n v="3154"/>
    <s v="126.2"/>
    <x v="1"/>
    <n v="1.8440000000000001"/>
    <n v="46100.2"/>
    <n v="46.1"/>
    <d v="2023-03-01T00:00:00"/>
    <x v="0"/>
    <x v="4"/>
  </r>
  <r>
    <x v="11"/>
    <x v="3"/>
    <s v="April"/>
    <s v="Division_A"/>
    <x v="9"/>
    <n v="2006"/>
    <n v="17"/>
    <s v="TM-Tua"/>
    <n v="25"/>
    <n v="3154"/>
    <s v="126.2"/>
    <x v="1"/>
    <n v="1.8740000000000001"/>
    <n v="46849.3"/>
    <n v="46.848999999999997"/>
    <d v="2023-04-01T00:00:00"/>
    <x v="0"/>
    <x v="4"/>
  </r>
  <r>
    <x v="11"/>
    <x v="4"/>
    <s v="Mei"/>
    <s v="Division_A"/>
    <x v="9"/>
    <n v="2006"/>
    <n v="17"/>
    <s v="TM-Tua"/>
    <n v="25"/>
    <n v="3154"/>
    <s v="126.2"/>
    <x v="1"/>
    <n v="1.8620000000000001"/>
    <n v="46549.7"/>
    <n v="46.55"/>
    <d v="2023-05-01T00:00:00"/>
    <x v="0"/>
    <x v="4"/>
  </r>
  <r>
    <x v="11"/>
    <x v="5"/>
    <s v="Juni"/>
    <s v="Division_A"/>
    <x v="9"/>
    <n v="2006"/>
    <n v="17"/>
    <s v="TM-Tua"/>
    <n v="25"/>
    <n v="3154"/>
    <s v="126.2"/>
    <x v="1"/>
    <n v="2.0609999999999999"/>
    <n v="51515"/>
    <n v="51.515000000000001"/>
    <d v="2023-06-01T00:00:00"/>
    <x v="0"/>
    <x v="4"/>
  </r>
  <r>
    <x v="11"/>
    <x v="6"/>
    <s v="Juli"/>
    <s v="Division_A"/>
    <x v="9"/>
    <n v="2006"/>
    <n v="17"/>
    <s v="TM-Tua"/>
    <n v="25"/>
    <n v="3154"/>
    <s v="126.2"/>
    <x v="1"/>
    <n v="1.895"/>
    <n v="47362.9"/>
    <n v="47.363"/>
    <d v="2023-07-01T00:00:00"/>
    <x v="0"/>
    <x v="4"/>
  </r>
  <r>
    <x v="11"/>
    <x v="7"/>
    <s v="Agustus"/>
    <s v="Division_A"/>
    <x v="9"/>
    <n v="2006"/>
    <n v="17"/>
    <s v="TM-Tua"/>
    <n v="25"/>
    <n v="3154"/>
    <s v="126.2"/>
    <x v="1"/>
    <n v="1.992"/>
    <n v="49802.8"/>
    <n v="49.802999999999997"/>
    <d v="2023-08-01T00:00:00"/>
    <x v="0"/>
    <x v="4"/>
  </r>
  <r>
    <x v="11"/>
    <x v="8"/>
    <s v="September"/>
    <s v="Division_A"/>
    <x v="9"/>
    <n v="2006"/>
    <n v="17"/>
    <s v="TM-Tua"/>
    <n v="25"/>
    <n v="3154"/>
    <s v="126.2"/>
    <x v="1"/>
    <n v="2.06"/>
    <n v="51493.599999999999"/>
    <n v="51.494"/>
    <d v="2023-09-01T00:00:00"/>
    <x v="0"/>
    <x v="4"/>
  </r>
  <r>
    <x v="11"/>
    <x v="9"/>
    <s v="Oktober"/>
    <s v="Division_A"/>
    <x v="9"/>
    <n v="2006"/>
    <n v="17"/>
    <s v="TM-Tua"/>
    <n v="25"/>
    <n v="3154"/>
    <s v="126.2"/>
    <x v="1"/>
    <n v="1.827"/>
    <n v="45672.2"/>
    <n v="45.671999999999997"/>
    <d v="2023-10-01T00:00:00"/>
    <x v="0"/>
    <x v="4"/>
  </r>
  <r>
    <x v="11"/>
    <x v="10"/>
    <s v="November"/>
    <s v="Division_A"/>
    <x v="9"/>
    <n v="2006"/>
    <n v="17"/>
    <s v="TM-Tua"/>
    <n v="25"/>
    <n v="3154"/>
    <s v="126.2"/>
    <x v="1"/>
    <n v="1.5109999999999999"/>
    <n v="37774.800000000003"/>
    <n v="37.774999999999999"/>
    <d v="2023-11-01T00:00:00"/>
    <x v="0"/>
    <x v="4"/>
  </r>
  <r>
    <x v="11"/>
    <x v="11"/>
    <s v="Desember"/>
    <s v="Division_A"/>
    <x v="9"/>
    <n v="2006"/>
    <n v="17"/>
    <s v="TM-Tua"/>
    <n v="25"/>
    <n v="3154"/>
    <s v="126.2"/>
    <x v="1"/>
    <n v="0.73"/>
    <n v="18256"/>
    <n v="18.256"/>
    <d v="2023-12-01T00:00:00"/>
    <x v="0"/>
    <x v="4"/>
  </r>
  <r>
    <x v="11"/>
    <x v="0"/>
    <s v="Januari"/>
    <s v="Division_A"/>
    <x v="10"/>
    <n v="2006"/>
    <n v="17"/>
    <s v="TM-Tua"/>
    <n v="35"/>
    <n v="4204"/>
    <s v="120.1"/>
    <x v="1"/>
    <n v="1.054"/>
    <n v="36885.599999999999"/>
    <n v="36.886000000000003"/>
    <d v="2023-01-01T00:00:00"/>
    <x v="0"/>
    <x v="4"/>
  </r>
  <r>
    <x v="11"/>
    <x v="1"/>
    <s v="Februari"/>
    <s v="Division_A"/>
    <x v="10"/>
    <n v="2006"/>
    <n v="17"/>
    <s v="TM-Tua"/>
    <n v="35"/>
    <n v="4204"/>
    <s v="120.1"/>
    <x v="1"/>
    <n v="1.512"/>
    <n v="52917.8"/>
    <n v="52.917999999999999"/>
    <d v="2023-02-01T00:00:00"/>
    <x v="0"/>
    <x v="4"/>
  </r>
  <r>
    <x v="11"/>
    <x v="2"/>
    <s v="Maret"/>
    <s v="Division_A"/>
    <x v="10"/>
    <n v="2006"/>
    <n v="17"/>
    <s v="TM-Tua"/>
    <n v="35"/>
    <n v="4204"/>
    <s v="120.1"/>
    <x v="1"/>
    <n v="1.756"/>
    <n v="61447.5"/>
    <n v="61.447000000000003"/>
    <d v="2023-03-01T00:00:00"/>
    <x v="0"/>
    <x v="4"/>
  </r>
  <r>
    <x v="11"/>
    <x v="3"/>
    <s v="April"/>
    <s v="Division_A"/>
    <x v="10"/>
    <n v="2006"/>
    <n v="17"/>
    <s v="TM-Tua"/>
    <n v="35"/>
    <n v="4204"/>
    <s v="120.1"/>
    <x v="1"/>
    <n v="1.784"/>
    <n v="62445.9"/>
    <n v="62.445999999999998"/>
    <d v="2023-04-01T00:00:00"/>
    <x v="0"/>
    <x v="4"/>
  </r>
  <r>
    <x v="11"/>
    <x v="4"/>
    <s v="Mei"/>
    <s v="Division_A"/>
    <x v="10"/>
    <n v="2006"/>
    <n v="17"/>
    <s v="TM-Tua"/>
    <n v="35"/>
    <n v="4204"/>
    <s v="120.1"/>
    <x v="1"/>
    <n v="1.7729999999999999"/>
    <n v="62046.5"/>
    <n v="62.046999999999997"/>
    <d v="2023-05-01T00:00:00"/>
    <x v="0"/>
    <x v="4"/>
  </r>
  <r>
    <x v="11"/>
    <x v="5"/>
    <s v="Juni"/>
    <s v="Division_A"/>
    <x v="10"/>
    <n v="2006"/>
    <n v="17"/>
    <s v="TM-Tua"/>
    <n v="35"/>
    <n v="4204"/>
    <s v="120.1"/>
    <x v="1"/>
    <n v="1.962"/>
    <n v="68664.800000000003"/>
    <n v="68.665000000000006"/>
    <d v="2023-06-01T00:00:00"/>
    <x v="0"/>
    <x v="4"/>
  </r>
  <r>
    <x v="11"/>
    <x v="6"/>
    <s v="Juli"/>
    <s v="Division_A"/>
    <x v="10"/>
    <n v="2006"/>
    <n v="17"/>
    <s v="TM-Tua"/>
    <n v="35"/>
    <n v="4204"/>
    <s v="120.1"/>
    <x v="1"/>
    <n v="1.804"/>
    <n v="63130.6"/>
    <n v="63.131"/>
    <d v="2023-07-01T00:00:00"/>
    <x v="0"/>
    <x v="4"/>
  </r>
  <r>
    <x v="11"/>
    <x v="7"/>
    <s v="Agustus"/>
    <s v="Division_A"/>
    <x v="10"/>
    <n v="2006"/>
    <n v="17"/>
    <s v="TM-Tua"/>
    <n v="35"/>
    <n v="4204"/>
    <s v="120.1"/>
    <x v="1"/>
    <n v="1.897"/>
    <n v="66382.7"/>
    <n v="66.382999999999996"/>
    <d v="2023-08-01T00:00:00"/>
    <x v="0"/>
    <x v="4"/>
  </r>
  <r>
    <x v="11"/>
    <x v="8"/>
    <s v="September"/>
    <s v="Division_A"/>
    <x v="10"/>
    <n v="2006"/>
    <n v="17"/>
    <s v="TM-Tua"/>
    <n v="35"/>
    <n v="4204"/>
    <s v="120.1"/>
    <x v="1"/>
    <n v="1.9610000000000001"/>
    <n v="68636.3"/>
    <n v="68.635999999999996"/>
    <d v="2023-09-01T00:00:00"/>
    <x v="0"/>
    <x v="4"/>
  </r>
  <r>
    <x v="11"/>
    <x v="9"/>
    <s v="Oktober"/>
    <s v="Division_A"/>
    <x v="10"/>
    <n v="2006"/>
    <n v="17"/>
    <s v="TM-Tua"/>
    <n v="35"/>
    <n v="4204"/>
    <s v="120.1"/>
    <x v="1"/>
    <n v="1.7390000000000001"/>
    <n v="60876.9"/>
    <n v="60.877000000000002"/>
    <d v="2023-10-01T00:00:00"/>
    <x v="0"/>
    <x v="4"/>
  </r>
  <r>
    <x v="11"/>
    <x v="10"/>
    <s v="November"/>
    <s v="Division_A"/>
    <x v="10"/>
    <n v="2006"/>
    <n v="17"/>
    <s v="TM-Tua"/>
    <n v="35"/>
    <n v="4204"/>
    <s v="120.1"/>
    <x v="1"/>
    <n v="1.4390000000000001"/>
    <n v="50350.400000000001"/>
    <n v="50.35"/>
    <d v="2023-11-01T00:00:00"/>
    <x v="0"/>
    <x v="4"/>
  </r>
  <r>
    <x v="11"/>
    <x v="11"/>
    <s v="Desember"/>
    <s v="Division_A"/>
    <x v="10"/>
    <n v="2006"/>
    <n v="17"/>
    <s v="TM-Tua"/>
    <n v="35"/>
    <n v="4204"/>
    <s v="120.1"/>
    <x v="1"/>
    <n v="0.69499999999999995"/>
    <n v="24333.7"/>
    <n v="24.334"/>
    <d v="2023-12-01T00:00:00"/>
    <x v="0"/>
    <x v="4"/>
  </r>
  <r>
    <x v="11"/>
    <x v="0"/>
    <s v="Januari"/>
    <s v="Division_A"/>
    <x v="11"/>
    <n v="2012"/>
    <n v="11"/>
    <s v="TM-Utama"/>
    <n v="10"/>
    <n v="1434"/>
    <s v="143.4"/>
    <x v="1"/>
    <n v="1.391"/>
    <n v="13906.2"/>
    <n v="13.906000000000001"/>
    <d v="2023-01-01T00:00:00"/>
    <x v="0"/>
    <x v="0"/>
  </r>
  <r>
    <x v="11"/>
    <x v="1"/>
    <s v="Februari"/>
    <s v="Division_A"/>
    <x v="11"/>
    <n v="2012"/>
    <n v="11"/>
    <s v="TM-Utama"/>
    <n v="10"/>
    <n v="1434"/>
    <s v="143.4"/>
    <x v="1"/>
    <n v="1.9950000000000001"/>
    <n v="19950.5"/>
    <n v="19.951000000000001"/>
    <d v="2023-02-01T00:00:00"/>
    <x v="0"/>
    <x v="0"/>
  </r>
  <r>
    <x v="11"/>
    <x v="2"/>
    <s v="Maret"/>
    <s v="Division_A"/>
    <x v="11"/>
    <n v="2012"/>
    <n v="11"/>
    <s v="TM-Utama"/>
    <n v="10"/>
    <n v="1434"/>
    <s v="143.4"/>
    <x v="1"/>
    <n v="2.3170000000000002"/>
    <n v="23166.3"/>
    <n v="23.166"/>
    <d v="2023-03-01T00:00:00"/>
    <x v="0"/>
    <x v="0"/>
  </r>
  <r>
    <x v="11"/>
    <x v="3"/>
    <s v="April"/>
    <s v="Division_A"/>
    <x v="11"/>
    <n v="2012"/>
    <n v="11"/>
    <s v="TM-Utama"/>
    <n v="10"/>
    <n v="1434"/>
    <s v="143.4"/>
    <x v="1"/>
    <n v="2.3540000000000001"/>
    <n v="23542.7"/>
    <n v="23.542999999999999"/>
    <d v="2023-04-01T00:00:00"/>
    <x v="0"/>
    <x v="0"/>
  </r>
  <r>
    <x v="11"/>
    <x v="4"/>
    <s v="Mei"/>
    <s v="Division_A"/>
    <x v="11"/>
    <n v="2012"/>
    <n v="11"/>
    <s v="TM-Utama"/>
    <n v="10"/>
    <n v="1434"/>
    <s v="143.4"/>
    <x v="1"/>
    <n v="2.339"/>
    <n v="23392.1"/>
    <n v="23.391999999999999"/>
    <d v="2023-05-01T00:00:00"/>
    <x v="0"/>
    <x v="0"/>
  </r>
  <r>
    <x v="11"/>
    <x v="5"/>
    <s v="Juni"/>
    <s v="Division_A"/>
    <x v="11"/>
    <n v="2012"/>
    <n v="11"/>
    <s v="TM-Utama"/>
    <n v="10"/>
    <n v="1434"/>
    <s v="143.4"/>
    <x v="1"/>
    <n v="2.589"/>
    <n v="25887.3"/>
    <n v="25.887"/>
    <d v="2023-06-01T00:00:00"/>
    <x v="0"/>
    <x v="0"/>
  </r>
  <r>
    <x v="11"/>
    <x v="6"/>
    <s v="Juli"/>
    <s v="Division_A"/>
    <x v="11"/>
    <n v="2012"/>
    <n v="11"/>
    <s v="TM-Utama"/>
    <n v="10"/>
    <n v="1434"/>
    <s v="143.4"/>
    <x v="1"/>
    <n v="2.38"/>
    <n v="23800.799999999999"/>
    <n v="23.800999999999998"/>
    <d v="2023-07-01T00:00:00"/>
    <x v="0"/>
    <x v="0"/>
  </r>
  <r>
    <x v="11"/>
    <x v="7"/>
    <s v="Agustus"/>
    <s v="Division_A"/>
    <x v="11"/>
    <n v="2012"/>
    <n v="11"/>
    <s v="TM-Utama"/>
    <n v="10"/>
    <n v="1434"/>
    <s v="143.4"/>
    <x v="1"/>
    <n v="2.5030000000000001"/>
    <n v="25026.9"/>
    <n v="25.027000000000001"/>
    <d v="2023-08-01T00:00:00"/>
    <x v="0"/>
    <x v="0"/>
  </r>
  <r>
    <x v="11"/>
    <x v="8"/>
    <s v="September"/>
    <s v="Division_A"/>
    <x v="11"/>
    <n v="2012"/>
    <n v="11"/>
    <s v="TM-Utama"/>
    <n v="10"/>
    <n v="1434"/>
    <s v="143.4"/>
    <x v="1"/>
    <n v="2.5880000000000001"/>
    <n v="25876.5"/>
    <n v="25.876999999999999"/>
    <d v="2023-09-01T00:00:00"/>
    <x v="0"/>
    <x v="0"/>
  </r>
  <r>
    <x v="11"/>
    <x v="9"/>
    <s v="Oktober"/>
    <s v="Division_A"/>
    <x v="11"/>
    <n v="2012"/>
    <n v="11"/>
    <s v="TM-Utama"/>
    <n v="10"/>
    <n v="1434"/>
    <s v="143.4"/>
    <x v="1"/>
    <n v="2.2949999999999999"/>
    <n v="22951.200000000001"/>
    <n v="22.951000000000001"/>
    <d v="2023-10-01T00:00:00"/>
    <x v="0"/>
    <x v="0"/>
  </r>
  <r>
    <x v="11"/>
    <x v="10"/>
    <s v="November"/>
    <s v="Division_A"/>
    <x v="11"/>
    <n v="2012"/>
    <n v="11"/>
    <s v="TM-Utama"/>
    <n v="10"/>
    <n v="1434"/>
    <s v="143.4"/>
    <x v="1"/>
    <n v="1.8979999999999999"/>
    <n v="18982.599999999999"/>
    <n v="18.983000000000001"/>
    <d v="2023-11-01T00:00:00"/>
    <x v="0"/>
    <x v="0"/>
  </r>
  <r>
    <x v="11"/>
    <x v="11"/>
    <s v="Desember"/>
    <s v="Division_A"/>
    <x v="11"/>
    <n v="2012"/>
    <n v="11"/>
    <s v="TM-Utama"/>
    <n v="10"/>
    <n v="1434"/>
    <s v="143.4"/>
    <x v="1"/>
    <n v="0.91700000000000004"/>
    <n v="9174"/>
    <n v="9.1739999999999995"/>
    <d v="2023-12-01T00:00:00"/>
    <x v="0"/>
    <x v="0"/>
  </r>
  <r>
    <x v="11"/>
    <x v="0"/>
    <s v="Januari"/>
    <s v="Division_A"/>
    <x v="12"/>
    <n v="2012"/>
    <n v="11"/>
    <s v="TM-Utama"/>
    <n v="24"/>
    <n v="3074"/>
    <s v="128.1"/>
    <x v="2"/>
    <n v="1.242"/>
    <n v="29810.1"/>
    <n v="29.81"/>
    <d v="2023-01-01T00:00:00"/>
    <x v="0"/>
    <x v="0"/>
  </r>
  <r>
    <x v="11"/>
    <x v="1"/>
    <s v="Februari"/>
    <s v="Division_A"/>
    <x v="12"/>
    <n v="2012"/>
    <n v="11"/>
    <s v="TM-Utama"/>
    <n v="24"/>
    <n v="3074"/>
    <s v="128.1"/>
    <x v="2"/>
    <n v="1.782"/>
    <n v="42767"/>
    <n v="42.767000000000003"/>
    <d v="2023-02-01T00:00:00"/>
    <x v="0"/>
    <x v="0"/>
  </r>
  <r>
    <x v="11"/>
    <x v="2"/>
    <s v="Maret"/>
    <s v="Division_A"/>
    <x v="12"/>
    <n v="2012"/>
    <n v="11"/>
    <s v="TM-Utama"/>
    <n v="24"/>
    <n v="3074"/>
    <s v="128.1"/>
    <x v="2"/>
    <n v="2.069"/>
    <n v="49660.5"/>
    <n v="49.66"/>
    <d v="2023-03-01T00:00:00"/>
    <x v="0"/>
    <x v="0"/>
  </r>
  <r>
    <x v="11"/>
    <x v="3"/>
    <s v="April"/>
    <s v="Division_A"/>
    <x v="12"/>
    <n v="2012"/>
    <n v="11"/>
    <s v="TM-Utama"/>
    <n v="24"/>
    <n v="3074"/>
    <s v="128.1"/>
    <x v="2"/>
    <n v="2.1030000000000002"/>
    <n v="50467.4"/>
    <n v="50.466999999999999"/>
    <d v="2023-04-01T00:00:00"/>
    <x v="0"/>
    <x v="0"/>
  </r>
  <r>
    <x v="11"/>
    <x v="4"/>
    <s v="Mei"/>
    <s v="Division_A"/>
    <x v="12"/>
    <n v="2012"/>
    <n v="11"/>
    <s v="TM-Utama"/>
    <n v="24"/>
    <n v="3074"/>
    <s v="128.1"/>
    <x v="2"/>
    <n v="2.089"/>
    <n v="50144.6"/>
    <n v="50.145000000000003"/>
    <d v="2023-05-01T00:00:00"/>
    <x v="0"/>
    <x v="0"/>
  </r>
  <r>
    <x v="11"/>
    <x v="5"/>
    <s v="Juni"/>
    <s v="Division_A"/>
    <x v="12"/>
    <n v="2012"/>
    <n v="11"/>
    <s v="TM-Utama"/>
    <n v="24"/>
    <n v="3074"/>
    <s v="128.1"/>
    <x v="2"/>
    <n v="2.3119999999999998"/>
    <n v="55493.4"/>
    <n v="55.493000000000002"/>
    <d v="2023-06-01T00:00:00"/>
    <x v="0"/>
    <x v="0"/>
  </r>
  <r>
    <x v="11"/>
    <x v="6"/>
    <s v="Juli"/>
    <s v="Division_A"/>
    <x v="12"/>
    <n v="2012"/>
    <n v="11"/>
    <s v="TM-Utama"/>
    <n v="24"/>
    <n v="3074"/>
    <s v="128.1"/>
    <x v="2"/>
    <n v="2.1259999999999999"/>
    <n v="51020.7"/>
    <n v="51.021000000000001"/>
    <d v="2023-07-01T00:00:00"/>
    <x v="0"/>
    <x v="0"/>
  </r>
  <r>
    <x v="11"/>
    <x v="7"/>
    <s v="Agustus"/>
    <s v="Division_A"/>
    <x v="12"/>
    <n v="2012"/>
    <n v="11"/>
    <s v="TM-Utama"/>
    <n v="24"/>
    <n v="3074"/>
    <s v="128.1"/>
    <x v="2"/>
    <n v="2.2349999999999999"/>
    <n v="53649"/>
    <n v="53.649000000000001"/>
    <d v="2023-08-01T00:00:00"/>
    <x v="0"/>
    <x v="0"/>
  </r>
  <r>
    <x v="11"/>
    <x v="8"/>
    <s v="September"/>
    <s v="Division_A"/>
    <x v="12"/>
    <n v="2012"/>
    <n v="11"/>
    <s v="TM-Utama"/>
    <n v="24"/>
    <n v="3074"/>
    <s v="128.1"/>
    <x v="2"/>
    <n v="2.3109999999999999"/>
    <n v="55470.3"/>
    <n v="55.47"/>
    <d v="2023-09-01T00:00:00"/>
    <x v="0"/>
    <x v="0"/>
  </r>
  <r>
    <x v="11"/>
    <x v="9"/>
    <s v="Oktober"/>
    <s v="Division_A"/>
    <x v="12"/>
    <n v="2012"/>
    <n v="11"/>
    <s v="TM-Utama"/>
    <n v="24"/>
    <n v="3074"/>
    <s v="128.1"/>
    <x v="2"/>
    <n v="2.0499999999999998"/>
    <n v="49199.4"/>
    <n v="49.198999999999998"/>
    <d v="2023-10-01T00:00:00"/>
    <x v="0"/>
    <x v="0"/>
  </r>
  <r>
    <x v="11"/>
    <x v="10"/>
    <s v="November"/>
    <s v="Division_A"/>
    <x v="12"/>
    <n v="2012"/>
    <n v="11"/>
    <s v="TM-Utama"/>
    <n v="24"/>
    <n v="3074"/>
    <s v="128.1"/>
    <x v="2"/>
    <n v="1.696"/>
    <n v="40692.1"/>
    <n v="40.692"/>
    <d v="2023-11-01T00:00:00"/>
    <x v="0"/>
    <x v="0"/>
  </r>
  <r>
    <x v="11"/>
    <x v="11"/>
    <s v="Desember"/>
    <s v="Division_A"/>
    <x v="12"/>
    <n v="2012"/>
    <n v="11"/>
    <s v="TM-Utama"/>
    <n v="24"/>
    <n v="3074"/>
    <s v="128.1"/>
    <x v="2"/>
    <n v="0.81899999999999995"/>
    <n v="19665.900000000001"/>
    <n v="19.666"/>
    <d v="2023-12-01T00:00:00"/>
    <x v="0"/>
    <x v="0"/>
  </r>
  <r>
    <x v="11"/>
    <x v="0"/>
    <s v="Januari"/>
    <s v="Division_A"/>
    <x v="13"/>
    <n v="2012"/>
    <n v="11"/>
    <s v="TM-Utama"/>
    <n v="19"/>
    <n v="2418"/>
    <s v="127.3"/>
    <x v="2"/>
    <n v="1.234"/>
    <n v="23448.6"/>
    <n v="23.449000000000002"/>
    <d v="2023-01-01T00:00:00"/>
    <x v="0"/>
    <x v="0"/>
  </r>
  <r>
    <x v="11"/>
    <x v="1"/>
    <s v="Februari"/>
    <s v="Division_A"/>
    <x v="13"/>
    <n v="2012"/>
    <n v="11"/>
    <s v="TM-Utama"/>
    <n v="19"/>
    <n v="2418"/>
    <s v="127.3"/>
    <x v="2"/>
    <n v="1.7709999999999999"/>
    <n v="33640.400000000001"/>
    <n v="33.64"/>
    <d v="2023-02-01T00:00:00"/>
    <x v="0"/>
    <x v="0"/>
  </r>
  <r>
    <x v="11"/>
    <x v="2"/>
    <s v="Maret"/>
    <s v="Division_A"/>
    <x v="13"/>
    <n v="2012"/>
    <n v="11"/>
    <s v="TM-Utama"/>
    <n v="19"/>
    <n v="2418"/>
    <s v="127.3"/>
    <x v="2"/>
    <n v="2.056"/>
    <n v="39062.800000000003"/>
    <n v="39.063000000000002"/>
    <d v="2023-03-01T00:00:00"/>
    <x v="0"/>
    <x v="0"/>
  </r>
  <r>
    <x v="11"/>
    <x v="3"/>
    <s v="April"/>
    <s v="Division_A"/>
    <x v="13"/>
    <n v="2012"/>
    <n v="11"/>
    <s v="TM-Utama"/>
    <n v="19"/>
    <n v="2418"/>
    <s v="127.3"/>
    <x v="2"/>
    <n v="2.089"/>
    <n v="39697.5"/>
    <n v="39.698"/>
    <d v="2023-04-01T00:00:00"/>
    <x v="0"/>
    <x v="0"/>
  </r>
  <r>
    <x v="11"/>
    <x v="4"/>
    <s v="Mei"/>
    <s v="Division_A"/>
    <x v="13"/>
    <n v="2012"/>
    <n v="11"/>
    <s v="TM-Utama"/>
    <n v="19"/>
    <n v="2418"/>
    <s v="127.3"/>
    <x v="2"/>
    <n v="2.0760000000000001"/>
    <n v="39443.599999999999"/>
    <n v="39.444000000000003"/>
    <d v="2023-05-01T00:00:00"/>
    <x v="0"/>
    <x v="0"/>
  </r>
  <r>
    <x v="11"/>
    <x v="5"/>
    <s v="Juni"/>
    <s v="Division_A"/>
    <x v="13"/>
    <n v="2012"/>
    <n v="11"/>
    <s v="TM-Utama"/>
    <n v="19"/>
    <n v="2418"/>
    <s v="127.3"/>
    <x v="2"/>
    <n v="2.2970000000000002"/>
    <n v="43650.9"/>
    <n v="43.651000000000003"/>
    <d v="2023-06-01T00:00:00"/>
    <x v="0"/>
    <x v="0"/>
  </r>
  <r>
    <x v="11"/>
    <x v="6"/>
    <s v="Juli"/>
    <s v="Division_A"/>
    <x v="13"/>
    <n v="2012"/>
    <n v="11"/>
    <s v="TM-Utama"/>
    <n v="19"/>
    <n v="2418"/>
    <s v="127.3"/>
    <x v="2"/>
    <n v="2.1120000000000001"/>
    <n v="40132.800000000003"/>
    <n v="40.133000000000003"/>
    <d v="2023-07-01T00:00:00"/>
    <x v="0"/>
    <x v="0"/>
  </r>
  <r>
    <x v="11"/>
    <x v="7"/>
    <s v="Agustus"/>
    <s v="Division_A"/>
    <x v="13"/>
    <n v="2012"/>
    <n v="11"/>
    <s v="TM-Utama"/>
    <n v="19"/>
    <n v="2418"/>
    <s v="127.3"/>
    <x v="2"/>
    <n v="2.2210000000000001"/>
    <n v="42200.1"/>
    <n v="42.2"/>
    <d v="2023-08-01T00:00:00"/>
    <x v="0"/>
    <x v="0"/>
  </r>
  <r>
    <x v="11"/>
    <x v="8"/>
    <s v="September"/>
    <s v="Division_A"/>
    <x v="13"/>
    <n v="2012"/>
    <n v="11"/>
    <s v="TM-Utama"/>
    <n v="19"/>
    <n v="2418"/>
    <s v="127.3"/>
    <x v="2"/>
    <n v="2.2959999999999998"/>
    <n v="43632.800000000003"/>
    <n v="43.633000000000003"/>
    <d v="2023-09-01T00:00:00"/>
    <x v="0"/>
    <x v="0"/>
  </r>
  <r>
    <x v="11"/>
    <x v="9"/>
    <s v="Oktober"/>
    <s v="Division_A"/>
    <x v="13"/>
    <n v="2012"/>
    <n v="11"/>
    <s v="TM-Utama"/>
    <n v="19"/>
    <n v="2418"/>
    <s v="127.3"/>
    <x v="2"/>
    <n v="2.0369999999999999"/>
    <n v="38700.1"/>
    <n v="38.700000000000003"/>
    <d v="2023-10-01T00:00:00"/>
    <x v="0"/>
    <x v="0"/>
  </r>
  <r>
    <x v="11"/>
    <x v="10"/>
    <s v="November"/>
    <s v="Division_A"/>
    <x v="13"/>
    <n v="2012"/>
    <n v="11"/>
    <s v="TM-Utama"/>
    <n v="19"/>
    <n v="2418"/>
    <s v="127.3"/>
    <x v="2"/>
    <n v="1.6850000000000001"/>
    <n v="32008.3"/>
    <n v="32.008000000000003"/>
    <d v="2023-11-01T00:00:00"/>
    <x v="0"/>
    <x v="0"/>
  </r>
  <r>
    <x v="11"/>
    <x v="11"/>
    <s v="Desember"/>
    <s v="Division_A"/>
    <x v="13"/>
    <n v="2012"/>
    <n v="11"/>
    <s v="TM-Utama"/>
    <n v="19"/>
    <n v="2418"/>
    <s v="127.3"/>
    <x v="2"/>
    <n v="0.81399999999999995"/>
    <n v="15469.2"/>
    <n v="15.468999999999999"/>
    <d v="2023-12-01T00:00:00"/>
    <x v="0"/>
    <x v="0"/>
  </r>
  <r>
    <x v="11"/>
    <x v="0"/>
    <s v="Januari"/>
    <s v="Division_A"/>
    <x v="14"/>
    <n v="2012"/>
    <n v="11"/>
    <s v="TM-Utama"/>
    <n v="25"/>
    <n v="3205"/>
    <s v="128.2"/>
    <x v="2"/>
    <n v="1.2430000000000001"/>
    <n v="31080.5"/>
    <n v="31.08"/>
    <d v="2023-01-01T00:00:00"/>
    <x v="0"/>
    <x v="0"/>
  </r>
  <r>
    <x v="11"/>
    <x v="1"/>
    <s v="Februari"/>
    <s v="Division_A"/>
    <x v="14"/>
    <n v="2012"/>
    <n v="11"/>
    <s v="TM-Utama"/>
    <n v="25"/>
    <n v="3205"/>
    <s v="128.2"/>
    <x v="2"/>
    <n v="1.784"/>
    <n v="44589.599999999999"/>
    <n v="44.59"/>
    <d v="2023-02-01T00:00:00"/>
    <x v="0"/>
    <x v="0"/>
  </r>
  <r>
    <x v="11"/>
    <x v="2"/>
    <s v="Maret"/>
    <s v="Division_A"/>
    <x v="14"/>
    <n v="2012"/>
    <n v="11"/>
    <s v="TM-Utama"/>
    <n v="25"/>
    <n v="3205"/>
    <s v="128.2"/>
    <x v="2"/>
    <n v="2.0710000000000002"/>
    <n v="51776.800000000003"/>
    <n v="51.777000000000001"/>
    <d v="2023-03-01T00:00:00"/>
    <x v="0"/>
    <x v="0"/>
  </r>
  <r>
    <x v="11"/>
    <x v="3"/>
    <s v="April"/>
    <s v="Division_A"/>
    <x v="14"/>
    <n v="2012"/>
    <n v="11"/>
    <s v="TM-Utama"/>
    <n v="25"/>
    <n v="3205"/>
    <s v="128.2"/>
    <x v="2"/>
    <n v="2.105"/>
    <n v="52618.1"/>
    <n v="52.618000000000002"/>
    <d v="2023-04-01T00:00:00"/>
    <x v="0"/>
    <x v="0"/>
  </r>
  <r>
    <x v="11"/>
    <x v="4"/>
    <s v="Mei"/>
    <s v="Division_A"/>
    <x v="14"/>
    <n v="2012"/>
    <n v="11"/>
    <s v="TM-Utama"/>
    <n v="25"/>
    <n v="3205"/>
    <s v="128.2"/>
    <x v="2"/>
    <n v="2.0910000000000002"/>
    <n v="52281.599999999999"/>
    <n v="52.281999999999996"/>
    <d v="2023-05-01T00:00:00"/>
    <x v="0"/>
    <x v="0"/>
  </r>
  <r>
    <x v="11"/>
    <x v="5"/>
    <s v="Juni"/>
    <s v="Division_A"/>
    <x v="14"/>
    <n v="2012"/>
    <n v="11"/>
    <s v="TM-Utama"/>
    <n v="25"/>
    <n v="3205"/>
    <s v="128.2"/>
    <x v="2"/>
    <n v="2.3140000000000001"/>
    <n v="57858.3"/>
    <n v="57.857999999999997"/>
    <d v="2023-06-01T00:00:00"/>
    <x v="0"/>
    <x v="0"/>
  </r>
  <r>
    <x v="11"/>
    <x v="6"/>
    <s v="Juli"/>
    <s v="Division_A"/>
    <x v="14"/>
    <n v="2012"/>
    <n v="11"/>
    <s v="TM-Utama"/>
    <n v="25"/>
    <n v="3205"/>
    <s v="128.2"/>
    <x v="2"/>
    <n v="2.1280000000000001"/>
    <n v="53195"/>
    <n v="53.195"/>
    <d v="2023-07-01T00:00:00"/>
    <x v="0"/>
    <x v="0"/>
  </r>
  <r>
    <x v="11"/>
    <x v="7"/>
    <s v="Agustus"/>
    <s v="Division_A"/>
    <x v="14"/>
    <n v="2012"/>
    <n v="11"/>
    <s v="TM-Utama"/>
    <n v="25"/>
    <n v="3205"/>
    <s v="128.2"/>
    <x v="2"/>
    <n v="2.2370000000000001"/>
    <n v="55935.3"/>
    <n v="55.935000000000002"/>
    <d v="2023-08-01T00:00:00"/>
    <x v="0"/>
    <x v="0"/>
  </r>
  <r>
    <x v="11"/>
    <x v="8"/>
    <s v="September"/>
    <s v="Division_A"/>
    <x v="14"/>
    <n v="2012"/>
    <n v="11"/>
    <s v="TM-Utama"/>
    <n v="25"/>
    <n v="3205"/>
    <s v="128.2"/>
    <x v="2"/>
    <n v="2.3130000000000002"/>
    <n v="57834.2"/>
    <n v="57.834000000000003"/>
    <d v="2023-09-01T00:00:00"/>
    <x v="0"/>
    <x v="0"/>
  </r>
  <r>
    <x v="11"/>
    <x v="9"/>
    <s v="Oktober"/>
    <s v="Division_A"/>
    <x v="14"/>
    <n v="2012"/>
    <n v="11"/>
    <s v="TM-Utama"/>
    <n v="25"/>
    <n v="3205"/>
    <s v="128.2"/>
    <x v="2"/>
    <n v="2.052"/>
    <n v="51296"/>
    <n v="51.295999999999999"/>
    <d v="2023-10-01T00:00:00"/>
    <x v="0"/>
    <x v="0"/>
  </r>
  <r>
    <x v="11"/>
    <x v="10"/>
    <s v="November"/>
    <s v="Division_A"/>
    <x v="14"/>
    <n v="2012"/>
    <n v="11"/>
    <s v="TM-Utama"/>
    <n v="25"/>
    <n v="3205"/>
    <s v="128.2"/>
    <x v="2"/>
    <n v="1.6970000000000001"/>
    <n v="42426.2"/>
    <n v="42.426000000000002"/>
    <d v="2023-11-01T00:00:00"/>
    <x v="0"/>
    <x v="0"/>
  </r>
  <r>
    <x v="11"/>
    <x v="11"/>
    <s v="Desember"/>
    <s v="Division_A"/>
    <x v="14"/>
    <n v="2012"/>
    <n v="11"/>
    <s v="TM-Utama"/>
    <n v="25"/>
    <n v="3205"/>
    <s v="128.2"/>
    <x v="2"/>
    <n v="0.82"/>
    <n v="20504"/>
    <n v="20.504000000000001"/>
    <d v="2023-12-01T00:00:00"/>
    <x v="0"/>
    <x v="0"/>
  </r>
  <r>
    <x v="11"/>
    <x v="0"/>
    <s v="Januari"/>
    <s v="Division_A"/>
    <x v="15"/>
    <n v="2012"/>
    <n v="11"/>
    <s v="TM-Utama"/>
    <n v="19"/>
    <n v="2469"/>
    <s v="129.9"/>
    <x v="1"/>
    <n v="1.26"/>
    <n v="23943.1"/>
    <n v="23.943000000000001"/>
    <d v="2023-01-01T00:00:00"/>
    <x v="0"/>
    <x v="0"/>
  </r>
  <r>
    <x v="11"/>
    <x v="1"/>
    <s v="Februari"/>
    <s v="Division_A"/>
    <x v="15"/>
    <n v="2012"/>
    <n v="11"/>
    <s v="TM-Utama"/>
    <n v="19"/>
    <n v="2469"/>
    <s v="129.9"/>
    <x v="1"/>
    <n v="1.8080000000000001"/>
    <n v="34350"/>
    <n v="34.35"/>
    <d v="2023-02-01T00:00:00"/>
    <x v="0"/>
    <x v="0"/>
  </r>
  <r>
    <x v="11"/>
    <x v="2"/>
    <s v="Maret"/>
    <s v="Division_A"/>
    <x v="15"/>
    <n v="2012"/>
    <n v="11"/>
    <s v="TM-Utama"/>
    <n v="19"/>
    <n v="2469"/>
    <s v="129.9"/>
    <x v="1"/>
    <n v="2.0990000000000002"/>
    <n v="39886.699999999997"/>
    <n v="39.887"/>
    <d v="2023-03-01T00:00:00"/>
    <x v="0"/>
    <x v="0"/>
  </r>
  <r>
    <x v="11"/>
    <x v="3"/>
    <s v="April"/>
    <s v="Division_A"/>
    <x v="15"/>
    <n v="2012"/>
    <n v="11"/>
    <s v="TM-Utama"/>
    <n v="19"/>
    <n v="2469"/>
    <s v="129.9"/>
    <x v="1"/>
    <n v="2.133"/>
    <n v="40534.800000000003"/>
    <n v="40.534999999999997"/>
    <d v="2023-04-01T00:00:00"/>
    <x v="0"/>
    <x v="0"/>
  </r>
  <r>
    <x v="11"/>
    <x v="4"/>
    <s v="Mei"/>
    <s v="Division_A"/>
    <x v="15"/>
    <n v="2012"/>
    <n v="11"/>
    <s v="TM-Utama"/>
    <n v="19"/>
    <n v="2469"/>
    <s v="129.9"/>
    <x v="1"/>
    <n v="2.12"/>
    <n v="40275.599999999999"/>
    <n v="40.276000000000003"/>
    <d v="2023-05-01T00:00:00"/>
    <x v="0"/>
    <x v="0"/>
  </r>
  <r>
    <x v="11"/>
    <x v="5"/>
    <s v="Juni"/>
    <s v="Division_A"/>
    <x v="15"/>
    <n v="2012"/>
    <n v="11"/>
    <s v="TM-Utama"/>
    <n v="19"/>
    <n v="2469"/>
    <s v="129.9"/>
    <x v="1"/>
    <n v="2.3460000000000001"/>
    <n v="44571.6"/>
    <n v="44.572000000000003"/>
    <d v="2023-06-01T00:00:00"/>
    <x v="0"/>
    <x v="0"/>
  </r>
  <r>
    <x v="11"/>
    <x v="6"/>
    <s v="Juli"/>
    <s v="Division_A"/>
    <x v="15"/>
    <n v="2012"/>
    <n v="11"/>
    <s v="TM-Utama"/>
    <n v="19"/>
    <n v="2469"/>
    <s v="129.9"/>
    <x v="1"/>
    <n v="2.157"/>
    <n v="40979.199999999997"/>
    <n v="40.978999999999999"/>
    <d v="2023-07-01T00:00:00"/>
    <x v="0"/>
    <x v="0"/>
  </r>
  <r>
    <x v="11"/>
    <x v="7"/>
    <s v="Agustus"/>
    <s v="Division_A"/>
    <x v="15"/>
    <n v="2012"/>
    <n v="11"/>
    <s v="TM-Utama"/>
    <n v="19"/>
    <n v="2469"/>
    <s v="129.9"/>
    <x v="1"/>
    <n v="2.2679999999999998"/>
    <n v="43090.2"/>
    <n v="43.09"/>
    <d v="2023-08-01T00:00:00"/>
    <x v="0"/>
    <x v="0"/>
  </r>
  <r>
    <x v="11"/>
    <x v="8"/>
    <s v="September"/>
    <s v="Division_A"/>
    <x v="15"/>
    <n v="2012"/>
    <n v="11"/>
    <s v="TM-Utama"/>
    <n v="19"/>
    <n v="2469"/>
    <s v="129.9"/>
    <x v="1"/>
    <n v="2.3450000000000002"/>
    <n v="44553.1"/>
    <n v="44.552999999999997"/>
    <d v="2023-09-01T00:00:00"/>
    <x v="0"/>
    <x v="0"/>
  </r>
  <r>
    <x v="11"/>
    <x v="9"/>
    <s v="Oktober"/>
    <s v="Division_A"/>
    <x v="15"/>
    <n v="2012"/>
    <n v="11"/>
    <s v="TM-Utama"/>
    <n v="19"/>
    <n v="2469"/>
    <s v="129.9"/>
    <x v="1"/>
    <n v="2.08"/>
    <n v="39516.300000000003"/>
    <n v="39.515999999999998"/>
    <d v="2023-10-01T00:00:00"/>
    <x v="0"/>
    <x v="0"/>
  </r>
  <r>
    <x v="11"/>
    <x v="10"/>
    <s v="November"/>
    <s v="Division_A"/>
    <x v="15"/>
    <n v="2012"/>
    <n v="11"/>
    <s v="TM-Utama"/>
    <n v="19"/>
    <n v="2469"/>
    <s v="129.9"/>
    <x v="1"/>
    <n v="1.72"/>
    <n v="32683.4"/>
    <n v="32.683"/>
    <d v="2023-11-01T00:00:00"/>
    <x v="0"/>
    <x v="0"/>
  </r>
  <r>
    <x v="11"/>
    <x v="11"/>
    <s v="Desember"/>
    <s v="Division_A"/>
    <x v="15"/>
    <n v="2012"/>
    <n v="11"/>
    <s v="TM-Utama"/>
    <n v="19"/>
    <n v="2469"/>
    <s v="129.9"/>
    <x v="1"/>
    <n v="0.83099999999999996"/>
    <n v="15795.4"/>
    <n v="15.795"/>
    <d v="2023-12-01T00:00:00"/>
    <x v="0"/>
    <x v="0"/>
  </r>
  <r>
    <x v="11"/>
    <x v="0"/>
    <s v="Januari"/>
    <s v="Division_A"/>
    <x v="16"/>
    <n v="2012"/>
    <n v="11"/>
    <s v="TM-Utama"/>
    <n v="20"/>
    <n v="2704"/>
    <s v="135.2"/>
    <x v="2"/>
    <n v="1.3109999999999999"/>
    <n v="26222"/>
    <n v="26.222000000000001"/>
    <d v="2023-01-01T00:00:00"/>
    <x v="0"/>
    <x v="0"/>
  </r>
  <r>
    <x v="11"/>
    <x v="1"/>
    <s v="Februari"/>
    <s v="Division_A"/>
    <x v="16"/>
    <n v="2012"/>
    <n v="11"/>
    <s v="TM-Utama"/>
    <n v="20"/>
    <n v="2704"/>
    <s v="135.2"/>
    <x v="2"/>
    <n v="1.881"/>
    <n v="37619.4"/>
    <n v="37.619"/>
    <d v="2023-02-01T00:00:00"/>
    <x v="0"/>
    <x v="0"/>
  </r>
  <r>
    <x v="11"/>
    <x v="2"/>
    <s v="Maret"/>
    <s v="Division_A"/>
    <x v="16"/>
    <n v="2012"/>
    <n v="11"/>
    <s v="TM-Utama"/>
    <n v="20"/>
    <n v="2704"/>
    <s v="135.2"/>
    <x v="2"/>
    <n v="2.1840000000000002"/>
    <n v="43683.1"/>
    <n v="43.683"/>
    <d v="2023-03-01T00:00:00"/>
    <x v="0"/>
    <x v="0"/>
  </r>
  <r>
    <x v="11"/>
    <x v="3"/>
    <s v="April"/>
    <s v="Division_A"/>
    <x v="16"/>
    <n v="2012"/>
    <n v="11"/>
    <s v="TM-Utama"/>
    <n v="20"/>
    <n v="2704"/>
    <s v="135.2"/>
    <x v="2"/>
    <n v="2.2200000000000002"/>
    <n v="44392.9"/>
    <n v="44.393000000000001"/>
    <d v="2023-04-01T00:00:00"/>
    <x v="0"/>
    <x v="0"/>
  </r>
  <r>
    <x v="11"/>
    <x v="4"/>
    <s v="Mei"/>
    <s v="Division_A"/>
    <x v="16"/>
    <n v="2012"/>
    <n v="11"/>
    <s v="TM-Utama"/>
    <n v="20"/>
    <n v="2704"/>
    <s v="135.2"/>
    <x v="2"/>
    <n v="2.2050000000000001"/>
    <n v="44109"/>
    <n v="44.109000000000002"/>
    <d v="2023-05-01T00:00:00"/>
    <x v="0"/>
    <x v="0"/>
  </r>
  <r>
    <x v="11"/>
    <x v="5"/>
    <s v="Juni"/>
    <s v="Division_A"/>
    <x v="16"/>
    <n v="2012"/>
    <n v="11"/>
    <s v="TM-Utama"/>
    <n v="20"/>
    <n v="2704"/>
    <s v="135.2"/>
    <x v="2"/>
    <n v="2.4409999999999998"/>
    <n v="48814"/>
    <n v="48.814"/>
    <d v="2023-06-01T00:00:00"/>
    <x v="0"/>
    <x v="0"/>
  </r>
  <r>
    <x v="11"/>
    <x v="6"/>
    <s v="Juli"/>
    <s v="Division_A"/>
    <x v="16"/>
    <n v="2012"/>
    <n v="11"/>
    <s v="TM-Utama"/>
    <n v="20"/>
    <n v="2704"/>
    <s v="135.2"/>
    <x v="2"/>
    <n v="2.2440000000000002"/>
    <n v="44879.6"/>
    <n v="44.88"/>
    <d v="2023-07-01T00:00:00"/>
    <x v="0"/>
    <x v="0"/>
  </r>
  <r>
    <x v="11"/>
    <x v="7"/>
    <s v="Agustus"/>
    <s v="Division_A"/>
    <x v="16"/>
    <n v="2012"/>
    <n v="11"/>
    <s v="TM-Utama"/>
    <n v="20"/>
    <n v="2704"/>
    <s v="135.2"/>
    <x v="2"/>
    <n v="2.36"/>
    <n v="47191.6"/>
    <n v="47.192"/>
    <d v="2023-08-01T00:00:00"/>
    <x v="0"/>
    <x v="0"/>
  </r>
  <r>
    <x v="11"/>
    <x v="8"/>
    <s v="September"/>
    <s v="Division_A"/>
    <x v="16"/>
    <n v="2012"/>
    <n v="11"/>
    <s v="TM-Utama"/>
    <n v="20"/>
    <n v="2704"/>
    <s v="135.2"/>
    <x v="2"/>
    <n v="2.44"/>
    <n v="48793.7"/>
    <n v="48.793999999999997"/>
    <d v="2023-09-01T00:00:00"/>
    <x v="0"/>
    <x v="0"/>
  </r>
  <r>
    <x v="11"/>
    <x v="9"/>
    <s v="Oktober"/>
    <s v="Division_A"/>
    <x v="16"/>
    <n v="2012"/>
    <n v="11"/>
    <s v="TM-Utama"/>
    <n v="20"/>
    <n v="2704"/>
    <s v="135.2"/>
    <x v="2"/>
    <n v="2.1640000000000001"/>
    <n v="43277.5"/>
    <n v="43.277999999999999"/>
    <d v="2023-10-01T00:00:00"/>
    <x v="0"/>
    <x v="0"/>
  </r>
  <r>
    <x v="11"/>
    <x v="10"/>
    <s v="November"/>
    <s v="Division_A"/>
    <x v="16"/>
    <n v="2012"/>
    <n v="11"/>
    <s v="TM-Utama"/>
    <n v="20"/>
    <n v="2704"/>
    <s v="135.2"/>
    <x v="2"/>
    <n v="1.79"/>
    <n v="35794.199999999997"/>
    <n v="35.793999999999997"/>
    <d v="2023-11-01T00:00:00"/>
    <x v="0"/>
    <x v="0"/>
  </r>
  <r>
    <x v="11"/>
    <x v="11"/>
    <s v="Desember"/>
    <s v="Division_A"/>
    <x v="16"/>
    <n v="2012"/>
    <n v="11"/>
    <s v="TM-Utama"/>
    <n v="20"/>
    <n v="2704"/>
    <s v="135.2"/>
    <x v="2"/>
    <n v="0.86499999999999999"/>
    <n v="17298.8"/>
    <n v="17.298999999999999"/>
    <d v="2023-12-01T00:00:00"/>
    <x v="0"/>
    <x v="0"/>
  </r>
  <r>
    <x v="11"/>
    <x v="0"/>
    <s v="Januari"/>
    <s v="Division_A"/>
    <x v="17"/>
    <n v="2012"/>
    <n v="11"/>
    <s v="TM-Utama"/>
    <n v="14"/>
    <n v="1833"/>
    <s v="130.9"/>
    <x v="2"/>
    <n v="1.27"/>
    <n v="17775.5"/>
    <n v="17.776"/>
    <d v="2023-01-01T00:00:00"/>
    <x v="0"/>
    <x v="0"/>
  </r>
  <r>
    <x v="11"/>
    <x v="1"/>
    <s v="Februari"/>
    <s v="Division_A"/>
    <x v="17"/>
    <n v="2012"/>
    <n v="11"/>
    <s v="TM-Utama"/>
    <n v="14"/>
    <n v="1833"/>
    <s v="130.9"/>
    <x v="2"/>
    <n v="1.8220000000000001"/>
    <n v="25501.599999999999"/>
    <n v="25.501999999999999"/>
    <d v="2023-02-01T00:00:00"/>
    <x v="0"/>
    <x v="0"/>
  </r>
  <r>
    <x v="11"/>
    <x v="2"/>
    <s v="Maret"/>
    <s v="Division_A"/>
    <x v="17"/>
    <n v="2012"/>
    <n v="11"/>
    <s v="TM-Utama"/>
    <n v="14"/>
    <n v="1833"/>
    <s v="130.9"/>
    <x v="2"/>
    <n v="2.1150000000000002"/>
    <n v="29612.1"/>
    <n v="29.611999999999998"/>
    <d v="2023-03-01T00:00:00"/>
    <x v="0"/>
    <x v="0"/>
  </r>
  <r>
    <x v="11"/>
    <x v="3"/>
    <s v="April"/>
    <s v="Division_A"/>
    <x v="17"/>
    <n v="2012"/>
    <n v="11"/>
    <s v="TM-Utama"/>
    <n v="14"/>
    <n v="1833"/>
    <s v="130.9"/>
    <x v="2"/>
    <n v="2.15"/>
    <n v="30093.3"/>
    <n v="30.093"/>
    <d v="2023-04-01T00:00:00"/>
    <x v="0"/>
    <x v="0"/>
  </r>
  <r>
    <x v="11"/>
    <x v="4"/>
    <s v="Mei"/>
    <s v="Division_A"/>
    <x v="17"/>
    <n v="2012"/>
    <n v="11"/>
    <s v="TM-Utama"/>
    <n v="14"/>
    <n v="1833"/>
    <s v="130.9"/>
    <x v="2"/>
    <n v="2.1360000000000001"/>
    <n v="29900.799999999999"/>
    <n v="29.901"/>
    <d v="2023-05-01T00:00:00"/>
    <x v="0"/>
    <x v="0"/>
  </r>
  <r>
    <x v="11"/>
    <x v="5"/>
    <s v="Juni"/>
    <s v="Division_A"/>
    <x v="17"/>
    <n v="2012"/>
    <n v="11"/>
    <s v="TM-Utama"/>
    <n v="14"/>
    <n v="1833"/>
    <s v="130.9"/>
    <x v="2"/>
    <n v="2.3639999999999999"/>
    <n v="33090.199999999997"/>
    <n v="33.090000000000003"/>
    <d v="2023-06-01T00:00:00"/>
    <x v="0"/>
    <x v="0"/>
  </r>
  <r>
    <x v="11"/>
    <x v="6"/>
    <s v="Juli"/>
    <s v="Division_A"/>
    <x v="17"/>
    <n v="2012"/>
    <n v="11"/>
    <s v="TM-Utama"/>
    <n v="14"/>
    <n v="1833"/>
    <s v="130.9"/>
    <x v="2"/>
    <n v="2.173"/>
    <n v="30423.200000000001"/>
    <n v="30.422999999999998"/>
    <d v="2023-07-01T00:00:00"/>
    <x v="0"/>
    <x v="0"/>
  </r>
  <r>
    <x v="11"/>
    <x v="7"/>
    <s v="Agustus"/>
    <s v="Division_A"/>
    <x v="17"/>
    <n v="2012"/>
    <n v="11"/>
    <s v="TM-Utama"/>
    <n v="14"/>
    <n v="1833"/>
    <s v="130.9"/>
    <x v="2"/>
    <n v="2.2850000000000001"/>
    <n v="31990.400000000001"/>
    <n v="31.99"/>
    <d v="2023-08-01T00:00:00"/>
    <x v="0"/>
    <x v="0"/>
  </r>
  <r>
    <x v="11"/>
    <x v="8"/>
    <s v="September"/>
    <s v="Division_A"/>
    <x v="17"/>
    <n v="2012"/>
    <n v="11"/>
    <s v="TM-Utama"/>
    <n v="14"/>
    <n v="1833"/>
    <s v="130.9"/>
    <x v="2"/>
    <n v="2.363"/>
    <n v="33076.5"/>
    <n v="33.076000000000001"/>
    <d v="2023-09-01T00:00:00"/>
    <x v="0"/>
    <x v="0"/>
  </r>
  <r>
    <x v="11"/>
    <x v="9"/>
    <s v="Oktober"/>
    <s v="Division_A"/>
    <x v="17"/>
    <n v="2012"/>
    <n v="11"/>
    <s v="TM-Utama"/>
    <n v="14"/>
    <n v="1833"/>
    <s v="130.9"/>
    <x v="2"/>
    <n v="2.0960000000000001"/>
    <n v="29337.200000000001"/>
    <n v="29.337"/>
    <d v="2023-10-01T00:00:00"/>
    <x v="0"/>
    <x v="0"/>
  </r>
  <r>
    <x v="11"/>
    <x v="10"/>
    <s v="November"/>
    <s v="Division_A"/>
    <x v="17"/>
    <n v="2012"/>
    <n v="11"/>
    <s v="TM-Utama"/>
    <n v="14"/>
    <n v="1833"/>
    <s v="130.9"/>
    <x v="2"/>
    <n v="1.7330000000000001"/>
    <n v="24264.3"/>
    <n v="24.263999999999999"/>
    <d v="2023-11-01T00:00:00"/>
    <x v="0"/>
    <x v="0"/>
  </r>
  <r>
    <x v="11"/>
    <x v="11"/>
    <s v="Desember"/>
    <s v="Division_A"/>
    <x v="17"/>
    <n v="2012"/>
    <n v="11"/>
    <s v="TM-Utama"/>
    <n v="14"/>
    <n v="1833"/>
    <s v="130.9"/>
    <x v="2"/>
    <n v="0.83799999999999997"/>
    <n v="11726.6"/>
    <n v="11.727"/>
    <d v="2023-12-01T00:00:00"/>
    <x v="0"/>
    <x v="0"/>
  </r>
  <r>
    <x v="11"/>
    <x v="0"/>
    <s v="Januari"/>
    <s v="Division_A"/>
    <x v="18"/>
    <n v="2012"/>
    <n v="11"/>
    <s v="TM-Utama"/>
    <n v="20"/>
    <n v="1990"/>
    <s v="99.5"/>
    <x v="2"/>
    <n v="0.98899999999999999"/>
    <n v="19782.900000000001"/>
    <n v="19.783000000000001"/>
    <d v="2023-01-01T00:00:00"/>
    <x v="0"/>
    <x v="0"/>
  </r>
  <r>
    <x v="11"/>
    <x v="1"/>
    <s v="Februari"/>
    <s v="Division_A"/>
    <x v="18"/>
    <n v="2012"/>
    <n v="11"/>
    <s v="TM-Utama"/>
    <n v="20"/>
    <n v="1990"/>
    <s v="99.5"/>
    <x v="2"/>
    <n v="1.419"/>
    <n v="28381.5"/>
    <n v="28.382000000000001"/>
    <d v="2023-02-01T00:00:00"/>
    <x v="0"/>
    <x v="0"/>
  </r>
  <r>
    <x v="11"/>
    <x v="2"/>
    <s v="Maret"/>
    <s v="Division_A"/>
    <x v="18"/>
    <n v="2012"/>
    <n v="11"/>
    <s v="TM-Utama"/>
    <n v="20"/>
    <n v="1990"/>
    <s v="99.5"/>
    <x v="2"/>
    <n v="1.6479999999999999"/>
    <n v="32956.199999999997"/>
    <n v="32.956000000000003"/>
    <d v="2023-03-01T00:00:00"/>
    <x v="0"/>
    <x v="0"/>
  </r>
  <r>
    <x v="11"/>
    <x v="3"/>
    <s v="April"/>
    <s v="Division_A"/>
    <x v="18"/>
    <n v="2012"/>
    <n v="11"/>
    <s v="TM-Utama"/>
    <n v="20"/>
    <n v="1990"/>
    <s v="99.5"/>
    <x v="2"/>
    <n v="1.675"/>
    <n v="33491.699999999997"/>
    <n v="33.491999999999997"/>
    <d v="2023-04-01T00:00:00"/>
    <x v="0"/>
    <x v="0"/>
  </r>
  <r>
    <x v="11"/>
    <x v="4"/>
    <s v="Mei"/>
    <s v="Division_A"/>
    <x v="18"/>
    <n v="2012"/>
    <n v="11"/>
    <s v="TM-Utama"/>
    <n v="20"/>
    <n v="1990"/>
    <s v="99.5"/>
    <x v="2"/>
    <n v="1.6639999999999999"/>
    <n v="33277.5"/>
    <n v="33.277999999999999"/>
    <d v="2023-05-01T00:00:00"/>
    <x v="0"/>
    <x v="0"/>
  </r>
  <r>
    <x v="11"/>
    <x v="5"/>
    <s v="Juni"/>
    <s v="Division_A"/>
    <x v="18"/>
    <n v="2012"/>
    <n v="11"/>
    <s v="TM-Utama"/>
    <n v="20"/>
    <n v="1990"/>
    <s v="99.5"/>
    <x v="2"/>
    <n v="1.841"/>
    <n v="36827.1"/>
    <n v="36.826999999999998"/>
    <d v="2023-06-01T00:00:00"/>
    <x v="0"/>
    <x v="0"/>
  </r>
  <r>
    <x v="11"/>
    <x v="6"/>
    <s v="Juli"/>
    <s v="Division_A"/>
    <x v="18"/>
    <n v="2012"/>
    <n v="11"/>
    <s v="TM-Utama"/>
    <n v="20"/>
    <n v="1990"/>
    <s v="99.5"/>
    <x v="2"/>
    <n v="1.6930000000000001"/>
    <n v="33858.9"/>
    <n v="33.859000000000002"/>
    <d v="2023-07-01T00:00:00"/>
    <x v="0"/>
    <x v="0"/>
  </r>
  <r>
    <x v="11"/>
    <x v="7"/>
    <s v="Agustus"/>
    <s v="Division_A"/>
    <x v="18"/>
    <n v="2012"/>
    <n v="11"/>
    <s v="TM-Utama"/>
    <n v="20"/>
    <n v="1990"/>
    <s v="99.5"/>
    <x v="2"/>
    <n v="1.78"/>
    <n v="35603.1"/>
    <n v="35.603000000000002"/>
    <d v="2023-08-01T00:00:00"/>
    <x v="0"/>
    <x v="0"/>
  </r>
  <r>
    <x v="11"/>
    <x v="8"/>
    <s v="September"/>
    <s v="Division_A"/>
    <x v="18"/>
    <n v="2012"/>
    <n v="11"/>
    <s v="TM-Utama"/>
    <n v="20"/>
    <n v="1990"/>
    <s v="99.5"/>
    <x v="2"/>
    <n v="1.841"/>
    <n v="36811.800000000003"/>
    <n v="36.811999999999998"/>
    <d v="2023-09-01T00:00:00"/>
    <x v="0"/>
    <x v="0"/>
  </r>
  <r>
    <x v="11"/>
    <x v="9"/>
    <s v="Oktober"/>
    <s v="Division_A"/>
    <x v="18"/>
    <n v="2012"/>
    <n v="11"/>
    <s v="TM-Utama"/>
    <n v="20"/>
    <n v="1990"/>
    <s v="99.5"/>
    <x v="2"/>
    <n v="1.633"/>
    <n v="32650.2"/>
    <n v="32.65"/>
    <d v="2023-10-01T00:00:00"/>
    <x v="0"/>
    <x v="0"/>
  </r>
  <r>
    <x v="11"/>
    <x v="10"/>
    <s v="November"/>
    <s v="Division_A"/>
    <x v="18"/>
    <n v="2012"/>
    <n v="11"/>
    <s v="TM-Utama"/>
    <n v="20"/>
    <n v="1990"/>
    <s v="99.5"/>
    <x v="2"/>
    <n v="1.35"/>
    <n v="27004.5"/>
    <n v="27.004999999999999"/>
    <d v="2023-11-01T00:00:00"/>
    <x v="0"/>
    <x v="0"/>
  </r>
  <r>
    <x v="11"/>
    <x v="11"/>
    <s v="Desember"/>
    <s v="Division_A"/>
    <x v="18"/>
    <n v="2012"/>
    <n v="11"/>
    <s v="TM-Utama"/>
    <n v="20"/>
    <n v="1990"/>
    <s v="99.5"/>
    <x v="2"/>
    <n v="0.65300000000000002"/>
    <n v="13050.9"/>
    <n v="13.051"/>
    <d v="2023-12-01T00:00:00"/>
    <x v="0"/>
    <x v="0"/>
  </r>
  <r>
    <x v="11"/>
    <x v="0"/>
    <s v="Januari"/>
    <s v="Division_A"/>
    <x v="19"/>
    <n v="2012"/>
    <n v="11"/>
    <s v="TM-Utama"/>
    <n v="22"/>
    <n v="2606"/>
    <s v="118.5"/>
    <x v="2"/>
    <n v="1.149"/>
    <n v="25271.7"/>
    <n v="25.271999999999998"/>
    <d v="2023-01-01T00:00:00"/>
    <x v="0"/>
    <x v="0"/>
  </r>
  <r>
    <x v="11"/>
    <x v="1"/>
    <s v="Februari"/>
    <s v="Division_A"/>
    <x v="19"/>
    <n v="2012"/>
    <n v="11"/>
    <s v="TM-Utama"/>
    <n v="22"/>
    <n v="2606"/>
    <s v="118.5"/>
    <x v="2"/>
    <n v="1.6479999999999999"/>
    <n v="36256"/>
    <n v="36.256"/>
    <d v="2023-02-01T00:00:00"/>
    <x v="0"/>
    <x v="0"/>
  </r>
  <r>
    <x v="11"/>
    <x v="2"/>
    <s v="Maret"/>
    <s v="Division_A"/>
    <x v="19"/>
    <n v="2012"/>
    <n v="11"/>
    <s v="TM-Utama"/>
    <n v="22"/>
    <n v="2606"/>
    <s v="118.5"/>
    <x v="2"/>
    <n v="1.9139999999999999"/>
    <n v="42099.9"/>
    <n v="42.1"/>
    <d v="2023-03-01T00:00:00"/>
    <x v="0"/>
    <x v="0"/>
  </r>
  <r>
    <x v="11"/>
    <x v="3"/>
    <s v="April"/>
    <s v="Division_A"/>
    <x v="19"/>
    <n v="2012"/>
    <n v="11"/>
    <s v="TM-Utama"/>
    <n v="22"/>
    <n v="2606"/>
    <s v="118.5"/>
    <x v="2"/>
    <n v="1.9450000000000001"/>
    <n v="42784"/>
    <n v="42.783999999999999"/>
    <d v="2023-04-01T00:00:00"/>
    <x v="0"/>
    <x v="0"/>
  </r>
  <r>
    <x v="11"/>
    <x v="4"/>
    <s v="Mei"/>
    <s v="Division_A"/>
    <x v="19"/>
    <n v="2012"/>
    <n v="11"/>
    <s v="TM-Utama"/>
    <n v="22"/>
    <n v="2606"/>
    <s v="118.5"/>
    <x v="2"/>
    <n v="1.9319999999999999"/>
    <n v="42510.400000000001"/>
    <n v="42.51"/>
    <d v="2023-05-01T00:00:00"/>
    <x v="0"/>
    <x v="0"/>
  </r>
  <r>
    <x v="11"/>
    <x v="5"/>
    <s v="Juni"/>
    <s v="Division_A"/>
    <x v="19"/>
    <n v="2012"/>
    <n v="11"/>
    <s v="TM-Utama"/>
    <n v="22"/>
    <n v="2606"/>
    <s v="118.5"/>
    <x v="2"/>
    <n v="2.1379999999999999"/>
    <n v="47044.800000000003"/>
    <n v="47.045000000000002"/>
    <d v="2023-06-01T00:00:00"/>
    <x v="0"/>
    <x v="0"/>
  </r>
  <r>
    <x v="11"/>
    <x v="6"/>
    <s v="Juli"/>
    <s v="Division_A"/>
    <x v="19"/>
    <n v="2012"/>
    <n v="11"/>
    <s v="TM-Utama"/>
    <n v="22"/>
    <n v="2606"/>
    <s v="118.5"/>
    <x v="2"/>
    <n v="1.966"/>
    <n v="43253.1"/>
    <n v="43.253"/>
    <d v="2023-07-01T00:00:00"/>
    <x v="0"/>
    <x v="0"/>
  </r>
  <r>
    <x v="11"/>
    <x v="7"/>
    <s v="Agustus"/>
    <s v="Division_A"/>
    <x v="19"/>
    <n v="2012"/>
    <n v="11"/>
    <s v="TM-Utama"/>
    <n v="22"/>
    <n v="2606"/>
    <s v="118.5"/>
    <x v="2"/>
    <n v="2.0670000000000002"/>
    <n v="45481.2"/>
    <n v="45.481000000000002"/>
    <d v="2023-08-01T00:00:00"/>
    <x v="0"/>
    <x v="0"/>
  </r>
  <r>
    <x v="11"/>
    <x v="8"/>
    <s v="September"/>
    <s v="Division_A"/>
    <x v="19"/>
    <n v="2012"/>
    <n v="11"/>
    <s v="TM-Utama"/>
    <n v="22"/>
    <n v="2606"/>
    <s v="118.5"/>
    <x v="2"/>
    <n v="2.1379999999999999"/>
    <n v="47025.3"/>
    <n v="47.024999999999999"/>
    <d v="2023-09-01T00:00:00"/>
    <x v="0"/>
    <x v="0"/>
  </r>
  <r>
    <x v="11"/>
    <x v="9"/>
    <s v="Oktober"/>
    <s v="Division_A"/>
    <x v="19"/>
    <n v="2012"/>
    <n v="11"/>
    <s v="TM-Utama"/>
    <n v="22"/>
    <n v="2606"/>
    <s v="118.5"/>
    <x v="2"/>
    <n v="1.8959999999999999"/>
    <n v="41709"/>
    <n v="41.709000000000003"/>
    <d v="2023-10-01T00:00:00"/>
    <x v="0"/>
    <x v="0"/>
  </r>
  <r>
    <x v="11"/>
    <x v="10"/>
    <s v="November"/>
    <s v="Division_A"/>
    <x v="19"/>
    <n v="2012"/>
    <n v="11"/>
    <s v="TM-Utama"/>
    <n v="22"/>
    <n v="2606"/>
    <s v="118.5"/>
    <x v="2"/>
    <n v="1.5680000000000001"/>
    <n v="34496.9"/>
    <n v="34.497"/>
    <d v="2023-11-01T00:00:00"/>
    <x v="0"/>
    <x v="0"/>
  </r>
  <r>
    <x v="11"/>
    <x v="11"/>
    <s v="Desember"/>
    <s v="Division_A"/>
    <x v="19"/>
    <n v="2012"/>
    <n v="11"/>
    <s v="TM-Utama"/>
    <n v="22"/>
    <n v="2606"/>
    <s v="118.5"/>
    <x v="2"/>
    <n v="0.75800000000000001"/>
    <n v="16671.900000000001"/>
    <n v="16.672000000000001"/>
    <d v="2023-12-01T00:00:00"/>
    <x v="0"/>
    <x v="0"/>
  </r>
  <r>
    <x v="11"/>
    <x v="0"/>
    <s v="Januari"/>
    <s v="Division_A"/>
    <x v="20"/>
    <n v="2012"/>
    <n v="11"/>
    <s v="TM-Utama"/>
    <n v="22"/>
    <n v="2683"/>
    <s v="122"/>
    <x v="1"/>
    <n v="1.1830000000000001"/>
    <n v="26018.400000000001"/>
    <n v="26.018000000000001"/>
    <d v="2023-01-01T00:00:00"/>
    <x v="0"/>
    <x v="0"/>
  </r>
  <r>
    <x v="11"/>
    <x v="1"/>
    <s v="Februari"/>
    <s v="Division_A"/>
    <x v="20"/>
    <n v="2012"/>
    <n v="11"/>
    <s v="TM-Utama"/>
    <n v="22"/>
    <n v="2683"/>
    <s v="122"/>
    <x v="1"/>
    <n v="1.6970000000000001"/>
    <n v="37327.199999999997"/>
    <n v="37.326999999999998"/>
    <d v="2023-02-01T00:00:00"/>
    <x v="0"/>
    <x v="0"/>
  </r>
  <r>
    <x v="11"/>
    <x v="2"/>
    <s v="Maret"/>
    <s v="Division_A"/>
    <x v="20"/>
    <n v="2012"/>
    <n v="11"/>
    <s v="TM-Utama"/>
    <n v="22"/>
    <n v="2683"/>
    <s v="122"/>
    <x v="1"/>
    <n v="1.97"/>
    <n v="43343.9"/>
    <n v="43.344000000000001"/>
    <d v="2023-03-01T00:00:00"/>
    <x v="0"/>
    <x v="0"/>
  </r>
  <r>
    <x v="11"/>
    <x v="3"/>
    <s v="April"/>
    <s v="Division_A"/>
    <x v="20"/>
    <n v="2012"/>
    <n v="11"/>
    <s v="TM-Utama"/>
    <n v="22"/>
    <n v="2683"/>
    <s v="122"/>
    <x v="1"/>
    <n v="2.0019999999999998"/>
    <n v="44048.2"/>
    <n v="44.048000000000002"/>
    <d v="2023-04-01T00:00:00"/>
    <x v="0"/>
    <x v="0"/>
  </r>
  <r>
    <x v="11"/>
    <x v="4"/>
    <s v="Mei"/>
    <s v="Division_A"/>
    <x v="20"/>
    <n v="2012"/>
    <n v="11"/>
    <s v="TM-Utama"/>
    <n v="22"/>
    <n v="2683"/>
    <s v="122"/>
    <x v="1"/>
    <n v="1.9890000000000001"/>
    <n v="43766.400000000001"/>
    <n v="43.765999999999998"/>
    <d v="2023-05-01T00:00:00"/>
    <x v="0"/>
    <x v="0"/>
  </r>
  <r>
    <x v="11"/>
    <x v="5"/>
    <s v="Juni"/>
    <s v="Division_A"/>
    <x v="20"/>
    <n v="2012"/>
    <n v="11"/>
    <s v="TM-Utama"/>
    <n v="22"/>
    <n v="2683"/>
    <s v="122"/>
    <x v="1"/>
    <n v="2.202"/>
    <n v="48434.9"/>
    <n v="48.435000000000002"/>
    <d v="2023-06-01T00:00:00"/>
    <x v="0"/>
    <x v="0"/>
  </r>
  <r>
    <x v="11"/>
    <x v="6"/>
    <s v="Juli"/>
    <s v="Division_A"/>
    <x v="20"/>
    <n v="2012"/>
    <n v="11"/>
    <s v="TM-Utama"/>
    <n v="22"/>
    <n v="2683"/>
    <s v="122"/>
    <x v="1"/>
    <n v="2.024"/>
    <n v="44531.1"/>
    <n v="44.530999999999999"/>
    <d v="2023-07-01T00:00:00"/>
    <x v="0"/>
    <x v="0"/>
  </r>
  <r>
    <x v="11"/>
    <x v="7"/>
    <s v="Agustus"/>
    <s v="Division_A"/>
    <x v="20"/>
    <n v="2012"/>
    <n v="11"/>
    <s v="TM-Utama"/>
    <n v="22"/>
    <n v="2683"/>
    <s v="122"/>
    <x v="1"/>
    <n v="2.1280000000000001"/>
    <n v="46825.1"/>
    <n v="46.825000000000003"/>
    <d v="2023-08-01T00:00:00"/>
    <x v="0"/>
    <x v="0"/>
  </r>
  <r>
    <x v="11"/>
    <x v="8"/>
    <s v="September"/>
    <s v="Division_A"/>
    <x v="20"/>
    <n v="2012"/>
    <n v="11"/>
    <s v="TM-Utama"/>
    <n v="22"/>
    <n v="2683"/>
    <s v="122"/>
    <x v="1"/>
    <n v="2.2010000000000001"/>
    <n v="48414.7"/>
    <n v="48.414999999999999"/>
    <d v="2023-09-01T00:00:00"/>
    <x v="0"/>
    <x v="0"/>
  </r>
  <r>
    <x v="11"/>
    <x v="9"/>
    <s v="Oktober"/>
    <s v="Division_A"/>
    <x v="20"/>
    <n v="2012"/>
    <n v="11"/>
    <s v="TM-Utama"/>
    <n v="22"/>
    <n v="2683"/>
    <s v="122"/>
    <x v="1"/>
    <n v="1.952"/>
    <n v="42941.4"/>
    <n v="42.941000000000003"/>
    <d v="2023-10-01T00:00:00"/>
    <x v="0"/>
    <x v="0"/>
  </r>
  <r>
    <x v="11"/>
    <x v="10"/>
    <s v="November"/>
    <s v="Division_A"/>
    <x v="20"/>
    <n v="2012"/>
    <n v="11"/>
    <s v="TM-Utama"/>
    <n v="22"/>
    <n v="2683"/>
    <s v="122"/>
    <x v="1"/>
    <n v="1.6140000000000001"/>
    <n v="35516.199999999997"/>
    <n v="35.515999999999998"/>
    <d v="2023-11-01T00:00:00"/>
    <x v="0"/>
    <x v="0"/>
  </r>
  <r>
    <x v="11"/>
    <x v="11"/>
    <s v="Desember"/>
    <s v="Division_A"/>
    <x v="20"/>
    <n v="2012"/>
    <n v="11"/>
    <s v="TM-Utama"/>
    <n v="22"/>
    <n v="2683"/>
    <s v="122"/>
    <x v="1"/>
    <n v="0.78"/>
    <n v="17164.5"/>
    <n v="17.164000000000001"/>
    <d v="2023-12-01T00:00:00"/>
    <x v="0"/>
    <x v="0"/>
  </r>
  <r>
    <x v="11"/>
    <x v="0"/>
    <s v="Januari"/>
    <s v="Division_A"/>
    <x v="21"/>
    <n v="2012"/>
    <n v="11"/>
    <s v="TM-Utama"/>
    <n v="28"/>
    <n v="3483"/>
    <s v="124.4"/>
    <x v="1"/>
    <n v="1.206"/>
    <n v="33776.400000000001"/>
    <n v="33.776000000000003"/>
    <d v="2023-01-01T00:00:00"/>
    <x v="0"/>
    <x v="0"/>
  </r>
  <r>
    <x v="11"/>
    <x v="1"/>
    <s v="Februari"/>
    <s v="Division_A"/>
    <x v="21"/>
    <n v="2012"/>
    <n v="11"/>
    <s v="TM-Utama"/>
    <n v="28"/>
    <n v="3483"/>
    <s v="124.4"/>
    <x v="1"/>
    <n v="1.7310000000000001"/>
    <n v="48457.2"/>
    <n v="48.457000000000001"/>
    <d v="2023-02-01T00:00:00"/>
    <x v="0"/>
    <x v="0"/>
  </r>
  <r>
    <x v="11"/>
    <x v="2"/>
    <s v="Maret"/>
    <s v="Division_A"/>
    <x v="21"/>
    <n v="2012"/>
    <n v="11"/>
    <s v="TM-Utama"/>
    <n v="28"/>
    <n v="3483"/>
    <s v="124.4"/>
    <x v="1"/>
    <n v="2.0099999999999998"/>
    <n v="56267.9"/>
    <n v="56.268000000000001"/>
    <d v="2023-03-01T00:00:00"/>
    <x v="0"/>
    <x v="0"/>
  </r>
  <r>
    <x v="11"/>
    <x v="3"/>
    <s v="April"/>
    <s v="Division_A"/>
    <x v="21"/>
    <n v="2012"/>
    <n v="11"/>
    <s v="TM-Utama"/>
    <n v="28"/>
    <n v="3483"/>
    <s v="124.4"/>
    <x v="1"/>
    <n v="2.0419999999999998"/>
    <n v="57182.2"/>
    <n v="57.182000000000002"/>
    <d v="2023-04-01T00:00:00"/>
    <x v="0"/>
    <x v="0"/>
  </r>
  <r>
    <x v="11"/>
    <x v="4"/>
    <s v="Mei"/>
    <s v="Division_A"/>
    <x v="21"/>
    <n v="2012"/>
    <n v="11"/>
    <s v="TM-Utama"/>
    <n v="28"/>
    <n v="3483"/>
    <s v="124.4"/>
    <x v="1"/>
    <n v="2.0289999999999999"/>
    <n v="56816.4"/>
    <n v="56.816000000000003"/>
    <d v="2023-05-01T00:00:00"/>
    <x v="0"/>
    <x v="0"/>
  </r>
  <r>
    <x v="11"/>
    <x v="5"/>
    <s v="Juni"/>
    <s v="Division_A"/>
    <x v="21"/>
    <n v="2012"/>
    <n v="11"/>
    <s v="TM-Utama"/>
    <n v="28"/>
    <n v="3483"/>
    <s v="124.4"/>
    <x v="1"/>
    <n v="2.246"/>
    <n v="62876.9"/>
    <n v="62.877000000000002"/>
    <d v="2023-06-01T00:00:00"/>
    <x v="0"/>
    <x v="0"/>
  </r>
  <r>
    <x v="11"/>
    <x v="6"/>
    <s v="Juli"/>
    <s v="Division_A"/>
    <x v="21"/>
    <n v="2012"/>
    <n v="11"/>
    <s v="TM-Utama"/>
    <n v="28"/>
    <n v="3483"/>
    <s v="124.4"/>
    <x v="1"/>
    <n v="2.0649999999999999"/>
    <n v="57809.1"/>
    <n v="57.808999999999997"/>
    <d v="2023-07-01T00:00:00"/>
    <x v="0"/>
    <x v="0"/>
  </r>
  <r>
    <x v="11"/>
    <x v="7"/>
    <s v="Agustus"/>
    <s v="Division_A"/>
    <x v="21"/>
    <n v="2012"/>
    <n v="11"/>
    <s v="TM-Utama"/>
    <n v="28"/>
    <n v="3483"/>
    <s v="124.4"/>
    <x v="1"/>
    <n v="2.1709999999999998"/>
    <n v="60787.1"/>
    <n v="60.786999999999999"/>
    <d v="2023-08-01T00:00:00"/>
    <x v="0"/>
    <x v="0"/>
  </r>
  <r>
    <x v="11"/>
    <x v="8"/>
    <s v="September"/>
    <s v="Division_A"/>
    <x v="21"/>
    <n v="2012"/>
    <n v="11"/>
    <s v="TM-Utama"/>
    <n v="28"/>
    <n v="3483"/>
    <s v="124.4"/>
    <x v="1"/>
    <n v="2.2450000000000001"/>
    <n v="62850.7"/>
    <n v="62.850999999999999"/>
    <d v="2023-09-01T00:00:00"/>
    <x v="0"/>
    <x v="0"/>
  </r>
  <r>
    <x v="11"/>
    <x v="9"/>
    <s v="Oktober"/>
    <s v="Division_A"/>
    <x v="21"/>
    <n v="2012"/>
    <n v="11"/>
    <s v="TM-Utama"/>
    <n v="28"/>
    <n v="3483"/>
    <s v="124.4"/>
    <x v="1"/>
    <n v="1.9910000000000001"/>
    <n v="55745.4"/>
    <n v="55.744999999999997"/>
    <d v="2023-10-01T00:00:00"/>
    <x v="0"/>
    <x v="0"/>
  </r>
  <r>
    <x v="11"/>
    <x v="10"/>
    <s v="November"/>
    <s v="Division_A"/>
    <x v="21"/>
    <n v="2012"/>
    <n v="11"/>
    <s v="TM-Utama"/>
    <n v="28"/>
    <n v="3483"/>
    <s v="124.4"/>
    <x v="1"/>
    <n v="1.647"/>
    <n v="46106.2"/>
    <n v="46.106000000000002"/>
    <d v="2023-11-01T00:00:00"/>
    <x v="0"/>
    <x v="0"/>
  </r>
  <r>
    <x v="11"/>
    <x v="11"/>
    <s v="Desember"/>
    <s v="Division_A"/>
    <x v="21"/>
    <n v="2012"/>
    <n v="11"/>
    <s v="TM-Utama"/>
    <n v="28"/>
    <n v="3483"/>
    <s v="124.4"/>
    <x v="1"/>
    <n v="0.79600000000000004"/>
    <n v="22282.5"/>
    <n v="22.282"/>
    <d v="2023-12-01T00:00:00"/>
    <x v="0"/>
    <x v="0"/>
  </r>
  <r>
    <x v="11"/>
    <x v="0"/>
    <s v="Januari"/>
    <s v="Division_A"/>
    <x v="22"/>
    <n v="2013"/>
    <n v="10"/>
    <s v="TM-Utama"/>
    <n v="24"/>
    <n v="2678"/>
    <s v="111.6"/>
    <x v="1"/>
    <n v="1.0820000000000001"/>
    <n v="25969.9"/>
    <n v="25.97"/>
    <d v="2023-01-01T00:00:00"/>
    <x v="0"/>
    <x v="1"/>
  </r>
  <r>
    <x v="11"/>
    <x v="1"/>
    <s v="Februari"/>
    <s v="Division_A"/>
    <x v="22"/>
    <n v="2013"/>
    <n v="10"/>
    <s v="TM-Utama"/>
    <n v="24"/>
    <n v="2678"/>
    <s v="111.6"/>
    <x v="1"/>
    <n v="1.552"/>
    <n v="37257.699999999997"/>
    <n v="37.258000000000003"/>
    <d v="2023-02-01T00:00:00"/>
    <x v="0"/>
    <x v="1"/>
  </r>
  <r>
    <x v="11"/>
    <x v="2"/>
    <s v="Maret"/>
    <s v="Division_A"/>
    <x v="22"/>
    <n v="2013"/>
    <n v="10"/>
    <s v="TM-Utama"/>
    <n v="24"/>
    <n v="2678"/>
    <s v="111.6"/>
    <x v="1"/>
    <n v="1.8029999999999999"/>
    <n v="43263.1"/>
    <n v="43.262999999999998"/>
    <d v="2023-03-01T00:00:00"/>
    <x v="0"/>
    <x v="1"/>
  </r>
  <r>
    <x v="11"/>
    <x v="3"/>
    <s v="April"/>
    <s v="Division_A"/>
    <x v="22"/>
    <n v="2013"/>
    <n v="10"/>
    <s v="TM-Utama"/>
    <n v="24"/>
    <n v="2678"/>
    <s v="111.6"/>
    <x v="1"/>
    <n v="1.8320000000000001"/>
    <n v="43966.1"/>
    <n v="43.966000000000001"/>
    <d v="2023-04-01T00:00:00"/>
    <x v="0"/>
    <x v="1"/>
  </r>
  <r>
    <x v="11"/>
    <x v="4"/>
    <s v="Mei"/>
    <s v="Division_A"/>
    <x v="22"/>
    <n v="2013"/>
    <n v="10"/>
    <s v="TM-Utama"/>
    <n v="24"/>
    <n v="2678"/>
    <s v="111.6"/>
    <x v="1"/>
    <n v="1.82"/>
    <n v="43684.9"/>
    <n v="43.685000000000002"/>
    <d v="2023-05-01T00:00:00"/>
    <x v="0"/>
    <x v="1"/>
  </r>
  <r>
    <x v="11"/>
    <x v="5"/>
    <s v="Juni"/>
    <s v="Division_A"/>
    <x v="22"/>
    <n v="2013"/>
    <n v="10"/>
    <s v="TM-Utama"/>
    <n v="24"/>
    <n v="2678"/>
    <s v="111.6"/>
    <x v="1"/>
    <n v="2.0139999999999998"/>
    <n v="48344.6"/>
    <n v="48.344999999999999"/>
    <d v="2023-06-01T00:00:00"/>
    <x v="0"/>
    <x v="1"/>
  </r>
  <r>
    <x v="11"/>
    <x v="6"/>
    <s v="Juli"/>
    <s v="Division_A"/>
    <x v="22"/>
    <n v="2013"/>
    <n v="10"/>
    <s v="TM-Utama"/>
    <n v="24"/>
    <n v="2678"/>
    <s v="111.6"/>
    <x v="1"/>
    <n v="1.8520000000000001"/>
    <n v="44448.1"/>
    <n v="44.448"/>
    <d v="2023-07-01T00:00:00"/>
    <x v="0"/>
    <x v="1"/>
  </r>
  <r>
    <x v="11"/>
    <x v="7"/>
    <s v="Agustus"/>
    <s v="Division_A"/>
    <x v="22"/>
    <n v="2013"/>
    <n v="10"/>
    <s v="TM-Utama"/>
    <n v="24"/>
    <n v="2678"/>
    <s v="111.6"/>
    <x v="1"/>
    <n v="1.9470000000000001"/>
    <n v="46737.8"/>
    <n v="46.738"/>
    <d v="2023-08-01T00:00:00"/>
    <x v="0"/>
    <x v="1"/>
  </r>
  <r>
    <x v="11"/>
    <x v="8"/>
    <s v="September"/>
    <s v="Division_A"/>
    <x v="22"/>
    <n v="2013"/>
    <n v="10"/>
    <s v="TM-Utama"/>
    <n v="24"/>
    <n v="2678"/>
    <s v="111.6"/>
    <x v="1"/>
    <n v="2.0139999999999998"/>
    <n v="48324.5"/>
    <n v="48.325000000000003"/>
    <d v="2023-09-01T00:00:00"/>
    <x v="0"/>
    <x v="1"/>
  </r>
  <r>
    <x v="11"/>
    <x v="9"/>
    <s v="Oktober"/>
    <s v="Division_A"/>
    <x v="22"/>
    <n v="2013"/>
    <n v="10"/>
    <s v="TM-Utama"/>
    <n v="24"/>
    <n v="2678"/>
    <s v="111.6"/>
    <x v="1"/>
    <n v="1.786"/>
    <n v="42861.4"/>
    <n v="42.860999999999997"/>
    <d v="2023-10-01T00:00:00"/>
    <x v="0"/>
    <x v="1"/>
  </r>
  <r>
    <x v="11"/>
    <x v="10"/>
    <s v="November"/>
    <s v="Division_A"/>
    <x v="22"/>
    <n v="2013"/>
    <n v="10"/>
    <s v="TM-Utama"/>
    <n v="24"/>
    <n v="2678"/>
    <s v="111.6"/>
    <x v="1"/>
    <n v="1.4770000000000001"/>
    <n v="35450"/>
    <n v="35.450000000000003"/>
    <d v="2023-11-01T00:00:00"/>
    <x v="0"/>
    <x v="1"/>
  </r>
  <r>
    <x v="11"/>
    <x v="11"/>
    <s v="Desember"/>
    <s v="Division_A"/>
    <x v="22"/>
    <n v="2013"/>
    <n v="10"/>
    <s v="TM-Utama"/>
    <n v="24"/>
    <n v="2678"/>
    <s v="111.6"/>
    <x v="1"/>
    <n v="0.71399999999999997"/>
    <n v="17132.5"/>
    <n v="17.132999999999999"/>
    <d v="2023-12-01T00:00:00"/>
    <x v="0"/>
    <x v="1"/>
  </r>
  <r>
    <x v="11"/>
    <x v="0"/>
    <s v="Januari"/>
    <s v="Division_A"/>
    <x v="23"/>
    <n v="2013"/>
    <n v="10"/>
    <s v="TM-Utama"/>
    <n v="23"/>
    <n v="2683"/>
    <s v="116.7"/>
    <x v="1"/>
    <n v="1.131"/>
    <n v="26018.400000000001"/>
    <n v="26.018000000000001"/>
    <d v="2023-01-01T00:00:00"/>
    <x v="0"/>
    <x v="1"/>
  </r>
  <r>
    <x v="11"/>
    <x v="1"/>
    <s v="Februari"/>
    <s v="Division_A"/>
    <x v="23"/>
    <n v="2013"/>
    <n v="10"/>
    <s v="TM-Utama"/>
    <n v="23"/>
    <n v="2683"/>
    <s v="116.7"/>
    <x v="1"/>
    <n v="1.623"/>
    <n v="37327.199999999997"/>
    <n v="37.326999999999998"/>
    <d v="2023-02-01T00:00:00"/>
    <x v="0"/>
    <x v="1"/>
  </r>
  <r>
    <x v="11"/>
    <x v="2"/>
    <s v="Maret"/>
    <s v="Division_A"/>
    <x v="23"/>
    <n v="2013"/>
    <n v="10"/>
    <s v="TM-Utama"/>
    <n v="23"/>
    <n v="2683"/>
    <s v="116.7"/>
    <x v="1"/>
    <n v="1.885"/>
    <n v="43343.9"/>
    <n v="43.344000000000001"/>
    <d v="2023-03-01T00:00:00"/>
    <x v="0"/>
    <x v="1"/>
  </r>
  <r>
    <x v="11"/>
    <x v="3"/>
    <s v="April"/>
    <s v="Division_A"/>
    <x v="23"/>
    <n v="2013"/>
    <n v="10"/>
    <s v="TM-Utama"/>
    <n v="23"/>
    <n v="2683"/>
    <s v="116.7"/>
    <x v="1"/>
    <n v="1.915"/>
    <n v="44048.2"/>
    <n v="44.048000000000002"/>
    <d v="2023-04-01T00:00:00"/>
    <x v="0"/>
    <x v="1"/>
  </r>
  <r>
    <x v="11"/>
    <x v="4"/>
    <s v="Mei"/>
    <s v="Division_A"/>
    <x v="23"/>
    <n v="2013"/>
    <n v="10"/>
    <s v="TM-Utama"/>
    <n v="23"/>
    <n v="2683"/>
    <s v="116.7"/>
    <x v="1"/>
    <n v="1.903"/>
    <n v="43766.400000000001"/>
    <n v="43.765999999999998"/>
    <d v="2023-05-01T00:00:00"/>
    <x v="0"/>
    <x v="1"/>
  </r>
  <r>
    <x v="11"/>
    <x v="5"/>
    <s v="Juni"/>
    <s v="Division_A"/>
    <x v="23"/>
    <n v="2013"/>
    <n v="10"/>
    <s v="TM-Utama"/>
    <n v="23"/>
    <n v="2683"/>
    <s v="116.7"/>
    <x v="1"/>
    <n v="2.1059999999999999"/>
    <n v="48434.9"/>
    <n v="48.435000000000002"/>
    <d v="2023-06-01T00:00:00"/>
    <x v="0"/>
    <x v="1"/>
  </r>
  <r>
    <x v="11"/>
    <x v="6"/>
    <s v="Juli"/>
    <s v="Division_A"/>
    <x v="23"/>
    <n v="2013"/>
    <n v="10"/>
    <s v="TM-Utama"/>
    <n v="23"/>
    <n v="2683"/>
    <s v="116.7"/>
    <x v="1"/>
    <n v="1.9359999999999999"/>
    <n v="44531.1"/>
    <n v="44.530999999999999"/>
    <d v="2023-07-01T00:00:00"/>
    <x v="0"/>
    <x v="1"/>
  </r>
  <r>
    <x v="11"/>
    <x v="7"/>
    <s v="Agustus"/>
    <s v="Division_A"/>
    <x v="23"/>
    <n v="2013"/>
    <n v="10"/>
    <s v="TM-Utama"/>
    <n v="23"/>
    <n v="2683"/>
    <s v="116.7"/>
    <x v="1"/>
    <n v="2.036"/>
    <n v="46825.1"/>
    <n v="46.825000000000003"/>
    <d v="2023-08-01T00:00:00"/>
    <x v="0"/>
    <x v="1"/>
  </r>
  <r>
    <x v="11"/>
    <x v="8"/>
    <s v="September"/>
    <s v="Division_A"/>
    <x v="23"/>
    <n v="2013"/>
    <n v="10"/>
    <s v="TM-Utama"/>
    <n v="23"/>
    <n v="2683"/>
    <s v="116.7"/>
    <x v="1"/>
    <n v="2.105"/>
    <n v="48414.7"/>
    <n v="48.414999999999999"/>
    <d v="2023-09-01T00:00:00"/>
    <x v="0"/>
    <x v="1"/>
  </r>
  <r>
    <x v="11"/>
    <x v="9"/>
    <s v="Oktober"/>
    <s v="Division_A"/>
    <x v="23"/>
    <n v="2013"/>
    <n v="10"/>
    <s v="TM-Utama"/>
    <n v="23"/>
    <n v="2683"/>
    <s v="116.7"/>
    <x v="1"/>
    <n v="1.867"/>
    <n v="42941.4"/>
    <n v="42.941000000000003"/>
    <d v="2023-10-01T00:00:00"/>
    <x v="0"/>
    <x v="1"/>
  </r>
  <r>
    <x v="11"/>
    <x v="10"/>
    <s v="November"/>
    <s v="Division_A"/>
    <x v="23"/>
    <n v="2013"/>
    <n v="10"/>
    <s v="TM-Utama"/>
    <n v="23"/>
    <n v="2683"/>
    <s v="116.7"/>
    <x v="1"/>
    <n v="1.544"/>
    <n v="35516.199999999997"/>
    <n v="35.515999999999998"/>
    <d v="2023-11-01T00:00:00"/>
    <x v="0"/>
    <x v="1"/>
  </r>
  <r>
    <x v="11"/>
    <x v="11"/>
    <s v="Desember"/>
    <s v="Division_A"/>
    <x v="23"/>
    <n v="2013"/>
    <n v="10"/>
    <s v="TM-Utama"/>
    <n v="23"/>
    <n v="2683"/>
    <s v="116.7"/>
    <x v="1"/>
    <n v="0.746"/>
    <n v="17164.5"/>
    <n v="17.164000000000001"/>
    <d v="2023-12-01T00:00:00"/>
    <x v="0"/>
    <x v="1"/>
  </r>
  <r>
    <x v="11"/>
    <x v="0"/>
    <s v="Januari"/>
    <s v="Division_A"/>
    <x v="24"/>
    <n v="2013"/>
    <n v="10"/>
    <s v="TM-Utama"/>
    <n v="24"/>
    <n v="3445"/>
    <s v="143.5"/>
    <x v="1"/>
    <n v="1.3919999999999999"/>
    <n v="33407.9"/>
    <n v="33.408000000000001"/>
    <d v="2023-01-01T00:00:00"/>
    <x v="0"/>
    <x v="1"/>
  </r>
  <r>
    <x v="11"/>
    <x v="1"/>
    <s v="Februari"/>
    <s v="Division_A"/>
    <x v="24"/>
    <n v="2013"/>
    <n v="10"/>
    <s v="TM-Utama"/>
    <n v="24"/>
    <n v="3445"/>
    <s v="143.5"/>
    <x v="1"/>
    <n v="1.9970000000000001"/>
    <n v="47928.6"/>
    <n v="47.929000000000002"/>
    <d v="2023-02-01T00:00:00"/>
    <x v="0"/>
    <x v="1"/>
  </r>
  <r>
    <x v="11"/>
    <x v="2"/>
    <s v="Maret"/>
    <s v="Division_A"/>
    <x v="24"/>
    <n v="2013"/>
    <n v="10"/>
    <s v="TM-Utama"/>
    <n v="24"/>
    <n v="3445"/>
    <s v="143.5"/>
    <x v="1"/>
    <n v="2.319"/>
    <n v="55654"/>
    <n v="55.654000000000003"/>
    <d v="2023-03-01T00:00:00"/>
    <x v="0"/>
    <x v="1"/>
  </r>
  <r>
    <x v="11"/>
    <x v="3"/>
    <s v="April"/>
    <s v="Division_A"/>
    <x v="24"/>
    <n v="2013"/>
    <n v="10"/>
    <s v="TM-Utama"/>
    <n v="24"/>
    <n v="3445"/>
    <s v="143.5"/>
    <x v="1"/>
    <n v="2.3570000000000002"/>
    <n v="56558.3"/>
    <n v="56.558"/>
    <d v="2023-04-01T00:00:00"/>
    <x v="0"/>
    <x v="1"/>
  </r>
  <r>
    <x v="11"/>
    <x v="4"/>
    <s v="Mei"/>
    <s v="Division_A"/>
    <x v="24"/>
    <n v="2013"/>
    <n v="10"/>
    <s v="TM-Utama"/>
    <n v="24"/>
    <n v="3445"/>
    <s v="143.5"/>
    <x v="1"/>
    <n v="2.3420000000000001"/>
    <n v="56196.6"/>
    <n v="56.197000000000003"/>
    <d v="2023-05-01T00:00:00"/>
    <x v="0"/>
    <x v="1"/>
  </r>
  <r>
    <x v="11"/>
    <x v="5"/>
    <s v="Juni"/>
    <s v="Division_A"/>
    <x v="24"/>
    <n v="2013"/>
    <n v="10"/>
    <s v="TM-Utama"/>
    <n v="24"/>
    <n v="3445"/>
    <s v="143.5"/>
    <x v="1"/>
    <n v="2.5910000000000002"/>
    <n v="62190.9"/>
    <n v="62.191000000000003"/>
    <d v="2023-06-01T00:00:00"/>
    <x v="0"/>
    <x v="1"/>
  </r>
  <r>
    <x v="11"/>
    <x v="6"/>
    <s v="Juli"/>
    <s v="Division_A"/>
    <x v="24"/>
    <n v="2013"/>
    <n v="10"/>
    <s v="TM-Utama"/>
    <n v="24"/>
    <n v="3445"/>
    <s v="143.5"/>
    <x v="1"/>
    <n v="2.3820000000000001"/>
    <n v="57178.400000000001"/>
    <n v="57.177999999999997"/>
    <d v="2023-07-01T00:00:00"/>
    <x v="0"/>
    <x v="1"/>
  </r>
  <r>
    <x v="11"/>
    <x v="7"/>
    <s v="Agustus"/>
    <s v="Division_A"/>
    <x v="24"/>
    <n v="2013"/>
    <n v="10"/>
    <s v="TM-Utama"/>
    <n v="24"/>
    <n v="3445"/>
    <s v="143.5"/>
    <x v="1"/>
    <n v="2.5049999999999999"/>
    <n v="60123.9"/>
    <n v="60.124000000000002"/>
    <d v="2023-08-01T00:00:00"/>
    <x v="0"/>
    <x v="1"/>
  </r>
  <r>
    <x v="11"/>
    <x v="8"/>
    <s v="September"/>
    <s v="Division_A"/>
    <x v="24"/>
    <n v="2013"/>
    <n v="10"/>
    <s v="TM-Utama"/>
    <n v="24"/>
    <n v="3445"/>
    <s v="143.5"/>
    <x v="1"/>
    <n v="2.59"/>
    <n v="62165"/>
    <n v="62.164999999999999"/>
    <d v="2023-09-01T00:00:00"/>
    <x v="0"/>
    <x v="1"/>
  </r>
  <r>
    <x v="11"/>
    <x v="9"/>
    <s v="Oktober"/>
    <s v="Division_A"/>
    <x v="24"/>
    <n v="2013"/>
    <n v="10"/>
    <s v="TM-Utama"/>
    <n v="24"/>
    <n v="3445"/>
    <s v="143.5"/>
    <x v="1"/>
    <n v="2.2970000000000002"/>
    <n v="55137.2"/>
    <n v="55.137"/>
    <d v="2023-10-01T00:00:00"/>
    <x v="0"/>
    <x v="1"/>
  </r>
  <r>
    <x v="11"/>
    <x v="10"/>
    <s v="November"/>
    <s v="Division_A"/>
    <x v="24"/>
    <n v="2013"/>
    <n v="10"/>
    <s v="TM-Utama"/>
    <n v="24"/>
    <n v="3445"/>
    <s v="143.5"/>
    <x v="1"/>
    <n v="1.9"/>
    <n v="45603.199999999997"/>
    <n v="45.603000000000002"/>
    <d v="2023-11-01T00:00:00"/>
    <x v="0"/>
    <x v="1"/>
  </r>
  <r>
    <x v="11"/>
    <x v="11"/>
    <s v="Desember"/>
    <s v="Division_A"/>
    <x v="24"/>
    <n v="2013"/>
    <n v="10"/>
    <s v="TM-Utama"/>
    <n v="24"/>
    <n v="3445"/>
    <s v="143.5"/>
    <x v="1"/>
    <n v="0.91800000000000004"/>
    <n v="22039.4"/>
    <n v="22.039000000000001"/>
    <d v="2023-12-01T00:00:00"/>
    <x v="0"/>
    <x v="1"/>
  </r>
  <r>
    <x v="11"/>
    <x v="0"/>
    <s v="Januari"/>
    <s v="Division_A"/>
    <x v="25"/>
    <n v="2013"/>
    <n v="10"/>
    <s v="TM-Utama"/>
    <n v="24"/>
    <n v="3271"/>
    <s v="136.3"/>
    <x v="1"/>
    <n v="1.3220000000000001"/>
    <n v="31720.5"/>
    <n v="31.721"/>
    <d v="2023-01-01T00:00:00"/>
    <x v="0"/>
    <x v="1"/>
  </r>
  <r>
    <x v="11"/>
    <x v="1"/>
    <s v="Februari"/>
    <s v="Division_A"/>
    <x v="25"/>
    <n v="2013"/>
    <n v="10"/>
    <s v="TM-Utama"/>
    <n v="24"/>
    <n v="3271"/>
    <s v="136.3"/>
    <x v="1"/>
    <n v="1.8959999999999999"/>
    <n v="45507.8"/>
    <n v="45.508000000000003"/>
    <d v="2023-02-01T00:00:00"/>
    <x v="0"/>
    <x v="1"/>
  </r>
  <r>
    <x v="11"/>
    <x v="2"/>
    <s v="Maret"/>
    <s v="Division_A"/>
    <x v="25"/>
    <n v="2013"/>
    <n v="10"/>
    <s v="TM-Utama"/>
    <n v="24"/>
    <n v="3271"/>
    <s v="136.3"/>
    <x v="1"/>
    <n v="2.202"/>
    <n v="52843"/>
    <n v="52.843000000000004"/>
    <d v="2023-03-01T00:00:00"/>
    <x v="0"/>
    <x v="1"/>
  </r>
  <r>
    <x v="11"/>
    <x v="3"/>
    <s v="April"/>
    <s v="Division_A"/>
    <x v="25"/>
    <n v="2013"/>
    <n v="10"/>
    <s v="TM-Utama"/>
    <n v="24"/>
    <n v="3271"/>
    <s v="136.3"/>
    <x v="1"/>
    <n v="2.238"/>
    <n v="53701.599999999999"/>
    <n v="53.701999999999998"/>
    <d v="2023-04-01T00:00:00"/>
    <x v="0"/>
    <x v="1"/>
  </r>
  <r>
    <x v="11"/>
    <x v="4"/>
    <s v="Mei"/>
    <s v="Division_A"/>
    <x v="25"/>
    <n v="2013"/>
    <n v="10"/>
    <s v="TM-Utama"/>
    <n v="24"/>
    <n v="3271"/>
    <s v="136.3"/>
    <x v="1"/>
    <n v="2.2229999999999999"/>
    <n v="53358.2"/>
    <n v="53.357999999999997"/>
    <d v="2023-05-01T00:00:00"/>
    <x v="0"/>
    <x v="1"/>
  </r>
  <r>
    <x v="11"/>
    <x v="5"/>
    <s v="Juni"/>
    <s v="Division_A"/>
    <x v="25"/>
    <n v="2013"/>
    <n v="10"/>
    <s v="TM-Utama"/>
    <n v="24"/>
    <n v="3271"/>
    <s v="136.3"/>
    <x v="1"/>
    <n v="2.46"/>
    <n v="59049.7"/>
    <n v="59.05"/>
    <d v="2023-06-01T00:00:00"/>
    <x v="0"/>
    <x v="1"/>
  </r>
  <r>
    <x v="11"/>
    <x v="6"/>
    <s v="Juli"/>
    <s v="Division_A"/>
    <x v="25"/>
    <n v="2013"/>
    <n v="10"/>
    <s v="TM-Utama"/>
    <n v="24"/>
    <n v="3271"/>
    <s v="136.3"/>
    <x v="1"/>
    <n v="2.262"/>
    <n v="54290.400000000001"/>
    <n v="54.29"/>
    <d v="2023-07-01T00:00:00"/>
    <x v="0"/>
    <x v="1"/>
  </r>
  <r>
    <x v="11"/>
    <x v="7"/>
    <s v="Agustus"/>
    <s v="Division_A"/>
    <x v="25"/>
    <n v="2013"/>
    <n v="10"/>
    <s v="TM-Utama"/>
    <n v="24"/>
    <n v="3271"/>
    <s v="136.3"/>
    <x v="1"/>
    <n v="2.379"/>
    <n v="57087.1"/>
    <n v="57.087000000000003"/>
    <d v="2023-08-01T00:00:00"/>
    <x v="0"/>
    <x v="1"/>
  </r>
  <r>
    <x v="11"/>
    <x v="8"/>
    <s v="September"/>
    <s v="Division_A"/>
    <x v="25"/>
    <n v="2013"/>
    <n v="10"/>
    <s v="TM-Utama"/>
    <n v="24"/>
    <n v="3271"/>
    <s v="136.3"/>
    <x v="1"/>
    <n v="2.4590000000000001"/>
    <n v="59025.2"/>
    <n v="59.024999999999999"/>
    <d v="2023-09-01T00:00:00"/>
    <x v="0"/>
    <x v="1"/>
  </r>
  <r>
    <x v="11"/>
    <x v="9"/>
    <s v="Oktober"/>
    <s v="Division_A"/>
    <x v="25"/>
    <n v="2013"/>
    <n v="10"/>
    <s v="TM-Utama"/>
    <n v="24"/>
    <n v="3271"/>
    <s v="136.3"/>
    <x v="1"/>
    <n v="2.181"/>
    <n v="52352.4"/>
    <n v="52.351999999999997"/>
    <d v="2023-10-01T00:00:00"/>
    <x v="0"/>
    <x v="1"/>
  </r>
  <r>
    <x v="11"/>
    <x v="10"/>
    <s v="November"/>
    <s v="Division_A"/>
    <x v="25"/>
    <n v="2013"/>
    <n v="10"/>
    <s v="TM-Utama"/>
    <n v="24"/>
    <n v="3271"/>
    <s v="136.3"/>
    <x v="1"/>
    <n v="1.804"/>
    <n v="43299.9"/>
    <n v="43.3"/>
    <d v="2023-11-01T00:00:00"/>
    <x v="0"/>
    <x v="1"/>
  </r>
  <r>
    <x v="11"/>
    <x v="11"/>
    <s v="Desember"/>
    <s v="Division_A"/>
    <x v="25"/>
    <n v="2013"/>
    <n v="10"/>
    <s v="TM-Utama"/>
    <n v="24"/>
    <n v="3271"/>
    <s v="136.3"/>
    <x v="1"/>
    <n v="0.872"/>
    <n v="20926.2"/>
    <n v="20.925999999999998"/>
    <d v="2023-12-01T00:00:00"/>
    <x v="0"/>
    <x v="1"/>
  </r>
  <r>
    <x v="11"/>
    <x v="0"/>
    <s v="Januari"/>
    <s v="Division_A"/>
    <x v="26"/>
    <n v="2013"/>
    <n v="10"/>
    <s v="TM-Utama"/>
    <n v="25"/>
    <n v="3291"/>
    <s v="131.6"/>
    <x v="1"/>
    <n v="1.2769999999999999"/>
    <n v="31914.5"/>
    <n v="31.914000000000001"/>
    <d v="2023-01-01T00:00:00"/>
    <x v="0"/>
    <x v="1"/>
  </r>
  <r>
    <x v="11"/>
    <x v="1"/>
    <s v="Februari"/>
    <s v="Division_A"/>
    <x v="26"/>
    <n v="2013"/>
    <n v="10"/>
    <s v="TM-Utama"/>
    <n v="25"/>
    <n v="3291"/>
    <s v="131.6"/>
    <x v="1"/>
    <n v="1.831"/>
    <n v="45786"/>
    <n v="45.786000000000001"/>
    <d v="2023-02-01T00:00:00"/>
    <x v="0"/>
    <x v="1"/>
  </r>
  <r>
    <x v="11"/>
    <x v="2"/>
    <s v="Maret"/>
    <s v="Division_A"/>
    <x v="26"/>
    <n v="2013"/>
    <n v="10"/>
    <s v="TM-Utama"/>
    <n v="25"/>
    <n v="3291"/>
    <s v="131.6"/>
    <x v="1"/>
    <n v="2.1269999999999998"/>
    <n v="53166.1"/>
    <n v="53.165999999999997"/>
    <d v="2023-03-01T00:00:00"/>
    <x v="0"/>
    <x v="1"/>
  </r>
  <r>
    <x v="11"/>
    <x v="3"/>
    <s v="April"/>
    <s v="Division_A"/>
    <x v="26"/>
    <n v="2013"/>
    <n v="10"/>
    <s v="TM-Utama"/>
    <n v="25"/>
    <n v="3291"/>
    <s v="131.6"/>
    <x v="1"/>
    <n v="2.161"/>
    <n v="54030"/>
    <n v="54.03"/>
    <d v="2023-04-01T00:00:00"/>
    <x v="0"/>
    <x v="1"/>
  </r>
  <r>
    <x v="11"/>
    <x v="4"/>
    <s v="Mei"/>
    <s v="Division_A"/>
    <x v="26"/>
    <n v="2013"/>
    <n v="10"/>
    <s v="TM-Utama"/>
    <n v="25"/>
    <n v="3291"/>
    <s v="131.6"/>
    <x v="1"/>
    <n v="2.1469999999999998"/>
    <n v="53684.4"/>
    <n v="53.683999999999997"/>
    <d v="2023-05-01T00:00:00"/>
    <x v="0"/>
    <x v="1"/>
  </r>
  <r>
    <x v="11"/>
    <x v="5"/>
    <s v="Juni"/>
    <s v="Division_A"/>
    <x v="26"/>
    <n v="2013"/>
    <n v="10"/>
    <s v="TM-Utama"/>
    <n v="25"/>
    <n v="3291"/>
    <s v="131.6"/>
    <x v="1"/>
    <n v="2.3759999999999999"/>
    <n v="59410.8"/>
    <n v="59.411000000000001"/>
    <d v="2023-06-01T00:00:00"/>
    <x v="0"/>
    <x v="1"/>
  </r>
  <r>
    <x v="11"/>
    <x v="6"/>
    <s v="Juli"/>
    <s v="Division_A"/>
    <x v="26"/>
    <n v="2013"/>
    <n v="10"/>
    <s v="TM-Utama"/>
    <n v="25"/>
    <n v="3291"/>
    <s v="131.6"/>
    <x v="1"/>
    <n v="2.1850000000000001"/>
    <n v="54622.400000000001"/>
    <n v="54.622"/>
    <d v="2023-07-01T00:00:00"/>
    <x v="0"/>
    <x v="1"/>
  </r>
  <r>
    <x v="11"/>
    <x v="7"/>
    <s v="Agustus"/>
    <s v="Division_A"/>
    <x v="26"/>
    <n v="2013"/>
    <n v="10"/>
    <s v="TM-Utama"/>
    <n v="25"/>
    <n v="3291"/>
    <s v="131.6"/>
    <x v="1"/>
    <n v="2.2970000000000002"/>
    <n v="57436.2"/>
    <n v="57.436"/>
    <d v="2023-08-01T00:00:00"/>
    <x v="0"/>
    <x v="1"/>
  </r>
  <r>
    <x v="11"/>
    <x v="8"/>
    <s v="September"/>
    <s v="Division_A"/>
    <x v="26"/>
    <n v="2013"/>
    <n v="10"/>
    <s v="TM-Utama"/>
    <n v="25"/>
    <n v="3291"/>
    <s v="131.6"/>
    <x v="1"/>
    <n v="2.375"/>
    <n v="59386.1"/>
    <n v="59.386000000000003"/>
    <d v="2023-09-01T00:00:00"/>
    <x v="0"/>
    <x v="1"/>
  </r>
  <r>
    <x v="11"/>
    <x v="9"/>
    <s v="Oktober"/>
    <s v="Division_A"/>
    <x v="26"/>
    <n v="2013"/>
    <n v="10"/>
    <s v="TM-Utama"/>
    <n v="25"/>
    <n v="3291"/>
    <s v="131.6"/>
    <x v="1"/>
    <n v="2.1070000000000002"/>
    <n v="52672.5"/>
    <n v="52.671999999999997"/>
    <d v="2023-10-01T00:00:00"/>
    <x v="0"/>
    <x v="1"/>
  </r>
  <r>
    <x v="11"/>
    <x v="10"/>
    <s v="November"/>
    <s v="Division_A"/>
    <x v="26"/>
    <n v="2013"/>
    <n v="10"/>
    <s v="TM-Utama"/>
    <n v="25"/>
    <n v="3291"/>
    <s v="131.6"/>
    <x v="1"/>
    <n v="1.7430000000000001"/>
    <n v="43564.6"/>
    <n v="43.564999999999998"/>
    <d v="2023-11-01T00:00:00"/>
    <x v="0"/>
    <x v="1"/>
  </r>
  <r>
    <x v="11"/>
    <x v="11"/>
    <s v="Desember"/>
    <s v="Division_A"/>
    <x v="26"/>
    <n v="2013"/>
    <n v="10"/>
    <s v="TM-Utama"/>
    <n v="25"/>
    <n v="3291"/>
    <s v="131.6"/>
    <x v="1"/>
    <n v="0.84199999999999997"/>
    <n v="21054.2"/>
    <n v="21.053999999999998"/>
    <d v="2023-12-01T00:00:00"/>
    <x v="0"/>
    <x v="1"/>
  </r>
  <r>
    <x v="11"/>
    <x v="0"/>
    <s v="Januari"/>
    <s v="Division_A"/>
    <x v="27"/>
    <n v="2014"/>
    <n v="9"/>
    <s v="TM-Utama"/>
    <n v="24"/>
    <n v="2208"/>
    <s v="92"/>
    <x v="1"/>
    <n v="0.98899999999999999"/>
    <n v="23739.5"/>
    <n v="23.739000000000001"/>
    <d v="2023-01-01T00:00:00"/>
    <x v="0"/>
    <x v="1"/>
  </r>
  <r>
    <x v="11"/>
    <x v="1"/>
    <s v="Februari"/>
    <s v="Division_A"/>
    <x v="27"/>
    <n v="2014"/>
    <n v="9"/>
    <s v="TM-Utama"/>
    <n v="24"/>
    <n v="2208"/>
    <s v="92"/>
    <x v="1"/>
    <n v="1.419"/>
    <n v="34057.800000000003"/>
    <n v="34.058"/>
    <d v="2023-02-01T00:00:00"/>
    <x v="0"/>
    <x v="1"/>
  </r>
  <r>
    <x v="11"/>
    <x v="2"/>
    <s v="Maret"/>
    <s v="Division_A"/>
    <x v="27"/>
    <n v="2014"/>
    <n v="9"/>
    <s v="TM-Utama"/>
    <n v="24"/>
    <n v="2208"/>
    <s v="92"/>
    <x v="1"/>
    <n v="1.6479999999999999"/>
    <n v="39547.4"/>
    <n v="39.546999999999997"/>
    <d v="2023-03-01T00:00:00"/>
    <x v="0"/>
    <x v="1"/>
  </r>
  <r>
    <x v="11"/>
    <x v="3"/>
    <s v="April"/>
    <s v="Division_A"/>
    <x v="27"/>
    <n v="2014"/>
    <n v="9"/>
    <s v="TM-Utama"/>
    <n v="24"/>
    <n v="2208"/>
    <s v="92"/>
    <x v="1"/>
    <n v="1.675"/>
    <n v="40190"/>
    <n v="40.19"/>
    <d v="2023-04-01T00:00:00"/>
    <x v="0"/>
    <x v="1"/>
  </r>
  <r>
    <x v="11"/>
    <x v="4"/>
    <s v="Mei"/>
    <s v="Division_A"/>
    <x v="27"/>
    <n v="2014"/>
    <n v="9"/>
    <s v="TM-Utama"/>
    <n v="24"/>
    <n v="2208"/>
    <s v="92"/>
    <x v="1"/>
    <n v="1.6639999999999999"/>
    <n v="39933"/>
    <n v="39.933"/>
    <d v="2023-05-01T00:00:00"/>
    <x v="0"/>
    <x v="1"/>
  </r>
  <r>
    <x v="11"/>
    <x v="5"/>
    <s v="Juni"/>
    <s v="Division_A"/>
    <x v="27"/>
    <n v="2014"/>
    <n v="9"/>
    <s v="TM-Utama"/>
    <n v="24"/>
    <n v="2208"/>
    <s v="92"/>
    <x v="1"/>
    <n v="1.841"/>
    <n v="44192.5"/>
    <n v="44.192999999999998"/>
    <d v="2023-06-01T00:00:00"/>
    <x v="0"/>
    <x v="1"/>
  </r>
  <r>
    <x v="11"/>
    <x v="6"/>
    <s v="Juli"/>
    <s v="Division_A"/>
    <x v="27"/>
    <n v="2014"/>
    <n v="9"/>
    <s v="TM-Utama"/>
    <n v="24"/>
    <n v="2208"/>
    <s v="92"/>
    <x v="1"/>
    <n v="1.6930000000000001"/>
    <n v="40630.699999999997"/>
    <n v="40.631"/>
    <d v="2023-07-01T00:00:00"/>
    <x v="0"/>
    <x v="1"/>
  </r>
  <r>
    <x v="11"/>
    <x v="7"/>
    <s v="Agustus"/>
    <s v="Division_A"/>
    <x v="27"/>
    <n v="2014"/>
    <n v="9"/>
    <s v="TM-Utama"/>
    <n v="24"/>
    <n v="2208"/>
    <s v="92"/>
    <x v="1"/>
    <n v="1.78"/>
    <n v="42723.7"/>
    <n v="42.723999999999997"/>
    <d v="2023-08-01T00:00:00"/>
    <x v="0"/>
    <x v="1"/>
  </r>
  <r>
    <x v="11"/>
    <x v="8"/>
    <s v="September"/>
    <s v="Division_A"/>
    <x v="27"/>
    <n v="2014"/>
    <n v="9"/>
    <s v="TM-Utama"/>
    <n v="24"/>
    <n v="2208"/>
    <s v="92"/>
    <x v="1"/>
    <n v="1.841"/>
    <n v="44174.2"/>
    <n v="44.173999999999999"/>
    <d v="2023-09-01T00:00:00"/>
    <x v="0"/>
    <x v="1"/>
  </r>
  <r>
    <x v="11"/>
    <x v="9"/>
    <s v="Oktober"/>
    <s v="Division_A"/>
    <x v="27"/>
    <n v="2014"/>
    <n v="9"/>
    <s v="TM-Utama"/>
    <n v="24"/>
    <n v="2208"/>
    <s v="92"/>
    <x v="1"/>
    <n v="1.633"/>
    <n v="39180.199999999997"/>
    <n v="39.18"/>
    <d v="2023-10-01T00:00:00"/>
    <x v="0"/>
    <x v="1"/>
  </r>
  <r>
    <x v="11"/>
    <x v="10"/>
    <s v="November"/>
    <s v="Division_A"/>
    <x v="27"/>
    <n v="2014"/>
    <n v="9"/>
    <s v="TM-Utama"/>
    <n v="24"/>
    <n v="2208"/>
    <s v="92"/>
    <x v="1"/>
    <n v="1.35"/>
    <n v="32405.4"/>
    <n v="32.405000000000001"/>
    <d v="2023-11-01T00:00:00"/>
    <x v="0"/>
    <x v="1"/>
  </r>
  <r>
    <x v="11"/>
    <x v="11"/>
    <s v="Desember"/>
    <s v="Division_A"/>
    <x v="27"/>
    <n v="2014"/>
    <n v="9"/>
    <s v="TM-Utama"/>
    <n v="24"/>
    <n v="2208"/>
    <s v="92"/>
    <x v="1"/>
    <n v="0.65300000000000002"/>
    <n v="15661.1"/>
    <n v="15.661"/>
    <d v="2023-12-01T00:00:00"/>
    <x v="0"/>
    <x v="1"/>
  </r>
  <r>
    <x v="11"/>
    <x v="0"/>
    <s v="Januari"/>
    <s v="Division_A"/>
    <x v="28"/>
    <n v="2014"/>
    <n v="9"/>
    <s v="TM-Utama"/>
    <n v="20"/>
    <n v="1954"/>
    <s v="97.7"/>
    <x v="1"/>
    <n v="0.98899999999999999"/>
    <n v="19782.900000000001"/>
    <n v="19.783000000000001"/>
    <d v="2023-01-01T00:00:00"/>
    <x v="0"/>
    <x v="1"/>
  </r>
  <r>
    <x v="11"/>
    <x v="1"/>
    <s v="Februari"/>
    <s v="Division_A"/>
    <x v="28"/>
    <n v="2014"/>
    <n v="9"/>
    <s v="TM-Utama"/>
    <n v="20"/>
    <n v="1954"/>
    <s v="97.7"/>
    <x v="1"/>
    <n v="1.419"/>
    <n v="28381.5"/>
    <n v="28.382000000000001"/>
    <d v="2023-02-01T00:00:00"/>
    <x v="0"/>
    <x v="1"/>
  </r>
  <r>
    <x v="11"/>
    <x v="2"/>
    <s v="Maret"/>
    <s v="Division_A"/>
    <x v="28"/>
    <n v="2014"/>
    <n v="9"/>
    <s v="TM-Utama"/>
    <n v="20"/>
    <n v="1954"/>
    <s v="97.7"/>
    <x v="1"/>
    <n v="1.6479999999999999"/>
    <n v="32956.199999999997"/>
    <n v="32.956000000000003"/>
    <d v="2023-03-01T00:00:00"/>
    <x v="0"/>
    <x v="1"/>
  </r>
  <r>
    <x v="11"/>
    <x v="3"/>
    <s v="April"/>
    <s v="Division_A"/>
    <x v="28"/>
    <n v="2014"/>
    <n v="9"/>
    <s v="TM-Utama"/>
    <n v="20"/>
    <n v="1954"/>
    <s v="97.7"/>
    <x v="1"/>
    <n v="1.675"/>
    <n v="33491.699999999997"/>
    <n v="33.491999999999997"/>
    <d v="2023-04-01T00:00:00"/>
    <x v="0"/>
    <x v="1"/>
  </r>
  <r>
    <x v="11"/>
    <x v="4"/>
    <s v="Mei"/>
    <s v="Division_A"/>
    <x v="28"/>
    <n v="2014"/>
    <n v="9"/>
    <s v="TM-Utama"/>
    <n v="20"/>
    <n v="1954"/>
    <s v="97.7"/>
    <x v="1"/>
    <n v="1.6639999999999999"/>
    <n v="33277.5"/>
    <n v="33.277999999999999"/>
    <d v="2023-05-01T00:00:00"/>
    <x v="0"/>
    <x v="1"/>
  </r>
  <r>
    <x v="11"/>
    <x v="5"/>
    <s v="Juni"/>
    <s v="Division_A"/>
    <x v="28"/>
    <n v="2014"/>
    <n v="9"/>
    <s v="TM-Utama"/>
    <n v="20"/>
    <n v="1954"/>
    <s v="97.7"/>
    <x v="1"/>
    <n v="1.841"/>
    <n v="36827.1"/>
    <n v="36.826999999999998"/>
    <d v="2023-06-01T00:00:00"/>
    <x v="0"/>
    <x v="1"/>
  </r>
  <r>
    <x v="11"/>
    <x v="6"/>
    <s v="Juli"/>
    <s v="Division_A"/>
    <x v="28"/>
    <n v="2014"/>
    <n v="9"/>
    <s v="TM-Utama"/>
    <n v="20"/>
    <n v="1954"/>
    <s v="97.7"/>
    <x v="1"/>
    <n v="1.6930000000000001"/>
    <n v="33858.9"/>
    <n v="33.859000000000002"/>
    <d v="2023-07-01T00:00:00"/>
    <x v="0"/>
    <x v="1"/>
  </r>
  <r>
    <x v="11"/>
    <x v="7"/>
    <s v="Agustus"/>
    <s v="Division_A"/>
    <x v="28"/>
    <n v="2014"/>
    <n v="9"/>
    <s v="TM-Utama"/>
    <n v="20"/>
    <n v="1954"/>
    <s v="97.7"/>
    <x v="1"/>
    <n v="1.78"/>
    <n v="35603.1"/>
    <n v="35.603000000000002"/>
    <d v="2023-08-01T00:00:00"/>
    <x v="0"/>
    <x v="1"/>
  </r>
  <r>
    <x v="11"/>
    <x v="8"/>
    <s v="September"/>
    <s v="Division_A"/>
    <x v="28"/>
    <n v="2014"/>
    <n v="9"/>
    <s v="TM-Utama"/>
    <n v="20"/>
    <n v="1954"/>
    <s v="97.7"/>
    <x v="1"/>
    <n v="1.841"/>
    <n v="36811.800000000003"/>
    <n v="36.811999999999998"/>
    <d v="2023-09-01T00:00:00"/>
    <x v="0"/>
    <x v="1"/>
  </r>
  <r>
    <x v="11"/>
    <x v="9"/>
    <s v="Oktober"/>
    <s v="Division_A"/>
    <x v="28"/>
    <n v="2014"/>
    <n v="9"/>
    <s v="TM-Utama"/>
    <n v="20"/>
    <n v="1954"/>
    <s v="97.7"/>
    <x v="1"/>
    <n v="1.633"/>
    <n v="32650.2"/>
    <n v="32.65"/>
    <d v="2023-10-01T00:00:00"/>
    <x v="0"/>
    <x v="1"/>
  </r>
  <r>
    <x v="11"/>
    <x v="10"/>
    <s v="November"/>
    <s v="Division_A"/>
    <x v="28"/>
    <n v="2014"/>
    <n v="9"/>
    <s v="TM-Utama"/>
    <n v="20"/>
    <n v="1954"/>
    <s v="97.7"/>
    <x v="1"/>
    <n v="1.35"/>
    <n v="27004.5"/>
    <n v="27.004999999999999"/>
    <d v="2023-11-01T00:00:00"/>
    <x v="0"/>
    <x v="1"/>
  </r>
  <r>
    <x v="11"/>
    <x v="11"/>
    <s v="Desember"/>
    <s v="Division_A"/>
    <x v="28"/>
    <n v="2014"/>
    <n v="9"/>
    <s v="TM-Utama"/>
    <n v="20"/>
    <n v="1954"/>
    <s v="97.7"/>
    <x v="1"/>
    <n v="0.65300000000000002"/>
    <n v="13050.9"/>
    <n v="13.051"/>
    <d v="2023-12-01T00:00:00"/>
    <x v="0"/>
    <x v="1"/>
  </r>
  <r>
    <x v="11"/>
    <x v="0"/>
    <s v="Januari"/>
    <s v="Division_A"/>
    <x v="29"/>
    <n v="2014"/>
    <n v="9"/>
    <s v="TM-Utama"/>
    <n v="24"/>
    <n v="1329"/>
    <s v="55.4"/>
    <x v="1"/>
    <n v="0.98899999999999999"/>
    <n v="23739.5"/>
    <n v="23.739000000000001"/>
    <d v="2023-01-01T00:00:00"/>
    <x v="0"/>
    <x v="1"/>
  </r>
  <r>
    <x v="11"/>
    <x v="1"/>
    <s v="Februari"/>
    <s v="Division_A"/>
    <x v="29"/>
    <n v="2014"/>
    <n v="9"/>
    <s v="TM-Utama"/>
    <n v="24"/>
    <n v="1329"/>
    <s v="55.4"/>
    <x v="1"/>
    <n v="1.419"/>
    <n v="34057.800000000003"/>
    <n v="34.058"/>
    <d v="2023-02-01T00:00:00"/>
    <x v="0"/>
    <x v="1"/>
  </r>
  <r>
    <x v="11"/>
    <x v="2"/>
    <s v="Maret"/>
    <s v="Division_A"/>
    <x v="29"/>
    <n v="2014"/>
    <n v="9"/>
    <s v="TM-Utama"/>
    <n v="24"/>
    <n v="1329"/>
    <s v="55.4"/>
    <x v="1"/>
    <n v="1.6479999999999999"/>
    <n v="39547.4"/>
    <n v="39.546999999999997"/>
    <d v="2023-03-01T00:00:00"/>
    <x v="0"/>
    <x v="1"/>
  </r>
  <r>
    <x v="11"/>
    <x v="3"/>
    <s v="April"/>
    <s v="Division_A"/>
    <x v="29"/>
    <n v="2014"/>
    <n v="9"/>
    <s v="TM-Utama"/>
    <n v="24"/>
    <n v="1329"/>
    <s v="55.4"/>
    <x v="1"/>
    <n v="1.675"/>
    <n v="40190"/>
    <n v="40.19"/>
    <d v="2023-04-01T00:00:00"/>
    <x v="0"/>
    <x v="1"/>
  </r>
  <r>
    <x v="11"/>
    <x v="4"/>
    <s v="Mei"/>
    <s v="Division_A"/>
    <x v="29"/>
    <n v="2014"/>
    <n v="9"/>
    <s v="TM-Utama"/>
    <n v="24"/>
    <n v="1329"/>
    <s v="55.4"/>
    <x v="1"/>
    <n v="1.6639999999999999"/>
    <n v="39933"/>
    <n v="39.933"/>
    <d v="2023-05-01T00:00:00"/>
    <x v="0"/>
    <x v="1"/>
  </r>
  <r>
    <x v="11"/>
    <x v="5"/>
    <s v="Juni"/>
    <s v="Division_A"/>
    <x v="29"/>
    <n v="2014"/>
    <n v="9"/>
    <s v="TM-Utama"/>
    <n v="24"/>
    <n v="1329"/>
    <s v="55.4"/>
    <x v="1"/>
    <n v="1.841"/>
    <n v="44192.5"/>
    <n v="44.192999999999998"/>
    <d v="2023-06-01T00:00:00"/>
    <x v="0"/>
    <x v="1"/>
  </r>
  <r>
    <x v="11"/>
    <x v="6"/>
    <s v="Juli"/>
    <s v="Division_A"/>
    <x v="29"/>
    <n v="2014"/>
    <n v="9"/>
    <s v="TM-Utama"/>
    <n v="24"/>
    <n v="1329"/>
    <s v="55.4"/>
    <x v="1"/>
    <n v="1.6930000000000001"/>
    <n v="40630.699999999997"/>
    <n v="40.631"/>
    <d v="2023-07-01T00:00:00"/>
    <x v="0"/>
    <x v="1"/>
  </r>
  <r>
    <x v="11"/>
    <x v="7"/>
    <s v="Agustus"/>
    <s v="Division_A"/>
    <x v="29"/>
    <n v="2014"/>
    <n v="9"/>
    <s v="TM-Utama"/>
    <n v="24"/>
    <n v="1329"/>
    <s v="55.4"/>
    <x v="1"/>
    <n v="1.78"/>
    <n v="42723.7"/>
    <n v="42.723999999999997"/>
    <d v="2023-08-01T00:00:00"/>
    <x v="0"/>
    <x v="1"/>
  </r>
  <r>
    <x v="11"/>
    <x v="8"/>
    <s v="September"/>
    <s v="Division_A"/>
    <x v="29"/>
    <n v="2014"/>
    <n v="9"/>
    <s v="TM-Utama"/>
    <n v="24"/>
    <n v="1329"/>
    <s v="55.4"/>
    <x v="1"/>
    <n v="1.841"/>
    <n v="44174.2"/>
    <n v="44.173999999999999"/>
    <d v="2023-09-01T00:00:00"/>
    <x v="0"/>
    <x v="1"/>
  </r>
  <r>
    <x v="11"/>
    <x v="9"/>
    <s v="Oktober"/>
    <s v="Division_A"/>
    <x v="29"/>
    <n v="2014"/>
    <n v="9"/>
    <s v="TM-Utama"/>
    <n v="24"/>
    <n v="1329"/>
    <s v="55.4"/>
    <x v="1"/>
    <n v="1.633"/>
    <n v="39180.199999999997"/>
    <n v="39.18"/>
    <d v="2023-10-01T00:00:00"/>
    <x v="0"/>
    <x v="1"/>
  </r>
  <r>
    <x v="11"/>
    <x v="10"/>
    <s v="November"/>
    <s v="Division_A"/>
    <x v="29"/>
    <n v="2014"/>
    <n v="9"/>
    <s v="TM-Utama"/>
    <n v="24"/>
    <n v="1329"/>
    <s v="55.4"/>
    <x v="1"/>
    <n v="1.35"/>
    <n v="32405.4"/>
    <n v="32.405000000000001"/>
    <d v="2023-11-01T00:00:00"/>
    <x v="0"/>
    <x v="1"/>
  </r>
  <r>
    <x v="11"/>
    <x v="11"/>
    <s v="Desember"/>
    <s v="Division_A"/>
    <x v="29"/>
    <n v="2014"/>
    <n v="9"/>
    <s v="TM-Utama"/>
    <n v="24"/>
    <n v="1329"/>
    <s v="55.4"/>
    <x v="1"/>
    <n v="0.65300000000000002"/>
    <n v="15661.1"/>
    <n v="15.661"/>
    <d v="2023-12-01T00:00:00"/>
    <x v="0"/>
    <x v="1"/>
  </r>
  <r>
    <x v="11"/>
    <x v="0"/>
    <s v="Januari"/>
    <s v="Division_A"/>
    <x v="30"/>
    <n v="2014"/>
    <n v="9"/>
    <s v="TM-Utama"/>
    <n v="24"/>
    <n v="1573"/>
    <s v="65.5"/>
    <x v="1"/>
    <n v="0.98899999999999999"/>
    <n v="23739.5"/>
    <n v="23.739000000000001"/>
    <d v="2023-01-01T00:00:00"/>
    <x v="0"/>
    <x v="1"/>
  </r>
  <r>
    <x v="11"/>
    <x v="1"/>
    <s v="Februari"/>
    <s v="Division_A"/>
    <x v="30"/>
    <n v="2014"/>
    <n v="9"/>
    <s v="TM-Utama"/>
    <n v="24"/>
    <n v="1573"/>
    <s v="65.5"/>
    <x v="1"/>
    <n v="1.419"/>
    <n v="34057.800000000003"/>
    <n v="34.058"/>
    <d v="2023-02-01T00:00:00"/>
    <x v="0"/>
    <x v="1"/>
  </r>
  <r>
    <x v="11"/>
    <x v="2"/>
    <s v="Maret"/>
    <s v="Division_A"/>
    <x v="30"/>
    <n v="2014"/>
    <n v="9"/>
    <s v="TM-Utama"/>
    <n v="24"/>
    <n v="1573"/>
    <s v="65.5"/>
    <x v="1"/>
    <n v="1.6479999999999999"/>
    <n v="39547.4"/>
    <n v="39.546999999999997"/>
    <d v="2023-03-01T00:00:00"/>
    <x v="0"/>
    <x v="1"/>
  </r>
  <r>
    <x v="11"/>
    <x v="3"/>
    <s v="April"/>
    <s v="Division_A"/>
    <x v="30"/>
    <n v="2014"/>
    <n v="9"/>
    <s v="TM-Utama"/>
    <n v="24"/>
    <n v="1573"/>
    <s v="65.5"/>
    <x v="1"/>
    <n v="1.675"/>
    <n v="40190"/>
    <n v="40.19"/>
    <d v="2023-04-01T00:00:00"/>
    <x v="0"/>
    <x v="1"/>
  </r>
  <r>
    <x v="11"/>
    <x v="4"/>
    <s v="Mei"/>
    <s v="Division_A"/>
    <x v="30"/>
    <n v="2014"/>
    <n v="9"/>
    <s v="TM-Utama"/>
    <n v="24"/>
    <n v="1573"/>
    <s v="65.5"/>
    <x v="1"/>
    <n v="1.6639999999999999"/>
    <n v="39933"/>
    <n v="39.933"/>
    <d v="2023-05-01T00:00:00"/>
    <x v="0"/>
    <x v="1"/>
  </r>
  <r>
    <x v="11"/>
    <x v="5"/>
    <s v="Juni"/>
    <s v="Division_A"/>
    <x v="30"/>
    <n v="2014"/>
    <n v="9"/>
    <s v="TM-Utama"/>
    <n v="24"/>
    <n v="1573"/>
    <s v="65.5"/>
    <x v="1"/>
    <n v="1.841"/>
    <n v="44192.5"/>
    <n v="44.192999999999998"/>
    <d v="2023-06-01T00:00:00"/>
    <x v="0"/>
    <x v="1"/>
  </r>
  <r>
    <x v="11"/>
    <x v="6"/>
    <s v="Juli"/>
    <s v="Division_A"/>
    <x v="30"/>
    <n v="2014"/>
    <n v="9"/>
    <s v="TM-Utama"/>
    <n v="24"/>
    <n v="1573"/>
    <s v="65.5"/>
    <x v="1"/>
    <n v="1.6930000000000001"/>
    <n v="40630.699999999997"/>
    <n v="40.631"/>
    <d v="2023-07-01T00:00:00"/>
    <x v="0"/>
    <x v="1"/>
  </r>
  <r>
    <x v="11"/>
    <x v="7"/>
    <s v="Agustus"/>
    <s v="Division_A"/>
    <x v="30"/>
    <n v="2014"/>
    <n v="9"/>
    <s v="TM-Utama"/>
    <n v="24"/>
    <n v="1573"/>
    <s v="65.5"/>
    <x v="1"/>
    <n v="1.78"/>
    <n v="42723.7"/>
    <n v="42.723999999999997"/>
    <d v="2023-08-01T00:00:00"/>
    <x v="0"/>
    <x v="1"/>
  </r>
  <r>
    <x v="11"/>
    <x v="8"/>
    <s v="September"/>
    <s v="Division_A"/>
    <x v="30"/>
    <n v="2014"/>
    <n v="9"/>
    <s v="TM-Utama"/>
    <n v="24"/>
    <n v="1573"/>
    <s v="65.5"/>
    <x v="1"/>
    <n v="1.841"/>
    <n v="44174.2"/>
    <n v="44.173999999999999"/>
    <d v="2023-09-01T00:00:00"/>
    <x v="0"/>
    <x v="1"/>
  </r>
  <r>
    <x v="11"/>
    <x v="9"/>
    <s v="Oktober"/>
    <s v="Division_A"/>
    <x v="30"/>
    <n v="2014"/>
    <n v="9"/>
    <s v="TM-Utama"/>
    <n v="24"/>
    <n v="1573"/>
    <s v="65.5"/>
    <x v="1"/>
    <n v="1.633"/>
    <n v="39180.199999999997"/>
    <n v="39.18"/>
    <d v="2023-10-01T00:00:00"/>
    <x v="0"/>
    <x v="1"/>
  </r>
  <r>
    <x v="11"/>
    <x v="10"/>
    <s v="November"/>
    <s v="Division_A"/>
    <x v="30"/>
    <n v="2014"/>
    <n v="9"/>
    <s v="TM-Utama"/>
    <n v="24"/>
    <n v="1573"/>
    <s v="65.5"/>
    <x v="1"/>
    <n v="1.35"/>
    <n v="32405.4"/>
    <n v="32.405000000000001"/>
    <d v="2023-11-01T00:00:00"/>
    <x v="0"/>
    <x v="1"/>
  </r>
  <r>
    <x v="11"/>
    <x v="11"/>
    <s v="Desember"/>
    <s v="Division_A"/>
    <x v="30"/>
    <n v="2014"/>
    <n v="9"/>
    <s v="TM-Utama"/>
    <n v="24"/>
    <n v="1573"/>
    <s v="65.5"/>
    <x v="1"/>
    <n v="0.65300000000000002"/>
    <n v="15661.1"/>
    <n v="15.661"/>
    <d v="2023-12-01T00:00:00"/>
    <x v="0"/>
    <x v="1"/>
  </r>
  <r>
    <x v="11"/>
    <x v="0"/>
    <s v="Januari"/>
    <s v="Division_A"/>
    <x v="31"/>
    <n v="2016"/>
    <n v="7"/>
    <s v="TM-Utama"/>
    <n v="22"/>
    <n v="3137"/>
    <s v="142.6"/>
    <x v="0"/>
    <n v="1.383"/>
    <n v="30421.1"/>
    <n v="30.420999999999999"/>
    <d v="2023-01-01T00:00:00"/>
    <x v="0"/>
    <x v="1"/>
  </r>
  <r>
    <x v="11"/>
    <x v="1"/>
    <s v="Februari"/>
    <s v="Division_A"/>
    <x v="31"/>
    <n v="2016"/>
    <n v="7"/>
    <s v="TM-Utama"/>
    <n v="22"/>
    <n v="3137"/>
    <s v="142.6"/>
    <x v="0"/>
    <n v="1.984"/>
    <n v="43643.5"/>
    <n v="43.643999999999998"/>
    <d v="2023-02-01T00:00:00"/>
    <x v="0"/>
    <x v="1"/>
  </r>
  <r>
    <x v="11"/>
    <x v="2"/>
    <s v="Maret"/>
    <s v="Division_A"/>
    <x v="31"/>
    <n v="2016"/>
    <n v="7"/>
    <s v="TM-Utama"/>
    <n v="22"/>
    <n v="3137"/>
    <s v="142.6"/>
    <x v="0"/>
    <n v="2.3039999999999998"/>
    <n v="50678.2"/>
    <n v="50.677999999999997"/>
    <d v="2023-03-01T00:00:00"/>
    <x v="0"/>
    <x v="1"/>
  </r>
  <r>
    <x v="11"/>
    <x v="3"/>
    <s v="April"/>
    <s v="Division_A"/>
    <x v="31"/>
    <n v="2016"/>
    <n v="7"/>
    <s v="TM-Utama"/>
    <n v="22"/>
    <n v="3137"/>
    <s v="142.6"/>
    <x v="0"/>
    <n v="2.3410000000000002"/>
    <n v="51501.7"/>
    <n v="51.502000000000002"/>
    <d v="2023-04-01T00:00:00"/>
    <x v="0"/>
    <x v="1"/>
  </r>
  <r>
    <x v="11"/>
    <x v="4"/>
    <s v="Mei"/>
    <s v="Division_A"/>
    <x v="31"/>
    <n v="2016"/>
    <n v="7"/>
    <s v="TM-Utama"/>
    <n v="22"/>
    <n v="3137"/>
    <s v="142.6"/>
    <x v="0"/>
    <n v="2.3260000000000001"/>
    <n v="51172.3"/>
    <n v="51.171999999999997"/>
    <d v="2023-05-01T00:00:00"/>
    <x v="0"/>
    <x v="1"/>
  </r>
  <r>
    <x v="11"/>
    <x v="5"/>
    <s v="Juni"/>
    <s v="Division_A"/>
    <x v="31"/>
    <n v="2016"/>
    <n v="7"/>
    <s v="TM-Utama"/>
    <n v="22"/>
    <n v="3137"/>
    <s v="142.6"/>
    <x v="0"/>
    <n v="2.5739999999999998"/>
    <n v="56630.7"/>
    <n v="56.631"/>
    <d v="2023-06-01T00:00:00"/>
    <x v="0"/>
    <x v="1"/>
  </r>
  <r>
    <x v="11"/>
    <x v="6"/>
    <s v="Juli"/>
    <s v="Division_A"/>
    <x v="31"/>
    <n v="2016"/>
    <n v="7"/>
    <s v="TM-Utama"/>
    <n v="22"/>
    <n v="3137"/>
    <s v="142.6"/>
    <x v="0"/>
    <n v="2.367"/>
    <n v="52066.400000000001"/>
    <n v="52.066000000000003"/>
    <d v="2023-07-01T00:00:00"/>
    <x v="0"/>
    <x v="1"/>
  </r>
  <r>
    <x v="11"/>
    <x v="7"/>
    <s v="Agustus"/>
    <s v="Division_A"/>
    <x v="31"/>
    <n v="2016"/>
    <n v="7"/>
    <s v="TM-Utama"/>
    <n v="22"/>
    <n v="3137"/>
    <s v="142.6"/>
    <x v="0"/>
    <n v="2.4889999999999999"/>
    <n v="54748.5"/>
    <n v="54.747999999999998"/>
    <d v="2023-08-01T00:00:00"/>
    <x v="0"/>
    <x v="1"/>
  </r>
  <r>
    <x v="11"/>
    <x v="8"/>
    <s v="September"/>
    <s v="Division_A"/>
    <x v="31"/>
    <n v="2016"/>
    <n v="7"/>
    <s v="TM-Utama"/>
    <n v="22"/>
    <n v="3137"/>
    <s v="142.6"/>
    <x v="0"/>
    <n v="2.573"/>
    <n v="56607.199999999997"/>
    <n v="56.606999999999999"/>
    <d v="2023-09-01T00:00:00"/>
    <x v="0"/>
    <x v="1"/>
  </r>
  <r>
    <x v="11"/>
    <x v="9"/>
    <s v="Oktober"/>
    <s v="Division_A"/>
    <x v="31"/>
    <n v="2016"/>
    <n v="7"/>
    <s v="TM-Utama"/>
    <n v="22"/>
    <n v="3137"/>
    <s v="142.6"/>
    <x v="0"/>
    <n v="2.282"/>
    <n v="50207.7"/>
    <n v="50.207999999999998"/>
    <d v="2023-10-01T00:00:00"/>
    <x v="0"/>
    <x v="1"/>
  </r>
  <r>
    <x v="11"/>
    <x v="10"/>
    <s v="November"/>
    <s v="Division_A"/>
    <x v="31"/>
    <n v="2016"/>
    <n v="7"/>
    <s v="TM-Utama"/>
    <n v="22"/>
    <n v="3137"/>
    <s v="142.6"/>
    <x v="0"/>
    <n v="1.8879999999999999"/>
    <n v="41526"/>
    <n v="41.526000000000003"/>
    <d v="2023-11-01T00:00:00"/>
    <x v="0"/>
    <x v="1"/>
  </r>
  <r>
    <x v="11"/>
    <x v="11"/>
    <s v="Desember"/>
    <s v="Division_A"/>
    <x v="31"/>
    <n v="2016"/>
    <n v="7"/>
    <s v="TM-Utama"/>
    <n v="22"/>
    <n v="3137"/>
    <s v="142.6"/>
    <x v="0"/>
    <n v="0.91200000000000003"/>
    <n v="20069"/>
    <n v="20.068999999999999"/>
    <d v="2023-12-01T00:00:00"/>
    <x v="0"/>
    <x v="1"/>
  </r>
  <r>
    <x v="11"/>
    <x v="0"/>
    <s v="Januari"/>
    <s v="Division_A"/>
    <x v="32"/>
    <n v="2016"/>
    <n v="7"/>
    <s v="TM-Utama"/>
    <n v="22"/>
    <n v="3096"/>
    <s v="140.7"/>
    <x v="0"/>
    <n v="1.365"/>
    <n v="30023.5"/>
    <n v="30.023"/>
    <d v="2023-01-01T00:00:00"/>
    <x v="0"/>
    <x v="1"/>
  </r>
  <r>
    <x v="11"/>
    <x v="1"/>
    <s v="Februari"/>
    <s v="Division_A"/>
    <x v="32"/>
    <n v="2016"/>
    <n v="7"/>
    <s v="TM-Utama"/>
    <n v="22"/>
    <n v="3096"/>
    <s v="140.7"/>
    <x v="0"/>
    <n v="1.958"/>
    <n v="43073.1"/>
    <n v="43.073"/>
    <d v="2023-02-01T00:00:00"/>
    <x v="0"/>
    <x v="1"/>
  </r>
  <r>
    <x v="11"/>
    <x v="2"/>
    <s v="Maret"/>
    <s v="Division_A"/>
    <x v="32"/>
    <n v="2016"/>
    <n v="7"/>
    <s v="TM-Utama"/>
    <n v="22"/>
    <n v="3096"/>
    <s v="140.7"/>
    <x v="0"/>
    <n v="2.2730000000000001"/>
    <n v="50015.9"/>
    <n v="50.015999999999998"/>
    <d v="2023-03-01T00:00:00"/>
    <x v="0"/>
    <x v="1"/>
  </r>
  <r>
    <x v="11"/>
    <x v="3"/>
    <s v="April"/>
    <s v="Division_A"/>
    <x v="32"/>
    <n v="2016"/>
    <n v="7"/>
    <s v="TM-Utama"/>
    <n v="22"/>
    <n v="3096"/>
    <s v="140.7"/>
    <x v="0"/>
    <n v="2.31"/>
    <n v="50828.6"/>
    <n v="50.829000000000001"/>
    <d v="2023-04-01T00:00:00"/>
    <x v="0"/>
    <x v="1"/>
  </r>
  <r>
    <x v="11"/>
    <x v="4"/>
    <s v="Mei"/>
    <s v="Division_A"/>
    <x v="32"/>
    <n v="2016"/>
    <n v="7"/>
    <s v="TM-Utama"/>
    <n v="22"/>
    <n v="3096"/>
    <s v="140.7"/>
    <x v="0"/>
    <n v="2.2959999999999998"/>
    <n v="50503.5"/>
    <n v="50.503"/>
    <d v="2023-05-01T00:00:00"/>
    <x v="0"/>
    <x v="1"/>
  </r>
  <r>
    <x v="11"/>
    <x v="5"/>
    <s v="Juni"/>
    <s v="Division_A"/>
    <x v="32"/>
    <n v="2016"/>
    <n v="7"/>
    <s v="TM-Utama"/>
    <n v="22"/>
    <n v="3096"/>
    <s v="140.7"/>
    <x v="0"/>
    <n v="2.54"/>
    <n v="55890.5"/>
    <n v="55.890999999999998"/>
    <d v="2023-06-01T00:00:00"/>
    <x v="0"/>
    <x v="1"/>
  </r>
  <r>
    <x v="11"/>
    <x v="6"/>
    <s v="Juli"/>
    <s v="Division_A"/>
    <x v="32"/>
    <n v="2016"/>
    <n v="7"/>
    <s v="TM-Utama"/>
    <n v="22"/>
    <n v="3096"/>
    <s v="140.7"/>
    <x v="0"/>
    <n v="2.3359999999999999"/>
    <n v="51385.9"/>
    <n v="51.386000000000003"/>
    <d v="2023-07-01T00:00:00"/>
    <x v="0"/>
    <x v="1"/>
  </r>
  <r>
    <x v="11"/>
    <x v="7"/>
    <s v="Agustus"/>
    <s v="Division_A"/>
    <x v="32"/>
    <n v="2016"/>
    <n v="7"/>
    <s v="TM-Utama"/>
    <n v="22"/>
    <n v="3096"/>
    <s v="140.7"/>
    <x v="0"/>
    <n v="2.456"/>
    <n v="54032.9"/>
    <n v="54.033000000000001"/>
    <d v="2023-08-01T00:00:00"/>
    <x v="0"/>
    <x v="1"/>
  </r>
  <r>
    <x v="11"/>
    <x v="8"/>
    <s v="September"/>
    <s v="Division_A"/>
    <x v="32"/>
    <n v="2016"/>
    <n v="7"/>
    <s v="TM-Utama"/>
    <n v="22"/>
    <n v="3096"/>
    <s v="140.7"/>
    <x v="0"/>
    <n v="2.5390000000000001"/>
    <n v="55867.3"/>
    <n v="55.866999999999997"/>
    <d v="2023-09-01T00:00:00"/>
    <x v="0"/>
    <x v="1"/>
  </r>
  <r>
    <x v="11"/>
    <x v="9"/>
    <s v="Oktober"/>
    <s v="Division_A"/>
    <x v="32"/>
    <n v="2016"/>
    <n v="7"/>
    <s v="TM-Utama"/>
    <n v="22"/>
    <n v="3096"/>
    <s v="140.7"/>
    <x v="0"/>
    <n v="2.2519999999999998"/>
    <n v="49551.5"/>
    <n v="49.551000000000002"/>
    <d v="2023-10-01T00:00:00"/>
    <x v="0"/>
    <x v="1"/>
  </r>
  <r>
    <x v="11"/>
    <x v="10"/>
    <s v="November"/>
    <s v="Division_A"/>
    <x v="32"/>
    <n v="2016"/>
    <n v="7"/>
    <s v="TM-Utama"/>
    <n v="22"/>
    <n v="3096"/>
    <s v="140.7"/>
    <x v="0"/>
    <n v="1.863"/>
    <n v="40983.300000000003"/>
    <n v="40.982999999999997"/>
    <d v="2023-11-01T00:00:00"/>
    <x v="0"/>
    <x v="1"/>
  </r>
  <r>
    <x v="11"/>
    <x v="11"/>
    <s v="Desember"/>
    <s v="Division_A"/>
    <x v="32"/>
    <n v="2016"/>
    <n v="7"/>
    <s v="TM-Utama"/>
    <n v="22"/>
    <n v="3096"/>
    <s v="140.7"/>
    <x v="0"/>
    <n v="0.9"/>
    <n v="19806.7"/>
    <n v="19.806999999999999"/>
    <d v="2023-12-01T00:00:00"/>
    <x v="0"/>
    <x v="1"/>
  </r>
  <r>
    <x v="11"/>
    <x v="0"/>
    <s v="Januari"/>
    <s v="Division_A"/>
    <x v="33"/>
    <n v="2016"/>
    <n v="7"/>
    <s v="TM-Utama"/>
    <n v="24"/>
    <n v="3317"/>
    <s v="138.2"/>
    <x v="0"/>
    <n v="1.34"/>
    <n v="32166.6"/>
    <n v="32.167000000000002"/>
    <d v="2023-01-01T00:00:00"/>
    <x v="0"/>
    <x v="1"/>
  </r>
  <r>
    <x v="11"/>
    <x v="1"/>
    <s v="Februari"/>
    <s v="Division_A"/>
    <x v="33"/>
    <n v="2016"/>
    <n v="7"/>
    <s v="TM-Utama"/>
    <n v="24"/>
    <n v="3317"/>
    <s v="138.2"/>
    <x v="0"/>
    <n v="1.923"/>
    <n v="46147.8"/>
    <n v="46.148000000000003"/>
    <d v="2023-02-01T00:00:00"/>
    <x v="0"/>
    <x v="1"/>
  </r>
  <r>
    <x v="11"/>
    <x v="2"/>
    <s v="Maret"/>
    <s v="Division_A"/>
    <x v="33"/>
    <n v="2016"/>
    <n v="7"/>
    <s v="TM-Utama"/>
    <n v="24"/>
    <n v="3317"/>
    <s v="138.2"/>
    <x v="0"/>
    <n v="2.2330000000000001"/>
    <n v="53586.1"/>
    <n v="53.585999999999999"/>
    <d v="2023-03-01T00:00:00"/>
    <x v="0"/>
    <x v="1"/>
  </r>
  <r>
    <x v="11"/>
    <x v="3"/>
    <s v="April"/>
    <s v="Division_A"/>
    <x v="33"/>
    <n v="2016"/>
    <n v="7"/>
    <s v="TM-Utama"/>
    <n v="24"/>
    <n v="3317"/>
    <s v="138.2"/>
    <x v="0"/>
    <n v="2.2690000000000001"/>
    <n v="54456.800000000003"/>
    <n v="54.457000000000001"/>
    <d v="2023-04-01T00:00:00"/>
    <x v="0"/>
    <x v="1"/>
  </r>
  <r>
    <x v="11"/>
    <x v="4"/>
    <s v="Mei"/>
    <s v="Division_A"/>
    <x v="33"/>
    <n v="2016"/>
    <n v="7"/>
    <s v="TM-Utama"/>
    <n v="24"/>
    <n v="3317"/>
    <s v="138.2"/>
    <x v="0"/>
    <n v="2.2549999999999999"/>
    <n v="54108.6"/>
    <n v="54.109000000000002"/>
    <d v="2023-05-01T00:00:00"/>
    <x v="0"/>
    <x v="1"/>
  </r>
  <r>
    <x v="11"/>
    <x v="5"/>
    <s v="Juni"/>
    <s v="Division_A"/>
    <x v="33"/>
    <n v="2016"/>
    <n v="7"/>
    <s v="TM-Utama"/>
    <n v="24"/>
    <n v="3317"/>
    <s v="138.2"/>
    <x v="0"/>
    <n v="2.4950000000000001"/>
    <n v="59880.1"/>
    <n v="59.88"/>
    <d v="2023-06-01T00:00:00"/>
    <x v="0"/>
    <x v="1"/>
  </r>
  <r>
    <x v="11"/>
    <x v="6"/>
    <s v="Juli"/>
    <s v="Division_A"/>
    <x v="33"/>
    <n v="2016"/>
    <n v="7"/>
    <s v="TM-Utama"/>
    <n v="24"/>
    <n v="3317"/>
    <s v="138.2"/>
    <x v="0"/>
    <n v="2.294"/>
    <n v="55053.9"/>
    <n v="55.054000000000002"/>
    <d v="2023-07-01T00:00:00"/>
    <x v="0"/>
    <x v="1"/>
  </r>
  <r>
    <x v="11"/>
    <x v="7"/>
    <s v="Agustus"/>
    <s v="Division_A"/>
    <x v="33"/>
    <n v="2016"/>
    <n v="7"/>
    <s v="TM-Utama"/>
    <n v="24"/>
    <n v="3317"/>
    <s v="138.2"/>
    <x v="0"/>
    <n v="2.4119999999999999"/>
    <n v="57889.9"/>
    <n v="57.89"/>
    <d v="2023-08-01T00:00:00"/>
    <x v="0"/>
    <x v="1"/>
  </r>
  <r>
    <x v="11"/>
    <x v="8"/>
    <s v="September"/>
    <s v="Division_A"/>
    <x v="33"/>
    <n v="2016"/>
    <n v="7"/>
    <s v="TM-Utama"/>
    <n v="24"/>
    <n v="3317"/>
    <s v="138.2"/>
    <x v="0"/>
    <n v="2.4940000000000002"/>
    <n v="59855.3"/>
    <n v="59.854999999999997"/>
    <d v="2023-09-01T00:00:00"/>
    <x v="0"/>
    <x v="1"/>
  </r>
  <r>
    <x v="11"/>
    <x v="9"/>
    <s v="Oktober"/>
    <s v="Division_A"/>
    <x v="33"/>
    <n v="2016"/>
    <n v="7"/>
    <s v="TM-Utama"/>
    <n v="24"/>
    <n v="3317"/>
    <s v="138.2"/>
    <x v="0"/>
    <n v="2.2120000000000002"/>
    <n v="53088.6"/>
    <n v="53.088999999999999"/>
    <d v="2023-10-01T00:00:00"/>
    <x v="0"/>
    <x v="1"/>
  </r>
  <r>
    <x v="11"/>
    <x v="10"/>
    <s v="November"/>
    <s v="Division_A"/>
    <x v="33"/>
    <n v="2016"/>
    <n v="7"/>
    <s v="TM-Utama"/>
    <n v="24"/>
    <n v="3317"/>
    <s v="138.2"/>
    <x v="0"/>
    <n v="1.83"/>
    <n v="43908.800000000003"/>
    <n v="43.908999999999999"/>
    <d v="2023-11-01T00:00:00"/>
    <x v="0"/>
    <x v="1"/>
  </r>
  <r>
    <x v="11"/>
    <x v="11"/>
    <s v="Desember"/>
    <s v="Division_A"/>
    <x v="33"/>
    <n v="2016"/>
    <n v="7"/>
    <s v="TM-Utama"/>
    <n v="24"/>
    <n v="3317"/>
    <s v="138.2"/>
    <x v="0"/>
    <n v="0.88400000000000001"/>
    <n v="21220.5"/>
    <n v="21.221"/>
    <d v="2023-12-01T00:00:00"/>
    <x v="0"/>
    <x v="1"/>
  </r>
  <r>
    <x v="11"/>
    <x v="0"/>
    <s v="Januari"/>
    <s v="Division_A"/>
    <x v="34"/>
    <n v="2016"/>
    <n v="7"/>
    <s v="TM-Utama"/>
    <n v="17"/>
    <n v="2219"/>
    <s v="130.5"/>
    <x v="0"/>
    <n v="1.266"/>
    <n v="21518.799999999999"/>
    <n v="21.518999999999998"/>
    <d v="2023-01-01T00:00:00"/>
    <x v="0"/>
    <x v="1"/>
  </r>
  <r>
    <x v="11"/>
    <x v="1"/>
    <s v="Februari"/>
    <s v="Division_A"/>
    <x v="34"/>
    <n v="2016"/>
    <n v="7"/>
    <s v="TM-Utama"/>
    <n v="17"/>
    <n v="2219"/>
    <s v="130.5"/>
    <x v="0"/>
    <n v="1.8160000000000001"/>
    <n v="30871.8"/>
    <n v="30.872"/>
    <d v="2023-02-01T00:00:00"/>
    <x v="0"/>
    <x v="1"/>
  </r>
  <r>
    <x v="11"/>
    <x v="2"/>
    <s v="Maret"/>
    <s v="Division_A"/>
    <x v="34"/>
    <n v="2016"/>
    <n v="7"/>
    <s v="TM-Utama"/>
    <n v="17"/>
    <n v="2219"/>
    <s v="130.5"/>
    <x v="0"/>
    <n v="2.109"/>
    <n v="35847.9"/>
    <n v="35.847999999999999"/>
    <d v="2023-03-01T00:00:00"/>
    <x v="0"/>
    <x v="1"/>
  </r>
  <r>
    <x v="11"/>
    <x v="3"/>
    <s v="April"/>
    <s v="Division_A"/>
    <x v="34"/>
    <n v="2016"/>
    <n v="7"/>
    <s v="TM-Utama"/>
    <n v="17"/>
    <n v="2219"/>
    <s v="130.5"/>
    <x v="0"/>
    <n v="2.1429999999999998"/>
    <n v="36430.400000000001"/>
    <n v="36.43"/>
    <d v="2023-04-01T00:00:00"/>
    <x v="0"/>
    <x v="1"/>
  </r>
  <r>
    <x v="11"/>
    <x v="4"/>
    <s v="Mei"/>
    <s v="Division_A"/>
    <x v="34"/>
    <n v="2016"/>
    <n v="7"/>
    <s v="TM-Utama"/>
    <n v="17"/>
    <n v="2219"/>
    <s v="130.5"/>
    <x v="0"/>
    <n v="2.129"/>
    <n v="36197.4"/>
    <n v="36.197000000000003"/>
    <d v="2023-05-01T00:00:00"/>
    <x v="0"/>
    <x v="1"/>
  </r>
  <r>
    <x v="11"/>
    <x v="5"/>
    <s v="Juni"/>
    <s v="Division_A"/>
    <x v="34"/>
    <n v="2016"/>
    <n v="7"/>
    <s v="TM-Utama"/>
    <n v="17"/>
    <n v="2219"/>
    <s v="130.5"/>
    <x v="0"/>
    <n v="2.3559999999999999"/>
    <n v="40058.5"/>
    <n v="40.058"/>
    <d v="2023-06-01T00:00:00"/>
    <x v="0"/>
    <x v="1"/>
  </r>
  <r>
    <x v="11"/>
    <x v="6"/>
    <s v="Juli"/>
    <s v="Division_A"/>
    <x v="34"/>
    <n v="2016"/>
    <n v="7"/>
    <s v="TM-Utama"/>
    <n v="17"/>
    <n v="2219"/>
    <s v="130.5"/>
    <x v="0"/>
    <n v="2.1659999999999999"/>
    <n v="36829.9"/>
    <n v="36.83"/>
    <d v="2023-07-01T00:00:00"/>
    <x v="0"/>
    <x v="1"/>
  </r>
  <r>
    <x v="11"/>
    <x v="7"/>
    <s v="Agustus"/>
    <s v="Division_A"/>
    <x v="34"/>
    <n v="2016"/>
    <n v="7"/>
    <s v="TM-Utama"/>
    <n v="17"/>
    <n v="2219"/>
    <s v="130.5"/>
    <x v="0"/>
    <n v="2.278"/>
    <n v="38727.1"/>
    <n v="38.726999999999997"/>
    <d v="2023-08-01T00:00:00"/>
    <x v="0"/>
    <x v="1"/>
  </r>
  <r>
    <x v="11"/>
    <x v="8"/>
    <s v="September"/>
    <s v="Division_A"/>
    <x v="34"/>
    <n v="2016"/>
    <n v="7"/>
    <s v="TM-Utama"/>
    <n v="17"/>
    <n v="2219"/>
    <s v="130.5"/>
    <x v="0"/>
    <n v="2.355"/>
    <n v="40041.9"/>
    <n v="40.042000000000002"/>
    <d v="2023-09-01T00:00:00"/>
    <x v="0"/>
    <x v="1"/>
  </r>
  <r>
    <x v="11"/>
    <x v="9"/>
    <s v="Oktober"/>
    <s v="Division_A"/>
    <x v="34"/>
    <n v="2016"/>
    <n v="7"/>
    <s v="TM-Utama"/>
    <n v="17"/>
    <n v="2219"/>
    <s v="130.5"/>
    <x v="0"/>
    <n v="2.089"/>
    <n v="35515.1"/>
    <n v="35.515000000000001"/>
    <d v="2023-10-01T00:00:00"/>
    <x v="0"/>
    <x v="1"/>
  </r>
  <r>
    <x v="11"/>
    <x v="10"/>
    <s v="November"/>
    <s v="Division_A"/>
    <x v="34"/>
    <n v="2016"/>
    <n v="7"/>
    <s v="TM-Utama"/>
    <n v="17"/>
    <n v="2219"/>
    <s v="130.5"/>
    <x v="0"/>
    <n v="1.728"/>
    <n v="29374"/>
    <n v="29.373999999999999"/>
    <d v="2023-11-01T00:00:00"/>
    <x v="0"/>
    <x v="1"/>
  </r>
  <r>
    <x v="11"/>
    <x v="11"/>
    <s v="Desember"/>
    <s v="Division_A"/>
    <x v="34"/>
    <n v="2016"/>
    <n v="7"/>
    <s v="TM-Utama"/>
    <n v="17"/>
    <n v="2219"/>
    <s v="130.5"/>
    <x v="0"/>
    <n v="0.83499999999999996"/>
    <n v="14196.1"/>
    <n v="14.196"/>
    <d v="2023-12-01T00:00:00"/>
    <x v="0"/>
    <x v="1"/>
  </r>
  <r>
    <x v="11"/>
    <x v="0"/>
    <s v="Januari"/>
    <s v="Division_A"/>
    <x v="35"/>
    <n v="2016"/>
    <n v="7"/>
    <s v="TM-Utama"/>
    <n v="15"/>
    <n v="2142"/>
    <s v="142.8"/>
    <x v="0"/>
    <n v="1.385"/>
    <n v="20772"/>
    <n v="20.771999999999998"/>
    <d v="2023-01-01T00:00:00"/>
    <x v="0"/>
    <x v="1"/>
  </r>
  <r>
    <x v="11"/>
    <x v="1"/>
    <s v="Februari"/>
    <s v="Division_A"/>
    <x v="35"/>
    <n v="2016"/>
    <n v="7"/>
    <s v="TM-Utama"/>
    <n v="15"/>
    <n v="2142"/>
    <s v="142.8"/>
    <x v="0"/>
    <n v="1.9870000000000001"/>
    <n v="29800.6"/>
    <n v="29.800999999999998"/>
    <d v="2023-02-01T00:00:00"/>
    <x v="0"/>
    <x v="1"/>
  </r>
  <r>
    <x v="11"/>
    <x v="2"/>
    <s v="Maret"/>
    <s v="Division_A"/>
    <x v="35"/>
    <n v="2016"/>
    <n v="7"/>
    <s v="TM-Utama"/>
    <n v="15"/>
    <n v="2142"/>
    <s v="142.8"/>
    <x v="0"/>
    <n v="2.3069999999999999"/>
    <n v="34604"/>
    <n v="34.603999999999999"/>
    <d v="2023-03-01T00:00:00"/>
    <x v="0"/>
    <x v="1"/>
  </r>
  <r>
    <x v="11"/>
    <x v="3"/>
    <s v="April"/>
    <s v="Division_A"/>
    <x v="35"/>
    <n v="2016"/>
    <n v="7"/>
    <s v="TM-Utama"/>
    <n v="15"/>
    <n v="2142"/>
    <s v="142.8"/>
    <x v="0"/>
    <n v="2.3439999999999999"/>
    <n v="35166.300000000003"/>
    <n v="35.165999999999997"/>
    <d v="2023-04-01T00:00:00"/>
    <x v="0"/>
    <x v="1"/>
  </r>
  <r>
    <x v="11"/>
    <x v="4"/>
    <s v="Mei"/>
    <s v="Division_A"/>
    <x v="35"/>
    <n v="2016"/>
    <n v="7"/>
    <s v="TM-Utama"/>
    <n v="15"/>
    <n v="2142"/>
    <s v="142.8"/>
    <x v="0"/>
    <n v="2.3290000000000002"/>
    <n v="34941.4"/>
    <n v="34.941000000000003"/>
    <d v="2023-05-01T00:00:00"/>
    <x v="0"/>
    <x v="1"/>
  </r>
  <r>
    <x v="11"/>
    <x v="5"/>
    <s v="Juni"/>
    <s v="Division_A"/>
    <x v="35"/>
    <n v="2016"/>
    <n v="7"/>
    <s v="TM-Utama"/>
    <n v="15"/>
    <n v="2142"/>
    <s v="142.8"/>
    <x v="0"/>
    <n v="2.5779999999999998"/>
    <n v="38668.5"/>
    <n v="38.667999999999999"/>
    <d v="2023-06-01T00:00:00"/>
    <x v="0"/>
    <x v="1"/>
  </r>
  <r>
    <x v="11"/>
    <x v="6"/>
    <s v="Juli"/>
    <s v="Division_A"/>
    <x v="35"/>
    <n v="2016"/>
    <n v="7"/>
    <s v="TM-Utama"/>
    <n v="15"/>
    <n v="2142"/>
    <s v="142.8"/>
    <x v="0"/>
    <n v="2.37"/>
    <n v="35551.800000000003"/>
    <n v="35.552"/>
    <d v="2023-07-01T00:00:00"/>
    <x v="0"/>
    <x v="1"/>
  </r>
  <r>
    <x v="11"/>
    <x v="7"/>
    <s v="Agustus"/>
    <s v="Division_A"/>
    <x v="35"/>
    <n v="2016"/>
    <n v="7"/>
    <s v="TM-Utama"/>
    <n v="15"/>
    <n v="2142"/>
    <s v="142.8"/>
    <x v="0"/>
    <n v="2.492"/>
    <n v="37383.300000000003"/>
    <n v="37.383000000000003"/>
    <d v="2023-08-01T00:00:00"/>
    <x v="0"/>
    <x v="1"/>
  </r>
  <r>
    <x v="11"/>
    <x v="8"/>
    <s v="September"/>
    <s v="Division_A"/>
    <x v="35"/>
    <n v="2016"/>
    <n v="7"/>
    <s v="TM-Utama"/>
    <n v="15"/>
    <n v="2142"/>
    <s v="142.8"/>
    <x v="0"/>
    <n v="2.577"/>
    <n v="38652.400000000001"/>
    <n v="38.652000000000001"/>
    <d v="2023-09-01T00:00:00"/>
    <x v="0"/>
    <x v="1"/>
  </r>
  <r>
    <x v="11"/>
    <x v="9"/>
    <s v="Oktober"/>
    <s v="Division_A"/>
    <x v="35"/>
    <n v="2016"/>
    <n v="7"/>
    <s v="TM-Utama"/>
    <n v="15"/>
    <n v="2142"/>
    <s v="142.8"/>
    <x v="0"/>
    <n v="2.286"/>
    <n v="34282.699999999997"/>
    <n v="34.283000000000001"/>
    <d v="2023-10-01T00:00:00"/>
    <x v="0"/>
    <x v="1"/>
  </r>
  <r>
    <x v="11"/>
    <x v="10"/>
    <s v="November"/>
    <s v="Division_A"/>
    <x v="35"/>
    <n v="2016"/>
    <n v="7"/>
    <s v="TM-Utama"/>
    <n v="15"/>
    <n v="2142"/>
    <s v="142.8"/>
    <x v="0"/>
    <n v="1.89"/>
    <n v="28354.7"/>
    <n v="28.355"/>
    <d v="2023-11-01T00:00:00"/>
    <x v="0"/>
    <x v="1"/>
  </r>
  <r>
    <x v="11"/>
    <x v="11"/>
    <s v="Desember"/>
    <s v="Division_A"/>
    <x v="35"/>
    <n v="2016"/>
    <n v="7"/>
    <s v="TM-Utama"/>
    <n v="15"/>
    <n v="2142"/>
    <s v="142.8"/>
    <x v="0"/>
    <n v="0.91400000000000003"/>
    <n v="13703.4"/>
    <n v="13.702999999999999"/>
    <d v="2023-12-01T00:00:00"/>
    <x v="0"/>
    <x v="1"/>
  </r>
  <r>
    <x v="11"/>
    <x v="0"/>
    <s v="Januari"/>
    <s v="Division_A"/>
    <x v="36"/>
    <n v="2016"/>
    <n v="7"/>
    <s v="TM-Utama"/>
    <n v="24"/>
    <n v="3324"/>
    <s v="138.5"/>
    <x v="0"/>
    <n v="1.343"/>
    <n v="32234.5"/>
    <n v="32.234000000000002"/>
    <d v="2023-01-01T00:00:00"/>
    <x v="0"/>
    <x v="1"/>
  </r>
  <r>
    <x v="11"/>
    <x v="1"/>
    <s v="Februari"/>
    <s v="Division_A"/>
    <x v="36"/>
    <n v="2016"/>
    <n v="7"/>
    <s v="TM-Utama"/>
    <n v="24"/>
    <n v="3324"/>
    <s v="138.5"/>
    <x v="0"/>
    <n v="1.927"/>
    <n v="46245.2"/>
    <n v="46.244999999999997"/>
    <d v="2023-02-01T00:00:00"/>
    <x v="0"/>
    <x v="1"/>
  </r>
  <r>
    <x v="11"/>
    <x v="2"/>
    <s v="Maret"/>
    <s v="Division_A"/>
    <x v="36"/>
    <n v="2016"/>
    <n v="7"/>
    <s v="TM-Utama"/>
    <n v="24"/>
    <n v="3324"/>
    <s v="138.5"/>
    <x v="0"/>
    <n v="2.2370000000000001"/>
    <n v="53699.199999999997"/>
    <n v="53.698999999999998"/>
    <d v="2023-03-01T00:00:00"/>
    <x v="0"/>
    <x v="1"/>
  </r>
  <r>
    <x v="11"/>
    <x v="3"/>
    <s v="April"/>
    <s v="Division_A"/>
    <x v="36"/>
    <n v="2016"/>
    <n v="7"/>
    <s v="TM-Utama"/>
    <n v="24"/>
    <n v="3324"/>
    <s v="138.5"/>
    <x v="0"/>
    <n v="2.274"/>
    <n v="54571.8"/>
    <n v="54.572000000000003"/>
    <d v="2023-04-01T00:00:00"/>
    <x v="0"/>
    <x v="1"/>
  </r>
  <r>
    <x v="11"/>
    <x v="4"/>
    <s v="Mei"/>
    <s v="Division_A"/>
    <x v="36"/>
    <n v="2016"/>
    <n v="7"/>
    <s v="TM-Utama"/>
    <n v="24"/>
    <n v="3324"/>
    <s v="138.5"/>
    <x v="0"/>
    <n v="2.2589999999999999"/>
    <n v="54222.8"/>
    <n v="54.222999999999999"/>
    <d v="2023-05-01T00:00:00"/>
    <x v="0"/>
    <x v="1"/>
  </r>
  <r>
    <x v="11"/>
    <x v="5"/>
    <s v="Juni"/>
    <s v="Division_A"/>
    <x v="36"/>
    <n v="2016"/>
    <n v="7"/>
    <s v="TM-Utama"/>
    <n v="24"/>
    <n v="3324"/>
    <s v="138.5"/>
    <x v="0"/>
    <n v="2.5"/>
    <n v="60006.5"/>
    <n v="60.006999999999998"/>
    <d v="2023-06-01T00:00:00"/>
    <x v="0"/>
    <x v="1"/>
  </r>
  <r>
    <x v="11"/>
    <x v="6"/>
    <s v="Juli"/>
    <s v="Division_A"/>
    <x v="36"/>
    <n v="2016"/>
    <n v="7"/>
    <s v="TM-Utama"/>
    <n v="24"/>
    <n v="3324"/>
    <s v="138.5"/>
    <x v="0"/>
    <n v="2.2989999999999999"/>
    <n v="55170.1"/>
    <n v="55.17"/>
    <d v="2023-07-01T00:00:00"/>
    <x v="0"/>
    <x v="1"/>
  </r>
  <r>
    <x v="11"/>
    <x v="7"/>
    <s v="Agustus"/>
    <s v="Division_A"/>
    <x v="36"/>
    <n v="2016"/>
    <n v="7"/>
    <s v="TM-Utama"/>
    <n v="24"/>
    <n v="3324"/>
    <s v="138.5"/>
    <x v="0"/>
    <n v="2.4169999999999998"/>
    <n v="58012.1"/>
    <n v="58.012"/>
    <d v="2023-08-01T00:00:00"/>
    <x v="0"/>
    <x v="1"/>
  </r>
  <r>
    <x v="11"/>
    <x v="8"/>
    <s v="September"/>
    <s v="Division_A"/>
    <x v="36"/>
    <n v="2016"/>
    <n v="7"/>
    <s v="TM-Utama"/>
    <n v="24"/>
    <n v="3324"/>
    <s v="138.5"/>
    <x v="0"/>
    <n v="2.4990000000000001"/>
    <n v="59981.599999999999"/>
    <n v="59.981999999999999"/>
    <d v="2023-09-01T00:00:00"/>
    <x v="0"/>
    <x v="1"/>
  </r>
  <r>
    <x v="11"/>
    <x v="9"/>
    <s v="Oktober"/>
    <s v="Division_A"/>
    <x v="36"/>
    <n v="2016"/>
    <n v="7"/>
    <s v="TM-Utama"/>
    <n v="24"/>
    <n v="3324"/>
    <s v="138.5"/>
    <x v="0"/>
    <n v="2.2170000000000001"/>
    <n v="53200.6"/>
    <n v="53.201000000000001"/>
    <d v="2023-10-01T00:00:00"/>
    <x v="0"/>
    <x v="1"/>
  </r>
  <r>
    <x v="11"/>
    <x v="10"/>
    <s v="November"/>
    <s v="Division_A"/>
    <x v="36"/>
    <n v="2016"/>
    <n v="7"/>
    <s v="TM-Utama"/>
    <n v="24"/>
    <n v="3324"/>
    <s v="138.5"/>
    <x v="0"/>
    <n v="1.833"/>
    <n v="44001.4"/>
    <n v="44.000999999999998"/>
    <d v="2023-11-01T00:00:00"/>
    <x v="0"/>
    <x v="1"/>
  </r>
  <r>
    <x v="11"/>
    <x v="11"/>
    <s v="Desember"/>
    <s v="Division_A"/>
    <x v="36"/>
    <n v="2016"/>
    <n v="7"/>
    <s v="TM-Utama"/>
    <n v="24"/>
    <n v="3324"/>
    <s v="138.5"/>
    <x v="0"/>
    <n v="0.88600000000000001"/>
    <n v="21265.3"/>
    <n v="21.265000000000001"/>
    <d v="2023-12-01T00:00:00"/>
    <x v="0"/>
    <x v="1"/>
  </r>
  <r>
    <x v="11"/>
    <x v="0"/>
    <s v="Januari"/>
    <s v="Division_A"/>
    <x v="37"/>
    <n v="2016"/>
    <n v="7"/>
    <s v="TM-Utama"/>
    <n v="20"/>
    <n v="2663"/>
    <s v="133.2"/>
    <x v="0"/>
    <n v="1.2909999999999999"/>
    <n v="25824.400000000001"/>
    <n v="25.824000000000002"/>
    <d v="2023-01-01T00:00:00"/>
    <x v="0"/>
    <x v="1"/>
  </r>
  <r>
    <x v="11"/>
    <x v="1"/>
    <s v="Februari"/>
    <s v="Division_A"/>
    <x v="37"/>
    <n v="2016"/>
    <n v="7"/>
    <s v="TM-Utama"/>
    <n v="20"/>
    <n v="2663"/>
    <s v="133.2"/>
    <x v="0"/>
    <n v="1.8520000000000001"/>
    <n v="37049"/>
    <n v="37.048999999999999"/>
    <d v="2023-02-01T00:00:00"/>
    <x v="0"/>
    <x v="1"/>
  </r>
  <r>
    <x v="11"/>
    <x v="2"/>
    <s v="Maret"/>
    <s v="Division_A"/>
    <x v="37"/>
    <n v="2016"/>
    <n v="7"/>
    <s v="TM-Utama"/>
    <n v="20"/>
    <n v="2663"/>
    <s v="133.2"/>
    <x v="0"/>
    <n v="2.1509999999999998"/>
    <n v="43020.800000000003"/>
    <n v="43.021000000000001"/>
    <d v="2023-03-01T00:00:00"/>
    <x v="0"/>
    <x v="1"/>
  </r>
  <r>
    <x v="11"/>
    <x v="3"/>
    <s v="April"/>
    <s v="Division_A"/>
    <x v="37"/>
    <n v="2016"/>
    <n v="7"/>
    <s v="TM-Utama"/>
    <n v="20"/>
    <n v="2663"/>
    <s v="133.2"/>
    <x v="0"/>
    <n v="2.1859999999999999"/>
    <n v="43719.8"/>
    <n v="43.72"/>
    <d v="2023-04-01T00:00:00"/>
    <x v="0"/>
    <x v="1"/>
  </r>
  <r>
    <x v="11"/>
    <x v="4"/>
    <s v="Mei"/>
    <s v="Division_A"/>
    <x v="37"/>
    <n v="2016"/>
    <n v="7"/>
    <s v="TM-Utama"/>
    <n v="20"/>
    <n v="2663"/>
    <s v="133.2"/>
    <x v="0"/>
    <n v="2.1720000000000002"/>
    <n v="43440.2"/>
    <n v="43.44"/>
    <d v="2023-05-01T00:00:00"/>
    <x v="0"/>
    <x v="1"/>
  </r>
  <r>
    <x v="11"/>
    <x v="5"/>
    <s v="Juni"/>
    <s v="Division_A"/>
    <x v="37"/>
    <n v="2016"/>
    <n v="7"/>
    <s v="TM-Utama"/>
    <n v="20"/>
    <n v="2663"/>
    <s v="133.2"/>
    <x v="0"/>
    <n v="2.4039999999999999"/>
    <n v="48073.8"/>
    <n v="48.073999999999998"/>
    <d v="2023-06-01T00:00:00"/>
    <x v="0"/>
    <x v="1"/>
  </r>
  <r>
    <x v="11"/>
    <x v="6"/>
    <s v="Juli"/>
    <s v="Division_A"/>
    <x v="37"/>
    <n v="2016"/>
    <n v="7"/>
    <s v="TM-Utama"/>
    <n v="20"/>
    <n v="2663"/>
    <s v="133.2"/>
    <x v="0"/>
    <n v="2.21"/>
    <n v="44199.1"/>
    <n v="44.198999999999998"/>
    <d v="2023-07-01T00:00:00"/>
    <x v="0"/>
    <x v="1"/>
  </r>
  <r>
    <x v="11"/>
    <x v="7"/>
    <s v="Agustus"/>
    <s v="Division_A"/>
    <x v="37"/>
    <n v="2016"/>
    <n v="7"/>
    <s v="TM-Utama"/>
    <n v="20"/>
    <n v="2663"/>
    <s v="133.2"/>
    <x v="0"/>
    <n v="2.3239999999999998"/>
    <n v="46476"/>
    <n v="46.475999999999999"/>
    <d v="2023-08-01T00:00:00"/>
    <x v="0"/>
    <x v="1"/>
  </r>
  <r>
    <x v="11"/>
    <x v="8"/>
    <s v="September"/>
    <s v="Division_A"/>
    <x v="37"/>
    <n v="2016"/>
    <n v="7"/>
    <s v="TM-Utama"/>
    <n v="20"/>
    <n v="2663"/>
    <s v="133.2"/>
    <x v="0"/>
    <n v="2.403"/>
    <n v="48053.8"/>
    <n v="48.054000000000002"/>
    <d v="2023-09-01T00:00:00"/>
    <x v="0"/>
    <x v="1"/>
  </r>
  <r>
    <x v="11"/>
    <x v="9"/>
    <s v="Oktober"/>
    <s v="Division_A"/>
    <x v="37"/>
    <n v="2016"/>
    <n v="7"/>
    <s v="TM-Utama"/>
    <n v="20"/>
    <n v="2663"/>
    <s v="133.2"/>
    <x v="0"/>
    <n v="2.1309999999999998"/>
    <n v="42621.3"/>
    <n v="42.621000000000002"/>
    <d v="2023-10-01T00:00:00"/>
    <x v="0"/>
    <x v="1"/>
  </r>
  <r>
    <x v="11"/>
    <x v="10"/>
    <s v="November"/>
    <s v="Division_A"/>
    <x v="37"/>
    <n v="2016"/>
    <n v="7"/>
    <s v="TM-Utama"/>
    <n v="20"/>
    <n v="2663"/>
    <s v="133.2"/>
    <x v="0"/>
    <n v="1.7629999999999999"/>
    <n v="35251.5"/>
    <n v="35.250999999999998"/>
    <d v="2023-11-01T00:00:00"/>
    <x v="0"/>
    <x v="1"/>
  </r>
  <r>
    <x v="11"/>
    <x v="11"/>
    <s v="Desember"/>
    <s v="Division_A"/>
    <x v="37"/>
    <n v="2016"/>
    <n v="7"/>
    <s v="TM-Utama"/>
    <n v="20"/>
    <n v="2663"/>
    <s v="133.2"/>
    <x v="0"/>
    <n v="0.85199999999999998"/>
    <n v="17036.5"/>
    <n v="17.036999999999999"/>
    <d v="2023-12-01T00:00:00"/>
    <x v="0"/>
    <x v="1"/>
  </r>
  <r>
    <x v="11"/>
    <x v="0"/>
    <s v="Januari"/>
    <s v="Division_A"/>
    <x v="38"/>
    <n v="2016"/>
    <n v="7"/>
    <s v="TM-Utama"/>
    <n v="14"/>
    <n v="1746"/>
    <s v="124.7"/>
    <x v="0"/>
    <n v="1.2090000000000001"/>
    <n v="16931.8"/>
    <n v="16.931999999999999"/>
    <d v="2023-01-01T00:00:00"/>
    <x v="0"/>
    <x v="1"/>
  </r>
  <r>
    <x v="11"/>
    <x v="1"/>
    <s v="Februari"/>
    <s v="Division_A"/>
    <x v="38"/>
    <n v="2016"/>
    <n v="7"/>
    <s v="TM-Utama"/>
    <n v="14"/>
    <n v="1746"/>
    <s v="124.7"/>
    <x v="0"/>
    <n v="1.7350000000000001"/>
    <n v="24291.200000000001"/>
    <n v="24.291"/>
    <d v="2023-02-01T00:00:00"/>
    <x v="0"/>
    <x v="1"/>
  </r>
  <r>
    <x v="11"/>
    <x v="2"/>
    <s v="Maret"/>
    <s v="Division_A"/>
    <x v="38"/>
    <n v="2016"/>
    <n v="7"/>
    <s v="TM-Utama"/>
    <n v="14"/>
    <n v="1746"/>
    <s v="124.7"/>
    <x v="0"/>
    <n v="2.0150000000000001"/>
    <n v="28206.6"/>
    <n v="28.207000000000001"/>
    <d v="2023-03-01T00:00:00"/>
    <x v="0"/>
    <x v="1"/>
  </r>
  <r>
    <x v="11"/>
    <x v="3"/>
    <s v="April"/>
    <s v="Division_A"/>
    <x v="38"/>
    <n v="2016"/>
    <n v="7"/>
    <s v="TM-Utama"/>
    <n v="14"/>
    <n v="1746"/>
    <s v="124.7"/>
    <x v="0"/>
    <n v="2.0470000000000002"/>
    <n v="28665"/>
    <n v="28.664999999999999"/>
    <d v="2023-04-01T00:00:00"/>
    <x v="0"/>
    <x v="1"/>
  </r>
  <r>
    <x v="11"/>
    <x v="4"/>
    <s v="Mei"/>
    <s v="Division_A"/>
    <x v="38"/>
    <n v="2016"/>
    <n v="7"/>
    <s v="TM-Utama"/>
    <n v="14"/>
    <n v="1746"/>
    <s v="124.7"/>
    <x v="0"/>
    <n v="2.0339999999999998"/>
    <n v="28481.599999999999"/>
    <n v="28.481999999999999"/>
    <d v="2023-05-01T00:00:00"/>
    <x v="0"/>
    <x v="1"/>
  </r>
  <r>
    <x v="11"/>
    <x v="5"/>
    <s v="Juni"/>
    <s v="Division_A"/>
    <x v="38"/>
    <n v="2016"/>
    <n v="7"/>
    <s v="TM-Utama"/>
    <n v="14"/>
    <n v="1746"/>
    <s v="124.7"/>
    <x v="0"/>
    <n v="2.2509999999999999"/>
    <n v="31519.7"/>
    <n v="31.52"/>
    <d v="2023-06-01T00:00:00"/>
    <x v="0"/>
    <x v="1"/>
  </r>
  <r>
    <x v="11"/>
    <x v="6"/>
    <s v="Juli"/>
    <s v="Division_A"/>
    <x v="38"/>
    <n v="2016"/>
    <n v="7"/>
    <s v="TM-Utama"/>
    <n v="14"/>
    <n v="1746"/>
    <s v="124.7"/>
    <x v="0"/>
    <n v="2.0699999999999998"/>
    <n v="28979.200000000001"/>
    <n v="28.978999999999999"/>
    <d v="2023-07-01T00:00:00"/>
    <x v="0"/>
    <x v="1"/>
  </r>
  <r>
    <x v="11"/>
    <x v="7"/>
    <s v="Agustus"/>
    <s v="Division_A"/>
    <x v="38"/>
    <n v="2016"/>
    <n v="7"/>
    <s v="TM-Utama"/>
    <n v="14"/>
    <n v="1746"/>
    <s v="124.7"/>
    <x v="0"/>
    <n v="2.177"/>
    <n v="30472.1"/>
    <n v="30.472000000000001"/>
    <d v="2023-08-01T00:00:00"/>
    <x v="0"/>
    <x v="1"/>
  </r>
  <r>
    <x v="11"/>
    <x v="8"/>
    <s v="September"/>
    <s v="Division_A"/>
    <x v="38"/>
    <n v="2016"/>
    <n v="7"/>
    <s v="TM-Utama"/>
    <n v="14"/>
    <n v="1746"/>
    <s v="124.7"/>
    <x v="0"/>
    <n v="2.25"/>
    <n v="31506.6"/>
    <n v="31.507000000000001"/>
    <d v="2023-09-01T00:00:00"/>
    <x v="0"/>
    <x v="1"/>
  </r>
  <r>
    <x v="11"/>
    <x v="9"/>
    <s v="Oktober"/>
    <s v="Division_A"/>
    <x v="38"/>
    <n v="2016"/>
    <n v="7"/>
    <s v="TM-Utama"/>
    <n v="14"/>
    <n v="1746"/>
    <s v="124.7"/>
    <x v="0"/>
    <n v="1.996"/>
    <n v="27944.7"/>
    <n v="27.945"/>
    <d v="2023-10-01T00:00:00"/>
    <x v="0"/>
    <x v="1"/>
  </r>
  <r>
    <x v="11"/>
    <x v="10"/>
    <s v="November"/>
    <s v="Division_A"/>
    <x v="38"/>
    <n v="2016"/>
    <n v="7"/>
    <s v="TM-Utama"/>
    <n v="14"/>
    <n v="1746"/>
    <s v="124.7"/>
    <x v="0"/>
    <n v="1.651"/>
    <n v="23112.7"/>
    <n v="23.113"/>
    <d v="2023-11-01T00:00:00"/>
    <x v="0"/>
    <x v="1"/>
  </r>
  <r>
    <x v="11"/>
    <x v="11"/>
    <s v="Desember"/>
    <s v="Division_A"/>
    <x v="38"/>
    <n v="2016"/>
    <n v="7"/>
    <s v="TM-Utama"/>
    <n v="14"/>
    <n v="1746"/>
    <s v="124.7"/>
    <x v="0"/>
    <n v="0.79800000000000004"/>
    <n v="11170"/>
    <n v="11.17"/>
    <d v="2023-12-01T00:00:00"/>
    <x v="0"/>
    <x v="1"/>
  </r>
  <r>
    <x v="11"/>
    <x v="0"/>
    <s v="Januari"/>
    <s v="Division_A"/>
    <x v="39"/>
    <n v="2016"/>
    <n v="7"/>
    <s v="TM-Utama"/>
    <n v="24"/>
    <n v="3377"/>
    <s v="140.7"/>
    <x v="0"/>
    <n v="1.365"/>
    <n v="32748.5"/>
    <n v="32.747999999999998"/>
    <d v="2023-01-01T00:00:00"/>
    <x v="0"/>
    <x v="1"/>
  </r>
  <r>
    <x v="11"/>
    <x v="1"/>
    <s v="Februari"/>
    <s v="Division_A"/>
    <x v="39"/>
    <n v="2016"/>
    <n v="7"/>
    <s v="TM-Utama"/>
    <n v="24"/>
    <n v="3377"/>
    <s v="140.7"/>
    <x v="0"/>
    <n v="1.958"/>
    <n v="46982.5"/>
    <n v="46.982999999999997"/>
    <d v="2023-02-01T00:00:00"/>
    <x v="0"/>
    <x v="1"/>
  </r>
  <r>
    <x v="11"/>
    <x v="2"/>
    <s v="Maret"/>
    <s v="Division_A"/>
    <x v="39"/>
    <n v="2016"/>
    <n v="7"/>
    <s v="TM-Utama"/>
    <n v="24"/>
    <n v="3377"/>
    <s v="140.7"/>
    <x v="0"/>
    <n v="2.2730000000000001"/>
    <n v="54555.4"/>
    <n v="54.555"/>
    <d v="2023-03-01T00:00:00"/>
    <x v="0"/>
    <x v="1"/>
  </r>
  <r>
    <x v="11"/>
    <x v="3"/>
    <s v="April"/>
    <s v="Division_A"/>
    <x v="39"/>
    <n v="2016"/>
    <n v="7"/>
    <s v="TM-Utama"/>
    <n v="24"/>
    <n v="3377"/>
    <s v="140.7"/>
    <x v="0"/>
    <n v="2.31"/>
    <n v="55441.9"/>
    <n v="55.442"/>
    <d v="2023-04-01T00:00:00"/>
    <x v="0"/>
    <x v="1"/>
  </r>
  <r>
    <x v="11"/>
    <x v="4"/>
    <s v="Mei"/>
    <s v="Division_A"/>
    <x v="39"/>
    <n v="2016"/>
    <n v="7"/>
    <s v="TM-Utama"/>
    <n v="24"/>
    <n v="3377"/>
    <s v="140.7"/>
    <x v="0"/>
    <n v="2.2949999999999999"/>
    <n v="55087.3"/>
    <n v="55.087000000000003"/>
    <d v="2023-05-01T00:00:00"/>
    <x v="0"/>
    <x v="1"/>
  </r>
  <r>
    <x v="11"/>
    <x v="5"/>
    <s v="Juni"/>
    <s v="Division_A"/>
    <x v="39"/>
    <n v="2016"/>
    <n v="7"/>
    <s v="TM-Utama"/>
    <n v="24"/>
    <n v="3377"/>
    <s v="140.7"/>
    <x v="0"/>
    <n v="2.54"/>
    <n v="60963.3"/>
    <n v="60.963000000000001"/>
    <d v="2023-06-01T00:00:00"/>
    <x v="0"/>
    <x v="1"/>
  </r>
  <r>
    <x v="11"/>
    <x v="6"/>
    <s v="Juli"/>
    <s v="Division_A"/>
    <x v="39"/>
    <n v="2016"/>
    <n v="7"/>
    <s v="TM-Utama"/>
    <n v="24"/>
    <n v="3377"/>
    <s v="140.7"/>
    <x v="0"/>
    <n v="2.335"/>
    <n v="56049.8"/>
    <n v="56.05"/>
    <d v="2023-07-01T00:00:00"/>
    <x v="0"/>
    <x v="1"/>
  </r>
  <r>
    <x v="11"/>
    <x v="7"/>
    <s v="Agustus"/>
    <s v="Division_A"/>
    <x v="39"/>
    <n v="2016"/>
    <n v="7"/>
    <s v="TM-Utama"/>
    <n v="24"/>
    <n v="3377"/>
    <s v="140.7"/>
    <x v="0"/>
    <n v="2.456"/>
    <n v="58937.1"/>
    <n v="58.936999999999998"/>
    <d v="2023-08-01T00:00:00"/>
    <x v="0"/>
    <x v="1"/>
  </r>
  <r>
    <x v="11"/>
    <x v="8"/>
    <s v="September"/>
    <s v="Division_A"/>
    <x v="39"/>
    <n v="2016"/>
    <n v="7"/>
    <s v="TM-Utama"/>
    <n v="24"/>
    <n v="3377"/>
    <s v="140.7"/>
    <x v="0"/>
    <n v="2.5390000000000001"/>
    <n v="60938"/>
    <n v="60.938000000000002"/>
    <d v="2023-09-01T00:00:00"/>
    <x v="0"/>
    <x v="1"/>
  </r>
  <r>
    <x v="11"/>
    <x v="9"/>
    <s v="Oktober"/>
    <s v="Division_A"/>
    <x v="39"/>
    <n v="2016"/>
    <n v="7"/>
    <s v="TM-Utama"/>
    <n v="24"/>
    <n v="3377"/>
    <s v="140.7"/>
    <x v="0"/>
    <n v="2.2519999999999998"/>
    <n v="54048.9"/>
    <n v="54.048999999999999"/>
    <d v="2023-10-01T00:00:00"/>
    <x v="0"/>
    <x v="1"/>
  </r>
  <r>
    <x v="11"/>
    <x v="10"/>
    <s v="November"/>
    <s v="Division_A"/>
    <x v="39"/>
    <n v="2016"/>
    <n v="7"/>
    <s v="TM-Utama"/>
    <n v="24"/>
    <n v="3377"/>
    <s v="140.7"/>
    <x v="0"/>
    <n v="1.863"/>
    <n v="44703"/>
    <n v="44.703000000000003"/>
    <d v="2023-11-01T00:00:00"/>
    <x v="0"/>
    <x v="1"/>
  </r>
  <r>
    <x v="11"/>
    <x v="11"/>
    <s v="Desember"/>
    <s v="Division_A"/>
    <x v="39"/>
    <n v="2016"/>
    <n v="7"/>
    <s v="TM-Utama"/>
    <n v="24"/>
    <n v="3377"/>
    <s v="140.7"/>
    <x v="0"/>
    <n v="0.9"/>
    <n v="21604.400000000001"/>
    <n v="21.603999999999999"/>
    <d v="2023-12-01T00:00:00"/>
    <x v="0"/>
    <x v="1"/>
  </r>
  <r>
    <x v="11"/>
    <x v="0"/>
    <s v="Januari"/>
    <s v="Division_A"/>
    <x v="40"/>
    <n v="2016"/>
    <n v="7"/>
    <s v="TM-Utama"/>
    <n v="25"/>
    <n v="3431"/>
    <s v="137.2"/>
    <x v="0"/>
    <n v="1.331"/>
    <n v="33272.1"/>
    <n v="33.271999999999998"/>
    <d v="2023-01-01T00:00:00"/>
    <x v="0"/>
    <x v="1"/>
  </r>
  <r>
    <x v="11"/>
    <x v="1"/>
    <s v="Februari"/>
    <s v="Division_A"/>
    <x v="40"/>
    <n v="2016"/>
    <n v="7"/>
    <s v="TM-Utama"/>
    <n v="25"/>
    <n v="3431"/>
    <s v="137.2"/>
    <x v="0"/>
    <n v="1.909"/>
    <n v="47733.8"/>
    <n v="47.734000000000002"/>
    <d v="2023-02-01T00:00:00"/>
    <x v="0"/>
    <x v="1"/>
  </r>
  <r>
    <x v="11"/>
    <x v="2"/>
    <s v="Maret"/>
    <s v="Division_A"/>
    <x v="40"/>
    <n v="2016"/>
    <n v="7"/>
    <s v="TM-Utama"/>
    <n v="25"/>
    <n v="3431"/>
    <s v="137.2"/>
    <x v="0"/>
    <n v="2.2170000000000001"/>
    <n v="55427.8"/>
    <n v="55.427999999999997"/>
    <d v="2023-03-01T00:00:00"/>
    <x v="0"/>
    <x v="1"/>
  </r>
  <r>
    <x v="11"/>
    <x v="3"/>
    <s v="April"/>
    <s v="Division_A"/>
    <x v="40"/>
    <n v="2016"/>
    <n v="7"/>
    <s v="TM-Utama"/>
    <n v="25"/>
    <n v="3431"/>
    <s v="137.2"/>
    <x v="0"/>
    <n v="2.2530000000000001"/>
    <n v="56328.4"/>
    <n v="56.328000000000003"/>
    <d v="2023-04-01T00:00:00"/>
    <x v="0"/>
    <x v="1"/>
  </r>
  <r>
    <x v="11"/>
    <x v="4"/>
    <s v="Mei"/>
    <s v="Division_A"/>
    <x v="40"/>
    <n v="2016"/>
    <n v="7"/>
    <s v="TM-Utama"/>
    <n v="25"/>
    <n v="3431"/>
    <s v="137.2"/>
    <x v="0"/>
    <n v="2.2389999999999999"/>
    <n v="55968.2"/>
    <n v="55.968000000000004"/>
    <d v="2023-05-01T00:00:00"/>
    <x v="0"/>
    <x v="1"/>
  </r>
  <r>
    <x v="11"/>
    <x v="5"/>
    <s v="Juni"/>
    <s v="Division_A"/>
    <x v="40"/>
    <n v="2016"/>
    <n v="7"/>
    <s v="TM-Utama"/>
    <n v="25"/>
    <n v="3431"/>
    <s v="137.2"/>
    <x v="0"/>
    <n v="2.4780000000000002"/>
    <n v="61938.1"/>
    <n v="61.938000000000002"/>
    <d v="2023-06-01T00:00:00"/>
    <x v="0"/>
    <x v="1"/>
  </r>
  <r>
    <x v="11"/>
    <x v="6"/>
    <s v="Juli"/>
    <s v="Division_A"/>
    <x v="40"/>
    <n v="2016"/>
    <n v="7"/>
    <s v="TM-Utama"/>
    <n v="25"/>
    <n v="3431"/>
    <s v="137.2"/>
    <x v="0"/>
    <n v="2.278"/>
    <n v="56946"/>
    <n v="56.945999999999998"/>
    <d v="2023-07-01T00:00:00"/>
    <x v="0"/>
    <x v="1"/>
  </r>
  <r>
    <x v="11"/>
    <x v="7"/>
    <s v="Agustus"/>
    <s v="Division_A"/>
    <x v="40"/>
    <n v="2016"/>
    <n v="7"/>
    <s v="TM-Utama"/>
    <n v="25"/>
    <n v="3431"/>
    <s v="137.2"/>
    <x v="0"/>
    <n v="2.395"/>
    <n v="59879.5"/>
    <n v="59.88"/>
    <d v="2023-08-01T00:00:00"/>
    <x v="0"/>
    <x v="1"/>
  </r>
  <r>
    <x v="11"/>
    <x v="8"/>
    <s v="September"/>
    <s v="Division_A"/>
    <x v="40"/>
    <n v="2016"/>
    <n v="7"/>
    <s v="TM-Utama"/>
    <n v="25"/>
    <n v="3431"/>
    <s v="137.2"/>
    <x v="0"/>
    <n v="2.476"/>
    <n v="61912.4"/>
    <n v="61.911999999999999"/>
    <d v="2023-09-01T00:00:00"/>
    <x v="0"/>
    <x v="1"/>
  </r>
  <r>
    <x v="11"/>
    <x v="9"/>
    <s v="Oktober"/>
    <s v="Division_A"/>
    <x v="40"/>
    <n v="2016"/>
    <n v="7"/>
    <s v="TM-Utama"/>
    <n v="25"/>
    <n v="3431"/>
    <s v="137.2"/>
    <x v="0"/>
    <n v="2.1970000000000001"/>
    <n v="54913.2"/>
    <n v="54.912999999999997"/>
    <d v="2023-10-01T00:00:00"/>
    <x v="0"/>
    <x v="1"/>
  </r>
  <r>
    <x v="11"/>
    <x v="10"/>
    <s v="November"/>
    <s v="Division_A"/>
    <x v="40"/>
    <n v="2016"/>
    <n v="7"/>
    <s v="TM-Utama"/>
    <n v="25"/>
    <n v="3431"/>
    <s v="137.2"/>
    <x v="0"/>
    <n v="1.8169999999999999"/>
    <n v="45417.9"/>
    <n v="45.417999999999999"/>
    <d v="2023-11-01T00:00:00"/>
    <x v="0"/>
    <x v="1"/>
  </r>
  <r>
    <x v="11"/>
    <x v="11"/>
    <s v="Desember"/>
    <s v="Division_A"/>
    <x v="40"/>
    <n v="2016"/>
    <n v="7"/>
    <s v="TM-Utama"/>
    <n v="25"/>
    <n v="3431"/>
    <s v="137.2"/>
    <x v="0"/>
    <n v="0.878"/>
    <n v="21949.8"/>
    <n v="21.95"/>
    <d v="2023-12-01T00:00:00"/>
    <x v="0"/>
    <x v="1"/>
  </r>
  <r>
    <x v="11"/>
    <x v="0"/>
    <s v="Januari"/>
    <s v="Division_A"/>
    <x v="41"/>
    <n v="2016"/>
    <n v="7"/>
    <s v="TM-Utama"/>
    <n v="21"/>
    <n v="2901"/>
    <s v="138.1"/>
    <x v="0"/>
    <n v="1.34"/>
    <n v="28132.400000000001"/>
    <n v="28.132000000000001"/>
    <d v="2023-01-01T00:00:00"/>
    <x v="0"/>
    <x v="1"/>
  </r>
  <r>
    <x v="11"/>
    <x v="1"/>
    <s v="Februari"/>
    <s v="Division_A"/>
    <x v="41"/>
    <n v="2016"/>
    <n v="7"/>
    <s v="TM-Utama"/>
    <n v="21"/>
    <n v="2901"/>
    <s v="138.1"/>
    <x v="0"/>
    <n v="1.9219999999999999"/>
    <n v="40360.199999999997"/>
    <n v="40.36"/>
    <d v="2023-02-01T00:00:00"/>
    <x v="0"/>
    <x v="1"/>
  </r>
  <r>
    <x v="11"/>
    <x v="2"/>
    <s v="Maret"/>
    <s v="Division_A"/>
    <x v="41"/>
    <n v="2016"/>
    <n v="7"/>
    <s v="TM-Utama"/>
    <n v="21"/>
    <n v="2901"/>
    <s v="138.1"/>
    <x v="0"/>
    <n v="2.2320000000000002"/>
    <n v="46865.7"/>
    <n v="46.866"/>
    <d v="2023-03-01T00:00:00"/>
    <x v="0"/>
    <x v="1"/>
  </r>
  <r>
    <x v="11"/>
    <x v="3"/>
    <s v="April"/>
    <s v="Division_A"/>
    <x v="41"/>
    <n v="2016"/>
    <n v="7"/>
    <s v="TM-Utama"/>
    <n v="21"/>
    <n v="2901"/>
    <s v="138.1"/>
    <x v="0"/>
    <n v="2.2679999999999998"/>
    <n v="47627.199999999997"/>
    <n v="47.627000000000002"/>
    <d v="2023-04-01T00:00:00"/>
    <x v="0"/>
    <x v="1"/>
  </r>
  <r>
    <x v="11"/>
    <x v="4"/>
    <s v="Mei"/>
    <s v="Division_A"/>
    <x v="41"/>
    <n v="2016"/>
    <n v="7"/>
    <s v="TM-Utama"/>
    <n v="21"/>
    <n v="2901"/>
    <s v="138.1"/>
    <x v="0"/>
    <n v="2.2530000000000001"/>
    <n v="47322.6"/>
    <n v="47.323"/>
    <d v="2023-05-01T00:00:00"/>
    <x v="0"/>
    <x v="1"/>
  </r>
  <r>
    <x v="11"/>
    <x v="5"/>
    <s v="Juni"/>
    <s v="Division_A"/>
    <x v="41"/>
    <n v="2016"/>
    <n v="7"/>
    <s v="TM-Utama"/>
    <n v="21"/>
    <n v="2901"/>
    <s v="138.1"/>
    <x v="0"/>
    <n v="2.4940000000000002"/>
    <n v="52370.3"/>
    <n v="52.37"/>
    <d v="2023-06-01T00:00:00"/>
    <x v="0"/>
    <x v="1"/>
  </r>
  <r>
    <x v="11"/>
    <x v="6"/>
    <s v="Juli"/>
    <s v="Division_A"/>
    <x v="41"/>
    <n v="2016"/>
    <n v="7"/>
    <s v="TM-Utama"/>
    <n v="21"/>
    <n v="2901"/>
    <s v="138.1"/>
    <x v="0"/>
    <n v="2.2930000000000001"/>
    <n v="48149.3"/>
    <n v="48.149000000000001"/>
    <d v="2023-07-01T00:00:00"/>
    <x v="0"/>
    <x v="1"/>
  </r>
  <r>
    <x v="11"/>
    <x v="7"/>
    <s v="Agustus"/>
    <s v="Division_A"/>
    <x v="41"/>
    <n v="2016"/>
    <n v="7"/>
    <s v="TM-Utama"/>
    <n v="21"/>
    <n v="2901"/>
    <s v="138.1"/>
    <x v="0"/>
    <n v="2.411"/>
    <n v="50629.7"/>
    <n v="50.63"/>
    <d v="2023-08-01T00:00:00"/>
    <x v="0"/>
    <x v="1"/>
  </r>
  <r>
    <x v="11"/>
    <x v="8"/>
    <s v="September"/>
    <s v="Division_A"/>
    <x v="41"/>
    <n v="2016"/>
    <n v="7"/>
    <s v="TM-Utama"/>
    <n v="21"/>
    <n v="2901"/>
    <s v="138.1"/>
    <x v="0"/>
    <n v="2.4929999999999999"/>
    <n v="52348.5"/>
    <n v="52.348999999999997"/>
    <d v="2023-09-01T00:00:00"/>
    <x v="0"/>
    <x v="1"/>
  </r>
  <r>
    <x v="11"/>
    <x v="9"/>
    <s v="Oktober"/>
    <s v="Division_A"/>
    <x v="41"/>
    <n v="2016"/>
    <n v="7"/>
    <s v="TM-Utama"/>
    <n v="21"/>
    <n v="2901"/>
    <s v="138.1"/>
    <x v="0"/>
    <n v="2.2109999999999999"/>
    <n v="46430.5"/>
    <n v="46.430999999999997"/>
    <d v="2023-10-01T00:00:00"/>
    <x v="0"/>
    <x v="1"/>
  </r>
  <r>
    <x v="11"/>
    <x v="10"/>
    <s v="November"/>
    <s v="Division_A"/>
    <x v="41"/>
    <n v="2016"/>
    <n v="7"/>
    <s v="TM-Utama"/>
    <n v="21"/>
    <n v="2901"/>
    <s v="138.1"/>
    <x v="0"/>
    <n v="1.829"/>
    <n v="38402"/>
    <n v="38.402000000000001"/>
    <d v="2023-11-01T00:00:00"/>
    <x v="0"/>
    <x v="1"/>
  </r>
  <r>
    <x v="11"/>
    <x v="11"/>
    <s v="Desember"/>
    <s v="Division_A"/>
    <x v="41"/>
    <n v="2016"/>
    <n v="7"/>
    <s v="TM-Utama"/>
    <n v="21"/>
    <n v="2901"/>
    <s v="138.1"/>
    <x v="0"/>
    <n v="0.88400000000000001"/>
    <n v="18559.099999999999"/>
    <n v="18.559000000000001"/>
    <d v="2023-12-01T00:00:00"/>
    <x v="0"/>
    <x v="1"/>
  </r>
  <r>
    <x v="12"/>
    <x v="0"/>
    <s v="Januari"/>
    <s v="Division_A"/>
    <x v="0"/>
    <n v="2000"/>
    <n v="24"/>
    <s v="TM-Tua"/>
    <n v="19"/>
    <n v="1490"/>
    <s v="78.4"/>
    <x v="0"/>
    <n v="0.71099999999999997"/>
    <n v="13518"/>
    <n v="13.518000000000001"/>
    <d v="2024-01-01T00:00:00"/>
    <x v="0"/>
    <x v="4"/>
  </r>
  <r>
    <x v="12"/>
    <x v="1"/>
    <s v="Februari"/>
    <s v="Division_A"/>
    <x v="0"/>
    <n v="2000"/>
    <n v="24"/>
    <s v="TM-Tua"/>
    <n v="19"/>
    <n v="1490"/>
    <s v="78.4"/>
    <x v="0"/>
    <n v="0.754"/>
    <n v="14326.9"/>
    <n v="14.327"/>
    <d v="2024-02-01T00:00:00"/>
    <x v="0"/>
    <x v="4"/>
  </r>
  <r>
    <x v="12"/>
    <x v="2"/>
    <s v="Maret"/>
    <s v="Division_A"/>
    <x v="0"/>
    <n v="2000"/>
    <n v="24"/>
    <s v="TM-Tua"/>
    <n v="19"/>
    <n v="1490"/>
    <s v="78.4"/>
    <x v="0"/>
    <n v="1.0209999999999999"/>
    <n v="19392.400000000001"/>
    <n v="19.391999999999999"/>
    <d v="2024-03-01T00:00:00"/>
    <x v="0"/>
    <x v="4"/>
  </r>
  <r>
    <x v="12"/>
    <x v="3"/>
    <s v="April"/>
    <s v="Division_A"/>
    <x v="0"/>
    <n v="2000"/>
    <n v="24"/>
    <s v="TM-Tua"/>
    <n v="19"/>
    <n v="1490"/>
    <s v="78.4"/>
    <x v="0"/>
    <n v="0.93200000000000005"/>
    <n v="17714"/>
    <n v="17.713999999999999"/>
    <d v="2024-04-01T00:00:00"/>
    <x v="0"/>
    <x v="4"/>
  </r>
  <r>
    <x v="12"/>
    <x v="4"/>
    <s v="Mei"/>
    <s v="Division_A"/>
    <x v="0"/>
    <n v="2000"/>
    <n v="24"/>
    <s v="TM-Tua"/>
    <n v="19"/>
    <n v="1490"/>
    <s v="78.4"/>
    <x v="0"/>
    <n v="1.083"/>
    <n v="20585.400000000001"/>
    <n v="20.585000000000001"/>
    <d v="2024-05-01T00:00:00"/>
    <x v="0"/>
    <x v="4"/>
  </r>
  <r>
    <x v="12"/>
    <x v="5"/>
    <s v="Juni"/>
    <s v="Division_A"/>
    <x v="0"/>
    <n v="2000"/>
    <n v="24"/>
    <s v="TM-Tua"/>
    <n v="19"/>
    <n v="1490"/>
    <s v="78.4"/>
    <x v="0"/>
    <n v="1.1859999999999999"/>
    <n v="22536.799999999999"/>
    <n v="22.536999999999999"/>
    <d v="2024-06-01T00:00:00"/>
    <x v="0"/>
    <x v="4"/>
  </r>
  <r>
    <x v="12"/>
    <x v="6"/>
    <s v="Juli"/>
    <s v="Division_A"/>
    <x v="0"/>
    <n v="2000"/>
    <n v="24"/>
    <s v="TM-Tua"/>
    <n v="19"/>
    <n v="1490"/>
    <s v="78.4"/>
    <x v="0"/>
    <n v="1.087"/>
    <n v="20646.099999999999"/>
    <n v="20.646000000000001"/>
    <d v="2024-07-01T00:00:00"/>
    <x v="0"/>
    <x v="4"/>
  </r>
  <r>
    <x v="12"/>
    <x v="7"/>
    <s v="Agustus"/>
    <s v="Division_A"/>
    <x v="0"/>
    <n v="2000"/>
    <n v="24"/>
    <s v="TM-Tua"/>
    <n v="19"/>
    <n v="1490"/>
    <s v="78.4"/>
    <x v="0"/>
    <n v="0.98199999999999998"/>
    <n v="18664.400000000001"/>
    <n v="18.664000000000001"/>
    <d v="2024-08-01T00:00:00"/>
    <x v="0"/>
    <x v="4"/>
  </r>
  <r>
    <x v="12"/>
    <x v="8"/>
    <s v="September"/>
    <s v="Division_A"/>
    <x v="0"/>
    <n v="2000"/>
    <n v="24"/>
    <s v="TM-Tua"/>
    <n v="19"/>
    <n v="1490"/>
    <s v="78.4"/>
    <x v="0"/>
    <n v="1.0629999999999999"/>
    <n v="20191.099999999999"/>
    <n v="20.190999999999999"/>
    <d v="2024-09-01T00:00:00"/>
    <x v="0"/>
    <x v="4"/>
  </r>
  <r>
    <x v="12"/>
    <x v="9"/>
    <s v="Oktober"/>
    <s v="Division_A"/>
    <x v="0"/>
    <n v="2000"/>
    <n v="24"/>
    <s v="TM-Tua"/>
    <n v="19"/>
    <n v="1490"/>
    <s v="78.4"/>
    <x v="0"/>
    <n v="0.70199999999999996"/>
    <n v="13336"/>
    <n v="13.336"/>
    <d v="2024-10-01T00:00:00"/>
    <x v="0"/>
    <x v="4"/>
  </r>
  <r>
    <x v="12"/>
    <x v="10"/>
    <s v="November"/>
    <s v="Division_A"/>
    <x v="0"/>
    <n v="2000"/>
    <n v="24"/>
    <s v="TM-Tua"/>
    <n v="19"/>
    <n v="1490"/>
    <s v="78.4"/>
    <x v="0"/>
    <n v="0.498"/>
    <n v="9463.6"/>
    <n v="9.4640000000000004"/>
    <d v="2024-11-01T00:00:00"/>
    <x v="0"/>
    <x v="4"/>
  </r>
  <r>
    <x v="12"/>
    <x v="11"/>
    <s v="Desember"/>
    <s v="Division_A"/>
    <x v="0"/>
    <n v="2000"/>
    <n v="24"/>
    <s v="TM-Tua"/>
    <n v="19"/>
    <n v="1490"/>
    <s v="78.4"/>
    <x v="0"/>
    <n v="0.63800000000000001"/>
    <n v="12112.6"/>
    <n v="12.113"/>
    <d v="2024-12-01T00:00:00"/>
    <x v="0"/>
    <x v="4"/>
  </r>
  <r>
    <x v="12"/>
    <x v="0"/>
    <s v="Januari"/>
    <s v="Division_A"/>
    <x v="1"/>
    <n v="2000"/>
    <n v="24"/>
    <s v="TM-Tua"/>
    <n v="24"/>
    <n v="1675"/>
    <s v="69.8"/>
    <x v="0"/>
    <n v="0.63300000000000001"/>
    <n v="15196.4"/>
    <n v="15.196"/>
    <d v="2024-01-01T00:00:00"/>
    <x v="0"/>
    <x v="4"/>
  </r>
  <r>
    <x v="12"/>
    <x v="1"/>
    <s v="Februari"/>
    <s v="Division_A"/>
    <x v="1"/>
    <n v="2000"/>
    <n v="24"/>
    <s v="TM-Tua"/>
    <n v="24"/>
    <n v="1675"/>
    <s v="69.8"/>
    <x v="0"/>
    <n v="0.67100000000000004"/>
    <n v="16105.7"/>
    <n v="16.106000000000002"/>
    <d v="2024-02-01T00:00:00"/>
    <x v="0"/>
    <x v="4"/>
  </r>
  <r>
    <x v="12"/>
    <x v="2"/>
    <s v="Maret"/>
    <s v="Division_A"/>
    <x v="1"/>
    <n v="2000"/>
    <n v="24"/>
    <s v="TM-Tua"/>
    <n v="24"/>
    <n v="1675"/>
    <s v="69.8"/>
    <x v="0"/>
    <n v="0.90800000000000003"/>
    <n v="21800.1"/>
    <n v="21.8"/>
    <d v="2024-03-01T00:00:00"/>
    <x v="0"/>
    <x v="4"/>
  </r>
  <r>
    <x v="12"/>
    <x v="3"/>
    <s v="April"/>
    <s v="Division_A"/>
    <x v="1"/>
    <n v="2000"/>
    <n v="24"/>
    <s v="TM-Tua"/>
    <n v="24"/>
    <n v="1675"/>
    <s v="69.8"/>
    <x v="0"/>
    <n v="0.83"/>
    <n v="19913.400000000001"/>
    <n v="19.913"/>
    <d v="2024-04-01T00:00:00"/>
    <x v="0"/>
    <x v="4"/>
  </r>
  <r>
    <x v="12"/>
    <x v="4"/>
    <s v="Mei"/>
    <s v="Division_A"/>
    <x v="1"/>
    <n v="2000"/>
    <n v="24"/>
    <s v="TM-Tua"/>
    <n v="24"/>
    <n v="1675"/>
    <s v="69.8"/>
    <x v="0"/>
    <n v="0.96399999999999997"/>
    <n v="23141.3"/>
    <n v="23.140999999999998"/>
    <d v="2024-05-01T00:00:00"/>
    <x v="0"/>
    <x v="4"/>
  </r>
  <r>
    <x v="12"/>
    <x v="5"/>
    <s v="Juni"/>
    <s v="Division_A"/>
    <x v="1"/>
    <n v="2000"/>
    <n v="24"/>
    <s v="TM-Tua"/>
    <n v="24"/>
    <n v="1675"/>
    <s v="69.8"/>
    <x v="0"/>
    <n v="1.056"/>
    <n v="25335"/>
    <n v="25.335000000000001"/>
    <d v="2024-06-01T00:00:00"/>
    <x v="0"/>
    <x v="4"/>
  </r>
  <r>
    <x v="12"/>
    <x v="6"/>
    <s v="Juli"/>
    <s v="Division_A"/>
    <x v="1"/>
    <n v="2000"/>
    <n v="24"/>
    <s v="TM-Tua"/>
    <n v="24"/>
    <n v="1675"/>
    <s v="69.8"/>
    <x v="0"/>
    <n v="0.96699999999999997"/>
    <n v="23209.5"/>
    <n v="23.21"/>
    <d v="2024-07-01T00:00:00"/>
    <x v="0"/>
    <x v="4"/>
  </r>
  <r>
    <x v="12"/>
    <x v="7"/>
    <s v="Agustus"/>
    <s v="Division_A"/>
    <x v="1"/>
    <n v="2000"/>
    <n v="24"/>
    <s v="TM-Tua"/>
    <n v="24"/>
    <n v="1675"/>
    <s v="69.8"/>
    <x v="0"/>
    <n v="0.874"/>
    <n v="20981.8"/>
    <n v="20.981999999999999"/>
    <d v="2024-08-01T00:00:00"/>
    <x v="0"/>
    <x v="4"/>
  </r>
  <r>
    <x v="12"/>
    <x v="8"/>
    <s v="September"/>
    <s v="Division_A"/>
    <x v="1"/>
    <n v="2000"/>
    <n v="24"/>
    <s v="TM-Tua"/>
    <n v="24"/>
    <n v="1675"/>
    <s v="69.8"/>
    <x v="0"/>
    <n v="0.94599999999999995"/>
    <n v="22698"/>
    <n v="22.698"/>
    <d v="2024-09-01T00:00:00"/>
    <x v="0"/>
    <x v="4"/>
  </r>
  <r>
    <x v="12"/>
    <x v="9"/>
    <s v="Oktober"/>
    <s v="Division_A"/>
    <x v="1"/>
    <n v="2000"/>
    <n v="24"/>
    <s v="TM-Tua"/>
    <n v="24"/>
    <n v="1675"/>
    <s v="69.8"/>
    <x v="0"/>
    <n v="0.625"/>
    <n v="14991.8"/>
    <n v="14.992000000000001"/>
    <d v="2024-10-01T00:00:00"/>
    <x v="0"/>
    <x v="4"/>
  </r>
  <r>
    <x v="12"/>
    <x v="10"/>
    <s v="November"/>
    <s v="Division_A"/>
    <x v="1"/>
    <n v="2000"/>
    <n v="24"/>
    <s v="TM-Tua"/>
    <n v="24"/>
    <n v="1675"/>
    <s v="69.8"/>
    <x v="0"/>
    <n v="0.443"/>
    <n v="10638.6"/>
    <n v="10.638999999999999"/>
    <d v="2024-11-01T00:00:00"/>
    <x v="0"/>
    <x v="4"/>
  </r>
  <r>
    <x v="12"/>
    <x v="11"/>
    <s v="Desember"/>
    <s v="Division_A"/>
    <x v="1"/>
    <n v="2000"/>
    <n v="24"/>
    <s v="TM-Tua"/>
    <n v="24"/>
    <n v="1675"/>
    <s v="69.8"/>
    <x v="0"/>
    <n v="0.56699999999999995"/>
    <n v="13616.6"/>
    <n v="13.617000000000001"/>
    <d v="2024-12-01T00:00:00"/>
    <x v="0"/>
    <x v="4"/>
  </r>
  <r>
    <x v="12"/>
    <x v="0"/>
    <s v="Januari"/>
    <s v="Division_A"/>
    <x v="2"/>
    <n v="2005"/>
    <n v="19"/>
    <s v="TM-Tua"/>
    <n v="18"/>
    <n v="1922"/>
    <s v="106.8"/>
    <x v="0"/>
    <n v="0.96899999999999997"/>
    <n v="17437.3"/>
    <n v="17.437000000000001"/>
    <d v="2024-01-01T00:00:00"/>
    <x v="0"/>
    <x v="4"/>
  </r>
  <r>
    <x v="12"/>
    <x v="1"/>
    <s v="Februari"/>
    <s v="Division_A"/>
    <x v="2"/>
    <n v="2005"/>
    <n v="19"/>
    <s v="TM-Tua"/>
    <n v="18"/>
    <n v="1922"/>
    <s v="106.8"/>
    <x v="0"/>
    <n v="1.0269999999999999"/>
    <n v="18480.7"/>
    <n v="18.481000000000002"/>
    <d v="2024-02-01T00:00:00"/>
    <x v="0"/>
    <x v="4"/>
  </r>
  <r>
    <x v="12"/>
    <x v="2"/>
    <s v="Maret"/>
    <s v="Division_A"/>
    <x v="2"/>
    <n v="2005"/>
    <n v="19"/>
    <s v="TM-Tua"/>
    <n v="18"/>
    <n v="1922"/>
    <s v="106.8"/>
    <x v="0"/>
    <n v="1.39"/>
    <n v="25014.799999999999"/>
    <n v="25.015000000000001"/>
    <d v="2024-03-01T00:00:00"/>
    <x v="0"/>
    <x v="4"/>
  </r>
  <r>
    <x v="12"/>
    <x v="3"/>
    <s v="April"/>
    <s v="Division_A"/>
    <x v="2"/>
    <n v="2005"/>
    <n v="19"/>
    <s v="TM-Tua"/>
    <n v="18"/>
    <n v="1922"/>
    <s v="106.8"/>
    <x v="0"/>
    <n v="1.2689999999999999"/>
    <n v="22849.8"/>
    <n v="22.85"/>
    <d v="2024-04-01T00:00:00"/>
    <x v="0"/>
    <x v="4"/>
  </r>
  <r>
    <x v="12"/>
    <x v="4"/>
    <s v="Mei"/>
    <s v="Division_A"/>
    <x v="2"/>
    <n v="2005"/>
    <n v="19"/>
    <s v="TM-Tua"/>
    <n v="18"/>
    <n v="1922"/>
    <s v="106.8"/>
    <x v="0"/>
    <n v="1.4750000000000001"/>
    <n v="26553.8"/>
    <n v="26.553999999999998"/>
    <d v="2024-05-01T00:00:00"/>
    <x v="0"/>
    <x v="4"/>
  </r>
  <r>
    <x v="12"/>
    <x v="5"/>
    <s v="Juni"/>
    <s v="Division_A"/>
    <x v="2"/>
    <n v="2005"/>
    <n v="19"/>
    <s v="TM-Tua"/>
    <n v="18"/>
    <n v="1922"/>
    <s v="106.8"/>
    <x v="0"/>
    <n v="1.615"/>
    <n v="29070.9"/>
    <n v="29.071000000000002"/>
    <d v="2024-06-01T00:00:00"/>
    <x v="0"/>
    <x v="4"/>
  </r>
  <r>
    <x v="12"/>
    <x v="6"/>
    <s v="Juli"/>
    <s v="Division_A"/>
    <x v="2"/>
    <n v="2005"/>
    <n v="19"/>
    <s v="TM-Tua"/>
    <n v="18"/>
    <n v="1922"/>
    <s v="106.8"/>
    <x v="0"/>
    <n v="1.48"/>
    <n v="26632.1"/>
    <n v="26.632000000000001"/>
    <d v="2024-07-01T00:00:00"/>
    <x v="0"/>
    <x v="4"/>
  </r>
  <r>
    <x v="12"/>
    <x v="7"/>
    <s v="Agustus"/>
    <s v="Division_A"/>
    <x v="2"/>
    <n v="2005"/>
    <n v="19"/>
    <s v="TM-Tua"/>
    <n v="18"/>
    <n v="1922"/>
    <s v="106.8"/>
    <x v="0"/>
    <n v="1.3380000000000001"/>
    <n v="24075.8"/>
    <n v="24.076000000000001"/>
    <d v="2024-08-01T00:00:00"/>
    <x v="0"/>
    <x v="4"/>
  </r>
  <r>
    <x v="12"/>
    <x v="8"/>
    <s v="September"/>
    <s v="Division_A"/>
    <x v="2"/>
    <n v="2005"/>
    <n v="19"/>
    <s v="TM-Tua"/>
    <n v="18"/>
    <n v="1922"/>
    <s v="106.8"/>
    <x v="0"/>
    <n v="1.4470000000000001"/>
    <n v="26045.200000000001"/>
    <n v="26.045000000000002"/>
    <d v="2024-09-01T00:00:00"/>
    <x v="0"/>
    <x v="4"/>
  </r>
  <r>
    <x v="12"/>
    <x v="9"/>
    <s v="Oktober"/>
    <s v="Division_A"/>
    <x v="2"/>
    <n v="2005"/>
    <n v="19"/>
    <s v="TM-Tua"/>
    <n v="18"/>
    <n v="1922"/>
    <s v="106.8"/>
    <x v="0"/>
    <n v="0.95599999999999996"/>
    <n v="17202.599999999999"/>
    <n v="17.202999999999999"/>
    <d v="2024-10-01T00:00:00"/>
    <x v="0"/>
    <x v="4"/>
  </r>
  <r>
    <x v="12"/>
    <x v="10"/>
    <s v="November"/>
    <s v="Division_A"/>
    <x v="2"/>
    <n v="2005"/>
    <n v="19"/>
    <s v="TM-Tua"/>
    <n v="18"/>
    <n v="1922"/>
    <s v="106.8"/>
    <x v="0"/>
    <n v="0.67800000000000005"/>
    <n v="12207.4"/>
    <n v="12.207000000000001"/>
    <d v="2024-11-01T00:00:00"/>
    <x v="0"/>
    <x v="4"/>
  </r>
  <r>
    <x v="12"/>
    <x v="11"/>
    <s v="Desember"/>
    <s v="Division_A"/>
    <x v="2"/>
    <n v="2005"/>
    <n v="19"/>
    <s v="TM-Tua"/>
    <n v="18"/>
    <n v="1922"/>
    <s v="106.8"/>
    <x v="0"/>
    <n v="0.86799999999999999"/>
    <n v="15624.5"/>
    <n v="15.624000000000001"/>
    <d v="2024-12-01T00:00:00"/>
    <x v="0"/>
    <x v="4"/>
  </r>
  <r>
    <x v="12"/>
    <x v="0"/>
    <s v="Januari"/>
    <s v="Division_A"/>
    <x v="3"/>
    <n v="2005"/>
    <n v="19"/>
    <s v="TM-Tua"/>
    <n v="26"/>
    <n v="2827"/>
    <s v="108.7"/>
    <x v="0"/>
    <n v="0.98599999999999999"/>
    <n v="25648"/>
    <n v="25.648"/>
    <d v="2024-01-01T00:00:00"/>
    <x v="0"/>
    <x v="4"/>
  </r>
  <r>
    <x v="12"/>
    <x v="1"/>
    <s v="Februari"/>
    <s v="Division_A"/>
    <x v="3"/>
    <n v="2005"/>
    <n v="19"/>
    <s v="TM-Tua"/>
    <n v="26"/>
    <n v="2827"/>
    <s v="108.7"/>
    <x v="0"/>
    <n v="1.0449999999999999"/>
    <n v="27182.6"/>
    <n v="27.183"/>
    <d v="2024-02-01T00:00:00"/>
    <x v="0"/>
    <x v="4"/>
  </r>
  <r>
    <x v="12"/>
    <x v="2"/>
    <s v="Maret"/>
    <s v="Division_A"/>
    <x v="3"/>
    <n v="2005"/>
    <n v="19"/>
    <s v="TM-Tua"/>
    <n v="26"/>
    <n v="2827"/>
    <s v="108.7"/>
    <x v="0"/>
    <n v="1.415"/>
    <n v="36793.4"/>
    <n v="36.792999999999999"/>
    <d v="2024-03-01T00:00:00"/>
    <x v="0"/>
    <x v="4"/>
  </r>
  <r>
    <x v="12"/>
    <x v="3"/>
    <s v="April"/>
    <s v="Division_A"/>
    <x v="3"/>
    <n v="2005"/>
    <n v="19"/>
    <s v="TM-Tua"/>
    <n v="26"/>
    <n v="2827"/>
    <s v="108.7"/>
    <x v="0"/>
    <n v="1.2929999999999999"/>
    <n v="33609"/>
    <n v="33.609000000000002"/>
    <d v="2024-04-01T00:00:00"/>
    <x v="0"/>
    <x v="4"/>
  </r>
  <r>
    <x v="12"/>
    <x v="4"/>
    <s v="Mei"/>
    <s v="Division_A"/>
    <x v="3"/>
    <n v="2005"/>
    <n v="19"/>
    <s v="TM-Tua"/>
    <n v="26"/>
    <n v="2827"/>
    <s v="108.7"/>
    <x v="0"/>
    <n v="1.502"/>
    <n v="39057"/>
    <n v="39.057000000000002"/>
    <d v="2024-05-01T00:00:00"/>
    <x v="0"/>
    <x v="4"/>
  </r>
  <r>
    <x v="12"/>
    <x v="5"/>
    <s v="Juni"/>
    <s v="Division_A"/>
    <x v="3"/>
    <n v="2005"/>
    <n v="19"/>
    <s v="TM-Tua"/>
    <n v="26"/>
    <n v="2827"/>
    <s v="108.7"/>
    <x v="0"/>
    <n v="1.645"/>
    <n v="42759.4"/>
    <n v="42.759"/>
    <d v="2024-06-01T00:00:00"/>
    <x v="0"/>
    <x v="4"/>
  </r>
  <r>
    <x v="12"/>
    <x v="6"/>
    <s v="Juli"/>
    <s v="Division_A"/>
    <x v="3"/>
    <n v="2005"/>
    <n v="19"/>
    <s v="TM-Tua"/>
    <n v="26"/>
    <n v="2827"/>
    <s v="108.7"/>
    <x v="0"/>
    <n v="1.5069999999999999"/>
    <n v="39172.1"/>
    <n v="39.171999999999997"/>
    <d v="2024-07-01T00:00:00"/>
    <x v="0"/>
    <x v="4"/>
  </r>
  <r>
    <x v="12"/>
    <x v="7"/>
    <s v="Agustus"/>
    <s v="Division_A"/>
    <x v="3"/>
    <n v="2005"/>
    <n v="19"/>
    <s v="TM-Tua"/>
    <n v="26"/>
    <n v="2827"/>
    <s v="108.7"/>
    <x v="0"/>
    <n v="1.3620000000000001"/>
    <n v="35412.199999999997"/>
    <n v="35.411999999999999"/>
    <d v="2024-08-01T00:00:00"/>
    <x v="0"/>
    <x v="4"/>
  </r>
  <r>
    <x v="12"/>
    <x v="8"/>
    <s v="September"/>
    <s v="Division_A"/>
    <x v="3"/>
    <n v="2005"/>
    <n v="19"/>
    <s v="TM-Tua"/>
    <n v="26"/>
    <n v="2827"/>
    <s v="108.7"/>
    <x v="0"/>
    <n v="1.4730000000000001"/>
    <n v="38308.9"/>
    <n v="38.308999999999997"/>
    <d v="2024-09-01T00:00:00"/>
    <x v="0"/>
    <x v="4"/>
  </r>
  <r>
    <x v="12"/>
    <x v="9"/>
    <s v="Oktober"/>
    <s v="Division_A"/>
    <x v="3"/>
    <n v="2005"/>
    <n v="19"/>
    <s v="TM-Tua"/>
    <n v="26"/>
    <n v="2827"/>
    <s v="108.7"/>
    <x v="0"/>
    <n v="0.97299999999999998"/>
    <n v="25302.7"/>
    <n v="25.303000000000001"/>
    <d v="2024-10-01T00:00:00"/>
    <x v="0"/>
    <x v="4"/>
  </r>
  <r>
    <x v="12"/>
    <x v="10"/>
    <s v="November"/>
    <s v="Division_A"/>
    <x v="3"/>
    <n v="2005"/>
    <n v="19"/>
    <s v="TM-Tua"/>
    <n v="26"/>
    <n v="2827"/>
    <s v="108.7"/>
    <x v="0"/>
    <n v="0.69099999999999995"/>
    <n v="17955.5"/>
    <n v="17.954999999999998"/>
    <d v="2024-11-01T00:00:00"/>
    <x v="0"/>
    <x v="4"/>
  </r>
  <r>
    <x v="12"/>
    <x v="11"/>
    <s v="Desember"/>
    <s v="Division_A"/>
    <x v="3"/>
    <n v="2005"/>
    <n v="19"/>
    <s v="TM-Tua"/>
    <n v="26"/>
    <n v="2827"/>
    <s v="108.7"/>
    <x v="0"/>
    <n v="0.88400000000000001"/>
    <n v="22981.5"/>
    <n v="22.981000000000002"/>
    <d v="2024-12-01T00:00:00"/>
    <x v="0"/>
    <x v="4"/>
  </r>
  <r>
    <x v="12"/>
    <x v="0"/>
    <s v="Januari"/>
    <s v="Division_A"/>
    <x v="4"/>
    <n v="2005"/>
    <n v="19"/>
    <s v="TM-Tua"/>
    <n v="24"/>
    <n v="1947"/>
    <s v="81.1"/>
    <x v="1"/>
    <n v="0.73599999999999999"/>
    <n v="17664.2"/>
    <n v="17.664000000000001"/>
    <d v="2024-01-01T00:00:00"/>
    <x v="0"/>
    <x v="4"/>
  </r>
  <r>
    <x v="12"/>
    <x v="1"/>
    <s v="Februari"/>
    <s v="Division_A"/>
    <x v="4"/>
    <n v="2005"/>
    <n v="19"/>
    <s v="TM-Tua"/>
    <n v="24"/>
    <n v="1947"/>
    <s v="81.1"/>
    <x v="1"/>
    <n v="0.78"/>
    <n v="18721.099999999999"/>
    <n v="18.721"/>
    <d v="2024-02-01T00:00:00"/>
    <x v="0"/>
    <x v="4"/>
  </r>
  <r>
    <x v="12"/>
    <x v="2"/>
    <s v="Maret"/>
    <s v="Division_A"/>
    <x v="4"/>
    <n v="2005"/>
    <n v="19"/>
    <s v="TM-Tua"/>
    <n v="24"/>
    <n v="1947"/>
    <s v="81.1"/>
    <x v="1"/>
    <n v="1.056"/>
    <n v="25340.2"/>
    <n v="25.34"/>
    <d v="2024-03-01T00:00:00"/>
    <x v="0"/>
    <x v="4"/>
  </r>
  <r>
    <x v="12"/>
    <x v="3"/>
    <s v="April"/>
    <s v="Division_A"/>
    <x v="4"/>
    <n v="2005"/>
    <n v="19"/>
    <s v="TM-Tua"/>
    <n v="24"/>
    <n v="1947"/>
    <s v="81.1"/>
    <x v="1"/>
    <n v="0.96399999999999997"/>
    <n v="23147"/>
    <n v="23.146999999999998"/>
    <d v="2024-04-01T00:00:00"/>
    <x v="0"/>
    <x v="4"/>
  </r>
  <r>
    <x v="12"/>
    <x v="4"/>
    <s v="Mei"/>
    <s v="Division_A"/>
    <x v="4"/>
    <n v="2005"/>
    <n v="19"/>
    <s v="TM-Tua"/>
    <n v="24"/>
    <n v="1947"/>
    <s v="81.1"/>
    <x v="1"/>
    <n v="1.121"/>
    <n v="26899.200000000001"/>
    <n v="26.899000000000001"/>
    <d v="2024-05-01T00:00:00"/>
    <x v="0"/>
    <x v="4"/>
  </r>
  <r>
    <x v="12"/>
    <x v="5"/>
    <s v="Juni"/>
    <s v="Division_A"/>
    <x v="4"/>
    <n v="2005"/>
    <n v="19"/>
    <s v="TM-Tua"/>
    <n v="24"/>
    <n v="1947"/>
    <s v="81.1"/>
    <x v="1"/>
    <n v="1.2270000000000001"/>
    <n v="29449.1"/>
    <n v="29.449000000000002"/>
    <d v="2024-06-01T00:00:00"/>
    <x v="0"/>
    <x v="4"/>
  </r>
  <r>
    <x v="12"/>
    <x v="6"/>
    <s v="Juli"/>
    <s v="Division_A"/>
    <x v="4"/>
    <n v="2005"/>
    <n v="19"/>
    <s v="TM-Tua"/>
    <n v="24"/>
    <n v="1947"/>
    <s v="81.1"/>
    <x v="1"/>
    <n v="1.1240000000000001"/>
    <n v="26978.5"/>
    <n v="26.978000000000002"/>
    <d v="2024-07-01T00:00:00"/>
    <x v="0"/>
    <x v="4"/>
  </r>
  <r>
    <x v="12"/>
    <x v="7"/>
    <s v="Agustus"/>
    <s v="Division_A"/>
    <x v="4"/>
    <n v="2005"/>
    <n v="19"/>
    <s v="TM-Tua"/>
    <n v="24"/>
    <n v="1947"/>
    <s v="81.1"/>
    <x v="1"/>
    <n v="1.016"/>
    <n v="24389"/>
    <n v="24.388999999999999"/>
    <d v="2024-08-01T00:00:00"/>
    <x v="0"/>
    <x v="4"/>
  </r>
  <r>
    <x v="12"/>
    <x v="8"/>
    <s v="September"/>
    <s v="Division_A"/>
    <x v="4"/>
    <n v="2005"/>
    <n v="19"/>
    <s v="TM-Tua"/>
    <n v="24"/>
    <n v="1947"/>
    <s v="81.1"/>
    <x v="1"/>
    <n v="1.099"/>
    <n v="26383.9"/>
    <n v="26.384"/>
    <d v="2024-09-01T00:00:00"/>
    <x v="0"/>
    <x v="4"/>
  </r>
  <r>
    <x v="12"/>
    <x v="9"/>
    <s v="Oktober"/>
    <s v="Division_A"/>
    <x v="4"/>
    <n v="2005"/>
    <n v="19"/>
    <s v="TM-Tua"/>
    <n v="24"/>
    <n v="1947"/>
    <s v="81.1"/>
    <x v="1"/>
    <n v="0.72599999999999998"/>
    <n v="17426.3"/>
    <n v="17.425999999999998"/>
    <d v="2024-10-01T00:00:00"/>
    <x v="0"/>
    <x v="4"/>
  </r>
  <r>
    <x v="12"/>
    <x v="10"/>
    <s v="November"/>
    <s v="Division_A"/>
    <x v="4"/>
    <n v="2005"/>
    <n v="19"/>
    <s v="TM-Tua"/>
    <n v="24"/>
    <n v="1947"/>
    <s v="81.1"/>
    <x v="1"/>
    <n v="0.51500000000000001"/>
    <n v="12366.2"/>
    <n v="12.366"/>
    <d v="2024-11-01T00:00:00"/>
    <x v="0"/>
    <x v="4"/>
  </r>
  <r>
    <x v="12"/>
    <x v="11"/>
    <s v="Desember"/>
    <s v="Division_A"/>
    <x v="4"/>
    <n v="2005"/>
    <n v="19"/>
    <s v="TM-Tua"/>
    <n v="24"/>
    <n v="1947"/>
    <s v="81.1"/>
    <x v="1"/>
    <n v="0.65900000000000003"/>
    <n v="15827.7"/>
    <n v="15.827999999999999"/>
    <d v="2024-12-01T00:00:00"/>
    <x v="0"/>
    <x v="4"/>
  </r>
  <r>
    <x v="12"/>
    <x v="0"/>
    <s v="Januari"/>
    <s v="Division_A"/>
    <x v="5"/>
    <n v="2006"/>
    <n v="18"/>
    <s v="TM-Tua"/>
    <n v="25"/>
    <n v="2740"/>
    <s v="109.6"/>
    <x v="1"/>
    <n v="0.99399999999999999"/>
    <n v="24858.6"/>
    <n v="24.859000000000002"/>
    <d v="2024-01-01T00:00:00"/>
    <x v="0"/>
    <x v="4"/>
  </r>
  <r>
    <x v="12"/>
    <x v="1"/>
    <s v="Februari"/>
    <s v="Division_A"/>
    <x v="5"/>
    <n v="2006"/>
    <n v="18"/>
    <s v="TM-Tua"/>
    <n v="25"/>
    <n v="2740"/>
    <s v="109.6"/>
    <x v="1"/>
    <n v="1.054"/>
    <n v="26346.1"/>
    <n v="26.346"/>
    <d v="2024-02-01T00:00:00"/>
    <x v="0"/>
    <x v="4"/>
  </r>
  <r>
    <x v="12"/>
    <x v="2"/>
    <s v="Maret"/>
    <s v="Division_A"/>
    <x v="5"/>
    <n v="2006"/>
    <n v="18"/>
    <s v="TM-Tua"/>
    <n v="25"/>
    <n v="2740"/>
    <s v="109.6"/>
    <x v="1"/>
    <n v="1.4259999999999999"/>
    <n v="35661.1"/>
    <n v="35.661000000000001"/>
    <d v="2024-03-01T00:00:00"/>
    <x v="0"/>
    <x v="4"/>
  </r>
  <r>
    <x v="12"/>
    <x v="3"/>
    <s v="April"/>
    <s v="Division_A"/>
    <x v="5"/>
    <n v="2006"/>
    <n v="18"/>
    <s v="TM-Tua"/>
    <n v="25"/>
    <n v="2740"/>
    <s v="109.6"/>
    <x v="1"/>
    <n v="1.3029999999999999"/>
    <n v="32574.7"/>
    <n v="32.575000000000003"/>
    <d v="2024-04-01T00:00:00"/>
    <x v="0"/>
    <x v="4"/>
  </r>
  <r>
    <x v="12"/>
    <x v="4"/>
    <s v="Mei"/>
    <s v="Division_A"/>
    <x v="5"/>
    <n v="2006"/>
    <n v="18"/>
    <s v="TM-Tua"/>
    <n v="25"/>
    <n v="2740"/>
    <s v="109.6"/>
    <x v="1"/>
    <n v="1.514"/>
    <n v="37855.1"/>
    <n v="37.854999999999997"/>
    <d v="2024-05-01T00:00:00"/>
    <x v="0"/>
    <x v="4"/>
  </r>
  <r>
    <x v="12"/>
    <x v="5"/>
    <s v="Juni"/>
    <s v="Division_A"/>
    <x v="5"/>
    <n v="2006"/>
    <n v="18"/>
    <s v="TM-Tua"/>
    <n v="25"/>
    <n v="2740"/>
    <s v="109.6"/>
    <x v="1"/>
    <n v="1.6579999999999999"/>
    <n v="41443.5"/>
    <n v="41.442999999999998"/>
    <d v="2024-06-01T00:00:00"/>
    <x v="0"/>
    <x v="4"/>
  </r>
  <r>
    <x v="12"/>
    <x v="6"/>
    <s v="Juli"/>
    <s v="Division_A"/>
    <x v="5"/>
    <n v="2006"/>
    <n v="18"/>
    <s v="TM-Tua"/>
    <n v="25"/>
    <n v="2740"/>
    <s v="109.6"/>
    <x v="1"/>
    <n v="1.5189999999999999"/>
    <n v="37966.6"/>
    <n v="37.966999999999999"/>
    <d v="2024-07-01T00:00:00"/>
    <x v="0"/>
    <x v="4"/>
  </r>
  <r>
    <x v="12"/>
    <x v="7"/>
    <s v="Agustus"/>
    <s v="Division_A"/>
    <x v="5"/>
    <n v="2006"/>
    <n v="18"/>
    <s v="TM-Tua"/>
    <n v="25"/>
    <n v="2740"/>
    <s v="109.6"/>
    <x v="1"/>
    <n v="1.373"/>
    <n v="34322.400000000001"/>
    <n v="34.322000000000003"/>
    <d v="2024-08-01T00:00:00"/>
    <x v="0"/>
    <x v="4"/>
  </r>
  <r>
    <x v="12"/>
    <x v="8"/>
    <s v="September"/>
    <s v="Division_A"/>
    <x v="5"/>
    <n v="2006"/>
    <n v="18"/>
    <s v="TM-Tua"/>
    <n v="25"/>
    <n v="2740"/>
    <s v="109.6"/>
    <x v="1"/>
    <n v="1.4850000000000001"/>
    <n v="37129.9"/>
    <n v="37.130000000000003"/>
    <d v="2024-09-01T00:00:00"/>
    <x v="0"/>
    <x v="4"/>
  </r>
  <r>
    <x v="12"/>
    <x v="9"/>
    <s v="Oktober"/>
    <s v="Division_A"/>
    <x v="5"/>
    <n v="2006"/>
    <n v="18"/>
    <s v="TM-Tua"/>
    <n v="25"/>
    <n v="2740"/>
    <s v="109.6"/>
    <x v="1"/>
    <n v="0.98099999999999998"/>
    <n v="24524"/>
    <n v="24.524000000000001"/>
    <d v="2024-10-01T00:00:00"/>
    <x v="0"/>
    <x v="4"/>
  </r>
  <r>
    <x v="12"/>
    <x v="10"/>
    <s v="November"/>
    <s v="Division_A"/>
    <x v="5"/>
    <n v="2006"/>
    <n v="18"/>
    <s v="TM-Tua"/>
    <n v="25"/>
    <n v="2740"/>
    <s v="109.6"/>
    <x v="1"/>
    <n v="0.69599999999999995"/>
    <n v="17402.900000000001"/>
    <n v="17.402999999999999"/>
    <d v="2024-11-01T00:00:00"/>
    <x v="0"/>
    <x v="4"/>
  </r>
  <r>
    <x v="12"/>
    <x v="11"/>
    <s v="Desember"/>
    <s v="Division_A"/>
    <x v="5"/>
    <n v="2006"/>
    <n v="18"/>
    <s v="TM-Tua"/>
    <n v="25"/>
    <n v="2740"/>
    <s v="109.6"/>
    <x v="1"/>
    <n v="0.89100000000000001"/>
    <n v="22274.2"/>
    <n v="22.274000000000001"/>
    <d v="2024-12-01T00:00:00"/>
    <x v="0"/>
    <x v="4"/>
  </r>
  <r>
    <x v="12"/>
    <x v="0"/>
    <s v="Januari"/>
    <s v="Division_A"/>
    <x v="6"/>
    <n v="2006"/>
    <n v="18"/>
    <s v="TM-Tua"/>
    <n v="24"/>
    <n v="3230"/>
    <s v="134.6"/>
    <x v="1"/>
    <n v="1.2210000000000001"/>
    <n v="29304.2"/>
    <n v="29.303999999999998"/>
    <d v="2024-01-01T00:00:00"/>
    <x v="0"/>
    <x v="4"/>
  </r>
  <r>
    <x v="12"/>
    <x v="1"/>
    <s v="Februari"/>
    <s v="Division_A"/>
    <x v="6"/>
    <n v="2006"/>
    <n v="18"/>
    <s v="TM-Tua"/>
    <n v="24"/>
    <n v="3230"/>
    <s v="134.6"/>
    <x v="1"/>
    <n v="1.294"/>
    <n v="31057.599999999999"/>
    <n v="31.058"/>
    <d v="2024-02-01T00:00:00"/>
    <x v="0"/>
    <x v="4"/>
  </r>
  <r>
    <x v="12"/>
    <x v="2"/>
    <s v="Maret"/>
    <s v="Division_A"/>
    <x v="6"/>
    <n v="2006"/>
    <n v="18"/>
    <s v="TM-Tua"/>
    <n v="24"/>
    <n v="3230"/>
    <s v="134.6"/>
    <x v="1"/>
    <n v="1.752"/>
    <n v="42038.400000000001"/>
    <n v="42.037999999999997"/>
    <d v="2024-03-01T00:00:00"/>
    <x v="0"/>
    <x v="4"/>
  </r>
  <r>
    <x v="12"/>
    <x v="3"/>
    <s v="April"/>
    <s v="Division_A"/>
    <x v="6"/>
    <n v="2006"/>
    <n v="18"/>
    <s v="TM-Tua"/>
    <n v="24"/>
    <n v="3230"/>
    <s v="134.6"/>
    <x v="1"/>
    <n v="1.6"/>
    <n v="38400.1"/>
    <n v="38.4"/>
    <d v="2024-04-01T00:00:00"/>
    <x v="0"/>
    <x v="4"/>
  </r>
  <r>
    <x v="12"/>
    <x v="4"/>
    <s v="Mei"/>
    <s v="Division_A"/>
    <x v="6"/>
    <n v="2006"/>
    <n v="18"/>
    <s v="TM-Tua"/>
    <n v="24"/>
    <n v="3230"/>
    <s v="134.6"/>
    <x v="1"/>
    <n v="1.859"/>
    <n v="44624.800000000003"/>
    <n v="44.625"/>
    <d v="2024-05-01T00:00:00"/>
    <x v="0"/>
    <x v="4"/>
  </r>
  <r>
    <x v="12"/>
    <x v="5"/>
    <s v="Juni"/>
    <s v="Division_A"/>
    <x v="6"/>
    <n v="2006"/>
    <n v="18"/>
    <s v="TM-Tua"/>
    <n v="24"/>
    <n v="3230"/>
    <s v="134.6"/>
    <x v="1"/>
    <n v="2.036"/>
    <n v="48854.9"/>
    <n v="48.854999999999997"/>
    <d v="2024-06-01T00:00:00"/>
    <x v="0"/>
    <x v="4"/>
  </r>
  <r>
    <x v="12"/>
    <x v="6"/>
    <s v="Juli"/>
    <s v="Division_A"/>
    <x v="6"/>
    <n v="2006"/>
    <n v="18"/>
    <s v="TM-Tua"/>
    <n v="24"/>
    <n v="3230"/>
    <s v="134.6"/>
    <x v="1"/>
    <n v="1.865"/>
    <n v="44756.3"/>
    <n v="44.756"/>
    <d v="2024-07-01T00:00:00"/>
    <x v="0"/>
    <x v="4"/>
  </r>
  <r>
    <x v="12"/>
    <x v="7"/>
    <s v="Agustus"/>
    <s v="Division_A"/>
    <x v="6"/>
    <n v="2006"/>
    <n v="18"/>
    <s v="TM-Tua"/>
    <n v="24"/>
    <n v="3230"/>
    <s v="134.6"/>
    <x v="1"/>
    <n v="1.6859999999999999"/>
    <n v="40460.400000000001"/>
    <n v="40.46"/>
    <d v="2024-08-01T00:00:00"/>
    <x v="0"/>
    <x v="4"/>
  </r>
  <r>
    <x v="12"/>
    <x v="8"/>
    <s v="September"/>
    <s v="Division_A"/>
    <x v="6"/>
    <n v="2006"/>
    <n v="18"/>
    <s v="TM-Tua"/>
    <n v="24"/>
    <n v="3230"/>
    <s v="134.6"/>
    <x v="1"/>
    <n v="1.8240000000000001"/>
    <n v="43770"/>
    <n v="43.77"/>
    <d v="2024-09-01T00:00:00"/>
    <x v="0"/>
    <x v="4"/>
  </r>
  <r>
    <x v="12"/>
    <x v="9"/>
    <s v="Oktober"/>
    <s v="Division_A"/>
    <x v="6"/>
    <n v="2006"/>
    <n v="18"/>
    <s v="TM-Tua"/>
    <n v="24"/>
    <n v="3230"/>
    <s v="134.6"/>
    <x v="1"/>
    <n v="1.2050000000000001"/>
    <n v="28909.7"/>
    <n v="28.91"/>
    <d v="2024-10-01T00:00:00"/>
    <x v="0"/>
    <x v="4"/>
  </r>
  <r>
    <x v="12"/>
    <x v="10"/>
    <s v="November"/>
    <s v="Division_A"/>
    <x v="6"/>
    <n v="2006"/>
    <n v="18"/>
    <s v="TM-Tua"/>
    <n v="24"/>
    <n v="3230"/>
    <s v="134.6"/>
    <x v="1"/>
    <n v="0.85499999999999998"/>
    <n v="20515.099999999999"/>
    <n v="20.515000000000001"/>
    <d v="2024-11-01T00:00:00"/>
    <x v="0"/>
    <x v="4"/>
  </r>
  <r>
    <x v="12"/>
    <x v="11"/>
    <s v="Desember"/>
    <s v="Division_A"/>
    <x v="6"/>
    <n v="2006"/>
    <n v="18"/>
    <s v="TM-Tua"/>
    <n v="24"/>
    <n v="3230"/>
    <s v="134.6"/>
    <x v="1"/>
    <n v="1.0940000000000001"/>
    <n v="26257.599999999999"/>
    <n v="26.257999999999999"/>
    <d v="2024-12-01T00:00:00"/>
    <x v="0"/>
    <x v="4"/>
  </r>
  <r>
    <x v="12"/>
    <x v="0"/>
    <s v="Januari"/>
    <s v="Division_A"/>
    <x v="7"/>
    <n v="2006"/>
    <n v="18"/>
    <s v="TM-Tua"/>
    <n v="22"/>
    <n v="2447"/>
    <s v="111.2"/>
    <x v="1"/>
    <n v="1.0089999999999999"/>
    <n v="22200.400000000001"/>
    <n v="22.2"/>
    <d v="2024-01-01T00:00:00"/>
    <x v="0"/>
    <x v="4"/>
  </r>
  <r>
    <x v="12"/>
    <x v="1"/>
    <s v="Februari"/>
    <s v="Division_A"/>
    <x v="7"/>
    <n v="2006"/>
    <n v="18"/>
    <s v="TM-Tua"/>
    <n v="22"/>
    <n v="2447"/>
    <s v="111.2"/>
    <x v="1"/>
    <n v="1.069"/>
    <n v="23528.799999999999"/>
    <n v="23.529"/>
    <d v="2024-02-01T00:00:00"/>
    <x v="0"/>
    <x v="4"/>
  </r>
  <r>
    <x v="12"/>
    <x v="2"/>
    <s v="Maret"/>
    <s v="Division_A"/>
    <x v="7"/>
    <n v="2006"/>
    <n v="18"/>
    <s v="TM-Tua"/>
    <n v="22"/>
    <n v="2447"/>
    <s v="111.2"/>
    <x v="1"/>
    <n v="1.448"/>
    <n v="31847.7"/>
    <n v="31.847999999999999"/>
    <d v="2024-03-01T00:00:00"/>
    <x v="0"/>
    <x v="4"/>
  </r>
  <r>
    <x v="12"/>
    <x v="3"/>
    <s v="April"/>
    <s v="Division_A"/>
    <x v="7"/>
    <n v="2006"/>
    <n v="18"/>
    <s v="TM-Tua"/>
    <n v="22"/>
    <n v="2447"/>
    <s v="111.2"/>
    <x v="1"/>
    <n v="1.3220000000000001"/>
    <n v="29091.3"/>
    <n v="29.091000000000001"/>
    <d v="2024-04-01T00:00:00"/>
    <x v="0"/>
    <x v="4"/>
  </r>
  <r>
    <x v="12"/>
    <x v="4"/>
    <s v="Mei"/>
    <s v="Division_A"/>
    <x v="7"/>
    <n v="2006"/>
    <n v="18"/>
    <s v="TM-Tua"/>
    <n v="22"/>
    <n v="2447"/>
    <s v="111.2"/>
    <x v="1"/>
    <n v="1.5369999999999999"/>
    <n v="33807.1"/>
    <n v="33.807000000000002"/>
    <d v="2024-05-01T00:00:00"/>
    <x v="0"/>
    <x v="4"/>
  </r>
  <r>
    <x v="12"/>
    <x v="5"/>
    <s v="Juni"/>
    <s v="Division_A"/>
    <x v="7"/>
    <n v="2006"/>
    <n v="18"/>
    <s v="TM-Tua"/>
    <n v="22"/>
    <n v="2447"/>
    <s v="111.2"/>
    <x v="1"/>
    <n v="1.6819999999999999"/>
    <n v="37011.699999999997"/>
    <n v="37.012"/>
    <d v="2024-06-01T00:00:00"/>
    <x v="0"/>
    <x v="4"/>
  </r>
  <r>
    <x v="12"/>
    <x v="6"/>
    <s v="Juli"/>
    <s v="Division_A"/>
    <x v="7"/>
    <n v="2006"/>
    <n v="18"/>
    <s v="TM-Tua"/>
    <n v="22"/>
    <n v="2447"/>
    <s v="111.2"/>
    <x v="1"/>
    <n v="1.5409999999999999"/>
    <n v="33906.699999999997"/>
    <n v="33.906999999999996"/>
    <d v="2024-07-01T00:00:00"/>
    <x v="0"/>
    <x v="4"/>
  </r>
  <r>
    <x v="12"/>
    <x v="7"/>
    <s v="Agustus"/>
    <s v="Division_A"/>
    <x v="7"/>
    <n v="2006"/>
    <n v="18"/>
    <s v="TM-Tua"/>
    <n v="22"/>
    <n v="2447"/>
    <s v="111.2"/>
    <x v="1"/>
    <n v="1.393"/>
    <n v="30652.2"/>
    <n v="30.652000000000001"/>
    <d v="2024-08-01T00:00:00"/>
    <x v="0"/>
    <x v="4"/>
  </r>
  <r>
    <x v="12"/>
    <x v="8"/>
    <s v="September"/>
    <s v="Division_A"/>
    <x v="7"/>
    <n v="2006"/>
    <n v="18"/>
    <s v="TM-Tua"/>
    <n v="22"/>
    <n v="2447"/>
    <s v="111.2"/>
    <x v="1"/>
    <n v="1.5069999999999999"/>
    <n v="33159.5"/>
    <n v="33.158999999999999"/>
    <d v="2024-09-01T00:00:00"/>
    <x v="0"/>
    <x v="4"/>
  </r>
  <r>
    <x v="12"/>
    <x v="9"/>
    <s v="Oktober"/>
    <s v="Division_A"/>
    <x v="7"/>
    <n v="2006"/>
    <n v="18"/>
    <s v="TM-Tua"/>
    <n v="22"/>
    <n v="2447"/>
    <s v="111.2"/>
    <x v="1"/>
    <n v="0.996"/>
    <n v="21901.5"/>
    <n v="21.902000000000001"/>
    <d v="2024-10-01T00:00:00"/>
    <x v="0"/>
    <x v="4"/>
  </r>
  <r>
    <x v="12"/>
    <x v="10"/>
    <s v="November"/>
    <s v="Division_A"/>
    <x v="7"/>
    <n v="2006"/>
    <n v="18"/>
    <s v="TM-Tua"/>
    <n v="22"/>
    <n v="2447"/>
    <s v="111.2"/>
    <x v="1"/>
    <n v="0.70599999999999996"/>
    <n v="15541.9"/>
    <n v="15.542"/>
    <d v="2024-11-01T00:00:00"/>
    <x v="0"/>
    <x v="4"/>
  </r>
  <r>
    <x v="12"/>
    <x v="11"/>
    <s v="Desember"/>
    <s v="Division_A"/>
    <x v="7"/>
    <n v="2006"/>
    <n v="18"/>
    <s v="TM-Tua"/>
    <n v="22"/>
    <n v="2447"/>
    <s v="111.2"/>
    <x v="1"/>
    <n v="0.90400000000000003"/>
    <n v="19892.400000000001"/>
    <n v="19.891999999999999"/>
    <d v="2024-12-01T00:00:00"/>
    <x v="0"/>
    <x v="4"/>
  </r>
  <r>
    <x v="12"/>
    <x v="0"/>
    <s v="Januari"/>
    <s v="Division_A"/>
    <x v="8"/>
    <n v="2006"/>
    <n v="18"/>
    <s v="TM-Tua"/>
    <n v="15"/>
    <n v="1866"/>
    <s v="124.4"/>
    <x v="1"/>
    <n v="1.129"/>
    <n v="16929.3"/>
    <n v="16.928999999999998"/>
    <d v="2024-01-01T00:00:00"/>
    <x v="0"/>
    <x v="4"/>
  </r>
  <r>
    <x v="12"/>
    <x v="1"/>
    <s v="Februari"/>
    <s v="Division_A"/>
    <x v="8"/>
    <n v="2006"/>
    <n v="18"/>
    <s v="TM-Tua"/>
    <n v="15"/>
    <n v="1866"/>
    <s v="124.4"/>
    <x v="1"/>
    <n v="1.196"/>
    <n v="17942.3"/>
    <n v="17.942"/>
    <d v="2024-02-01T00:00:00"/>
    <x v="0"/>
    <x v="4"/>
  </r>
  <r>
    <x v="12"/>
    <x v="2"/>
    <s v="Maret"/>
    <s v="Division_A"/>
    <x v="8"/>
    <n v="2006"/>
    <n v="18"/>
    <s v="TM-Tua"/>
    <n v="15"/>
    <n v="1866"/>
    <s v="124.4"/>
    <x v="1"/>
    <n v="1.619"/>
    <n v="24286"/>
    <n v="24.286000000000001"/>
    <d v="2024-03-01T00:00:00"/>
    <x v="0"/>
    <x v="4"/>
  </r>
  <r>
    <x v="12"/>
    <x v="3"/>
    <s v="April"/>
    <s v="Division_A"/>
    <x v="8"/>
    <n v="2006"/>
    <n v="18"/>
    <s v="TM-Tua"/>
    <n v="15"/>
    <n v="1866"/>
    <s v="124.4"/>
    <x v="1"/>
    <n v="1.4790000000000001"/>
    <n v="22184.1"/>
    <n v="22.184000000000001"/>
    <d v="2024-04-01T00:00:00"/>
    <x v="0"/>
    <x v="4"/>
  </r>
  <r>
    <x v="12"/>
    <x v="4"/>
    <s v="Mei"/>
    <s v="Division_A"/>
    <x v="8"/>
    <n v="2006"/>
    <n v="18"/>
    <s v="TM-Tua"/>
    <n v="15"/>
    <n v="1866"/>
    <s v="124.4"/>
    <x v="1"/>
    <n v="1.7190000000000001"/>
    <n v="25780.1"/>
    <n v="25.78"/>
    <d v="2024-05-01T00:00:00"/>
    <x v="0"/>
    <x v="4"/>
  </r>
  <r>
    <x v="12"/>
    <x v="5"/>
    <s v="Juni"/>
    <s v="Division_A"/>
    <x v="8"/>
    <n v="2006"/>
    <n v="18"/>
    <s v="TM-Tua"/>
    <n v="15"/>
    <n v="1866"/>
    <s v="124.4"/>
    <x v="1"/>
    <n v="1.8819999999999999"/>
    <n v="28223.9"/>
    <n v="28.224"/>
    <d v="2024-06-01T00:00:00"/>
    <x v="0"/>
    <x v="4"/>
  </r>
  <r>
    <x v="12"/>
    <x v="6"/>
    <s v="Juli"/>
    <s v="Division_A"/>
    <x v="8"/>
    <n v="2006"/>
    <n v="18"/>
    <s v="TM-Tua"/>
    <n v="15"/>
    <n v="1866"/>
    <s v="124.4"/>
    <x v="1"/>
    <n v="1.724"/>
    <n v="25856.1"/>
    <n v="25.856000000000002"/>
    <d v="2024-07-01T00:00:00"/>
    <x v="0"/>
    <x v="4"/>
  </r>
  <r>
    <x v="12"/>
    <x v="7"/>
    <s v="Agustus"/>
    <s v="Division_A"/>
    <x v="8"/>
    <n v="2006"/>
    <n v="18"/>
    <s v="TM-Tua"/>
    <n v="15"/>
    <n v="1866"/>
    <s v="124.4"/>
    <x v="1"/>
    <n v="1.5580000000000001"/>
    <n v="23374.3"/>
    <n v="23.373999999999999"/>
    <d v="2024-08-01T00:00:00"/>
    <x v="0"/>
    <x v="4"/>
  </r>
  <r>
    <x v="12"/>
    <x v="8"/>
    <s v="September"/>
    <s v="Division_A"/>
    <x v="8"/>
    <n v="2006"/>
    <n v="18"/>
    <s v="TM-Tua"/>
    <n v="15"/>
    <n v="1866"/>
    <s v="124.4"/>
    <x v="1"/>
    <n v="1.6859999999999999"/>
    <n v="25286.3"/>
    <n v="25.286000000000001"/>
    <d v="2024-09-01T00:00:00"/>
    <x v="0"/>
    <x v="4"/>
  </r>
  <r>
    <x v="12"/>
    <x v="9"/>
    <s v="Oktober"/>
    <s v="Division_A"/>
    <x v="8"/>
    <n v="2006"/>
    <n v="18"/>
    <s v="TM-Tua"/>
    <n v="15"/>
    <n v="1866"/>
    <s v="124.4"/>
    <x v="1"/>
    <n v="1.113"/>
    <n v="16701.400000000001"/>
    <n v="16.701000000000001"/>
    <d v="2024-10-01T00:00:00"/>
    <x v="0"/>
    <x v="4"/>
  </r>
  <r>
    <x v="12"/>
    <x v="10"/>
    <s v="November"/>
    <s v="Division_A"/>
    <x v="8"/>
    <n v="2006"/>
    <n v="18"/>
    <s v="TM-Tua"/>
    <n v="15"/>
    <n v="1866"/>
    <s v="124.4"/>
    <x v="1"/>
    <n v="0.79"/>
    <n v="11851.8"/>
    <n v="11.852"/>
    <d v="2024-11-01T00:00:00"/>
    <x v="0"/>
    <x v="4"/>
  </r>
  <r>
    <x v="12"/>
    <x v="11"/>
    <s v="Desember"/>
    <s v="Division_A"/>
    <x v="8"/>
    <n v="2006"/>
    <n v="18"/>
    <s v="TM-Tua"/>
    <n v="15"/>
    <n v="1866"/>
    <s v="124.4"/>
    <x v="1"/>
    <n v="1.0109999999999999"/>
    <n v="15169.2"/>
    <n v="15.169"/>
    <d v="2024-12-01T00:00:00"/>
    <x v="0"/>
    <x v="4"/>
  </r>
  <r>
    <x v="12"/>
    <x v="0"/>
    <s v="Januari"/>
    <s v="Division_A"/>
    <x v="9"/>
    <n v="2006"/>
    <n v="18"/>
    <s v="TM-Tua"/>
    <n v="25"/>
    <n v="3154"/>
    <s v="126.2"/>
    <x v="1"/>
    <n v="1.145"/>
    <n v="28614.7"/>
    <n v="28.614999999999998"/>
    <d v="2024-01-01T00:00:00"/>
    <x v="0"/>
    <x v="4"/>
  </r>
  <r>
    <x v="12"/>
    <x v="1"/>
    <s v="Februari"/>
    <s v="Division_A"/>
    <x v="9"/>
    <n v="2006"/>
    <n v="18"/>
    <s v="TM-Tua"/>
    <n v="25"/>
    <n v="3154"/>
    <s v="126.2"/>
    <x v="1"/>
    <n v="1.2130000000000001"/>
    <n v="30326.799999999999"/>
    <n v="30.327000000000002"/>
    <d v="2024-02-01T00:00:00"/>
    <x v="0"/>
    <x v="4"/>
  </r>
  <r>
    <x v="12"/>
    <x v="2"/>
    <s v="Maret"/>
    <s v="Division_A"/>
    <x v="9"/>
    <n v="2006"/>
    <n v="18"/>
    <s v="TM-Tua"/>
    <n v="25"/>
    <n v="3154"/>
    <s v="126.2"/>
    <x v="1"/>
    <n v="1.6419999999999999"/>
    <n v="41049.300000000003"/>
    <n v="41.048999999999999"/>
    <d v="2024-03-01T00:00:00"/>
    <x v="0"/>
    <x v="4"/>
  </r>
  <r>
    <x v="12"/>
    <x v="3"/>
    <s v="April"/>
    <s v="Division_A"/>
    <x v="9"/>
    <n v="2006"/>
    <n v="18"/>
    <s v="TM-Tua"/>
    <n v="25"/>
    <n v="3154"/>
    <s v="126.2"/>
    <x v="1"/>
    <n v="1.5"/>
    <n v="37496.6"/>
    <n v="37.497"/>
    <d v="2024-04-01T00:00:00"/>
    <x v="0"/>
    <x v="4"/>
  </r>
  <r>
    <x v="12"/>
    <x v="4"/>
    <s v="Mei"/>
    <s v="Division_A"/>
    <x v="9"/>
    <n v="2006"/>
    <n v="18"/>
    <s v="TM-Tua"/>
    <n v="25"/>
    <n v="3154"/>
    <s v="126.2"/>
    <x v="1"/>
    <n v="1.7430000000000001"/>
    <n v="43574.8"/>
    <n v="43.575000000000003"/>
    <d v="2024-05-01T00:00:00"/>
    <x v="0"/>
    <x v="4"/>
  </r>
  <r>
    <x v="12"/>
    <x v="5"/>
    <s v="Juni"/>
    <s v="Division_A"/>
    <x v="9"/>
    <n v="2006"/>
    <n v="18"/>
    <s v="TM-Tua"/>
    <n v="25"/>
    <n v="3154"/>
    <s v="126.2"/>
    <x v="1"/>
    <n v="1.9079999999999999"/>
    <n v="47705.4"/>
    <n v="47.704999999999998"/>
    <d v="2024-06-01T00:00:00"/>
    <x v="0"/>
    <x v="4"/>
  </r>
  <r>
    <x v="12"/>
    <x v="6"/>
    <s v="Juli"/>
    <s v="Division_A"/>
    <x v="9"/>
    <n v="2006"/>
    <n v="18"/>
    <s v="TM-Tua"/>
    <n v="25"/>
    <n v="3154"/>
    <s v="126.2"/>
    <x v="1"/>
    <n v="1.748"/>
    <n v="43703.199999999997"/>
    <n v="43.703000000000003"/>
    <d v="2024-07-01T00:00:00"/>
    <x v="0"/>
    <x v="4"/>
  </r>
  <r>
    <x v="12"/>
    <x v="7"/>
    <s v="Agustus"/>
    <s v="Division_A"/>
    <x v="9"/>
    <n v="2006"/>
    <n v="18"/>
    <s v="TM-Tua"/>
    <n v="25"/>
    <n v="3154"/>
    <s v="126.2"/>
    <x v="1"/>
    <n v="1.58"/>
    <n v="39508.400000000001"/>
    <n v="39.508000000000003"/>
    <d v="2024-08-01T00:00:00"/>
    <x v="0"/>
    <x v="4"/>
  </r>
  <r>
    <x v="12"/>
    <x v="8"/>
    <s v="September"/>
    <s v="Division_A"/>
    <x v="9"/>
    <n v="2006"/>
    <n v="18"/>
    <s v="TM-Tua"/>
    <n v="25"/>
    <n v="3154"/>
    <s v="126.2"/>
    <x v="1"/>
    <n v="1.71"/>
    <n v="42740.1"/>
    <n v="42.74"/>
    <d v="2024-09-01T00:00:00"/>
    <x v="0"/>
    <x v="4"/>
  </r>
  <r>
    <x v="12"/>
    <x v="9"/>
    <s v="Oktober"/>
    <s v="Division_A"/>
    <x v="9"/>
    <n v="2006"/>
    <n v="18"/>
    <s v="TM-Tua"/>
    <n v="25"/>
    <n v="3154"/>
    <s v="126.2"/>
    <x v="1"/>
    <n v="1.129"/>
    <n v="28229.4"/>
    <n v="28.228999999999999"/>
    <d v="2024-10-01T00:00:00"/>
    <x v="0"/>
    <x v="4"/>
  </r>
  <r>
    <x v="12"/>
    <x v="10"/>
    <s v="November"/>
    <s v="Division_A"/>
    <x v="9"/>
    <n v="2006"/>
    <n v="18"/>
    <s v="TM-Tua"/>
    <n v="25"/>
    <n v="3154"/>
    <s v="126.2"/>
    <x v="1"/>
    <n v="0.80100000000000005"/>
    <n v="20032.400000000001"/>
    <n v="20.032"/>
    <d v="2024-11-01T00:00:00"/>
    <x v="0"/>
    <x v="4"/>
  </r>
  <r>
    <x v="12"/>
    <x v="11"/>
    <s v="Desember"/>
    <s v="Division_A"/>
    <x v="9"/>
    <n v="2006"/>
    <n v="18"/>
    <s v="TM-Tua"/>
    <n v="25"/>
    <n v="3154"/>
    <s v="126.2"/>
    <x v="1"/>
    <n v="1.026"/>
    <n v="25639.8"/>
    <n v="25.64"/>
    <d v="2024-12-01T00:00:00"/>
    <x v="0"/>
    <x v="4"/>
  </r>
  <r>
    <x v="12"/>
    <x v="0"/>
    <s v="Januari"/>
    <s v="Division_A"/>
    <x v="10"/>
    <n v="2006"/>
    <n v="18"/>
    <s v="TM-Tua"/>
    <n v="35"/>
    <n v="4204"/>
    <s v="120.1"/>
    <x v="1"/>
    <n v="1.0900000000000001"/>
    <n v="38140.800000000003"/>
    <n v="38.140999999999998"/>
    <d v="2024-01-01T00:00:00"/>
    <x v="0"/>
    <x v="4"/>
  </r>
  <r>
    <x v="12"/>
    <x v="1"/>
    <s v="Februari"/>
    <s v="Division_A"/>
    <x v="10"/>
    <n v="2006"/>
    <n v="18"/>
    <s v="TM-Tua"/>
    <n v="35"/>
    <n v="4204"/>
    <s v="120.1"/>
    <x v="1"/>
    <n v="1.155"/>
    <n v="40423"/>
    <n v="40.423000000000002"/>
    <d v="2024-02-01T00:00:00"/>
    <x v="0"/>
    <x v="4"/>
  </r>
  <r>
    <x v="12"/>
    <x v="2"/>
    <s v="Maret"/>
    <s v="Division_A"/>
    <x v="10"/>
    <n v="2006"/>
    <n v="18"/>
    <s v="TM-Tua"/>
    <n v="35"/>
    <n v="4204"/>
    <s v="120.1"/>
    <x v="1"/>
    <n v="1.5629999999999999"/>
    <n v="54715.1"/>
    <n v="54.715000000000003"/>
    <d v="2024-03-01T00:00:00"/>
    <x v="0"/>
    <x v="4"/>
  </r>
  <r>
    <x v="12"/>
    <x v="3"/>
    <s v="April"/>
    <s v="Division_A"/>
    <x v="10"/>
    <n v="2006"/>
    <n v="18"/>
    <s v="TM-Tua"/>
    <n v="35"/>
    <n v="4204"/>
    <s v="120.1"/>
    <x v="1"/>
    <n v="1.4279999999999999"/>
    <n v="49979.6"/>
    <n v="49.98"/>
    <d v="2024-04-01T00:00:00"/>
    <x v="0"/>
    <x v="4"/>
  </r>
  <r>
    <x v="12"/>
    <x v="4"/>
    <s v="Mei"/>
    <s v="Division_A"/>
    <x v="10"/>
    <n v="2006"/>
    <n v="18"/>
    <s v="TM-Tua"/>
    <n v="35"/>
    <n v="4204"/>
    <s v="120.1"/>
    <x v="1"/>
    <n v="1.659"/>
    <n v="58081.3"/>
    <n v="58.081000000000003"/>
    <d v="2024-05-01T00:00:00"/>
    <x v="0"/>
    <x v="4"/>
  </r>
  <r>
    <x v="12"/>
    <x v="5"/>
    <s v="Juni"/>
    <s v="Division_A"/>
    <x v="10"/>
    <n v="2006"/>
    <n v="18"/>
    <s v="TM-Tua"/>
    <n v="35"/>
    <n v="4204"/>
    <s v="120.1"/>
    <x v="1"/>
    <n v="1.8169999999999999"/>
    <n v="63587"/>
    <n v="63.587000000000003"/>
    <d v="2024-06-01T00:00:00"/>
    <x v="0"/>
    <x v="4"/>
  </r>
  <r>
    <x v="12"/>
    <x v="6"/>
    <s v="Juli"/>
    <s v="Division_A"/>
    <x v="10"/>
    <n v="2006"/>
    <n v="18"/>
    <s v="TM-Tua"/>
    <n v="35"/>
    <n v="4204"/>
    <s v="120.1"/>
    <x v="1"/>
    <n v="1.6639999999999999"/>
    <n v="58252.4"/>
    <n v="58.252000000000002"/>
    <d v="2024-07-01T00:00:00"/>
    <x v="0"/>
    <x v="4"/>
  </r>
  <r>
    <x v="12"/>
    <x v="7"/>
    <s v="Agustus"/>
    <s v="Division_A"/>
    <x v="10"/>
    <n v="2006"/>
    <n v="18"/>
    <s v="TM-Tua"/>
    <n v="35"/>
    <n v="4204"/>
    <s v="120.1"/>
    <x v="1"/>
    <n v="1.5049999999999999"/>
    <n v="52661.1"/>
    <n v="52.661000000000001"/>
    <d v="2024-08-01T00:00:00"/>
    <x v="0"/>
    <x v="4"/>
  </r>
  <r>
    <x v="12"/>
    <x v="8"/>
    <s v="September"/>
    <s v="Division_A"/>
    <x v="10"/>
    <n v="2006"/>
    <n v="18"/>
    <s v="TM-Tua"/>
    <n v="35"/>
    <n v="4204"/>
    <s v="120.1"/>
    <x v="1"/>
    <n v="1.6279999999999999"/>
    <n v="56968.7"/>
    <n v="56.969000000000001"/>
    <d v="2024-09-01T00:00:00"/>
    <x v="0"/>
    <x v="4"/>
  </r>
  <r>
    <x v="12"/>
    <x v="9"/>
    <s v="Oktober"/>
    <s v="Division_A"/>
    <x v="10"/>
    <n v="2006"/>
    <n v="18"/>
    <s v="TM-Tua"/>
    <n v="35"/>
    <n v="4204"/>
    <s v="120.1"/>
    <x v="1"/>
    <n v="1.075"/>
    <n v="37627.300000000003"/>
    <n v="37.627000000000002"/>
    <d v="2024-10-01T00:00:00"/>
    <x v="0"/>
    <x v="4"/>
  </r>
  <r>
    <x v="12"/>
    <x v="10"/>
    <s v="November"/>
    <s v="Division_A"/>
    <x v="10"/>
    <n v="2006"/>
    <n v="18"/>
    <s v="TM-Tua"/>
    <n v="35"/>
    <n v="4204"/>
    <s v="120.1"/>
    <x v="1"/>
    <n v="0.76300000000000001"/>
    <n v="26701.4"/>
    <n v="26.701000000000001"/>
    <d v="2024-11-01T00:00:00"/>
    <x v="0"/>
    <x v="4"/>
  </r>
  <r>
    <x v="12"/>
    <x v="11"/>
    <s v="Desember"/>
    <s v="Division_A"/>
    <x v="10"/>
    <n v="2006"/>
    <n v="18"/>
    <s v="TM-Tua"/>
    <n v="35"/>
    <n v="4204"/>
    <s v="120.1"/>
    <x v="1"/>
    <n v="0.97599999999999998"/>
    <n v="34175.5"/>
    <n v="34.176000000000002"/>
    <d v="2024-12-01T00:00:00"/>
    <x v="0"/>
    <x v="4"/>
  </r>
  <r>
    <x v="12"/>
    <x v="0"/>
    <s v="Januari"/>
    <s v="Division_A"/>
    <x v="11"/>
    <n v="2012"/>
    <n v="12"/>
    <s v="TM-Utama"/>
    <n v="10"/>
    <n v="1434"/>
    <s v="143.4"/>
    <x v="1"/>
    <n v="1.4379999999999999"/>
    <n v="14379.4"/>
    <n v="14.379"/>
    <d v="2024-01-01T00:00:00"/>
    <x v="0"/>
    <x v="0"/>
  </r>
  <r>
    <x v="12"/>
    <x v="1"/>
    <s v="Februari"/>
    <s v="Division_A"/>
    <x v="11"/>
    <n v="2012"/>
    <n v="12"/>
    <s v="TM-Utama"/>
    <n v="10"/>
    <n v="1434"/>
    <s v="143.4"/>
    <x v="1"/>
    <n v="1.524"/>
    <n v="15239.8"/>
    <n v="15.24"/>
    <d v="2024-02-01T00:00:00"/>
    <x v="0"/>
    <x v="0"/>
  </r>
  <r>
    <x v="12"/>
    <x v="2"/>
    <s v="Maret"/>
    <s v="Division_A"/>
    <x v="11"/>
    <n v="2012"/>
    <n v="12"/>
    <s v="TM-Utama"/>
    <n v="10"/>
    <n v="1434"/>
    <s v="143.4"/>
    <x v="1"/>
    <n v="2.0630000000000002"/>
    <n v="20628.099999999999"/>
    <n v="20.628"/>
    <d v="2024-03-01T00:00:00"/>
    <x v="0"/>
    <x v="0"/>
  </r>
  <r>
    <x v="12"/>
    <x v="3"/>
    <s v="April"/>
    <s v="Division_A"/>
    <x v="11"/>
    <n v="2012"/>
    <n v="12"/>
    <s v="TM-Utama"/>
    <n v="10"/>
    <n v="1434"/>
    <s v="143.4"/>
    <x v="1"/>
    <n v="1.8839999999999999"/>
    <n v="18842.8"/>
    <n v="18.843"/>
    <d v="2024-04-01T00:00:00"/>
    <x v="0"/>
    <x v="0"/>
  </r>
  <r>
    <x v="12"/>
    <x v="4"/>
    <s v="Mei"/>
    <s v="Division_A"/>
    <x v="11"/>
    <n v="2012"/>
    <n v="12"/>
    <s v="TM-Utama"/>
    <n v="10"/>
    <n v="1434"/>
    <s v="143.4"/>
    <x v="1"/>
    <n v="2.19"/>
    <n v="21897.200000000001"/>
    <n v="21.896999999999998"/>
    <d v="2024-05-01T00:00:00"/>
    <x v="0"/>
    <x v="0"/>
  </r>
  <r>
    <x v="12"/>
    <x v="5"/>
    <s v="Juni"/>
    <s v="Division_A"/>
    <x v="11"/>
    <n v="2012"/>
    <n v="12"/>
    <s v="TM-Utama"/>
    <n v="10"/>
    <n v="1434"/>
    <s v="143.4"/>
    <x v="1"/>
    <n v="2.3969999999999998"/>
    <n v="23972.9"/>
    <n v="23.972999999999999"/>
    <d v="2024-06-01T00:00:00"/>
    <x v="0"/>
    <x v="0"/>
  </r>
  <r>
    <x v="12"/>
    <x v="6"/>
    <s v="Juli"/>
    <s v="Division_A"/>
    <x v="11"/>
    <n v="2012"/>
    <n v="12"/>
    <s v="TM-Utama"/>
    <n v="10"/>
    <n v="1434"/>
    <s v="143.4"/>
    <x v="1"/>
    <n v="2.1960000000000002"/>
    <n v="21961.7"/>
    <n v="21.962"/>
    <d v="2024-07-01T00:00:00"/>
    <x v="0"/>
    <x v="0"/>
  </r>
  <r>
    <x v="12"/>
    <x v="7"/>
    <s v="Agustus"/>
    <s v="Division_A"/>
    <x v="11"/>
    <n v="2012"/>
    <n v="12"/>
    <s v="TM-Utama"/>
    <n v="10"/>
    <n v="1434"/>
    <s v="143.4"/>
    <x v="1"/>
    <n v="1.9850000000000001"/>
    <n v="19853.7"/>
    <n v="19.853999999999999"/>
    <d v="2024-08-01T00:00:00"/>
    <x v="0"/>
    <x v="0"/>
  </r>
  <r>
    <x v="12"/>
    <x v="8"/>
    <s v="September"/>
    <s v="Division_A"/>
    <x v="11"/>
    <n v="2012"/>
    <n v="12"/>
    <s v="TM-Utama"/>
    <n v="10"/>
    <n v="1434"/>
    <s v="143.4"/>
    <x v="1"/>
    <n v="2.1480000000000001"/>
    <n v="21477.7"/>
    <n v="21.478000000000002"/>
    <d v="2024-09-01T00:00:00"/>
    <x v="0"/>
    <x v="0"/>
  </r>
  <r>
    <x v="12"/>
    <x v="9"/>
    <s v="Oktober"/>
    <s v="Division_A"/>
    <x v="11"/>
    <n v="2012"/>
    <n v="12"/>
    <s v="TM-Utama"/>
    <n v="10"/>
    <n v="1434"/>
    <s v="143.4"/>
    <x v="1"/>
    <n v="1.419"/>
    <n v="14185.8"/>
    <n v="14.186"/>
    <d v="2024-10-01T00:00:00"/>
    <x v="0"/>
    <x v="0"/>
  </r>
  <r>
    <x v="12"/>
    <x v="10"/>
    <s v="November"/>
    <s v="Division_A"/>
    <x v="11"/>
    <n v="2012"/>
    <n v="12"/>
    <s v="TM-Utama"/>
    <n v="10"/>
    <n v="1434"/>
    <s v="143.4"/>
    <x v="1"/>
    <n v="1.0069999999999999"/>
    <n v="10066.700000000001"/>
    <n v="10.067"/>
    <d v="2024-11-01T00:00:00"/>
    <x v="0"/>
    <x v="0"/>
  </r>
  <r>
    <x v="12"/>
    <x v="11"/>
    <s v="Desember"/>
    <s v="Division_A"/>
    <x v="11"/>
    <n v="2012"/>
    <n v="12"/>
    <s v="TM-Utama"/>
    <n v="10"/>
    <n v="1434"/>
    <s v="143.4"/>
    <x v="1"/>
    <n v="1.288"/>
    <n v="12884.5"/>
    <n v="12.884"/>
    <d v="2024-12-01T00:00:00"/>
    <x v="0"/>
    <x v="0"/>
  </r>
  <r>
    <x v="12"/>
    <x v="0"/>
    <s v="Januari"/>
    <s v="Division_A"/>
    <x v="12"/>
    <n v="2012"/>
    <n v="12"/>
    <s v="TM-Utama"/>
    <n v="24"/>
    <n v="3074"/>
    <s v="128.1"/>
    <x v="2"/>
    <n v="1.284"/>
    <n v="30824.5"/>
    <n v="30.824999999999999"/>
    <d v="2024-01-01T00:00:00"/>
    <x v="0"/>
    <x v="0"/>
  </r>
  <r>
    <x v="12"/>
    <x v="1"/>
    <s v="Februari"/>
    <s v="Division_A"/>
    <x v="12"/>
    <n v="2012"/>
    <n v="12"/>
    <s v="TM-Utama"/>
    <n v="24"/>
    <n v="3074"/>
    <s v="128.1"/>
    <x v="2"/>
    <n v="1.361"/>
    <n v="32668.9"/>
    <n v="32.668999999999997"/>
    <d v="2024-02-01T00:00:00"/>
    <x v="0"/>
    <x v="0"/>
  </r>
  <r>
    <x v="12"/>
    <x v="2"/>
    <s v="Maret"/>
    <s v="Division_A"/>
    <x v="12"/>
    <n v="2012"/>
    <n v="12"/>
    <s v="TM-Utama"/>
    <n v="24"/>
    <n v="3074"/>
    <s v="128.1"/>
    <x v="2"/>
    <n v="1.8420000000000001"/>
    <n v="44219.5"/>
    <n v="44.219000000000001"/>
    <d v="2024-03-01T00:00:00"/>
    <x v="0"/>
    <x v="0"/>
  </r>
  <r>
    <x v="12"/>
    <x v="3"/>
    <s v="April"/>
    <s v="Division_A"/>
    <x v="12"/>
    <n v="2012"/>
    <n v="12"/>
    <s v="TM-Utama"/>
    <n v="24"/>
    <n v="3074"/>
    <s v="128.1"/>
    <x v="2"/>
    <n v="1.6830000000000001"/>
    <n v="40392.400000000001"/>
    <n v="40.392000000000003"/>
    <d v="2024-04-01T00:00:00"/>
    <x v="0"/>
    <x v="0"/>
  </r>
  <r>
    <x v="12"/>
    <x v="4"/>
    <s v="Mei"/>
    <s v="Division_A"/>
    <x v="12"/>
    <n v="2012"/>
    <n v="12"/>
    <s v="TM-Utama"/>
    <n v="24"/>
    <n v="3074"/>
    <s v="128.1"/>
    <x v="2"/>
    <n v="1.956"/>
    <n v="46940"/>
    <n v="46.94"/>
    <d v="2024-05-01T00:00:00"/>
    <x v="0"/>
    <x v="0"/>
  </r>
  <r>
    <x v="12"/>
    <x v="5"/>
    <s v="Juni"/>
    <s v="Division_A"/>
    <x v="12"/>
    <n v="2012"/>
    <n v="12"/>
    <s v="TM-Utama"/>
    <n v="24"/>
    <n v="3074"/>
    <s v="128.1"/>
    <x v="2"/>
    <n v="2.141"/>
    <n v="51389.599999999999"/>
    <n v="51.39"/>
    <d v="2024-06-01T00:00:00"/>
    <x v="0"/>
    <x v="0"/>
  </r>
  <r>
    <x v="12"/>
    <x v="6"/>
    <s v="Juli"/>
    <s v="Division_A"/>
    <x v="12"/>
    <n v="2012"/>
    <n v="12"/>
    <s v="TM-Utama"/>
    <n v="24"/>
    <n v="3074"/>
    <s v="128.1"/>
    <x v="2"/>
    <n v="1.962"/>
    <n v="47078.3"/>
    <n v="47.078000000000003"/>
    <d v="2024-07-01T00:00:00"/>
    <x v="0"/>
    <x v="0"/>
  </r>
  <r>
    <x v="12"/>
    <x v="7"/>
    <s v="Agustus"/>
    <s v="Division_A"/>
    <x v="12"/>
    <n v="2012"/>
    <n v="12"/>
    <s v="TM-Utama"/>
    <n v="24"/>
    <n v="3074"/>
    <s v="128.1"/>
    <x v="2"/>
    <n v="1.7729999999999999"/>
    <n v="42559.5"/>
    <n v="42.56"/>
    <d v="2024-08-01T00:00:00"/>
    <x v="0"/>
    <x v="0"/>
  </r>
  <r>
    <x v="12"/>
    <x v="8"/>
    <s v="September"/>
    <s v="Division_A"/>
    <x v="12"/>
    <n v="2012"/>
    <n v="12"/>
    <s v="TM-Utama"/>
    <n v="24"/>
    <n v="3074"/>
    <s v="128.1"/>
    <x v="2"/>
    <n v="1.9179999999999999"/>
    <n v="46040.800000000003"/>
    <n v="46.040999999999997"/>
    <d v="2024-09-01T00:00:00"/>
    <x v="0"/>
    <x v="0"/>
  </r>
  <r>
    <x v="12"/>
    <x v="9"/>
    <s v="Oktober"/>
    <s v="Division_A"/>
    <x v="12"/>
    <n v="2012"/>
    <n v="12"/>
    <s v="TM-Utama"/>
    <n v="24"/>
    <n v="3074"/>
    <s v="128.1"/>
    <x v="2"/>
    <n v="1.2669999999999999"/>
    <n v="30409.5"/>
    <n v="30.41"/>
    <d v="2024-10-01T00:00:00"/>
    <x v="0"/>
    <x v="0"/>
  </r>
  <r>
    <x v="12"/>
    <x v="10"/>
    <s v="November"/>
    <s v="Division_A"/>
    <x v="12"/>
    <n v="2012"/>
    <n v="12"/>
    <s v="TM-Utama"/>
    <n v="24"/>
    <n v="3074"/>
    <s v="128.1"/>
    <x v="2"/>
    <n v="0.89900000000000002"/>
    <n v="21579.5"/>
    <n v="21.579000000000001"/>
    <d v="2024-11-01T00:00:00"/>
    <x v="0"/>
    <x v="0"/>
  </r>
  <r>
    <x v="12"/>
    <x v="11"/>
    <s v="Desember"/>
    <s v="Division_A"/>
    <x v="12"/>
    <n v="2012"/>
    <n v="12"/>
    <s v="TM-Utama"/>
    <n v="24"/>
    <n v="3074"/>
    <s v="128.1"/>
    <x v="2"/>
    <n v="1.151"/>
    <n v="27619.9"/>
    <n v="27.62"/>
    <d v="2024-12-01T00:00:00"/>
    <x v="0"/>
    <x v="0"/>
  </r>
  <r>
    <x v="12"/>
    <x v="0"/>
    <s v="Januari"/>
    <s v="Division_A"/>
    <x v="13"/>
    <n v="2012"/>
    <n v="12"/>
    <s v="TM-Utama"/>
    <n v="19"/>
    <n v="2418"/>
    <s v="127.3"/>
    <x v="2"/>
    <n v="1.276"/>
    <n v="24246.5"/>
    <n v="24.245999999999999"/>
    <d v="2024-01-01T00:00:00"/>
    <x v="0"/>
    <x v="0"/>
  </r>
  <r>
    <x v="12"/>
    <x v="1"/>
    <s v="Februari"/>
    <s v="Division_A"/>
    <x v="13"/>
    <n v="2012"/>
    <n v="12"/>
    <s v="TM-Utama"/>
    <n v="19"/>
    <n v="2418"/>
    <s v="127.3"/>
    <x v="2"/>
    <n v="1.3520000000000001"/>
    <n v="25697.3"/>
    <n v="25.696999999999999"/>
    <d v="2024-02-01T00:00:00"/>
    <x v="0"/>
    <x v="0"/>
  </r>
  <r>
    <x v="12"/>
    <x v="2"/>
    <s v="Maret"/>
    <s v="Division_A"/>
    <x v="13"/>
    <n v="2012"/>
    <n v="12"/>
    <s v="TM-Utama"/>
    <n v="19"/>
    <n v="2418"/>
    <s v="127.3"/>
    <x v="2"/>
    <n v="1.831"/>
    <n v="34782.9"/>
    <n v="34.783000000000001"/>
    <d v="2024-03-01T00:00:00"/>
    <x v="0"/>
    <x v="0"/>
  </r>
  <r>
    <x v="12"/>
    <x v="3"/>
    <s v="April"/>
    <s v="Division_A"/>
    <x v="13"/>
    <n v="2012"/>
    <n v="12"/>
    <s v="TM-Utama"/>
    <n v="19"/>
    <n v="2418"/>
    <s v="127.3"/>
    <x v="2"/>
    <n v="1.6719999999999999"/>
    <n v="31772.5"/>
    <n v="31.773"/>
    <d v="2024-04-01T00:00:00"/>
    <x v="0"/>
    <x v="0"/>
  </r>
  <r>
    <x v="12"/>
    <x v="4"/>
    <s v="Mei"/>
    <s v="Division_A"/>
    <x v="13"/>
    <n v="2012"/>
    <n v="12"/>
    <s v="TM-Utama"/>
    <n v="19"/>
    <n v="2418"/>
    <s v="127.3"/>
    <x v="2"/>
    <n v="1.9430000000000001"/>
    <n v="36922.9"/>
    <n v="36.923000000000002"/>
    <d v="2024-05-01T00:00:00"/>
    <x v="0"/>
    <x v="0"/>
  </r>
  <r>
    <x v="12"/>
    <x v="5"/>
    <s v="Juni"/>
    <s v="Division_A"/>
    <x v="13"/>
    <n v="2012"/>
    <n v="12"/>
    <s v="TM-Utama"/>
    <n v="19"/>
    <n v="2418"/>
    <s v="127.3"/>
    <x v="2"/>
    <n v="2.1280000000000001"/>
    <n v="40422.9"/>
    <n v="40.423000000000002"/>
    <d v="2024-06-01T00:00:00"/>
    <x v="0"/>
    <x v="0"/>
  </r>
  <r>
    <x v="12"/>
    <x v="6"/>
    <s v="Juli"/>
    <s v="Division_A"/>
    <x v="13"/>
    <n v="2012"/>
    <n v="12"/>
    <s v="TM-Utama"/>
    <n v="19"/>
    <n v="2418"/>
    <s v="127.3"/>
    <x v="2"/>
    <n v="1.9490000000000001"/>
    <n v="37031.699999999997"/>
    <n v="37.031999999999996"/>
    <d v="2024-07-01T00:00:00"/>
    <x v="0"/>
    <x v="0"/>
  </r>
  <r>
    <x v="12"/>
    <x v="7"/>
    <s v="Agustus"/>
    <s v="Division_A"/>
    <x v="13"/>
    <n v="2012"/>
    <n v="12"/>
    <s v="TM-Utama"/>
    <n v="19"/>
    <n v="2418"/>
    <s v="127.3"/>
    <x v="2"/>
    <n v="1.762"/>
    <n v="33477.199999999997"/>
    <n v="33.476999999999997"/>
    <d v="2024-08-01T00:00:00"/>
    <x v="0"/>
    <x v="0"/>
  </r>
  <r>
    <x v="12"/>
    <x v="8"/>
    <s v="September"/>
    <s v="Division_A"/>
    <x v="13"/>
    <n v="2012"/>
    <n v="12"/>
    <s v="TM-Utama"/>
    <n v="19"/>
    <n v="2418"/>
    <s v="127.3"/>
    <x v="2"/>
    <n v="1.9059999999999999"/>
    <n v="36215.599999999999"/>
    <n v="36.216000000000001"/>
    <d v="2024-09-01T00:00:00"/>
    <x v="0"/>
    <x v="0"/>
  </r>
  <r>
    <x v="12"/>
    <x v="9"/>
    <s v="Oktober"/>
    <s v="Division_A"/>
    <x v="13"/>
    <n v="2012"/>
    <n v="12"/>
    <s v="TM-Utama"/>
    <n v="19"/>
    <n v="2418"/>
    <s v="127.3"/>
    <x v="2"/>
    <n v="1.2589999999999999"/>
    <n v="23920.1"/>
    <n v="23.92"/>
    <d v="2024-10-01T00:00:00"/>
    <x v="0"/>
    <x v="0"/>
  </r>
  <r>
    <x v="12"/>
    <x v="10"/>
    <s v="November"/>
    <s v="Division_A"/>
    <x v="13"/>
    <n v="2012"/>
    <n v="12"/>
    <s v="TM-Utama"/>
    <n v="19"/>
    <n v="2418"/>
    <s v="127.3"/>
    <x v="2"/>
    <n v="0.89300000000000002"/>
    <n v="16974.400000000001"/>
    <n v="16.974"/>
    <d v="2024-11-01T00:00:00"/>
    <x v="0"/>
    <x v="0"/>
  </r>
  <r>
    <x v="12"/>
    <x v="11"/>
    <s v="Desember"/>
    <s v="Division_A"/>
    <x v="13"/>
    <n v="2012"/>
    <n v="12"/>
    <s v="TM-Utama"/>
    <n v="19"/>
    <n v="2418"/>
    <s v="127.3"/>
    <x v="2"/>
    <n v="1.143"/>
    <n v="21725.7"/>
    <n v="21.725999999999999"/>
    <d v="2024-12-01T00:00:00"/>
    <x v="0"/>
    <x v="0"/>
  </r>
  <r>
    <x v="12"/>
    <x v="0"/>
    <s v="Januari"/>
    <s v="Division_A"/>
    <x v="14"/>
    <n v="2012"/>
    <n v="12"/>
    <s v="TM-Utama"/>
    <n v="25"/>
    <n v="3205"/>
    <s v="128.2"/>
    <x v="2"/>
    <n v="1.286"/>
    <n v="32138.1"/>
    <n v="32.137999999999998"/>
    <d v="2024-01-01T00:00:00"/>
    <x v="0"/>
    <x v="0"/>
  </r>
  <r>
    <x v="12"/>
    <x v="1"/>
    <s v="Februari"/>
    <s v="Division_A"/>
    <x v="14"/>
    <n v="2012"/>
    <n v="12"/>
    <s v="TM-Utama"/>
    <n v="25"/>
    <n v="3205"/>
    <s v="128.2"/>
    <x v="2"/>
    <n v="1.3620000000000001"/>
    <n v="34061.1"/>
    <n v="34.061"/>
    <d v="2024-02-01T00:00:00"/>
    <x v="0"/>
    <x v="0"/>
  </r>
  <r>
    <x v="12"/>
    <x v="2"/>
    <s v="Maret"/>
    <s v="Division_A"/>
    <x v="14"/>
    <n v="2012"/>
    <n v="12"/>
    <s v="TM-Utama"/>
    <n v="25"/>
    <n v="3205"/>
    <s v="128.2"/>
    <x v="2"/>
    <n v="1.8440000000000001"/>
    <n v="46103.9"/>
    <n v="46.103999999999999"/>
    <d v="2024-03-01T00:00:00"/>
    <x v="0"/>
    <x v="0"/>
  </r>
  <r>
    <x v="12"/>
    <x v="3"/>
    <s v="April"/>
    <s v="Division_A"/>
    <x v="14"/>
    <n v="2012"/>
    <n v="12"/>
    <s v="TM-Utama"/>
    <n v="25"/>
    <n v="3205"/>
    <s v="128.2"/>
    <x v="2"/>
    <n v="1.6850000000000001"/>
    <n v="42113.7"/>
    <n v="42.113999999999997"/>
    <d v="2024-04-01T00:00:00"/>
    <x v="0"/>
    <x v="0"/>
  </r>
  <r>
    <x v="12"/>
    <x v="4"/>
    <s v="Mei"/>
    <s v="Division_A"/>
    <x v="14"/>
    <n v="2012"/>
    <n v="12"/>
    <s v="TM-Utama"/>
    <n v="25"/>
    <n v="3205"/>
    <s v="128.2"/>
    <x v="2"/>
    <n v="1.958"/>
    <n v="48940.3"/>
    <n v="48.94"/>
    <d v="2024-05-01T00:00:00"/>
    <x v="0"/>
    <x v="0"/>
  </r>
  <r>
    <x v="12"/>
    <x v="5"/>
    <s v="Juni"/>
    <s v="Division_A"/>
    <x v="14"/>
    <n v="2012"/>
    <n v="12"/>
    <s v="TM-Utama"/>
    <n v="25"/>
    <n v="3205"/>
    <s v="128.2"/>
    <x v="2"/>
    <n v="2.1429999999999998"/>
    <n v="53579.6"/>
    <n v="53.58"/>
    <d v="2024-06-01T00:00:00"/>
    <x v="0"/>
    <x v="0"/>
  </r>
  <r>
    <x v="12"/>
    <x v="6"/>
    <s v="Juli"/>
    <s v="Division_A"/>
    <x v="14"/>
    <n v="2012"/>
    <n v="12"/>
    <s v="TM-Utama"/>
    <n v="25"/>
    <n v="3205"/>
    <s v="128.2"/>
    <x v="2"/>
    <n v="1.9630000000000001"/>
    <n v="49084.6"/>
    <n v="49.085000000000001"/>
    <d v="2024-07-01T00:00:00"/>
    <x v="0"/>
    <x v="0"/>
  </r>
  <r>
    <x v="12"/>
    <x v="7"/>
    <s v="Agustus"/>
    <s v="Division_A"/>
    <x v="14"/>
    <n v="2012"/>
    <n v="12"/>
    <s v="TM-Utama"/>
    <n v="25"/>
    <n v="3205"/>
    <s v="128.2"/>
    <x v="2"/>
    <n v="1.7749999999999999"/>
    <n v="44373.2"/>
    <n v="44.372999999999998"/>
    <d v="2024-08-01T00:00:00"/>
    <x v="0"/>
    <x v="0"/>
  </r>
  <r>
    <x v="12"/>
    <x v="8"/>
    <s v="September"/>
    <s v="Division_A"/>
    <x v="14"/>
    <n v="2012"/>
    <n v="12"/>
    <s v="TM-Utama"/>
    <n v="25"/>
    <n v="3205"/>
    <s v="128.2"/>
    <x v="2"/>
    <n v="1.92"/>
    <n v="48002.9"/>
    <n v="48.003"/>
    <d v="2024-09-01T00:00:00"/>
    <x v="0"/>
    <x v="0"/>
  </r>
  <r>
    <x v="12"/>
    <x v="9"/>
    <s v="Oktober"/>
    <s v="Division_A"/>
    <x v="14"/>
    <n v="2012"/>
    <n v="12"/>
    <s v="TM-Utama"/>
    <n v="25"/>
    <n v="3205"/>
    <s v="128.2"/>
    <x v="2"/>
    <n v="1.268"/>
    <n v="31705.5"/>
    <n v="31.704999999999998"/>
    <d v="2024-10-01T00:00:00"/>
    <x v="0"/>
    <x v="0"/>
  </r>
  <r>
    <x v="12"/>
    <x v="10"/>
    <s v="November"/>
    <s v="Division_A"/>
    <x v="14"/>
    <n v="2012"/>
    <n v="12"/>
    <s v="TM-Utama"/>
    <n v="25"/>
    <n v="3205"/>
    <s v="128.2"/>
    <x v="2"/>
    <n v="0.9"/>
    <n v="22499.1"/>
    <n v="22.498999999999999"/>
    <d v="2024-11-01T00:00:00"/>
    <x v="0"/>
    <x v="0"/>
  </r>
  <r>
    <x v="12"/>
    <x v="11"/>
    <s v="Desember"/>
    <s v="Division_A"/>
    <x v="14"/>
    <n v="2012"/>
    <n v="12"/>
    <s v="TM-Utama"/>
    <n v="25"/>
    <n v="3205"/>
    <s v="128.2"/>
    <x v="2"/>
    <n v="1.1519999999999999"/>
    <n v="28796.9"/>
    <n v="28.797000000000001"/>
    <d v="2024-12-01T00:00:00"/>
    <x v="0"/>
    <x v="0"/>
  </r>
  <r>
    <x v="12"/>
    <x v="0"/>
    <s v="Januari"/>
    <s v="Division_A"/>
    <x v="15"/>
    <n v="2012"/>
    <n v="12"/>
    <s v="TM-Utama"/>
    <n v="19"/>
    <n v="2469"/>
    <s v="129.9"/>
    <x v="1"/>
    <n v="1.3029999999999999"/>
    <n v="24757.9"/>
    <n v="24.757999999999999"/>
    <d v="2024-01-01T00:00:00"/>
    <x v="0"/>
    <x v="0"/>
  </r>
  <r>
    <x v="12"/>
    <x v="1"/>
    <s v="Februari"/>
    <s v="Division_A"/>
    <x v="15"/>
    <n v="2012"/>
    <n v="12"/>
    <s v="TM-Utama"/>
    <n v="19"/>
    <n v="2469"/>
    <s v="129.9"/>
    <x v="1"/>
    <n v="1.381"/>
    <n v="26239.3"/>
    <n v="26.239000000000001"/>
    <d v="2024-02-01T00:00:00"/>
    <x v="0"/>
    <x v="0"/>
  </r>
  <r>
    <x v="12"/>
    <x v="2"/>
    <s v="Maret"/>
    <s v="Division_A"/>
    <x v="15"/>
    <n v="2012"/>
    <n v="12"/>
    <s v="TM-Utama"/>
    <n v="19"/>
    <n v="2469"/>
    <s v="129.9"/>
    <x v="1"/>
    <n v="1.869"/>
    <n v="35516.6"/>
    <n v="35.517000000000003"/>
    <d v="2024-03-01T00:00:00"/>
    <x v="0"/>
    <x v="0"/>
  </r>
  <r>
    <x v="12"/>
    <x v="3"/>
    <s v="April"/>
    <s v="Division_A"/>
    <x v="15"/>
    <n v="2012"/>
    <n v="12"/>
    <s v="TM-Utama"/>
    <n v="19"/>
    <n v="2469"/>
    <s v="129.9"/>
    <x v="1"/>
    <n v="1.708"/>
    <n v="32442.7"/>
    <n v="32.442999999999998"/>
    <d v="2024-04-01T00:00:00"/>
    <x v="0"/>
    <x v="0"/>
  </r>
  <r>
    <x v="12"/>
    <x v="4"/>
    <s v="Mei"/>
    <s v="Division_A"/>
    <x v="15"/>
    <n v="2012"/>
    <n v="12"/>
    <s v="TM-Utama"/>
    <n v="19"/>
    <n v="2469"/>
    <s v="129.9"/>
    <x v="1"/>
    <n v="1.984"/>
    <n v="37701.599999999999"/>
    <n v="37.701999999999998"/>
    <d v="2024-05-01T00:00:00"/>
    <x v="0"/>
    <x v="0"/>
  </r>
  <r>
    <x v="12"/>
    <x v="5"/>
    <s v="Juni"/>
    <s v="Division_A"/>
    <x v="15"/>
    <n v="2012"/>
    <n v="12"/>
    <s v="TM-Utama"/>
    <n v="19"/>
    <n v="2469"/>
    <s v="129.9"/>
    <x v="1"/>
    <n v="2.1720000000000002"/>
    <n v="41275.5"/>
    <n v="41.276000000000003"/>
    <d v="2024-06-01T00:00:00"/>
    <x v="0"/>
    <x v="0"/>
  </r>
  <r>
    <x v="12"/>
    <x v="6"/>
    <s v="Juli"/>
    <s v="Division_A"/>
    <x v="15"/>
    <n v="2012"/>
    <n v="12"/>
    <s v="TM-Utama"/>
    <n v="19"/>
    <n v="2469"/>
    <s v="129.9"/>
    <x v="1"/>
    <n v="1.99"/>
    <n v="37812.699999999997"/>
    <n v="37.813000000000002"/>
    <d v="2024-07-01T00:00:00"/>
    <x v="0"/>
    <x v="0"/>
  </r>
  <r>
    <x v="12"/>
    <x v="7"/>
    <s v="Agustus"/>
    <s v="Division_A"/>
    <x v="15"/>
    <n v="2012"/>
    <n v="12"/>
    <s v="TM-Utama"/>
    <n v="19"/>
    <n v="2469"/>
    <s v="129.9"/>
    <x v="1"/>
    <n v="1.7989999999999999"/>
    <n v="34183.300000000003"/>
    <n v="34.183"/>
    <d v="2024-08-01T00:00:00"/>
    <x v="0"/>
    <x v="0"/>
  </r>
  <r>
    <x v="12"/>
    <x v="8"/>
    <s v="September"/>
    <s v="Division_A"/>
    <x v="15"/>
    <n v="2012"/>
    <n v="12"/>
    <s v="TM-Utama"/>
    <n v="19"/>
    <n v="2469"/>
    <s v="129.9"/>
    <x v="1"/>
    <n v="1.946"/>
    <n v="36979.4"/>
    <n v="36.978999999999999"/>
    <d v="2024-09-01T00:00:00"/>
    <x v="0"/>
    <x v="0"/>
  </r>
  <r>
    <x v="12"/>
    <x v="9"/>
    <s v="Oktober"/>
    <s v="Division_A"/>
    <x v="15"/>
    <n v="2012"/>
    <n v="12"/>
    <s v="TM-Utama"/>
    <n v="19"/>
    <n v="2469"/>
    <s v="129.9"/>
    <x v="1"/>
    <n v="1.286"/>
    <n v="24424.6"/>
    <n v="24.425000000000001"/>
    <d v="2024-10-01T00:00:00"/>
    <x v="0"/>
    <x v="0"/>
  </r>
  <r>
    <x v="12"/>
    <x v="10"/>
    <s v="November"/>
    <s v="Division_A"/>
    <x v="15"/>
    <n v="2012"/>
    <n v="12"/>
    <s v="TM-Utama"/>
    <n v="19"/>
    <n v="2469"/>
    <s v="129.9"/>
    <x v="1"/>
    <n v="0.91200000000000003"/>
    <n v="17332.400000000001"/>
    <n v="17.332000000000001"/>
    <d v="2024-11-01T00:00:00"/>
    <x v="0"/>
    <x v="0"/>
  </r>
  <r>
    <x v="12"/>
    <x v="11"/>
    <s v="Desember"/>
    <s v="Division_A"/>
    <x v="15"/>
    <n v="2012"/>
    <n v="12"/>
    <s v="TM-Utama"/>
    <n v="19"/>
    <n v="2469"/>
    <s v="129.9"/>
    <x v="1"/>
    <n v="1.1679999999999999"/>
    <n v="22184"/>
    <n v="22.184000000000001"/>
    <d v="2024-12-01T00:00:00"/>
    <x v="0"/>
    <x v="0"/>
  </r>
  <r>
    <x v="12"/>
    <x v="0"/>
    <s v="Januari"/>
    <s v="Division_A"/>
    <x v="16"/>
    <n v="2012"/>
    <n v="12"/>
    <s v="TM-Utama"/>
    <n v="20"/>
    <n v="2704"/>
    <s v="135.2"/>
    <x v="2"/>
    <n v="1.3560000000000001"/>
    <n v="27114.400000000001"/>
    <n v="27.114000000000001"/>
    <d v="2024-01-01T00:00:00"/>
    <x v="0"/>
    <x v="0"/>
  </r>
  <r>
    <x v="12"/>
    <x v="1"/>
    <s v="Februari"/>
    <s v="Division_A"/>
    <x v="16"/>
    <n v="2012"/>
    <n v="12"/>
    <s v="TM-Utama"/>
    <n v="20"/>
    <n v="2704"/>
    <s v="135.2"/>
    <x v="2"/>
    <n v="1.4370000000000001"/>
    <n v="28736.799999999999"/>
    <n v="28.736999999999998"/>
    <d v="2024-02-01T00:00:00"/>
    <x v="0"/>
    <x v="0"/>
  </r>
  <r>
    <x v="12"/>
    <x v="2"/>
    <s v="Maret"/>
    <s v="Division_A"/>
    <x v="16"/>
    <n v="2012"/>
    <n v="12"/>
    <s v="TM-Utama"/>
    <n v="20"/>
    <n v="2704"/>
    <s v="135.2"/>
    <x v="2"/>
    <n v="1.9450000000000001"/>
    <n v="38897"/>
    <n v="38.896999999999998"/>
    <d v="2024-03-01T00:00:00"/>
    <x v="0"/>
    <x v="0"/>
  </r>
  <r>
    <x v="12"/>
    <x v="3"/>
    <s v="April"/>
    <s v="Division_A"/>
    <x v="16"/>
    <n v="2012"/>
    <n v="12"/>
    <s v="TM-Utama"/>
    <n v="20"/>
    <n v="2704"/>
    <s v="135.2"/>
    <x v="2"/>
    <n v="1.7769999999999999"/>
    <n v="35530.6"/>
    <n v="35.530999999999999"/>
    <d v="2024-04-01T00:00:00"/>
    <x v="0"/>
    <x v="0"/>
  </r>
  <r>
    <x v="12"/>
    <x v="4"/>
    <s v="Mei"/>
    <s v="Division_A"/>
    <x v="16"/>
    <n v="2012"/>
    <n v="12"/>
    <s v="TM-Utama"/>
    <n v="20"/>
    <n v="2704"/>
    <s v="135.2"/>
    <x v="2"/>
    <n v="2.0649999999999999"/>
    <n v="41290.1"/>
    <n v="41.29"/>
    <d v="2024-05-01T00:00:00"/>
    <x v="0"/>
    <x v="0"/>
  </r>
  <r>
    <x v="12"/>
    <x v="5"/>
    <s v="Juni"/>
    <s v="Division_A"/>
    <x v="16"/>
    <n v="2012"/>
    <n v="12"/>
    <s v="TM-Utama"/>
    <n v="20"/>
    <n v="2704"/>
    <s v="135.2"/>
    <x v="2"/>
    <n v="2.2599999999999998"/>
    <n v="45204.1"/>
    <n v="45.204000000000001"/>
    <d v="2024-06-01T00:00:00"/>
    <x v="0"/>
    <x v="0"/>
  </r>
  <r>
    <x v="12"/>
    <x v="6"/>
    <s v="Juli"/>
    <s v="Division_A"/>
    <x v="16"/>
    <n v="2012"/>
    <n v="12"/>
    <s v="TM-Utama"/>
    <n v="20"/>
    <n v="2704"/>
    <s v="135.2"/>
    <x v="2"/>
    <n v="2.0710000000000002"/>
    <n v="41411.800000000003"/>
    <n v="41.411999999999999"/>
    <d v="2024-07-01T00:00:00"/>
    <x v="0"/>
    <x v="0"/>
  </r>
  <r>
    <x v="12"/>
    <x v="7"/>
    <s v="Agustus"/>
    <s v="Division_A"/>
    <x v="16"/>
    <n v="2012"/>
    <n v="12"/>
    <s v="TM-Utama"/>
    <n v="20"/>
    <n v="2704"/>
    <s v="135.2"/>
    <x v="2"/>
    <n v="1.8720000000000001"/>
    <n v="37436.9"/>
    <n v="37.436999999999998"/>
    <d v="2024-08-01T00:00:00"/>
    <x v="0"/>
    <x v="0"/>
  </r>
  <r>
    <x v="12"/>
    <x v="8"/>
    <s v="September"/>
    <s v="Division_A"/>
    <x v="16"/>
    <n v="2012"/>
    <n v="12"/>
    <s v="TM-Utama"/>
    <n v="20"/>
    <n v="2704"/>
    <s v="135.2"/>
    <x v="2"/>
    <n v="2.0249999999999999"/>
    <n v="40499.199999999997"/>
    <n v="40.499000000000002"/>
    <d v="2024-09-01T00:00:00"/>
    <x v="0"/>
    <x v="0"/>
  </r>
  <r>
    <x v="12"/>
    <x v="9"/>
    <s v="Oktober"/>
    <s v="Division_A"/>
    <x v="16"/>
    <n v="2012"/>
    <n v="12"/>
    <s v="TM-Utama"/>
    <n v="20"/>
    <n v="2704"/>
    <s v="135.2"/>
    <x v="2"/>
    <n v="1.337"/>
    <n v="26749.3"/>
    <n v="26.748999999999999"/>
    <d v="2024-10-01T00:00:00"/>
    <x v="0"/>
    <x v="0"/>
  </r>
  <r>
    <x v="12"/>
    <x v="10"/>
    <s v="November"/>
    <s v="Division_A"/>
    <x v="16"/>
    <n v="2012"/>
    <n v="12"/>
    <s v="TM-Utama"/>
    <n v="20"/>
    <n v="2704"/>
    <s v="135.2"/>
    <x v="2"/>
    <n v="0.94899999999999995"/>
    <n v="18982.099999999999"/>
    <n v="18.981999999999999"/>
    <d v="2024-11-01T00:00:00"/>
    <x v="0"/>
    <x v="0"/>
  </r>
  <r>
    <x v="12"/>
    <x v="11"/>
    <s v="Desember"/>
    <s v="Division_A"/>
    <x v="16"/>
    <n v="2012"/>
    <n v="12"/>
    <s v="TM-Utama"/>
    <n v="20"/>
    <n v="2704"/>
    <s v="135.2"/>
    <x v="2"/>
    <n v="1.2150000000000001"/>
    <n v="24295.4"/>
    <n v="24.295000000000002"/>
    <d v="2024-12-01T00:00:00"/>
    <x v="0"/>
    <x v="0"/>
  </r>
  <r>
    <x v="12"/>
    <x v="0"/>
    <s v="Januari"/>
    <s v="Division_A"/>
    <x v="17"/>
    <n v="2012"/>
    <n v="12"/>
    <s v="TM-Utama"/>
    <n v="14"/>
    <n v="1833"/>
    <s v="130.9"/>
    <x v="2"/>
    <n v="1.3129999999999999"/>
    <n v="18380.400000000001"/>
    <n v="18.38"/>
    <d v="2024-01-01T00:00:00"/>
    <x v="0"/>
    <x v="0"/>
  </r>
  <r>
    <x v="12"/>
    <x v="1"/>
    <s v="Februari"/>
    <s v="Division_A"/>
    <x v="17"/>
    <n v="2012"/>
    <n v="12"/>
    <s v="TM-Utama"/>
    <n v="14"/>
    <n v="1833"/>
    <s v="130.9"/>
    <x v="2"/>
    <n v="1.391"/>
    <n v="19480.2"/>
    <n v="19.48"/>
    <d v="2024-02-01T00:00:00"/>
    <x v="0"/>
    <x v="0"/>
  </r>
  <r>
    <x v="12"/>
    <x v="2"/>
    <s v="Maret"/>
    <s v="Division_A"/>
    <x v="17"/>
    <n v="2012"/>
    <n v="12"/>
    <s v="TM-Utama"/>
    <n v="14"/>
    <n v="1833"/>
    <s v="130.9"/>
    <x v="2"/>
    <n v="1.883"/>
    <n v="26367.7"/>
    <n v="26.367999999999999"/>
    <d v="2024-03-01T00:00:00"/>
    <x v="0"/>
    <x v="0"/>
  </r>
  <r>
    <x v="12"/>
    <x v="3"/>
    <s v="April"/>
    <s v="Division_A"/>
    <x v="17"/>
    <n v="2012"/>
    <n v="12"/>
    <s v="TM-Utama"/>
    <n v="14"/>
    <n v="1833"/>
    <s v="130.9"/>
    <x v="2"/>
    <n v="1.72"/>
    <n v="24085.599999999999"/>
    <n v="24.085999999999999"/>
    <d v="2024-04-01T00:00:00"/>
    <x v="0"/>
    <x v="0"/>
  </r>
  <r>
    <x v="12"/>
    <x v="4"/>
    <s v="Mei"/>
    <s v="Division_A"/>
    <x v="17"/>
    <n v="2012"/>
    <n v="12"/>
    <s v="TM-Utama"/>
    <n v="14"/>
    <n v="1833"/>
    <s v="130.9"/>
    <x v="2"/>
    <n v="1.9990000000000001"/>
    <n v="27989.9"/>
    <n v="27.99"/>
    <d v="2024-05-01T00:00:00"/>
    <x v="0"/>
    <x v="0"/>
  </r>
  <r>
    <x v="12"/>
    <x v="5"/>
    <s v="Juni"/>
    <s v="Division_A"/>
    <x v="17"/>
    <n v="2012"/>
    <n v="12"/>
    <s v="TM-Utama"/>
    <n v="14"/>
    <n v="1833"/>
    <s v="130.9"/>
    <x v="2"/>
    <n v="2.1890000000000001"/>
    <n v="30643.200000000001"/>
    <n v="30.643000000000001"/>
    <d v="2024-06-01T00:00:00"/>
    <x v="0"/>
    <x v="0"/>
  </r>
  <r>
    <x v="12"/>
    <x v="6"/>
    <s v="Juli"/>
    <s v="Division_A"/>
    <x v="17"/>
    <n v="2012"/>
    <n v="12"/>
    <s v="TM-Utama"/>
    <n v="14"/>
    <n v="1833"/>
    <s v="130.9"/>
    <x v="2"/>
    <n v="2.0049999999999999"/>
    <n v="28072.400000000001"/>
    <n v="28.071999999999999"/>
    <d v="2024-07-01T00:00:00"/>
    <x v="0"/>
    <x v="0"/>
  </r>
  <r>
    <x v="12"/>
    <x v="7"/>
    <s v="Agustus"/>
    <s v="Division_A"/>
    <x v="17"/>
    <n v="2012"/>
    <n v="12"/>
    <s v="TM-Utama"/>
    <n v="14"/>
    <n v="1833"/>
    <s v="130.9"/>
    <x v="2"/>
    <n v="1.8129999999999999"/>
    <n v="25377.9"/>
    <n v="25.378"/>
    <d v="2024-08-01T00:00:00"/>
    <x v="0"/>
    <x v="0"/>
  </r>
  <r>
    <x v="12"/>
    <x v="8"/>
    <s v="September"/>
    <s v="Division_A"/>
    <x v="17"/>
    <n v="2012"/>
    <n v="12"/>
    <s v="TM-Utama"/>
    <n v="14"/>
    <n v="1833"/>
    <s v="130.9"/>
    <x v="2"/>
    <n v="1.9610000000000001"/>
    <n v="27453.8"/>
    <n v="27.454000000000001"/>
    <d v="2024-09-01T00:00:00"/>
    <x v="0"/>
    <x v="0"/>
  </r>
  <r>
    <x v="12"/>
    <x v="9"/>
    <s v="Oktober"/>
    <s v="Division_A"/>
    <x v="17"/>
    <n v="2012"/>
    <n v="12"/>
    <s v="TM-Utama"/>
    <n v="14"/>
    <n v="1833"/>
    <s v="130.9"/>
    <x v="2"/>
    <n v="1.2949999999999999"/>
    <n v="18133"/>
    <n v="18.132999999999999"/>
    <d v="2024-10-01T00:00:00"/>
    <x v="0"/>
    <x v="0"/>
  </r>
  <r>
    <x v="12"/>
    <x v="10"/>
    <s v="November"/>
    <s v="Division_A"/>
    <x v="17"/>
    <n v="2012"/>
    <n v="12"/>
    <s v="TM-Utama"/>
    <n v="14"/>
    <n v="1833"/>
    <s v="130.9"/>
    <x v="2"/>
    <n v="0.91900000000000004"/>
    <n v="12867.7"/>
    <n v="12.868"/>
    <d v="2024-11-01T00:00:00"/>
    <x v="0"/>
    <x v="0"/>
  </r>
  <r>
    <x v="12"/>
    <x v="11"/>
    <s v="Desember"/>
    <s v="Division_A"/>
    <x v="17"/>
    <n v="2012"/>
    <n v="12"/>
    <s v="TM-Utama"/>
    <n v="14"/>
    <n v="1833"/>
    <s v="130.9"/>
    <x v="2"/>
    <n v="1.1759999999999999"/>
    <n v="16469.5"/>
    <n v="16.47"/>
    <d v="2024-12-01T00:00:00"/>
    <x v="0"/>
    <x v="0"/>
  </r>
  <r>
    <x v="12"/>
    <x v="0"/>
    <s v="Januari"/>
    <s v="Division_A"/>
    <x v="18"/>
    <n v="2012"/>
    <n v="12"/>
    <s v="TM-Utama"/>
    <n v="20"/>
    <n v="1990"/>
    <s v="99.5"/>
    <x v="2"/>
    <n v="1.0229999999999999"/>
    <n v="20456.099999999999"/>
    <n v="20.456"/>
    <d v="2024-01-01T00:00:00"/>
    <x v="0"/>
    <x v="0"/>
  </r>
  <r>
    <x v="12"/>
    <x v="1"/>
    <s v="Februari"/>
    <s v="Division_A"/>
    <x v="18"/>
    <n v="2012"/>
    <n v="12"/>
    <s v="TM-Utama"/>
    <n v="20"/>
    <n v="1990"/>
    <s v="99.5"/>
    <x v="2"/>
    <n v="1.0840000000000001"/>
    <n v="21680.1"/>
    <n v="21.68"/>
    <d v="2024-02-01T00:00:00"/>
    <x v="0"/>
    <x v="0"/>
  </r>
  <r>
    <x v="12"/>
    <x v="2"/>
    <s v="Maret"/>
    <s v="Division_A"/>
    <x v="18"/>
    <n v="2012"/>
    <n v="12"/>
    <s v="TM-Utama"/>
    <n v="20"/>
    <n v="1990"/>
    <s v="99.5"/>
    <x v="2"/>
    <n v="1.4670000000000001"/>
    <n v="29345.4"/>
    <n v="29.344999999999999"/>
    <d v="2024-03-01T00:00:00"/>
    <x v="0"/>
    <x v="0"/>
  </r>
  <r>
    <x v="12"/>
    <x v="3"/>
    <s v="April"/>
    <s v="Division_A"/>
    <x v="18"/>
    <n v="2012"/>
    <n v="12"/>
    <s v="TM-Utama"/>
    <n v="20"/>
    <n v="1990"/>
    <s v="99.5"/>
    <x v="2"/>
    <n v="1.34"/>
    <n v="26805.599999999999"/>
    <n v="26.806000000000001"/>
    <d v="2024-04-01T00:00:00"/>
    <x v="0"/>
    <x v="0"/>
  </r>
  <r>
    <x v="12"/>
    <x v="4"/>
    <s v="Mei"/>
    <s v="Division_A"/>
    <x v="18"/>
    <n v="2012"/>
    <n v="12"/>
    <s v="TM-Utama"/>
    <n v="20"/>
    <n v="1990"/>
    <s v="99.5"/>
    <x v="2"/>
    <n v="1.5580000000000001"/>
    <n v="31150.799999999999"/>
    <n v="31.151"/>
    <d v="2024-05-01T00:00:00"/>
    <x v="0"/>
    <x v="0"/>
  </r>
  <r>
    <x v="12"/>
    <x v="5"/>
    <s v="Juni"/>
    <s v="Division_A"/>
    <x v="18"/>
    <n v="2012"/>
    <n v="12"/>
    <s v="TM-Utama"/>
    <n v="20"/>
    <n v="1990"/>
    <s v="99.5"/>
    <x v="2"/>
    <n v="1.7050000000000001"/>
    <n v="34103.699999999997"/>
    <n v="34.103999999999999"/>
    <d v="2024-06-01T00:00:00"/>
    <x v="0"/>
    <x v="0"/>
  </r>
  <r>
    <x v="12"/>
    <x v="6"/>
    <s v="Juli"/>
    <s v="Division_A"/>
    <x v="18"/>
    <n v="2012"/>
    <n v="12"/>
    <s v="TM-Utama"/>
    <n v="20"/>
    <n v="1990"/>
    <s v="99.5"/>
    <x v="2"/>
    <n v="1.5620000000000001"/>
    <n v="31242.6"/>
    <n v="31.242999999999999"/>
    <d v="2024-07-01T00:00:00"/>
    <x v="0"/>
    <x v="0"/>
  </r>
  <r>
    <x v="12"/>
    <x v="7"/>
    <s v="Agustus"/>
    <s v="Division_A"/>
    <x v="18"/>
    <n v="2012"/>
    <n v="12"/>
    <s v="TM-Utama"/>
    <n v="20"/>
    <n v="1990"/>
    <s v="99.5"/>
    <x v="2"/>
    <n v="1.4119999999999999"/>
    <n v="28243.8"/>
    <n v="28.244"/>
    <d v="2024-08-01T00:00:00"/>
    <x v="0"/>
    <x v="0"/>
  </r>
  <r>
    <x v="12"/>
    <x v="8"/>
    <s v="September"/>
    <s v="Division_A"/>
    <x v="18"/>
    <n v="2012"/>
    <n v="12"/>
    <s v="TM-Utama"/>
    <n v="20"/>
    <n v="1990"/>
    <s v="99.5"/>
    <x v="2"/>
    <n v="1.528"/>
    <n v="30554.1"/>
    <n v="30.553999999999998"/>
    <d v="2024-09-01T00:00:00"/>
    <x v="0"/>
    <x v="0"/>
  </r>
  <r>
    <x v="12"/>
    <x v="9"/>
    <s v="Oktober"/>
    <s v="Division_A"/>
    <x v="18"/>
    <n v="2012"/>
    <n v="12"/>
    <s v="TM-Utama"/>
    <n v="20"/>
    <n v="1990"/>
    <s v="99.5"/>
    <x v="2"/>
    <n v="1.0089999999999999"/>
    <n v="20180.7"/>
    <n v="20.181000000000001"/>
    <d v="2024-10-01T00:00:00"/>
    <x v="0"/>
    <x v="0"/>
  </r>
  <r>
    <x v="12"/>
    <x v="10"/>
    <s v="November"/>
    <s v="Division_A"/>
    <x v="18"/>
    <n v="2012"/>
    <n v="12"/>
    <s v="TM-Utama"/>
    <n v="20"/>
    <n v="1990"/>
    <s v="99.5"/>
    <x v="2"/>
    <n v="0.71599999999999997"/>
    <n v="14320.8"/>
    <n v="14.321"/>
    <d v="2024-11-01T00:00:00"/>
    <x v="0"/>
    <x v="0"/>
  </r>
  <r>
    <x v="12"/>
    <x v="11"/>
    <s v="Desember"/>
    <s v="Division_A"/>
    <x v="18"/>
    <n v="2012"/>
    <n v="12"/>
    <s v="TM-Utama"/>
    <n v="20"/>
    <n v="1990"/>
    <s v="99.5"/>
    <x v="2"/>
    <n v="0.91600000000000004"/>
    <n v="18329.400000000001"/>
    <n v="18.329000000000001"/>
    <d v="2024-12-01T00:00:00"/>
    <x v="0"/>
    <x v="0"/>
  </r>
  <r>
    <x v="12"/>
    <x v="0"/>
    <s v="Januari"/>
    <s v="Division_A"/>
    <x v="19"/>
    <n v="2012"/>
    <n v="12"/>
    <s v="TM-Utama"/>
    <n v="22"/>
    <n v="2606"/>
    <s v="118.5"/>
    <x v="2"/>
    <n v="1.1879999999999999"/>
    <n v="26131.7"/>
    <n v="26.132000000000001"/>
    <d v="2024-01-01T00:00:00"/>
    <x v="0"/>
    <x v="0"/>
  </r>
  <r>
    <x v="12"/>
    <x v="1"/>
    <s v="Februari"/>
    <s v="Division_A"/>
    <x v="19"/>
    <n v="2012"/>
    <n v="12"/>
    <s v="TM-Utama"/>
    <n v="22"/>
    <n v="2606"/>
    <s v="118.5"/>
    <x v="2"/>
    <n v="1.2589999999999999"/>
    <n v="27695.3"/>
    <n v="27.695"/>
    <d v="2024-02-01T00:00:00"/>
    <x v="0"/>
    <x v="0"/>
  </r>
  <r>
    <x v="12"/>
    <x v="2"/>
    <s v="Maret"/>
    <s v="Division_A"/>
    <x v="19"/>
    <n v="2012"/>
    <n v="12"/>
    <s v="TM-Utama"/>
    <n v="22"/>
    <n v="2606"/>
    <s v="118.5"/>
    <x v="2"/>
    <n v="1.704"/>
    <n v="37487.300000000003"/>
    <n v="37.487000000000002"/>
    <d v="2024-03-01T00:00:00"/>
    <x v="0"/>
    <x v="0"/>
  </r>
  <r>
    <x v="12"/>
    <x v="3"/>
    <s v="April"/>
    <s v="Division_A"/>
    <x v="19"/>
    <n v="2012"/>
    <n v="12"/>
    <s v="TM-Utama"/>
    <n v="22"/>
    <n v="2606"/>
    <s v="118.5"/>
    <x v="2"/>
    <n v="1.556"/>
    <n v="34242.800000000003"/>
    <n v="34.243000000000002"/>
    <d v="2024-04-01T00:00:00"/>
    <x v="0"/>
    <x v="0"/>
  </r>
  <r>
    <x v="12"/>
    <x v="4"/>
    <s v="Mei"/>
    <s v="Division_A"/>
    <x v="19"/>
    <n v="2012"/>
    <n v="12"/>
    <s v="TM-Utama"/>
    <n v="22"/>
    <n v="2606"/>
    <s v="118.5"/>
    <x v="2"/>
    <n v="1.8089999999999999"/>
    <n v="39793.599999999999"/>
    <n v="39.793999999999997"/>
    <d v="2024-05-01T00:00:00"/>
    <x v="0"/>
    <x v="0"/>
  </r>
  <r>
    <x v="12"/>
    <x v="5"/>
    <s v="Juni"/>
    <s v="Division_A"/>
    <x v="19"/>
    <n v="2012"/>
    <n v="12"/>
    <s v="TM-Utama"/>
    <n v="22"/>
    <n v="2606"/>
    <s v="118.5"/>
    <x v="2"/>
    <n v="1.98"/>
    <n v="43565.8"/>
    <n v="43.566000000000003"/>
    <d v="2024-06-01T00:00:00"/>
    <x v="0"/>
    <x v="0"/>
  </r>
  <r>
    <x v="12"/>
    <x v="6"/>
    <s v="Juli"/>
    <s v="Division_A"/>
    <x v="19"/>
    <n v="2012"/>
    <n v="12"/>
    <s v="TM-Utama"/>
    <n v="22"/>
    <n v="2606"/>
    <s v="118.5"/>
    <x v="2"/>
    <n v="1.8140000000000001"/>
    <n v="39910.9"/>
    <n v="39.911000000000001"/>
    <d v="2024-07-01T00:00:00"/>
    <x v="0"/>
    <x v="0"/>
  </r>
  <r>
    <x v="12"/>
    <x v="7"/>
    <s v="Agustus"/>
    <s v="Division_A"/>
    <x v="19"/>
    <n v="2012"/>
    <n v="12"/>
    <s v="TM-Utama"/>
    <n v="22"/>
    <n v="2606"/>
    <s v="118.5"/>
    <x v="2"/>
    <n v="1.64"/>
    <n v="36080.1"/>
    <n v="36.08"/>
    <d v="2024-08-01T00:00:00"/>
    <x v="0"/>
    <x v="0"/>
  </r>
  <r>
    <x v="12"/>
    <x v="8"/>
    <s v="September"/>
    <s v="Division_A"/>
    <x v="19"/>
    <n v="2012"/>
    <n v="12"/>
    <s v="TM-Utama"/>
    <n v="22"/>
    <n v="2606"/>
    <s v="118.5"/>
    <x v="2"/>
    <n v="1.774"/>
    <n v="39031.4"/>
    <n v="39.030999999999999"/>
    <d v="2024-09-01T00:00:00"/>
    <x v="0"/>
    <x v="0"/>
  </r>
  <r>
    <x v="12"/>
    <x v="9"/>
    <s v="Oktober"/>
    <s v="Division_A"/>
    <x v="19"/>
    <n v="2012"/>
    <n v="12"/>
    <s v="TM-Utama"/>
    <n v="22"/>
    <n v="2606"/>
    <s v="118.5"/>
    <x v="2"/>
    <n v="1.1719999999999999"/>
    <n v="25779.9"/>
    <n v="25.78"/>
    <d v="2024-10-01T00:00:00"/>
    <x v="0"/>
    <x v="0"/>
  </r>
  <r>
    <x v="12"/>
    <x v="10"/>
    <s v="November"/>
    <s v="Division_A"/>
    <x v="19"/>
    <n v="2012"/>
    <n v="12"/>
    <s v="TM-Utama"/>
    <n v="22"/>
    <n v="2606"/>
    <s v="118.5"/>
    <x v="2"/>
    <n v="0.83199999999999996"/>
    <n v="18294.099999999999"/>
    <n v="18.294"/>
    <d v="2024-11-01T00:00:00"/>
    <x v="0"/>
    <x v="0"/>
  </r>
  <r>
    <x v="12"/>
    <x v="11"/>
    <s v="Desember"/>
    <s v="Division_A"/>
    <x v="19"/>
    <n v="2012"/>
    <n v="12"/>
    <s v="TM-Utama"/>
    <n v="22"/>
    <n v="2606"/>
    <s v="118.5"/>
    <x v="2"/>
    <n v="1.0640000000000001"/>
    <n v="23414.9"/>
    <n v="23.414999999999999"/>
    <d v="2024-12-01T00:00:00"/>
    <x v="0"/>
    <x v="0"/>
  </r>
  <r>
    <x v="12"/>
    <x v="0"/>
    <s v="Januari"/>
    <s v="Division_A"/>
    <x v="20"/>
    <n v="2012"/>
    <n v="12"/>
    <s v="TM-Utama"/>
    <n v="22"/>
    <n v="2683"/>
    <s v="122"/>
    <x v="1"/>
    <n v="1.2230000000000001"/>
    <n v="26903.8"/>
    <n v="26.904"/>
    <d v="2024-01-01T00:00:00"/>
    <x v="0"/>
    <x v="0"/>
  </r>
  <r>
    <x v="12"/>
    <x v="1"/>
    <s v="Februari"/>
    <s v="Division_A"/>
    <x v="20"/>
    <n v="2012"/>
    <n v="12"/>
    <s v="TM-Utama"/>
    <n v="22"/>
    <n v="2683"/>
    <s v="122"/>
    <x v="1"/>
    <n v="1.296"/>
    <n v="28513.599999999999"/>
    <n v="28.513999999999999"/>
    <d v="2024-02-01T00:00:00"/>
    <x v="0"/>
    <x v="0"/>
  </r>
  <r>
    <x v="12"/>
    <x v="2"/>
    <s v="Maret"/>
    <s v="Division_A"/>
    <x v="20"/>
    <n v="2012"/>
    <n v="12"/>
    <s v="TM-Utama"/>
    <n v="22"/>
    <n v="2683"/>
    <s v="122"/>
    <x v="1"/>
    <n v="1.754"/>
    <n v="38595"/>
    <n v="38.594999999999999"/>
    <d v="2024-03-01T00:00:00"/>
    <x v="0"/>
    <x v="0"/>
  </r>
  <r>
    <x v="12"/>
    <x v="3"/>
    <s v="April"/>
    <s v="Division_A"/>
    <x v="20"/>
    <n v="2012"/>
    <n v="12"/>
    <s v="TM-Utama"/>
    <n v="22"/>
    <n v="2683"/>
    <s v="122"/>
    <x v="1"/>
    <n v="1.6020000000000001"/>
    <n v="35254.6"/>
    <n v="35.255000000000003"/>
    <d v="2024-04-01T00:00:00"/>
    <x v="0"/>
    <x v="0"/>
  </r>
  <r>
    <x v="12"/>
    <x v="4"/>
    <s v="Mei"/>
    <s v="Division_A"/>
    <x v="20"/>
    <n v="2012"/>
    <n v="12"/>
    <s v="TM-Utama"/>
    <n v="22"/>
    <n v="2683"/>
    <s v="122"/>
    <x v="1"/>
    <n v="1.8620000000000001"/>
    <n v="40969.4"/>
    <n v="40.969000000000001"/>
    <d v="2024-05-01T00:00:00"/>
    <x v="0"/>
    <x v="0"/>
  </r>
  <r>
    <x v="12"/>
    <x v="5"/>
    <s v="Juni"/>
    <s v="Division_A"/>
    <x v="20"/>
    <n v="2012"/>
    <n v="12"/>
    <s v="TM-Utama"/>
    <n v="22"/>
    <n v="2683"/>
    <s v="122"/>
    <x v="1"/>
    <n v="2.0390000000000001"/>
    <n v="44853.1"/>
    <n v="44.853000000000002"/>
    <d v="2024-06-01T00:00:00"/>
    <x v="0"/>
    <x v="0"/>
  </r>
  <r>
    <x v="12"/>
    <x v="6"/>
    <s v="Juli"/>
    <s v="Division_A"/>
    <x v="20"/>
    <n v="2012"/>
    <n v="12"/>
    <s v="TM-Utama"/>
    <n v="22"/>
    <n v="2683"/>
    <s v="122"/>
    <x v="1"/>
    <n v="1.8680000000000001"/>
    <n v="41090.1"/>
    <n v="41.09"/>
    <d v="2024-07-01T00:00:00"/>
    <x v="0"/>
    <x v="0"/>
  </r>
  <r>
    <x v="12"/>
    <x v="7"/>
    <s v="Agustus"/>
    <s v="Division_A"/>
    <x v="20"/>
    <n v="2012"/>
    <n v="12"/>
    <s v="TM-Utama"/>
    <n v="22"/>
    <n v="2683"/>
    <s v="122"/>
    <x v="1"/>
    <n v="1.6879999999999999"/>
    <n v="37146.1"/>
    <n v="37.146000000000001"/>
    <d v="2024-08-01T00:00:00"/>
    <x v="0"/>
    <x v="0"/>
  </r>
  <r>
    <x v="12"/>
    <x v="8"/>
    <s v="September"/>
    <s v="Division_A"/>
    <x v="20"/>
    <n v="2012"/>
    <n v="12"/>
    <s v="TM-Utama"/>
    <n v="22"/>
    <n v="2683"/>
    <s v="122"/>
    <x v="1"/>
    <n v="1.827"/>
    <n v="40184.6"/>
    <n v="40.185000000000002"/>
    <d v="2024-09-01T00:00:00"/>
    <x v="0"/>
    <x v="0"/>
  </r>
  <r>
    <x v="12"/>
    <x v="9"/>
    <s v="Oktober"/>
    <s v="Division_A"/>
    <x v="20"/>
    <n v="2012"/>
    <n v="12"/>
    <s v="TM-Utama"/>
    <n v="22"/>
    <n v="2683"/>
    <s v="122"/>
    <x v="1"/>
    <n v="1.206"/>
    <n v="26541.599999999999"/>
    <n v="26.542000000000002"/>
    <d v="2024-10-01T00:00:00"/>
    <x v="0"/>
    <x v="0"/>
  </r>
  <r>
    <x v="12"/>
    <x v="10"/>
    <s v="November"/>
    <s v="Division_A"/>
    <x v="20"/>
    <n v="2012"/>
    <n v="12"/>
    <s v="TM-Utama"/>
    <n v="22"/>
    <n v="2683"/>
    <s v="122"/>
    <x v="1"/>
    <n v="0.85599999999999998"/>
    <n v="18834.7"/>
    <n v="18.835000000000001"/>
    <d v="2024-11-01T00:00:00"/>
    <x v="0"/>
    <x v="0"/>
  </r>
  <r>
    <x v="12"/>
    <x v="11"/>
    <s v="Desember"/>
    <s v="Division_A"/>
    <x v="20"/>
    <n v="2012"/>
    <n v="12"/>
    <s v="TM-Utama"/>
    <n v="22"/>
    <n v="2683"/>
    <s v="122"/>
    <x v="1"/>
    <n v="1.0960000000000001"/>
    <n v="24106.799999999999"/>
    <n v="24.106999999999999"/>
    <d v="2024-12-01T00:00:00"/>
    <x v="0"/>
    <x v="0"/>
  </r>
  <r>
    <x v="12"/>
    <x v="0"/>
    <s v="Januari"/>
    <s v="Division_A"/>
    <x v="21"/>
    <n v="2012"/>
    <n v="12"/>
    <s v="TM-Utama"/>
    <n v="28"/>
    <n v="3483"/>
    <s v="124.4"/>
    <x v="1"/>
    <n v="1.2470000000000001"/>
    <n v="34925.800000000003"/>
    <n v="34.926000000000002"/>
    <d v="2024-01-01T00:00:00"/>
    <x v="0"/>
    <x v="0"/>
  </r>
  <r>
    <x v="12"/>
    <x v="1"/>
    <s v="Februari"/>
    <s v="Division_A"/>
    <x v="21"/>
    <n v="2012"/>
    <n v="12"/>
    <s v="TM-Utama"/>
    <n v="28"/>
    <n v="3483"/>
    <s v="124.4"/>
    <x v="1"/>
    <n v="1.3220000000000001"/>
    <n v="37015.599999999999"/>
    <n v="37.015999999999998"/>
    <d v="2024-02-01T00:00:00"/>
    <x v="0"/>
    <x v="0"/>
  </r>
  <r>
    <x v="12"/>
    <x v="2"/>
    <s v="Maret"/>
    <s v="Division_A"/>
    <x v="21"/>
    <n v="2012"/>
    <n v="12"/>
    <s v="TM-Utama"/>
    <n v="28"/>
    <n v="3483"/>
    <s v="124.4"/>
    <x v="1"/>
    <n v="1.7889999999999999"/>
    <n v="50103"/>
    <n v="50.103000000000002"/>
    <d v="2024-03-01T00:00:00"/>
    <x v="0"/>
    <x v="0"/>
  </r>
  <r>
    <x v="12"/>
    <x v="3"/>
    <s v="April"/>
    <s v="Division_A"/>
    <x v="21"/>
    <n v="2012"/>
    <n v="12"/>
    <s v="TM-Utama"/>
    <n v="28"/>
    <n v="3483"/>
    <s v="124.4"/>
    <x v="1"/>
    <n v="1.635"/>
    <n v="45766.6"/>
    <n v="45.767000000000003"/>
    <d v="2024-04-01T00:00:00"/>
    <x v="0"/>
    <x v="0"/>
  </r>
  <r>
    <x v="12"/>
    <x v="4"/>
    <s v="Mei"/>
    <s v="Division_A"/>
    <x v="21"/>
    <n v="2012"/>
    <n v="12"/>
    <s v="TM-Utama"/>
    <n v="28"/>
    <n v="3483"/>
    <s v="124.4"/>
    <x v="1"/>
    <n v="1.899"/>
    <n v="53185.4"/>
    <n v="53.185000000000002"/>
    <d v="2024-05-01T00:00:00"/>
    <x v="0"/>
    <x v="0"/>
  </r>
  <r>
    <x v="12"/>
    <x v="5"/>
    <s v="Juni"/>
    <s v="Division_A"/>
    <x v="21"/>
    <n v="2012"/>
    <n v="12"/>
    <s v="TM-Utama"/>
    <n v="28"/>
    <n v="3483"/>
    <s v="124.4"/>
    <x v="1"/>
    <n v="2.08"/>
    <n v="58227.1"/>
    <n v="58.226999999999997"/>
    <d v="2024-06-01T00:00:00"/>
    <x v="0"/>
    <x v="0"/>
  </r>
  <r>
    <x v="12"/>
    <x v="6"/>
    <s v="Juli"/>
    <s v="Division_A"/>
    <x v="21"/>
    <n v="2012"/>
    <n v="12"/>
    <s v="TM-Utama"/>
    <n v="28"/>
    <n v="3483"/>
    <s v="124.4"/>
    <x v="1"/>
    <n v="1.905"/>
    <n v="53342.1"/>
    <n v="53.341999999999999"/>
    <d v="2024-07-01T00:00:00"/>
    <x v="0"/>
    <x v="0"/>
  </r>
  <r>
    <x v="12"/>
    <x v="7"/>
    <s v="Agustus"/>
    <s v="Division_A"/>
    <x v="21"/>
    <n v="2012"/>
    <n v="12"/>
    <s v="TM-Utama"/>
    <n v="28"/>
    <n v="3483"/>
    <s v="124.4"/>
    <x v="1"/>
    <n v="1.722"/>
    <n v="48222.1"/>
    <n v="48.222000000000001"/>
    <d v="2024-08-01T00:00:00"/>
    <x v="0"/>
    <x v="0"/>
  </r>
  <r>
    <x v="12"/>
    <x v="8"/>
    <s v="September"/>
    <s v="Division_A"/>
    <x v="21"/>
    <n v="2012"/>
    <n v="12"/>
    <s v="TM-Utama"/>
    <n v="28"/>
    <n v="3483"/>
    <s v="124.4"/>
    <x v="1"/>
    <n v="1.863"/>
    <n v="52166.6"/>
    <n v="52.167000000000002"/>
    <d v="2024-09-01T00:00:00"/>
    <x v="0"/>
    <x v="0"/>
  </r>
  <r>
    <x v="12"/>
    <x v="9"/>
    <s v="Oktober"/>
    <s v="Division_A"/>
    <x v="21"/>
    <n v="2012"/>
    <n v="12"/>
    <s v="TM-Utama"/>
    <n v="28"/>
    <n v="3483"/>
    <s v="124.4"/>
    <x v="1"/>
    <n v="1.2310000000000001"/>
    <n v="34455.599999999999"/>
    <n v="34.456000000000003"/>
    <d v="2024-10-01T00:00:00"/>
    <x v="0"/>
    <x v="0"/>
  </r>
  <r>
    <x v="12"/>
    <x v="10"/>
    <s v="November"/>
    <s v="Division_A"/>
    <x v="21"/>
    <n v="2012"/>
    <n v="12"/>
    <s v="TM-Utama"/>
    <n v="28"/>
    <n v="3483"/>
    <s v="124.4"/>
    <x v="1"/>
    <n v="0.873"/>
    <n v="24450.7"/>
    <n v="24.451000000000001"/>
    <d v="2024-11-01T00:00:00"/>
    <x v="0"/>
    <x v="0"/>
  </r>
  <r>
    <x v="12"/>
    <x v="11"/>
    <s v="Desember"/>
    <s v="Division_A"/>
    <x v="21"/>
    <n v="2012"/>
    <n v="12"/>
    <s v="TM-Utama"/>
    <n v="28"/>
    <n v="3483"/>
    <s v="124.4"/>
    <x v="1"/>
    <n v="1.1180000000000001"/>
    <n v="31294.799999999999"/>
    <n v="31.295000000000002"/>
    <d v="2024-12-01T00:00:00"/>
    <x v="0"/>
    <x v="0"/>
  </r>
  <r>
    <x v="12"/>
    <x v="0"/>
    <s v="Januari"/>
    <s v="Division_A"/>
    <x v="22"/>
    <n v="2013"/>
    <n v="11"/>
    <s v="TM-Utama"/>
    <n v="24"/>
    <n v="2678"/>
    <s v="111.6"/>
    <x v="1"/>
    <n v="1.119"/>
    <n v="26853.599999999999"/>
    <n v="26.853999999999999"/>
    <d v="2024-01-01T00:00:00"/>
    <x v="0"/>
    <x v="0"/>
  </r>
  <r>
    <x v="12"/>
    <x v="1"/>
    <s v="Februari"/>
    <s v="Division_A"/>
    <x v="22"/>
    <n v="2013"/>
    <n v="11"/>
    <s v="TM-Utama"/>
    <n v="24"/>
    <n v="2678"/>
    <s v="111.6"/>
    <x v="1"/>
    <n v="1.1859999999999999"/>
    <n v="28460.400000000001"/>
    <n v="28.46"/>
    <d v="2024-02-01T00:00:00"/>
    <x v="0"/>
    <x v="0"/>
  </r>
  <r>
    <x v="12"/>
    <x v="2"/>
    <s v="Maret"/>
    <s v="Division_A"/>
    <x v="22"/>
    <n v="2013"/>
    <n v="11"/>
    <s v="TM-Utama"/>
    <n v="24"/>
    <n v="2678"/>
    <s v="111.6"/>
    <x v="1"/>
    <n v="1.605"/>
    <n v="38523"/>
    <n v="38.523000000000003"/>
    <d v="2024-03-01T00:00:00"/>
    <x v="0"/>
    <x v="0"/>
  </r>
  <r>
    <x v="12"/>
    <x v="3"/>
    <s v="April"/>
    <s v="Division_A"/>
    <x v="22"/>
    <n v="2013"/>
    <n v="11"/>
    <s v="TM-Utama"/>
    <n v="24"/>
    <n v="2678"/>
    <s v="111.6"/>
    <x v="1"/>
    <n v="1.466"/>
    <n v="35188.9"/>
    <n v="35.189"/>
    <d v="2024-04-01T00:00:00"/>
    <x v="0"/>
    <x v="0"/>
  </r>
  <r>
    <x v="12"/>
    <x v="4"/>
    <s v="Mei"/>
    <s v="Division_A"/>
    <x v="22"/>
    <n v="2013"/>
    <n v="11"/>
    <s v="TM-Utama"/>
    <n v="24"/>
    <n v="2678"/>
    <s v="111.6"/>
    <x v="1"/>
    <n v="1.704"/>
    <n v="40893.1"/>
    <n v="40.893000000000001"/>
    <d v="2024-05-01T00:00:00"/>
    <x v="0"/>
    <x v="0"/>
  </r>
  <r>
    <x v="12"/>
    <x v="5"/>
    <s v="Juni"/>
    <s v="Division_A"/>
    <x v="22"/>
    <n v="2013"/>
    <n v="11"/>
    <s v="TM-Utama"/>
    <n v="24"/>
    <n v="2678"/>
    <s v="111.6"/>
    <x v="1"/>
    <n v="1.865"/>
    <n v="44769.5"/>
    <n v="44.768999999999998"/>
    <d v="2024-06-01T00:00:00"/>
    <x v="0"/>
    <x v="0"/>
  </r>
  <r>
    <x v="12"/>
    <x v="6"/>
    <s v="Juli"/>
    <s v="Division_A"/>
    <x v="22"/>
    <n v="2013"/>
    <n v="11"/>
    <s v="TM-Utama"/>
    <n v="24"/>
    <n v="2678"/>
    <s v="111.6"/>
    <x v="1"/>
    <n v="1.7090000000000001"/>
    <n v="41013.599999999999"/>
    <n v="41.014000000000003"/>
    <d v="2024-07-01T00:00:00"/>
    <x v="0"/>
    <x v="0"/>
  </r>
  <r>
    <x v="12"/>
    <x v="7"/>
    <s v="Agustus"/>
    <s v="Division_A"/>
    <x v="22"/>
    <n v="2013"/>
    <n v="11"/>
    <s v="TM-Utama"/>
    <n v="24"/>
    <n v="2678"/>
    <s v="111.6"/>
    <x v="1"/>
    <n v="1.5449999999999999"/>
    <n v="37076.9"/>
    <n v="37.076999999999998"/>
    <d v="2024-08-01T00:00:00"/>
    <x v="0"/>
    <x v="0"/>
  </r>
  <r>
    <x v="12"/>
    <x v="8"/>
    <s v="September"/>
    <s v="Division_A"/>
    <x v="22"/>
    <n v="2013"/>
    <n v="11"/>
    <s v="TM-Utama"/>
    <n v="24"/>
    <n v="2678"/>
    <s v="111.6"/>
    <x v="1"/>
    <n v="1.671"/>
    <n v="40109.699999999997"/>
    <n v="40.11"/>
    <d v="2024-09-01T00:00:00"/>
    <x v="0"/>
    <x v="0"/>
  </r>
  <r>
    <x v="12"/>
    <x v="9"/>
    <s v="Oktober"/>
    <s v="Division_A"/>
    <x v="22"/>
    <n v="2013"/>
    <n v="11"/>
    <s v="TM-Utama"/>
    <n v="24"/>
    <n v="2678"/>
    <s v="111.6"/>
    <x v="1"/>
    <n v="1.1040000000000001"/>
    <n v="26492.1"/>
    <n v="26.492000000000001"/>
    <d v="2024-10-01T00:00:00"/>
    <x v="0"/>
    <x v="0"/>
  </r>
  <r>
    <x v="12"/>
    <x v="10"/>
    <s v="November"/>
    <s v="Division_A"/>
    <x v="22"/>
    <n v="2013"/>
    <n v="11"/>
    <s v="TM-Utama"/>
    <n v="24"/>
    <n v="2678"/>
    <s v="111.6"/>
    <x v="1"/>
    <n v="0.78300000000000003"/>
    <n v="18799.599999999999"/>
    <n v="18.8"/>
    <d v="2024-11-01T00:00:00"/>
    <x v="0"/>
    <x v="0"/>
  </r>
  <r>
    <x v="12"/>
    <x v="11"/>
    <s v="Desember"/>
    <s v="Division_A"/>
    <x v="22"/>
    <n v="2013"/>
    <n v="11"/>
    <s v="TM-Utama"/>
    <n v="24"/>
    <n v="2678"/>
    <s v="111.6"/>
    <x v="1"/>
    <n v="1.0029999999999999"/>
    <n v="24061.8"/>
    <n v="24.062000000000001"/>
    <d v="2024-12-01T00:00:00"/>
    <x v="0"/>
    <x v="0"/>
  </r>
  <r>
    <x v="12"/>
    <x v="0"/>
    <s v="Januari"/>
    <s v="Division_A"/>
    <x v="23"/>
    <n v="2013"/>
    <n v="11"/>
    <s v="TM-Utama"/>
    <n v="23"/>
    <n v="2683"/>
    <s v="116.7"/>
    <x v="1"/>
    <n v="1.17"/>
    <n v="26903.8"/>
    <n v="26.904"/>
    <d v="2024-01-01T00:00:00"/>
    <x v="0"/>
    <x v="0"/>
  </r>
  <r>
    <x v="12"/>
    <x v="1"/>
    <s v="Februari"/>
    <s v="Division_A"/>
    <x v="23"/>
    <n v="2013"/>
    <n v="11"/>
    <s v="TM-Utama"/>
    <n v="23"/>
    <n v="2683"/>
    <s v="116.7"/>
    <x v="1"/>
    <n v="1.24"/>
    <n v="28513.599999999999"/>
    <n v="28.513999999999999"/>
    <d v="2024-02-01T00:00:00"/>
    <x v="0"/>
    <x v="0"/>
  </r>
  <r>
    <x v="12"/>
    <x v="2"/>
    <s v="Maret"/>
    <s v="Division_A"/>
    <x v="23"/>
    <n v="2013"/>
    <n v="11"/>
    <s v="TM-Utama"/>
    <n v="23"/>
    <n v="2683"/>
    <s v="116.7"/>
    <x v="1"/>
    <n v="1.6779999999999999"/>
    <n v="38595"/>
    <n v="38.594999999999999"/>
    <d v="2024-03-01T00:00:00"/>
    <x v="0"/>
    <x v="0"/>
  </r>
  <r>
    <x v="12"/>
    <x v="3"/>
    <s v="April"/>
    <s v="Division_A"/>
    <x v="23"/>
    <n v="2013"/>
    <n v="11"/>
    <s v="TM-Utama"/>
    <n v="23"/>
    <n v="2683"/>
    <s v="116.7"/>
    <x v="1"/>
    <n v="1.5329999999999999"/>
    <n v="35254.6"/>
    <n v="35.255000000000003"/>
    <d v="2024-04-01T00:00:00"/>
    <x v="0"/>
    <x v="0"/>
  </r>
  <r>
    <x v="12"/>
    <x v="4"/>
    <s v="Mei"/>
    <s v="Division_A"/>
    <x v="23"/>
    <n v="2013"/>
    <n v="11"/>
    <s v="TM-Utama"/>
    <n v="23"/>
    <n v="2683"/>
    <s v="116.7"/>
    <x v="1"/>
    <n v="1.7809999999999999"/>
    <n v="40969.4"/>
    <n v="40.969000000000001"/>
    <d v="2024-05-01T00:00:00"/>
    <x v="0"/>
    <x v="0"/>
  </r>
  <r>
    <x v="12"/>
    <x v="5"/>
    <s v="Juni"/>
    <s v="Division_A"/>
    <x v="23"/>
    <n v="2013"/>
    <n v="11"/>
    <s v="TM-Utama"/>
    <n v="23"/>
    <n v="2683"/>
    <s v="116.7"/>
    <x v="1"/>
    <n v="1.95"/>
    <n v="44853.1"/>
    <n v="44.853000000000002"/>
    <d v="2024-06-01T00:00:00"/>
    <x v="0"/>
    <x v="0"/>
  </r>
  <r>
    <x v="12"/>
    <x v="6"/>
    <s v="Juli"/>
    <s v="Division_A"/>
    <x v="23"/>
    <n v="2013"/>
    <n v="11"/>
    <s v="TM-Utama"/>
    <n v="23"/>
    <n v="2683"/>
    <s v="116.7"/>
    <x v="1"/>
    <n v="1.7869999999999999"/>
    <n v="41090.1"/>
    <n v="41.09"/>
    <d v="2024-07-01T00:00:00"/>
    <x v="0"/>
    <x v="0"/>
  </r>
  <r>
    <x v="12"/>
    <x v="7"/>
    <s v="Agustus"/>
    <s v="Division_A"/>
    <x v="23"/>
    <n v="2013"/>
    <n v="11"/>
    <s v="TM-Utama"/>
    <n v="23"/>
    <n v="2683"/>
    <s v="116.7"/>
    <x v="1"/>
    <n v="1.615"/>
    <n v="37146.1"/>
    <n v="37.146000000000001"/>
    <d v="2024-08-01T00:00:00"/>
    <x v="0"/>
    <x v="0"/>
  </r>
  <r>
    <x v="12"/>
    <x v="8"/>
    <s v="September"/>
    <s v="Division_A"/>
    <x v="23"/>
    <n v="2013"/>
    <n v="11"/>
    <s v="TM-Utama"/>
    <n v="23"/>
    <n v="2683"/>
    <s v="116.7"/>
    <x v="1"/>
    <n v="1.7470000000000001"/>
    <n v="40184.6"/>
    <n v="40.185000000000002"/>
    <d v="2024-09-01T00:00:00"/>
    <x v="0"/>
    <x v="0"/>
  </r>
  <r>
    <x v="12"/>
    <x v="9"/>
    <s v="Oktober"/>
    <s v="Division_A"/>
    <x v="23"/>
    <n v="2013"/>
    <n v="11"/>
    <s v="TM-Utama"/>
    <n v="23"/>
    <n v="2683"/>
    <s v="116.7"/>
    <x v="1"/>
    <n v="1.1539999999999999"/>
    <n v="26541.599999999999"/>
    <n v="26.542000000000002"/>
    <d v="2024-10-01T00:00:00"/>
    <x v="0"/>
    <x v="0"/>
  </r>
  <r>
    <x v="12"/>
    <x v="10"/>
    <s v="November"/>
    <s v="Division_A"/>
    <x v="23"/>
    <n v="2013"/>
    <n v="11"/>
    <s v="TM-Utama"/>
    <n v="23"/>
    <n v="2683"/>
    <s v="116.7"/>
    <x v="1"/>
    <n v="0.81899999999999995"/>
    <n v="18834.7"/>
    <n v="18.835000000000001"/>
    <d v="2024-11-01T00:00:00"/>
    <x v="0"/>
    <x v="0"/>
  </r>
  <r>
    <x v="12"/>
    <x v="11"/>
    <s v="Desember"/>
    <s v="Division_A"/>
    <x v="23"/>
    <n v="2013"/>
    <n v="11"/>
    <s v="TM-Utama"/>
    <n v="23"/>
    <n v="2683"/>
    <s v="116.7"/>
    <x v="1"/>
    <n v="1.048"/>
    <n v="24106.799999999999"/>
    <n v="24.106999999999999"/>
    <d v="2024-12-01T00:00:00"/>
    <x v="0"/>
    <x v="0"/>
  </r>
  <r>
    <x v="12"/>
    <x v="0"/>
    <s v="Januari"/>
    <s v="Division_A"/>
    <x v="24"/>
    <n v="2013"/>
    <n v="11"/>
    <s v="TM-Utama"/>
    <n v="24"/>
    <n v="3445"/>
    <s v="143.5"/>
    <x v="1"/>
    <n v="1.4390000000000001"/>
    <n v="34544.699999999997"/>
    <n v="34.545000000000002"/>
    <d v="2024-01-01T00:00:00"/>
    <x v="0"/>
    <x v="0"/>
  </r>
  <r>
    <x v="12"/>
    <x v="1"/>
    <s v="Februari"/>
    <s v="Division_A"/>
    <x v="24"/>
    <n v="2013"/>
    <n v="11"/>
    <s v="TM-Utama"/>
    <n v="24"/>
    <n v="3445"/>
    <s v="143.5"/>
    <x v="1"/>
    <n v="1.5249999999999999"/>
    <n v="36611.699999999997"/>
    <n v="36.612000000000002"/>
    <d v="2024-02-01T00:00:00"/>
    <x v="0"/>
    <x v="0"/>
  </r>
  <r>
    <x v="12"/>
    <x v="2"/>
    <s v="Maret"/>
    <s v="Division_A"/>
    <x v="24"/>
    <n v="2013"/>
    <n v="11"/>
    <s v="TM-Utama"/>
    <n v="24"/>
    <n v="3445"/>
    <s v="143.5"/>
    <x v="1"/>
    <n v="2.0649999999999999"/>
    <n v="49556.3"/>
    <n v="49.555999999999997"/>
    <d v="2024-03-01T00:00:00"/>
    <x v="0"/>
    <x v="0"/>
  </r>
  <r>
    <x v="12"/>
    <x v="3"/>
    <s v="April"/>
    <s v="Division_A"/>
    <x v="24"/>
    <n v="2013"/>
    <n v="11"/>
    <s v="TM-Utama"/>
    <n v="24"/>
    <n v="3445"/>
    <s v="143.5"/>
    <x v="1"/>
    <n v="1.8859999999999999"/>
    <n v="45267.3"/>
    <n v="45.267000000000003"/>
    <d v="2024-04-01T00:00:00"/>
    <x v="0"/>
    <x v="0"/>
  </r>
  <r>
    <x v="12"/>
    <x v="4"/>
    <s v="Mei"/>
    <s v="Division_A"/>
    <x v="24"/>
    <n v="2013"/>
    <n v="11"/>
    <s v="TM-Utama"/>
    <n v="24"/>
    <n v="3445"/>
    <s v="143.5"/>
    <x v="1"/>
    <n v="2.1920000000000002"/>
    <n v="52605.2"/>
    <n v="52.604999999999997"/>
    <d v="2024-05-01T00:00:00"/>
    <x v="0"/>
    <x v="0"/>
  </r>
  <r>
    <x v="12"/>
    <x v="5"/>
    <s v="Juni"/>
    <s v="Division_A"/>
    <x v="24"/>
    <n v="2013"/>
    <n v="11"/>
    <s v="TM-Utama"/>
    <n v="24"/>
    <n v="3445"/>
    <s v="143.5"/>
    <x v="1"/>
    <n v="2.4"/>
    <n v="57591.8"/>
    <n v="57.591999999999999"/>
    <d v="2024-06-01T00:00:00"/>
    <x v="0"/>
    <x v="0"/>
  </r>
  <r>
    <x v="12"/>
    <x v="6"/>
    <s v="Juli"/>
    <s v="Division_A"/>
    <x v="24"/>
    <n v="2013"/>
    <n v="11"/>
    <s v="TM-Utama"/>
    <n v="24"/>
    <n v="3445"/>
    <s v="143.5"/>
    <x v="1"/>
    <n v="2.198"/>
    <n v="52760.2"/>
    <n v="52.76"/>
    <d v="2024-07-01T00:00:00"/>
    <x v="0"/>
    <x v="0"/>
  </r>
  <r>
    <x v="12"/>
    <x v="7"/>
    <s v="Agustus"/>
    <s v="Division_A"/>
    <x v="24"/>
    <n v="2013"/>
    <n v="11"/>
    <s v="TM-Utama"/>
    <n v="24"/>
    <n v="3445"/>
    <s v="143.5"/>
    <x v="1"/>
    <n v="1.9870000000000001"/>
    <n v="47696"/>
    <n v="47.695999999999998"/>
    <d v="2024-08-01T00:00:00"/>
    <x v="0"/>
    <x v="0"/>
  </r>
  <r>
    <x v="12"/>
    <x v="8"/>
    <s v="September"/>
    <s v="Division_A"/>
    <x v="24"/>
    <n v="2013"/>
    <n v="11"/>
    <s v="TM-Utama"/>
    <n v="24"/>
    <n v="3445"/>
    <s v="143.5"/>
    <x v="1"/>
    <n v="2.15"/>
    <n v="51597.5"/>
    <n v="51.597000000000001"/>
    <d v="2024-09-01T00:00:00"/>
    <x v="0"/>
    <x v="0"/>
  </r>
  <r>
    <x v="12"/>
    <x v="9"/>
    <s v="Oktober"/>
    <s v="Division_A"/>
    <x v="24"/>
    <n v="2013"/>
    <n v="11"/>
    <s v="TM-Utama"/>
    <n v="24"/>
    <n v="3445"/>
    <s v="143.5"/>
    <x v="1"/>
    <n v="1.42"/>
    <n v="34079.699999999997"/>
    <n v="34.08"/>
    <d v="2024-10-01T00:00:00"/>
    <x v="0"/>
    <x v="0"/>
  </r>
  <r>
    <x v="12"/>
    <x v="10"/>
    <s v="November"/>
    <s v="Division_A"/>
    <x v="24"/>
    <n v="2013"/>
    <n v="11"/>
    <s v="TM-Utama"/>
    <n v="24"/>
    <n v="3445"/>
    <s v="143.5"/>
    <x v="1"/>
    <n v="1.008"/>
    <n v="24183.9"/>
    <n v="24.184000000000001"/>
    <d v="2024-11-01T00:00:00"/>
    <x v="0"/>
    <x v="0"/>
  </r>
  <r>
    <x v="12"/>
    <x v="11"/>
    <s v="Desember"/>
    <s v="Division_A"/>
    <x v="24"/>
    <n v="2013"/>
    <n v="11"/>
    <s v="TM-Utama"/>
    <n v="24"/>
    <n v="3445"/>
    <s v="143.5"/>
    <x v="1"/>
    <n v="1.29"/>
    <n v="30953.3"/>
    <n v="30.952999999999999"/>
    <d v="2024-12-01T00:00:00"/>
    <x v="0"/>
    <x v="0"/>
  </r>
  <r>
    <x v="12"/>
    <x v="0"/>
    <s v="Januari"/>
    <s v="Division_A"/>
    <x v="25"/>
    <n v="2013"/>
    <n v="11"/>
    <s v="TM-Utama"/>
    <n v="24"/>
    <n v="3271"/>
    <s v="136.3"/>
    <x v="1"/>
    <n v="1.367"/>
    <n v="32800"/>
    <n v="32.799999999999997"/>
    <d v="2024-01-01T00:00:00"/>
    <x v="0"/>
    <x v="0"/>
  </r>
  <r>
    <x v="12"/>
    <x v="1"/>
    <s v="Februari"/>
    <s v="Division_A"/>
    <x v="25"/>
    <n v="2013"/>
    <n v="11"/>
    <s v="TM-Utama"/>
    <n v="24"/>
    <n v="3271"/>
    <s v="136.3"/>
    <x v="1"/>
    <n v="1.448"/>
    <n v="34762.6"/>
    <n v="34.762999999999998"/>
    <d v="2024-02-01T00:00:00"/>
    <x v="0"/>
    <x v="0"/>
  </r>
  <r>
    <x v="12"/>
    <x v="2"/>
    <s v="Maret"/>
    <s v="Division_A"/>
    <x v="25"/>
    <n v="2013"/>
    <n v="11"/>
    <s v="TM-Utama"/>
    <n v="24"/>
    <n v="3271"/>
    <s v="136.3"/>
    <x v="1"/>
    <n v="1.9610000000000001"/>
    <n v="47053.3"/>
    <n v="47.052999999999997"/>
    <d v="2024-03-01T00:00:00"/>
    <x v="0"/>
    <x v="0"/>
  </r>
  <r>
    <x v="12"/>
    <x v="3"/>
    <s v="April"/>
    <s v="Division_A"/>
    <x v="25"/>
    <n v="2013"/>
    <n v="11"/>
    <s v="TM-Utama"/>
    <n v="24"/>
    <n v="3271"/>
    <s v="136.3"/>
    <x v="1"/>
    <n v="1.7909999999999999"/>
    <n v="42980.9"/>
    <n v="42.981000000000002"/>
    <d v="2024-04-01T00:00:00"/>
    <x v="0"/>
    <x v="0"/>
  </r>
  <r>
    <x v="12"/>
    <x v="4"/>
    <s v="Mei"/>
    <s v="Division_A"/>
    <x v="25"/>
    <n v="2013"/>
    <n v="11"/>
    <s v="TM-Utama"/>
    <n v="24"/>
    <n v="3271"/>
    <s v="136.3"/>
    <x v="1"/>
    <n v="2.081"/>
    <n v="49948.2"/>
    <n v="49.948"/>
    <d v="2024-05-01T00:00:00"/>
    <x v="0"/>
    <x v="0"/>
  </r>
  <r>
    <x v="12"/>
    <x v="5"/>
    <s v="Juni"/>
    <s v="Division_A"/>
    <x v="25"/>
    <n v="2013"/>
    <n v="11"/>
    <s v="TM-Utama"/>
    <n v="24"/>
    <n v="3271"/>
    <s v="136.3"/>
    <x v="1"/>
    <n v="2.278"/>
    <n v="54682.9"/>
    <n v="54.683"/>
    <d v="2024-06-01T00:00:00"/>
    <x v="0"/>
    <x v="0"/>
  </r>
  <r>
    <x v="12"/>
    <x v="6"/>
    <s v="Juli"/>
    <s v="Division_A"/>
    <x v="25"/>
    <n v="2013"/>
    <n v="11"/>
    <s v="TM-Utama"/>
    <n v="24"/>
    <n v="3271"/>
    <s v="136.3"/>
    <x v="1"/>
    <n v="2.0870000000000002"/>
    <n v="50095.4"/>
    <n v="50.094999999999999"/>
    <d v="2024-07-01T00:00:00"/>
    <x v="0"/>
    <x v="0"/>
  </r>
  <r>
    <x v="12"/>
    <x v="7"/>
    <s v="Agustus"/>
    <s v="Division_A"/>
    <x v="25"/>
    <n v="2013"/>
    <n v="11"/>
    <s v="TM-Utama"/>
    <n v="24"/>
    <n v="3271"/>
    <s v="136.3"/>
    <x v="1"/>
    <n v="1.887"/>
    <n v="45287"/>
    <n v="45.286999999999999"/>
    <d v="2024-08-01T00:00:00"/>
    <x v="0"/>
    <x v="0"/>
  </r>
  <r>
    <x v="12"/>
    <x v="8"/>
    <s v="September"/>
    <s v="Division_A"/>
    <x v="25"/>
    <n v="2013"/>
    <n v="11"/>
    <s v="TM-Utama"/>
    <n v="24"/>
    <n v="3271"/>
    <s v="136.3"/>
    <x v="1"/>
    <n v="2.0409999999999999"/>
    <n v="48991.4"/>
    <n v="48.991"/>
    <d v="2024-09-01T00:00:00"/>
    <x v="0"/>
    <x v="0"/>
  </r>
  <r>
    <x v="12"/>
    <x v="9"/>
    <s v="Oktober"/>
    <s v="Division_A"/>
    <x v="25"/>
    <n v="2013"/>
    <n v="11"/>
    <s v="TM-Utama"/>
    <n v="24"/>
    <n v="3271"/>
    <s v="136.3"/>
    <x v="1"/>
    <n v="1.3480000000000001"/>
    <n v="32358.400000000001"/>
    <n v="32.357999999999997"/>
    <d v="2024-10-01T00:00:00"/>
    <x v="0"/>
    <x v="0"/>
  </r>
  <r>
    <x v="12"/>
    <x v="10"/>
    <s v="November"/>
    <s v="Division_A"/>
    <x v="25"/>
    <n v="2013"/>
    <n v="11"/>
    <s v="TM-Utama"/>
    <n v="24"/>
    <n v="3271"/>
    <s v="136.3"/>
    <x v="1"/>
    <n v="0.95699999999999996"/>
    <n v="22962.400000000001"/>
    <n v="22.962"/>
    <d v="2024-11-01T00:00:00"/>
    <x v="0"/>
    <x v="0"/>
  </r>
  <r>
    <x v="12"/>
    <x v="11"/>
    <s v="Desember"/>
    <s v="Division_A"/>
    <x v="25"/>
    <n v="2013"/>
    <n v="11"/>
    <s v="TM-Utama"/>
    <n v="24"/>
    <n v="3271"/>
    <s v="136.3"/>
    <x v="1"/>
    <n v="1.2250000000000001"/>
    <n v="29389.9"/>
    <n v="29.39"/>
    <d v="2024-12-01T00:00:00"/>
    <x v="0"/>
    <x v="0"/>
  </r>
  <r>
    <x v="12"/>
    <x v="0"/>
    <s v="Januari"/>
    <s v="Division_A"/>
    <x v="26"/>
    <n v="2013"/>
    <n v="11"/>
    <s v="TM-Utama"/>
    <n v="25"/>
    <n v="3291"/>
    <s v="131.6"/>
    <x v="1"/>
    <n v="1.32"/>
    <n v="33000.5"/>
    <n v="33.000999999999998"/>
    <d v="2024-01-01T00:00:00"/>
    <x v="0"/>
    <x v="0"/>
  </r>
  <r>
    <x v="12"/>
    <x v="1"/>
    <s v="Februari"/>
    <s v="Division_A"/>
    <x v="26"/>
    <n v="2013"/>
    <n v="11"/>
    <s v="TM-Utama"/>
    <n v="25"/>
    <n v="3291"/>
    <s v="131.6"/>
    <x v="1"/>
    <n v="1.399"/>
    <n v="34975.1"/>
    <n v="34.975000000000001"/>
    <d v="2024-02-01T00:00:00"/>
    <x v="0"/>
    <x v="0"/>
  </r>
  <r>
    <x v="12"/>
    <x v="2"/>
    <s v="Maret"/>
    <s v="Division_A"/>
    <x v="26"/>
    <n v="2013"/>
    <n v="11"/>
    <s v="TM-Utama"/>
    <n v="25"/>
    <n v="3291"/>
    <s v="131.6"/>
    <x v="1"/>
    <n v="1.8939999999999999"/>
    <n v="47341"/>
    <n v="47.341000000000001"/>
    <d v="2024-03-01T00:00:00"/>
    <x v="0"/>
    <x v="0"/>
  </r>
  <r>
    <x v="12"/>
    <x v="3"/>
    <s v="April"/>
    <s v="Division_A"/>
    <x v="26"/>
    <n v="2013"/>
    <n v="11"/>
    <s v="TM-Utama"/>
    <n v="25"/>
    <n v="3291"/>
    <s v="131.6"/>
    <x v="1"/>
    <n v="1.73"/>
    <n v="43243.7"/>
    <n v="43.244"/>
    <d v="2024-04-01T00:00:00"/>
    <x v="0"/>
    <x v="0"/>
  </r>
  <r>
    <x v="12"/>
    <x v="4"/>
    <s v="Mei"/>
    <s v="Division_A"/>
    <x v="26"/>
    <n v="2013"/>
    <n v="11"/>
    <s v="TM-Utama"/>
    <n v="25"/>
    <n v="3291"/>
    <s v="131.6"/>
    <x v="1"/>
    <n v="2.0099999999999998"/>
    <n v="50253.599999999999"/>
    <n v="50.253999999999998"/>
    <d v="2024-05-01T00:00:00"/>
    <x v="0"/>
    <x v="0"/>
  </r>
  <r>
    <x v="12"/>
    <x v="5"/>
    <s v="Juni"/>
    <s v="Division_A"/>
    <x v="26"/>
    <n v="2013"/>
    <n v="11"/>
    <s v="TM-Utama"/>
    <n v="25"/>
    <n v="3291"/>
    <s v="131.6"/>
    <x v="1"/>
    <n v="2.2010000000000001"/>
    <n v="55017.3"/>
    <n v="55.017000000000003"/>
    <d v="2024-06-01T00:00:00"/>
    <x v="0"/>
    <x v="0"/>
  </r>
  <r>
    <x v="12"/>
    <x v="6"/>
    <s v="Juli"/>
    <s v="Division_A"/>
    <x v="26"/>
    <n v="2013"/>
    <n v="11"/>
    <s v="TM-Utama"/>
    <n v="25"/>
    <n v="3291"/>
    <s v="131.6"/>
    <x v="1"/>
    <n v="2.016"/>
    <n v="50401.7"/>
    <n v="50.402000000000001"/>
    <d v="2024-07-01T00:00:00"/>
    <x v="0"/>
    <x v="0"/>
  </r>
  <r>
    <x v="12"/>
    <x v="7"/>
    <s v="Agustus"/>
    <s v="Division_A"/>
    <x v="26"/>
    <n v="2013"/>
    <n v="11"/>
    <s v="TM-Utama"/>
    <n v="25"/>
    <n v="3291"/>
    <s v="131.6"/>
    <x v="1"/>
    <n v="1.823"/>
    <n v="45563.9"/>
    <n v="45.564"/>
    <d v="2024-08-01T00:00:00"/>
    <x v="0"/>
    <x v="0"/>
  </r>
  <r>
    <x v="12"/>
    <x v="8"/>
    <s v="September"/>
    <s v="Division_A"/>
    <x v="26"/>
    <n v="2013"/>
    <n v="11"/>
    <s v="TM-Utama"/>
    <n v="25"/>
    <n v="3291"/>
    <s v="131.6"/>
    <x v="1"/>
    <n v="1.972"/>
    <n v="49291"/>
    <n v="49.290999999999997"/>
    <d v="2024-09-01T00:00:00"/>
    <x v="0"/>
    <x v="0"/>
  </r>
  <r>
    <x v="12"/>
    <x v="9"/>
    <s v="Oktober"/>
    <s v="Division_A"/>
    <x v="26"/>
    <n v="2013"/>
    <n v="11"/>
    <s v="TM-Utama"/>
    <n v="25"/>
    <n v="3291"/>
    <s v="131.6"/>
    <x v="1"/>
    <n v="1.302"/>
    <n v="32556.2"/>
    <n v="32.555999999999997"/>
    <d v="2024-10-01T00:00:00"/>
    <x v="0"/>
    <x v="0"/>
  </r>
  <r>
    <x v="12"/>
    <x v="10"/>
    <s v="November"/>
    <s v="Division_A"/>
    <x v="26"/>
    <n v="2013"/>
    <n v="11"/>
    <s v="TM-Utama"/>
    <n v="25"/>
    <n v="3291"/>
    <s v="131.6"/>
    <x v="1"/>
    <n v="0.92400000000000004"/>
    <n v="23102.799999999999"/>
    <n v="23.103000000000002"/>
    <d v="2024-11-01T00:00:00"/>
    <x v="0"/>
    <x v="0"/>
  </r>
  <r>
    <x v="12"/>
    <x v="11"/>
    <s v="Desember"/>
    <s v="Division_A"/>
    <x v="26"/>
    <n v="2013"/>
    <n v="11"/>
    <s v="TM-Utama"/>
    <n v="25"/>
    <n v="3291"/>
    <s v="131.6"/>
    <x v="1"/>
    <n v="1.1830000000000001"/>
    <n v="29569.599999999999"/>
    <n v="29.57"/>
    <d v="2024-12-01T00:00:00"/>
    <x v="0"/>
    <x v="0"/>
  </r>
  <r>
    <x v="12"/>
    <x v="0"/>
    <s v="Januari"/>
    <s v="Division_A"/>
    <x v="27"/>
    <n v="2014"/>
    <n v="10"/>
    <s v="TM-Utama"/>
    <n v="24"/>
    <n v="2208"/>
    <s v="92"/>
    <x v="1"/>
    <n v="1.0229999999999999"/>
    <n v="24547.3"/>
    <n v="24.547000000000001"/>
    <d v="2024-01-01T00:00:00"/>
    <x v="0"/>
    <x v="1"/>
  </r>
  <r>
    <x v="12"/>
    <x v="1"/>
    <s v="Februari"/>
    <s v="Division_A"/>
    <x v="27"/>
    <n v="2014"/>
    <n v="10"/>
    <s v="TM-Utama"/>
    <n v="24"/>
    <n v="2208"/>
    <s v="92"/>
    <x v="1"/>
    <n v="1.0840000000000001"/>
    <n v="26016.1"/>
    <n v="26.015999999999998"/>
    <d v="2024-02-01T00:00:00"/>
    <x v="0"/>
    <x v="1"/>
  </r>
  <r>
    <x v="12"/>
    <x v="2"/>
    <s v="Maret"/>
    <s v="Division_A"/>
    <x v="27"/>
    <n v="2014"/>
    <n v="10"/>
    <s v="TM-Utama"/>
    <n v="24"/>
    <n v="2208"/>
    <s v="92"/>
    <x v="1"/>
    <n v="1.4670000000000001"/>
    <n v="35214.5"/>
    <n v="35.213999999999999"/>
    <d v="2024-03-01T00:00:00"/>
    <x v="0"/>
    <x v="1"/>
  </r>
  <r>
    <x v="12"/>
    <x v="3"/>
    <s v="April"/>
    <s v="Division_A"/>
    <x v="27"/>
    <n v="2014"/>
    <n v="10"/>
    <s v="TM-Utama"/>
    <n v="24"/>
    <n v="2208"/>
    <s v="92"/>
    <x v="1"/>
    <n v="1.34"/>
    <n v="32166.7"/>
    <n v="32.167000000000002"/>
    <d v="2024-04-01T00:00:00"/>
    <x v="0"/>
    <x v="1"/>
  </r>
  <r>
    <x v="12"/>
    <x v="4"/>
    <s v="Mei"/>
    <s v="Division_A"/>
    <x v="27"/>
    <n v="2014"/>
    <n v="10"/>
    <s v="TM-Utama"/>
    <n v="24"/>
    <n v="2208"/>
    <s v="92"/>
    <x v="1"/>
    <n v="1.5580000000000001"/>
    <n v="37381"/>
    <n v="37.381"/>
    <d v="2024-05-01T00:00:00"/>
    <x v="0"/>
    <x v="1"/>
  </r>
  <r>
    <x v="12"/>
    <x v="5"/>
    <s v="Juni"/>
    <s v="Division_A"/>
    <x v="27"/>
    <n v="2014"/>
    <n v="10"/>
    <s v="TM-Utama"/>
    <n v="24"/>
    <n v="2208"/>
    <s v="92"/>
    <x v="1"/>
    <n v="1.7050000000000001"/>
    <n v="40924.400000000001"/>
    <n v="40.923999999999999"/>
    <d v="2024-06-01T00:00:00"/>
    <x v="0"/>
    <x v="1"/>
  </r>
  <r>
    <x v="12"/>
    <x v="6"/>
    <s v="Juli"/>
    <s v="Division_A"/>
    <x v="27"/>
    <n v="2014"/>
    <n v="10"/>
    <s v="TM-Utama"/>
    <n v="24"/>
    <n v="2208"/>
    <s v="92"/>
    <x v="1"/>
    <n v="1.5620000000000001"/>
    <n v="37491.1"/>
    <n v="37.491"/>
    <d v="2024-07-01T00:00:00"/>
    <x v="0"/>
    <x v="1"/>
  </r>
  <r>
    <x v="12"/>
    <x v="7"/>
    <s v="Agustus"/>
    <s v="Division_A"/>
    <x v="27"/>
    <n v="2014"/>
    <n v="10"/>
    <s v="TM-Utama"/>
    <n v="24"/>
    <n v="2208"/>
    <s v="92"/>
    <x v="1"/>
    <n v="1.4119999999999999"/>
    <n v="33892.6"/>
    <n v="33.893000000000001"/>
    <d v="2024-08-01T00:00:00"/>
    <x v="0"/>
    <x v="1"/>
  </r>
  <r>
    <x v="12"/>
    <x v="8"/>
    <s v="September"/>
    <s v="Division_A"/>
    <x v="27"/>
    <n v="2014"/>
    <n v="10"/>
    <s v="TM-Utama"/>
    <n v="24"/>
    <n v="2208"/>
    <s v="92"/>
    <x v="1"/>
    <n v="1.528"/>
    <n v="36664.9"/>
    <n v="36.664999999999999"/>
    <d v="2024-09-01T00:00:00"/>
    <x v="0"/>
    <x v="1"/>
  </r>
  <r>
    <x v="12"/>
    <x v="9"/>
    <s v="Oktober"/>
    <s v="Division_A"/>
    <x v="27"/>
    <n v="2014"/>
    <n v="10"/>
    <s v="TM-Utama"/>
    <n v="24"/>
    <n v="2208"/>
    <s v="92"/>
    <x v="1"/>
    <n v="1.0089999999999999"/>
    <n v="24216.799999999999"/>
    <n v="24.216999999999999"/>
    <d v="2024-10-01T00:00:00"/>
    <x v="0"/>
    <x v="1"/>
  </r>
  <r>
    <x v="12"/>
    <x v="10"/>
    <s v="November"/>
    <s v="Division_A"/>
    <x v="27"/>
    <n v="2014"/>
    <n v="10"/>
    <s v="TM-Utama"/>
    <n v="24"/>
    <n v="2208"/>
    <s v="92"/>
    <x v="1"/>
    <n v="0.71599999999999997"/>
    <n v="17185"/>
    <n v="17.184999999999999"/>
    <d v="2024-11-01T00:00:00"/>
    <x v="0"/>
    <x v="1"/>
  </r>
  <r>
    <x v="12"/>
    <x v="11"/>
    <s v="Desember"/>
    <s v="Division_A"/>
    <x v="27"/>
    <n v="2014"/>
    <n v="10"/>
    <s v="TM-Utama"/>
    <n v="24"/>
    <n v="2208"/>
    <s v="92"/>
    <x v="1"/>
    <n v="0.91600000000000004"/>
    <n v="21995.3"/>
    <n v="21.995000000000001"/>
    <d v="2024-12-01T00:00:00"/>
    <x v="0"/>
    <x v="1"/>
  </r>
  <r>
    <x v="12"/>
    <x v="0"/>
    <s v="Januari"/>
    <s v="Division_A"/>
    <x v="28"/>
    <n v="2014"/>
    <n v="10"/>
    <s v="TM-Utama"/>
    <n v="20"/>
    <n v="1954"/>
    <s v="97.7"/>
    <x v="1"/>
    <n v="1.0229999999999999"/>
    <n v="20456.099999999999"/>
    <n v="20.456"/>
    <d v="2024-01-01T00:00:00"/>
    <x v="0"/>
    <x v="1"/>
  </r>
  <r>
    <x v="12"/>
    <x v="1"/>
    <s v="Februari"/>
    <s v="Division_A"/>
    <x v="28"/>
    <n v="2014"/>
    <n v="10"/>
    <s v="TM-Utama"/>
    <n v="20"/>
    <n v="1954"/>
    <s v="97.7"/>
    <x v="1"/>
    <n v="1.0840000000000001"/>
    <n v="21680.1"/>
    <n v="21.68"/>
    <d v="2024-02-01T00:00:00"/>
    <x v="0"/>
    <x v="1"/>
  </r>
  <r>
    <x v="12"/>
    <x v="2"/>
    <s v="Maret"/>
    <s v="Division_A"/>
    <x v="28"/>
    <n v="2014"/>
    <n v="10"/>
    <s v="TM-Utama"/>
    <n v="20"/>
    <n v="1954"/>
    <s v="97.7"/>
    <x v="1"/>
    <n v="1.4670000000000001"/>
    <n v="29345.4"/>
    <n v="29.344999999999999"/>
    <d v="2024-03-01T00:00:00"/>
    <x v="0"/>
    <x v="1"/>
  </r>
  <r>
    <x v="12"/>
    <x v="3"/>
    <s v="April"/>
    <s v="Division_A"/>
    <x v="28"/>
    <n v="2014"/>
    <n v="10"/>
    <s v="TM-Utama"/>
    <n v="20"/>
    <n v="1954"/>
    <s v="97.7"/>
    <x v="1"/>
    <n v="1.34"/>
    <n v="26805.599999999999"/>
    <n v="26.806000000000001"/>
    <d v="2024-04-01T00:00:00"/>
    <x v="0"/>
    <x v="1"/>
  </r>
  <r>
    <x v="12"/>
    <x v="4"/>
    <s v="Mei"/>
    <s v="Division_A"/>
    <x v="28"/>
    <n v="2014"/>
    <n v="10"/>
    <s v="TM-Utama"/>
    <n v="20"/>
    <n v="1954"/>
    <s v="97.7"/>
    <x v="1"/>
    <n v="1.5580000000000001"/>
    <n v="31150.799999999999"/>
    <n v="31.151"/>
    <d v="2024-05-01T00:00:00"/>
    <x v="0"/>
    <x v="1"/>
  </r>
  <r>
    <x v="12"/>
    <x v="5"/>
    <s v="Juni"/>
    <s v="Division_A"/>
    <x v="28"/>
    <n v="2014"/>
    <n v="10"/>
    <s v="TM-Utama"/>
    <n v="20"/>
    <n v="1954"/>
    <s v="97.7"/>
    <x v="1"/>
    <n v="1.7050000000000001"/>
    <n v="34103.699999999997"/>
    <n v="34.103999999999999"/>
    <d v="2024-06-01T00:00:00"/>
    <x v="0"/>
    <x v="1"/>
  </r>
  <r>
    <x v="12"/>
    <x v="6"/>
    <s v="Juli"/>
    <s v="Division_A"/>
    <x v="28"/>
    <n v="2014"/>
    <n v="10"/>
    <s v="TM-Utama"/>
    <n v="20"/>
    <n v="1954"/>
    <s v="97.7"/>
    <x v="1"/>
    <n v="1.5620000000000001"/>
    <n v="31242.6"/>
    <n v="31.242999999999999"/>
    <d v="2024-07-01T00:00:00"/>
    <x v="0"/>
    <x v="1"/>
  </r>
  <r>
    <x v="12"/>
    <x v="7"/>
    <s v="Agustus"/>
    <s v="Division_A"/>
    <x v="28"/>
    <n v="2014"/>
    <n v="10"/>
    <s v="TM-Utama"/>
    <n v="20"/>
    <n v="1954"/>
    <s v="97.7"/>
    <x v="1"/>
    <n v="1.4119999999999999"/>
    <n v="28243.8"/>
    <n v="28.244"/>
    <d v="2024-08-01T00:00:00"/>
    <x v="0"/>
    <x v="1"/>
  </r>
  <r>
    <x v="12"/>
    <x v="8"/>
    <s v="September"/>
    <s v="Division_A"/>
    <x v="28"/>
    <n v="2014"/>
    <n v="10"/>
    <s v="TM-Utama"/>
    <n v="20"/>
    <n v="1954"/>
    <s v="97.7"/>
    <x v="1"/>
    <n v="1.528"/>
    <n v="30554.1"/>
    <n v="30.553999999999998"/>
    <d v="2024-09-01T00:00:00"/>
    <x v="0"/>
    <x v="1"/>
  </r>
  <r>
    <x v="12"/>
    <x v="9"/>
    <s v="Oktober"/>
    <s v="Division_A"/>
    <x v="28"/>
    <n v="2014"/>
    <n v="10"/>
    <s v="TM-Utama"/>
    <n v="20"/>
    <n v="1954"/>
    <s v="97.7"/>
    <x v="1"/>
    <n v="1.0089999999999999"/>
    <n v="20180.7"/>
    <n v="20.181000000000001"/>
    <d v="2024-10-01T00:00:00"/>
    <x v="0"/>
    <x v="1"/>
  </r>
  <r>
    <x v="12"/>
    <x v="10"/>
    <s v="November"/>
    <s v="Division_A"/>
    <x v="28"/>
    <n v="2014"/>
    <n v="10"/>
    <s v="TM-Utama"/>
    <n v="20"/>
    <n v="1954"/>
    <s v="97.7"/>
    <x v="1"/>
    <n v="0.71599999999999997"/>
    <n v="14320.8"/>
    <n v="14.321"/>
    <d v="2024-11-01T00:00:00"/>
    <x v="0"/>
    <x v="1"/>
  </r>
  <r>
    <x v="12"/>
    <x v="11"/>
    <s v="Desember"/>
    <s v="Division_A"/>
    <x v="28"/>
    <n v="2014"/>
    <n v="10"/>
    <s v="TM-Utama"/>
    <n v="20"/>
    <n v="1954"/>
    <s v="97.7"/>
    <x v="1"/>
    <n v="0.91600000000000004"/>
    <n v="18329.400000000001"/>
    <n v="18.329000000000001"/>
    <d v="2024-12-01T00:00:00"/>
    <x v="0"/>
    <x v="1"/>
  </r>
  <r>
    <x v="12"/>
    <x v="0"/>
    <s v="Januari"/>
    <s v="Division_A"/>
    <x v="29"/>
    <n v="2014"/>
    <n v="10"/>
    <s v="TM-Utama"/>
    <n v="24"/>
    <n v="1329"/>
    <s v="55.4"/>
    <x v="1"/>
    <n v="1.0229999999999999"/>
    <n v="24547.3"/>
    <n v="24.547000000000001"/>
    <d v="2024-01-01T00:00:00"/>
    <x v="0"/>
    <x v="1"/>
  </r>
  <r>
    <x v="12"/>
    <x v="1"/>
    <s v="Februari"/>
    <s v="Division_A"/>
    <x v="29"/>
    <n v="2014"/>
    <n v="10"/>
    <s v="TM-Utama"/>
    <n v="24"/>
    <n v="1329"/>
    <s v="55.4"/>
    <x v="1"/>
    <n v="1.0840000000000001"/>
    <n v="26016.1"/>
    <n v="26.015999999999998"/>
    <d v="2024-02-01T00:00:00"/>
    <x v="0"/>
    <x v="1"/>
  </r>
  <r>
    <x v="12"/>
    <x v="2"/>
    <s v="Maret"/>
    <s v="Division_A"/>
    <x v="29"/>
    <n v="2014"/>
    <n v="10"/>
    <s v="TM-Utama"/>
    <n v="24"/>
    <n v="1329"/>
    <s v="55.4"/>
    <x v="1"/>
    <n v="1.4670000000000001"/>
    <n v="35214.5"/>
    <n v="35.213999999999999"/>
    <d v="2024-03-01T00:00:00"/>
    <x v="0"/>
    <x v="1"/>
  </r>
  <r>
    <x v="12"/>
    <x v="3"/>
    <s v="April"/>
    <s v="Division_A"/>
    <x v="29"/>
    <n v="2014"/>
    <n v="10"/>
    <s v="TM-Utama"/>
    <n v="24"/>
    <n v="1329"/>
    <s v="55.4"/>
    <x v="1"/>
    <n v="1.34"/>
    <n v="32166.7"/>
    <n v="32.167000000000002"/>
    <d v="2024-04-01T00:00:00"/>
    <x v="0"/>
    <x v="1"/>
  </r>
  <r>
    <x v="12"/>
    <x v="4"/>
    <s v="Mei"/>
    <s v="Division_A"/>
    <x v="29"/>
    <n v="2014"/>
    <n v="10"/>
    <s v="TM-Utama"/>
    <n v="24"/>
    <n v="1329"/>
    <s v="55.4"/>
    <x v="1"/>
    <n v="1.5580000000000001"/>
    <n v="37381"/>
    <n v="37.381"/>
    <d v="2024-05-01T00:00:00"/>
    <x v="0"/>
    <x v="1"/>
  </r>
  <r>
    <x v="12"/>
    <x v="5"/>
    <s v="Juni"/>
    <s v="Division_A"/>
    <x v="29"/>
    <n v="2014"/>
    <n v="10"/>
    <s v="TM-Utama"/>
    <n v="24"/>
    <n v="1329"/>
    <s v="55.4"/>
    <x v="1"/>
    <n v="1.7050000000000001"/>
    <n v="40924.400000000001"/>
    <n v="40.923999999999999"/>
    <d v="2024-06-01T00:00:00"/>
    <x v="0"/>
    <x v="1"/>
  </r>
  <r>
    <x v="12"/>
    <x v="6"/>
    <s v="Juli"/>
    <s v="Division_A"/>
    <x v="29"/>
    <n v="2014"/>
    <n v="10"/>
    <s v="TM-Utama"/>
    <n v="24"/>
    <n v="1329"/>
    <s v="55.4"/>
    <x v="1"/>
    <n v="1.5620000000000001"/>
    <n v="37491.1"/>
    <n v="37.491"/>
    <d v="2024-07-01T00:00:00"/>
    <x v="0"/>
    <x v="1"/>
  </r>
  <r>
    <x v="12"/>
    <x v="7"/>
    <s v="Agustus"/>
    <s v="Division_A"/>
    <x v="29"/>
    <n v="2014"/>
    <n v="10"/>
    <s v="TM-Utama"/>
    <n v="24"/>
    <n v="1329"/>
    <s v="55.4"/>
    <x v="1"/>
    <n v="1.4119999999999999"/>
    <n v="33892.6"/>
    <n v="33.893000000000001"/>
    <d v="2024-08-01T00:00:00"/>
    <x v="0"/>
    <x v="1"/>
  </r>
  <r>
    <x v="12"/>
    <x v="8"/>
    <s v="September"/>
    <s v="Division_A"/>
    <x v="29"/>
    <n v="2014"/>
    <n v="10"/>
    <s v="TM-Utama"/>
    <n v="24"/>
    <n v="1329"/>
    <s v="55.4"/>
    <x v="1"/>
    <n v="1.528"/>
    <n v="36664.9"/>
    <n v="36.664999999999999"/>
    <d v="2024-09-01T00:00:00"/>
    <x v="0"/>
    <x v="1"/>
  </r>
  <r>
    <x v="12"/>
    <x v="9"/>
    <s v="Oktober"/>
    <s v="Division_A"/>
    <x v="29"/>
    <n v="2014"/>
    <n v="10"/>
    <s v="TM-Utama"/>
    <n v="24"/>
    <n v="1329"/>
    <s v="55.4"/>
    <x v="1"/>
    <n v="1.0089999999999999"/>
    <n v="24216.799999999999"/>
    <n v="24.216999999999999"/>
    <d v="2024-10-01T00:00:00"/>
    <x v="0"/>
    <x v="1"/>
  </r>
  <r>
    <x v="12"/>
    <x v="10"/>
    <s v="November"/>
    <s v="Division_A"/>
    <x v="29"/>
    <n v="2014"/>
    <n v="10"/>
    <s v="TM-Utama"/>
    <n v="24"/>
    <n v="1329"/>
    <s v="55.4"/>
    <x v="1"/>
    <n v="0.71599999999999997"/>
    <n v="17185"/>
    <n v="17.184999999999999"/>
    <d v="2024-11-01T00:00:00"/>
    <x v="0"/>
    <x v="1"/>
  </r>
  <r>
    <x v="12"/>
    <x v="11"/>
    <s v="Desember"/>
    <s v="Division_A"/>
    <x v="29"/>
    <n v="2014"/>
    <n v="10"/>
    <s v="TM-Utama"/>
    <n v="24"/>
    <n v="1329"/>
    <s v="55.4"/>
    <x v="1"/>
    <n v="0.91600000000000004"/>
    <n v="21995.3"/>
    <n v="21.995000000000001"/>
    <d v="2024-12-01T00:00:00"/>
    <x v="0"/>
    <x v="1"/>
  </r>
  <r>
    <x v="12"/>
    <x v="0"/>
    <s v="Januari"/>
    <s v="Division_A"/>
    <x v="30"/>
    <n v="2014"/>
    <n v="10"/>
    <s v="TM-Utama"/>
    <n v="24"/>
    <n v="1573"/>
    <s v="65.5"/>
    <x v="1"/>
    <n v="1.0229999999999999"/>
    <n v="24547.3"/>
    <n v="24.547000000000001"/>
    <d v="2024-01-01T00:00:00"/>
    <x v="0"/>
    <x v="1"/>
  </r>
  <r>
    <x v="12"/>
    <x v="1"/>
    <s v="Februari"/>
    <s v="Division_A"/>
    <x v="30"/>
    <n v="2014"/>
    <n v="10"/>
    <s v="TM-Utama"/>
    <n v="24"/>
    <n v="1573"/>
    <s v="65.5"/>
    <x v="1"/>
    <n v="1.0840000000000001"/>
    <n v="26016.1"/>
    <n v="26.015999999999998"/>
    <d v="2024-02-01T00:00:00"/>
    <x v="0"/>
    <x v="1"/>
  </r>
  <r>
    <x v="12"/>
    <x v="2"/>
    <s v="Maret"/>
    <s v="Division_A"/>
    <x v="30"/>
    <n v="2014"/>
    <n v="10"/>
    <s v="TM-Utama"/>
    <n v="24"/>
    <n v="1573"/>
    <s v="65.5"/>
    <x v="1"/>
    <n v="1.4670000000000001"/>
    <n v="35214.5"/>
    <n v="35.213999999999999"/>
    <d v="2024-03-01T00:00:00"/>
    <x v="0"/>
    <x v="1"/>
  </r>
  <r>
    <x v="12"/>
    <x v="3"/>
    <s v="April"/>
    <s v="Division_A"/>
    <x v="30"/>
    <n v="2014"/>
    <n v="10"/>
    <s v="TM-Utama"/>
    <n v="24"/>
    <n v="1573"/>
    <s v="65.5"/>
    <x v="1"/>
    <n v="1.34"/>
    <n v="32166.7"/>
    <n v="32.167000000000002"/>
    <d v="2024-04-01T00:00:00"/>
    <x v="0"/>
    <x v="1"/>
  </r>
  <r>
    <x v="12"/>
    <x v="4"/>
    <s v="Mei"/>
    <s v="Division_A"/>
    <x v="30"/>
    <n v="2014"/>
    <n v="10"/>
    <s v="TM-Utama"/>
    <n v="24"/>
    <n v="1573"/>
    <s v="65.5"/>
    <x v="1"/>
    <n v="1.5580000000000001"/>
    <n v="37381"/>
    <n v="37.381"/>
    <d v="2024-05-01T00:00:00"/>
    <x v="0"/>
    <x v="1"/>
  </r>
  <r>
    <x v="12"/>
    <x v="5"/>
    <s v="Juni"/>
    <s v="Division_A"/>
    <x v="30"/>
    <n v="2014"/>
    <n v="10"/>
    <s v="TM-Utama"/>
    <n v="24"/>
    <n v="1573"/>
    <s v="65.5"/>
    <x v="1"/>
    <n v="1.7050000000000001"/>
    <n v="40924.400000000001"/>
    <n v="40.923999999999999"/>
    <d v="2024-06-01T00:00:00"/>
    <x v="0"/>
    <x v="1"/>
  </r>
  <r>
    <x v="12"/>
    <x v="6"/>
    <s v="Juli"/>
    <s v="Division_A"/>
    <x v="30"/>
    <n v="2014"/>
    <n v="10"/>
    <s v="TM-Utama"/>
    <n v="24"/>
    <n v="1573"/>
    <s v="65.5"/>
    <x v="1"/>
    <n v="1.5620000000000001"/>
    <n v="37491.1"/>
    <n v="37.491"/>
    <d v="2024-07-01T00:00:00"/>
    <x v="0"/>
    <x v="1"/>
  </r>
  <r>
    <x v="12"/>
    <x v="7"/>
    <s v="Agustus"/>
    <s v="Division_A"/>
    <x v="30"/>
    <n v="2014"/>
    <n v="10"/>
    <s v="TM-Utama"/>
    <n v="24"/>
    <n v="1573"/>
    <s v="65.5"/>
    <x v="1"/>
    <n v="1.4119999999999999"/>
    <n v="33892.6"/>
    <n v="33.893000000000001"/>
    <d v="2024-08-01T00:00:00"/>
    <x v="0"/>
    <x v="1"/>
  </r>
  <r>
    <x v="12"/>
    <x v="8"/>
    <s v="September"/>
    <s v="Division_A"/>
    <x v="30"/>
    <n v="2014"/>
    <n v="10"/>
    <s v="TM-Utama"/>
    <n v="24"/>
    <n v="1573"/>
    <s v="65.5"/>
    <x v="1"/>
    <n v="1.528"/>
    <n v="36664.9"/>
    <n v="36.664999999999999"/>
    <d v="2024-09-01T00:00:00"/>
    <x v="0"/>
    <x v="1"/>
  </r>
  <r>
    <x v="12"/>
    <x v="9"/>
    <s v="Oktober"/>
    <s v="Division_A"/>
    <x v="30"/>
    <n v="2014"/>
    <n v="10"/>
    <s v="TM-Utama"/>
    <n v="24"/>
    <n v="1573"/>
    <s v="65.5"/>
    <x v="1"/>
    <n v="1.0089999999999999"/>
    <n v="24216.799999999999"/>
    <n v="24.216999999999999"/>
    <d v="2024-10-01T00:00:00"/>
    <x v="0"/>
    <x v="1"/>
  </r>
  <r>
    <x v="12"/>
    <x v="10"/>
    <s v="November"/>
    <s v="Division_A"/>
    <x v="30"/>
    <n v="2014"/>
    <n v="10"/>
    <s v="TM-Utama"/>
    <n v="24"/>
    <n v="1573"/>
    <s v="65.5"/>
    <x v="1"/>
    <n v="0.71599999999999997"/>
    <n v="17185"/>
    <n v="17.184999999999999"/>
    <d v="2024-11-01T00:00:00"/>
    <x v="0"/>
    <x v="1"/>
  </r>
  <r>
    <x v="12"/>
    <x v="11"/>
    <s v="Desember"/>
    <s v="Division_A"/>
    <x v="30"/>
    <n v="2014"/>
    <n v="10"/>
    <s v="TM-Utama"/>
    <n v="24"/>
    <n v="1573"/>
    <s v="65.5"/>
    <x v="1"/>
    <n v="0.91600000000000004"/>
    <n v="21995.3"/>
    <n v="21.995000000000001"/>
    <d v="2024-12-01T00:00:00"/>
    <x v="0"/>
    <x v="1"/>
  </r>
  <r>
    <x v="12"/>
    <x v="0"/>
    <s v="Januari"/>
    <s v="Division_A"/>
    <x v="31"/>
    <n v="2016"/>
    <n v="8"/>
    <s v="TM-Utama"/>
    <n v="22"/>
    <n v="3137"/>
    <s v="142.6"/>
    <x v="0"/>
    <n v="1.43"/>
    <n v="31456.3"/>
    <n v="31.456"/>
    <d v="2024-01-01T00:00:00"/>
    <x v="0"/>
    <x v="1"/>
  </r>
  <r>
    <x v="12"/>
    <x v="1"/>
    <s v="Februari"/>
    <s v="Division_A"/>
    <x v="31"/>
    <n v="2016"/>
    <n v="8"/>
    <s v="TM-Utama"/>
    <n v="22"/>
    <n v="3137"/>
    <s v="142.6"/>
    <x v="0"/>
    <n v="1.5149999999999999"/>
    <n v="33338.5"/>
    <n v="33.338000000000001"/>
    <d v="2024-02-01T00:00:00"/>
    <x v="0"/>
    <x v="1"/>
  </r>
  <r>
    <x v="12"/>
    <x v="2"/>
    <s v="Maret"/>
    <s v="Division_A"/>
    <x v="31"/>
    <n v="2016"/>
    <n v="8"/>
    <s v="TM-Utama"/>
    <n v="22"/>
    <n v="3137"/>
    <s v="142.6"/>
    <x v="0"/>
    <n v="2.0510000000000002"/>
    <n v="45125.7"/>
    <n v="45.125999999999998"/>
    <d v="2024-03-01T00:00:00"/>
    <x v="0"/>
    <x v="1"/>
  </r>
  <r>
    <x v="12"/>
    <x v="3"/>
    <s v="April"/>
    <s v="Division_A"/>
    <x v="31"/>
    <n v="2016"/>
    <n v="8"/>
    <s v="TM-Utama"/>
    <n v="22"/>
    <n v="3137"/>
    <s v="142.6"/>
    <x v="0"/>
    <n v="1.8740000000000001"/>
    <n v="41220.199999999997"/>
    <n v="41.22"/>
    <d v="2024-04-01T00:00:00"/>
    <x v="0"/>
    <x v="1"/>
  </r>
  <r>
    <x v="12"/>
    <x v="4"/>
    <s v="Mei"/>
    <s v="Division_A"/>
    <x v="31"/>
    <n v="2016"/>
    <n v="8"/>
    <s v="TM-Utama"/>
    <n v="22"/>
    <n v="3137"/>
    <s v="142.6"/>
    <x v="0"/>
    <n v="2.177"/>
    <n v="47902"/>
    <n v="47.902000000000001"/>
    <d v="2024-05-01T00:00:00"/>
    <x v="0"/>
    <x v="1"/>
  </r>
  <r>
    <x v="12"/>
    <x v="5"/>
    <s v="Juni"/>
    <s v="Division_A"/>
    <x v="31"/>
    <n v="2016"/>
    <n v="8"/>
    <s v="TM-Utama"/>
    <n v="22"/>
    <n v="3137"/>
    <s v="142.6"/>
    <x v="0"/>
    <n v="2.3839999999999999"/>
    <n v="52442.8"/>
    <n v="52.442999999999998"/>
    <d v="2024-06-01T00:00:00"/>
    <x v="0"/>
    <x v="1"/>
  </r>
  <r>
    <x v="12"/>
    <x v="6"/>
    <s v="Juli"/>
    <s v="Division_A"/>
    <x v="31"/>
    <n v="2016"/>
    <n v="8"/>
    <s v="TM-Utama"/>
    <n v="22"/>
    <n v="3137"/>
    <s v="142.6"/>
    <x v="0"/>
    <n v="2.1840000000000002"/>
    <n v="48043.199999999997"/>
    <n v="48.042999999999999"/>
    <d v="2024-07-01T00:00:00"/>
    <x v="0"/>
    <x v="1"/>
  </r>
  <r>
    <x v="12"/>
    <x v="7"/>
    <s v="Agustus"/>
    <s v="Division_A"/>
    <x v="31"/>
    <n v="2016"/>
    <n v="8"/>
    <s v="TM-Utama"/>
    <n v="22"/>
    <n v="3137"/>
    <s v="142.6"/>
    <x v="0"/>
    <n v="1.974"/>
    <n v="43431.8"/>
    <n v="43.432000000000002"/>
    <d v="2024-08-01T00:00:00"/>
    <x v="0"/>
    <x v="1"/>
  </r>
  <r>
    <x v="12"/>
    <x v="8"/>
    <s v="September"/>
    <s v="Division_A"/>
    <x v="31"/>
    <n v="2016"/>
    <n v="8"/>
    <s v="TM-Utama"/>
    <n v="22"/>
    <n v="3137"/>
    <s v="142.6"/>
    <x v="0"/>
    <n v="2.1360000000000001"/>
    <n v="46984.4"/>
    <n v="46.984000000000002"/>
    <d v="2024-09-01T00:00:00"/>
    <x v="0"/>
    <x v="1"/>
  </r>
  <r>
    <x v="12"/>
    <x v="9"/>
    <s v="Oktober"/>
    <s v="Division_A"/>
    <x v="31"/>
    <n v="2016"/>
    <n v="8"/>
    <s v="TM-Utama"/>
    <n v="22"/>
    <n v="3137"/>
    <s v="142.6"/>
    <x v="0"/>
    <n v="1.411"/>
    <n v="31032.799999999999"/>
    <n v="31.033000000000001"/>
    <d v="2024-10-01T00:00:00"/>
    <x v="0"/>
    <x v="1"/>
  </r>
  <r>
    <x v="12"/>
    <x v="10"/>
    <s v="November"/>
    <s v="Division_A"/>
    <x v="31"/>
    <n v="2016"/>
    <n v="8"/>
    <s v="TM-Utama"/>
    <n v="22"/>
    <n v="3137"/>
    <s v="142.6"/>
    <x v="0"/>
    <n v="1.0009999999999999"/>
    <n v="22021.7"/>
    <n v="22.021999999999998"/>
    <d v="2024-11-01T00:00:00"/>
    <x v="0"/>
    <x v="1"/>
  </r>
  <r>
    <x v="12"/>
    <x v="11"/>
    <s v="Desember"/>
    <s v="Division_A"/>
    <x v="31"/>
    <n v="2016"/>
    <n v="8"/>
    <s v="TM-Utama"/>
    <n v="22"/>
    <n v="3137"/>
    <s v="142.6"/>
    <x v="0"/>
    <n v="1.2809999999999999"/>
    <n v="28185.9"/>
    <n v="28.186"/>
    <d v="2024-12-01T00:00:00"/>
    <x v="0"/>
    <x v="1"/>
  </r>
  <r>
    <x v="12"/>
    <x v="0"/>
    <s v="Januari"/>
    <s v="Division_A"/>
    <x v="32"/>
    <n v="2016"/>
    <n v="8"/>
    <s v="TM-Utama"/>
    <n v="22"/>
    <n v="3096"/>
    <s v="140.7"/>
    <x v="0"/>
    <n v="1.411"/>
    <n v="31045.1"/>
    <n v="31.045000000000002"/>
    <d v="2024-01-01T00:00:00"/>
    <x v="0"/>
    <x v="1"/>
  </r>
  <r>
    <x v="12"/>
    <x v="1"/>
    <s v="Februari"/>
    <s v="Division_A"/>
    <x v="32"/>
    <n v="2016"/>
    <n v="8"/>
    <s v="TM-Utama"/>
    <n v="22"/>
    <n v="3096"/>
    <s v="140.7"/>
    <x v="0"/>
    <n v="1.496"/>
    <n v="32902.699999999997"/>
    <n v="32.902999999999999"/>
    <d v="2024-02-01T00:00:00"/>
    <x v="0"/>
    <x v="1"/>
  </r>
  <r>
    <x v="12"/>
    <x v="2"/>
    <s v="Maret"/>
    <s v="Division_A"/>
    <x v="32"/>
    <n v="2016"/>
    <n v="8"/>
    <s v="TM-Utama"/>
    <n v="22"/>
    <n v="3096"/>
    <s v="140.7"/>
    <x v="0"/>
    <n v="2.024"/>
    <n v="44536"/>
    <n v="44.536000000000001"/>
    <d v="2024-03-01T00:00:00"/>
    <x v="0"/>
    <x v="1"/>
  </r>
  <r>
    <x v="12"/>
    <x v="3"/>
    <s v="April"/>
    <s v="Division_A"/>
    <x v="32"/>
    <n v="2016"/>
    <n v="8"/>
    <s v="TM-Utama"/>
    <n v="22"/>
    <n v="3096"/>
    <s v="140.7"/>
    <x v="0"/>
    <n v="1.849"/>
    <n v="40681.4"/>
    <n v="40.680999999999997"/>
    <d v="2024-04-01T00:00:00"/>
    <x v="0"/>
    <x v="1"/>
  </r>
  <r>
    <x v="12"/>
    <x v="4"/>
    <s v="Mei"/>
    <s v="Division_A"/>
    <x v="32"/>
    <n v="2016"/>
    <n v="8"/>
    <s v="TM-Utama"/>
    <n v="22"/>
    <n v="3096"/>
    <s v="140.7"/>
    <x v="0"/>
    <n v="2.149"/>
    <n v="47275.9"/>
    <n v="47.276000000000003"/>
    <d v="2024-05-01T00:00:00"/>
    <x v="0"/>
    <x v="1"/>
  </r>
  <r>
    <x v="12"/>
    <x v="5"/>
    <s v="Juni"/>
    <s v="Division_A"/>
    <x v="32"/>
    <n v="2016"/>
    <n v="8"/>
    <s v="TM-Utama"/>
    <n v="22"/>
    <n v="3096"/>
    <s v="140.7"/>
    <x v="0"/>
    <n v="2.3530000000000002"/>
    <n v="51757.4"/>
    <n v="51.756999999999998"/>
    <d v="2024-06-01T00:00:00"/>
    <x v="0"/>
    <x v="1"/>
  </r>
  <r>
    <x v="12"/>
    <x v="6"/>
    <s v="Juli"/>
    <s v="Division_A"/>
    <x v="32"/>
    <n v="2016"/>
    <n v="8"/>
    <s v="TM-Utama"/>
    <n v="22"/>
    <n v="3096"/>
    <s v="140.7"/>
    <x v="0"/>
    <n v="2.1549999999999998"/>
    <n v="47415.199999999997"/>
    <n v="47.414999999999999"/>
    <d v="2024-07-01T00:00:00"/>
    <x v="0"/>
    <x v="1"/>
  </r>
  <r>
    <x v="12"/>
    <x v="7"/>
    <s v="Agustus"/>
    <s v="Division_A"/>
    <x v="32"/>
    <n v="2016"/>
    <n v="8"/>
    <s v="TM-Utama"/>
    <n v="22"/>
    <n v="3096"/>
    <s v="140.7"/>
    <x v="0"/>
    <n v="1.948"/>
    <n v="42864.1"/>
    <n v="42.863999999999997"/>
    <d v="2024-08-01T00:00:00"/>
    <x v="0"/>
    <x v="1"/>
  </r>
  <r>
    <x v="12"/>
    <x v="8"/>
    <s v="September"/>
    <s v="Division_A"/>
    <x v="32"/>
    <n v="2016"/>
    <n v="8"/>
    <s v="TM-Utama"/>
    <n v="22"/>
    <n v="3096"/>
    <s v="140.7"/>
    <x v="0"/>
    <n v="2.1080000000000001"/>
    <n v="46370.3"/>
    <n v="46.37"/>
    <d v="2024-09-01T00:00:00"/>
    <x v="0"/>
    <x v="1"/>
  </r>
  <r>
    <x v="12"/>
    <x v="9"/>
    <s v="Oktober"/>
    <s v="Division_A"/>
    <x v="32"/>
    <n v="2016"/>
    <n v="8"/>
    <s v="TM-Utama"/>
    <n v="22"/>
    <n v="3096"/>
    <s v="140.7"/>
    <x v="0"/>
    <n v="1.3919999999999999"/>
    <n v="30627.200000000001"/>
    <n v="30.626999999999999"/>
    <d v="2024-10-01T00:00:00"/>
    <x v="0"/>
    <x v="1"/>
  </r>
  <r>
    <x v="12"/>
    <x v="10"/>
    <s v="November"/>
    <s v="Division_A"/>
    <x v="32"/>
    <n v="2016"/>
    <n v="8"/>
    <s v="TM-Utama"/>
    <n v="22"/>
    <n v="3096"/>
    <s v="140.7"/>
    <x v="0"/>
    <n v="0.98799999999999999"/>
    <n v="21733.9"/>
    <n v="21.734000000000002"/>
    <d v="2024-11-01T00:00:00"/>
    <x v="0"/>
    <x v="1"/>
  </r>
  <r>
    <x v="12"/>
    <x v="11"/>
    <s v="Desember"/>
    <s v="Division_A"/>
    <x v="32"/>
    <n v="2016"/>
    <n v="8"/>
    <s v="TM-Utama"/>
    <n v="22"/>
    <n v="3096"/>
    <s v="140.7"/>
    <x v="0"/>
    <n v="1.264"/>
    <n v="27817.599999999999"/>
    <n v="27.818000000000001"/>
    <d v="2024-12-01T00:00:00"/>
    <x v="0"/>
    <x v="1"/>
  </r>
  <r>
    <x v="12"/>
    <x v="0"/>
    <s v="Januari"/>
    <s v="Division_A"/>
    <x v="33"/>
    <n v="2016"/>
    <n v="8"/>
    <s v="TM-Utama"/>
    <n v="24"/>
    <n v="3317"/>
    <s v="138.2"/>
    <x v="0"/>
    <n v="1.3859999999999999"/>
    <n v="33261.199999999997"/>
    <n v="33.261000000000003"/>
    <d v="2024-01-01T00:00:00"/>
    <x v="0"/>
    <x v="1"/>
  </r>
  <r>
    <x v="12"/>
    <x v="1"/>
    <s v="Februari"/>
    <s v="Division_A"/>
    <x v="33"/>
    <n v="2016"/>
    <n v="8"/>
    <s v="TM-Utama"/>
    <n v="24"/>
    <n v="3317"/>
    <s v="138.2"/>
    <x v="0"/>
    <n v="1.4690000000000001"/>
    <n v="35251.4"/>
    <n v="35.250999999999998"/>
    <d v="2024-02-01T00:00:00"/>
    <x v="0"/>
    <x v="1"/>
  </r>
  <r>
    <x v="12"/>
    <x v="2"/>
    <s v="Maret"/>
    <s v="Division_A"/>
    <x v="33"/>
    <n v="2016"/>
    <n v="8"/>
    <s v="TM-Utama"/>
    <n v="24"/>
    <n v="3317"/>
    <s v="138.2"/>
    <x v="0"/>
    <n v="1.988"/>
    <n v="47715"/>
    <n v="47.715000000000003"/>
    <d v="2024-03-01T00:00:00"/>
    <x v="0"/>
    <x v="1"/>
  </r>
  <r>
    <x v="12"/>
    <x v="3"/>
    <s v="April"/>
    <s v="Division_A"/>
    <x v="33"/>
    <n v="2016"/>
    <n v="8"/>
    <s v="TM-Utama"/>
    <n v="24"/>
    <n v="3317"/>
    <s v="138.2"/>
    <x v="0"/>
    <n v="1.8160000000000001"/>
    <n v="43585.4"/>
    <n v="43.585000000000001"/>
    <d v="2024-04-01T00:00:00"/>
    <x v="0"/>
    <x v="1"/>
  </r>
  <r>
    <x v="12"/>
    <x v="4"/>
    <s v="Mei"/>
    <s v="Division_A"/>
    <x v="33"/>
    <n v="2016"/>
    <n v="8"/>
    <s v="TM-Utama"/>
    <n v="24"/>
    <n v="3317"/>
    <s v="138.2"/>
    <x v="0"/>
    <n v="2.11"/>
    <n v="50650.6"/>
    <n v="50.651000000000003"/>
    <d v="2024-05-01T00:00:00"/>
    <x v="0"/>
    <x v="1"/>
  </r>
  <r>
    <x v="12"/>
    <x v="5"/>
    <s v="Juni"/>
    <s v="Division_A"/>
    <x v="33"/>
    <n v="2016"/>
    <n v="8"/>
    <s v="TM-Utama"/>
    <n v="24"/>
    <n v="3317"/>
    <s v="138.2"/>
    <x v="0"/>
    <n v="2.31"/>
    <n v="55451.9"/>
    <n v="55.451999999999998"/>
    <d v="2024-06-01T00:00:00"/>
    <x v="0"/>
    <x v="1"/>
  </r>
  <r>
    <x v="12"/>
    <x v="6"/>
    <s v="Juli"/>
    <s v="Division_A"/>
    <x v="33"/>
    <n v="2016"/>
    <n v="8"/>
    <s v="TM-Utama"/>
    <n v="24"/>
    <n v="3317"/>
    <s v="138.2"/>
    <x v="0"/>
    <n v="2.117"/>
    <n v="50799.9"/>
    <n v="50.8"/>
    <d v="2024-07-01T00:00:00"/>
    <x v="0"/>
    <x v="1"/>
  </r>
  <r>
    <x v="12"/>
    <x v="7"/>
    <s v="Agustus"/>
    <s v="Division_A"/>
    <x v="33"/>
    <n v="2016"/>
    <n v="8"/>
    <s v="TM-Utama"/>
    <n v="24"/>
    <n v="3317"/>
    <s v="138.2"/>
    <x v="0"/>
    <n v="1.913"/>
    <n v="45923.9"/>
    <n v="45.923999999999999"/>
    <d v="2024-08-01T00:00:00"/>
    <x v="0"/>
    <x v="1"/>
  </r>
  <r>
    <x v="12"/>
    <x v="8"/>
    <s v="September"/>
    <s v="Division_A"/>
    <x v="33"/>
    <n v="2016"/>
    <n v="8"/>
    <s v="TM-Utama"/>
    <n v="24"/>
    <n v="3317"/>
    <s v="138.2"/>
    <x v="0"/>
    <n v="2.0699999999999998"/>
    <n v="49680.4"/>
    <n v="49.68"/>
    <d v="2024-09-01T00:00:00"/>
    <x v="0"/>
    <x v="1"/>
  </r>
  <r>
    <x v="12"/>
    <x v="9"/>
    <s v="Oktober"/>
    <s v="Division_A"/>
    <x v="33"/>
    <n v="2016"/>
    <n v="8"/>
    <s v="TM-Utama"/>
    <n v="24"/>
    <n v="3317"/>
    <s v="138.2"/>
    <x v="0"/>
    <n v="1.367"/>
    <n v="32813.4"/>
    <n v="32.813000000000002"/>
    <d v="2024-10-01T00:00:00"/>
    <x v="0"/>
    <x v="1"/>
  </r>
  <r>
    <x v="12"/>
    <x v="10"/>
    <s v="November"/>
    <s v="Division_A"/>
    <x v="33"/>
    <n v="2016"/>
    <n v="8"/>
    <s v="TM-Utama"/>
    <n v="24"/>
    <n v="3317"/>
    <s v="138.2"/>
    <x v="0"/>
    <n v="0.97"/>
    <n v="23285.3"/>
    <n v="23.285"/>
    <d v="2024-11-01T00:00:00"/>
    <x v="0"/>
    <x v="1"/>
  </r>
  <r>
    <x v="12"/>
    <x v="11"/>
    <s v="Desember"/>
    <s v="Division_A"/>
    <x v="33"/>
    <n v="2016"/>
    <n v="8"/>
    <s v="TM-Utama"/>
    <n v="24"/>
    <n v="3317"/>
    <s v="138.2"/>
    <x v="0"/>
    <n v="1.242"/>
    <n v="29803.200000000001"/>
    <n v="29.803000000000001"/>
    <d v="2024-12-01T00:00:00"/>
    <x v="0"/>
    <x v="1"/>
  </r>
  <r>
    <x v="12"/>
    <x v="0"/>
    <s v="Januari"/>
    <s v="Division_A"/>
    <x v="34"/>
    <n v="2016"/>
    <n v="8"/>
    <s v="TM-Utama"/>
    <n v="17"/>
    <n v="2219"/>
    <s v="130.5"/>
    <x v="0"/>
    <n v="1.3089999999999999"/>
    <n v="22251"/>
    <n v="22.251000000000001"/>
    <d v="2024-01-01T00:00:00"/>
    <x v="0"/>
    <x v="1"/>
  </r>
  <r>
    <x v="12"/>
    <x v="1"/>
    <s v="Februari"/>
    <s v="Division_A"/>
    <x v="34"/>
    <n v="2016"/>
    <n v="8"/>
    <s v="TM-Utama"/>
    <n v="17"/>
    <n v="2219"/>
    <s v="130.5"/>
    <x v="0"/>
    <n v="1.387"/>
    <n v="23582.400000000001"/>
    <n v="23.582000000000001"/>
    <d v="2024-02-01T00:00:00"/>
    <x v="0"/>
    <x v="1"/>
  </r>
  <r>
    <x v="12"/>
    <x v="2"/>
    <s v="Maret"/>
    <s v="Division_A"/>
    <x v="34"/>
    <n v="2016"/>
    <n v="8"/>
    <s v="TM-Utama"/>
    <n v="17"/>
    <n v="2219"/>
    <s v="130.5"/>
    <x v="0"/>
    <n v="1.8779999999999999"/>
    <n v="31920.3"/>
    <n v="31.92"/>
    <d v="2024-03-01T00:00:00"/>
    <x v="0"/>
    <x v="1"/>
  </r>
  <r>
    <x v="12"/>
    <x v="3"/>
    <s v="April"/>
    <s v="Division_A"/>
    <x v="34"/>
    <n v="2016"/>
    <n v="8"/>
    <s v="TM-Utama"/>
    <n v="17"/>
    <n v="2219"/>
    <s v="130.5"/>
    <x v="0"/>
    <n v="1.7150000000000001"/>
    <n v="29157.7"/>
    <n v="29.158000000000001"/>
    <d v="2024-04-01T00:00:00"/>
    <x v="0"/>
    <x v="1"/>
  </r>
  <r>
    <x v="12"/>
    <x v="4"/>
    <s v="Mei"/>
    <s v="Division_A"/>
    <x v="34"/>
    <n v="2016"/>
    <n v="8"/>
    <s v="TM-Utama"/>
    <n v="17"/>
    <n v="2219"/>
    <s v="130.5"/>
    <x v="0"/>
    <n v="1.9930000000000001"/>
    <n v="33884.1"/>
    <n v="33.884"/>
    <d v="2024-05-01T00:00:00"/>
    <x v="0"/>
    <x v="1"/>
  </r>
  <r>
    <x v="12"/>
    <x v="5"/>
    <s v="Juni"/>
    <s v="Division_A"/>
    <x v="34"/>
    <n v="2016"/>
    <n v="8"/>
    <s v="TM-Utama"/>
    <n v="17"/>
    <n v="2219"/>
    <s v="130.5"/>
    <x v="0"/>
    <n v="2.1819999999999999"/>
    <n v="37096.1"/>
    <n v="37.095999999999997"/>
    <d v="2024-06-01T00:00:00"/>
    <x v="0"/>
    <x v="1"/>
  </r>
  <r>
    <x v="12"/>
    <x v="6"/>
    <s v="Juli"/>
    <s v="Division_A"/>
    <x v="34"/>
    <n v="2016"/>
    <n v="8"/>
    <s v="TM-Utama"/>
    <n v="17"/>
    <n v="2219"/>
    <s v="130.5"/>
    <x v="0"/>
    <n v="1.9990000000000001"/>
    <n v="33984"/>
    <n v="33.984000000000002"/>
    <d v="2024-07-01T00:00:00"/>
    <x v="0"/>
    <x v="1"/>
  </r>
  <r>
    <x v="12"/>
    <x v="7"/>
    <s v="Agustus"/>
    <s v="Division_A"/>
    <x v="34"/>
    <n v="2016"/>
    <n v="8"/>
    <s v="TM-Utama"/>
    <n v="17"/>
    <n v="2219"/>
    <s v="130.5"/>
    <x v="0"/>
    <n v="1.8069999999999999"/>
    <n v="30722.1"/>
    <n v="30.722000000000001"/>
    <d v="2024-08-01T00:00:00"/>
    <x v="0"/>
    <x v="1"/>
  </r>
  <r>
    <x v="12"/>
    <x v="8"/>
    <s v="September"/>
    <s v="Division_A"/>
    <x v="34"/>
    <n v="2016"/>
    <n v="8"/>
    <s v="TM-Utama"/>
    <n v="17"/>
    <n v="2219"/>
    <s v="130.5"/>
    <x v="0"/>
    <n v="1.9550000000000001"/>
    <n v="33235.1"/>
    <n v="33.234999999999999"/>
    <d v="2024-09-01T00:00:00"/>
    <x v="0"/>
    <x v="1"/>
  </r>
  <r>
    <x v="12"/>
    <x v="9"/>
    <s v="Oktober"/>
    <s v="Division_A"/>
    <x v="34"/>
    <n v="2016"/>
    <n v="8"/>
    <s v="TM-Utama"/>
    <n v="17"/>
    <n v="2219"/>
    <s v="130.5"/>
    <x v="0"/>
    <n v="1.2909999999999999"/>
    <n v="21951.5"/>
    <n v="21.951000000000001"/>
    <d v="2024-10-01T00:00:00"/>
    <x v="0"/>
    <x v="1"/>
  </r>
  <r>
    <x v="12"/>
    <x v="10"/>
    <s v="November"/>
    <s v="Division_A"/>
    <x v="34"/>
    <n v="2016"/>
    <n v="8"/>
    <s v="TM-Utama"/>
    <n v="17"/>
    <n v="2219"/>
    <s v="130.5"/>
    <x v="0"/>
    <n v="0.91600000000000004"/>
    <n v="15577.4"/>
    <n v="15.577"/>
    <d v="2024-11-01T00:00:00"/>
    <x v="0"/>
    <x v="1"/>
  </r>
  <r>
    <x v="12"/>
    <x v="11"/>
    <s v="Desember"/>
    <s v="Division_A"/>
    <x v="34"/>
    <n v="2016"/>
    <n v="8"/>
    <s v="TM-Utama"/>
    <n v="17"/>
    <n v="2219"/>
    <s v="130.5"/>
    <x v="0"/>
    <n v="1.173"/>
    <n v="19937.7"/>
    <n v="19.937999999999999"/>
    <d v="2024-12-01T00:00:00"/>
    <x v="0"/>
    <x v="1"/>
  </r>
  <r>
    <x v="12"/>
    <x v="0"/>
    <s v="Januari"/>
    <s v="Division_A"/>
    <x v="35"/>
    <n v="2016"/>
    <n v="8"/>
    <s v="TM-Utama"/>
    <n v="15"/>
    <n v="2142"/>
    <s v="142.8"/>
    <x v="0"/>
    <n v="1.4319999999999999"/>
    <n v="21478.9"/>
    <n v="21.478999999999999"/>
    <d v="2024-01-01T00:00:00"/>
    <x v="0"/>
    <x v="1"/>
  </r>
  <r>
    <x v="12"/>
    <x v="1"/>
    <s v="Februari"/>
    <s v="Division_A"/>
    <x v="35"/>
    <n v="2016"/>
    <n v="8"/>
    <s v="TM-Utama"/>
    <n v="15"/>
    <n v="2142"/>
    <s v="142.8"/>
    <x v="0"/>
    <n v="1.518"/>
    <n v="22764.1"/>
    <n v="22.763999999999999"/>
    <d v="2024-02-01T00:00:00"/>
    <x v="0"/>
    <x v="1"/>
  </r>
  <r>
    <x v="12"/>
    <x v="2"/>
    <s v="Maret"/>
    <s v="Division_A"/>
    <x v="35"/>
    <n v="2016"/>
    <n v="8"/>
    <s v="TM-Utama"/>
    <n v="15"/>
    <n v="2142"/>
    <s v="142.8"/>
    <x v="0"/>
    <n v="2.0539999999999998"/>
    <n v="30812.7"/>
    <n v="30.812999999999999"/>
    <d v="2024-03-01T00:00:00"/>
    <x v="0"/>
    <x v="1"/>
  </r>
  <r>
    <x v="12"/>
    <x v="3"/>
    <s v="April"/>
    <s v="Division_A"/>
    <x v="35"/>
    <n v="2016"/>
    <n v="8"/>
    <s v="TM-Utama"/>
    <n v="15"/>
    <n v="2142"/>
    <s v="142.8"/>
    <x v="0"/>
    <n v="1.8759999999999999"/>
    <n v="28145.9"/>
    <n v="28.146000000000001"/>
    <d v="2024-04-01T00:00:00"/>
    <x v="0"/>
    <x v="1"/>
  </r>
  <r>
    <x v="12"/>
    <x v="4"/>
    <s v="Mei"/>
    <s v="Division_A"/>
    <x v="35"/>
    <n v="2016"/>
    <n v="8"/>
    <s v="TM-Utama"/>
    <n v="15"/>
    <n v="2142"/>
    <s v="142.8"/>
    <x v="0"/>
    <n v="2.181"/>
    <n v="32708.3"/>
    <n v="32.707999999999998"/>
    <d v="2024-05-01T00:00:00"/>
    <x v="0"/>
    <x v="1"/>
  </r>
  <r>
    <x v="12"/>
    <x v="5"/>
    <s v="Juni"/>
    <s v="Division_A"/>
    <x v="35"/>
    <n v="2016"/>
    <n v="8"/>
    <s v="TM-Utama"/>
    <n v="15"/>
    <n v="2142"/>
    <s v="142.8"/>
    <x v="0"/>
    <n v="2.387"/>
    <n v="35808.9"/>
    <n v="35.808999999999997"/>
    <d v="2024-06-01T00:00:00"/>
    <x v="0"/>
    <x v="1"/>
  </r>
  <r>
    <x v="12"/>
    <x v="6"/>
    <s v="Juli"/>
    <s v="Division_A"/>
    <x v="35"/>
    <n v="2016"/>
    <n v="8"/>
    <s v="TM-Utama"/>
    <n v="15"/>
    <n v="2142"/>
    <s v="142.8"/>
    <x v="0"/>
    <n v="2.1869999999999998"/>
    <n v="32804.699999999997"/>
    <n v="32.805"/>
    <d v="2024-07-01T00:00:00"/>
    <x v="0"/>
    <x v="1"/>
  </r>
  <r>
    <x v="12"/>
    <x v="7"/>
    <s v="Agustus"/>
    <s v="Division_A"/>
    <x v="35"/>
    <n v="2016"/>
    <n v="8"/>
    <s v="TM-Utama"/>
    <n v="15"/>
    <n v="2142"/>
    <s v="142.8"/>
    <x v="0"/>
    <n v="1.9770000000000001"/>
    <n v="29656"/>
    <n v="29.655999999999999"/>
    <d v="2024-08-01T00:00:00"/>
    <x v="0"/>
    <x v="1"/>
  </r>
  <r>
    <x v="12"/>
    <x v="8"/>
    <s v="September"/>
    <s v="Division_A"/>
    <x v="35"/>
    <n v="2016"/>
    <n v="8"/>
    <s v="TM-Utama"/>
    <n v="15"/>
    <n v="2142"/>
    <s v="142.8"/>
    <x v="0"/>
    <n v="2.1389999999999998"/>
    <n v="32081.8"/>
    <n v="32.082000000000001"/>
    <d v="2024-09-01T00:00:00"/>
    <x v="0"/>
    <x v="1"/>
  </r>
  <r>
    <x v="12"/>
    <x v="9"/>
    <s v="Oktober"/>
    <s v="Division_A"/>
    <x v="35"/>
    <n v="2016"/>
    <n v="8"/>
    <s v="TM-Utama"/>
    <n v="15"/>
    <n v="2142"/>
    <s v="142.8"/>
    <x v="0"/>
    <n v="1.413"/>
    <n v="21189.7"/>
    <n v="21.19"/>
    <d v="2024-10-01T00:00:00"/>
    <x v="0"/>
    <x v="1"/>
  </r>
  <r>
    <x v="12"/>
    <x v="10"/>
    <s v="November"/>
    <s v="Division_A"/>
    <x v="35"/>
    <n v="2016"/>
    <n v="8"/>
    <s v="TM-Utama"/>
    <n v="15"/>
    <n v="2142"/>
    <s v="142.8"/>
    <x v="0"/>
    <n v="1.002"/>
    <n v="15036.8"/>
    <n v="15.037000000000001"/>
    <d v="2024-11-01T00:00:00"/>
    <x v="0"/>
    <x v="1"/>
  </r>
  <r>
    <x v="12"/>
    <x v="11"/>
    <s v="Desember"/>
    <s v="Division_A"/>
    <x v="35"/>
    <n v="2016"/>
    <n v="8"/>
    <s v="TM-Utama"/>
    <n v="15"/>
    <n v="2142"/>
    <s v="142.8"/>
    <x v="0"/>
    <n v="1.2829999999999999"/>
    <n v="19245.900000000001"/>
    <n v="19.245999999999999"/>
    <d v="2024-12-01T00:00:00"/>
    <x v="0"/>
    <x v="1"/>
  </r>
  <r>
    <x v="12"/>
    <x v="0"/>
    <s v="Januari"/>
    <s v="Division_A"/>
    <x v="36"/>
    <n v="2016"/>
    <n v="8"/>
    <s v="TM-Utama"/>
    <n v="24"/>
    <n v="3324"/>
    <s v="138.5"/>
    <x v="0"/>
    <n v="1.389"/>
    <n v="33331.4"/>
    <n v="33.331000000000003"/>
    <d v="2024-01-01T00:00:00"/>
    <x v="0"/>
    <x v="1"/>
  </r>
  <r>
    <x v="12"/>
    <x v="1"/>
    <s v="Februari"/>
    <s v="Division_A"/>
    <x v="36"/>
    <n v="2016"/>
    <n v="8"/>
    <s v="TM-Utama"/>
    <n v="24"/>
    <n v="3324"/>
    <s v="138.5"/>
    <x v="0"/>
    <n v="1.472"/>
    <n v="35325.800000000003"/>
    <n v="35.326000000000001"/>
    <d v="2024-02-01T00:00:00"/>
    <x v="0"/>
    <x v="1"/>
  </r>
  <r>
    <x v="12"/>
    <x v="2"/>
    <s v="Maret"/>
    <s v="Division_A"/>
    <x v="36"/>
    <n v="2016"/>
    <n v="8"/>
    <s v="TM-Utama"/>
    <n v="24"/>
    <n v="3324"/>
    <s v="138.5"/>
    <x v="0"/>
    <n v="1.992"/>
    <n v="47815.7"/>
    <n v="47.816000000000003"/>
    <d v="2024-03-01T00:00:00"/>
    <x v="0"/>
    <x v="1"/>
  </r>
  <r>
    <x v="12"/>
    <x v="3"/>
    <s v="April"/>
    <s v="Division_A"/>
    <x v="36"/>
    <n v="2016"/>
    <n v="8"/>
    <s v="TM-Utama"/>
    <n v="24"/>
    <n v="3324"/>
    <s v="138.5"/>
    <x v="0"/>
    <n v="1.82"/>
    <n v="43677.4"/>
    <n v="43.677"/>
    <d v="2024-04-01T00:00:00"/>
    <x v="0"/>
    <x v="1"/>
  </r>
  <r>
    <x v="12"/>
    <x v="4"/>
    <s v="Mei"/>
    <s v="Division_A"/>
    <x v="36"/>
    <n v="2016"/>
    <n v="8"/>
    <s v="TM-Utama"/>
    <n v="24"/>
    <n v="3324"/>
    <s v="138.5"/>
    <x v="0"/>
    <n v="2.1150000000000002"/>
    <n v="50757.5"/>
    <n v="50.756999999999998"/>
    <d v="2024-05-01T00:00:00"/>
    <x v="0"/>
    <x v="1"/>
  </r>
  <r>
    <x v="12"/>
    <x v="5"/>
    <s v="Juni"/>
    <s v="Division_A"/>
    <x v="36"/>
    <n v="2016"/>
    <n v="8"/>
    <s v="TM-Utama"/>
    <n v="24"/>
    <n v="3324"/>
    <s v="138.5"/>
    <x v="0"/>
    <n v="2.3149999999999999"/>
    <n v="55569"/>
    <n v="55.569000000000003"/>
    <d v="2024-06-01T00:00:00"/>
    <x v="0"/>
    <x v="1"/>
  </r>
  <r>
    <x v="12"/>
    <x v="6"/>
    <s v="Juli"/>
    <s v="Division_A"/>
    <x v="36"/>
    <n v="2016"/>
    <n v="8"/>
    <s v="TM-Utama"/>
    <n v="24"/>
    <n v="3324"/>
    <s v="138.5"/>
    <x v="0"/>
    <n v="2.121"/>
    <n v="50907.1"/>
    <n v="50.906999999999996"/>
    <d v="2024-07-01T00:00:00"/>
    <x v="0"/>
    <x v="1"/>
  </r>
  <r>
    <x v="12"/>
    <x v="7"/>
    <s v="Agustus"/>
    <s v="Division_A"/>
    <x v="36"/>
    <n v="2016"/>
    <n v="8"/>
    <s v="TM-Utama"/>
    <n v="24"/>
    <n v="3324"/>
    <s v="138.5"/>
    <x v="0"/>
    <n v="1.9179999999999999"/>
    <n v="46020.800000000003"/>
    <n v="46.021000000000001"/>
    <d v="2024-08-01T00:00:00"/>
    <x v="0"/>
    <x v="1"/>
  </r>
  <r>
    <x v="12"/>
    <x v="8"/>
    <s v="September"/>
    <s v="Division_A"/>
    <x v="36"/>
    <n v="2016"/>
    <n v="8"/>
    <s v="TM-Utama"/>
    <n v="24"/>
    <n v="3324"/>
    <s v="138.5"/>
    <x v="0"/>
    <n v="2.0739999999999998"/>
    <n v="49785.2"/>
    <n v="49.784999999999997"/>
    <d v="2024-09-01T00:00:00"/>
    <x v="0"/>
    <x v="1"/>
  </r>
  <r>
    <x v="12"/>
    <x v="9"/>
    <s v="Oktober"/>
    <s v="Division_A"/>
    <x v="36"/>
    <n v="2016"/>
    <n v="8"/>
    <s v="TM-Utama"/>
    <n v="24"/>
    <n v="3324"/>
    <s v="138.5"/>
    <x v="0"/>
    <n v="1.37"/>
    <n v="32882.699999999997"/>
    <n v="32.883000000000003"/>
    <d v="2024-10-01T00:00:00"/>
    <x v="0"/>
    <x v="1"/>
  </r>
  <r>
    <x v="12"/>
    <x v="10"/>
    <s v="November"/>
    <s v="Division_A"/>
    <x v="36"/>
    <n v="2016"/>
    <n v="8"/>
    <s v="TM-Utama"/>
    <n v="24"/>
    <n v="3324"/>
    <s v="138.5"/>
    <x v="0"/>
    <n v="0.97199999999999998"/>
    <n v="23334.5"/>
    <n v="23.334"/>
    <d v="2024-11-01T00:00:00"/>
    <x v="0"/>
    <x v="1"/>
  </r>
  <r>
    <x v="12"/>
    <x v="11"/>
    <s v="Desember"/>
    <s v="Division_A"/>
    <x v="36"/>
    <n v="2016"/>
    <n v="8"/>
    <s v="TM-Utama"/>
    <n v="24"/>
    <n v="3324"/>
    <s v="138.5"/>
    <x v="0"/>
    <n v="1.244"/>
    <n v="29866.1"/>
    <n v="29.866"/>
    <d v="2024-12-01T00:00:00"/>
    <x v="0"/>
    <x v="1"/>
  </r>
  <r>
    <x v="12"/>
    <x v="0"/>
    <s v="Januari"/>
    <s v="Division_A"/>
    <x v="37"/>
    <n v="2016"/>
    <n v="8"/>
    <s v="TM-Utama"/>
    <n v="20"/>
    <n v="2663"/>
    <s v="133.2"/>
    <x v="0"/>
    <n v="1.335"/>
    <n v="26703.200000000001"/>
    <n v="26.702999999999999"/>
    <d v="2024-01-01T00:00:00"/>
    <x v="0"/>
    <x v="1"/>
  </r>
  <r>
    <x v="12"/>
    <x v="1"/>
    <s v="Februari"/>
    <s v="Division_A"/>
    <x v="37"/>
    <n v="2016"/>
    <n v="8"/>
    <s v="TM-Utama"/>
    <n v="20"/>
    <n v="2663"/>
    <s v="133.2"/>
    <x v="0"/>
    <n v="1.415"/>
    <n v="28301"/>
    <n v="28.300999999999998"/>
    <d v="2024-02-01T00:00:00"/>
    <x v="0"/>
    <x v="1"/>
  </r>
  <r>
    <x v="12"/>
    <x v="2"/>
    <s v="Maret"/>
    <s v="Division_A"/>
    <x v="37"/>
    <n v="2016"/>
    <n v="8"/>
    <s v="TM-Utama"/>
    <n v="20"/>
    <n v="2663"/>
    <s v="133.2"/>
    <x v="0"/>
    <n v="1.915"/>
    <n v="38307.300000000003"/>
    <n v="38.307000000000002"/>
    <d v="2024-03-01T00:00:00"/>
    <x v="0"/>
    <x v="1"/>
  </r>
  <r>
    <x v="12"/>
    <x v="3"/>
    <s v="April"/>
    <s v="Division_A"/>
    <x v="37"/>
    <n v="2016"/>
    <n v="8"/>
    <s v="TM-Utama"/>
    <n v="20"/>
    <n v="2663"/>
    <s v="133.2"/>
    <x v="0"/>
    <n v="1.75"/>
    <n v="34991.800000000003"/>
    <n v="34.991999999999997"/>
    <d v="2024-04-01T00:00:00"/>
    <x v="0"/>
    <x v="1"/>
  </r>
  <r>
    <x v="12"/>
    <x v="4"/>
    <s v="Mei"/>
    <s v="Division_A"/>
    <x v="37"/>
    <n v="2016"/>
    <n v="8"/>
    <s v="TM-Utama"/>
    <n v="20"/>
    <n v="2663"/>
    <s v="133.2"/>
    <x v="0"/>
    <n v="2.0329999999999999"/>
    <n v="40664"/>
    <n v="40.664000000000001"/>
    <d v="2024-05-01T00:00:00"/>
    <x v="0"/>
    <x v="1"/>
  </r>
  <r>
    <x v="12"/>
    <x v="5"/>
    <s v="Juni"/>
    <s v="Division_A"/>
    <x v="37"/>
    <n v="2016"/>
    <n v="8"/>
    <s v="TM-Utama"/>
    <n v="20"/>
    <n v="2663"/>
    <s v="133.2"/>
    <x v="0"/>
    <n v="2.226"/>
    <n v="44518.7"/>
    <n v="44.518999999999998"/>
    <d v="2024-06-01T00:00:00"/>
    <x v="0"/>
    <x v="1"/>
  </r>
  <r>
    <x v="12"/>
    <x v="6"/>
    <s v="Juli"/>
    <s v="Division_A"/>
    <x v="37"/>
    <n v="2016"/>
    <n v="8"/>
    <s v="TM-Utama"/>
    <n v="20"/>
    <n v="2663"/>
    <s v="133.2"/>
    <x v="0"/>
    <n v="2.0390000000000001"/>
    <n v="40783.800000000003"/>
    <n v="40.783999999999999"/>
    <d v="2024-07-01T00:00:00"/>
    <x v="0"/>
    <x v="1"/>
  </r>
  <r>
    <x v="12"/>
    <x v="7"/>
    <s v="Agustus"/>
    <s v="Division_A"/>
    <x v="37"/>
    <n v="2016"/>
    <n v="8"/>
    <s v="TM-Utama"/>
    <n v="20"/>
    <n v="2663"/>
    <s v="133.2"/>
    <x v="0"/>
    <n v="1.843"/>
    <n v="36869.199999999997"/>
    <n v="36.869"/>
    <d v="2024-08-01T00:00:00"/>
    <x v="0"/>
    <x v="1"/>
  </r>
  <r>
    <x v="12"/>
    <x v="8"/>
    <s v="September"/>
    <s v="Division_A"/>
    <x v="37"/>
    <n v="2016"/>
    <n v="8"/>
    <s v="TM-Utama"/>
    <n v="20"/>
    <n v="2663"/>
    <s v="133.2"/>
    <x v="0"/>
    <n v="1.994"/>
    <n v="39885.1"/>
    <n v="39.884999999999998"/>
    <d v="2024-09-01T00:00:00"/>
    <x v="0"/>
    <x v="1"/>
  </r>
  <r>
    <x v="12"/>
    <x v="9"/>
    <s v="Oktober"/>
    <s v="Division_A"/>
    <x v="37"/>
    <n v="2016"/>
    <n v="8"/>
    <s v="TM-Utama"/>
    <n v="20"/>
    <n v="2663"/>
    <s v="133.2"/>
    <x v="0"/>
    <n v="1.3169999999999999"/>
    <n v="26343.7"/>
    <n v="26.344000000000001"/>
    <d v="2024-10-01T00:00:00"/>
    <x v="0"/>
    <x v="1"/>
  </r>
  <r>
    <x v="12"/>
    <x v="10"/>
    <s v="November"/>
    <s v="Division_A"/>
    <x v="37"/>
    <n v="2016"/>
    <n v="8"/>
    <s v="TM-Utama"/>
    <n v="20"/>
    <n v="2663"/>
    <s v="133.2"/>
    <x v="0"/>
    <n v="0.93500000000000005"/>
    <n v="18694.3"/>
    <n v="18.693999999999999"/>
    <d v="2024-11-01T00:00:00"/>
    <x v="0"/>
    <x v="1"/>
  </r>
  <r>
    <x v="12"/>
    <x v="11"/>
    <s v="Desember"/>
    <s v="Division_A"/>
    <x v="37"/>
    <n v="2016"/>
    <n v="8"/>
    <s v="TM-Utama"/>
    <n v="20"/>
    <n v="2663"/>
    <s v="133.2"/>
    <x v="0"/>
    <n v="1.196"/>
    <n v="23927.1"/>
    <n v="23.927"/>
    <d v="2024-12-01T00:00:00"/>
    <x v="0"/>
    <x v="1"/>
  </r>
  <r>
    <x v="12"/>
    <x v="0"/>
    <s v="Januari"/>
    <s v="Division_A"/>
    <x v="38"/>
    <n v="2016"/>
    <n v="8"/>
    <s v="TM-Utama"/>
    <n v="14"/>
    <n v="1746"/>
    <s v="124.7"/>
    <x v="0"/>
    <n v="1.2509999999999999"/>
    <n v="17508"/>
    <n v="17.507999999999999"/>
    <d v="2024-01-01T00:00:00"/>
    <x v="0"/>
    <x v="1"/>
  </r>
  <r>
    <x v="12"/>
    <x v="1"/>
    <s v="Februari"/>
    <s v="Division_A"/>
    <x v="38"/>
    <n v="2016"/>
    <n v="8"/>
    <s v="TM-Utama"/>
    <n v="14"/>
    <n v="1746"/>
    <s v="124.7"/>
    <x v="0"/>
    <n v="1.325"/>
    <n v="18555.599999999999"/>
    <n v="18.556000000000001"/>
    <d v="2024-02-01T00:00:00"/>
    <x v="0"/>
    <x v="1"/>
  </r>
  <r>
    <x v="12"/>
    <x v="2"/>
    <s v="Maret"/>
    <s v="Division_A"/>
    <x v="38"/>
    <n v="2016"/>
    <n v="8"/>
    <s v="TM-Utama"/>
    <n v="14"/>
    <n v="1746"/>
    <s v="124.7"/>
    <x v="0"/>
    <n v="1.794"/>
    <n v="25116.2"/>
    <n v="25.116"/>
    <d v="2024-03-01T00:00:00"/>
    <x v="0"/>
    <x v="1"/>
  </r>
  <r>
    <x v="12"/>
    <x v="3"/>
    <s v="April"/>
    <s v="Division_A"/>
    <x v="38"/>
    <n v="2016"/>
    <n v="8"/>
    <s v="TM-Utama"/>
    <n v="14"/>
    <n v="1746"/>
    <s v="124.7"/>
    <x v="0"/>
    <n v="1.639"/>
    <n v="22942.400000000001"/>
    <n v="22.942"/>
    <d v="2024-04-01T00:00:00"/>
    <x v="0"/>
    <x v="1"/>
  </r>
  <r>
    <x v="12"/>
    <x v="4"/>
    <s v="Mei"/>
    <s v="Division_A"/>
    <x v="38"/>
    <n v="2016"/>
    <n v="8"/>
    <s v="TM-Utama"/>
    <n v="14"/>
    <n v="1746"/>
    <s v="124.7"/>
    <x v="0"/>
    <n v="1.9039999999999999"/>
    <n v="26661.4"/>
    <n v="26.661000000000001"/>
    <d v="2024-05-01T00:00:00"/>
    <x v="0"/>
    <x v="1"/>
  </r>
  <r>
    <x v="12"/>
    <x v="5"/>
    <s v="Juni"/>
    <s v="Division_A"/>
    <x v="38"/>
    <n v="2016"/>
    <n v="8"/>
    <s v="TM-Utama"/>
    <n v="14"/>
    <n v="1746"/>
    <s v="124.7"/>
    <x v="0"/>
    <n v="2.085"/>
    <n v="29188.799999999999"/>
    <n v="29.189"/>
    <d v="2024-06-01T00:00:00"/>
    <x v="0"/>
    <x v="1"/>
  </r>
  <r>
    <x v="12"/>
    <x v="6"/>
    <s v="Juli"/>
    <s v="Division_A"/>
    <x v="38"/>
    <n v="2016"/>
    <n v="8"/>
    <s v="TM-Utama"/>
    <n v="14"/>
    <n v="1746"/>
    <s v="124.7"/>
    <x v="0"/>
    <n v="1.91"/>
    <n v="26740"/>
    <n v="26.74"/>
    <d v="2024-07-01T00:00:00"/>
    <x v="0"/>
    <x v="1"/>
  </r>
  <r>
    <x v="12"/>
    <x v="7"/>
    <s v="Agustus"/>
    <s v="Division_A"/>
    <x v="38"/>
    <n v="2016"/>
    <n v="8"/>
    <s v="TM-Utama"/>
    <n v="14"/>
    <n v="1746"/>
    <s v="124.7"/>
    <x v="0"/>
    <n v="1.7270000000000001"/>
    <n v="24173.4"/>
    <n v="24.172999999999998"/>
    <d v="2024-08-01T00:00:00"/>
    <x v="0"/>
    <x v="1"/>
  </r>
  <r>
    <x v="12"/>
    <x v="8"/>
    <s v="September"/>
    <s v="Division_A"/>
    <x v="38"/>
    <n v="2016"/>
    <n v="8"/>
    <s v="TM-Utama"/>
    <n v="14"/>
    <n v="1746"/>
    <s v="124.7"/>
    <x v="0"/>
    <n v="1.8680000000000001"/>
    <n v="26150.7"/>
    <n v="26.151"/>
    <d v="2024-09-01T00:00:00"/>
    <x v="0"/>
    <x v="1"/>
  </r>
  <r>
    <x v="12"/>
    <x v="9"/>
    <s v="Oktober"/>
    <s v="Division_A"/>
    <x v="38"/>
    <n v="2016"/>
    <n v="8"/>
    <s v="TM-Utama"/>
    <n v="14"/>
    <n v="1746"/>
    <s v="124.7"/>
    <x v="0"/>
    <n v="1.234"/>
    <n v="17272.3"/>
    <n v="17.271999999999998"/>
    <d v="2024-10-01T00:00:00"/>
    <x v="0"/>
    <x v="1"/>
  </r>
  <r>
    <x v="12"/>
    <x v="10"/>
    <s v="November"/>
    <s v="Division_A"/>
    <x v="38"/>
    <n v="2016"/>
    <n v="8"/>
    <s v="TM-Utama"/>
    <n v="14"/>
    <n v="1746"/>
    <s v="124.7"/>
    <x v="0"/>
    <n v="0.875"/>
    <n v="12256.9"/>
    <n v="12.257"/>
    <d v="2024-11-01T00:00:00"/>
    <x v="0"/>
    <x v="1"/>
  </r>
  <r>
    <x v="12"/>
    <x v="11"/>
    <s v="Desember"/>
    <s v="Division_A"/>
    <x v="38"/>
    <n v="2016"/>
    <n v="8"/>
    <s v="TM-Utama"/>
    <n v="14"/>
    <n v="1746"/>
    <s v="124.7"/>
    <x v="0"/>
    <n v="1.121"/>
    <n v="15687.8"/>
    <n v="15.688000000000001"/>
    <d v="2024-12-01T00:00:00"/>
    <x v="0"/>
    <x v="1"/>
  </r>
  <r>
    <x v="12"/>
    <x v="0"/>
    <s v="Januari"/>
    <s v="Division_A"/>
    <x v="39"/>
    <n v="2016"/>
    <n v="8"/>
    <s v="TM-Utama"/>
    <n v="24"/>
    <n v="3377"/>
    <s v="140.7"/>
    <x v="0"/>
    <n v="1.411"/>
    <n v="33862.9"/>
    <n v="33.863"/>
    <d v="2024-01-01T00:00:00"/>
    <x v="0"/>
    <x v="1"/>
  </r>
  <r>
    <x v="12"/>
    <x v="1"/>
    <s v="Februari"/>
    <s v="Division_A"/>
    <x v="39"/>
    <n v="2016"/>
    <n v="8"/>
    <s v="TM-Utama"/>
    <n v="24"/>
    <n v="3377"/>
    <s v="140.7"/>
    <x v="0"/>
    <n v="1.4950000000000001"/>
    <n v="35889.1"/>
    <n v="35.889000000000003"/>
    <d v="2024-02-01T00:00:00"/>
    <x v="0"/>
    <x v="1"/>
  </r>
  <r>
    <x v="12"/>
    <x v="2"/>
    <s v="Maret"/>
    <s v="Division_A"/>
    <x v="39"/>
    <n v="2016"/>
    <n v="8"/>
    <s v="TM-Utama"/>
    <n v="24"/>
    <n v="3377"/>
    <s v="140.7"/>
    <x v="0"/>
    <n v="2.024"/>
    <n v="48578.1"/>
    <n v="48.578000000000003"/>
    <d v="2024-03-01T00:00:00"/>
    <x v="0"/>
    <x v="1"/>
  </r>
  <r>
    <x v="12"/>
    <x v="3"/>
    <s v="April"/>
    <s v="Division_A"/>
    <x v="39"/>
    <n v="2016"/>
    <n v="8"/>
    <s v="TM-Utama"/>
    <n v="24"/>
    <n v="3377"/>
    <s v="140.7"/>
    <x v="0"/>
    <n v="1.849"/>
    <n v="44373.8"/>
    <n v="44.374000000000002"/>
    <d v="2024-04-01T00:00:00"/>
    <x v="0"/>
    <x v="1"/>
  </r>
  <r>
    <x v="12"/>
    <x v="4"/>
    <s v="Mei"/>
    <s v="Division_A"/>
    <x v="39"/>
    <n v="2016"/>
    <n v="8"/>
    <s v="TM-Utama"/>
    <n v="24"/>
    <n v="3377"/>
    <s v="140.7"/>
    <x v="0"/>
    <n v="2.149"/>
    <n v="51566.8"/>
    <n v="51.567"/>
    <d v="2024-05-01T00:00:00"/>
    <x v="0"/>
    <x v="1"/>
  </r>
  <r>
    <x v="12"/>
    <x v="5"/>
    <s v="Juni"/>
    <s v="Division_A"/>
    <x v="39"/>
    <n v="2016"/>
    <n v="8"/>
    <s v="TM-Utama"/>
    <n v="24"/>
    <n v="3377"/>
    <s v="140.7"/>
    <x v="0"/>
    <n v="2.3519999999999999"/>
    <n v="56455"/>
    <n v="56.454999999999998"/>
    <d v="2024-06-01T00:00:00"/>
    <x v="0"/>
    <x v="1"/>
  </r>
  <r>
    <x v="12"/>
    <x v="6"/>
    <s v="Juli"/>
    <s v="Division_A"/>
    <x v="39"/>
    <n v="2016"/>
    <n v="8"/>
    <s v="TM-Utama"/>
    <n v="24"/>
    <n v="3377"/>
    <s v="140.7"/>
    <x v="0"/>
    <n v="2.1549999999999998"/>
    <n v="51718.8"/>
    <n v="51.719000000000001"/>
    <d v="2024-07-01T00:00:00"/>
    <x v="0"/>
    <x v="1"/>
  </r>
  <r>
    <x v="12"/>
    <x v="7"/>
    <s v="Agustus"/>
    <s v="Division_A"/>
    <x v="39"/>
    <n v="2016"/>
    <n v="8"/>
    <s v="TM-Utama"/>
    <n v="24"/>
    <n v="3377"/>
    <s v="140.7"/>
    <x v="0"/>
    <n v="1.948"/>
    <n v="46754.6"/>
    <n v="46.755000000000003"/>
    <d v="2024-08-01T00:00:00"/>
    <x v="0"/>
    <x v="1"/>
  </r>
  <r>
    <x v="12"/>
    <x v="8"/>
    <s v="September"/>
    <s v="Division_A"/>
    <x v="39"/>
    <n v="2016"/>
    <n v="8"/>
    <s v="TM-Utama"/>
    <n v="24"/>
    <n v="3377"/>
    <s v="140.7"/>
    <x v="0"/>
    <n v="2.1070000000000002"/>
    <n v="50579"/>
    <n v="50.579000000000001"/>
    <d v="2024-09-01T00:00:00"/>
    <x v="0"/>
    <x v="1"/>
  </r>
  <r>
    <x v="12"/>
    <x v="9"/>
    <s v="Oktober"/>
    <s v="Division_A"/>
    <x v="39"/>
    <n v="2016"/>
    <n v="8"/>
    <s v="TM-Utama"/>
    <n v="24"/>
    <n v="3377"/>
    <s v="140.7"/>
    <x v="0"/>
    <n v="1.3919999999999999"/>
    <n v="33407"/>
    <n v="33.406999999999996"/>
    <d v="2024-10-01T00:00:00"/>
    <x v="0"/>
    <x v="1"/>
  </r>
  <r>
    <x v="12"/>
    <x v="10"/>
    <s v="November"/>
    <s v="Division_A"/>
    <x v="39"/>
    <n v="2016"/>
    <n v="8"/>
    <s v="TM-Utama"/>
    <n v="24"/>
    <n v="3377"/>
    <s v="140.7"/>
    <x v="0"/>
    <n v="0.98799999999999999"/>
    <n v="23706.5"/>
    <n v="23.707000000000001"/>
    <d v="2024-11-01T00:00:00"/>
    <x v="0"/>
    <x v="1"/>
  </r>
  <r>
    <x v="12"/>
    <x v="11"/>
    <s v="Desember"/>
    <s v="Division_A"/>
    <x v="39"/>
    <n v="2016"/>
    <n v="8"/>
    <s v="TM-Utama"/>
    <n v="24"/>
    <n v="3377"/>
    <s v="140.7"/>
    <x v="0"/>
    <n v="1.264"/>
    <n v="30342.3"/>
    <n v="30.341999999999999"/>
    <d v="2024-12-01T00:00:00"/>
    <x v="0"/>
    <x v="1"/>
  </r>
  <r>
    <x v="12"/>
    <x v="0"/>
    <s v="Januari"/>
    <s v="Division_A"/>
    <x v="40"/>
    <n v="2016"/>
    <n v="8"/>
    <s v="TM-Utama"/>
    <n v="25"/>
    <n v="3431"/>
    <s v="137.2"/>
    <x v="0"/>
    <n v="1.3759999999999999"/>
    <n v="34404.400000000001"/>
    <n v="34.404000000000003"/>
    <d v="2024-01-01T00:00:00"/>
    <x v="0"/>
    <x v="1"/>
  </r>
  <r>
    <x v="12"/>
    <x v="1"/>
    <s v="Februari"/>
    <s v="Division_A"/>
    <x v="40"/>
    <n v="2016"/>
    <n v="8"/>
    <s v="TM-Utama"/>
    <n v="25"/>
    <n v="3431"/>
    <s v="137.2"/>
    <x v="0"/>
    <n v="1.4590000000000001"/>
    <n v="36463"/>
    <n v="36.463000000000001"/>
    <d v="2024-02-01T00:00:00"/>
    <x v="0"/>
    <x v="1"/>
  </r>
  <r>
    <x v="12"/>
    <x v="2"/>
    <s v="Maret"/>
    <s v="Division_A"/>
    <x v="40"/>
    <n v="2016"/>
    <n v="8"/>
    <s v="TM-Utama"/>
    <n v="25"/>
    <n v="3431"/>
    <s v="137.2"/>
    <x v="0"/>
    <n v="1.974"/>
    <n v="49354.9"/>
    <n v="49.354999999999997"/>
    <d v="2024-03-01T00:00:00"/>
    <x v="0"/>
    <x v="1"/>
  </r>
  <r>
    <x v="12"/>
    <x v="3"/>
    <s v="April"/>
    <s v="Division_A"/>
    <x v="40"/>
    <n v="2016"/>
    <n v="8"/>
    <s v="TM-Utama"/>
    <n v="25"/>
    <n v="3431"/>
    <s v="137.2"/>
    <x v="0"/>
    <n v="1.8029999999999999"/>
    <n v="45083.3"/>
    <n v="45.082999999999998"/>
    <d v="2024-04-01T00:00:00"/>
    <x v="0"/>
    <x v="1"/>
  </r>
  <r>
    <x v="12"/>
    <x v="4"/>
    <s v="Mei"/>
    <s v="Division_A"/>
    <x v="40"/>
    <n v="2016"/>
    <n v="8"/>
    <s v="TM-Utama"/>
    <n v="25"/>
    <n v="3431"/>
    <s v="137.2"/>
    <x v="0"/>
    <n v="2.0960000000000001"/>
    <n v="52391.4"/>
    <n v="52.390999999999998"/>
    <d v="2024-05-01T00:00:00"/>
    <x v="0"/>
    <x v="1"/>
  </r>
  <r>
    <x v="12"/>
    <x v="5"/>
    <s v="Juni"/>
    <s v="Division_A"/>
    <x v="40"/>
    <n v="2016"/>
    <n v="8"/>
    <s v="TM-Utama"/>
    <n v="25"/>
    <n v="3431"/>
    <s v="137.2"/>
    <x v="0"/>
    <n v="2.294"/>
    <n v="57357.7"/>
    <n v="57.357999999999997"/>
    <d v="2024-06-01T00:00:00"/>
    <x v="0"/>
    <x v="1"/>
  </r>
  <r>
    <x v="12"/>
    <x v="6"/>
    <s v="Juli"/>
    <s v="Division_A"/>
    <x v="40"/>
    <n v="2016"/>
    <n v="8"/>
    <s v="TM-Utama"/>
    <n v="25"/>
    <n v="3431"/>
    <s v="137.2"/>
    <x v="0"/>
    <n v="2.1019999999999999"/>
    <n v="52545.8"/>
    <n v="52.545999999999999"/>
    <d v="2024-07-01T00:00:00"/>
    <x v="0"/>
    <x v="1"/>
  </r>
  <r>
    <x v="12"/>
    <x v="7"/>
    <s v="Agustus"/>
    <s v="Division_A"/>
    <x v="40"/>
    <n v="2016"/>
    <n v="8"/>
    <s v="TM-Utama"/>
    <n v="25"/>
    <n v="3431"/>
    <s v="137.2"/>
    <x v="0"/>
    <n v="1.9"/>
    <n v="47502.2"/>
    <n v="47.502000000000002"/>
    <d v="2024-08-01T00:00:00"/>
    <x v="0"/>
    <x v="1"/>
  </r>
  <r>
    <x v="12"/>
    <x v="8"/>
    <s v="September"/>
    <s v="Division_A"/>
    <x v="40"/>
    <n v="2016"/>
    <n v="8"/>
    <s v="TM-Utama"/>
    <n v="25"/>
    <n v="3431"/>
    <s v="137.2"/>
    <x v="0"/>
    <n v="2.056"/>
    <n v="51387.8"/>
    <n v="51.387999999999998"/>
    <d v="2024-09-01T00:00:00"/>
    <x v="0"/>
    <x v="1"/>
  </r>
  <r>
    <x v="12"/>
    <x v="9"/>
    <s v="Oktober"/>
    <s v="Division_A"/>
    <x v="40"/>
    <n v="2016"/>
    <n v="8"/>
    <s v="TM-Utama"/>
    <n v="25"/>
    <n v="3431"/>
    <s v="137.2"/>
    <x v="0"/>
    <n v="1.3580000000000001"/>
    <n v="33941.199999999997"/>
    <n v="33.941000000000003"/>
    <d v="2024-10-01T00:00:00"/>
    <x v="0"/>
    <x v="1"/>
  </r>
  <r>
    <x v="12"/>
    <x v="10"/>
    <s v="November"/>
    <s v="Division_A"/>
    <x v="40"/>
    <n v="2016"/>
    <n v="8"/>
    <s v="TM-Utama"/>
    <n v="25"/>
    <n v="3431"/>
    <s v="137.2"/>
    <x v="0"/>
    <n v="0.96299999999999997"/>
    <n v="24085.599999999999"/>
    <n v="24.085999999999999"/>
    <d v="2024-11-01T00:00:00"/>
    <x v="0"/>
    <x v="1"/>
  </r>
  <r>
    <x v="12"/>
    <x v="11"/>
    <s v="Desember"/>
    <s v="Division_A"/>
    <x v="40"/>
    <n v="2016"/>
    <n v="8"/>
    <s v="TM-Utama"/>
    <n v="25"/>
    <n v="3431"/>
    <s v="137.2"/>
    <x v="0"/>
    <n v="1.2330000000000001"/>
    <n v="30827.5"/>
    <n v="30.827999999999999"/>
    <d v="2024-12-01T00:00:00"/>
    <x v="0"/>
    <x v="1"/>
  </r>
  <r>
    <x v="12"/>
    <x v="0"/>
    <s v="Januari"/>
    <s v="Division_A"/>
    <x v="41"/>
    <n v="2016"/>
    <n v="8"/>
    <s v="TM-Utama"/>
    <n v="21"/>
    <n v="2901"/>
    <s v="138.1"/>
    <x v="0"/>
    <n v="1.385"/>
    <n v="29089.8"/>
    <n v="29.09"/>
    <d v="2024-01-01T00:00:00"/>
    <x v="0"/>
    <x v="1"/>
  </r>
  <r>
    <x v="12"/>
    <x v="1"/>
    <s v="Februari"/>
    <s v="Division_A"/>
    <x v="41"/>
    <n v="2016"/>
    <n v="8"/>
    <s v="TM-Utama"/>
    <n v="21"/>
    <n v="2901"/>
    <s v="138.1"/>
    <x v="0"/>
    <n v="1.468"/>
    <n v="30830.400000000001"/>
    <n v="30.83"/>
    <d v="2024-02-01T00:00:00"/>
    <x v="0"/>
    <x v="1"/>
  </r>
  <r>
    <x v="12"/>
    <x v="2"/>
    <s v="Maret"/>
    <s v="Division_A"/>
    <x v="41"/>
    <n v="2016"/>
    <n v="8"/>
    <s v="TM-Utama"/>
    <n v="21"/>
    <n v="2901"/>
    <s v="138.1"/>
    <x v="0"/>
    <n v="1.9870000000000001"/>
    <n v="41730.9"/>
    <n v="41.731000000000002"/>
    <d v="2024-03-01T00:00:00"/>
    <x v="0"/>
    <x v="1"/>
  </r>
  <r>
    <x v="12"/>
    <x v="3"/>
    <s v="April"/>
    <s v="Division_A"/>
    <x v="41"/>
    <n v="2016"/>
    <n v="8"/>
    <s v="TM-Utama"/>
    <n v="21"/>
    <n v="2901"/>
    <s v="138.1"/>
    <x v="0"/>
    <n v="1.8149999999999999"/>
    <n v="38119.1"/>
    <n v="38.119"/>
    <d v="2024-04-01T00:00:00"/>
    <x v="0"/>
    <x v="1"/>
  </r>
  <r>
    <x v="12"/>
    <x v="4"/>
    <s v="Mei"/>
    <s v="Division_A"/>
    <x v="41"/>
    <n v="2016"/>
    <n v="8"/>
    <s v="TM-Utama"/>
    <n v="21"/>
    <n v="2901"/>
    <s v="138.1"/>
    <x v="0"/>
    <n v="2.109"/>
    <n v="44298.3"/>
    <n v="44.298000000000002"/>
    <d v="2024-05-01T00:00:00"/>
    <x v="0"/>
    <x v="1"/>
  </r>
  <r>
    <x v="12"/>
    <x v="5"/>
    <s v="Juni"/>
    <s v="Division_A"/>
    <x v="41"/>
    <n v="2016"/>
    <n v="8"/>
    <s v="TM-Utama"/>
    <n v="21"/>
    <n v="2901"/>
    <s v="138.1"/>
    <x v="0"/>
    <n v="2.3090000000000002"/>
    <n v="48497.5"/>
    <n v="48.497"/>
    <d v="2024-06-01T00:00:00"/>
    <x v="0"/>
    <x v="1"/>
  </r>
  <r>
    <x v="12"/>
    <x v="6"/>
    <s v="Juli"/>
    <s v="Division_A"/>
    <x v="41"/>
    <n v="2016"/>
    <n v="8"/>
    <s v="TM-Utama"/>
    <n v="21"/>
    <n v="2901"/>
    <s v="138.1"/>
    <x v="0"/>
    <n v="2.1160000000000001"/>
    <n v="44428.800000000003"/>
    <n v="44.429000000000002"/>
    <d v="2024-07-01T00:00:00"/>
    <x v="0"/>
    <x v="1"/>
  </r>
  <r>
    <x v="12"/>
    <x v="7"/>
    <s v="Agustus"/>
    <s v="Division_A"/>
    <x v="41"/>
    <n v="2016"/>
    <n v="8"/>
    <s v="TM-Utama"/>
    <n v="21"/>
    <n v="2901"/>
    <s v="138.1"/>
    <x v="0"/>
    <n v="1.913"/>
    <n v="40164.300000000003"/>
    <n v="40.164000000000001"/>
    <d v="2024-08-01T00:00:00"/>
    <x v="0"/>
    <x v="1"/>
  </r>
  <r>
    <x v="12"/>
    <x v="8"/>
    <s v="September"/>
    <s v="Division_A"/>
    <x v="41"/>
    <n v="2016"/>
    <n v="8"/>
    <s v="TM-Utama"/>
    <n v="21"/>
    <n v="2901"/>
    <s v="138.1"/>
    <x v="0"/>
    <n v="2.069"/>
    <n v="43449.7"/>
    <n v="43.45"/>
    <d v="2024-09-01T00:00:00"/>
    <x v="0"/>
    <x v="1"/>
  </r>
  <r>
    <x v="12"/>
    <x v="9"/>
    <s v="Oktober"/>
    <s v="Division_A"/>
    <x v="41"/>
    <n v="2016"/>
    <n v="8"/>
    <s v="TM-Utama"/>
    <n v="21"/>
    <n v="2901"/>
    <s v="138.1"/>
    <x v="0"/>
    <n v="1.367"/>
    <n v="28698.1"/>
    <n v="28.698"/>
    <d v="2024-10-01T00:00:00"/>
    <x v="0"/>
    <x v="1"/>
  </r>
  <r>
    <x v="12"/>
    <x v="10"/>
    <s v="November"/>
    <s v="Division_A"/>
    <x v="41"/>
    <n v="2016"/>
    <n v="8"/>
    <s v="TM-Utama"/>
    <n v="21"/>
    <n v="2901"/>
    <s v="138.1"/>
    <x v="0"/>
    <n v="0.97"/>
    <n v="20365"/>
    <n v="20.364999999999998"/>
    <d v="2024-11-01T00:00:00"/>
    <x v="0"/>
    <x v="1"/>
  </r>
  <r>
    <x v="12"/>
    <x v="11"/>
    <s v="Desember"/>
    <s v="Division_A"/>
    <x v="41"/>
    <n v="2016"/>
    <n v="8"/>
    <s v="TM-Utama"/>
    <n v="21"/>
    <n v="2901"/>
    <s v="138.1"/>
    <x v="0"/>
    <n v="1.2410000000000001"/>
    <n v="26065.5"/>
    <n v="26.065000000000001"/>
    <d v="2024-12-01T00:00: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871FB-D04A-40CB-9B14-EE2DFF14B8D1}"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rowPageCount="1" colPageCount="1"/>
  <pivotFields count="18">
    <pivotField showAll="0">
      <items count="14">
        <item x="0"/>
        <item x="1"/>
        <item x="2"/>
        <item x="3"/>
        <item x="4"/>
        <item x="5"/>
        <item x="6"/>
        <item x="7"/>
        <item x="8"/>
        <item x="9"/>
        <item x="10"/>
        <item x="11"/>
        <item x="12"/>
        <item t="default"/>
      </items>
    </pivotField>
    <pivotField showAll="0"/>
    <pivotField showAll="0"/>
    <pivotField showAll="0"/>
    <pivotField axis="axisRow" showAll="0" measureFilter="1" sortType="descending">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5"/>
        <item x="31"/>
        <item x="36"/>
        <item x="37"/>
        <item x="38"/>
        <item x="39"/>
        <item x="32"/>
        <item x="40"/>
        <item x="41"/>
        <item x="33"/>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numFmtId="14" showAll="0"/>
    <pivotField axis="axisPage" showAll="0">
      <items count="3">
        <item x="1"/>
        <item x="0"/>
        <item t="default"/>
      </items>
    </pivotField>
    <pivotField showAll="0"/>
  </pivotFields>
  <rowFields count="1">
    <field x="4"/>
  </rowFields>
  <rowItems count="11">
    <i>
      <x v="6"/>
    </i>
    <i>
      <x v="31"/>
    </i>
    <i>
      <x v="32"/>
    </i>
    <i>
      <x v="37"/>
    </i>
    <i>
      <x v="36"/>
    </i>
    <i>
      <x v="33"/>
    </i>
    <i>
      <x v="9"/>
    </i>
    <i>
      <x v="40"/>
    </i>
    <i>
      <x v="24"/>
    </i>
    <i>
      <x v="39"/>
    </i>
    <i t="grand">
      <x/>
    </i>
  </rowItems>
  <colItems count="1">
    <i/>
  </colItems>
  <pageFields count="1">
    <pageField fld="16" item="1" hier="-1"/>
  </pageFields>
  <dataFields count="1">
    <dataField name="Avg Productivity" fld="12" subtotal="average" baseField="4"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B3E310-A562-4E90-9B8C-5C791D28541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8" firstHeaderRow="1" firstDataRow="2" firstDataCol="1" rowPageCount="1" colPageCount="1"/>
  <pivotFields count="18">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 showAll="0"/>
    <pivotField showAll="0"/>
    <pivotField numFmtId="14" showAll="0"/>
    <pivotField axis="axisPage" showAll="0">
      <items count="3">
        <item x="1"/>
        <item x="0"/>
        <item t="default"/>
      </items>
    </pivotField>
    <pivotField axis="axisCol" showAll="0">
      <items count="6">
        <item x="2"/>
        <item x="3"/>
        <item x="1"/>
        <item x="0"/>
        <item x="4"/>
        <item t="default"/>
      </items>
    </pivotField>
  </pivotFields>
  <rowFields count="1">
    <field x="11"/>
  </rowFields>
  <rowItems count="4">
    <i>
      <x/>
    </i>
    <i>
      <x v="1"/>
    </i>
    <i>
      <x v="2"/>
    </i>
    <i t="grand">
      <x/>
    </i>
  </rowItems>
  <colFields count="1">
    <field x="17"/>
  </colFields>
  <colItems count="5">
    <i>
      <x v="1"/>
    </i>
    <i>
      <x v="2"/>
    </i>
    <i>
      <x v="3"/>
    </i>
    <i>
      <x v="4"/>
    </i>
    <i t="grand">
      <x/>
    </i>
  </colItems>
  <pageFields count="1">
    <pageField fld="16" item="1" hier="-1"/>
  </pageFields>
  <dataFields count="1">
    <dataField name="Avg Productivity" fld="12" subtotal="average" baseField="11" baseItem="0" numFmtId="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7" count="1" selected="0">
            <x v="2"/>
          </reference>
        </references>
      </pivotArea>
    </chartFormat>
    <chartFormat chart="0" format="2" series="1">
      <pivotArea type="data" outline="0" fieldPosition="0">
        <references count="2">
          <reference field="4294967294" count="1" selected="0">
            <x v="0"/>
          </reference>
          <reference field="17" count="1" selected="0">
            <x v="3"/>
          </reference>
        </references>
      </pivotArea>
    </chartFormat>
    <chartFormat chart="0" format="3" series="1">
      <pivotArea type="data" outline="0" fieldPosition="0">
        <references count="2">
          <reference field="4294967294" count="1" selected="0">
            <x v="0"/>
          </reference>
          <reference field="17" count="1" selected="0">
            <x v="4"/>
          </reference>
        </references>
      </pivotArea>
    </chartFormat>
    <chartFormat chart="2" format="8" series="1">
      <pivotArea type="data" outline="0" fieldPosition="0">
        <references count="2">
          <reference field="4294967294" count="1" selected="0">
            <x v="0"/>
          </reference>
          <reference field="17" count="1" selected="0">
            <x v="1"/>
          </reference>
        </references>
      </pivotArea>
    </chartFormat>
    <chartFormat chart="2" format="9" series="1">
      <pivotArea type="data" outline="0" fieldPosition="0">
        <references count="2">
          <reference field="4294967294" count="1" selected="0">
            <x v="0"/>
          </reference>
          <reference field="17" count="1" selected="0">
            <x v="2"/>
          </reference>
        </references>
      </pivotArea>
    </chartFormat>
    <chartFormat chart="2" format="10" series="1">
      <pivotArea type="data" outline="0" fieldPosition="0">
        <references count="2">
          <reference field="4294967294" count="1" selected="0">
            <x v="0"/>
          </reference>
          <reference field="17" count="1" selected="0">
            <x v="3"/>
          </reference>
        </references>
      </pivotArea>
    </chartFormat>
    <chartFormat chart="2" format="11"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0187D-5D4C-48A5-91E3-3D6C23A8A5A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7" firstHeaderRow="1" firstDataRow="1" firstDataCol="1" rowPageCount="1" colPageCount="1"/>
  <pivotFields count="18">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numFmtId="14" showAll="0"/>
    <pivotField axis="axisPage" showAll="0">
      <items count="3">
        <item x="1"/>
        <item x="0"/>
        <item t="default"/>
      </items>
    </pivotField>
    <pivotField showAll="0"/>
  </pivotFields>
  <rowFields count="1">
    <field x="0"/>
  </rowFields>
  <rowItems count="14">
    <i>
      <x/>
    </i>
    <i>
      <x v="1"/>
    </i>
    <i>
      <x v="2"/>
    </i>
    <i>
      <x v="3"/>
    </i>
    <i>
      <x v="4"/>
    </i>
    <i>
      <x v="5"/>
    </i>
    <i>
      <x v="6"/>
    </i>
    <i>
      <x v="7"/>
    </i>
    <i>
      <x v="8"/>
    </i>
    <i>
      <x v="9"/>
    </i>
    <i>
      <x v="10"/>
    </i>
    <i>
      <x v="11"/>
    </i>
    <i>
      <x v="12"/>
    </i>
    <i t="grand">
      <x/>
    </i>
  </rowItems>
  <colItems count="1">
    <i/>
  </colItems>
  <pageFields count="1">
    <pageField fld="16" item="1" hier="-1"/>
  </pageFields>
  <dataFields count="1">
    <dataField name="Avg Productiovity" fld="12"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5E7DE0-2821-4F9B-B048-70F653ACD17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rowPageCount="1" colPageCount="1"/>
  <pivotFields count="18">
    <pivotField showAll="0">
      <items count="14">
        <item x="0"/>
        <item x="1"/>
        <item x="2"/>
        <item x="3"/>
        <item x="4"/>
        <item x="5"/>
        <item x="6"/>
        <item x="7"/>
        <item x="8"/>
        <item x="9"/>
        <item x="10"/>
        <item x="11"/>
        <item x="12"/>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numFmtId="14" showAll="0"/>
    <pivotField axis="axisPage" showAll="0">
      <items count="3">
        <item x="1"/>
        <item x="0"/>
        <item t="default"/>
      </items>
    </pivotField>
    <pivotField showAll="0"/>
  </pivotFields>
  <rowFields count="1">
    <field x="1"/>
  </rowFields>
  <rowItems count="13">
    <i>
      <x/>
    </i>
    <i>
      <x v="1"/>
    </i>
    <i>
      <x v="2"/>
    </i>
    <i>
      <x v="3"/>
    </i>
    <i>
      <x v="4"/>
    </i>
    <i>
      <x v="5"/>
    </i>
    <i>
      <x v="6"/>
    </i>
    <i>
      <x v="7"/>
    </i>
    <i>
      <x v="8"/>
    </i>
    <i>
      <x v="9"/>
    </i>
    <i>
      <x v="10"/>
    </i>
    <i>
      <x v="11"/>
    </i>
    <i t="grand">
      <x/>
    </i>
  </rowItems>
  <colItems count="1">
    <i/>
  </colItems>
  <pageFields count="1">
    <pageField fld="16" item="1" hier="-1"/>
  </pageFields>
  <dataFields count="1">
    <dataField name="Avg Productivity" fld="12"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F791D-3F92-4E90-BD0D-032411FD183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rowPageCount="1" colPageCount="1"/>
  <pivotFields count="18">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numFmtId="14" showAll="0"/>
    <pivotField axis="axisPage" showAll="0">
      <items count="3">
        <item x="1"/>
        <item x="0"/>
        <item t="default"/>
      </items>
    </pivotField>
    <pivotField axis="axisRow" showAll="0">
      <items count="6">
        <item x="2"/>
        <item x="3"/>
        <item x="1"/>
        <item x="0"/>
        <item x="4"/>
        <item t="default"/>
      </items>
    </pivotField>
  </pivotFields>
  <rowFields count="1">
    <field x="17"/>
  </rowFields>
  <rowItems count="5">
    <i>
      <x v="1"/>
    </i>
    <i>
      <x v="2"/>
    </i>
    <i>
      <x v="3"/>
    </i>
    <i>
      <x v="4"/>
    </i>
    <i t="grand">
      <x/>
    </i>
  </rowItems>
  <colItems count="1">
    <i/>
  </colItems>
  <pageFields count="1">
    <pageField fld="16" item="1" hier="-1"/>
  </pageFields>
  <dataFields count="1">
    <dataField name="Avg Productivity" fld="12" subtotal="average" baseField="17"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B9A61A-8F82-4328-900F-C44CE8DDABF0}" autoFormatId="16" applyNumberFormats="0" applyBorderFormats="0" applyFontFormats="0" applyPatternFormats="0" applyAlignmentFormats="0" applyWidthHeightFormats="0">
  <queryTableRefresh nextId="19">
    <queryTableFields count="18">
      <queryTableField id="1" name="Year" tableColumnId="1"/>
      <queryTableField id="2" name="Month_Number" tableColumnId="2"/>
      <queryTableField id="3" name="Month" tableColumnId="3"/>
      <queryTableField id="4" name="Division_ID" tableColumnId="4"/>
      <queryTableField id="5" name="Block_ID" tableColumnId="5"/>
      <queryTableField id="6" name="Planting_Year" tableColumnId="6"/>
      <queryTableField id="7" name="Plant_Age_Years" tableColumnId="7"/>
      <queryTableField id="8" name="Plant_Status" tableColumnId="8"/>
      <queryTableField id="9" name="Area_Ha" tableColumnId="9"/>
      <queryTableField id="10" name="Productive_Palms" tableColumnId="10"/>
      <queryTableField id="11" name="Palms_per_Ha" tableColumnId="11"/>
      <queryTableField id="12" name="Seed_Type" tableColumnId="12"/>
      <queryTableField id="13" name="Productivity_t_Ha" tableColumnId="13"/>
      <queryTableField id="14" name="FFB_Production_kg" tableColumnId="14"/>
      <queryTableField id="15" name="FFB_Production_t" tableColumnId="15"/>
      <queryTableField id="16" name="Date" tableColumnId="16"/>
      <queryTableField id="17" name="Is_Mature" tableColumnId="17"/>
      <queryTableField id="18" name="AgeGroup"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1E08CE-D3D1-4B41-AB64-3E159B87AFA4}" sourceName="Year">
  <pivotTables>
    <pivotTable tabId="4" name="PivotTable2"/>
    <pivotTable tabId="6" name="PivotTable4"/>
    <pivotTable tabId="5" name="PivotTable3"/>
    <pivotTable tabId="3" name="PivotTable1"/>
    <pivotTable tabId="7" name="PivotTable5"/>
  </pivotTables>
  <data>
    <tabular pivotCacheId="349387175">
      <items count="13">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ed_Type" xr10:uid="{714C95AA-3C84-4661-B360-22DC0160D532}" sourceName="Seed_Type">
  <pivotTables>
    <pivotTable tabId="4" name="PivotTable2"/>
    <pivotTable tabId="6" name="PivotTable4"/>
    <pivotTable tabId="5" name="PivotTable3"/>
    <pivotTable tabId="3" name="PivotTable1"/>
    <pivotTable tabId="7" name="PivotTable5"/>
  </pivotTables>
  <data>
    <tabular pivotCacheId="3493871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9587878-A736-46CF-8818-207E65CAF294}" cache="Slicer_Year" caption="Year" startItem="5" rowHeight="241300"/>
  <slicer name="Seed_Type" xr10:uid="{3EFFB151-D0C1-499B-9FCF-4915F125D424}" cache="Slicer_Seed_Type" caption="Seed_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3267D-783D-4D50-8B3B-CEC34D60C54E}" name="tblProd" displayName="tblProd" ref="A1:R6553" tableType="queryTable" totalsRowShown="0">
  <autoFilter ref="A1:R6553" xr:uid="{DAA3267D-783D-4D50-8B3B-CEC34D60C54E}"/>
  <tableColumns count="18">
    <tableColumn id="1" xr3:uid="{3F8E6338-3E5A-4332-9434-2F8001734A67}" uniqueName="1" name="Year" queryTableFieldId="1"/>
    <tableColumn id="2" xr3:uid="{AED347A8-5F36-4538-992C-313ADC679A9D}" uniqueName="2" name="Month_Number" queryTableFieldId="2"/>
    <tableColumn id="3" xr3:uid="{C678E550-D179-44BA-9F1B-665F7BE4A4D4}" uniqueName="3" name="Month" queryTableFieldId="3" dataDxfId="7"/>
    <tableColumn id="4" xr3:uid="{E48E1084-A969-4E42-AB7B-93874D77E1A5}" uniqueName="4" name="Division_ID" queryTableFieldId="4" dataDxfId="6"/>
    <tableColumn id="5" xr3:uid="{C44A030D-9CBB-4FEA-B4CF-CE2F6B7DA7EE}" uniqueName="5" name="Block_ID" queryTableFieldId="5" dataDxfId="5"/>
    <tableColumn id="6" xr3:uid="{5DCBF6DD-4D10-416B-81BC-EA8B325F2933}" uniqueName="6" name="Planting_Year" queryTableFieldId="6"/>
    <tableColumn id="7" xr3:uid="{53C1D27B-99BF-4671-9464-D5D11A76F2A1}" uniqueName="7" name="Plant_Age_Years" queryTableFieldId="7"/>
    <tableColumn id="8" xr3:uid="{FEE469E4-8421-4407-8D74-FAC02D0AAD01}" uniqueName="8" name="Plant_Status" queryTableFieldId="8" dataDxfId="4"/>
    <tableColumn id="9" xr3:uid="{3D1BF2FE-6A9B-4463-8793-E783B64DA6E3}" uniqueName="9" name="Area_Ha" queryTableFieldId="9"/>
    <tableColumn id="10" xr3:uid="{386E0B87-DBBA-428E-AE41-FB5F785891B7}" uniqueName="10" name="Productive_Palms" queryTableFieldId="10"/>
    <tableColumn id="11" xr3:uid="{C63AEEA3-BB29-4E14-88F0-B6D0ED554D2B}" uniqueName="11" name="Palms_per_Ha" queryTableFieldId="11" dataDxfId="3"/>
    <tableColumn id="12" xr3:uid="{55EB7073-9900-4574-81CC-8E0F4135DC7B}" uniqueName="12" name="Seed_Type" queryTableFieldId="12" dataDxfId="2"/>
    <tableColumn id="13" xr3:uid="{D933E684-68BA-4BF7-9E9D-F70AE3CE5397}" uniqueName="13" name="Productivity_t_Ha" queryTableFieldId="13"/>
    <tableColumn id="14" xr3:uid="{CEA45394-6380-41DB-83DE-1DE2F27690A1}" uniqueName="14" name="FFB_Production_kg" queryTableFieldId="14"/>
    <tableColumn id="15" xr3:uid="{FA2B9863-E6DA-4F11-B367-F34470082B5F}" uniqueName="15" name="FFB_Production_t" queryTableFieldId="15"/>
    <tableColumn id="16" xr3:uid="{BD486E48-997E-4DE5-8960-5F3762D925F4}" uniqueName="16" name="Date" queryTableFieldId="16" dataDxfId="1"/>
    <tableColumn id="17" xr3:uid="{7A2D7770-435B-455F-A4B1-D382D3FA4803}" uniqueName="17" name="Is_Mature" queryTableFieldId="17"/>
    <tableColumn id="18" xr3:uid="{4F6A7989-82A7-4EDA-AFB1-9E47A239FA9A}" uniqueName="18" name="AgeGroup"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A320-7DB0-4741-808F-1610844F098D}">
  <dimension ref="B1:H59"/>
  <sheetViews>
    <sheetView showGridLines="0" tabSelected="1" topLeftCell="A19" zoomScale="40" zoomScaleNormal="40" workbookViewId="0">
      <selection activeCell="B65" sqref="B65"/>
    </sheetView>
  </sheetViews>
  <sheetFormatPr defaultRowHeight="15" x14ac:dyDescent="0.25"/>
  <cols>
    <col min="2" max="2" width="19.5703125" customWidth="1"/>
    <col min="3" max="3" width="4.42578125" customWidth="1"/>
    <col min="4" max="4" width="21.7109375" customWidth="1"/>
    <col min="5" max="5" width="6" customWidth="1"/>
    <col min="6" max="6" width="9" customWidth="1"/>
    <col min="7" max="7" width="6.5703125" customWidth="1"/>
    <col min="8" max="8" width="15" customWidth="1"/>
  </cols>
  <sheetData>
    <row r="1" spans="2:8" x14ac:dyDescent="0.25">
      <c r="B1" s="13" t="s">
        <v>137</v>
      </c>
      <c r="C1" s="13"/>
      <c r="D1" s="13"/>
      <c r="E1" s="13"/>
      <c r="F1" s="13"/>
      <c r="G1" s="13"/>
      <c r="H1" s="13"/>
    </row>
    <row r="3" spans="2:8" ht="37.5" customHeight="1" x14ac:dyDescent="0.25">
      <c r="B3" s="7" t="s">
        <v>138</v>
      </c>
      <c r="C3" s="6"/>
      <c r="D3" s="8" t="s">
        <v>139</v>
      </c>
      <c r="E3" s="6"/>
      <c r="F3" s="9" t="s">
        <v>140</v>
      </c>
      <c r="G3" s="6"/>
      <c r="H3" s="10" t="s">
        <v>141</v>
      </c>
    </row>
    <row r="4" spans="2:8" x14ac:dyDescent="0.25">
      <c r="B4" s="14">
        <f>SUM(tblProd[FFB_Production_t])</f>
        <v>144056.97900000043</v>
      </c>
      <c r="C4" s="12"/>
      <c r="D4" s="11">
        <f>AVERAGEIFS(tblProd[Productivity_t_Ha],tblProd[Is_Mature],1)</f>
        <v>1.3728259680134665</v>
      </c>
      <c r="E4" s="12"/>
      <c r="F4" s="14">
        <f>COUNTA(_xlfn.UNIQUE(tblProd[Block_ID]))</f>
        <v>42</v>
      </c>
      <c r="G4" s="12"/>
      <c r="H4" s="14">
        <f>SUMIFS(tblProd[Area_Ha],tblProd[Year],2024,tblProd[Month_Number],12)</f>
        <v>920</v>
      </c>
    </row>
    <row r="58" spans="2:2" x14ac:dyDescent="0.25">
      <c r="B58" t="s">
        <v>142</v>
      </c>
    </row>
    <row r="59" spans="2:2" x14ac:dyDescent="0.25">
      <c r="B59" t="s">
        <v>143</v>
      </c>
    </row>
  </sheetData>
  <mergeCells count="1">
    <mergeCell ref="B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7A15-9C7E-40F2-BD0B-681D752540F9}">
  <dimension ref="A1:R6553"/>
  <sheetViews>
    <sheetView topLeftCell="A2" workbookViewId="0">
      <selection activeCell="D11" sqref="D11"/>
    </sheetView>
  </sheetViews>
  <sheetFormatPr defaultRowHeight="15" x14ac:dyDescent="0.25"/>
  <cols>
    <col min="1" max="1" width="7.28515625" bestFit="1" customWidth="1"/>
    <col min="2" max="2" width="17.7109375" bestFit="1" customWidth="1"/>
    <col min="3" max="3" width="10.85546875" bestFit="1" customWidth="1"/>
    <col min="4" max="4" width="13.28515625" bestFit="1" customWidth="1"/>
    <col min="5" max="5" width="10.85546875" bestFit="1" customWidth="1"/>
    <col min="6" max="6" width="15.7109375" bestFit="1" customWidth="1"/>
    <col min="7" max="7" width="18.28515625" bestFit="1" customWidth="1"/>
    <col min="8" max="8" width="14.28515625" bestFit="1" customWidth="1"/>
    <col min="9" max="9" width="10.7109375" bestFit="1" customWidth="1"/>
    <col min="10" max="10" width="19.28515625" bestFit="1" customWidth="1"/>
    <col min="11" max="11" width="16" bestFit="1" customWidth="1"/>
    <col min="12" max="12" width="13" bestFit="1" customWidth="1"/>
    <col min="13" max="13" width="19.140625" bestFit="1" customWidth="1"/>
    <col min="14" max="14" width="20.42578125" bestFit="1" customWidth="1"/>
    <col min="15" max="15" width="19" bestFit="1" customWidth="1"/>
    <col min="16" max="16" width="10.7109375" bestFit="1" customWidth="1"/>
    <col min="17" max="18" width="12.28515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2012</v>
      </c>
      <c r="B2">
        <v>1</v>
      </c>
      <c r="C2" s="1" t="s">
        <v>18</v>
      </c>
      <c r="D2" s="1" t="s">
        <v>19</v>
      </c>
      <c r="E2" s="1" t="s">
        <v>20</v>
      </c>
      <c r="F2">
        <v>2000</v>
      </c>
      <c r="G2">
        <v>12</v>
      </c>
      <c r="H2" s="1" t="s">
        <v>21</v>
      </c>
      <c r="I2">
        <v>19</v>
      </c>
      <c r="J2">
        <v>1490</v>
      </c>
      <c r="K2" s="1" t="s">
        <v>22</v>
      </c>
      <c r="L2" s="1" t="s">
        <v>23</v>
      </c>
      <c r="M2">
        <v>1.585</v>
      </c>
      <c r="N2">
        <v>30116.5</v>
      </c>
      <c r="O2">
        <v>30.117000000000001</v>
      </c>
      <c r="P2" s="2">
        <v>40909</v>
      </c>
      <c r="Q2">
        <v>1</v>
      </c>
      <c r="R2" s="1" t="s">
        <v>24</v>
      </c>
    </row>
    <row r="3" spans="1:18" x14ac:dyDescent="0.25">
      <c r="A3">
        <v>2012</v>
      </c>
      <c r="B3">
        <v>2</v>
      </c>
      <c r="C3" s="1" t="s">
        <v>25</v>
      </c>
      <c r="D3" s="1" t="s">
        <v>19</v>
      </c>
      <c r="E3" s="1" t="s">
        <v>20</v>
      </c>
      <c r="F3">
        <v>2000</v>
      </c>
      <c r="G3">
        <v>12</v>
      </c>
      <c r="H3" s="1" t="s">
        <v>21</v>
      </c>
      <c r="I3">
        <v>19</v>
      </c>
      <c r="J3">
        <v>1490</v>
      </c>
      <c r="K3" s="1" t="s">
        <v>22</v>
      </c>
      <c r="L3" s="1" t="s">
        <v>23</v>
      </c>
      <c r="M3">
        <v>1.3</v>
      </c>
      <c r="N3">
        <v>24695</v>
      </c>
      <c r="O3">
        <v>24.695</v>
      </c>
      <c r="P3" s="2">
        <v>40940</v>
      </c>
      <c r="Q3">
        <v>1</v>
      </c>
      <c r="R3" s="1" t="s">
        <v>24</v>
      </c>
    </row>
    <row r="4" spans="1:18" x14ac:dyDescent="0.25">
      <c r="A4">
        <v>2012</v>
      </c>
      <c r="B4">
        <v>3</v>
      </c>
      <c r="C4" s="1" t="s">
        <v>26</v>
      </c>
      <c r="D4" s="1" t="s">
        <v>19</v>
      </c>
      <c r="E4" s="1" t="s">
        <v>20</v>
      </c>
      <c r="F4">
        <v>2000</v>
      </c>
      <c r="G4">
        <v>12</v>
      </c>
      <c r="H4" s="1" t="s">
        <v>21</v>
      </c>
      <c r="I4">
        <v>19</v>
      </c>
      <c r="J4">
        <v>1490</v>
      </c>
      <c r="K4" s="1" t="s">
        <v>22</v>
      </c>
      <c r="L4" s="1" t="s">
        <v>23</v>
      </c>
      <c r="M4">
        <v>1.478</v>
      </c>
      <c r="N4">
        <v>28081.599999999999</v>
      </c>
      <c r="O4">
        <v>28.082000000000001</v>
      </c>
      <c r="P4" s="2">
        <v>40969</v>
      </c>
      <c r="Q4">
        <v>1</v>
      </c>
      <c r="R4" s="1" t="s">
        <v>24</v>
      </c>
    </row>
    <row r="5" spans="1:18" x14ac:dyDescent="0.25">
      <c r="A5">
        <v>2012</v>
      </c>
      <c r="B5">
        <v>4</v>
      </c>
      <c r="C5" s="1" t="s">
        <v>27</v>
      </c>
      <c r="D5" s="1" t="s">
        <v>19</v>
      </c>
      <c r="E5" s="1" t="s">
        <v>20</v>
      </c>
      <c r="F5">
        <v>2000</v>
      </c>
      <c r="G5">
        <v>12</v>
      </c>
      <c r="H5" s="1" t="s">
        <v>21</v>
      </c>
      <c r="I5">
        <v>19</v>
      </c>
      <c r="J5">
        <v>1490</v>
      </c>
      <c r="K5" s="1" t="s">
        <v>22</v>
      </c>
      <c r="L5" s="1" t="s">
        <v>23</v>
      </c>
      <c r="M5">
        <v>1.8360000000000001</v>
      </c>
      <c r="N5">
        <v>34884</v>
      </c>
      <c r="O5">
        <v>34.884</v>
      </c>
      <c r="P5" s="2">
        <v>41000</v>
      </c>
      <c r="Q5">
        <v>1</v>
      </c>
      <c r="R5" s="1" t="s">
        <v>24</v>
      </c>
    </row>
    <row r="6" spans="1:18" x14ac:dyDescent="0.25">
      <c r="A6">
        <v>2012</v>
      </c>
      <c r="B6">
        <v>5</v>
      </c>
      <c r="C6" s="1" t="s">
        <v>28</v>
      </c>
      <c r="D6" s="1" t="s">
        <v>19</v>
      </c>
      <c r="E6" s="1" t="s">
        <v>20</v>
      </c>
      <c r="F6">
        <v>2000</v>
      </c>
      <c r="G6">
        <v>12</v>
      </c>
      <c r="H6" s="1" t="s">
        <v>21</v>
      </c>
      <c r="I6">
        <v>19</v>
      </c>
      <c r="J6">
        <v>1490</v>
      </c>
      <c r="K6" s="1" t="s">
        <v>22</v>
      </c>
      <c r="L6" s="1" t="s">
        <v>23</v>
      </c>
      <c r="M6">
        <v>2.27</v>
      </c>
      <c r="N6">
        <v>43125.3</v>
      </c>
      <c r="O6">
        <v>43.125</v>
      </c>
      <c r="P6" s="2">
        <v>41030</v>
      </c>
      <c r="Q6">
        <v>1</v>
      </c>
      <c r="R6" s="1" t="s">
        <v>24</v>
      </c>
    </row>
    <row r="7" spans="1:18" x14ac:dyDescent="0.25">
      <c r="A7">
        <v>2012</v>
      </c>
      <c r="B7">
        <v>6</v>
      </c>
      <c r="C7" s="1" t="s">
        <v>29</v>
      </c>
      <c r="D7" s="1" t="s">
        <v>19</v>
      </c>
      <c r="E7" s="1" t="s">
        <v>20</v>
      </c>
      <c r="F7">
        <v>2000</v>
      </c>
      <c r="G7">
        <v>12</v>
      </c>
      <c r="H7" s="1" t="s">
        <v>21</v>
      </c>
      <c r="I7">
        <v>19</v>
      </c>
      <c r="J7">
        <v>1490</v>
      </c>
      <c r="K7" s="1" t="s">
        <v>22</v>
      </c>
      <c r="L7" s="1" t="s">
        <v>23</v>
      </c>
      <c r="M7">
        <v>2.2210000000000001</v>
      </c>
      <c r="N7">
        <v>42195.1</v>
      </c>
      <c r="O7">
        <v>42.195</v>
      </c>
      <c r="P7" s="2">
        <v>41061</v>
      </c>
      <c r="Q7">
        <v>1</v>
      </c>
      <c r="R7" s="1" t="s">
        <v>24</v>
      </c>
    </row>
    <row r="8" spans="1:18" x14ac:dyDescent="0.25">
      <c r="A8">
        <v>2012</v>
      </c>
      <c r="B8">
        <v>7</v>
      </c>
      <c r="C8" s="1" t="s">
        <v>30</v>
      </c>
      <c r="D8" s="1" t="s">
        <v>19</v>
      </c>
      <c r="E8" s="1" t="s">
        <v>20</v>
      </c>
      <c r="F8">
        <v>2000</v>
      </c>
      <c r="G8">
        <v>12</v>
      </c>
      <c r="H8" s="1" t="s">
        <v>21</v>
      </c>
      <c r="I8">
        <v>19</v>
      </c>
      <c r="J8">
        <v>1490</v>
      </c>
      <c r="K8" s="1" t="s">
        <v>22</v>
      </c>
      <c r="L8" s="1" t="s">
        <v>23</v>
      </c>
      <c r="M8">
        <v>3.0550000000000002</v>
      </c>
      <c r="N8">
        <v>58038.3</v>
      </c>
      <c r="O8">
        <v>58.037999999999997</v>
      </c>
      <c r="P8" s="2">
        <v>41091</v>
      </c>
      <c r="Q8">
        <v>1</v>
      </c>
      <c r="R8" s="1" t="s">
        <v>24</v>
      </c>
    </row>
    <row r="9" spans="1:18" x14ac:dyDescent="0.25">
      <c r="A9">
        <v>2012</v>
      </c>
      <c r="B9">
        <v>8</v>
      </c>
      <c r="C9" s="1" t="s">
        <v>31</v>
      </c>
      <c r="D9" s="1" t="s">
        <v>19</v>
      </c>
      <c r="E9" s="1" t="s">
        <v>20</v>
      </c>
      <c r="F9">
        <v>2000</v>
      </c>
      <c r="G9">
        <v>12</v>
      </c>
      <c r="H9" s="1" t="s">
        <v>21</v>
      </c>
      <c r="I9">
        <v>19</v>
      </c>
      <c r="J9">
        <v>1490</v>
      </c>
      <c r="K9" s="1" t="s">
        <v>22</v>
      </c>
      <c r="L9" s="1" t="s">
        <v>23</v>
      </c>
      <c r="M9">
        <v>2.4039999999999999</v>
      </c>
      <c r="N9">
        <v>45669</v>
      </c>
      <c r="O9">
        <v>45.668999999999997</v>
      </c>
      <c r="P9" s="2">
        <v>41122</v>
      </c>
      <c r="Q9">
        <v>1</v>
      </c>
      <c r="R9" s="1" t="s">
        <v>24</v>
      </c>
    </row>
    <row r="10" spans="1:18" x14ac:dyDescent="0.25">
      <c r="A10">
        <v>2012</v>
      </c>
      <c r="B10">
        <v>9</v>
      </c>
      <c r="C10" s="1" t="s">
        <v>32</v>
      </c>
      <c r="D10" s="1" t="s">
        <v>19</v>
      </c>
      <c r="E10" s="1" t="s">
        <v>20</v>
      </c>
      <c r="F10">
        <v>2000</v>
      </c>
      <c r="G10">
        <v>12</v>
      </c>
      <c r="H10" s="1" t="s">
        <v>21</v>
      </c>
      <c r="I10">
        <v>19</v>
      </c>
      <c r="J10">
        <v>1490</v>
      </c>
      <c r="K10" s="1" t="s">
        <v>22</v>
      </c>
      <c r="L10" s="1" t="s">
        <v>23</v>
      </c>
      <c r="M10">
        <v>2.3690000000000002</v>
      </c>
      <c r="N10">
        <v>45014.9</v>
      </c>
      <c r="O10">
        <v>45.015000000000001</v>
      </c>
      <c r="P10" s="2">
        <v>41153</v>
      </c>
      <c r="Q10">
        <v>1</v>
      </c>
      <c r="R10" s="1" t="s">
        <v>24</v>
      </c>
    </row>
    <row r="11" spans="1:18" x14ac:dyDescent="0.25">
      <c r="A11">
        <v>2012</v>
      </c>
      <c r="B11">
        <v>10</v>
      </c>
      <c r="C11" s="1" t="s">
        <v>33</v>
      </c>
      <c r="D11" s="1" t="s">
        <v>19</v>
      </c>
      <c r="E11" s="1" t="s">
        <v>20</v>
      </c>
      <c r="F11">
        <v>2000</v>
      </c>
      <c r="G11">
        <v>12</v>
      </c>
      <c r="H11" s="1" t="s">
        <v>21</v>
      </c>
      <c r="I11">
        <v>19</v>
      </c>
      <c r="J11">
        <v>1490</v>
      </c>
      <c r="K11" s="1" t="s">
        <v>22</v>
      </c>
      <c r="L11" s="1" t="s">
        <v>23</v>
      </c>
      <c r="M11">
        <v>1.6970000000000001</v>
      </c>
      <c r="N11">
        <v>32238.6</v>
      </c>
      <c r="O11">
        <v>32.238999999999997</v>
      </c>
      <c r="P11" s="2">
        <v>41183</v>
      </c>
      <c r="Q11">
        <v>1</v>
      </c>
      <c r="R11" s="1" t="s">
        <v>24</v>
      </c>
    </row>
    <row r="12" spans="1:18" x14ac:dyDescent="0.25">
      <c r="A12">
        <v>2012</v>
      </c>
      <c r="B12">
        <v>11</v>
      </c>
      <c r="C12" s="1" t="s">
        <v>34</v>
      </c>
      <c r="D12" s="1" t="s">
        <v>19</v>
      </c>
      <c r="E12" s="1" t="s">
        <v>20</v>
      </c>
      <c r="F12">
        <v>2000</v>
      </c>
      <c r="G12">
        <v>12</v>
      </c>
      <c r="H12" s="1" t="s">
        <v>21</v>
      </c>
      <c r="I12">
        <v>19</v>
      </c>
      <c r="J12">
        <v>1490</v>
      </c>
      <c r="K12" s="1" t="s">
        <v>22</v>
      </c>
      <c r="L12" s="1" t="s">
        <v>23</v>
      </c>
      <c r="M12">
        <v>1.8029999999999999</v>
      </c>
      <c r="N12">
        <v>34259</v>
      </c>
      <c r="O12">
        <v>34.259</v>
      </c>
      <c r="P12" s="2">
        <v>41214</v>
      </c>
      <c r="Q12">
        <v>1</v>
      </c>
      <c r="R12" s="1" t="s">
        <v>24</v>
      </c>
    </row>
    <row r="13" spans="1:18" x14ac:dyDescent="0.25">
      <c r="A13">
        <v>2012</v>
      </c>
      <c r="B13">
        <v>12</v>
      </c>
      <c r="C13" s="1" t="s">
        <v>35</v>
      </c>
      <c r="D13" s="1" t="s">
        <v>19</v>
      </c>
      <c r="E13" s="1" t="s">
        <v>20</v>
      </c>
      <c r="F13">
        <v>2000</v>
      </c>
      <c r="G13">
        <v>12</v>
      </c>
      <c r="H13" s="1" t="s">
        <v>21</v>
      </c>
      <c r="I13">
        <v>19</v>
      </c>
      <c r="J13">
        <v>1490</v>
      </c>
      <c r="K13" s="1" t="s">
        <v>22</v>
      </c>
      <c r="L13" s="1" t="s">
        <v>23</v>
      </c>
      <c r="M13">
        <v>2.1949999999999998</v>
      </c>
      <c r="N13">
        <v>41700.9</v>
      </c>
      <c r="O13">
        <v>41.701000000000001</v>
      </c>
      <c r="P13" s="2">
        <v>41244</v>
      </c>
      <c r="Q13">
        <v>1</v>
      </c>
      <c r="R13" s="1" t="s">
        <v>24</v>
      </c>
    </row>
    <row r="14" spans="1:18" x14ac:dyDescent="0.25">
      <c r="A14">
        <v>2012</v>
      </c>
      <c r="B14">
        <v>1</v>
      </c>
      <c r="C14" s="1" t="s">
        <v>18</v>
      </c>
      <c r="D14" s="1" t="s">
        <v>19</v>
      </c>
      <c r="E14" s="1" t="s">
        <v>36</v>
      </c>
      <c r="F14">
        <v>2000</v>
      </c>
      <c r="G14">
        <v>12</v>
      </c>
      <c r="H14" s="1" t="s">
        <v>21</v>
      </c>
      <c r="I14">
        <v>24</v>
      </c>
      <c r="J14">
        <v>1675</v>
      </c>
      <c r="K14" s="1" t="s">
        <v>37</v>
      </c>
      <c r="L14" s="1" t="s">
        <v>23</v>
      </c>
      <c r="M14">
        <v>1.585</v>
      </c>
      <c r="N14">
        <v>38041.9</v>
      </c>
      <c r="O14">
        <v>38.042000000000002</v>
      </c>
      <c r="P14" s="2">
        <v>40909</v>
      </c>
      <c r="Q14">
        <v>1</v>
      </c>
      <c r="R14" s="1" t="s">
        <v>24</v>
      </c>
    </row>
    <row r="15" spans="1:18" x14ac:dyDescent="0.25">
      <c r="A15">
        <v>2012</v>
      </c>
      <c r="B15">
        <v>2</v>
      </c>
      <c r="C15" s="1" t="s">
        <v>25</v>
      </c>
      <c r="D15" s="1" t="s">
        <v>19</v>
      </c>
      <c r="E15" s="1" t="s">
        <v>36</v>
      </c>
      <c r="F15">
        <v>2000</v>
      </c>
      <c r="G15">
        <v>12</v>
      </c>
      <c r="H15" s="1" t="s">
        <v>21</v>
      </c>
      <c r="I15">
        <v>24</v>
      </c>
      <c r="J15">
        <v>1675</v>
      </c>
      <c r="K15" s="1" t="s">
        <v>37</v>
      </c>
      <c r="L15" s="1" t="s">
        <v>23</v>
      </c>
      <c r="M15">
        <v>1.3</v>
      </c>
      <c r="N15">
        <v>31193.599999999999</v>
      </c>
      <c r="O15">
        <v>31.193999999999999</v>
      </c>
      <c r="P15" s="2">
        <v>40940</v>
      </c>
      <c r="Q15">
        <v>1</v>
      </c>
      <c r="R15" s="1" t="s">
        <v>24</v>
      </c>
    </row>
    <row r="16" spans="1:18" x14ac:dyDescent="0.25">
      <c r="A16">
        <v>2012</v>
      </c>
      <c r="B16">
        <v>3</v>
      </c>
      <c r="C16" s="1" t="s">
        <v>26</v>
      </c>
      <c r="D16" s="1" t="s">
        <v>19</v>
      </c>
      <c r="E16" s="1" t="s">
        <v>36</v>
      </c>
      <c r="F16">
        <v>2000</v>
      </c>
      <c r="G16">
        <v>12</v>
      </c>
      <c r="H16" s="1" t="s">
        <v>21</v>
      </c>
      <c r="I16">
        <v>24</v>
      </c>
      <c r="J16">
        <v>1675</v>
      </c>
      <c r="K16" s="1" t="s">
        <v>37</v>
      </c>
      <c r="L16" s="1" t="s">
        <v>23</v>
      </c>
      <c r="M16">
        <v>1.478</v>
      </c>
      <c r="N16">
        <v>35471.5</v>
      </c>
      <c r="O16">
        <v>35.472000000000001</v>
      </c>
      <c r="P16" s="2">
        <v>40969</v>
      </c>
      <c r="Q16">
        <v>1</v>
      </c>
      <c r="R16" s="1" t="s">
        <v>24</v>
      </c>
    </row>
    <row r="17" spans="1:18" x14ac:dyDescent="0.25">
      <c r="A17">
        <v>2012</v>
      </c>
      <c r="B17">
        <v>4</v>
      </c>
      <c r="C17" s="1" t="s">
        <v>27</v>
      </c>
      <c r="D17" s="1" t="s">
        <v>19</v>
      </c>
      <c r="E17" s="1" t="s">
        <v>36</v>
      </c>
      <c r="F17">
        <v>2000</v>
      </c>
      <c r="G17">
        <v>12</v>
      </c>
      <c r="H17" s="1" t="s">
        <v>21</v>
      </c>
      <c r="I17">
        <v>24</v>
      </c>
      <c r="J17">
        <v>1675</v>
      </c>
      <c r="K17" s="1" t="s">
        <v>37</v>
      </c>
      <c r="L17" s="1" t="s">
        <v>23</v>
      </c>
      <c r="M17">
        <v>1.8360000000000001</v>
      </c>
      <c r="N17">
        <v>44064</v>
      </c>
      <c r="O17">
        <v>44.064</v>
      </c>
      <c r="P17" s="2">
        <v>41000</v>
      </c>
      <c r="Q17">
        <v>1</v>
      </c>
      <c r="R17" s="1" t="s">
        <v>24</v>
      </c>
    </row>
    <row r="18" spans="1:18" x14ac:dyDescent="0.25">
      <c r="A18">
        <v>2012</v>
      </c>
      <c r="B18">
        <v>5</v>
      </c>
      <c r="C18" s="1" t="s">
        <v>28</v>
      </c>
      <c r="D18" s="1" t="s">
        <v>19</v>
      </c>
      <c r="E18" s="1" t="s">
        <v>36</v>
      </c>
      <c r="F18">
        <v>2000</v>
      </c>
      <c r="G18">
        <v>12</v>
      </c>
      <c r="H18" s="1" t="s">
        <v>21</v>
      </c>
      <c r="I18">
        <v>24</v>
      </c>
      <c r="J18">
        <v>1675</v>
      </c>
      <c r="K18" s="1" t="s">
        <v>37</v>
      </c>
      <c r="L18" s="1" t="s">
        <v>23</v>
      </c>
      <c r="M18">
        <v>2.27</v>
      </c>
      <c r="N18">
        <v>54474.1</v>
      </c>
      <c r="O18">
        <v>54.473999999999997</v>
      </c>
      <c r="P18" s="2">
        <v>41030</v>
      </c>
      <c r="Q18">
        <v>1</v>
      </c>
      <c r="R18" s="1" t="s">
        <v>24</v>
      </c>
    </row>
    <row r="19" spans="1:18" x14ac:dyDescent="0.25">
      <c r="A19">
        <v>2012</v>
      </c>
      <c r="B19">
        <v>6</v>
      </c>
      <c r="C19" s="1" t="s">
        <v>29</v>
      </c>
      <c r="D19" s="1" t="s">
        <v>19</v>
      </c>
      <c r="E19" s="1" t="s">
        <v>36</v>
      </c>
      <c r="F19">
        <v>2000</v>
      </c>
      <c r="G19">
        <v>12</v>
      </c>
      <c r="H19" s="1" t="s">
        <v>21</v>
      </c>
      <c r="I19">
        <v>24</v>
      </c>
      <c r="J19">
        <v>1675</v>
      </c>
      <c r="K19" s="1" t="s">
        <v>37</v>
      </c>
      <c r="L19" s="1" t="s">
        <v>23</v>
      </c>
      <c r="M19">
        <v>2.2210000000000001</v>
      </c>
      <c r="N19">
        <v>53299.1</v>
      </c>
      <c r="O19">
        <v>53.298999999999999</v>
      </c>
      <c r="P19" s="2">
        <v>41061</v>
      </c>
      <c r="Q19">
        <v>1</v>
      </c>
      <c r="R19" s="1" t="s">
        <v>24</v>
      </c>
    </row>
    <row r="20" spans="1:18" x14ac:dyDescent="0.25">
      <c r="A20">
        <v>2012</v>
      </c>
      <c r="B20">
        <v>7</v>
      </c>
      <c r="C20" s="1" t="s">
        <v>30</v>
      </c>
      <c r="D20" s="1" t="s">
        <v>19</v>
      </c>
      <c r="E20" s="1" t="s">
        <v>36</v>
      </c>
      <c r="F20">
        <v>2000</v>
      </c>
      <c r="G20">
        <v>12</v>
      </c>
      <c r="H20" s="1" t="s">
        <v>21</v>
      </c>
      <c r="I20">
        <v>24</v>
      </c>
      <c r="J20">
        <v>1675</v>
      </c>
      <c r="K20" s="1" t="s">
        <v>37</v>
      </c>
      <c r="L20" s="1" t="s">
        <v>23</v>
      </c>
      <c r="M20">
        <v>3.0550000000000002</v>
      </c>
      <c r="N20">
        <v>73311.5</v>
      </c>
      <c r="O20">
        <v>73.311000000000007</v>
      </c>
      <c r="P20" s="2">
        <v>41091</v>
      </c>
      <c r="Q20">
        <v>1</v>
      </c>
      <c r="R20" s="1" t="s">
        <v>24</v>
      </c>
    </row>
    <row r="21" spans="1:18" x14ac:dyDescent="0.25">
      <c r="A21">
        <v>2012</v>
      </c>
      <c r="B21">
        <v>8</v>
      </c>
      <c r="C21" s="1" t="s">
        <v>31</v>
      </c>
      <c r="D21" s="1" t="s">
        <v>19</v>
      </c>
      <c r="E21" s="1" t="s">
        <v>36</v>
      </c>
      <c r="F21">
        <v>2000</v>
      </c>
      <c r="G21">
        <v>12</v>
      </c>
      <c r="H21" s="1" t="s">
        <v>21</v>
      </c>
      <c r="I21">
        <v>24</v>
      </c>
      <c r="J21">
        <v>1675</v>
      </c>
      <c r="K21" s="1" t="s">
        <v>37</v>
      </c>
      <c r="L21" s="1" t="s">
        <v>23</v>
      </c>
      <c r="M21">
        <v>2.4039999999999999</v>
      </c>
      <c r="N21">
        <v>57687.1</v>
      </c>
      <c r="O21">
        <v>57.686999999999998</v>
      </c>
      <c r="P21" s="2">
        <v>41122</v>
      </c>
      <c r="Q21">
        <v>1</v>
      </c>
      <c r="R21" s="1" t="s">
        <v>24</v>
      </c>
    </row>
    <row r="22" spans="1:18" x14ac:dyDescent="0.25">
      <c r="A22">
        <v>2012</v>
      </c>
      <c r="B22">
        <v>9</v>
      </c>
      <c r="C22" s="1" t="s">
        <v>32</v>
      </c>
      <c r="D22" s="1" t="s">
        <v>19</v>
      </c>
      <c r="E22" s="1" t="s">
        <v>36</v>
      </c>
      <c r="F22">
        <v>2000</v>
      </c>
      <c r="G22">
        <v>12</v>
      </c>
      <c r="H22" s="1" t="s">
        <v>21</v>
      </c>
      <c r="I22">
        <v>24</v>
      </c>
      <c r="J22">
        <v>1675</v>
      </c>
      <c r="K22" s="1" t="s">
        <v>37</v>
      </c>
      <c r="L22" s="1" t="s">
        <v>23</v>
      </c>
      <c r="M22">
        <v>2.3690000000000002</v>
      </c>
      <c r="N22">
        <v>56860.9</v>
      </c>
      <c r="O22">
        <v>56.860999999999997</v>
      </c>
      <c r="P22" s="2">
        <v>41153</v>
      </c>
      <c r="Q22">
        <v>1</v>
      </c>
      <c r="R22" s="1" t="s">
        <v>24</v>
      </c>
    </row>
    <row r="23" spans="1:18" x14ac:dyDescent="0.25">
      <c r="A23">
        <v>2012</v>
      </c>
      <c r="B23">
        <v>10</v>
      </c>
      <c r="C23" s="1" t="s">
        <v>33</v>
      </c>
      <c r="D23" s="1" t="s">
        <v>19</v>
      </c>
      <c r="E23" s="1" t="s">
        <v>36</v>
      </c>
      <c r="F23">
        <v>2000</v>
      </c>
      <c r="G23">
        <v>12</v>
      </c>
      <c r="H23" s="1" t="s">
        <v>21</v>
      </c>
      <c r="I23">
        <v>24</v>
      </c>
      <c r="J23">
        <v>1675</v>
      </c>
      <c r="K23" s="1" t="s">
        <v>37</v>
      </c>
      <c r="L23" s="1" t="s">
        <v>23</v>
      </c>
      <c r="M23">
        <v>1.6970000000000001</v>
      </c>
      <c r="N23">
        <v>40722.5</v>
      </c>
      <c r="O23">
        <v>40.722000000000001</v>
      </c>
      <c r="P23" s="2">
        <v>41183</v>
      </c>
      <c r="Q23">
        <v>1</v>
      </c>
      <c r="R23" s="1" t="s">
        <v>24</v>
      </c>
    </row>
    <row r="24" spans="1:18" x14ac:dyDescent="0.25">
      <c r="A24">
        <v>2012</v>
      </c>
      <c r="B24">
        <v>11</v>
      </c>
      <c r="C24" s="1" t="s">
        <v>34</v>
      </c>
      <c r="D24" s="1" t="s">
        <v>19</v>
      </c>
      <c r="E24" s="1" t="s">
        <v>36</v>
      </c>
      <c r="F24">
        <v>2000</v>
      </c>
      <c r="G24">
        <v>12</v>
      </c>
      <c r="H24" s="1" t="s">
        <v>21</v>
      </c>
      <c r="I24">
        <v>24</v>
      </c>
      <c r="J24">
        <v>1675</v>
      </c>
      <c r="K24" s="1" t="s">
        <v>37</v>
      </c>
      <c r="L24" s="1" t="s">
        <v>23</v>
      </c>
      <c r="M24">
        <v>1.8029999999999999</v>
      </c>
      <c r="N24">
        <v>43274.5</v>
      </c>
      <c r="O24">
        <v>43.274999999999999</v>
      </c>
      <c r="P24" s="2">
        <v>41214</v>
      </c>
      <c r="Q24">
        <v>1</v>
      </c>
      <c r="R24" s="1" t="s">
        <v>24</v>
      </c>
    </row>
    <row r="25" spans="1:18" x14ac:dyDescent="0.25">
      <c r="A25">
        <v>2012</v>
      </c>
      <c r="B25">
        <v>12</v>
      </c>
      <c r="C25" s="1" t="s">
        <v>35</v>
      </c>
      <c r="D25" s="1" t="s">
        <v>19</v>
      </c>
      <c r="E25" s="1" t="s">
        <v>36</v>
      </c>
      <c r="F25">
        <v>2000</v>
      </c>
      <c r="G25">
        <v>12</v>
      </c>
      <c r="H25" s="1" t="s">
        <v>21</v>
      </c>
      <c r="I25">
        <v>24</v>
      </c>
      <c r="J25">
        <v>1675</v>
      </c>
      <c r="K25" s="1" t="s">
        <v>37</v>
      </c>
      <c r="L25" s="1" t="s">
        <v>23</v>
      </c>
      <c r="M25">
        <v>2.1949999999999998</v>
      </c>
      <c r="N25">
        <v>52674.8</v>
      </c>
      <c r="O25">
        <v>52.674999999999997</v>
      </c>
      <c r="P25" s="2">
        <v>41244</v>
      </c>
      <c r="Q25">
        <v>1</v>
      </c>
      <c r="R25" s="1" t="s">
        <v>24</v>
      </c>
    </row>
    <row r="26" spans="1:18" x14ac:dyDescent="0.25">
      <c r="A26">
        <v>2012</v>
      </c>
      <c r="B26">
        <v>1</v>
      </c>
      <c r="C26" s="1" t="s">
        <v>18</v>
      </c>
      <c r="D26" s="1" t="s">
        <v>19</v>
      </c>
      <c r="E26" s="1" t="s">
        <v>38</v>
      </c>
      <c r="F26">
        <v>2005</v>
      </c>
      <c r="G26">
        <v>7</v>
      </c>
      <c r="H26" s="1" t="s">
        <v>21</v>
      </c>
      <c r="I26">
        <v>18</v>
      </c>
      <c r="J26">
        <v>1922</v>
      </c>
      <c r="K26" s="1" t="s">
        <v>39</v>
      </c>
      <c r="L26" s="1" t="s">
        <v>23</v>
      </c>
      <c r="M26">
        <v>1.659</v>
      </c>
      <c r="N26">
        <v>29867.9</v>
      </c>
      <c r="O26">
        <v>29.867999999999999</v>
      </c>
      <c r="P26" s="2">
        <v>40909</v>
      </c>
      <c r="Q26">
        <v>1</v>
      </c>
      <c r="R26" s="1" t="s">
        <v>40</v>
      </c>
    </row>
    <row r="27" spans="1:18" x14ac:dyDescent="0.25">
      <c r="A27">
        <v>2012</v>
      </c>
      <c r="B27">
        <v>2</v>
      </c>
      <c r="C27" s="1" t="s">
        <v>25</v>
      </c>
      <c r="D27" s="1" t="s">
        <v>19</v>
      </c>
      <c r="E27" s="1" t="s">
        <v>38</v>
      </c>
      <c r="F27">
        <v>2005</v>
      </c>
      <c r="G27">
        <v>7</v>
      </c>
      <c r="H27" s="1" t="s">
        <v>21</v>
      </c>
      <c r="I27">
        <v>18</v>
      </c>
      <c r="J27">
        <v>1922</v>
      </c>
      <c r="K27" s="1" t="s">
        <v>39</v>
      </c>
      <c r="L27" s="1" t="s">
        <v>23</v>
      </c>
      <c r="M27">
        <v>1.361</v>
      </c>
      <c r="N27">
        <v>24491.1</v>
      </c>
      <c r="O27">
        <v>24.491</v>
      </c>
      <c r="P27" s="2">
        <v>40940</v>
      </c>
      <c r="Q27">
        <v>1</v>
      </c>
      <c r="R27" s="1" t="s">
        <v>40</v>
      </c>
    </row>
    <row r="28" spans="1:18" x14ac:dyDescent="0.25">
      <c r="A28">
        <v>2012</v>
      </c>
      <c r="B28">
        <v>3</v>
      </c>
      <c r="C28" s="1" t="s">
        <v>26</v>
      </c>
      <c r="D28" s="1" t="s">
        <v>19</v>
      </c>
      <c r="E28" s="1" t="s">
        <v>38</v>
      </c>
      <c r="F28">
        <v>2005</v>
      </c>
      <c r="G28">
        <v>7</v>
      </c>
      <c r="H28" s="1" t="s">
        <v>21</v>
      </c>
      <c r="I28">
        <v>18</v>
      </c>
      <c r="J28">
        <v>1922</v>
      </c>
      <c r="K28" s="1" t="s">
        <v>39</v>
      </c>
      <c r="L28" s="1" t="s">
        <v>23</v>
      </c>
      <c r="M28">
        <v>1.5469999999999999</v>
      </c>
      <c r="N28">
        <v>27849.8</v>
      </c>
      <c r="O28">
        <v>27.85</v>
      </c>
      <c r="P28" s="2">
        <v>40969</v>
      </c>
      <c r="Q28">
        <v>1</v>
      </c>
      <c r="R28" s="1" t="s">
        <v>40</v>
      </c>
    </row>
    <row r="29" spans="1:18" x14ac:dyDescent="0.25">
      <c r="A29">
        <v>2012</v>
      </c>
      <c r="B29">
        <v>4</v>
      </c>
      <c r="C29" s="1" t="s">
        <v>27</v>
      </c>
      <c r="D29" s="1" t="s">
        <v>19</v>
      </c>
      <c r="E29" s="1" t="s">
        <v>38</v>
      </c>
      <c r="F29">
        <v>2005</v>
      </c>
      <c r="G29">
        <v>7</v>
      </c>
      <c r="H29" s="1" t="s">
        <v>21</v>
      </c>
      <c r="I29">
        <v>18</v>
      </c>
      <c r="J29">
        <v>1922</v>
      </c>
      <c r="K29" s="1" t="s">
        <v>39</v>
      </c>
      <c r="L29" s="1" t="s">
        <v>23</v>
      </c>
      <c r="M29">
        <v>1.9219999999999999</v>
      </c>
      <c r="N29">
        <v>34596</v>
      </c>
      <c r="O29">
        <v>34.595999999999997</v>
      </c>
      <c r="P29" s="2">
        <v>41000</v>
      </c>
      <c r="Q29">
        <v>1</v>
      </c>
      <c r="R29" s="1" t="s">
        <v>40</v>
      </c>
    </row>
    <row r="30" spans="1:18" x14ac:dyDescent="0.25">
      <c r="A30">
        <v>2012</v>
      </c>
      <c r="B30">
        <v>5</v>
      </c>
      <c r="C30" s="1" t="s">
        <v>28</v>
      </c>
      <c r="D30" s="1" t="s">
        <v>19</v>
      </c>
      <c r="E30" s="1" t="s">
        <v>38</v>
      </c>
      <c r="F30">
        <v>2005</v>
      </c>
      <c r="G30">
        <v>7</v>
      </c>
      <c r="H30" s="1" t="s">
        <v>21</v>
      </c>
      <c r="I30">
        <v>18</v>
      </c>
      <c r="J30">
        <v>1922</v>
      </c>
      <c r="K30" s="1" t="s">
        <v>39</v>
      </c>
      <c r="L30" s="1" t="s">
        <v>23</v>
      </c>
      <c r="M30">
        <v>2.3759999999999999</v>
      </c>
      <c r="N30">
        <v>42769.3</v>
      </c>
      <c r="O30">
        <v>42.768999999999998</v>
      </c>
      <c r="P30" s="2">
        <v>41030</v>
      </c>
      <c r="Q30">
        <v>1</v>
      </c>
      <c r="R30" s="1" t="s">
        <v>40</v>
      </c>
    </row>
    <row r="31" spans="1:18" x14ac:dyDescent="0.25">
      <c r="A31">
        <v>2012</v>
      </c>
      <c r="B31">
        <v>6</v>
      </c>
      <c r="C31" s="1" t="s">
        <v>29</v>
      </c>
      <c r="D31" s="1" t="s">
        <v>19</v>
      </c>
      <c r="E31" s="1" t="s">
        <v>38</v>
      </c>
      <c r="F31">
        <v>2005</v>
      </c>
      <c r="G31">
        <v>7</v>
      </c>
      <c r="H31" s="1" t="s">
        <v>21</v>
      </c>
      <c r="I31">
        <v>18</v>
      </c>
      <c r="J31">
        <v>1922</v>
      </c>
      <c r="K31" s="1" t="s">
        <v>39</v>
      </c>
      <c r="L31" s="1" t="s">
        <v>23</v>
      </c>
      <c r="M31">
        <v>2.3250000000000002</v>
      </c>
      <c r="N31">
        <v>41846.699999999997</v>
      </c>
      <c r="O31">
        <v>41.847000000000001</v>
      </c>
      <c r="P31" s="2">
        <v>41061</v>
      </c>
      <c r="Q31">
        <v>1</v>
      </c>
      <c r="R31" s="1" t="s">
        <v>40</v>
      </c>
    </row>
    <row r="32" spans="1:18" x14ac:dyDescent="0.25">
      <c r="A32">
        <v>2012</v>
      </c>
      <c r="B32">
        <v>7</v>
      </c>
      <c r="C32" s="1" t="s">
        <v>30</v>
      </c>
      <c r="D32" s="1" t="s">
        <v>19</v>
      </c>
      <c r="E32" s="1" t="s">
        <v>38</v>
      </c>
      <c r="F32">
        <v>2005</v>
      </c>
      <c r="G32">
        <v>7</v>
      </c>
      <c r="H32" s="1" t="s">
        <v>21</v>
      </c>
      <c r="I32">
        <v>18</v>
      </c>
      <c r="J32">
        <v>1922</v>
      </c>
      <c r="K32" s="1" t="s">
        <v>39</v>
      </c>
      <c r="L32" s="1" t="s">
        <v>23</v>
      </c>
      <c r="M32">
        <v>3.198</v>
      </c>
      <c r="N32">
        <v>57559.1</v>
      </c>
      <c r="O32">
        <v>57.558999999999997</v>
      </c>
      <c r="P32" s="2">
        <v>41091</v>
      </c>
      <c r="Q32">
        <v>1</v>
      </c>
      <c r="R32" s="1" t="s">
        <v>40</v>
      </c>
    </row>
    <row r="33" spans="1:18" x14ac:dyDescent="0.25">
      <c r="A33">
        <v>2012</v>
      </c>
      <c r="B33">
        <v>8</v>
      </c>
      <c r="C33" s="1" t="s">
        <v>31</v>
      </c>
      <c r="D33" s="1" t="s">
        <v>19</v>
      </c>
      <c r="E33" s="1" t="s">
        <v>38</v>
      </c>
      <c r="F33">
        <v>2005</v>
      </c>
      <c r="G33">
        <v>7</v>
      </c>
      <c r="H33" s="1" t="s">
        <v>21</v>
      </c>
      <c r="I33">
        <v>18</v>
      </c>
      <c r="J33">
        <v>1922</v>
      </c>
      <c r="K33" s="1" t="s">
        <v>39</v>
      </c>
      <c r="L33" s="1" t="s">
        <v>23</v>
      </c>
      <c r="M33">
        <v>2.516</v>
      </c>
      <c r="N33">
        <v>45291.9</v>
      </c>
      <c r="O33">
        <v>45.292000000000002</v>
      </c>
      <c r="P33" s="2">
        <v>41122</v>
      </c>
      <c r="Q33">
        <v>1</v>
      </c>
      <c r="R33" s="1" t="s">
        <v>40</v>
      </c>
    </row>
    <row r="34" spans="1:18" x14ac:dyDescent="0.25">
      <c r="A34">
        <v>2012</v>
      </c>
      <c r="B34">
        <v>9</v>
      </c>
      <c r="C34" s="1" t="s">
        <v>32</v>
      </c>
      <c r="D34" s="1" t="s">
        <v>19</v>
      </c>
      <c r="E34" s="1" t="s">
        <v>38</v>
      </c>
      <c r="F34">
        <v>2005</v>
      </c>
      <c r="G34">
        <v>7</v>
      </c>
      <c r="H34" s="1" t="s">
        <v>21</v>
      </c>
      <c r="I34">
        <v>18</v>
      </c>
      <c r="J34">
        <v>1922</v>
      </c>
      <c r="K34" s="1" t="s">
        <v>39</v>
      </c>
      <c r="L34" s="1" t="s">
        <v>23</v>
      </c>
      <c r="M34">
        <v>2.48</v>
      </c>
      <c r="N34">
        <v>44643.3</v>
      </c>
      <c r="O34">
        <v>44.643000000000001</v>
      </c>
      <c r="P34" s="2">
        <v>41153</v>
      </c>
      <c r="Q34">
        <v>1</v>
      </c>
      <c r="R34" s="1" t="s">
        <v>40</v>
      </c>
    </row>
    <row r="35" spans="1:18" x14ac:dyDescent="0.25">
      <c r="A35">
        <v>2012</v>
      </c>
      <c r="B35">
        <v>10</v>
      </c>
      <c r="C35" s="1" t="s">
        <v>33</v>
      </c>
      <c r="D35" s="1" t="s">
        <v>19</v>
      </c>
      <c r="E35" s="1" t="s">
        <v>38</v>
      </c>
      <c r="F35">
        <v>2005</v>
      </c>
      <c r="G35">
        <v>7</v>
      </c>
      <c r="H35" s="1" t="s">
        <v>21</v>
      </c>
      <c r="I35">
        <v>18</v>
      </c>
      <c r="J35">
        <v>1922</v>
      </c>
      <c r="K35" s="1" t="s">
        <v>39</v>
      </c>
      <c r="L35" s="1" t="s">
        <v>23</v>
      </c>
      <c r="M35">
        <v>1.776</v>
      </c>
      <c r="N35">
        <v>31972.5</v>
      </c>
      <c r="O35">
        <v>31.972000000000001</v>
      </c>
      <c r="P35" s="2">
        <v>41183</v>
      </c>
      <c r="Q35">
        <v>1</v>
      </c>
      <c r="R35" s="1" t="s">
        <v>40</v>
      </c>
    </row>
    <row r="36" spans="1:18" x14ac:dyDescent="0.25">
      <c r="A36">
        <v>2012</v>
      </c>
      <c r="B36">
        <v>11</v>
      </c>
      <c r="C36" s="1" t="s">
        <v>34</v>
      </c>
      <c r="D36" s="1" t="s">
        <v>19</v>
      </c>
      <c r="E36" s="1" t="s">
        <v>38</v>
      </c>
      <c r="F36">
        <v>2005</v>
      </c>
      <c r="G36">
        <v>7</v>
      </c>
      <c r="H36" s="1" t="s">
        <v>21</v>
      </c>
      <c r="I36">
        <v>18</v>
      </c>
      <c r="J36">
        <v>1922</v>
      </c>
      <c r="K36" s="1" t="s">
        <v>39</v>
      </c>
      <c r="L36" s="1" t="s">
        <v>23</v>
      </c>
      <c r="M36">
        <v>1.8879999999999999</v>
      </c>
      <c r="N36">
        <v>33976.199999999997</v>
      </c>
      <c r="O36">
        <v>33.975999999999999</v>
      </c>
      <c r="P36" s="2">
        <v>41214</v>
      </c>
      <c r="Q36">
        <v>1</v>
      </c>
      <c r="R36" s="1" t="s">
        <v>40</v>
      </c>
    </row>
    <row r="37" spans="1:18" x14ac:dyDescent="0.25">
      <c r="A37">
        <v>2012</v>
      </c>
      <c r="B37">
        <v>12</v>
      </c>
      <c r="C37" s="1" t="s">
        <v>35</v>
      </c>
      <c r="D37" s="1" t="s">
        <v>19</v>
      </c>
      <c r="E37" s="1" t="s">
        <v>38</v>
      </c>
      <c r="F37">
        <v>2005</v>
      </c>
      <c r="G37">
        <v>7</v>
      </c>
      <c r="H37" s="1" t="s">
        <v>21</v>
      </c>
      <c r="I37">
        <v>18</v>
      </c>
      <c r="J37">
        <v>1922</v>
      </c>
      <c r="K37" s="1" t="s">
        <v>39</v>
      </c>
      <c r="L37" s="1" t="s">
        <v>23</v>
      </c>
      <c r="M37">
        <v>2.298</v>
      </c>
      <c r="N37">
        <v>41356.6</v>
      </c>
      <c r="O37">
        <v>41.356999999999999</v>
      </c>
      <c r="P37" s="2">
        <v>41244</v>
      </c>
      <c r="Q37">
        <v>1</v>
      </c>
      <c r="R37" s="1" t="s">
        <v>40</v>
      </c>
    </row>
    <row r="38" spans="1:18" x14ac:dyDescent="0.25">
      <c r="A38">
        <v>2012</v>
      </c>
      <c r="B38">
        <v>1</v>
      </c>
      <c r="C38" s="1" t="s">
        <v>18</v>
      </c>
      <c r="D38" s="1" t="s">
        <v>19</v>
      </c>
      <c r="E38" s="1" t="s">
        <v>41</v>
      </c>
      <c r="F38">
        <v>2005</v>
      </c>
      <c r="G38">
        <v>7</v>
      </c>
      <c r="H38" s="1" t="s">
        <v>21</v>
      </c>
      <c r="I38">
        <v>26</v>
      </c>
      <c r="J38">
        <v>2827</v>
      </c>
      <c r="K38" s="1" t="s">
        <v>42</v>
      </c>
      <c r="L38" s="1" t="s">
        <v>23</v>
      </c>
      <c r="M38">
        <v>1.69</v>
      </c>
      <c r="N38">
        <v>43931.6</v>
      </c>
      <c r="O38">
        <v>43.932000000000002</v>
      </c>
      <c r="P38" s="2">
        <v>40909</v>
      </c>
      <c r="Q38">
        <v>1</v>
      </c>
      <c r="R38" s="1" t="s">
        <v>40</v>
      </c>
    </row>
    <row r="39" spans="1:18" x14ac:dyDescent="0.25">
      <c r="A39">
        <v>2012</v>
      </c>
      <c r="B39">
        <v>2</v>
      </c>
      <c r="C39" s="1" t="s">
        <v>25</v>
      </c>
      <c r="D39" s="1" t="s">
        <v>19</v>
      </c>
      <c r="E39" s="1" t="s">
        <v>41</v>
      </c>
      <c r="F39">
        <v>2005</v>
      </c>
      <c r="G39">
        <v>7</v>
      </c>
      <c r="H39" s="1" t="s">
        <v>21</v>
      </c>
      <c r="I39">
        <v>26</v>
      </c>
      <c r="J39">
        <v>2827</v>
      </c>
      <c r="K39" s="1" t="s">
        <v>42</v>
      </c>
      <c r="L39" s="1" t="s">
        <v>23</v>
      </c>
      <c r="M39">
        <v>1.3859999999999999</v>
      </c>
      <c r="N39">
        <v>36023</v>
      </c>
      <c r="O39">
        <v>36.023000000000003</v>
      </c>
      <c r="P39" s="2">
        <v>40940</v>
      </c>
      <c r="Q39">
        <v>1</v>
      </c>
      <c r="R39" s="1" t="s">
        <v>40</v>
      </c>
    </row>
    <row r="40" spans="1:18" x14ac:dyDescent="0.25">
      <c r="A40">
        <v>2012</v>
      </c>
      <c r="B40">
        <v>3</v>
      </c>
      <c r="C40" s="1" t="s">
        <v>26</v>
      </c>
      <c r="D40" s="1" t="s">
        <v>19</v>
      </c>
      <c r="E40" s="1" t="s">
        <v>41</v>
      </c>
      <c r="F40">
        <v>2005</v>
      </c>
      <c r="G40">
        <v>7</v>
      </c>
      <c r="H40" s="1" t="s">
        <v>21</v>
      </c>
      <c r="I40">
        <v>26</v>
      </c>
      <c r="J40">
        <v>2827</v>
      </c>
      <c r="K40" s="1" t="s">
        <v>42</v>
      </c>
      <c r="L40" s="1" t="s">
        <v>23</v>
      </c>
      <c r="M40">
        <v>1.5760000000000001</v>
      </c>
      <c r="N40">
        <v>40963.199999999997</v>
      </c>
      <c r="O40">
        <v>40.963000000000001</v>
      </c>
      <c r="P40" s="2">
        <v>40969</v>
      </c>
      <c r="Q40">
        <v>1</v>
      </c>
      <c r="R40" s="1" t="s">
        <v>40</v>
      </c>
    </row>
    <row r="41" spans="1:18" x14ac:dyDescent="0.25">
      <c r="A41">
        <v>2012</v>
      </c>
      <c r="B41">
        <v>4</v>
      </c>
      <c r="C41" s="1" t="s">
        <v>27</v>
      </c>
      <c r="D41" s="1" t="s">
        <v>19</v>
      </c>
      <c r="E41" s="1" t="s">
        <v>41</v>
      </c>
      <c r="F41">
        <v>2005</v>
      </c>
      <c r="G41">
        <v>7</v>
      </c>
      <c r="H41" s="1" t="s">
        <v>21</v>
      </c>
      <c r="I41">
        <v>26</v>
      </c>
      <c r="J41">
        <v>2827</v>
      </c>
      <c r="K41" s="1" t="s">
        <v>42</v>
      </c>
      <c r="L41" s="1" t="s">
        <v>23</v>
      </c>
      <c r="M41">
        <v>1.9570000000000001</v>
      </c>
      <c r="N41">
        <v>50886</v>
      </c>
      <c r="O41">
        <v>50.886000000000003</v>
      </c>
      <c r="P41" s="2">
        <v>41000</v>
      </c>
      <c r="Q41">
        <v>1</v>
      </c>
      <c r="R41" s="1" t="s">
        <v>40</v>
      </c>
    </row>
    <row r="42" spans="1:18" x14ac:dyDescent="0.25">
      <c r="A42">
        <v>2012</v>
      </c>
      <c r="B42">
        <v>5</v>
      </c>
      <c r="C42" s="1" t="s">
        <v>28</v>
      </c>
      <c r="D42" s="1" t="s">
        <v>19</v>
      </c>
      <c r="E42" s="1" t="s">
        <v>41</v>
      </c>
      <c r="F42">
        <v>2005</v>
      </c>
      <c r="G42">
        <v>7</v>
      </c>
      <c r="H42" s="1" t="s">
        <v>21</v>
      </c>
      <c r="I42">
        <v>26</v>
      </c>
      <c r="J42">
        <v>2827</v>
      </c>
      <c r="K42" s="1" t="s">
        <v>42</v>
      </c>
      <c r="L42" s="1" t="s">
        <v>23</v>
      </c>
      <c r="M42">
        <v>2.42</v>
      </c>
      <c r="N42">
        <v>62907.8</v>
      </c>
      <c r="O42">
        <v>62.908000000000001</v>
      </c>
      <c r="P42" s="2">
        <v>41030</v>
      </c>
      <c r="Q42">
        <v>1</v>
      </c>
      <c r="R42" s="1" t="s">
        <v>40</v>
      </c>
    </row>
    <row r="43" spans="1:18" x14ac:dyDescent="0.25">
      <c r="A43">
        <v>2012</v>
      </c>
      <c r="B43">
        <v>6</v>
      </c>
      <c r="C43" s="1" t="s">
        <v>29</v>
      </c>
      <c r="D43" s="1" t="s">
        <v>19</v>
      </c>
      <c r="E43" s="1" t="s">
        <v>41</v>
      </c>
      <c r="F43">
        <v>2005</v>
      </c>
      <c r="G43">
        <v>7</v>
      </c>
      <c r="H43" s="1" t="s">
        <v>21</v>
      </c>
      <c r="I43">
        <v>26</v>
      </c>
      <c r="J43">
        <v>2827</v>
      </c>
      <c r="K43" s="1" t="s">
        <v>42</v>
      </c>
      <c r="L43" s="1" t="s">
        <v>23</v>
      </c>
      <c r="M43">
        <v>2.367</v>
      </c>
      <c r="N43">
        <v>61550.9</v>
      </c>
      <c r="O43">
        <v>61.551000000000002</v>
      </c>
      <c r="P43" s="2">
        <v>41061</v>
      </c>
      <c r="Q43">
        <v>1</v>
      </c>
      <c r="R43" s="1" t="s">
        <v>40</v>
      </c>
    </row>
    <row r="44" spans="1:18" x14ac:dyDescent="0.25">
      <c r="A44">
        <v>2012</v>
      </c>
      <c r="B44">
        <v>7</v>
      </c>
      <c r="C44" s="1" t="s">
        <v>30</v>
      </c>
      <c r="D44" s="1" t="s">
        <v>19</v>
      </c>
      <c r="E44" s="1" t="s">
        <v>41</v>
      </c>
      <c r="F44">
        <v>2005</v>
      </c>
      <c r="G44">
        <v>7</v>
      </c>
      <c r="H44" s="1" t="s">
        <v>21</v>
      </c>
      <c r="I44">
        <v>26</v>
      </c>
      <c r="J44">
        <v>2827</v>
      </c>
      <c r="K44" s="1" t="s">
        <v>42</v>
      </c>
      <c r="L44" s="1" t="s">
        <v>23</v>
      </c>
      <c r="M44">
        <v>3.2559999999999998</v>
      </c>
      <c r="N44">
        <v>84661.6</v>
      </c>
      <c r="O44">
        <v>84.662000000000006</v>
      </c>
      <c r="P44" s="2">
        <v>41091</v>
      </c>
      <c r="Q44">
        <v>1</v>
      </c>
      <c r="R44" s="1" t="s">
        <v>40</v>
      </c>
    </row>
    <row r="45" spans="1:18" x14ac:dyDescent="0.25">
      <c r="A45">
        <v>2012</v>
      </c>
      <c r="B45">
        <v>8</v>
      </c>
      <c r="C45" s="1" t="s">
        <v>31</v>
      </c>
      <c r="D45" s="1" t="s">
        <v>19</v>
      </c>
      <c r="E45" s="1" t="s">
        <v>41</v>
      </c>
      <c r="F45">
        <v>2005</v>
      </c>
      <c r="G45">
        <v>7</v>
      </c>
      <c r="H45" s="1" t="s">
        <v>21</v>
      </c>
      <c r="I45">
        <v>26</v>
      </c>
      <c r="J45">
        <v>2827</v>
      </c>
      <c r="K45" s="1" t="s">
        <v>42</v>
      </c>
      <c r="L45" s="1" t="s">
        <v>23</v>
      </c>
      <c r="M45">
        <v>2.5619999999999998</v>
      </c>
      <c r="N45">
        <v>66618.3</v>
      </c>
      <c r="O45">
        <v>66.617999999999995</v>
      </c>
      <c r="P45" s="2">
        <v>41122</v>
      </c>
      <c r="Q45">
        <v>1</v>
      </c>
      <c r="R45" s="1" t="s">
        <v>40</v>
      </c>
    </row>
    <row r="46" spans="1:18" x14ac:dyDescent="0.25">
      <c r="A46">
        <v>2012</v>
      </c>
      <c r="B46">
        <v>9</v>
      </c>
      <c r="C46" s="1" t="s">
        <v>32</v>
      </c>
      <c r="D46" s="1" t="s">
        <v>19</v>
      </c>
      <c r="E46" s="1" t="s">
        <v>41</v>
      </c>
      <c r="F46">
        <v>2005</v>
      </c>
      <c r="G46">
        <v>7</v>
      </c>
      <c r="H46" s="1" t="s">
        <v>21</v>
      </c>
      <c r="I46">
        <v>26</v>
      </c>
      <c r="J46">
        <v>2827</v>
      </c>
      <c r="K46" s="1" t="s">
        <v>42</v>
      </c>
      <c r="L46" s="1" t="s">
        <v>23</v>
      </c>
      <c r="M46">
        <v>2.5259999999999998</v>
      </c>
      <c r="N46">
        <v>65664.100000000006</v>
      </c>
      <c r="O46">
        <v>65.664000000000001</v>
      </c>
      <c r="P46" s="2">
        <v>41153</v>
      </c>
      <c r="Q46">
        <v>1</v>
      </c>
      <c r="R46" s="1" t="s">
        <v>40</v>
      </c>
    </row>
    <row r="47" spans="1:18" x14ac:dyDescent="0.25">
      <c r="A47">
        <v>2012</v>
      </c>
      <c r="B47">
        <v>10</v>
      </c>
      <c r="C47" s="1" t="s">
        <v>33</v>
      </c>
      <c r="D47" s="1" t="s">
        <v>19</v>
      </c>
      <c r="E47" s="1" t="s">
        <v>41</v>
      </c>
      <c r="F47">
        <v>2005</v>
      </c>
      <c r="G47">
        <v>7</v>
      </c>
      <c r="H47" s="1" t="s">
        <v>21</v>
      </c>
      <c r="I47">
        <v>26</v>
      </c>
      <c r="J47">
        <v>2827</v>
      </c>
      <c r="K47" s="1" t="s">
        <v>42</v>
      </c>
      <c r="L47" s="1" t="s">
        <v>23</v>
      </c>
      <c r="M47">
        <v>1.8089999999999999</v>
      </c>
      <c r="N47">
        <v>47027.1</v>
      </c>
      <c r="O47">
        <v>47.027000000000001</v>
      </c>
      <c r="P47" s="2">
        <v>41183</v>
      </c>
      <c r="Q47">
        <v>1</v>
      </c>
      <c r="R47" s="1" t="s">
        <v>40</v>
      </c>
    </row>
    <row r="48" spans="1:18" x14ac:dyDescent="0.25">
      <c r="A48">
        <v>2012</v>
      </c>
      <c r="B48">
        <v>11</v>
      </c>
      <c r="C48" s="1" t="s">
        <v>34</v>
      </c>
      <c r="D48" s="1" t="s">
        <v>19</v>
      </c>
      <c r="E48" s="1" t="s">
        <v>41</v>
      </c>
      <c r="F48">
        <v>2005</v>
      </c>
      <c r="G48">
        <v>7</v>
      </c>
      <c r="H48" s="1" t="s">
        <v>21</v>
      </c>
      <c r="I48">
        <v>26</v>
      </c>
      <c r="J48">
        <v>2827</v>
      </c>
      <c r="K48" s="1" t="s">
        <v>42</v>
      </c>
      <c r="L48" s="1" t="s">
        <v>23</v>
      </c>
      <c r="M48">
        <v>1.9219999999999999</v>
      </c>
      <c r="N48">
        <v>49974.3</v>
      </c>
      <c r="O48">
        <v>49.973999999999997</v>
      </c>
      <c r="P48" s="2">
        <v>41214</v>
      </c>
      <c r="Q48">
        <v>1</v>
      </c>
      <c r="R48" s="1" t="s">
        <v>40</v>
      </c>
    </row>
    <row r="49" spans="1:18" x14ac:dyDescent="0.25">
      <c r="A49">
        <v>2012</v>
      </c>
      <c r="B49">
        <v>12</v>
      </c>
      <c r="C49" s="1" t="s">
        <v>35</v>
      </c>
      <c r="D49" s="1" t="s">
        <v>19</v>
      </c>
      <c r="E49" s="1" t="s">
        <v>41</v>
      </c>
      <c r="F49">
        <v>2005</v>
      </c>
      <c r="G49">
        <v>7</v>
      </c>
      <c r="H49" s="1" t="s">
        <v>21</v>
      </c>
      <c r="I49">
        <v>26</v>
      </c>
      <c r="J49">
        <v>2827</v>
      </c>
      <c r="K49" s="1" t="s">
        <v>42</v>
      </c>
      <c r="L49" s="1" t="s">
        <v>23</v>
      </c>
      <c r="M49">
        <v>2.34</v>
      </c>
      <c r="N49">
        <v>60830</v>
      </c>
      <c r="O49">
        <v>60.83</v>
      </c>
      <c r="P49" s="2">
        <v>41244</v>
      </c>
      <c r="Q49">
        <v>1</v>
      </c>
      <c r="R49" s="1" t="s">
        <v>40</v>
      </c>
    </row>
    <row r="50" spans="1:18" x14ac:dyDescent="0.25">
      <c r="A50">
        <v>2012</v>
      </c>
      <c r="B50">
        <v>1</v>
      </c>
      <c r="C50" s="1" t="s">
        <v>18</v>
      </c>
      <c r="D50" s="1" t="s">
        <v>19</v>
      </c>
      <c r="E50" s="1" t="s">
        <v>43</v>
      </c>
      <c r="F50">
        <v>2005</v>
      </c>
      <c r="G50">
        <v>7</v>
      </c>
      <c r="H50" s="1" t="s">
        <v>21</v>
      </c>
      <c r="I50">
        <v>24</v>
      </c>
      <c r="J50">
        <v>1947</v>
      </c>
      <c r="K50" s="1" t="s">
        <v>44</v>
      </c>
      <c r="L50" s="1" t="s">
        <v>45</v>
      </c>
      <c r="M50">
        <v>1.585</v>
      </c>
      <c r="N50">
        <v>38041.9</v>
      </c>
      <c r="O50">
        <v>38.042000000000002</v>
      </c>
      <c r="P50" s="2">
        <v>40909</v>
      </c>
      <c r="Q50">
        <v>1</v>
      </c>
      <c r="R50" s="1" t="s">
        <v>40</v>
      </c>
    </row>
    <row r="51" spans="1:18" x14ac:dyDescent="0.25">
      <c r="A51">
        <v>2012</v>
      </c>
      <c r="B51">
        <v>2</v>
      </c>
      <c r="C51" s="1" t="s">
        <v>25</v>
      </c>
      <c r="D51" s="1" t="s">
        <v>19</v>
      </c>
      <c r="E51" s="1" t="s">
        <v>43</v>
      </c>
      <c r="F51">
        <v>2005</v>
      </c>
      <c r="G51">
        <v>7</v>
      </c>
      <c r="H51" s="1" t="s">
        <v>21</v>
      </c>
      <c r="I51">
        <v>24</v>
      </c>
      <c r="J51">
        <v>1947</v>
      </c>
      <c r="K51" s="1" t="s">
        <v>44</v>
      </c>
      <c r="L51" s="1" t="s">
        <v>45</v>
      </c>
      <c r="M51">
        <v>1.3</v>
      </c>
      <c r="N51">
        <v>31193.599999999999</v>
      </c>
      <c r="O51">
        <v>31.193999999999999</v>
      </c>
      <c r="P51" s="2">
        <v>40940</v>
      </c>
      <c r="Q51">
        <v>1</v>
      </c>
      <c r="R51" s="1" t="s">
        <v>40</v>
      </c>
    </row>
    <row r="52" spans="1:18" x14ac:dyDescent="0.25">
      <c r="A52">
        <v>2012</v>
      </c>
      <c r="B52">
        <v>3</v>
      </c>
      <c r="C52" s="1" t="s">
        <v>26</v>
      </c>
      <c r="D52" s="1" t="s">
        <v>19</v>
      </c>
      <c r="E52" s="1" t="s">
        <v>43</v>
      </c>
      <c r="F52">
        <v>2005</v>
      </c>
      <c r="G52">
        <v>7</v>
      </c>
      <c r="H52" s="1" t="s">
        <v>21</v>
      </c>
      <c r="I52">
        <v>24</v>
      </c>
      <c r="J52">
        <v>1947</v>
      </c>
      <c r="K52" s="1" t="s">
        <v>44</v>
      </c>
      <c r="L52" s="1" t="s">
        <v>45</v>
      </c>
      <c r="M52">
        <v>1.478</v>
      </c>
      <c r="N52">
        <v>35471.5</v>
      </c>
      <c r="O52">
        <v>35.472000000000001</v>
      </c>
      <c r="P52" s="2">
        <v>40969</v>
      </c>
      <c r="Q52">
        <v>1</v>
      </c>
      <c r="R52" s="1" t="s">
        <v>40</v>
      </c>
    </row>
    <row r="53" spans="1:18" x14ac:dyDescent="0.25">
      <c r="A53">
        <v>2012</v>
      </c>
      <c r="B53">
        <v>4</v>
      </c>
      <c r="C53" s="1" t="s">
        <v>27</v>
      </c>
      <c r="D53" s="1" t="s">
        <v>19</v>
      </c>
      <c r="E53" s="1" t="s">
        <v>43</v>
      </c>
      <c r="F53">
        <v>2005</v>
      </c>
      <c r="G53">
        <v>7</v>
      </c>
      <c r="H53" s="1" t="s">
        <v>21</v>
      </c>
      <c r="I53">
        <v>24</v>
      </c>
      <c r="J53">
        <v>1947</v>
      </c>
      <c r="K53" s="1" t="s">
        <v>44</v>
      </c>
      <c r="L53" s="1" t="s">
        <v>45</v>
      </c>
      <c r="M53">
        <v>1.8360000000000001</v>
      </c>
      <c r="N53">
        <v>44064</v>
      </c>
      <c r="O53">
        <v>44.064</v>
      </c>
      <c r="P53" s="2">
        <v>41000</v>
      </c>
      <c r="Q53">
        <v>1</v>
      </c>
      <c r="R53" s="1" t="s">
        <v>40</v>
      </c>
    </row>
    <row r="54" spans="1:18" x14ac:dyDescent="0.25">
      <c r="A54">
        <v>2012</v>
      </c>
      <c r="B54">
        <v>5</v>
      </c>
      <c r="C54" s="1" t="s">
        <v>28</v>
      </c>
      <c r="D54" s="1" t="s">
        <v>19</v>
      </c>
      <c r="E54" s="1" t="s">
        <v>43</v>
      </c>
      <c r="F54">
        <v>2005</v>
      </c>
      <c r="G54">
        <v>7</v>
      </c>
      <c r="H54" s="1" t="s">
        <v>21</v>
      </c>
      <c r="I54">
        <v>24</v>
      </c>
      <c r="J54">
        <v>1947</v>
      </c>
      <c r="K54" s="1" t="s">
        <v>44</v>
      </c>
      <c r="L54" s="1" t="s">
        <v>45</v>
      </c>
      <c r="M54">
        <v>2.27</v>
      </c>
      <c r="N54">
        <v>54474.1</v>
      </c>
      <c r="O54">
        <v>54.473999999999997</v>
      </c>
      <c r="P54" s="2">
        <v>41030</v>
      </c>
      <c r="Q54">
        <v>1</v>
      </c>
      <c r="R54" s="1" t="s">
        <v>40</v>
      </c>
    </row>
    <row r="55" spans="1:18" x14ac:dyDescent="0.25">
      <c r="A55">
        <v>2012</v>
      </c>
      <c r="B55">
        <v>6</v>
      </c>
      <c r="C55" s="1" t="s">
        <v>29</v>
      </c>
      <c r="D55" s="1" t="s">
        <v>19</v>
      </c>
      <c r="E55" s="1" t="s">
        <v>43</v>
      </c>
      <c r="F55">
        <v>2005</v>
      </c>
      <c r="G55">
        <v>7</v>
      </c>
      <c r="H55" s="1" t="s">
        <v>21</v>
      </c>
      <c r="I55">
        <v>24</v>
      </c>
      <c r="J55">
        <v>1947</v>
      </c>
      <c r="K55" s="1" t="s">
        <v>44</v>
      </c>
      <c r="L55" s="1" t="s">
        <v>45</v>
      </c>
      <c r="M55">
        <v>2.2210000000000001</v>
      </c>
      <c r="N55">
        <v>53299.1</v>
      </c>
      <c r="O55">
        <v>53.298999999999999</v>
      </c>
      <c r="P55" s="2">
        <v>41061</v>
      </c>
      <c r="Q55">
        <v>1</v>
      </c>
      <c r="R55" s="1" t="s">
        <v>40</v>
      </c>
    </row>
    <row r="56" spans="1:18" x14ac:dyDescent="0.25">
      <c r="A56">
        <v>2012</v>
      </c>
      <c r="B56">
        <v>7</v>
      </c>
      <c r="C56" s="1" t="s">
        <v>30</v>
      </c>
      <c r="D56" s="1" t="s">
        <v>19</v>
      </c>
      <c r="E56" s="1" t="s">
        <v>43</v>
      </c>
      <c r="F56">
        <v>2005</v>
      </c>
      <c r="G56">
        <v>7</v>
      </c>
      <c r="H56" s="1" t="s">
        <v>21</v>
      </c>
      <c r="I56">
        <v>24</v>
      </c>
      <c r="J56">
        <v>1947</v>
      </c>
      <c r="K56" s="1" t="s">
        <v>44</v>
      </c>
      <c r="L56" s="1" t="s">
        <v>45</v>
      </c>
      <c r="M56">
        <v>3.0550000000000002</v>
      </c>
      <c r="N56">
        <v>73311.5</v>
      </c>
      <c r="O56">
        <v>73.311000000000007</v>
      </c>
      <c r="P56" s="2">
        <v>41091</v>
      </c>
      <c r="Q56">
        <v>1</v>
      </c>
      <c r="R56" s="1" t="s">
        <v>40</v>
      </c>
    </row>
    <row r="57" spans="1:18" x14ac:dyDescent="0.25">
      <c r="A57">
        <v>2012</v>
      </c>
      <c r="B57">
        <v>8</v>
      </c>
      <c r="C57" s="1" t="s">
        <v>31</v>
      </c>
      <c r="D57" s="1" t="s">
        <v>19</v>
      </c>
      <c r="E57" s="1" t="s">
        <v>43</v>
      </c>
      <c r="F57">
        <v>2005</v>
      </c>
      <c r="G57">
        <v>7</v>
      </c>
      <c r="H57" s="1" t="s">
        <v>21</v>
      </c>
      <c r="I57">
        <v>24</v>
      </c>
      <c r="J57">
        <v>1947</v>
      </c>
      <c r="K57" s="1" t="s">
        <v>44</v>
      </c>
      <c r="L57" s="1" t="s">
        <v>45</v>
      </c>
      <c r="M57">
        <v>2.4039999999999999</v>
      </c>
      <c r="N57">
        <v>57687.1</v>
      </c>
      <c r="O57">
        <v>57.686999999999998</v>
      </c>
      <c r="P57" s="2">
        <v>41122</v>
      </c>
      <c r="Q57">
        <v>1</v>
      </c>
      <c r="R57" s="1" t="s">
        <v>40</v>
      </c>
    </row>
    <row r="58" spans="1:18" x14ac:dyDescent="0.25">
      <c r="A58">
        <v>2012</v>
      </c>
      <c r="B58">
        <v>9</v>
      </c>
      <c r="C58" s="1" t="s">
        <v>32</v>
      </c>
      <c r="D58" s="1" t="s">
        <v>19</v>
      </c>
      <c r="E58" s="1" t="s">
        <v>43</v>
      </c>
      <c r="F58">
        <v>2005</v>
      </c>
      <c r="G58">
        <v>7</v>
      </c>
      <c r="H58" s="1" t="s">
        <v>21</v>
      </c>
      <c r="I58">
        <v>24</v>
      </c>
      <c r="J58">
        <v>1947</v>
      </c>
      <c r="K58" s="1" t="s">
        <v>44</v>
      </c>
      <c r="L58" s="1" t="s">
        <v>45</v>
      </c>
      <c r="M58">
        <v>2.3690000000000002</v>
      </c>
      <c r="N58">
        <v>56860.9</v>
      </c>
      <c r="O58">
        <v>56.860999999999997</v>
      </c>
      <c r="P58" s="2">
        <v>41153</v>
      </c>
      <c r="Q58">
        <v>1</v>
      </c>
      <c r="R58" s="1" t="s">
        <v>40</v>
      </c>
    </row>
    <row r="59" spans="1:18" x14ac:dyDescent="0.25">
      <c r="A59">
        <v>2012</v>
      </c>
      <c r="B59">
        <v>10</v>
      </c>
      <c r="C59" s="1" t="s">
        <v>33</v>
      </c>
      <c r="D59" s="1" t="s">
        <v>19</v>
      </c>
      <c r="E59" s="1" t="s">
        <v>43</v>
      </c>
      <c r="F59">
        <v>2005</v>
      </c>
      <c r="G59">
        <v>7</v>
      </c>
      <c r="H59" s="1" t="s">
        <v>21</v>
      </c>
      <c r="I59">
        <v>24</v>
      </c>
      <c r="J59">
        <v>1947</v>
      </c>
      <c r="K59" s="1" t="s">
        <v>44</v>
      </c>
      <c r="L59" s="1" t="s">
        <v>45</v>
      </c>
      <c r="M59">
        <v>1.6970000000000001</v>
      </c>
      <c r="N59">
        <v>40722.5</v>
      </c>
      <c r="O59">
        <v>40.722000000000001</v>
      </c>
      <c r="P59" s="2">
        <v>41183</v>
      </c>
      <c r="Q59">
        <v>1</v>
      </c>
      <c r="R59" s="1" t="s">
        <v>40</v>
      </c>
    </row>
    <row r="60" spans="1:18" x14ac:dyDescent="0.25">
      <c r="A60">
        <v>2012</v>
      </c>
      <c r="B60">
        <v>11</v>
      </c>
      <c r="C60" s="1" t="s">
        <v>34</v>
      </c>
      <c r="D60" s="1" t="s">
        <v>19</v>
      </c>
      <c r="E60" s="1" t="s">
        <v>43</v>
      </c>
      <c r="F60">
        <v>2005</v>
      </c>
      <c r="G60">
        <v>7</v>
      </c>
      <c r="H60" s="1" t="s">
        <v>21</v>
      </c>
      <c r="I60">
        <v>24</v>
      </c>
      <c r="J60">
        <v>1947</v>
      </c>
      <c r="K60" s="1" t="s">
        <v>44</v>
      </c>
      <c r="L60" s="1" t="s">
        <v>45</v>
      </c>
      <c r="M60">
        <v>1.8029999999999999</v>
      </c>
      <c r="N60">
        <v>43274.5</v>
      </c>
      <c r="O60">
        <v>43.274999999999999</v>
      </c>
      <c r="P60" s="2">
        <v>41214</v>
      </c>
      <c r="Q60">
        <v>1</v>
      </c>
      <c r="R60" s="1" t="s">
        <v>40</v>
      </c>
    </row>
    <row r="61" spans="1:18" x14ac:dyDescent="0.25">
      <c r="A61">
        <v>2012</v>
      </c>
      <c r="B61">
        <v>12</v>
      </c>
      <c r="C61" s="1" t="s">
        <v>35</v>
      </c>
      <c r="D61" s="1" t="s">
        <v>19</v>
      </c>
      <c r="E61" s="1" t="s">
        <v>43</v>
      </c>
      <c r="F61">
        <v>2005</v>
      </c>
      <c r="G61">
        <v>7</v>
      </c>
      <c r="H61" s="1" t="s">
        <v>21</v>
      </c>
      <c r="I61">
        <v>24</v>
      </c>
      <c r="J61">
        <v>1947</v>
      </c>
      <c r="K61" s="1" t="s">
        <v>44</v>
      </c>
      <c r="L61" s="1" t="s">
        <v>45</v>
      </c>
      <c r="M61">
        <v>2.1949999999999998</v>
      </c>
      <c r="N61">
        <v>52674.8</v>
      </c>
      <c r="O61">
        <v>52.674999999999997</v>
      </c>
      <c r="P61" s="2">
        <v>41244</v>
      </c>
      <c r="Q61">
        <v>1</v>
      </c>
      <c r="R61" s="1" t="s">
        <v>40</v>
      </c>
    </row>
    <row r="62" spans="1:18" x14ac:dyDescent="0.25">
      <c r="A62">
        <v>2012</v>
      </c>
      <c r="B62">
        <v>1</v>
      </c>
      <c r="C62" s="1" t="s">
        <v>18</v>
      </c>
      <c r="D62" s="1" t="s">
        <v>19</v>
      </c>
      <c r="E62" s="1" t="s">
        <v>46</v>
      </c>
      <c r="F62">
        <v>2006</v>
      </c>
      <c r="G62">
        <v>6</v>
      </c>
      <c r="H62" s="1" t="s">
        <v>21</v>
      </c>
      <c r="I62">
        <v>25</v>
      </c>
      <c r="J62">
        <v>2740</v>
      </c>
      <c r="K62" s="1" t="s">
        <v>47</v>
      </c>
      <c r="L62" s="1" t="s">
        <v>45</v>
      </c>
      <c r="M62">
        <v>1.7030000000000001</v>
      </c>
      <c r="N62">
        <v>42579.6</v>
      </c>
      <c r="O62">
        <v>42.58</v>
      </c>
      <c r="P62" s="2">
        <v>40909</v>
      </c>
      <c r="Q62">
        <v>1</v>
      </c>
      <c r="R62" s="1" t="s">
        <v>40</v>
      </c>
    </row>
    <row r="63" spans="1:18" x14ac:dyDescent="0.25">
      <c r="A63">
        <v>2012</v>
      </c>
      <c r="B63">
        <v>2</v>
      </c>
      <c r="C63" s="1" t="s">
        <v>25</v>
      </c>
      <c r="D63" s="1" t="s">
        <v>19</v>
      </c>
      <c r="E63" s="1" t="s">
        <v>46</v>
      </c>
      <c r="F63">
        <v>2006</v>
      </c>
      <c r="G63">
        <v>6</v>
      </c>
      <c r="H63" s="1" t="s">
        <v>21</v>
      </c>
      <c r="I63">
        <v>25</v>
      </c>
      <c r="J63">
        <v>2740</v>
      </c>
      <c r="K63" s="1" t="s">
        <v>47</v>
      </c>
      <c r="L63" s="1" t="s">
        <v>45</v>
      </c>
      <c r="M63">
        <v>1.397</v>
      </c>
      <c r="N63">
        <v>34914.400000000001</v>
      </c>
      <c r="O63">
        <v>34.914000000000001</v>
      </c>
      <c r="P63" s="2">
        <v>40940</v>
      </c>
      <c r="Q63">
        <v>1</v>
      </c>
      <c r="R63" s="1" t="s">
        <v>40</v>
      </c>
    </row>
    <row r="64" spans="1:18" x14ac:dyDescent="0.25">
      <c r="A64">
        <v>2012</v>
      </c>
      <c r="B64">
        <v>3</v>
      </c>
      <c r="C64" s="1" t="s">
        <v>26</v>
      </c>
      <c r="D64" s="1" t="s">
        <v>19</v>
      </c>
      <c r="E64" s="1" t="s">
        <v>46</v>
      </c>
      <c r="F64">
        <v>2006</v>
      </c>
      <c r="G64">
        <v>6</v>
      </c>
      <c r="H64" s="1" t="s">
        <v>21</v>
      </c>
      <c r="I64">
        <v>25</v>
      </c>
      <c r="J64">
        <v>2740</v>
      </c>
      <c r="K64" s="1" t="s">
        <v>47</v>
      </c>
      <c r="L64" s="1" t="s">
        <v>45</v>
      </c>
      <c r="M64">
        <v>1.5880000000000001</v>
      </c>
      <c r="N64">
        <v>39702.6</v>
      </c>
      <c r="O64">
        <v>39.703000000000003</v>
      </c>
      <c r="P64" s="2">
        <v>40969</v>
      </c>
      <c r="Q64">
        <v>1</v>
      </c>
      <c r="R64" s="1" t="s">
        <v>40</v>
      </c>
    </row>
    <row r="65" spans="1:18" x14ac:dyDescent="0.25">
      <c r="A65">
        <v>2012</v>
      </c>
      <c r="B65">
        <v>4</v>
      </c>
      <c r="C65" s="1" t="s">
        <v>27</v>
      </c>
      <c r="D65" s="1" t="s">
        <v>19</v>
      </c>
      <c r="E65" s="1" t="s">
        <v>46</v>
      </c>
      <c r="F65">
        <v>2006</v>
      </c>
      <c r="G65">
        <v>6</v>
      </c>
      <c r="H65" s="1" t="s">
        <v>21</v>
      </c>
      <c r="I65">
        <v>25</v>
      </c>
      <c r="J65">
        <v>2740</v>
      </c>
      <c r="K65" s="1" t="s">
        <v>47</v>
      </c>
      <c r="L65" s="1" t="s">
        <v>45</v>
      </c>
      <c r="M65">
        <v>1.9730000000000001</v>
      </c>
      <c r="N65">
        <v>49320</v>
      </c>
      <c r="O65">
        <v>49.32</v>
      </c>
      <c r="P65" s="2">
        <v>41000</v>
      </c>
      <c r="Q65">
        <v>1</v>
      </c>
      <c r="R65" s="1" t="s">
        <v>40</v>
      </c>
    </row>
    <row r="66" spans="1:18" x14ac:dyDescent="0.25">
      <c r="A66">
        <v>2012</v>
      </c>
      <c r="B66">
        <v>5</v>
      </c>
      <c r="C66" s="1" t="s">
        <v>28</v>
      </c>
      <c r="D66" s="1" t="s">
        <v>19</v>
      </c>
      <c r="E66" s="1" t="s">
        <v>46</v>
      </c>
      <c r="F66">
        <v>2006</v>
      </c>
      <c r="G66">
        <v>6</v>
      </c>
      <c r="H66" s="1" t="s">
        <v>21</v>
      </c>
      <c r="I66">
        <v>25</v>
      </c>
      <c r="J66">
        <v>2740</v>
      </c>
      <c r="K66" s="1" t="s">
        <v>47</v>
      </c>
      <c r="L66" s="1" t="s">
        <v>45</v>
      </c>
      <c r="M66">
        <v>2.4390000000000001</v>
      </c>
      <c r="N66">
        <v>60971.8</v>
      </c>
      <c r="O66">
        <v>60.972000000000001</v>
      </c>
      <c r="P66" s="2">
        <v>41030</v>
      </c>
      <c r="Q66">
        <v>1</v>
      </c>
      <c r="R66" s="1" t="s">
        <v>40</v>
      </c>
    </row>
    <row r="67" spans="1:18" x14ac:dyDescent="0.25">
      <c r="A67">
        <v>2012</v>
      </c>
      <c r="B67">
        <v>6</v>
      </c>
      <c r="C67" s="1" t="s">
        <v>29</v>
      </c>
      <c r="D67" s="1" t="s">
        <v>19</v>
      </c>
      <c r="E67" s="1" t="s">
        <v>46</v>
      </c>
      <c r="F67">
        <v>2006</v>
      </c>
      <c r="G67">
        <v>6</v>
      </c>
      <c r="H67" s="1" t="s">
        <v>21</v>
      </c>
      <c r="I67">
        <v>25</v>
      </c>
      <c r="J67">
        <v>2740</v>
      </c>
      <c r="K67" s="1" t="s">
        <v>47</v>
      </c>
      <c r="L67" s="1" t="s">
        <v>45</v>
      </c>
      <c r="M67">
        <v>2.3860000000000001</v>
      </c>
      <c r="N67">
        <v>59656.7</v>
      </c>
      <c r="O67">
        <v>59.656999999999996</v>
      </c>
      <c r="P67" s="2">
        <v>41061</v>
      </c>
      <c r="Q67">
        <v>1</v>
      </c>
      <c r="R67" s="1" t="s">
        <v>40</v>
      </c>
    </row>
    <row r="68" spans="1:18" x14ac:dyDescent="0.25">
      <c r="A68">
        <v>2012</v>
      </c>
      <c r="B68">
        <v>7</v>
      </c>
      <c r="C68" s="1" t="s">
        <v>30</v>
      </c>
      <c r="D68" s="1" t="s">
        <v>19</v>
      </c>
      <c r="E68" s="1" t="s">
        <v>46</v>
      </c>
      <c r="F68">
        <v>2006</v>
      </c>
      <c r="G68">
        <v>6</v>
      </c>
      <c r="H68" s="1" t="s">
        <v>21</v>
      </c>
      <c r="I68">
        <v>25</v>
      </c>
      <c r="J68">
        <v>2740</v>
      </c>
      <c r="K68" s="1" t="s">
        <v>47</v>
      </c>
      <c r="L68" s="1" t="s">
        <v>45</v>
      </c>
      <c r="M68">
        <v>3.282</v>
      </c>
      <c r="N68">
        <v>82056.100000000006</v>
      </c>
      <c r="O68">
        <v>82.055999999999997</v>
      </c>
      <c r="P68" s="2">
        <v>41091</v>
      </c>
      <c r="Q68">
        <v>1</v>
      </c>
      <c r="R68" s="1" t="s">
        <v>40</v>
      </c>
    </row>
    <row r="69" spans="1:18" x14ac:dyDescent="0.25">
      <c r="A69">
        <v>2012</v>
      </c>
      <c r="B69">
        <v>8</v>
      </c>
      <c r="C69" s="1" t="s">
        <v>31</v>
      </c>
      <c r="D69" s="1" t="s">
        <v>19</v>
      </c>
      <c r="E69" s="1" t="s">
        <v>46</v>
      </c>
      <c r="F69">
        <v>2006</v>
      </c>
      <c r="G69">
        <v>6</v>
      </c>
      <c r="H69" s="1" t="s">
        <v>21</v>
      </c>
      <c r="I69">
        <v>25</v>
      </c>
      <c r="J69">
        <v>2740</v>
      </c>
      <c r="K69" s="1" t="s">
        <v>47</v>
      </c>
      <c r="L69" s="1" t="s">
        <v>45</v>
      </c>
      <c r="M69">
        <v>2.5830000000000002</v>
      </c>
      <c r="N69">
        <v>64568.1</v>
      </c>
      <c r="O69">
        <v>64.567999999999998</v>
      </c>
      <c r="P69" s="2">
        <v>41122</v>
      </c>
      <c r="Q69">
        <v>1</v>
      </c>
      <c r="R69" s="1" t="s">
        <v>40</v>
      </c>
    </row>
    <row r="70" spans="1:18" x14ac:dyDescent="0.25">
      <c r="A70">
        <v>2012</v>
      </c>
      <c r="B70">
        <v>9</v>
      </c>
      <c r="C70" s="1" t="s">
        <v>32</v>
      </c>
      <c r="D70" s="1" t="s">
        <v>19</v>
      </c>
      <c r="E70" s="1" t="s">
        <v>46</v>
      </c>
      <c r="F70">
        <v>2006</v>
      </c>
      <c r="G70">
        <v>6</v>
      </c>
      <c r="H70" s="1" t="s">
        <v>21</v>
      </c>
      <c r="I70">
        <v>25</v>
      </c>
      <c r="J70">
        <v>2740</v>
      </c>
      <c r="K70" s="1" t="s">
        <v>47</v>
      </c>
      <c r="L70" s="1" t="s">
        <v>45</v>
      </c>
      <c r="M70">
        <v>2.5459999999999998</v>
      </c>
      <c r="N70">
        <v>63643.3</v>
      </c>
      <c r="O70">
        <v>63.643000000000001</v>
      </c>
      <c r="P70" s="2">
        <v>41153</v>
      </c>
      <c r="Q70">
        <v>1</v>
      </c>
      <c r="R70" s="1" t="s">
        <v>40</v>
      </c>
    </row>
    <row r="71" spans="1:18" x14ac:dyDescent="0.25">
      <c r="A71">
        <v>2012</v>
      </c>
      <c r="B71">
        <v>10</v>
      </c>
      <c r="C71" s="1" t="s">
        <v>33</v>
      </c>
      <c r="D71" s="1" t="s">
        <v>19</v>
      </c>
      <c r="E71" s="1" t="s">
        <v>46</v>
      </c>
      <c r="F71">
        <v>2006</v>
      </c>
      <c r="G71">
        <v>6</v>
      </c>
      <c r="H71" s="1" t="s">
        <v>21</v>
      </c>
      <c r="I71">
        <v>25</v>
      </c>
      <c r="J71">
        <v>2740</v>
      </c>
      <c r="K71" s="1" t="s">
        <v>47</v>
      </c>
      <c r="L71" s="1" t="s">
        <v>45</v>
      </c>
      <c r="M71">
        <v>1.823</v>
      </c>
      <c r="N71">
        <v>45579.9</v>
      </c>
      <c r="O71">
        <v>45.58</v>
      </c>
      <c r="P71" s="2">
        <v>41183</v>
      </c>
      <c r="Q71">
        <v>1</v>
      </c>
      <c r="R71" s="1" t="s">
        <v>40</v>
      </c>
    </row>
    <row r="72" spans="1:18" x14ac:dyDescent="0.25">
      <c r="A72">
        <v>2012</v>
      </c>
      <c r="B72">
        <v>11</v>
      </c>
      <c r="C72" s="1" t="s">
        <v>34</v>
      </c>
      <c r="D72" s="1" t="s">
        <v>19</v>
      </c>
      <c r="E72" s="1" t="s">
        <v>46</v>
      </c>
      <c r="F72">
        <v>2006</v>
      </c>
      <c r="G72">
        <v>6</v>
      </c>
      <c r="H72" s="1" t="s">
        <v>21</v>
      </c>
      <c r="I72">
        <v>25</v>
      </c>
      <c r="J72">
        <v>2740</v>
      </c>
      <c r="K72" s="1" t="s">
        <v>47</v>
      </c>
      <c r="L72" s="1" t="s">
        <v>45</v>
      </c>
      <c r="M72">
        <v>1.9370000000000001</v>
      </c>
      <c r="N72">
        <v>48436.3</v>
      </c>
      <c r="O72">
        <v>48.436</v>
      </c>
      <c r="P72" s="2">
        <v>41214</v>
      </c>
      <c r="Q72">
        <v>1</v>
      </c>
      <c r="R72" s="1" t="s">
        <v>40</v>
      </c>
    </row>
    <row r="73" spans="1:18" x14ac:dyDescent="0.25">
      <c r="A73">
        <v>2012</v>
      </c>
      <c r="B73">
        <v>12</v>
      </c>
      <c r="C73" s="1" t="s">
        <v>35</v>
      </c>
      <c r="D73" s="1" t="s">
        <v>19</v>
      </c>
      <c r="E73" s="1" t="s">
        <v>46</v>
      </c>
      <c r="F73">
        <v>2006</v>
      </c>
      <c r="G73">
        <v>6</v>
      </c>
      <c r="H73" s="1" t="s">
        <v>21</v>
      </c>
      <c r="I73">
        <v>25</v>
      </c>
      <c r="J73">
        <v>2740</v>
      </c>
      <c r="K73" s="1" t="s">
        <v>47</v>
      </c>
      <c r="L73" s="1" t="s">
        <v>45</v>
      </c>
      <c r="M73">
        <v>2.3580000000000001</v>
      </c>
      <c r="N73">
        <v>58958</v>
      </c>
      <c r="O73">
        <v>58.957999999999998</v>
      </c>
      <c r="P73" s="2">
        <v>41244</v>
      </c>
      <c r="Q73">
        <v>1</v>
      </c>
      <c r="R73" s="1" t="s">
        <v>40</v>
      </c>
    </row>
    <row r="74" spans="1:18" x14ac:dyDescent="0.25">
      <c r="A74">
        <v>2012</v>
      </c>
      <c r="B74">
        <v>1</v>
      </c>
      <c r="C74" s="1" t="s">
        <v>18</v>
      </c>
      <c r="D74" s="1" t="s">
        <v>19</v>
      </c>
      <c r="E74" s="1" t="s">
        <v>48</v>
      </c>
      <c r="F74">
        <v>2006</v>
      </c>
      <c r="G74">
        <v>6</v>
      </c>
      <c r="H74" s="1" t="s">
        <v>21</v>
      </c>
      <c r="I74">
        <v>24</v>
      </c>
      <c r="J74">
        <v>3230</v>
      </c>
      <c r="K74" s="1" t="s">
        <v>49</v>
      </c>
      <c r="L74" s="1" t="s">
        <v>45</v>
      </c>
      <c r="M74">
        <v>2.0910000000000002</v>
      </c>
      <c r="N74">
        <v>50194.2</v>
      </c>
      <c r="O74">
        <v>50.194000000000003</v>
      </c>
      <c r="P74" s="2">
        <v>40909</v>
      </c>
      <c r="Q74">
        <v>1</v>
      </c>
      <c r="R74" s="1" t="s">
        <v>40</v>
      </c>
    </row>
    <row r="75" spans="1:18" x14ac:dyDescent="0.25">
      <c r="A75">
        <v>2012</v>
      </c>
      <c r="B75">
        <v>2</v>
      </c>
      <c r="C75" s="1" t="s">
        <v>25</v>
      </c>
      <c r="D75" s="1" t="s">
        <v>19</v>
      </c>
      <c r="E75" s="1" t="s">
        <v>48</v>
      </c>
      <c r="F75">
        <v>2006</v>
      </c>
      <c r="G75">
        <v>6</v>
      </c>
      <c r="H75" s="1" t="s">
        <v>21</v>
      </c>
      <c r="I75">
        <v>24</v>
      </c>
      <c r="J75">
        <v>3230</v>
      </c>
      <c r="K75" s="1" t="s">
        <v>49</v>
      </c>
      <c r="L75" s="1" t="s">
        <v>45</v>
      </c>
      <c r="M75">
        <v>1.7150000000000001</v>
      </c>
      <c r="N75">
        <v>41158.300000000003</v>
      </c>
      <c r="O75">
        <v>41.158000000000001</v>
      </c>
      <c r="P75" s="2">
        <v>40940</v>
      </c>
      <c r="Q75">
        <v>1</v>
      </c>
      <c r="R75" s="1" t="s">
        <v>40</v>
      </c>
    </row>
    <row r="76" spans="1:18" x14ac:dyDescent="0.25">
      <c r="A76">
        <v>2012</v>
      </c>
      <c r="B76">
        <v>3</v>
      </c>
      <c r="C76" s="1" t="s">
        <v>26</v>
      </c>
      <c r="D76" s="1" t="s">
        <v>19</v>
      </c>
      <c r="E76" s="1" t="s">
        <v>48</v>
      </c>
      <c r="F76">
        <v>2006</v>
      </c>
      <c r="G76">
        <v>6</v>
      </c>
      <c r="H76" s="1" t="s">
        <v>21</v>
      </c>
      <c r="I76">
        <v>24</v>
      </c>
      <c r="J76">
        <v>3230</v>
      </c>
      <c r="K76" s="1" t="s">
        <v>49</v>
      </c>
      <c r="L76" s="1" t="s">
        <v>45</v>
      </c>
      <c r="M76">
        <v>1.95</v>
      </c>
      <c r="N76">
        <v>46802.7</v>
      </c>
      <c r="O76">
        <v>46.802999999999997</v>
      </c>
      <c r="P76" s="2">
        <v>40969</v>
      </c>
      <c r="Q76">
        <v>1</v>
      </c>
      <c r="R76" s="1" t="s">
        <v>40</v>
      </c>
    </row>
    <row r="77" spans="1:18" x14ac:dyDescent="0.25">
      <c r="A77">
        <v>2012</v>
      </c>
      <c r="B77">
        <v>4</v>
      </c>
      <c r="C77" s="1" t="s">
        <v>27</v>
      </c>
      <c r="D77" s="1" t="s">
        <v>19</v>
      </c>
      <c r="E77" s="1" t="s">
        <v>48</v>
      </c>
      <c r="F77">
        <v>2006</v>
      </c>
      <c r="G77">
        <v>6</v>
      </c>
      <c r="H77" s="1" t="s">
        <v>21</v>
      </c>
      <c r="I77">
        <v>24</v>
      </c>
      <c r="J77">
        <v>3230</v>
      </c>
      <c r="K77" s="1" t="s">
        <v>49</v>
      </c>
      <c r="L77" s="1" t="s">
        <v>45</v>
      </c>
      <c r="M77">
        <v>2.423</v>
      </c>
      <c r="N77">
        <v>58140</v>
      </c>
      <c r="O77">
        <v>58.14</v>
      </c>
      <c r="P77" s="2">
        <v>41000</v>
      </c>
      <c r="Q77">
        <v>1</v>
      </c>
      <c r="R77" s="1" t="s">
        <v>40</v>
      </c>
    </row>
    <row r="78" spans="1:18" x14ac:dyDescent="0.25">
      <c r="A78">
        <v>2012</v>
      </c>
      <c r="B78">
        <v>5</v>
      </c>
      <c r="C78" s="1" t="s">
        <v>28</v>
      </c>
      <c r="D78" s="1" t="s">
        <v>19</v>
      </c>
      <c r="E78" s="1" t="s">
        <v>48</v>
      </c>
      <c r="F78">
        <v>2006</v>
      </c>
      <c r="G78">
        <v>6</v>
      </c>
      <c r="H78" s="1" t="s">
        <v>21</v>
      </c>
      <c r="I78">
        <v>24</v>
      </c>
      <c r="J78">
        <v>3230</v>
      </c>
      <c r="K78" s="1" t="s">
        <v>49</v>
      </c>
      <c r="L78" s="1" t="s">
        <v>45</v>
      </c>
      <c r="M78">
        <v>2.9950000000000001</v>
      </c>
      <c r="N78">
        <v>71875.600000000006</v>
      </c>
      <c r="O78">
        <v>71.876000000000005</v>
      </c>
      <c r="P78" s="2">
        <v>41030</v>
      </c>
      <c r="Q78">
        <v>1</v>
      </c>
      <c r="R78" s="1" t="s">
        <v>40</v>
      </c>
    </row>
    <row r="79" spans="1:18" x14ac:dyDescent="0.25">
      <c r="A79">
        <v>2012</v>
      </c>
      <c r="B79">
        <v>6</v>
      </c>
      <c r="C79" s="1" t="s">
        <v>29</v>
      </c>
      <c r="D79" s="1" t="s">
        <v>19</v>
      </c>
      <c r="E79" s="1" t="s">
        <v>48</v>
      </c>
      <c r="F79">
        <v>2006</v>
      </c>
      <c r="G79">
        <v>6</v>
      </c>
      <c r="H79" s="1" t="s">
        <v>21</v>
      </c>
      <c r="I79">
        <v>24</v>
      </c>
      <c r="J79">
        <v>3230</v>
      </c>
      <c r="K79" s="1" t="s">
        <v>49</v>
      </c>
      <c r="L79" s="1" t="s">
        <v>45</v>
      </c>
      <c r="M79">
        <v>2.93</v>
      </c>
      <c r="N79">
        <v>70325.2</v>
      </c>
      <c r="O79">
        <v>70.325000000000003</v>
      </c>
      <c r="P79" s="2">
        <v>41061</v>
      </c>
      <c r="Q79">
        <v>1</v>
      </c>
      <c r="R79" s="1" t="s">
        <v>40</v>
      </c>
    </row>
    <row r="80" spans="1:18" x14ac:dyDescent="0.25">
      <c r="A80">
        <v>2012</v>
      </c>
      <c r="B80">
        <v>7</v>
      </c>
      <c r="C80" s="1" t="s">
        <v>30</v>
      </c>
      <c r="D80" s="1" t="s">
        <v>19</v>
      </c>
      <c r="E80" s="1" t="s">
        <v>48</v>
      </c>
      <c r="F80">
        <v>2006</v>
      </c>
      <c r="G80">
        <v>6</v>
      </c>
      <c r="H80" s="1" t="s">
        <v>21</v>
      </c>
      <c r="I80">
        <v>24</v>
      </c>
      <c r="J80">
        <v>3230</v>
      </c>
      <c r="K80" s="1" t="s">
        <v>49</v>
      </c>
      <c r="L80" s="1" t="s">
        <v>45</v>
      </c>
      <c r="M80">
        <v>4.03</v>
      </c>
      <c r="N80">
        <v>96730.4</v>
      </c>
      <c r="O80">
        <v>96.73</v>
      </c>
      <c r="P80" s="2">
        <v>41091</v>
      </c>
      <c r="Q80">
        <v>1</v>
      </c>
      <c r="R80" s="1" t="s">
        <v>40</v>
      </c>
    </row>
    <row r="81" spans="1:18" x14ac:dyDescent="0.25">
      <c r="A81">
        <v>2012</v>
      </c>
      <c r="B81">
        <v>8</v>
      </c>
      <c r="C81" s="1" t="s">
        <v>31</v>
      </c>
      <c r="D81" s="1" t="s">
        <v>19</v>
      </c>
      <c r="E81" s="1" t="s">
        <v>48</v>
      </c>
      <c r="F81">
        <v>2006</v>
      </c>
      <c r="G81">
        <v>6</v>
      </c>
      <c r="H81" s="1" t="s">
        <v>21</v>
      </c>
      <c r="I81">
        <v>24</v>
      </c>
      <c r="J81">
        <v>3230</v>
      </c>
      <c r="K81" s="1" t="s">
        <v>49</v>
      </c>
      <c r="L81" s="1" t="s">
        <v>45</v>
      </c>
      <c r="M81">
        <v>3.1709999999999998</v>
      </c>
      <c r="N81">
        <v>76115</v>
      </c>
      <c r="O81">
        <v>76.114999999999995</v>
      </c>
      <c r="P81" s="2">
        <v>41122</v>
      </c>
      <c r="Q81">
        <v>1</v>
      </c>
      <c r="R81" s="1" t="s">
        <v>40</v>
      </c>
    </row>
    <row r="82" spans="1:18" x14ac:dyDescent="0.25">
      <c r="A82">
        <v>2012</v>
      </c>
      <c r="B82">
        <v>9</v>
      </c>
      <c r="C82" s="1" t="s">
        <v>32</v>
      </c>
      <c r="D82" s="1" t="s">
        <v>19</v>
      </c>
      <c r="E82" s="1" t="s">
        <v>48</v>
      </c>
      <c r="F82">
        <v>2006</v>
      </c>
      <c r="G82">
        <v>6</v>
      </c>
      <c r="H82" s="1" t="s">
        <v>21</v>
      </c>
      <c r="I82">
        <v>24</v>
      </c>
      <c r="J82">
        <v>3230</v>
      </c>
      <c r="K82" s="1" t="s">
        <v>49</v>
      </c>
      <c r="L82" s="1" t="s">
        <v>45</v>
      </c>
      <c r="M82">
        <v>3.1259999999999999</v>
      </c>
      <c r="N82">
        <v>75024.800000000003</v>
      </c>
      <c r="O82">
        <v>75.025000000000006</v>
      </c>
      <c r="P82" s="2">
        <v>41153</v>
      </c>
      <c r="Q82">
        <v>1</v>
      </c>
      <c r="R82" s="1" t="s">
        <v>40</v>
      </c>
    </row>
    <row r="83" spans="1:18" x14ac:dyDescent="0.25">
      <c r="A83">
        <v>2012</v>
      </c>
      <c r="B83">
        <v>10</v>
      </c>
      <c r="C83" s="1" t="s">
        <v>33</v>
      </c>
      <c r="D83" s="1" t="s">
        <v>19</v>
      </c>
      <c r="E83" s="1" t="s">
        <v>48</v>
      </c>
      <c r="F83">
        <v>2006</v>
      </c>
      <c r="G83">
        <v>6</v>
      </c>
      <c r="H83" s="1" t="s">
        <v>21</v>
      </c>
      <c r="I83">
        <v>24</v>
      </c>
      <c r="J83">
        <v>3230</v>
      </c>
      <c r="K83" s="1" t="s">
        <v>49</v>
      </c>
      <c r="L83" s="1" t="s">
        <v>45</v>
      </c>
      <c r="M83">
        <v>2.2389999999999999</v>
      </c>
      <c r="N83">
        <v>53731.1</v>
      </c>
      <c r="O83">
        <v>53.731000000000002</v>
      </c>
      <c r="P83" s="2">
        <v>41183</v>
      </c>
      <c r="Q83">
        <v>1</v>
      </c>
      <c r="R83" s="1" t="s">
        <v>40</v>
      </c>
    </row>
    <row r="84" spans="1:18" x14ac:dyDescent="0.25">
      <c r="A84">
        <v>2012</v>
      </c>
      <c r="B84">
        <v>11</v>
      </c>
      <c r="C84" s="1" t="s">
        <v>34</v>
      </c>
      <c r="D84" s="1" t="s">
        <v>19</v>
      </c>
      <c r="E84" s="1" t="s">
        <v>48</v>
      </c>
      <c r="F84">
        <v>2006</v>
      </c>
      <c r="G84">
        <v>6</v>
      </c>
      <c r="H84" s="1" t="s">
        <v>21</v>
      </c>
      <c r="I84">
        <v>24</v>
      </c>
      <c r="J84">
        <v>3230</v>
      </c>
      <c r="K84" s="1" t="s">
        <v>49</v>
      </c>
      <c r="L84" s="1" t="s">
        <v>45</v>
      </c>
      <c r="M84">
        <v>2.379</v>
      </c>
      <c r="N84">
        <v>57098.3</v>
      </c>
      <c r="O84">
        <v>57.097999999999999</v>
      </c>
      <c r="P84" s="2">
        <v>41214</v>
      </c>
      <c r="Q84">
        <v>1</v>
      </c>
      <c r="R84" s="1" t="s">
        <v>40</v>
      </c>
    </row>
    <row r="85" spans="1:18" x14ac:dyDescent="0.25">
      <c r="A85">
        <v>2012</v>
      </c>
      <c r="B85">
        <v>12</v>
      </c>
      <c r="C85" s="1" t="s">
        <v>35</v>
      </c>
      <c r="D85" s="1" t="s">
        <v>19</v>
      </c>
      <c r="E85" s="1" t="s">
        <v>48</v>
      </c>
      <c r="F85">
        <v>2006</v>
      </c>
      <c r="G85">
        <v>6</v>
      </c>
      <c r="H85" s="1" t="s">
        <v>21</v>
      </c>
      <c r="I85">
        <v>24</v>
      </c>
      <c r="J85">
        <v>3230</v>
      </c>
      <c r="K85" s="1" t="s">
        <v>49</v>
      </c>
      <c r="L85" s="1" t="s">
        <v>45</v>
      </c>
      <c r="M85">
        <v>2.8959999999999999</v>
      </c>
      <c r="N85">
        <v>69501.5</v>
      </c>
      <c r="O85">
        <v>69.501999999999995</v>
      </c>
      <c r="P85" s="2">
        <v>41244</v>
      </c>
      <c r="Q85">
        <v>1</v>
      </c>
      <c r="R85" s="1" t="s">
        <v>40</v>
      </c>
    </row>
    <row r="86" spans="1:18" x14ac:dyDescent="0.25">
      <c r="A86">
        <v>2012</v>
      </c>
      <c r="B86">
        <v>1</v>
      </c>
      <c r="C86" s="1" t="s">
        <v>18</v>
      </c>
      <c r="D86" s="1" t="s">
        <v>19</v>
      </c>
      <c r="E86" s="1" t="s">
        <v>50</v>
      </c>
      <c r="F86">
        <v>2006</v>
      </c>
      <c r="G86">
        <v>6</v>
      </c>
      <c r="H86" s="1" t="s">
        <v>21</v>
      </c>
      <c r="I86">
        <v>22</v>
      </c>
      <c r="J86">
        <v>2447</v>
      </c>
      <c r="K86" s="1" t="s">
        <v>51</v>
      </c>
      <c r="L86" s="1" t="s">
        <v>45</v>
      </c>
      <c r="M86">
        <v>1.728</v>
      </c>
      <c r="N86">
        <v>38026.400000000001</v>
      </c>
      <c r="O86">
        <v>38.026000000000003</v>
      </c>
      <c r="P86" s="2">
        <v>40909</v>
      </c>
      <c r="Q86">
        <v>1</v>
      </c>
      <c r="R86" s="1" t="s">
        <v>40</v>
      </c>
    </row>
    <row r="87" spans="1:18" x14ac:dyDescent="0.25">
      <c r="A87">
        <v>2012</v>
      </c>
      <c r="B87">
        <v>2</v>
      </c>
      <c r="C87" s="1" t="s">
        <v>25</v>
      </c>
      <c r="D87" s="1" t="s">
        <v>19</v>
      </c>
      <c r="E87" s="1" t="s">
        <v>50</v>
      </c>
      <c r="F87">
        <v>2006</v>
      </c>
      <c r="G87">
        <v>6</v>
      </c>
      <c r="H87" s="1" t="s">
        <v>21</v>
      </c>
      <c r="I87">
        <v>22</v>
      </c>
      <c r="J87">
        <v>2447</v>
      </c>
      <c r="K87" s="1" t="s">
        <v>51</v>
      </c>
      <c r="L87" s="1" t="s">
        <v>45</v>
      </c>
      <c r="M87">
        <v>1.417</v>
      </c>
      <c r="N87">
        <v>31180.9</v>
      </c>
      <c r="O87">
        <v>31.181000000000001</v>
      </c>
      <c r="P87" s="2">
        <v>40940</v>
      </c>
      <c r="Q87">
        <v>1</v>
      </c>
      <c r="R87" s="1" t="s">
        <v>40</v>
      </c>
    </row>
    <row r="88" spans="1:18" x14ac:dyDescent="0.25">
      <c r="A88">
        <v>2012</v>
      </c>
      <c r="B88">
        <v>3</v>
      </c>
      <c r="C88" s="1" t="s">
        <v>26</v>
      </c>
      <c r="D88" s="1" t="s">
        <v>19</v>
      </c>
      <c r="E88" s="1" t="s">
        <v>50</v>
      </c>
      <c r="F88">
        <v>2006</v>
      </c>
      <c r="G88">
        <v>6</v>
      </c>
      <c r="H88" s="1" t="s">
        <v>21</v>
      </c>
      <c r="I88">
        <v>22</v>
      </c>
      <c r="J88">
        <v>2447</v>
      </c>
      <c r="K88" s="1" t="s">
        <v>51</v>
      </c>
      <c r="L88" s="1" t="s">
        <v>45</v>
      </c>
      <c r="M88">
        <v>1.6120000000000001</v>
      </c>
      <c r="N88">
        <v>35457</v>
      </c>
      <c r="O88">
        <v>35.457000000000001</v>
      </c>
      <c r="P88" s="2">
        <v>40969</v>
      </c>
      <c r="Q88">
        <v>1</v>
      </c>
      <c r="R88" s="1" t="s">
        <v>40</v>
      </c>
    </row>
    <row r="89" spans="1:18" x14ac:dyDescent="0.25">
      <c r="A89">
        <v>2012</v>
      </c>
      <c r="B89">
        <v>4</v>
      </c>
      <c r="C89" s="1" t="s">
        <v>27</v>
      </c>
      <c r="D89" s="1" t="s">
        <v>19</v>
      </c>
      <c r="E89" s="1" t="s">
        <v>50</v>
      </c>
      <c r="F89">
        <v>2006</v>
      </c>
      <c r="G89">
        <v>6</v>
      </c>
      <c r="H89" s="1" t="s">
        <v>21</v>
      </c>
      <c r="I89">
        <v>22</v>
      </c>
      <c r="J89">
        <v>2447</v>
      </c>
      <c r="K89" s="1" t="s">
        <v>51</v>
      </c>
      <c r="L89" s="1" t="s">
        <v>45</v>
      </c>
      <c r="M89">
        <v>2.0019999999999998</v>
      </c>
      <c r="N89">
        <v>44046</v>
      </c>
      <c r="O89">
        <v>44.045999999999999</v>
      </c>
      <c r="P89" s="2">
        <v>41000</v>
      </c>
      <c r="Q89">
        <v>1</v>
      </c>
      <c r="R89" s="1" t="s">
        <v>40</v>
      </c>
    </row>
    <row r="90" spans="1:18" x14ac:dyDescent="0.25">
      <c r="A90">
        <v>2012</v>
      </c>
      <c r="B90">
        <v>5</v>
      </c>
      <c r="C90" s="1" t="s">
        <v>28</v>
      </c>
      <c r="D90" s="1" t="s">
        <v>19</v>
      </c>
      <c r="E90" s="1" t="s">
        <v>50</v>
      </c>
      <c r="F90">
        <v>2006</v>
      </c>
      <c r="G90">
        <v>6</v>
      </c>
      <c r="H90" s="1" t="s">
        <v>21</v>
      </c>
      <c r="I90">
        <v>22</v>
      </c>
      <c r="J90">
        <v>2447</v>
      </c>
      <c r="K90" s="1" t="s">
        <v>51</v>
      </c>
      <c r="L90" s="1" t="s">
        <v>45</v>
      </c>
      <c r="M90">
        <v>2.4750000000000001</v>
      </c>
      <c r="N90">
        <v>54451.9</v>
      </c>
      <c r="O90">
        <v>54.451999999999998</v>
      </c>
      <c r="P90" s="2">
        <v>41030</v>
      </c>
      <c r="Q90">
        <v>1</v>
      </c>
      <c r="R90" s="1" t="s">
        <v>40</v>
      </c>
    </row>
    <row r="91" spans="1:18" x14ac:dyDescent="0.25">
      <c r="A91">
        <v>2012</v>
      </c>
      <c r="B91">
        <v>6</v>
      </c>
      <c r="C91" s="1" t="s">
        <v>29</v>
      </c>
      <c r="D91" s="1" t="s">
        <v>19</v>
      </c>
      <c r="E91" s="1" t="s">
        <v>50</v>
      </c>
      <c r="F91">
        <v>2006</v>
      </c>
      <c r="G91">
        <v>6</v>
      </c>
      <c r="H91" s="1" t="s">
        <v>21</v>
      </c>
      <c r="I91">
        <v>22</v>
      </c>
      <c r="J91">
        <v>2447</v>
      </c>
      <c r="K91" s="1" t="s">
        <v>51</v>
      </c>
      <c r="L91" s="1" t="s">
        <v>45</v>
      </c>
      <c r="M91">
        <v>2.4220000000000002</v>
      </c>
      <c r="N91">
        <v>53277.3</v>
      </c>
      <c r="O91">
        <v>53.277000000000001</v>
      </c>
      <c r="P91" s="2">
        <v>41061</v>
      </c>
      <c r="Q91">
        <v>1</v>
      </c>
      <c r="R91" s="1" t="s">
        <v>40</v>
      </c>
    </row>
    <row r="92" spans="1:18" x14ac:dyDescent="0.25">
      <c r="A92">
        <v>2012</v>
      </c>
      <c r="B92">
        <v>7</v>
      </c>
      <c r="C92" s="1" t="s">
        <v>30</v>
      </c>
      <c r="D92" s="1" t="s">
        <v>19</v>
      </c>
      <c r="E92" s="1" t="s">
        <v>50</v>
      </c>
      <c r="F92">
        <v>2006</v>
      </c>
      <c r="G92">
        <v>6</v>
      </c>
      <c r="H92" s="1" t="s">
        <v>21</v>
      </c>
      <c r="I92">
        <v>22</v>
      </c>
      <c r="J92">
        <v>2447</v>
      </c>
      <c r="K92" s="1" t="s">
        <v>51</v>
      </c>
      <c r="L92" s="1" t="s">
        <v>45</v>
      </c>
      <c r="M92">
        <v>3.331</v>
      </c>
      <c r="N92">
        <v>73281.5</v>
      </c>
      <c r="O92">
        <v>73.281999999999996</v>
      </c>
      <c r="P92" s="2">
        <v>41091</v>
      </c>
      <c r="Q92">
        <v>1</v>
      </c>
      <c r="R92" s="1" t="s">
        <v>40</v>
      </c>
    </row>
    <row r="93" spans="1:18" x14ac:dyDescent="0.25">
      <c r="A93">
        <v>2012</v>
      </c>
      <c r="B93">
        <v>8</v>
      </c>
      <c r="C93" s="1" t="s">
        <v>31</v>
      </c>
      <c r="D93" s="1" t="s">
        <v>19</v>
      </c>
      <c r="E93" s="1" t="s">
        <v>50</v>
      </c>
      <c r="F93">
        <v>2006</v>
      </c>
      <c r="G93">
        <v>6</v>
      </c>
      <c r="H93" s="1" t="s">
        <v>21</v>
      </c>
      <c r="I93">
        <v>22</v>
      </c>
      <c r="J93">
        <v>2447</v>
      </c>
      <c r="K93" s="1" t="s">
        <v>51</v>
      </c>
      <c r="L93" s="1" t="s">
        <v>45</v>
      </c>
      <c r="M93">
        <v>2.621</v>
      </c>
      <c r="N93">
        <v>57663.6</v>
      </c>
      <c r="O93">
        <v>57.664000000000001</v>
      </c>
      <c r="P93" s="2">
        <v>41122</v>
      </c>
      <c r="Q93">
        <v>1</v>
      </c>
      <c r="R93" s="1" t="s">
        <v>40</v>
      </c>
    </row>
    <row r="94" spans="1:18" x14ac:dyDescent="0.25">
      <c r="A94">
        <v>2012</v>
      </c>
      <c r="B94">
        <v>9</v>
      </c>
      <c r="C94" s="1" t="s">
        <v>32</v>
      </c>
      <c r="D94" s="1" t="s">
        <v>19</v>
      </c>
      <c r="E94" s="1" t="s">
        <v>50</v>
      </c>
      <c r="F94">
        <v>2006</v>
      </c>
      <c r="G94">
        <v>6</v>
      </c>
      <c r="H94" s="1" t="s">
        <v>21</v>
      </c>
      <c r="I94">
        <v>22</v>
      </c>
      <c r="J94">
        <v>2447</v>
      </c>
      <c r="K94" s="1" t="s">
        <v>51</v>
      </c>
      <c r="L94" s="1" t="s">
        <v>45</v>
      </c>
      <c r="M94">
        <v>2.5840000000000001</v>
      </c>
      <c r="N94">
        <v>56837.7</v>
      </c>
      <c r="O94">
        <v>56.838000000000001</v>
      </c>
      <c r="P94" s="2">
        <v>41153</v>
      </c>
      <c r="Q94">
        <v>1</v>
      </c>
      <c r="R94" s="1" t="s">
        <v>40</v>
      </c>
    </row>
    <row r="95" spans="1:18" x14ac:dyDescent="0.25">
      <c r="A95">
        <v>2012</v>
      </c>
      <c r="B95">
        <v>10</v>
      </c>
      <c r="C95" s="1" t="s">
        <v>33</v>
      </c>
      <c r="D95" s="1" t="s">
        <v>19</v>
      </c>
      <c r="E95" s="1" t="s">
        <v>50</v>
      </c>
      <c r="F95">
        <v>2006</v>
      </c>
      <c r="G95">
        <v>6</v>
      </c>
      <c r="H95" s="1" t="s">
        <v>21</v>
      </c>
      <c r="I95">
        <v>22</v>
      </c>
      <c r="J95">
        <v>2447</v>
      </c>
      <c r="K95" s="1" t="s">
        <v>51</v>
      </c>
      <c r="L95" s="1" t="s">
        <v>45</v>
      </c>
      <c r="M95">
        <v>1.85</v>
      </c>
      <c r="N95">
        <v>40705.800000000003</v>
      </c>
      <c r="O95">
        <v>40.706000000000003</v>
      </c>
      <c r="P95" s="2">
        <v>41183</v>
      </c>
      <c r="Q95">
        <v>1</v>
      </c>
      <c r="R95" s="1" t="s">
        <v>40</v>
      </c>
    </row>
    <row r="96" spans="1:18" x14ac:dyDescent="0.25">
      <c r="A96">
        <v>2012</v>
      </c>
      <c r="B96">
        <v>11</v>
      </c>
      <c r="C96" s="1" t="s">
        <v>34</v>
      </c>
      <c r="D96" s="1" t="s">
        <v>19</v>
      </c>
      <c r="E96" s="1" t="s">
        <v>50</v>
      </c>
      <c r="F96">
        <v>2006</v>
      </c>
      <c r="G96">
        <v>6</v>
      </c>
      <c r="H96" s="1" t="s">
        <v>21</v>
      </c>
      <c r="I96">
        <v>22</v>
      </c>
      <c r="J96">
        <v>2447</v>
      </c>
      <c r="K96" s="1" t="s">
        <v>51</v>
      </c>
      <c r="L96" s="1" t="s">
        <v>45</v>
      </c>
      <c r="M96">
        <v>1.966</v>
      </c>
      <c r="N96">
        <v>43256.800000000003</v>
      </c>
      <c r="O96">
        <v>43.256999999999998</v>
      </c>
      <c r="P96" s="2">
        <v>41214</v>
      </c>
      <c r="Q96">
        <v>1</v>
      </c>
      <c r="R96" s="1" t="s">
        <v>40</v>
      </c>
    </row>
    <row r="97" spans="1:18" x14ac:dyDescent="0.25">
      <c r="A97">
        <v>2012</v>
      </c>
      <c r="B97">
        <v>12</v>
      </c>
      <c r="C97" s="1" t="s">
        <v>35</v>
      </c>
      <c r="D97" s="1" t="s">
        <v>19</v>
      </c>
      <c r="E97" s="1" t="s">
        <v>50</v>
      </c>
      <c r="F97">
        <v>2006</v>
      </c>
      <c r="G97">
        <v>6</v>
      </c>
      <c r="H97" s="1" t="s">
        <v>21</v>
      </c>
      <c r="I97">
        <v>22</v>
      </c>
      <c r="J97">
        <v>2447</v>
      </c>
      <c r="K97" s="1" t="s">
        <v>51</v>
      </c>
      <c r="L97" s="1" t="s">
        <v>45</v>
      </c>
      <c r="M97">
        <v>2.3929999999999998</v>
      </c>
      <c r="N97">
        <v>52653.3</v>
      </c>
      <c r="O97">
        <v>52.652999999999999</v>
      </c>
      <c r="P97" s="2">
        <v>41244</v>
      </c>
      <c r="Q97">
        <v>1</v>
      </c>
      <c r="R97" s="1" t="s">
        <v>40</v>
      </c>
    </row>
    <row r="98" spans="1:18" x14ac:dyDescent="0.25">
      <c r="A98">
        <v>2012</v>
      </c>
      <c r="B98">
        <v>1</v>
      </c>
      <c r="C98" s="1" t="s">
        <v>18</v>
      </c>
      <c r="D98" s="1" t="s">
        <v>19</v>
      </c>
      <c r="E98" s="1" t="s">
        <v>52</v>
      </c>
      <c r="F98">
        <v>2006</v>
      </c>
      <c r="G98">
        <v>6</v>
      </c>
      <c r="H98" s="1" t="s">
        <v>21</v>
      </c>
      <c r="I98">
        <v>15</v>
      </c>
      <c r="J98">
        <v>1866</v>
      </c>
      <c r="K98" s="1" t="s">
        <v>53</v>
      </c>
      <c r="L98" s="1" t="s">
        <v>45</v>
      </c>
      <c r="M98">
        <v>1.9330000000000001</v>
      </c>
      <c r="N98">
        <v>28997.599999999999</v>
      </c>
      <c r="O98">
        <v>28.998000000000001</v>
      </c>
      <c r="P98" s="2">
        <v>40909</v>
      </c>
      <c r="Q98">
        <v>1</v>
      </c>
      <c r="R98" s="1" t="s">
        <v>40</v>
      </c>
    </row>
    <row r="99" spans="1:18" x14ac:dyDescent="0.25">
      <c r="A99">
        <v>2012</v>
      </c>
      <c r="B99">
        <v>2</v>
      </c>
      <c r="C99" s="1" t="s">
        <v>25</v>
      </c>
      <c r="D99" s="1" t="s">
        <v>19</v>
      </c>
      <c r="E99" s="1" t="s">
        <v>52</v>
      </c>
      <c r="F99">
        <v>2006</v>
      </c>
      <c r="G99">
        <v>6</v>
      </c>
      <c r="H99" s="1" t="s">
        <v>21</v>
      </c>
      <c r="I99">
        <v>15</v>
      </c>
      <c r="J99">
        <v>1866</v>
      </c>
      <c r="K99" s="1" t="s">
        <v>53</v>
      </c>
      <c r="L99" s="1" t="s">
        <v>45</v>
      </c>
      <c r="M99">
        <v>1.585</v>
      </c>
      <c r="N99">
        <v>23777.5</v>
      </c>
      <c r="O99">
        <v>23.777999999999999</v>
      </c>
      <c r="P99" s="2">
        <v>40940</v>
      </c>
      <c r="Q99">
        <v>1</v>
      </c>
      <c r="R99" s="1" t="s">
        <v>40</v>
      </c>
    </row>
    <row r="100" spans="1:18" x14ac:dyDescent="0.25">
      <c r="A100">
        <v>2012</v>
      </c>
      <c r="B100">
        <v>3</v>
      </c>
      <c r="C100" s="1" t="s">
        <v>26</v>
      </c>
      <c r="D100" s="1" t="s">
        <v>19</v>
      </c>
      <c r="E100" s="1" t="s">
        <v>52</v>
      </c>
      <c r="F100">
        <v>2006</v>
      </c>
      <c r="G100">
        <v>6</v>
      </c>
      <c r="H100" s="1" t="s">
        <v>21</v>
      </c>
      <c r="I100">
        <v>15</v>
      </c>
      <c r="J100">
        <v>1866</v>
      </c>
      <c r="K100" s="1" t="s">
        <v>53</v>
      </c>
      <c r="L100" s="1" t="s">
        <v>45</v>
      </c>
      <c r="M100">
        <v>1.8029999999999999</v>
      </c>
      <c r="N100">
        <v>27038.3</v>
      </c>
      <c r="O100">
        <v>27.038</v>
      </c>
      <c r="P100" s="2">
        <v>40969</v>
      </c>
      <c r="Q100">
        <v>1</v>
      </c>
      <c r="R100" s="1" t="s">
        <v>40</v>
      </c>
    </row>
    <row r="101" spans="1:18" x14ac:dyDescent="0.25">
      <c r="A101">
        <v>2012</v>
      </c>
      <c r="B101">
        <v>4</v>
      </c>
      <c r="C101" s="1" t="s">
        <v>27</v>
      </c>
      <c r="D101" s="1" t="s">
        <v>19</v>
      </c>
      <c r="E101" s="1" t="s">
        <v>52</v>
      </c>
      <c r="F101">
        <v>2006</v>
      </c>
      <c r="G101">
        <v>6</v>
      </c>
      <c r="H101" s="1" t="s">
        <v>21</v>
      </c>
      <c r="I101">
        <v>15</v>
      </c>
      <c r="J101">
        <v>1866</v>
      </c>
      <c r="K101" s="1" t="s">
        <v>53</v>
      </c>
      <c r="L101" s="1" t="s">
        <v>45</v>
      </c>
      <c r="M101">
        <v>2.2389999999999999</v>
      </c>
      <c r="N101">
        <v>33588</v>
      </c>
      <c r="O101">
        <v>33.588000000000001</v>
      </c>
      <c r="P101" s="2">
        <v>41000</v>
      </c>
      <c r="Q101">
        <v>1</v>
      </c>
      <c r="R101" s="1" t="s">
        <v>40</v>
      </c>
    </row>
    <row r="102" spans="1:18" x14ac:dyDescent="0.25">
      <c r="A102">
        <v>2012</v>
      </c>
      <c r="B102">
        <v>5</v>
      </c>
      <c r="C102" s="1" t="s">
        <v>28</v>
      </c>
      <c r="D102" s="1" t="s">
        <v>19</v>
      </c>
      <c r="E102" s="1" t="s">
        <v>52</v>
      </c>
      <c r="F102">
        <v>2006</v>
      </c>
      <c r="G102">
        <v>6</v>
      </c>
      <c r="H102" s="1" t="s">
        <v>21</v>
      </c>
      <c r="I102">
        <v>15</v>
      </c>
      <c r="J102">
        <v>1866</v>
      </c>
      <c r="K102" s="1" t="s">
        <v>53</v>
      </c>
      <c r="L102" s="1" t="s">
        <v>45</v>
      </c>
      <c r="M102">
        <v>2.7679999999999998</v>
      </c>
      <c r="N102">
        <v>41523.199999999997</v>
      </c>
      <c r="O102">
        <v>41.523000000000003</v>
      </c>
      <c r="P102" s="2">
        <v>41030</v>
      </c>
      <c r="Q102">
        <v>1</v>
      </c>
      <c r="R102" s="1" t="s">
        <v>40</v>
      </c>
    </row>
    <row r="103" spans="1:18" x14ac:dyDescent="0.25">
      <c r="A103">
        <v>2012</v>
      </c>
      <c r="B103">
        <v>6</v>
      </c>
      <c r="C103" s="1" t="s">
        <v>29</v>
      </c>
      <c r="D103" s="1" t="s">
        <v>19</v>
      </c>
      <c r="E103" s="1" t="s">
        <v>52</v>
      </c>
      <c r="F103">
        <v>2006</v>
      </c>
      <c r="G103">
        <v>6</v>
      </c>
      <c r="H103" s="1" t="s">
        <v>21</v>
      </c>
      <c r="I103">
        <v>15</v>
      </c>
      <c r="J103">
        <v>1866</v>
      </c>
      <c r="K103" s="1" t="s">
        <v>53</v>
      </c>
      <c r="L103" s="1" t="s">
        <v>45</v>
      </c>
      <c r="M103">
        <v>2.7080000000000002</v>
      </c>
      <c r="N103">
        <v>40627.5</v>
      </c>
      <c r="O103">
        <v>40.627000000000002</v>
      </c>
      <c r="P103" s="2">
        <v>41061</v>
      </c>
      <c r="Q103">
        <v>1</v>
      </c>
      <c r="R103" s="1" t="s">
        <v>40</v>
      </c>
    </row>
    <row r="104" spans="1:18" x14ac:dyDescent="0.25">
      <c r="A104">
        <v>2012</v>
      </c>
      <c r="B104">
        <v>7</v>
      </c>
      <c r="C104" s="1" t="s">
        <v>30</v>
      </c>
      <c r="D104" s="1" t="s">
        <v>19</v>
      </c>
      <c r="E104" s="1" t="s">
        <v>52</v>
      </c>
      <c r="F104">
        <v>2006</v>
      </c>
      <c r="G104">
        <v>6</v>
      </c>
      <c r="H104" s="1" t="s">
        <v>21</v>
      </c>
      <c r="I104">
        <v>15</v>
      </c>
      <c r="J104">
        <v>1866</v>
      </c>
      <c r="K104" s="1" t="s">
        <v>53</v>
      </c>
      <c r="L104" s="1" t="s">
        <v>45</v>
      </c>
      <c r="M104">
        <v>3.7250000000000001</v>
      </c>
      <c r="N104">
        <v>55882</v>
      </c>
      <c r="O104">
        <v>55.881999999999998</v>
      </c>
      <c r="P104" s="2">
        <v>41091</v>
      </c>
      <c r="Q104">
        <v>1</v>
      </c>
      <c r="R104" s="1" t="s">
        <v>40</v>
      </c>
    </row>
    <row r="105" spans="1:18" x14ac:dyDescent="0.25">
      <c r="A105">
        <v>2012</v>
      </c>
      <c r="B105">
        <v>8</v>
      </c>
      <c r="C105" s="1" t="s">
        <v>31</v>
      </c>
      <c r="D105" s="1" t="s">
        <v>19</v>
      </c>
      <c r="E105" s="1" t="s">
        <v>52</v>
      </c>
      <c r="F105">
        <v>2006</v>
      </c>
      <c r="G105">
        <v>6</v>
      </c>
      <c r="H105" s="1" t="s">
        <v>21</v>
      </c>
      <c r="I105">
        <v>15</v>
      </c>
      <c r="J105">
        <v>1866</v>
      </c>
      <c r="K105" s="1" t="s">
        <v>53</v>
      </c>
      <c r="L105" s="1" t="s">
        <v>45</v>
      </c>
      <c r="M105">
        <v>2.931</v>
      </c>
      <c r="N105">
        <v>43972.3</v>
      </c>
      <c r="O105">
        <v>43.972000000000001</v>
      </c>
      <c r="P105" s="2">
        <v>41122</v>
      </c>
      <c r="Q105">
        <v>1</v>
      </c>
      <c r="R105" s="1" t="s">
        <v>40</v>
      </c>
    </row>
    <row r="106" spans="1:18" x14ac:dyDescent="0.25">
      <c r="A106">
        <v>2012</v>
      </c>
      <c r="B106">
        <v>9</v>
      </c>
      <c r="C106" s="1" t="s">
        <v>32</v>
      </c>
      <c r="D106" s="1" t="s">
        <v>19</v>
      </c>
      <c r="E106" s="1" t="s">
        <v>52</v>
      </c>
      <c r="F106">
        <v>2006</v>
      </c>
      <c r="G106">
        <v>6</v>
      </c>
      <c r="H106" s="1" t="s">
        <v>21</v>
      </c>
      <c r="I106">
        <v>15</v>
      </c>
      <c r="J106">
        <v>1866</v>
      </c>
      <c r="K106" s="1" t="s">
        <v>53</v>
      </c>
      <c r="L106" s="1" t="s">
        <v>45</v>
      </c>
      <c r="M106">
        <v>2.89</v>
      </c>
      <c r="N106">
        <v>43342.5</v>
      </c>
      <c r="O106">
        <v>43.343000000000004</v>
      </c>
      <c r="P106" s="2">
        <v>41153</v>
      </c>
      <c r="Q106">
        <v>1</v>
      </c>
      <c r="R106" s="1" t="s">
        <v>40</v>
      </c>
    </row>
    <row r="107" spans="1:18" x14ac:dyDescent="0.25">
      <c r="A107">
        <v>2012</v>
      </c>
      <c r="B107">
        <v>10</v>
      </c>
      <c r="C107" s="1" t="s">
        <v>33</v>
      </c>
      <c r="D107" s="1" t="s">
        <v>19</v>
      </c>
      <c r="E107" s="1" t="s">
        <v>52</v>
      </c>
      <c r="F107">
        <v>2006</v>
      </c>
      <c r="G107">
        <v>6</v>
      </c>
      <c r="H107" s="1" t="s">
        <v>21</v>
      </c>
      <c r="I107">
        <v>15</v>
      </c>
      <c r="J107">
        <v>1866</v>
      </c>
      <c r="K107" s="1" t="s">
        <v>53</v>
      </c>
      <c r="L107" s="1" t="s">
        <v>45</v>
      </c>
      <c r="M107">
        <v>2.069</v>
      </c>
      <c r="N107">
        <v>31040.9</v>
      </c>
      <c r="O107">
        <v>31.041</v>
      </c>
      <c r="P107" s="2">
        <v>41183</v>
      </c>
      <c r="Q107">
        <v>1</v>
      </c>
      <c r="R107" s="1" t="s">
        <v>40</v>
      </c>
    </row>
    <row r="108" spans="1:18" x14ac:dyDescent="0.25">
      <c r="A108">
        <v>2012</v>
      </c>
      <c r="B108">
        <v>11</v>
      </c>
      <c r="C108" s="1" t="s">
        <v>34</v>
      </c>
      <c r="D108" s="1" t="s">
        <v>19</v>
      </c>
      <c r="E108" s="1" t="s">
        <v>52</v>
      </c>
      <c r="F108">
        <v>2006</v>
      </c>
      <c r="G108">
        <v>6</v>
      </c>
      <c r="H108" s="1" t="s">
        <v>21</v>
      </c>
      <c r="I108">
        <v>15</v>
      </c>
      <c r="J108">
        <v>1866</v>
      </c>
      <c r="K108" s="1" t="s">
        <v>53</v>
      </c>
      <c r="L108" s="1" t="s">
        <v>45</v>
      </c>
      <c r="M108">
        <v>2.1989999999999998</v>
      </c>
      <c r="N108">
        <v>32986.199999999997</v>
      </c>
      <c r="O108">
        <v>32.985999999999997</v>
      </c>
      <c r="P108" s="2">
        <v>41214</v>
      </c>
      <c r="Q108">
        <v>1</v>
      </c>
      <c r="R108" s="1" t="s">
        <v>40</v>
      </c>
    </row>
    <row r="109" spans="1:18" x14ac:dyDescent="0.25">
      <c r="A109">
        <v>2012</v>
      </c>
      <c r="B109">
        <v>12</v>
      </c>
      <c r="C109" s="1" t="s">
        <v>35</v>
      </c>
      <c r="D109" s="1" t="s">
        <v>19</v>
      </c>
      <c r="E109" s="1" t="s">
        <v>52</v>
      </c>
      <c r="F109">
        <v>2006</v>
      </c>
      <c r="G109">
        <v>6</v>
      </c>
      <c r="H109" s="1" t="s">
        <v>21</v>
      </c>
      <c r="I109">
        <v>15</v>
      </c>
      <c r="J109">
        <v>1866</v>
      </c>
      <c r="K109" s="1" t="s">
        <v>53</v>
      </c>
      <c r="L109" s="1" t="s">
        <v>45</v>
      </c>
      <c r="M109">
        <v>2.677</v>
      </c>
      <c r="N109">
        <v>40151.699999999997</v>
      </c>
      <c r="O109">
        <v>40.152000000000001</v>
      </c>
      <c r="P109" s="2">
        <v>41244</v>
      </c>
      <c r="Q109">
        <v>1</v>
      </c>
      <c r="R109" s="1" t="s">
        <v>40</v>
      </c>
    </row>
    <row r="110" spans="1:18" x14ac:dyDescent="0.25">
      <c r="A110">
        <v>2012</v>
      </c>
      <c r="B110">
        <v>1</v>
      </c>
      <c r="C110" s="1" t="s">
        <v>18</v>
      </c>
      <c r="D110" s="1" t="s">
        <v>19</v>
      </c>
      <c r="E110" s="1" t="s">
        <v>54</v>
      </c>
      <c r="F110">
        <v>2006</v>
      </c>
      <c r="G110">
        <v>6</v>
      </c>
      <c r="H110" s="1" t="s">
        <v>21</v>
      </c>
      <c r="I110">
        <v>25</v>
      </c>
      <c r="J110">
        <v>3154</v>
      </c>
      <c r="K110" s="1" t="s">
        <v>55</v>
      </c>
      <c r="L110" s="1" t="s">
        <v>45</v>
      </c>
      <c r="M110">
        <v>1.9610000000000001</v>
      </c>
      <c r="N110">
        <v>49013.2</v>
      </c>
      <c r="O110">
        <v>49.012999999999998</v>
      </c>
      <c r="P110" s="2">
        <v>40909</v>
      </c>
      <c r="Q110">
        <v>1</v>
      </c>
      <c r="R110" s="1" t="s">
        <v>40</v>
      </c>
    </row>
    <row r="111" spans="1:18" x14ac:dyDescent="0.25">
      <c r="A111">
        <v>2012</v>
      </c>
      <c r="B111">
        <v>2</v>
      </c>
      <c r="C111" s="1" t="s">
        <v>25</v>
      </c>
      <c r="D111" s="1" t="s">
        <v>19</v>
      </c>
      <c r="E111" s="1" t="s">
        <v>54</v>
      </c>
      <c r="F111">
        <v>2006</v>
      </c>
      <c r="G111">
        <v>6</v>
      </c>
      <c r="H111" s="1" t="s">
        <v>21</v>
      </c>
      <c r="I111">
        <v>25</v>
      </c>
      <c r="J111">
        <v>3154</v>
      </c>
      <c r="K111" s="1" t="s">
        <v>55</v>
      </c>
      <c r="L111" s="1" t="s">
        <v>45</v>
      </c>
      <c r="M111">
        <v>1.6080000000000001</v>
      </c>
      <c r="N111">
        <v>40189.800000000003</v>
      </c>
      <c r="O111">
        <v>40.19</v>
      </c>
      <c r="P111" s="2">
        <v>40940</v>
      </c>
      <c r="Q111">
        <v>1</v>
      </c>
      <c r="R111" s="1" t="s">
        <v>40</v>
      </c>
    </row>
    <row r="112" spans="1:18" x14ac:dyDescent="0.25">
      <c r="A112">
        <v>2012</v>
      </c>
      <c r="B112">
        <v>3</v>
      </c>
      <c r="C112" s="1" t="s">
        <v>26</v>
      </c>
      <c r="D112" s="1" t="s">
        <v>19</v>
      </c>
      <c r="E112" s="1" t="s">
        <v>54</v>
      </c>
      <c r="F112">
        <v>2006</v>
      </c>
      <c r="G112">
        <v>6</v>
      </c>
      <c r="H112" s="1" t="s">
        <v>21</v>
      </c>
      <c r="I112">
        <v>25</v>
      </c>
      <c r="J112">
        <v>3154</v>
      </c>
      <c r="K112" s="1" t="s">
        <v>55</v>
      </c>
      <c r="L112" s="1" t="s">
        <v>45</v>
      </c>
      <c r="M112">
        <v>1.8280000000000001</v>
      </c>
      <c r="N112">
        <v>45701.5</v>
      </c>
      <c r="O112">
        <v>45.701000000000001</v>
      </c>
      <c r="P112" s="2">
        <v>40969</v>
      </c>
      <c r="Q112">
        <v>1</v>
      </c>
      <c r="R112" s="1" t="s">
        <v>40</v>
      </c>
    </row>
    <row r="113" spans="1:18" x14ac:dyDescent="0.25">
      <c r="A113">
        <v>2012</v>
      </c>
      <c r="B113">
        <v>4</v>
      </c>
      <c r="C113" s="1" t="s">
        <v>27</v>
      </c>
      <c r="D113" s="1" t="s">
        <v>19</v>
      </c>
      <c r="E113" s="1" t="s">
        <v>54</v>
      </c>
      <c r="F113">
        <v>2006</v>
      </c>
      <c r="G113">
        <v>6</v>
      </c>
      <c r="H113" s="1" t="s">
        <v>21</v>
      </c>
      <c r="I113">
        <v>25</v>
      </c>
      <c r="J113">
        <v>3154</v>
      </c>
      <c r="K113" s="1" t="s">
        <v>55</v>
      </c>
      <c r="L113" s="1" t="s">
        <v>45</v>
      </c>
      <c r="M113">
        <v>2.2709999999999999</v>
      </c>
      <c r="N113">
        <v>56772</v>
      </c>
      <c r="O113">
        <v>56.771999999999998</v>
      </c>
      <c r="P113" s="2">
        <v>41000</v>
      </c>
      <c r="Q113">
        <v>1</v>
      </c>
      <c r="R113" s="1" t="s">
        <v>40</v>
      </c>
    </row>
    <row r="114" spans="1:18" x14ac:dyDescent="0.25">
      <c r="A114">
        <v>2012</v>
      </c>
      <c r="B114">
        <v>5</v>
      </c>
      <c r="C114" s="1" t="s">
        <v>28</v>
      </c>
      <c r="D114" s="1" t="s">
        <v>19</v>
      </c>
      <c r="E114" s="1" t="s">
        <v>54</v>
      </c>
      <c r="F114">
        <v>2006</v>
      </c>
      <c r="G114">
        <v>6</v>
      </c>
      <c r="H114" s="1" t="s">
        <v>21</v>
      </c>
      <c r="I114">
        <v>25</v>
      </c>
      <c r="J114">
        <v>3154</v>
      </c>
      <c r="K114" s="1" t="s">
        <v>55</v>
      </c>
      <c r="L114" s="1" t="s">
        <v>45</v>
      </c>
      <c r="M114">
        <v>2.8069999999999999</v>
      </c>
      <c r="N114">
        <v>70184.399999999994</v>
      </c>
      <c r="O114">
        <v>70.183999999999997</v>
      </c>
      <c r="P114" s="2">
        <v>41030</v>
      </c>
      <c r="Q114">
        <v>1</v>
      </c>
      <c r="R114" s="1" t="s">
        <v>40</v>
      </c>
    </row>
    <row r="115" spans="1:18" x14ac:dyDescent="0.25">
      <c r="A115">
        <v>2012</v>
      </c>
      <c r="B115">
        <v>6</v>
      </c>
      <c r="C115" s="1" t="s">
        <v>29</v>
      </c>
      <c r="D115" s="1" t="s">
        <v>19</v>
      </c>
      <c r="E115" s="1" t="s">
        <v>54</v>
      </c>
      <c r="F115">
        <v>2006</v>
      </c>
      <c r="G115">
        <v>6</v>
      </c>
      <c r="H115" s="1" t="s">
        <v>21</v>
      </c>
      <c r="I115">
        <v>25</v>
      </c>
      <c r="J115">
        <v>3154</v>
      </c>
      <c r="K115" s="1" t="s">
        <v>55</v>
      </c>
      <c r="L115" s="1" t="s">
        <v>45</v>
      </c>
      <c r="M115">
        <v>2.7469999999999999</v>
      </c>
      <c r="N115">
        <v>68670.5</v>
      </c>
      <c r="O115">
        <v>68.67</v>
      </c>
      <c r="P115" s="2">
        <v>41061</v>
      </c>
      <c r="Q115">
        <v>1</v>
      </c>
      <c r="R115" s="1" t="s">
        <v>40</v>
      </c>
    </row>
    <row r="116" spans="1:18" x14ac:dyDescent="0.25">
      <c r="A116">
        <v>2012</v>
      </c>
      <c r="B116">
        <v>7</v>
      </c>
      <c r="C116" s="1" t="s">
        <v>30</v>
      </c>
      <c r="D116" s="1" t="s">
        <v>19</v>
      </c>
      <c r="E116" s="1" t="s">
        <v>54</v>
      </c>
      <c r="F116">
        <v>2006</v>
      </c>
      <c r="G116">
        <v>6</v>
      </c>
      <c r="H116" s="1" t="s">
        <v>21</v>
      </c>
      <c r="I116">
        <v>25</v>
      </c>
      <c r="J116">
        <v>3154</v>
      </c>
      <c r="K116" s="1" t="s">
        <v>55</v>
      </c>
      <c r="L116" s="1" t="s">
        <v>45</v>
      </c>
      <c r="M116">
        <v>3.778</v>
      </c>
      <c r="N116">
        <v>94454.399999999994</v>
      </c>
      <c r="O116">
        <v>94.453999999999994</v>
      </c>
      <c r="P116" s="2">
        <v>41091</v>
      </c>
      <c r="Q116">
        <v>1</v>
      </c>
      <c r="R116" s="1" t="s">
        <v>40</v>
      </c>
    </row>
    <row r="117" spans="1:18" x14ac:dyDescent="0.25">
      <c r="A117">
        <v>2012</v>
      </c>
      <c r="B117">
        <v>8</v>
      </c>
      <c r="C117" s="1" t="s">
        <v>31</v>
      </c>
      <c r="D117" s="1" t="s">
        <v>19</v>
      </c>
      <c r="E117" s="1" t="s">
        <v>54</v>
      </c>
      <c r="F117">
        <v>2006</v>
      </c>
      <c r="G117">
        <v>6</v>
      </c>
      <c r="H117" s="1" t="s">
        <v>21</v>
      </c>
      <c r="I117">
        <v>25</v>
      </c>
      <c r="J117">
        <v>3154</v>
      </c>
      <c r="K117" s="1" t="s">
        <v>55</v>
      </c>
      <c r="L117" s="1" t="s">
        <v>45</v>
      </c>
      <c r="M117">
        <v>2.9729999999999999</v>
      </c>
      <c r="N117">
        <v>74324</v>
      </c>
      <c r="O117">
        <v>74.323999999999998</v>
      </c>
      <c r="P117" s="2">
        <v>41122</v>
      </c>
      <c r="Q117">
        <v>1</v>
      </c>
      <c r="R117" s="1" t="s">
        <v>40</v>
      </c>
    </row>
    <row r="118" spans="1:18" x14ac:dyDescent="0.25">
      <c r="A118">
        <v>2012</v>
      </c>
      <c r="B118">
        <v>9</v>
      </c>
      <c r="C118" s="1" t="s">
        <v>32</v>
      </c>
      <c r="D118" s="1" t="s">
        <v>19</v>
      </c>
      <c r="E118" s="1" t="s">
        <v>54</v>
      </c>
      <c r="F118">
        <v>2006</v>
      </c>
      <c r="G118">
        <v>6</v>
      </c>
      <c r="H118" s="1" t="s">
        <v>21</v>
      </c>
      <c r="I118">
        <v>25</v>
      </c>
      <c r="J118">
        <v>3154</v>
      </c>
      <c r="K118" s="1" t="s">
        <v>55</v>
      </c>
      <c r="L118" s="1" t="s">
        <v>45</v>
      </c>
      <c r="M118">
        <v>2.93</v>
      </c>
      <c r="N118">
        <v>73259.5</v>
      </c>
      <c r="O118">
        <v>73.260000000000005</v>
      </c>
      <c r="P118" s="2">
        <v>41153</v>
      </c>
      <c r="Q118">
        <v>1</v>
      </c>
      <c r="R118" s="1" t="s">
        <v>40</v>
      </c>
    </row>
    <row r="119" spans="1:18" x14ac:dyDescent="0.25">
      <c r="A119">
        <v>2012</v>
      </c>
      <c r="B119">
        <v>10</v>
      </c>
      <c r="C119" s="1" t="s">
        <v>33</v>
      </c>
      <c r="D119" s="1" t="s">
        <v>19</v>
      </c>
      <c r="E119" s="1" t="s">
        <v>54</v>
      </c>
      <c r="F119">
        <v>2006</v>
      </c>
      <c r="G119">
        <v>6</v>
      </c>
      <c r="H119" s="1" t="s">
        <v>21</v>
      </c>
      <c r="I119">
        <v>25</v>
      </c>
      <c r="J119">
        <v>3154</v>
      </c>
      <c r="K119" s="1" t="s">
        <v>55</v>
      </c>
      <c r="L119" s="1" t="s">
        <v>45</v>
      </c>
      <c r="M119">
        <v>2.0990000000000002</v>
      </c>
      <c r="N119">
        <v>52466.8</v>
      </c>
      <c r="O119">
        <v>52.466999999999999</v>
      </c>
      <c r="P119" s="2">
        <v>41183</v>
      </c>
      <c r="Q119">
        <v>1</v>
      </c>
      <c r="R119" s="1" t="s">
        <v>40</v>
      </c>
    </row>
    <row r="120" spans="1:18" x14ac:dyDescent="0.25">
      <c r="A120">
        <v>2012</v>
      </c>
      <c r="B120">
        <v>11</v>
      </c>
      <c r="C120" s="1" t="s">
        <v>34</v>
      </c>
      <c r="D120" s="1" t="s">
        <v>19</v>
      </c>
      <c r="E120" s="1" t="s">
        <v>54</v>
      </c>
      <c r="F120">
        <v>2006</v>
      </c>
      <c r="G120">
        <v>6</v>
      </c>
      <c r="H120" s="1" t="s">
        <v>21</v>
      </c>
      <c r="I120">
        <v>25</v>
      </c>
      <c r="J120">
        <v>3154</v>
      </c>
      <c r="K120" s="1" t="s">
        <v>55</v>
      </c>
      <c r="L120" s="1" t="s">
        <v>45</v>
      </c>
      <c r="M120">
        <v>2.23</v>
      </c>
      <c r="N120">
        <v>55754.8</v>
      </c>
      <c r="O120">
        <v>55.755000000000003</v>
      </c>
      <c r="P120" s="2">
        <v>41214</v>
      </c>
      <c r="Q120">
        <v>1</v>
      </c>
      <c r="R120" s="1" t="s">
        <v>40</v>
      </c>
    </row>
    <row r="121" spans="1:18" x14ac:dyDescent="0.25">
      <c r="A121">
        <v>2012</v>
      </c>
      <c r="B121">
        <v>12</v>
      </c>
      <c r="C121" s="1" t="s">
        <v>35</v>
      </c>
      <c r="D121" s="1" t="s">
        <v>19</v>
      </c>
      <c r="E121" s="1" t="s">
        <v>54</v>
      </c>
      <c r="F121">
        <v>2006</v>
      </c>
      <c r="G121">
        <v>6</v>
      </c>
      <c r="H121" s="1" t="s">
        <v>21</v>
      </c>
      <c r="I121">
        <v>25</v>
      </c>
      <c r="J121">
        <v>3154</v>
      </c>
      <c r="K121" s="1" t="s">
        <v>55</v>
      </c>
      <c r="L121" s="1" t="s">
        <v>45</v>
      </c>
      <c r="M121">
        <v>2.7149999999999999</v>
      </c>
      <c r="N121">
        <v>67866.2</v>
      </c>
      <c r="O121">
        <v>67.866</v>
      </c>
      <c r="P121" s="2">
        <v>41244</v>
      </c>
      <c r="Q121">
        <v>1</v>
      </c>
      <c r="R121" s="1" t="s">
        <v>40</v>
      </c>
    </row>
    <row r="122" spans="1:18" x14ac:dyDescent="0.25">
      <c r="A122">
        <v>2012</v>
      </c>
      <c r="B122">
        <v>1</v>
      </c>
      <c r="C122" s="1" t="s">
        <v>18</v>
      </c>
      <c r="D122" s="1" t="s">
        <v>19</v>
      </c>
      <c r="E122" s="1" t="s">
        <v>56</v>
      </c>
      <c r="F122">
        <v>2006</v>
      </c>
      <c r="G122">
        <v>6</v>
      </c>
      <c r="H122" s="1" t="s">
        <v>21</v>
      </c>
      <c r="I122">
        <v>35</v>
      </c>
      <c r="J122">
        <v>4204</v>
      </c>
      <c r="K122" s="1" t="s">
        <v>57</v>
      </c>
      <c r="L122" s="1" t="s">
        <v>45</v>
      </c>
      <c r="M122">
        <v>1.867</v>
      </c>
      <c r="N122">
        <v>65330.2</v>
      </c>
      <c r="O122">
        <v>65.33</v>
      </c>
      <c r="P122" s="2">
        <v>40909</v>
      </c>
      <c r="Q122">
        <v>1</v>
      </c>
      <c r="R122" s="1" t="s">
        <v>40</v>
      </c>
    </row>
    <row r="123" spans="1:18" x14ac:dyDescent="0.25">
      <c r="A123">
        <v>2012</v>
      </c>
      <c r="B123">
        <v>2</v>
      </c>
      <c r="C123" s="1" t="s">
        <v>25</v>
      </c>
      <c r="D123" s="1" t="s">
        <v>19</v>
      </c>
      <c r="E123" s="1" t="s">
        <v>56</v>
      </c>
      <c r="F123">
        <v>2006</v>
      </c>
      <c r="G123">
        <v>6</v>
      </c>
      <c r="H123" s="1" t="s">
        <v>21</v>
      </c>
      <c r="I123">
        <v>35</v>
      </c>
      <c r="J123">
        <v>4204</v>
      </c>
      <c r="K123" s="1" t="s">
        <v>57</v>
      </c>
      <c r="L123" s="1" t="s">
        <v>45</v>
      </c>
      <c r="M123">
        <v>1.5309999999999999</v>
      </c>
      <c r="N123">
        <v>53569.5</v>
      </c>
      <c r="O123">
        <v>53.569000000000003</v>
      </c>
      <c r="P123" s="2">
        <v>40940</v>
      </c>
      <c r="Q123">
        <v>1</v>
      </c>
      <c r="R123" s="1" t="s">
        <v>40</v>
      </c>
    </row>
    <row r="124" spans="1:18" x14ac:dyDescent="0.25">
      <c r="A124">
        <v>2012</v>
      </c>
      <c r="B124">
        <v>3</v>
      </c>
      <c r="C124" s="1" t="s">
        <v>26</v>
      </c>
      <c r="D124" s="1" t="s">
        <v>19</v>
      </c>
      <c r="E124" s="1" t="s">
        <v>56</v>
      </c>
      <c r="F124">
        <v>2006</v>
      </c>
      <c r="G124">
        <v>6</v>
      </c>
      <c r="H124" s="1" t="s">
        <v>21</v>
      </c>
      <c r="I124">
        <v>35</v>
      </c>
      <c r="J124">
        <v>4204</v>
      </c>
      <c r="K124" s="1" t="s">
        <v>57</v>
      </c>
      <c r="L124" s="1" t="s">
        <v>45</v>
      </c>
      <c r="M124">
        <v>1.74</v>
      </c>
      <c r="N124">
        <v>60916</v>
      </c>
      <c r="O124">
        <v>60.915999999999997</v>
      </c>
      <c r="P124" s="2">
        <v>40969</v>
      </c>
      <c r="Q124">
        <v>1</v>
      </c>
      <c r="R124" s="1" t="s">
        <v>40</v>
      </c>
    </row>
    <row r="125" spans="1:18" x14ac:dyDescent="0.25">
      <c r="A125">
        <v>2012</v>
      </c>
      <c r="B125">
        <v>4</v>
      </c>
      <c r="C125" s="1" t="s">
        <v>27</v>
      </c>
      <c r="D125" s="1" t="s">
        <v>19</v>
      </c>
      <c r="E125" s="1" t="s">
        <v>56</v>
      </c>
      <c r="F125">
        <v>2006</v>
      </c>
      <c r="G125">
        <v>6</v>
      </c>
      <c r="H125" s="1" t="s">
        <v>21</v>
      </c>
      <c r="I125">
        <v>35</v>
      </c>
      <c r="J125">
        <v>4204</v>
      </c>
      <c r="K125" s="1" t="s">
        <v>57</v>
      </c>
      <c r="L125" s="1" t="s">
        <v>45</v>
      </c>
      <c r="M125">
        <v>2.1619999999999999</v>
      </c>
      <c r="N125">
        <v>75672</v>
      </c>
      <c r="O125">
        <v>75.671999999999997</v>
      </c>
      <c r="P125" s="2">
        <v>41000</v>
      </c>
      <c r="Q125">
        <v>1</v>
      </c>
      <c r="R125" s="1" t="s">
        <v>40</v>
      </c>
    </row>
    <row r="126" spans="1:18" x14ac:dyDescent="0.25">
      <c r="A126">
        <v>2012</v>
      </c>
      <c r="B126">
        <v>5</v>
      </c>
      <c r="C126" s="1" t="s">
        <v>28</v>
      </c>
      <c r="D126" s="1" t="s">
        <v>19</v>
      </c>
      <c r="E126" s="1" t="s">
        <v>56</v>
      </c>
      <c r="F126">
        <v>2006</v>
      </c>
      <c r="G126">
        <v>6</v>
      </c>
      <c r="H126" s="1" t="s">
        <v>21</v>
      </c>
      <c r="I126">
        <v>35</v>
      </c>
      <c r="J126">
        <v>4204</v>
      </c>
      <c r="K126" s="1" t="s">
        <v>57</v>
      </c>
      <c r="L126" s="1" t="s">
        <v>45</v>
      </c>
      <c r="M126">
        <v>2.673</v>
      </c>
      <c r="N126">
        <v>93549.5</v>
      </c>
      <c r="O126">
        <v>93.55</v>
      </c>
      <c r="P126" s="2">
        <v>41030</v>
      </c>
      <c r="Q126">
        <v>1</v>
      </c>
      <c r="R126" s="1" t="s">
        <v>40</v>
      </c>
    </row>
    <row r="127" spans="1:18" x14ac:dyDescent="0.25">
      <c r="A127">
        <v>2012</v>
      </c>
      <c r="B127">
        <v>6</v>
      </c>
      <c r="C127" s="1" t="s">
        <v>29</v>
      </c>
      <c r="D127" s="1" t="s">
        <v>19</v>
      </c>
      <c r="E127" s="1" t="s">
        <v>56</v>
      </c>
      <c r="F127">
        <v>2006</v>
      </c>
      <c r="G127">
        <v>6</v>
      </c>
      <c r="H127" s="1" t="s">
        <v>21</v>
      </c>
      <c r="I127">
        <v>35</v>
      </c>
      <c r="J127">
        <v>4204</v>
      </c>
      <c r="K127" s="1" t="s">
        <v>57</v>
      </c>
      <c r="L127" s="1" t="s">
        <v>45</v>
      </c>
      <c r="M127">
        <v>2.6150000000000002</v>
      </c>
      <c r="N127">
        <v>91531.6</v>
      </c>
      <c r="O127">
        <v>91.531999999999996</v>
      </c>
      <c r="P127" s="2">
        <v>41061</v>
      </c>
      <c r="Q127">
        <v>1</v>
      </c>
      <c r="R127" s="1" t="s">
        <v>40</v>
      </c>
    </row>
    <row r="128" spans="1:18" x14ac:dyDescent="0.25">
      <c r="A128">
        <v>2012</v>
      </c>
      <c r="B128">
        <v>7</v>
      </c>
      <c r="C128" s="1" t="s">
        <v>30</v>
      </c>
      <c r="D128" s="1" t="s">
        <v>19</v>
      </c>
      <c r="E128" s="1" t="s">
        <v>56</v>
      </c>
      <c r="F128">
        <v>2006</v>
      </c>
      <c r="G128">
        <v>6</v>
      </c>
      <c r="H128" s="1" t="s">
        <v>21</v>
      </c>
      <c r="I128">
        <v>35</v>
      </c>
      <c r="J128">
        <v>4204</v>
      </c>
      <c r="K128" s="1" t="s">
        <v>57</v>
      </c>
      <c r="L128" s="1" t="s">
        <v>45</v>
      </c>
      <c r="M128">
        <v>3.597</v>
      </c>
      <c r="N128">
        <v>125899.3</v>
      </c>
      <c r="O128">
        <v>125.899</v>
      </c>
      <c r="P128" s="2">
        <v>41091</v>
      </c>
      <c r="Q128">
        <v>1</v>
      </c>
      <c r="R128" s="1" t="s">
        <v>40</v>
      </c>
    </row>
    <row r="129" spans="1:18" x14ac:dyDescent="0.25">
      <c r="A129">
        <v>2012</v>
      </c>
      <c r="B129">
        <v>8</v>
      </c>
      <c r="C129" s="1" t="s">
        <v>31</v>
      </c>
      <c r="D129" s="1" t="s">
        <v>19</v>
      </c>
      <c r="E129" s="1" t="s">
        <v>56</v>
      </c>
      <c r="F129">
        <v>2006</v>
      </c>
      <c r="G129">
        <v>6</v>
      </c>
      <c r="H129" s="1" t="s">
        <v>21</v>
      </c>
      <c r="I129">
        <v>35</v>
      </c>
      <c r="J129">
        <v>4204</v>
      </c>
      <c r="K129" s="1" t="s">
        <v>57</v>
      </c>
      <c r="L129" s="1" t="s">
        <v>45</v>
      </c>
      <c r="M129">
        <v>2.83</v>
      </c>
      <c r="N129">
        <v>99067.3</v>
      </c>
      <c r="O129">
        <v>99.066999999999993</v>
      </c>
      <c r="P129" s="2">
        <v>41122</v>
      </c>
      <c r="Q129">
        <v>1</v>
      </c>
      <c r="R129" s="1" t="s">
        <v>40</v>
      </c>
    </row>
    <row r="130" spans="1:18" x14ac:dyDescent="0.25">
      <c r="A130">
        <v>2012</v>
      </c>
      <c r="B130">
        <v>9</v>
      </c>
      <c r="C130" s="1" t="s">
        <v>32</v>
      </c>
      <c r="D130" s="1" t="s">
        <v>19</v>
      </c>
      <c r="E130" s="1" t="s">
        <v>56</v>
      </c>
      <c r="F130">
        <v>2006</v>
      </c>
      <c r="G130">
        <v>6</v>
      </c>
      <c r="H130" s="1" t="s">
        <v>21</v>
      </c>
      <c r="I130">
        <v>35</v>
      </c>
      <c r="J130">
        <v>4204</v>
      </c>
      <c r="K130" s="1" t="s">
        <v>57</v>
      </c>
      <c r="L130" s="1" t="s">
        <v>45</v>
      </c>
      <c r="M130">
        <v>2.79</v>
      </c>
      <c r="N130">
        <v>97648.4</v>
      </c>
      <c r="O130">
        <v>97.647999999999996</v>
      </c>
      <c r="P130" s="2">
        <v>41153</v>
      </c>
      <c r="Q130">
        <v>1</v>
      </c>
      <c r="R130" s="1" t="s">
        <v>40</v>
      </c>
    </row>
    <row r="131" spans="1:18" x14ac:dyDescent="0.25">
      <c r="A131">
        <v>2012</v>
      </c>
      <c r="B131">
        <v>10</v>
      </c>
      <c r="C131" s="1" t="s">
        <v>33</v>
      </c>
      <c r="D131" s="1" t="s">
        <v>19</v>
      </c>
      <c r="E131" s="1" t="s">
        <v>56</v>
      </c>
      <c r="F131">
        <v>2006</v>
      </c>
      <c r="G131">
        <v>6</v>
      </c>
      <c r="H131" s="1" t="s">
        <v>21</v>
      </c>
      <c r="I131">
        <v>35</v>
      </c>
      <c r="J131">
        <v>4204</v>
      </c>
      <c r="K131" s="1" t="s">
        <v>57</v>
      </c>
      <c r="L131" s="1" t="s">
        <v>45</v>
      </c>
      <c r="M131">
        <v>1.998</v>
      </c>
      <c r="N131">
        <v>69933.5</v>
      </c>
      <c r="O131">
        <v>69.933999999999997</v>
      </c>
      <c r="P131" s="2">
        <v>41183</v>
      </c>
      <c r="Q131">
        <v>1</v>
      </c>
      <c r="R131" s="1" t="s">
        <v>40</v>
      </c>
    </row>
    <row r="132" spans="1:18" x14ac:dyDescent="0.25">
      <c r="A132">
        <v>2012</v>
      </c>
      <c r="B132">
        <v>11</v>
      </c>
      <c r="C132" s="1" t="s">
        <v>34</v>
      </c>
      <c r="D132" s="1" t="s">
        <v>19</v>
      </c>
      <c r="E132" s="1" t="s">
        <v>56</v>
      </c>
      <c r="F132">
        <v>2006</v>
      </c>
      <c r="G132">
        <v>6</v>
      </c>
      <c r="H132" s="1" t="s">
        <v>21</v>
      </c>
      <c r="I132">
        <v>35</v>
      </c>
      <c r="J132">
        <v>4204</v>
      </c>
      <c r="K132" s="1" t="s">
        <v>57</v>
      </c>
      <c r="L132" s="1" t="s">
        <v>45</v>
      </c>
      <c r="M132">
        <v>2.1230000000000002</v>
      </c>
      <c r="N132">
        <v>74316.2</v>
      </c>
      <c r="O132">
        <v>74.316000000000003</v>
      </c>
      <c r="P132" s="2">
        <v>41214</v>
      </c>
      <c r="Q132">
        <v>1</v>
      </c>
      <c r="R132" s="1" t="s">
        <v>40</v>
      </c>
    </row>
    <row r="133" spans="1:18" x14ac:dyDescent="0.25">
      <c r="A133">
        <v>2012</v>
      </c>
      <c r="B133">
        <v>12</v>
      </c>
      <c r="C133" s="1" t="s">
        <v>35</v>
      </c>
      <c r="D133" s="1" t="s">
        <v>19</v>
      </c>
      <c r="E133" s="1" t="s">
        <v>56</v>
      </c>
      <c r="F133">
        <v>2006</v>
      </c>
      <c r="G133">
        <v>6</v>
      </c>
      <c r="H133" s="1" t="s">
        <v>21</v>
      </c>
      <c r="I133">
        <v>35</v>
      </c>
      <c r="J133">
        <v>4204</v>
      </c>
      <c r="K133" s="1" t="s">
        <v>57</v>
      </c>
      <c r="L133" s="1" t="s">
        <v>45</v>
      </c>
      <c r="M133">
        <v>2.585</v>
      </c>
      <c r="N133">
        <v>90459.6</v>
      </c>
      <c r="O133">
        <v>90.46</v>
      </c>
      <c r="P133" s="2">
        <v>41244</v>
      </c>
      <c r="Q133">
        <v>1</v>
      </c>
      <c r="R133" s="1" t="s">
        <v>40</v>
      </c>
    </row>
    <row r="134" spans="1:18" x14ac:dyDescent="0.25">
      <c r="A134">
        <v>2012</v>
      </c>
      <c r="B134">
        <v>1</v>
      </c>
      <c r="C134" s="1" t="s">
        <v>18</v>
      </c>
      <c r="D134" s="1" t="s">
        <v>19</v>
      </c>
      <c r="E134" s="1" t="s">
        <v>58</v>
      </c>
      <c r="F134">
        <v>2012</v>
      </c>
      <c r="G134">
        <v>0</v>
      </c>
      <c r="H134" s="1" t="s">
        <v>59</v>
      </c>
      <c r="I134">
        <v>10</v>
      </c>
      <c r="J134">
        <v>1434</v>
      </c>
      <c r="K134" s="1" t="s">
        <v>60</v>
      </c>
      <c r="L134" s="1" t="s">
        <v>45</v>
      </c>
      <c r="M134">
        <v>0</v>
      </c>
      <c r="N134">
        <v>0</v>
      </c>
      <c r="O134">
        <v>0</v>
      </c>
      <c r="P134" s="2">
        <v>40909</v>
      </c>
      <c r="Q134">
        <v>0</v>
      </c>
      <c r="R134" s="1" t="s">
        <v>61</v>
      </c>
    </row>
    <row r="135" spans="1:18" x14ac:dyDescent="0.25">
      <c r="A135">
        <v>2012</v>
      </c>
      <c r="B135">
        <v>2</v>
      </c>
      <c r="C135" s="1" t="s">
        <v>25</v>
      </c>
      <c r="D135" s="1" t="s">
        <v>19</v>
      </c>
      <c r="E135" s="1" t="s">
        <v>58</v>
      </c>
      <c r="F135">
        <v>2012</v>
      </c>
      <c r="G135">
        <v>0</v>
      </c>
      <c r="H135" s="1" t="s">
        <v>59</v>
      </c>
      <c r="I135">
        <v>10</v>
      </c>
      <c r="J135">
        <v>1434</v>
      </c>
      <c r="K135" s="1" t="s">
        <v>60</v>
      </c>
      <c r="L135" s="1" t="s">
        <v>45</v>
      </c>
      <c r="M135">
        <v>0</v>
      </c>
      <c r="N135">
        <v>0</v>
      </c>
      <c r="O135">
        <v>0</v>
      </c>
      <c r="P135" s="2">
        <v>40940</v>
      </c>
      <c r="Q135">
        <v>0</v>
      </c>
      <c r="R135" s="1" t="s">
        <v>61</v>
      </c>
    </row>
    <row r="136" spans="1:18" x14ac:dyDescent="0.25">
      <c r="A136">
        <v>2012</v>
      </c>
      <c r="B136">
        <v>3</v>
      </c>
      <c r="C136" s="1" t="s">
        <v>26</v>
      </c>
      <c r="D136" s="1" t="s">
        <v>19</v>
      </c>
      <c r="E136" s="1" t="s">
        <v>58</v>
      </c>
      <c r="F136">
        <v>2012</v>
      </c>
      <c r="G136">
        <v>0</v>
      </c>
      <c r="H136" s="1" t="s">
        <v>59</v>
      </c>
      <c r="I136">
        <v>10</v>
      </c>
      <c r="J136">
        <v>1434</v>
      </c>
      <c r="K136" s="1" t="s">
        <v>60</v>
      </c>
      <c r="L136" s="1" t="s">
        <v>45</v>
      </c>
      <c r="M136">
        <v>0</v>
      </c>
      <c r="N136">
        <v>0</v>
      </c>
      <c r="O136">
        <v>0</v>
      </c>
      <c r="P136" s="2">
        <v>40969</v>
      </c>
      <c r="Q136">
        <v>0</v>
      </c>
      <c r="R136" s="1" t="s">
        <v>61</v>
      </c>
    </row>
    <row r="137" spans="1:18" x14ac:dyDescent="0.25">
      <c r="A137">
        <v>2012</v>
      </c>
      <c r="B137">
        <v>4</v>
      </c>
      <c r="C137" s="1" t="s">
        <v>27</v>
      </c>
      <c r="D137" s="1" t="s">
        <v>19</v>
      </c>
      <c r="E137" s="1" t="s">
        <v>58</v>
      </c>
      <c r="F137">
        <v>2012</v>
      </c>
      <c r="G137">
        <v>0</v>
      </c>
      <c r="H137" s="1" t="s">
        <v>59</v>
      </c>
      <c r="I137">
        <v>10</v>
      </c>
      <c r="J137">
        <v>1434</v>
      </c>
      <c r="K137" s="1" t="s">
        <v>60</v>
      </c>
      <c r="L137" s="1" t="s">
        <v>45</v>
      </c>
      <c r="M137">
        <v>0</v>
      </c>
      <c r="N137">
        <v>0</v>
      </c>
      <c r="O137">
        <v>0</v>
      </c>
      <c r="P137" s="2">
        <v>41000</v>
      </c>
      <c r="Q137">
        <v>0</v>
      </c>
      <c r="R137" s="1" t="s">
        <v>61</v>
      </c>
    </row>
    <row r="138" spans="1:18" x14ac:dyDescent="0.25">
      <c r="A138">
        <v>2012</v>
      </c>
      <c r="B138">
        <v>5</v>
      </c>
      <c r="C138" s="1" t="s">
        <v>28</v>
      </c>
      <c r="D138" s="1" t="s">
        <v>19</v>
      </c>
      <c r="E138" s="1" t="s">
        <v>58</v>
      </c>
      <c r="F138">
        <v>2012</v>
      </c>
      <c r="G138">
        <v>0</v>
      </c>
      <c r="H138" s="1" t="s">
        <v>59</v>
      </c>
      <c r="I138">
        <v>10</v>
      </c>
      <c r="J138">
        <v>1434</v>
      </c>
      <c r="K138" s="1" t="s">
        <v>60</v>
      </c>
      <c r="L138" s="1" t="s">
        <v>45</v>
      </c>
      <c r="M138">
        <v>0</v>
      </c>
      <c r="N138">
        <v>0</v>
      </c>
      <c r="O138">
        <v>0</v>
      </c>
      <c r="P138" s="2">
        <v>41030</v>
      </c>
      <c r="Q138">
        <v>0</v>
      </c>
      <c r="R138" s="1" t="s">
        <v>61</v>
      </c>
    </row>
    <row r="139" spans="1:18" x14ac:dyDescent="0.25">
      <c r="A139">
        <v>2012</v>
      </c>
      <c r="B139">
        <v>6</v>
      </c>
      <c r="C139" s="1" t="s">
        <v>29</v>
      </c>
      <c r="D139" s="1" t="s">
        <v>19</v>
      </c>
      <c r="E139" s="1" t="s">
        <v>58</v>
      </c>
      <c r="F139">
        <v>2012</v>
      </c>
      <c r="G139">
        <v>0</v>
      </c>
      <c r="H139" s="1" t="s">
        <v>59</v>
      </c>
      <c r="I139">
        <v>10</v>
      </c>
      <c r="J139">
        <v>1434</v>
      </c>
      <c r="K139" s="1" t="s">
        <v>60</v>
      </c>
      <c r="L139" s="1" t="s">
        <v>45</v>
      </c>
      <c r="M139">
        <v>0</v>
      </c>
      <c r="N139">
        <v>0</v>
      </c>
      <c r="O139">
        <v>0</v>
      </c>
      <c r="P139" s="2">
        <v>41061</v>
      </c>
      <c r="Q139">
        <v>0</v>
      </c>
      <c r="R139" s="1" t="s">
        <v>61</v>
      </c>
    </row>
    <row r="140" spans="1:18" x14ac:dyDescent="0.25">
      <c r="A140">
        <v>2012</v>
      </c>
      <c r="B140">
        <v>7</v>
      </c>
      <c r="C140" s="1" t="s">
        <v>30</v>
      </c>
      <c r="D140" s="1" t="s">
        <v>19</v>
      </c>
      <c r="E140" s="1" t="s">
        <v>58</v>
      </c>
      <c r="F140">
        <v>2012</v>
      </c>
      <c r="G140">
        <v>0</v>
      </c>
      <c r="H140" s="1" t="s">
        <v>59</v>
      </c>
      <c r="I140">
        <v>10</v>
      </c>
      <c r="J140">
        <v>1434</v>
      </c>
      <c r="K140" s="1" t="s">
        <v>60</v>
      </c>
      <c r="L140" s="1" t="s">
        <v>45</v>
      </c>
      <c r="M140">
        <v>0</v>
      </c>
      <c r="N140">
        <v>0</v>
      </c>
      <c r="O140">
        <v>0</v>
      </c>
      <c r="P140" s="2">
        <v>41091</v>
      </c>
      <c r="Q140">
        <v>0</v>
      </c>
      <c r="R140" s="1" t="s">
        <v>61</v>
      </c>
    </row>
    <row r="141" spans="1:18" x14ac:dyDescent="0.25">
      <c r="A141">
        <v>2012</v>
      </c>
      <c r="B141">
        <v>8</v>
      </c>
      <c r="C141" s="1" t="s">
        <v>31</v>
      </c>
      <c r="D141" s="1" t="s">
        <v>19</v>
      </c>
      <c r="E141" s="1" t="s">
        <v>58</v>
      </c>
      <c r="F141">
        <v>2012</v>
      </c>
      <c r="G141">
        <v>0</v>
      </c>
      <c r="H141" s="1" t="s">
        <v>59</v>
      </c>
      <c r="I141">
        <v>10</v>
      </c>
      <c r="J141">
        <v>1434</v>
      </c>
      <c r="K141" s="1" t="s">
        <v>60</v>
      </c>
      <c r="L141" s="1" t="s">
        <v>45</v>
      </c>
      <c r="M141">
        <v>0</v>
      </c>
      <c r="N141">
        <v>0</v>
      </c>
      <c r="O141">
        <v>0</v>
      </c>
      <c r="P141" s="2">
        <v>41122</v>
      </c>
      <c r="Q141">
        <v>0</v>
      </c>
      <c r="R141" s="1" t="s">
        <v>61</v>
      </c>
    </row>
    <row r="142" spans="1:18" x14ac:dyDescent="0.25">
      <c r="A142">
        <v>2012</v>
      </c>
      <c r="B142">
        <v>9</v>
      </c>
      <c r="C142" s="1" t="s">
        <v>32</v>
      </c>
      <c r="D142" s="1" t="s">
        <v>19</v>
      </c>
      <c r="E142" s="1" t="s">
        <v>58</v>
      </c>
      <c r="F142">
        <v>2012</v>
      </c>
      <c r="G142">
        <v>0</v>
      </c>
      <c r="H142" s="1" t="s">
        <v>59</v>
      </c>
      <c r="I142">
        <v>10</v>
      </c>
      <c r="J142">
        <v>1434</v>
      </c>
      <c r="K142" s="1" t="s">
        <v>60</v>
      </c>
      <c r="L142" s="1" t="s">
        <v>45</v>
      </c>
      <c r="M142">
        <v>0</v>
      </c>
      <c r="N142">
        <v>0</v>
      </c>
      <c r="O142">
        <v>0</v>
      </c>
      <c r="P142" s="2">
        <v>41153</v>
      </c>
      <c r="Q142">
        <v>0</v>
      </c>
      <c r="R142" s="1" t="s">
        <v>61</v>
      </c>
    </row>
    <row r="143" spans="1:18" x14ac:dyDescent="0.25">
      <c r="A143">
        <v>2012</v>
      </c>
      <c r="B143">
        <v>10</v>
      </c>
      <c r="C143" s="1" t="s">
        <v>33</v>
      </c>
      <c r="D143" s="1" t="s">
        <v>19</v>
      </c>
      <c r="E143" s="1" t="s">
        <v>58</v>
      </c>
      <c r="F143">
        <v>2012</v>
      </c>
      <c r="G143">
        <v>0</v>
      </c>
      <c r="H143" s="1" t="s">
        <v>59</v>
      </c>
      <c r="I143">
        <v>10</v>
      </c>
      <c r="J143">
        <v>1434</v>
      </c>
      <c r="K143" s="1" t="s">
        <v>60</v>
      </c>
      <c r="L143" s="1" t="s">
        <v>45</v>
      </c>
      <c r="M143">
        <v>0</v>
      </c>
      <c r="N143">
        <v>0</v>
      </c>
      <c r="O143">
        <v>0</v>
      </c>
      <c r="P143" s="2">
        <v>41183</v>
      </c>
      <c r="Q143">
        <v>0</v>
      </c>
      <c r="R143" s="1" t="s">
        <v>61</v>
      </c>
    </row>
    <row r="144" spans="1:18" x14ac:dyDescent="0.25">
      <c r="A144">
        <v>2012</v>
      </c>
      <c r="B144">
        <v>11</v>
      </c>
      <c r="C144" s="1" t="s">
        <v>34</v>
      </c>
      <c r="D144" s="1" t="s">
        <v>19</v>
      </c>
      <c r="E144" s="1" t="s">
        <v>58</v>
      </c>
      <c r="F144">
        <v>2012</v>
      </c>
      <c r="G144">
        <v>0</v>
      </c>
      <c r="H144" s="1" t="s">
        <v>59</v>
      </c>
      <c r="I144">
        <v>10</v>
      </c>
      <c r="J144">
        <v>1434</v>
      </c>
      <c r="K144" s="1" t="s">
        <v>60</v>
      </c>
      <c r="L144" s="1" t="s">
        <v>45</v>
      </c>
      <c r="M144">
        <v>0</v>
      </c>
      <c r="N144">
        <v>0</v>
      </c>
      <c r="O144">
        <v>0</v>
      </c>
      <c r="P144" s="2">
        <v>41214</v>
      </c>
      <c r="Q144">
        <v>0</v>
      </c>
      <c r="R144" s="1" t="s">
        <v>61</v>
      </c>
    </row>
    <row r="145" spans="1:18" x14ac:dyDescent="0.25">
      <c r="A145">
        <v>2012</v>
      </c>
      <c r="B145">
        <v>12</v>
      </c>
      <c r="C145" s="1" t="s">
        <v>35</v>
      </c>
      <c r="D145" s="1" t="s">
        <v>19</v>
      </c>
      <c r="E145" s="1" t="s">
        <v>58</v>
      </c>
      <c r="F145">
        <v>2012</v>
      </c>
      <c r="G145">
        <v>0</v>
      </c>
      <c r="H145" s="1" t="s">
        <v>59</v>
      </c>
      <c r="I145">
        <v>10</v>
      </c>
      <c r="J145">
        <v>1434</v>
      </c>
      <c r="K145" s="1" t="s">
        <v>60</v>
      </c>
      <c r="L145" s="1" t="s">
        <v>45</v>
      </c>
      <c r="M145">
        <v>0</v>
      </c>
      <c r="N145">
        <v>0</v>
      </c>
      <c r="O145">
        <v>0</v>
      </c>
      <c r="P145" s="2">
        <v>41244</v>
      </c>
      <c r="Q145">
        <v>0</v>
      </c>
      <c r="R145" s="1" t="s">
        <v>61</v>
      </c>
    </row>
    <row r="146" spans="1:18" x14ac:dyDescent="0.25">
      <c r="A146">
        <v>2012</v>
      </c>
      <c r="B146">
        <v>1</v>
      </c>
      <c r="C146" s="1" t="s">
        <v>18</v>
      </c>
      <c r="D146" s="1" t="s">
        <v>19</v>
      </c>
      <c r="E146" s="1" t="s">
        <v>62</v>
      </c>
      <c r="F146">
        <v>2012</v>
      </c>
      <c r="G146">
        <v>0</v>
      </c>
      <c r="H146" s="1" t="s">
        <v>59</v>
      </c>
      <c r="I146">
        <v>24</v>
      </c>
      <c r="J146">
        <v>3074</v>
      </c>
      <c r="K146" s="1" t="s">
        <v>63</v>
      </c>
      <c r="L146" s="1" t="s">
        <v>64</v>
      </c>
      <c r="M146">
        <v>0</v>
      </c>
      <c r="N146">
        <v>0</v>
      </c>
      <c r="O146">
        <v>0</v>
      </c>
      <c r="P146" s="2">
        <v>40909</v>
      </c>
      <c r="Q146">
        <v>0</v>
      </c>
      <c r="R146" s="1" t="s">
        <v>61</v>
      </c>
    </row>
    <row r="147" spans="1:18" x14ac:dyDescent="0.25">
      <c r="A147">
        <v>2012</v>
      </c>
      <c r="B147">
        <v>2</v>
      </c>
      <c r="C147" s="1" t="s">
        <v>25</v>
      </c>
      <c r="D147" s="1" t="s">
        <v>19</v>
      </c>
      <c r="E147" s="1" t="s">
        <v>62</v>
      </c>
      <c r="F147">
        <v>2012</v>
      </c>
      <c r="G147">
        <v>0</v>
      </c>
      <c r="H147" s="1" t="s">
        <v>59</v>
      </c>
      <c r="I147">
        <v>24</v>
      </c>
      <c r="J147">
        <v>3074</v>
      </c>
      <c r="K147" s="1" t="s">
        <v>63</v>
      </c>
      <c r="L147" s="1" t="s">
        <v>64</v>
      </c>
      <c r="M147">
        <v>0</v>
      </c>
      <c r="N147">
        <v>0</v>
      </c>
      <c r="O147">
        <v>0</v>
      </c>
      <c r="P147" s="2">
        <v>40940</v>
      </c>
      <c r="Q147">
        <v>0</v>
      </c>
      <c r="R147" s="1" t="s">
        <v>61</v>
      </c>
    </row>
    <row r="148" spans="1:18" x14ac:dyDescent="0.25">
      <c r="A148">
        <v>2012</v>
      </c>
      <c r="B148">
        <v>3</v>
      </c>
      <c r="C148" s="1" t="s">
        <v>26</v>
      </c>
      <c r="D148" s="1" t="s">
        <v>19</v>
      </c>
      <c r="E148" s="1" t="s">
        <v>62</v>
      </c>
      <c r="F148">
        <v>2012</v>
      </c>
      <c r="G148">
        <v>0</v>
      </c>
      <c r="H148" s="1" t="s">
        <v>59</v>
      </c>
      <c r="I148">
        <v>24</v>
      </c>
      <c r="J148">
        <v>3074</v>
      </c>
      <c r="K148" s="1" t="s">
        <v>63</v>
      </c>
      <c r="L148" s="1" t="s">
        <v>64</v>
      </c>
      <c r="M148">
        <v>0</v>
      </c>
      <c r="N148">
        <v>0</v>
      </c>
      <c r="O148">
        <v>0</v>
      </c>
      <c r="P148" s="2">
        <v>40969</v>
      </c>
      <c r="Q148">
        <v>0</v>
      </c>
      <c r="R148" s="1" t="s">
        <v>61</v>
      </c>
    </row>
    <row r="149" spans="1:18" x14ac:dyDescent="0.25">
      <c r="A149">
        <v>2012</v>
      </c>
      <c r="B149">
        <v>4</v>
      </c>
      <c r="C149" s="1" t="s">
        <v>27</v>
      </c>
      <c r="D149" s="1" t="s">
        <v>19</v>
      </c>
      <c r="E149" s="1" t="s">
        <v>62</v>
      </c>
      <c r="F149">
        <v>2012</v>
      </c>
      <c r="G149">
        <v>0</v>
      </c>
      <c r="H149" s="1" t="s">
        <v>59</v>
      </c>
      <c r="I149">
        <v>24</v>
      </c>
      <c r="J149">
        <v>3074</v>
      </c>
      <c r="K149" s="1" t="s">
        <v>63</v>
      </c>
      <c r="L149" s="1" t="s">
        <v>64</v>
      </c>
      <c r="M149">
        <v>0</v>
      </c>
      <c r="N149">
        <v>0</v>
      </c>
      <c r="O149">
        <v>0</v>
      </c>
      <c r="P149" s="2">
        <v>41000</v>
      </c>
      <c r="Q149">
        <v>0</v>
      </c>
      <c r="R149" s="1" t="s">
        <v>61</v>
      </c>
    </row>
    <row r="150" spans="1:18" x14ac:dyDescent="0.25">
      <c r="A150">
        <v>2012</v>
      </c>
      <c r="B150">
        <v>5</v>
      </c>
      <c r="C150" s="1" t="s">
        <v>28</v>
      </c>
      <c r="D150" s="1" t="s">
        <v>19</v>
      </c>
      <c r="E150" s="1" t="s">
        <v>62</v>
      </c>
      <c r="F150">
        <v>2012</v>
      </c>
      <c r="G150">
        <v>0</v>
      </c>
      <c r="H150" s="1" t="s">
        <v>59</v>
      </c>
      <c r="I150">
        <v>24</v>
      </c>
      <c r="J150">
        <v>3074</v>
      </c>
      <c r="K150" s="1" t="s">
        <v>63</v>
      </c>
      <c r="L150" s="1" t="s">
        <v>64</v>
      </c>
      <c r="M150">
        <v>0</v>
      </c>
      <c r="N150">
        <v>0</v>
      </c>
      <c r="O150">
        <v>0</v>
      </c>
      <c r="P150" s="2">
        <v>41030</v>
      </c>
      <c r="Q150">
        <v>0</v>
      </c>
      <c r="R150" s="1" t="s">
        <v>61</v>
      </c>
    </row>
    <row r="151" spans="1:18" x14ac:dyDescent="0.25">
      <c r="A151">
        <v>2012</v>
      </c>
      <c r="B151">
        <v>6</v>
      </c>
      <c r="C151" s="1" t="s">
        <v>29</v>
      </c>
      <c r="D151" s="1" t="s">
        <v>19</v>
      </c>
      <c r="E151" s="1" t="s">
        <v>62</v>
      </c>
      <c r="F151">
        <v>2012</v>
      </c>
      <c r="G151">
        <v>0</v>
      </c>
      <c r="H151" s="1" t="s">
        <v>59</v>
      </c>
      <c r="I151">
        <v>24</v>
      </c>
      <c r="J151">
        <v>3074</v>
      </c>
      <c r="K151" s="1" t="s">
        <v>63</v>
      </c>
      <c r="L151" s="1" t="s">
        <v>64</v>
      </c>
      <c r="M151">
        <v>0</v>
      </c>
      <c r="N151">
        <v>0</v>
      </c>
      <c r="O151">
        <v>0</v>
      </c>
      <c r="P151" s="2">
        <v>41061</v>
      </c>
      <c r="Q151">
        <v>0</v>
      </c>
      <c r="R151" s="1" t="s">
        <v>61</v>
      </c>
    </row>
    <row r="152" spans="1:18" x14ac:dyDescent="0.25">
      <c r="A152">
        <v>2012</v>
      </c>
      <c r="B152">
        <v>7</v>
      </c>
      <c r="C152" s="1" t="s">
        <v>30</v>
      </c>
      <c r="D152" s="1" t="s">
        <v>19</v>
      </c>
      <c r="E152" s="1" t="s">
        <v>62</v>
      </c>
      <c r="F152">
        <v>2012</v>
      </c>
      <c r="G152">
        <v>0</v>
      </c>
      <c r="H152" s="1" t="s">
        <v>59</v>
      </c>
      <c r="I152">
        <v>24</v>
      </c>
      <c r="J152">
        <v>3074</v>
      </c>
      <c r="K152" s="1" t="s">
        <v>63</v>
      </c>
      <c r="L152" s="1" t="s">
        <v>64</v>
      </c>
      <c r="M152">
        <v>0</v>
      </c>
      <c r="N152">
        <v>0</v>
      </c>
      <c r="O152">
        <v>0</v>
      </c>
      <c r="P152" s="2">
        <v>41091</v>
      </c>
      <c r="Q152">
        <v>0</v>
      </c>
      <c r="R152" s="1" t="s">
        <v>61</v>
      </c>
    </row>
    <row r="153" spans="1:18" x14ac:dyDescent="0.25">
      <c r="A153">
        <v>2012</v>
      </c>
      <c r="B153">
        <v>8</v>
      </c>
      <c r="C153" s="1" t="s">
        <v>31</v>
      </c>
      <c r="D153" s="1" t="s">
        <v>19</v>
      </c>
      <c r="E153" s="1" t="s">
        <v>62</v>
      </c>
      <c r="F153">
        <v>2012</v>
      </c>
      <c r="G153">
        <v>0</v>
      </c>
      <c r="H153" s="1" t="s">
        <v>59</v>
      </c>
      <c r="I153">
        <v>24</v>
      </c>
      <c r="J153">
        <v>3074</v>
      </c>
      <c r="K153" s="1" t="s">
        <v>63</v>
      </c>
      <c r="L153" s="1" t="s">
        <v>64</v>
      </c>
      <c r="M153">
        <v>0</v>
      </c>
      <c r="N153">
        <v>0</v>
      </c>
      <c r="O153">
        <v>0</v>
      </c>
      <c r="P153" s="2">
        <v>41122</v>
      </c>
      <c r="Q153">
        <v>0</v>
      </c>
      <c r="R153" s="1" t="s">
        <v>61</v>
      </c>
    </row>
    <row r="154" spans="1:18" x14ac:dyDescent="0.25">
      <c r="A154">
        <v>2012</v>
      </c>
      <c r="B154">
        <v>9</v>
      </c>
      <c r="C154" s="1" t="s">
        <v>32</v>
      </c>
      <c r="D154" s="1" t="s">
        <v>19</v>
      </c>
      <c r="E154" s="1" t="s">
        <v>62</v>
      </c>
      <c r="F154">
        <v>2012</v>
      </c>
      <c r="G154">
        <v>0</v>
      </c>
      <c r="H154" s="1" t="s">
        <v>59</v>
      </c>
      <c r="I154">
        <v>24</v>
      </c>
      <c r="J154">
        <v>3074</v>
      </c>
      <c r="K154" s="1" t="s">
        <v>63</v>
      </c>
      <c r="L154" s="1" t="s">
        <v>64</v>
      </c>
      <c r="M154">
        <v>0</v>
      </c>
      <c r="N154">
        <v>0</v>
      </c>
      <c r="O154">
        <v>0</v>
      </c>
      <c r="P154" s="2">
        <v>41153</v>
      </c>
      <c r="Q154">
        <v>0</v>
      </c>
      <c r="R154" s="1" t="s">
        <v>61</v>
      </c>
    </row>
    <row r="155" spans="1:18" x14ac:dyDescent="0.25">
      <c r="A155">
        <v>2012</v>
      </c>
      <c r="B155">
        <v>10</v>
      </c>
      <c r="C155" s="1" t="s">
        <v>33</v>
      </c>
      <c r="D155" s="1" t="s">
        <v>19</v>
      </c>
      <c r="E155" s="1" t="s">
        <v>62</v>
      </c>
      <c r="F155">
        <v>2012</v>
      </c>
      <c r="G155">
        <v>0</v>
      </c>
      <c r="H155" s="1" t="s">
        <v>59</v>
      </c>
      <c r="I155">
        <v>24</v>
      </c>
      <c r="J155">
        <v>3074</v>
      </c>
      <c r="K155" s="1" t="s">
        <v>63</v>
      </c>
      <c r="L155" s="1" t="s">
        <v>64</v>
      </c>
      <c r="M155">
        <v>0</v>
      </c>
      <c r="N155">
        <v>0</v>
      </c>
      <c r="O155">
        <v>0</v>
      </c>
      <c r="P155" s="2">
        <v>41183</v>
      </c>
      <c r="Q155">
        <v>0</v>
      </c>
      <c r="R155" s="1" t="s">
        <v>61</v>
      </c>
    </row>
    <row r="156" spans="1:18" x14ac:dyDescent="0.25">
      <c r="A156">
        <v>2012</v>
      </c>
      <c r="B156">
        <v>11</v>
      </c>
      <c r="C156" s="1" t="s">
        <v>34</v>
      </c>
      <c r="D156" s="1" t="s">
        <v>19</v>
      </c>
      <c r="E156" s="1" t="s">
        <v>62</v>
      </c>
      <c r="F156">
        <v>2012</v>
      </c>
      <c r="G156">
        <v>0</v>
      </c>
      <c r="H156" s="1" t="s">
        <v>59</v>
      </c>
      <c r="I156">
        <v>24</v>
      </c>
      <c r="J156">
        <v>3074</v>
      </c>
      <c r="K156" s="1" t="s">
        <v>63</v>
      </c>
      <c r="L156" s="1" t="s">
        <v>64</v>
      </c>
      <c r="M156">
        <v>0</v>
      </c>
      <c r="N156">
        <v>0</v>
      </c>
      <c r="O156">
        <v>0</v>
      </c>
      <c r="P156" s="2">
        <v>41214</v>
      </c>
      <c r="Q156">
        <v>0</v>
      </c>
      <c r="R156" s="1" t="s">
        <v>61</v>
      </c>
    </row>
    <row r="157" spans="1:18" x14ac:dyDescent="0.25">
      <c r="A157">
        <v>2012</v>
      </c>
      <c r="B157">
        <v>12</v>
      </c>
      <c r="C157" s="1" t="s">
        <v>35</v>
      </c>
      <c r="D157" s="1" t="s">
        <v>19</v>
      </c>
      <c r="E157" s="1" t="s">
        <v>62</v>
      </c>
      <c r="F157">
        <v>2012</v>
      </c>
      <c r="G157">
        <v>0</v>
      </c>
      <c r="H157" s="1" t="s">
        <v>59</v>
      </c>
      <c r="I157">
        <v>24</v>
      </c>
      <c r="J157">
        <v>3074</v>
      </c>
      <c r="K157" s="1" t="s">
        <v>63</v>
      </c>
      <c r="L157" s="1" t="s">
        <v>64</v>
      </c>
      <c r="M157">
        <v>0</v>
      </c>
      <c r="N157">
        <v>0</v>
      </c>
      <c r="O157">
        <v>0</v>
      </c>
      <c r="P157" s="2">
        <v>41244</v>
      </c>
      <c r="Q157">
        <v>0</v>
      </c>
      <c r="R157" s="1" t="s">
        <v>61</v>
      </c>
    </row>
    <row r="158" spans="1:18" x14ac:dyDescent="0.25">
      <c r="A158">
        <v>2012</v>
      </c>
      <c r="B158">
        <v>1</v>
      </c>
      <c r="C158" s="1" t="s">
        <v>18</v>
      </c>
      <c r="D158" s="1" t="s">
        <v>19</v>
      </c>
      <c r="E158" s="1" t="s">
        <v>65</v>
      </c>
      <c r="F158">
        <v>2012</v>
      </c>
      <c r="G158">
        <v>0</v>
      </c>
      <c r="H158" s="1" t="s">
        <v>59</v>
      </c>
      <c r="I158">
        <v>19</v>
      </c>
      <c r="J158">
        <v>2418</v>
      </c>
      <c r="K158" s="1" t="s">
        <v>66</v>
      </c>
      <c r="L158" s="1" t="s">
        <v>64</v>
      </c>
      <c r="M158">
        <v>0</v>
      </c>
      <c r="N158">
        <v>0</v>
      </c>
      <c r="O158">
        <v>0</v>
      </c>
      <c r="P158" s="2">
        <v>40909</v>
      </c>
      <c r="Q158">
        <v>0</v>
      </c>
      <c r="R158" s="1" t="s">
        <v>61</v>
      </c>
    </row>
    <row r="159" spans="1:18" x14ac:dyDescent="0.25">
      <c r="A159">
        <v>2012</v>
      </c>
      <c r="B159">
        <v>2</v>
      </c>
      <c r="C159" s="1" t="s">
        <v>25</v>
      </c>
      <c r="D159" s="1" t="s">
        <v>19</v>
      </c>
      <c r="E159" s="1" t="s">
        <v>65</v>
      </c>
      <c r="F159">
        <v>2012</v>
      </c>
      <c r="G159">
        <v>0</v>
      </c>
      <c r="H159" s="1" t="s">
        <v>59</v>
      </c>
      <c r="I159">
        <v>19</v>
      </c>
      <c r="J159">
        <v>2418</v>
      </c>
      <c r="K159" s="1" t="s">
        <v>66</v>
      </c>
      <c r="L159" s="1" t="s">
        <v>64</v>
      </c>
      <c r="M159">
        <v>0</v>
      </c>
      <c r="N159">
        <v>0</v>
      </c>
      <c r="O159">
        <v>0</v>
      </c>
      <c r="P159" s="2">
        <v>40940</v>
      </c>
      <c r="Q159">
        <v>0</v>
      </c>
      <c r="R159" s="1" t="s">
        <v>61</v>
      </c>
    </row>
    <row r="160" spans="1:18" x14ac:dyDescent="0.25">
      <c r="A160">
        <v>2012</v>
      </c>
      <c r="B160">
        <v>3</v>
      </c>
      <c r="C160" s="1" t="s">
        <v>26</v>
      </c>
      <c r="D160" s="1" t="s">
        <v>19</v>
      </c>
      <c r="E160" s="1" t="s">
        <v>65</v>
      </c>
      <c r="F160">
        <v>2012</v>
      </c>
      <c r="G160">
        <v>0</v>
      </c>
      <c r="H160" s="1" t="s">
        <v>59</v>
      </c>
      <c r="I160">
        <v>19</v>
      </c>
      <c r="J160">
        <v>2418</v>
      </c>
      <c r="K160" s="1" t="s">
        <v>66</v>
      </c>
      <c r="L160" s="1" t="s">
        <v>64</v>
      </c>
      <c r="M160">
        <v>0</v>
      </c>
      <c r="N160">
        <v>0</v>
      </c>
      <c r="O160">
        <v>0</v>
      </c>
      <c r="P160" s="2">
        <v>40969</v>
      </c>
      <c r="Q160">
        <v>0</v>
      </c>
      <c r="R160" s="1" t="s">
        <v>61</v>
      </c>
    </row>
    <row r="161" spans="1:18" x14ac:dyDescent="0.25">
      <c r="A161">
        <v>2012</v>
      </c>
      <c r="B161">
        <v>4</v>
      </c>
      <c r="C161" s="1" t="s">
        <v>27</v>
      </c>
      <c r="D161" s="1" t="s">
        <v>19</v>
      </c>
      <c r="E161" s="1" t="s">
        <v>65</v>
      </c>
      <c r="F161">
        <v>2012</v>
      </c>
      <c r="G161">
        <v>0</v>
      </c>
      <c r="H161" s="1" t="s">
        <v>59</v>
      </c>
      <c r="I161">
        <v>19</v>
      </c>
      <c r="J161">
        <v>2418</v>
      </c>
      <c r="K161" s="1" t="s">
        <v>66</v>
      </c>
      <c r="L161" s="1" t="s">
        <v>64</v>
      </c>
      <c r="M161">
        <v>0</v>
      </c>
      <c r="N161">
        <v>0</v>
      </c>
      <c r="O161">
        <v>0</v>
      </c>
      <c r="P161" s="2">
        <v>41000</v>
      </c>
      <c r="Q161">
        <v>0</v>
      </c>
      <c r="R161" s="1" t="s">
        <v>61</v>
      </c>
    </row>
    <row r="162" spans="1:18" x14ac:dyDescent="0.25">
      <c r="A162">
        <v>2012</v>
      </c>
      <c r="B162">
        <v>5</v>
      </c>
      <c r="C162" s="1" t="s">
        <v>28</v>
      </c>
      <c r="D162" s="1" t="s">
        <v>19</v>
      </c>
      <c r="E162" s="1" t="s">
        <v>65</v>
      </c>
      <c r="F162">
        <v>2012</v>
      </c>
      <c r="G162">
        <v>0</v>
      </c>
      <c r="H162" s="1" t="s">
        <v>59</v>
      </c>
      <c r="I162">
        <v>19</v>
      </c>
      <c r="J162">
        <v>2418</v>
      </c>
      <c r="K162" s="1" t="s">
        <v>66</v>
      </c>
      <c r="L162" s="1" t="s">
        <v>64</v>
      </c>
      <c r="M162">
        <v>0</v>
      </c>
      <c r="N162">
        <v>0</v>
      </c>
      <c r="O162">
        <v>0</v>
      </c>
      <c r="P162" s="2">
        <v>41030</v>
      </c>
      <c r="Q162">
        <v>0</v>
      </c>
      <c r="R162" s="1" t="s">
        <v>61</v>
      </c>
    </row>
    <row r="163" spans="1:18" x14ac:dyDescent="0.25">
      <c r="A163">
        <v>2012</v>
      </c>
      <c r="B163">
        <v>6</v>
      </c>
      <c r="C163" s="1" t="s">
        <v>29</v>
      </c>
      <c r="D163" s="1" t="s">
        <v>19</v>
      </c>
      <c r="E163" s="1" t="s">
        <v>65</v>
      </c>
      <c r="F163">
        <v>2012</v>
      </c>
      <c r="G163">
        <v>0</v>
      </c>
      <c r="H163" s="1" t="s">
        <v>59</v>
      </c>
      <c r="I163">
        <v>19</v>
      </c>
      <c r="J163">
        <v>2418</v>
      </c>
      <c r="K163" s="1" t="s">
        <v>66</v>
      </c>
      <c r="L163" s="1" t="s">
        <v>64</v>
      </c>
      <c r="M163">
        <v>0</v>
      </c>
      <c r="N163">
        <v>0</v>
      </c>
      <c r="O163">
        <v>0</v>
      </c>
      <c r="P163" s="2">
        <v>41061</v>
      </c>
      <c r="Q163">
        <v>0</v>
      </c>
      <c r="R163" s="1" t="s">
        <v>61</v>
      </c>
    </row>
    <row r="164" spans="1:18" x14ac:dyDescent="0.25">
      <c r="A164">
        <v>2012</v>
      </c>
      <c r="B164">
        <v>7</v>
      </c>
      <c r="C164" s="1" t="s">
        <v>30</v>
      </c>
      <c r="D164" s="1" t="s">
        <v>19</v>
      </c>
      <c r="E164" s="1" t="s">
        <v>65</v>
      </c>
      <c r="F164">
        <v>2012</v>
      </c>
      <c r="G164">
        <v>0</v>
      </c>
      <c r="H164" s="1" t="s">
        <v>59</v>
      </c>
      <c r="I164">
        <v>19</v>
      </c>
      <c r="J164">
        <v>2418</v>
      </c>
      <c r="K164" s="1" t="s">
        <v>66</v>
      </c>
      <c r="L164" s="1" t="s">
        <v>64</v>
      </c>
      <c r="M164">
        <v>0</v>
      </c>
      <c r="N164">
        <v>0</v>
      </c>
      <c r="O164">
        <v>0</v>
      </c>
      <c r="P164" s="2">
        <v>41091</v>
      </c>
      <c r="Q164">
        <v>0</v>
      </c>
      <c r="R164" s="1" t="s">
        <v>61</v>
      </c>
    </row>
    <row r="165" spans="1:18" x14ac:dyDescent="0.25">
      <c r="A165">
        <v>2012</v>
      </c>
      <c r="B165">
        <v>8</v>
      </c>
      <c r="C165" s="1" t="s">
        <v>31</v>
      </c>
      <c r="D165" s="1" t="s">
        <v>19</v>
      </c>
      <c r="E165" s="1" t="s">
        <v>65</v>
      </c>
      <c r="F165">
        <v>2012</v>
      </c>
      <c r="G165">
        <v>0</v>
      </c>
      <c r="H165" s="1" t="s">
        <v>59</v>
      </c>
      <c r="I165">
        <v>19</v>
      </c>
      <c r="J165">
        <v>2418</v>
      </c>
      <c r="K165" s="1" t="s">
        <v>66</v>
      </c>
      <c r="L165" s="1" t="s">
        <v>64</v>
      </c>
      <c r="M165">
        <v>0</v>
      </c>
      <c r="N165">
        <v>0</v>
      </c>
      <c r="O165">
        <v>0</v>
      </c>
      <c r="P165" s="2">
        <v>41122</v>
      </c>
      <c r="Q165">
        <v>0</v>
      </c>
      <c r="R165" s="1" t="s">
        <v>61</v>
      </c>
    </row>
    <row r="166" spans="1:18" x14ac:dyDescent="0.25">
      <c r="A166">
        <v>2012</v>
      </c>
      <c r="B166">
        <v>9</v>
      </c>
      <c r="C166" s="1" t="s">
        <v>32</v>
      </c>
      <c r="D166" s="1" t="s">
        <v>19</v>
      </c>
      <c r="E166" s="1" t="s">
        <v>65</v>
      </c>
      <c r="F166">
        <v>2012</v>
      </c>
      <c r="G166">
        <v>0</v>
      </c>
      <c r="H166" s="1" t="s">
        <v>59</v>
      </c>
      <c r="I166">
        <v>19</v>
      </c>
      <c r="J166">
        <v>2418</v>
      </c>
      <c r="K166" s="1" t="s">
        <v>66</v>
      </c>
      <c r="L166" s="1" t="s">
        <v>64</v>
      </c>
      <c r="M166">
        <v>0</v>
      </c>
      <c r="N166">
        <v>0</v>
      </c>
      <c r="O166">
        <v>0</v>
      </c>
      <c r="P166" s="2">
        <v>41153</v>
      </c>
      <c r="Q166">
        <v>0</v>
      </c>
      <c r="R166" s="1" t="s">
        <v>61</v>
      </c>
    </row>
    <row r="167" spans="1:18" x14ac:dyDescent="0.25">
      <c r="A167">
        <v>2012</v>
      </c>
      <c r="B167">
        <v>10</v>
      </c>
      <c r="C167" s="1" t="s">
        <v>33</v>
      </c>
      <c r="D167" s="1" t="s">
        <v>19</v>
      </c>
      <c r="E167" s="1" t="s">
        <v>65</v>
      </c>
      <c r="F167">
        <v>2012</v>
      </c>
      <c r="G167">
        <v>0</v>
      </c>
      <c r="H167" s="1" t="s">
        <v>59</v>
      </c>
      <c r="I167">
        <v>19</v>
      </c>
      <c r="J167">
        <v>2418</v>
      </c>
      <c r="K167" s="1" t="s">
        <v>66</v>
      </c>
      <c r="L167" s="1" t="s">
        <v>64</v>
      </c>
      <c r="M167">
        <v>0</v>
      </c>
      <c r="N167">
        <v>0</v>
      </c>
      <c r="O167">
        <v>0</v>
      </c>
      <c r="P167" s="2">
        <v>41183</v>
      </c>
      <c r="Q167">
        <v>0</v>
      </c>
      <c r="R167" s="1" t="s">
        <v>61</v>
      </c>
    </row>
    <row r="168" spans="1:18" x14ac:dyDescent="0.25">
      <c r="A168">
        <v>2012</v>
      </c>
      <c r="B168">
        <v>11</v>
      </c>
      <c r="C168" s="1" t="s">
        <v>34</v>
      </c>
      <c r="D168" s="1" t="s">
        <v>19</v>
      </c>
      <c r="E168" s="1" t="s">
        <v>65</v>
      </c>
      <c r="F168">
        <v>2012</v>
      </c>
      <c r="G168">
        <v>0</v>
      </c>
      <c r="H168" s="1" t="s">
        <v>59</v>
      </c>
      <c r="I168">
        <v>19</v>
      </c>
      <c r="J168">
        <v>2418</v>
      </c>
      <c r="K168" s="1" t="s">
        <v>66</v>
      </c>
      <c r="L168" s="1" t="s">
        <v>64</v>
      </c>
      <c r="M168">
        <v>0</v>
      </c>
      <c r="N168">
        <v>0</v>
      </c>
      <c r="O168">
        <v>0</v>
      </c>
      <c r="P168" s="2">
        <v>41214</v>
      </c>
      <c r="Q168">
        <v>0</v>
      </c>
      <c r="R168" s="1" t="s">
        <v>61</v>
      </c>
    </row>
    <row r="169" spans="1:18" x14ac:dyDescent="0.25">
      <c r="A169">
        <v>2012</v>
      </c>
      <c r="B169">
        <v>12</v>
      </c>
      <c r="C169" s="1" t="s">
        <v>35</v>
      </c>
      <c r="D169" s="1" t="s">
        <v>19</v>
      </c>
      <c r="E169" s="1" t="s">
        <v>65</v>
      </c>
      <c r="F169">
        <v>2012</v>
      </c>
      <c r="G169">
        <v>0</v>
      </c>
      <c r="H169" s="1" t="s">
        <v>59</v>
      </c>
      <c r="I169">
        <v>19</v>
      </c>
      <c r="J169">
        <v>2418</v>
      </c>
      <c r="K169" s="1" t="s">
        <v>66</v>
      </c>
      <c r="L169" s="1" t="s">
        <v>64</v>
      </c>
      <c r="M169">
        <v>0</v>
      </c>
      <c r="N169">
        <v>0</v>
      </c>
      <c r="O169">
        <v>0</v>
      </c>
      <c r="P169" s="2">
        <v>41244</v>
      </c>
      <c r="Q169">
        <v>0</v>
      </c>
      <c r="R169" s="1" t="s">
        <v>61</v>
      </c>
    </row>
    <row r="170" spans="1:18" x14ac:dyDescent="0.25">
      <c r="A170">
        <v>2012</v>
      </c>
      <c r="B170">
        <v>1</v>
      </c>
      <c r="C170" s="1" t="s">
        <v>18</v>
      </c>
      <c r="D170" s="1" t="s">
        <v>19</v>
      </c>
      <c r="E170" s="1" t="s">
        <v>67</v>
      </c>
      <c r="F170">
        <v>2012</v>
      </c>
      <c r="G170">
        <v>0</v>
      </c>
      <c r="H170" s="1" t="s">
        <v>59</v>
      </c>
      <c r="I170">
        <v>25</v>
      </c>
      <c r="J170">
        <v>3205</v>
      </c>
      <c r="K170" s="1" t="s">
        <v>68</v>
      </c>
      <c r="L170" s="1" t="s">
        <v>64</v>
      </c>
      <c r="M170">
        <v>0</v>
      </c>
      <c r="N170">
        <v>0</v>
      </c>
      <c r="O170">
        <v>0</v>
      </c>
      <c r="P170" s="2">
        <v>40909</v>
      </c>
      <c r="Q170">
        <v>0</v>
      </c>
      <c r="R170" s="1" t="s">
        <v>61</v>
      </c>
    </row>
    <row r="171" spans="1:18" x14ac:dyDescent="0.25">
      <c r="A171">
        <v>2012</v>
      </c>
      <c r="B171">
        <v>2</v>
      </c>
      <c r="C171" s="1" t="s">
        <v>25</v>
      </c>
      <c r="D171" s="1" t="s">
        <v>19</v>
      </c>
      <c r="E171" s="1" t="s">
        <v>67</v>
      </c>
      <c r="F171">
        <v>2012</v>
      </c>
      <c r="G171">
        <v>0</v>
      </c>
      <c r="H171" s="1" t="s">
        <v>59</v>
      </c>
      <c r="I171">
        <v>25</v>
      </c>
      <c r="J171">
        <v>3205</v>
      </c>
      <c r="K171" s="1" t="s">
        <v>68</v>
      </c>
      <c r="L171" s="1" t="s">
        <v>64</v>
      </c>
      <c r="M171">
        <v>0</v>
      </c>
      <c r="N171">
        <v>0</v>
      </c>
      <c r="O171">
        <v>0</v>
      </c>
      <c r="P171" s="2">
        <v>40940</v>
      </c>
      <c r="Q171">
        <v>0</v>
      </c>
      <c r="R171" s="1" t="s">
        <v>61</v>
      </c>
    </row>
    <row r="172" spans="1:18" x14ac:dyDescent="0.25">
      <c r="A172">
        <v>2012</v>
      </c>
      <c r="B172">
        <v>3</v>
      </c>
      <c r="C172" s="1" t="s">
        <v>26</v>
      </c>
      <c r="D172" s="1" t="s">
        <v>19</v>
      </c>
      <c r="E172" s="1" t="s">
        <v>67</v>
      </c>
      <c r="F172">
        <v>2012</v>
      </c>
      <c r="G172">
        <v>0</v>
      </c>
      <c r="H172" s="1" t="s">
        <v>59</v>
      </c>
      <c r="I172">
        <v>25</v>
      </c>
      <c r="J172">
        <v>3205</v>
      </c>
      <c r="K172" s="1" t="s">
        <v>68</v>
      </c>
      <c r="L172" s="1" t="s">
        <v>64</v>
      </c>
      <c r="M172">
        <v>0</v>
      </c>
      <c r="N172">
        <v>0</v>
      </c>
      <c r="O172">
        <v>0</v>
      </c>
      <c r="P172" s="2">
        <v>40969</v>
      </c>
      <c r="Q172">
        <v>0</v>
      </c>
      <c r="R172" s="1" t="s">
        <v>61</v>
      </c>
    </row>
    <row r="173" spans="1:18" x14ac:dyDescent="0.25">
      <c r="A173">
        <v>2012</v>
      </c>
      <c r="B173">
        <v>4</v>
      </c>
      <c r="C173" s="1" t="s">
        <v>27</v>
      </c>
      <c r="D173" s="1" t="s">
        <v>19</v>
      </c>
      <c r="E173" s="1" t="s">
        <v>67</v>
      </c>
      <c r="F173">
        <v>2012</v>
      </c>
      <c r="G173">
        <v>0</v>
      </c>
      <c r="H173" s="1" t="s">
        <v>59</v>
      </c>
      <c r="I173">
        <v>25</v>
      </c>
      <c r="J173">
        <v>3205</v>
      </c>
      <c r="K173" s="1" t="s">
        <v>68</v>
      </c>
      <c r="L173" s="1" t="s">
        <v>64</v>
      </c>
      <c r="M173">
        <v>0</v>
      </c>
      <c r="N173">
        <v>0</v>
      </c>
      <c r="O173">
        <v>0</v>
      </c>
      <c r="P173" s="2">
        <v>41000</v>
      </c>
      <c r="Q173">
        <v>0</v>
      </c>
      <c r="R173" s="1" t="s">
        <v>61</v>
      </c>
    </row>
    <row r="174" spans="1:18" x14ac:dyDescent="0.25">
      <c r="A174">
        <v>2012</v>
      </c>
      <c r="B174">
        <v>5</v>
      </c>
      <c r="C174" s="1" t="s">
        <v>28</v>
      </c>
      <c r="D174" s="1" t="s">
        <v>19</v>
      </c>
      <c r="E174" s="1" t="s">
        <v>67</v>
      </c>
      <c r="F174">
        <v>2012</v>
      </c>
      <c r="G174">
        <v>0</v>
      </c>
      <c r="H174" s="1" t="s">
        <v>59</v>
      </c>
      <c r="I174">
        <v>25</v>
      </c>
      <c r="J174">
        <v>3205</v>
      </c>
      <c r="K174" s="1" t="s">
        <v>68</v>
      </c>
      <c r="L174" s="1" t="s">
        <v>64</v>
      </c>
      <c r="M174">
        <v>0</v>
      </c>
      <c r="N174">
        <v>0</v>
      </c>
      <c r="O174">
        <v>0</v>
      </c>
      <c r="P174" s="2">
        <v>41030</v>
      </c>
      <c r="Q174">
        <v>0</v>
      </c>
      <c r="R174" s="1" t="s">
        <v>61</v>
      </c>
    </row>
    <row r="175" spans="1:18" x14ac:dyDescent="0.25">
      <c r="A175">
        <v>2012</v>
      </c>
      <c r="B175">
        <v>6</v>
      </c>
      <c r="C175" s="1" t="s">
        <v>29</v>
      </c>
      <c r="D175" s="1" t="s">
        <v>19</v>
      </c>
      <c r="E175" s="1" t="s">
        <v>67</v>
      </c>
      <c r="F175">
        <v>2012</v>
      </c>
      <c r="G175">
        <v>0</v>
      </c>
      <c r="H175" s="1" t="s">
        <v>59</v>
      </c>
      <c r="I175">
        <v>25</v>
      </c>
      <c r="J175">
        <v>3205</v>
      </c>
      <c r="K175" s="1" t="s">
        <v>68</v>
      </c>
      <c r="L175" s="1" t="s">
        <v>64</v>
      </c>
      <c r="M175">
        <v>0</v>
      </c>
      <c r="N175">
        <v>0</v>
      </c>
      <c r="O175">
        <v>0</v>
      </c>
      <c r="P175" s="2">
        <v>41061</v>
      </c>
      <c r="Q175">
        <v>0</v>
      </c>
      <c r="R175" s="1" t="s">
        <v>61</v>
      </c>
    </row>
    <row r="176" spans="1:18" x14ac:dyDescent="0.25">
      <c r="A176">
        <v>2012</v>
      </c>
      <c r="B176">
        <v>7</v>
      </c>
      <c r="C176" s="1" t="s">
        <v>30</v>
      </c>
      <c r="D176" s="1" t="s">
        <v>19</v>
      </c>
      <c r="E176" s="1" t="s">
        <v>67</v>
      </c>
      <c r="F176">
        <v>2012</v>
      </c>
      <c r="G176">
        <v>0</v>
      </c>
      <c r="H176" s="1" t="s">
        <v>59</v>
      </c>
      <c r="I176">
        <v>25</v>
      </c>
      <c r="J176">
        <v>3205</v>
      </c>
      <c r="K176" s="1" t="s">
        <v>68</v>
      </c>
      <c r="L176" s="1" t="s">
        <v>64</v>
      </c>
      <c r="M176">
        <v>0</v>
      </c>
      <c r="N176">
        <v>0</v>
      </c>
      <c r="O176">
        <v>0</v>
      </c>
      <c r="P176" s="2">
        <v>41091</v>
      </c>
      <c r="Q176">
        <v>0</v>
      </c>
      <c r="R176" s="1" t="s">
        <v>61</v>
      </c>
    </row>
    <row r="177" spans="1:18" x14ac:dyDescent="0.25">
      <c r="A177">
        <v>2012</v>
      </c>
      <c r="B177">
        <v>8</v>
      </c>
      <c r="C177" s="1" t="s">
        <v>31</v>
      </c>
      <c r="D177" s="1" t="s">
        <v>19</v>
      </c>
      <c r="E177" s="1" t="s">
        <v>67</v>
      </c>
      <c r="F177">
        <v>2012</v>
      </c>
      <c r="G177">
        <v>0</v>
      </c>
      <c r="H177" s="1" t="s">
        <v>59</v>
      </c>
      <c r="I177">
        <v>25</v>
      </c>
      <c r="J177">
        <v>3205</v>
      </c>
      <c r="K177" s="1" t="s">
        <v>68</v>
      </c>
      <c r="L177" s="1" t="s">
        <v>64</v>
      </c>
      <c r="M177">
        <v>0</v>
      </c>
      <c r="N177">
        <v>0</v>
      </c>
      <c r="O177">
        <v>0</v>
      </c>
      <c r="P177" s="2">
        <v>41122</v>
      </c>
      <c r="Q177">
        <v>0</v>
      </c>
      <c r="R177" s="1" t="s">
        <v>61</v>
      </c>
    </row>
    <row r="178" spans="1:18" x14ac:dyDescent="0.25">
      <c r="A178">
        <v>2012</v>
      </c>
      <c r="B178">
        <v>9</v>
      </c>
      <c r="C178" s="1" t="s">
        <v>32</v>
      </c>
      <c r="D178" s="1" t="s">
        <v>19</v>
      </c>
      <c r="E178" s="1" t="s">
        <v>67</v>
      </c>
      <c r="F178">
        <v>2012</v>
      </c>
      <c r="G178">
        <v>0</v>
      </c>
      <c r="H178" s="1" t="s">
        <v>59</v>
      </c>
      <c r="I178">
        <v>25</v>
      </c>
      <c r="J178">
        <v>3205</v>
      </c>
      <c r="K178" s="1" t="s">
        <v>68</v>
      </c>
      <c r="L178" s="1" t="s">
        <v>64</v>
      </c>
      <c r="M178">
        <v>0</v>
      </c>
      <c r="N178">
        <v>0</v>
      </c>
      <c r="O178">
        <v>0</v>
      </c>
      <c r="P178" s="2">
        <v>41153</v>
      </c>
      <c r="Q178">
        <v>0</v>
      </c>
      <c r="R178" s="1" t="s">
        <v>61</v>
      </c>
    </row>
    <row r="179" spans="1:18" x14ac:dyDescent="0.25">
      <c r="A179">
        <v>2012</v>
      </c>
      <c r="B179">
        <v>10</v>
      </c>
      <c r="C179" s="1" t="s">
        <v>33</v>
      </c>
      <c r="D179" s="1" t="s">
        <v>19</v>
      </c>
      <c r="E179" s="1" t="s">
        <v>67</v>
      </c>
      <c r="F179">
        <v>2012</v>
      </c>
      <c r="G179">
        <v>0</v>
      </c>
      <c r="H179" s="1" t="s">
        <v>59</v>
      </c>
      <c r="I179">
        <v>25</v>
      </c>
      <c r="J179">
        <v>3205</v>
      </c>
      <c r="K179" s="1" t="s">
        <v>68</v>
      </c>
      <c r="L179" s="1" t="s">
        <v>64</v>
      </c>
      <c r="M179">
        <v>0</v>
      </c>
      <c r="N179">
        <v>0</v>
      </c>
      <c r="O179">
        <v>0</v>
      </c>
      <c r="P179" s="2">
        <v>41183</v>
      </c>
      <c r="Q179">
        <v>0</v>
      </c>
      <c r="R179" s="1" t="s">
        <v>61</v>
      </c>
    </row>
    <row r="180" spans="1:18" x14ac:dyDescent="0.25">
      <c r="A180">
        <v>2012</v>
      </c>
      <c r="B180">
        <v>11</v>
      </c>
      <c r="C180" s="1" t="s">
        <v>34</v>
      </c>
      <c r="D180" s="1" t="s">
        <v>19</v>
      </c>
      <c r="E180" s="1" t="s">
        <v>67</v>
      </c>
      <c r="F180">
        <v>2012</v>
      </c>
      <c r="G180">
        <v>0</v>
      </c>
      <c r="H180" s="1" t="s">
        <v>59</v>
      </c>
      <c r="I180">
        <v>25</v>
      </c>
      <c r="J180">
        <v>3205</v>
      </c>
      <c r="K180" s="1" t="s">
        <v>68</v>
      </c>
      <c r="L180" s="1" t="s">
        <v>64</v>
      </c>
      <c r="M180">
        <v>0</v>
      </c>
      <c r="N180">
        <v>0</v>
      </c>
      <c r="O180">
        <v>0</v>
      </c>
      <c r="P180" s="2">
        <v>41214</v>
      </c>
      <c r="Q180">
        <v>0</v>
      </c>
      <c r="R180" s="1" t="s">
        <v>61</v>
      </c>
    </row>
    <row r="181" spans="1:18" x14ac:dyDescent="0.25">
      <c r="A181">
        <v>2012</v>
      </c>
      <c r="B181">
        <v>12</v>
      </c>
      <c r="C181" s="1" t="s">
        <v>35</v>
      </c>
      <c r="D181" s="1" t="s">
        <v>19</v>
      </c>
      <c r="E181" s="1" t="s">
        <v>67</v>
      </c>
      <c r="F181">
        <v>2012</v>
      </c>
      <c r="G181">
        <v>0</v>
      </c>
      <c r="H181" s="1" t="s">
        <v>59</v>
      </c>
      <c r="I181">
        <v>25</v>
      </c>
      <c r="J181">
        <v>3205</v>
      </c>
      <c r="K181" s="1" t="s">
        <v>68</v>
      </c>
      <c r="L181" s="1" t="s">
        <v>64</v>
      </c>
      <c r="M181">
        <v>0</v>
      </c>
      <c r="N181">
        <v>0</v>
      </c>
      <c r="O181">
        <v>0</v>
      </c>
      <c r="P181" s="2">
        <v>41244</v>
      </c>
      <c r="Q181">
        <v>0</v>
      </c>
      <c r="R181" s="1" t="s">
        <v>61</v>
      </c>
    </row>
    <row r="182" spans="1:18" x14ac:dyDescent="0.25">
      <c r="A182">
        <v>2012</v>
      </c>
      <c r="B182">
        <v>1</v>
      </c>
      <c r="C182" s="1" t="s">
        <v>18</v>
      </c>
      <c r="D182" s="1" t="s">
        <v>19</v>
      </c>
      <c r="E182" s="1" t="s">
        <v>69</v>
      </c>
      <c r="F182">
        <v>2012</v>
      </c>
      <c r="G182">
        <v>0</v>
      </c>
      <c r="H182" s="1" t="s">
        <v>59</v>
      </c>
      <c r="I182">
        <v>19</v>
      </c>
      <c r="J182">
        <v>2469</v>
      </c>
      <c r="K182" s="1" t="s">
        <v>70</v>
      </c>
      <c r="L182" s="1" t="s">
        <v>45</v>
      </c>
      <c r="M182">
        <v>0</v>
      </c>
      <c r="N182">
        <v>0</v>
      </c>
      <c r="O182">
        <v>0</v>
      </c>
      <c r="P182" s="2">
        <v>40909</v>
      </c>
      <c r="Q182">
        <v>0</v>
      </c>
      <c r="R182" s="1" t="s">
        <v>61</v>
      </c>
    </row>
    <row r="183" spans="1:18" x14ac:dyDescent="0.25">
      <c r="A183">
        <v>2012</v>
      </c>
      <c r="B183">
        <v>2</v>
      </c>
      <c r="C183" s="1" t="s">
        <v>25</v>
      </c>
      <c r="D183" s="1" t="s">
        <v>19</v>
      </c>
      <c r="E183" s="1" t="s">
        <v>69</v>
      </c>
      <c r="F183">
        <v>2012</v>
      </c>
      <c r="G183">
        <v>0</v>
      </c>
      <c r="H183" s="1" t="s">
        <v>59</v>
      </c>
      <c r="I183">
        <v>19</v>
      </c>
      <c r="J183">
        <v>2469</v>
      </c>
      <c r="K183" s="1" t="s">
        <v>70</v>
      </c>
      <c r="L183" s="1" t="s">
        <v>45</v>
      </c>
      <c r="M183">
        <v>0</v>
      </c>
      <c r="N183">
        <v>0</v>
      </c>
      <c r="O183">
        <v>0</v>
      </c>
      <c r="P183" s="2">
        <v>40940</v>
      </c>
      <c r="Q183">
        <v>0</v>
      </c>
      <c r="R183" s="1" t="s">
        <v>61</v>
      </c>
    </row>
    <row r="184" spans="1:18" x14ac:dyDescent="0.25">
      <c r="A184">
        <v>2012</v>
      </c>
      <c r="B184">
        <v>3</v>
      </c>
      <c r="C184" s="1" t="s">
        <v>26</v>
      </c>
      <c r="D184" s="1" t="s">
        <v>19</v>
      </c>
      <c r="E184" s="1" t="s">
        <v>69</v>
      </c>
      <c r="F184">
        <v>2012</v>
      </c>
      <c r="G184">
        <v>0</v>
      </c>
      <c r="H184" s="1" t="s">
        <v>59</v>
      </c>
      <c r="I184">
        <v>19</v>
      </c>
      <c r="J184">
        <v>2469</v>
      </c>
      <c r="K184" s="1" t="s">
        <v>70</v>
      </c>
      <c r="L184" s="1" t="s">
        <v>45</v>
      </c>
      <c r="M184">
        <v>0</v>
      </c>
      <c r="N184">
        <v>0</v>
      </c>
      <c r="O184">
        <v>0</v>
      </c>
      <c r="P184" s="2">
        <v>40969</v>
      </c>
      <c r="Q184">
        <v>0</v>
      </c>
      <c r="R184" s="1" t="s">
        <v>61</v>
      </c>
    </row>
    <row r="185" spans="1:18" x14ac:dyDescent="0.25">
      <c r="A185">
        <v>2012</v>
      </c>
      <c r="B185">
        <v>4</v>
      </c>
      <c r="C185" s="1" t="s">
        <v>27</v>
      </c>
      <c r="D185" s="1" t="s">
        <v>19</v>
      </c>
      <c r="E185" s="1" t="s">
        <v>69</v>
      </c>
      <c r="F185">
        <v>2012</v>
      </c>
      <c r="G185">
        <v>0</v>
      </c>
      <c r="H185" s="1" t="s">
        <v>59</v>
      </c>
      <c r="I185">
        <v>19</v>
      </c>
      <c r="J185">
        <v>2469</v>
      </c>
      <c r="K185" s="1" t="s">
        <v>70</v>
      </c>
      <c r="L185" s="1" t="s">
        <v>45</v>
      </c>
      <c r="M185">
        <v>0</v>
      </c>
      <c r="N185">
        <v>0</v>
      </c>
      <c r="O185">
        <v>0</v>
      </c>
      <c r="P185" s="2">
        <v>41000</v>
      </c>
      <c r="Q185">
        <v>0</v>
      </c>
      <c r="R185" s="1" t="s">
        <v>61</v>
      </c>
    </row>
    <row r="186" spans="1:18" x14ac:dyDescent="0.25">
      <c r="A186">
        <v>2012</v>
      </c>
      <c r="B186">
        <v>5</v>
      </c>
      <c r="C186" s="1" t="s">
        <v>28</v>
      </c>
      <c r="D186" s="1" t="s">
        <v>19</v>
      </c>
      <c r="E186" s="1" t="s">
        <v>69</v>
      </c>
      <c r="F186">
        <v>2012</v>
      </c>
      <c r="G186">
        <v>0</v>
      </c>
      <c r="H186" s="1" t="s">
        <v>59</v>
      </c>
      <c r="I186">
        <v>19</v>
      </c>
      <c r="J186">
        <v>2469</v>
      </c>
      <c r="K186" s="1" t="s">
        <v>70</v>
      </c>
      <c r="L186" s="1" t="s">
        <v>45</v>
      </c>
      <c r="M186">
        <v>0</v>
      </c>
      <c r="N186">
        <v>0</v>
      </c>
      <c r="O186">
        <v>0</v>
      </c>
      <c r="P186" s="2">
        <v>41030</v>
      </c>
      <c r="Q186">
        <v>0</v>
      </c>
      <c r="R186" s="1" t="s">
        <v>61</v>
      </c>
    </row>
    <row r="187" spans="1:18" x14ac:dyDescent="0.25">
      <c r="A187">
        <v>2012</v>
      </c>
      <c r="B187">
        <v>6</v>
      </c>
      <c r="C187" s="1" t="s">
        <v>29</v>
      </c>
      <c r="D187" s="1" t="s">
        <v>19</v>
      </c>
      <c r="E187" s="1" t="s">
        <v>69</v>
      </c>
      <c r="F187">
        <v>2012</v>
      </c>
      <c r="G187">
        <v>0</v>
      </c>
      <c r="H187" s="1" t="s">
        <v>59</v>
      </c>
      <c r="I187">
        <v>19</v>
      </c>
      <c r="J187">
        <v>2469</v>
      </c>
      <c r="K187" s="1" t="s">
        <v>70</v>
      </c>
      <c r="L187" s="1" t="s">
        <v>45</v>
      </c>
      <c r="M187">
        <v>0</v>
      </c>
      <c r="N187">
        <v>0</v>
      </c>
      <c r="O187">
        <v>0</v>
      </c>
      <c r="P187" s="2">
        <v>41061</v>
      </c>
      <c r="Q187">
        <v>0</v>
      </c>
      <c r="R187" s="1" t="s">
        <v>61</v>
      </c>
    </row>
    <row r="188" spans="1:18" x14ac:dyDescent="0.25">
      <c r="A188">
        <v>2012</v>
      </c>
      <c r="B188">
        <v>7</v>
      </c>
      <c r="C188" s="1" t="s">
        <v>30</v>
      </c>
      <c r="D188" s="1" t="s">
        <v>19</v>
      </c>
      <c r="E188" s="1" t="s">
        <v>69</v>
      </c>
      <c r="F188">
        <v>2012</v>
      </c>
      <c r="G188">
        <v>0</v>
      </c>
      <c r="H188" s="1" t="s">
        <v>59</v>
      </c>
      <c r="I188">
        <v>19</v>
      </c>
      <c r="J188">
        <v>2469</v>
      </c>
      <c r="K188" s="1" t="s">
        <v>70</v>
      </c>
      <c r="L188" s="1" t="s">
        <v>45</v>
      </c>
      <c r="M188">
        <v>0</v>
      </c>
      <c r="N188">
        <v>0</v>
      </c>
      <c r="O188">
        <v>0</v>
      </c>
      <c r="P188" s="2">
        <v>41091</v>
      </c>
      <c r="Q188">
        <v>0</v>
      </c>
      <c r="R188" s="1" t="s">
        <v>61</v>
      </c>
    </row>
    <row r="189" spans="1:18" x14ac:dyDescent="0.25">
      <c r="A189">
        <v>2012</v>
      </c>
      <c r="B189">
        <v>8</v>
      </c>
      <c r="C189" s="1" t="s">
        <v>31</v>
      </c>
      <c r="D189" s="1" t="s">
        <v>19</v>
      </c>
      <c r="E189" s="1" t="s">
        <v>69</v>
      </c>
      <c r="F189">
        <v>2012</v>
      </c>
      <c r="G189">
        <v>0</v>
      </c>
      <c r="H189" s="1" t="s">
        <v>59</v>
      </c>
      <c r="I189">
        <v>19</v>
      </c>
      <c r="J189">
        <v>2469</v>
      </c>
      <c r="K189" s="1" t="s">
        <v>70</v>
      </c>
      <c r="L189" s="1" t="s">
        <v>45</v>
      </c>
      <c r="M189">
        <v>0</v>
      </c>
      <c r="N189">
        <v>0</v>
      </c>
      <c r="O189">
        <v>0</v>
      </c>
      <c r="P189" s="2">
        <v>41122</v>
      </c>
      <c r="Q189">
        <v>0</v>
      </c>
      <c r="R189" s="1" t="s">
        <v>61</v>
      </c>
    </row>
    <row r="190" spans="1:18" x14ac:dyDescent="0.25">
      <c r="A190">
        <v>2012</v>
      </c>
      <c r="B190">
        <v>9</v>
      </c>
      <c r="C190" s="1" t="s">
        <v>32</v>
      </c>
      <c r="D190" s="1" t="s">
        <v>19</v>
      </c>
      <c r="E190" s="1" t="s">
        <v>69</v>
      </c>
      <c r="F190">
        <v>2012</v>
      </c>
      <c r="G190">
        <v>0</v>
      </c>
      <c r="H190" s="1" t="s">
        <v>59</v>
      </c>
      <c r="I190">
        <v>19</v>
      </c>
      <c r="J190">
        <v>2469</v>
      </c>
      <c r="K190" s="1" t="s">
        <v>70</v>
      </c>
      <c r="L190" s="1" t="s">
        <v>45</v>
      </c>
      <c r="M190">
        <v>0</v>
      </c>
      <c r="N190">
        <v>0</v>
      </c>
      <c r="O190">
        <v>0</v>
      </c>
      <c r="P190" s="2">
        <v>41153</v>
      </c>
      <c r="Q190">
        <v>0</v>
      </c>
      <c r="R190" s="1" t="s">
        <v>61</v>
      </c>
    </row>
    <row r="191" spans="1:18" x14ac:dyDescent="0.25">
      <c r="A191">
        <v>2012</v>
      </c>
      <c r="B191">
        <v>10</v>
      </c>
      <c r="C191" s="1" t="s">
        <v>33</v>
      </c>
      <c r="D191" s="1" t="s">
        <v>19</v>
      </c>
      <c r="E191" s="1" t="s">
        <v>69</v>
      </c>
      <c r="F191">
        <v>2012</v>
      </c>
      <c r="G191">
        <v>0</v>
      </c>
      <c r="H191" s="1" t="s">
        <v>59</v>
      </c>
      <c r="I191">
        <v>19</v>
      </c>
      <c r="J191">
        <v>2469</v>
      </c>
      <c r="K191" s="1" t="s">
        <v>70</v>
      </c>
      <c r="L191" s="1" t="s">
        <v>45</v>
      </c>
      <c r="M191">
        <v>0</v>
      </c>
      <c r="N191">
        <v>0</v>
      </c>
      <c r="O191">
        <v>0</v>
      </c>
      <c r="P191" s="2">
        <v>41183</v>
      </c>
      <c r="Q191">
        <v>0</v>
      </c>
      <c r="R191" s="1" t="s">
        <v>61</v>
      </c>
    </row>
    <row r="192" spans="1:18" x14ac:dyDescent="0.25">
      <c r="A192">
        <v>2012</v>
      </c>
      <c r="B192">
        <v>11</v>
      </c>
      <c r="C192" s="1" t="s">
        <v>34</v>
      </c>
      <c r="D192" s="1" t="s">
        <v>19</v>
      </c>
      <c r="E192" s="1" t="s">
        <v>69</v>
      </c>
      <c r="F192">
        <v>2012</v>
      </c>
      <c r="G192">
        <v>0</v>
      </c>
      <c r="H192" s="1" t="s">
        <v>59</v>
      </c>
      <c r="I192">
        <v>19</v>
      </c>
      <c r="J192">
        <v>2469</v>
      </c>
      <c r="K192" s="1" t="s">
        <v>70</v>
      </c>
      <c r="L192" s="1" t="s">
        <v>45</v>
      </c>
      <c r="M192">
        <v>0</v>
      </c>
      <c r="N192">
        <v>0</v>
      </c>
      <c r="O192">
        <v>0</v>
      </c>
      <c r="P192" s="2">
        <v>41214</v>
      </c>
      <c r="Q192">
        <v>0</v>
      </c>
      <c r="R192" s="1" t="s">
        <v>61</v>
      </c>
    </row>
    <row r="193" spans="1:18" x14ac:dyDescent="0.25">
      <c r="A193">
        <v>2012</v>
      </c>
      <c r="B193">
        <v>12</v>
      </c>
      <c r="C193" s="1" t="s">
        <v>35</v>
      </c>
      <c r="D193" s="1" t="s">
        <v>19</v>
      </c>
      <c r="E193" s="1" t="s">
        <v>69</v>
      </c>
      <c r="F193">
        <v>2012</v>
      </c>
      <c r="G193">
        <v>0</v>
      </c>
      <c r="H193" s="1" t="s">
        <v>59</v>
      </c>
      <c r="I193">
        <v>19</v>
      </c>
      <c r="J193">
        <v>2469</v>
      </c>
      <c r="K193" s="1" t="s">
        <v>70</v>
      </c>
      <c r="L193" s="1" t="s">
        <v>45</v>
      </c>
      <c r="M193">
        <v>0</v>
      </c>
      <c r="N193">
        <v>0</v>
      </c>
      <c r="O193">
        <v>0</v>
      </c>
      <c r="P193" s="2">
        <v>41244</v>
      </c>
      <c r="Q193">
        <v>0</v>
      </c>
      <c r="R193" s="1" t="s">
        <v>61</v>
      </c>
    </row>
    <row r="194" spans="1:18" x14ac:dyDescent="0.25">
      <c r="A194">
        <v>2012</v>
      </c>
      <c r="B194">
        <v>1</v>
      </c>
      <c r="C194" s="1" t="s">
        <v>18</v>
      </c>
      <c r="D194" s="1" t="s">
        <v>19</v>
      </c>
      <c r="E194" s="1" t="s">
        <v>71</v>
      </c>
      <c r="F194">
        <v>2012</v>
      </c>
      <c r="G194">
        <v>0</v>
      </c>
      <c r="H194" s="1" t="s">
        <v>59</v>
      </c>
      <c r="I194">
        <v>20</v>
      </c>
      <c r="J194">
        <v>2704</v>
      </c>
      <c r="K194" s="1" t="s">
        <v>72</v>
      </c>
      <c r="L194" s="1" t="s">
        <v>64</v>
      </c>
      <c r="M194">
        <v>0</v>
      </c>
      <c r="N194">
        <v>0</v>
      </c>
      <c r="O194">
        <v>0</v>
      </c>
      <c r="P194" s="2">
        <v>40909</v>
      </c>
      <c r="Q194">
        <v>0</v>
      </c>
      <c r="R194" s="1" t="s">
        <v>61</v>
      </c>
    </row>
    <row r="195" spans="1:18" x14ac:dyDescent="0.25">
      <c r="A195">
        <v>2012</v>
      </c>
      <c r="B195">
        <v>2</v>
      </c>
      <c r="C195" s="1" t="s">
        <v>25</v>
      </c>
      <c r="D195" s="1" t="s">
        <v>19</v>
      </c>
      <c r="E195" s="1" t="s">
        <v>71</v>
      </c>
      <c r="F195">
        <v>2012</v>
      </c>
      <c r="G195">
        <v>0</v>
      </c>
      <c r="H195" s="1" t="s">
        <v>59</v>
      </c>
      <c r="I195">
        <v>20</v>
      </c>
      <c r="J195">
        <v>2704</v>
      </c>
      <c r="K195" s="1" t="s">
        <v>72</v>
      </c>
      <c r="L195" s="1" t="s">
        <v>64</v>
      </c>
      <c r="M195">
        <v>0</v>
      </c>
      <c r="N195">
        <v>0</v>
      </c>
      <c r="O195">
        <v>0</v>
      </c>
      <c r="P195" s="2">
        <v>40940</v>
      </c>
      <c r="Q195">
        <v>0</v>
      </c>
      <c r="R195" s="1" t="s">
        <v>61</v>
      </c>
    </row>
    <row r="196" spans="1:18" x14ac:dyDescent="0.25">
      <c r="A196">
        <v>2012</v>
      </c>
      <c r="B196">
        <v>3</v>
      </c>
      <c r="C196" s="1" t="s">
        <v>26</v>
      </c>
      <c r="D196" s="1" t="s">
        <v>19</v>
      </c>
      <c r="E196" s="1" t="s">
        <v>71</v>
      </c>
      <c r="F196">
        <v>2012</v>
      </c>
      <c r="G196">
        <v>0</v>
      </c>
      <c r="H196" s="1" t="s">
        <v>59</v>
      </c>
      <c r="I196">
        <v>20</v>
      </c>
      <c r="J196">
        <v>2704</v>
      </c>
      <c r="K196" s="1" t="s">
        <v>72</v>
      </c>
      <c r="L196" s="1" t="s">
        <v>64</v>
      </c>
      <c r="M196">
        <v>0</v>
      </c>
      <c r="N196">
        <v>0</v>
      </c>
      <c r="O196">
        <v>0</v>
      </c>
      <c r="P196" s="2">
        <v>40969</v>
      </c>
      <c r="Q196">
        <v>0</v>
      </c>
      <c r="R196" s="1" t="s">
        <v>61</v>
      </c>
    </row>
    <row r="197" spans="1:18" x14ac:dyDescent="0.25">
      <c r="A197">
        <v>2012</v>
      </c>
      <c r="B197">
        <v>4</v>
      </c>
      <c r="C197" s="1" t="s">
        <v>27</v>
      </c>
      <c r="D197" s="1" t="s">
        <v>19</v>
      </c>
      <c r="E197" s="1" t="s">
        <v>71</v>
      </c>
      <c r="F197">
        <v>2012</v>
      </c>
      <c r="G197">
        <v>0</v>
      </c>
      <c r="H197" s="1" t="s">
        <v>59</v>
      </c>
      <c r="I197">
        <v>20</v>
      </c>
      <c r="J197">
        <v>2704</v>
      </c>
      <c r="K197" s="1" t="s">
        <v>72</v>
      </c>
      <c r="L197" s="1" t="s">
        <v>64</v>
      </c>
      <c r="M197">
        <v>0</v>
      </c>
      <c r="N197">
        <v>0</v>
      </c>
      <c r="O197">
        <v>0</v>
      </c>
      <c r="P197" s="2">
        <v>41000</v>
      </c>
      <c r="Q197">
        <v>0</v>
      </c>
      <c r="R197" s="1" t="s">
        <v>61</v>
      </c>
    </row>
    <row r="198" spans="1:18" x14ac:dyDescent="0.25">
      <c r="A198">
        <v>2012</v>
      </c>
      <c r="B198">
        <v>5</v>
      </c>
      <c r="C198" s="1" t="s">
        <v>28</v>
      </c>
      <c r="D198" s="1" t="s">
        <v>19</v>
      </c>
      <c r="E198" s="1" t="s">
        <v>71</v>
      </c>
      <c r="F198">
        <v>2012</v>
      </c>
      <c r="G198">
        <v>0</v>
      </c>
      <c r="H198" s="1" t="s">
        <v>59</v>
      </c>
      <c r="I198">
        <v>20</v>
      </c>
      <c r="J198">
        <v>2704</v>
      </c>
      <c r="K198" s="1" t="s">
        <v>72</v>
      </c>
      <c r="L198" s="1" t="s">
        <v>64</v>
      </c>
      <c r="M198">
        <v>0</v>
      </c>
      <c r="N198">
        <v>0</v>
      </c>
      <c r="O198">
        <v>0</v>
      </c>
      <c r="P198" s="2">
        <v>41030</v>
      </c>
      <c r="Q198">
        <v>0</v>
      </c>
      <c r="R198" s="1" t="s">
        <v>61</v>
      </c>
    </row>
    <row r="199" spans="1:18" x14ac:dyDescent="0.25">
      <c r="A199">
        <v>2012</v>
      </c>
      <c r="B199">
        <v>6</v>
      </c>
      <c r="C199" s="1" t="s">
        <v>29</v>
      </c>
      <c r="D199" s="1" t="s">
        <v>19</v>
      </c>
      <c r="E199" s="1" t="s">
        <v>71</v>
      </c>
      <c r="F199">
        <v>2012</v>
      </c>
      <c r="G199">
        <v>0</v>
      </c>
      <c r="H199" s="1" t="s">
        <v>59</v>
      </c>
      <c r="I199">
        <v>20</v>
      </c>
      <c r="J199">
        <v>2704</v>
      </c>
      <c r="K199" s="1" t="s">
        <v>72</v>
      </c>
      <c r="L199" s="1" t="s">
        <v>64</v>
      </c>
      <c r="M199">
        <v>0</v>
      </c>
      <c r="N199">
        <v>0</v>
      </c>
      <c r="O199">
        <v>0</v>
      </c>
      <c r="P199" s="2">
        <v>41061</v>
      </c>
      <c r="Q199">
        <v>0</v>
      </c>
      <c r="R199" s="1" t="s">
        <v>61</v>
      </c>
    </row>
    <row r="200" spans="1:18" x14ac:dyDescent="0.25">
      <c r="A200">
        <v>2012</v>
      </c>
      <c r="B200">
        <v>7</v>
      </c>
      <c r="C200" s="1" t="s">
        <v>30</v>
      </c>
      <c r="D200" s="1" t="s">
        <v>19</v>
      </c>
      <c r="E200" s="1" t="s">
        <v>71</v>
      </c>
      <c r="F200">
        <v>2012</v>
      </c>
      <c r="G200">
        <v>0</v>
      </c>
      <c r="H200" s="1" t="s">
        <v>59</v>
      </c>
      <c r="I200">
        <v>20</v>
      </c>
      <c r="J200">
        <v>2704</v>
      </c>
      <c r="K200" s="1" t="s">
        <v>72</v>
      </c>
      <c r="L200" s="1" t="s">
        <v>64</v>
      </c>
      <c r="M200">
        <v>0</v>
      </c>
      <c r="N200">
        <v>0</v>
      </c>
      <c r="O200">
        <v>0</v>
      </c>
      <c r="P200" s="2">
        <v>41091</v>
      </c>
      <c r="Q200">
        <v>0</v>
      </c>
      <c r="R200" s="1" t="s">
        <v>61</v>
      </c>
    </row>
    <row r="201" spans="1:18" x14ac:dyDescent="0.25">
      <c r="A201">
        <v>2012</v>
      </c>
      <c r="B201">
        <v>8</v>
      </c>
      <c r="C201" s="1" t="s">
        <v>31</v>
      </c>
      <c r="D201" s="1" t="s">
        <v>19</v>
      </c>
      <c r="E201" s="1" t="s">
        <v>71</v>
      </c>
      <c r="F201">
        <v>2012</v>
      </c>
      <c r="G201">
        <v>0</v>
      </c>
      <c r="H201" s="1" t="s">
        <v>59</v>
      </c>
      <c r="I201">
        <v>20</v>
      </c>
      <c r="J201">
        <v>2704</v>
      </c>
      <c r="K201" s="1" t="s">
        <v>72</v>
      </c>
      <c r="L201" s="1" t="s">
        <v>64</v>
      </c>
      <c r="M201">
        <v>0</v>
      </c>
      <c r="N201">
        <v>0</v>
      </c>
      <c r="O201">
        <v>0</v>
      </c>
      <c r="P201" s="2">
        <v>41122</v>
      </c>
      <c r="Q201">
        <v>0</v>
      </c>
      <c r="R201" s="1" t="s">
        <v>61</v>
      </c>
    </row>
    <row r="202" spans="1:18" x14ac:dyDescent="0.25">
      <c r="A202">
        <v>2012</v>
      </c>
      <c r="B202">
        <v>9</v>
      </c>
      <c r="C202" s="1" t="s">
        <v>32</v>
      </c>
      <c r="D202" s="1" t="s">
        <v>19</v>
      </c>
      <c r="E202" s="1" t="s">
        <v>71</v>
      </c>
      <c r="F202">
        <v>2012</v>
      </c>
      <c r="G202">
        <v>0</v>
      </c>
      <c r="H202" s="1" t="s">
        <v>59</v>
      </c>
      <c r="I202">
        <v>20</v>
      </c>
      <c r="J202">
        <v>2704</v>
      </c>
      <c r="K202" s="1" t="s">
        <v>72</v>
      </c>
      <c r="L202" s="1" t="s">
        <v>64</v>
      </c>
      <c r="M202">
        <v>0</v>
      </c>
      <c r="N202">
        <v>0</v>
      </c>
      <c r="O202">
        <v>0</v>
      </c>
      <c r="P202" s="2">
        <v>41153</v>
      </c>
      <c r="Q202">
        <v>0</v>
      </c>
      <c r="R202" s="1" t="s">
        <v>61</v>
      </c>
    </row>
    <row r="203" spans="1:18" x14ac:dyDescent="0.25">
      <c r="A203">
        <v>2012</v>
      </c>
      <c r="B203">
        <v>10</v>
      </c>
      <c r="C203" s="1" t="s">
        <v>33</v>
      </c>
      <c r="D203" s="1" t="s">
        <v>19</v>
      </c>
      <c r="E203" s="1" t="s">
        <v>71</v>
      </c>
      <c r="F203">
        <v>2012</v>
      </c>
      <c r="G203">
        <v>0</v>
      </c>
      <c r="H203" s="1" t="s">
        <v>59</v>
      </c>
      <c r="I203">
        <v>20</v>
      </c>
      <c r="J203">
        <v>2704</v>
      </c>
      <c r="K203" s="1" t="s">
        <v>72</v>
      </c>
      <c r="L203" s="1" t="s">
        <v>64</v>
      </c>
      <c r="M203">
        <v>0</v>
      </c>
      <c r="N203">
        <v>0</v>
      </c>
      <c r="O203">
        <v>0</v>
      </c>
      <c r="P203" s="2">
        <v>41183</v>
      </c>
      <c r="Q203">
        <v>0</v>
      </c>
      <c r="R203" s="1" t="s">
        <v>61</v>
      </c>
    </row>
    <row r="204" spans="1:18" x14ac:dyDescent="0.25">
      <c r="A204">
        <v>2012</v>
      </c>
      <c r="B204">
        <v>11</v>
      </c>
      <c r="C204" s="1" t="s">
        <v>34</v>
      </c>
      <c r="D204" s="1" t="s">
        <v>19</v>
      </c>
      <c r="E204" s="1" t="s">
        <v>71</v>
      </c>
      <c r="F204">
        <v>2012</v>
      </c>
      <c r="G204">
        <v>0</v>
      </c>
      <c r="H204" s="1" t="s">
        <v>59</v>
      </c>
      <c r="I204">
        <v>20</v>
      </c>
      <c r="J204">
        <v>2704</v>
      </c>
      <c r="K204" s="1" t="s">
        <v>72</v>
      </c>
      <c r="L204" s="1" t="s">
        <v>64</v>
      </c>
      <c r="M204">
        <v>0</v>
      </c>
      <c r="N204">
        <v>0</v>
      </c>
      <c r="O204">
        <v>0</v>
      </c>
      <c r="P204" s="2">
        <v>41214</v>
      </c>
      <c r="Q204">
        <v>0</v>
      </c>
      <c r="R204" s="1" t="s">
        <v>61</v>
      </c>
    </row>
    <row r="205" spans="1:18" x14ac:dyDescent="0.25">
      <c r="A205">
        <v>2012</v>
      </c>
      <c r="B205">
        <v>12</v>
      </c>
      <c r="C205" s="1" t="s">
        <v>35</v>
      </c>
      <c r="D205" s="1" t="s">
        <v>19</v>
      </c>
      <c r="E205" s="1" t="s">
        <v>71</v>
      </c>
      <c r="F205">
        <v>2012</v>
      </c>
      <c r="G205">
        <v>0</v>
      </c>
      <c r="H205" s="1" t="s">
        <v>59</v>
      </c>
      <c r="I205">
        <v>20</v>
      </c>
      <c r="J205">
        <v>2704</v>
      </c>
      <c r="K205" s="1" t="s">
        <v>72</v>
      </c>
      <c r="L205" s="1" t="s">
        <v>64</v>
      </c>
      <c r="M205">
        <v>0</v>
      </c>
      <c r="N205">
        <v>0</v>
      </c>
      <c r="O205">
        <v>0</v>
      </c>
      <c r="P205" s="2">
        <v>41244</v>
      </c>
      <c r="Q205">
        <v>0</v>
      </c>
      <c r="R205" s="1" t="s">
        <v>61</v>
      </c>
    </row>
    <row r="206" spans="1:18" x14ac:dyDescent="0.25">
      <c r="A206">
        <v>2012</v>
      </c>
      <c r="B206">
        <v>1</v>
      </c>
      <c r="C206" s="1" t="s">
        <v>18</v>
      </c>
      <c r="D206" s="1" t="s">
        <v>19</v>
      </c>
      <c r="E206" s="1" t="s">
        <v>73</v>
      </c>
      <c r="F206">
        <v>2012</v>
      </c>
      <c r="G206">
        <v>0</v>
      </c>
      <c r="H206" s="1" t="s">
        <v>59</v>
      </c>
      <c r="I206">
        <v>14</v>
      </c>
      <c r="J206">
        <v>1833</v>
      </c>
      <c r="K206" s="1" t="s">
        <v>74</v>
      </c>
      <c r="L206" s="1" t="s">
        <v>64</v>
      </c>
      <c r="M206">
        <v>0</v>
      </c>
      <c r="N206">
        <v>0</v>
      </c>
      <c r="O206">
        <v>0</v>
      </c>
      <c r="P206" s="2">
        <v>40909</v>
      </c>
      <c r="Q206">
        <v>0</v>
      </c>
      <c r="R206" s="1" t="s">
        <v>61</v>
      </c>
    </row>
    <row r="207" spans="1:18" x14ac:dyDescent="0.25">
      <c r="A207">
        <v>2012</v>
      </c>
      <c r="B207">
        <v>2</v>
      </c>
      <c r="C207" s="1" t="s">
        <v>25</v>
      </c>
      <c r="D207" s="1" t="s">
        <v>19</v>
      </c>
      <c r="E207" s="1" t="s">
        <v>73</v>
      </c>
      <c r="F207">
        <v>2012</v>
      </c>
      <c r="G207">
        <v>0</v>
      </c>
      <c r="H207" s="1" t="s">
        <v>59</v>
      </c>
      <c r="I207">
        <v>14</v>
      </c>
      <c r="J207">
        <v>1833</v>
      </c>
      <c r="K207" s="1" t="s">
        <v>74</v>
      </c>
      <c r="L207" s="1" t="s">
        <v>64</v>
      </c>
      <c r="M207">
        <v>0</v>
      </c>
      <c r="N207">
        <v>0</v>
      </c>
      <c r="O207">
        <v>0</v>
      </c>
      <c r="P207" s="2">
        <v>40940</v>
      </c>
      <c r="Q207">
        <v>0</v>
      </c>
      <c r="R207" s="1" t="s">
        <v>61</v>
      </c>
    </row>
    <row r="208" spans="1:18" x14ac:dyDescent="0.25">
      <c r="A208">
        <v>2012</v>
      </c>
      <c r="B208">
        <v>3</v>
      </c>
      <c r="C208" s="1" t="s">
        <v>26</v>
      </c>
      <c r="D208" s="1" t="s">
        <v>19</v>
      </c>
      <c r="E208" s="1" t="s">
        <v>73</v>
      </c>
      <c r="F208">
        <v>2012</v>
      </c>
      <c r="G208">
        <v>0</v>
      </c>
      <c r="H208" s="1" t="s">
        <v>59</v>
      </c>
      <c r="I208">
        <v>14</v>
      </c>
      <c r="J208">
        <v>1833</v>
      </c>
      <c r="K208" s="1" t="s">
        <v>74</v>
      </c>
      <c r="L208" s="1" t="s">
        <v>64</v>
      </c>
      <c r="M208">
        <v>0</v>
      </c>
      <c r="N208">
        <v>0</v>
      </c>
      <c r="O208">
        <v>0</v>
      </c>
      <c r="P208" s="2">
        <v>40969</v>
      </c>
      <c r="Q208">
        <v>0</v>
      </c>
      <c r="R208" s="1" t="s">
        <v>61</v>
      </c>
    </row>
    <row r="209" spans="1:18" x14ac:dyDescent="0.25">
      <c r="A209">
        <v>2012</v>
      </c>
      <c r="B209">
        <v>4</v>
      </c>
      <c r="C209" s="1" t="s">
        <v>27</v>
      </c>
      <c r="D209" s="1" t="s">
        <v>19</v>
      </c>
      <c r="E209" s="1" t="s">
        <v>73</v>
      </c>
      <c r="F209">
        <v>2012</v>
      </c>
      <c r="G209">
        <v>0</v>
      </c>
      <c r="H209" s="1" t="s">
        <v>59</v>
      </c>
      <c r="I209">
        <v>14</v>
      </c>
      <c r="J209">
        <v>1833</v>
      </c>
      <c r="K209" s="1" t="s">
        <v>74</v>
      </c>
      <c r="L209" s="1" t="s">
        <v>64</v>
      </c>
      <c r="M209">
        <v>0</v>
      </c>
      <c r="N209">
        <v>0</v>
      </c>
      <c r="O209">
        <v>0</v>
      </c>
      <c r="P209" s="2">
        <v>41000</v>
      </c>
      <c r="Q209">
        <v>0</v>
      </c>
      <c r="R209" s="1" t="s">
        <v>61</v>
      </c>
    </row>
    <row r="210" spans="1:18" x14ac:dyDescent="0.25">
      <c r="A210">
        <v>2012</v>
      </c>
      <c r="B210">
        <v>5</v>
      </c>
      <c r="C210" s="1" t="s">
        <v>28</v>
      </c>
      <c r="D210" s="1" t="s">
        <v>19</v>
      </c>
      <c r="E210" s="1" t="s">
        <v>73</v>
      </c>
      <c r="F210">
        <v>2012</v>
      </c>
      <c r="G210">
        <v>0</v>
      </c>
      <c r="H210" s="1" t="s">
        <v>59</v>
      </c>
      <c r="I210">
        <v>14</v>
      </c>
      <c r="J210">
        <v>1833</v>
      </c>
      <c r="K210" s="1" t="s">
        <v>74</v>
      </c>
      <c r="L210" s="1" t="s">
        <v>64</v>
      </c>
      <c r="M210">
        <v>0</v>
      </c>
      <c r="N210">
        <v>0</v>
      </c>
      <c r="O210">
        <v>0</v>
      </c>
      <c r="P210" s="2">
        <v>41030</v>
      </c>
      <c r="Q210">
        <v>0</v>
      </c>
      <c r="R210" s="1" t="s">
        <v>61</v>
      </c>
    </row>
    <row r="211" spans="1:18" x14ac:dyDescent="0.25">
      <c r="A211">
        <v>2012</v>
      </c>
      <c r="B211">
        <v>6</v>
      </c>
      <c r="C211" s="1" t="s">
        <v>29</v>
      </c>
      <c r="D211" s="1" t="s">
        <v>19</v>
      </c>
      <c r="E211" s="1" t="s">
        <v>73</v>
      </c>
      <c r="F211">
        <v>2012</v>
      </c>
      <c r="G211">
        <v>0</v>
      </c>
      <c r="H211" s="1" t="s">
        <v>59</v>
      </c>
      <c r="I211">
        <v>14</v>
      </c>
      <c r="J211">
        <v>1833</v>
      </c>
      <c r="K211" s="1" t="s">
        <v>74</v>
      </c>
      <c r="L211" s="1" t="s">
        <v>64</v>
      </c>
      <c r="M211">
        <v>0</v>
      </c>
      <c r="N211">
        <v>0</v>
      </c>
      <c r="O211">
        <v>0</v>
      </c>
      <c r="P211" s="2">
        <v>41061</v>
      </c>
      <c r="Q211">
        <v>0</v>
      </c>
      <c r="R211" s="1" t="s">
        <v>61</v>
      </c>
    </row>
    <row r="212" spans="1:18" x14ac:dyDescent="0.25">
      <c r="A212">
        <v>2012</v>
      </c>
      <c r="B212">
        <v>7</v>
      </c>
      <c r="C212" s="1" t="s">
        <v>30</v>
      </c>
      <c r="D212" s="1" t="s">
        <v>19</v>
      </c>
      <c r="E212" s="1" t="s">
        <v>73</v>
      </c>
      <c r="F212">
        <v>2012</v>
      </c>
      <c r="G212">
        <v>0</v>
      </c>
      <c r="H212" s="1" t="s">
        <v>59</v>
      </c>
      <c r="I212">
        <v>14</v>
      </c>
      <c r="J212">
        <v>1833</v>
      </c>
      <c r="K212" s="1" t="s">
        <v>74</v>
      </c>
      <c r="L212" s="1" t="s">
        <v>64</v>
      </c>
      <c r="M212">
        <v>0</v>
      </c>
      <c r="N212">
        <v>0</v>
      </c>
      <c r="O212">
        <v>0</v>
      </c>
      <c r="P212" s="2">
        <v>41091</v>
      </c>
      <c r="Q212">
        <v>0</v>
      </c>
      <c r="R212" s="1" t="s">
        <v>61</v>
      </c>
    </row>
    <row r="213" spans="1:18" x14ac:dyDescent="0.25">
      <c r="A213">
        <v>2012</v>
      </c>
      <c r="B213">
        <v>8</v>
      </c>
      <c r="C213" s="1" t="s">
        <v>31</v>
      </c>
      <c r="D213" s="1" t="s">
        <v>19</v>
      </c>
      <c r="E213" s="1" t="s">
        <v>73</v>
      </c>
      <c r="F213">
        <v>2012</v>
      </c>
      <c r="G213">
        <v>0</v>
      </c>
      <c r="H213" s="1" t="s">
        <v>59</v>
      </c>
      <c r="I213">
        <v>14</v>
      </c>
      <c r="J213">
        <v>1833</v>
      </c>
      <c r="K213" s="1" t="s">
        <v>74</v>
      </c>
      <c r="L213" s="1" t="s">
        <v>64</v>
      </c>
      <c r="M213">
        <v>0</v>
      </c>
      <c r="N213">
        <v>0</v>
      </c>
      <c r="O213">
        <v>0</v>
      </c>
      <c r="P213" s="2">
        <v>41122</v>
      </c>
      <c r="Q213">
        <v>0</v>
      </c>
      <c r="R213" s="1" t="s">
        <v>61</v>
      </c>
    </row>
    <row r="214" spans="1:18" x14ac:dyDescent="0.25">
      <c r="A214">
        <v>2012</v>
      </c>
      <c r="B214">
        <v>9</v>
      </c>
      <c r="C214" s="1" t="s">
        <v>32</v>
      </c>
      <c r="D214" s="1" t="s">
        <v>19</v>
      </c>
      <c r="E214" s="1" t="s">
        <v>73</v>
      </c>
      <c r="F214">
        <v>2012</v>
      </c>
      <c r="G214">
        <v>0</v>
      </c>
      <c r="H214" s="1" t="s">
        <v>59</v>
      </c>
      <c r="I214">
        <v>14</v>
      </c>
      <c r="J214">
        <v>1833</v>
      </c>
      <c r="K214" s="1" t="s">
        <v>74</v>
      </c>
      <c r="L214" s="1" t="s">
        <v>64</v>
      </c>
      <c r="M214">
        <v>0</v>
      </c>
      <c r="N214">
        <v>0</v>
      </c>
      <c r="O214">
        <v>0</v>
      </c>
      <c r="P214" s="2">
        <v>41153</v>
      </c>
      <c r="Q214">
        <v>0</v>
      </c>
      <c r="R214" s="1" t="s">
        <v>61</v>
      </c>
    </row>
    <row r="215" spans="1:18" x14ac:dyDescent="0.25">
      <c r="A215">
        <v>2012</v>
      </c>
      <c r="B215">
        <v>10</v>
      </c>
      <c r="C215" s="1" t="s">
        <v>33</v>
      </c>
      <c r="D215" s="1" t="s">
        <v>19</v>
      </c>
      <c r="E215" s="1" t="s">
        <v>73</v>
      </c>
      <c r="F215">
        <v>2012</v>
      </c>
      <c r="G215">
        <v>0</v>
      </c>
      <c r="H215" s="1" t="s">
        <v>59</v>
      </c>
      <c r="I215">
        <v>14</v>
      </c>
      <c r="J215">
        <v>1833</v>
      </c>
      <c r="K215" s="1" t="s">
        <v>74</v>
      </c>
      <c r="L215" s="1" t="s">
        <v>64</v>
      </c>
      <c r="M215">
        <v>0</v>
      </c>
      <c r="N215">
        <v>0</v>
      </c>
      <c r="O215">
        <v>0</v>
      </c>
      <c r="P215" s="2">
        <v>41183</v>
      </c>
      <c r="Q215">
        <v>0</v>
      </c>
      <c r="R215" s="1" t="s">
        <v>61</v>
      </c>
    </row>
    <row r="216" spans="1:18" x14ac:dyDescent="0.25">
      <c r="A216">
        <v>2012</v>
      </c>
      <c r="B216">
        <v>11</v>
      </c>
      <c r="C216" s="1" t="s">
        <v>34</v>
      </c>
      <c r="D216" s="1" t="s">
        <v>19</v>
      </c>
      <c r="E216" s="1" t="s">
        <v>73</v>
      </c>
      <c r="F216">
        <v>2012</v>
      </c>
      <c r="G216">
        <v>0</v>
      </c>
      <c r="H216" s="1" t="s">
        <v>59</v>
      </c>
      <c r="I216">
        <v>14</v>
      </c>
      <c r="J216">
        <v>1833</v>
      </c>
      <c r="K216" s="1" t="s">
        <v>74</v>
      </c>
      <c r="L216" s="1" t="s">
        <v>64</v>
      </c>
      <c r="M216">
        <v>0</v>
      </c>
      <c r="N216">
        <v>0</v>
      </c>
      <c r="O216">
        <v>0</v>
      </c>
      <c r="P216" s="2">
        <v>41214</v>
      </c>
      <c r="Q216">
        <v>0</v>
      </c>
      <c r="R216" s="1" t="s">
        <v>61</v>
      </c>
    </row>
    <row r="217" spans="1:18" x14ac:dyDescent="0.25">
      <c r="A217">
        <v>2012</v>
      </c>
      <c r="B217">
        <v>12</v>
      </c>
      <c r="C217" s="1" t="s">
        <v>35</v>
      </c>
      <c r="D217" s="1" t="s">
        <v>19</v>
      </c>
      <c r="E217" s="1" t="s">
        <v>73</v>
      </c>
      <c r="F217">
        <v>2012</v>
      </c>
      <c r="G217">
        <v>0</v>
      </c>
      <c r="H217" s="1" t="s">
        <v>59</v>
      </c>
      <c r="I217">
        <v>14</v>
      </c>
      <c r="J217">
        <v>1833</v>
      </c>
      <c r="K217" s="1" t="s">
        <v>74</v>
      </c>
      <c r="L217" s="1" t="s">
        <v>64</v>
      </c>
      <c r="M217">
        <v>0</v>
      </c>
      <c r="N217">
        <v>0</v>
      </c>
      <c r="O217">
        <v>0</v>
      </c>
      <c r="P217" s="2">
        <v>41244</v>
      </c>
      <c r="Q217">
        <v>0</v>
      </c>
      <c r="R217" s="1" t="s">
        <v>61</v>
      </c>
    </row>
    <row r="218" spans="1:18" x14ac:dyDescent="0.25">
      <c r="A218">
        <v>2012</v>
      </c>
      <c r="B218">
        <v>1</v>
      </c>
      <c r="C218" s="1" t="s">
        <v>18</v>
      </c>
      <c r="D218" s="1" t="s">
        <v>19</v>
      </c>
      <c r="E218" s="1" t="s">
        <v>75</v>
      </c>
      <c r="F218">
        <v>2012</v>
      </c>
      <c r="G218">
        <v>0</v>
      </c>
      <c r="H218" s="1" t="s">
        <v>59</v>
      </c>
      <c r="I218">
        <v>20</v>
      </c>
      <c r="J218">
        <v>1990</v>
      </c>
      <c r="K218" s="1" t="s">
        <v>76</v>
      </c>
      <c r="L218" s="1" t="s">
        <v>64</v>
      </c>
      <c r="M218">
        <v>0</v>
      </c>
      <c r="N218">
        <v>0</v>
      </c>
      <c r="O218">
        <v>0</v>
      </c>
      <c r="P218" s="2">
        <v>40909</v>
      </c>
      <c r="Q218">
        <v>0</v>
      </c>
      <c r="R218" s="1" t="s">
        <v>61</v>
      </c>
    </row>
    <row r="219" spans="1:18" x14ac:dyDescent="0.25">
      <c r="A219">
        <v>2012</v>
      </c>
      <c r="B219">
        <v>2</v>
      </c>
      <c r="C219" s="1" t="s">
        <v>25</v>
      </c>
      <c r="D219" s="1" t="s">
        <v>19</v>
      </c>
      <c r="E219" s="1" t="s">
        <v>75</v>
      </c>
      <c r="F219">
        <v>2012</v>
      </c>
      <c r="G219">
        <v>0</v>
      </c>
      <c r="H219" s="1" t="s">
        <v>59</v>
      </c>
      <c r="I219">
        <v>20</v>
      </c>
      <c r="J219">
        <v>1990</v>
      </c>
      <c r="K219" s="1" t="s">
        <v>76</v>
      </c>
      <c r="L219" s="1" t="s">
        <v>64</v>
      </c>
      <c r="M219">
        <v>0</v>
      </c>
      <c r="N219">
        <v>0</v>
      </c>
      <c r="O219">
        <v>0</v>
      </c>
      <c r="P219" s="2">
        <v>40940</v>
      </c>
      <c r="Q219">
        <v>0</v>
      </c>
      <c r="R219" s="1" t="s">
        <v>61</v>
      </c>
    </row>
    <row r="220" spans="1:18" x14ac:dyDescent="0.25">
      <c r="A220">
        <v>2012</v>
      </c>
      <c r="B220">
        <v>3</v>
      </c>
      <c r="C220" s="1" t="s">
        <v>26</v>
      </c>
      <c r="D220" s="1" t="s">
        <v>19</v>
      </c>
      <c r="E220" s="1" t="s">
        <v>75</v>
      </c>
      <c r="F220">
        <v>2012</v>
      </c>
      <c r="G220">
        <v>0</v>
      </c>
      <c r="H220" s="1" t="s">
        <v>59</v>
      </c>
      <c r="I220">
        <v>20</v>
      </c>
      <c r="J220">
        <v>1990</v>
      </c>
      <c r="K220" s="1" t="s">
        <v>76</v>
      </c>
      <c r="L220" s="1" t="s">
        <v>64</v>
      </c>
      <c r="M220">
        <v>0</v>
      </c>
      <c r="N220">
        <v>0</v>
      </c>
      <c r="O220">
        <v>0</v>
      </c>
      <c r="P220" s="2">
        <v>40969</v>
      </c>
      <c r="Q220">
        <v>0</v>
      </c>
      <c r="R220" s="1" t="s">
        <v>61</v>
      </c>
    </row>
    <row r="221" spans="1:18" x14ac:dyDescent="0.25">
      <c r="A221">
        <v>2012</v>
      </c>
      <c r="B221">
        <v>4</v>
      </c>
      <c r="C221" s="1" t="s">
        <v>27</v>
      </c>
      <c r="D221" s="1" t="s">
        <v>19</v>
      </c>
      <c r="E221" s="1" t="s">
        <v>75</v>
      </c>
      <c r="F221">
        <v>2012</v>
      </c>
      <c r="G221">
        <v>0</v>
      </c>
      <c r="H221" s="1" t="s">
        <v>59</v>
      </c>
      <c r="I221">
        <v>20</v>
      </c>
      <c r="J221">
        <v>1990</v>
      </c>
      <c r="K221" s="1" t="s">
        <v>76</v>
      </c>
      <c r="L221" s="1" t="s">
        <v>64</v>
      </c>
      <c r="M221">
        <v>0</v>
      </c>
      <c r="N221">
        <v>0</v>
      </c>
      <c r="O221">
        <v>0</v>
      </c>
      <c r="P221" s="2">
        <v>41000</v>
      </c>
      <c r="Q221">
        <v>0</v>
      </c>
      <c r="R221" s="1" t="s">
        <v>61</v>
      </c>
    </row>
    <row r="222" spans="1:18" x14ac:dyDescent="0.25">
      <c r="A222">
        <v>2012</v>
      </c>
      <c r="B222">
        <v>5</v>
      </c>
      <c r="C222" s="1" t="s">
        <v>28</v>
      </c>
      <c r="D222" s="1" t="s">
        <v>19</v>
      </c>
      <c r="E222" s="1" t="s">
        <v>75</v>
      </c>
      <c r="F222">
        <v>2012</v>
      </c>
      <c r="G222">
        <v>0</v>
      </c>
      <c r="H222" s="1" t="s">
        <v>59</v>
      </c>
      <c r="I222">
        <v>20</v>
      </c>
      <c r="J222">
        <v>1990</v>
      </c>
      <c r="K222" s="1" t="s">
        <v>76</v>
      </c>
      <c r="L222" s="1" t="s">
        <v>64</v>
      </c>
      <c r="M222">
        <v>0</v>
      </c>
      <c r="N222">
        <v>0</v>
      </c>
      <c r="O222">
        <v>0</v>
      </c>
      <c r="P222" s="2">
        <v>41030</v>
      </c>
      <c r="Q222">
        <v>0</v>
      </c>
      <c r="R222" s="1" t="s">
        <v>61</v>
      </c>
    </row>
    <row r="223" spans="1:18" x14ac:dyDescent="0.25">
      <c r="A223">
        <v>2012</v>
      </c>
      <c r="B223">
        <v>6</v>
      </c>
      <c r="C223" s="1" t="s">
        <v>29</v>
      </c>
      <c r="D223" s="1" t="s">
        <v>19</v>
      </c>
      <c r="E223" s="1" t="s">
        <v>75</v>
      </c>
      <c r="F223">
        <v>2012</v>
      </c>
      <c r="G223">
        <v>0</v>
      </c>
      <c r="H223" s="1" t="s">
        <v>59</v>
      </c>
      <c r="I223">
        <v>20</v>
      </c>
      <c r="J223">
        <v>1990</v>
      </c>
      <c r="K223" s="1" t="s">
        <v>76</v>
      </c>
      <c r="L223" s="1" t="s">
        <v>64</v>
      </c>
      <c r="M223">
        <v>0</v>
      </c>
      <c r="N223">
        <v>0</v>
      </c>
      <c r="O223">
        <v>0</v>
      </c>
      <c r="P223" s="2">
        <v>41061</v>
      </c>
      <c r="Q223">
        <v>0</v>
      </c>
      <c r="R223" s="1" t="s">
        <v>61</v>
      </c>
    </row>
    <row r="224" spans="1:18" x14ac:dyDescent="0.25">
      <c r="A224">
        <v>2012</v>
      </c>
      <c r="B224">
        <v>7</v>
      </c>
      <c r="C224" s="1" t="s">
        <v>30</v>
      </c>
      <c r="D224" s="1" t="s">
        <v>19</v>
      </c>
      <c r="E224" s="1" t="s">
        <v>75</v>
      </c>
      <c r="F224">
        <v>2012</v>
      </c>
      <c r="G224">
        <v>0</v>
      </c>
      <c r="H224" s="1" t="s">
        <v>59</v>
      </c>
      <c r="I224">
        <v>20</v>
      </c>
      <c r="J224">
        <v>1990</v>
      </c>
      <c r="K224" s="1" t="s">
        <v>76</v>
      </c>
      <c r="L224" s="1" t="s">
        <v>64</v>
      </c>
      <c r="M224">
        <v>0</v>
      </c>
      <c r="N224">
        <v>0</v>
      </c>
      <c r="O224">
        <v>0</v>
      </c>
      <c r="P224" s="2">
        <v>41091</v>
      </c>
      <c r="Q224">
        <v>0</v>
      </c>
      <c r="R224" s="1" t="s">
        <v>61</v>
      </c>
    </row>
    <row r="225" spans="1:18" x14ac:dyDescent="0.25">
      <c r="A225">
        <v>2012</v>
      </c>
      <c r="B225">
        <v>8</v>
      </c>
      <c r="C225" s="1" t="s">
        <v>31</v>
      </c>
      <c r="D225" s="1" t="s">
        <v>19</v>
      </c>
      <c r="E225" s="1" t="s">
        <v>75</v>
      </c>
      <c r="F225">
        <v>2012</v>
      </c>
      <c r="G225">
        <v>0</v>
      </c>
      <c r="H225" s="1" t="s">
        <v>59</v>
      </c>
      <c r="I225">
        <v>20</v>
      </c>
      <c r="J225">
        <v>1990</v>
      </c>
      <c r="K225" s="1" t="s">
        <v>76</v>
      </c>
      <c r="L225" s="1" t="s">
        <v>64</v>
      </c>
      <c r="M225">
        <v>0</v>
      </c>
      <c r="N225">
        <v>0</v>
      </c>
      <c r="O225">
        <v>0</v>
      </c>
      <c r="P225" s="2">
        <v>41122</v>
      </c>
      <c r="Q225">
        <v>0</v>
      </c>
      <c r="R225" s="1" t="s">
        <v>61</v>
      </c>
    </row>
    <row r="226" spans="1:18" x14ac:dyDescent="0.25">
      <c r="A226">
        <v>2012</v>
      </c>
      <c r="B226">
        <v>9</v>
      </c>
      <c r="C226" s="1" t="s">
        <v>32</v>
      </c>
      <c r="D226" s="1" t="s">
        <v>19</v>
      </c>
      <c r="E226" s="1" t="s">
        <v>75</v>
      </c>
      <c r="F226">
        <v>2012</v>
      </c>
      <c r="G226">
        <v>0</v>
      </c>
      <c r="H226" s="1" t="s">
        <v>59</v>
      </c>
      <c r="I226">
        <v>20</v>
      </c>
      <c r="J226">
        <v>1990</v>
      </c>
      <c r="K226" s="1" t="s">
        <v>76</v>
      </c>
      <c r="L226" s="1" t="s">
        <v>64</v>
      </c>
      <c r="M226">
        <v>0</v>
      </c>
      <c r="N226">
        <v>0</v>
      </c>
      <c r="O226">
        <v>0</v>
      </c>
      <c r="P226" s="2">
        <v>41153</v>
      </c>
      <c r="Q226">
        <v>0</v>
      </c>
      <c r="R226" s="1" t="s">
        <v>61</v>
      </c>
    </row>
    <row r="227" spans="1:18" x14ac:dyDescent="0.25">
      <c r="A227">
        <v>2012</v>
      </c>
      <c r="B227">
        <v>10</v>
      </c>
      <c r="C227" s="1" t="s">
        <v>33</v>
      </c>
      <c r="D227" s="1" t="s">
        <v>19</v>
      </c>
      <c r="E227" s="1" t="s">
        <v>75</v>
      </c>
      <c r="F227">
        <v>2012</v>
      </c>
      <c r="G227">
        <v>0</v>
      </c>
      <c r="H227" s="1" t="s">
        <v>59</v>
      </c>
      <c r="I227">
        <v>20</v>
      </c>
      <c r="J227">
        <v>1990</v>
      </c>
      <c r="K227" s="1" t="s">
        <v>76</v>
      </c>
      <c r="L227" s="1" t="s">
        <v>64</v>
      </c>
      <c r="M227">
        <v>0</v>
      </c>
      <c r="N227">
        <v>0</v>
      </c>
      <c r="O227">
        <v>0</v>
      </c>
      <c r="P227" s="2">
        <v>41183</v>
      </c>
      <c r="Q227">
        <v>0</v>
      </c>
      <c r="R227" s="1" t="s">
        <v>61</v>
      </c>
    </row>
    <row r="228" spans="1:18" x14ac:dyDescent="0.25">
      <c r="A228">
        <v>2012</v>
      </c>
      <c r="B228">
        <v>11</v>
      </c>
      <c r="C228" s="1" t="s">
        <v>34</v>
      </c>
      <c r="D228" s="1" t="s">
        <v>19</v>
      </c>
      <c r="E228" s="1" t="s">
        <v>75</v>
      </c>
      <c r="F228">
        <v>2012</v>
      </c>
      <c r="G228">
        <v>0</v>
      </c>
      <c r="H228" s="1" t="s">
        <v>59</v>
      </c>
      <c r="I228">
        <v>20</v>
      </c>
      <c r="J228">
        <v>1990</v>
      </c>
      <c r="K228" s="1" t="s">
        <v>76</v>
      </c>
      <c r="L228" s="1" t="s">
        <v>64</v>
      </c>
      <c r="M228">
        <v>0</v>
      </c>
      <c r="N228">
        <v>0</v>
      </c>
      <c r="O228">
        <v>0</v>
      </c>
      <c r="P228" s="2">
        <v>41214</v>
      </c>
      <c r="Q228">
        <v>0</v>
      </c>
      <c r="R228" s="1" t="s">
        <v>61</v>
      </c>
    </row>
    <row r="229" spans="1:18" x14ac:dyDescent="0.25">
      <c r="A229">
        <v>2012</v>
      </c>
      <c r="B229">
        <v>12</v>
      </c>
      <c r="C229" s="1" t="s">
        <v>35</v>
      </c>
      <c r="D229" s="1" t="s">
        <v>19</v>
      </c>
      <c r="E229" s="1" t="s">
        <v>75</v>
      </c>
      <c r="F229">
        <v>2012</v>
      </c>
      <c r="G229">
        <v>0</v>
      </c>
      <c r="H229" s="1" t="s">
        <v>59</v>
      </c>
      <c r="I229">
        <v>20</v>
      </c>
      <c r="J229">
        <v>1990</v>
      </c>
      <c r="K229" s="1" t="s">
        <v>76</v>
      </c>
      <c r="L229" s="1" t="s">
        <v>64</v>
      </c>
      <c r="M229">
        <v>0</v>
      </c>
      <c r="N229">
        <v>0</v>
      </c>
      <c r="O229">
        <v>0</v>
      </c>
      <c r="P229" s="2">
        <v>41244</v>
      </c>
      <c r="Q229">
        <v>0</v>
      </c>
      <c r="R229" s="1" t="s">
        <v>61</v>
      </c>
    </row>
    <row r="230" spans="1:18" x14ac:dyDescent="0.25">
      <c r="A230">
        <v>2012</v>
      </c>
      <c r="B230">
        <v>1</v>
      </c>
      <c r="C230" s="1" t="s">
        <v>18</v>
      </c>
      <c r="D230" s="1" t="s">
        <v>19</v>
      </c>
      <c r="E230" s="1" t="s">
        <v>77</v>
      </c>
      <c r="F230">
        <v>2012</v>
      </c>
      <c r="G230">
        <v>0</v>
      </c>
      <c r="H230" s="1" t="s">
        <v>59</v>
      </c>
      <c r="I230">
        <v>22</v>
      </c>
      <c r="J230">
        <v>2606</v>
      </c>
      <c r="K230" s="1" t="s">
        <v>78</v>
      </c>
      <c r="L230" s="1" t="s">
        <v>64</v>
      </c>
      <c r="M230">
        <v>0</v>
      </c>
      <c r="N230">
        <v>0</v>
      </c>
      <c r="O230">
        <v>0</v>
      </c>
      <c r="P230" s="2">
        <v>40909</v>
      </c>
      <c r="Q230">
        <v>0</v>
      </c>
      <c r="R230" s="1" t="s">
        <v>61</v>
      </c>
    </row>
    <row r="231" spans="1:18" x14ac:dyDescent="0.25">
      <c r="A231">
        <v>2012</v>
      </c>
      <c r="B231">
        <v>2</v>
      </c>
      <c r="C231" s="1" t="s">
        <v>25</v>
      </c>
      <c r="D231" s="1" t="s">
        <v>19</v>
      </c>
      <c r="E231" s="1" t="s">
        <v>77</v>
      </c>
      <c r="F231">
        <v>2012</v>
      </c>
      <c r="G231">
        <v>0</v>
      </c>
      <c r="H231" s="1" t="s">
        <v>59</v>
      </c>
      <c r="I231">
        <v>22</v>
      </c>
      <c r="J231">
        <v>2606</v>
      </c>
      <c r="K231" s="1" t="s">
        <v>78</v>
      </c>
      <c r="L231" s="1" t="s">
        <v>64</v>
      </c>
      <c r="M231">
        <v>0</v>
      </c>
      <c r="N231">
        <v>0</v>
      </c>
      <c r="O231">
        <v>0</v>
      </c>
      <c r="P231" s="2">
        <v>40940</v>
      </c>
      <c r="Q231">
        <v>0</v>
      </c>
      <c r="R231" s="1" t="s">
        <v>61</v>
      </c>
    </row>
    <row r="232" spans="1:18" x14ac:dyDescent="0.25">
      <c r="A232">
        <v>2012</v>
      </c>
      <c r="B232">
        <v>3</v>
      </c>
      <c r="C232" s="1" t="s">
        <v>26</v>
      </c>
      <c r="D232" s="1" t="s">
        <v>19</v>
      </c>
      <c r="E232" s="1" t="s">
        <v>77</v>
      </c>
      <c r="F232">
        <v>2012</v>
      </c>
      <c r="G232">
        <v>0</v>
      </c>
      <c r="H232" s="1" t="s">
        <v>59</v>
      </c>
      <c r="I232">
        <v>22</v>
      </c>
      <c r="J232">
        <v>2606</v>
      </c>
      <c r="K232" s="1" t="s">
        <v>78</v>
      </c>
      <c r="L232" s="1" t="s">
        <v>64</v>
      </c>
      <c r="M232">
        <v>0</v>
      </c>
      <c r="N232">
        <v>0</v>
      </c>
      <c r="O232">
        <v>0</v>
      </c>
      <c r="P232" s="2">
        <v>40969</v>
      </c>
      <c r="Q232">
        <v>0</v>
      </c>
      <c r="R232" s="1" t="s">
        <v>61</v>
      </c>
    </row>
    <row r="233" spans="1:18" x14ac:dyDescent="0.25">
      <c r="A233">
        <v>2012</v>
      </c>
      <c r="B233">
        <v>4</v>
      </c>
      <c r="C233" s="1" t="s">
        <v>27</v>
      </c>
      <c r="D233" s="1" t="s">
        <v>19</v>
      </c>
      <c r="E233" s="1" t="s">
        <v>77</v>
      </c>
      <c r="F233">
        <v>2012</v>
      </c>
      <c r="G233">
        <v>0</v>
      </c>
      <c r="H233" s="1" t="s">
        <v>59</v>
      </c>
      <c r="I233">
        <v>22</v>
      </c>
      <c r="J233">
        <v>2606</v>
      </c>
      <c r="K233" s="1" t="s">
        <v>78</v>
      </c>
      <c r="L233" s="1" t="s">
        <v>64</v>
      </c>
      <c r="M233">
        <v>0</v>
      </c>
      <c r="N233">
        <v>0</v>
      </c>
      <c r="O233">
        <v>0</v>
      </c>
      <c r="P233" s="2">
        <v>41000</v>
      </c>
      <c r="Q233">
        <v>0</v>
      </c>
      <c r="R233" s="1" t="s">
        <v>61</v>
      </c>
    </row>
    <row r="234" spans="1:18" x14ac:dyDescent="0.25">
      <c r="A234">
        <v>2012</v>
      </c>
      <c r="B234">
        <v>5</v>
      </c>
      <c r="C234" s="1" t="s">
        <v>28</v>
      </c>
      <c r="D234" s="1" t="s">
        <v>19</v>
      </c>
      <c r="E234" s="1" t="s">
        <v>77</v>
      </c>
      <c r="F234">
        <v>2012</v>
      </c>
      <c r="G234">
        <v>0</v>
      </c>
      <c r="H234" s="1" t="s">
        <v>59</v>
      </c>
      <c r="I234">
        <v>22</v>
      </c>
      <c r="J234">
        <v>2606</v>
      </c>
      <c r="K234" s="1" t="s">
        <v>78</v>
      </c>
      <c r="L234" s="1" t="s">
        <v>64</v>
      </c>
      <c r="M234">
        <v>0</v>
      </c>
      <c r="N234">
        <v>0</v>
      </c>
      <c r="O234">
        <v>0</v>
      </c>
      <c r="P234" s="2">
        <v>41030</v>
      </c>
      <c r="Q234">
        <v>0</v>
      </c>
      <c r="R234" s="1" t="s">
        <v>61</v>
      </c>
    </row>
    <row r="235" spans="1:18" x14ac:dyDescent="0.25">
      <c r="A235">
        <v>2012</v>
      </c>
      <c r="B235">
        <v>6</v>
      </c>
      <c r="C235" s="1" t="s">
        <v>29</v>
      </c>
      <c r="D235" s="1" t="s">
        <v>19</v>
      </c>
      <c r="E235" s="1" t="s">
        <v>77</v>
      </c>
      <c r="F235">
        <v>2012</v>
      </c>
      <c r="G235">
        <v>0</v>
      </c>
      <c r="H235" s="1" t="s">
        <v>59</v>
      </c>
      <c r="I235">
        <v>22</v>
      </c>
      <c r="J235">
        <v>2606</v>
      </c>
      <c r="K235" s="1" t="s">
        <v>78</v>
      </c>
      <c r="L235" s="1" t="s">
        <v>64</v>
      </c>
      <c r="M235">
        <v>0</v>
      </c>
      <c r="N235">
        <v>0</v>
      </c>
      <c r="O235">
        <v>0</v>
      </c>
      <c r="P235" s="2">
        <v>41061</v>
      </c>
      <c r="Q235">
        <v>0</v>
      </c>
      <c r="R235" s="1" t="s">
        <v>61</v>
      </c>
    </row>
    <row r="236" spans="1:18" x14ac:dyDescent="0.25">
      <c r="A236">
        <v>2012</v>
      </c>
      <c r="B236">
        <v>7</v>
      </c>
      <c r="C236" s="1" t="s">
        <v>30</v>
      </c>
      <c r="D236" s="1" t="s">
        <v>19</v>
      </c>
      <c r="E236" s="1" t="s">
        <v>77</v>
      </c>
      <c r="F236">
        <v>2012</v>
      </c>
      <c r="G236">
        <v>0</v>
      </c>
      <c r="H236" s="1" t="s">
        <v>59</v>
      </c>
      <c r="I236">
        <v>22</v>
      </c>
      <c r="J236">
        <v>2606</v>
      </c>
      <c r="K236" s="1" t="s">
        <v>78</v>
      </c>
      <c r="L236" s="1" t="s">
        <v>64</v>
      </c>
      <c r="M236">
        <v>0</v>
      </c>
      <c r="N236">
        <v>0</v>
      </c>
      <c r="O236">
        <v>0</v>
      </c>
      <c r="P236" s="2">
        <v>41091</v>
      </c>
      <c r="Q236">
        <v>0</v>
      </c>
      <c r="R236" s="1" t="s">
        <v>61</v>
      </c>
    </row>
    <row r="237" spans="1:18" x14ac:dyDescent="0.25">
      <c r="A237">
        <v>2012</v>
      </c>
      <c r="B237">
        <v>8</v>
      </c>
      <c r="C237" s="1" t="s">
        <v>31</v>
      </c>
      <c r="D237" s="1" t="s">
        <v>19</v>
      </c>
      <c r="E237" s="1" t="s">
        <v>77</v>
      </c>
      <c r="F237">
        <v>2012</v>
      </c>
      <c r="G237">
        <v>0</v>
      </c>
      <c r="H237" s="1" t="s">
        <v>59</v>
      </c>
      <c r="I237">
        <v>22</v>
      </c>
      <c r="J237">
        <v>2606</v>
      </c>
      <c r="K237" s="1" t="s">
        <v>78</v>
      </c>
      <c r="L237" s="1" t="s">
        <v>64</v>
      </c>
      <c r="M237">
        <v>0</v>
      </c>
      <c r="N237">
        <v>0</v>
      </c>
      <c r="O237">
        <v>0</v>
      </c>
      <c r="P237" s="2">
        <v>41122</v>
      </c>
      <c r="Q237">
        <v>0</v>
      </c>
      <c r="R237" s="1" t="s">
        <v>61</v>
      </c>
    </row>
    <row r="238" spans="1:18" x14ac:dyDescent="0.25">
      <c r="A238">
        <v>2012</v>
      </c>
      <c r="B238">
        <v>9</v>
      </c>
      <c r="C238" s="1" t="s">
        <v>32</v>
      </c>
      <c r="D238" s="1" t="s">
        <v>19</v>
      </c>
      <c r="E238" s="1" t="s">
        <v>77</v>
      </c>
      <c r="F238">
        <v>2012</v>
      </c>
      <c r="G238">
        <v>0</v>
      </c>
      <c r="H238" s="1" t="s">
        <v>59</v>
      </c>
      <c r="I238">
        <v>22</v>
      </c>
      <c r="J238">
        <v>2606</v>
      </c>
      <c r="K238" s="1" t="s">
        <v>78</v>
      </c>
      <c r="L238" s="1" t="s">
        <v>64</v>
      </c>
      <c r="M238">
        <v>0</v>
      </c>
      <c r="N238">
        <v>0</v>
      </c>
      <c r="O238">
        <v>0</v>
      </c>
      <c r="P238" s="2">
        <v>41153</v>
      </c>
      <c r="Q238">
        <v>0</v>
      </c>
      <c r="R238" s="1" t="s">
        <v>61</v>
      </c>
    </row>
    <row r="239" spans="1:18" x14ac:dyDescent="0.25">
      <c r="A239">
        <v>2012</v>
      </c>
      <c r="B239">
        <v>10</v>
      </c>
      <c r="C239" s="1" t="s">
        <v>33</v>
      </c>
      <c r="D239" s="1" t="s">
        <v>19</v>
      </c>
      <c r="E239" s="1" t="s">
        <v>77</v>
      </c>
      <c r="F239">
        <v>2012</v>
      </c>
      <c r="G239">
        <v>0</v>
      </c>
      <c r="H239" s="1" t="s">
        <v>59</v>
      </c>
      <c r="I239">
        <v>22</v>
      </c>
      <c r="J239">
        <v>2606</v>
      </c>
      <c r="K239" s="1" t="s">
        <v>78</v>
      </c>
      <c r="L239" s="1" t="s">
        <v>64</v>
      </c>
      <c r="M239">
        <v>0</v>
      </c>
      <c r="N239">
        <v>0</v>
      </c>
      <c r="O239">
        <v>0</v>
      </c>
      <c r="P239" s="2">
        <v>41183</v>
      </c>
      <c r="Q239">
        <v>0</v>
      </c>
      <c r="R239" s="1" t="s">
        <v>61</v>
      </c>
    </row>
    <row r="240" spans="1:18" x14ac:dyDescent="0.25">
      <c r="A240">
        <v>2012</v>
      </c>
      <c r="B240">
        <v>11</v>
      </c>
      <c r="C240" s="1" t="s">
        <v>34</v>
      </c>
      <c r="D240" s="1" t="s">
        <v>19</v>
      </c>
      <c r="E240" s="1" t="s">
        <v>77</v>
      </c>
      <c r="F240">
        <v>2012</v>
      </c>
      <c r="G240">
        <v>0</v>
      </c>
      <c r="H240" s="1" t="s">
        <v>59</v>
      </c>
      <c r="I240">
        <v>22</v>
      </c>
      <c r="J240">
        <v>2606</v>
      </c>
      <c r="K240" s="1" t="s">
        <v>78</v>
      </c>
      <c r="L240" s="1" t="s">
        <v>64</v>
      </c>
      <c r="M240">
        <v>0</v>
      </c>
      <c r="N240">
        <v>0</v>
      </c>
      <c r="O240">
        <v>0</v>
      </c>
      <c r="P240" s="2">
        <v>41214</v>
      </c>
      <c r="Q240">
        <v>0</v>
      </c>
      <c r="R240" s="1" t="s">
        <v>61</v>
      </c>
    </row>
    <row r="241" spans="1:18" x14ac:dyDescent="0.25">
      <c r="A241">
        <v>2012</v>
      </c>
      <c r="B241">
        <v>12</v>
      </c>
      <c r="C241" s="1" t="s">
        <v>35</v>
      </c>
      <c r="D241" s="1" t="s">
        <v>19</v>
      </c>
      <c r="E241" s="1" t="s">
        <v>77</v>
      </c>
      <c r="F241">
        <v>2012</v>
      </c>
      <c r="G241">
        <v>0</v>
      </c>
      <c r="H241" s="1" t="s">
        <v>59</v>
      </c>
      <c r="I241">
        <v>22</v>
      </c>
      <c r="J241">
        <v>2606</v>
      </c>
      <c r="K241" s="1" t="s">
        <v>78</v>
      </c>
      <c r="L241" s="1" t="s">
        <v>64</v>
      </c>
      <c r="M241">
        <v>0</v>
      </c>
      <c r="N241">
        <v>0</v>
      </c>
      <c r="O241">
        <v>0</v>
      </c>
      <c r="P241" s="2">
        <v>41244</v>
      </c>
      <c r="Q241">
        <v>0</v>
      </c>
      <c r="R241" s="1" t="s">
        <v>61</v>
      </c>
    </row>
    <row r="242" spans="1:18" x14ac:dyDescent="0.25">
      <c r="A242">
        <v>2012</v>
      </c>
      <c r="B242">
        <v>1</v>
      </c>
      <c r="C242" s="1" t="s">
        <v>18</v>
      </c>
      <c r="D242" s="1" t="s">
        <v>19</v>
      </c>
      <c r="E242" s="1" t="s">
        <v>79</v>
      </c>
      <c r="F242">
        <v>2012</v>
      </c>
      <c r="G242">
        <v>0</v>
      </c>
      <c r="H242" s="1" t="s">
        <v>59</v>
      </c>
      <c r="I242">
        <v>22</v>
      </c>
      <c r="J242">
        <v>2683</v>
      </c>
      <c r="K242" s="1" t="s">
        <v>80</v>
      </c>
      <c r="L242" s="1" t="s">
        <v>45</v>
      </c>
      <c r="M242">
        <v>0</v>
      </c>
      <c r="N242">
        <v>0</v>
      </c>
      <c r="O242">
        <v>0</v>
      </c>
      <c r="P242" s="2">
        <v>40909</v>
      </c>
      <c r="Q242">
        <v>0</v>
      </c>
      <c r="R242" s="1" t="s">
        <v>61</v>
      </c>
    </row>
    <row r="243" spans="1:18" x14ac:dyDescent="0.25">
      <c r="A243">
        <v>2012</v>
      </c>
      <c r="B243">
        <v>2</v>
      </c>
      <c r="C243" s="1" t="s">
        <v>25</v>
      </c>
      <c r="D243" s="1" t="s">
        <v>19</v>
      </c>
      <c r="E243" s="1" t="s">
        <v>79</v>
      </c>
      <c r="F243">
        <v>2012</v>
      </c>
      <c r="G243">
        <v>0</v>
      </c>
      <c r="H243" s="1" t="s">
        <v>59</v>
      </c>
      <c r="I243">
        <v>22</v>
      </c>
      <c r="J243">
        <v>2683</v>
      </c>
      <c r="K243" s="1" t="s">
        <v>80</v>
      </c>
      <c r="L243" s="1" t="s">
        <v>45</v>
      </c>
      <c r="M243">
        <v>0</v>
      </c>
      <c r="N243">
        <v>0</v>
      </c>
      <c r="O243">
        <v>0</v>
      </c>
      <c r="P243" s="2">
        <v>40940</v>
      </c>
      <c r="Q243">
        <v>0</v>
      </c>
      <c r="R243" s="1" t="s">
        <v>61</v>
      </c>
    </row>
    <row r="244" spans="1:18" x14ac:dyDescent="0.25">
      <c r="A244">
        <v>2012</v>
      </c>
      <c r="B244">
        <v>3</v>
      </c>
      <c r="C244" s="1" t="s">
        <v>26</v>
      </c>
      <c r="D244" s="1" t="s">
        <v>19</v>
      </c>
      <c r="E244" s="1" t="s">
        <v>79</v>
      </c>
      <c r="F244">
        <v>2012</v>
      </c>
      <c r="G244">
        <v>0</v>
      </c>
      <c r="H244" s="1" t="s">
        <v>59</v>
      </c>
      <c r="I244">
        <v>22</v>
      </c>
      <c r="J244">
        <v>2683</v>
      </c>
      <c r="K244" s="1" t="s">
        <v>80</v>
      </c>
      <c r="L244" s="1" t="s">
        <v>45</v>
      </c>
      <c r="M244">
        <v>0</v>
      </c>
      <c r="N244">
        <v>0</v>
      </c>
      <c r="O244">
        <v>0</v>
      </c>
      <c r="P244" s="2">
        <v>40969</v>
      </c>
      <c r="Q244">
        <v>0</v>
      </c>
      <c r="R244" s="1" t="s">
        <v>61</v>
      </c>
    </row>
    <row r="245" spans="1:18" x14ac:dyDescent="0.25">
      <c r="A245">
        <v>2012</v>
      </c>
      <c r="B245">
        <v>4</v>
      </c>
      <c r="C245" s="1" t="s">
        <v>27</v>
      </c>
      <c r="D245" s="1" t="s">
        <v>19</v>
      </c>
      <c r="E245" s="1" t="s">
        <v>79</v>
      </c>
      <c r="F245">
        <v>2012</v>
      </c>
      <c r="G245">
        <v>0</v>
      </c>
      <c r="H245" s="1" t="s">
        <v>59</v>
      </c>
      <c r="I245">
        <v>22</v>
      </c>
      <c r="J245">
        <v>2683</v>
      </c>
      <c r="K245" s="1" t="s">
        <v>80</v>
      </c>
      <c r="L245" s="1" t="s">
        <v>45</v>
      </c>
      <c r="M245">
        <v>0</v>
      </c>
      <c r="N245">
        <v>0</v>
      </c>
      <c r="O245">
        <v>0</v>
      </c>
      <c r="P245" s="2">
        <v>41000</v>
      </c>
      <c r="Q245">
        <v>0</v>
      </c>
      <c r="R245" s="1" t="s">
        <v>61</v>
      </c>
    </row>
    <row r="246" spans="1:18" x14ac:dyDescent="0.25">
      <c r="A246">
        <v>2012</v>
      </c>
      <c r="B246">
        <v>5</v>
      </c>
      <c r="C246" s="1" t="s">
        <v>28</v>
      </c>
      <c r="D246" s="1" t="s">
        <v>19</v>
      </c>
      <c r="E246" s="1" t="s">
        <v>79</v>
      </c>
      <c r="F246">
        <v>2012</v>
      </c>
      <c r="G246">
        <v>0</v>
      </c>
      <c r="H246" s="1" t="s">
        <v>59</v>
      </c>
      <c r="I246">
        <v>22</v>
      </c>
      <c r="J246">
        <v>2683</v>
      </c>
      <c r="K246" s="1" t="s">
        <v>80</v>
      </c>
      <c r="L246" s="1" t="s">
        <v>45</v>
      </c>
      <c r="M246">
        <v>0</v>
      </c>
      <c r="N246">
        <v>0</v>
      </c>
      <c r="O246">
        <v>0</v>
      </c>
      <c r="P246" s="2">
        <v>41030</v>
      </c>
      <c r="Q246">
        <v>0</v>
      </c>
      <c r="R246" s="1" t="s">
        <v>61</v>
      </c>
    </row>
    <row r="247" spans="1:18" x14ac:dyDescent="0.25">
      <c r="A247">
        <v>2012</v>
      </c>
      <c r="B247">
        <v>6</v>
      </c>
      <c r="C247" s="1" t="s">
        <v>29</v>
      </c>
      <c r="D247" s="1" t="s">
        <v>19</v>
      </c>
      <c r="E247" s="1" t="s">
        <v>79</v>
      </c>
      <c r="F247">
        <v>2012</v>
      </c>
      <c r="G247">
        <v>0</v>
      </c>
      <c r="H247" s="1" t="s">
        <v>59</v>
      </c>
      <c r="I247">
        <v>22</v>
      </c>
      <c r="J247">
        <v>2683</v>
      </c>
      <c r="K247" s="1" t="s">
        <v>80</v>
      </c>
      <c r="L247" s="1" t="s">
        <v>45</v>
      </c>
      <c r="M247">
        <v>0</v>
      </c>
      <c r="N247">
        <v>0</v>
      </c>
      <c r="O247">
        <v>0</v>
      </c>
      <c r="P247" s="2">
        <v>41061</v>
      </c>
      <c r="Q247">
        <v>0</v>
      </c>
      <c r="R247" s="1" t="s">
        <v>61</v>
      </c>
    </row>
    <row r="248" spans="1:18" x14ac:dyDescent="0.25">
      <c r="A248">
        <v>2012</v>
      </c>
      <c r="B248">
        <v>7</v>
      </c>
      <c r="C248" s="1" t="s">
        <v>30</v>
      </c>
      <c r="D248" s="1" t="s">
        <v>19</v>
      </c>
      <c r="E248" s="1" t="s">
        <v>79</v>
      </c>
      <c r="F248">
        <v>2012</v>
      </c>
      <c r="G248">
        <v>0</v>
      </c>
      <c r="H248" s="1" t="s">
        <v>59</v>
      </c>
      <c r="I248">
        <v>22</v>
      </c>
      <c r="J248">
        <v>2683</v>
      </c>
      <c r="K248" s="1" t="s">
        <v>80</v>
      </c>
      <c r="L248" s="1" t="s">
        <v>45</v>
      </c>
      <c r="M248">
        <v>0</v>
      </c>
      <c r="N248">
        <v>0</v>
      </c>
      <c r="O248">
        <v>0</v>
      </c>
      <c r="P248" s="2">
        <v>41091</v>
      </c>
      <c r="Q248">
        <v>0</v>
      </c>
      <c r="R248" s="1" t="s">
        <v>61</v>
      </c>
    </row>
    <row r="249" spans="1:18" x14ac:dyDescent="0.25">
      <c r="A249">
        <v>2012</v>
      </c>
      <c r="B249">
        <v>8</v>
      </c>
      <c r="C249" s="1" t="s">
        <v>31</v>
      </c>
      <c r="D249" s="1" t="s">
        <v>19</v>
      </c>
      <c r="E249" s="1" t="s">
        <v>79</v>
      </c>
      <c r="F249">
        <v>2012</v>
      </c>
      <c r="G249">
        <v>0</v>
      </c>
      <c r="H249" s="1" t="s">
        <v>59</v>
      </c>
      <c r="I249">
        <v>22</v>
      </c>
      <c r="J249">
        <v>2683</v>
      </c>
      <c r="K249" s="1" t="s">
        <v>80</v>
      </c>
      <c r="L249" s="1" t="s">
        <v>45</v>
      </c>
      <c r="M249">
        <v>0</v>
      </c>
      <c r="N249">
        <v>0</v>
      </c>
      <c r="O249">
        <v>0</v>
      </c>
      <c r="P249" s="2">
        <v>41122</v>
      </c>
      <c r="Q249">
        <v>0</v>
      </c>
      <c r="R249" s="1" t="s">
        <v>61</v>
      </c>
    </row>
    <row r="250" spans="1:18" x14ac:dyDescent="0.25">
      <c r="A250">
        <v>2012</v>
      </c>
      <c r="B250">
        <v>9</v>
      </c>
      <c r="C250" s="1" t="s">
        <v>32</v>
      </c>
      <c r="D250" s="1" t="s">
        <v>19</v>
      </c>
      <c r="E250" s="1" t="s">
        <v>79</v>
      </c>
      <c r="F250">
        <v>2012</v>
      </c>
      <c r="G250">
        <v>0</v>
      </c>
      <c r="H250" s="1" t="s">
        <v>59</v>
      </c>
      <c r="I250">
        <v>22</v>
      </c>
      <c r="J250">
        <v>2683</v>
      </c>
      <c r="K250" s="1" t="s">
        <v>80</v>
      </c>
      <c r="L250" s="1" t="s">
        <v>45</v>
      </c>
      <c r="M250">
        <v>0</v>
      </c>
      <c r="N250">
        <v>0</v>
      </c>
      <c r="O250">
        <v>0</v>
      </c>
      <c r="P250" s="2">
        <v>41153</v>
      </c>
      <c r="Q250">
        <v>0</v>
      </c>
      <c r="R250" s="1" t="s">
        <v>61</v>
      </c>
    </row>
    <row r="251" spans="1:18" x14ac:dyDescent="0.25">
      <c r="A251">
        <v>2012</v>
      </c>
      <c r="B251">
        <v>10</v>
      </c>
      <c r="C251" s="1" t="s">
        <v>33</v>
      </c>
      <c r="D251" s="1" t="s">
        <v>19</v>
      </c>
      <c r="E251" s="1" t="s">
        <v>79</v>
      </c>
      <c r="F251">
        <v>2012</v>
      </c>
      <c r="G251">
        <v>0</v>
      </c>
      <c r="H251" s="1" t="s">
        <v>59</v>
      </c>
      <c r="I251">
        <v>22</v>
      </c>
      <c r="J251">
        <v>2683</v>
      </c>
      <c r="K251" s="1" t="s">
        <v>80</v>
      </c>
      <c r="L251" s="1" t="s">
        <v>45</v>
      </c>
      <c r="M251">
        <v>0</v>
      </c>
      <c r="N251">
        <v>0</v>
      </c>
      <c r="O251">
        <v>0</v>
      </c>
      <c r="P251" s="2">
        <v>41183</v>
      </c>
      <c r="Q251">
        <v>0</v>
      </c>
      <c r="R251" s="1" t="s">
        <v>61</v>
      </c>
    </row>
    <row r="252" spans="1:18" x14ac:dyDescent="0.25">
      <c r="A252">
        <v>2012</v>
      </c>
      <c r="B252">
        <v>11</v>
      </c>
      <c r="C252" s="1" t="s">
        <v>34</v>
      </c>
      <c r="D252" s="1" t="s">
        <v>19</v>
      </c>
      <c r="E252" s="1" t="s">
        <v>79</v>
      </c>
      <c r="F252">
        <v>2012</v>
      </c>
      <c r="G252">
        <v>0</v>
      </c>
      <c r="H252" s="1" t="s">
        <v>59</v>
      </c>
      <c r="I252">
        <v>22</v>
      </c>
      <c r="J252">
        <v>2683</v>
      </c>
      <c r="K252" s="1" t="s">
        <v>80</v>
      </c>
      <c r="L252" s="1" t="s">
        <v>45</v>
      </c>
      <c r="M252">
        <v>0</v>
      </c>
      <c r="N252">
        <v>0</v>
      </c>
      <c r="O252">
        <v>0</v>
      </c>
      <c r="P252" s="2">
        <v>41214</v>
      </c>
      <c r="Q252">
        <v>0</v>
      </c>
      <c r="R252" s="1" t="s">
        <v>61</v>
      </c>
    </row>
    <row r="253" spans="1:18" x14ac:dyDescent="0.25">
      <c r="A253">
        <v>2012</v>
      </c>
      <c r="B253">
        <v>12</v>
      </c>
      <c r="C253" s="1" t="s">
        <v>35</v>
      </c>
      <c r="D253" s="1" t="s">
        <v>19</v>
      </c>
      <c r="E253" s="1" t="s">
        <v>79</v>
      </c>
      <c r="F253">
        <v>2012</v>
      </c>
      <c r="G253">
        <v>0</v>
      </c>
      <c r="H253" s="1" t="s">
        <v>59</v>
      </c>
      <c r="I253">
        <v>22</v>
      </c>
      <c r="J253">
        <v>2683</v>
      </c>
      <c r="K253" s="1" t="s">
        <v>80</v>
      </c>
      <c r="L253" s="1" t="s">
        <v>45</v>
      </c>
      <c r="M253">
        <v>0</v>
      </c>
      <c r="N253">
        <v>0</v>
      </c>
      <c r="O253">
        <v>0</v>
      </c>
      <c r="P253" s="2">
        <v>41244</v>
      </c>
      <c r="Q253">
        <v>0</v>
      </c>
      <c r="R253" s="1" t="s">
        <v>61</v>
      </c>
    </row>
    <row r="254" spans="1:18" x14ac:dyDescent="0.25">
      <c r="A254">
        <v>2012</v>
      </c>
      <c r="B254">
        <v>1</v>
      </c>
      <c r="C254" s="1" t="s">
        <v>18</v>
      </c>
      <c r="D254" s="1" t="s">
        <v>19</v>
      </c>
      <c r="E254" s="1" t="s">
        <v>81</v>
      </c>
      <c r="F254">
        <v>2012</v>
      </c>
      <c r="G254">
        <v>0</v>
      </c>
      <c r="H254" s="1" t="s">
        <v>59</v>
      </c>
      <c r="I254">
        <v>28</v>
      </c>
      <c r="J254">
        <v>3483</v>
      </c>
      <c r="K254" s="1" t="s">
        <v>53</v>
      </c>
      <c r="L254" s="1" t="s">
        <v>45</v>
      </c>
      <c r="M254">
        <v>0</v>
      </c>
      <c r="N254">
        <v>0</v>
      </c>
      <c r="O254">
        <v>0</v>
      </c>
      <c r="P254" s="2">
        <v>40909</v>
      </c>
      <c r="Q254">
        <v>0</v>
      </c>
      <c r="R254" s="1" t="s">
        <v>61</v>
      </c>
    </row>
    <row r="255" spans="1:18" x14ac:dyDescent="0.25">
      <c r="A255">
        <v>2012</v>
      </c>
      <c r="B255">
        <v>2</v>
      </c>
      <c r="C255" s="1" t="s">
        <v>25</v>
      </c>
      <c r="D255" s="1" t="s">
        <v>19</v>
      </c>
      <c r="E255" s="1" t="s">
        <v>81</v>
      </c>
      <c r="F255">
        <v>2012</v>
      </c>
      <c r="G255">
        <v>0</v>
      </c>
      <c r="H255" s="1" t="s">
        <v>59</v>
      </c>
      <c r="I255">
        <v>28</v>
      </c>
      <c r="J255">
        <v>3483</v>
      </c>
      <c r="K255" s="1" t="s">
        <v>53</v>
      </c>
      <c r="L255" s="1" t="s">
        <v>45</v>
      </c>
      <c r="M255">
        <v>0</v>
      </c>
      <c r="N255">
        <v>0</v>
      </c>
      <c r="O255">
        <v>0</v>
      </c>
      <c r="P255" s="2">
        <v>40940</v>
      </c>
      <c r="Q255">
        <v>0</v>
      </c>
      <c r="R255" s="1" t="s">
        <v>61</v>
      </c>
    </row>
    <row r="256" spans="1:18" x14ac:dyDescent="0.25">
      <c r="A256">
        <v>2012</v>
      </c>
      <c r="B256">
        <v>3</v>
      </c>
      <c r="C256" s="1" t="s">
        <v>26</v>
      </c>
      <c r="D256" s="1" t="s">
        <v>19</v>
      </c>
      <c r="E256" s="1" t="s">
        <v>81</v>
      </c>
      <c r="F256">
        <v>2012</v>
      </c>
      <c r="G256">
        <v>0</v>
      </c>
      <c r="H256" s="1" t="s">
        <v>59</v>
      </c>
      <c r="I256">
        <v>28</v>
      </c>
      <c r="J256">
        <v>3483</v>
      </c>
      <c r="K256" s="1" t="s">
        <v>53</v>
      </c>
      <c r="L256" s="1" t="s">
        <v>45</v>
      </c>
      <c r="M256">
        <v>0</v>
      </c>
      <c r="N256">
        <v>0</v>
      </c>
      <c r="O256">
        <v>0</v>
      </c>
      <c r="P256" s="2">
        <v>40969</v>
      </c>
      <c r="Q256">
        <v>0</v>
      </c>
      <c r="R256" s="1" t="s">
        <v>61</v>
      </c>
    </row>
    <row r="257" spans="1:18" x14ac:dyDescent="0.25">
      <c r="A257">
        <v>2012</v>
      </c>
      <c r="B257">
        <v>4</v>
      </c>
      <c r="C257" s="1" t="s">
        <v>27</v>
      </c>
      <c r="D257" s="1" t="s">
        <v>19</v>
      </c>
      <c r="E257" s="1" t="s">
        <v>81</v>
      </c>
      <c r="F257">
        <v>2012</v>
      </c>
      <c r="G257">
        <v>0</v>
      </c>
      <c r="H257" s="1" t="s">
        <v>59</v>
      </c>
      <c r="I257">
        <v>28</v>
      </c>
      <c r="J257">
        <v>3483</v>
      </c>
      <c r="K257" s="1" t="s">
        <v>53</v>
      </c>
      <c r="L257" s="1" t="s">
        <v>45</v>
      </c>
      <c r="M257">
        <v>0</v>
      </c>
      <c r="N257">
        <v>0</v>
      </c>
      <c r="O257">
        <v>0</v>
      </c>
      <c r="P257" s="2">
        <v>41000</v>
      </c>
      <c r="Q257">
        <v>0</v>
      </c>
      <c r="R257" s="1" t="s">
        <v>61</v>
      </c>
    </row>
    <row r="258" spans="1:18" x14ac:dyDescent="0.25">
      <c r="A258">
        <v>2012</v>
      </c>
      <c r="B258">
        <v>5</v>
      </c>
      <c r="C258" s="1" t="s">
        <v>28</v>
      </c>
      <c r="D258" s="1" t="s">
        <v>19</v>
      </c>
      <c r="E258" s="1" t="s">
        <v>81</v>
      </c>
      <c r="F258">
        <v>2012</v>
      </c>
      <c r="G258">
        <v>0</v>
      </c>
      <c r="H258" s="1" t="s">
        <v>59</v>
      </c>
      <c r="I258">
        <v>28</v>
      </c>
      <c r="J258">
        <v>3483</v>
      </c>
      <c r="K258" s="1" t="s">
        <v>53</v>
      </c>
      <c r="L258" s="1" t="s">
        <v>45</v>
      </c>
      <c r="M258">
        <v>0</v>
      </c>
      <c r="N258">
        <v>0</v>
      </c>
      <c r="O258">
        <v>0</v>
      </c>
      <c r="P258" s="2">
        <v>41030</v>
      </c>
      <c r="Q258">
        <v>0</v>
      </c>
      <c r="R258" s="1" t="s">
        <v>61</v>
      </c>
    </row>
    <row r="259" spans="1:18" x14ac:dyDescent="0.25">
      <c r="A259">
        <v>2012</v>
      </c>
      <c r="B259">
        <v>6</v>
      </c>
      <c r="C259" s="1" t="s">
        <v>29</v>
      </c>
      <c r="D259" s="1" t="s">
        <v>19</v>
      </c>
      <c r="E259" s="1" t="s">
        <v>81</v>
      </c>
      <c r="F259">
        <v>2012</v>
      </c>
      <c r="G259">
        <v>0</v>
      </c>
      <c r="H259" s="1" t="s">
        <v>59</v>
      </c>
      <c r="I259">
        <v>28</v>
      </c>
      <c r="J259">
        <v>3483</v>
      </c>
      <c r="K259" s="1" t="s">
        <v>53</v>
      </c>
      <c r="L259" s="1" t="s">
        <v>45</v>
      </c>
      <c r="M259">
        <v>0</v>
      </c>
      <c r="N259">
        <v>0</v>
      </c>
      <c r="O259">
        <v>0</v>
      </c>
      <c r="P259" s="2">
        <v>41061</v>
      </c>
      <c r="Q259">
        <v>0</v>
      </c>
      <c r="R259" s="1" t="s">
        <v>61</v>
      </c>
    </row>
    <row r="260" spans="1:18" x14ac:dyDescent="0.25">
      <c r="A260">
        <v>2012</v>
      </c>
      <c r="B260">
        <v>7</v>
      </c>
      <c r="C260" s="1" t="s">
        <v>30</v>
      </c>
      <c r="D260" s="1" t="s">
        <v>19</v>
      </c>
      <c r="E260" s="1" t="s">
        <v>81</v>
      </c>
      <c r="F260">
        <v>2012</v>
      </c>
      <c r="G260">
        <v>0</v>
      </c>
      <c r="H260" s="1" t="s">
        <v>59</v>
      </c>
      <c r="I260">
        <v>28</v>
      </c>
      <c r="J260">
        <v>3483</v>
      </c>
      <c r="K260" s="1" t="s">
        <v>53</v>
      </c>
      <c r="L260" s="1" t="s">
        <v>45</v>
      </c>
      <c r="M260">
        <v>0</v>
      </c>
      <c r="N260">
        <v>0</v>
      </c>
      <c r="O260">
        <v>0</v>
      </c>
      <c r="P260" s="2">
        <v>41091</v>
      </c>
      <c r="Q260">
        <v>0</v>
      </c>
      <c r="R260" s="1" t="s">
        <v>61</v>
      </c>
    </row>
    <row r="261" spans="1:18" x14ac:dyDescent="0.25">
      <c r="A261">
        <v>2012</v>
      </c>
      <c r="B261">
        <v>8</v>
      </c>
      <c r="C261" s="1" t="s">
        <v>31</v>
      </c>
      <c r="D261" s="1" t="s">
        <v>19</v>
      </c>
      <c r="E261" s="1" t="s">
        <v>81</v>
      </c>
      <c r="F261">
        <v>2012</v>
      </c>
      <c r="G261">
        <v>0</v>
      </c>
      <c r="H261" s="1" t="s">
        <v>59</v>
      </c>
      <c r="I261">
        <v>28</v>
      </c>
      <c r="J261">
        <v>3483</v>
      </c>
      <c r="K261" s="1" t="s">
        <v>53</v>
      </c>
      <c r="L261" s="1" t="s">
        <v>45</v>
      </c>
      <c r="M261">
        <v>0</v>
      </c>
      <c r="N261">
        <v>0</v>
      </c>
      <c r="O261">
        <v>0</v>
      </c>
      <c r="P261" s="2">
        <v>41122</v>
      </c>
      <c r="Q261">
        <v>0</v>
      </c>
      <c r="R261" s="1" t="s">
        <v>61</v>
      </c>
    </row>
    <row r="262" spans="1:18" x14ac:dyDescent="0.25">
      <c r="A262">
        <v>2012</v>
      </c>
      <c r="B262">
        <v>9</v>
      </c>
      <c r="C262" s="1" t="s">
        <v>32</v>
      </c>
      <c r="D262" s="1" t="s">
        <v>19</v>
      </c>
      <c r="E262" s="1" t="s">
        <v>81</v>
      </c>
      <c r="F262">
        <v>2012</v>
      </c>
      <c r="G262">
        <v>0</v>
      </c>
      <c r="H262" s="1" t="s">
        <v>59</v>
      </c>
      <c r="I262">
        <v>28</v>
      </c>
      <c r="J262">
        <v>3483</v>
      </c>
      <c r="K262" s="1" t="s">
        <v>53</v>
      </c>
      <c r="L262" s="1" t="s">
        <v>45</v>
      </c>
      <c r="M262">
        <v>0</v>
      </c>
      <c r="N262">
        <v>0</v>
      </c>
      <c r="O262">
        <v>0</v>
      </c>
      <c r="P262" s="2">
        <v>41153</v>
      </c>
      <c r="Q262">
        <v>0</v>
      </c>
      <c r="R262" s="1" t="s">
        <v>61</v>
      </c>
    </row>
    <row r="263" spans="1:18" x14ac:dyDescent="0.25">
      <c r="A263">
        <v>2012</v>
      </c>
      <c r="B263">
        <v>10</v>
      </c>
      <c r="C263" s="1" t="s">
        <v>33</v>
      </c>
      <c r="D263" s="1" t="s">
        <v>19</v>
      </c>
      <c r="E263" s="1" t="s">
        <v>81</v>
      </c>
      <c r="F263">
        <v>2012</v>
      </c>
      <c r="G263">
        <v>0</v>
      </c>
      <c r="H263" s="1" t="s">
        <v>59</v>
      </c>
      <c r="I263">
        <v>28</v>
      </c>
      <c r="J263">
        <v>3483</v>
      </c>
      <c r="K263" s="1" t="s">
        <v>53</v>
      </c>
      <c r="L263" s="1" t="s">
        <v>45</v>
      </c>
      <c r="M263">
        <v>0</v>
      </c>
      <c r="N263">
        <v>0</v>
      </c>
      <c r="O263">
        <v>0</v>
      </c>
      <c r="P263" s="2">
        <v>41183</v>
      </c>
      <c r="Q263">
        <v>0</v>
      </c>
      <c r="R263" s="1" t="s">
        <v>61</v>
      </c>
    </row>
    <row r="264" spans="1:18" x14ac:dyDescent="0.25">
      <c r="A264">
        <v>2012</v>
      </c>
      <c r="B264">
        <v>11</v>
      </c>
      <c r="C264" s="1" t="s">
        <v>34</v>
      </c>
      <c r="D264" s="1" t="s">
        <v>19</v>
      </c>
      <c r="E264" s="1" t="s">
        <v>81</v>
      </c>
      <c r="F264">
        <v>2012</v>
      </c>
      <c r="G264">
        <v>0</v>
      </c>
      <c r="H264" s="1" t="s">
        <v>59</v>
      </c>
      <c r="I264">
        <v>28</v>
      </c>
      <c r="J264">
        <v>3483</v>
      </c>
      <c r="K264" s="1" t="s">
        <v>53</v>
      </c>
      <c r="L264" s="1" t="s">
        <v>45</v>
      </c>
      <c r="M264">
        <v>0</v>
      </c>
      <c r="N264">
        <v>0</v>
      </c>
      <c r="O264">
        <v>0</v>
      </c>
      <c r="P264" s="2">
        <v>41214</v>
      </c>
      <c r="Q264">
        <v>0</v>
      </c>
      <c r="R264" s="1" t="s">
        <v>61</v>
      </c>
    </row>
    <row r="265" spans="1:18" x14ac:dyDescent="0.25">
      <c r="A265">
        <v>2012</v>
      </c>
      <c r="B265">
        <v>12</v>
      </c>
      <c r="C265" s="1" t="s">
        <v>35</v>
      </c>
      <c r="D265" s="1" t="s">
        <v>19</v>
      </c>
      <c r="E265" s="1" t="s">
        <v>81</v>
      </c>
      <c r="F265">
        <v>2012</v>
      </c>
      <c r="G265">
        <v>0</v>
      </c>
      <c r="H265" s="1" t="s">
        <v>59</v>
      </c>
      <c r="I265">
        <v>28</v>
      </c>
      <c r="J265">
        <v>3483</v>
      </c>
      <c r="K265" s="1" t="s">
        <v>53</v>
      </c>
      <c r="L265" s="1" t="s">
        <v>45</v>
      </c>
      <c r="M265">
        <v>0</v>
      </c>
      <c r="N265">
        <v>0</v>
      </c>
      <c r="O265">
        <v>0</v>
      </c>
      <c r="P265" s="2">
        <v>41244</v>
      </c>
      <c r="Q265">
        <v>0</v>
      </c>
      <c r="R265" s="1" t="s">
        <v>61</v>
      </c>
    </row>
    <row r="266" spans="1:18" x14ac:dyDescent="0.25">
      <c r="A266">
        <v>2012</v>
      </c>
      <c r="B266">
        <v>1</v>
      </c>
      <c r="C266" s="1" t="s">
        <v>18</v>
      </c>
      <c r="D266" s="1" t="s">
        <v>19</v>
      </c>
      <c r="E266" s="1" t="s">
        <v>82</v>
      </c>
      <c r="F266">
        <v>2013</v>
      </c>
      <c r="G266">
        <v>0</v>
      </c>
      <c r="H266" s="1" t="s">
        <v>59</v>
      </c>
      <c r="I266">
        <v>24</v>
      </c>
      <c r="J266">
        <v>2678</v>
      </c>
      <c r="K266" s="1" t="s">
        <v>83</v>
      </c>
      <c r="L266" s="1" t="s">
        <v>45</v>
      </c>
      <c r="M266">
        <v>0</v>
      </c>
      <c r="N266">
        <v>0</v>
      </c>
      <c r="O266">
        <v>0</v>
      </c>
      <c r="P266" s="2">
        <v>40909</v>
      </c>
      <c r="Q266">
        <v>0</v>
      </c>
      <c r="R266" s="1" t="s">
        <v>61</v>
      </c>
    </row>
    <row r="267" spans="1:18" x14ac:dyDescent="0.25">
      <c r="A267">
        <v>2012</v>
      </c>
      <c r="B267">
        <v>2</v>
      </c>
      <c r="C267" s="1" t="s">
        <v>25</v>
      </c>
      <c r="D267" s="1" t="s">
        <v>19</v>
      </c>
      <c r="E267" s="1" t="s">
        <v>82</v>
      </c>
      <c r="F267">
        <v>2013</v>
      </c>
      <c r="G267">
        <v>0</v>
      </c>
      <c r="H267" s="1" t="s">
        <v>59</v>
      </c>
      <c r="I267">
        <v>24</v>
      </c>
      <c r="J267">
        <v>2678</v>
      </c>
      <c r="K267" s="1" t="s">
        <v>83</v>
      </c>
      <c r="L267" s="1" t="s">
        <v>45</v>
      </c>
      <c r="M267">
        <v>0</v>
      </c>
      <c r="N267">
        <v>0</v>
      </c>
      <c r="O267">
        <v>0</v>
      </c>
      <c r="P267" s="2">
        <v>40940</v>
      </c>
      <c r="Q267">
        <v>0</v>
      </c>
      <c r="R267" s="1" t="s">
        <v>61</v>
      </c>
    </row>
    <row r="268" spans="1:18" x14ac:dyDescent="0.25">
      <c r="A268">
        <v>2012</v>
      </c>
      <c r="B268">
        <v>3</v>
      </c>
      <c r="C268" s="1" t="s">
        <v>26</v>
      </c>
      <c r="D268" s="1" t="s">
        <v>19</v>
      </c>
      <c r="E268" s="1" t="s">
        <v>82</v>
      </c>
      <c r="F268">
        <v>2013</v>
      </c>
      <c r="G268">
        <v>0</v>
      </c>
      <c r="H268" s="1" t="s">
        <v>59</v>
      </c>
      <c r="I268">
        <v>24</v>
      </c>
      <c r="J268">
        <v>2678</v>
      </c>
      <c r="K268" s="1" t="s">
        <v>83</v>
      </c>
      <c r="L268" s="1" t="s">
        <v>45</v>
      </c>
      <c r="M268">
        <v>0</v>
      </c>
      <c r="N268">
        <v>0</v>
      </c>
      <c r="O268">
        <v>0</v>
      </c>
      <c r="P268" s="2">
        <v>40969</v>
      </c>
      <c r="Q268">
        <v>0</v>
      </c>
      <c r="R268" s="1" t="s">
        <v>61</v>
      </c>
    </row>
    <row r="269" spans="1:18" x14ac:dyDescent="0.25">
      <c r="A269">
        <v>2012</v>
      </c>
      <c r="B269">
        <v>4</v>
      </c>
      <c r="C269" s="1" t="s">
        <v>27</v>
      </c>
      <c r="D269" s="1" t="s">
        <v>19</v>
      </c>
      <c r="E269" s="1" t="s">
        <v>82</v>
      </c>
      <c r="F269">
        <v>2013</v>
      </c>
      <c r="G269">
        <v>0</v>
      </c>
      <c r="H269" s="1" t="s">
        <v>59</v>
      </c>
      <c r="I269">
        <v>24</v>
      </c>
      <c r="J269">
        <v>2678</v>
      </c>
      <c r="K269" s="1" t="s">
        <v>83</v>
      </c>
      <c r="L269" s="1" t="s">
        <v>45</v>
      </c>
      <c r="M269">
        <v>0</v>
      </c>
      <c r="N269">
        <v>0</v>
      </c>
      <c r="O269">
        <v>0</v>
      </c>
      <c r="P269" s="2">
        <v>41000</v>
      </c>
      <c r="Q269">
        <v>0</v>
      </c>
      <c r="R269" s="1" t="s">
        <v>61</v>
      </c>
    </row>
    <row r="270" spans="1:18" x14ac:dyDescent="0.25">
      <c r="A270">
        <v>2012</v>
      </c>
      <c r="B270">
        <v>5</v>
      </c>
      <c r="C270" s="1" t="s">
        <v>28</v>
      </c>
      <c r="D270" s="1" t="s">
        <v>19</v>
      </c>
      <c r="E270" s="1" t="s">
        <v>82</v>
      </c>
      <c r="F270">
        <v>2013</v>
      </c>
      <c r="G270">
        <v>0</v>
      </c>
      <c r="H270" s="1" t="s">
        <v>59</v>
      </c>
      <c r="I270">
        <v>24</v>
      </c>
      <c r="J270">
        <v>2678</v>
      </c>
      <c r="K270" s="1" t="s">
        <v>83</v>
      </c>
      <c r="L270" s="1" t="s">
        <v>45</v>
      </c>
      <c r="M270">
        <v>0</v>
      </c>
      <c r="N270">
        <v>0</v>
      </c>
      <c r="O270">
        <v>0</v>
      </c>
      <c r="P270" s="2">
        <v>41030</v>
      </c>
      <c r="Q270">
        <v>0</v>
      </c>
      <c r="R270" s="1" t="s">
        <v>61</v>
      </c>
    </row>
    <row r="271" spans="1:18" x14ac:dyDescent="0.25">
      <c r="A271">
        <v>2012</v>
      </c>
      <c r="B271">
        <v>6</v>
      </c>
      <c r="C271" s="1" t="s">
        <v>29</v>
      </c>
      <c r="D271" s="1" t="s">
        <v>19</v>
      </c>
      <c r="E271" s="1" t="s">
        <v>82</v>
      </c>
      <c r="F271">
        <v>2013</v>
      </c>
      <c r="G271">
        <v>0</v>
      </c>
      <c r="H271" s="1" t="s">
        <v>59</v>
      </c>
      <c r="I271">
        <v>24</v>
      </c>
      <c r="J271">
        <v>2678</v>
      </c>
      <c r="K271" s="1" t="s">
        <v>83</v>
      </c>
      <c r="L271" s="1" t="s">
        <v>45</v>
      </c>
      <c r="M271">
        <v>0</v>
      </c>
      <c r="N271">
        <v>0</v>
      </c>
      <c r="O271">
        <v>0</v>
      </c>
      <c r="P271" s="2">
        <v>41061</v>
      </c>
      <c r="Q271">
        <v>0</v>
      </c>
      <c r="R271" s="1" t="s">
        <v>61</v>
      </c>
    </row>
    <row r="272" spans="1:18" x14ac:dyDescent="0.25">
      <c r="A272">
        <v>2012</v>
      </c>
      <c r="B272">
        <v>7</v>
      </c>
      <c r="C272" s="1" t="s">
        <v>30</v>
      </c>
      <c r="D272" s="1" t="s">
        <v>19</v>
      </c>
      <c r="E272" s="1" t="s">
        <v>82</v>
      </c>
      <c r="F272">
        <v>2013</v>
      </c>
      <c r="G272">
        <v>0</v>
      </c>
      <c r="H272" s="1" t="s">
        <v>59</v>
      </c>
      <c r="I272">
        <v>24</v>
      </c>
      <c r="J272">
        <v>2678</v>
      </c>
      <c r="K272" s="1" t="s">
        <v>83</v>
      </c>
      <c r="L272" s="1" t="s">
        <v>45</v>
      </c>
      <c r="M272">
        <v>0</v>
      </c>
      <c r="N272">
        <v>0</v>
      </c>
      <c r="O272">
        <v>0</v>
      </c>
      <c r="P272" s="2">
        <v>41091</v>
      </c>
      <c r="Q272">
        <v>0</v>
      </c>
      <c r="R272" s="1" t="s">
        <v>61</v>
      </c>
    </row>
    <row r="273" spans="1:18" x14ac:dyDescent="0.25">
      <c r="A273">
        <v>2012</v>
      </c>
      <c r="B273">
        <v>8</v>
      </c>
      <c r="C273" s="1" t="s">
        <v>31</v>
      </c>
      <c r="D273" s="1" t="s">
        <v>19</v>
      </c>
      <c r="E273" s="1" t="s">
        <v>82</v>
      </c>
      <c r="F273">
        <v>2013</v>
      </c>
      <c r="G273">
        <v>0</v>
      </c>
      <c r="H273" s="1" t="s">
        <v>59</v>
      </c>
      <c r="I273">
        <v>24</v>
      </c>
      <c r="J273">
        <v>2678</v>
      </c>
      <c r="K273" s="1" t="s">
        <v>83</v>
      </c>
      <c r="L273" s="1" t="s">
        <v>45</v>
      </c>
      <c r="M273">
        <v>0</v>
      </c>
      <c r="N273">
        <v>0</v>
      </c>
      <c r="O273">
        <v>0</v>
      </c>
      <c r="P273" s="2">
        <v>41122</v>
      </c>
      <c r="Q273">
        <v>0</v>
      </c>
      <c r="R273" s="1" t="s">
        <v>61</v>
      </c>
    </row>
    <row r="274" spans="1:18" x14ac:dyDescent="0.25">
      <c r="A274">
        <v>2012</v>
      </c>
      <c r="B274">
        <v>9</v>
      </c>
      <c r="C274" s="1" t="s">
        <v>32</v>
      </c>
      <c r="D274" s="1" t="s">
        <v>19</v>
      </c>
      <c r="E274" s="1" t="s">
        <v>82</v>
      </c>
      <c r="F274">
        <v>2013</v>
      </c>
      <c r="G274">
        <v>0</v>
      </c>
      <c r="H274" s="1" t="s">
        <v>59</v>
      </c>
      <c r="I274">
        <v>24</v>
      </c>
      <c r="J274">
        <v>2678</v>
      </c>
      <c r="K274" s="1" t="s">
        <v>83</v>
      </c>
      <c r="L274" s="1" t="s">
        <v>45</v>
      </c>
      <c r="M274">
        <v>0</v>
      </c>
      <c r="N274">
        <v>0</v>
      </c>
      <c r="O274">
        <v>0</v>
      </c>
      <c r="P274" s="2">
        <v>41153</v>
      </c>
      <c r="Q274">
        <v>0</v>
      </c>
      <c r="R274" s="1" t="s">
        <v>61</v>
      </c>
    </row>
    <row r="275" spans="1:18" x14ac:dyDescent="0.25">
      <c r="A275">
        <v>2012</v>
      </c>
      <c r="B275">
        <v>10</v>
      </c>
      <c r="C275" s="1" t="s">
        <v>33</v>
      </c>
      <c r="D275" s="1" t="s">
        <v>19</v>
      </c>
      <c r="E275" s="1" t="s">
        <v>82</v>
      </c>
      <c r="F275">
        <v>2013</v>
      </c>
      <c r="G275">
        <v>0</v>
      </c>
      <c r="H275" s="1" t="s">
        <v>59</v>
      </c>
      <c r="I275">
        <v>24</v>
      </c>
      <c r="J275">
        <v>2678</v>
      </c>
      <c r="K275" s="1" t="s">
        <v>83</v>
      </c>
      <c r="L275" s="1" t="s">
        <v>45</v>
      </c>
      <c r="M275">
        <v>0</v>
      </c>
      <c r="N275">
        <v>0</v>
      </c>
      <c r="O275">
        <v>0</v>
      </c>
      <c r="P275" s="2">
        <v>41183</v>
      </c>
      <c r="Q275">
        <v>0</v>
      </c>
      <c r="R275" s="1" t="s">
        <v>61</v>
      </c>
    </row>
    <row r="276" spans="1:18" x14ac:dyDescent="0.25">
      <c r="A276">
        <v>2012</v>
      </c>
      <c r="B276">
        <v>11</v>
      </c>
      <c r="C276" s="1" t="s">
        <v>34</v>
      </c>
      <c r="D276" s="1" t="s">
        <v>19</v>
      </c>
      <c r="E276" s="1" t="s">
        <v>82</v>
      </c>
      <c r="F276">
        <v>2013</v>
      </c>
      <c r="G276">
        <v>0</v>
      </c>
      <c r="H276" s="1" t="s">
        <v>59</v>
      </c>
      <c r="I276">
        <v>24</v>
      </c>
      <c r="J276">
        <v>2678</v>
      </c>
      <c r="K276" s="1" t="s">
        <v>83</v>
      </c>
      <c r="L276" s="1" t="s">
        <v>45</v>
      </c>
      <c r="M276">
        <v>0</v>
      </c>
      <c r="N276">
        <v>0</v>
      </c>
      <c r="O276">
        <v>0</v>
      </c>
      <c r="P276" s="2">
        <v>41214</v>
      </c>
      <c r="Q276">
        <v>0</v>
      </c>
      <c r="R276" s="1" t="s">
        <v>61</v>
      </c>
    </row>
    <row r="277" spans="1:18" x14ac:dyDescent="0.25">
      <c r="A277">
        <v>2012</v>
      </c>
      <c r="B277">
        <v>12</v>
      </c>
      <c r="C277" s="1" t="s">
        <v>35</v>
      </c>
      <c r="D277" s="1" t="s">
        <v>19</v>
      </c>
      <c r="E277" s="1" t="s">
        <v>82</v>
      </c>
      <c r="F277">
        <v>2013</v>
      </c>
      <c r="G277">
        <v>0</v>
      </c>
      <c r="H277" s="1" t="s">
        <v>59</v>
      </c>
      <c r="I277">
        <v>24</v>
      </c>
      <c r="J277">
        <v>2678</v>
      </c>
      <c r="K277" s="1" t="s">
        <v>83</v>
      </c>
      <c r="L277" s="1" t="s">
        <v>45</v>
      </c>
      <c r="M277">
        <v>0</v>
      </c>
      <c r="N277">
        <v>0</v>
      </c>
      <c r="O277">
        <v>0</v>
      </c>
      <c r="P277" s="2">
        <v>41244</v>
      </c>
      <c r="Q277">
        <v>0</v>
      </c>
      <c r="R277" s="1" t="s">
        <v>61</v>
      </c>
    </row>
    <row r="278" spans="1:18" x14ac:dyDescent="0.25">
      <c r="A278">
        <v>2012</v>
      </c>
      <c r="B278">
        <v>1</v>
      </c>
      <c r="C278" s="1" t="s">
        <v>18</v>
      </c>
      <c r="D278" s="1" t="s">
        <v>19</v>
      </c>
      <c r="E278" s="1" t="s">
        <v>84</v>
      </c>
      <c r="F278">
        <v>2013</v>
      </c>
      <c r="G278">
        <v>0</v>
      </c>
      <c r="H278" s="1" t="s">
        <v>59</v>
      </c>
      <c r="I278">
        <v>23</v>
      </c>
      <c r="J278">
        <v>2683</v>
      </c>
      <c r="K278" s="1" t="s">
        <v>85</v>
      </c>
      <c r="L278" s="1" t="s">
        <v>45</v>
      </c>
      <c r="M278">
        <v>0</v>
      </c>
      <c r="N278">
        <v>0</v>
      </c>
      <c r="O278">
        <v>0</v>
      </c>
      <c r="P278" s="2">
        <v>40909</v>
      </c>
      <c r="Q278">
        <v>0</v>
      </c>
      <c r="R278" s="1" t="s">
        <v>61</v>
      </c>
    </row>
    <row r="279" spans="1:18" x14ac:dyDescent="0.25">
      <c r="A279">
        <v>2012</v>
      </c>
      <c r="B279">
        <v>2</v>
      </c>
      <c r="C279" s="1" t="s">
        <v>25</v>
      </c>
      <c r="D279" s="1" t="s">
        <v>19</v>
      </c>
      <c r="E279" s="1" t="s">
        <v>84</v>
      </c>
      <c r="F279">
        <v>2013</v>
      </c>
      <c r="G279">
        <v>0</v>
      </c>
      <c r="H279" s="1" t="s">
        <v>59</v>
      </c>
      <c r="I279">
        <v>23</v>
      </c>
      <c r="J279">
        <v>2683</v>
      </c>
      <c r="K279" s="1" t="s">
        <v>85</v>
      </c>
      <c r="L279" s="1" t="s">
        <v>45</v>
      </c>
      <c r="M279">
        <v>0</v>
      </c>
      <c r="N279">
        <v>0</v>
      </c>
      <c r="O279">
        <v>0</v>
      </c>
      <c r="P279" s="2">
        <v>40940</v>
      </c>
      <c r="Q279">
        <v>0</v>
      </c>
      <c r="R279" s="1" t="s">
        <v>61</v>
      </c>
    </row>
    <row r="280" spans="1:18" x14ac:dyDescent="0.25">
      <c r="A280">
        <v>2012</v>
      </c>
      <c r="B280">
        <v>3</v>
      </c>
      <c r="C280" s="1" t="s">
        <v>26</v>
      </c>
      <c r="D280" s="1" t="s">
        <v>19</v>
      </c>
      <c r="E280" s="1" t="s">
        <v>84</v>
      </c>
      <c r="F280">
        <v>2013</v>
      </c>
      <c r="G280">
        <v>0</v>
      </c>
      <c r="H280" s="1" t="s">
        <v>59</v>
      </c>
      <c r="I280">
        <v>23</v>
      </c>
      <c r="J280">
        <v>2683</v>
      </c>
      <c r="K280" s="1" t="s">
        <v>85</v>
      </c>
      <c r="L280" s="1" t="s">
        <v>45</v>
      </c>
      <c r="M280">
        <v>0</v>
      </c>
      <c r="N280">
        <v>0</v>
      </c>
      <c r="O280">
        <v>0</v>
      </c>
      <c r="P280" s="2">
        <v>40969</v>
      </c>
      <c r="Q280">
        <v>0</v>
      </c>
      <c r="R280" s="1" t="s">
        <v>61</v>
      </c>
    </row>
    <row r="281" spans="1:18" x14ac:dyDescent="0.25">
      <c r="A281">
        <v>2012</v>
      </c>
      <c r="B281">
        <v>4</v>
      </c>
      <c r="C281" s="1" t="s">
        <v>27</v>
      </c>
      <c r="D281" s="1" t="s">
        <v>19</v>
      </c>
      <c r="E281" s="1" t="s">
        <v>84</v>
      </c>
      <c r="F281">
        <v>2013</v>
      </c>
      <c r="G281">
        <v>0</v>
      </c>
      <c r="H281" s="1" t="s">
        <v>59</v>
      </c>
      <c r="I281">
        <v>23</v>
      </c>
      <c r="J281">
        <v>2683</v>
      </c>
      <c r="K281" s="1" t="s">
        <v>85</v>
      </c>
      <c r="L281" s="1" t="s">
        <v>45</v>
      </c>
      <c r="M281">
        <v>0</v>
      </c>
      <c r="N281">
        <v>0</v>
      </c>
      <c r="O281">
        <v>0</v>
      </c>
      <c r="P281" s="2">
        <v>41000</v>
      </c>
      <c r="Q281">
        <v>0</v>
      </c>
      <c r="R281" s="1" t="s">
        <v>61</v>
      </c>
    </row>
    <row r="282" spans="1:18" x14ac:dyDescent="0.25">
      <c r="A282">
        <v>2012</v>
      </c>
      <c r="B282">
        <v>5</v>
      </c>
      <c r="C282" s="1" t="s">
        <v>28</v>
      </c>
      <c r="D282" s="1" t="s">
        <v>19</v>
      </c>
      <c r="E282" s="1" t="s">
        <v>84</v>
      </c>
      <c r="F282">
        <v>2013</v>
      </c>
      <c r="G282">
        <v>0</v>
      </c>
      <c r="H282" s="1" t="s">
        <v>59</v>
      </c>
      <c r="I282">
        <v>23</v>
      </c>
      <c r="J282">
        <v>2683</v>
      </c>
      <c r="K282" s="1" t="s">
        <v>85</v>
      </c>
      <c r="L282" s="1" t="s">
        <v>45</v>
      </c>
      <c r="M282">
        <v>0</v>
      </c>
      <c r="N282">
        <v>0</v>
      </c>
      <c r="O282">
        <v>0</v>
      </c>
      <c r="P282" s="2">
        <v>41030</v>
      </c>
      <c r="Q282">
        <v>0</v>
      </c>
      <c r="R282" s="1" t="s">
        <v>61</v>
      </c>
    </row>
    <row r="283" spans="1:18" x14ac:dyDescent="0.25">
      <c r="A283">
        <v>2012</v>
      </c>
      <c r="B283">
        <v>6</v>
      </c>
      <c r="C283" s="1" t="s">
        <v>29</v>
      </c>
      <c r="D283" s="1" t="s">
        <v>19</v>
      </c>
      <c r="E283" s="1" t="s">
        <v>84</v>
      </c>
      <c r="F283">
        <v>2013</v>
      </c>
      <c r="G283">
        <v>0</v>
      </c>
      <c r="H283" s="1" t="s">
        <v>59</v>
      </c>
      <c r="I283">
        <v>23</v>
      </c>
      <c r="J283">
        <v>2683</v>
      </c>
      <c r="K283" s="1" t="s">
        <v>85</v>
      </c>
      <c r="L283" s="1" t="s">
        <v>45</v>
      </c>
      <c r="M283">
        <v>0</v>
      </c>
      <c r="N283">
        <v>0</v>
      </c>
      <c r="O283">
        <v>0</v>
      </c>
      <c r="P283" s="2">
        <v>41061</v>
      </c>
      <c r="Q283">
        <v>0</v>
      </c>
      <c r="R283" s="1" t="s">
        <v>61</v>
      </c>
    </row>
    <row r="284" spans="1:18" x14ac:dyDescent="0.25">
      <c r="A284">
        <v>2012</v>
      </c>
      <c r="B284">
        <v>7</v>
      </c>
      <c r="C284" s="1" t="s">
        <v>30</v>
      </c>
      <c r="D284" s="1" t="s">
        <v>19</v>
      </c>
      <c r="E284" s="1" t="s">
        <v>84</v>
      </c>
      <c r="F284">
        <v>2013</v>
      </c>
      <c r="G284">
        <v>0</v>
      </c>
      <c r="H284" s="1" t="s">
        <v>59</v>
      </c>
      <c r="I284">
        <v>23</v>
      </c>
      <c r="J284">
        <v>2683</v>
      </c>
      <c r="K284" s="1" t="s">
        <v>85</v>
      </c>
      <c r="L284" s="1" t="s">
        <v>45</v>
      </c>
      <c r="M284">
        <v>0</v>
      </c>
      <c r="N284">
        <v>0</v>
      </c>
      <c r="O284">
        <v>0</v>
      </c>
      <c r="P284" s="2">
        <v>41091</v>
      </c>
      <c r="Q284">
        <v>0</v>
      </c>
      <c r="R284" s="1" t="s">
        <v>61</v>
      </c>
    </row>
    <row r="285" spans="1:18" x14ac:dyDescent="0.25">
      <c r="A285">
        <v>2012</v>
      </c>
      <c r="B285">
        <v>8</v>
      </c>
      <c r="C285" s="1" t="s">
        <v>31</v>
      </c>
      <c r="D285" s="1" t="s">
        <v>19</v>
      </c>
      <c r="E285" s="1" t="s">
        <v>84</v>
      </c>
      <c r="F285">
        <v>2013</v>
      </c>
      <c r="G285">
        <v>0</v>
      </c>
      <c r="H285" s="1" t="s">
        <v>59</v>
      </c>
      <c r="I285">
        <v>23</v>
      </c>
      <c r="J285">
        <v>2683</v>
      </c>
      <c r="K285" s="1" t="s">
        <v>85</v>
      </c>
      <c r="L285" s="1" t="s">
        <v>45</v>
      </c>
      <c r="M285">
        <v>0</v>
      </c>
      <c r="N285">
        <v>0</v>
      </c>
      <c r="O285">
        <v>0</v>
      </c>
      <c r="P285" s="2">
        <v>41122</v>
      </c>
      <c r="Q285">
        <v>0</v>
      </c>
      <c r="R285" s="1" t="s">
        <v>61</v>
      </c>
    </row>
    <row r="286" spans="1:18" x14ac:dyDescent="0.25">
      <c r="A286">
        <v>2012</v>
      </c>
      <c r="B286">
        <v>9</v>
      </c>
      <c r="C286" s="1" t="s">
        <v>32</v>
      </c>
      <c r="D286" s="1" t="s">
        <v>19</v>
      </c>
      <c r="E286" s="1" t="s">
        <v>84</v>
      </c>
      <c r="F286">
        <v>2013</v>
      </c>
      <c r="G286">
        <v>0</v>
      </c>
      <c r="H286" s="1" t="s">
        <v>59</v>
      </c>
      <c r="I286">
        <v>23</v>
      </c>
      <c r="J286">
        <v>2683</v>
      </c>
      <c r="K286" s="1" t="s">
        <v>85</v>
      </c>
      <c r="L286" s="1" t="s">
        <v>45</v>
      </c>
      <c r="M286">
        <v>0</v>
      </c>
      <c r="N286">
        <v>0</v>
      </c>
      <c r="O286">
        <v>0</v>
      </c>
      <c r="P286" s="2">
        <v>41153</v>
      </c>
      <c r="Q286">
        <v>0</v>
      </c>
      <c r="R286" s="1" t="s">
        <v>61</v>
      </c>
    </row>
    <row r="287" spans="1:18" x14ac:dyDescent="0.25">
      <c r="A287">
        <v>2012</v>
      </c>
      <c r="B287">
        <v>10</v>
      </c>
      <c r="C287" s="1" t="s">
        <v>33</v>
      </c>
      <c r="D287" s="1" t="s">
        <v>19</v>
      </c>
      <c r="E287" s="1" t="s">
        <v>84</v>
      </c>
      <c r="F287">
        <v>2013</v>
      </c>
      <c r="G287">
        <v>0</v>
      </c>
      <c r="H287" s="1" t="s">
        <v>59</v>
      </c>
      <c r="I287">
        <v>23</v>
      </c>
      <c r="J287">
        <v>2683</v>
      </c>
      <c r="K287" s="1" t="s">
        <v>85</v>
      </c>
      <c r="L287" s="1" t="s">
        <v>45</v>
      </c>
      <c r="M287">
        <v>0</v>
      </c>
      <c r="N287">
        <v>0</v>
      </c>
      <c r="O287">
        <v>0</v>
      </c>
      <c r="P287" s="2">
        <v>41183</v>
      </c>
      <c r="Q287">
        <v>0</v>
      </c>
      <c r="R287" s="1" t="s">
        <v>61</v>
      </c>
    </row>
    <row r="288" spans="1:18" x14ac:dyDescent="0.25">
      <c r="A288">
        <v>2012</v>
      </c>
      <c r="B288">
        <v>11</v>
      </c>
      <c r="C288" s="1" t="s">
        <v>34</v>
      </c>
      <c r="D288" s="1" t="s">
        <v>19</v>
      </c>
      <c r="E288" s="1" t="s">
        <v>84</v>
      </c>
      <c r="F288">
        <v>2013</v>
      </c>
      <c r="G288">
        <v>0</v>
      </c>
      <c r="H288" s="1" t="s">
        <v>59</v>
      </c>
      <c r="I288">
        <v>23</v>
      </c>
      <c r="J288">
        <v>2683</v>
      </c>
      <c r="K288" s="1" t="s">
        <v>85</v>
      </c>
      <c r="L288" s="1" t="s">
        <v>45</v>
      </c>
      <c r="M288">
        <v>0</v>
      </c>
      <c r="N288">
        <v>0</v>
      </c>
      <c r="O288">
        <v>0</v>
      </c>
      <c r="P288" s="2">
        <v>41214</v>
      </c>
      <c r="Q288">
        <v>0</v>
      </c>
      <c r="R288" s="1" t="s">
        <v>61</v>
      </c>
    </row>
    <row r="289" spans="1:18" x14ac:dyDescent="0.25">
      <c r="A289">
        <v>2012</v>
      </c>
      <c r="B289">
        <v>12</v>
      </c>
      <c r="C289" s="1" t="s">
        <v>35</v>
      </c>
      <c r="D289" s="1" t="s">
        <v>19</v>
      </c>
      <c r="E289" s="1" t="s">
        <v>84</v>
      </c>
      <c r="F289">
        <v>2013</v>
      </c>
      <c r="G289">
        <v>0</v>
      </c>
      <c r="H289" s="1" t="s">
        <v>59</v>
      </c>
      <c r="I289">
        <v>23</v>
      </c>
      <c r="J289">
        <v>2683</v>
      </c>
      <c r="K289" s="1" t="s">
        <v>85</v>
      </c>
      <c r="L289" s="1" t="s">
        <v>45</v>
      </c>
      <c r="M289">
        <v>0</v>
      </c>
      <c r="N289">
        <v>0</v>
      </c>
      <c r="O289">
        <v>0</v>
      </c>
      <c r="P289" s="2">
        <v>41244</v>
      </c>
      <c r="Q289">
        <v>0</v>
      </c>
      <c r="R289" s="1" t="s">
        <v>61</v>
      </c>
    </row>
    <row r="290" spans="1:18" x14ac:dyDescent="0.25">
      <c r="A290">
        <v>2012</v>
      </c>
      <c r="B290">
        <v>1</v>
      </c>
      <c r="C290" s="1" t="s">
        <v>18</v>
      </c>
      <c r="D290" s="1" t="s">
        <v>19</v>
      </c>
      <c r="E290" s="1" t="s">
        <v>86</v>
      </c>
      <c r="F290">
        <v>2013</v>
      </c>
      <c r="G290">
        <v>0</v>
      </c>
      <c r="H290" s="1" t="s">
        <v>59</v>
      </c>
      <c r="I290">
        <v>24</v>
      </c>
      <c r="J290">
        <v>3445</v>
      </c>
      <c r="K290" s="1" t="s">
        <v>87</v>
      </c>
      <c r="L290" s="1" t="s">
        <v>45</v>
      </c>
      <c r="M290">
        <v>0</v>
      </c>
      <c r="N290">
        <v>0</v>
      </c>
      <c r="O290">
        <v>0</v>
      </c>
      <c r="P290" s="2">
        <v>40909</v>
      </c>
      <c r="Q290">
        <v>0</v>
      </c>
      <c r="R290" s="1" t="s">
        <v>61</v>
      </c>
    </row>
    <row r="291" spans="1:18" x14ac:dyDescent="0.25">
      <c r="A291">
        <v>2012</v>
      </c>
      <c r="B291">
        <v>2</v>
      </c>
      <c r="C291" s="1" t="s">
        <v>25</v>
      </c>
      <c r="D291" s="1" t="s">
        <v>19</v>
      </c>
      <c r="E291" s="1" t="s">
        <v>86</v>
      </c>
      <c r="F291">
        <v>2013</v>
      </c>
      <c r="G291">
        <v>0</v>
      </c>
      <c r="H291" s="1" t="s">
        <v>59</v>
      </c>
      <c r="I291">
        <v>24</v>
      </c>
      <c r="J291">
        <v>3445</v>
      </c>
      <c r="K291" s="1" t="s">
        <v>87</v>
      </c>
      <c r="L291" s="1" t="s">
        <v>45</v>
      </c>
      <c r="M291">
        <v>0</v>
      </c>
      <c r="N291">
        <v>0</v>
      </c>
      <c r="O291">
        <v>0</v>
      </c>
      <c r="P291" s="2">
        <v>40940</v>
      </c>
      <c r="Q291">
        <v>0</v>
      </c>
      <c r="R291" s="1" t="s">
        <v>61</v>
      </c>
    </row>
    <row r="292" spans="1:18" x14ac:dyDescent="0.25">
      <c r="A292">
        <v>2012</v>
      </c>
      <c r="B292">
        <v>3</v>
      </c>
      <c r="C292" s="1" t="s">
        <v>26</v>
      </c>
      <c r="D292" s="1" t="s">
        <v>19</v>
      </c>
      <c r="E292" s="1" t="s">
        <v>86</v>
      </c>
      <c r="F292">
        <v>2013</v>
      </c>
      <c r="G292">
        <v>0</v>
      </c>
      <c r="H292" s="1" t="s">
        <v>59</v>
      </c>
      <c r="I292">
        <v>24</v>
      </c>
      <c r="J292">
        <v>3445</v>
      </c>
      <c r="K292" s="1" t="s">
        <v>87</v>
      </c>
      <c r="L292" s="1" t="s">
        <v>45</v>
      </c>
      <c r="M292">
        <v>0</v>
      </c>
      <c r="N292">
        <v>0</v>
      </c>
      <c r="O292">
        <v>0</v>
      </c>
      <c r="P292" s="2">
        <v>40969</v>
      </c>
      <c r="Q292">
        <v>0</v>
      </c>
      <c r="R292" s="1" t="s">
        <v>61</v>
      </c>
    </row>
    <row r="293" spans="1:18" x14ac:dyDescent="0.25">
      <c r="A293">
        <v>2012</v>
      </c>
      <c r="B293">
        <v>4</v>
      </c>
      <c r="C293" s="1" t="s">
        <v>27</v>
      </c>
      <c r="D293" s="1" t="s">
        <v>19</v>
      </c>
      <c r="E293" s="1" t="s">
        <v>86</v>
      </c>
      <c r="F293">
        <v>2013</v>
      </c>
      <c r="G293">
        <v>0</v>
      </c>
      <c r="H293" s="1" t="s">
        <v>59</v>
      </c>
      <c r="I293">
        <v>24</v>
      </c>
      <c r="J293">
        <v>3445</v>
      </c>
      <c r="K293" s="1" t="s">
        <v>87</v>
      </c>
      <c r="L293" s="1" t="s">
        <v>45</v>
      </c>
      <c r="M293">
        <v>0</v>
      </c>
      <c r="N293">
        <v>0</v>
      </c>
      <c r="O293">
        <v>0</v>
      </c>
      <c r="P293" s="2">
        <v>41000</v>
      </c>
      <c r="Q293">
        <v>0</v>
      </c>
      <c r="R293" s="1" t="s">
        <v>61</v>
      </c>
    </row>
    <row r="294" spans="1:18" x14ac:dyDescent="0.25">
      <c r="A294">
        <v>2012</v>
      </c>
      <c r="B294">
        <v>5</v>
      </c>
      <c r="C294" s="1" t="s">
        <v>28</v>
      </c>
      <c r="D294" s="1" t="s">
        <v>19</v>
      </c>
      <c r="E294" s="1" t="s">
        <v>86</v>
      </c>
      <c r="F294">
        <v>2013</v>
      </c>
      <c r="G294">
        <v>0</v>
      </c>
      <c r="H294" s="1" t="s">
        <v>59</v>
      </c>
      <c r="I294">
        <v>24</v>
      </c>
      <c r="J294">
        <v>3445</v>
      </c>
      <c r="K294" s="1" t="s">
        <v>87</v>
      </c>
      <c r="L294" s="1" t="s">
        <v>45</v>
      </c>
      <c r="M294">
        <v>0</v>
      </c>
      <c r="N294">
        <v>0</v>
      </c>
      <c r="O294">
        <v>0</v>
      </c>
      <c r="P294" s="2">
        <v>41030</v>
      </c>
      <c r="Q294">
        <v>0</v>
      </c>
      <c r="R294" s="1" t="s">
        <v>61</v>
      </c>
    </row>
    <row r="295" spans="1:18" x14ac:dyDescent="0.25">
      <c r="A295">
        <v>2012</v>
      </c>
      <c r="B295">
        <v>6</v>
      </c>
      <c r="C295" s="1" t="s">
        <v>29</v>
      </c>
      <c r="D295" s="1" t="s">
        <v>19</v>
      </c>
      <c r="E295" s="1" t="s">
        <v>86</v>
      </c>
      <c r="F295">
        <v>2013</v>
      </c>
      <c r="G295">
        <v>0</v>
      </c>
      <c r="H295" s="1" t="s">
        <v>59</v>
      </c>
      <c r="I295">
        <v>24</v>
      </c>
      <c r="J295">
        <v>3445</v>
      </c>
      <c r="K295" s="1" t="s">
        <v>87</v>
      </c>
      <c r="L295" s="1" t="s">
        <v>45</v>
      </c>
      <c r="M295">
        <v>0</v>
      </c>
      <c r="N295">
        <v>0</v>
      </c>
      <c r="O295">
        <v>0</v>
      </c>
      <c r="P295" s="2">
        <v>41061</v>
      </c>
      <c r="Q295">
        <v>0</v>
      </c>
      <c r="R295" s="1" t="s">
        <v>61</v>
      </c>
    </row>
    <row r="296" spans="1:18" x14ac:dyDescent="0.25">
      <c r="A296">
        <v>2012</v>
      </c>
      <c r="B296">
        <v>7</v>
      </c>
      <c r="C296" s="1" t="s">
        <v>30</v>
      </c>
      <c r="D296" s="1" t="s">
        <v>19</v>
      </c>
      <c r="E296" s="1" t="s">
        <v>86</v>
      </c>
      <c r="F296">
        <v>2013</v>
      </c>
      <c r="G296">
        <v>0</v>
      </c>
      <c r="H296" s="1" t="s">
        <v>59</v>
      </c>
      <c r="I296">
        <v>24</v>
      </c>
      <c r="J296">
        <v>3445</v>
      </c>
      <c r="K296" s="1" t="s">
        <v>87</v>
      </c>
      <c r="L296" s="1" t="s">
        <v>45</v>
      </c>
      <c r="M296">
        <v>0</v>
      </c>
      <c r="N296">
        <v>0</v>
      </c>
      <c r="O296">
        <v>0</v>
      </c>
      <c r="P296" s="2">
        <v>41091</v>
      </c>
      <c r="Q296">
        <v>0</v>
      </c>
      <c r="R296" s="1" t="s">
        <v>61</v>
      </c>
    </row>
    <row r="297" spans="1:18" x14ac:dyDescent="0.25">
      <c r="A297">
        <v>2012</v>
      </c>
      <c r="B297">
        <v>8</v>
      </c>
      <c r="C297" s="1" t="s">
        <v>31</v>
      </c>
      <c r="D297" s="1" t="s">
        <v>19</v>
      </c>
      <c r="E297" s="1" t="s">
        <v>86</v>
      </c>
      <c r="F297">
        <v>2013</v>
      </c>
      <c r="G297">
        <v>0</v>
      </c>
      <c r="H297" s="1" t="s">
        <v>59</v>
      </c>
      <c r="I297">
        <v>24</v>
      </c>
      <c r="J297">
        <v>3445</v>
      </c>
      <c r="K297" s="1" t="s">
        <v>87</v>
      </c>
      <c r="L297" s="1" t="s">
        <v>45</v>
      </c>
      <c r="M297">
        <v>0</v>
      </c>
      <c r="N297">
        <v>0</v>
      </c>
      <c r="O297">
        <v>0</v>
      </c>
      <c r="P297" s="2">
        <v>41122</v>
      </c>
      <c r="Q297">
        <v>0</v>
      </c>
      <c r="R297" s="1" t="s">
        <v>61</v>
      </c>
    </row>
    <row r="298" spans="1:18" x14ac:dyDescent="0.25">
      <c r="A298">
        <v>2012</v>
      </c>
      <c r="B298">
        <v>9</v>
      </c>
      <c r="C298" s="1" t="s">
        <v>32</v>
      </c>
      <c r="D298" s="1" t="s">
        <v>19</v>
      </c>
      <c r="E298" s="1" t="s">
        <v>86</v>
      </c>
      <c r="F298">
        <v>2013</v>
      </c>
      <c r="G298">
        <v>0</v>
      </c>
      <c r="H298" s="1" t="s">
        <v>59</v>
      </c>
      <c r="I298">
        <v>24</v>
      </c>
      <c r="J298">
        <v>3445</v>
      </c>
      <c r="K298" s="1" t="s">
        <v>87</v>
      </c>
      <c r="L298" s="1" t="s">
        <v>45</v>
      </c>
      <c r="M298">
        <v>0</v>
      </c>
      <c r="N298">
        <v>0</v>
      </c>
      <c r="O298">
        <v>0</v>
      </c>
      <c r="P298" s="2">
        <v>41153</v>
      </c>
      <c r="Q298">
        <v>0</v>
      </c>
      <c r="R298" s="1" t="s">
        <v>61</v>
      </c>
    </row>
    <row r="299" spans="1:18" x14ac:dyDescent="0.25">
      <c r="A299">
        <v>2012</v>
      </c>
      <c r="B299">
        <v>10</v>
      </c>
      <c r="C299" s="1" t="s">
        <v>33</v>
      </c>
      <c r="D299" s="1" t="s">
        <v>19</v>
      </c>
      <c r="E299" s="1" t="s">
        <v>86</v>
      </c>
      <c r="F299">
        <v>2013</v>
      </c>
      <c r="G299">
        <v>0</v>
      </c>
      <c r="H299" s="1" t="s">
        <v>59</v>
      </c>
      <c r="I299">
        <v>24</v>
      </c>
      <c r="J299">
        <v>3445</v>
      </c>
      <c r="K299" s="1" t="s">
        <v>87</v>
      </c>
      <c r="L299" s="1" t="s">
        <v>45</v>
      </c>
      <c r="M299">
        <v>0</v>
      </c>
      <c r="N299">
        <v>0</v>
      </c>
      <c r="O299">
        <v>0</v>
      </c>
      <c r="P299" s="2">
        <v>41183</v>
      </c>
      <c r="Q299">
        <v>0</v>
      </c>
      <c r="R299" s="1" t="s">
        <v>61</v>
      </c>
    </row>
    <row r="300" spans="1:18" x14ac:dyDescent="0.25">
      <c r="A300">
        <v>2012</v>
      </c>
      <c r="B300">
        <v>11</v>
      </c>
      <c r="C300" s="1" t="s">
        <v>34</v>
      </c>
      <c r="D300" s="1" t="s">
        <v>19</v>
      </c>
      <c r="E300" s="1" t="s">
        <v>86</v>
      </c>
      <c r="F300">
        <v>2013</v>
      </c>
      <c r="G300">
        <v>0</v>
      </c>
      <c r="H300" s="1" t="s">
        <v>59</v>
      </c>
      <c r="I300">
        <v>24</v>
      </c>
      <c r="J300">
        <v>3445</v>
      </c>
      <c r="K300" s="1" t="s">
        <v>87</v>
      </c>
      <c r="L300" s="1" t="s">
        <v>45</v>
      </c>
      <c r="M300">
        <v>0</v>
      </c>
      <c r="N300">
        <v>0</v>
      </c>
      <c r="O300">
        <v>0</v>
      </c>
      <c r="P300" s="2">
        <v>41214</v>
      </c>
      <c r="Q300">
        <v>0</v>
      </c>
      <c r="R300" s="1" t="s">
        <v>61</v>
      </c>
    </row>
    <row r="301" spans="1:18" x14ac:dyDescent="0.25">
      <c r="A301">
        <v>2012</v>
      </c>
      <c r="B301">
        <v>12</v>
      </c>
      <c r="C301" s="1" t="s">
        <v>35</v>
      </c>
      <c r="D301" s="1" t="s">
        <v>19</v>
      </c>
      <c r="E301" s="1" t="s">
        <v>86</v>
      </c>
      <c r="F301">
        <v>2013</v>
      </c>
      <c r="G301">
        <v>0</v>
      </c>
      <c r="H301" s="1" t="s">
        <v>59</v>
      </c>
      <c r="I301">
        <v>24</v>
      </c>
      <c r="J301">
        <v>3445</v>
      </c>
      <c r="K301" s="1" t="s">
        <v>87</v>
      </c>
      <c r="L301" s="1" t="s">
        <v>45</v>
      </c>
      <c r="M301">
        <v>0</v>
      </c>
      <c r="N301">
        <v>0</v>
      </c>
      <c r="O301">
        <v>0</v>
      </c>
      <c r="P301" s="2">
        <v>41244</v>
      </c>
      <c r="Q301">
        <v>0</v>
      </c>
      <c r="R301" s="1" t="s">
        <v>61</v>
      </c>
    </row>
    <row r="302" spans="1:18" x14ac:dyDescent="0.25">
      <c r="A302">
        <v>2012</v>
      </c>
      <c r="B302">
        <v>1</v>
      </c>
      <c r="C302" s="1" t="s">
        <v>18</v>
      </c>
      <c r="D302" s="1" t="s">
        <v>19</v>
      </c>
      <c r="E302" s="1" t="s">
        <v>88</v>
      </c>
      <c r="F302">
        <v>2013</v>
      </c>
      <c r="G302">
        <v>0</v>
      </c>
      <c r="H302" s="1" t="s">
        <v>59</v>
      </c>
      <c r="I302">
        <v>24</v>
      </c>
      <c r="J302">
        <v>3271</v>
      </c>
      <c r="K302" s="1" t="s">
        <v>89</v>
      </c>
      <c r="L302" s="1" t="s">
        <v>45</v>
      </c>
      <c r="M302">
        <v>0</v>
      </c>
      <c r="N302">
        <v>0</v>
      </c>
      <c r="O302">
        <v>0</v>
      </c>
      <c r="P302" s="2">
        <v>40909</v>
      </c>
      <c r="Q302">
        <v>0</v>
      </c>
      <c r="R302" s="1" t="s">
        <v>61</v>
      </c>
    </row>
    <row r="303" spans="1:18" x14ac:dyDescent="0.25">
      <c r="A303">
        <v>2012</v>
      </c>
      <c r="B303">
        <v>2</v>
      </c>
      <c r="C303" s="1" t="s">
        <v>25</v>
      </c>
      <c r="D303" s="1" t="s">
        <v>19</v>
      </c>
      <c r="E303" s="1" t="s">
        <v>88</v>
      </c>
      <c r="F303">
        <v>2013</v>
      </c>
      <c r="G303">
        <v>0</v>
      </c>
      <c r="H303" s="1" t="s">
        <v>59</v>
      </c>
      <c r="I303">
        <v>24</v>
      </c>
      <c r="J303">
        <v>3271</v>
      </c>
      <c r="K303" s="1" t="s">
        <v>89</v>
      </c>
      <c r="L303" s="1" t="s">
        <v>45</v>
      </c>
      <c r="M303">
        <v>0</v>
      </c>
      <c r="N303">
        <v>0</v>
      </c>
      <c r="O303">
        <v>0</v>
      </c>
      <c r="P303" s="2">
        <v>40940</v>
      </c>
      <c r="Q303">
        <v>0</v>
      </c>
      <c r="R303" s="1" t="s">
        <v>61</v>
      </c>
    </row>
    <row r="304" spans="1:18" x14ac:dyDescent="0.25">
      <c r="A304">
        <v>2012</v>
      </c>
      <c r="B304">
        <v>3</v>
      </c>
      <c r="C304" s="1" t="s">
        <v>26</v>
      </c>
      <c r="D304" s="1" t="s">
        <v>19</v>
      </c>
      <c r="E304" s="1" t="s">
        <v>88</v>
      </c>
      <c r="F304">
        <v>2013</v>
      </c>
      <c r="G304">
        <v>0</v>
      </c>
      <c r="H304" s="1" t="s">
        <v>59</v>
      </c>
      <c r="I304">
        <v>24</v>
      </c>
      <c r="J304">
        <v>3271</v>
      </c>
      <c r="K304" s="1" t="s">
        <v>89</v>
      </c>
      <c r="L304" s="1" t="s">
        <v>45</v>
      </c>
      <c r="M304">
        <v>0</v>
      </c>
      <c r="N304">
        <v>0</v>
      </c>
      <c r="O304">
        <v>0</v>
      </c>
      <c r="P304" s="2">
        <v>40969</v>
      </c>
      <c r="Q304">
        <v>0</v>
      </c>
      <c r="R304" s="1" t="s">
        <v>61</v>
      </c>
    </row>
    <row r="305" spans="1:18" x14ac:dyDescent="0.25">
      <c r="A305">
        <v>2012</v>
      </c>
      <c r="B305">
        <v>4</v>
      </c>
      <c r="C305" s="1" t="s">
        <v>27</v>
      </c>
      <c r="D305" s="1" t="s">
        <v>19</v>
      </c>
      <c r="E305" s="1" t="s">
        <v>88</v>
      </c>
      <c r="F305">
        <v>2013</v>
      </c>
      <c r="G305">
        <v>0</v>
      </c>
      <c r="H305" s="1" t="s">
        <v>59</v>
      </c>
      <c r="I305">
        <v>24</v>
      </c>
      <c r="J305">
        <v>3271</v>
      </c>
      <c r="K305" s="1" t="s">
        <v>89</v>
      </c>
      <c r="L305" s="1" t="s">
        <v>45</v>
      </c>
      <c r="M305">
        <v>0</v>
      </c>
      <c r="N305">
        <v>0</v>
      </c>
      <c r="O305">
        <v>0</v>
      </c>
      <c r="P305" s="2">
        <v>41000</v>
      </c>
      <c r="Q305">
        <v>0</v>
      </c>
      <c r="R305" s="1" t="s">
        <v>61</v>
      </c>
    </row>
    <row r="306" spans="1:18" x14ac:dyDescent="0.25">
      <c r="A306">
        <v>2012</v>
      </c>
      <c r="B306">
        <v>5</v>
      </c>
      <c r="C306" s="1" t="s">
        <v>28</v>
      </c>
      <c r="D306" s="1" t="s">
        <v>19</v>
      </c>
      <c r="E306" s="1" t="s">
        <v>88</v>
      </c>
      <c r="F306">
        <v>2013</v>
      </c>
      <c r="G306">
        <v>0</v>
      </c>
      <c r="H306" s="1" t="s">
        <v>59</v>
      </c>
      <c r="I306">
        <v>24</v>
      </c>
      <c r="J306">
        <v>3271</v>
      </c>
      <c r="K306" s="1" t="s">
        <v>89</v>
      </c>
      <c r="L306" s="1" t="s">
        <v>45</v>
      </c>
      <c r="M306">
        <v>0</v>
      </c>
      <c r="N306">
        <v>0</v>
      </c>
      <c r="O306">
        <v>0</v>
      </c>
      <c r="P306" s="2">
        <v>41030</v>
      </c>
      <c r="Q306">
        <v>0</v>
      </c>
      <c r="R306" s="1" t="s">
        <v>61</v>
      </c>
    </row>
    <row r="307" spans="1:18" x14ac:dyDescent="0.25">
      <c r="A307">
        <v>2012</v>
      </c>
      <c r="B307">
        <v>6</v>
      </c>
      <c r="C307" s="1" t="s">
        <v>29</v>
      </c>
      <c r="D307" s="1" t="s">
        <v>19</v>
      </c>
      <c r="E307" s="1" t="s">
        <v>88</v>
      </c>
      <c r="F307">
        <v>2013</v>
      </c>
      <c r="G307">
        <v>0</v>
      </c>
      <c r="H307" s="1" t="s">
        <v>59</v>
      </c>
      <c r="I307">
        <v>24</v>
      </c>
      <c r="J307">
        <v>3271</v>
      </c>
      <c r="K307" s="1" t="s">
        <v>89</v>
      </c>
      <c r="L307" s="1" t="s">
        <v>45</v>
      </c>
      <c r="M307">
        <v>0</v>
      </c>
      <c r="N307">
        <v>0</v>
      </c>
      <c r="O307">
        <v>0</v>
      </c>
      <c r="P307" s="2">
        <v>41061</v>
      </c>
      <c r="Q307">
        <v>0</v>
      </c>
      <c r="R307" s="1" t="s">
        <v>61</v>
      </c>
    </row>
    <row r="308" spans="1:18" x14ac:dyDescent="0.25">
      <c r="A308">
        <v>2012</v>
      </c>
      <c r="B308">
        <v>7</v>
      </c>
      <c r="C308" s="1" t="s">
        <v>30</v>
      </c>
      <c r="D308" s="1" t="s">
        <v>19</v>
      </c>
      <c r="E308" s="1" t="s">
        <v>88</v>
      </c>
      <c r="F308">
        <v>2013</v>
      </c>
      <c r="G308">
        <v>0</v>
      </c>
      <c r="H308" s="1" t="s">
        <v>59</v>
      </c>
      <c r="I308">
        <v>24</v>
      </c>
      <c r="J308">
        <v>3271</v>
      </c>
      <c r="K308" s="1" t="s">
        <v>89</v>
      </c>
      <c r="L308" s="1" t="s">
        <v>45</v>
      </c>
      <c r="M308">
        <v>0</v>
      </c>
      <c r="N308">
        <v>0</v>
      </c>
      <c r="O308">
        <v>0</v>
      </c>
      <c r="P308" s="2">
        <v>41091</v>
      </c>
      <c r="Q308">
        <v>0</v>
      </c>
      <c r="R308" s="1" t="s">
        <v>61</v>
      </c>
    </row>
    <row r="309" spans="1:18" x14ac:dyDescent="0.25">
      <c r="A309">
        <v>2012</v>
      </c>
      <c r="B309">
        <v>8</v>
      </c>
      <c r="C309" s="1" t="s">
        <v>31</v>
      </c>
      <c r="D309" s="1" t="s">
        <v>19</v>
      </c>
      <c r="E309" s="1" t="s">
        <v>88</v>
      </c>
      <c r="F309">
        <v>2013</v>
      </c>
      <c r="G309">
        <v>0</v>
      </c>
      <c r="H309" s="1" t="s">
        <v>59</v>
      </c>
      <c r="I309">
        <v>24</v>
      </c>
      <c r="J309">
        <v>3271</v>
      </c>
      <c r="K309" s="1" t="s">
        <v>89</v>
      </c>
      <c r="L309" s="1" t="s">
        <v>45</v>
      </c>
      <c r="M309">
        <v>0</v>
      </c>
      <c r="N309">
        <v>0</v>
      </c>
      <c r="O309">
        <v>0</v>
      </c>
      <c r="P309" s="2">
        <v>41122</v>
      </c>
      <c r="Q309">
        <v>0</v>
      </c>
      <c r="R309" s="1" t="s">
        <v>61</v>
      </c>
    </row>
    <row r="310" spans="1:18" x14ac:dyDescent="0.25">
      <c r="A310">
        <v>2012</v>
      </c>
      <c r="B310">
        <v>9</v>
      </c>
      <c r="C310" s="1" t="s">
        <v>32</v>
      </c>
      <c r="D310" s="1" t="s">
        <v>19</v>
      </c>
      <c r="E310" s="1" t="s">
        <v>88</v>
      </c>
      <c r="F310">
        <v>2013</v>
      </c>
      <c r="G310">
        <v>0</v>
      </c>
      <c r="H310" s="1" t="s">
        <v>59</v>
      </c>
      <c r="I310">
        <v>24</v>
      </c>
      <c r="J310">
        <v>3271</v>
      </c>
      <c r="K310" s="1" t="s">
        <v>89</v>
      </c>
      <c r="L310" s="1" t="s">
        <v>45</v>
      </c>
      <c r="M310">
        <v>0</v>
      </c>
      <c r="N310">
        <v>0</v>
      </c>
      <c r="O310">
        <v>0</v>
      </c>
      <c r="P310" s="2">
        <v>41153</v>
      </c>
      <c r="Q310">
        <v>0</v>
      </c>
      <c r="R310" s="1" t="s">
        <v>61</v>
      </c>
    </row>
    <row r="311" spans="1:18" x14ac:dyDescent="0.25">
      <c r="A311">
        <v>2012</v>
      </c>
      <c r="B311">
        <v>10</v>
      </c>
      <c r="C311" s="1" t="s">
        <v>33</v>
      </c>
      <c r="D311" s="1" t="s">
        <v>19</v>
      </c>
      <c r="E311" s="1" t="s">
        <v>88</v>
      </c>
      <c r="F311">
        <v>2013</v>
      </c>
      <c r="G311">
        <v>0</v>
      </c>
      <c r="H311" s="1" t="s">
        <v>59</v>
      </c>
      <c r="I311">
        <v>24</v>
      </c>
      <c r="J311">
        <v>3271</v>
      </c>
      <c r="K311" s="1" t="s">
        <v>89</v>
      </c>
      <c r="L311" s="1" t="s">
        <v>45</v>
      </c>
      <c r="M311">
        <v>0</v>
      </c>
      <c r="N311">
        <v>0</v>
      </c>
      <c r="O311">
        <v>0</v>
      </c>
      <c r="P311" s="2">
        <v>41183</v>
      </c>
      <c r="Q311">
        <v>0</v>
      </c>
      <c r="R311" s="1" t="s">
        <v>61</v>
      </c>
    </row>
    <row r="312" spans="1:18" x14ac:dyDescent="0.25">
      <c r="A312">
        <v>2012</v>
      </c>
      <c r="B312">
        <v>11</v>
      </c>
      <c r="C312" s="1" t="s">
        <v>34</v>
      </c>
      <c r="D312" s="1" t="s">
        <v>19</v>
      </c>
      <c r="E312" s="1" t="s">
        <v>88</v>
      </c>
      <c r="F312">
        <v>2013</v>
      </c>
      <c r="G312">
        <v>0</v>
      </c>
      <c r="H312" s="1" t="s">
        <v>59</v>
      </c>
      <c r="I312">
        <v>24</v>
      </c>
      <c r="J312">
        <v>3271</v>
      </c>
      <c r="K312" s="1" t="s">
        <v>89</v>
      </c>
      <c r="L312" s="1" t="s">
        <v>45</v>
      </c>
      <c r="M312">
        <v>0</v>
      </c>
      <c r="N312">
        <v>0</v>
      </c>
      <c r="O312">
        <v>0</v>
      </c>
      <c r="P312" s="2">
        <v>41214</v>
      </c>
      <c r="Q312">
        <v>0</v>
      </c>
      <c r="R312" s="1" t="s">
        <v>61</v>
      </c>
    </row>
    <row r="313" spans="1:18" x14ac:dyDescent="0.25">
      <c r="A313">
        <v>2012</v>
      </c>
      <c r="B313">
        <v>12</v>
      </c>
      <c r="C313" s="1" t="s">
        <v>35</v>
      </c>
      <c r="D313" s="1" t="s">
        <v>19</v>
      </c>
      <c r="E313" s="1" t="s">
        <v>88</v>
      </c>
      <c r="F313">
        <v>2013</v>
      </c>
      <c r="G313">
        <v>0</v>
      </c>
      <c r="H313" s="1" t="s">
        <v>59</v>
      </c>
      <c r="I313">
        <v>24</v>
      </c>
      <c r="J313">
        <v>3271</v>
      </c>
      <c r="K313" s="1" t="s">
        <v>89</v>
      </c>
      <c r="L313" s="1" t="s">
        <v>45</v>
      </c>
      <c r="M313">
        <v>0</v>
      </c>
      <c r="N313">
        <v>0</v>
      </c>
      <c r="O313">
        <v>0</v>
      </c>
      <c r="P313" s="2">
        <v>41244</v>
      </c>
      <c r="Q313">
        <v>0</v>
      </c>
      <c r="R313" s="1" t="s">
        <v>61</v>
      </c>
    </row>
    <row r="314" spans="1:18" x14ac:dyDescent="0.25">
      <c r="A314">
        <v>2012</v>
      </c>
      <c r="B314">
        <v>1</v>
      </c>
      <c r="C314" s="1" t="s">
        <v>18</v>
      </c>
      <c r="D314" s="1" t="s">
        <v>19</v>
      </c>
      <c r="E314" s="1" t="s">
        <v>90</v>
      </c>
      <c r="F314">
        <v>2013</v>
      </c>
      <c r="G314">
        <v>0</v>
      </c>
      <c r="H314" s="1" t="s">
        <v>59</v>
      </c>
      <c r="I314">
        <v>25</v>
      </c>
      <c r="J314">
        <v>3291</v>
      </c>
      <c r="K314" s="1" t="s">
        <v>91</v>
      </c>
      <c r="L314" s="1" t="s">
        <v>45</v>
      </c>
      <c r="M314">
        <v>0</v>
      </c>
      <c r="N314">
        <v>0</v>
      </c>
      <c r="O314">
        <v>0</v>
      </c>
      <c r="P314" s="2">
        <v>40909</v>
      </c>
      <c r="Q314">
        <v>0</v>
      </c>
      <c r="R314" s="1" t="s">
        <v>61</v>
      </c>
    </row>
    <row r="315" spans="1:18" x14ac:dyDescent="0.25">
      <c r="A315">
        <v>2012</v>
      </c>
      <c r="B315">
        <v>2</v>
      </c>
      <c r="C315" s="1" t="s">
        <v>25</v>
      </c>
      <c r="D315" s="1" t="s">
        <v>19</v>
      </c>
      <c r="E315" s="1" t="s">
        <v>90</v>
      </c>
      <c r="F315">
        <v>2013</v>
      </c>
      <c r="G315">
        <v>0</v>
      </c>
      <c r="H315" s="1" t="s">
        <v>59</v>
      </c>
      <c r="I315">
        <v>25</v>
      </c>
      <c r="J315">
        <v>3291</v>
      </c>
      <c r="K315" s="1" t="s">
        <v>91</v>
      </c>
      <c r="L315" s="1" t="s">
        <v>45</v>
      </c>
      <c r="M315">
        <v>0</v>
      </c>
      <c r="N315">
        <v>0</v>
      </c>
      <c r="O315">
        <v>0</v>
      </c>
      <c r="P315" s="2">
        <v>40940</v>
      </c>
      <c r="Q315">
        <v>0</v>
      </c>
      <c r="R315" s="1" t="s">
        <v>61</v>
      </c>
    </row>
    <row r="316" spans="1:18" x14ac:dyDescent="0.25">
      <c r="A316">
        <v>2012</v>
      </c>
      <c r="B316">
        <v>3</v>
      </c>
      <c r="C316" s="1" t="s">
        <v>26</v>
      </c>
      <c r="D316" s="1" t="s">
        <v>19</v>
      </c>
      <c r="E316" s="1" t="s">
        <v>90</v>
      </c>
      <c r="F316">
        <v>2013</v>
      </c>
      <c r="G316">
        <v>0</v>
      </c>
      <c r="H316" s="1" t="s">
        <v>59</v>
      </c>
      <c r="I316">
        <v>25</v>
      </c>
      <c r="J316">
        <v>3291</v>
      </c>
      <c r="K316" s="1" t="s">
        <v>91</v>
      </c>
      <c r="L316" s="1" t="s">
        <v>45</v>
      </c>
      <c r="M316">
        <v>0</v>
      </c>
      <c r="N316">
        <v>0</v>
      </c>
      <c r="O316">
        <v>0</v>
      </c>
      <c r="P316" s="2">
        <v>40969</v>
      </c>
      <c r="Q316">
        <v>0</v>
      </c>
      <c r="R316" s="1" t="s">
        <v>61</v>
      </c>
    </row>
    <row r="317" spans="1:18" x14ac:dyDescent="0.25">
      <c r="A317">
        <v>2012</v>
      </c>
      <c r="B317">
        <v>4</v>
      </c>
      <c r="C317" s="1" t="s">
        <v>27</v>
      </c>
      <c r="D317" s="1" t="s">
        <v>19</v>
      </c>
      <c r="E317" s="1" t="s">
        <v>90</v>
      </c>
      <c r="F317">
        <v>2013</v>
      </c>
      <c r="G317">
        <v>0</v>
      </c>
      <c r="H317" s="1" t="s">
        <v>59</v>
      </c>
      <c r="I317">
        <v>25</v>
      </c>
      <c r="J317">
        <v>3291</v>
      </c>
      <c r="K317" s="1" t="s">
        <v>91</v>
      </c>
      <c r="L317" s="1" t="s">
        <v>45</v>
      </c>
      <c r="M317">
        <v>0</v>
      </c>
      <c r="N317">
        <v>0</v>
      </c>
      <c r="O317">
        <v>0</v>
      </c>
      <c r="P317" s="2">
        <v>41000</v>
      </c>
      <c r="Q317">
        <v>0</v>
      </c>
      <c r="R317" s="1" t="s">
        <v>61</v>
      </c>
    </row>
    <row r="318" spans="1:18" x14ac:dyDescent="0.25">
      <c r="A318">
        <v>2012</v>
      </c>
      <c r="B318">
        <v>5</v>
      </c>
      <c r="C318" s="1" t="s">
        <v>28</v>
      </c>
      <c r="D318" s="1" t="s">
        <v>19</v>
      </c>
      <c r="E318" s="1" t="s">
        <v>90</v>
      </c>
      <c r="F318">
        <v>2013</v>
      </c>
      <c r="G318">
        <v>0</v>
      </c>
      <c r="H318" s="1" t="s">
        <v>59</v>
      </c>
      <c r="I318">
        <v>25</v>
      </c>
      <c r="J318">
        <v>3291</v>
      </c>
      <c r="K318" s="1" t="s">
        <v>91</v>
      </c>
      <c r="L318" s="1" t="s">
        <v>45</v>
      </c>
      <c r="M318">
        <v>0</v>
      </c>
      <c r="N318">
        <v>0</v>
      </c>
      <c r="O318">
        <v>0</v>
      </c>
      <c r="P318" s="2">
        <v>41030</v>
      </c>
      <c r="Q318">
        <v>0</v>
      </c>
      <c r="R318" s="1" t="s">
        <v>61</v>
      </c>
    </row>
    <row r="319" spans="1:18" x14ac:dyDescent="0.25">
      <c r="A319">
        <v>2012</v>
      </c>
      <c r="B319">
        <v>6</v>
      </c>
      <c r="C319" s="1" t="s">
        <v>29</v>
      </c>
      <c r="D319" s="1" t="s">
        <v>19</v>
      </c>
      <c r="E319" s="1" t="s">
        <v>90</v>
      </c>
      <c r="F319">
        <v>2013</v>
      </c>
      <c r="G319">
        <v>0</v>
      </c>
      <c r="H319" s="1" t="s">
        <v>59</v>
      </c>
      <c r="I319">
        <v>25</v>
      </c>
      <c r="J319">
        <v>3291</v>
      </c>
      <c r="K319" s="1" t="s">
        <v>91</v>
      </c>
      <c r="L319" s="1" t="s">
        <v>45</v>
      </c>
      <c r="M319">
        <v>0</v>
      </c>
      <c r="N319">
        <v>0</v>
      </c>
      <c r="O319">
        <v>0</v>
      </c>
      <c r="P319" s="2">
        <v>41061</v>
      </c>
      <c r="Q319">
        <v>0</v>
      </c>
      <c r="R319" s="1" t="s">
        <v>61</v>
      </c>
    </row>
    <row r="320" spans="1:18" x14ac:dyDescent="0.25">
      <c r="A320">
        <v>2012</v>
      </c>
      <c r="B320">
        <v>7</v>
      </c>
      <c r="C320" s="1" t="s">
        <v>30</v>
      </c>
      <c r="D320" s="1" t="s">
        <v>19</v>
      </c>
      <c r="E320" s="1" t="s">
        <v>90</v>
      </c>
      <c r="F320">
        <v>2013</v>
      </c>
      <c r="G320">
        <v>0</v>
      </c>
      <c r="H320" s="1" t="s">
        <v>59</v>
      </c>
      <c r="I320">
        <v>25</v>
      </c>
      <c r="J320">
        <v>3291</v>
      </c>
      <c r="K320" s="1" t="s">
        <v>91</v>
      </c>
      <c r="L320" s="1" t="s">
        <v>45</v>
      </c>
      <c r="M320">
        <v>0</v>
      </c>
      <c r="N320">
        <v>0</v>
      </c>
      <c r="O320">
        <v>0</v>
      </c>
      <c r="P320" s="2">
        <v>41091</v>
      </c>
      <c r="Q320">
        <v>0</v>
      </c>
      <c r="R320" s="1" t="s">
        <v>61</v>
      </c>
    </row>
    <row r="321" spans="1:18" x14ac:dyDescent="0.25">
      <c r="A321">
        <v>2012</v>
      </c>
      <c r="B321">
        <v>8</v>
      </c>
      <c r="C321" s="1" t="s">
        <v>31</v>
      </c>
      <c r="D321" s="1" t="s">
        <v>19</v>
      </c>
      <c r="E321" s="1" t="s">
        <v>90</v>
      </c>
      <c r="F321">
        <v>2013</v>
      </c>
      <c r="G321">
        <v>0</v>
      </c>
      <c r="H321" s="1" t="s">
        <v>59</v>
      </c>
      <c r="I321">
        <v>25</v>
      </c>
      <c r="J321">
        <v>3291</v>
      </c>
      <c r="K321" s="1" t="s">
        <v>91</v>
      </c>
      <c r="L321" s="1" t="s">
        <v>45</v>
      </c>
      <c r="M321">
        <v>0</v>
      </c>
      <c r="N321">
        <v>0</v>
      </c>
      <c r="O321">
        <v>0</v>
      </c>
      <c r="P321" s="2">
        <v>41122</v>
      </c>
      <c r="Q321">
        <v>0</v>
      </c>
      <c r="R321" s="1" t="s">
        <v>61</v>
      </c>
    </row>
    <row r="322" spans="1:18" x14ac:dyDescent="0.25">
      <c r="A322">
        <v>2012</v>
      </c>
      <c r="B322">
        <v>9</v>
      </c>
      <c r="C322" s="1" t="s">
        <v>32</v>
      </c>
      <c r="D322" s="1" t="s">
        <v>19</v>
      </c>
      <c r="E322" s="1" t="s">
        <v>90</v>
      </c>
      <c r="F322">
        <v>2013</v>
      </c>
      <c r="G322">
        <v>0</v>
      </c>
      <c r="H322" s="1" t="s">
        <v>59</v>
      </c>
      <c r="I322">
        <v>25</v>
      </c>
      <c r="J322">
        <v>3291</v>
      </c>
      <c r="K322" s="1" t="s">
        <v>91</v>
      </c>
      <c r="L322" s="1" t="s">
        <v>45</v>
      </c>
      <c r="M322">
        <v>0</v>
      </c>
      <c r="N322">
        <v>0</v>
      </c>
      <c r="O322">
        <v>0</v>
      </c>
      <c r="P322" s="2">
        <v>41153</v>
      </c>
      <c r="Q322">
        <v>0</v>
      </c>
      <c r="R322" s="1" t="s">
        <v>61</v>
      </c>
    </row>
    <row r="323" spans="1:18" x14ac:dyDescent="0.25">
      <c r="A323">
        <v>2012</v>
      </c>
      <c r="B323">
        <v>10</v>
      </c>
      <c r="C323" s="1" t="s">
        <v>33</v>
      </c>
      <c r="D323" s="1" t="s">
        <v>19</v>
      </c>
      <c r="E323" s="1" t="s">
        <v>90</v>
      </c>
      <c r="F323">
        <v>2013</v>
      </c>
      <c r="G323">
        <v>0</v>
      </c>
      <c r="H323" s="1" t="s">
        <v>59</v>
      </c>
      <c r="I323">
        <v>25</v>
      </c>
      <c r="J323">
        <v>3291</v>
      </c>
      <c r="K323" s="1" t="s">
        <v>91</v>
      </c>
      <c r="L323" s="1" t="s">
        <v>45</v>
      </c>
      <c r="M323">
        <v>0</v>
      </c>
      <c r="N323">
        <v>0</v>
      </c>
      <c r="O323">
        <v>0</v>
      </c>
      <c r="P323" s="2">
        <v>41183</v>
      </c>
      <c r="Q323">
        <v>0</v>
      </c>
      <c r="R323" s="1" t="s">
        <v>61</v>
      </c>
    </row>
    <row r="324" spans="1:18" x14ac:dyDescent="0.25">
      <c r="A324">
        <v>2012</v>
      </c>
      <c r="B324">
        <v>11</v>
      </c>
      <c r="C324" s="1" t="s">
        <v>34</v>
      </c>
      <c r="D324" s="1" t="s">
        <v>19</v>
      </c>
      <c r="E324" s="1" t="s">
        <v>90</v>
      </c>
      <c r="F324">
        <v>2013</v>
      </c>
      <c r="G324">
        <v>0</v>
      </c>
      <c r="H324" s="1" t="s">
        <v>59</v>
      </c>
      <c r="I324">
        <v>25</v>
      </c>
      <c r="J324">
        <v>3291</v>
      </c>
      <c r="K324" s="1" t="s">
        <v>91</v>
      </c>
      <c r="L324" s="1" t="s">
        <v>45</v>
      </c>
      <c r="M324">
        <v>0</v>
      </c>
      <c r="N324">
        <v>0</v>
      </c>
      <c r="O324">
        <v>0</v>
      </c>
      <c r="P324" s="2">
        <v>41214</v>
      </c>
      <c r="Q324">
        <v>0</v>
      </c>
      <c r="R324" s="1" t="s">
        <v>61</v>
      </c>
    </row>
    <row r="325" spans="1:18" x14ac:dyDescent="0.25">
      <c r="A325">
        <v>2012</v>
      </c>
      <c r="B325">
        <v>12</v>
      </c>
      <c r="C325" s="1" t="s">
        <v>35</v>
      </c>
      <c r="D325" s="1" t="s">
        <v>19</v>
      </c>
      <c r="E325" s="1" t="s">
        <v>90</v>
      </c>
      <c r="F325">
        <v>2013</v>
      </c>
      <c r="G325">
        <v>0</v>
      </c>
      <c r="H325" s="1" t="s">
        <v>59</v>
      </c>
      <c r="I325">
        <v>25</v>
      </c>
      <c r="J325">
        <v>3291</v>
      </c>
      <c r="K325" s="1" t="s">
        <v>91</v>
      </c>
      <c r="L325" s="1" t="s">
        <v>45</v>
      </c>
      <c r="M325">
        <v>0</v>
      </c>
      <c r="N325">
        <v>0</v>
      </c>
      <c r="O325">
        <v>0</v>
      </c>
      <c r="P325" s="2">
        <v>41244</v>
      </c>
      <c r="Q325">
        <v>0</v>
      </c>
      <c r="R325" s="1" t="s">
        <v>61</v>
      </c>
    </row>
    <row r="326" spans="1:18" x14ac:dyDescent="0.25">
      <c r="A326">
        <v>2012</v>
      </c>
      <c r="B326">
        <v>1</v>
      </c>
      <c r="C326" s="1" t="s">
        <v>18</v>
      </c>
      <c r="D326" s="1" t="s">
        <v>19</v>
      </c>
      <c r="E326" s="1" t="s">
        <v>92</v>
      </c>
      <c r="F326">
        <v>2014</v>
      </c>
      <c r="G326">
        <v>0</v>
      </c>
      <c r="H326" s="1" t="s">
        <v>59</v>
      </c>
      <c r="I326">
        <v>24</v>
      </c>
      <c r="J326">
        <v>2208</v>
      </c>
      <c r="K326" s="1" t="s">
        <v>93</v>
      </c>
      <c r="L326" s="1" t="s">
        <v>45</v>
      </c>
      <c r="M326">
        <v>0</v>
      </c>
      <c r="N326">
        <v>0</v>
      </c>
      <c r="O326">
        <v>0</v>
      </c>
      <c r="P326" s="2">
        <v>40909</v>
      </c>
      <c r="Q326">
        <v>0</v>
      </c>
      <c r="R326" s="1" t="s">
        <v>61</v>
      </c>
    </row>
    <row r="327" spans="1:18" x14ac:dyDescent="0.25">
      <c r="A327">
        <v>2012</v>
      </c>
      <c r="B327">
        <v>2</v>
      </c>
      <c r="C327" s="1" t="s">
        <v>25</v>
      </c>
      <c r="D327" s="1" t="s">
        <v>19</v>
      </c>
      <c r="E327" s="1" t="s">
        <v>92</v>
      </c>
      <c r="F327">
        <v>2014</v>
      </c>
      <c r="G327">
        <v>0</v>
      </c>
      <c r="H327" s="1" t="s">
        <v>59</v>
      </c>
      <c r="I327">
        <v>24</v>
      </c>
      <c r="J327">
        <v>2208</v>
      </c>
      <c r="K327" s="1" t="s">
        <v>93</v>
      </c>
      <c r="L327" s="1" t="s">
        <v>45</v>
      </c>
      <c r="M327">
        <v>0</v>
      </c>
      <c r="N327">
        <v>0</v>
      </c>
      <c r="O327">
        <v>0</v>
      </c>
      <c r="P327" s="2">
        <v>40940</v>
      </c>
      <c r="Q327">
        <v>0</v>
      </c>
      <c r="R327" s="1" t="s">
        <v>61</v>
      </c>
    </row>
    <row r="328" spans="1:18" x14ac:dyDescent="0.25">
      <c r="A328">
        <v>2012</v>
      </c>
      <c r="B328">
        <v>3</v>
      </c>
      <c r="C328" s="1" t="s">
        <v>26</v>
      </c>
      <c r="D328" s="1" t="s">
        <v>19</v>
      </c>
      <c r="E328" s="1" t="s">
        <v>92</v>
      </c>
      <c r="F328">
        <v>2014</v>
      </c>
      <c r="G328">
        <v>0</v>
      </c>
      <c r="H328" s="1" t="s">
        <v>59</v>
      </c>
      <c r="I328">
        <v>24</v>
      </c>
      <c r="J328">
        <v>2208</v>
      </c>
      <c r="K328" s="1" t="s">
        <v>93</v>
      </c>
      <c r="L328" s="1" t="s">
        <v>45</v>
      </c>
      <c r="M328">
        <v>0</v>
      </c>
      <c r="N328">
        <v>0</v>
      </c>
      <c r="O328">
        <v>0</v>
      </c>
      <c r="P328" s="2">
        <v>40969</v>
      </c>
      <c r="Q328">
        <v>0</v>
      </c>
      <c r="R328" s="1" t="s">
        <v>61</v>
      </c>
    </row>
    <row r="329" spans="1:18" x14ac:dyDescent="0.25">
      <c r="A329">
        <v>2012</v>
      </c>
      <c r="B329">
        <v>4</v>
      </c>
      <c r="C329" s="1" t="s">
        <v>27</v>
      </c>
      <c r="D329" s="1" t="s">
        <v>19</v>
      </c>
      <c r="E329" s="1" t="s">
        <v>92</v>
      </c>
      <c r="F329">
        <v>2014</v>
      </c>
      <c r="G329">
        <v>0</v>
      </c>
      <c r="H329" s="1" t="s">
        <v>59</v>
      </c>
      <c r="I329">
        <v>24</v>
      </c>
      <c r="J329">
        <v>2208</v>
      </c>
      <c r="K329" s="1" t="s">
        <v>93</v>
      </c>
      <c r="L329" s="1" t="s">
        <v>45</v>
      </c>
      <c r="M329">
        <v>0</v>
      </c>
      <c r="N329">
        <v>0</v>
      </c>
      <c r="O329">
        <v>0</v>
      </c>
      <c r="P329" s="2">
        <v>41000</v>
      </c>
      <c r="Q329">
        <v>0</v>
      </c>
      <c r="R329" s="1" t="s">
        <v>61</v>
      </c>
    </row>
    <row r="330" spans="1:18" x14ac:dyDescent="0.25">
      <c r="A330">
        <v>2012</v>
      </c>
      <c r="B330">
        <v>5</v>
      </c>
      <c r="C330" s="1" t="s">
        <v>28</v>
      </c>
      <c r="D330" s="1" t="s">
        <v>19</v>
      </c>
      <c r="E330" s="1" t="s">
        <v>92</v>
      </c>
      <c r="F330">
        <v>2014</v>
      </c>
      <c r="G330">
        <v>0</v>
      </c>
      <c r="H330" s="1" t="s">
        <v>59</v>
      </c>
      <c r="I330">
        <v>24</v>
      </c>
      <c r="J330">
        <v>2208</v>
      </c>
      <c r="K330" s="1" t="s">
        <v>93</v>
      </c>
      <c r="L330" s="1" t="s">
        <v>45</v>
      </c>
      <c r="M330">
        <v>0</v>
      </c>
      <c r="N330">
        <v>0</v>
      </c>
      <c r="O330">
        <v>0</v>
      </c>
      <c r="P330" s="2">
        <v>41030</v>
      </c>
      <c r="Q330">
        <v>0</v>
      </c>
      <c r="R330" s="1" t="s">
        <v>61</v>
      </c>
    </row>
    <row r="331" spans="1:18" x14ac:dyDescent="0.25">
      <c r="A331">
        <v>2012</v>
      </c>
      <c r="B331">
        <v>6</v>
      </c>
      <c r="C331" s="1" t="s">
        <v>29</v>
      </c>
      <c r="D331" s="1" t="s">
        <v>19</v>
      </c>
      <c r="E331" s="1" t="s">
        <v>92</v>
      </c>
      <c r="F331">
        <v>2014</v>
      </c>
      <c r="G331">
        <v>0</v>
      </c>
      <c r="H331" s="1" t="s">
        <v>59</v>
      </c>
      <c r="I331">
        <v>24</v>
      </c>
      <c r="J331">
        <v>2208</v>
      </c>
      <c r="K331" s="1" t="s">
        <v>93</v>
      </c>
      <c r="L331" s="1" t="s">
        <v>45</v>
      </c>
      <c r="M331">
        <v>0</v>
      </c>
      <c r="N331">
        <v>0</v>
      </c>
      <c r="O331">
        <v>0</v>
      </c>
      <c r="P331" s="2">
        <v>41061</v>
      </c>
      <c r="Q331">
        <v>0</v>
      </c>
      <c r="R331" s="1" t="s">
        <v>61</v>
      </c>
    </row>
    <row r="332" spans="1:18" x14ac:dyDescent="0.25">
      <c r="A332">
        <v>2012</v>
      </c>
      <c r="B332">
        <v>7</v>
      </c>
      <c r="C332" s="1" t="s">
        <v>30</v>
      </c>
      <c r="D332" s="1" t="s">
        <v>19</v>
      </c>
      <c r="E332" s="1" t="s">
        <v>92</v>
      </c>
      <c r="F332">
        <v>2014</v>
      </c>
      <c r="G332">
        <v>0</v>
      </c>
      <c r="H332" s="1" t="s">
        <v>59</v>
      </c>
      <c r="I332">
        <v>24</v>
      </c>
      <c r="J332">
        <v>2208</v>
      </c>
      <c r="K332" s="1" t="s">
        <v>93</v>
      </c>
      <c r="L332" s="1" t="s">
        <v>45</v>
      </c>
      <c r="M332">
        <v>0</v>
      </c>
      <c r="N332">
        <v>0</v>
      </c>
      <c r="O332">
        <v>0</v>
      </c>
      <c r="P332" s="2">
        <v>41091</v>
      </c>
      <c r="Q332">
        <v>0</v>
      </c>
      <c r="R332" s="1" t="s">
        <v>61</v>
      </c>
    </row>
    <row r="333" spans="1:18" x14ac:dyDescent="0.25">
      <c r="A333">
        <v>2012</v>
      </c>
      <c r="B333">
        <v>8</v>
      </c>
      <c r="C333" s="1" t="s">
        <v>31</v>
      </c>
      <c r="D333" s="1" t="s">
        <v>19</v>
      </c>
      <c r="E333" s="1" t="s">
        <v>92</v>
      </c>
      <c r="F333">
        <v>2014</v>
      </c>
      <c r="G333">
        <v>0</v>
      </c>
      <c r="H333" s="1" t="s">
        <v>59</v>
      </c>
      <c r="I333">
        <v>24</v>
      </c>
      <c r="J333">
        <v>2208</v>
      </c>
      <c r="K333" s="1" t="s">
        <v>93</v>
      </c>
      <c r="L333" s="1" t="s">
        <v>45</v>
      </c>
      <c r="M333">
        <v>0</v>
      </c>
      <c r="N333">
        <v>0</v>
      </c>
      <c r="O333">
        <v>0</v>
      </c>
      <c r="P333" s="2">
        <v>41122</v>
      </c>
      <c r="Q333">
        <v>0</v>
      </c>
      <c r="R333" s="1" t="s">
        <v>61</v>
      </c>
    </row>
    <row r="334" spans="1:18" x14ac:dyDescent="0.25">
      <c r="A334">
        <v>2012</v>
      </c>
      <c r="B334">
        <v>9</v>
      </c>
      <c r="C334" s="1" t="s">
        <v>32</v>
      </c>
      <c r="D334" s="1" t="s">
        <v>19</v>
      </c>
      <c r="E334" s="1" t="s">
        <v>92</v>
      </c>
      <c r="F334">
        <v>2014</v>
      </c>
      <c r="G334">
        <v>0</v>
      </c>
      <c r="H334" s="1" t="s">
        <v>59</v>
      </c>
      <c r="I334">
        <v>24</v>
      </c>
      <c r="J334">
        <v>2208</v>
      </c>
      <c r="K334" s="1" t="s">
        <v>93</v>
      </c>
      <c r="L334" s="1" t="s">
        <v>45</v>
      </c>
      <c r="M334">
        <v>0</v>
      </c>
      <c r="N334">
        <v>0</v>
      </c>
      <c r="O334">
        <v>0</v>
      </c>
      <c r="P334" s="2">
        <v>41153</v>
      </c>
      <c r="Q334">
        <v>0</v>
      </c>
      <c r="R334" s="1" t="s">
        <v>61</v>
      </c>
    </row>
    <row r="335" spans="1:18" x14ac:dyDescent="0.25">
      <c r="A335">
        <v>2012</v>
      </c>
      <c r="B335">
        <v>10</v>
      </c>
      <c r="C335" s="1" t="s">
        <v>33</v>
      </c>
      <c r="D335" s="1" t="s">
        <v>19</v>
      </c>
      <c r="E335" s="1" t="s">
        <v>92</v>
      </c>
      <c r="F335">
        <v>2014</v>
      </c>
      <c r="G335">
        <v>0</v>
      </c>
      <c r="H335" s="1" t="s">
        <v>59</v>
      </c>
      <c r="I335">
        <v>24</v>
      </c>
      <c r="J335">
        <v>2208</v>
      </c>
      <c r="K335" s="1" t="s">
        <v>93</v>
      </c>
      <c r="L335" s="1" t="s">
        <v>45</v>
      </c>
      <c r="M335">
        <v>0</v>
      </c>
      <c r="N335">
        <v>0</v>
      </c>
      <c r="O335">
        <v>0</v>
      </c>
      <c r="P335" s="2">
        <v>41183</v>
      </c>
      <c r="Q335">
        <v>0</v>
      </c>
      <c r="R335" s="1" t="s">
        <v>61</v>
      </c>
    </row>
    <row r="336" spans="1:18" x14ac:dyDescent="0.25">
      <c r="A336">
        <v>2012</v>
      </c>
      <c r="B336">
        <v>11</v>
      </c>
      <c r="C336" s="1" t="s">
        <v>34</v>
      </c>
      <c r="D336" s="1" t="s">
        <v>19</v>
      </c>
      <c r="E336" s="1" t="s">
        <v>92</v>
      </c>
      <c r="F336">
        <v>2014</v>
      </c>
      <c r="G336">
        <v>0</v>
      </c>
      <c r="H336" s="1" t="s">
        <v>59</v>
      </c>
      <c r="I336">
        <v>24</v>
      </c>
      <c r="J336">
        <v>2208</v>
      </c>
      <c r="K336" s="1" t="s">
        <v>93</v>
      </c>
      <c r="L336" s="1" t="s">
        <v>45</v>
      </c>
      <c r="M336">
        <v>0</v>
      </c>
      <c r="N336">
        <v>0</v>
      </c>
      <c r="O336">
        <v>0</v>
      </c>
      <c r="P336" s="2">
        <v>41214</v>
      </c>
      <c r="Q336">
        <v>0</v>
      </c>
      <c r="R336" s="1" t="s">
        <v>61</v>
      </c>
    </row>
    <row r="337" spans="1:18" x14ac:dyDescent="0.25">
      <c r="A337">
        <v>2012</v>
      </c>
      <c r="B337">
        <v>12</v>
      </c>
      <c r="C337" s="1" t="s">
        <v>35</v>
      </c>
      <c r="D337" s="1" t="s">
        <v>19</v>
      </c>
      <c r="E337" s="1" t="s">
        <v>92</v>
      </c>
      <c r="F337">
        <v>2014</v>
      </c>
      <c r="G337">
        <v>0</v>
      </c>
      <c r="H337" s="1" t="s">
        <v>59</v>
      </c>
      <c r="I337">
        <v>24</v>
      </c>
      <c r="J337">
        <v>2208</v>
      </c>
      <c r="K337" s="1" t="s">
        <v>93</v>
      </c>
      <c r="L337" s="1" t="s">
        <v>45</v>
      </c>
      <c r="M337">
        <v>0</v>
      </c>
      <c r="N337">
        <v>0</v>
      </c>
      <c r="O337">
        <v>0</v>
      </c>
      <c r="P337" s="2">
        <v>41244</v>
      </c>
      <c r="Q337">
        <v>0</v>
      </c>
      <c r="R337" s="1" t="s">
        <v>61</v>
      </c>
    </row>
    <row r="338" spans="1:18" x14ac:dyDescent="0.25">
      <c r="A338">
        <v>2012</v>
      </c>
      <c r="B338">
        <v>1</v>
      </c>
      <c r="C338" s="1" t="s">
        <v>18</v>
      </c>
      <c r="D338" s="1" t="s">
        <v>19</v>
      </c>
      <c r="E338" s="1" t="s">
        <v>94</v>
      </c>
      <c r="F338">
        <v>2014</v>
      </c>
      <c r="G338">
        <v>0</v>
      </c>
      <c r="H338" s="1" t="s">
        <v>59</v>
      </c>
      <c r="I338">
        <v>20</v>
      </c>
      <c r="J338">
        <v>1954</v>
      </c>
      <c r="K338" s="1" t="s">
        <v>95</v>
      </c>
      <c r="L338" s="1" t="s">
        <v>45</v>
      </c>
      <c r="M338">
        <v>0</v>
      </c>
      <c r="N338">
        <v>0</v>
      </c>
      <c r="O338">
        <v>0</v>
      </c>
      <c r="P338" s="2">
        <v>40909</v>
      </c>
      <c r="Q338">
        <v>0</v>
      </c>
      <c r="R338" s="1" t="s">
        <v>61</v>
      </c>
    </row>
    <row r="339" spans="1:18" x14ac:dyDescent="0.25">
      <c r="A339">
        <v>2012</v>
      </c>
      <c r="B339">
        <v>2</v>
      </c>
      <c r="C339" s="1" t="s">
        <v>25</v>
      </c>
      <c r="D339" s="1" t="s">
        <v>19</v>
      </c>
      <c r="E339" s="1" t="s">
        <v>94</v>
      </c>
      <c r="F339">
        <v>2014</v>
      </c>
      <c r="G339">
        <v>0</v>
      </c>
      <c r="H339" s="1" t="s">
        <v>59</v>
      </c>
      <c r="I339">
        <v>20</v>
      </c>
      <c r="J339">
        <v>1954</v>
      </c>
      <c r="K339" s="1" t="s">
        <v>95</v>
      </c>
      <c r="L339" s="1" t="s">
        <v>45</v>
      </c>
      <c r="M339">
        <v>0</v>
      </c>
      <c r="N339">
        <v>0</v>
      </c>
      <c r="O339">
        <v>0</v>
      </c>
      <c r="P339" s="2">
        <v>40940</v>
      </c>
      <c r="Q339">
        <v>0</v>
      </c>
      <c r="R339" s="1" t="s">
        <v>61</v>
      </c>
    </row>
    <row r="340" spans="1:18" x14ac:dyDescent="0.25">
      <c r="A340">
        <v>2012</v>
      </c>
      <c r="B340">
        <v>3</v>
      </c>
      <c r="C340" s="1" t="s">
        <v>26</v>
      </c>
      <c r="D340" s="1" t="s">
        <v>19</v>
      </c>
      <c r="E340" s="1" t="s">
        <v>94</v>
      </c>
      <c r="F340">
        <v>2014</v>
      </c>
      <c r="G340">
        <v>0</v>
      </c>
      <c r="H340" s="1" t="s">
        <v>59</v>
      </c>
      <c r="I340">
        <v>20</v>
      </c>
      <c r="J340">
        <v>1954</v>
      </c>
      <c r="K340" s="1" t="s">
        <v>95</v>
      </c>
      <c r="L340" s="1" t="s">
        <v>45</v>
      </c>
      <c r="M340">
        <v>0</v>
      </c>
      <c r="N340">
        <v>0</v>
      </c>
      <c r="O340">
        <v>0</v>
      </c>
      <c r="P340" s="2">
        <v>40969</v>
      </c>
      <c r="Q340">
        <v>0</v>
      </c>
      <c r="R340" s="1" t="s">
        <v>61</v>
      </c>
    </row>
    <row r="341" spans="1:18" x14ac:dyDescent="0.25">
      <c r="A341">
        <v>2012</v>
      </c>
      <c r="B341">
        <v>4</v>
      </c>
      <c r="C341" s="1" t="s">
        <v>27</v>
      </c>
      <c r="D341" s="1" t="s">
        <v>19</v>
      </c>
      <c r="E341" s="1" t="s">
        <v>94</v>
      </c>
      <c r="F341">
        <v>2014</v>
      </c>
      <c r="G341">
        <v>0</v>
      </c>
      <c r="H341" s="1" t="s">
        <v>59</v>
      </c>
      <c r="I341">
        <v>20</v>
      </c>
      <c r="J341">
        <v>1954</v>
      </c>
      <c r="K341" s="1" t="s">
        <v>95</v>
      </c>
      <c r="L341" s="1" t="s">
        <v>45</v>
      </c>
      <c r="M341">
        <v>0</v>
      </c>
      <c r="N341">
        <v>0</v>
      </c>
      <c r="O341">
        <v>0</v>
      </c>
      <c r="P341" s="2">
        <v>41000</v>
      </c>
      <c r="Q341">
        <v>0</v>
      </c>
      <c r="R341" s="1" t="s">
        <v>61</v>
      </c>
    </row>
    <row r="342" spans="1:18" x14ac:dyDescent="0.25">
      <c r="A342">
        <v>2012</v>
      </c>
      <c r="B342">
        <v>5</v>
      </c>
      <c r="C342" s="1" t="s">
        <v>28</v>
      </c>
      <c r="D342" s="1" t="s">
        <v>19</v>
      </c>
      <c r="E342" s="1" t="s">
        <v>94</v>
      </c>
      <c r="F342">
        <v>2014</v>
      </c>
      <c r="G342">
        <v>0</v>
      </c>
      <c r="H342" s="1" t="s">
        <v>59</v>
      </c>
      <c r="I342">
        <v>20</v>
      </c>
      <c r="J342">
        <v>1954</v>
      </c>
      <c r="K342" s="1" t="s">
        <v>95</v>
      </c>
      <c r="L342" s="1" t="s">
        <v>45</v>
      </c>
      <c r="M342">
        <v>0</v>
      </c>
      <c r="N342">
        <v>0</v>
      </c>
      <c r="O342">
        <v>0</v>
      </c>
      <c r="P342" s="2">
        <v>41030</v>
      </c>
      <c r="Q342">
        <v>0</v>
      </c>
      <c r="R342" s="1" t="s">
        <v>61</v>
      </c>
    </row>
    <row r="343" spans="1:18" x14ac:dyDescent="0.25">
      <c r="A343">
        <v>2012</v>
      </c>
      <c r="B343">
        <v>6</v>
      </c>
      <c r="C343" s="1" t="s">
        <v>29</v>
      </c>
      <c r="D343" s="1" t="s">
        <v>19</v>
      </c>
      <c r="E343" s="1" t="s">
        <v>94</v>
      </c>
      <c r="F343">
        <v>2014</v>
      </c>
      <c r="G343">
        <v>0</v>
      </c>
      <c r="H343" s="1" t="s">
        <v>59</v>
      </c>
      <c r="I343">
        <v>20</v>
      </c>
      <c r="J343">
        <v>1954</v>
      </c>
      <c r="K343" s="1" t="s">
        <v>95</v>
      </c>
      <c r="L343" s="1" t="s">
        <v>45</v>
      </c>
      <c r="M343">
        <v>0</v>
      </c>
      <c r="N343">
        <v>0</v>
      </c>
      <c r="O343">
        <v>0</v>
      </c>
      <c r="P343" s="2">
        <v>41061</v>
      </c>
      <c r="Q343">
        <v>0</v>
      </c>
      <c r="R343" s="1" t="s">
        <v>61</v>
      </c>
    </row>
    <row r="344" spans="1:18" x14ac:dyDescent="0.25">
      <c r="A344">
        <v>2012</v>
      </c>
      <c r="B344">
        <v>7</v>
      </c>
      <c r="C344" s="1" t="s">
        <v>30</v>
      </c>
      <c r="D344" s="1" t="s">
        <v>19</v>
      </c>
      <c r="E344" s="1" t="s">
        <v>94</v>
      </c>
      <c r="F344">
        <v>2014</v>
      </c>
      <c r="G344">
        <v>0</v>
      </c>
      <c r="H344" s="1" t="s">
        <v>59</v>
      </c>
      <c r="I344">
        <v>20</v>
      </c>
      <c r="J344">
        <v>1954</v>
      </c>
      <c r="K344" s="1" t="s">
        <v>95</v>
      </c>
      <c r="L344" s="1" t="s">
        <v>45</v>
      </c>
      <c r="M344">
        <v>0</v>
      </c>
      <c r="N344">
        <v>0</v>
      </c>
      <c r="O344">
        <v>0</v>
      </c>
      <c r="P344" s="2">
        <v>41091</v>
      </c>
      <c r="Q344">
        <v>0</v>
      </c>
      <c r="R344" s="1" t="s">
        <v>61</v>
      </c>
    </row>
    <row r="345" spans="1:18" x14ac:dyDescent="0.25">
      <c r="A345">
        <v>2012</v>
      </c>
      <c r="B345">
        <v>8</v>
      </c>
      <c r="C345" s="1" t="s">
        <v>31</v>
      </c>
      <c r="D345" s="1" t="s">
        <v>19</v>
      </c>
      <c r="E345" s="1" t="s">
        <v>94</v>
      </c>
      <c r="F345">
        <v>2014</v>
      </c>
      <c r="G345">
        <v>0</v>
      </c>
      <c r="H345" s="1" t="s">
        <v>59</v>
      </c>
      <c r="I345">
        <v>20</v>
      </c>
      <c r="J345">
        <v>1954</v>
      </c>
      <c r="K345" s="1" t="s">
        <v>95</v>
      </c>
      <c r="L345" s="1" t="s">
        <v>45</v>
      </c>
      <c r="M345">
        <v>0</v>
      </c>
      <c r="N345">
        <v>0</v>
      </c>
      <c r="O345">
        <v>0</v>
      </c>
      <c r="P345" s="2">
        <v>41122</v>
      </c>
      <c r="Q345">
        <v>0</v>
      </c>
      <c r="R345" s="1" t="s">
        <v>61</v>
      </c>
    </row>
    <row r="346" spans="1:18" x14ac:dyDescent="0.25">
      <c r="A346">
        <v>2012</v>
      </c>
      <c r="B346">
        <v>9</v>
      </c>
      <c r="C346" s="1" t="s">
        <v>32</v>
      </c>
      <c r="D346" s="1" t="s">
        <v>19</v>
      </c>
      <c r="E346" s="1" t="s">
        <v>94</v>
      </c>
      <c r="F346">
        <v>2014</v>
      </c>
      <c r="G346">
        <v>0</v>
      </c>
      <c r="H346" s="1" t="s">
        <v>59</v>
      </c>
      <c r="I346">
        <v>20</v>
      </c>
      <c r="J346">
        <v>1954</v>
      </c>
      <c r="K346" s="1" t="s">
        <v>95</v>
      </c>
      <c r="L346" s="1" t="s">
        <v>45</v>
      </c>
      <c r="M346">
        <v>0</v>
      </c>
      <c r="N346">
        <v>0</v>
      </c>
      <c r="O346">
        <v>0</v>
      </c>
      <c r="P346" s="2">
        <v>41153</v>
      </c>
      <c r="Q346">
        <v>0</v>
      </c>
      <c r="R346" s="1" t="s">
        <v>61</v>
      </c>
    </row>
    <row r="347" spans="1:18" x14ac:dyDescent="0.25">
      <c r="A347">
        <v>2012</v>
      </c>
      <c r="B347">
        <v>10</v>
      </c>
      <c r="C347" s="1" t="s">
        <v>33</v>
      </c>
      <c r="D347" s="1" t="s">
        <v>19</v>
      </c>
      <c r="E347" s="1" t="s">
        <v>94</v>
      </c>
      <c r="F347">
        <v>2014</v>
      </c>
      <c r="G347">
        <v>0</v>
      </c>
      <c r="H347" s="1" t="s">
        <v>59</v>
      </c>
      <c r="I347">
        <v>20</v>
      </c>
      <c r="J347">
        <v>1954</v>
      </c>
      <c r="K347" s="1" t="s">
        <v>95</v>
      </c>
      <c r="L347" s="1" t="s">
        <v>45</v>
      </c>
      <c r="M347">
        <v>0</v>
      </c>
      <c r="N347">
        <v>0</v>
      </c>
      <c r="O347">
        <v>0</v>
      </c>
      <c r="P347" s="2">
        <v>41183</v>
      </c>
      <c r="Q347">
        <v>0</v>
      </c>
      <c r="R347" s="1" t="s">
        <v>61</v>
      </c>
    </row>
    <row r="348" spans="1:18" x14ac:dyDescent="0.25">
      <c r="A348">
        <v>2012</v>
      </c>
      <c r="B348">
        <v>11</v>
      </c>
      <c r="C348" s="1" t="s">
        <v>34</v>
      </c>
      <c r="D348" s="1" t="s">
        <v>19</v>
      </c>
      <c r="E348" s="1" t="s">
        <v>94</v>
      </c>
      <c r="F348">
        <v>2014</v>
      </c>
      <c r="G348">
        <v>0</v>
      </c>
      <c r="H348" s="1" t="s">
        <v>59</v>
      </c>
      <c r="I348">
        <v>20</v>
      </c>
      <c r="J348">
        <v>1954</v>
      </c>
      <c r="K348" s="1" t="s">
        <v>95</v>
      </c>
      <c r="L348" s="1" t="s">
        <v>45</v>
      </c>
      <c r="M348">
        <v>0</v>
      </c>
      <c r="N348">
        <v>0</v>
      </c>
      <c r="O348">
        <v>0</v>
      </c>
      <c r="P348" s="2">
        <v>41214</v>
      </c>
      <c r="Q348">
        <v>0</v>
      </c>
      <c r="R348" s="1" t="s">
        <v>61</v>
      </c>
    </row>
    <row r="349" spans="1:18" x14ac:dyDescent="0.25">
      <c r="A349">
        <v>2012</v>
      </c>
      <c r="B349">
        <v>12</v>
      </c>
      <c r="C349" s="1" t="s">
        <v>35</v>
      </c>
      <c r="D349" s="1" t="s">
        <v>19</v>
      </c>
      <c r="E349" s="1" t="s">
        <v>94</v>
      </c>
      <c r="F349">
        <v>2014</v>
      </c>
      <c r="G349">
        <v>0</v>
      </c>
      <c r="H349" s="1" t="s">
        <v>59</v>
      </c>
      <c r="I349">
        <v>20</v>
      </c>
      <c r="J349">
        <v>1954</v>
      </c>
      <c r="K349" s="1" t="s">
        <v>95</v>
      </c>
      <c r="L349" s="1" t="s">
        <v>45</v>
      </c>
      <c r="M349">
        <v>0</v>
      </c>
      <c r="N349">
        <v>0</v>
      </c>
      <c r="O349">
        <v>0</v>
      </c>
      <c r="P349" s="2">
        <v>41244</v>
      </c>
      <c r="Q349">
        <v>0</v>
      </c>
      <c r="R349" s="1" t="s">
        <v>61</v>
      </c>
    </row>
    <row r="350" spans="1:18" x14ac:dyDescent="0.25">
      <c r="A350">
        <v>2012</v>
      </c>
      <c r="B350">
        <v>1</v>
      </c>
      <c r="C350" s="1" t="s">
        <v>18</v>
      </c>
      <c r="D350" s="1" t="s">
        <v>19</v>
      </c>
      <c r="E350" s="1" t="s">
        <v>96</v>
      </c>
      <c r="F350">
        <v>2014</v>
      </c>
      <c r="G350">
        <v>0</v>
      </c>
      <c r="H350" s="1" t="s">
        <v>59</v>
      </c>
      <c r="I350">
        <v>24</v>
      </c>
      <c r="J350">
        <v>1329</v>
      </c>
      <c r="K350" s="1" t="s">
        <v>97</v>
      </c>
      <c r="L350" s="1" t="s">
        <v>45</v>
      </c>
      <c r="M350">
        <v>0</v>
      </c>
      <c r="N350">
        <v>0</v>
      </c>
      <c r="O350">
        <v>0</v>
      </c>
      <c r="P350" s="2">
        <v>40909</v>
      </c>
      <c r="Q350">
        <v>0</v>
      </c>
      <c r="R350" s="1" t="s">
        <v>61</v>
      </c>
    </row>
    <row r="351" spans="1:18" x14ac:dyDescent="0.25">
      <c r="A351">
        <v>2012</v>
      </c>
      <c r="B351">
        <v>2</v>
      </c>
      <c r="C351" s="1" t="s">
        <v>25</v>
      </c>
      <c r="D351" s="1" t="s">
        <v>19</v>
      </c>
      <c r="E351" s="1" t="s">
        <v>96</v>
      </c>
      <c r="F351">
        <v>2014</v>
      </c>
      <c r="G351">
        <v>0</v>
      </c>
      <c r="H351" s="1" t="s">
        <v>59</v>
      </c>
      <c r="I351">
        <v>24</v>
      </c>
      <c r="J351">
        <v>1329</v>
      </c>
      <c r="K351" s="1" t="s">
        <v>97</v>
      </c>
      <c r="L351" s="1" t="s">
        <v>45</v>
      </c>
      <c r="M351">
        <v>0</v>
      </c>
      <c r="N351">
        <v>0</v>
      </c>
      <c r="O351">
        <v>0</v>
      </c>
      <c r="P351" s="2">
        <v>40940</v>
      </c>
      <c r="Q351">
        <v>0</v>
      </c>
      <c r="R351" s="1" t="s">
        <v>61</v>
      </c>
    </row>
    <row r="352" spans="1:18" x14ac:dyDescent="0.25">
      <c r="A352">
        <v>2012</v>
      </c>
      <c r="B352">
        <v>3</v>
      </c>
      <c r="C352" s="1" t="s">
        <v>26</v>
      </c>
      <c r="D352" s="1" t="s">
        <v>19</v>
      </c>
      <c r="E352" s="1" t="s">
        <v>96</v>
      </c>
      <c r="F352">
        <v>2014</v>
      </c>
      <c r="G352">
        <v>0</v>
      </c>
      <c r="H352" s="1" t="s">
        <v>59</v>
      </c>
      <c r="I352">
        <v>24</v>
      </c>
      <c r="J352">
        <v>1329</v>
      </c>
      <c r="K352" s="1" t="s">
        <v>97</v>
      </c>
      <c r="L352" s="1" t="s">
        <v>45</v>
      </c>
      <c r="M352">
        <v>0</v>
      </c>
      <c r="N352">
        <v>0</v>
      </c>
      <c r="O352">
        <v>0</v>
      </c>
      <c r="P352" s="2">
        <v>40969</v>
      </c>
      <c r="Q352">
        <v>0</v>
      </c>
      <c r="R352" s="1" t="s">
        <v>61</v>
      </c>
    </row>
    <row r="353" spans="1:18" x14ac:dyDescent="0.25">
      <c r="A353">
        <v>2012</v>
      </c>
      <c r="B353">
        <v>4</v>
      </c>
      <c r="C353" s="1" t="s">
        <v>27</v>
      </c>
      <c r="D353" s="1" t="s">
        <v>19</v>
      </c>
      <c r="E353" s="1" t="s">
        <v>96</v>
      </c>
      <c r="F353">
        <v>2014</v>
      </c>
      <c r="G353">
        <v>0</v>
      </c>
      <c r="H353" s="1" t="s">
        <v>59</v>
      </c>
      <c r="I353">
        <v>24</v>
      </c>
      <c r="J353">
        <v>1329</v>
      </c>
      <c r="K353" s="1" t="s">
        <v>97</v>
      </c>
      <c r="L353" s="1" t="s">
        <v>45</v>
      </c>
      <c r="M353">
        <v>0</v>
      </c>
      <c r="N353">
        <v>0</v>
      </c>
      <c r="O353">
        <v>0</v>
      </c>
      <c r="P353" s="2">
        <v>41000</v>
      </c>
      <c r="Q353">
        <v>0</v>
      </c>
      <c r="R353" s="1" t="s">
        <v>61</v>
      </c>
    </row>
    <row r="354" spans="1:18" x14ac:dyDescent="0.25">
      <c r="A354">
        <v>2012</v>
      </c>
      <c r="B354">
        <v>5</v>
      </c>
      <c r="C354" s="1" t="s">
        <v>28</v>
      </c>
      <c r="D354" s="1" t="s">
        <v>19</v>
      </c>
      <c r="E354" s="1" t="s">
        <v>96</v>
      </c>
      <c r="F354">
        <v>2014</v>
      </c>
      <c r="G354">
        <v>0</v>
      </c>
      <c r="H354" s="1" t="s">
        <v>59</v>
      </c>
      <c r="I354">
        <v>24</v>
      </c>
      <c r="J354">
        <v>1329</v>
      </c>
      <c r="K354" s="1" t="s">
        <v>97</v>
      </c>
      <c r="L354" s="1" t="s">
        <v>45</v>
      </c>
      <c r="M354">
        <v>0</v>
      </c>
      <c r="N354">
        <v>0</v>
      </c>
      <c r="O354">
        <v>0</v>
      </c>
      <c r="P354" s="2">
        <v>41030</v>
      </c>
      <c r="Q354">
        <v>0</v>
      </c>
      <c r="R354" s="1" t="s">
        <v>61</v>
      </c>
    </row>
    <row r="355" spans="1:18" x14ac:dyDescent="0.25">
      <c r="A355">
        <v>2012</v>
      </c>
      <c r="B355">
        <v>6</v>
      </c>
      <c r="C355" s="1" t="s">
        <v>29</v>
      </c>
      <c r="D355" s="1" t="s">
        <v>19</v>
      </c>
      <c r="E355" s="1" t="s">
        <v>96</v>
      </c>
      <c r="F355">
        <v>2014</v>
      </c>
      <c r="G355">
        <v>0</v>
      </c>
      <c r="H355" s="1" t="s">
        <v>59</v>
      </c>
      <c r="I355">
        <v>24</v>
      </c>
      <c r="J355">
        <v>1329</v>
      </c>
      <c r="K355" s="1" t="s">
        <v>97</v>
      </c>
      <c r="L355" s="1" t="s">
        <v>45</v>
      </c>
      <c r="M355">
        <v>0</v>
      </c>
      <c r="N355">
        <v>0</v>
      </c>
      <c r="O355">
        <v>0</v>
      </c>
      <c r="P355" s="2">
        <v>41061</v>
      </c>
      <c r="Q355">
        <v>0</v>
      </c>
      <c r="R355" s="1" t="s">
        <v>61</v>
      </c>
    </row>
    <row r="356" spans="1:18" x14ac:dyDescent="0.25">
      <c r="A356">
        <v>2012</v>
      </c>
      <c r="B356">
        <v>7</v>
      </c>
      <c r="C356" s="1" t="s">
        <v>30</v>
      </c>
      <c r="D356" s="1" t="s">
        <v>19</v>
      </c>
      <c r="E356" s="1" t="s">
        <v>96</v>
      </c>
      <c r="F356">
        <v>2014</v>
      </c>
      <c r="G356">
        <v>0</v>
      </c>
      <c r="H356" s="1" t="s">
        <v>59</v>
      </c>
      <c r="I356">
        <v>24</v>
      </c>
      <c r="J356">
        <v>1329</v>
      </c>
      <c r="K356" s="1" t="s">
        <v>97</v>
      </c>
      <c r="L356" s="1" t="s">
        <v>45</v>
      </c>
      <c r="M356">
        <v>0</v>
      </c>
      <c r="N356">
        <v>0</v>
      </c>
      <c r="O356">
        <v>0</v>
      </c>
      <c r="P356" s="2">
        <v>41091</v>
      </c>
      <c r="Q356">
        <v>0</v>
      </c>
      <c r="R356" s="1" t="s">
        <v>61</v>
      </c>
    </row>
    <row r="357" spans="1:18" x14ac:dyDescent="0.25">
      <c r="A357">
        <v>2012</v>
      </c>
      <c r="B357">
        <v>8</v>
      </c>
      <c r="C357" s="1" t="s">
        <v>31</v>
      </c>
      <c r="D357" s="1" t="s">
        <v>19</v>
      </c>
      <c r="E357" s="1" t="s">
        <v>96</v>
      </c>
      <c r="F357">
        <v>2014</v>
      </c>
      <c r="G357">
        <v>0</v>
      </c>
      <c r="H357" s="1" t="s">
        <v>59</v>
      </c>
      <c r="I357">
        <v>24</v>
      </c>
      <c r="J357">
        <v>1329</v>
      </c>
      <c r="K357" s="1" t="s">
        <v>97</v>
      </c>
      <c r="L357" s="1" t="s">
        <v>45</v>
      </c>
      <c r="M357">
        <v>0</v>
      </c>
      <c r="N357">
        <v>0</v>
      </c>
      <c r="O357">
        <v>0</v>
      </c>
      <c r="P357" s="2">
        <v>41122</v>
      </c>
      <c r="Q357">
        <v>0</v>
      </c>
      <c r="R357" s="1" t="s">
        <v>61</v>
      </c>
    </row>
    <row r="358" spans="1:18" x14ac:dyDescent="0.25">
      <c r="A358">
        <v>2012</v>
      </c>
      <c r="B358">
        <v>9</v>
      </c>
      <c r="C358" s="1" t="s">
        <v>32</v>
      </c>
      <c r="D358" s="1" t="s">
        <v>19</v>
      </c>
      <c r="E358" s="1" t="s">
        <v>96</v>
      </c>
      <c r="F358">
        <v>2014</v>
      </c>
      <c r="G358">
        <v>0</v>
      </c>
      <c r="H358" s="1" t="s">
        <v>59</v>
      </c>
      <c r="I358">
        <v>24</v>
      </c>
      <c r="J358">
        <v>1329</v>
      </c>
      <c r="K358" s="1" t="s">
        <v>97</v>
      </c>
      <c r="L358" s="1" t="s">
        <v>45</v>
      </c>
      <c r="M358">
        <v>0</v>
      </c>
      <c r="N358">
        <v>0</v>
      </c>
      <c r="O358">
        <v>0</v>
      </c>
      <c r="P358" s="2">
        <v>41153</v>
      </c>
      <c r="Q358">
        <v>0</v>
      </c>
      <c r="R358" s="1" t="s">
        <v>61</v>
      </c>
    </row>
    <row r="359" spans="1:18" x14ac:dyDescent="0.25">
      <c r="A359">
        <v>2012</v>
      </c>
      <c r="B359">
        <v>10</v>
      </c>
      <c r="C359" s="1" t="s">
        <v>33</v>
      </c>
      <c r="D359" s="1" t="s">
        <v>19</v>
      </c>
      <c r="E359" s="1" t="s">
        <v>96</v>
      </c>
      <c r="F359">
        <v>2014</v>
      </c>
      <c r="G359">
        <v>0</v>
      </c>
      <c r="H359" s="1" t="s">
        <v>59</v>
      </c>
      <c r="I359">
        <v>24</v>
      </c>
      <c r="J359">
        <v>1329</v>
      </c>
      <c r="K359" s="1" t="s">
        <v>97</v>
      </c>
      <c r="L359" s="1" t="s">
        <v>45</v>
      </c>
      <c r="M359">
        <v>0</v>
      </c>
      <c r="N359">
        <v>0</v>
      </c>
      <c r="O359">
        <v>0</v>
      </c>
      <c r="P359" s="2">
        <v>41183</v>
      </c>
      <c r="Q359">
        <v>0</v>
      </c>
      <c r="R359" s="1" t="s">
        <v>61</v>
      </c>
    </row>
    <row r="360" spans="1:18" x14ac:dyDescent="0.25">
      <c r="A360">
        <v>2012</v>
      </c>
      <c r="B360">
        <v>11</v>
      </c>
      <c r="C360" s="1" t="s">
        <v>34</v>
      </c>
      <c r="D360" s="1" t="s">
        <v>19</v>
      </c>
      <c r="E360" s="1" t="s">
        <v>96</v>
      </c>
      <c r="F360">
        <v>2014</v>
      </c>
      <c r="G360">
        <v>0</v>
      </c>
      <c r="H360" s="1" t="s">
        <v>59</v>
      </c>
      <c r="I360">
        <v>24</v>
      </c>
      <c r="J360">
        <v>1329</v>
      </c>
      <c r="K360" s="1" t="s">
        <v>97</v>
      </c>
      <c r="L360" s="1" t="s">
        <v>45</v>
      </c>
      <c r="M360">
        <v>0</v>
      </c>
      <c r="N360">
        <v>0</v>
      </c>
      <c r="O360">
        <v>0</v>
      </c>
      <c r="P360" s="2">
        <v>41214</v>
      </c>
      <c r="Q360">
        <v>0</v>
      </c>
      <c r="R360" s="1" t="s">
        <v>61</v>
      </c>
    </row>
    <row r="361" spans="1:18" x14ac:dyDescent="0.25">
      <c r="A361">
        <v>2012</v>
      </c>
      <c r="B361">
        <v>12</v>
      </c>
      <c r="C361" s="1" t="s">
        <v>35</v>
      </c>
      <c r="D361" s="1" t="s">
        <v>19</v>
      </c>
      <c r="E361" s="1" t="s">
        <v>96</v>
      </c>
      <c r="F361">
        <v>2014</v>
      </c>
      <c r="G361">
        <v>0</v>
      </c>
      <c r="H361" s="1" t="s">
        <v>59</v>
      </c>
      <c r="I361">
        <v>24</v>
      </c>
      <c r="J361">
        <v>1329</v>
      </c>
      <c r="K361" s="1" t="s">
        <v>97</v>
      </c>
      <c r="L361" s="1" t="s">
        <v>45</v>
      </c>
      <c r="M361">
        <v>0</v>
      </c>
      <c r="N361">
        <v>0</v>
      </c>
      <c r="O361">
        <v>0</v>
      </c>
      <c r="P361" s="2">
        <v>41244</v>
      </c>
      <c r="Q361">
        <v>0</v>
      </c>
      <c r="R361" s="1" t="s">
        <v>61</v>
      </c>
    </row>
    <row r="362" spans="1:18" x14ac:dyDescent="0.25">
      <c r="A362">
        <v>2012</v>
      </c>
      <c r="B362">
        <v>1</v>
      </c>
      <c r="C362" s="1" t="s">
        <v>18</v>
      </c>
      <c r="D362" s="1" t="s">
        <v>19</v>
      </c>
      <c r="E362" s="1" t="s">
        <v>98</v>
      </c>
      <c r="F362">
        <v>2014</v>
      </c>
      <c r="G362">
        <v>0</v>
      </c>
      <c r="H362" s="1" t="s">
        <v>59</v>
      </c>
      <c r="I362">
        <v>24</v>
      </c>
      <c r="J362">
        <v>1573</v>
      </c>
      <c r="K362" s="1" t="s">
        <v>99</v>
      </c>
      <c r="L362" s="1" t="s">
        <v>45</v>
      </c>
      <c r="M362">
        <v>0</v>
      </c>
      <c r="N362">
        <v>0</v>
      </c>
      <c r="O362">
        <v>0</v>
      </c>
      <c r="P362" s="2">
        <v>40909</v>
      </c>
      <c r="Q362">
        <v>0</v>
      </c>
      <c r="R362" s="1" t="s">
        <v>61</v>
      </c>
    </row>
    <row r="363" spans="1:18" x14ac:dyDescent="0.25">
      <c r="A363">
        <v>2012</v>
      </c>
      <c r="B363">
        <v>2</v>
      </c>
      <c r="C363" s="1" t="s">
        <v>25</v>
      </c>
      <c r="D363" s="1" t="s">
        <v>19</v>
      </c>
      <c r="E363" s="1" t="s">
        <v>98</v>
      </c>
      <c r="F363">
        <v>2014</v>
      </c>
      <c r="G363">
        <v>0</v>
      </c>
      <c r="H363" s="1" t="s">
        <v>59</v>
      </c>
      <c r="I363">
        <v>24</v>
      </c>
      <c r="J363">
        <v>1573</v>
      </c>
      <c r="K363" s="1" t="s">
        <v>99</v>
      </c>
      <c r="L363" s="1" t="s">
        <v>45</v>
      </c>
      <c r="M363">
        <v>0</v>
      </c>
      <c r="N363">
        <v>0</v>
      </c>
      <c r="O363">
        <v>0</v>
      </c>
      <c r="P363" s="2">
        <v>40940</v>
      </c>
      <c r="Q363">
        <v>0</v>
      </c>
      <c r="R363" s="1" t="s">
        <v>61</v>
      </c>
    </row>
    <row r="364" spans="1:18" x14ac:dyDescent="0.25">
      <c r="A364">
        <v>2012</v>
      </c>
      <c r="B364">
        <v>3</v>
      </c>
      <c r="C364" s="1" t="s">
        <v>26</v>
      </c>
      <c r="D364" s="1" t="s">
        <v>19</v>
      </c>
      <c r="E364" s="1" t="s">
        <v>98</v>
      </c>
      <c r="F364">
        <v>2014</v>
      </c>
      <c r="G364">
        <v>0</v>
      </c>
      <c r="H364" s="1" t="s">
        <v>59</v>
      </c>
      <c r="I364">
        <v>24</v>
      </c>
      <c r="J364">
        <v>1573</v>
      </c>
      <c r="K364" s="1" t="s">
        <v>99</v>
      </c>
      <c r="L364" s="1" t="s">
        <v>45</v>
      </c>
      <c r="M364">
        <v>0</v>
      </c>
      <c r="N364">
        <v>0</v>
      </c>
      <c r="O364">
        <v>0</v>
      </c>
      <c r="P364" s="2">
        <v>40969</v>
      </c>
      <c r="Q364">
        <v>0</v>
      </c>
      <c r="R364" s="1" t="s">
        <v>61</v>
      </c>
    </row>
    <row r="365" spans="1:18" x14ac:dyDescent="0.25">
      <c r="A365">
        <v>2012</v>
      </c>
      <c r="B365">
        <v>4</v>
      </c>
      <c r="C365" s="1" t="s">
        <v>27</v>
      </c>
      <c r="D365" s="1" t="s">
        <v>19</v>
      </c>
      <c r="E365" s="1" t="s">
        <v>98</v>
      </c>
      <c r="F365">
        <v>2014</v>
      </c>
      <c r="G365">
        <v>0</v>
      </c>
      <c r="H365" s="1" t="s">
        <v>59</v>
      </c>
      <c r="I365">
        <v>24</v>
      </c>
      <c r="J365">
        <v>1573</v>
      </c>
      <c r="K365" s="1" t="s">
        <v>99</v>
      </c>
      <c r="L365" s="1" t="s">
        <v>45</v>
      </c>
      <c r="M365">
        <v>0</v>
      </c>
      <c r="N365">
        <v>0</v>
      </c>
      <c r="O365">
        <v>0</v>
      </c>
      <c r="P365" s="2">
        <v>41000</v>
      </c>
      <c r="Q365">
        <v>0</v>
      </c>
      <c r="R365" s="1" t="s">
        <v>61</v>
      </c>
    </row>
    <row r="366" spans="1:18" x14ac:dyDescent="0.25">
      <c r="A366">
        <v>2012</v>
      </c>
      <c r="B366">
        <v>5</v>
      </c>
      <c r="C366" s="1" t="s">
        <v>28</v>
      </c>
      <c r="D366" s="1" t="s">
        <v>19</v>
      </c>
      <c r="E366" s="1" t="s">
        <v>98</v>
      </c>
      <c r="F366">
        <v>2014</v>
      </c>
      <c r="G366">
        <v>0</v>
      </c>
      <c r="H366" s="1" t="s">
        <v>59</v>
      </c>
      <c r="I366">
        <v>24</v>
      </c>
      <c r="J366">
        <v>1573</v>
      </c>
      <c r="K366" s="1" t="s">
        <v>99</v>
      </c>
      <c r="L366" s="1" t="s">
        <v>45</v>
      </c>
      <c r="M366">
        <v>0</v>
      </c>
      <c r="N366">
        <v>0</v>
      </c>
      <c r="O366">
        <v>0</v>
      </c>
      <c r="P366" s="2">
        <v>41030</v>
      </c>
      <c r="Q366">
        <v>0</v>
      </c>
      <c r="R366" s="1" t="s">
        <v>61</v>
      </c>
    </row>
    <row r="367" spans="1:18" x14ac:dyDescent="0.25">
      <c r="A367">
        <v>2012</v>
      </c>
      <c r="B367">
        <v>6</v>
      </c>
      <c r="C367" s="1" t="s">
        <v>29</v>
      </c>
      <c r="D367" s="1" t="s">
        <v>19</v>
      </c>
      <c r="E367" s="1" t="s">
        <v>98</v>
      </c>
      <c r="F367">
        <v>2014</v>
      </c>
      <c r="G367">
        <v>0</v>
      </c>
      <c r="H367" s="1" t="s">
        <v>59</v>
      </c>
      <c r="I367">
        <v>24</v>
      </c>
      <c r="J367">
        <v>1573</v>
      </c>
      <c r="K367" s="1" t="s">
        <v>99</v>
      </c>
      <c r="L367" s="1" t="s">
        <v>45</v>
      </c>
      <c r="M367">
        <v>0</v>
      </c>
      <c r="N367">
        <v>0</v>
      </c>
      <c r="O367">
        <v>0</v>
      </c>
      <c r="P367" s="2">
        <v>41061</v>
      </c>
      <c r="Q367">
        <v>0</v>
      </c>
      <c r="R367" s="1" t="s">
        <v>61</v>
      </c>
    </row>
    <row r="368" spans="1:18" x14ac:dyDescent="0.25">
      <c r="A368">
        <v>2012</v>
      </c>
      <c r="B368">
        <v>7</v>
      </c>
      <c r="C368" s="1" t="s">
        <v>30</v>
      </c>
      <c r="D368" s="1" t="s">
        <v>19</v>
      </c>
      <c r="E368" s="1" t="s">
        <v>98</v>
      </c>
      <c r="F368">
        <v>2014</v>
      </c>
      <c r="G368">
        <v>0</v>
      </c>
      <c r="H368" s="1" t="s">
        <v>59</v>
      </c>
      <c r="I368">
        <v>24</v>
      </c>
      <c r="J368">
        <v>1573</v>
      </c>
      <c r="K368" s="1" t="s">
        <v>99</v>
      </c>
      <c r="L368" s="1" t="s">
        <v>45</v>
      </c>
      <c r="M368">
        <v>0</v>
      </c>
      <c r="N368">
        <v>0</v>
      </c>
      <c r="O368">
        <v>0</v>
      </c>
      <c r="P368" s="2">
        <v>41091</v>
      </c>
      <c r="Q368">
        <v>0</v>
      </c>
      <c r="R368" s="1" t="s">
        <v>61</v>
      </c>
    </row>
    <row r="369" spans="1:18" x14ac:dyDescent="0.25">
      <c r="A369">
        <v>2012</v>
      </c>
      <c r="B369">
        <v>8</v>
      </c>
      <c r="C369" s="1" t="s">
        <v>31</v>
      </c>
      <c r="D369" s="1" t="s">
        <v>19</v>
      </c>
      <c r="E369" s="1" t="s">
        <v>98</v>
      </c>
      <c r="F369">
        <v>2014</v>
      </c>
      <c r="G369">
        <v>0</v>
      </c>
      <c r="H369" s="1" t="s">
        <v>59</v>
      </c>
      <c r="I369">
        <v>24</v>
      </c>
      <c r="J369">
        <v>1573</v>
      </c>
      <c r="K369" s="1" t="s">
        <v>99</v>
      </c>
      <c r="L369" s="1" t="s">
        <v>45</v>
      </c>
      <c r="M369">
        <v>0</v>
      </c>
      <c r="N369">
        <v>0</v>
      </c>
      <c r="O369">
        <v>0</v>
      </c>
      <c r="P369" s="2">
        <v>41122</v>
      </c>
      <c r="Q369">
        <v>0</v>
      </c>
      <c r="R369" s="1" t="s">
        <v>61</v>
      </c>
    </row>
    <row r="370" spans="1:18" x14ac:dyDescent="0.25">
      <c r="A370">
        <v>2012</v>
      </c>
      <c r="B370">
        <v>9</v>
      </c>
      <c r="C370" s="1" t="s">
        <v>32</v>
      </c>
      <c r="D370" s="1" t="s">
        <v>19</v>
      </c>
      <c r="E370" s="1" t="s">
        <v>98</v>
      </c>
      <c r="F370">
        <v>2014</v>
      </c>
      <c r="G370">
        <v>0</v>
      </c>
      <c r="H370" s="1" t="s">
        <v>59</v>
      </c>
      <c r="I370">
        <v>24</v>
      </c>
      <c r="J370">
        <v>1573</v>
      </c>
      <c r="K370" s="1" t="s">
        <v>99</v>
      </c>
      <c r="L370" s="1" t="s">
        <v>45</v>
      </c>
      <c r="M370">
        <v>0</v>
      </c>
      <c r="N370">
        <v>0</v>
      </c>
      <c r="O370">
        <v>0</v>
      </c>
      <c r="P370" s="2">
        <v>41153</v>
      </c>
      <c r="Q370">
        <v>0</v>
      </c>
      <c r="R370" s="1" t="s">
        <v>61</v>
      </c>
    </row>
    <row r="371" spans="1:18" x14ac:dyDescent="0.25">
      <c r="A371">
        <v>2012</v>
      </c>
      <c r="B371">
        <v>10</v>
      </c>
      <c r="C371" s="1" t="s">
        <v>33</v>
      </c>
      <c r="D371" s="1" t="s">
        <v>19</v>
      </c>
      <c r="E371" s="1" t="s">
        <v>98</v>
      </c>
      <c r="F371">
        <v>2014</v>
      </c>
      <c r="G371">
        <v>0</v>
      </c>
      <c r="H371" s="1" t="s">
        <v>59</v>
      </c>
      <c r="I371">
        <v>24</v>
      </c>
      <c r="J371">
        <v>1573</v>
      </c>
      <c r="K371" s="1" t="s">
        <v>99</v>
      </c>
      <c r="L371" s="1" t="s">
        <v>45</v>
      </c>
      <c r="M371">
        <v>0</v>
      </c>
      <c r="N371">
        <v>0</v>
      </c>
      <c r="O371">
        <v>0</v>
      </c>
      <c r="P371" s="2">
        <v>41183</v>
      </c>
      <c r="Q371">
        <v>0</v>
      </c>
      <c r="R371" s="1" t="s">
        <v>61</v>
      </c>
    </row>
    <row r="372" spans="1:18" x14ac:dyDescent="0.25">
      <c r="A372">
        <v>2012</v>
      </c>
      <c r="B372">
        <v>11</v>
      </c>
      <c r="C372" s="1" t="s">
        <v>34</v>
      </c>
      <c r="D372" s="1" t="s">
        <v>19</v>
      </c>
      <c r="E372" s="1" t="s">
        <v>98</v>
      </c>
      <c r="F372">
        <v>2014</v>
      </c>
      <c r="G372">
        <v>0</v>
      </c>
      <c r="H372" s="1" t="s">
        <v>59</v>
      </c>
      <c r="I372">
        <v>24</v>
      </c>
      <c r="J372">
        <v>1573</v>
      </c>
      <c r="K372" s="1" t="s">
        <v>99</v>
      </c>
      <c r="L372" s="1" t="s">
        <v>45</v>
      </c>
      <c r="M372">
        <v>0</v>
      </c>
      <c r="N372">
        <v>0</v>
      </c>
      <c r="O372">
        <v>0</v>
      </c>
      <c r="P372" s="2">
        <v>41214</v>
      </c>
      <c r="Q372">
        <v>0</v>
      </c>
      <c r="R372" s="1" t="s">
        <v>61</v>
      </c>
    </row>
    <row r="373" spans="1:18" x14ac:dyDescent="0.25">
      <c r="A373">
        <v>2012</v>
      </c>
      <c r="B373">
        <v>12</v>
      </c>
      <c r="C373" s="1" t="s">
        <v>35</v>
      </c>
      <c r="D373" s="1" t="s">
        <v>19</v>
      </c>
      <c r="E373" s="1" t="s">
        <v>98</v>
      </c>
      <c r="F373">
        <v>2014</v>
      </c>
      <c r="G373">
        <v>0</v>
      </c>
      <c r="H373" s="1" t="s">
        <v>59</v>
      </c>
      <c r="I373">
        <v>24</v>
      </c>
      <c r="J373">
        <v>1573</v>
      </c>
      <c r="K373" s="1" t="s">
        <v>99</v>
      </c>
      <c r="L373" s="1" t="s">
        <v>45</v>
      </c>
      <c r="M373">
        <v>0</v>
      </c>
      <c r="N373">
        <v>0</v>
      </c>
      <c r="O373">
        <v>0</v>
      </c>
      <c r="P373" s="2">
        <v>41244</v>
      </c>
      <c r="Q373">
        <v>0</v>
      </c>
      <c r="R373" s="1" t="s">
        <v>61</v>
      </c>
    </row>
    <row r="374" spans="1:18" x14ac:dyDescent="0.25">
      <c r="A374">
        <v>2012</v>
      </c>
      <c r="B374">
        <v>1</v>
      </c>
      <c r="C374" s="1" t="s">
        <v>18</v>
      </c>
      <c r="D374" s="1" t="s">
        <v>19</v>
      </c>
      <c r="E374" s="1" t="s">
        <v>100</v>
      </c>
      <c r="F374">
        <v>2016</v>
      </c>
      <c r="G374">
        <v>0</v>
      </c>
      <c r="H374" s="1" t="s">
        <v>59</v>
      </c>
      <c r="I374">
        <v>22</v>
      </c>
      <c r="J374">
        <v>3137</v>
      </c>
      <c r="K374" s="1" t="s">
        <v>101</v>
      </c>
      <c r="L374" s="1" t="s">
        <v>23</v>
      </c>
      <c r="M374">
        <v>0</v>
      </c>
      <c r="N374">
        <v>0</v>
      </c>
      <c r="O374">
        <v>0</v>
      </c>
      <c r="P374" s="2">
        <v>40909</v>
      </c>
      <c r="Q374">
        <v>0</v>
      </c>
      <c r="R374" s="1" t="s">
        <v>61</v>
      </c>
    </row>
    <row r="375" spans="1:18" x14ac:dyDescent="0.25">
      <c r="A375">
        <v>2012</v>
      </c>
      <c r="B375">
        <v>2</v>
      </c>
      <c r="C375" s="1" t="s">
        <v>25</v>
      </c>
      <c r="D375" s="1" t="s">
        <v>19</v>
      </c>
      <c r="E375" s="1" t="s">
        <v>100</v>
      </c>
      <c r="F375">
        <v>2016</v>
      </c>
      <c r="G375">
        <v>0</v>
      </c>
      <c r="H375" s="1" t="s">
        <v>59</v>
      </c>
      <c r="I375">
        <v>22</v>
      </c>
      <c r="J375">
        <v>3137</v>
      </c>
      <c r="K375" s="1" t="s">
        <v>101</v>
      </c>
      <c r="L375" s="1" t="s">
        <v>23</v>
      </c>
      <c r="M375">
        <v>0</v>
      </c>
      <c r="N375">
        <v>0</v>
      </c>
      <c r="O375">
        <v>0</v>
      </c>
      <c r="P375" s="2">
        <v>40940</v>
      </c>
      <c r="Q375">
        <v>0</v>
      </c>
      <c r="R375" s="1" t="s">
        <v>61</v>
      </c>
    </row>
    <row r="376" spans="1:18" x14ac:dyDescent="0.25">
      <c r="A376">
        <v>2012</v>
      </c>
      <c r="B376">
        <v>3</v>
      </c>
      <c r="C376" s="1" t="s">
        <v>26</v>
      </c>
      <c r="D376" s="1" t="s">
        <v>19</v>
      </c>
      <c r="E376" s="1" t="s">
        <v>100</v>
      </c>
      <c r="F376">
        <v>2016</v>
      </c>
      <c r="G376">
        <v>0</v>
      </c>
      <c r="H376" s="1" t="s">
        <v>59</v>
      </c>
      <c r="I376">
        <v>22</v>
      </c>
      <c r="J376">
        <v>3137</v>
      </c>
      <c r="K376" s="1" t="s">
        <v>101</v>
      </c>
      <c r="L376" s="1" t="s">
        <v>23</v>
      </c>
      <c r="M376">
        <v>0</v>
      </c>
      <c r="N376">
        <v>0</v>
      </c>
      <c r="O376">
        <v>0</v>
      </c>
      <c r="P376" s="2">
        <v>40969</v>
      </c>
      <c r="Q376">
        <v>0</v>
      </c>
      <c r="R376" s="1" t="s">
        <v>61</v>
      </c>
    </row>
    <row r="377" spans="1:18" x14ac:dyDescent="0.25">
      <c r="A377">
        <v>2012</v>
      </c>
      <c r="B377">
        <v>4</v>
      </c>
      <c r="C377" s="1" t="s">
        <v>27</v>
      </c>
      <c r="D377" s="1" t="s">
        <v>19</v>
      </c>
      <c r="E377" s="1" t="s">
        <v>100</v>
      </c>
      <c r="F377">
        <v>2016</v>
      </c>
      <c r="G377">
        <v>0</v>
      </c>
      <c r="H377" s="1" t="s">
        <v>59</v>
      </c>
      <c r="I377">
        <v>22</v>
      </c>
      <c r="J377">
        <v>3137</v>
      </c>
      <c r="K377" s="1" t="s">
        <v>101</v>
      </c>
      <c r="L377" s="1" t="s">
        <v>23</v>
      </c>
      <c r="M377">
        <v>0</v>
      </c>
      <c r="N377">
        <v>0</v>
      </c>
      <c r="O377">
        <v>0</v>
      </c>
      <c r="P377" s="2">
        <v>41000</v>
      </c>
      <c r="Q377">
        <v>0</v>
      </c>
      <c r="R377" s="1" t="s">
        <v>61</v>
      </c>
    </row>
    <row r="378" spans="1:18" x14ac:dyDescent="0.25">
      <c r="A378">
        <v>2012</v>
      </c>
      <c r="B378">
        <v>5</v>
      </c>
      <c r="C378" s="1" t="s">
        <v>28</v>
      </c>
      <c r="D378" s="1" t="s">
        <v>19</v>
      </c>
      <c r="E378" s="1" t="s">
        <v>100</v>
      </c>
      <c r="F378">
        <v>2016</v>
      </c>
      <c r="G378">
        <v>0</v>
      </c>
      <c r="H378" s="1" t="s">
        <v>59</v>
      </c>
      <c r="I378">
        <v>22</v>
      </c>
      <c r="J378">
        <v>3137</v>
      </c>
      <c r="K378" s="1" t="s">
        <v>101</v>
      </c>
      <c r="L378" s="1" t="s">
        <v>23</v>
      </c>
      <c r="M378">
        <v>0</v>
      </c>
      <c r="N378">
        <v>0</v>
      </c>
      <c r="O378">
        <v>0</v>
      </c>
      <c r="P378" s="2">
        <v>41030</v>
      </c>
      <c r="Q378">
        <v>0</v>
      </c>
      <c r="R378" s="1" t="s">
        <v>61</v>
      </c>
    </row>
    <row r="379" spans="1:18" x14ac:dyDescent="0.25">
      <c r="A379">
        <v>2012</v>
      </c>
      <c r="B379">
        <v>6</v>
      </c>
      <c r="C379" s="1" t="s">
        <v>29</v>
      </c>
      <c r="D379" s="1" t="s">
        <v>19</v>
      </c>
      <c r="E379" s="1" t="s">
        <v>100</v>
      </c>
      <c r="F379">
        <v>2016</v>
      </c>
      <c r="G379">
        <v>0</v>
      </c>
      <c r="H379" s="1" t="s">
        <v>59</v>
      </c>
      <c r="I379">
        <v>22</v>
      </c>
      <c r="J379">
        <v>3137</v>
      </c>
      <c r="K379" s="1" t="s">
        <v>101</v>
      </c>
      <c r="L379" s="1" t="s">
        <v>23</v>
      </c>
      <c r="M379">
        <v>0</v>
      </c>
      <c r="N379">
        <v>0</v>
      </c>
      <c r="O379">
        <v>0</v>
      </c>
      <c r="P379" s="2">
        <v>41061</v>
      </c>
      <c r="Q379">
        <v>0</v>
      </c>
      <c r="R379" s="1" t="s">
        <v>61</v>
      </c>
    </row>
    <row r="380" spans="1:18" x14ac:dyDescent="0.25">
      <c r="A380">
        <v>2012</v>
      </c>
      <c r="B380">
        <v>7</v>
      </c>
      <c r="C380" s="1" t="s">
        <v>30</v>
      </c>
      <c r="D380" s="1" t="s">
        <v>19</v>
      </c>
      <c r="E380" s="1" t="s">
        <v>100</v>
      </c>
      <c r="F380">
        <v>2016</v>
      </c>
      <c r="G380">
        <v>0</v>
      </c>
      <c r="H380" s="1" t="s">
        <v>59</v>
      </c>
      <c r="I380">
        <v>22</v>
      </c>
      <c r="J380">
        <v>3137</v>
      </c>
      <c r="K380" s="1" t="s">
        <v>101</v>
      </c>
      <c r="L380" s="1" t="s">
        <v>23</v>
      </c>
      <c r="M380">
        <v>0</v>
      </c>
      <c r="N380">
        <v>0</v>
      </c>
      <c r="O380">
        <v>0</v>
      </c>
      <c r="P380" s="2">
        <v>41091</v>
      </c>
      <c r="Q380">
        <v>0</v>
      </c>
      <c r="R380" s="1" t="s">
        <v>61</v>
      </c>
    </row>
    <row r="381" spans="1:18" x14ac:dyDescent="0.25">
      <c r="A381">
        <v>2012</v>
      </c>
      <c r="B381">
        <v>8</v>
      </c>
      <c r="C381" s="1" t="s">
        <v>31</v>
      </c>
      <c r="D381" s="1" t="s">
        <v>19</v>
      </c>
      <c r="E381" s="1" t="s">
        <v>100</v>
      </c>
      <c r="F381">
        <v>2016</v>
      </c>
      <c r="G381">
        <v>0</v>
      </c>
      <c r="H381" s="1" t="s">
        <v>59</v>
      </c>
      <c r="I381">
        <v>22</v>
      </c>
      <c r="J381">
        <v>3137</v>
      </c>
      <c r="K381" s="1" t="s">
        <v>101</v>
      </c>
      <c r="L381" s="1" t="s">
        <v>23</v>
      </c>
      <c r="M381">
        <v>0</v>
      </c>
      <c r="N381">
        <v>0</v>
      </c>
      <c r="O381">
        <v>0</v>
      </c>
      <c r="P381" s="2">
        <v>41122</v>
      </c>
      <c r="Q381">
        <v>0</v>
      </c>
      <c r="R381" s="1" t="s">
        <v>61</v>
      </c>
    </row>
    <row r="382" spans="1:18" x14ac:dyDescent="0.25">
      <c r="A382">
        <v>2012</v>
      </c>
      <c r="B382">
        <v>9</v>
      </c>
      <c r="C382" s="1" t="s">
        <v>32</v>
      </c>
      <c r="D382" s="1" t="s">
        <v>19</v>
      </c>
      <c r="E382" s="1" t="s">
        <v>100</v>
      </c>
      <c r="F382">
        <v>2016</v>
      </c>
      <c r="G382">
        <v>0</v>
      </c>
      <c r="H382" s="1" t="s">
        <v>59</v>
      </c>
      <c r="I382">
        <v>22</v>
      </c>
      <c r="J382">
        <v>3137</v>
      </c>
      <c r="K382" s="1" t="s">
        <v>101</v>
      </c>
      <c r="L382" s="1" t="s">
        <v>23</v>
      </c>
      <c r="M382">
        <v>0</v>
      </c>
      <c r="N382">
        <v>0</v>
      </c>
      <c r="O382">
        <v>0</v>
      </c>
      <c r="P382" s="2">
        <v>41153</v>
      </c>
      <c r="Q382">
        <v>0</v>
      </c>
      <c r="R382" s="1" t="s">
        <v>61</v>
      </c>
    </row>
    <row r="383" spans="1:18" x14ac:dyDescent="0.25">
      <c r="A383">
        <v>2012</v>
      </c>
      <c r="B383">
        <v>10</v>
      </c>
      <c r="C383" s="1" t="s">
        <v>33</v>
      </c>
      <c r="D383" s="1" t="s">
        <v>19</v>
      </c>
      <c r="E383" s="1" t="s">
        <v>100</v>
      </c>
      <c r="F383">
        <v>2016</v>
      </c>
      <c r="G383">
        <v>0</v>
      </c>
      <c r="H383" s="1" t="s">
        <v>59</v>
      </c>
      <c r="I383">
        <v>22</v>
      </c>
      <c r="J383">
        <v>3137</v>
      </c>
      <c r="K383" s="1" t="s">
        <v>101</v>
      </c>
      <c r="L383" s="1" t="s">
        <v>23</v>
      </c>
      <c r="M383">
        <v>0</v>
      </c>
      <c r="N383">
        <v>0</v>
      </c>
      <c r="O383">
        <v>0</v>
      </c>
      <c r="P383" s="2">
        <v>41183</v>
      </c>
      <c r="Q383">
        <v>0</v>
      </c>
      <c r="R383" s="1" t="s">
        <v>61</v>
      </c>
    </row>
    <row r="384" spans="1:18" x14ac:dyDescent="0.25">
      <c r="A384">
        <v>2012</v>
      </c>
      <c r="B384">
        <v>11</v>
      </c>
      <c r="C384" s="1" t="s">
        <v>34</v>
      </c>
      <c r="D384" s="1" t="s">
        <v>19</v>
      </c>
      <c r="E384" s="1" t="s">
        <v>100</v>
      </c>
      <c r="F384">
        <v>2016</v>
      </c>
      <c r="G384">
        <v>0</v>
      </c>
      <c r="H384" s="1" t="s">
        <v>59</v>
      </c>
      <c r="I384">
        <v>22</v>
      </c>
      <c r="J384">
        <v>3137</v>
      </c>
      <c r="K384" s="1" t="s">
        <v>101</v>
      </c>
      <c r="L384" s="1" t="s">
        <v>23</v>
      </c>
      <c r="M384">
        <v>0</v>
      </c>
      <c r="N384">
        <v>0</v>
      </c>
      <c r="O384">
        <v>0</v>
      </c>
      <c r="P384" s="2">
        <v>41214</v>
      </c>
      <c r="Q384">
        <v>0</v>
      </c>
      <c r="R384" s="1" t="s">
        <v>61</v>
      </c>
    </row>
    <row r="385" spans="1:18" x14ac:dyDescent="0.25">
      <c r="A385">
        <v>2012</v>
      </c>
      <c r="B385">
        <v>12</v>
      </c>
      <c r="C385" s="1" t="s">
        <v>35</v>
      </c>
      <c r="D385" s="1" t="s">
        <v>19</v>
      </c>
      <c r="E385" s="1" t="s">
        <v>100</v>
      </c>
      <c r="F385">
        <v>2016</v>
      </c>
      <c r="G385">
        <v>0</v>
      </c>
      <c r="H385" s="1" t="s">
        <v>59</v>
      </c>
      <c r="I385">
        <v>22</v>
      </c>
      <c r="J385">
        <v>3137</v>
      </c>
      <c r="K385" s="1" t="s">
        <v>101</v>
      </c>
      <c r="L385" s="1" t="s">
        <v>23</v>
      </c>
      <c r="M385">
        <v>0</v>
      </c>
      <c r="N385">
        <v>0</v>
      </c>
      <c r="O385">
        <v>0</v>
      </c>
      <c r="P385" s="2">
        <v>41244</v>
      </c>
      <c r="Q385">
        <v>0</v>
      </c>
      <c r="R385" s="1" t="s">
        <v>61</v>
      </c>
    </row>
    <row r="386" spans="1:18" x14ac:dyDescent="0.25">
      <c r="A386">
        <v>2012</v>
      </c>
      <c r="B386">
        <v>1</v>
      </c>
      <c r="C386" s="1" t="s">
        <v>18</v>
      </c>
      <c r="D386" s="1" t="s">
        <v>19</v>
      </c>
      <c r="E386" s="1" t="s">
        <v>102</v>
      </c>
      <c r="F386">
        <v>2016</v>
      </c>
      <c r="G386">
        <v>0</v>
      </c>
      <c r="H386" s="1" t="s">
        <v>59</v>
      </c>
      <c r="I386">
        <v>22</v>
      </c>
      <c r="J386">
        <v>3096</v>
      </c>
      <c r="K386" s="1" t="s">
        <v>103</v>
      </c>
      <c r="L386" s="1" t="s">
        <v>23</v>
      </c>
      <c r="M386">
        <v>0</v>
      </c>
      <c r="N386">
        <v>0</v>
      </c>
      <c r="O386">
        <v>0</v>
      </c>
      <c r="P386" s="2">
        <v>40909</v>
      </c>
      <c r="Q386">
        <v>0</v>
      </c>
      <c r="R386" s="1" t="s">
        <v>61</v>
      </c>
    </row>
    <row r="387" spans="1:18" x14ac:dyDescent="0.25">
      <c r="A387">
        <v>2012</v>
      </c>
      <c r="B387">
        <v>2</v>
      </c>
      <c r="C387" s="1" t="s">
        <v>25</v>
      </c>
      <c r="D387" s="1" t="s">
        <v>19</v>
      </c>
      <c r="E387" s="1" t="s">
        <v>102</v>
      </c>
      <c r="F387">
        <v>2016</v>
      </c>
      <c r="G387">
        <v>0</v>
      </c>
      <c r="H387" s="1" t="s">
        <v>59</v>
      </c>
      <c r="I387">
        <v>22</v>
      </c>
      <c r="J387">
        <v>3096</v>
      </c>
      <c r="K387" s="1" t="s">
        <v>103</v>
      </c>
      <c r="L387" s="1" t="s">
        <v>23</v>
      </c>
      <c r="M387">
        <v>0</v>
      </c>
      <c r="N387">
        <v>0</v>
      </c>
      <c r="O387">
        <v>0</v>
      </c>
      <c r="P387" s="2">
        <v>40940</v>
      </c>
      <c r="Q387">
        <v>0</v>
      </c>
      <c r="R387" s="1" t="s">
        <v>61</v>
      </c>
    </row>
    <row r="388" spans="1:18" x14ac:dyDescent="0.25">
      <c r="A388">
        <v>2012</v>
      </c>
      <c r="B388">
        <v>3</v>
      </c>
      <c r="C388" s="1" t="s">
        <v>26</v>
      </c>
      <c r="D388" s="1" t="s">
        <v>19</v>
      </c>
      <c r="E388" s="1" t="s">
        <v>102</v>
      </c>
      <c r="F388">
        <v>2016</v>
      </c>
      <c r="G388">
        <v>0</v>
      </c>
      <c r="H388" s="1" t="s">
        <v>59</v>
      </c>
      <c r="I388">
        <v>22</v>
      </c>
      <c r="J388">
        <v>3096</v>
      </c>
      <c r="K388" s="1" t="s">
        <v>103</v>
      </c>
      <c r="L388" s="1" t="s">
        <v>23</v>
      </c>
      <c r="M388">
        <v>0</v>
      </c>
      <c r="N388">
        <v>0</v>
      </c>
      <c r="O388">
        <v>0</v>
      </c>
      <c r="P388" s="2">
        <v>40969</v>
      </c>
      <c r="Q388">
        <v>0</v>
      </c>
      <c r="R388" s="1" t="s">
        <v>61</v>
      </c>
    </row>
    <row r="389" spans="1:18" x14ac:dyDescent="0.25">
      <c r="A389">
        <v>2012</v>
      </c>
      <c r="B389">
        <v>4</v>
      </c>
      <c r="C389" s="1" t="s">
        <v>27</v>
      </c>
      <c r="D389" s="1" t="s">
        <v>19</v>
      </c>
      <c r="E389" s="1" t="s">
        <v>102</v>
      </c>
      <c r="F389">
        <v>2016</v>
      </c>
      <c r="G389">
        <v>0</v>
      </c>
      <c r="H389" s="1" t="s">
        <v>59</v>
      </c>
      <c r="I389">
        <v>22</v>
      </c>
      <c r="J389">
        <v>3096</v>
      </c>
      <c r="K389" s="1" t="s">
        <v>103</v>
      </c>
      <c r="L389" s="1" t="s">
        <v>23</v>
      </c>
      <c r="M389">
        <v>0</v>
      </c>
      <c r="N389">
        <v>0</v>
      </c>
      <c r="O389">
        <v>0</v>
      </c>
      <c r="P389" s="2">
        <v>41000</v>
      </c>
      <c r="Q389">
        <v>0</v>
      </c>
      <c r="R389" s="1" t="s">
        <v>61</v>
      </c>
    </row>
    <row r="390" spans="1:18" x14ac:dyDescent="0.25">
      <c r="A390">
        <v>2012</v>
      </c>
      <c r="B390">
        <v>5</v>
      </c>
      <c r="C390" s="1" t="s">
        <v>28</v>
      </c>
      <c r="D390" s="1" t="s">
        <v>19</v>
      </c>
      <c r="E390" s="1" t="s">
        <v>102</v>
      </c>
      <c r="F390">
        <v>2016</v>
      </c>
      <c r="G390">
        <v>0</v>
      </c>
      <c r="H390" s="1" t="s">
        <v>59</v>
      </c>
      <c r="I390">
        <v>22</v>
      </c>
      <c r="J390">
        <v>3096</v>
      </c>
      <c r="K390" s="1" t="s">
        <v>103</v>
      </c>
      <c r="L390" s="1" t="s">
        <v>23</v>
      </c>
      <c r="M390">
        <v>0</v>
      </c>
      <c r="N390">
        <v>0</v>
      </c>
      <c r="O390">
        <v>0</v>
      </c>
      <c r="P390" s="2">
        <v>41030</v>
      </c>
      <c r="Q390">
        <v>0</v>
      </c>
      <c r="R390" s="1" t="s">
        <v>61</v>
      </c>
    </row>
    <row r="391" spans="1:18" x14ac:dyDescent="0.25">
      <c r="A391">
        <v>2012</v>
      </c>
      <c r="B391">
        <v>6</v>
      </c>
      <c r="C391" s="1" t="s">
        <v>29</v>
      </c>
      <c r="D391" s="1" t="s">
        <v>19</v>
      </c>
      <c r="E391" s="1" t="s">
        <v>102</v>
      </c>
      <c r="F391">
        <v>2016</v>
      </c>
      <c r="G391">
        <v>0</v>
      </c>
      <c r="H391" s="1" t="s">
        <v>59</v>
      </c>
      <c r="I391">
        <v>22</v>
      </c>
      <c r="J391">
        <v>3096</v>
      </c>
      <c r="K391" s="1" t="s">
        <v>103</v>
      </c>
      <c r="L391" s="1" t="s">
        <v>23</v>
      </c>
      <c r="M391">
        <v>0</v>
      </c>
      <c r="N391">
        <v>0</v>
      </c>
      <c r="O391">
        <v>0</v>
      </c>
      <c r="P391" s="2">
        <v>41061</v>
      </c>
      <c r="Q391">
        <v>0</v>
      </c>
      <c r="R391" s="1" t="s">
        <v>61</v>
      </c>
    </row>
    <row r="392" spans="1:18" x14ac:dyDescent="0.25">
      <c r="A392">
        <v>2012</v>
      </c>
      <c r="B392">
        <v>7</v>
      </c>
      <c r="C392" s="1" t="s">
        <v>30</v>
      </c>
      <c r="D392" s="1" t="s">
        <v>19</v>
      </c>
      <c r="E392" s="1" t="s">
        <v>102</v>
      </c>
      <c r="F392">
        <v>2016</v>
      </c>
      <c r="G392">
        <v>0</v>
      </c>
      <c r="H392" s="1" t="s">
        <v>59</v>
      </c>
      <c r="I392">
        <v>22</v>
      </c>
      <c r="J392">
        <v>3096</v>
      </c>
      <c r="K392" s="1" t="s">
        <v>103</v>
      </c>
      <c r="L392" s="1" t="s">
        <v>23</v>
      </c>
      <c r="M392">
        <v>0</v>
      </c>
      <c r="N392">
        <v>0</v>
      </c>
      <c r="O392">
        <v>0</v>
      </c>
      <c r="P392" s="2">
        <v>41091</v>
      </c>
      <c r="Q392">
        <v>0</v>
      </c>
      <c r="R392" s="1" t="s">
        <v>61</v>
      </c>
    </row>
    <row r="393" spans="1:18" x14ac:dyDescent="0.25">
      <c r="A393">
        <v>2012</v>
      </c>
      <c r="B393">
        <v>8</v>
      </c>
      <c r="C393" s="1" t="s">
        <v>31</v>
      </c>
      <c r="D393" s="1" t="s">
        <v>19</v>
      </c>
      <c r="E393" s="1" t="s">
        <v>102</v>
      </c>
      <c r="F393">
        <v>2016</v>
      </c>
      <c r="G393">
        <v>0</v>
      </c>
      <c r="H393" s="1" t="s">
        <v>59</v>
      </c>
      <c r="I393">
        <v>22</v>
      </c>
      <c r="J393">
        <v>3096</v>
      </c>
      <c r="K393" s="1" t="s">
        <v>103</v>
      </c>
      <c r="L393" s="1" t="s">
        <v>23</v>
      </c>
      <c r="M393">
        <v>0</v>
      </c>
      <c r="N393">
        <v>0</v>
      </c>
      <c r="O393">
        <v>0</v>
      </c>
      <c r="P393" s="2">
        <v>41122</v>
      </c>
      <c r="Q393">
        <v>0</v>
      </c>
      <c r="R393" s="1" t="s">
        <v>61</v>
      </c>
    </row>
    <row r="394" spans="1:18" x14ac:dyDescent="0.25">
      <c r="A394">
        <v>2012</v>
      </c>
      <c r="B394">
        <v>9</v>
      </c>
      <c r="C394" s="1" t="s">
        <v>32</v>
      </c>
      <c r="D394" s="1" t="s">
        <v>19</v>
      </c>
      <c r="E394" s="1" t="s">
        <v>102</v>
      </c>
      <c r="F394">
        <v>2016</v>
      </c>
      <c r="G394">
        <v>0</v>
      </c>
      <c r="H394" s="1" t="s">
        <v>59</v>
      </c>
      <c r="I394">
        <v>22</v>
      </c>
      <c r="J394">
        <v>3096</v>
      </c>
      <c r="K394" s="1" t="s">
        <v>103</v>
      </c>
      <c r="L394" s="1" t="s">
        <v>23</v>
      </c>
      <c r="M394">
        <v>0</v>
      </c>
      <c r="N394">
        <v>0</v>
      </c>
      <c r="O394">
        <v>0</v>
      </c>
      <c r="P394" s="2">
        <v>41153</v>
      </c>
      <c r="Q394">
        <v>0</v>
      </c>
      <c r="R394" s="1" t="s">
        <v>61</v>
      </c>
    </row>
    <row r="395" spans="1:18" x14ac:dyDescent="0.25">
      <c r="A395">
        <v>2012</v>
      </c>
      <c r="B395">
        <v>10</v>
      </c>
      <c r="C395" s="1" t="s">
        <v>33</v>
      </c>
      <c r="D395" s="1" t="s">
        <v>19</v>
      </c>
      <c r="E395" s="1" t="s">
        <v>102</v>
      </c>
      <c r="F395">
        <v>2016</v>
      </c>
      <c r="G395">
        <v>0</v>
      </c>
      <c r="H395" s="1" t="s">
        <v>59</v>
      </c>
      <c r="I395">
        <v>22</v>
      </c>
      <c r="J395">
        <v>3096</v>
      </c>
      <c r="K395" s="1" t="s">
        <v>103</v>
      </c>
      <c r="L395" s="1" t="s">
        <v>23</v>
      </c>
      <c r="M395">
        <v>0</v>
      </c>
      <c r="N395">
        <v>0</v>
      </c>
      <c r="O395">
        <v>0</v>
      </c>
      <c r="P395" s="2">
        <v>41183</v>
      </c>
      <c r="Q395">
        <v>0</v>
      </c>
      <c r="R395" s="1" t="s">
        <v>61</v>
      </c>
    </row>
    <row r="396" spans="1:18" x14ac:dyDescent="0.25">
      <c r="A396">
        <v>2012</v>
      </c>
      <c r="B396">
        <v>11</v>
      </c>
      <c r="C396" s="1" t="s">
        <v>34</v>
      </c>
      <c r="D396" s="1" t="s">
        <v>19</v>
      </c>
      <c r="E396" s="1" t="s">
        <v>102</v>
      </c>
      <c r="F396">
        <v>2016</v>
      </c>
      <c r="G396">
        <v>0</v>
      </c>
      <c r="H396" s="1" t="s">
        <v>59</v>
      </c>
      <c r="I396">
        <v>22</v>
      </c>
      <c r="J396">
        <v>3096</v>
      </c>
      <c r="K396" s="1" t="s">
        <v>103</v>
      </c>
      <c r="L396" s="1" t="s">
        <v>23</v>
      </c>
      <c r="M396">
        <v>0</v>
      </c>
      <c r="N396">
        <v>0</v>
      </c>
      <c r="O396">
        <v>0</v>
      </c>
      <c r="P396" s="2">
        <v>41214</v>
      </c>
      <c r="Q396">
        <v>0</v>
      </c>
      <c r="R396" s="1" t="s">
        <v>61</v>
      </c>
    </row>
    <row r="397" spans="1:18" x14ac:dyDescent="0.25">
      <c r="A397">
        <v>2012</v>
      </c>
      <c r="B397">
        <v>12</v>
      </c>
      <c r="C397" s="1" t="s">
        <v>35</v>
      </c>
      <c r="D397" s="1" t="s">
        <v>19</v>
      </c>
      <c r="E397" s="1" t="s">
        <v>102</v>
      </c>
      <c r="F397">
        <v>2016</v>
      </c>
      <c r="G397">
        <v>0</v>
      </c>
      <c r="H397" s="1" t="s">
        <v>59</v>
      </c>
      <c r="I397">
        <v>22</v>
      </c>
      <c r="J397">
        <v>3096</v>
      </c>
      <c r="K397" s="1" t="s">
        <v>103</v>
      </c>
      <c r="L397" s="1" t="s">
        <v>23</v>
      </c>
      <c r="M397">
        <v>0</v>
      </c>
      <c r="N397">
        <v>0</v>
      </c>
      <c r="O397">
        <v>0</v>
      </c>
      <c r="P397" s="2">
        <v>41244</v>
      </c>
      <c r="Q397">
        <v>0</v>
      </c>
      <c r="R397" s="1" t="s">
        <v>61</v>
      </c>
    </row>
    <row r="398" spans="1:18" x14ac:dyDescent="0.25">
      <c r="A398">
        <v>2012</v>
      </c>
      <c r="B398">
        <v>1</v>
      </c>
      <c r="C398" s="1" t="s">
        <v>18</v>
      </c>
      <c r="D398" s="1" t="s">
        <v>19</v>
      </c>
      <c r="E398" s="1" t="s">
        <v>104</v>
      </c>
      <c r="F398">
        <v>2016</v>
      </c>
      <c r="G398">
        <v>0</v>
      </c>
      <c r="H398" s="1" t="s">
        <v>59</v>
      </c>
      <c r="I398">
        <v>24</v>
      </c>
      <c r="J398">
        <v>3317</v>
      </c>
      <c r="K398" s="1" t="s">
        <v>105</v>
      </c>
      <c r="L398" s="1" t="s">
        <v>23</v>
      </c>
      <c r="M398">
        <v>0</v>
      </c>
      <c r="N398">
        <v>0</v>
      </c>
      <c r="O398">
        <v>0</v>
      </c>
      <c r="P398" s="2">
        <v>40909</v>
      </c>
      <c r="Q398">
        <v>0</v>
      </c>
      <c r="R398" s="1" t="s">
        <v>61</v>
      </c>
    </row>
    <row r="399" spans="1:18" x14ac:dyDescent="0.25">
      <c r="A399">
        <v>2012</v>
      </c>
      <c r="B399">
        <v>2</v>
      </c>
      <c r="C399" s="1" t="s">
        <v>25</v>
      </c>
      <c r="D399" s="1" t="s">
        <v>19</v>
      </c>
      <c r="E399" s="1" t="s">
        <v>104</v>
      </c>
      <c r="F399">
        <v>2016</v>
      </c>
      <c r="G399">
        <v>0</v>
      </c>
      <c r="H399" s="1" t="s">
        <v>59</v>
      </c>
      <c r="I399">
        <v>24</v>
      </c>
      <c r="J399">
        <v>3317</v>
      </c>
      <c r="K399" s="1" t="s">
        <v>105</v>
      </c>
      <c r="L399" s="1" t="s">
        <v>23</v>
      </c>
      <c r="M399">
        <v>0</v>
      </c>
      <c r="N399">
        <v>0</v>
      </c>
      <c r="O399">
        <v>0</v>
      </c>
      <c r="P399" s="2">
        <v>40940</v>
      </c>
      <c r="Q399">
        <v>0</v>
      </c>
      <c r="R399" s="1" t="s">
        <v>61</v>
      </c>
    </row>
    <row r="400" spans="1:18" x14ac:dyDescent="0.25">
      <c r="A400">
        <v>2012</v>
      </c>
      <c r="B400">
        <v>3</v>
      </c>
      <c r="C400" s="1" t="s">
        <v>26</v>
      </c>
      <c r="D400" s="1" t="s">
        <v>19</v>
      </c>
      <c r="E400" s="1" t="s">
        <v>104</v>
      </c>
      <c r="F400">
        <v>2016</v>
      </c>
      <c r="G400">
        <v>0</v>
      </c>
      <c r="H400" s="1" t="s">
        <v>59</v>
      </c>
      <c r="I400">
        <v>24</v>
      </c>
      <c r="J400">
        <v>3317</v>
      </c>
      <c r="K400" s="1" t="s">
        <v>105</v>
      </c>
      <c r="L400" s="1" t="s">
        <v>23</v>
      </c>
      <c r="M400">
        <v>0</v>
      </c>
      <c r="N400">
        <v>0</v>
      </c>
      <c r="O400">
        <v>0</v>
      </c>
      <c r="P400" s="2">
        <v>40969</v>
      </c>
      <c r="Q400">
        <v>0</v>
      </c>
      <c r="R400" s="1" t="s">
        <v>61</v>
      </c>
    </row>
    <row r="401" spans="1:18" x14ac:dyDescent="0.25">
      <c r="A401">
        <v>2012</v>
      </c>
      <c r="B401">
        <v>4</v>
      </c>
      <c r="C401" s="1" t="s">
        <v>27</v>
      </c>
      <c r="D401" s="1" t="s">
        <v>19</v>
      </c>
      <c r="E401" s="1" t="s">
        <v>104</v>
      </c>
      <c r="F401">
        <v>2016</v>
      </c>
      <c r="G401">
        <v>0</v>
      </c>
      <c r="H401" s="1" t="s">
        <v>59</v>
      </c>
      <c r="I401">
        <v>24</v>
      </c>
      <c r="J401">
        <v>3317</v>
      </c>
      <c r="K401" s="1" t="s">
        <v>105</v>
      </c>
      <c r="L401" s="1" t="s">
        <v>23</v>
      </c>
      <c r="M401">
        <v>0</v>
      </c>
      <c r="N401">
        <v>0</v>
      </c>
      <c r="O401">
        <v>0</v>
      </c>
      <c r="P401" s="2">
        <v>41000</v>
      </c>
      <c r="Q401">
        <v>0</v>
      </c>
      <c r="R401" s="1" t="s">
        <v>61</v>
      </c>
    </row>
    <row r="402" spans="1:18" x14ac:dyDescent="0.25">
      <c r="A402">
        <v>2012</v>
      </c>
      <c r="B402">
        <v>5</v>
      </c>
      <c r="C402" s="1" t="s">
        <v>28</v>
      </c>
      <c r="D402" s="1" t="s">
        <v>19</v>
      </c>
      <c r="E402" s="1" t="s">
        <v>104</v>
      </c>
      <c r="F402">
        <v>2016</v>
      </c>
      <c r="G402">
        <v>0</v>
      </c>
      <c r="H402" s="1" t="s">
        <v>59</v>
      </c>
      <c r="I402">
        <v>24</v>
      </c>
      <c r="J402">
        <v>3317</v>
      </c>
      <c r="K402" s="1" t="s">
        <v>105</v>
      </c>
      <c r="L402" s="1" t="s">
        <v>23</v>
      </c>
      <c r="M402">
        <v>0</v>
      </c>
      <c r="N402">
        <v>0</v>
      </c>
      <c r="O402">
        <v>0</v>
      </c>
      <c r="P402" s="2">
        <v>41030</v>
      </c>
      <c r="Q402">
        <v>0</v>
      </c>
      <c r="R402" s="1" t="s">
        <v>61</v>
      </c>
    </row>
    <row r="403" spans="1:18" x14ac:dyDescent="0.25">
      <c r="A403">
        <v>2012</v>
      </c>
      <c r="B403">
        <v>6</v>
      </c>
      <c r="C403" s="1" t="s">
        <v>29</v>
      </c>
      <c r="D403" s="1" t="s">
        <v>19</v>
      </c>
      <c r="E403" s="1" t="s">
        <v>104</v>
      </c>
      <c r="F403">
        <v>2016</v>
      </c>
      <c r="G403">
        <v>0</v>
      </c>
      <c r="H403" s="1" t="s">
        <v>59</v>
      </c>
      <c r="I403">
        <v>24</v>
      </c>
      <c r="J403">
        <v>3317</v>
      </c>
      <c r="K403" s="1" t="s">
        <v>105</v>
      </c>
      <c r="L403" s="1" t="s">
        <v>23</v>
      </c>
      <c r="M403">
        <v>0</v>
      </c>
      <c r="N403">
        <v>0</v>
      </c>
      <c r="O403">
        <v>0</v>
      </c>
      <c r="P403" s="2">
        <v>41061</v>
      </c>
      <c r="Q403">
        <v>0</v>
      </c>
      <c r="R403" s="1" t="s">
        <v>61</v>
      </c>
    </row>
    <row r="404" spans="1:18" x14ac:dyDescent="0.25">
      <c r="A404">
        <v>2012</v>
      </c>
      <c r="B404">
        <v>7</v>
      </c>
      <c r="C404" s="1" t="s">
        <v>30</v>
      </c>
      <c r="D404" s="1" t="s">
        <v>19</v>
      </c>
      <c r="E404" s="1" t="s">
        <v>104</v>
      </c>
      <c r="F404">
        <v>2016</v>
      </c>
      <c r="G404">
        <v>0</v>
      </c>
      <c r="H404" s="1" t="s">
        <v>59</v>
      </c>
      <c r="I404">
        <v>24</v>
      </c>
      <c r="J404">
        <v>3317</v>
      </c>
      <c r="K404" s="1" t="s">
        <v>105</v>
      </c>
      <c r="L404" s="1" t="s">
        <v>23</v>
      </c>
      <c r="M404">
        <v>0</v>
      </c>
      <c r="N404">
        <v>0</v>
      </c>
      <c r="O404">
        <v>0</v>
      </c>
      <c r="P404" s="2">
        <v>41091</v>
      </c>
      <c r="Q404">
        <v>0</v>
      </c>
      <c r="R404" s="1" t="s">
        <v>61</v>
      </c>
    </row>
    <row r="405" spans="1:18" x14ac:dyDescent="0.25">
      <c r="A405">
        <v>2012</v>
      </c>
      <c r="B405">
        <v>8</v>
      </c>
      <c r="C405" s="1" t="s">
        <v>31</v>
      </c>
      <c r="D405" s="1" t="s">
        <v>19</v>
      </c>
      <c r="E405" s="1" t="s">
        <v>104</v>
      </c>
      <c r="F405">
        <v>2016</v>
      </c>
      <c r="G405">
        <v>0</v>
      </c>
      <c r="H405" s="1" t="s">
        <v>59</v>
      </c>
      <c r="I405">
        <v>24</v>
      </c>
      <c r="J405">
        <v>3317</v>
      </c>
      <c r="K405" s="1" t="s">
        <v>105</v>
      </c>
      <c r="L405" s="1" t="s">
        <v>23</v>
      </c>
      <c r="M405">
        <v>0</v>
      </c>
      <c r="N405">
        <v>0</v>
      </c>
      <c r="O405">
        <v>0</v>
      </c>
      <c r="P405" s="2">
        <v>41122</v>
      </c>
      <c r="Q405">
        <v>0</v>
      </c>
      <c r="R405" s="1" t="s">
        <v>61</v>
      </c>
    </row>
    <row r="406" spans="1:18" x14ac:dyDescent="0.25">
      <c r="A406">
        <v>2012</v>
      </c>
      <c r="B406">
        <v>9</v>
      </c>
      <c r="C406" s="1" t="s">
        <v>32</v>
      </c>
      <c r="D406" s="1" t="s">
        <v>19</v>
      </c>
      <c r="E406" s="1" t="s">
        <v>104</v>
      </c>
      <c r="F406">
        <v>2016</v>
      </c>
      <c r="G406">
        <v>0</v>
      </c>
      <c r="H406" s="1" t="s">
        <v>59</v>
      </c>
      <c r="I406">
        <v>24</v>
      </c>
      <c r="J406">
        <v>3317</v>
      </c>
      <c r="K406" s="1" t="s">
        <v>105</v>
      </c>
      <c r="L406" s="1" t="s">
        <v>23</v>
      </c>
      <c r="M406">
        <v>0</v>
      </c>
      <c r="N406">
        <v>0</v>
      </c>
      <c r="O406">
        <v>0</v>
      </c>
      <c r="P406" s="2">
        <v>41153</v>
      </c>
      <c r="Q406">
        <v>0</v>
      </c>
      <c r="R406" s="1" t="s">
        <v>61</v>
      </c>
    </row>
    <row r="407" spans="1:18" x14ac:dyDescent="0.25">
      <c r="A407">
        <v>2012</v>
      </c>
      <c r="B407">
        <v>10</v>
      </c>
      <c r="C407" s="1" t="s">
        <v>33</v>
      </c>
      <c r="D407" s="1" t="s">
        <v>19</v>
      </c>
      <c r="E407" s="1" t="s">
        <v>104</v>
      </c>
      <c r="F407">
        <v>2016</v>
      </c>
      <c r="G407">
        <v>0</v>
      </c>
      <c r="H407" s="1" t="s">
        <v>59</v>
      </c>
      <c r="I407">
        <v>24</v>
      </c>
      <c r="J407">
        <v>3317</v>
      </c>
      <c r="K407" s="1" t="s">
        <v>105</v>
      </c>
      <c r="L407" s="1" t="s">
        <v>23</v>
      </c>
      <c r="M407">
        <v>0</v>
      </c>
      <c r="N407">
        <v>0</v>
      </c>
      <c r="O407">
        <v>0</v>
      </c>
      <c r="P407" s="2">
        <v>41183</v>
      </c>
      <c r="Q407">
        <v>0</v>
      </c>
      <c r="R407" s="1" t="s">
        <v>61</v>
      </c>
    </row>
    <row r="408" spans="1:18" x14ac:dyDescent="0.25">
      <c r="A408">
        <v>2012</v>
      </c>
      <c r="B408">
        <v>11</v>
      </c>
      <c r="C408" s="1" t="s">
        <v>34</v>
      </c>
      <c r="D408" s="1" t="s">
        <v>19</v>
      </c>
      <c r="E408" s="1" t="s">
        <v>104</v>
      </c>
      <c r="F408">
        <v>2016</v>
      </c>
      <c r="G408">
        <v>0</v>
      </c>
      <c r="H408" s="1" t="s">
        <v>59</v>
      </c>
      <c r="I408">
        <v>24</v>
      </c>
      <c r="J408">
        <v>3317</v>
      </c>
      <c r="K408" s="1" t="s">
        <v>105</v>
      </c>
      <c r="L408" s="1" t="s">
        <v>23</v>
      </c>
      <c r="M408">
        <v>0</v>
      </c>
      <c r="N408">
        <v>0</v>
      </c>
      <c r="O408">
        <v>0</v>
      </c>
      <c r="P408" s="2">
        <v>41214</v>
      </c>
      <c r="Q408">
        <v>0</v>
      </c>
      <c r="R408" s="1" t="s">
        <v>61</v>
      </c>
    </row>
    <row r="409" spans="1:18" x14ac:dyDescent="0.25">
      <c r="A409">
        <v>2012</v>
      </c>
      <c r="B409">
        <v>12</v>
      </c>
      <c r="C409" s="1" t="s">
        <v>35</v>
      </c>
      <c r="D409" s="1" t="s">
        <v>19</v>
      </c>
      <c r="E409" s="1" t="s">
        <v>104</v>
      </c>
      <c r="F409">
        <v>2016</v>
      </c>
      <c r="G409">
        <v>0</v>
      </c>
      <c r="H409" s="1" t="s">
        <v>59</v>
      </c>
      <c r="I409">
        <v>24</v>
      </c>
      <c r="J409">
        <v>3317</v>
      </c>
      <c r="K409" s="1" t="s">
        <v>105</v>
      </c>
      <c r="L409" s="1" t="s">
        <v>23</v>
      </c>
      <c r="M409">
        <v>0</v>
      </c>
      <c r="N409">
        <v>0</v>
      </c>
      <c r="O409">
        <v>0</v>
      </c>
      <c r="P409" s="2">
        <v>41244</v>
      </c>
      <c r="Q409">
        <v>0</v>
      </c>
      <c r="R409" s="1" t="s">
        <v>61</v>
      </c>
    </row>
    <row r="410" spans="1:18" x14ac:dyDescent="0.25">
      <c r="A410">
        <v>2012</v>
      </c>
      <c r="B410">
        <v>1</v>
      </c>
      <c r="C410" s="1" t="s">
        <v>18</v>
      </c>
      <c r="D410" s="1" t="s">
        <v>19</v>
      </c>
      <c r="E410" s="1" t="s">
        <v>106</v>
      </c>
      <c r="F410">
        <v>2016</v>
      </c>
      <c r="G410">
        <v>0</v>
      </c>
      <c r="H410" s="1" t="s">
        <v>59</v>
      </c>
      <c r="I410">
        <v>17</v>
      </c>
      <c r="J410">
        <v>2219</v>
      </c>
      <c r="K410" s="1" t="s">
        <v>107</v>
      </c>
      <c r="L410" s="1" t="s">
        <v>23</v>
      </c>
      <c r="M410">
        <v>0</v>
      </c>
      <c r="N410">
        <v>0</v>
      </c>
      <c r="O410">
        <v>0</v>
      </c>
      <c r="P410" s="2">
        <v>40909</v>
      </c>
      <c r="Q410">
        <v>0</v>
      </c>
      <c r="R410" s="1" t="s">
        <v>61</v>
      </c>
    </row>
    <row r="411" spans="1:18" x14ac:dyDescent="0.25">
      <c r="A411">
        <v>2012</v>
      </c>
      <c r="B411">
        <v>2</v>
      </c>
      <c r="C411" s="1" t="s">
        <v>25</v>
      </c>
      <c r="D411" s="1" t="s">
        <v>19</v>
      </c>
      <c r="E411" s="1" t="s">
        <v>106</v>
      </c>
      <c r="F411">
        <v>2016</v>
      </c>
      <c r="G411">
        <v>0</v>
      </c>
      <c r="H411" s="1" t="s">
        <v>59</v>
      </c>
      <c r="I411">
        <v>17</v>
      </c>
      <c r="J411">
        <v>2219</v>
      </c>
      <c r="K411" s="1" t="s">
        <v>107</v>
      </c>
      <c r="L411" s="1" t="s">
        <v>23</v>
      </c>
      <c r="M411">
        <v>0</v>
      </c>
      <c r="N411">
        <v>0</v>
      </c>
      <c r="O411">
        <v>0</v>
      </c>
      <c r="P411" s="2">
        <v>40940</v>
      </c>
      <c r="Q411">
        <v>0</v>
      </c>
      <c r="R411" s="1" t="s">
        <v>61</v>
      </c>
    </row>
    <row r="412" spans="1:18" x14ac:dyDescent="0.25">
      <c r="A412">
        <v>2012</v>
      </c>
      <c r="B412">
        <v>3</v>
      </c>
      <c r="C412" s="1" t="s">
        <v>26</v>
      </c>
      <c r="D412" s="1" t="s">
        <v>19</v>
      </c>
      <c r="E412" s="1" t="s">
        <v>106</v>
      </c>
      <c r="F412">
        <v>2016</v>
      </c>
      <c r="G412">
        <v>0</v>
      </c>
      <c r="H412" s="1" t="s">
        <v>59</v>
      </c>
      <c r="I412">
        <v>17</v>
      </c>
      <c r="J412">
        <v>2219</v>
      </c>
      <c r="K412" s="1" t="s">
        <v>107</v>
      </c>
      <c r="L412" s="1" t="s">
        <v>23</v>
      </c>
      <c r="M412">
        <v>0</v>
      </c>
      <c r="N412">
        <v>0</v>
      </c>
      <c r="O412">
        <v>0</v>
      </c>
      <c r="P412" s="2">
        <v>40969</v>
      </c>
      <c r="Q412">
        <v>0</v>
      </c>
      <c r="R412" s="1" t="s">
        <v>61</v>
      </c>
    </row>
    <row r="413" spans="1:18" x14ac:dyDescent="0.25">
      <c r="A413">
        <v>2012</v>
      </c>
      <c r="B413">
        <v>4</v>
      </c>
      <c r="C413" s="1" t="s">
        <v>27</v>
      </c>
      <c r="D413" s="1" t="s">
        <v>19</v>
      </c>
      <c r="E413" s="1" t="s">
        <v>106</v>
      </c>
      <c r="F413">
        <v>2016</v>
      </c>
      <c r="G413">
        <v>0</v>
      </c>
      <c r="H413" s="1" t="s">
        <v>59</v>
      </c>
      <c r="I413">
        <v>17</v>
      </c>
      <c r="J413">
        <v>2219</v>
      </c>
      <c r="K413" s="1" t="s">
        <v>107</v>
      </c>
      <c r="L413" s="1" t="s">
        <v>23</v>
      </c>
      <c r="M413">
        <v>0</v>
      </c>
      <c r="N413">
        <v>0</v>
      </c>
      <c r="O413">
        <v>0</v>
      </c>
      <c r="P413" s="2">
        <v>41000</v>
      </c>
      <c r="Q413">
        <v>0</v>
      </c>
      <c r="R413" s="1" t="s">
        <v>61</v>
      </c>
    </row>
    <row r="414" spans="1:18" x14ac:dyDescent="0.25">
      <c r="A414">
        <v>2012</v>
      </c>
      <c r="B414">
        <v>5</v>
      </c>
      <c r="C414" s="1" t="s">
        <v>28</v>
      </c>
      <c r="D414" s="1" t="s">
        <v>19</v>
      </c>
      <c r="E414" s="1" t="s">
        <v>106</v>
      </c>
      <c r="F414">
        <v>2016</v>
      </c>
      <c r="G414">
        <v>0</v>
      </c>
      <c r="H414" s="1" t="s">
        <v>59</v>
      </c>
      <c r="I414">
        <v>17</v>
      </c>
      <c r="J414">
        <v>2219</v>
      </c>
      <c r="K414" s="1" t="s">
        <v>107</v>
      </c>
      <c r="L414" s="1" t="s">
        <v>23</v>
      </c>
      <c r="M414">
        <v>0</v>
      </c>
      <c r="N414">
        <v>0</v>
      </c>
      <c r="O414">
        <v>0</v>
      </c>
      <c r="P414" s="2">
        <v>41030</v>
      </c>
      <c r="Q414">
        <v>0</v>
      </c>
      <c r="R414" s="1" t="s">
        <v>61</v>
      </c>
    </row>
    <row r="415" spans="1:18" x14ac:dyDescent="0.25">
      <c r="A415">
        <v>2012</v>
      </c>
      <c r="B415">
        <v>6</v>
      </c>
      <c r="C415" s="1" t="s">
        <v>29</v>
      </c>
      <c r="D415" s="1" t="s">
        <v>19</v>
      </c>
      <c r="E415" s="1" t="s">
        <v>106</v>
      </c>
      <c r="F415">
        <v>2016</v>
      </c>
      <c r="G415">
        <v>0</v>
      </c>
      <c r="H415" s="1" t="s">
        <v>59</v>
      </c>
      <c r="I415">
        <v>17</v>
      </c>
      <c r="J415">
        <v>2219</v>
      </c>
      <c r="K415" s="1" t="s">
        <v>107</v>
      </c>
      <c r="L415" s="1" t="s">
        <v>23</v>
      </c>
      <c r="M415">
        <v>0</v>
      </c>
      <c r="N415">
        <v>0</v>
      </c>
      <c r="O415">
        <v>0</v>
      </c>
      <c r="P415" s="2">
        <v>41061</v>
      </c>
      <c r="Q415">
        <v>0</v>
      </c>
      <c r="R415" s="1" t="s">
        <v>61</v>
      </c>
    </row>
    <row r="416" spans="1:18" x14ac:dyDescent="0.25">
      <c r="A416">
        <v>2012</v>
      </c>
      <c r="B416">
        <v>7</v>
      </c>
      <c r="C416" s="1" t="s">
        <v>30</v>
      </c>
      <c r="D416" s="1" t="s">
        <v>19</v>
      </c>
      <c r="E416" s="1" t="s">
        <v>106</v>
      </c>
      <c r="F416">
        <v>2016</v>
      </c>
      <c r="G416">
        <v>0</v>
      </c>
      <c r="H416" s="1" t="s">
        <v>59</v>
      </c>
      <c r="I416">
        <v>17</v>
      </c>
      <c r="J416">
        <v>2219</v>
      </c>
      <c r="K416" s="1" t="s">
        <v>107</v>
      </c>
      <c r="L416" s="1" t="s">
        <v>23</v>
      </c>
      <c r="M416">
        <v>0</v>
      </c>
      <c r="N416">
        <v>0</v>
      </c>
      <c r="O416">
        <v>0</v>
      </c>
      <c r="P416" s="2">
        <v>41091</v>
      </c>
      <c r="Q416">
        <v>0</v>
      </c>
      <c r="R416" s="1" t="s">
        <v>61</v>
      </c>
    </row>
    <row r="417" spans="1:18" x14ac:dyDescent="0.25">
      <c r="A417">
        <v>2012</v>
      </c>
      <c r="B417">
        <v>8</v>
      </c>
      <c r="C417" s="1" t="s">
        <v>31</v>
      </c>
      <c r="D417" s="1" t="s">
        <v>19</v>
      </c>
      <c r="E417" s="1" t="s">
        <v>106</v>
      </c>
      <c r="F417">
        <v>2016</v>
      </c>
      <c r="G417">
        <v>0</v>
      </c>
      <c r="H417" s="1" t="s">
        <v>59</v>
      </c>
      <c r="I417">
        <v>17</v>
      </c>
      <c r="J417">
        <v>2219</v>
      </c>
      <c r="K417" s="1" t="s">
        <v>107</v>
      </c>
      <c r="L417" s="1" t="s">
        <v>23</v>
      </c>
      <c r="M417">
        <v>0</v>
      </c>
      <c r="N417">
        <v>0</v>
      </c>
      <c r="O417">
        <v>0</v>
      </c>
      <c r="P417" s="2">
        <v>41122</v>
      </c>
      <c r="Q417">
        <v>0</v>
      </c>
      <c r="R417" s="1" t="s">
        <v>61</v>
      </c>
    </row>
    <row r="418" spans="1:18" x14ac:dyDescent="0.25">
      <c r="A418">
        <v>2012</v>
      </c>
      <c r="B418">
        <v>9</v>
      </c>
      <c r="C418" s="1" t="s">
        <v>32</v>
      </c>
      <c r="D418" s="1" t="s">
        <v>19</v>
      </c>
      <c r="E418" s="1" t="s">
        <v>106</v>
      </c>
      <c r="F418">
        <v>2016</v>
      </c>
      <c r="G418">
        <v>0</v>
      </c>
      <c r="H418" s="1" t="s">
        <v>59</v>
      </c>
      <c r="I418">
        <v>17</v>
      </c>
      <c r="J418">
        <v>2219</v>
      </c>
      <c r="K418" s="1" t="s">
        <v>107</v>
      </c>
      <c r="L418" s="1" t="s">
        <v>23</v>
      </c>
      <c r="M418">
        <v>0</v>
      </c>
      <c r="N418">
        <v>0</v>
      </c>
      <c r="O418">
        <v>0</v>
      </c>
      <c r="P418" s="2">
        <v>41153</v>
      </c>
      <c r="Q418">
        <v>0</v>
      </c>
      <c r="R418" s="1" t="s">
        <v>61</v>
      </c>
    </row>
    <row r="419" spans="1:18" x14ac:dyDescent="0.25">
      <c r="A419">
        <v>2012</v>
      </c>
      <c r="B419">
        <v>10</v>
      </c>
      <c r="C419" s="1" t="s">
        <v>33</v>
      </c>
      <c r="D419" s="1" t="s">
        <v>19</v>
      </c>
      <c r="E419" s="1" t="s">
        <v>106</v>
      </c>
      <c r="F419">
        <v>2016</v>
      </c>
      <c r="G419">
        <v>0</v>
      </c>
      <c r="H419" s="1" t="s">
        <v>59</v>
      </c>
      <c r="I419">
        <v>17</v>
      </c>
      <c r="J419">
        <v>2219</v>
      </c>
      <c r="K419" s="1" t="s">
        <v>107</v>
      </c>
      <c r="L419" s="1" t="s">
        <v>23</v>
      </c>
      <c r="M419">
        <v>0</v>
      </c>
      <c r="N419">
        <v>0</v>
      </c>
      <c r="O419">
        <v>0</v>
      </c>
      <c r="P419" s="2">
        <v>41183</v>
      </c>
      <c r="Q419">
        <v>0</v>
      </c>
      <c r="R419" s="1" t="s">
        <v>61</v>
      </c>
    </row>
    <row r="420" spans="1:18" x14ac:dyDescent="0.25">
      <c r="A420">
        <v>2012</v>
      </c>
      <c r="B420">
        <v>11</v>
      </c>
      <c r="C420" s="1" t="s">
        <v>34</v>
      </c>
      <c r="D420" s="1" t="s">
        <v>19</v>
      </c>
      <c r="E420" s="1" t="s">
        <v>106</v>
      </c>
      <c r="F420">
        <v>2016</v>
      </c>
      <c r="G420">
        <v>0</v>
      </c>
      <c r="H420" s="1" t="s">
        <v>59</v>
      </c>
      <c r="I420">
        <v>17</v>
      </c>
      <c r="J420">
        <v>2219</v>
      </c>
      <c r="K420" s="1" t="s">
        <v>107</v>
      </c>
      <c r="L420" s="1" t="s">
        <v>23</v>
      </c>
      <c r="M420">
        <v>0</v>
      </c>
      <c r="N420">
        <v>0</v>
      </c>
      <c r="O420">
        <v>0</v>
      </c>
      <c r="P420" s="2">
        <v>41214</v>
      </c>
      <c r="Q420">
        <v>0</v>
      </c>
      <c r="R420" s="1" t="s">
        <v>61</v>
      </c>
    </row>
    <row r="421" spans="1:18" x14ac:dyDescent="0.25">
      <c r="A421">
        <v>2012</v>
      </c>
      <c r="B421">
        <v>12</v>
      </c>
      <c r="C421" s="1" t="s">
        <v>35</v>
      </c>
      <c r="D421" s="1" t="s">
        <v>19</v>
      </c>
      <c r="E421" s="1" t="s">
        <v>106</v>
      </c>
      <c r="F421">
        <v>2016</v>
      </c>
      <c r="G421">
        <v>0</v>
      </c>
      <c r="H421" s="1" t="s">
        <v>59</v>
      </c>
      <c r="I421">
        <v>17</v>
      </c>
      <c r="J421">
        <v>2219</v>
      </c>
      <c r="K421" s="1" t="s">
        <v>107</v>
      </c>
      <c r="L421" s="1" t="s">
        <v>23</v>
      </c>
      <c r="M421">
        <v>0</v>
      </c>
      <c r="N421">
        <v>0</v>
      </c>
      <c r="O421">
        <v>0</v>
      </c>
      <c r="P421" s="2">
        <v>41244</v>
      </c>
      <c r="Q421">
        <v>0</v>
      </c>
      <c r="R421" s="1" t="s">
        <v>61</v>
      </c>
    </row>
    <row r="422" spans="1:18" x14ac:dyDescent="0.25">
      <c r="A422">
        <v>2012</v>
      </c>
      <c r="B422">
        <v>1</v>
      </c>
      <c r="C422" s="1" t="s">
        <v>18</v>
      </c>
      <c r="D422" s="1" t="s">
        <v>19</v>
      </c>
      <c r="E422" s="1" t="s">
        <v>108</v>
      </c>
      <c r="F422">
        <v>2016</v>
      </c>
      <c r="G422">
        <v>0</v>
      </c>
      <c r="H422" s="1" t="s">
        <v>59</v>
      </c>
      <c r="I422">
        <v>15</v>
      </c>
      <c r="J422">
        <v>2142</v>
      </c>
      <c r="K422" s="1" t="s">
        <v>109</v>
      </c>
      <c r="L422" s="1" t="s">
        <v>23</v>
      </c>
      <c r="M422">
        <v>0</v>
      </c>
      <c r="N422">
        <v>0</v>
      </c>
      <c r="O422">
        <v>0</v>
      </c>
      <c r="P422" s="2">
        <v>40909</v>
      </c>
      <c r="Q422">
        <v>0</v>
      </c>
      <c r="R422" s="1" t="s">
        <v>61</v>
      </c>
    </row>
    <row r="423" spans="1:18" x14ac:dyDescent="0.25">
      <c r="A423">
        <v>2012</v>
      </c>
      <c r="B423">
        <v>2</v>
      </c>
      <c r="C423" s="1" t="s">
        <v>25</v>
      </c>
      <c r="D423" s="1" t="s">
        <v>19</v>
      </c>
      <c r="E423" s="1" t="s">
        <v>108</v>
      </c>
      <c r="F423">
        <v>2016</v>
      </c>
      <c r="G423">
        <v>0</v>
      </c>
      <c r="H423" s="1" t="s">
        <v>59</v>
      </c>
      <c r="I423">
        <v>15</v>
      </c>
      <c r="J423">
        <v>2142</v>
      </c>
      <c r="K423" s="1" t="s">
        <v>109</v>
      </c>
      <c r="L423" s="1" t="s">
        <v>23</v>
      </c>
      <c r="M423">
        <v>0</v>
      </c>
      <c r="N423">
        <v>0</v>
      </c>
      <c r="O423">
        <v>0</v>
      </c>
      <c r="P423" s="2">
        <v>40940</v>
      </c>
      <c r="Q423">
        <v>0</v>
      </c>
      <c r="R423" s="1" t="s">
        <v>61</v>
      </c>
    </row>
    <row r="424" spans="1:18" x14ac:dyDescent="0.25">
      <c r="A424">
        <v>2012</v>
      </c>
      <c r="B424">
        <v>3</v>
      </c>
      <c r="C424" s="1" t="s">
        <v>26</v>
      </c>
      <c r="D424" s="1" t="s">
        <v>19</v>
      </c>
      <c r="E424" s="1" t="s">
        <v>108</v>
      </c>
      <c r="F424">
        <v>2016</v>
      </c>
      <c r="G424">
        <v>0</v>
      </c>
      <c r="H424" s="1" t="s">
        <v>59</v>
      </c>
      <c r="I424">
        <v>15</v>
      </c>
      <c r="J424">
        <v>2142</v>
      </c>
      <c r="K424" s="1" t="s">
        <v>109</v>
      </c>
      <c r="L424" s="1" t="s">
        <v>23</v>
      </c>
      <c r="M424">
        <v>0</v>
      </c>
      <c r="N424">
        <v>0</v>
      </c>
      <c r="O424">
        <v>0</v>
      </c>
      <c r="P424" s="2">
        <v>40969</v>
      </c>
      <c r="Q424">
        <v>0</v>
      </c>
      <c r="R424" s="1" t="s">
        <v>61</v>
      </c>
    </row>
    <row r="425" spans="1:18" x14ac:dyDescent="0.25">
      <c r="A425">
        <v>2012</v>
      </c>
      <c r="B425">
        <v>4</v>
      </c>
      <c r="C425" s="1" t="s">
        <v>27</v>
      </c>
      <c r="D425" s="1" t="s">
        <v>19</v>
      </c>
      <c r="E425" s="1" t="s">
        <v>108</v>
      </c>
      <c r="F425">
        <v>2016</v>
      </c>
      <c r="G425">
        <v>0</v>
      </c>
      <c r="H425" s="1" t="s">
        <v>59</v>
      </c>
      <c r="I425">
        <v>15</v>
      </c>
      <c r="J425">
        <v>2142</v>
      </c>
      <c r="K425" s="1" t="s">
        <v>109</v>
      </c>
      <c r="L425" s="1" t="s">
        <v>23</v>
      </c>
      <c r="M425">
        <v>0</v>
      </c>
      <c r="N425">
        <v>0</v>
      </c>
      <c r="O425">
        <v>0</v>
      </c>
      <c r="P425" s="2">
        <v>41000</v>
      </c>
      <c r="Q425">
        <v>0</v>
      </c>
      <c r="R425" s="1" t="s">
        <v>61</v>
      </c>
    </row>
    <row r="426" spans="1:18" x14ac:dyDescent="0.25">
      <c r="A426">
        <v>2012</v>
      </c>
      <c r="B426">
        <v>5</v>
      </c>
      <c r="C426" s="1" t="s">
        <v>28</v>
      </c>
      <c r="D426" s="1" t="s">
        <v>19</v>
      </c>
      <c r="E426" s="1" t="s">
        <v>108</v>
      </c>
      <c r="F426">
        <v>2016</v>
      </c>
      <c r="G426">
        <v>0</v>
      </c>
      <c r="H426" s="1" t="s">
        <v>59</v>
      </c>
      <c r="I426">
        <v>15</v>
      </c>
      <c r="J426">
        <v>2142</v>
      </c>
      <c r="K426" s="1" t="s">
        <v>109</v>
      </c>
      <c r="L426" s="1" t="s">
        <v>23</v>
      </c>
      <c r="M426">
        <v>0</v>
      </c>
      <c r="N426">
        <v>0</v>
      </c>
      <c r="O426">
        <v>0</v>
      </c>
      <c r="P426" s="2">
        <v>41030</v>
      </c>
      <c r="Q426">
        <v>0</v>
      </c>
      <c r="R426" s="1" t="s">
        <v>61</v>
      </c>
    </row>
    <row r="427" spans="1:18" x14ac:dyDescent="0.25">
      <c r="A427">
        <v>2012</v>
      </c>
      <c r="B427">
        <v>6</v>
      </c>
      <c r="C427" s="1" t="s">
        <v>29</v>
      </c>
      <c r="D427" s="1" t="s">
        <v>19</v>
      </c>
      <c r="E427" s="1" t="s">
        <v>108</v>
      </c>
      <c r="F427">
        <v>2016</v>
      </c>
      <c r="G427">
        <v>0</v>
      </c>
      <c r="H427" s="1" t="s">
        <v>59</v>
      </c>
      <c r="I427">
        <v>15</v>
      </c>
      <c r="J427">
        <v>2142</v>
      </c>
      <c r="K427" s="1" t="s">
        <v>109</v>
      </c>
      <c r="L427" s="1" t="s">
        <v>23</v>
      </c>
      <c r="M427">
        <v>0</v>
      </c>
      <c r="N427">
        <v>0</v>
      </c>
      <c r="O427">
        <v>0</v>
      </c>
      <c r="P427" s="2">
        <v>41061</v>
      </c>
      <c r="Q427">
        <v>0</v>
      </c>
      <c r="R427" s="1" t="s">
        <v>61</v>
      </c>
    </row>
    <row r="428" spans="1:18" x14ac:dyDescent="0.25">
      <c r="A428">
        <v>2012</v>
      </c>
      <c r="B428">
        <v>7</v>
      </c>
      <c r="C428" s="1" t="s">
        <v>30</v>
      </c>
      <c r="D428" s="1" t="s">
        <v>19</v>
      </c>
      <c r="E428" s="1" t="s">
        <v>108</v>
      </c>
      <c r="F428">
        <v>2016</v>
      </c>
      <c r="G428">
        <v>0</v>
      </c>
      <c r="H428" s="1" t="s">
        <v>59</v>
      </c>
      <c r="I428">
        <v>15</v>
      </c>
      <c r="J428">
        <v>2142</v>
      </c>
      <c r="K428" s="1" t="s">
        <v>109</v>
      </c>
      <c r="L428" s="1" t="s">
        <v>23</v>
      </c>
      <c r="M428">
        <v>0</v>
      </c>
      <c r="N428">
        <v>0</v>
      </c>
      <c r="O428">
        <v>0</v>
      </c>
      <c r="P428" s="2">
        <v>41091</v>
      </c>
      <c r="Q428">
        <v>0</v>
      </c>
      <c r="R428" s="1" t="s">
        <v>61</v>
      </c>
    </row>
    <row r="429" spans="1:18" x14ac:dyDescent="0.25">
      <c r="A429">
        <v>2012</v>
      </c>
      <c r="B429">
        <v>8</v>
      </c>
      <c r="C429" s="1" t="s">
        <v>31</v>
      </c>
      <c r="D429" s="1" t="s">
        <v>19</v>
      </c>
      <c r="E429" s="1" t="s">
        <v>108</v>
      </c>
      <c r="F429">
        <v>2016</v>
      </c>
      <c r="G429">
        <v>0</v>
      </c>
      <c r="H429" s="1" t="s">
        <v>59</v>
      </c>
      <c r="I429">
        <v>15</v>
      </c>
      <c r="J429">
        <v>2142</v>
      </c>
      <c r="K429" s="1" t="s">
        <v>109</v>
      </c>
      <c r="L429" s="1" t="s">
        <v>23</v>
      </c>
      <c r="M429">
        <v>0</v>
      </c>
      <c r="N429">
        <v>0</v>
      </c>
      <c r="O429">
        <v>0</v>
      </c>
      <c r="P429" s="2">
        <v>41122</v>
      </c>
      <c r="Q429">
        <v>0</v>
      </c>
      <c r="R429" s="1" t="s">
        <v>61</v>
      </c>
    </row>
    <row r="430" spans="1:18" x14ac:dyDescent="0.25">
      <c r="A430">
        <v>2012</v>
      </c>
      <c r="B430">
        <v>9</v>
      </c>
      <c r="C430" s="1" t="s">
        <v>32</v>
      </c>
      <c r="D430" s="1" t="s">
        <v>19</v>
      </c>
      <c r="E430" s="1" t="s">
        <v>108</v>
      </c>
      <c r="F430">
        <v>2016</v>
      </c>
      <c r="G430">
        <v>0</v>
      </c>
      <c r="H430" s="1" t="s">
        <v>59</v>
      </c>
      <c r="I430">
        <v>15</v>
      </c>
      <c r="J430">
        <v>2142</v>
      </c>
      <c r="K430" s="1" t="s">
        <v>109</v>
      </c>
      <c r="L430" s="1" t="s">
        <v>23</v>
      </c>
      <c r="M430">
        <v>0</v>
      </c>
      <c r="N430">
        <v>0</v>
      </c>
      <c r="O430">
        <v>0</v>
      </c>
      <c r="P430" s="2">
        <v>41153</v>
      </c>
      <c r="Q430">
        <v>0</v>
      </c>
      <c r="R430" s="1" t="s">
        <v>61</v>
      </c>
    </row>
    <row r="431" spans="1:18" x14ac:dyDescent="0.25">
      <c r="A431">
        <v>2012</v>
      </c>
      <c r="B431">
        <v>10</v>
      </c>
      <c r="C431" s="1" t="s">
        <v>33</v>
      </c>
      <c r="D431" s="1" t="s">
        <v>19</v>
      </c>
      <c r="E431" s="1" t="s">
        <v>108</v>
      </c>
      <c r="F431">
        <v>2016</v>
      </c>
      <c r="G431">
        <v>0</v>
      </c>
      <c r="H431" s="1" t="s">
        <v>59</v>
      </c>
      <c r="I431">
        <v>15</v>
      </c>
      <c r="J431">
        <v>2142</v>
      </c>
      <c r="K431" s="1" t="s">
        <v>109</v>
      </c>
      <c r="L431" s="1" t="s">
        <v>23</v>
      </c>
      <c r="M431">
        <v>0</v>
      </c>
      <c r="N431">
        <v>0</v>
      </c>
      <c r="O431">
        <v>0</v>
      </c>
      <c r="P431" s="2">
        <v>41183</v>
      </c>
      <c r="Q431">
        <v>0</v>
      </c>
      <c r="R431" s="1" t="s">
        <v>61</v>
      </c>
    </row>
    <row r="432" spans="1:18" x14ac:dyDescent="0.25">
      <c r="A432">
        <v>2012</v>
      </c>
      <c r="B432">
        <v>11</v>
      </c>
      <c r="C432" s="1" t="s">
        <v>34</v>
      </c>
      <c r="D432" s="1" t="s">
        <v>19</v>
      </c>
      <c r="E432" s="1" t="s">
        <v>108</v>
      </c>
      <c r="F432">
        <v>2016</v>
      </c>
      <c r="G432">
        <v>0</v>
      </c>
      <c r="H432" s="1" t="s">
        <v>59</v>
      </c>
      <c r="I432">
        <v>15</v>
      </c>
      <c r="J432">
        <v>2142</v>
      </c>
      <c r="K432" s="1" t="s">
        <v>109</v>
      </c>
      <c r="L432" s="1" t="s">
        <v>23</v>
      </c>
      <c r="M432">
        <v>0</v>
      </c>
      <c r="N432">
        <v>0</v>
      </c>
      <c r="O432">
        <v>0</v>
      </c>
      <c r="P432" s="2">
        <v>41214</v>
      </c>
      <c r="Q432">
        <v>0</v>
      </c>
      <c r="R432" s="1" t="s">
        <v>61</v>
      </c>
    </row>
    <row r="433" spans="1:18" x14ac:dyDescent="0.25">
      <c r="A433">
        <v>2012</v>
      </c>
      <c r="B433">
        <v>12</v>
      </c>
      <c r="C433" s="1" t="s">
        <v>35</v>
      </c>
      <c r="D433" s="1" t="s">
        <v>19</v>
      </c>
      <c r="E433" s="1" t="s">
        <v>108</v>
      </c>
      <c r="F433">
        <v>2016</v>
      </c>
      <c r="G433">
        <v>0</v>
      </c>
      <c r="H433" s="1" t="s">
        <v>59</v>
      </c>
      <c r="I433">
        <v>15</v>
      </c>
      <c r="J433">
        <v>2142</v>
      </c>
      <c r="K433" s="1" t="s">
        <v>109</v>
      </c>
      <c r="L433" s="1" t="s">
        <v>23</v>
      </c>
      <c r="M433">
        <v>0</v>
      </c>
      <c r="N433">
        <v>0</v>
      </c>
      <c r="O433">
        <v>0</v>
      </c>
      <c r="P433" s="2">
        <v>41244</v>
      </c>
      <c r="Q433">
        <v>0</v>
      </c>
      <c r="R433" s="1" t="s">
        <v>61</v>
      </c>
    </row>
    <row r="434" spans="1:18" x14ac:dyDescent="0.25">
      <c r="A434">
        <v>2012</v>
      </c>
      <c r="B434">
        <v>1</v>
      </c>
      <c r="C434" s="1" t="s">
        <v>18</v>
      </c>
      <c r="D434" s="1" t="s">
        <v>19</v>
      </c>
      <c r="E434" s="1" t="s">
        <v>110</v>
      </c>
      <c r="F434">
        <v>2016</v>
      </c>
      <c r="G434">
        <v>0</v>
      </c>
      <c r="H434" s="1" t="s">
        <v>59</v>
      </c>
      <c r="I434">
        <v>24</v>
      </c>
      <c r="J434">
        <v>3324</v>
      </c>
      <c r="K434" s="1" t="s">
        <v>111</v>
      </c>
      <c r="L434" s="1" t="s">
        <v>23</v>
      </c>
      <c r="M434">
        <v>0</v>
      </c>
      <c r="N434">
        <v>0</v>
      </c>
      <c r="O434">
        <v>0</v>
      </c>
      <c r="P434" s="2">
        <v>40909</v>
      </c>
      <c r="Q434">
        <v>0</v>
      </c>
      <c r="R434" s="1" t="s">
        <v>61</v>
      </c>
    </row>
    <row r="435" spans="1:18" x14ac:dyDescent="0.25">
      <c r="A435">
        <v>2012</v>
      </c>
      <c r="B435">
        <v>2</v>
      </c>
      <c r="C435" s="1" t="s">
        <v>25</v>
      </c>
      <c r="D435" s="1" t="s">
        <v>19</v>
      </c>
      <c r="E435" s="1" t="s">
        <v>110</v>
      </c>
      <c r="F435">
        <v>2016</v>
      </c>
      <c r="G435">
        <v>0</v>
      </c>
      <c r="H435" s="1" t="s">
        <v>59</v>
      </c>
      <c r="I435">
        <v>24</v>
      </c>
      <c r="J435">
        <v>3324</v>
      </c>
      <c r="K435" s="1" t="s">
        <v>111</v>
      </c>
      <c r="L435" s="1" t="s">
        <v>23</v>
      </c>
      <c r="M435">
        <v>0</v>
      </c>
      <c r="N435">
        <v>0</v>
      </c>
      <c r="O435">
        <v>0</v>
      </c>
      <c r="P435" s="2">
        <v>40940</v>
      </c>
      <c r="Q435">
        <v>0</v>
      </c>
      <c r="R435" s="1" t="s">
        <v>61</v>
      </c>
    </row>
    <row r="436" spans="1:18" x14ac:dyDescent="0.25">
      <c r="A436">
        <v>2012</v>
      </c>
      <c r="B436">
        <v>3</v>
      </c>
      <c r="C436" s="1" t="s">
        <v>26</v>
      </c>
      <c r="D436" s="1" t="s">
        <v>19</v>
      </c>
      <c r="E436" s="1" t="s">
        <v>110</v>
      </c>
      <c r="F436">
        <v>2016</v>
      </c>
      <c r="G436">
        <v>0</v>
      </c>
      <c r="H436" s="1" t="s">
        <v>59</v>
      </c>
      <c r="I436">
        <v>24</v>
      </c>
      <c r="J436">
        <v>3324</v>
      </c>
      <c r="K436" s="1" t="s">
        <v>111</v>
      </c>
      <c r="L436" s="1" t="s">
        <v>23</v>
      </c>
      <c r="M436">
        <v>0</v>
      </c>
      <c r="N436">
        <v>0</v>
      </c>
      <c r="O436">
        <v>0</v>
      </c>
      <c r="P436" s="2">
        <v>40969</v>
      </c>
      <c r="Q436">
        <v>0</v>
      </c>
      <c r="R436" s="1" t="s">
        <v>61</v>
      </c>
    </row>
    <row r="437" spans="1:18" x14ac:dyDescent="0.25">
      <c r="A437">
        <v>2012</v>
      </c>
      <c r="B437">
        <v>4</v>
      </c>
      <c r="C437" s="1" t="s">
        <v>27</v>
      </c>
      <c r="D437" s="1" t="s">
        <v>19</v>
      </c>
      <c r="E437" s="1" t="s">
        <v>110</v>
      </c>
      <c r="F437">
        <v>2016</v>
      </c>
      <c r="G437">
        <v>0</v>
      </c>
      <c r="H437" s="1" t="s">
        <v>59</v>
      </c>
      <c r="I437">
        <v>24</v>
      </c>
      <c r="J437">
        <v>3324</v>
      </c>
      <c r="K437" s="1" t="s">
        <v>111</v>
      </c>
      <c r="L437" s="1" t="s">
        <v>23</v>
      </c>
      <c r="M437">
        <v>0</v>
      </c>
      <c r="N437">
        <v>0</v>
      </c>
      <c r="O437">
        <v>0</v>
      </c>
      <c r="P437" s="2">
        <v>41000</v>
      </c>
      <c r="Q437">
        <v>0</v>
      </c>
      <c r="R437" s="1" t="s">
        <v>61</v>
      </c>
    </row>
    <row r="438" spans="1:18" x14ac:dyDescent="0.25">
      <c r="A438">
        <v>2012</v>
      </c>
      <c r="B438">
        <v>5</v>
      </c>
      <c r="C438" s="1" t="s">
        <v>28</v>
      </c>
      <c r="D438" s="1" t="s">
        <v>19</v>
      </c>
      <c r="E438" s="1" t="s">
        <v>110</v>
      </c>
      <c r="F438">
        <v>2016</v>
      </c>
      <c r="G438">
        <v>0</v>
      </c>
      <c r="H438" s="1" t="s">
        <v>59</v>
      </c>
      <c r="I438">
        <v>24</v>
      </c>
      <c r="J438">
        <v>3324</v>
      </c>
      <c r="K438" s="1" t="s">
        <v>111</v>
      </c>
      <c r="L438" s="1" t="s">
        <v>23</v>
      </c>
      <c r="M438">
        <v>0</v>
      </c>
      <c r="N438">
        <v>0</v>
      </c>
      <c r="O438">
        <v>0</v>
      </c>
      <c r="P438" s="2">
        <v>41030</v>
      </c>
      <c r="Q438">
        <v>0</v>
      </c>
      <c r="R438" s="1" t="s">
        <v>61</v>
      </c>
    </row>
    <row r="439" spans="1:18" x14ac:dyDescent="0.25">
      <c r="A439">
        <v>2012</v>
      </c>
      <c r="B439">
        <v>6</v>
      </c>
      <c r="C439" s="1" t="s">
        <v>29</v>
      </c>
      <c r="D439" s="1" t="s">
        <v>19</v>
      </c>
      <c r="E439" s="1" t="s">
        <v>110</v>
      </c>
      <c r="F439">
        <v>2016</v>
      </c>
      <c r="G439">
        <v>0</v>
      </c>
      <c r="H439" s="1" t="s">
        <v>59</v>
      </c>
      <c r="I439">
        <v>24</v>
      </c>
      <c r="J439">
        <v>3324</v>
      </c>
      <c r="K439" s="1" t="s">
        <v>111</v>
      </c>
      <c r="L439" s="1" t="s">
        <v>23</v>
      </c>
      <c r="M439">
        <v>0</v>
      </c>
      <c r="N439">
        <v>0</v>
      </c>
      <c r="O439">
        <v>0</v>
      </c>
      <c r="P439" s="2">
        <v>41061</v>
      </c>
      <c r="Q439">
        <v>0</v>
      </c>
      <c r="R439" s="1" t="s">
        <v>61</v>
      </c>
    </row>
    <row r="440" spans="1:18" x14ac:dyDescent="0.25">
      <c r="A440">
        <v>2012</v>
      </c>
      <c r="B440">
        <v>7</v>
      </c>
      <c r="C440" s="1" t="s">
        <v>30</v>
      </c>
      <c r="D440" s="1" t="s">
        <v>19</v>
      </c>
      <c r="E440" s="1" t="s">
        <v>110</v>
      </c>
      <c r="F440">
        <v>2016</v>
      </c>
      <c r="G440">
        <v>0</v>
      </c>
      <c r="H440" s="1" t="s">
        <v>59</v>
      </c>
      <c r="I440">
        <v>24</v>
      </c>
      <c r="J440">
        <v>3324</v>
      </c>
      <c r="K440" s="1" t="s">
        <v>111</v>
      </c>
      <c r="L440" s="1" t="s">
        <v>23</v>
      </c>
      <c r="M440">
        <v>0</v>
      </c>
      <c r="N440">
        <v>0</v>
      </c>
      <c r="O440">
        <v>0</v>
      </c>
      <c r="P440" s="2">
        <v>41091</v>
      </c>
      <c r="Q440">
        <v>0</v>
      </c>
      <c r="R440" s="1" t="s">
        <v>61</v>
      </c>
    </row>
    <row r="441" spans="1:18" x14ac:dyDescent="0.25">
      <c r="A441">
        <v>2012</v>
      </c>
      <c r="B441">
        <v>8</v>
      </c>
      <c r="C441" s="1" t="s">
        <v>31</v>
      </c>
      <c r="D441" s="1" t="s">
        <v>19</v>
      </c>
      <c r="E441" s="1" t="s">
        <v>110</v>
      </c>
      <c r="F441">
        <v>2016</v>
      </c>
      <c r="G441">
        <v>0</v>
      </c>
      <c r="H441" s="1" t="s">
        <v>59</v>
      </c>
      <c r="I441">
        <v>24</v>
      </c>
      <c r="J441">
        <v>3324</v>
      </c>
      <c r="K441" s="1" t="s">
        <v>111</v>
      </c>
      <c r="L441" s="1" t="s">
        <v>23</v>
      </c>
      <c r="M441">
        <v>0</v>
      </c>
      <c r="N441">
        <v>0</v>
      </c>
      <c r="O441">
        <v>0</v>
      </c>
      <c r="P441" s="2">
        <v>41122</v>
      </c>
      <c r="Q441">
        <v>0</v>
      </c>
      <c r="R441" s="1" t="s">
        <v>61</v>
      </c>
    </row>
    <row r="442" spans="1:18" x14ac:dyDescent="0.25">
      <c r="A442">
        <v>2012</v>
      </c>
      <c r="B442">
        <v>9</v>
      </c>
      <c r="C442" s="1" t="s">
        <v>32</v>
      </c>
      <c r="D442" s="1" t="s">
        <v>19</v>
      </c>
      <c r="E442" s="1" t="s">
        <v>110</v>
      </c>
      <c r="F442">
        <v>2016</v>
      </c>
      <c r="G442">
        <v>0</v>
      </c>
      <c r="H442" s="1" t="s">
        <v>59</v>
      </c>
      <c r="I442">
        <v>24</v>
      </c>
      <c r="J442">
        <v>3324</v>
      </c>
      <c r="K442" s="1" t="s">
        <v>111</v>
      </c>
      <c r="L442" s="1" t="s">
        <v>23</v>
      </c>
      <c r="M442">
        <v>0</v>
      </c>
      <c r="N442">
        <v>0</v>
      </c>
      <c r="O442">
        <v>0</v>
      </c>
      <c r="P442" s="2">
        <v>41153</v>
      </c>
      <c r="Q442">
        <v>0</v>
      </c>
      <c r="R442" s="1" t="s">
        <v>61</v>
      </c>
    </row>
    <row r="443" spans="1:18" x14ac:dyDescent="0.25">
      <c r="A443">
        <v>2012</v>
      </c>
      <c r="B443">
        <v>10</v>
      </c>
      <c r="C443" s="1" t="s">
        <v>33</v>
      </c>
      <c r="D443" s="1" t="s">
        <v>19</v>
      </c>
      <c r="E443" s="1" t="s">
        <v>110</v>
      </c>
      <c r="F443">
        <v>2016</v>
      </c>
      <c r="G443">
        <v>0</v>
      </c>
      <c r="H443" s="1" t="s">
        <v>59</v>
      </c>
      <c r="I443">
        <v>24</v>
      </c>
      <c r="J443">
        <v>3324</v>
      </c>
      <c r="K443" s="1" t="s">
        <v>111</v>
      </c>
      <c r="L443" s="1" t="s">
        <v>23</v>
      </c>
      <c r="M443">
        <v>0</v>
      </c>
      <c r="N443">
        <v>0</v>
      </c>
      <c r="O443">
        <v>0</v>
      </c>
      <c r="P443" s="2">
        <v>41183</v>
      </c>
      <c r="Q443">
        <v>0</v>
      </c>
      <c r="R443" s="1" t="s">
        <v>61</v>
      </c>
    </row>
    <row r="444" spans="1:18" x14ac:dyDescent="0.25">
      <c r="A444">
        <v>2012</v>
      </c>
      <c r="B444">
        <v>11</v>
      </c>
      <c r="C444" s="1" t="s">
        <v>34</v>
      </c>
      <c r="D444" s="1" t="s">
        <v>19</v>
      </c>
      <c r="E444" s="1" t="s">
        <v>110</v>
      </c>
      <c r="F444">
        <v>2016</v>
      </c>
      <c r="G444">
        <v>0</v>
      </c>
      <c r="H444" s="1" t="s">
        <v>59</v>
      </c>
      <c r="I444">
        <v>24</v>
      </c>
      <c r="J444">
        <v>3324</v>
      </c>
      <c r="K444" s="1" t="s">
        <v>111</v>
      </c>
      <c r="L444" s="1" t="s">
        <v>23</v>
      </c>
      <c r="M444">
        <v>0</v>
      </c>
      <c r="N444">
        <v>0</v>
      </c>
      <c r="O444">
        <v>0</v>
      </c>
      <c r="P444" s="2">
        <v>41214</v>
      </c>
      <c r="Q444">
        <v>0</v>
      </c>
      <c r="R444" s="1" t="s">
        <v>61</v>
      </c>
    </row>
    <row r="445" spans="1:18" x14ac:dyDescent="0.25">
      <c r="A445">
        <v>2012</v>
      </c>
      <c r="B445">
        <v>12</v>
      </c>
      <c r="C445" s="1" t="s">
        <v>35</v>
      </c>
      <c r="D445" s="1" t="s">
        <v>19</v>
      </c>
      <c r="E445" s="1" t="s">
        <v>110</v>
      </c>
      <c r="F445">
        <v>2016</v>
      </c>
      <c r="G445">
        <v>0</v>
      </c>
      <c r="H445" s="1" t="s">
        <v>59</v>
      </c>
      <c r="I445">
        <v>24</v>
      </c>
      <c r="J445">
        <v>3324</v>
      </c>
      <c r="K445" s="1" t="s">
        <v>111</v>
      </c>
      <c r="L445" s="1" t="s">
        <v>23</v>
      </c>
      <c r="M445">
        <v>0</v>
      </c>
      <c r="N445">
        <v>0</v>
      </c>
      <c r="O445">
        <v>0</v>
      </c>
      <c r="P445" s="2">
        <v>41244</v>
      </c>
      <c r="Q445">
        <v>0</v>
      </c>
      <c r="R445" s="1" t="s">
        <v>61</v>
      </c>
    </row>
    <row r="446" spans="1:18" x14ac:dyDescent="0.25">
      <c r="A446">
        <v>2012</v>
      </c>
      <c r="B446">
        <v>1</v>
      </c>
      <c r="C446" s="1" t="s">
        <v>18</v>
      </c>
      <c r="D446" s="1" t="s">
        <v>19</v>
      </c>
      <c r="E446" s="1" t="s">
        <v>112</v>
      </c>
      <c r="F446">
        <v>2016</v>
      </c>
      <c r="G446">
        <v>0</v>
      </c>
      <c r="H446" s="1" t="s">
        <v>59</v>
      </c>
      <c r="I446">
        <v>20</v>
      </c>
      <c r="J446">
        <v>2663</v>
      </c>
      <c r="K446" s="1" t="s">
        <v>113</v>
      </c>
      <c r="L446" s="1" t="s">
        <v>23</v>
      </c>
      <c r="M446">
        <v>0</v>
      </c>
      <c r="N446">
        <v>0</v>
      </c>
      <c r="O446">
        <v>0</v>
      </c>
      <c r="P446" s="2">
        <v>40909</v>
      </c>
      <c r="Q446">
        <v>0</v>
      </c>
      <c r="R446" s="1" t="s">
        <v>61</v>
      </c>
    </row>
    <row r="447" spans="1:18" x14ac:dyDescent="0.25">
      <c r="A447">
        <v>2012</v>
      </c>
      <c r="B447">
        <v>2</v>
      </c>
      <c r="C447" s="1" t="s">
        <v>25</v>
      </c>
      <c r="D447" s="1" t="s">
        <v>19</v>
      </c>
      <c r="E447" s="1" t="s">
        <v>112</v>
      </c>
      <c r="F447">
        <v>2016</v>
      </c>
      <c r="G447">
        <v>0</v>
      </c>
      <c r="H447" s="1" t="s">
        <v>59</v>
      </c>
      <c r="I447">
        <v>20</v>
      </c>
      <c r="J447">
        <v>2663</v>
      </c>
      <c r="K447" s="1" t="s">
        <v>113</v>
      </c>
      <c r="L447" s="1" t="s">
        <v>23</v>
      </c>
      <c r="M447">
        <v>0</v>
      </c>
      <c r="N447">
        <v>0</v>
      </c>
      <c r="O447">
        <v>0</v>
      </c>
      <c r="P447" s="2">
        <v>40940</v>
      </c>
      <c r="Q447">
        <v>0</v>
      </c>
      <c r="R447" s="1" t="s">
        <v>61</v>
      </c>
    </row>
    <row r="448" spans="1:18" x14ac:dyDescent="0.25">
      <c r="A448">
        <v>2012</v>
      </c>
      <c r="B448">
        <v>3</v>
      </c>
      <c r="C448" s="1" t="s">
        <v>26</v>
      </c>
      <c r="D448" s="1" t="s">
        <v>19</v>
      </c>
      <c r="E448" s="1" t="s">
        <v>112</v>
      </c>
      <c r="F448">
        <v>2016</v>
      </c>
      <c r="G448">
        <v>0</v>
      </c>
      <c r="H448" s="1" t="s">
        <v>59</v>
      </c>
      <c r="I448">
        <v>20</v>
      </c>
      <c r="J448">
        <v>2663</v>
      </c>
      <c r="K448" s="1" t="s">
        <v>113</v>
      </c>
      <c r="L448" s="1" t="s">
        <v>23</v>
      </c>
      <c r="M448">
        <v>0</v>
      </c>
      <c r="N448">
        <v>0</v>
      </c>
      <c r="O448">
        <v>0</v>
      </c>
      <c r="P448" s="2">
        <v>40969</v>
      </c>
      <c r="Q448">
        <v>0</v>
      </c>
      <c r="R448" s="1" t="s">
        <v>61</v>
      </c>
    </row>
    <row r="449" spans="1:18" x14ac:dyDescent="0.25">
      <c r="A449">
        <v>2012</v>
      </c>
      <c r="B449">
        <v>4</v>
      </c>
      <c r="C449" s="1" t="s">
        <v>27</v>
      </c>
      <c r="D449" s="1" t="s">
        <v>19</v>
      </c>
      <c r="E449" s="1" t="s">
        <v>112</v>
      </c>
      <c r="F449">
        <v>2016</v>
      </c>
      <c r="G449">
        <v>0</v>
      </c>
      <c r="H449" s="1" t="s">
        <v>59</v>
      </c>
      <c r="I449">
        <v>20</v>
      </c>
      <c r="J449">
        <v>2663</v>
      </c>
      <c r="K449" s="1" t="s">
        <v>113</v>
      </c>
      <c r="L449" s="1" t="s">
        <v>23</v>
      </c>
      <c r="M449">
        <v>0</v>
      </c>
      <c r="N449">
        <v>0</v>
      </c>
      <c r="O449">
        <v>0</v>
      </c>
      <c r="P449" s="2">
        <v>41000</v>
      </c>
      <c r="Q449">
        <v>0</v>
      </c>
      <c r="R449" s="1" t="s">
        <v>61</v>
      </c>
    </row>
    <row r="450" spans="1:18" x14ac:dyDescent="0.25">
      <c r="A450">
        <v>2012</v>
      </c>
      <c r="B450">
        <v>5</v>
      </c>
      <c r="C450" s="1" t="s">
        <v>28</v>
      </c>
      <c r="D450" s="1" t="s">
        <v>19</v>
      </c>
      <c r="E450" s="1" t="s">
        <v>112</v>
      </c>
      <c r="F450">
        <v>2016</v>
      </c>
      <c r="G450">
        <v>0</v>
      </c>
      <c r="H450" s="1" t="s">
        <v>59</v>
      </c>
      <c r="I450">
        <v>20</v>
      </c>
      <c r="J450">
        <v>2663</v>
      </c>
      <c r="K450" s="1" t="s">
        <v>113</v>
      </c>
      <c r="L450" s="1" t="s">
        <v>23</v>
      </c>
      <c r="M450">
        <v>0</v>
      </c>
      <c r="N450">
        <v>0</v>
      </c>
      <c r="O450">
        <v>0</v>
      </c>
      <c r="P450" s="2">
        <v>41030</v>
      </c>
      <c r="Q450">
        <v>0</v>
      </c>
      <c r="R450" s="1" t="s">
        <v>61</v>
      </c>
    </row>
    <row r="451" spans="1:18" x14ac:dyDescent="0.25">
      <c r="A451">
        <v>2012</v>
      </c>
      <c r="B451">
        <v>6</v>
      </c>
      <c r="C451" s="1" t="s">
        <v>29</v>
      </c>
      <c r="D451" s="1" t="s">
        <v>19</v>
      </c>
      <c r="E451" s="1" t="s">
        <v>112</v>
      </c>
      <c r="F451">
        <v>2016</v>
      </c>
      <c r="G451">
        <v>0</v>
      </c>
      <c r="H451" s="1" t="s">
        <v>59</v>
      </c>
      <c r="I451">
        <v>20</v>
      </c>
      <c r="J451">
        <v>2663</v>
      </c>
      <c r="K451" s="1" t="s">
        <v>113</v>
      </c>
      <c r="L451" s="1" t="s">
        <v>23</v>
      </c>
      <c r="M451">
        <v>0</v>
      </c>
      <c r="N451">
        <v>0</v>
      </c>
      <c r="O451">
        <v>0</v>
      </c>
      <c r="P451" s="2">
        <v>41061</v>
      </c>
      <c r="Q451">
        <v>0</v>
      </c>
      <c r="R451" s="1" t="s">
        <v>61</v>
      </c>
    </row>
    <row r="452" spans="1:18" x14ac:dyDescent="0.25">
      <c r="A452">
        <v>2012</v>
      </c>
      <c r="B452">
        <v>7</v>
      </c>
      <c r="C452" s="1" t="s">
        <v>30</v>
      </c>
      <c r="D452" s="1" t="s">
        <v>19</v>
      </c>
      <c r="E452" s="1" t="s">
        <v>112</v>
      </c>
      <c r="F452">
        <v>2016</v>
      </c>
      <c r="G452">
        <v>0</v>
      </c>
      <c r="H452" s="1" t="s">
        <v>59</v>
      </c>
      <c r="I452">
        <v>20</v>
      </c>
      <c r="J452">
        <v>2663</v>
      </c>
      <c r="K452" s="1" t="s">
        <v>113</v>
      </c>
      <c r="L452" s="1" t="s">
        <v>23</v>
      </c>
      <c r="M452">
        <v>0</v>
      </c>
      <c r="N452">
        <v>0</v>
      </c>
      <c r="O452">
        <v>0</v>
      </c>
      <c r="P452" s="2">
        <v>41091</v>
      </c>
      <c r="Q452">
        <v>0</v>
      </c>
      <c r="R452" s="1" t="s">
        <v>61</v>
      </c>
    </row>
    <row r="453" spans="1:18" x14ac:dyDescent="0.25">
      <c r="A453">
        <v>2012</v>
      </c>
      <c r="B453">
        <v>8</v>
      </c>
      <c r="C453" s="1" t="s">
        <v>31</v>
      </c>
      <c r="D453" s="1" t="s">
        <v>19</v>
      </c>
      <c r="E453" s="1" t="s">
        <v>112</v>
      </c>
      <c r="F453">
        <v>2016</v>
      </c>
      <c r="G453">
        <v>0</v>
      </c>
      <c r="H453" s="1" t="s">
        <v>59</v>
      </c>
      <c r="I453">
        <v>20</v>
      </c>
      <c r="J453">
        <v>2663</v>
      </c>
      <c r="K453" s="1" t="s">
        <v>113</v>
      </c>
      <c r="L453" s="1" t="s">
        <v>23</v>
      </c>
      <c r="M453">
        <v>0</v>
      </c>
      <c r="N453">
        <v>0</v>
      </c>
      <c r="O453">
        <v>0</v>
      </c>
      <c r="P453" s="2">
        <v>41122</v>
      </c>
      <c r="Q453">
        <v>0</v>
      </c>
      <c r="R453" s="1" t="s">
        <v>61</v>
      </c>
    </row>
    <row r="454" spans="1:18" x14ac:dyDescent="0.25">
      <c r="A454">
        <v>2012</v>
      </c>
      <c r="B454">
        <v>9</v>
      </c>
      <c r="C454" s="1" t="s">
        <v>32</v>
      </c>
      <c r="D454" s="1" t="s">
        <v>19</v>
      </c>
      <c r="E454" s="1" t="s">
        <v>112</v>
      </c>
      <c r="F454">
        <v>2016</v>
      </c>
      <c r="G454">
        <v>0</v>
      </c>
      <c r="H454" s="1" t="s">
        <v>59</v>
      </c>
      <c r="I454">
        <v>20</v>
      </c>
      <c r="J454">
        <v>2663</v>
      </c>
      <c r="K454" s="1" t="s">
        <v>113</v>
      </c>
      <c r="L454" s="1" t="s">
        <v>23</v>
      </c>
      <c r="M454">
        <v>0</v>
      </c>
      <c r="N454">
        <v>0</v>
      </c>
      <c r="O454">
        <v>0</v>
      </c>
      <c r="P454" s="2">
        <v>41153</v>
      </c>
      <c r="Q454">
        <v>0</v>
      </c>
      <c r="R454" s="1" t="s">
        <v>61</v>
      </c>
    </row>
    <row r="455" spans="1:18" x14ac:dyDescent="0.25">
      <c r="A455">
        <v>2012</v>
      </c>
      <c r="B455">
        <v>10</v>
      </c>
      <c r="C455" s="1" t="s">
        <v>33</v>
      </c>
      <c r="D455" s="1" t="s">
        <v>19</v>
      </c>
      <c r="E455" s="1" t="s">
        <v>112</v>
      </c>
      <c r="F455">
        <v>2016</v>
      </c>
      <c r="G455">
        <v>0</v>
      </c>
      <c r="H455" s="1" t="s">
        <v>59</v>
      </c>
      <c r="I455">
        <v>20</v>
      </c>
      <c r="J455">
        <v>2663</v>
      </c>
      <c r="K455" s="1" t="s">
        <v>113</v>
      </c>
      <c r="L455" s="1" t="s">
        <v>23</v>
      </c>
      <c r="M455">
        <v>0</v>
      </c>
      <c r="N455">
        <v>0</v>
      </c>
      <c r="O455">
        <v>0</v>
      </c>
      <c r="P455" s="2">
        <v>41183</v>
      </c>
      <c r="Q455">
        <v>0</v>
      </c>
      <c r="R455" s="1" t="s">
        <v>61</v>
      </c>
    </row>
    <row r="456" spans="1:18" x14ac:dyDescent="0.25">
      <c r="A456">
        <v>2012</v>
      </c>
      <c r="B456">
        <v>11</v>
      </c>
      <c r="C456" s="1" t="s">
        <v>34</v>
      </c>
      <c r="D456" s="1" t="s">
        <v>19</v>
      </c>
      <c r="E456" s="1" t="s">
        <v>112</v>
      </c>
      <c r="F456">
        <v>2016</v>
      </c>
      <c r="G456">
        <v>0</v>
      </c>
      <c r="H456" s="1" t="s">
        <v>59</v>
      </c>
      <c r="I456">
        <v>20</v>
      </c>
      <c r="J456">
        <v>2663</v>
      </c>
      <c r="K456" s="1" t="s">
        <v>113</v>
      </c>
      <c r="L456" s="1" t="s">
        <v>23</v>
      </c>
      <c r="M456">
        <v>0</v>
      </c>
      <c r="N456">
        <v>0</v>
      </c>
      <c r="O456">
        <v>0</v>
      </c>
      <c r="P456" s="2">
        <v>41214</v>
      </c>
      <c r="Q456">
        <v>0</v>
      </c>
      <c r="R456" s="1" t="s">
        <v>61</v>
      </c>
    </row>
    <row r="457" spans="1:18" x14ac:dyDescent="0.25">
      <c r="A457">
        <v>2012</v>
      </c>
      <c r="B457">
        <v>12</v>
      </c>
      <c r="C457" s="1" t="s">
        <v>35</v>
      </c>
      <c r="D457" s="1" t="s">
        <v>19</v>
      </c>
      <c r="E457" s="1" t="s">
        <v>112</v>
      </c>
      <c r="F457">
        <v>2016</v>
      </c>
      <c r="G457">
        <v>0</v>
      </c>
      <c r="H457" s="1" t="s">
        <v>59</v>
      </c>
      <c r="I457">
        <v>20</v>
      </c>
      <c r="J457">
        <v>2663</v>
      </c>
      <c r="K457" s="1" t="s">
        <v>113</v>
      </c>
      <c r="L457" s="1" t="s">
        <v>23</v>
      </c>
      <c r="M457">
        <v>0</v>
      </c>
      <c r="N457">
        <v>0</v>
      </c>
      <c r="O457">
        <v>0</v>
      </c>
      <c r="P457" s="2">
        <v>41244</v>
      </c>
      <c r="Q457">
        <v>0</v>
      </c>
      <c r="R457" s="1" t="s">
        <v>61</v>
      </c>
    </row>
    <row r="458" spans="1:18" x14ac:dyDescent="0.25">
      <c r="A458">
        <v>2012</v>
      </c>
      <c r="B458">
        <v>1</v>
      </c>
      <c r="C458" s="1" t="s">
        <v>18</v>
      </c>
      <c r="D458" s="1" t="s">
        <v>19</v>
      </c>
      <c r="E458" s="1" t="s">
        <v>114</v>
      </c>
      <c r="F458">
        <v>2016</v>
      </c>
      <c r="G458">
        <v>0</v>
      </c>
      <c r="H458" s="1" t="s">
        <v>59</v>
      </c>
      <c r="I458">
        <v>14</v>
      </c>
      <c r="J458">
        <v>1746</v>
      </c>
      <c r="K458" s="1" t="s">
        <v>115</v>
      </c>
      <c r="L458" s="1" t="s">
        <v>23</v>
      </c>
      <c r="M458">
        <v>0</v>
      </c>
      <c r="N458">
        <v>0</v>
      </c>
      <c r="O458">
        <v>0</v>
      </c>
      <c r="P458" s="2">
        <v>40909</v>
      </c>
      <c r="Q458">
        <v>0</v>
      </c>
      <c r="R458" s="1" t="s">
        <v>61</v>
      </c>
    </row>
    <row r="459" spans="1:18" x14ac:dyDescent="0.25">
      <c r="A459">
        <v>2012</v>
      </c>
      <c r="B459">
        <v>2</v>
      </c>
      <c r="C459" s="1" t="s">
        <v>25</v>
      </c>
      <c r="D459" s="1" t="s">
        <v>19</v>
      </c>
      <c r="E459" s="1" t="s">
        <v>114</v>
      </c>
      <c r="F459">
        <v>2016</v>
      </c>
      <c r="G459">
        <v>0</v>
      </c>
      <c r="H459" s="1" t="s">
        <v>59</v>
      </c>
      <c r="I459">
        <v>14</v>
      </c>
      <c r="J459">
        <v>1746</v>
      </c>
      <c r="K459" s="1" t="s">
        <v>115</v>
      </c>
      <c r="L459" s="1" t="s">
        <v>23</v>
      </c>
      <c r="M459">
        <v>0</v>
      </c>
      <c r="N459">
        <v>0</v>
      </c>
      <c r="O459">
        <v>0</v>
      </c>
      <c r="P459" s="2">
        <v>40940</v>
      </c>
      <c r="Q459">
        <v>0</v>
      </c>
      <c r="R459" s="1" t="s">
        <v>61</v>
      </c>
    </row>
    <row r="460" spans="1:18" x14ac:dyDescent="0.25">
      <c r="A460">
        <v>2012</v>
      </c>
      <c r="B460">
        <v>3</v>
      </c>
      <c r="C460" s="1" t="s">
        <v>26</v>
      </c>
      <c r="D460" s="1" t="s">
        <v>19</v>
      </c>
      <c r="E460" s="1" t="s">
        <v>114</v>
      </c>
      <c r="F460">
        <v>2016</v>
      </c>
      <c r="G460">
        <v>0</v>
      </c>
      <c r="H460" s="1" t="s">
        <v>59</v>
      </c>
      <c r="I460">
        <v>14</v>
      </c>
      <c r="J460">
        <v>1746</v>
      </c>
      <c r="K460" s="1" t="s">
        <v>115</v>
      </c>
      <c r="L460" s="1" t="s">
        <v>23</v>
      </c>
      <c r="M460">
        <v>0</v>
      </c>
      <c r="N460">
        <v>0</v>
      </c>
      <c r="O460">
        <v>0</v>
      </c>
      <c r="P460" s="2">
        <v>40969</v>
      </c>
      <c r="Q460">
        <v>0</v>
      </c>
      <c r="R460" s="1" t="s">
        <v>61</v>
      </c>
    </row>
    <row r="461" spans="1:18" x14ac:dyDescent="0.25">
      <c r="A461">
        <v>2012</v>
      </c>
      <c r="B461">
        <v>4</v>
      </c>
      <c r="C461" s="1" t="s">
        <v>27</v>
      </c>
      <c r="D461" s="1" t="s">
        <v>19</v>
      </c>
      <c r="E461" s="1" t="s">
        <v>114</v>
      </c>
      <c r="F461">
        <v>2016</v>
      </c>
      <c r="G461">
        <v>0</v>
      </c>
      <c r="H461" s="1" t="s">
        <v>59</v>
      </c>
      <c r="I461">
        <v>14</v>
      </c>
      <c r="J461">
        <v>1746</v>
      </c>
      <c r="K461" s="1" t="s">
        <v>115</v>
      </c>
      <c r="L461" s="1" t="s">
        <v>23</v>
      </c>
      <c r="M461">
        <v>0</v>
      </c>
      <c r="N461">
        <v>0</v>
      </c>
      <c r="O461">
        <v>0</v>
      </c>
      <c r="P461" s="2">
        <v>41000</v>
      </c>
      <c r="Q461">
        <v>0</v>
      </c>
      <c r="R461" s="1" t="s">
        <v>61</v>
      </c>
    </row>
    <row r="462" spans="1:18" x14ac:dyDescent="0.25">
      <c r="A462">
        <v>2012</v>
      </c>
      <c r="B462">
        <v>5</v>
      </c>
      <c r="C462" s="1" t="s">
        <v>28</v>
      </c>
      <c r="D462" s="1" t="s">
        <v>19</v>
      </c>
      <c r="E462" s="1" t="s">
        <v>114</v>
      </c>
      <c r="F462">
        <v>2016</v>
      </c>
      <c r="G462">
        <v>0</v>
      </c>
      <c r="H462" s="1" t="s">
        <v>59</v>
      </c>
      <c r="I462">
        <v>14</v>
      </c>
      <c r="J462">
        <v>1746</v>
      </c>
      <c r="K462" s="1" t="s">
        <v>115</v>
      </c>
      <c r="L462" s="1" t="s">
        <v>23</v>
      </c>
      <c r="M462">
        <v>0</v>
      </c>
      <c r="N462">
        <v>0</v>
      </c>
      <c r="O462">
        <v>0</v>
      </c>
      <c r="P462" s="2">
        <v>41030</v>
      </c>
      <c r="Q462">
        <v>0</v>
      </c>
      <c r="R462" s="1" t="s">
        <v>61</v>
      </c>
    </row>
    <row r="463" spans="1:18" x14ac:dyDescent="0.25">
      <c r="A463">
        <v>2012</v>
      </c>
      <c r="B463">
        <v>6</v>
      </c>
      <c r="C463" s="1" t="s">
        <v>29</v>
      </c>
      <c r="D463" s="1" t="s">
        <v>19</v>
      </c>
      <c r="E463" s="1" t="s">
        <v>114</v>
      </c>
      <c r="F463">
        <v>2016</v>
      </c>
      <c r="G463">
        <v>0</v>
      </c>
      <c r="H463" s="1" t="s">
        <v>59</v>
      </c>
      <c r="I463">
        <v>14</v>
      </c>
      <c r="J463">
        <v>1746</v>
      </c>
      <c r="K463" s="1" t="s">
        <v>115</v>
      </c>
      <c r="L463" s="1" t="s">
        <v>23</v>
      </c>
      <c r="M463">
        <v>0</v>
      </c>
      <c r="N463">
        <v>0</v>
      </c>
      <c r="O463">
        <v>0</v>
      </c>
      <c r="P463" s="2">
        <v>41061</v>
      </c>
      <c r="Q463">
        <v>0</v>
      </c>
      <c r="R463" s="1" t="s">
        <v>61</v>
      </c>
    </row>
    <row r="464" spans="1:18" x14ac:dyDescent="0.25">
      <c r="A464">
        <v>2012</v>
      </c>
      <c r="B464">
        <v>7</v>
      </c>
      <c r="C464" s="1" t="s">
        <v>30</v>
      </c>
      <c r="D464" s="1" t="s">
        <v>19</v>
      </c>
      <c r="E464" s="1" t="s">
        <v>114</v>
      </c>
      <c r="F464">
        <v>2016</v>
      </c>
      <c r="G464">
        <v>0</v>
      </c>
      <c r="H464" s="1" t="s">
        <v>59</v>
      </c>
      <c r="I464">
        <v>14</v>
      </c>
      <c r="J464">
        <v>1746</v>
      </c>
      <c r="K464" s="1" t="s">
        <v>115</v>
      </c>
      <c r="L464" s="1" t="s">
        <v>23</v>
      </c>
      <c r="M464">
        <v>0</v>
      </c>
      <c r="N464">
        <v>0</v>
      </c>
      <c r="O464">
        <v>0</v>
      </c>
      <c r="P464" s="2">
        <v>41091</v>
      </c>
      <c r="Q464">
        <v>0</v>
      </c>
      <c r="R464" s="1" t="s">
        <v>61</v>
      </c>
    </row>
    <row r="465" spans="1:18" x14ac:dyDescent="0.25">
      <c r="A465">
        <v>2012</v>
      </c>
      <c r="B465">
        <v>8</v>
      </c>
      <c r="C465" s="1" t="s">
        <v>31</v>
      </c>
      <c r="D465" s="1" t="s">
        <v>19</v>
      </c>
      <c r="E465" s="1" t="s">
        <v>114</v>
      </c>
      <c r="F465">
        <v>2016</v>
      </c>
      <c r="G465">
        <v>0</v>
      </c>
      <c r="H465" s="1" t="s">
        <v>59</v>
      </c>
      <c r="I465">
        <v>14</v>
      </c>
      <c r="J465">
        <v>1746</v>
      </c>
      <c r="K465" s="1" t="s">
        <v>115</v>
      </c>
      <c r="L465" s="1" t="s">
        <v>23</v>
      </c>
      <c r="M465">
        <v>0</v>
      </c>
      <c r="N465">
        <v>0</v>
      </c>
      <c r="O465">
        <v>0</v>
      </c>
      <c r="P465" s="2">
        <v>41122</v>
      </c>
      <c r="Q465">
        <v>0</v>
      </c>
      <c r="R465" s="1" t="s">
        <v>61</v>
      </c>
    </row>
    <row r="466" spans="1:18" x14ac:dyDescent="0.25">
      <c r="A466">
        <v>2012</v>
      </c>
      <c r="B466">
        <v>9</v>
      </c>
      <c r="C466" s="1" t="s">
        <v>32</v>
      </c>
      <c r="D466" s="1" t="s">
        <v>19</v>
      </c>
      <c r="E466" s="1" t="s">
        <v>114</v>
      </c>
      <c r="F466">
        <v>2016</v>
      </c>
      <c r="G466">
        <v>0</v>
      </c>
      <c r="H466" s="1" t="s">
        <v>59</v>
      </c>
      <c r="I466">
        <v>14</v>
      </c>
      <c r="J466">
        <v>1746</v>
      </c>
      <c r="K466" s="1" t="s">
        <v>115</v>
      </c>
      <c r="L466" s="1" t="s">
        <v>23</v>
      </c>
      <c r="M466">
        <v>0</v>
      </c>
      <c r="N466">
        <v>0</v>
      </c>
      <c r="O466">
        <v>0</v>
      </c>
      <c r="P466" s="2">
        <v>41153</v>
      </c>
      <c r="Q466">
        <v>0</v>
      </c>
      <c r="R466" s="1" t="s">
        <v>61</v>
      </c>
    </row>
    <row r="467" spans="1:18" x14ac:dyDescent="0.25">
      <c r="A467">
        <v>2012</v>
      </c>
      <c r="B467">
        <v>10</v>
      </c>
      <c r="C467" s="1" t="s">
        <v>33</v>
      </c>
      <c r="D467" s="1" t="s">
        <v>19</v>
      </c>
      <c r="E467" s="1" t="s">
        <v>114</v>
      </c>
      <c r="F467">
        <v>2016</v>
      </c>
      <c r="G467">
        <v>0</v>
      </c>
      <c r="H467" s="1" t="s">
        <v>59</v>
      </c>
      <c r="I467">
        <v>14</v>
      </c>
      <c r="J467">
        <v>1746</v>
      </c>
      <c r="K467" s="1" t="s">
        <v>115</v>
      </c>
      <c r="L467" s="1" t="s">
        <v>23</v>
      </c>
      <c r="M467">
        <v>0</v>
      </c>
      <c r="N467">
        <v>0</v>
      </c>
      <c r="O467">
        <v>0</v>
      </c>
      <c r="P467" s="2">
        <v>41183</v>
      </c>
      <c r="Q467">
        <v>0</v>
      </c>
      <c r="R467" s="1" t="s">
        <v>61</v>
      </c>
    </row>
    <row r="468" spans="1:18" x14ac:dyDescent="0.25">
      <c r="A468">
        <v>2012</v>
      </c>
      <c r="B468">
        <v>11</v>
      </c>
      <c r="C468" s="1" t="s">
        <v>34</v>
      </c>
      <c r="D468" s="1" t="s">
        <v>19</v>
      </c>
      <c r="E468" s="1" t="s">
        <v>114</v>
      </c>
      <c r="F468">
        <v>2016</v>
      </c>
      <c r="G468">
        <v>0</v>
      </c>
      <c r="H468" s="1" t="s">
        <v>59</v>
      </c>
      <c r="I468">
        <v>14</v>
      </c>
      <c r="J468">
        <v>1746</v>
      </c>
      <c r="K468" s="1" t="s">
        <v>115</v>
      </c>
      <c r="L468" s="1" t="s">
        <v>23</v>
      </c>
      <c r="M468">
        <v>0</v>
      </c>
      <c r="N468">
        <v>0</v>
      </c>
      <c r="O468">
        <v>0</v>
      </c>
      <c r="P468" s="2">
        <v>41214</v>
      </c>
      <c r="Q468">
        <v>0</v>
      </c>
      <c r="R468" s="1" t="s">
        <v>61</v>
      </c>
    </row>
    <row r="469" spans="1:18" x14ac:dyDescent="0.25">
      <c r="A469">
        <v>2012</v>
      </c>
      <c r="B469">
        <v>12</v>
      </c>
      <c r="C469" s="1" t="s">
        <v>35</v>
      </c>
      <c r="D469" s="1" t="s">
        <v>19</v>
      </c>
      <c r="E469" s="1" t="s">
        <v>114</v>
      </c>
      <c r="F469">
        <v>2016</v>
      </c>
      <c r="G469">
        <v>0</v>
      </c>
      <c r="H469" s="1" t="s">
        <v>59</v>
      </c>
      <c r="I469">
        <v>14</v>
      </c>
      <c r="J469">
        <v>1746</v>
      </c>
      <c r="K469" s="1" t="s">
        <v>115</v>
      </c>
      <c r="L469" s="1" t="s">
        <v>23</v>
      </c>
      <c r="M469">
        <v>0</v>
      </c>
      <c r="N469">
        <v>0</v>
      </c>
      <c r="O469">
        <v>0</v>
      </c>
      <c r="P469" s="2">
        <v>41244</v>
      </c>
      <c r="Q469">
        <v>0</v>
      </c>
      <c r="R469" s="1" t="s">
        <v>61</v>
      </c>
    </row>
    <row r="470" spans="1:18" x14ac:dyDescent="0.25">
      <c r="A470">
        <v>2012</v>
      </c>
      <c r="B470">
        <v>1</v>
      </c>
      <c r="C470" s="1" t="s">
        <v>18</v>
      </c>
      <c r="D470" s="1" t="s">
        <v>19</v>
      </c>
      <c r="E470" s="1" t="s">
        <v>116</v>
      </c>
      <c r="F470">
        <v>2016</v>
      </c>
      <c r="G470">
        <v>0</v>
      </c>
      <c r="H470" s="1" t="s">
        <v>59</v>
      </c>
      <c r="I470">
        <v>24</v>
      </c>
      <c r="J470">
        <v>3377</v>
      </c>
      <c r="K470" s="1" t="s">
        <v>103</v>
      </c>
      <c r="L470" s="1" t="s">
        <v>23</v>
      </c>
      <c r="M470">
        <v>0</v>
      </c>
      <c r="N470">
        <v>0</v>
      </c>
      <c r="O470">
        <v>0</v>
      </c>
      <c r="P470" s="2">
        <v>40909</v>
      </c>
      <c r="Q470">
        <v>0</v>
      </c>
      <c r="R470" s="1" t="s">
        <v>61</v>
      </c>
    </row>
    <row r="471" spans="1:18" x14ac:dyDescent="0.25">
      <c r="A471">
        <v>2012</v>
      </c>
      <c r="B471">
        <v>2</v>
      </c>
      <c r="C471" s="1" t="s">
        <v>25</v>
      </c>
      <c r="D471" s="1" t="s">
        <v>19</v>
      </c>
      <c r="E471" s="1" t="s">
        <v>116</v>
      </c>
      <c r="F471">
        <v>2016</v>
      </c>
      <c r="G471">
        <v>0</v>
      </c>
      <c r="H471" s="1" t="s">
        <v>59</v>
      </c>
      <c r="I471">
        <v>24</v>
      </c>
      <c r="J471">
        <v>3377</v>
      </c>
      <c r="K471" s="1" t="s">
        <v>103</v>
      </c>
      <c r="L471" s="1" t="s">
        <v>23</v>
      </c>
      <c r="M471">
        <v>0</v>
      </c>
      <c r="N471">
        <v>0</v>
      </c>
      <c r="O471">
        <v>0</v>
      </c>
      <c r="P471" s="2">
        <v>40940</v>
      </c>
      <c r="Q471">
        <v>0</v>
      </c>
      <c r="R471" s="1" t="s">
        <v>61</v>
      </c>
    </row>
    <row r="472" spans="1:18" x14ac:dyDescent="0.25">
      <c r="A472">
        <v>2012</v>
      </c>
      <c r="B472">
        <v>3</v>
      </c>
      <c r="C472" s="1" t="s">
        <v>26</v>
      </c>
      <c r="D472" s="1" t="s">
        <v>19</v>
      </c>
      <c r="E472" s="1" t="s">
        <v>116</v>
      </c>
      <c r="F472">
        <v>2016</v>
      </c>
      <c r="G472">
        <v>0</v>
      </c>
      <c r="H472" s="1" t="s">
        <v>59</v>
      </c>
      <c r="I472">
        <v>24</v>
      </c>
      <c r="J472">
        <v>3377</v>
      </c>
      <c r="K472" s="1" t="s">
        <v>103</v>
      </c>
      <c r="L472" s="1" t="s">
        <v>23</v>
      </c>
      <c r="M472">
        <v>0</v>
      </c>
      <c r="N472">
        <v>0</v>
      </c>
      <c r="O472">
        <v>0</v>
      </c>
      <c r="P472" s="2">
        <v>40969</v>
      </c>
      <c r="Q472">
        <v>0</v>
      </c>
      <c r="R472" s="1" t="s">
        <v>61</v>
      </c>
    </row>
    <row r="473" spans="1:18" x14ac:dyDescent="0.25">
      <c r="A473">
        <v>2012</v>
      </c>
      <c r="B473">
        <v>4</v>
      </c>
      <c r="C473" s="1" t="s">
        <v>27</v>
      </c>
      <c r="D473" s="1" t="s">
        <v>19</v>
      </c>
      <c r="E473" s="1" t="s">
        <v>116</v>
      </c>
      <c r="F473">
        <v>2016</v>
      </c>
      <c r="G473">
        <v>0</v>
      </c>
      <c r="H473" s="1" t="s">
        <v>59</v>
      </c>
      <c r="I473">
        <v>24</v>
      </c>
      <c r="J473">
        <v>3377</v>
      </c>
      <c r="K473" s="1" t="s">
        <v>103</v>
      </c>
      <c r="L473" s="1" t="s">
        <v>23</v>
      </c>
      <c r="M473">
        <v>0</v>
      </c>
      <c r="N473">
        <v>0</v>
      </c>
      <c r="O473">
        <v>0</v>
      </c>
      <c r="P473" s="2">
        <v>41000</v>
      </c>
      <c r="Q473">
        <v>0</v>
      </c>
      <c r="R473" s="1" t="s">
        <v>61</v>
      </c>
    </row>
    <row r="474" spans="1:18" x14ac:dyDescent="0.25">
      <c r="A474">
        <v>2012</v>
      </c>
      <c r="B474">
        <v>5</v>
      </c>
      <c r="C474" s="1" t="s">
        <v>28</v>
      </c>
      <c r="D474" s="1" t="s">
        <v>19</v>
      </c>
      <c r="E474" s="1" t="s">
        <v>116</v>
      </c>
      <c r="F474">
        <v>2016</v>
      </c>
      <c r="G474">
        <v>0</v>
      </c>
      <c r="H474" s="1" t="s">
        <v>59</v>
      </c>
      <c r="I474">
        <v>24</v>
      </c>
      <c r="J474">
        <v>3377</v>
      </c>
      <c r="K474" s="1" t="s">
        <v>103</v>
      </c>
      <c r="L474" s="1" t="s">
        <v>23</v>
      </c>
      <c r="M474">
        <v>0</v>
      </c>
      <c r="N474">
        <v>0</v>
      </c>
      <c r="O474">
        <v>0</v>
      </c>
      <c r="P474" s="2">
        <v>41030</v>
      </c>
      <c r="Q474">
        <v>0</v>
      </c>
      <c r="R474" s="1" t="s">
        <v>61</v>
      </c>
    </row>
    <row r="475" spans="1:18" x14ac:dyDescent="0.25">
      <c r="A475">
        <v>2012</v>
      </c>
      <c r="B475">
        <v>6</v>
      </c>
      <c r="C475" s="1" t="s">
        <v>29</v>
      </c>
      <c r="D475" s="1" t="s">
        <v>19</v>
      </c>
      <c r="E475" s="1" t="s">
        <v>116</v>
      </c>
      <c r="F475">
        <v>2016</v>
      </c>
      <c r="G475">
        <v>0</v>
      </c>
      <c r="H475" s="1" t="s">
        <v>59</v>
      </c>
      <c r="I475">
        <v>24</v>
      </c>
      <c r="J475">
        <v>3377</v>
      </c>
      <c r="K475" s="1" t="s">
        <v>103</v>
      </c>
      <c r="L475" s="1" t="s">
        <v>23</v>
      </c>
      <c r="M475">
        <v>0</v>
      </c>
      <c r="N475">
        <v>0</v>
      </c>
      <c r="O475">
        <v>0</v>
      </c>
      <c r="P475" s="2">
        <v>41061</v>
      </c>
      <c r="Q475">
        <v>0</v>
      </c>
      <c r="R475" s="1" t="s">
        <v>61</v>
      </c>
    </row>
    <row r="476" spans="1:18" x14ac:dyDescent="0.25">
      <c r="A476">
        <v>2012</v>
      </c>
      <c r="B476">
        <v>7</v>
      </c>
      <c r="C476" s="1" t="s">
        <v>30</v>
      </c>
      <c r="D476" s="1" t="s">
        <v>19</v>
      </c>
      <c r="E476" s="1" t="s">
        <v>116</v>
      </c>
      <c r="F476">
        <v>2016</v>
      </c>
      <c r="G476">
        <v>0</v>
      </c>
      <c r="H476" s="1" t="s">
        <v>59</v>
      </c>
      <c r="I476">
        <v>24</v>
      </c>
      <c r="J476">
        <v>3377</v>
      </c>
      <c r="K476" s="1" t="s">
        <v>103</v>
      </c>
      <c r="L476" s="1" t="s">
        <v>23</v>
      </c>
      <c r="M476">
        <v>0</v>
      </c>
      <c r="N476">
        <v>0</v>
      </c>
      <c r="O476">
        <v>0</v>
      </c>
      <c r="P476" s="2">
        <v>41091</v>
      </c>
      <c r="Q476">
        <v>0</v>
      </c>
      <c r="R476" s="1" t="s">
        <v>61</v>
      </c>
    </row>
    <row r="477" spans="1:18" x14ac:dyDescent="0.25">
      <c r="A477">
        <v>2012</v>
      </c>
      <c r="B477">
        <v>8</v>
      </c>
      <c r="C477" s="1" t="s">
        <v>31</v>
      </c>
      <c r="D477" s="1" t="s">
        <v>19</v>
      </c>
      <c r="E477" s="1" t="s">
        <v>116</v>
      </c>
      <c r="F477">
        <v>2016</v>
      </c>
      <c r="G477">
        <v>0</v>
      </c>
      <c r="H477" s="1" t="s">
        <v>59</v>
      </c>
      <c r="I477">
        <v>24</v>
      </c>
      <c r="J477">
        <v>3377</v>
      </c>
      <c r="K477" s="1" t="s">
        <v>103</v>
      </c>
      <c r="L477" s="1" t="s">
        <v>23</v>
      </c>
      <c r="M477">
        <v>0</v>
      </c>
      <c r="N477">
        <v>0</v>
      </c>
      <c r="O477">
        <v>0</v>
      </c>
      <c r="P477" s="2">
        <v>41122</v>
      </c>
      <c r="Q477">
        <v>0</v>
      </c>
      <c r="R477" s="1" t="s">
        <v>61</v>
      </c>
    </row>
    <row r="478" spans="1:18" x14ac:dyDescent="0.25">
      <c r="A478">
        <v>2012</v>
      </c>
      <c r="B478">
        <v>9</v>
      </c>
      <c r="C478" s="1" t="s">
        <v>32</v>
      </c>
      <c r="D478" s="1" t="s">
        <v>19</v>
      </c>
      <c r="E478" s="1" t="s">
        <v>116</v>
      </c>
      <c r="F478">
        <v>2016</v>
      </c>
      <c r="G478">
        <v>0</v>
      </c>
      <c r="H478" s="1" t="s">
        <v>59</v>
      </c>
      <c r="I478">
        <v>24</v>
      </c>
      <c r="J478">
        <v>3377</v>
      </c>
      <c r="K478" s="1" t="s">
        <v>103</v>
      </c>
      <c r="L478" s="1" t="s">
        <v>23</v>
      </c>
      <c r="M478">
        <v>0</v>
      </c>
      <c r="N478">
        <v>0</v>
      </c>
      <c r="O478">
        <v>0</v>
      </c>
      <c r="P478" s="2">
        <v>41153</v>
      </c>
      <c r="Q478">
        <v>0</v>
      </c>
      <c r="R478" s="1" t="s">
        <v>61</v>
      </c>
    </row>
    <row r="479" spans="1:18" x14ac:dyDescent="0.25">
      <c r="A479">
        <v>2012</v>
      </c>
      <c r="B479">
        <v>10</v>
      </c>
      <c r="C479" s="1" t="s">
        <v>33</v>
      </c>
      <c r="D479" s="1" t="s">
        <v>19</v>
      </c>
      <c r="E479" s="1" t="s">
        <v>116</v>
      </c>
      <c r="F479">
        <v>2016</v>
      </c>
      <c r="G479">
        <v>0</v>
      </c>
      <c r="H479" s="1" t="s">
        <v>59</v>
      </c>
      <c r="I479">
        <v>24</v>
      </c>
      <c r="J479">
        <v>3377</v>
      </c>
      <c r="K479" s="1" t="s">
        <v>103</v>
      </c>
      <c r="L479" s="1" t="s">
        <v>23</v>
      </c>
      <c r="M479">
        <v>0</v>
      </c>
      <c r="N479">
        <v>0</v>
      </c>
      <c r="O479">
        <v>0</v>
      </c>
      <c r="P479" s="2">
        <v>41183</v>
      </c>
      <c r="Q479">
        <v>0</v>
      </c>
      <c r="R479" s="1" t="s">
        <v>61</v>
      </c>
    </row>
    <row r="480" spans="1:18" x14ac:dyDescent="0.25">
      <c r="A480">
        <v>2012</v>
      </c>
      <c r="B480">
        <v>11</v>
      </c>
      <c r="C480" s="1" t="s">
        <v>34</v>
      </c>
      <c r="D480" s="1" t="s">
        <v>19</v>
      </c>
      <c r="E480" s="1" t="s">
        <v>116</v>
      </c>
      <c r="F480">
        <v>2016</v>
      </c>
      <c r="G480">
        <v>0</v>
      </c>
      <c r="H480" s="1" t="s">
        <v>59</v>
      </c>
      <c r="I480">
        <v>24</v>
      </c>
      <c r="J480">
        <v>3377</v>
      </c>
      <c r="K480" s="1" t="s">
        <v>103</v>
      </c>
      <c r="L480" s="1" t="s">
        <v>23</v>
      </c>
      <c r="M480">
        <v>0</v>
      </c>
      <c r="N480">
        <v>0</v>
      </c>
      <c r="O480">
        <v>0</v>
      </c>
      <c r="P480" s="2">
        <v>41214</v>
      </c>
      <c r="Q480">
        <v>0</v>
      </c>
      <c r="R480" s="1" t="s">
        <v>61</v>
      </c>
    </row>
    <row r="481" spans="1:18" x14ac:dyDescent="0.25">
      <c r="A481">
        <v>2012</v>
      </c>
      <c r="B481">
        <v>12</v>
      </c>
      <c r="C481" s="1" t="s">
        <v>35</v>
      </c>
      <c r="D481" s="1" t="s">
        <v>19</v>
      </c>
      <c r="E481" s="1" t="s">
        <v>116</v>
      </c>
      <c r="F481">
        <v>2016</v>
      </c>
      <c r="G481">
        <v>0</v>
      </c>
      <c r="H481" s="1" t="s">
        <v>59</v>
      </c>
      <c r="I481">
        <v>24</v>
      </c>
      <c r="J481">
        <v>3377</v>
      </c>
      <c r="K481" s="1" t="s">
        <v>103</v>
      </c>
      <c r="L481" s="1" t="s">
        <v>23</v>
      </c>
      <c r="M481">
        <v>0</v>
      </c>
      <c r="N481">
        <v>0</v>
      </c>
      <c r="O481">
        <v>0</v>
      </c>
      <c r="P481" s="2">
        <v>41244</v>
      </c>
      <c r="Q481">
        <v>0</v>
      </c>
      <c r="R481" s="1" t="s">
        <v>61</v>
      </c>
    </row>
    <row r="482" spans="1:18" x14ac:dyDescent="0.25">
      <c r="A482">
        <v>2012</v>
      </c>
      <c r="B482">
        <v>1</v>
      </c>
      <c r="C482" s="1" t="s">
        <v>18</v>
      </c>
      <c r="D482" s="1" t="s">
        <v>19</v>
      </c>
      <c r="E482" s="1" t="s">
        <v>117</v>
      </c>
      <c r="F482">
        <v>2016</v>
      </c>
      <c r="G482">
        <v>0</v>
      </c>
      <c r="H482" s="1" t="s">
        <v>59</v>
      </c>
      <c r="I482">
        <v>25</v>
      </c>
      <c r="J482">
        <v>3431</v>
      </c>
      <c r="K482" s="1" t="s">
        <v>118</v>
      </c>
      <c r="L482" s="1" t="s">
        <v>23</v>
      </c>
      <c r="M482">
        <v>0</v>
      </c>
      <c r="N482">
        <v>0</v>
      </c>
      <c r="O482">
        <v>0</v>
      </c>
      <c r="P482" s="2">
        <v>40909</v>
      </c>
      <c r="Q482">
        <v>0</v>
      </c>
      <c r="R482" s="1" t="s">
        <v>61</v>
      </c>
    </row>
    <row r="483" spans="1:18" x14ac:dyDescent="0.25">
      <c r="A483">
        <v>2012</v>
      </c>
      <c r="B483">
        <v>2</v>
      </c>
      <c r="C483" s="1" t="s">
        <v>25</v>
      </c>
      <c r="D483" s="1" t="s">
        <v>19</v>
      </c>
      <c r="E483" s="1" t="s">
        <v>117</v>
      </c>
      <c r="F483">
        <v>2016</v>
      </c>
      <c r="G483">
        <v>0</v>
      </c>
      <c r="H483" s="1" t="s">
        <v>59</v>
      </c>
      <c r="I483">
        <v>25</v>
      </c>
      <c r="J483">
        <v>3431</v>
      </c>
      <c r="K483" s="1" t="s">
        <v>118</v>
      </c>
      <c r="L483" s="1" t="s">
        <v>23</v>
      </c>
      <c r="M483">
        <v>0</v>
      </c>
      <c r="N483">
        <v>0</v>
      </c>
      <c r="O483">
        <v>0</v>
      </c>
      <c r="P483" s="2">
        <v>40940</v>
      </c>
      <c r="Q483">
        <v>0</v>
      </c>
      <c r="R483" s="1" t="s">
        <v>61</v>
      </c>
    </row>
    <row r="484" spans="1:18" x14ac:dyDescent="0.25">
      <c r="A484">
        <v>2012</v>
      </c>
      <c r="B484">
        <v>3</v>
      </c>
      <c r="C484" s="1" t="s">
        <v>26</v>
      </c>
      <c r="D484" s="1" t="s">
        <v>19</v>
      </c>
      <c r="E484" s="1" t="s">
        <v>117</v>
      </c>
      <c r="F484">
        <v>2016</v>
      </c>
      <c r="G484">
        <v>0</v>
      </c>
      <c r="H484" s="1" t="s">
        <v>59</v>
      </c>
      <c r="I484">
        <v>25</v>
      </c>
      <c r="J484">
        <v>3431</v>
      </c>
      <c r="K484" s="1" t="s">
        <v>118</v>
      </c>
      <c r="L484" s="1" t="s">
        <v>23</v>
      </c>
      <c r="M484">
        <v>0</v>
      </c>
      <c r="N484">
        <v>0</v>
      </c>
      <c r="O484">
        <v>0</v>
      </c>
      <c r="P484" s="2">
        <v>40969</v>
      </c>
      <c r="Q484">
        <v>0</v>
      </c>
      <c r="R484" s="1" t="s">
        <v>61</v>
      </c>
    </row>
    <row r="485" spans="1:18" x14ac:dyDescent="0.25">
      <c r="A485">
        <v>2012</v>
      </c>
      <c r="B485">
        <v>4</v>
      </c>
      <c r="C485" s="1" t="s">
        <v>27</v>
      </c>
      <c r="D485" s="1" t="s">
        <v>19</v>
      </c>
      <c r="E485" s="1" t="s">
        <v>117</v>
      </c>
      <c r="F485">
        <v>2016</v>
      </c>
      <c r="G485">
        <v>0</v>
      </c>
      <c r="H485" s="1" t="s">
        <v>59</v>
      </c>
      <c r="I485">
        <v>25</v>
      </c>
      <c r="J485">
        <v>3431</v>
      </c>
      <c r="K485" s="1" t="s">
        <v>118</v>
      </c>
      <c r="L485" s="1" t="s">
        <v>23</v>
      </c>
      <c r="M485">
        <v>0</v>
      </c>
      <c r="N485">
        <v>0</v>
      </c>
      <c r="O485">
        <v>0</v>
      </c>
      <c r="P485" s="2">
        <v>41000</v>
      </c>
      <c r="Q485">
        <v>0</v>
      </c>
      <c r="R485" s="1" t="s">
        <v>61</v>
      </c>
    </row>
    <row r="486" spans="1:18" x14ac:dyDescent="0.25">
      <c r="A486">
        <v>2012</v>
      </c>
      <c r="B486">
        <v>5</v>
      </c>
      <c r="C486" s="1" t="s">
        <v>28</v>
      </c>
      <c r="D486" s="1" t="s">
        <v>19</v>
      </c>
      <c r="E486" s="1" t="s">
        <v>117</v>
      </c>
      <c r="F486">
        <v>2016</v>
      </c>
      <c r="G486">
        <v>0</v>
      </c>
      <c r="H486" s="1" t="s">
        <v>59</v>
      </c>
      <c r="I486">
        <v>25</v>
      </c>
      <c r="J486">
        <v>3431</v>
      </c>
      <c r="K486" s="1" t="s">
        <v>118</v>
      </c>
      <c r="L486" s="1" t="s">
        <v>23</v>
      </c>
      <c r="M486">
        <v>0</v>
      </c>
      <c r="N486">
        <v>0</v>
      </c>
      <c r="O486">
        <v>0</v>
      </c>
      <c r="P486" s="2">
        <v>41030</v>
      </c>
      <c r="Q486">
        <v>0</v>
      </c>
      <c r="R486" s="1" t="s">
        <v>61</v>
      </c>
    </row>
    <row r="487" spans="1:18" x14ac:dyDescent="0.25">
      <c r="A487">
        <v>2012</v>
      </c>
      <c r="B487">
        <v>6</v>
      </c>
      <c r="C487" s="1" t="s">
        <v>29</v>
      </c>
      <c r="D487" s="1" t="s">
        <v>19</v>
      </c>
      <c r="E487" s="1" t="s">
        <v>117</v>
      </c>
      <c r="F487">
        <v>2016</v>
      </c>
      <c r="G487">
        <v>0</v>
      </c>
      <c r="H487" s="1" t="s">
        <v>59</v>
      </c>
      <c r="I487">
        <v>25</v>
      </c>
      <c r="J487">
        <v>3431</v>
      </c>
      <c r="K487" s="1" t="s">
        <v>118</v>
      </c>
      <c r="L487" s="1" t="s">
        <v>23</v>
      </c>
      <c r="M487">
        <v>0</v>
      </c>
      <c r="N487">
        <v>0</v>
      </c>
      <c r="O487">
        <v>0</v>
      </c>
      <c r="P487" s="2">
        <v>41061</v>
      </c>
      <c r="Q487">
        <v>0</v>
      </c>
      <c r="R487" s="1" t="s">
        <v>61</v>
      </c>
    </row>
    <row r="488" spans="1:18" x14ac:dyDescent="0.25">
      <c r="A488">
        <v>2012</v>
      </c>
      <c r="B488">
        <v>7</v>
      </c>
      <c r="C488" s="1" t="s">
        <v>30</v>
      </c>
      <c r="D488" s="1" t="s">
        <v>19</v>
      </c>
      <c r="E488" s="1" t="s">
        <v>117</v>
      </c>
      <c r="F488">
        <v>2016</v>
      </c>
      <c r="G488">
        <v>0</v>
      </c>
      <c r="H488" s="1" t="s">
        <v>59</v>
      </c>
      <c r="I488">
        <v>25</v>
      </c>
      <c r="J488">
        <v>3431</v>
      </c>
      <c r="K488" s="1" t="s">
        <v>118</v>
      </c>
      <c r="L488" s="1" t="s">
        <v>23</v>
      </c>
      <c r="M488">
        <v>0</v>
      </c>
      <c r="N488">
        <v>0</v>
      </c>
      <c r="O488">
        <v>0</v>
      </c>
      <c r="P488" s="2">
        <v>41091</v>
      </c>
      <c r="Q488">
        <v>0</v>
      </c>
      <c r="R488" s="1" t="s">
        <v>61</v>
      </c>
    </row>
    <row r="489" spans="1:18" x14ac:dyDescent="0.25">
      <c r="A489">
        <v>2012</v>
      </c>
      <c r="B489">
        <v>8</v>
      </c>
      <c r="C489" s="1" t="s">
        <v>31</v>
      </c>
      <c r="D489" s="1" t="s">
        <v>19</v>
      </c>
      <c r="E489" s="1" t="s">
        <v>117</v>
      </c>
      <c r="F489">
        <v>2016</v>
      </c>
      <c r="G489">
        <v>0</v>
      </c>
      <c r="H489" s="1" t="s">
        <v>59</v>
      </c>
      <c r="I489">
        <v>25</v>
      </c>
      <c r="J489">
        <v>3431</v>
      </c>
      <c r="K489" s="1" t="s">
        <v>118</v>
      </c>
      <c r="L489" s="1" t="s">
        <v>23</v>
      </c>
      <c r="M489">
        <v>0</v>
      </c>
      <c r="N489">
        <v>0</v>
      </c>
      <c r="O489">
        <v>0</v>
      </c>
      <c r="P489" s="2">
        <v>41122</v>
      </c>
      <c r="Q489">
        <v>0</v>
      </c>
      <c r="R489" s="1" t="s">
        <v>61</v>
      </c>
    </row>
    <row r="490" spans="1:18" x14ac:dyDescent="0.25">
      <c r="A490">
        <v>2012</v>
      </c>
      <c r="B490">
        <v>9</v>
      </c>
      <c r="C490" s="1" t="s">
        <v>32</v>
      </c>
      <c r="D490" s="1" t="s">
        <v>19</v>
      </c>
      <c r="E490" s="1" t="s">
        <v>117</v>
      </c>
      <c r="F490">
        <v>2016</v>
      </c>
      <c r="G490">
        <v>0</v>
      </c>
      <c r="H490" s="1" t="s">
        <v>59</v>
      </c>
      <c r="I490">
        <v>25</v>
      </c>
      <c r="J490">
        <v>3431</v>
      </c>
      <c r="K490" s="1" t="s">
        <v>118</v>
      </c>
      <c r="L490" s="1" t="s">
        <v>23</v>
      </c>
      <c r="M490">
        <v>0</v>
      </c>
      <c r="N490">
        <v>0</v>
      </c>
      <c r="O490">
        <v>0</v>
      </c>
      <c r="P490" s="2">
        <v>41153</v>
      </c>
      <c r="Q490">
        <v>0</v>
      </c>
      <c r="R490" s="1" t="s">
        <v>61</v>
      </c>
    </row>
    <row r="491" spans="1:18" x14ac:dyDescent="0.25">
      <c r="A491">
        <v>2012</v>
      </c>
      <c r="B491">
        <v>10</v>
      </c>
      <c r="C491" s="1" t="s">
        <v>33</v>
      </c>
      <c r="D491" s="1" t="s">
        <v>19</v>
      </c>
      <c r="E491" s="1" t="s">
        <v>117</v>
      </c>
      <c r="F491">
        <v>2016</v>
      </c>
      <c r="G491">
        <v>0</v>
      </c>
      <c r="H491" s="1" t="s">
        <v>59</v>
      </c>
      <c r="I491">
        <v>25</v>
      </c>
      <c r="J491">
        <v>3431</v>
      </c>
      <c r="K491" s="1" t="s">
        <v>118</v>
      </c>
      <c r="L491" s="1" t="s">
        <v>23</v>
      </c>
      <c r="M491">
        <v>0</v>
      </c>
      <c r="N491">
        <v>0</v>
      </c>
      <c r="O491">
        <v>0</v>
      </c>
      <c r="P491" s="2">
        <v>41183</v>
      </c>
      <c r="Q491">
        <v>0</v>
      </c>
      <c r="R491" s="1" t="s">
        <v>61</v>
      </c>
    </row>
    <row r="492" spans="1:18" x14ac:dyDescent="0.25">
      <c r="A492">
        <v>2012</v>
      </c>
      <c r="B492">
        <v>11</v>
      </c>
      <c r="C492" s="1" t="s">
        <v>34</v>
      </c>
      <c r="D492" s="1" t="s">
        <v>19</v>
      </c>
      <c r="E492" s="1" t="s">
        <v>117</v>
      </c>
      <c r="F492">
        <v>2016</v>
      </c>
      <c r="G492">
        <v>0</v>
      </c>
      <c r="H492" s="1" t="s">
        <v>59</v>
      </c>
      <c r="I492">
        <v>25</v>
      </c>
      <c r="J492">
        <v>3431</v>
      </c>
      <c r="K492" s="1" t="s">
        <v>118</v>
      </c>
      <c r="L492" s="1" t="s">
        <v>23</v>
      </c>
      <c r="M492">
        <v>0</v>
      </c>
      <c r="N492">
        <v>0</v>
      </c>
      <c r="O492">
        <v>0</v>
      </c>
      <c r="P492" s="2">
        <v>41214</v>
      </c>
      <c r="Q492">
        <v>0</v>
      </c>
      <c r="R492" s="1" t="s">
        <v>61</v>
      </c>
    </row>
    <row r="493" spans="1:18" x14ac:dyDescent="0.25">
      <c r="A493">
        <v>2012</v>
      </c>
      <c r="B493">
        <v>12</v>
      </c>
      <c r="C493" s="1" t="s">
        <v>35</v>
      </c>
      <c r="D493" s="1" t="s">
        <v>19</v>
      </c>
      <c r="E493" s="1" t="s">
        <v>117</v>
      </c>
      <c r="F493">
        <v>2016</v>
      </c>
      <c r="G493">
        <v>0</v>
      </c>
      <c r="H493" s="1" t="s">
        <v>59</v>
      </c>
      <c r="I493">
        <v>25</v>
      </c>
      <c r="J493">
        <v>3431</v>
      </c>
      <c r="K493" s="1" t="s">
        <v>118</v>
      </c>
      <c r="L493" s="1" t="s">
        <v>23</v>
      </c>
      <c r="M493">
        <v>0</v>
      </c>
      <c r="N493">
        <v>0</v>
      </c>
      <c r="O493">
        <v>0</v>
      </c>
      <c r="P493" s="2">
        <v>41244</v>
      </c>
      <c r="Q493">
        <v>0</v>
      </c>
      <c r="R493" s="1" t="s">
        <v>61</v>
      </c>
    </row>
    <row r="494" spans="1:18" x14ac:dyDescent="0.25">
      <c r="A494">
        <v>2012</v>
      </c>
      <c r="B494">
        <v>1</v>
      </c>
      <c r="C494" s="1" t="s">
        <v>18</v>
      </c>
      <c r="D494" s="1" t="s">
        <v>19</v>
      </c>
      <c r="E494" s="1" t="s">
        <v>119</v>
      </c>
      <c r="F494">
        <v>2016</v>
      </c>
      <c r="G494">
        <v>0</v>
      </c>
      <c r="H494" s="1" t="s">
        <v>59</v>
      </c>
      <c r="I494">
        <v>21</v>
      </c>
      <c r="J494">
        <v>2901</v>
      </c>
      <c r="K494" s="1" t="s">
        <v>120</v>
      </c>
      <c r="L494" s="1" t="s">
        <v>23</v>
      </c>
      <c r="M494">
        <v>0</v>
      </c>
      <c r="N494">
        <v>0</v>
      </c>
      <c r="O494">
        <v>0</v>
      </c>
      <c r="P494" s="2">
        <v>40909</v>
      </c>
      <c r="Q494">
        <v>0</v>
      </c>
      <c r="R494" s="1" t="s">
        <v>61</v>
      </c>
    </row>
    <row r="495" spans="1:18" x14ac:dyDescent="0.25">
      <c r="A495">
        <v>2012</v>
      </c>
      <c r="B495">
        <v>2</v>
      </c>
      <c r="C495" s="1" t="s">
        <v>25</v>
      </c>
      <c r="D495" s="1" t="s">
        <v>19</v>
      </c>
      <c r="E495" s="1" t="s">
        <v>119</v>
      </c>
      <c r="F495">
        <v>2016</v>
      </c>
      <c r="G495">
        <v>0</v>
      </c>
      <c r="H495" s="1" t="s">
        <v>59</v>
      </c>
      <c r="I495">
        <v>21</v>
      </c>
      <c r="J495">
        <v>2901</v>
      </c>
      <c r="K495" s="1" t="s">
        <v>120</v>
      </c>
      <c r="L495" s="1" t="s">
        <v>23</v>
      </c>
      <c r="M495">
        <v>0</v>
      </c>
      <c r="N495">
        <v>0</v>
      </c>
      <c r="O495">
        <v>0</v>
      </c>
      <c r="P495" s="2">
        <v>40940</v>
      </c>
      <c r="Q495">
        <v>0</v>
      </c>
      <c r="R495" s="1" t="s">
        <v>61</v>
      </c>
    </row>
    <row r="496" spans="1:18" x14ac:dyDescent="0.25">
      <c r="A496">
        <v>2012</v>
      </c>
      <c r="B496">
        <v>3</v>
      </c>
      <c r="C496" s="1" t="s">
        <v>26</v>
      </c>
      <c r="D496" s="1" t="s">
        <v>19</v>
      </c>
      <c r="E496" s="1" t="s">
        <v>119</v>
      </c>
      <c r="F496">
        <v>2016</v>
      </c>
      <c r="G496">
        <v>0</v>
      </c>
      <c r="H496" s="1" t="s">
        <v>59</v>
      </c>
      <c r="I496">
        <v>21</v>
      </c>
      <c r="J496">
        <v>2901</v>
      </c>
      <c r="K496" s="1" t="s">
        <v>120</v>
      </c>
      <c r="L496" s="1" t="s">
        <v>23</v>
      </c>
      <c r="M496">
        <v>0</v>
      </c>
      <c r="N496">
        <v>0</v>
      </c>
      <c r="O496">
        <v>0</v>
      </c>
      <c r="P496" s="2">
        <v>40969</v>
      </c>
      <c r="Q496">
        <v>0</v>
      </c>
      <c r="R496" s="1" t="s">
        <v>61</v>
      </c>
    </row>
    <row r="497" spans="1:18" x14ac:dyDescent="0.25">
      <c r="A497">
        <v>2012</v>
      </c>
      <c r="B497">
        <v>4</v>
      </c>
      <c r="C497" s="1" t="s">
        <v>27</v>
      </c>
      <c r="D497" s="1" t="s">
        <v>19</v>
      </c>
      <c r="E497" s="1" t="s">
        <v>119</v>
      </c>
      <c r="F497">
        <v>2016</v>
      </c>
      <c r="G497">
        <v>0</v>
      </c>
      <c r="H497" s="1" t="s">
        <v>59</v>
      </c>
      <c r="I497">
        <v>21</v>
      </c>
      <c r="J497">
        <v>2901</v>
      </c>
      <c r="K497" s="1" t="s">
        <v>120</v>
      </c>
      <c r="L497" s="1" t="s">
        <v>23</v>
      </c>
      <c r="M497">
        <v>0</v>
      </c>
      <c r="N497">
        <v>0</v>
      </c>
      <c r="O497">
        <v>0</v>
      </c>
      <c r="P497" s="2">
        <v>41000</v>
      </c>
      <c r="Q497">
        <v>0</v>
      </c>
      <c r="R497" s="1" t="s">
        <v>61</v>
      </c>
    </row>
    <row r="498" spans="1:18" x14ac:dyDescent="0.25">
      <c r="A498">
        <v>2012</v>
      </c>
      <c r="B498">
        <v>5</v>
      </c>
      <c r="C498" s="1" t="s">
        <v>28</v>
      </c>
      <c r="D498" s="1" t="s">
        <v>19</v>
      </c>
      <c r="E498" s="1" t="s">
        <v>119</v>
      </c>
      <c r="F498">
        <v>2016</v>
      </c>
      <c r="G498">
        <v>0</v>
      </c>
      <c r="H498" s="1" t="s">
        <v>59</v>
      </c>
      <c r="I498">
        <v>21</v>
      </c>
      <c r="J498">
        <v>2901</v>
      </c>
      <c r="K498" s="1" t="s">
        <v>120</v>
      </c>
      <c r="L498" s="1" t="s">
        <v>23</v>
      </c>
      <c r="M498">
        <v>0</v>
      </c>
      <c r="N498">
        <v>0</v>
      </c>
      <c r="O498">
        <v>0</v>
      </c>
      <c r="P498" s="2">
        <v>41030</v>
      </c>
      <c r="Q498">
        <v>0</v>
      </c>
      <c r="R498" s="1" t="s">
        <v>61</v>
      </c>
    </row>
    <row r="499" spans="1:18" x14ac:dyDescent="0.25">
      <c r="A499">
        <v>2012</v>
      </c>
      <c r="B499">
        <v>6</v>
      </c>
      <c r="C499" s="1" t="s">
        <v>29</v>
      </c>
      <c r="D499" s="1" t="s">
        <v>19</v>
      </c>
      <c r="E499" s="1" t="s">
        <v>119</v>
      </c>
      <c r="F499">
        <v>2016</v>
      </c>
      <c r="G499">
        <v>0</v>
      </c>
      <c r="H499" s="1" t="s">
        <v>59</v>
      </c>
      <c r="I499">
        <v>21</v>
      </c>
      <c r="J499">
        <v>2901</v>
      </c>
      <c r="K499" s="1" t="s">
        <v>120</v>
      </c>
      <c r="L499" s="1" t="s">
        <v>23</v>
      </c>
      <c r="M499">
        <v>0</v>
      </c>
      <c r="N499">
        <v>0</v>
      </c>
      <c r="O499">
        <v>0</v>
      </c>
      <c r="P499" s="2">
        <v>41061</v>
      </c>
      <c r="Q499">
        <v>0</v>
      </c>
      <c r="R499" s="1" t="s">
        <v>61</v>
      </c>
    </row>
    <row r="500" spans="1:18" x14ac:dyDescent="0.25">
      <c r="A500">
        <v>2012</v>
      </c>
      <c r="B500">
        <v>7</v>
      </c>
      <c r="C500" s="1" t="s">
        <v>30</v>
      </c>
      <c r="D500" s="1" t="s">
        <v>19</v>
      </c>
      <c r="E500" s="1" t="s">
        <v>119</v>
      </c>
      <c r="F500">
        <v>2016</v>
      </c>
      <c r="G500">
        <v>0</v>
      </c>
      <c r="H500" s="1" t="s">
        <v>59</v>
      </c>
      <c r="I500">
        <v>21</v>
      </c>
      <c r="J500">
        <v>2901</v>
      </c>
      <c r="K500" s="1" t="s">
        <v>120</v>
      </c>
      <c r="L500" s="1" t="s">
        <v>23</v>
      </c>
      <c r="M500">
        <v>0</v>
      </c>
      <c r="N500">
        <v>0</v>
      </c>
      <c r="O500">
        <v>0</v>
      </c>
      <c r="P500" s="2">
        <v>41091</v>
      </c>
      <c r="Q500">
        <v>0</v>
      </c>
      <c r="R500" s="1" t="s">
        <v>61</v>
      </c>
    </row>
    <row r="501" spans="1:18" x14ac:dyDescent="0.25">
      <c r="A501">
        <v>2012</v>
      </c>
      <c r="B501">
        <v>8</v>
      </c>
      <c r="C501" s="1" t="s">
        <v>31</v>
      </c>
      <c r="D501" s="1" t="s">
        <v>19</v>
      </c>
      <c r="E501" s="1" t="s">
        <v>119</v>
      </c>
      <c r="F501">
        <v>2016</v>
      </c>
      <c r="G501">
        <v>0</v>
      </c>
      <c r="H501" s="1" t="s">
        <v>59</v>
      </c>
      <c r="I501">
        <v>21</v>
      </c>
      <c r="J501">
        <v>2901</v>
      </c>
      <c r="K501" s="1" t="s">
        <v>120</v>
      </c>
      <c r="L501" s="1" t="s">
        <v>23</v>
      </c>
      <c r="M501">
        <v>0</v>
      </c>
      <c r="N501">
        <v>0</v>
      </c>
      <c r="O501">
        <v>0</v>
      </c>
      <c r="P501" s="2">
        <v>41122</v>
      </c>
      <c r="Q501">
        <v>0</v>
      </c>
      <c r="R501" s="1" t="s">
        <v>61</v>
      </c>
    </row>
    <row r="502" spans="1:18" x14ac:dyDescent="0.25">
      <c r="A502">
        <v>2012</v>
      </c>
      <c r="B502">
        <v>9</v>
      </c>
      <c r="C502" s="1" t="s">
        <v>32</v>
      </c>
      <c r="D502" s="1" t="s">
        <v>19</v>
      </c>
      <c r="E502" s="1" t="s">
        <v>119</v>
      </c>
      <c r="F502">
        <v>2016</v>
      </c>
      <c r="G502">
        <v>0</v>
      </c>
      <c r="H502" s="1" t="s">
        <v>59</v>
      </c>
      <c r="I502">
        <v>21</v>
      </c>
      <c r="J502">
        <v>2901</v>
      </c>
      <c r="K502" s="1" t="s">
        <v>120</v>
      </c>
      <c r="L502" s="1" t="s">
        <v>23</v>
      </c>
      <c r="M502">
        <v>0</v>
      </c>
      <c r="N502">
        <v>0</v>
      </c>
      <c r="O502">
        <v>0</v>
      </c>
      <c r="P502" s="2">
        <v>41153</v>
      </c>
      <c r="Q502">
        <v>0</v>
      </c>
      <c r="R502" s="1" t="s">
        <v>61</v>
      </c>
    </row>
    <row r="503" spans="1:18" x14ac:dyDescent="0.25">
      <c r="A503">
        <v>2012</v>
      </c>
      <c r="B503">
        <v>10</v>
      </c>
      <c r="C503" s="1" t="s">
        <v>33</v>
      </c>
      <c r="D503" s="1" t="s">
        <v>19</v>
      </c>
      <c r="E503" s="1" t="s">
        <v>119</v>
      </c>
      <c r="F503">
        <v>2016</v>
      </c>
      <c r="G503">
        <v>0</v>
      </c>
      <c r="H503" s="1" t="s">
        <v>59</v>
      </c>
      <c r="I503">
        <v>21</v>
      </c>
      <c r="J503">
        <v>2901</v>
      </c>
      <c r="K503" s="1" t="s">
        <v>120</v>
      </c>
      <c r="L503" s="1" t="s">
        <v>23</v>
      </c>
      <c r="M503">
        <v>0</v>
      </c>
      <c r="N503">
        <v>0</v>
      </c>
      <c r="O503">
        <v>0</v>
      </c>
      <c r="P503" s="2">
        <v>41183</v>
      </c>
      <c r="Q503">
        <v>0</v>
      </c>
      <c r="R503" s="1" t="s">
        <v>61</v>
      </c>
    </row>
    <row r="504" spans="1:18" x14ac:dyDescent="0.25">
      <c r="A504">
        <v>2012</v>
      </c>
      <c r="B504">
        <v>11</v>
      </c>
      <c r="C504" s="1" t="s">
        <v>34</v>
      </c>
      <c r="D504" s="1" t="s">
        <v>19</v>
      </c>
      <c r="E504" s="1" t="s">
        <v>119</v>
      </c>
      <c r="F504">
        <v>2016</v>
      </c>
      <c r="G504">
        <v>0</v>
      </c>
      <c r="H504" s="1" t="s">
        <v>59</v>
      </c>
      <c r="I504">
        <v>21</v>
      </c>
      <c r="J504">
        <v>2901</v>
      </c>
      <c r="K504" s="1" t="s">
        <v>120</v>
      </c>
      <c r="L504" s="1" t="s">
        <v>23</v>
      </c>
      <c r="M504">
        <v>0</v>
      </c>
      <c r="N504">
        <v>0</v>
      </c>
      <c r="O504">
        <v>0</v>
      </c>
      <c r="P504" s="2">
        <v>41214</v>
      </c>
      <c r="Q504">
        <v>0</v>
      </c>
      <c r="R504" s="1" t="s">
        <v>61</v>
      </c>
    </row>
    <row r="505" spans="1:18" x14ac:dyDescent="0.25">
      <c r="A505">
        <v>2012</v>
      </c>
      <c r="B505">
        <v>12</v>
      </c>
      <c r="C505" s="1" t="s">
        <v>35</v>
      </c>
      <c r="D505" s="1" t="s">
        <v>19</v>
      </c>
      <c r="E505" s="1" t="s">
        <v>119</v>
      </c>
      <c r="F505">
        <v>2016</v>
      </c>
      <c r="G505">
        <v>0</v>
      </c>
      <c r="H505" s="1" t="s">
        <v>59</v>
      </c>
      <c r="I505">
        <v>21</v>
      </c>
      <c r="J505">
        <v>2901</v>
      </c>
      <c r="K505" s="1" t="s">
        <v>120</v>
      </c>
      <c r="L505" s="1" t="s">
        <v>23</v>
      </c>
      <c r="M505">
        <v>0</v>
      </c>
      <c r="N505">
        <v>0</v>
      </c>
      <c r="O505">
        <v>0</v>
      </c>
      <c r="P505" s="2">
        <v>41244</v>
      </c>
      <c r="Q505">
        <v>0</v>
      </c>
      <c r="R505" s="1" t="s">
        <v>61</v>
      </c>
    </row>
    <row r="506" spans="1:18" x14ac:dyDescent="0.25">
      <c r="A506">
        <v>2013</v>
      </c>
      <c r="B506">
        <v>1</v>
      </c>
      <c r="C506" s="1" t="s">
        <v>18</v>
      </c>
      <c r="D506" s="1" t="s">
        <v>19</v>
      </c>
      <c r="E506" s="1" t="s">
        <v>20</v>
      </c>
      <c r="F506">
        <v>2000</v>
      </c>
      <c r="G506">
        <v>13</v>
      </c>
      <c r="H506" s="1" t="s">
        <v>21</v>
      </c>
      <c r="I506">
        <v>19</v>
      </c>
      <c r="J506">
        <v>1490</v>
      </c>
      <c r="K506" s="1" t="s">
        <v>22</v>
      </c>
      <c r="L506" s="1" t="s">
        <v>23</v>
      </c>
      <c r="M506">
        <v>1.0349999999999999</v>
      </c>
      <c r="N506">
        <v>19665.900000000001</v>
      </c>
      <c r="O506">
        <v>19.666</v>
      </c>
      <c r="P506" s="2">
        <v>41275</v>
      </c>
      <c r="Q506">
        <v>1</v>
      </c>
      <c r="R506" s="1" t="s">
        <v>24</v>
      </c>
    </row>
    <row r="507" spans="1:18" x14ac:dyDescent="0.25">
      <c r="A507">
        <v>2013</v>
      </c>
      <c r="B507">
        <v>2</v>
      </c>
      <c r="C507" s="1" t="s">
        <v>25</v>
      </c>
      <c r="D507" s="1" t="s">
        <v>19</v>
      </c>
      <c r="E507" s="1" t="s">
        <v>20</v>
      </c>
      <c r="F507">
        <v>2000</v>
      </c>
      <c r="G507">
        <v>13</v>
      </c>
      <c r="H507" s="1" t="s">
        <v>21</v>
      </c>
      <c r="I507">
        <v>19</v>
      </c>
      <c r="J507">
        <v>1490</v>
      </c>
      <c r="K507" s="1" t="s">
        <v>22</v>
      </c>
      <c r="L507" s="1" t="s">
        <v>23</v>
      </c>
      <c r="M507">
        <v>0.86499999999999999</v>
      </c>
      <c r="N507">
        <v>16439.099999999999</v>
      </c>
      <c r="O507">
        <v>16.439</v>
      </c>
      <c r="P507" s="2">
        <v>41306</v>
      </c>
      <c r="Q507">
        <v>1</v>
      </c>
      <c r="R507" s="1" t="s">
        <v>24</v>
      </c>
    </row>
    <row r="508" spans="1:18" x14ac:dyDescent="0.25">
      <c r="A508">
        <v>2013</v>
      </c>
      <c r="B508">
        <v>3</v>
      </c>
      <c r="C508" s="1" t="s">
        <v>26</v>
      </c>
      <c r="D508" s="1" t="s">
        <v>19</v>
      </c>
      <c r="E508" s="1" t="s">
        <v>20</v>
      </c>
      <c r="F508">
        <v>2000</v>
      </c>
      <c r="G508">
        <v>13</v>
      </c>
      <c r="H508" s="1" t="s">
        <v>21</v>
      </c>
      <c r="I508">
        <v>19</v>
      </c>
      <c r="J508">
        <v>1490</v>
      </c>
      <c r="K508" s="1" t="s">
        <v>22</v>
      </c>
      <c r="L508" s="1" t="s">
        <v>23</v>
      </c>
      <c r="M508">
        <v>1.1519999999999999</v>
      </c>
      <c r="N508">
        <v>21889.7</v>
      </c>
      <c r="O508">
        <v>21.89</v>
      </c>
      <c r="P508" s="2">
        <v>41334</v>
      </c>
      <c r="Q508">
        <v>1</v>
      </c>
      <c r="R508" s="1" t="s">
        <v>24</v>
      </c>
    </row>
    <row r="509" spans="1:18" x14ac:dyDescent="0.25">
      <c r="A509">
        <v>2013</v>
      </c>
      <c r="B509">
        <v>4</v>
      </c>
      <c r="C509" s="1" t="s">
        <v>27</v>
      </c>
      <c r="D509" s="1" t="s">
        <v>19</v>
      </c>
      <c r="E509" s="1" t="s">
        <v>20</v>
      </c>
      <c r="F509">
        <v>2000</v>
      </c>
      <c r="G509">
        <v>13</v>
      </c>
      <c r="H509" s="1" t="s">
        <v>21</v>
      </c>
      <c r="I509">
        <v>19</v>
      </c>
      <c r="J509">
        <v>1490</v>
      </c>
      <c r="K509" s="1" t="s">
        <v>22</v>
      </c>
      <c r="L509" s="1" t="s">
        <v>23</v>
      </c>
      <c r="M509">
        <v>1.0489999999999999</v>
      </c>
      <c r="N509">
        <v>19927.5</v>
      </c>
      <c r="O509">
        <v>19.927</v>
      </c>
      <c r="P509" s="2">
        <v>41365</v>
      </c>
      <c r="Q509">
        <v>1</v>
      </c>
      <c r="R509" s="1" t="s">
        <v>24</v>
      </c>
    </row>
    <row r="510" spans="1:18" x14ac:dyDescent="0.25">
      <c r="A510">
        <v>2013</v>
      </c>
      <c r="B510">
        <v>5</v>
      </c>
      <c r="C510" s="1" t="s">
        <v>28</v>
      </c>
      <c r="D510" s="1" t="s">
        <v>19</v>
      </c>
      <c r="E510" s="1" t="s">
        <v>20</v>
      </c>
      <c r="F510">
        <v>2000</v>
      </c>
      <c r="G510">
        <v>13</v>
      </c>
      <c r="H510" s="1" t="s">
        <v>21</v>
      </c>
      <c r="I510">
        <v>19</v>
      </c>
      <c r="J510">
        <v>1490</v>
      </c>
      <c r="K510" s="1" t="s">
        <v>22</v>
      </c>
      <c r="L510" s="1" t="s">
        <v>23</v>
      </c>
      <c r="M510">
        <v>1.218</v>
      </c>
      <c r="N510">
        <v>23139.7</v>
      </c>
      <c r="O510">
        <v>23.14</v>
      </c>
      <c r="P510" s="2">
        <v>41395</v>
      </c>
      <c r="Q510">
        <v>1</v>
      </c>
      <c r="R510" s="1" t="s">
        <v>24</v>
      </c>
    </row>
    <row r="511" spans="1:18" x14ac:dyDescent="0.25">
      <c r="A511">
        <v>2013</v>
      </c>
      <c r="B511">
        <v>6</v>
      </c>
      <c r="C511" s="1" t="s">
        <v>29</v>
      </c>
      <c r="D511" s="1" t="s">
        <v>19</v>
      </c>
      <c r="E511" s="1" t="s">
        <v>20</v>
      </c>
      <c r="F511">
        <v>2000</v>
      </c>
      <c r="G511">
        <v>13</v>
      </c>
      <c r="H511" s="1" t="s">
        <v>21</v>
      </c>
      <c r="I511">
        <v>19</v>
      </c>
      <c r="J511">
        <v>1490</v>
      </c>
      <c r="K511" s="1" t="s">
        <v>22</v>
      </c>
      <c r="L511" s="1" t="s">
        <v>23</v>
      </c>
      <c r="M511">
        <v>1.323</v>
      </c>
      <c r="N511">
        <v>25131</v>
      </c>
      <c r="O511">
        <v>25.131</v>
      </c>
      <c r="P511" s="2">
        <v>41426</v>
      </c>
      <c r="Q511">
        <v>1</v>
      </c>
      <c r="R511" s="1" t="s">
        <v>24</v>
      </c>
    </row>
    <row r="512" spans="1:18" x14ac:dyDescent="0.25">
      <c r="A512">
        <v>2013</v>
      </c>
      <c r="B512">
        <v>7</v>
      </c>
      <c r="C512" s="1" t="s">
        <v>30</v>
      </c>
      <c r="D512" s="1" t="s">
        <v>19</v>
      </c>
      <c r="E512" s="1" t="s">
        <v>20</v>
      </c>
      <c r="F512">
        <v>2000</v>
      </c>
      <c r="G512">
        <v>13</v>
      </c>
      <c r="H512" s="1" t="s">
        <v>21</v>
      </c>
      <c r="I512">
        <v>19</v>
      </c>
      <c r="J512">
        <v>1490</v>
      </c>
      <c r="K512" s="1" t="s">
        <v>22</v>
      </c>
      <c r="L512" s="1" t="s">
        <v>23</v>
      </c>
      <c r="M512">
        <v>1.754</v>
      </c>
      <c r="N512">
        <v>33328.800000000003</v>
      </c>
      <c r="O512">
        <v>33.329000000000001</v>
      </c>
      <c r="P512" s="2">
        <v>41456</v>
      </c>
      <c r="Q512">
        <v>1</v>
      </c>
      <c r="R512" s="1" t="s">
        <v>24</v>
      </c>
    </row>
    <row r="513" spans="1:18" x14ac:dyDescent="0.25">
      <c r="A513">
        <v>2013</v>
      </c>
      <c r="B513">
        <v>8</v>
      </c>
      <c r="C513" s="1" t="s">
        <v>31</v>
      </c>
      <c r="D513" s="1" t="s">
        <v>19</v>
      </c>
      <c r="E513" s="1" t="s">
        <v>20</v>
      </c>
      <c r="F513">
        <v>2000</v>
      </c>
      <c r="G513">
        <v>13</v>
      </c>
      <c r="H513" s="1" t="s">
        <v>21</v>
      </c>
      <c r="I513">
        <v>19</v>
      </c>
      <c r="J513">
        <v>1490</v>
      </c>
      <c r="K513" s="1" t="s">
        <v>22</v>
      </c>
      <c r="L513" s="1" t="s">
        <v>23</v>
      </c>
      <c r="M513">
        <v>1.427</v>
      </c>
      <c r="N513">
        <v>27107.8</v>
      </c>
      <c r="O513">
        <v>27.108000000000001</v>
      </c>
      <c r="P513" s="2">
        <v>41487</v>
      </c>
      <c r="Q513">
        <v>1</v>
      </c>
      <c r="R513" s="1" t="s">
        <v>24</v>
      </c>
    </row>
    <row r="514" spans="1:18" x14ac:dyDescent="0.25">
      <c r="A514">
        <v>2013</v>
      </c>
      <c r="B514">
        <v>9</v>
      </c>
      <c r="C514" s="1" t="s">
        <v>32</v>
      </c>
      <c r="D514" s="1" t="s">
        <v>19</v>
      </c>
      <c r="E514" s="1" t="s">
        <v>20</v>
      </c>
      <c r="F514">
        <v>2000</v>
      </c>
      <c r="G514">
        <v>13</v>
      </c>
      <c r="H514" s="1" t="s">
        <v>21</v>
      </c>
      <c r="I514">
        <v>19</v>
      </c>
      <c r="J514">
        <v>1490</v>
      </c>
      <c r="K514" s="1" t="s">
        <v>22</v>
      </c>
      <c r="L514" s="1" t="s">
        <v>23</v>
      </c>
      <c r="M514">
        <v>1.417</v>
      </c>
      <c r="N514">
        <v>26918.799999999999</v>
      </c>
      <c r="O514">
        <v>26.919</v>
      </c>
      <c r="P514" s="2">
        <v>41518</v>
      </c>
      <c r="Q514">
        <v>1</v>
      </c>
      <c r="R514" s="1" t="s">
        <v>24</v>
      </c>
    </row>
    <row r="515" spans="1:18" x14ac:dyDescent="0.25">
      <c r="A515">
        <v>2013</v>
      </c>
      <c r="B515">
        <v>10</v>
      </c>
      <c r="C515" s="1" t="s">
        <v>33</v>
      </c>
      <c r="D515" s="1" t="s">
        <v>19</v>
      </c>
      <c r="E515" s="1" t="s">
        <v>20</v>
      </c>
      <c r="F515">
        <v>2000</v>
      </c>
      <c r="G515">
        <v>13</v>
      </c>
      <c r="H515" s="1" t="s">
        <v>21</v>
      </c>
      <c r="I515">
        <v>19</v>
      </c>
      <c r="J515">
        <v>1490</v>
      </c>
      <c r="K515" s="1" t="s">
        <v>22</v>
      </c>
      <c r="L515" s="1" t="s">
        <v>23</v>
      </c>
      <c r="M515">
        <v>1.381</v>
      </c>
      <c r="N515">
        <v>26235.7</v>
      </c>
      <c r="O515">
        <v>26.236000000000001</v>
      </c>
      <c r="P515" s="2">
        <v>41548</v>
      </c>
      <c r="Q515">
        <v>1</v>
      </c>
      <c r="R515" s="1" t="s">
        <v>24</v>
      </c>
    </row>
    <row r="516" spans="1:18" x14ac:dyDescent="0.25">
      <c r="A516">
        <v>2013</v>
      </c>
      <c r="B516">
        <v>11</v>
      </c>
      <c r="C516" s="1" t="s">
        <v>34</v>
      </c>
      <c r="D516" s="1" t="s">
        <v>19</v>
      </c>
      <c r="E516" s="1" t="s">
        <v>20</v>
      </c>
      <c r="F516">
        <v>2000</v>
      </c>
      <c r="G516">
        <v>13</v>
      </c>
      <c r="H516" s="1" t="s">
        <v>21</v>
      </c>
      <c r="I516">
        <v>19</v>
      </c>
      <c r="J516">
        <v>1490</v>
      </c>
      <c r="K516" s="1" t="s">
        <v>22</v>
      </c>
      <c r="L516" s="1" t="s">
        <v>23</v>
      </c>
      <c r="M516">
        <v>1.3129999999999999</v>
      </c>
      <c r="N516">
        <v>24942.1</v>
      </c>
      <c r="O516">
        <v>24.942</v>
      </c>
      <c r="P516" s="2">
        <v>41579</v>
      </c>
      <c r="Q516">
        <v>1</v>
      </c>
      <c r="R516" s="1" t="s">
        <v>24</v>
      </c>
    </row>
    <row r="517" spans="1:18" x14ac:dyDescent="0.25">
      <c r="A517">
        <v>2013</v>
      </c>
      <c r="B517">
        <v>12</v>
      </c>
      <c r="C517" s="1" t="s">
        <v>35</v>
      </c>
      <c r="D517" s="1" t="s">
        <v>19</v>
      </c>
      <c r="E517" s="1" t="s">
        <v>20</v>
      </c>
      <c r="F517">
        <v>2000</v>
      </c>
      <c r="G517">
        <v>13</v>
      </c>
      <c r="H517" s="1" t="s">
        <v>21</v>
      </c>
      <c r="I517">
        <v>19</v>
      </c>
      <c r="J517">
        <v>1490</v>
      </c>
      <c r="K517" s="1" t="s">
        <v>22</v>
      </c>
      <c r="L517" s="1" t="s">
        <v>23</v>
      </c>
      <c r="M517">
        <v>0.96599999999999997</v>
      </c>
      <c r="N517">
        <v>18357.7</v>
      </c>
      <c r="O517">
        <v>18.358000000000001</v>
      </c>
      <c r="P517" s="2">
        <v>41609</v>
      </c>
      <c r="Q517">
        <v>1</v>
      </c>
      <c r="R517" s="1" t="s">
        <v>24</v>
      </c>
    </row>
    <row r="518" spans="1:18" x14ac:dyDescent="0.25">
      <c r="A518">
        <v>2013</v>
      </c>
      <c r="B518">
        <v>1</v>
      </c>
      <c r="C518" s="1" t="s">
        <v>18</v>
      </c>
      <c r="D518" s="1" t="s">
        <v>19</v>
      </c>
      <c r="E518" s="1" t="s">
        <v>36</v>
      </c>
      <c r="F518">
        <v>2000</v>
      </c>
      <c r="G518">
        <v>13</v>
      </c>
      <c r="H518" s="1" t="s">
        <v>21</v>
      </c>
      <c r="I518">
        <v>24</v>
      </c>
      <c r="J518">
        <v>1675</v>
      </c>
      <c r="K518" s="1" t="s">
        <v>37</v>
      </c>
      <c r="L518" s="1" t="s">
        <v>23</v>
      </c>
      <c r="M518">
        <v>1.0349999999999999</v>
      </c>
      <c r="N518">
        <v>24841.1</v>
      </c>
      <c r="O518">
        <v>24.841000000000001</v>
      </c>
      <c r="P518" s="2">
        <v>41275</v>
      </c>
      <c r="Q518">
        <v>1</v>
      </c>
      <c r="R518" s="1" t="s">
        <v>24</v>
      </c>
    </row>
    <row r="519" spans="1:18" x14ac:dyDescent="0.25">
      <c r="A519">
        <v>2013</v>
      </c>
      <c r="B519">
        <v>2</v>
      </c>
      <c r="C519" s="1" t="s">
        <v>25</v>
      </c>
      <c r="D519" s="1" t="s">
        <v>19</v>
      </c>
      <c r="E519" s="1" t="s">
        <v>36</v>
      </c>
      <c r="F519">
        <v>2000</v>
      </c>
      <c r="G519">
        <v>13</v>
      </c>
      <c r="H519" s="1" t="s">
        <v>21</v>
      </c>
      <c r="I519">
        <v>24</v>
      </c>
      <c r="J519">
        <v>1675</v>
      </c>
      <c r="K519" s="1" t="s">
        <v>37</v>
      </c>
      <c r="L519" s="1" t="s">
        <v>23</v>
      </c>
      <c r="M519">
        <v>0.86499999999999999</v>
      </c>
      <c r="N519">
        <v>20765.2</v>
      </c>
      <c r="O519">
        <v>20.765000000000001</v>
      </c>
      <c r="P519" s="2">
        <v>41306</v>
      </c>
      <c r="Q519">
        <v>1</v>
      </c>
      <c r="R519" s="1" t="s">
        <v>24</v>
      </c>
    </row>
    <row r="520" spans="1:18" x14ac:dyDescent="0.25">
      <c r="A520">
        <v>2013</v>
      </c>
      <c r="B520">
        <v>3</v>
      </c>
      <c r="C520" s="1" t="s">
        <v>26</v>
      </c>
      <c r="D520" s="1" t="s">
        <v>19</v>
      </c>
      <c r="E520" s="1" t="s">
        <v>36</v>
      </c>
      <c r="F520">
        <v>2000</v>
      </c>
      <c r="G520">
        <v>13</v>
      </c>
      <c r="H520" s="1" t="s">
        <v>21</v>
      </c>
      <c r="I520">
        <v>24</v>
      </c>
      <c r="J520">
        <v>1675</v>
      </c>
      <c r="K520" s="1" t="s">
        <v>37</v>
      </c>
      <c r="L520" s="1" t="s">
        <v>23</v>
      </c>
      <c r="M520">
        <v>1.1519999999999999</v>
      </c>
      <c r="N520">
        <v>27650.2</v>
      </c>
      <c r="O520">
        <v>27.65</v>
      </c>
      <c r="P520" s="2">
        <v>41334</v>
      </c>
      <c r="Q520">
        <v>1</v>
      </c>
      <c r="R520" s="1" t="s">
        <v>24</v>
      </c>
    </row>
    <row r="521" spans="1:18" x14ac:dyDescent="0.25">
      <c r="A521">
        <v>2013</v>
      </c>
      <c r="B521">
        <v>4</v>
      </c>
      <c r="C521" s="1" t="s">
        <v>27</v>
      </c>
      <c r="D521" s="1" t="s">
        <v>19</v>
      </c>
      <c r="E521" s="1" t="s">
        <v>36</v>
      </c>
      <c r="F521">
        <v>2000</v>
      </c>
      <c r="G521">
        <v>13</v>
      </c>
      <c r="H521" s="1" t="s">
        <v>21</v>
      </c>
      <c r="I521">
        <v>24</v>
      </c>
      <c r="J521">
        <v>1675</v>
      </c>
      <c r="K521" s="1" t="s">
        <v>37</v>
      </c>
      <c r="L521" s="1" t="s">
        <v>23</v>
      </c>
      <c r="M521">
        <v>1.0489999999999999</v>
      </c>
      <c r="N521">
        <v>25171.599999999999</v>
      </c>
      <c r="O521">
        <v>25.172000000000001</v>
      </c>
      <c r="P521" s="2">
        <v>41365</v>
      </c>
      <c r="Q521">
        <v>1</v>
      </c>
      <c r="R521" s="1" t="s">
        <v>24</v>
      </c>
    </row>
    <row r="522" spans="1:18" x14ac:dyDescent="0.25">
      <c r="A522">
        <v>2013</v>
      </c>
      <c r="B522">
        <v>5</v>
      </c>
      <c r="C522" s="1" t="s">
        <v>28</v>
      </c>
      <c r="D522" s="1" t="s">
        <v>19</v>
      </c>
      <c r="E522" s="1" t="s">
        <v>36</v>
      </c>
      <c r="F522">
        <v>2000</v>
      </c>
      <c r="G522">
        <v>13</v>
      </c>
      <c r="H522" s="1" t="s">
        <v>21</v>
      </c>
      <c r="I522">
        <v>24</v>
      </c>
      <c r="J522">
        <v>1675</v>
      </c>
      <c r="K522" s="1" t="s">
        <v>37</v>
      </c>
      <c r="L522" s="1" t="s">
        <v>23</v>
      </c>
      <c r="M522">
        <v>1.218</v>
      </c>
      <c r="N522">
        <v>29229.1</v>
      </c>
      <c r="O522">
        <v>29.228999999999999</v>
      </c>
      <c r="P522" s="2">
        <v>41395</v>
      </c>
      <c r="Q522">
        <v>1</v>
      </c>
      <c r="R522" s="1" t="s">
        <v>24</v>
      </c>
    </row>
    <row r="523" spans="1:18" x14ac:dyDescent="0.25">
      <c r="A523">
        <v>2013</v>
      </c>
      <c r="B523">
        <v>6</v>
      </c>
      <c r="C523" s="1" t="s">
        <v>29</v>
      </c>
      <c r="D523" s="1" t="s">
        <v>19</v>
      </c>
      <c r="E523" s="1" t="s">
        <v>36</v>
      </c>
      <c r="F523">
        <v>2000</v>
      </c>
      <c r="G523">
        <v>13</v>
      </c>
      <c r="H523" s="1" t="s">
        <v>21</v>
      </c>
      <c r="I523">
        <v>24</v>
      </c>
      <c r="J523">
        <v>1675</v>
      </c>
      <c r="K523" s="1" t="s">
        <v>37</v>
      </c>
      <c r="L523" s="1" t="s">
        <v>23</v>
      </c>
      <c r="M523">
        <v>1.323</v>
      </c>
      <c r="N523">
        <v>31744.400000000001</v>
      </c>
      <c r="O523">
        <v>31.744</v>
      </c>
      <c r="P523" s="2">
        <v>41426</v>
      </c>
      <c r="Q523">
        <v>1</v>
      </c>
      <c r="R523" s="1" t="s">
        <v>24</v>
      </c>
    </row>
    <row r="524" spans="1:18" x14ac:dyDescent="0.25">
      <c r="A524">
        <v>2013</v>
      </c>
      <c r="B524">
        <v>7</v>
      </c>
      <c r="C524" s="1" t="s">
        <v>30</v>
      </c>
      <c r="D524" s="1" t="s">
        <v>19</v>
      </c>
      <c r="E524" s="1" t="s">
        <v>36</v>
      </c>
      <c r="F524">
        <v>2000</v>
      </c>
      <c r="G524">
        <v>13</v>
      </c>
      <c r="H524" s="1" t="s">
        <v>21</v>
      </c>
      <c r="I524">
        <v>24</v>
      </c>
      <c r="J524">
        <v>1675</v>
      </c>
      <c r="K524" s="1" t="s">
        <v>37</v>
      </c>
      <c r="L524" s="1" t="s">
        <v>23</v>
      </c>
      <c r="M524">
        <v>1.754</v>
      </c>
      <c r="N524">
        <v>42099.5</v>
      </c>
      <c r="O524">
        <v>42.098999999999997</v>
      </c>
      <c r="P524" s="2">
        <v>41456</v>
      </c>
      <c r="Q524">
        <v>1</v>
      </c>
      <c r="R524" s="1" t="s">
        <v>24</v>
      </c>
    </row>
    <row r="525" spans="1:18" x14ac:dyDescent="0.25">
      <c r="A525">
        <v>2013</v>
      </c>
      <c r="B525">
        <v>8</v>
      </c>
      <c r="C525" s="1" t="s">
        <v>31</v>
      </c>
      <c r="D525" s="1" t="s">
        <v>19</v>
      </c>
      <c r="E525" s="1" t="s">
        <v>36</v>
      </c>
      <c r="F525">
        <v>2000</v>
      </c>
      <c r="G525">
        <v>13</v>
      </c>
      <c r="H525" s="1" t="s">
        <v>21</v>
      </c>
      <c r="I525">
        <v>24</v>
      </c>
      <c r="J525">
        <v>1675</v>
      </c>
      <c r="K525" s="1" t="s">
        <v>37</v>
      </c>
      <c r="L525" s="1" t="s">
        <v>23</v>
      </c>
      <c r="M525">
        <v>1.427</v>
      </c>
      <c r="N525">
        <v>34241.4</v>
      </c>
      <c r="O525">
        <v>34.241</v>
      </c>
      <c r="P525" s="2">
        <v>41487</v>
      </c>
      <c r="Q525">
        <v>1</v>
      </c>
      <c r="R525" s="1" t="s">
        <v>24</v>
      </c>
    </row>
    <row r="526" spans="1:18" x14ac:dyDescent="0.25">
      <c r="A526">
        <v>2013</v>
      </c>
      <c r="B526">
        <v>9</v>
      </c>
      <c r="C526" s="1" t="s">
        <v>32</v>
      </c>
      <c r="D526" s="1" t="s">
        <v>19</v>
      </c>
      <c r="E526" s="1" t="s">
        <v>36</v>
      </c>
      <c r="F526">
        <v>2000</v>
      </c>
      <c r="G526">
        <v>13</v>
      </c>
      <c r="H526" s="1" t="s">
        <v>21</v>
      </c>
      <c r="I526">
        <v>24</v>
      </c>
      <c r="J526">
        <v>1675</v>
      </c>
      <c r="K526" s="1" t="s">
        <v>37</v>
      </c>
      <c r="L526" s="1" t="s">
        <v>23</v>
      </c>
      <c r="M526">
        <v>1.417</v>
      </c>
      <c r="N526">
        <v>34002.699999999997</v>
      </c>
      <c r="O526">
        <v>34.003</v>
      </c>
      <c r="P526" s="2">
        <v>41518</v>
      </c>
      <c r="Q526">
        <v>1</v>
      </c>
      <c r="R526" s="1" t="s">
        <v>24</v>
      </c>
    </row>
    <row r="527" spans="1:18" x14ac:dyDescent="0.25">
      <c r="A527">
        <v>2013</v>
      </c>
      <c r="B527">
        <v>10</v>
      </c>
      <c r="C527" s="1" t="s">
        <v>33</v>
      </c>
      <c r="D527" s="1" t="s">
        <v>19</v>
      </c>
      <c r="E527" s="1" t="s">
        <v>36</v>
      </c>
      <c r="F527">
        <v>2000</v>
      </c>
      <c r="G527">
        <v>13</v>
      </c>
      <c r="H527" s="1" t="s">
        <v>21</v>
      </c>
      <c r="I527">
        <v>24</v>
      </c>
      <c r="J527">
        <v>1675</v>
      </c>
      <c r="K527" s="1" t="s">
        <v>37</v>
      </c>
      <c r="L527" s="1" t="s">
        <v>23</v>
      </c>
      <c r="M527">
        <v>1.381</v>
      </c>
      <c r="N527">
        <v>33139.800000000003</v>
      </c>
      <c r="O527">
        <v>33.14</v>
      </c>
      <c r="P527" s="2">
        <v>41548</v>
      </c>
      <c r="Q527">
        <v>1</v>
      </c>
      <c r="R527" s="1" t="s">
        <v>24</v>
      </c>
    </row>
    <row r="528" spans="1:18" x14ac:dyDescent="0.25">
      <c r="A528">
        <v>2013</v>
      </c>
      <c r="B528">
        <v>11</v>
      </c>
      <c r="C528" s="1" t="s">
        <v>34</v>
      </c>
      <c r="D528" s="1" t="s">
        <v>19</v>
      </c>
      <c r="E528" s="1" t="s">
        <v>36</v>
      </c>
      <c r="F528">
        <v>2000</v>
      </c>
      <c r="G528">
        <v>13</v>
      </c>
      <c r="H528" s="1" t="s">
        <v>21</v>
      </c>
      <c r="I528">
        <v>24</v>
      </c>
      <c r="J528">
        <v>1675</v>
      </c>
      <c r="K528" s="1" t="s">
        <v>37</v>
      </c>
      <c r="L528" s="1" t="s">
        <v>23</v>
      </c>
      <c r="M528">
        <v>1.3129999999999999</v>
      </c>
      <c r="N528">
        <v>31505.8</v>
      </c>
      <c r="O528">
        <v>31.506</v>
      </c>
      <c r="P528" s="2">
        <v>41579</v>
      </c>
      <c r="Q528">
        <v>1</v>
      </c>
      <c r="R528" s="1" t="s">
        <v>24</v>
      </c>
    </row>
    <row r="529" spans="1:18" x14ac:dyDescent="0.25">
      <c r="A529">
        <v>2013</v>
      </c>
      <c r="B529">
        <v>12</v>
      </c>
      <c r="C529" s="1" t="s">
        <v>35</v>
      </c>
      <c r="D529" s="1" t="s">
        <v>19</v>
      </c>
      <c r="E529" s="1" t="s">
        <v>36</v>
      </c>
      <c r="F529">
        <v>2000</v>
      </c>
      <c r="G529">
        <v>13</v>
      </c>
      <c r="H529" s="1" t="s">
        <v>21</v>
      </c>
      <c r="I529">
        <v>24</v>
      </c>
      <c r="J529">
        <v>1675</v>
      </c>
      <c r="K529" s="1" t="s">
        <v>37</v>
      </c>
      <c r="L529" s="1" t="s">
        <v>23</v>
      </c>
      <c r="M529">
        <v>0.96599999999999997</v>
      </c>
      <c r="N529">
        <v>23188.7</v>
      </c>
      <c r="O529">
        <v>23.189</v>
      </c>
      <c r="P529" s="2">
        <v>41609</v>
      </c>
      <c r="Q529">
        <v>1</v>
      </c>
      <c r="R529" s="1" t="s">
        <v>24</v>
      </c>
    </row>
    <row r="530" spans="1:18" x14ac:dyDescent="0.25">
      <c r="A530">
        <v>2013</v>
      </c>
      <c r="B530">
        <v>1</v>
      </c>
      <c r="C530" s="1" t="s">
        <v>18</v>
      </c>
      <c r="D530" s="1" t="s">
        <v>19</v>
      </c>
      <c r="E530" s="1" t="s">
        <v>38</v>
      </c>
      <c r="F530">
        <v>2005</v>
      </c>
      <c r="G530">
        <v>8</v>
      </c>
      <c r="H530" s="1" t="s">
        <v>21</v>
      </c>
      <c r="I530">
        <v>18</v>
      </c>
      <c r="J530">
        <v>1922</v>
      </c>
      <c r="K530" s="1" t="s">
        <v>39</v>
      </c>
      <c r="L530" s="1" t="s">
        <v>23</v>
      </c>
      <c r="M530">
        <v>1.0840000000000001</v>
      </c>
      <c r="N530">
        <v>19503.5</v>
      </c>
      <c r="O530">
        <v>19.503</v>
      </c>
      <c r="P530" s="2">
        <v>41275</v>
      </c>
      <c r="Q530">
        <v>1</v>
      </c>
      <c r="R530" s="1" t="s">
        <v>40</v>
      </c>
    </row>
    <row r="531" spans="1:18" x14ac:dyDescent="0.25">
      <c r="A531">
        <v>2013</v>
      </c>
      <c r="B531">
        <v>2</v>
      </c>
      <c r="C531" s="1" t="s">
        <v>25</v>
      </c>
      <c r="D531" s="1" t="s">
        <v>19</v>
      </c>
      <c r="E531" s="1" t="s">
        <v>38</v>
      </c>
      <c r="F531">
        <v>2005</v>
      </c>
      <c r="G531">
        <v>8</v>
      </c>
      <c r="H531" s="1" t="s">
        <v>21</v>
      </c>
      <c r="I531">
        <v>18</v>
      </c>
      <c r="J531">
        <v>1922</v>
      </c>
      <c r="K531" s="1" t="s">
        <v>39</v>
      </c>
      <c r="L531" s="1" t="s">
        <v>23</v>
      </c>
      <c r="M531">
        <v>0.90600000000000003</v>
      </c>
      <c r="N531">
        <v>16303.4</v>
      </c>
      <c r="O531">
        <v>16.303000000000001</v>
      </c>
      <c r="P531" s="2">
        <v>41306</v>
      </c>
      <c r="Q531">
        <v>1</v>
      </c>
      <c r="R531" s="1" t="s">
        <v>40</v>
      </c>
    </row>
    <row r="532" spans="1:18" x14ac:dyDescent="0.25">
      <c r="A532">
        <v>2013</v>
      </c>
      <c r="B532">
        <v>3</v>
      </c>
      <c r="C532" s="1" t="s">
        <v>26</v>
      </c>
      <c r="D532" s="1" t="s">
        <v>19</v>
      </c>
      <c r="E532" s="1" t="s">
        <v>38</v>
      </c>
      <c r="F532">
        <v>2005</v>
      </c>
      <c r="G532">
        <v>8</v>
      </c>
      <c r="H532" s="1" t="s">
        <v>21</v>
      </c>
      <c r="I532">
        <v>18</v>
      </c>
      <c r="J532">
        <v>1922</v>
      </c>
      <c r="K532" s="1" t="s">
        <v>39</v>
      </c>
      <c r="L532" s="1" t="s">
        <v>23</v>
      </c>
      <c r="M532">
        <v>1.206</v>
      </c>
      <c r="N532">
        <v>21709</v>
      </c>
      <c r="O532">
        <v>21.709</v>
      </c>
      <c r="P532" s="2">
        <v>41334</v>
      </c>
      <c r="Q532">
        <v>1</v>
      </c>
      <c r="R532" s="1" t="s">
        <v>40</v>
      </c>
    </row>
    <row r="533" spans="1:18" x14ac:dyDescent="0.25">
      <c r="A533">
        <v>2013</v>
      </c>
      <c r="B533">
        <v>4</v>
      </c>
      <c r="C533" s="1" t="s">
        <v>27</v>
      </c>
      <c r="D533" s="1" t="s">
        <v>19</v>
      </c>
      <c r="E533" s="1" t="s">
        <v>38</v>
      </c>
      <c r="F533">
        <v>2005</v>
      </c>
      <c r="G533">
        <v>8</v>
      </c>
      <c r="H533" s="1" t="s">
        <v>21</v>
      </c>
      <c r="I533">
        <v>18</v>
      </c>
      <c r="J533">
        <v>1922</v>
      </c>
      <c r="K533" s="1" t="s">
        <v>39</v>
      </c>
      <c r="L533" s="1" t="s">
        <v>23</v>
      </c>
      <c r="M533">
        <v>1.0980000000000001</v>
      </c>
      <c r="N533">
        <v>19763</v>
      </c>
      <c r="O533">
        <v>19.763000000000002</v>
      </c>
      <c r="P533" s="2">
        <v>41365</v>
      </c>
      <c r="Q533">
        <v>1</v>
      </c>
      <c r="R533" s="1" t="s">
        <v>40</v>
      </c>
    </row>
    <row r="534" spans="1:18" x14ac:dyDescent="0.25">
      <c r="A534">
        <v>2013</v>
      </c>
      <c r="B534">
        <v>5</v>
      </c>
      <c r="C534" s="1" t="s">
        <v>28</v>
      </c>
      <c r="D534" s="1" t="s">
        <v>19</v>
      </c>
      <c r="E534" s="1" t="s">
        <v>38</v>
      </c>
      <c r="F534">
        <v>2005</v>
      </c>
      <c r="G534">
        <v>8</v>
      </c>
      <c r="H534" s="1" t="s">
        <v>21</v>
      </c>
      <c r="I534">
        <v>18</v>
      </c>
      <c r="J534">
        <v>1922</v>
      </c>
      <c r="K534" s="1" t="s">
        <v>39</v>
      </c>
      <c r="L534" s="1" t="s">
        <v>23</v>
      </c>
      <c r="M534">
        <v>1.2749999999999999</v>
      </c>
      <c r="N534">
        <v>22948.7</v>
      </c>
      <c r="O534">
        <v>22.949000000000002</v>
      </c>
      <c r="P534" s="2">
        <v>41395</v>
      </c>
      <c r="Q534">
        <v>1</v>
      </c>
      <c r="R534" s="1" t="s">
        <v>40</v>
      </c>
    </row>
    <row r="535" spans="1:18" x14ac:dyDescent="0.25">
      <c r="A535">
        <v>2013</v>
      </c>
      <c r="B535">
        <v>6</v>
      </c>
      <c r="C535" s="1" t="s">
        <v>29</v>
      </c>
      <c r="D535" s="1" t="s">
        <v>19</v>
      </c>
      <c r="E535" s="1" t="s">
        <v>38</v>
      </c>
      <c r="F535">
        <v>2005</v>
      </c>
      <c r="G535">
        <v>8</v>
      </c>
      <c r="H535" s="1" t="s">
        <v>21</v>
      </c>
      <c r="I535">
        <v>18</v>
      </c>
      <c r="J535">
        <v>1922</v>
      </c>
      <c r="K535" s="1" t="s">
        <v>39</v>
      </c>
      <c r="L535" s="1" t="s">
        <v>23</v>
      </c>
      <c r="M535">
        <v>1.385</v>
      </c>
      <c r="N535">
        <v>24923.5</v>
      </c>
      <c r="O535">
        <v>24.923999999999999</v>
      </c>
      <c r="P535" s="2">
        <v>41426</v>
      </c>
      <c r="Q535">
        <v>1</v>
      </c>
      <c r="R535" s="1" t="s">
        <v>40</v>
      </c>
    </row>
    <row r="536" spans="1:18" x14ac:dyDescent="0.25">
      <c r="A536">
        <v>2013</v>
      </c>
      <c r="B536">
        <v>7</v>
      </c>
      <c r="C536" s="1" t="s">
        <v>30</v>
      </c>
      <c r="D536" s="1" t="s">
        <v>19</v>
      </c>
      <c r="E536" s="1" t="s">
        <v>38</v>
      </c>
      <c r="F536">
        <v>2005</v>
      </c>
      <c r="G536">
        <v>8</v>
      </c>
      <c r="H536" s="1" t="s">
        <v>21</v>
      </c>
      <c r="I536">
        <v>18</v>
      </c>
      <c r="J536">
        <v>1922</v>
      </c>
      <c r="K536" s="1" t="s">
        <v>39</v>
      </c>
      <c r="L536" s="1" t="s">
        <v>23</v>
      </c>
      <c r="M536">
        <v>1.8360000000000001</v>
      </c>
      <c r="N536">
        <v>33053.599999999999</v>
      </c>
      <c r="O536">
        <v>33.054000000000002</v>
      </c>
      <c r="P536" s="2">
        <v>41456</v>
      </c>
      <c r="Q536">
        <v>1</v>
      </c>
      <c r="R536" s="1" t="s">
        <v>40</v>
      </c>
    </row>
    <row r="537" spans="1:18" x14ac:dyDescent="0.25">
      <c r="A537">
        <v>2013</v>
      </c>
      <c r="B537">
        <v>8</v>
      </c>
      <c r="C537" s="1" t="s">
        <v>31</v>
      </c>
      <c r="D537" s="1" t="s">
        <v>19</v>
      </c>
      <c r="E537" s="1" t="s">
        <v>38</v>
      </c>
      <c r="F537">
        <v>2005</v>
      </c>
      <c r="G537">
        <v>8</v>
      </c>
      <c r="H537" s="1" t="s">
        <v>21</v>
      </c>
      <c r="I537">
        <v>18</v>
      </c>
      <c r="J537">
        <v>1922</v>
      </c>
      <c r="K537" s="1" t="s">
        <v>39</v>
      </c>
      <c r="L537" s="1" t="s">
        <v>23</v>
      </c>
      <c r="M537">
        <v>1.494</v>
      </c>
      <c r="N537">
        <v>26884</v>
      </c>
      <c r="O537">
        <v>26.884</v>
      </c>
      <c r="P537" s="2">
        <v>41487</v>
      </c>
      <c r="Q537">
        <v>1</v>
      </c>
      <c r="R537" s="1" t="s">
        <v>40</v>
      </c>
    </row>
    <row r="538" spans="1:18" x14ac:dyDescent="0.25">
      <c r="A538">
        <v>2013</v>
      </c>
      <c r="B538">
        <v>9</v>
      </c>
      <c r="C538" s="1" t="s">
        <v>32</v>
      </c>
      <c r="D538" s="1" t="s">
        <v>19</v>
      </c>
      <c r="E538" s="1" t="s">
        <v>38</v>
      </c>
      <c r="F538">
        <v>2005</v>
      </c>
      <c r="G538">
        <v>8</v>
      </c>
      <c r="H538" s="1" t="s">
        <v>21</v>
      </c>
      <c r="I538">
        <v>18</v>
      </c>
      <c r="J538">
        <v>1922</v>
      </c>
      <c r="K538" s="1" t="s">
        <v>39</v>
      </c>
      <c r="L538" s="1" t="s">
        <v>23</v>
      </c>
      <c r="M538">
        <v>1.4830000000000001</v>
      </c>
      <c r="N538">
        <v>26696.6</v>
      </c>
      <c r="O538">
        <v>26.696999999999999</v>
      </c>
      <c r="P538" s="2">
        <v>41518</v>
      </c>
      <c r="Q538">
        <v>1</v>
      </c>
      <c r="R538" s="1" t="s">
        <v>40</v>
      </c>
    </row>
    <row r="539" spans="1:18" x14ac:dyDescent="0.25">
      <c r="A539">
        <v>2013</v>
      </c>
      <c r="B539">
        <v>10</v>
      </c>
      <c r="C539" s="1" t="s">
        <v>33</v>
      </c>
      <c r="D539" s="1" t="s">
        <v>19</v>
      </c>
      <c r="E539" s="1" t="s">
        <v>38</v>
      </c>
      <c r="F539">
        <v>2005</v>
      </c>
      <c r="G539">
        <v>8</v>
      </c>
      <c r="H539" s="1" t="s">
        <v>21</v>
      </c>
      <c r="I539">
        <v>18</v>
      </c>
      <c r="J539">
        <v>1922</v>
      </c>
      <c r="K539" s="1" t="s">
        <v>39</v>
      </c>
      <c r="L539" s="1" t="s">
        <v>23</v>
      </c>
      <c r="M539">
        <v>1.446</v>
      </c>
      <c r="N539">
        <v>26019.1</v>
      </c>
      <c r="O539">
        <v>26.018999999999998</v>
      </c>
      <c r="P539" s="2">
        <v>41548</v>
      </c>
      <c r="Q539">
        <v>1</v>
      </c>
      <c r="R539" s="1" t="s">
        <v>40</v>
      </c>
    </row>
    <row r="540" spans="1:18" x14ac:dyDescent="0.25">
      <c r="A540">
        <v>2013</v>
      </c>
      <c r="B540">
        <v>11</v>
      </c>
      <c r="C540" s="1" t="s">
        <v>34</v>
      </c>
      <c r="D540" s="1" t="s">
        <v>19</v>
      </c>
      <c r="E540" s="1" t="s">
        <v>38</v>
      </c>
      <c r="F540">
        <v>2005</v>
      </c>
      <c r="G540">
        <v>8</v>
      </c>
      <c r="H540" s="1" t="s">
        <v>21</v>
      </c>
      <c r="I540">
        <v>18</v>
      </c>
      <c r="J540">
        <v>1922</v>
      </c>
      <c r="K540" s="1" t="s">
        <v>39</v>
      </c>
      <c r="L540" s="1" t="s">
        <v>23</v>
      </c>
      <c r="M540">
        <v>1.3740000000000001</v>
      </c>
      <c r="N540">
        <v>24736.1</v>
      </c>
      <c r="O540">
        <v>24.736000000000001</v>
      </c>
      <c r="P540" s="2">
        <v>41579</v>
      </c>
      <c r="Q540">
        <v>1</v>
      </c>
      <c r="R540" s="1" t="s">
        <v>40</v>
      </c>
    </row>
    <row r="541" spans="1:18" x14ac:dyDescent="0.25">
      <c r="A541">
        <v>2013</v>
      </c>
      <c r="B541">
        <v>12</v>
      </c>
      <c r="C541" s="1" t="s">
        <v>35</v>
      </c>
      <c r="D541" s="1" t="s">
        <v>19</v>
      </c>
      <c r="E541" s="1" t="s">
        <v>38</v>
      </c>
      <c r="F541">
        <v>2005</v>
      </c>
      <c r="G541">
        <v>8</v>
      </c>
      <c r="H541" s="1" t="s">
        <v>21</v>
      </c>
      <c r="I541">
        <v>18</v>
      </c>
      <c r="J541">
        <v>1922</v>
      </c>
      <c r="K541" s="1" t="s">
        <v>39</v>
      </c>
      <c r="L541" s="1" t="s">
        <v>23</v>
      </c>
      <c r="M541">
        <v>1.0109999999999999</v>
      </c>
      <c r="N541">
        <v>18206.099999999999</v>
      </c>
      <c r="O541">
        <v>18.206</v>
      </c>
      <c r="P541" s="2">
        <v>41609</v>
      </c>
      <c r="Q541">
        <v>1</v>
      </c>
      <c r="R541" s="1" t="s">
        <v>40</v>
      </c>
    </row>
    <row r="542" spans="1:18" x14ac:dyDescent="0.25">
      <c r="A542">
        <v>2013</v>
      </c>
      <c r="B542">
        <v>1</v>
      </c>
      <c r="C542" s="1" t="s">
        <v>18</v>
      </c>
      <c r="D542" s="1" t="s">
        <v>19</v>
      </c>
      <c r="E542" s="1" t="s">
        <v>41</v>
      </c>
      <c r="F542">
        <v>2005</v>
      </c>
      <c r="G542">
        <v>8</v>
      </c>
      <c r="H542" s="1" t="s">
        <v>21</v>
      </c>
      <c r="I542">
        <v>26</v>
      </c>
      <c r="J542">
        <v>2827</v>
      </c>
      <c r="K542" s="1" t="s">
        <v>42</v>
      </c>
      <c r="L542" s="1" t="s">
        <v>23</v>
      </c>
      <c r="M542">
        <v>1.103</v>
      </c>
      <c r="N542">
        <v>28687</v>
      </c>
      <c r="O542">
        <v>28.687000000000001</v>
      </c>
      <c r="P542" s="2">
        <v>41275</v>
      </c>
      <c r="Q542">
        <v>1</v>
      </c>
      <c r="R542" s="1" t="s">
        <v>40</v>
      </c>
    </row>
    <row r="543" spans="1:18" x14ac:dyDescent="0.25">
      <c r="A543">
        <v>2013</v>
      </c>
      <c r="B543">
        <v>2</v>
      </c>
      <c r="C543" s="1" t="s">
        <v>25</v>
      </c>
      <c r="D543" s="1" t="s">
        <v>19</v>
      </c>
      <c r="E543" s="1" t="s">
        <v>41</v>
      </c>
      <c r="F543">
        <v>2005</v>
      </c>
      <c r="G543">
        <v>8</v>
      </c>
      <c r="H543" s="1" t="s">
        <v>21</v>
      </c>
      <c r="I543">
        <v>26</v>
      </c>
      <c r="J543">
        <v>2827</v>
      </c>
      <c r="K543" s="1" t="s">
        <v>42</v>
      </c>
      <c r="L543" s="1" t="s">
        <v>23</v>
      </c>
      <c r="M543">
        <v>0.92200000000000004</v>
      </c>
      <c r="N543">
        <v>23980</v>
      </c>
      <c r="O543">
        <v>23.98</v>
      </c>
      <c r="P543" s="2">
        <v>41306</v>
      </c>
      <c r="Q543">
        <v>1</v>
      </c>
      <c r="R543" s="1" t="s">
        <v>40</v>
      </c>
    </row>
    <row r="544" spans="1:18" x14ac:dyDescent="0.25">
      <c r="A544">
        <v>2013</v>
      </c>
      <c r="B544">
        <v>3</v>
      </c>
      <c r="C544" s="1" t="s">
        <v>26</v>
      </c>
      <c r="D544" s="1" t="s">
        <v>19</v>
      </c>
      <c r="E544" s="1" t="s">
        <v>41</v>
      </c>
      <c r="F544">
        <v>2005</v>
      </c>
      <c r="G544">
        <v>8</v>
      </c>
      <c r="H544" s="1" t="s">
        <v>21</v>
      </c>
      <c r="I544">
        <v>26</v>
      </c>
      <c r="J544">
        <v>2827</v>
      </c>
      <c r="K544" s="1" t="s">
        <v>42</v>
      </c>
      <c r="L544" s="1" t="s">
        <v>23</v>
      </c>
      <c r="M544">
        <v>1.228</v>
      </c>
      <c r="N544">
        <v>31931</v>
      </c>
      <c r="O544">
        <v>31.931000000000001</v>
      </c>
      <c r="P544" s="2">
        <v>41334</v>
      </c>
      <c r="Q544">
        <v>1</v>
      </c>
      <c r="R544" s="1" t="s">
        <v>40</v>
      </c>
    </row>
    <row r="545" spans="1:18" x14ac:dyDescent="0.25">
      <c r="A545">
        <v>2013</v>
      </c>
      <c r="B545">
        <v>4</v>
      </c>
      <c r="C545" s="1" t="s">
        <v>27</v>
      </c>
      <c r="D545" s="1" t="s">
        <v>19</v>
      </c>
      <c r="E545" s="1" t="s">
        <v>41</v>
      </c>
      <c r="F545">
        <v>2005</v>
      </c>
      <c r="G545">
        <v>8</v>
      </c>
      <c r="H545" s="1" t="s">
        <v>21</v>
      </c>
      <c r="I545">
        <v>26</v>
      </c>
      <c r="J545">
        <v>2827</v>
      </c>
      <c r="K545" s="1" t="s">
        <v>42</v>
      </c>
      <c r="L545" s="1" t="s">
        <v>23</v>
      </c>
      <c r="M545">
        <v>1.1180000000000001</v>
      </c>
      <c r="N545">
        <v>29068.6</v>
      </c>
      <c r="O545">
        <v>29.068999999999999</v>
      </c>
      <c r="P545" s="2">
        <v>41365</v>
      </c>
      <c r="Q545">
        <v>1</v>
      </c>
      <c r="R545" s="1" t="s">
        <v>40</v>
      </c>
    </row>
    <row r="546" spans="1:18" x14ac:dyDescent="0.25">
      <c r="A546">
        <v>2013</v>
      </c>
      <c r="B546">
        <v>5</v>
      </c>
      <c r="C546" s="1" t="s">
        <v>28</v>
      </c>
      <c r="D546" s="1" t="s">
        <v>19</v>
      </c>
      <c r="E546" s="1" t="s">
        <v>41</v>
      </c>
      <c r="F546">
        <v>2005</v>
      </c>
      <c r="G546">
        <v>8</v>
      </c>
      <c r="H546" s="1" t="s">
        <v>21</v>
      </c>
      <c r="I546">
        <v>26</v>
      </c>
      <c r="J546">
        <v>2827</v>
      </c>
      <c r="K546" s="1" t="s">
        <v>42</v>
      </c>
      <c r="L546" s="1" t="s">
        <v>23</v>
      </c>
      <c r="M546">
        <v>1.298</v>
      </c>
      <c r="N546">
        <v>33754.400000000001</v>
      </c>
      <c r="O546">
        <v>33.753999999999998</v>
      </c>
      <c r="P546" s="2">
        <v>41395</v>
      </c>
      <c r="Q546">
        <v>1</v>
      </c>
      <c r="R546" s="1" t="s">
        <v>40</v>
      </c>
    </row>
    <row r="547" spans="1:18" x14ac:dyDescent="0.25">
      <c r="A547">
        <v>2013</v>
      </c>
      <c r="B547">
        <v>6</v>
      </c>
      <c r="C547" s="1" t="s">
        <v>29</v>
      </c>
      <c r="D547" s="1" t="s">
        <v>19</v>
      </c>
      <c r="E547" s="1" t="s">
        <v>41</v>
      </c>
      <c r="F547">
        <v>2005</v>
      </c>
      <c r="G547">
        <v>8</v>
      </c>
      <c r="H547" s="1" t="s">
        <v>21</v>
      </c>
      <c r="I547">
        <v>26</v>
      </c>
      <c r="J547">
        <v>2827</v>
      </c>
      <c r="K547" s="1" t="s">
        <v>42</v>
      </c>
      <c r="L547" s="1" t="s">
        <v>23</v>
      </c>
      <c r="M547">
        <v>1.41</v>
      </c>
      <c r="N547">
        <v>36659.1</v>
      </c>
      <c r="O547">
        <v>36.658999999999999</v>
      </c>
      <c r="P547" s="2">
        <v>41426</v>
      </c>
      <c r="Q547">
        <v>1</v>
      </c>
      <c r="R547" s="1" t="s">
        <v>40</v>
      </c>
    </row>
    <row r="548" spans="1:18" x14ac:dyDescent="0.25">
      <c r="A548">
        <v>2013</v>
      </c>
      <c r="B548">
        <v>7</v>
      </c>
      <c r="C548" s="1" t="s">
        <v>30</v>
      </c>
      <c r="D548" s="1" t="s">
        <v>19</v>
      </c>
      <c r="E548" s="1" t="s">
        <v>41</v>
      </c>
      <c r="F548">
        <v>2005</v>
      </c>
      <c r="G548">
        <v>8</v>
      </c>
      <c r="H548" s="1" t="s">
        <v>21</v>
      </c>
      <c r="I548">
        <v>26</v>
      </c>
      <c r="J548">
        <v>2827</v>
      </c>
      <c r="K548" s="1" t="s">
        <v>42</v>
      </c>
      <c r="L548" s="1" t="s">
        <v>23</v>
      </c>
      <c r="M548">
        <v>1.87</v>
      </c>
      <c r="N548">
        <v>48617.3</v>
      </c>
      <c r="O548">
        <v>48.616999999999997</v>
      </c>
      <c r="P548" s="2">
        <v>41456</v>
      </c>
      <c r="Q548">
        <v>1</v>
      </c>
      <c r="R548" s="1" t="s">
        <v>40</v>
      </c>
    </row>
    <row r="549" spans="1:18" x14ac:dyDescent="0.25">
      <c r="A549">
        <v>2013</v>
      </c>
      <c r="B549">
        <v>8</v>
      </c>
      <c r="C549" s="1" t="s">
        <v>31</v>
      </c>
      <c r="D549" s="1" t="s">
        <v>19</v>
      </c>
      <c r="E549" s="1" t="s">
        <v>41</v>
      </c>
      <c r="F549">
        <v>2005</v>
      </c>
      <c r="G549">
        <v>8</v>
      </c>
      <c r="H549" s="1" t="s">
        <v>21</v>
      </c>
      <c r="I549">
        <v>26</v>
      </c>
      <c r="J549">
        <v>2827</v>
      </c>
      <c r="K549" s="1" t="s">
        <v>42</v>
      </c>
      <c r="L549" s="1" t="s">
        <v>23</v>
      </c>
      <c r="M549">
        <v>1.5209999999999999</v>
      </c>
      <c r="N549">
        <v>39542.699999999997</v>
      </c>
      <c r="O549">
        <v>39.542999999999999</v>
      </c>
      <c r="P549" s="2">
        <v>41487</v>
      </c>
      <c r="Q549">
        <v>1</v>
      </c>
      <c r="R549" s="1" t="s">
        <v>40</v>
      </c>
    </row>
    <row r="550" spans="1:18" x14ac:dyDescent="0.25">
      <c r="A550">
        <v>2013</v>
      </c>
      <c r="B550">
        <v>9</v>
      </c>
      <c r="C550" s="1" t="s">
        <v>32</v>
      </c>
      <c r="D550" s="1" t="s">
        <v>19</v>
      </c>
      <c r="E550" s="1" t="s">
        <v>41</v>
      </c>
      <c r="F550">
        <v>2005</v>
      </c>
      <c r="G550">
        <v>8</v>
      </c>
      <c r="H550" s="1" t="s">
        <v>21</v>
      </c>
      <c r="I550">
        <v>26</v>
      </c>
      <c r="J550">
        <v>2827</v>
      </c>
      <c r="K550" s="1" t="s">
        <v>42</v>
      </c>
      <c r="L550" s="1" t="s">
        <v>23</v>
      </c>
      <c r="M550">
        <v>1.51</v>
      </c>
      <c r="N550">
        <v>39267</v>
      </c>
      <c r="O550">
        <v>39.267000000000003</v>
      </c>
      <c r="P550" s="2">
        <v>41518</v>
      </c>
      <c r="Q550">
        <v>1</v>
      </c>
      <c r="R550" s="1" t="s">
        <v>40</v>
      </c>
    </row>
    <row r="551" spans="1:18" x14ac:dyDescent="0.25">
      <c r="A551">
        <v>2013</v>
      </c>
      <c r="B551">
        <v>10</v>
      </c>
      <c r="C551" s="1" t="s">
        <v>33</v>
      </c>
      <c r="D551" s="1" t="s">
        <v>19</v>
      </c>
      <c r="E551" s="1" t="s">
        <v>41</v>
      </c>
      <c r="F551">
        <v>2005</v>
      </c>
      <c r="G551">
        <v>8</v>
      </c>
      <c r="H551" s="1" t="s">
        <v>21</v>
      </c>
      <c r="I551">
        <v>26</v>
      </c>
      <c r="J551">
        <v>2827</v>
      </c>
      <c r="K551" s="1" t="s">
        <v>42</v>
      </c>
      <c r="L551" s="1" t="s">
        <v>23</v>
      </c>
      <c r="M551">
        <v>1.472</v>
      </c>
      <c r="N551">
        <v>38270.5</v>
      </c>
      <c r="O551">
        <v>38.271000000000001</v>
      </c>
      <c r="P551" s="2">
        <v>41548</v>
      </c>
      <c r="Q551">
        <v>1</v>
      </c>
      <c r="R551" s="1" t="s">
        <v>40</v>
      </c>
    </row>
    <row r="552" spans="1:18" x14ac:dyDescent="0.25">
      <c r="A552">
        <v>2013</v>
      </c>
      <c r="B552">
        <v>11</v>
      </c>
      <c r="C552" s="1" t="s">
        <v>34</v>
      </c>
      <c r="D552" s="1" t="s">
        <v>19</v>
      </c>
      <c r="E552" s="1" t="s">
        <v>41</v>
      </c>
      <c r="F552">
        <v>2005</v>
      </c>
      <c r="G552">
        <v>8</v>
      </c>
      <c r="H552" s="1" t="s">
        <v>21</v>
      </c>
      <c r="I552">
        <v>26</v>
      </c>
      <c r="J552">
        <v>2827</v>
      </c>
      <c r="K552" s="1" t="s">
        <v>42</v>
      </c>
      <c r="L552" s="1" t="s">
        <v>23</v>
      </c>
      <c r="M552">
        <v>1.399</v>
      </c>
      <c r="N552">
        <v>36383.5</v>
      </c>
      <c r="O552">
        <v>36.383000000000003</v>
      </c>
      <c r="P552" s="2">
        <v>41579</v>
      </c>
      <c r="Q552">
        <v>1</v>
      </c>
      <c r="R552" s="1" t="s">
        <v>40</v>
      </c>
    </row>
    <row r="553" spans="1:18" x14ac:dyDescent="0.25">
      <c r="A553">
        <v>2013</v>
      </c>
      <c r="B553">
        <v>12</v>
      </c>
      <c r="C553" s="1" t="s">
        <v>35</v>
      </c>
      <c r="D553" s="1" t="s">
        <v>19</v>
      </c>
      <c r="E553" s="1" t="s">
        <v>41</v>
      </c>
      <c r="F553">
        <v>2005</v>
      </c>
      <c r="G553">
        <v>8</v>
      </c>
      <c r="H553" s="1" t="s">
        <v>21</v>
      </c>
      <c r="I553">
        <v>26</v>
      </c>
      <c r="J553">
        <v>2827</v>
      </c>
      <c r="K553" s="1" t="s">
        <v>42</v>
      </c>
      <c r="L553" s="1" t="s">
        <v>23</v>
      </c>
      <c r="M553">
        <v>1.03</v>
      </c>
      <c r="N553">
        <v>26778.799999999999</v>
      </c>
      <c r="O553">
        <v>26.779</v>
      </c>
      <c r="P553" s="2">
        <v>41609</v>
      </c>
      <c r="Q553">
        <v>1</v>
      </c>
      <c r="R553" s="1" t="s">
        <v>40</v>
      </c>
    </row>
    <row r="554" spans="1:18" x14ac:dyDescent="0.25">
      <c r="A554">
        <v>2013</v>
      </c>
      <c r="B554">
        <v>1</v>
      </c>
      <c r="C554" s="1" t="s">
        <v>18</v>
      </c>
      <c r="D554" s="1" t="s">
        <v>19</v>
      </c>
      <c r="E554" s="1" t="s">
        <v>43</v>
      </c>
      <c r="F554">
        <v>2005</v>
      </c>
      <c r="G554">
        <v>8</v>
      </c>
      <c r="H554" s="1" t="s">
        <v>21</v>
      </c>
      <c r="I554">
        <v>24</v>
      </c>
      <c r="J554">
        <v>1947</v>
      </c>
      <c r="K554" s="1" t="s">
        <v>44</v>
      </c>
      <c r="L554" s="1" t="s">
        <v>45</v>
      </c>
      <c r="M554">
        <v>1.0349999999999999</v>
      </c>
      <c r="N554">
        <v>24841.1</v>
      </c>
      <c r="O554">
        <v>24.841000000000001</v>
      </c>
      <c r="P554" s="2">
        <v>41275</v>
      </c>
      <c r="Q554">
        <v>1</v>
      </c>
      <c r="R554" s="1" t="s">
        <v>40</v>
      </c>
    </row>
    <row r="555" spans="1:18" x14ac:dyDescent="0.25">
      <c r="A555">
        <v>2013</v>
      </c>
      <c r="B555">
        <v>2</v>
      </c>
      <c r="C555" s="1" t="s">
        <v>25</v>
      </c>
      <c r="D555" s="1" t="s">
        <v>19</v>
      </c>
      <c r="E555" s="1" t="s">
        <v>43</v>
      </c>
      <c r="F555">
        <v>2005</v>
      </c>
      <c r="G555">
        <v>8</v>
      </c>
      <c r="H555" s="1" t="s">
        <v>21</v>
      </c>
      <c r="I555">
        <v>24</v>
      </c>
      <c r="J555">
        <v>1947</v>
      </c>
      <c r="K555" s="1" t="s">
        <v>44</v>
      </c>
      <c r="L555" s="1" t="s">
        <v>45</v>
      </c>
      <c r="M555">
        <v>0.86499999999999999</v>
      </c>
      <c r="N555">
        <v>20765.2</v>
      </c>
      <c r="O555">
        <v>20.765000000000001</v>
      </c>
      <c r="P555" s="2">
        <v>41306</v>
      </c>
      <c r="Q555">
        <v>1</v>
      </c>
      <c r="R555" s="1" t="s">
        <v>40</v>
      </c>
    </row>
    <row r="556" spans="1:18" x14ac:dyDescent="0.25">
      <c r="A556">
        <v>2013</v>
      </c>
      <c r="B556">
        <v>3</v>
      </c>
      <c r="C556" s="1" t="s">
        <v>26</v>
      </c>
      <c r="D556" s="1" t="s">
        <v>19</v>
      </c>
      <c r="E556" s="1" t="s">
        <v>43</v>
      </c>
      <c r="F556">
        <v>2005</v>
      </c>
      <c r="G556">
        <v>8</v>
      </c>
      <c r="H556" s="1" t="s">
        <v>21</v>
      </c>
      <c r="I556">
        <v>24</v>
      </c>
      <c r="J556">
        <v>1947</v>
      </c>
      <c r="K556" s="1" t="s">
        <v>44</v>
      </c>
      <c r="L556" s="1" t="s">
        <v>45</v>
      </c>
      <c r="M556">
        <v>1.1519999999999999</v>
      </c>
      <c r="N556">
        <v>27650.2</v>
      </c>
      <c r="O556">
        <v>27.65</v>
      </c>
      <c r="P556" s="2">
        <v>41334</v>
      </c>
      <c r="Q556">
        <v>1</v>
      </c>
      <c r="R556" s="1" t="s">
        <v>40</v>
      </c>
    </row>
    <row r="557" spans="1:18" x14ac:dyDescent="0.25">
      <c r="A557">
        <v>2013</v>
      </c>
      <c r="B557">
        <v>4</v>
      </c>
      <c r="C557" s="1" t="s">
        <v>27</v>
      </c>
      <c r="D557" s="1" t="s">
        <v>19</v>
      </c>
      <c r="E557" s="1" t="s">
        <v>43</v>
      </c>
      <c r="F557">
        <v>2005</v>
      </c>
      <c r="G557">
        <v>8</v>
      </c>
      <c r="H557" s="1" t="s">
        <v>21</v>
      </c>
      <c r="I557">
        <v>24</v>
      </c>
      <c r="J557">
        <v>1947</v>
      </c>
      <c r="K557" s="1" t="s">
        <v>44</v>
      </c>
      <c r="L557" s="1" t="s">
        <v>45</v>
      </c>
      <c r="M557">
        <v>1.0489999999999999</v>
      </c>
      <c r="N557">
        <v>25171.599999999999</v>
      </c>
      <c r="O557">
        <v>25.172000000000001</v>
      </c>
      <c r="P557" s="2">
        <v>41365</v>
      </c>
      <c r="Q557">
        <v>1</v>
      </c>
      <c r="R557" s="1" t="s">
        <v>40</v>
      </c>
    </row>
    <row r="558" spans="1:18" x14ac:dyDescent="0.25">
      <c r="A558">
        <v>2013</v>
      </c>
      <c r="B558">
        <v>5</v>
      </c>
      <c r="C558" s="1" t="s">
        <v>28</v>
      </c>
      <c r="D558" s="1" t="s">
        <v>19</v>
      </c>
      <c r="E558" s="1" t="s">
        <v>43</v>
      </c>
      <c r="F558">
        <v>2005</v>
      </c>
      <c r="G558">
        <v>8</v>
      </c>
      <c r="H558" s="1" t="s">
        <v>21</v>
      </c>
      <c r="I558">
        <v>24</v>
      </c>
      <c r="J558">
        <v>1947</v>
      </c>
      <c r="K558" s="1" t="s">
        <v>44</v>
      </c>
      <c r="L558" s="1" t="s">
        <v>45</v>
      </c>
      <c r="M558">
        <v>1.218</v>
      </c>
      <c r="N558">
        <v>29229.1</v>
      </c>
      <c r="O558">
        <v>29.228999999999999</v>
      </c>
      <c r="P558" s="2">
        <v>41395</v>
      </c>
      <c r="Q558">
        <v>1</v>
      </c>
      <c r="R558" s="1" t="s">
        <v>40</v>
      </c>
    </row>
    <row r="559" spans="1:18" x14ac:dyDescent="0.25">
      <c r="A559">
        <v>2013</v>
      </c>
      <c r="B559">
        <v>6</v>
      </c>
      <c r="C559" s="1" t="s">
        <v>29</v>
      </c>
      <c r="D559" s="1" t="s">
        <v>19</v>
      </c>
      <c r="E559" s="1" t="s">
        <v>43</v>
      </c>
      <c r="F559">
        <v>2005</v>
      </c>
      <c r="G559">
        <v>8</v>
      </c>
      <c r="H559" s="1" t="s">
        <v>21</v>
      </c>
      <c r="I559">
        <v>24</v>
      </c>
      <c r="J559">
        <v>1947</v>
      </c>
      <c r="K559" s="1" t="s">
        <v>44</v>
      </c>
      <c r="L559" s="1" t="s">
        <v>45</v>
      </c>
      <c r="M559">
        <v>1.323</v>
      </c>
      <c r="N559">
        <v>31744.400000000001</v>
      </c>
      <c r="O559">
        <v>31.744</v>
      </c>
      <c r="P559" s="2">
        <v>41426</v>
      </c>
      <c r="Q559">
        <v>1</v>
      </c>
      <c r="R559" s="1" t="s">
        <v>40</v>
      </c>
    </row>
    <row r="560" spans="1:18" x14ac:dyDescent="0.25">
      <c r="A560">
        <v>2013</v>
      </c>
      <c r="B560">
        <v>7</v>
      </c>
      <c r="C560" s="1" t="s">
        <v>30</v>
      </c>
      <c r="D560" s="1" t="s">
        <v>19</v>
      </c>
      <c r="E560" s="1" t="s">
        <v>43</v>
      </c>
      <c r="F560">
        <v>2005</v>
      </c>
      <c r="G560">
        <v>8</v>
      </c>
      <c r="H560" s="1" t="s">
        <v>21</v>
      </c>
      <c r="I560">
        <v>24</v>
      </c>
      <c r="J560">
        <v>1947</v>
      </c>
      <c r="K560" s="1" t="s">
        <v>44</v>
      </c>
      <c r="L560" s="1" t="s">
        <v>45</v>
      </c>
      <c r="M560">
        <v>1.754</v>
      </c>
      <c r="N560">
        <v>42099.5</v>
      </c>
      <c r="O560">
        <v>42.098999999999997</v>
      </c>
      <c r="P560" s="2">
        <v>41456</v>
      </c>
      <c r="Q560">
        <v>1</v>
      </c>
      <c r="R560" s="1" t="s">
        <v>40</v>
      </c>
    </row>
    <row r="561" spans="1:18" x14ac:dyDescent="0.25">
      <c r="A561">
        <v>2013</v>
      </c>
      <c r="B561">
        <v>8</v>
      </c>
      <c r="C561" s="1" t="s">
        <v>31</v>
      </c>
      <c r="D561" s="1" t="s">
        <v>19</v>
      </c>
      <c r="E561" s="1" t="s">
        <v>43</v>
      </c>
      <c r="F561">
        <v>2005</v>
      </c>
      <c r="G561">
        <v>8</v>
      </c>
      <c r="H561" s="1" t="s">
        <v>21</v>
      </c>
      <c r="I561">
        <v>24</v>
      </c>
      <c r="J561">
        <v>1947</v>
      </c>
      <c r="K561" s="1" t="s">
        <v>44</v>
      </c>
      <c r="L561" s="1" t="s">
        <v>45</v>
      </c>
      <c r="M561">
        <v>1.427</v>
      </c>
      <c r="N561">
        <v>34241.4</v>
      </c>
      <c r="O561">
        <v>34.241</v>
      </c>
      <c r="P561" s="2">
        <v>41487</v>
      </c>
      <c r="Q561">
        <v>1</v>
      </c>
      <c r="R561" s="1" t="s">
        <v>40</v>
      </c>
    </row>
    <row r="562" spans="1:18" x14ac:dyDescent="0.25">
      <c r="A562">
        <v>2013</v>
      </c>
      <c r="B562">
        <v>9</v>
      </c>
      <c r="C562" s="1" t="s">
        <v>32</v>
      </c>
      <c r="D562" s="1" t="s">
        <v>19</v>
      </c>
      <c r="E562" s="1" t="s">
        <v>43</v>
      </c>
      <c r="F562">
        <v>2005</v>
      </c>
      <c r="G562">
        <v>8</v>
      </c>
      <c r="H562" s="1" t="s">
        <v>21</v>
      </c>
      <c r="I562">
        <v>24</v>
      </c>
      <c r="J562">
        <v>1947</v>
      </c>
      <c r="K562" s="1" t="s">
        <v>44</v>
      </c>
      <c r="L562" s="1" t="s">
        <v>45</v>
      </c>
      <c r="M562">
        <v>1.417</v>
      </c>
      <c r="N562">
        <v>34002.699999999997</v>
      </c>
      <c r="O562">
        <v>34.003</v>
      </c>
      <c r="P562" s="2">
        <v>41518</v>
      </c>
      <c r="Q562">
        <v>1</v>
      </c>
      <c r="R562" s="1" t="s">
        <v>40</v>
      </c>
    </row>
    <row r="563" spans="1:18" x14ac:dyDescent="0.25">
      <c r="A563">
        <v>2013</v>
      </c>
      <c r="B563">
        <v>10</v>
      </c>
      <c r="C563" s="1" t="s">
        <v>33</v>
      </c>
      <c r="D563" s="1" t="s">
        <v>19</v>
      </c>
      <c r="E563" s="1" t="s">
        <v>43</v>
      </c>
      <c r="F563">
        <v>2005</v>
      </c>
      <c r="G563">
        <v>8</v>
      </c>
      <c r="H563" s="1" t="s">
        <v>21</v>
      </c>
      <c r="I563">
        <v>24</v>
      </c>
      <c r="J563">
        <v>1947</v>
      </c>
      <c r="K563" s="1" t="s">
        <v>44</v>
      </c>
      <c r="L563" s="1" t="s">
        <v>45</v>
      </c>
      <c r="M563">
        <v>1.381</v>
      </c>
      <c r="N563">
        <v>33139.800000000003</v>
      </c>
      <c r="O563">
        <v>33.14</v>
      </c>
      <c r="P563" s="2">
        <v>41548</v>
      </c>
      <c r="Q563">
        <v>1</v>
      </c>
      <c r="R563" s="1" t="s">
        <v>40</v>
      </c>
    </row>
    <row r="564" spans="1:18" x14ac:dyDescent="0.25">
      <c r="A564">
        <v>2013</v>
      </c>
      <c r="B564">
        <v>11</v>
      </c>
      <c r="C564" s="1" t="s">
        <v>34</v>
      </c>
      <c r="D564" s="1" t="s">
        <v>19</v>
      </c>
      <c r="E564" s="1" t="s">
        <v>43</v>
      </c>
      <c r="F564">
        <v>2005</v>
      </c>
      <c r="G564">
        <v>8</v>
      </c>
      <c r="H564" s="1" t="s">
        <v>21</v>
      </c>
      <c r="I564">
        <v>24</v>
      </c>
      <c r="J564">
        <v>1947</v>
      </c>
      <c r="K564" s="1" t="s">
        <v>44</v>
      </c>
      <c r="L564" s="1" t="s">
        <v>45</v>
      </c>
      <c r="M564">
        <v>1.3129999999999999</v>
      </c>
      <c r="N564">
        <v>31505.8</v>
      </c>
      <c r="O564">
        <v>31.506</v>
      </c>
      <c r="P564" s="2">
        <v>41579</v>
      </c>
      <c r="Q564">
        <v>1</v>
      </c>
      <c r="R564" s="1" t="s">
        <v>40</v>
      </c>
    </row>
    <row r="565" spans="1:18" x14ac:dyDescent="0.25">
      <c r="A565">
        <v>2013</v>
      </c>
      <c r="B565">
        <v>12</v>
      </c>
      <c r="C565" s="1" t="s">
        <v>35</v>
      </c>
      <c r="D565" s="1" t="s">
        <v>19</v>
      </c>
      <c r="E565" s="1" t="s">
        <v>43</v>
      </c>
      <c r="F565">
        <v>2005</v>
      </c>
      <c r="G565">
        <v>8</v>
      </c>
      <c r="H565" s="1" t="s">
        <v>21</v>
      </c>
      <c r="I565">
        <v>24</v>
      </c>
      <c r="J565">
        <v>1947</v>
      </c>
      <c r="K565" s="1" t="s">
        <v>44</v>
      </c>
      <c r="L565" s="1" t="s">
        <v>45</v>
      </c>
      <c r="M565">
        <v>0.96599999999999997</v>
      </c>
      <c r="N565">
        <v>23188.7</v>
      </c>
      <c r="O565">
        <v>23.189</v>
      </c>
      <c r="P565" s="2">
        <v>41609</v>
      </c>
      <c r="Q565">
        <v>1</v>
      </c>
      <c r="R565" s="1" t="s">
        <v>40</v>
      </c>
    </row>
    <row r="566" spans="1:18" x14ac:dyDescent="0.25">
      <c r="A566">
        <v>2013</v>
      </c>
      <c r="B566">
        <v>1</v>
      </c>
      <c r="C566" s="1" t="s">
        <v>18</v>
      </c>
      <c r="D566" s="1" t="s">
        <v>19</v>
      </c>
      <c r="E566" s="1" t="s">
        <v>46</v>
      </c>
      <c r="F566">
        <v>2006</v>
      </c>
      <c r="G566">
        <v>7</v>
      </c>
      <c r="H566" s="1" t="s">
        <v>21</v>
      </c>
      <c r="I566">
        <v>25</v>
      </c>
      <c r="J566">
        <v>2740</v>
      </c>
      <c r="K566" s="1" t="s">
        <v>47</v>
      </c>
      <c r="L566" s="1" t="s">
        <v>45</v>
      </c>
      <c r="M566">
        <v>1.1120000000000001</v>
      </c>
      <c r="N566">
        <v>27804.2</v>
      </c>
      <c r="O566">
        <v>27.803999999999998</v>
      </c>
      <c r="P566" s="2">
        <v>41275</v>
      </c>
      <c r="Q566">
        <v>1</v>
      </c>
      <c r="R566" s="1" t="s">
        <v>40</v>
      </c>
    </row>
    <row r="567" spans="1:18" x14ac:dyDescent="0.25">
      <c r="A567">
        <v>2013</v>
      </c>
      <c r="B567">
        <v>2</v>
      </c>
      <c r="C567" s="1" t="s">
        <v>25</v>
      </c>
      <c r="D567" s="1" t="s">
        <v>19</v>
      </c>
      <c r="E567" s="1" t="s">
        <v>46</v>
      </c>
      <c r="F567">
        <v>2006</v>
      </c>
      <c r="G567">
        <v>7</v>
      </c>
      <c r="H567" s="1" t="s">
        <v>21</v>
      </c>
      <c r="I567">
        <v>25</v>
      </c>
      <c r="J567">
        <v>2740</v>
      </c>
      <c r="K567" s="1" t="s">
        <v>47</v>
      </c>
      <c r="L567" s="1" t="s">
        <v>45</v>
      </c>
      <c r="M567">
        <v>0.93</v>
      </c>
      <c r="N567">
        <v>23242</v>
      </c>
      <c r="O567">
        <v>23.242000000000001</v>
      </c>
      <c r="P567" s="2">
        <v>41306</v>
      </c>
      <c r="Q567">
        <v>1</v>
      </c>
      <c r="R567" s="1" t="s">
        <v>40</v>
      </c>
    </row>
    <row r="568" spans="1:18" x14ac:dyDescent="0.25">
      <c r="A568">
        <v>2013</v>
      </c>
      <c r="B568">
        <v>3</v>
      </c>
      <c r="C568" s="1" t="s">
        <v>26</v>
      </c>
      <c r="D568" s="1" t="s">
        <v>19</v>
      </c>
      <c r="E568" s="1" t="s">
        <v>46</v>
      </c>
      <c r="F568">
        <v>2006</v>
      </c>
      <c r="G568">
        <v>7</v>
      </c>
      <c r="H568" s="1" t="s">
        <v>21</v>
      </c>
      <c r="I568">
        <v>25</v>
      </c>
      <c r="J568">
        <v>2740</v>
      </c>
      <c r="K568" s="1" t="s">
        <v>47</v>
      </c>
      <c r="L568" s="1" t="s">
        <v>45</v>
      </c>
      <c r="M568">
        <v>1.238</v>
      </c>
      <c r="N568">
        <v>30948.3</v>
      </c>
      <c r="O568">
        <v>30.948</v>
      </c>
      <c r="P568" s="2">
        <v>41334</v>
      </c>
      <c r="Q568">
        <v>1</v>
      </c>
      <c r="R568" s="1" t="s">
        <v>40</v>
      </c>
    </row>
    <row r="569" spans="1:18" x14ac:dyDescent="0.25">
      <c r="A569">
        <v>2013</v>
      </c>
      <c r="B569">
        <v>4</v>
      </c>
      <c r="C569" s="1" t="s">
        <v>27</v>
      </c>
      <c r="D569" s="1" t="s">
        <v>19</v>
      </c>
      <c r="E569" s="1" t="s">
        <v>46</v>
      </c>
      <c r="F569">
        <v>2006</v>
      </c>
      <c r="G569">
        <v>7</v>
      </c>
      <c r="H569" s="1" t="s">
        <v>21</v>
      </c>
      <c r="I569">
        <v>25</v>
      </c>
      <c r="J569">
        <v>2740</v>
      </c>
      <c r="K569" s="1" t="s">
        <v>47</v>
      </c>
      <c r="L569" s="1" t="s">
        <v>45</v>
      </c>
      <c r="M569">
        <v>1.127</v>
      </c>
      <c r="N569">
        <v>28174.1</v>
      </c>
      <c r="O569">
        <v>28.173999999999999</v>
      </c>
      <c r="P569" s="2">
        <v>41365</v>
      </c>
      <c r="Q569">
        <v>1</v>
      </c>
      <c r="R569" s="1" t="s">
        <v>40</v>
      </c>
    </row>
    <row r="570" spans="1:18" x14ac:dyDescent="0.25">
      <c r="A570">
        <v>2013</v>
      </c>
      <c r="B570">
        <v>5</v>
      </c>
      <c r="C570" s="1" t="s">
        <v>28</v>
      </c>
      <c r="D570" s="1" t="s">
        <v>19</v>
      </c>
      <c r="E570" s="1" t="s">
        <v>46</v>
      </c>
      <c r="F570">
        <v>2006</v>
      </c>
      <c r="G570">
        <v>7</v>
      </c>
      <c r="H570" s="1" t="s">
        <v>21</v>
      </c>
      <c r="I570">
        <v>25</v>
      </c>
      <c r="J570">
        <v>2740</v>
      </c>
      <c r="K570" s="1" t="s">
        <v>47</v>
      </c>
      <c r="L570" s="1" t="s">
        <v>45</v>
      </c>
      <c r="M570">
        <v>1.3089999999999999</v>
      </c>
      <c r="N570">
        <v>32715.599999999999</v>
      </c>
      <c r="O570">
        <v>32.716000000000001</v>
      </c>
      <c r="P570" s="2">
        <v>41395</v>
      </c>
      <c r="Q570">
        <v>1</v>
      </c>
      <c r="R570" s="1" t="s">
        <v>40</v>
      </c>
    </row>
    <row r="571" spans="1:18" x14ac:dyDescent="0.25">
      <c r="A571">
        <v>2013</v>
      </c>
      <c r="B571">
        <v>6</v>
      </c>
      <c r="C571" s="1" t="s">
        <v>29</v>
      </c>
      <c r="D571" s="1" t="s">
        <v>19</v>
      </c>
      <c r="E571" s="1" t="s">
        <v>46</v>
      </c>
      <c r="F571">
        <v>2006</v>
      </c>
      <c r="G571">
        <v>7</v>
      </c>
      <c r="H571" s="1" t="s">
        <v>21</v>
      </c>
      <c r="I571">
        <v>25</v>
      </c>
      <c r="J571">
        <v>2740</v>
      </c>
      <c r="K571" s="1" t="s">
        <v>47</v>
      </c>
      <c r="L571" s="1" t="s">
        <v>45</v>
      </c>
      <c r="M571">
        <v>1.421</v>
      </c>
      <c r="N571">
        <v>35530.9</v>
      </c>
      <c r="O571">
        <v>35.530999999999999</v>
      </c>
      <c r="P571" s="2">
        <v>41426</v>
      </c>
      <c r="Q571">
        <v>1</v>
      </c>
      <c r="R571" s="1" t="s">
        <v>40</v>
      </c>
    </row>
    <row r="572" spans="1:18" x14ac:dyDescent="0.25">
      <c r="A572">
        <v>2013</v>
      </c>
      <c r="B572">
        <v>7</v>
      </c>
      <c r="C572" s="1" t="s">
        <v>30</v>
      </c>
      <c r="D572" s="1" t="s">
        <v>19</v>
      </c>
      <c r="E572" s="1" t="s">
        <v>46</v>
      </c>
      <c r="F572">
        <v>2006</v>
      </c>
      <c r="G572">
        <v>7</v>
      </c>
      <c r="H572" s="1" t="s">
        <v>21</v>
      </c>
      <c r="I572">
        <v>25</v>
      </c>
      <c r="J572">
        <v>2740</v>
      </c>
      <c r="K572" s="1" t="s">
        <v>47</v>
      </c>
      <c r="L572" s="1" t="s">
        <v>45</v>
      </c>
      <c r="M572">
        <v>1.885</v>
      </c>
      <c r="N572">
        <v>47121.2</v>
      </c>
      <c r="O572">
        <v>47.121000000000002</v>
      </c>
      <c r="P572" s="2">
        <v>41456</v>
      </c>
      <c r="Q572">
        <v>1</v>
      </c>
      <c r="R572" s="1" t="s">
        <v>40</v>
      </c>
    </row>
    <row r="573" spans="1:18" x14ac:dyDescent="0.25">
      <c r="A573">
        <v>2013</v>
      </c>
      <c r="B573">
        <v>8</v>
      </c>
      <c r="C573" s="1" t="s">
        <v>31</v>
      </c>
      <c r="D573" s="1" t="s">
        <v>19</v>
      </c>
      <c r="E573" s="1" t="s">
        <v>46</v>
      </c>
      <c r="F573">
        <v>2006</v>
      </c>
      <c r="G573">
        <v>7</v>
      </c>
      <c r="H573" s="1" t="s">
        <v>21</v>
      </c>
      <c r="I573">
        <v>25</v>
      </c>
      <c r="J573">
        <v>2740</v>
      </c>
      <c r="K573" s="1" t="s">
        <v>47</v>
      </c>
      <c r="L573" s="1" t="s">
        <v>45</v>
      </c>
      <c r="M573">
        <v>1.5329999999999999</v>
      </c>
      <c r="N573">
        <v>38325.800000000003</v>
      </c>
      <c r="O573">
        <v>38.326000000000001</v>
      </c>
      <c r="P573" s="2">
        <v>41487</v>
      </c>
      <c r="Q573">
        <v>1</v>
      </c>
      <c r="R573" s="1" t="s">
        <v>40</v>
      </c>
    </row>
    <row r="574" spans="1:18" x14ac:dyDescent="0.25">
      <c r="A574">
        <v>2013</v>
      </c>
      <c r="B574">
        <v>9</v>
      </c>
      <c r="C574" s="1" t="s">
        <v>32</v>
      </c>
      <c r="D574" s="1" t="s">
        <v>19</v>
      </c>
      <c r="E574" s="1" t="s">
        <v>46</v>
      </c>
      <c r="F574">
        <v>2006</v>
      </c>
      <c r="G574">
        <v>7</v>
      </c>
      <c r="H574" s="1" t="s">
        <v>21</v>
      </c>
      <c r="I574">
        <v>25</v>
      </c>
      <c r="J574">
        <v>2740</v>
      </c>
      <c r="K574" s="1" t="s">
        <v>47</v>
      </c>
      <c r="L574" s="1" t="s">
        <v>45</v>
      </c>
      <c r="M574">
        <v>1.522</v>
      </c>
      <c r="N574">
        <v>38058.6</v>
      </c>
      <c r="O574">
        <v>38.058999999999997</v>
      </c>
      <c r="P574" s="2">
        <v>41518</v>
      </c>
      <c r="Q574">
        <v>1</v>
      </c>
      <c r="R574" s="1" t="s">
        <v>40</v>
      </c>
    </row>
    <row r="575" spans="1:18" x14ac:dyDescent="0.25">
      <c r="A575">
        <v>2013</v>
      </c>
      <c r="B575">
        <v>10</v>
      </c>
      <c r="C575" s="1" t="s">
        <v>33</v>
      </c>
      <c r="D575" s="1" t="s">
        <v>19</v>
      </c>
      <c r="E575" s="1" t="s">
        <v>46</v>
      </c>
      <c r="F575">
        <v>2006</v>
      </c>
      <c r="G575">
        <v>7</v>
      </c>
      <c r="H575" s="1" t="s">
        <v>21</v>
      </c>
      <c r="I575">
        <v>25</v>
      </c>
      <c r="J575">
        <v>2740</v>
      </c>
      <c r="K575" s="1" t="s">
        <v>47</v>
      </c>
      <c r="L575" s="1" t="s">
        <v>45</v>
      </c>
      <c r="M575">
        <v>1.484</v>
      </c>
      <c r="N575">
        <v>37092.699999999997</v>
      </c>
      <c r="O575">
        <v>37.093000000000004</v>
      </c>
      <c r="P575" s="2">
        <v>41548</v>
      </c>
      <c r="Q575">
        <v>1</v>
      </c>
      <c r="R575" s="1" t="s">
        <v>40</v>
      </c>
    </row>
    <row r="576" spans="1:18" x14ac:dyDescent="0.25">
      <c r="A576">
        <v>2013</v>
      </c>
      <c r="B576">
        <v>11</v>
      </c>
      <c r="C576" s="1" t="s">
        <v>34</v>
      </c>
      <c r="D576" s="1" t="s">
        <v>19</v>
      </c>
      <c r="E576" s="1" t="s">
        <v>46</v>
      </c>
      <c r="F576">
        <v>2006</v>
      </c>
      <c r="G576">
        <v>7</v>
      </c>
      <c r="H576" s="1" t="s">
        <v>21</v>
      </c>
      <c r="I576">
        <v>25</v>
      </c>
      <c r="J576">
        <v>2740</v>
      </c>
      <c r="K576" s="1" t="s">
        <v>47</v>
      </c>
      <c r="L576" s="1" t="s">
        <v>45</v>
      </c>
      <c r="M576">
        <v>1.411</v>
      </c>
      <c r="N576">
        <v>35263.800000000003</v>
      </c>
      <c r="O576">
        <v>35.264000000000003</v>
      </c>
      <c r="P576" s="2">
        <v>41579</v>
      </c>
      <c r="Q576">
        <v>1</v>
      </c>
      <c r="R576" s="1" t="s">
        <v>40</v>
      </c>
    </row>
    <row r="577" spans="1:18" x14ac:dyDescent="0.25">
      <c r="A577">
        <v>2013</v>
      </c>
      <c r="B577">
        <v>12</v>
      </c>
      <c r="C577" s="1" t="s">
        <v>35</v>
      </c>
      <c r="D577" s="1" t="s">
        <v>19</v>
      </c>
      <c r="E577" s="1" t="s">
        <v>46</v>
      </c>
      <c r="F577">
        <v>2006</v>
      </c>
      <c r="G577">
        <v>7</v>
      </c>
      <c r="H577" s="1" t="s">
        <v>21</v>
      </c>
      <c r="I577">
        <v>25</v>
      </c>
      <c r="J577">
        <v>2740</v>
      </c>
      <c r="K577" s="1" t="s">
        <v>47</v>
      </c>
      <c r="L577" s="1" t="s">
        <v>45</v>
      </c>
      <c r="M577">
        <v>1.038</v>
      </c>
      <c r="N577">
        <v>25954.6</v>
      </c>
      <c r="O577">
        <v>25.954999999999998</v>
      </c>
      <c r="P577" s="2">
        <v>41609</v>
      </c>
      <c r="Q577">
        <v>1</v>
      </c>
      <c r="R577" s="1" t="s">
        <v>40</v>
      </c>
    </row>
    <row r="578" spans="1:18" x14ac:dyDescent="0.25">
      <c r="A578">
        <v>2013</v>
      </c>
      <c r="B578">
        <v>1</v>
      </c>
      <c r="C578" s="1" t="s">
        <v>18</v>
      </c>
      <c r="D578" s="1" t="s">
        <v>19</v>
      </c>
      <c r="E578" s="1" t="s">
        <v>48</v>
      </c>
      <c r="F578">
        <v>2006</v>
      </c>
      <c r="G578">
        <v>7</v>
      </c>
      <c r="H578" s="1" t="s">
        <v>21</v>
      </c>
      <c r="I578">
        <v>24</v>
      </c>
      <c r="J578">
        <v>3230</v>
      </c>
      <c r="K578" s="1" t="s">
        <v>49</v>
      </c>
      <c r="L578" s="1" t="s">
        <v>45</v>
      </c>
      <c r="M578">
        <v>1.3660000000000001</v>
      </c>
      <c r="N578">
        <v>32776.400000000001</v>
      </c>
      <c r="O578">
        <v>32.776000000000003</v>
      </c>
      <c r="P578" s="2">
        <v>41275</v>
      </c>
      <c r="Q578">
        <v>1</v>
      </c>
      <c r="R578" s="1" t="s">
        <v>40</v>
      </c>
    </row>
    <row r="579" spans="1:18" x14ac:dyDescent="0.25">
      <c r="A579">
        <v>2013</v>
      </c>
      <c r="B579">
        <v>2</v>
      </c>
      <c r="C579" s="1" t="s">
        <v>25</v>
      </c>
      <c r="D579" s="1" t="s">
        <v>19</v>
      </c>
      <c r="E579" s="1" t="s">
        <v>48</v>
      </c>
      <c r="F579">
        <v>2006</v>
      </c>
      <c r="G579">
        <v>7</v>
      </c>
      <c r="H579" s="1" t="s">
        <v>21</v>
      </c>
      <c r="I579">
        <v>24</v>
      </c>
      <c r="J579">
        <v>3230</v>
      </c>
      <c r="K579" s="1" t="s">
        <v>49</v>
      </c>
      <c r="L579" s="1" t="s">
        <v>45</v>
      </c>
      <c r="M579">
        <v>1.1419999999999999</v>
      </c>
      <c r="N579">
        <v>27398.5</v>
      </c>
      <c r="O579">
        <v>27.398</v>
      </c>
      <c r="P579" s="2">
        <v>41306</v>
      </c>
      <c r="Q579">
        <v>1</v>
      </c>
      <c r="R579" s="1" t="s">
        <v>40</v>
      </c>
    </row>
    <row r="580" spans="1:18" x14ac:dyDescent="0.25">
      <c r="A580">
        <v>2013</v>
      </c>
      <c r="B580">
        <v>3</v>
      </c>
      <c r="C580" s="1" t="s">
        <v>26</v>
      </c>
      <c r="D580" s="1" t="s">
        <v>19</v>
      </c>
      <c r="E580" s="1" t="s">
        <v>48</v>
      </c>
      <c r="F580">
        <v>2006</v>
      </c>
      <c r="G580">
        <v>7</v>
      </c>
      <c r="H580" s="1" t="s">
        <v>21</v>
      </c>
      <c r="I580">
        <v>24</v>
      </c>
      <c r="J580">
        <v>3230</v>
      </c>
      <c r="K580" s="1" t="s">
        <v>49</v>
      </c>
      <c r="L580" s="1" t="s">
        <v>45</v>
      </c>
      <c r="M580">
        <v>1.52</v>
      </c>
      <c r="N580">
        <v>36482.9</v>
      </c>
      <c r="O580">
        <v>36.482999999999997</v>
      </c>
      <c r="P580" s="2">
        <v>41334</v>
      </c>
      <c r="Q580">
        <v>1</v>
      </c>
      <c r="R580" s="1" t="s">
        <v>40</v>
      </c>
    </row>
    <row r="581" spans="1:18" x14ac:dyDescent="0.25">
      <c r="A581">
        <v>2013</v>
      </c>
      <c r="B581">
        <v>4</v>
      </c>
      <c r="C581" s="1" t="s">
        <v>27</v>
      </c>
      <c r="D581" s="1" t="s">
        <v>19</v>
      </c>
      <c r="E581" s="1" t="s">
        <v>48</v>
      </c>
      <c r="F581">
        <v>2006</v>
      </c>
      <c r="G581">
        <v>7</v>
      </c>
      <c r="H581" s="1" t="s">
        <v>21</v>
      </c>
      <c r="I581">
        <v>24</v>
      </c>
      <c r="J581">
        <v>3230</v>
      </c>
      <c r="K581" s="1" t="s">
        <v>49</v>
      </c>
      <c r="L581" s="1" t="s">
        <v>45</v>
      </c>
      <c r="M581">
        <v>1.3839999999999999</v>
      </c>
      <c r="N581">
        <v>33212.5</v>
      </c>
      <c r="O581">
        <v>33.212000000000003</v>
      </c>
      <c r="P581" s="2">
        <v>41365</v>
      </c>
      <c r="Q581">
        <v>1</v>
      </c>
      <c r="R581" s="1" t="s">
        <v>40</v>
      </c>
    </row>
    <row r="582" spans="1:18" x14ac:dyDescent="0.25">
      <c r="A582">
        <v>2013</v>
      </c>
      <c r="B582">
        <v>5</v>
      </c>
      <c r="C582" s="1" t="s">
        <v>28</v>
      </c>
      <c r="D582" s="1" t="s">
        <v>19</v>
      </c>
      <c r="E582" s="1" t="s">
        <v>48</v>
      </c>
      <c r="F582">
        <v>2006</v>
      </c>
      <c r="G582">
        <v>7</v>
      </c>
      <c r="H582" s="1" t="s">
        <v>21</v>
      </c>
      <c r="I582">
        <v>24</v>
      </c>
      <c r="J582">
        <v>3230</v>
      </c>
      <c r="K582" s="1" t="s">
        <v>49</v>
      </c>
      <c r="L582" s="1" t="s">
        <v>45</v>
      </c>
      <c r="M582">
        <v>1.607</v>
      </c>
      <c r="N582">
        <v>38566.199999999997</v>
      </c>
      <c r="O582">
        <v>38.566000000000003</v>
      </c>
      <c r="P582" s="2">
        <v>41395</v>
      </c>
      <c r="Q582">
        <v>1</v>
      </c>
      <c r="R582" s="1" t="s">
        <v>40</v>
      </c>
    </row>
    <row r="583" spans="1:18" x14ac:dyDescent="0.25">
      <c r="A583">
        <v>2013</v>
      </c>
      <c r="B583">
        <v>6</v>
      </c>
      <c r="C583" s="1" t="s">
        <v>29</v>
      </c>
      <c r="D583" s="1" t="s">
        <v>19</v>
      </c>
      <c r="E583" s="1" t="s">
        <v>48</v>
      </c>
      <c r="F583">
        <v>2006</v>
      </c>
      <c r="G583">
        <v>7</v>
      </c>
      <c r="H583" s="1" t="s">
        <v>21</v>
      </c>
      <c r="I583">
        <v>24</v>
      </c>
      <c r="J583">
        <v>3230</v>
      </c>
      <c r="K583" s="1" t="s">
        <v>49</v>
      </c>
      <c r="L583" s="1" t="s">
        <v>45</v>
      </c>
      <c r="M583">
        <v>1.7450000000000001</v>
      </c>
      <c r="N583">
        <v>41885</v>
      </c>
      <c r="O583">
        <v>41.884999999999998</v>
      </c>
      <c r="P583" s="2">
        <v>41426</v>
      </c>
      <c r="Q583">
        <v>1</v>
      </c>
      <c r="R583" s="1" t="s">
        <v>40</v>
      </c>
    </row>
    <row r="584" spans="1:18" x14ac:dyDescent="0.25">
      <c r="A584">
        <v>2013</v>
      </c>
      <c r="B584">
        <v>7</v>
      </c>
      <c r="C584" s="1" t="s">
        <v>30</v>
      </c>
      <c r="D584" s="1" t="s">
        <v>19</v>
      </c>
      <c r="E584" s="1" t="s">
        <v>48</v>
      </c>
      <c r="F584">
        <v>2006</v>
      </c>
      <c r="G584">
        <v>7</v>
      </c>
      <c r="H584" s="1" t="s">
        <v>21</v>
      </c>
      <c r="I584">
        <v>24</v>
      </c>
      <c r="J584">
        <v>3230</v>
      </c>
      <c r="K584" s="1" t="s">
        <v>49</v>
      </c>
      <c r="L584" s="1" t="s">
        <v>45</v>
      </c>
      <c r="M584">
        <v>2.3140000000000001</v>
      </c>
      <c r="N584">
        <v>55547.9</v>
      </c>
      <c r="O584">
        <v>55.548000000000002</v>
      </c>
      <c r="P584" s="2">
        <v>41456</v>
      </c>
      <c r="Q584">
        <v>1</v>
      </c>
      <c r="R584" s="1" t="s">
        <v>40</v>
      </c>
    </row>
    <row r="585" spans="1:18" x14ac:dyDescent="0.25">
      <c r="A585">
        <v>2013</v>
      </c>
      <c r="B585">
        <v>8</v>
      </c>
      <c r="C585" s="1" t="s">
        <v>31</v>
      </c>
      <c r="D585" s="1" t="s">
        <v>19</v>
      </c>
      <c r="E585" s="1" t="s">
        <v>48</v>
      </c>
      <c r="F585">
        <v>2006</v>
      </c>
      <c r="G585">
        <v>7</v>
      </c>
      <c r="H585" s="1" t="s">
        <v>21</v>
      </c>
      <c r="I585">
        <v>24</v>
      </c>
      <c r="J585">
        <v>3230</v>
      </c>
      <c r="K585" s="1" t="s">
        <v>49</v>
      </c>
      <c r="L585" s="1" t="s">
        <v>45</v>
      </c>
      <c r="M585">
        <v>1.8819999999999999</v>
      </c>
      <c r="N585">
        <v>45179.6</v>
      </c>
      <c r="O585">
        <v>45.18</v>
      </c>
      <c r="P585" s="2">
        <v>41487</v>
      </c>
      <c r="Q585">
        <v>1</v>
      </c>
      <c r="R585" s="1" t="s">
        <v>40</v>
      </c>
    </row>
    <row r="586" spans="1:18" x14ac:dyDescent="0.25">
      <c r="A586">
        <v>2013</v>
      </c>
      <c r="B586">
        <v>9</v>
      </c>
      <c r="C586" s="1" t="s">
        <v>32</v>
      </c>
      <c r="D586" s="1" t="s">
        <v>19</v>
      </c>
      <c r="E586" s="1" t="s">
        <v>48</v>
      </c>
      <c r="F586">
        <v>2006</v>
      </c>
      <c r="G586">
        <v>7</v>
      </c>
      <c r="H586" s="1" t="s">
        <v>21</v>
      </c>
      <c r="I586">
        <v>24</v>
      </c>
      <c r="J586">
        <v>3230</v>
      </c>
      <c r="K586" s="1" t="s">
        <v>49</v>
      </c>
      <c r="L586" s="1" t="s">
        <v>45</v>
      </c>
      <c r="M586">
        <v>1.869</v>
      </c>
      <c r="N586">
        <v>44864.7</v>
      </c>
      <c r="O586">
        <v>44.865000000000002</v>
      </c>
      <c r="P586" s="2">
        <v>41518</v>
      </c>
      <c r="Q586">
        <v>1</v>
      </c>
      <c r="R586" s="1" t="s">
        <v>40</v>
      </c>
    </row>
    <row r="587" spans="1:18" x14ac:dyDescent="0.25">
      <c r="A587">
        <v>2013</v>
      </c>
      <c r="B587">
        <v>10</v>
      </c>
      <c r="C587" s="1" t="s">
        <v>33</v>
      </c>
      <c r="D587" s="1" t="s">
        <v>19</v>
      </c>
      <c r="E587" s="1" t="s">
        <v>48</v>
      </c>
      <c r="F587">
        <v>2006</v>
      </c>
      <c r="G587">
        <v>7</v>
      </c>
      <c r="H587" s="1" t="s">
        <v>21</v>
      </c>
      <c r="I587">
        <v>24</v>
      </c>
      <c r="J587">
        <v>3230</v>
      </c>
      <c r="K587" s="1" t="s">
        <v>49</v>
      </c>
      <c r="L587" s="1" t="s">
        <v>45</v>
      </c>
      <c r="M587">
        <v>1.8220000000000001</v>
      </c>
      <c r="N587">
        <v>43726.1</v>
      </c>
      <c r="O587">
        <v>43.725999999999999</v>
      </c>
      <c r="P587" s="2">
        <v>41548</v>
      </c>
      <c r="Q587">
        <v>1</v>
      </c>
      <c r="R587" s="1" t="s">
        <v>40</v>
      </c>
    </row>
    <row r="588" spans="1:18" x14ac:dyDescent="0.25">
      <c r="A588">
        <v>2013</v>
      </c>
      <c r="B588">
        <v>11</v>
      </c>
      <c r="C588" s="1" t="s">
        <v>34</v>
      </c>
      <c r="D588" s="1" t="s">
        <v>19</v>
      </c>
      <c r="E588" s="1" t="s">
        <v>48</v>
      </c>
      <c r="F588">
        <v>2006</v>
      </c>
      <c r="G588">
        <v>7</v>
      </c>
      <c r="H588" s="1" t="s">
        <v>21</v>
      </c>
      <c r="I588">
        <v>24</v>
      </c>
      <c r="J588">
        <v>3230</v>
      </c>
      <c r="K588" s="1" t="s">
        <v>49</v>
      </c>
      <c r="L588" s="1" t="s">
        <v>45</v>
      </c>
      <c r="M588">
        <v>1.732</v>
      </c>
      <c r="N588">
        <v>41570.1</v>
      </c>
      <c r="O588">
        <v>41.57</v>
      </c>
      <c r="P588" s="2">
        <v>41579</v>
      </c>
      <c r="Q588">
        <v>1</v>
      </c>
      <c r="R588" s="1" t="s">
        <v>40</v>
      </c>
    </row>
    <row r="589" spans="1:18" x14ac:dyDescent="0.25">
      <c r="A589">
        <v>2013</v>
      </c>
      <c r="B589">
        <v>12</v>
      </c>
      <c r="C589" s="1" t="s">
        <v>35</v>
      </c>
      <c r="D589" s="1" t="s">
        <v>19</v>
      </c>
      <c r="E589" s="1" t="s">
        <v>48</v>
      </c>
      <c r="F589">
        <v>2006</v>
      </c>
      <c r="G589">
        <v>7</v>
      </c>
      <c r="H589" s="1" t="s">
        <v>21</v>
      </c>
      <c r="I589">
        <v>24</v>
      </c>
      <c r="J589">
        <v>3230</v>
      </c>
      <c r="K589" s="1" t="s">
        <v>49</v>
      </c>
      <c r="L589" s="1" t="s">
        <v>45</v>
      </c>
      <c r="M589">
        <v>1.2749999999999999</v>
      </c>
      <c r="N589">
        <v>30596.2</v>
      </c>
      <c r="O589">
        <v>30.596</v>
      </c>
      <c r="P589" s="2">
        <v>41609</v>
      </c>
      <c r="Q589">
        <v>1</v>
      </c>
      <c r="R589" s="1" t="s">
        <v>40</v>
      </c>
    </row>
    <row r="590" spans="1:18" x14ac:dyDescent="0.25">
      <c r="A590">
        <v>2013</v>
      </c>
      <c r="B590">
        <v>1</v>
      </c>
      <c r="C590" s="1" t="s">
        <v>18</v>
      </c>
      <c r="D590" s="1" t="s">
        <v>19</v>
      </c>
      <c r="E590" s="1" t="s">
        <v>50</v>
      </c>
      <c r="F590">
        <v>2006</v>
      </c>
      <c r="G590">
        <v>7</v>
      </c>
      <c r="H590" s="1" t="s">
        <v>21</v>
      </c>
      <c r="I590">
        <v>22</v>
      </c>
      <c r="J590">
        <v>2447</v>
      </c>
      <c r="K590" s="1" t="s">
        <v>51</v>
      </c>
      <c r="L590" s="1" t="s">
        <v>45</v>
      </c>
      <c r="M590">
        <v>1.129</v>
      </c>
      <c r="N590">
        <v>24830.9</v>
      </c>
      <c r="O590">
        <v>24.831</v>
      </c>
      <c r="P590" s="2">
        <v>41275</v>
      </c>
      <c r="Q590">
        <v>1</v>
      </c>
      <c r="R590" s="1" t="s">
        <v>40</v>
      </c>
    </row>
    <row r="591" spans="1:18" x14ac:dyDescent="0.25">
      <c r="A591">
        <v>2013</v>
      </c>
      <c r="B591">
        <v>2</v>
      </c>
      <c r="C591" s="1" t="s">
        <v>25</v>
      </c>
      <c r="D591" s="1" t="s">
        <v>19</v>
      </c>
      <c r="E591" s="1" t="s">
        <v>50</v>
      </c>
      <c r="F591">
        <v>2006</v>
      </c>
      <c r="G591">
        <v>7</v>
      </c>
      <c r="H591" s="1" t="s">
        <v>21</v>
      </c>
      <c r="I591">
        <v>22</v>
      </c>
      <c r="J591">
        <v>2447</v>
      </c>
      <c r="K591" s="1" t="s">
        <v>51</v>
      </c>
      <c r="L591" s="1" t="s">
        <v>45</v>
      </c>
      <c r="M591">
        <v>0.94299999999999995</v>
      </c>
      <c r="N591">
        <v>20756.7</v>
      </c>
      <c r="O591">
        <v>20.757000000000001</v>
      </c>
      <c r="P591" s="2">
        <v>41306</v>
      </c>
      <c r="Q591">
        <v>1</v>
      </c>
      <c r="R591" s="1" t="s">
        <v>40</v>
      </c>
    </row>
    <row r="592" spans="1:18" x14ac:dyDescent="0.25">
      <c r="A592">
        <v>2013</v>
      </c>
      <c r="B592">
        <v>3</v>
      </c>
      <c r="C592" s="1" t="s">
        <v>26</v>
      </c>
      <c r="D592" s="1" t="s">
        <v>19</v>
      </c>
      <c r="E592" s="1" t="s">
        <v>50</v>
      </c>
      <c r="F592">
        <v>2006</v>
      </c>
      <c r="G592">
        <v>7</v>
      </c>
      <c r="H592" s="1" t="s">
        <v>21</v>
      </c>
      <c r="I592">
        <v>22</v>
      </c>
      <c r="J592">
        <v>2447</v>
      </c>
      <c r="K592" s="1" t="s">
        <v>51</v>
      </c>
      <c r="L592" s="1" t="s">
        <v>45</v>
      </c>
      <c r="M592">
        <v>1.256</v>
      </c>
      <c r="N592">
        <v>27638.9</v>
      </c>
      <c r="O592">
        <v>27.638999999999999</v>
      </c>
      <c r="P592" s="2">
        <v>41334</v>
      </c>
      <c r="Q592">
        <v>1</v>
      </c>
      <c r="R592" s="1" t="s">
        <v>40</v>
      </c>
    </row>
    <row r="593" spans="1:18" x14ac:dyDescent="0.25">
      <c r="A593">
        <v>2013</v>
      </c>
      <c r="B593">
        <v>4</v>
      </c>
      <c r="C593" s="1" t="s">
        <v>27</v>
      </c>
      <c r="D593" s="1" t="s">
        <v>19</v>
      </c>
      <c r="E593" s="1" t="s">
        <v>50</v>
      </c>
      <c r="F593">
        <v>2006</v>
      </c>
      <c r="G593">
        <v>7</v>
      </c>
      <c r="H593" s="1" t="s">
        <v>21</v>
      </c>
      <c r="I593">
        <v>22</v>
      </c>
      <c r="J593">
        <v>2447</v>
      </c>
      <c r="K593" s="1" t="s">
        <v>51</v>
      </c>
      <c r="L593" s="1" t="s">
        <v>45</v>
      </c>
      <c r="M593">
        <v>1.1439999999999999</v>
      </c>
      <c r="N593">
        <v>25161.3</v>
      </c>
      <c r="O593">
        <v>25.161000000000001</v>
      </c>
      <c r="P593" s="2">
        <v>41365</v>
      </c>
      <c r="Q593">
        <v>1</v>
      </c>
      <c r="R593" s="1" t="s">
        <v>40</v>
      </c>
    </row>
    <row r="594" spans="1:18" x14ac:dyDescent="0.25">
      <c r="A594">
        <v>2013</v>
      </c>
      <c r="B594">
        <v>5</v>
      </c>
      <c r="C594" s="1" t="s">
        <v>28</v>
      </c>
      <c r="D594" s="1" t="s">
        <v>19</v>
      </c>
      <c r="E594" s="1" t="s">
        <v>50</v>
      </c>
      <c r="F594">
        <v>2006</v>
      </c>
      <c r="G594">
        <v>7</v>
      </c>
      <c r="H594" s="1" t="s">
        <v>21</v>
      </c>
      <c r="I594">
        <v>22</v>
      </c>
      <c r="J594">
        <v>2447</v>
      </c>
      <c r="K594" s="1" t="s">
        <v>51</v>
      </c>
      <c r="L594" s="1" t="s">
        <v>45</v>
      </c>
      <c r="M594">
        <v>1.3280000000000001</v>
      </c>
      <c r="N594">
        <v>29217.200000000001</v>
      </c>
      <c r="O594">
        <v>29.216999999999999</v>
      </c>
      <c r="P594" s="2">
        <v>41395</v>
      </c>
      <c r="Q594">
        <v>1</v>
      </c>
      <c r="R594" s="1" t="s">
        <v>40</v>
      </c>
    </row>
    <row r="595" spans="1:18" x14ac:dyDescent="0.25">
      <c r="A595">
        <v>2013</v>
      </c>
      <c r="B595">
        <v>6</v>
      </c>
      <c r="C595" s="1" t="s">
        <v>29</v>
      </c>
      <c r="D595" s="1" t="s">
        <v>19</v>
      </c>
      <c r="E595" s="1" t="s">
        <v>50</v>
      </c>
      <c r="F595">
        <v>2006</v>
      </c>
      <c r="G595">
        <v>7</v>
      </c>
      <c r="H595" s="1" t="s">
        <v>21</v>
      </c>
      <c r="I595">
        <v>22</v>
      </c>
      <c r="J595">
        <v>2447</v>
      </c>
      <c r="K595" s="1" t="s">
        <v>51</v>
      </c>
      <c r="L595" s="1" t="s">
        <v>45</v>
      </c>
      <c r="M595">
        <v>1.4419999999999999</v>
      </c>
      <c r="N595">
        <v>31731.5</v>
      </c>
      <c r="O595">
        <v>31.731000000000002</v>
      </c>
      <c r="P595" s="2">
        <v>41426</v>
      </c>
      <c r="Q595">
        <v>1</v>
      </c>
      <c r="R595" s="1" t="s">
        <v>40</v>
      </c>
    </row>
    <row r="596" spans="1:18" x14ac:dyDescent="0.25">
      <c r="A596">
        <v>2013</v>
      </c>
      <c r="B596">
        <v>7</v>
      </c>
      <c r="C596" s="1" t="s">
        <v>30</v>
      </c>
      <c r="D596" s="1" t="s">
        <v>19</v>
      </c>
      <c r="E596" s="1" t="s">
        <v>50</v>
      </c>
      <c r="F596">
        <v>2006</v>
      </c>
      <c r="G596">
        <v>7</v>
      </c>
      <c r="H596" s="1" t="s">
        <v>21</v>
      </c>
      <c r="I596">
        <v>22</v>
      </c>
      <c r="J596">
        <v>2447</v>
      </c>
      <c r="K596" s="1" t="s">
        <v>51</v>
      </c>
      <c r="L596" s="1" t="s">
        <v>45</v>
      </c>
      <c r="M596">
        <v>1.913</v>
      </c>
      <c r="N596">
        <v>42082.3</v>
      </c>
      <c r="O596">
        <v>42.082000000000001</v>
      </c>
      <c r="P596" s="2">
        <v>41456</v>
      </c>
      <c r="Q596">
        <v>1</v>
      </c>
      <c r="R596" s="1" t="s">
        <v>40</v>
      </c>
    </row>
    <row r="597" spans="1:18" x14ac:dyDescent="0.25">
      <c r="A597">
        <v>2013</v>
      </c>
      <c r="B597">
        <v>8</v>
      </c>
      <c r="C597" s="1" t="s">
        <v>31</v>
      </c>
      <c r="D597" s="1" t="s">
        <v>19</v>
      </c>
      <c r="E597" s="1" t="s">
        <v>50</v>
      </c>
      <c r="F597">
        <v>2006</v>
      </c>
      <c r="G597">
        <v>7</v>
      </c>
      <c r="H597" s="1" t="s">
        <v>21</v>
      </c>
      <c r="I597">
        <v>22</v>
      </c>
      <c r="J597">
        <v>2447</v>
      </c>
      <c r="K597" s="1" t="s">
        <v>51</v>
      </c>
      <c r="L597" s="1" t="s">
        <v>45</v>
      </c>
      <c r="M597">
        <v>1.556</v>
      </c>
      <c r="N597">
        <v>34227.4</v>
      </c>
      <c r="O597">
        <v>34.226999999999997</v>
      </c>
      <c r="P597" s="2">
        <v>41487</v>
      </c>
      <c r="Q597">
        <v>1</v>
      </c>
      <c r="R597" s="1" t="s">
        <v>40</v>
      </c>
    </row>
    <row r="598" spans="1:18" x14ac:dyDescent="0.25">
      <c r="A598">
        <v>2013</v>
      </c>
      <c r="B598">
        <v>9</v>
      </c>
      <c r="C598" s="1" t="s">
        <v>32</v>
      </c>
      <c r="D598" s="1" t="s">
        <v>19</v>
      </c>
      <c r="E598" s="1" t="s">
        <v>50</v>
      </c>
      <c r="F598">
        <v>2006</v>
      </c>
      <c r="G598">
        <v>7</v>
      </c>
      <c r="H598" s="1" t="s">
        <v>21</v>
      </c>
      <c r="I598">
        <v>22</v>
      </c>
      <c r="J598">
        <v>2447</v>
      </c>
      <c r="K598" s="1" t="s">
        <v>51</v>
      </c>
      <c r="L598" s="1" t="s">
        <v>45</v>
      </c>
      <c r="M598">
        <v>1.5449999999999999</v>
      </c>
      <c r="N598">
        <v>33988.800000000003</v>
      </c>
      <c r="O598">
        <v>33.988999999999997</v>
      </c>
      <c r="P598" s="2">
        <v>41518</v>
      </c>
      <c r="Q598">
        <v>1</v>
      </c>
      <c r="R598" s="1" t="s">
        <v>40</v>
      </c>
    </row>
    <row r="599" spans="1:18" x14ac:dyDescent="0.25">
      <c r="A599">
        <v>2013</v>
      </c>
      <c r="B599">
        <v>10</v>
      </c>
      <c r="C599" s="1" t="s">
        <v>33</v>
      </c>
      <c r="D599" s="1" t="s">
        <v>19</v>
      </c>
      <c r="E599" s="1" t="s">
        <v>50</v>
      </c>
      <c r="F599">
        <v>2006</v>
      </c>
      <c r="G599">
        <v>7</v>
      </c>
      <c r="H599" s="1" t="s">
        <v>21</v>
      </c>
      <c r="I599">
        <v>22</v>
      </c>
      <c r="J599">
        <v>2447</v>
      </c>
      <c r="K599" s="1" t="s">
        <v>51</v>
      </c>
      <c r="L599" s="1" t="s">
        <v>45</v>
      </c>
      <c r="M599">
        <v>1.506</v>
      </c>
      <c r="N599">
        <v>33126.300000000003</v>
      </c>
      <c r="O599">
        <v>33.125999999999998</v>
      </c>
      <c r="P599" s="2">
        <v>41548</v>
      </c>
      <c r="Q599">
        <v>1</v>
      </c>
      <c r="R599" s="1" t="s">
        <v>40</v>
      </c>
    </row>
    <row r="600" spans="1:18" x14ac:dyDescent="0.25">
      <c r="A600">
        <v>2013</v>
      </c>
      <c r="B600">
        <v>11</v>
      </c>
      <c r="C600" s="1" t="s">
        <v>34</v>
      </c>
      <c r="D600" s="1" t="s">
        <v>19</v>
      </c>
      <c r="E600" s="1" t="s">
        <v>50</v>
      </c>
      <c r="F600">
        <v>2006</v>
      </c>
      <c r="G600">
        <v>7</v>
      </c>
      <c r="H600" s="1" t="s">
        <v>21</v>
      </c>
      <c r="I600">
        <v>22</v>
      </c>
      <c r="J600">
        <v>2447</v>
      </c>
      <c r="K600" s="1" t="s">
        <v>51</v>
      </c>
      <c r="L600" s="1" t="s">
        <v>45</v>
      </c>
      <c r="M600">
        <v>1.431</v>
      </c>
      <c r="N600">
        <v>31492.9</v>
      </c>
      <c r="O600">
        <v>31.492999999999999</v>
      </c>
      <c r="P600" s="2">
        <v>41579</v>
      </c>
      <c r="Q600">
        <v>1</v>
      </c>
      <c r="R600" s="1" t="s">
        <v>40</v>
      </c>
    </row>
    <row r="601" spans="1:18" x14ac:dyDescent="0.25">
      <c r="A601">
        <v>2013</v>
      </c>
      <c r="B601">
        <v>12</v>
      </c>
      <c r="C601" s="1" t="s">
        <v>35</v>
      </c>
      <c r="D601" s="1" t="s">
        <v>19</v>
      </c>
      <c r="E601" s="1" t="s">
        <v>50</v>
      </c>
      <c r="F601">
        <v>2006</v>
      </c>
      <c r="G601">
        <v>7</v>
      </c>
      <c r="H601" s="1" t="s">
        <v>21</v>
      </c>
      <c r="I601">
        <v>22</v>
      </c>
      <c r="J601">
        <v>2447</v>
      </c>
      <c r="K601" s="1" t="s">
        <v>51</v>
      </c>
      <c r="L601" s="1" t="s">
        <v>45</v>
      </c>
      <c r="M601">
        <v>1.054</v>
      </c>
      <c r="N601">
        <v>23179.200000000001</v>
      </c>
      <c r="O601">
        <v>23.178999999999998</v>
      </c>
      <c r="P601" s="2">
        <v>41609</v>
      </c>
      <c r="Q601">
        <v>1</v>
      </c>
      <c r="R601" s="1" t="s">
        <v>40</v>
      </c>
    </row>
    <row r="602" spans="1:18" x14ac:dyDescent="0.25">
      <c r="A602">
        <v>2013</v>
      </c>
      <c r="B602">
        <v>1</v>
      </c>
      <c r="C602" s="1" t="s">
        <v>18</v>
      </c>
      <c r="D602" s="1" t="s">
        <v>19</v>
      </c>
      <c r="E602" s="1" t="s">
        <v>52</v>
      </c>
      <c r="F602">
        <v>2006</v>
      </c>
      <c r="G602">
        <v>7</v>
      </c>
      <c r="H602" s="1" t="s">
        <v>21</v>
      </c>
      <c r="I602">
        <v>15</v>
      </c>
      <c r="J602">
        <v>1866</v>
      </c>
      <c r="K602" s="1" t="s">
        <v>53</v>
      </c>
      <c r="L602" s="1" t="s">
        <v>45</v>
      </c>
      <c r="M602">
        <v>1.262</v>
      </c>
      <c r="N602">
        <v>18935.2</v>
      </c>
      <c r="O602">
        <v>18.934999999999999</v>
      </c>
      <c r="P602" s="2">
        <v>41275</v>
      </c>
      <c r="Q602">
        <v>1</v>
      </c>
      <c r="R602" s="1" t="s">
        <v>40</v>
      </c>
    </row>
    <row r="603" spans="1:18" x14ac:dyDescent="0.25">
      <c r="A603">
        <v>2013</v>
      </c>
      <c r="B603">
        <v>2</v>
      </c>
      <c r="C603" s="1" t="s">
        <v>25</v>
      </c>
      <c r="D603" s="1" t="s">
        <v>19</v>
      </c>
      <c r="E603" s="1" t="s">
        <v>52</v>
      </c>
      <c r="F603">
        <v>2006</v>
      </c>
      <c r="G603">
        <v>7</v>
      </c>
      <c r="H603" s="1" t="s">
        <v>21</v>
      </c>
      <c r="I603">
        <v>15</v>
      </c>
      <c r="J603">
        <v>1866</v>
      </c>
      <c r="K603" s="1" t="s">
        <v>53</v>
      </c>
      <c r="L603" s="1" t="s">
        <v>45</v>
      </c>
      <c r="M603">
        <v>1.0549999999999999</v>
      </c>
      <c r="N603">
        <v>15828.3</v>
      </c>
      <c r="O603">
        <v>15.827999999999999</v>
      </c>
      <c r="P603" s="2">
        <v>41306</v>
      </c>
      <c r="Q603">
        <v>1</v>
      </c>
      <c r="R603" s="1" t="s">
        <v>40</v>
      </c>
    </row>
    <row r="604" spans="1:18" x14ac:dyDescent="0.25">
      <c r="A604">
        <v>2013</v>
      </c>
      <c r="B604">
        <v>3</v>
      </c>
      <c r="C604" s="1" t="s">
        <v>26</v>
      </c>
      <c r="D604" s="1" t="s">
        <v>19</v>
      </c>
      <c r="E604" s="1" t="s">
        <v>52</v>
      </c>
      <c r="F604">
        <v>2006</v>
      </c>
      <c r="G604">
        <v>7</v>
      </c>
      <c r="H604" s="1" t="s">
        <v>21</v>
      </c>
      <c r="I604">
        <v>15</v>
      </c>
      <c r="J604">
        <v>1866</v>
      </c>
      <c r="K604" s="1" t="s">
        <v>53</v>
      </c>
      <c r="L604" s="1" t="s">
        <v>45</v>
      </c>
      <c r="M604">
        <v>1.405</v>
      </c>
      <c r="N604">
        <v>21076.5</v>
      </c>
      <c r="O604">
        <v>21.076000000000001</v>
      </c>
      <c r="P604" s="2">
        <v>41334</v>
      </c>
      <c r="Q604">
        <v>1</v>
      </c>
      <c r="R604" s="1" t="s">
        <v>40</v>
      </c>
    </row>
    <row r="605" spans="1:18" x14ac:dyDescent="0.25">
      <c r="A605">
        <v>2013</v>
      </c>
      <c r="B605">
        <v>4</v>
      </c>
      <c r="C605" s="1" t="s">
        <v>27</v>
      </c>
      <c r="D605" s="1" t="s">
        <v>19</v>
      </c>
      <c r="E605" s="1" t="s">
        <v>52</v>
      </c>
      <c r="F605">
        <v>2006</v>
      </c>
      <c r="G605">
        <v>7</v>
      </c>
      <c r="H605" s="1" t="s">
        <v>21</v>
      </c>
      <c r="I605">
        <v>15</v>
      </c>
      <c r="J605">
        <v>1866</v>
      </c>
      <c r="K605" s="1" t="s">
        <v>53</v>
      </c>
      <c r="L605" s="1" t="s">
        <v>45</v>
      </c>
      <c r="M605">
        <v>1.2789999999999999</v>
      </c>
      <c r="N605">
        <v>19187.099999999999</v>
      </c>
      <c r="O605">
        <v>19.187000000000001</v>
      </c>
      <c r="P605" s="2">
        <v>41365</v>
      </c>
      <c r="Q605">
        <v>1</v>
      </c>
      <c r="R605" s="1" t="s">
        <v>40</v>
      </c>
    </row>
    <row r="606" spans="1:18" x14ac:dyDescent="0.25">
      <c r="A606">
        <v>2013</v>
      </c>
      <c r="B606">
        <v>5</v>
      </c>
      <c r="C606" s="1" t="s">
        <v>28</v>
      </c>
      <c r="D606" s="1" t="s">
        <v>19</v>
      </c>
      <c r="E606" s="1" t="s">
        <v>52</v>
      </c>
      <c r="F606">
        <v>2006</v>
      </c>
      <c r="G606">
        <v>7</v>
      </c>
      <c r="H606" s="1" t="s">
        <v>21</v>
      </c>
      <c r="I606">
        <v>15</v>
      </c>
      <c r="J606">
        <v>1866</v>
      </c>
      <c r="K606" s="1" t="s">
        <v>53</v>
      </c>
      <c r="L606" s="1" t="s">
        <v>45</v>
      </c>
      <c r="M606">
        <v>1.4850000000000001</v>
      </c>
      <c r="N606">
        <v>22280</v>
      </c>
      <c r="O606">
        <v>22.28</v>
      </c>
      <c r="P606" s="2">
        <v>41395</v>
      </c>
      <c r="Q606">
        <v>1</v>
      </c>
      <c r="R606" s="1" t="s">
        <v>40</v>
      </c>
    </row>
    <row r="607" spans="1:18" x14ac:dyDescent="0.25">
      <c r="A607">
        <v>2013</v>
      </c>
      <c r="B607">
        <v>6</v>
      </c>
      <c r="C607" s="1" t="s">
        <v>29</v>
      </c>
      <c r="D607" s="1" t="s">
        <v>19</v>
      </c>
      <c r="E607" s="1" t="s">
        <v>52</v>
      </c>
      <c r="F607">
        <v>2006</v>
      </c>
      <c r="G607">
        <v>7</v>
      </c>
      <c r="H607" s="1" t="s">
        <v>21</v>
      </c>
      <c r="I607">
        <v>15</v>
      </c>
      <c r="J607">
        <v>1866</v>
      </c>
      <c r="K607" s="1" t="s">
        <v>53</v>
      </c>
      <c r="L607" s="1" t="s">
        <v>45</v>
      </c>
      <c r="M607">
        <v>1.613</v>
      </c>
      <c r="N607">
        <v>24197.4</v>
      </c>
      <c r="O607">
        <v>24.196999999999999</v>
      </c>
      <c r="P607" s="2">
        <v>41426</v>
      </c>
      <c r="Q607">
        <v>1</v>
      </c>
      <c r="R607" s="1" t="s">
        <v>40</v>
      </c>
    </row>
    <row r="608" spans="1:18" x14ac:dyDescent="0.25">
      <c r="A608">
        <v>2013</v>
      </c>
      <c r="B608">
        <v>7</v>
      </c>
      <c r="C608" s="1" t="s">
        <v>30</v>
      </c>
      <c r="D608" s="1" t="s">
        <v>19</v>
      </c>
      <c r="E608" s="1" t="s">
        <v>52</v>
      </c>
      <c r="F608">
        <v>2006</v>
      </c>
      <c r="G608">
        <v>7</v>
      </c>
      <c r="H608" s="1" t="s">
        <v>21</v>
      </c>
      <c r="I608">
        <v>15</v>
      </c>
      <c r="J608">
        <v>1866</v>
      </c>
      <c r="K608" s="1" t="s">
        <v>53</v>
      </c>
      <c r="L608" s="1" t="s">
        <v>45</v>
      </c>
      <c r="M608">
        <v>2.1389999999999998</v>
      </c>
      <c r="N608">
        <v>32090.5</v>
      </c>
      <c r="O608">
        <v>32.091000000000001</v>
      </c>
      <c r="P608" s="2">
        <v>41456</v>
      </c>
      <c r="Q608">
        <v>1</v>
      </c>
      <c r="R608" s="1" t="s">
        <v>40</v>
      </c>
    </row>
    <row r="609" spans="1:18" x14ac:dyDescent="0.25">
      <c r="A609">
        <v>2013</v>
      </c>
      <c r="B609">
        <v>8</v>
      </c>
      <c r="C609" s="1" t="s">
        <v>31</v>
      </c>
      <c r="D609" s="1" t="s">
        <v>19</v>
      </c>
      <c r="E609" s="1" t="s">
        <v>52</v>
      </c>
      <c r="F609">
        <v>2006</v>
      </c>
      <c r="G609">
        <v>7</v>
      </c>
      <c r="H609" s="1" t="s">
        <v>21</v>
      </c>
      <c r="I609">
        <v>15</v>
      </c>
      <c r="J609">
        <v>1866</v>
      </c>
      <c r="K609" s="1" t="s">
        <v>53</v>
      </c>
      <c r="L609" s="1" t="s">
        <v>45</v>
      </c>
      <c r="M609">
        <v>1.74</v>
      </c>
      <c r="N609">
        <v>26100.7</v>
      </c>
      <c r="O609">
        <v>26.100999999999999</v>
      </c>
      <c r="P609" s="2">
        <v>41487</v>
      </c>
      <c r="Q609">
        <v>1</v>
      </c>
      <c r="R609" s="1" t="s">
        <v>40</v>
      </c>
    </row>
    <row r="610" spans="1:18" x14ac:dyDescent="0.25">
      <c r="A610">
        <v>2013</v>
      </c>
      <c r="B610">
        <v>9</v>
      </c>
      <c r="C610" s="1" t="s">
        <v>32</v>
      </c>
      <c r="D610" s="1" t="s">
        <v>19</v>
      </c>
      <c r="E610" s="1" t="s">
        <v>52</v>
      </c>
      <c r="F610">
        <v>2006</v>
      </c>
      <c r="G610">
        <v>7</v>
      </c>
      <c r="H610" s="1" t="s">
        <v>21</v>
      </c>
      <c r="I610">
        <v>15</v>
      </c>
      <c r="J610">
        <v>1866</v>
      </c>
      <c r="K610" s="1" t="s">
        <v>53</v>
      </c>
      <c r="L610" s="1" t="s">
        <v>45</v>
      </c>
      <c r="M610">
        <v>1.728</v>
      </c>
      <c r="N610">
        <v>25918.7</v>
      </c>
      <c r="O610">
        <v>25.919</v>
      </c>
      <c r="P610" s="2">
        <v>41518</v>
      </c>
      <c r="Q610">
        <v>1</v>
      </c>
      <c r="R610" s="1" t="s">
        <v>40</v>
      </c>
    </row>
    <row r="611" spans="1:18" x14ac:dyDescent="0.25">
      <c r="A611">
        <v>2013</v>
      </c>
      <c r="B611">
        <v>10</v>
      </c>
      <c r="C611" s="1" t="s">
        <v>33</v>
      </c>
      <c r="D611" s="1" t="s">
        <v>19</v>
      </c>
      <c r="E611" s="1" t="s">
        <v>52</v>
      </c>
      <c r="F611">
        <v>2006</v>
      </c>
      <c r="G611">
        <v>7</v>
      </c>
      <c r="H611" s="1" t="s">
        <v>21</v>
      </c>
      <c r="I611">
        <v>15</v>
      </c>
      <c r="J611">
        <v>1866</v>
      </c>
      <c r="K611" s="1" t="s">
        <v>53</v>
      </c>
      <c r="L611" s="1" t="s">
        <v>45</v>
      </c>
      <c r="M611">
        <v>1.6839999999999999</v>
      </c>
      <c r="N611">
        <v>25261</v>
      </c>
      <c r="O611">
        <v>25.260999999999999</v>
      </c>
      <c r="P611" s="2">
        <v>41548</v>
      </c>
      <c r="Q611">
        <v>1</v>
      </c>
      <c r="R611" s="1" t="s">
        <v>40</v>
      </c>
    </row>
    <row r="612" spans="1:18" x14ac:dyDescent="0.25">
      <c r="A612">
        <v>2013</v>
      </c>
      <c r="B612">
        <v>11</v>
      </c>
      <c r="C612" s="1" t="s">
        <v>34</v>
      </c>
      <c r="D612" s="1" t="s">
        <v>19</v>
      </c>
      <c r="E612" s="1" t="s">
        <v>52</v>
      </c>
      <c r="F612">
        <v>2006</v>
      </c>
      <c r="G612">
        <v>7</v>
      </c>
      <c r="H612" s="1" t="s">
        <v>21</v>
      </c>
      <c r="I612">
        <v>15</v>
      </c>
      <c r="J612">
        <v>1866</v>
      </c>
      <c r="K612" s="1" t="s">
        <v>53</v>
      </c>
      <c r="L612" s="1" t="s">
        <v>45</v>
      </c>
      <c r="M612">
        <v>1.601</v>
      </c>
      <c r="N612">
        <v>24015.4</v>
      </c>
      <c r="O612">
        <v>24.015000000000001</v>
      </c>
      <c r="P612" s="2">
        <v>41579</v>
      </c>
      <c r="Q612">
        <v>1</v>
      </c>
      <c r="R612" s="1" t="s">
        <v>40</v>
      </c>
    </row>
    <row r="613" spans="1:18" x14ac:dyDescent="0.25">
      <c r="A613">
        <v>2013</v>
      </c>
      <c r="B613">
        <v>12</v>
      </c>
      <c r="C613" s="1" t="s">
        <v>35</v>
      </c>
      <c r="D613" s="1" t="s">
        <v>19</v>
      </c>
      <c r="E613" s="1" t="s">
        <v>52</v>
      </c>
      <c r="F613">
        <v>2006</v>
      </c>
      <c r="G613">
        <v>7</v>
      </c>
      <c r="H613" s="1" t="s">
        <v>21</v>
      </c>
      <c r="I613">
        <v>15</v>
      </c>
      <c r="J613">
        <v>1866</v>
      </c>
      <c r="K613" s="1" t="s">
        <v>53</v>
      </c>
      <c r="L613" s="1" t="s">
        <v>45</v>
      </c>
      <c r="M613">
        <v>1.1779999999999999</v>
      </c>
      <c r="N613">
        <v>17675.7</v>
      </c>
      <c r="O613">
        <v>17.675999999999998</v>
      </c>
      <c r="P613" s="2">
        <v>41609</v>
      </c>
      <c r="Q613">
        <v>1</v>
      </c>
      <c r="R613" s="1" t="s">
        <v>40</v>
      </c>
    </row>
    <row r="614" spans="1:18" x14ac:dyDescent="0.25">
      <c r="A614">
        <v>2013</v>
      </c>
      <c r="B614">
        <v>1</v>
      </c>
      <c r="C614" s="1" t="s">
        <v>18</v>
      </c>
      <c r="D614" s="1" t="s">
        <v>19</v>
      </c>
      <c r="E614" s="1" t="s">
        <v>54</v>
      </c>
      <c r="F614">
        <v>2006</v>
      </c>
      <c r="G614">
        <v>7</v>
      </c>
      <c r="H614" s="1" t="s">
        <v>21</v>
      </c>
      <c r="I614">
        <v>25</v>
      </c>
      <c r="J614">
        <v>3154</v>
      </c>
      <c r="K614" s="1" t="s">
        <v>55</v>
      </c>
      <c r="L614" s="1" t="s">
        <v>45</v>
      </c>
      <c r="M614">
        <v>1.28</v>
      </c>
      <c r="N614">
        <v>32005.200000000001</v>
      </c>
      <c r="O614">
        <v>32.005000000000003</v>
      </c>
      <c r="P614" s="2">
        <v>41275</v>
      </c>
      <c r="Q614">
        <v>1</v>
      </c>
      <c r="R614" s="1" t="s">
        <v>40</v>
      </c>
    </row>
    <row r="615" spans="1:18" x14ac:dyDescent="0.25">
      <c r="A615">
        <v>2013</v>
      </c>
      <c r="B615">
        <v>2</v>
      </c>
      <c r="C615" s="1" t="s">
        <v>25</v>
      </c>
      <c r="D615" s="1" t="s">
        <v>19</v>
      </c>
      <c r="E615" s="1" t="s">
        <v>54</v>
      </c>
      <c r="F615">
        <v>2006</v>
      </c>
      <c r="G615">
        <v>7</v>
      </c>
      <c r="H615" s="1" t="s">
        <v>21</v>
      </c>
      <c r="I615">
        <v>25</v>
      </c>
      <c r="J615">
        <v>3154</v>
      </c>
      <c r="K615" s="1" t="s">
        <v>55</v>
      </c>
      <c r="L615" s="1" t="s">
        <v>45</v>
      </c>
      <c r="M615">
        <v>1.07</v>
      </c>
      <c r="N615">
        <v>26753.8</v>
      </c>
      <c r="O615">
        <v>26.754000000000001</v>
      </c>
      <c r="P615" s="2">
        <v>41306</v>
      </c>
      <c r="Q615">
        <v>1</v>
      </c>
      <c r="R615" s="1" t="s">
        <v>40</v>
      </c>
    </row>
    <row r="616" spans="1:18" x14ac:dyDescent="0.25">
      <c r="A616">
        <v>2013</v>
      </c>
      <c r="B616">
        <v>3</v>
      </c>
      <c r="C616" s="1" t="s">
        <v>26</v>
      </c>
      <c r="D616" s="1" t="s">
        <v>19</v>
      </c>
      <c r="E616" s="1" t="s">
        <v>54</v>
      </c>
      <c r="F616">
        <v>2006</v>
      </c>
      <c r="G616">
        <v>7</v>
      </c>
      <c r="H616" s="1" t="s">
        <v>21</v>
      </c>
      <c r="I616">
        <v>25</v>
      </c>
      <c r="J616">
        <v>3154</v>
      </c>
      <c r="K616" s="1" t="s">
        <v>55</v>
      </c>
      <c r="L616" s="1" t="s">
        <v>45</v>
      </c>
      <c r="M616">
        <v>1.425</v>
      </c>
      <c r="N616">
        <v>35624.400000000001</v>
      </c>
      <c r="O616">
        <v>35.624000000000002</v>
      </c>
      <c r="P616" s="2">
        <v>41334</v>
      </c>
      <c r="Q616">
        <v>1</v>
      </c>
      <c r="R616" s="1" t="s">
        <v>40</v>
      </c>
    </row>
    <row r="617" spans="1:18" x14ac:dyDescent="0.25">
      <c r="A617">
        <v>2013</v>
      </c>
      <c r="B617">
        <v>4</v>
      </c>
      <c r="C617" s="1" t="s">
        <v>27</v>
      </c>
      <c r="D617" s="1" t="s">
        <v>19</v>
      </c>
      <c r="E617" s="1" t="s">
        <v>54</v>
      </c>
      <c r="F617">
        <v>2006</v>
      </c>
      <c r="G617">
        <v>7</v>
      </c>
      <c r="H617" s="1" t="s">
        <v>21</v>
      </c>
      <c r="I617">
        <v>25</v>
      </c>
      <c r="J617">
        <v>3154</v>
      </c>
      <c r="K617" s="1" t="s">
        <v>55</v>
      </c>
      <c r="L617" s="1" t="s">
        <v>45</v>
      </c>
      <c r="M617">
        <v>1.2969999999999999</v>
      </c>
      <c r="N617">
        <v>32431</v>
      </c>
      <c r="O617">
        <v>32.430999999999997</v>
      </c>
      <c r="P617" s="2">
        <v>41365</v>
      </c>
      <c r="Q617">
        <v>1</v>
      </c>
      <c r="R617" s="1" t="s">
        <v>40</v>
      </c>
    </row>
    <row r="618" spans="1:18" x14ac:dyDescent="0.25">
      <c r="A618">
        <v>2013</v>
      </c>
      <c r="B618">
        <v>5</v>
      </c>
      <c r="C618" s="1" t="s">
        <v>28</v>
      </c>
      <c r="D618" s="1" t="s">
        <v>19</v>
      </c>
      <c r="E618" s="1" t="s">
        <v>54</v>
      </c>
      <c r="F618">
        <v>2006</v>
      </c>
      <c r="G618">
        <v>7</v>
      </c>
      <c r="H618" s="1" t="s">
        <v>21</v>
      </c>
      <c r="I618">
        <v>25</v>
      </c>
      <c r="J618">
        <v>3154</v>
      </c>
      <c r="K618" s="1" t="s">
        <v>55</v>
      </c>
      <c r="L618" s="1" t="s">
        <v>45</v>
      </c>
      <c r="M618">
        <v>1.506</v>
      </c>
      <c r="N618">
        <v>37658.800000000003</v>
      </c>
      <c r="O618">
        <v>37.658999999999999</v>
      </c>
      <c r="P618" s="2">
        <v>41395</v>
      </c>
      <c r="Q618">
        <v>1</v>
      </c>
      <c r="R618" s="1" t="s">
        <v>40</v>
      </c>
    </row>
    <row r="619" spans="1:18" x14ac:dyDescent="0.25">
      <c r="A619">
        <v>2013</v>
      </c>
      <c r="B619">
        <v>6</v>
      </c>
      <c r="C619" s="1" t="s">
        <v>29</v>
      </c>
      <c r="D619" s="1" t="s">
        <v>19</v>
      </c>
      <c r="E619" s="1" t="s">
        <v>54</v>
      </c>
      <c r="F619">
        <v>2006</v>
      </c>
      <c r="G619">
        <v>7</v>
      </c>
      <c r="H619" s="1" t="s">
        <v>21</v>
      </c>
      <c r="I619">
        <v>25</v>
      </c>
      <c r="J619">
        <v>3154</v>
      </c>
      <c r="K619" s="1" t="s">
        <v>55</v>
      </c>
      <c r="L619" s="1" t="s">
        <v>45</v>
      </c>
      <c r="M619">
        <v>1.6359999999999999</v>
      </c>
      <c r="N619">
        <v>40899.5</v>
      </c>
      <c r="O619">
        <v>40.899000000000001</v>
      </c>
      <c r="P619" s="2">
        <v>41426</v>
      </c>
      <c r="Q619">
        <v>1</v>
      </c>
      <c r="R619" s="1" t="s">
        <v>40</v>
      </c>
    </row>
    <row r="620" spans="1:18" x14ac:dyDescent="0.25">
      <c r="A620">
        <v>2013</v>
      </c>
      <c r="B620">
        <v>7</v>
      </c>
      <c r="C620" s="1" t="s">
        <v>30</v>
      </c>
      <c r="D620" s="1" t="s">
        <v>19</v>
      </c>
      <c r="E620" s="1" t="s">
        <v>54</v>
      </c>
      <c r="F620">
        <v>2006</v>
      </c>
      <c r="G620">
        <v>7</v>
      </c>
      <c r="H620" s="1" t="s">
        <v>21</v>
      </c>
      <c r="I620">
        <v>25</v>
      </c>
      <c r="J620">
        <v>3154</v>
      </c>
      <c r="K620" s="1" t="s">
        <v>55</v>
      </c>
      <c r="L620" s="1" t="s">
        <v>45</v>
      </c>
      <c r="M620">
        <v>2.17</v>
      </c>
      <c r="N620">
        <v>54240.9</v>
      </c>
      <c r="O620">
        <v>54.241</v>
      </c>
      <c r="P620" s="2">
        <v>41456</v>
      </c>
      <c r="Q620">
        <v>1</v>
      </c>
      <c r="R620" s="1" t="s">
        <v>40</v>
      </c>
    </row>
    <row r="621" spans="1:18" x14ac:dyDescent="0.25">
      <c r="A621">
        <v>2013</v>
      </c>
      <c r="B621">
        <v>8</v>
      </c>
      <c r="C621" s="1" t="s">
        <v>31</v>
      </c>
      <c r="D621" s="1" t="s">
        <v>19</v>
      </c>
      <c r="E621" s="1" t="s">
        <v>54</v>
      </c>
      <c r="F621">
        <v>2006</v>
      </c>
      <c r="G621">
        <v>7</v>
      </c>
      <c r="H621" s="1" t="s">
        <v>21</v>
      </c>
      <c r="I621">
        <v>25</v>
      </c>
      <c r="J621">
        <v>3154</v>
      </c>
      <c r="K621" s="1" t="s">
        <v>55</v>
      </c>
      <c r="L621" s="1" t="s">
        <v>45</v>
      </c>
      <c r="M621">
        <v>1.7649999999999999</v>
      </c>
      <c r="N621">
        <v>44116.6</v>
      </c>
      <c r="O621">
        <v>44.116999999999997</v>
      </c>
      <c r="P621" s="2">
        <v>41487</v>
      </c>
      <c r="Q621">
        <v>1</v>
      </c>
      <c r="R621" s="1" t="s">
        <v>40</v>
      </c>
    </row>
    <row r="622" spans="1:18" x14ac:dyDescent="0.25">
      <c r="A622">
        <v>2013</v>
      </c>
      <c r="B622">
        <v>9</v>
      </c>
      <c r="C622" s="1" t="s">
        <v>32</v>
      </c>
      <c r="D622" s="1" t="s">
        <v>19</v>
      </c>
      <c r="E622" s="1" t="s">
        <v>54</v>
      </c>
      <c r="F622">
        <v>2006</v>
      </c>
      <c r="G622">
        <v>7</v>
      </c>
      <c r="H622" s="1" t="s">
        <v>21</v>
      </c>
      <c r="I622">
        <v>25</v>
      </c>
      <c r="J622">
        <v>3154</v>
      </c>
      <c r="K622" s="1" t="s">
        <v>55</v>
      </c>
      <c r="L622" s="1" t="s">
        <v>45</v>
      </c>
      <c r="M622">
        <v>1.752</v>
      </c>
      <c r="N622">
        <v>43809.1</v>
      </c>
      <c r="O622">
        <v>43.808999999999997</v>
      </c>
      <c r="P622" s="2">
        <v>41518</v>
      </c>
      <c r="Q622">
        <v>1</v>
      </c>
      <c r="R622" s="1" t="s">
        <v>40</v>
      </c>
    </row>
    <row r="623" spans="1:18" x14ac:dyDescent="0.25">
      <c r="A623">
        <v>2013</v>
      </c>
      <c r="B623">
        <v>10</v>
      </c>
      <c r="C623" s="1" t="s">
        <v>33</v>
      </c>
      <c r="D623" s="1" t="s">
        <v>19</v>
      </c>
      <c r="E623" s="1" t="s">
        <v>54</v>
      </c>
      <c r="F623">
        <v>2006</v>
      </c>
      <c r="G623">
        <v>7</v>
      </c>
      <c r="H623" s="1" t="s">
        <v>21</v>
      </c>
      <c r="I623">
        <v>25</v>
      </c>
      <c r="J623">
        <v>3154</v>
      </c>
      <c r="K623" s="1" t="s">
        <v>55</v>
      </c>
      <c r="L623" s="1" t="s">
        <v>45</v>
      </c>
      <c r="M623">
        <v>1.708</v>
      </c>
      <c r="N623">
        <v>42697.3</v>
      </c>
      <c r="O623">
        <v>42.697000000000003</v>
      </c>
      <c r="P623" s="2">
        <v>41548</v>
      </c>
      <c r="Q623">
        <v>1</v>
      </c>
      <c r="R623" s="1" t="s">
        <v>40</v>
      </c>
    </row>
    <row r="624" spans="1:18" x14ac:dyDescent="0.25">
      <c r="A624">
        <v>2013</v>
      </c>
      <c r="B624">
        <v>11</v>
      </c>
      <c r="C624" s="1" t="s">
        <v>34</v>
      </c>
      <c r="D624" s="1" t="s">
        <v>19</v>
      </c>
      <c r="E624" s="1" t="s">
        <v>54</v>
      </c>
      <c r="F624">
        <v>2006</v>
      </c>
      <c r="G624">
        <v>7</v>
      </c>
      <c r="H624" s="1" t="s">
        <v>21</v>
      </c>
      <c r="I624">
        <v>25</v>
      </c>
      <c r="J624">
        <v>3154</v>
      </c>
      <c r="K624" s="1" t="s">
        <v>55</v>
      </c>
      <c r="L624" s="1" t="s">
        <v>45</v>
      </c>
      <c r="M624">
        <v>1.6240000000000001</v>
      </c>
      <c r="N624">
        <v>40592</v>
      </c>
      <c r="O624">
        <v>40.591999999999999</v>
      </c>
      <c r="P624" s="2">
        <v>41579</v>
      </c>
      <c r="Q624">
        <v>1</v>
      </c>
      <c r="R624" s="1" t="s">
        <v>40</v>
      </c>
    </row>
    <row r="625" spans="1:18" x14ac:dyDescent="0.25">
      <c r="A625">
        <v>2013</v>
      </c>
      <c r="B625">
        <v>12</v>
      </c>
      <c r="C625" s="1" t="s">
        <v>35</v>
      </c>
      <c r="D625" s="1" t="s">
        <v>19</v>
      </c>
      <c r="E625" s="1" t="s">
        <v>54</v>
      </c>
      <c r="F625">
        <v>2006</v>
      </c>
      <c r="G625">
        <v>7</v>
      </c>
      <c r="H625" s="1" t="s">
        <v>21</v>
      </c>
      <c r="I625">
        <v>25</v>
      </c>
      <c r="J625">
        <v>3154</v>
      </c>
      <c r="K625" s="1" t="s">
        <v>55</v>
      </c>
      <c r="L625" s="1" t="s">
        <v>45</v>
      </c>
      <c r="M625">
        <v>1.1950000000000001</v>
      </c>
      <c r="N625">
        <v>29876.3</v>
      </c>
      <c r="O625">
        <v>29.876000000000001</v>
      </c>
      <c r="P625" s="2">
        <v>41609</v>
      </c>
      <c r="Q625">
        <v>1</v>
      </c>
      <c r="R625" s="1" t="s">
        <v>40</v>
      </c>
    </row>
    <row r="626" spans="1:18" x14ac:dyDescent="0.25">
      <c r="A626">
        <v>2013</v>
      </c>
      <c r="B626">
        <v>1</v>
      </c>
      <c r="C626" s="1" t="s">
        <v>18</v>
      </c>
      <c r="D626" s="1" t="s">
        <v>19</v>
      </c>
      <c r="E626" s="1" t="s">
        <v>56</v>
      </c>
      <c r="F626">
        <v>2006</v>
      </c>
      <c r="G626">
        <v>7</v>
      </c>
      <c r="H626" s="1" t="s">
        <v>21</v>
      </c>
      <c r="I626">
        <v>35</v>
      </c>
      <c r="J626">
        <v>4204</v>
      </c>
      <c r="K626" s="1" t="s">
        <v>57</v>
      </c>
      <c r="L626" s="1" t="s">
        <v>45</v>
      </c>
      <c r="M626">
        <v>1.2190000000000001</v>
      </c>
      <c r="N626">
        <v>42660.1</v>
      </c>
      <c r="O626">
        <v>42.66</v>
      </c>
      <c r="P626" s="2">
        <v>41275</v>
      </c>
      <c r="Q626">
        <v>1</v>
      </c>
      <c r="R626" s="1" t="s">
        <v>40</v>
      </c>
    </row>
    <row r="627" spans="1:18" x14ac:dyDescent="0.25">
      <c r="A627">
        <v>2013</v>
      </c>
      <c r="B627">
        <v>2</v>
      </c>
      <c r="C627" s="1" t="s">
        <v>25</v>
      </c>
      <c r="D627" s="1" t="s">
        <v>19</v>
      </c>
      <c r="E627" s="1" t="s">
        <v>56</v>
      </c>
      <c r="F627">
        <v>2006</v>
      </c>
      <c r="G627">
        <v>7</v>
      </c>
      <c r="H627" s="1" t="s">
        <v>21</v>
      </c>
      <c r="I627">
        <v>35</v>
      </c>
      <c r="J627">
        <v>4204</v>
      </c>
      <c r="K627" s="1" t="s">
        <v>57</v>
      </c>
      <c r="L627" s="1" t="s">
        <v>45</v>
      </c>
      <c r="M627">
        <v>1.0189999999999999</v>
      </c>
      <c r="N627">
        <v>35660.400000000001</v>
      </c>
      <c r="O627">
        <v>35.659999999999997</v>
      </c>
      <c r="P627" s="2">
        <v>41306</v>
      </c>
      <c r="Q627">
        <v>1</v>
      </c>
      <c r="R627" s="1" t="s">
        <v>40</v>
      </c>
    </row>
    <row r="628" spans="1:18" x14ac:dyDescent="0.25">
      <c r="A628">
        <v>2013</v>
      </c>
      <c r="B628">
        <v>3</v>
      </c>
      <c r="C628" s="1" t="s">
        <v>26</v>
      </c>
      <c r="D628" s="1" t="s">
        <v>19</v>
      </c>
      <c r="E628" s="1" t="s">
        <v>56</v>
      </c>
      <c r="F628">
        <v>2006</v>
      </c>
      <c r="G628">
        <v>7</v>
      </c>
      <c r="H628" s="1" t="s">
        <v>21</v>
      </c>
      <c r="I628">
        <v>35</v>
      </c>
      <c r="J628">
        <v>4204</v>
      </c>
      <c r="K628" s="1" t="s">
        <v>57</v>
      </c>
      <c r="L628" s="1" t="s">
        <v>45</v>
      </c>
      <c r="M628">
        <v>1.357</v>
      </c>
      <c r="N628">
        <v>47484.2</v>
      </c>
      <c r="O628">
        <v>47.484000000000002</v>
      </c>
      <c r="P628" s="2">
        <v>41334</v>
      </c>
      <c r="Q628">
        <v>1</v>
      </c>
      <c r="R628" s="1" t="s">
        <v>40</v>
      </c>
    </row>
    <row r="629" spans="1:18" x14ac:dyDescent="0.25">
      <c r="A629">
        <v>2013</v>
      </c>
      <c r="B629">
        <v>4</v>
      </c>
      <c r="C629" s="1" t="s">
        <v>27</v>
      </c>
      <c r="D629" s="1" t="s">
        <v>19</v>
      </c>
      <c r="E629" s="1" t="s">
        <v>56</v>
      </c>
      <c r="F629">
        <v>2006</v>
      </c>
      <c r="G629">
        <v>7</v>
      </c>
      <c r="H629" s="1" t="s">
        <v>21</v>
      </c>
      <c r="I629">
        <v>35</v>
      </c>
      <c r="J629">
        <v>4204</v>
      </c>
      <c r="K629" s="1" t="s">
        <v>57</v>
      </c>
      <c r="L629" s="1" t="s">
        <v>45</v>
      </c>
      <c r="M629">
        <v>1.2350000000000001</v>
      </c>
      <c r="N629">
        <v>43227.6</v>
      </c>
      <c r="O629">
        <v>43.228000000000002</v>
      </c>
      <c r="P629" s="2">
        <v>41365</v>
      </c>
      <c r="Q629">
        <v>1</v>
      </c>
      <c r="R629" s="1" t="s">
        <v>40</v>
      </c>
    </row>
    <row r="630" spans="1:18" x14ac:dyDescent="0.25">
      <c r="A630">
        <v>2013</v>
      </c>
      <c r="B630">
        <v>5</v>
      </c>
      <c r="C630" s="1" t="s">
        <v>28</v>
      </c>
      <c r="D630" s="1" t="s">
        <v>19</v>
      </c>
      <c r="E630" s="1" t="s">
        <v>56</v>
      </c>
      <c r="F630">
        <v>2006</v>
      </c>
      <c r="G630">
        <v>7</v>
      </c>
      <c r="H630" s="1" t="s">
        <v>21</v>
      </c>
      <c r="I630">
        <v>35</v>
      </c>
      <c r="J630">
        <v>4204</v>
      </c>
      <c r="K630" s="1" t="s">
        <v>57</v>
      </c>
      <c r="L630" s="1" t="s">
        <v>45</v>
      </c>
      <c r="M630">
        <v>1.4339999999999999</v>
      </c>
      <c r="N630">
        <v>50195.8</v>
      </c>
      <c r="O630">
        <v>50.195999999999998</v>
      </c>
      <c r="P630" s="2">
        <v>41395</v>
      </c>
      <c r="Q630">
        <v>1</v>
      </c>
      <c r="R630" s="1" t="s">
        <v>40</v>
      </c>
    </row>
    <row r="631" spans="1:18" x14ac:dyDescent="0.25">
      <c r="A631">
        <v>2013</v>
      </c>
      <c r="B631">
        <v>6</v>
      </c>
      <c r="C631" s="1" t="s">
        <v>29</v>
      </c>
      <c r="D631" s="1" t="s">
        <v>19</v>
      </c>
      <c r="E631" s="1" t="s">
        <v>56</v>
      </c>
      <c r="F631">
        <v>2006</v>
      </c>
      <c r="G631">
        <v>7</v>
      </c>
      <c r="H631" s="1" t="s">
        <v>21</v>
      </c>
      <c r="I631">
        <v>35</v>
      </c>
      <c r="J631">
        <v>4204</v>
      </c>
      <c r="K631" s="1" t="s">
        <v>57</v>
      </c>
      <c r="L631" s="1" t="s">
        <v>45</v>
      </c>
      <c r="M631">
        <v>1.5580000000000001</v>
      </c>
      <c r="N631">
        <v>54515.4</v>
      </c>
      <c r="O631">
        <v>54.515000000000001</v>
      </c>
      <c r="P631" s="2">
        <v>41426</v>
      </c>
      <c r="Q631">
        <v>1</v>
      </c>
      <c r="R631" s="1" t="s">
        <v>40</v>
      </c>
    </row>
    <row r="632" spans="1:18" x14ac:dyDescent="0.25">
      <c r="A632">
        <v>2013</v>
      </c>
      <c r="B632">
        <v>7</v>
      </c>
      <c r="C632" s="1" t="s">
        <v>30</v>
      </c>
      <c r="D632" s="1" t="s">
        <v>19</v>
      </c>
      <c r="E632" s="1" t="s">
        <v>56</v>
      </c>
      <c r="F632">
        <v>2006</v>
      </c>
      <c r="G632">
        <v>7</v>
      </c>
      <c r="H632" s="1" t="s">
        <v>21</v>
      </c>
      <c r="I632">
        <v>35</v>
      </c>
      <c r="J632">
        <v>4204</v>
      </c>
      <c r="K632" s="1" t="s">
        <v>57</v>
      </c>
      <c r="L632" s="1" t="s">
        <v>45</v>
      </c>
      <c r="M632">
        <v>2.0659999999999998</v>
      </c>
      <c r="N632">
        <v>72298.3</v>
      </c>
      <c r="O632">
        <v>72.298000000000002</v>
      </c>
      <c r="P632" s="2">
        <v>41456</v>
      </c>
      <c r="Q632">
        <v>1</v>
      </c>
      <c r="R632" s="1" t="s">
        <v>40</v>
      </c>
    </row>
    <row r="633" spans="1:18" x14ac:dyDescent="0.25">
      <c r="A633">
        <v>2013</v>
      </c>
      <c r="B633">
        <v>8</v>
      </c>
      <c r="C633" s="1" t="s">
        <v>31</v>
      </c>
      <c r="D633" s="1" t="s">
        <v>19</v>
      </c>
      <c r="E633" s="1" t="s">
        <v>56</v>
      </c>
      <c r="F633">
        <v>2006</v>
      </c>
      <c r="G633">
        <v>7</v>
      </c>
      <c r="H633" s="1" t="s">
        <v>21</v>
      </c>
      <c r="I633">
        <v>35</v>
      </c>
      <c r="J633">
        <v>4204</v>
      </c>
      <c r="K633" s="1" t="s">
        <v>57</v>
      </c>
      <c r="L633" s="1" t="s">
        <v>45</v>
      </c>
      <c r="M633">
        <v>1.68</v>
      </c>
      <c r="N633">
        <v>58803.4</v>
      </c>
      <c r="O633">
        <v>58.802999999999997</v>
      </c>
      <c r="P633" s="2">
        <v>41487</v>
      </c>
      <c r="Q633">
        <v>1</v>
      </c>
      <c r="R633" s="1" t="s">
        <v>40</v>
      </c>
    </row>
    <row r="634" spans="1:18" x14ac:dyDescent="0.25">
      <c r="A634">
        <v>2013</v>
      </c>
      <c r="B634">
        <v>9</v>
      </c>
      <c r="C634" s="1" t="s">
        <v>32</v>
      </c>
      <c r="D634" s="1" t="s">
        <v>19</v>
      </c>
      <c r="E634" s="1" t="s">
        <v>56</v>
      </c>
      <c r="F634">
        <v>2006</v>
      </c>
      <c r="G634">
        <v>7</v>
      </c>
      <c r="H634" s="1" t="s">
        <v>21</v>
      </c>
      <c r="I634">
        <v>35</v>
      </c>
      <c r="J634">
        <v>4204</v>
      </c>
      <c r="K634" s="1" t="s">
        <v>57</v>
      </c>
      <c r="L634" s="1" t="s">
        <v>45</v>
      </c>
      <c r="M634">
        <v>1.6679999999999999</v>
      </c>
      <c r="N634">
        <v>58393.599999999999</v>
      </c>
      <c r="O634">
        <v>58.393999999999998</v>
      </c>
      <c r="P634" s="2">
        <v>41518</v>
      </c>
      <c r="Q634">
        <v>1</v>
      </c>
      <c r="R634" s="1" t="s">
        <v>40</v>
      </c>
    </row>
    <row r="635" spans="1:18" x14ac:dyDescent="0.25">
      <c r="A635">
        <v>2013</v>
      </c>
      <c r="B635">
        <v>10</v>
      </c>
      <c r="C635" s="1" t="s">
        <v>33</v>
      </c>
      <c r="D635" s="1" t="s">
        <v>19</v>
      </c>
      <c r="E635" s="1" t="s">
        <v>56</v>
      </c>
      <c r="F635">
        <v>2006</v>
      </c>
      <c r="G635">
        <v>7</v>
      </c>
      <c r="H635" s="1" t="s">
        <v>21</v>
      </c>
      <c r="I635">
        <v>35</v>
      </c>
      <c r="J635">
        <v>4204</v>
      </c>
      <c r="K635" s="1" t="s">
        <v>57</v>
      </c>
      <c r="L635" s="1" t="s">
        <v>45</v>
      </c>
      <c r="M635">
        <v>1.6259999999999999</v>
      </c>
      <c r="N635">
        <v>56911.6</v>
      </c>
      <c r="O635">
        <v>56.911999999999999</v>
      </c>
      <c r="P635" s="2">
        <v>41548</v>
      </c>
      <c r="Q635">
        <v>1</v>
      </c>
      <c r="R635" s="1" t="s">
        <v>40</v>
      </c>
    </row>
    <row r="636" spans="1:18" x14ac:dyDescent="0.25">
      <c r="A636">
        <v>2013</v>
      </c>
      <c r="B636">
        <v>11</v>
      </c>
      <c r="C636" s="1" t="s">
        <v>34</v>
      </c>
      <c r="D636" s="1" t="s">
        <v>19</v>
      </c>
      <c r="E636" s="1" t="s">
        <v>56</v>
      </c>
      <c r="F636">
        <v>2006</v>
      </c>
      <c r="G636">
        <v>7</v>
      </c>
      <c r="H636" s="1" t="s">
        <v>21</v>
      </c>
      <c r="I636">
        <v>35</v>
      </c>
      <c r="J636">
        <v>4204</v>
      </c>
      <c r="K636" s="1" t="s">
        <v>57</v>
      </c>
      <c r="L636" s="1" t="s">
        <v>45</v>
      </c>
      <c r="M636">
        <v>1.546</v>
      </c>
      <c r="N636">
        <v>54105.5</v>
      </c>
      <c r="O636">
        <v>54.104999999999997</v>
      </c>
      <c r="P636" s="2">
        <v>41579</v>
      </c>
      <c r="Q636">
        <v>1</v>
      </c>
      <c r="R636" s="1" t="s">
        <v>40</v>
      </c>
    </row>
    <row r="637" spans="1:18" x14ac:dyDescent="0.25">
      <c r="A637">
        <v>2013</v>
      </c>
      <c r="B637">
        <v>12</v>
      </c>
      <c r="C637" s="1" t="s">
        <v>35</v>
      </c>
      <c r="D637" s="1" t="s">
        <v>19</v>
      </c>
      <c r="E637" s="1" t="s">
        <v>56</v>
      </c>
      <c r="F637">
        <v>2006</v>
      </c>
      <c r="G637">
        <v>7</v>
      </c>
      <c r="H637" s="1" t="s">
        <v>21</v>
      </c>
      <c r="I637">
        <v>35</v>
      </c>
      <c r="J637">
        <v>4204</v>
      </c>
      <c r="K637" s="1" t="s">
        <v>57</v>
      </c>
      <c r="L637" s="1" t="s">
        <v>45</v>
      </c>
      <c r="M637">
        <v>1.1379999999999999</v>
      </c>
      <c r="N637">
        <v>39822.400000000001</v>
      </c>
      <c r="O637">
        <v>39.822000000000003</v>
      </c>
      <c r="P637" s="2">
        <v>41609</v>
      </c>
      <c r="Q637">
        <v>1</v>
      </c>
      <c r="R637" s="1" t="s">
        <v>40</v>
      </c>
    </row>
    <row r="638" spans="1:18" x14ac:dyDescent="0.25">
      <c r="A638">
        <v>2013</v>
      </c>
      <c r="B638">
        <v>1</v>
      </c>
      <c r="C638" s="1" t="s">
        <v>18</v>
      </c>
      <c r="D638" s="1" t="s">
        <v>19</v>
      </c>
      <c r="E638" s="1" t="s">
        <v>58</v>
      </c>
      <c r="F638">
        <v>2012</v>
      </c>
      <c r="G638">
        <v>1</v>
      </c>
      <c r="H638" s="1" t="s">
        <v>59</v>
      </c>
      <c r="I638">
        <v>10</v>
      </c>
      <c r="J638">
        <v>1434</v>
      </c>
      <c r="K638" s="1" t="s">
        <v>60</v>
      </c>
      <c r="L638" s="1" t="s">
        <v>45</v>
      </c>
      <c r="M638">
        <v>0</v>
      </c>
      <c r="N638">
        <v>0</v>
      </c>
      <c r="O638">
        <v>0</v>
      </c>
      <c r="P638" s="2">
        <v>41275</v>
      </c>
      <c r="Q638">
        <v>0</v>
      </c>
      <c r="R638" s="1" t="s">
        <v>61</v>
      </c>
    </row>
    <row r="639" spans="1:18" x14ac:dyDescent="0.25">
      <c r="A639">
        <v>2013</v>
      </c>
      <c r="B639">
        <v>2</v>
      </c>
      <c r="C639" s="1" t="s">
        <v>25</v>
      </c>
      <c r="D639" s="1" t="s">
        <v>19</v>
      </c>
      <c r="E639" s="1" t="s">
        <v>58</v>
      </c>
      <c r="F639">
        <v>2012</v>
      </c>
      <c r="G639">
        <v>1</v>
      </c>
      <c r="H639" s="1" t="s">
        <v>59</v>
      </c>
      <c r="I639">
        <v>10</v>
      </c>
      <c r="J639">
        <v>1434</v>
      </c>
      <c r="K639" s="1" t="s">
        <v>60</v>
      </c>
      <c r="L639" s="1" t="s">
        <v>45</v>
      </c>
      <c r="M639">
        <v>0</v>
      </c>
      <c r="N639">
        <v>0</v>
      </c>
      <c r="O639">
        <v>0</v>
      </c>
      <c r="P639" s="2">
        <v>41306</v>
      </c>
      <c r="Q639">
        <v>0</v>
      </c>
      <c r="R639" s="1" t="s">
        <v>61</v>
      </c>
    </row>
    <row r="640" spans="1:18" x14ac:dyDescent="0.25">
      <c r="A640">
        <v>2013</v>
      </c>
      <c r="B640">
        <v>3</v>
      </c>
      <c r="C640" s="1" t="s">
        <v>26</v>
      </c>
      <c r="D640" s="1" t="s">
        <v>19</v>
      </c>
      <c r="E640" s="1" t="s">
        <v>58</v>
      </c>
      <c r="F640">
        <v>2012</v>
      </c>
      <c r="G640">
        <v>1</v>
      </c>
      <c r="H640" s="1" t="s">
        <v>59</v>
      </c>
      <c r="I640">
        <v>10</v>
      </c>
      <c r="J640">
        <v>1434</v>
      </c>
      <c r="K640" s="1" t="s">
        <v>60</v>
      </c>
      <c r="L640" s="1" t="s">
        <v>45</v>
      </c>
      <c r="M640">
        <v>0</v>
      </c>
      <c r="N640">
        <v>0</v>
      </c>
      <c r="O640">
        <v>0</v>
      </c>
      <c r="P640" s="2">
        <v>41334</v>
      </c>
      <c r="Q640">
        <v>0</v>
      </c>
      <c r="R640" s="1" t="s">
        <v>61</v>
      </c>
    </row>
    <row r="641" spans="1:18" x14ac:dyDescent="0.25">
      <c r="A641">
        <v>2013</v>
      </c>
      <c r="B641">
        <v>4</v>
      </c>
      <c r="C641" s="1" t="s">
        <v>27</v>
      </c>
      <c r="D641" s="1" t="s">
        <v>19</v>
      </c>
      <c r="E641" s="1" t="s">
        <v>58</v>
      </c>
      <c r="F641">
        <v>2012</v>
      </c>
      <c r="G641">
        <v>1</v>
      </c>
      <c r="H641" s="1" t="s">
        <v>59</v>
      </c>
      <c r="I641">
        <v>10</v>
      </c>
      <c r="J641">
        <v>1434</v>
      </c>
      <c r="K641" s="1" t="s">
        <v>60</v>
      </c>
      <c r="L641" s="1" t="s">
        <v>45</v>
      </c>
      <c r="M641">
        <v>0</v>
      </c>
      <c r="N641">
        <v>0</v>
      </c>
      <c r="O641">
        <v>0</v>
      </c>
      <c r="P641" s="2">
        <v>41365</v>
      </c>
      <c r="Q641">
        <v>0</v>
      </c>
      <c r="R641" s="1" t="s">
        <v>61</v>
      </c>
    </row>
    <row r="642" spans="1:18" x14ac:dyDescent="0.25">
      <c r="A642">
        <v>2013</v>
      </c>
      <c r="B642">
        <v>5</v>
      </c>
      <c r="C642" s="1" t="s">
        <v>28</v>
      </c>
      <c r="D642" s="1" t="s">
        <v>19</v>
      </c>
      <c r="E642" s="1" t="s">
        <v>58</v>
      </c>
      <c r="F642">
        <v>2012</v>
      </c>
      <c r="G642">
        <v>1</v>
      </c>
      <c r="H642" s="1" t="s">
        <v>59</v>
      </c>
      <c r="I642">
        <v>10</v>
      </c>
      <c r="J642">
        <v>1434</v>
      </c>
      <c r="K642" s="1" t="s">
        <v>60</v>
      </c>
      <c r="L642" s="1" t="s">
        <v>45</v>
      </c>
      <c r="M642">
        <v>0</v>
      </c>
      <c r="N642">
        <v>0</v>
      </c>
      <c r="O642">
        <v>0</v>
      </c>
      <c r="P642" s="2">
        <v>41395</v>
      </c>
      <c r="Q642">
        <v>0</v>
      </c>
      <c r="R642" s="1" t="s">
        <v>61</v>
      </c>
    </row>
    <row r="643" spans="1:18" x14ac:dyDescent="0.25">
      <c r="A643">
        <v>2013</v>
      </c>
      <c r="B643">
        <v>6</v>
      </c>
      <c r="C643" s="1" t="s">
        <v>29</v>
      </c>
      <c r="D643" s="1" t="s">
        <v>19</v>
      </c>
      <c r="E643" s="1" t="s">
        <v>58</v>
      </c>
      <c r="F643">
        <v>2012</v>
      </c>
      <c r="G643">
        <v>1</v>
      </c>
      <c r="H643" s="1" t="s">
        <v>59</v>
      </c>
      <c r="I643">
        <v>10</v>
      </c>
      <c r="J643">
        <v>1434</v>
      </c>
      <c r="K643" s="1" t="s">
        <v>60</v>
      </c>
      <c r="L643" s="1" t="s">
        <v>45</v>
      </c>
      <c r="M643">
        <v>0</v>
      </c>
      <c r="N643">
        <v>0</v>
      </c>
      <c r="O643">
        <v>0</v>
      </c>
      <c r="P643" s="2">
        <v>41426</v>
      </c>
      <c r="Q643">
        <v>0</v>
      </c>
      <c r="R643" s="1" t="s">
        <v>61</v>
      </c>
    </row>
    <row r="644" spans="1:18" x14ac:dyDescent="0.25">
      <c r="A644">
        <v>2013</v>
      </c>
      <c r="B644">
        <v>7</v>
      </c>
      <c r="C644" s="1" t="s">
        <v>30</v>
      </c>
      <c r="D644" s="1" t="s">
        <v>19</v>
      </c>
      <c r="E644" s="1" t="s">
        <v>58</v>
      </c>
      <c r="F644">
        <v>2012</v>
      </c>
      <c r="G644">
        <v>1</v>
      </c>
      <c r="H644" s="1" t="s">
        <v>59</v>
      </c>
      <c r="I644">
        <v>10</v>
      </c>
      <c r="J644">
        <v>1434</v>
      </c>
      <c r="K644" s="1" t="s">
        <v>60</v>
      </c>
      <c r="L644" s="1" t="s">
        <v>45</v>
      </c>
      <c r="M644">
        <v>0</v>
      </c>
      <c r="N644">
        <v>0</v>
      </c>
      <c r="O644">
        <v>0</v>
      </c>
      <c r="P644" s="2">
        <v>41456</v>
      </c>
      <c r="Q644">
        <v>0</v>
      </c>
      <c r="R644" s="1" t="s">
        <v>61</v>
      </c>
    </row>
    <row r="645" spans="1:18" x14ac:dyDescent="0.25">
      <c r="A645">
        <v>2013</v>
      </c>
      <c r="B645">
        <v>8</v>
      </c>
      <c r="C645" s="1" t="s">
        <v>31</v>
      </c>
      <c r="D645" s="1" t="s">
        <v>19</v>
      </c>
      <c r="E645" s="1" t="s">
        <v>58</v>
      </c>
      <c r="F645">
        <v>2012</v>
      </c>
      <c r="G645">
        <v>1</v>
      </c>
      <c r="H645" s="1" t="s">
        <v>59</v>
      </c>
      <c r="I645">
        <v>10</v>
      </c>
      <c r="J645">
        <v>1434</v>
      </c>
      <c r="K645" s="1" t="s">
        <v>60</v>
      </c>
      <c r="L645" s="1" t="s">
        <v>45</v>
      </c>
      <c r="M645">
        <v>0</v>
      </c>
      <c r="N645">
        <v>0</v>
      </c>
      <c r="O645">
        <v>0</v>
      </c>
      <c r="P645" s="2">
        <v>41487</v>
      </c>
      <c r="Q645">
        <v>0</v>
      </c>
      <c r="R645" s="1" t="s">
        <v>61</v>
      </c>
    </row>
    <row r="646" spans="1:18" x14ac:dyDescent="0.25">
      <c r="A646">
        <v>2013</v>
      </c>
      <c r="B646">
        <v>9</v>
      </c>
      <c r="C646" s="1" t="s">
        <v>32</v>
      </c>
      <c r="D646" s="1" t="s">
        <v>19</v>
      </c>
      <c r="E646" s="1" t="s">
        <v>58</v>
      </c>
      <c r="F646">
        <v>2012</v>
      </c>
      <c r="G646">
        <v>1</v>
      </c>
      <c r="H646" s="1" t="s">
        <v>59</v>
      </c>
      <c r="I646">
        <v>10</v>
      </c>
      <c r="J646">
        <v>1434</v>
      </c>
      <c r="K646" s="1" t="s">
        <v>60</v>
      </c>
      <c r="L646" s="1" t="s">
        <v>45</v>
      </c>
      <c r="M646">
        <v>0</v>
      </c>
      <c r="N646">
        <v>0</v>
      </c>
      <c r="O646">
        <v>0</v>
      </c>
      <c r="P646" s="2">
        <v>41518</v>
      </c>
      <c r="Q646">
        <v>0</v>
      </c>
      <c r="R646" s="1" t="s">
        <v>61</v>
      </c>
    </row>
    <row r="647" spans="1:18" x14ac:dyDescent="0.25">
      <c r="A647">
        <v>2013</v>
      </c>
      <c r="B647">
        <v>10</v>
      </c>
      <c r="C647" s="1" t="s">
        <v>33</v>
      </c>
      <c r="D647" s="1" t="s">
        <v>19</v>
      </c>
      <c r="E647" s="1" t="s">
        <v>58</v>
      </c>
      <c r="F647">
        <v>2012</v>
      </c>
      <c r="G647">
        <v>1</v>
      </c>
      <c r="H647" s="1" t="s">
        <v>59</v>
      </c>
      <c r="I647">
        <v>10</v>
      </c>
      <c r="J647">
        <v>1434</v>
      </c>
      <c r="K647" s="1" t="s">
        <v>60</v>
      </c>
      <c r="L647" s="1" t="s">
        <v>45</v>
      </c>
      <c r="M647">
        <v>0</v>
      </c>
      <c r="N647">
        <v>0</v>
      </c>
      <c r="O647">
        <v>0</v>
      </c>
      <c r="P647" s="2">
        <v>41548</v>
      </c>
      <c r="Q647">
        <v>0</v>
      </c>
      <c r="R647" s="1" t="s">
        <v>61</v>
      </c>
    </row>
    <row r="648" spans="1:18" x14ac:dyDescent="0.25">
      <c r="A648">
        <v>2013</v>
      </c>
      <c r="B648">
        <v>11</v>
      </c>
      <c r="C648" s="1" t="s">
        <v>34</v>
      </c>
      <c r="D648" s="1" t="s">
        <v>19</v>
      </c>
      <c r="E648" s="1" t="s">
        <v>58</v>
      </c>
      <c r="F648">
        <v>2012</v>
      </c>
      <c r="G648">
        <v>1</v>
      </c>
      <c r="H648" s="1" t="s">
        <v>59</v>
      </c>
      <c r="I648">
        <v>10</v>
      </c>
      <c r="J648">
        <v>1434</v>
      </c>
      <c r="K648" s="1" t="s">
        <v>60</v>
      </c>
      <c r="L648" s="1" t="s">
        <v>45</v>
      </c>
      <c r="M648">
        <v>0</v>
      </c>
      <c r="N648">
        <v>0</v>
      </c>
      <c r="O648">
        <v>0</v>
      </c>
      <c r="P648" s="2">
        <v>41579</v>
      </c>
      <c r="Q648">
        <v>0</v>
      </c>
      <c r="R648" s="1" t="s">
        <v>61</v>
      </c>
    </row>
    <row r="649" spans="1:18" x14ac:dyDescent="0.25">
      <c r="A649">
        <v>2013</v>
      </c>
      <c r="B649">
        <v>12</v>
      </c>
      <c r="C649" s="1" t="s">
        <v>35</v>
      </c>
      <c r="D649" s="1" t="s">
        <v>19</v>
      </c>
      <c r="E649" s="1" t="s">
        <v>58</v>
      </c>
      <c r="F649">
        <v>2012</v>
      </c>
      <c r="G649">
        <v>1</v>
      </c>
      <c r="H649" s="1" t="s">
        <v>59</v>
      </c>
      <c r="I649">
        <v>10</v>
      </c>
      <c r="J649">
        <v>1434</v>
      </c>
      <c r="K649" s="1" t="s">
        <v>60</v>
      </c>
      <c r="L649" s="1" t="s">
        <v>45</v>
      </c>
      <c r="M649">
        <v>0</v>
      </c>
      <c r="N649">
        <v>0</v>
      </c>
      <c r="O649">
        <v>0</v>
      </c>
      <c r="P649" s="2">
        <v>41609</v>
      </c>
      <c r="Q649">
        <v>0</v>
      </c>
      <c r="R649" s="1" t="s">
        <v>61</v>
      </c>
    </row>
    <row r="650" spans="1:18" x14ac:dyDescent="0.25">
      <c r="A650">
        <v>2013</v>
      </c>
      <c r="B650">
        <v>1</v>
      </c>
      <c r="C650" s="1" t="s">
        <v>18</v>
      </c>
      <c r="D650" s="1" t="s">
        <v>19</v>
      </c>
      <c r="E650" s="1" t="s">
        <v>62</v>
      </c>
      <c r="F650">
        <v>2012</v>
      </c>
      <c r="G650">
        <v>1</v>
      </c>
      <c r="H650" s="1" t="s">
        <v>59</v>
      </c>
      <c r="I650">
        <v>24</v>
      </c>
      <c r="J650">
        <v>3074</v>
      </c>
      <c r="K650" s="1" t="s">
        <v>63</v>
      </c>
      <c r="L650" s="1" t="s">
        <v>64</v>
      </c>
      <c r="M650">
        <v>0</v>
      </c>
      <c r="N650">
        <v>0</v>
      </c>
      <c r="O650">
        <v>0</v>
      </c>
      <c r="P650" s="2">
        <v>41275</v>
      </c>
      <c r="Q650">
        <v>0</v>
      </c>
      <c r="R650" s="1" t="s">
        <v>61</v>
      </c>
    </row>
    <row r="651" spans="1:18" x14ac:dyDescent="0.25">
      <c r="A651">
        <v>2013</v>
      </c>
      <c r="B651">
        <v>2</v>
      </c>
      <c r="C651" s="1" t="s">
        <v>25</v>
      </c>
      <c r="D651" s="1" t="s">
        <v>19</v>
      </c>
      <c r="E651" s="1" t="s">
        <v>62</v>
      </c>
      <c r="F651">
        <v>2012</v>
      </c>
      <c r="G651">
        <v>1</v>
      </c>
      <c r="H651" s="1" t="s">
        <v>59</v>
      </c>
      <c r="I651">
        <v>24</v>
      </c>
      <c r="J651">
        <v>3074</v>
      </c>
      <c r="K651" s="1" t="s">
        <v>63</v>
      </c>
      <c r="L651" s="1" t="s">
        <v>64</v>
      </c>
      <c r="M651">
        <v>0</v>
      </c>
      <c r="N651">
        <v>0</v>
      </c>
      <c r="O651">
        <v>0</v>
      </c>
      <c r="P651" s="2">
        <v>41306</v>
      </c>
      <c r="Q651">
        <v>0</v>
      </c>
      <c r="R651" s="1" t="s">
        <v>61</v>
      </c>
    </row>
    <row r="652" spans="1:18" x14ac:dyDescent="0.25">
      <c r="A652">
        <v>2013</v>
      </c>
      <c r="B652">
        <v>3</v>
      </c>
      <c r="C652" s="1" t="s">
        <v>26</v>
      </c>
      <c r="D652" s="1" t="s">
        <v>19</v>
      </c>
      <c r="E652" s="1" t="s">
        <v>62</v>
      </c>
      <c r="F652">
        <v>2012</v>
      </c>
      <c r="G652">
        <v>1</v>
      </c>
      <c r="H652" s="1" t="s">
        <v>59</v>
      </c>
      <c r="I652">
        <v>24</v>
      </c>
      <c r="J652">
        <v>3074</v>
      </c>
      <c r="K652" s="1" t="s">
        <v>63</v>
      </c>
      <c r="L652" s="1" t="s">
        <v>64</v>
      </c>
      <c r="M652">
        <v>0</v>
      </c>
      <c r="N652">
        <v>0</v>
      </c>
      <c r="O652">
        <v>0</v>
      </c>
      <c r="P652" s="2">
        <v>41334</v>
      </c>
      <c r="Q652">
        <v>0</v>
      </c>
      <c r="R652" s="1" t="s">
        <v>61</v>
      </c>
    </row>
    <row r="653" spans="1:18" x14ac:dyDescent="0.25">
      <c r="A653">
        <v>2013</v>
      </c>
      <c r="B653">
        <v>4</v>
      </c>
      <c r="C653" s="1" t="s">
        <v>27</v>
      </c>
      <c r="D653" s="1" t="s">
        <v>19</v>
      </c>
      <c r="E653" s="1" t="s">
        <v>62</v>
      </c>
      <c r="F653">
        <v>2012</v>
      </c>
      <c r="G653">
        <v>1</v>
      </c>
      <c r="H653" s="1" t="s">
        <v>59</v>
      </c>
      <c r="I653">
        <v>24</v>
      </c>
      <c r="J653">
        <v>3074</v>
      </c>
      <c r="K653" s="1" t="s">
        <v>63</v>
      </c>
      <c r="L653" s="1" t="s">
        <v>64</v>
      </c>
      <c r="M653">
        <v>0</v>
      </c>
      <c r="N653">
        <v>0</v>
      </c>
      <c r="O653">
        <v>0</v>
      </c>
      <c r="P653" s="2">
        <v>41365</v>
      </c>
      <c r="Q653">
        <v>0</v>
      </c>
      <c r="R653" s="1" t="s">
        <v>61</v>
      </c>
    </row>
    <row r="654" spans="1:18" x14ac:dyDescent="0.25">
      <c r="A654">
        <v>2013</v>
      </c>
      <c r="B654">
        <v>5</v>
      </c>
      <c r="C654" s="1" t="s">
        <v>28</v>
      </c>
      <c r="D654" s="1" t="s">
        <v>19</v>
      </c>
      <c r="E654" s="1" t="s">
        <v>62</v>
      </c>
      <c r="F654">
        <v>2012</v>
      </c>
      <c r="G654">
        <v>1</v>
      </c>
      <c r="H654" s="1" t="s">
        <v>59</v>
      </c>
      <c r="I654">
        <v>24</v>
      </c>
      <c r="J654">
        <v>3074</v>
      </c>
      <c r="K654" s="1" t="s">
        <v>63</v>
      </c>
      <c r="L654" s="1" t="s">
        <v>64</v>
      </c>
      <c r="M654">
        <v>0</v>
      </c>
      <c r="N654">
        <v>0</v>
      </c>
      <c r="O654">
        <v>0</v>
      </c>
      <c r="P654" s="2">
        <v>41395</v>
      </c>
      <c r="Q654">
        <v>0</v>
      </c>
      <c r="R654" s="1" t="s">
        <v>61</v>
      </c>
    </row>
    <row r="655" spans="1:18" x14ac:dyDescent="0.25">
      <c r="A655">
        <v>2013</v>
      </c>
      <c r="B655">
        <v>6</v>
      </c>
      <c r="C655" s="1" t="s">
        <v>29</v>
      </c>
      <c r="D655" s="1" t="s">
        <v>19</v>
      </c>
      <c r="E655" s="1" t="s">
        <v>62</v>
      </c>
      <c r="F655">
        <v>2012</v>
      </c>
      <c r="G655">
        <v>1</v>
      </c>
      <c r="H655" s="1" t="s">
        <v>59</v>
      </c>
      <c r="I655">
        <v>24</v>
      </c>
      <c r="J655">
        <v>3074</v>
      </c>
      <c r="K655" s="1" t="s">
        <v>63</v>
      </c>
      <c r="L655" s="1" t="s">
        <v>64</v>
      </c>
      <c r="M655">
        <v>0</v>
      </c>
      <c r="N655">
        <v>0</v>
      </c>
      <c r="O655">
        <v>0</v>
      </c>
      <c r="P655" s="2">
        <v>41426</v>
      </c>
      <c r="Q655">
        <v>0</v>
      </c>
      <c r="R655" s="1" t="s">
        <v>61</v>
      </c>
    </row>
    <row r="656" spans="1:18" x14ac:dyDescent="0.25">
      <c r="A656">
        <v>2013</v>
      </c>
      <c r="B656">
        <v>7</v>
      </c>
      <c r="C656" s="1" t="s">
        <v>30</v>
      </c>
      <c r="D656" s="1" t="s">
        <v>19</v>
      </c>
      <c r="E656" s="1" t="s">
        <v>62</v>
      </c>
      <c r="F656">
        <v>2012</v>
      </c>
      <c r="G656">
        <v>1</v>
      </c>
      <c r="H656" s="1" t="s">
        <v>59</v>
      </c>
      <c r="I656">
        <v>24</v>
      </c>
      <c r="J656">
        <v>3074</v>
      </c>
      <c r="K656" s="1" t="s">
        <v>63</v>
      </c>
      <c r="L656" s="1" t="s">
        <v>64</v>
      </c>
      <c r="M656">
        <v>0</v>
      </c>
      <c r="N656">
        <v>0</v>
      </c>
      <c r="O656">
        <v>0</v>
      </c>
      <c r="P656" s="2">
        <v>41456</v>
      </c>
      <c r="Q656">
        <v>0</v>
      </c>
      <c r="R656" s="1" t="s">
        <v>61</v>
      </c>
    </row>
    <row r="657" spans="1:18" x14ac:dyDescent="0.25">
      <c r="A657">
        <v>2013</v>
      </c>
      <c r="B657">
        <v>8</v>
      </c>
      <c r="C657" s="1" t="s">
        <v>31</v>
      </c>
      <c r="D657" s="1" t="s">
        <v>19</v>
      </c>
      <c r="E657" s="1" t="s">
        <v>62</v>
      </c>
      <c r="F657">
        <v>2012</v>
      </c>
      <c r="G657">
        <v>1</v>
      </c>
      <c r="H657" s="1" t="s">
        <v>59</v>
      </c>
      <c r="I657">
        <v>24</v>
      </c>
      <c r="J657">
        <v>3074</v>
      </c>
      <c r="K657" s="1" t="s">
        <v>63</v>
      </c>
      <c r="L657" s="1" t="s">
        <v>64</v>
      </c>
      <c r="M657">
        <v>0</v>
      </c>
      <c r="N657">
        <v>0</v>
      </c>
      <c r="O657">
        <v>0</v>
      </c>
      <c r="P657" s="2">
        <v>41487</v>
      </c>
      <c r="Q657">
        <v>0</v>
      </c>
      <c r="R657" s="1" t="s">
        <v>61</v>
      </c>
    </row>
    <row r="658" spans="1:18" x14ac:dyDescent="0.25">
      <c r="A658">
        <v>2013</v>
      </c>
      <c r="B658">
        <v>9</v>
      </c>
      <c r="C658" s="1" t="s">
        <v>32</v>
      </c>
      <c r="D658" s="1" t="s">
        <v>19</v>
      </c>
      <c r="E658" s="1" t="s">
        <v>62</v>
      </c>
      <c r="F658">
        <v>2012</v>
      </c>
      <c r="G658">
        <v>1</v>
      </c>
      <c r="H658" s="1" t="s">
        <v>59</v>
      </c>
      <c r="I658">
        <v>24</v>
      </c>
      <c r="J658">
        <v>3074</v>
      </c>
      <c r="K658" s="1" t="s">
        <v>63</v>
      </c>
      <c r="L658" s="1" t="s">
        <v>64</v>
      </c>
      <c r="M658">
        <v>0</v>
      </c>
      <c r="N658">
        <v>0</v>
      </c>
      <c r="O658">
        <v>0</v>
      </c>
      <c r="P658" s="2">
        <v>41518</v>
      </c>
      <c r="Q658">
        <v>0</v>
      </c>
      <c r="R658" s="1" t="s">
        <v>61</v>
      </c>
    </row>
    <row r="659" spans="1:18" x14ac:dyDescent="0.25">
      <c r="A659">
        <v>2013</v>
      </c>
      <c r="B659">
        <v>10</v>
      </c>
      <c r="C659" s="1" t="s">
        <v>33</v>
      </c>
      <c r="D659" s="1" t="s">
        <v>19</v>
      </c>
      <c r="E659" s="1" t="s">
        <v>62</v>
      </c>
      <c r="F659">
        <v>2012</v>
      </c>
      <c r="G659">
        <v>1</v>
      </c>
      <c r="H659" s="1" t="s">
        <v>59</v>
      </c>
      <c r="I659">
        <v>24</v>
      </c>
      <c r="J659">
        <v>3074</v>
      </c>
      <c r="K659" s="1" t="s">
        <v>63</v>
      </c>
      <c r="L659" s="1" t="s">
        <v>64</v>
      </c>
      <c r="M659">
        <v>0</v>
      </c>
      <c r="N659">
        <v>0</v>
      </c>
      <c r="O659">
        <v>0</v>
      </c>
      <c r="P659" s="2">
        <v>41548</v>
      </c>
      <c r="Q659">
        <v>0</v>
      </c>
      <c r="R659" s="1" t="s">
        <v>61</v>
      </c>
    </row>
    <row r="660" spans="1:18" x14ac:dyDescent="0.25">
      <c r="A660">
        <v>2013</v>
      </c>
      <c r="B660">
        <v>11</v>
      </c>
      <c r="C660" s="1" t="s">
        <v>34</v>
      </c>
      <c r="D660" s="1" t="s">
        <v>19</v>
      </c>
      <c r="E660" s="1" t="s">
        <v>62</v>
      </c>
      <c r="F660">
        <v>2012</v>
      </c>
      <c r="G660">
        <v>1</v>
      </c>
      <c r="H660" s="1" t="s">
        <v>59</v>
      </c>
      <c r="I660">
        <v>24</v>
      </c>
      <c r="J660">
        <v>3074</v>
      </c>
      <c r="K660" s="1" t="s">
        <v>63</v>
      </c>
      <c r="L660" s="1" t="s">
        <v>64</v>
      </c>
      <c r="M660">
        <v>0</v>
      </c>
      <c r="N660">
        <v>0</v>
      </c>
      <c r="O660">
        <v>0</v>
      </c>
      <c r="P660" s="2">
        <v>41579</v>
      </c>
      <c r="Q660">
        <v>0</v>
      </c>
      <c r="R660" s="1" t="s">
        <v>61</v>
      </c>
    </row>
    <row r="661" spans="1:18" x14ac:dyDescent="0.25">
      <c r="A661">
        <v>2013</v>
      </c>
      <c r="B661">
        <v>12</v>
      </c>
      <c r="C661" s="1" t="s">
        <v>35</v>
      </c>
      <c r="D661" s="1" t="s">
        <v>19</v>
      </c>
      <c r="E661" s="1" t="s">
        <v>62</v>
      </c>
      <c r="F661">
        <v>2012</v>
      </c>
      <c r="G661">
        <v>1</v>
      </c>
      <c r="H661" s="1" t="s">
        <v>59</v>
      </c>
      <c r="I661">
        <v>24</v>
      </c>
      <c r="J661">
        <v>3074</v>
      </c>
      <c r="K661" s="1" t="s">
        <v>63</v>
      </c>
      <c r="L661" s="1" t="s">
        <v>64</v>
      </c>
      <c r="M661">
        <v>0</v>
      </c>
      <c r="N661">
        <v>0</v>
      </c>
      <c r="O661">
        <v>0</v>
      </c>
      <c r="P661" s="2">
        <v>41609</v>
      </c>
      <c r="Q661">
        <v>0</v>
      </c>
      <c r="R661" s="1" t="s">
        <v>61</v>
      </c>
    </row>
    <row r="662" spans="1:18" x14ac:dyDescent="0.25">
      <c r="A662">
        <v>2013</v>
      </c>
      <c r="B662">
        <v>1</v>
      </c>
      <c r="C662" s="1" t="s">
        <v>18</v>
      </c>
      <c r="D662" s="1" t="s">
        <v>19</v>
      </c>
      <c r="E662" s="1" t="s">
        <v>65</v>
      </c>
      <c r="F662">
        <v>2012</v>
      </c>
      <c r="G662">
        <v>1</v>
      </c>
      <c r="H662" s="1" t="s">
        <v>59</v>
      </c>
      <c r="I662">
        <v>19</v>
      </c>
      <c r="J662">
        <v>2418</v>
      </c>
      <c r="K662" s="1" t="s">
        <v>66</v>
      </c>
      <c r="L662" s="1" t="s">
        <v>64</v>
      </c>
      <c r="M662">
        <v>0</v>
      </c>
      <c r="N662">
        <v>0</v>
      </c>
      <c r="O662">
        <v>0</v>
      </c>
      <c r="P662" s="2">
        <v>41275</v>
      </c>
      <c r="Q662">
        <v>0</v>
      </c>
      <c r="R662" s="1" t="s">
        <v>61</v>
      </c>
    </row>
    <row r="663" spans="1:18" x14ac:dyDescent="0.25">
      <c r="A663">
        <v>2013</v>
      </c>
      <c r="B663">
        <v>2</v>
      </c>
      <c r="C663" s="1" t="s">
        <v>25</v>
      </c>
      <c r="D663" s="1" t="s">
        <v>19</v>
      </c>
      <c r="E663" s="1" t="s">
        <v>65</v>
      </c>
      <c r="F663">
        <v>2012</v>
      </c>
      <c r="G663">
        <v>1</v>
      </c>
      <c r="H663" s="1" t="s">
        <v>59</v>
      </c>
      <c r="I663">
        <v>19</v>
      </c>
      <c r="J663">
        <v>2418</v>
      </c>
      <c r="K663" s="1" t="s">
        <v>66</v>
      </c>
      <c r="L663" s="1" t="s">
        <v>64</v>
      </c>
      <c r="M663">
        <v>0</v>
      </c>
      <c r="N663">
        <v>0</v>
      </c>
      <c r="O663">
        <v>0</v>
      </c>
      <c r="P663" s="2">
        <v>41306</v>
      </c>
      <c r="Q663">
        <v>0</v>
      </c>
      <c r="R663" s="1" t="s">
        <v>61</v>
      </c>
    </row>
    <row r="664" spans="1:18" x14ac:dyDescent="0.25">
      <c r="A664">
        <v>2013</v>
      </c>
      <c r="B664">
        <v>3</v>
      </c>
      <c r="C664" s="1" t="s">
        <v>26</v>
      </c>
      <c r="D664" s="1" t="s">
        <v>19</v>
      </c>
      <c r="E664" s="1" t="s">
        <v>65</v>
      </c>
      <c r="F664">
        <v>2012</v>
      </c>
      <c r="G664">
        <v>1</v>
      </c>
      <c r="H664" s="1" t="s">
        <v>59</v>
      </c>
      <c r="I664">
        <v>19</v>
      </c>
      <c r="J664">
        <v>2418</v>
      </c>
      <c r="K664" s="1" t="s">
        <v>66</v>
      </c>
      <c r="L664" s="1" t="s">
        <v>64</v>
      </c>
      <c r="M664">
        <v>0</v>
      </c>
      <c r="N664">
        <v>0</v>
      </c>
      <c r="O664">
        <v>0</v>
      </c>
      <c r="P664" s="2">
        <v>41334</v>
      </c>
      <c r="Q664">
        <v>0</v>
      </c>
      <c r="R664" s="1" t="s">
        <v>61</v>
      </c>
    </row>
    <row r="665" spans="1:18" x14ac:dyDescent="0.25">
      <c r="A665">
        <v>2013</v>
      </c>
      <c r="B665">
        <v>4</v>
      </c>
      <c r="C665" s="1" t="s">
        <v>27</v>
      </c>
      <c r="D665" s="1" t="s">
        <v>19</v>
      </c>
      <c r="E665" s="1" t="s">
        <v>65</v>
      </c>
      <c r="F665">
        <v>2012</v>
      </c>
      <c r="G665">
        <v>1</v>
      </c>
      <c r="H665" s="1" t="s">
        <v>59</v>
      </c>
      <c r="I665">
        <v>19</v>
      </c>
      <c r="J665">
        <v>2418</v>
      </c>
      <c r="K665" s="1" t="s">
        <v>66</v>
      </c>
      <c r="L665" s="1" t="s">
        <v>64</v>
      </c>
      <c r="M665">
        <v>0</v>
      </c>
      <c r="N665">
        <v>0</v>
      </c>
      <c r="O665">
        <v>0</v>
      </c>
      <c r="P665" s="2">
        <v>41365</v>
      </c>
      <c r="Q665">
        <v>0</v>
      </c>
      <c r="R665" s="1" t="s">
        <v>61</v>
      </c>
    </row>
    <row r="666" spans="1:18" x14ac:dyDescent="0.25">
      <c r="A666">
        <v>2013</v>
      </c>
      <c r="B666">
        <v>5</v>
      </c>
      <c r="C666" s="1" t="s">
        <v>28</v>
      </c>
      <c r="D666" s="1" t="s">
        <v>19</v>
      </c>
      <c r="E666" s="1" t="s">
        <v>65</v>
      </c>
      <c r="F666">
        <v>2012</v>
      </c>
      <c r="G666">
        <v>1</v>
      </c>
      <c r="H666" s="1" t="s">
        <v>59</v>
      </c>
      <c r="I666">
        <v>19</v>
      </c>
      <c r="J666">
        <v>2418</v>
      </c>
      <c r="K666" s="1" t="s">
        <v>66</v>
      </c>
      <c r="L666" s="1" t="s">
        <v>64</v>
      </c>
      <c r="M666">
        <v>0</v>
      </c>
      <c r="N666">
        <v>0</v>
      </c>
      <c r="O666">
        <v>0</v>
      </c>
      <c r="P666" s="2">
        <v>41395</v>
      </c>
      <c r="Q666">
        <v>0</v>
      </c>
      <c r="R666" s="1" t="s">
        <v>61</v>
      </c>
    </row>
    <row r="667" spans="1:18" x14ac:dyDescent="0.25">
      <c r="A667">
        <v>2013</v>
      </c>
      <c r="B667">
        <v>6</v>
      </c>
      <c r="C667" s="1" t="s">
        <v>29</v>
      </c>
      <c r="D667" s="1" t="s">
        <v>19</v>
      </c>
      <c r="E667" s="1" t="s">
        <v>65</v>
      </c>
      <c r="F667">
        <v>2012</v>
      </c>
      <c r="G667">
        <v>1</v>
      </c>
      <c r="H667" s="1" t="s">
        <v>59</v>
      </c>
      <c r="I667">
        <v>19</v>
      </c>
      <c r="J667">
        <v>2418</v>
      </c>
      <c r="K667" s="1" t="s">
        <v>66</v>
      </c>
      <c r="L667" s="1" t="s">
        <v>64</v>
      </c>
      <c r="M667">
        <v>0</v>
      </c>
      <c r="N667">
        <v>0</v>
      </c>
      <c r="O667">
        <v>0</v>
      </c>
      <c r="P667" s="2">
        <v>41426</v>
      </c>
      <c r="Q667">
        <v>0</v>
      </c>
      <c r="R667" s="1" t="s">
        <v>61</v>
      </c>
    </row>
    <row r="668" spans="1:18" x14ac:dyDescent="0.25">
      <c r="A668">
        <v>2013</v>
      </c>
      <c r="B668">
        <v>7</v>
      </c>
      <c r="C668" s="1" t="s">
        <v>30</v>
      </c>
      <c r="D668" s="1" t="s">
        <v>19</v>
      </c>
      <c r="E668" s="1" t="s">
        <v>65</v>
      </c>
      <c r="F668">
        <v>2012</v>
      </c>
      <c r="G668">
        <v>1</v>
      </c>
      <c r="H668" s="1" t="s">
        <v>59</v>
      </c>
      <c r="I668">
        <v>19</v>
      </c>
      <c r="J668">
        <v>2418</v>
      </c>
      <c r="K668" s="1" t="s">
        <v>66</v>
      </c>
      <c r="L668" s="1" t="s">
        <v>64</v>
      </c>
      <c r="M668">
        <v>0</v>
      </c>
      <c r="N668">
        <v>0</v>
      </c>
      <c r="O668">
        <v>0</v>
      </c>
      <c r="P668" s="2">
        <v>41456</v>
      </c>
      <c r="Q668">
        <v>0</v>
      </c>
      <c r="R668" s="1" t="s">
        <v>61</v>
      </c>
    </row>
    <row r="669" spans="1:18" x14ac:dyDescent="0.25">
      <c r="A669">
        <v>2013</v>
      </c>
      <c r="B669">
        <v>8</v>
      </c>
      <c r="C669" s="1" t="s">
        <v>31</v>
      </c>
      <c r="D669" s="1" t="s">
        <v>19</v>
      </c>
      <c r="E669" s="1" t="s">
        <v>65</v>
      </c>
      <c r="F669">
        <v>2012</v>
      </c>
      <c r="G669">
        <v>1</v>
      </c>
      <c r="H669" s="1" t="s">
        <v>59</v>
      </c>
      <c r="I669">
        <v>19</v>
      </c>
      <c r="J669">
        <v>2418</v>
      </c>
      <c r="K669" s="1" t="s">
        <v>66</v>
      </c>
      <c r="L669" s="1" t="s">
        <v>64</v>
      </c>
      <c r="M669">
        <v>0</v>
      </c>
      <c r="N669">
        <v>0</v>
      </c>
      <c r="O669">
        <v>0</v>
      </c>
      <c r="P669" s="2">
        <v>41487</v>
      </c>
      <c r="Q669">
        <v>0</v>
      </c>
      <c r="R669" s="1" t="s">
        <v>61</v>
      </c>
    </row>
    <row r="670" spans="1:18" x14ac:dyDescent="0.25">
      <c r="A670">
        <v>2013</v>
      </c>
      <c r="B670">
        <v>9</v>
      </c>
      <c r="C670" s="1" t="s">
        <v>32</v>
      </c>
      <c r="D670" s="1" t="s">
        <v>19</v>
      </c>
      <c r="E670" s="1" t="s">
        <v>65</v>
      </c>
      <c r="F670">
        <v>2012</v>
      </c>
      <c r="G670">
        <v>1</v>
      </c>
      <c r="H670" s="1" t="s">
        <v>59</v>
      </c>
      <c r="I670">
        <v>19</v>
      </c>
      <c r="J670">
        <v>2418</v>
      </c>
      <c r="K670" s="1" t="s">
        <v>66</v>
      </c>
      <c r="L670" s="1" t="s">
        <v>64</v>
      </c>
      <c r="M670">
        <v>0</v>
      </c>
      <c r="N670">
        <v>0</v>
      </c>
      <c r="O670">
        <v>0</v>
      </c>
      <c r="P670" s="2">
        <v>41518</v>
      </c>
      <c r="Q670">
        <v>0</v>
      </c>
      <c r="R670" s="1" t="s">
        <v>61</v>
      </c>
    </row>
    <row r="671" spans="1:18" x14ac:dyDescent="0.25">
      <c r="A671">
        <v>2013</v>
      </c>
      <c r="B671">
        <v>10</v>
      </c>
      <c r="C671" s="1" t="s">
        <v>33</v>
      </c>
      <c r="D671" s="1" t="s">
        <v>19</v>
      </c>
      <c r="E671" s="1" t="s">
        <v>65</v>
      </c>
      <c r="F671">
        <v>2012</v>
      </c>
      <c r="G671">
        <v>1</v>
      </c>
      <c r="H671" s="1" t="s">
        <v>59</v>
      </c>
      <c r="I671">
        <v>19</v>
      </c>
      <c r="J671">
        <v>2418</v>
      </c>
      <c r="K671" s="1" t="s">
        <v>66</v>
      </c>
      <c r="L671" s="1" t="s">
        <v>64</v>
      </c>
      <c r="M671">
        <v>0</v>
      </c>
      <c r="N671">
        <v>0</v>
      </c>
      <c r="O671">
        <v>0</v>
      </c>
      <c r="P671" s="2">
        <v>41548</v>
      </c>
      <c r="Q671">
        <v>0</v>
      </c>
      <c r="R671" s="1" t="s">
        <v>61</v>
      </c>
    </row>
    <row r="672" spans="1:18" x14ac:dyDescent="0.25">
      <c r="A672">
        <v>2013</v>
      </c>
      <c r="B672">
        <v>11</v>
      </c>
      <c r="C672" s="1" t="s">
        <v>34</v>
      </c>
      <c r="D672" s="1" t="s">
        <v>19</v>
      </c>
      <c r="E672" s="1" t="s">
        <v>65</v>
      </c>
      <c r="F672">
        <v>2012</v>
      </c>
      <c r="G672">
        <v>1</v>
      </c>
      <c r="H672" s="1" t="s">
        <v>59</v>
      </c>
      <c r="I672">
        <v>19</v>
      </c>
      <c r="J672">
        <v>2418</v>
      </c>
      <c r="K672" s="1" t="s">
        <v>66</v>
      </c>
      <c r="L672" s="1" t="s">
        <v>64</v>
      </c>
      <c r="M672">
        <v>0</v>
      </c>
      <c r="N672">
        <v>0</v>
      </c>
      <c r="O672">
        <v>0</v>
      </c>
      <c r="P672" s="2">
        <v>41579</v>
      </c>
      <c r="Q672">
        <v>0</v>
      </c>
      <c r="R672" s="1" t="s">
        <v>61</v>
      </c>
    </row>
    <row r="673" spans="1:18" x14ac:dyDescent="0.25">
      <c r="A673">
        <v>2013</v>
      </c>
      <c r="B673">
        <v>12</v>
      </c>
      <c r="C673" s="1" t="s">
        <v>35</v>
      </c>
      <c r="D673" s="1" t="s">
        <v>19</v>
      </c>
      <c r="E673" s="1" t="s">
        <v>65</v>
      </c>
      <c r="F673">
        <v>2012</v>
      </c>
      <c r="G673">
        <v>1</v>
      </c>
      <c r="H673" s="1" t="s">
        <v>59</v>
      </c>
      <c r="I673">
        <v>19</v>
      </c>
      <c r="J673">
        <v>2418</v>
      </c>
      <c r="K673" s="1" t="s">
        <v>66</v>
      </c>
      <c r="L673" s="1" t="s">
        <v>64</v>
      </c>
      <c r="M673">
        <v>0</v>
      </c>
      <c r="N673">
        <v>0</v>
      </c>
      <c r="O673">
        <v>0</v>
      </c>
      <c r="P673" s="2">
        <v>41609</v>
      </c>
      <c r="Q673">
        <v>0</v>
      </c>
      <c r="R673" s="1" t="s">
        <v>61</v>
      </c>
    </row>
    <row r="674" spans="1:18" x14ac:dyDescent="0.25">
      <c r="A674">
        <v>2013</v>
      </c>
      <c r="B674">
        <v>1</v>
      </c>
      <c r="C674" s="1" t="s">
        <v>18</v>
      </c>
      <c r="D674" s="1" t="s">
        <v>19</v>
      </c>
      <c r="E674" s="1" t="s">
        <v>67</v>
      </c>
      <c r="F674">
        <v>2012</v>
      </c>
      <c r="G674">
        <v>1</v>
      </c>
      <c r="H674" s="1" t="s">
        <v>59</v>
      </c>
      <c r="I674">
        <v>25</v>
      </c>
      <c r="J674">
        <v>3205</v>
      </c>
      <c r="K674" s="1" t="s">
        <v>68</v>
      </c>
      <c r="L674" s="1" t="s">
        <v>64</v>
      </c>
      <c r="M674">
        <v>0</v>
      </c>
      <c r="N674">
        <v>0</v>
      </c>
      <c r="O674">
        <v>0</v>
      </c>
      <c r="P674" s="2">
        <v>41275</v>
      </c>
      <c r="Q674">
        <v>0</v>
      </c>
      <c r="R674" s="1" t="s">
        <v>61</v>
      </c>
    </row>
    <row r="675" spans="1:18" x14ac:dyDescent="0.25">
      <c r="A675">
        <v>2013</v>
      </c>
      <c r="B675">
        <v>2</v>
      </c>
      <c r="C675" s="1" t="s">
        <v>25</v>
      </c>
      <c r="D675" s="1" t="s">
        <v>19</v>
      </c>
      <c r="E675" s="1" t="s">
        <v>67</v>
      </c>
      <c r="F675">
        <v>2012</v>
      </c>
      <c r="G675">
        <v>1</v>
      </c>
      <c r="H675" s="1" t="s">
        <v>59</v>
      </c>
      <c r="I675">
        <v>25</v>
      </c>
      <c r="J675">
        <v>3205</v>
      </c>
      <c r="K675" s="1" t="s">
        <v>68</v>
      </c>
      <c r="L675" s="1" t="s">
        <v>64</v>
      </c>
      <c r="M675">
        <v>0</v>
      </c>
      <c r="N675">
        <v>0</v>
      </c>
      <c r="O675">
        <v>0</v>
      </c>
      <c r="P675" s="2">
        <v>41306</v>
      </c>
      <c r="Q675">
        <v>0</v>
      </c>
      <c r="R675" s="1" t="s">
        <v>61</v>
      </c>
    </row>
    <row r="676" spans="1:18" x14ac:dyDescent="0.25">
      <c r="A676">
        <v>2013</v>
      </c>
      <c r="B676">
        <v>3</v>
      </c>
      <c r="C676" s="1" t="s">
        <v>26</v>
      </c>
      <c r="D676" s="1" t="s">
        <v>19</v>
      </c>
      <c r="E676" s="1" t="s">
        <v>67</v>
      </c>
      <c r="F676">
        <v>2012</v>
      </c>
      <c r="G676">
        <v>1</v>
      </c>
      <c r="H676" s="1" t="s">
        <v>59</v>
      </c>
      <c r="I676">
        <v>25</v>
      </c>
      <c r="J676">
        <v>3205</v>
      </c>
      <c r="K676" s="1" t="s">
        <v>68</v>
      </c>
      <c r="L676" s="1" t="s">
        <v>64</v>
      </c>
      <c r="M676">
        <v>0</v>
      </c>
      <c r="N676">
        <v>0</v>
      </c>
      <c r="O676">
        <v>0</v>
      </c>
      <c r="P676" s="2">
        <v>41334</v>
      </c>
      <c r="Q676">
        <v>0</v>
      </c>
      <c r="R676" s="1" t="s">
        <v>61</v>
      </c>
    </row>
    <row r="677" spans="1:18" x14ac:dyDescent="0.25">
      <c r="A677">
        <v>2013</v>
      </c>
      <c r="B677">
        <v>4</v>
      </c>
      <c r="C677" s="1" t="s">
        <v>27</v>
      </c>
      <c r="D677" s="1" t="s">
        <v>19</v>
      </c>
      <c r="E677" s="1" t="s">
        <v>67</v>
      </c>
      <c r="F677">
        <v>2012</v>
      </c>
      <c r="G677">
        <v>1</v>
      </c>
      <c r="H677" s="1" t="s">
        <v>59</v>
      </c>
      <c r="I677">
        <v>25</v>
      </c>
      <c r="J677">
        <v>3205</v>
      </c>
      <c r="K677" s="1" t="s">
        <v>68</v>
      </c>
      <c r="L677" s="1" t="s">
        <v>64</v>
      </c>
      <c r="M677">
        <v>0</v>
      </c>
      <c r="N677">
        <v>0</v>
      </c>
      <c r="O677">
        <v>0</v>
      </c>
      <c r="P677" s="2">
        <v>41365</v>
      </c>
      <c r="Q677">
        <v>0</v>
      </c>
      <c r="R677" s="1" t="s">
        <v>61</v>
      </c>
    </row>
    <row r="678" spans="1:18" x14ac:dyDescent="0.25">
      <c r="A678">
        <v>2013</v>
      </c>
      <c r="B678">
        <v>5</v>
      </c>
      <c r="C678" s="1" t="s">
        <v>28</v>
      </c>
      <c r="D678" s="1" t="s">
        <v>19</v>
      </c>
      <c r="E678" s="1" t="s">
        <v>67</v>
      </c>
      <c r="F678">
        <v>2012</v>
      </c>
      <c r="G678">
        <v>1</v>
      </c>
      <c r="H678" s="1" t="s">
        <v>59</v>
      </c>
      <c r="I678">
        <v>25</v>
      </c>
      <c r="J678">
        <v>3205</v>
      </c>
      <c r="K678" s="1" t="s">
        <v>68</v>
      </c>
      <c r="L678" s="1" t="s">
        <v>64</v>
      </c>
      <c r="M678">
        <v>0</v>
      </c>
      <c r="N678">
        <v>0</v>
      </c>
      <c r="O678">
        <v>0</v>
      </c>
      <c r="P678" s="2">
        <v>41395</v>
      </c>
      <c r="Q678">
        <v>0</v>
      </c>
      <c r="R678" s="1" t="s">
        <v>61</v>
      </c>
    </row>
    <row r="679" spans="1:18" x14ac:dyDescent="0.25">
      <c r="A679">
        <v>2013</v>
      </c>
      <c r="B679">
        <v>6</v>
      </c>
      <c r="C679" s="1" t="s">
        <v>29</v>
      </c>
      <c r="D679" s="1" t="s">
        <v>19</v>
      </c>
      <c r="E679" s="1" t="s">
        <v>67</v>
      </c>
      <c r="F679">
        <v>2012</v>
      </c>
      <c r="G679">
        <v>1</v>
      </c>
      <c r="H679" s="1" t="s">
        <v>59</v>
      </c>
      <c r="I679">
        <v>25</v>
      </c>
      <c r="J679">
        <v>3205</v>
      </c>
      <c r="K679" s="1" t="s">
        <v>68</v>
      </c>
      <c r="L679" s="1" t="s">
        <v>64</v>
      </c>
      <c r="M679">
        <v>0</v>
      </c>
      <c r="N679">
        <v>0</v>
      </c>
      <c r="O679">
        <v>0</v>
      </c>
      <c r="P679" s="2">
        <v>41426</v>
      </c>
      <c r="Q679">
        <v>0</v>
      </c>
      <c r="R679" s="1" t="s">
        <v>61</v>
      </c>
    </row>
    <row r="680" spans="1:18" x14ac:dyDescent="0.25">
      <c r="A680">
        <v>2013</v>
      </c>
      <c r="B680">
        <v>7</v>
      </c>
      <c r="C680" s="1" t="s">
        <v>30</v>
      </c>
      <c r="D680" s="1" t="s">
        <v>19</v>
      </c>
      <c r="E680" s="1" t="s">
        <v>67</v>
      </c>
      <c r="F680">
        <v>2012</v>
      </c>
      <c r="G680">
        <v>1</v>
      </c>
      <c r="H680" s="1" t="s">
        <v>59</v>
      </c>
      <c r="I680">
        <v>25</v>
      </c>
      <c r="J680">
        <v>3205</v>
      </c>
      <c r="K680" s="1" t="s">
        <v>68</v>
      </c>
      <c r="L680" s="1" t="s">
        <v>64</v>
      </c>
      <c r="M680">
        <v>0</v>
      </c>
      <c r="N680">
        <v>0</v>
      </c>
      <c r="O680">
        <v>0</v>
      </c>
      <c r="P680" s="2">
        <v>41456</v>
      </c>
      <c r="Q680">
        <v>0</v>
      </c>
      <c r="R680" s="1" t="s">
        <v>61</v>
      </c>
    </row>
    <row r="681" spans="1:18" x14ac:dyDescent="0.25">
      <c r="A681">
        <v>2013</v>
      </c>
      <c r="B681">
        <v>8</v>
      </c>
      <c r="C681" s="1" t="s">
        <v>31</v>
      </c>
      <c r="D681" s="1" t="s">
        <v>19</v>
      </c>
      <c r="E681" s="1" t="s">
        <v>67</v>
      </c>
      <c r="F681">
        <v>2012</v>
      </c>
      <c r="G681">
        <v>1</v>
      </c>
      <c r="H681" s="1" t="s">
        <v>59</v>
      </c>
      <c r="I681">
        <v>25</v>
      </c>
      <c r="J681">
        <v>3205</v>
      </c>
      <c r="K681" s="1" t="s">
        <v>68</v>
      </c>
      <c r="L681" s="1" t="s">
        <v>64</v>
      </c>
      <c r="M681">
        <v>0</v>
      </c>
      <c r="N681">
        <v>0</v>
      </c>
      <c r="O681">
        <v>0</v>
      </c>
      <c r="P681" s="2">
        <v>41487</v>
      </c>
      <c r="Q681">
        <v>0</v>
      </c>
      <c r="R681" s="1" t="s">
        <v>61</v>
      </c>
    </row>
    <row r="682" spans="1:18" x14ac:dyDescent="0.25">
      <c r="A682">
        <v>2013</v>
      </c>
      <c r="B682">
        <v>9</v>
      </c>
      <c r="C682" s="1" t="s">
        <v>32</v>
      </c>
      <c r="D682" s="1" t="s">
        <v>19</v>
      </c>
      <c r="E682" s="1" t="s">
        <v>67</v>
      </c>
      <c r="F682">
        <v>2012</v>
      </c>
      <c r="G682">
        <v>1</v>
      </c>
      <c r="H682" s="1" t="s">
        <v>59</v>
      </c>
      <c r="I682">
        <v>25</v>
      </c>
      <c r="J682">
        <v>3205</v>
      </c>
      <c r="K682" s="1" t="s">
        <v>68</v>
      </c>
      <c r="L682" s="1" t="s">
        <v>64</v>
      </c>
      <c r="M682">
        <v>0</v>
      </c>
      <c r="N682">
        <v>0</v>
      </c>
      <c r="O682">
        <v>0</v>
      </c>
      <c r="P682" s="2">
        <v>41518</v>
      </c>
      <c r="Q682">
        <v>0</v>
      </c>
      <c r="R682" s="1" t="s">
        <v>61</v>
      </c>
    </row>
    <row r="683" spans="1:18" x14ac:dyDescent="0.25">
      <c r="A683">
        <v>2013</v>
      </c>
      <c r="B683">
        <v>10</v>
      </c>
      <c r="C683" s="1" t="s">
        <v>33</v>
      </c>
      <c r="D683" s="1" t="s">
        <v>19</v>
      </c>
      <c r="E683" s="1" t="s">
        <v>67</v>
      </c>
      <c r="F683">
        <v>2012</v>
      </c>
      <c r="G683">
        <v>1</v>
      </c>
      <c r="H683" s="1" t="s">
        <v>59</v>
      </c>
      <c r="I683">
        <v>25</v>
      </c>
      <c r="J683">
        <v>3205</v>
      </c>
      <c r="K683" s="1" t="s">
        <v>68</v>
      </c>
      <c r="L683" s="1" t="s">
        <v>64</v>
      </c>
      <c r="M683">
        <v>0</v>
      </c>
      <c r="N683">
        <v>0</v>
      </c>
      <c r="O683">
        <v>0</v>
      </c>
      <c r="P683" s="2">
        <v>41548</v>
      </c>
      <c r="Q683">
        <v>0</v>
      </c>
      <c r="R683" s="1" t="s">
        <v>61</v>
      </c>
    </row>
    <row r="684" spans="1:18" x14ac:dyDescent="0.25">
      <c r="A684">
        <v>2013</v>
      </c>
      <c r="B684">
        <v>11</v>
      </c>
      <c r="C684" s="1" t="s">
        <v>34</v>
      </c>
      <c r="D684" s="1" t="s">
        <v>19</v>
      </c>
      <c r="E684" s="1" t="s">
        <v>67</v>
      </c>
      <c r="F684">
        <v>2012</v>
      </c>
      <c r="G684">
        <v>1</v>
      </c>
      <c r="H684" s="1" t="s">
        <v>59</v>
      </c>
      <c r="I684">
        <v>25</v>
      </c>
      <c r="J684">
        <v>3205</v>
      </c>
      <c r="K684" s="1" t="s">
        <v>68</v>
      </c>
      <c r="L684" s="1" t="s">
        <v>64</v>
      </c>
      <c r="M684">
        <v>0</v>
      </c>
      <c r="N684">
        <v>0</v>
      </c>
      <c r="O684">
        <v>0</v>
      </c>
      <c r="P684" s="2">
        <v>41579</v>
      </c>
      <c r="Q684">
        <v>0</v>
      </c>
      <c r="R684" s="1" t="s">
        <v>61</v>
      </c>
    </row>
    <row r="685" spans="1:18" x14ac:dyDescent="0.25">
      <c r="A685">
        <v>2013</v>
      </c>
      <c r="B685">
        <v>12</v>
      </c>
      <c r="C685" s="1" t="s">
        <v>35</v>
      </c>
      <c r="D685" s="1" t="s">
        <v>19</v>
      </c>
      <c r="E685" s="1" t="s">
        <v>67</v>
      </c>
      <c r="F685">
        <v>2012</v>
      </c>
      <c r="G685">
        <v>1</v>
      </c>
      <c r="H685" s="1" t="s">
        <v>59</v>
      </c>
      <c r="I685">
        <v>25</v>
      </c>
      <c r="J685">
        <v>3205</v>
      </c>
      <c r="K685" s="1" t="s">
        <v>68</v>
      </c>
      <c r="L685" s="1" t="s">
        <v>64</v>
      </c>
      <c r="M685">
        <v>0</v>
      </c>
      <c r="N685">
        <v>0</v>
      </c>
      <c r="O685">
        <v>0</v>
      </c>
      <c r="P685" s="2">
        <v>41609</v>
      </c>
      <c r="Q685">
        <v>0</v>
      </c>
      <c r="R685" s="1" t="s">
        <v>61</v>
      </c>
    </row>
    <row r="686" spans="1:18" x14ac:dyDescent="0.25">
      <c r="A686">
        <v>2013</v>
      </c>
      <c r="B686">
        <v>1</v>
      </c>
      <c r="C686" s="1" t="s">
        <v>18</v>
      </c>
      <c r="D686" s="1" t="s">
        <v>19</v>
      </c>
      <c r="E686" s="1" t="s">
        <v>69</v>
      </c>
      <c r="F686">
        <v>2012</v>
      </c>
      <c r="G686">
        <v>1</v>
      </c>
      <c r="H686" s="1" t="s">
        <v>59</v>
      </c>
      <c r="I686">
        <v>19</v>
      </c>
      <c r="J686">
        <v>2469</v>
      </c>
      <c r="K686" s="1" t="s">
        <v>70</v>
      </c>
      <c r="L686" s="1" t="s">
        <v>45</v>
      </c>
      <c r="M686">
        <v>0</v>
      </c>
      <c r="N686">
        <v>0</v>
      </c>
      <c r="O686">
        <v>0</v>
      </c>
      <c r="P686" s="2">
        <v>41275</v>
      </c>
      <c r="Q686">
        <v>0</v>
      </c>
      <c r="R686" s="1" t="s">
        <v>61</v>
      </c>
    </row>
    <row r="687" spans="1:18" x14ac:dyDescent="0.25">
      <c r="A687">
        <v>2013</v>
      </c>
      <c r="B687">
        <v>2</v>
      </c>
      <c r="C687" s="1" t="s">
        <v>25</v>
      </c>
      <c r="D687" s="1" t="s">
        <v>19</v>
      </c>
      <c r="E687" s="1" t="s">
        <v>69</v>
      </c>
      <c r="F687">
        <v>2012</v>
      </c>
      <c r="G687">
        <v>1</v>
      </c>
      <c r="H687" s="1" t="s">
        <v>59</v>
      </c>
      <c r="I687">
        <v>19</v>
      </c>
      <c r="J687">
        <v>2469</v>
      </c>
      <c r="K687" s="1" t="s">
        <v>70</v>
      </c>
      <c r="L687" s="1" t="s">
        <v>45</v>
      </c>
      <c r="M687">
        <v>0</v>
      </c>
      <c r="N687">
        <v>0</v>
      </c>
      <c r="O687">
        <v>0</v>
      </c>
      <c r="P687" s="2">
        <v>41306</v>
      </c>
      <c r="Q687">
        <v>0</v>
      </c>
      <c r="R687" s="1" t="s">
        <v>61</v>
      </c>
    </row>
    <row r="688" spans="1:18" x14ac:dyDescent="0.25">
      <c r="A688">
        <v>2013</v>
      </c>
      <c r="B688">
        <v>3</v>
      </c>
      <c r="C688" s="1" t="s">
        <v>26</v>
      </c>
      <c r="D688" s="1" t="s">
        <v>19</v>
      </c>
      <c r="E688" s="1" t="s">
        <v>69</v>
      </c>
      <c r="F688">
        <v>2012</v>
      </c>
      <c r="G688">
        <v>1</v>
      </c>
      <c r="H688" s="1" t="s">
        <v>59</v>
      </c>
      <c r="I688">
        <v>19</v>
      </c>
      <c r="J688">
        <v>2469</v>
      </c>
      <c r="K688" s="1" t="s">
        <v>70</v>
      </c>
      <c r="L688" s="1" t="s">
        <v>45</v>
      </c>
      <c r="M688">
        <v>0</v>
      </c>
      <c r="N688">
        <v>0</v>
      </c>
      <c r="O688">
        <v>0</v>
      </c>
      <c r="P688" s="2">
        <v>41334</v>
      </c>
      <c r="Q688">
        <v>0</v>
      </c>
      <c r="R688" s="1" t="s">
        <v>61</v>
      </c>
    </row>
    <row r="689" spans="1:18" x14ac:dyDescent="0.25">
      <c r="A689">
        <v>2013</v>
      </c>
      <c r="B689">
        <v>4</v>
      </c>
      <c r="C689" s="1" t="s">
        <v>27</v>
      </c>
      <c r="D689" s="1" t="s">
        <v>19</v>
      </c>
      <c r="E689" s="1" t="s">
        <v>69</v>
      </c>
      <c r="F689">
        <v>2012</v>
      </c>
      <c r="G689">
        <v>1</v>
      </c>
      <c r="H689" s="1" t="s">
        <v>59</v>
      </c>
      <c r="I689">
        <v>19</v>
      </c>
      <c r="J689">
        <v>2469</v>
      </c>
      <c r="K689" s="1" t="s">
        <v>70</v>
      </c>
      <c r="L689" s="1" t="s">
        <v>45</v>
      </c>
      <c r="M689">
        <v>0</v>
      </c>
      <c r="N689">
        <v>0</v>
      </c>
      <c r="O689">
        <v>0</v>
      </c>
      <c r="P689" s="2">
        <v>41365</v>
      </c>
      <c r="Q689">
        <v>0</v>
      </c>
      <c r="R689" s="1" t="s">
        <v>61</v>
      </c>
    </row>
    <row r="690" spans="1:18" x14ac:dyDescent="0.25">
      <c r="A690">
        <v>2013</v>
      </c>
      <c r="B690">
        <v>5</v>
      </c>
      <c r="C690" s="1" t="s">
        <v>28</v>
      </c>
      <c r="D690" s="1" t="s">
        <v>19</v>
      </c>
      <c r="E690" s="1" t="s">
        <v>69</v>
      </c>
      <c r="F690">
        <v>2012</v>
      </c>
      <c r="G690">
        <v>1</v>
      </c>
      <c r="H690" s="1" t="s">
        <v>59</v>
      </c>
      <c r="I690">
        <v>19</v>
      </c>
      <c r="J690">
        <v>2469</v>
      </c>
      <c r="K690" s="1" t="s">
        <v>70</v>
      </c>
      <c r="L690" s="1" t="s">
        <v>45</v>
      </c>
      <c r="M690">
        <v>0</v>
      </c>
      <c r="N690">
        <v>0</v>
      </c>
      <c r="O690">
        <v>0</v>
      </c>
      <c r="P690" s="2">
        <v>41395</v>
      </c>
      <c r="Q690">
        <v>0</v>
      </c>
      <c r="R690" s="1" t="s">
        <v>61</v>
      </c>
    </row>
    <row r="691" spans="1:18" x14ac:dyDescent="0.25">
      <c r="A691">
        <v>2013</v>
      </c>
      <c r="B691">
        <v>6</v>
      </c>
      <c r="C691" s="1" t="s">
        <v>29</v>
      </c>
      <c r="D691" s="1" t="s">
        <v>19</v>
      </c>
      <c r="E691" s="1" t="s">
        <v>69</v>
      </c>
      <c r="F691">
        <v>2012</v>
      </c>
      <c r="G691">
        <v>1</v>
      </c>
      <c r="H691" s="1" t="s">
        <v>59</v>
      </c>
      <c r="I691">
        <v>19</v>
      </c>
      <c r="J691">
        <v>2469</v>
      </c>
      <c r="K691" s="1" t="s">
        <v>70</v>
      </c>
      <c r="L691" s="1" t="s">
        <v>45</v>
      </c>
      <c r="M691">
        <v>0</v>
      </c>
      <c r="N691">
        <v>0</v>
      </c>
      <c r="O691">
        <v>0</v>
      </c>
      <c r="P691" s="2">
        <v>41426</v>
      </c>
      <c r="Q691">
        <v>0</v>
      </c>
      <c r="R691" s="1" t="s">
        <v>61</v>
      </c>
    </row>
    <row r="692" spans="1:18" x14ac:dyDescent="0.25">
      <c r="A692">
        <v>2013</v>
      </c>
      <c r="B692">
        <v>7</v>
      </c>
      <c r="C692" s="1" t="s">
        <v>30</v>
      </c>
      <c r="D692" s="1" t="s">
        <v>19</v>
      </c>
      <c r="E692" s="1" t="s">
        <v>69</v>
      </c>
      <c r="F692">
        <v>2012</v>
      </c>
      <c r="G692">
        <v>1</v>
      </c>
      <c r="H692" s="1" t="s">
        <v>59</v>
      </c>
      <c r="I692">
        <v>19</v>
      </c>
      <c r="J692">
        <v>2469</v>
      </c>
      <c r="K692" s="1" t="s">
        <v>70</v>
      </c>
      <c r="L692" s="1" t="s">
        <v>45</v>
      </c>
      <c r="M692">
        <v>0</v>
      </c>
      <c r="N692">
        <v>0</v>
      </c>
      <c r="O692">
        <v>0</v>
      </c>
      <c r="P692" s="2">
        <v>41456</v>
      </c>
      <c r="Q692">
        <v>0</v>
      </c>
      <c r="R692" s="1" t="s">
        <v>61</v>
      </c>
    </row>
    <row r="693" spans="1:18" x14ac:dyDescent="0.25">
      <c r="A693">
        <v>2013</v>
      </c>
      <c r="B693">
        <v>8</v>
      </c>
      <c r="C693" s="1" t="s">
        <v>31</v>
      </c>
      <c r="D693" s="1" t="s">
        <v>19</v>
      </c>
      <c r="E693" s="1" t="s">
        <v>69</v>
      </c>
      <c r="F693">
        <v>2012</v>
      </c>
      <c r="G693">
        <v>1</v>
      </c>
      <c r="H693" s="1" t="s">
        <v>59</v>
      </c>
      <c r="I693">
        <v>19</v>
      </c>
      <c r="J693">
        <v>2469</v>
      </c>
      <c r="K693" s="1" t="s">
        <v>70</v>
      </c>
      <c r="L693" s="1" t="s">
        <v>45</v>
      </c>
      <c r="M693">
        <v>0</v>
      </c>
      <c r="N693">
        <v>0</v>
      </c>
      <c r="O693">
        <v>0</v>
      </c>
      <c r="P693" s="2">
        <v>41487</v>
      </c>
      <c r="Q693">
        <v>0</v>
      </c>
      <c r="R693" s="1" t="s">
        <v>61</v>
      </c>
    </row>
    <row r="694" spans="1:18" x14ac:dyDescent="0.25">
      <c r="A694">
        <v>2013</v>
      </c>
      <c r="B694">
        <v>9</v>
      </c>
      <c r="C694" s="1" t="s">
        <v>32</v>
      </c>
      <c r="D694" s="1" t="s">
        <v>19</v>
      </c>
      <c r="E694" s="1" t="s">
        <v>69</v>
      </c>
      <c r="F694">
        <v>2012</v>
      </c>
      <c r="G694">
        <v>1</v>
      </c>
      <c r="H694" s="1" t="s">
        <v>59</v>
      </c>
      <c r="I694">
        <v>19</v>
      </c>
      <c r="J694">
        <v>2469</v>
      </c>
      <c r="K694" s="1" t="s">
        <v>70</v>
      </c>
      <c r="L694" s="1" t="s">
        <v>45</v>
      </c>
      <c r="M694">
        <v>0</v>
      </c>
      <c r="N694">
        <v>0</v>
      </c>
      <c r="O694">
        <v>0</v>
      </c>
      <c r="P694" s="2">
        <v>41518</v>
      </c>
      <c r="Q694">
        <v>0</v>
      </c>
      <c r="R694" s="1" t="s">
        <v>61</v>
      </c>
    </row>
    <row r="695" spans="1:18" x14ac:dyDescent="0.25">
      <c r="A695">
        <v>2013</v>
      </c>
      <c r="B695">
        <v>10</v>
      </c>
      <c r="C695" s="1" t="s">
        <v>33</v>
      </c>
      <c r="D695" s="1" t="s">
        <v>19</v>
      </c>
      <c r="E695" s="1" t="s">
        <v>69</v>
      </c>
      <c r="F695">
        <v>2012</v>
      </c>
      <c r="G695">
        <v>1</v>
      </c>
      <c r="H695" s="1" t="s">
        <v>59</v>
      </c>
      <c r="I695">
        <v>19</v>
      </c>
      <c r="J695">
        <v>2469</v>
      </c>
      <c r="K695" s="1" t="s">
        <v>70</v>
      </c>
      <c r="L695" s="1" t="s">
        <v>45</v>
      </c>
      <c r="M695">
        <v>0</v>
      </c>
      <c r="N695">
        <v>0</v>
      </c>
      <c r="O695">
        <v>0</v>
      </c>
      <c r="P695" s="2">
        <v>41548</v>
      </c>
      <c r="Q695">
        <v>0</v>
      </c>
      <c r="R695" s="1" t="s">
        <v>61</v>
      </c>
    </row>
    <row r="696" spans="1:18" x14ac:dyDescent="0.25">
      <c r="A696">
        <v>2013</v>
      </c>
      <c r="B696">
        <v>11</v>
      </c>
      <c r="C696" s="1" t="s">
        <v>34</v>
      </c>
      <c r="D696" s="1" t="s">
        <v>19</v>
      </c>
      <c r="E696" s="1" t="s">
        <v>69</v>
      </c>
      <c r="F696">
        <v>2012</v>
      </c>
      <c r="G696">
        <v>1</v>
      </c>
      <c r="H696" s="1" t="s">
        <v>59</v>
      </c>
      <c r="I696">
        <v>19</v>
      </c>
      <c r="J696">
        <v>2469</v>
      </c>
      <c r="K696" s="1" t="s">
        <v>70</v>
      </c>
      <c r="L696" s="1" t="s">
        <v>45</v>
      </c>
      <c r="M696">
        <v>0</v>
      </c>
      <c r="N696">
        <v>0</v>
      </c>
      <c r="O696">
        <v>0</v>
      </c>
      <c r="P696" s="2">
        <v>41579</v>
      </c>
      <c r="Q696">
        <v>0</v>
      </c>
      <c r="R696" s="1" t="s">
        <v>61</v>
      </c>
    </row>
    <row r="697" spans="1:18" x14ac:dyDescent="0.25">
      <c r="A697">
        <v>2013</v>
      </c>
      <c r="B697">
        <v>12</v>
      </c>
      <c r="C697" s="1" t="s">
        <v>35</v>
      </c>
      <c r="D697" s="1" t="s">
        <v>19</v>
      </c>
      <c r="E697" s="1" t="s">
        <v>69</v>
      </c>
      <c r="F697">
        <v>2012</v>
      </c>
      <c r="G697">
        <v>1</v>
      </c>
      <c r="H697" s="1" t="s">
        <v>59</v>
      </c>
      <c r="I697">
        <v>19</v>
      </c>
      <c r="J697">
        <v>2469</v>
      </c>
      <c r="K697" s="1" t="s">
        <v>70</v>
      </c>
      <c r="L697" s="1" t="s">
        <v>45</v>
      </c>
      <c r="M697">
        <v>0</v>
      </c>
      <c r="N697">
        <v>0</v>
      </c>
      <c r="O697">
        <v>0</v>
      </c>
      <c r="P697" s="2">
        <v>41609</v>
      </c>
      <c r="Q697">
        <v>0</v>
      </c>
      <c r="R697" s="1" t="s">
        <v>61</v>
      </c>
    </row>
    <row r="698" spans="1:18" x14ac:dyDescent="0.25">
      <c r="A698">
        <v>2013</v>
      </c>
      <c r="B698">
        <v>1</v>
      </c>
      <c r="C698" s="1" t="s">
        <v>18</v>
      </c>
      <c r="D698" s="1" t="s">
        <v>19</v>
      </c>
      <c r="E698" s="1" t="s">
        <v>71</v>
      </c>
      <c r="F698">
        <v>2012</v>
      </c>
      <c r="G698">
        <v>1</v>
      </c>
      <c r="H698" s="1" t="s">
        <v>59</v>
      </c>
      <c r="I698">
        <v>20</v>
      </c>
      <c r="J698">
        <v>2704</v>
      </c>
      <c r="K698" s="1" t="s">
        <v>72</v>
      </c>
      <c r="L698" s="1" t="s">
        <v>64</v>
      </c>
      <c r="M698">
        <v>0</v>
      </c>
      <c r="N698">
        <v>0</v>
      </c>
      <c r="O698">
        <v>0</v>
      </c>
      <c r="P698" s="2">
        <v>41275</v>
      </c>
      <c r="Q698">
        <v>0</v>
      </c>
      <c r="R698" s="1" t="s">
        <v>61</v>
      </c>
    </row>
    <row r="699" spans="1:18" x14ac:dyDescent="0.25">
      <c r="A699">
        <v>2013</v>
      </c>
      <c r="B699">
        <v>2</v>
      </c>
      <c r="C699" s="1" t="s">
        <v>25</v>
      </c>
      <c r="D699" s="1" t="s">
        <v>19</v>
      </c>
      <c r="E699" s="1" t="s">
        <v>71</v>
      </c>
      <c r="F699">
        <v>2012</v>
      </c>
      <c r="G699">
        <v>1</v>
      </c>
      <c r="H699" s="1" t="s">
        <v>59</v>
      </c>
      <c r="I699">
        <v>20</v>
      </c>
      <c r="J699">
        <v>2704</v>
      </c>
      <c r="K699" s="1" t="s">
        <v>72</v>
      </c>
      <c r="L699" s="1" t="s">
        <v>64</v>
      </c>
      <c r="M699">
        <v>0</v>
      </c>
      <c r="N699">
        <v>0</v>
      </c>
      <c r="O699">
        <v>0</v>
      </c>
      <c r="P699" s="2">
        <v>41306</v>
      </c>
      <c r="Q699">
        <v>0</v>
      </c>
      <c r="R699" s="1" t="s">
        <v>61</v>
      </c>
    </row>
    <row r="700" spans="1:18" x14ac:dyDescent="0.25">
      <c r="A700">
        <v>2013</v>
      </c>
      <c r="B700">
        <v>3</v>
      </c>
      <c r="C700" s="1" t="s">
        <v>26</v>
      </c>
      <c r="D700" s="1" t="s">
        <v>19</v>
      </c>
      <c r="E700" s="1" t="s">
        <v>71</v>
      </c>
      <c r="F700">
        <v>2012</v>
      </c>
      <c r="G700">
        <v>1</v>
      </c>
      <c r="H700" s="1" t="s">
        <v>59</v>
      </c>
      <c r="I700">
        <v>20</v>
      </c>
      <c r="J700">
        <v>2704</v>
      </c>
      <c r="K700" s="1" t="s">
        <v>72</v>
      </c>
      <c r="L700" s="1" t="s">
        <v>64</v>
      </c>
      <c r="M700">
        <v>0</v>
      </c>
      <c r="N700">
        <v>0</v>
      </c>
      <c r="O700">
        <v>0</v>
      </c>
      <c r="P700" s="2">
        <v>41334</v>
      </c>
      <c r="Q700">
        <v>0</v>
      </c>
      <c r="R700" s="1" t="s">
        <v>61</v>
      </c>
    </row>
    <row r="701" spans="1:18" x14ac:dyDescent="0.25">
      <c r="A701">
        <v>2013</v>
      </c>
      <c r="B701">
        <v>4</v>
      </c>
      <c r="C701" s="1" t="s">
        <v>27</v>
      </c>
      <c r="D701" s="1" t="s">
        <v>19</v>
      </c>
      <c r="E701" s="1" t="s">
        <v>71</v>
      </c>
      <c r="F701">
        <v>2012</v>
      </c>
      <c r="G701">
        <v>1</v>
      </c>
      <c r="H701" s="1" t="s">
        <v>59</v>
      </c>
      <c r="I701">
        <v>20</v>
      </c>
      <c r="J701">
        <v>2704</v>
      </c>
      <c r="K701" s="1" t="s">
        <v>72</v>
      </c>
      <c r="L701" s="1" t="s">
        <v>64</v>
      </c>
      <c r="M701">
        <v>0</v>
      </c>
      <c r="N701">
        <v>0</v>
      </c>
      <c r="O701">
        <v>0</v>
      </c>
      <c r="P701" s="2">
        <v>41365</v>
      </c>
      <c r="Q701">
        <v>0</v>
      </c>
      <c r="R701" s="1" t="s">
        <v>61</v>
      </c>
    </row>
    <row r="702" spans="1:18" x14ac:dyDescent="0.25">
      <c r="A702">
        <v>2013</v>
      </c>
      <c r="B702">
        <v>5</v>
      </c>
      <c r="C702" s="1" t="s">
        <v>28</v>
      </c>
      <c r="D702" s="1" t="s">
        <v>19</v>
      </c>
      <c r="E702" s="1" t="s">
        <v>71</v>
      </c>
      <c r="F702">
        <v>2012</v>
      </c>
      <c r="G702">
        <v>1</v>
      </c>
      <c r="H702" s="1" t="s">
        <v>59</v>
      </c>
      <c r="I702">
        <v>20</v>
      </c>
      <c r="J702">
        <v>2704</v>
      </c>
      <c r="K702" s="1" t="s">
        <v>72</v>
      </c>
      <c r="L702" s="1" t="s">
        <v>64</v>
      </c>
      <c r="M702">
        <v>0</v>
      </c>
      <c r="N702">
        <v>0</v>
      </c>
      <c r="O702">
        <v>0</v>
      </c>
      <c r="P702" s="2">
        <v>41395</v>
      </c>
      <c r="Q702">
        <v>0</v>
      </c>
      <c r="R702" s="1" t="s">
        <v>61</v>
      </c>
    </row>
    <row r="703" spans="1:18" x14ac:dyDescent="0.25">
      <c r="A703">
        <v>2013</v>
      </c>
      <c r="B703">
        <v>6</v>
      </c>
      <c r="C703" s="1" t="s">
        <v>29</v>
      </c>
      <c r="D703" s="1" t="s">
        <v>19</v>
      </c>
      <c r="E703" s="1" t="s">
        <v>71</v>
      </c>
      <c r="F703">
        <v>2012</v>
      </c>
      <c r="G703">
        <v>1</v>
      </c>
      <c r="H703" s="1" t="s">
        <v>59</v>
      </c>
      <c r="I703">
        <v>20</v>
      </c>
      <c r="J703">
        <v>2704</v>
      </c>
      <c r="K703" s="1" t="s">
        <v>72</v>
      </c>
      <c r="L703" s="1" t="s">
        <v>64</v>
      </c>
      <c r="M703">
        <v>0</v>
      </c>
      <c r="N703">
        <v>0</v>
      </c>
      <c r="O703">
        <v>0</v>
      </c>
      <c r="P703" s="2">
        <v>41426</v>
      </c>
      <c r="Q703">
        <v>0</v>
      </c>
      <c r="R703" s="1" t="s">
        <v>61</v>
      </c>
    </row>
    <row r="704" spans="1:18" x14ac:dyDescent="0.25">
      <c r="A704">
        <v>2013</v>
      </c>
      <c r="B704">
        <v>7</v>
      </c>
      <c r="C704" s="1" t="s">
        <v>30</v>
      </c>
      <c r="D704" s="1" t="s">
        <v>19</v>
      </c>
      <c r="E704" s="1" t="s">
        <v>71</v>
      </c>
      <c r="F704">
        <v>2012</v>
      </c>
      <c r="G704">
        <v>1</v>
      </c>
      <c r="H704" s="1" t="s">
        <v>59</v>
      </c>
      <c r="I704">
        <v>20</v>
      </c>
      <c r="J704">
        <v>2704</v>
      </c>
      <c r="K704" s="1" t="s">
        <v>72</v>
      </c>
      <c r="L704" s="1" t="s">
        <v>64</v>
      </c>
      <c r="M704">
        <v>0</v>
      </c>
      <c r="N704">
        <v>0</v>
      </c>
      <c r="O704">
        <v>0</v>
      </c>
      <c r="P704" s="2">
        <v>41456</v>
      </c>
      <c r="Q704">
        <v>0</v>
      </c>
      <c r="R704" s="1" t="s">
        <v>61</v>
      </c>
    </row>
    <row r="705" spans="1:18" x14ac:dyDescent="0.25">
      <c r="A705">
        <v>2013</v>
      </c>
      <c r="B705">
        <v>8</v>
      </c>
      <c r="C705" s="1" t="s">
        <v>31</v>
      </c>
      <c r="D705" s="1" t="s">
        <v>19</v>
      </c>
      <c r="E705" s="1" t="s">
        <v>71</v>
      </c>
      <c r="F705">
        <v>2012</v>
      </c>
      <c r="G705">
        <v>1</v>
      </c>
      <c r="H705" s="1" t="s">
        <v>59</v>
      </c>
      <c r="I705">
        <v>20</v>
      </c>
      <c r="J705">
        <v>2704</v>
      </c>
      <c r="K705" s="1" t="s">
        <v>72</v>
      </c>
      <c r="L705" s="1" t="s">
        <v>64</v>
      </c>
      <c r="M705">
        <v>0</v>
      </c>
      <c r="N705">
        <v>0</v>
      </c>
      <c r="O705">
        <v>0</v>
      </c>
      <c r="P705" s="2">
        <v>41487</v>
      </c>
      <c r="Q705">
        <v>0</v>
      </c>
      <c r="R705" s="1" t="s">
        <v>61</v>
      </c>
    </row>
    <row r="706" spans="1:18" x14ac:dyDescent="0.25">
      <c r="A706">
        <v>2013</v>
      </c>
      <c r="B706">
        <v>9</v>
      </c>
      <c r="C706" s="1" t="s">
        <v>32</v>
      </c>
      <c r="D706" s="1" t="s">
        <v>19</v>
      </c>
      <c r="E706" s="1" t="s">
        <v>71</v>
      </c>
      <c r="F706">
        <v>2012</v>
      </c>
      <c r="G706">
        <v>1</v>
      </c>
      <c r="H706" s="1" t="s">
        <v>59</v>
      </c>
      <c r="I706">
        <v>20</v>
      </c>
      <c r="J706">
        <v>2704</v>
      </c>
      <c r="K706" s="1" t="s">
        <v>72</v>
      </c>
      <c r="L706" s="1" t="s">
        <v>64</v>
      </c>
      <c r="M706">
        <v>0</v>
      </c>
      <c r="N706">
        <v>0</v>
      </c>
      <c r="O706">
        <v>0</v>
      </c>
      <c r="P706" s="2">
        <v>41518</v>
      </c>
      <c r="Q706">
        <v>0</v>
      </c>
      <c r="R706" s="1" t="s">
        <v>61</v>
      </c>
    </row>
    <row r="707" spans="1:18" x14ac:dyDescent="0.25">
      <c r="A707">
        <v>2013</v>
      </c>
      <c r="B707">
        <v>10</v>
      </c>
      <c r="C707" s="1" t="s">
        <v>33</v>
      </c>
      <c r="D707" s="1" t="s">
        <v>19</v>
      </c>
      <c r="E707" s="1" t="s">
        <v>71</v>
      </c>
      <c r="F707">
        <v>2012</v>
      </c>
      <c r="G707">
        <v>1</v>
      </c>
      <c r="H707" s="1" t="s">
        <v>59</v>
      </c>
      <c r="I707">
        <v>20</v>
      </c>
      <c r="J707">
        <v>2704</v>
      </c>
      <c r="K707" s="1" t="s">
        <v>72</v>
      </c>
      <c r="L707" s="1" t="s">
        <v>64</v>
      </c>
      <c r="M707">
        <v>0</v>
      </c>
      <c r="N707">
        <v>0</v>
      </c>
      <c r="O707">
        <v>0</v>
      </c>
      <c r="P707" s="2">
        <v>41548</v>
      </c>
      <c r="Q707">
        <v>0</v>
      </c>
      <c r="R707" s="1" t="s">
        <v>61</v>
      </c>
    </row>
    <row r="708" spans="1:18" x14ac:dyDescent="0.25">
      <c r="A708">
        <v>2013</v>
      </c>
      <c r="B708">
        <v>11</v>
      </c>
      <c r="C708" s="1" t="s">
        <v>34</v>
      </c>
      <c r="D708" s="1" t="s">
        <v>19</v>
      </c>
      <c r="E708" s="1" t="s">
        <v>71</v>
      </c>
      <c r="F708">
        <v>2012</v>
      </c>
      <c r="G708">
        <v>1</v>
      </c>
      <c r="H708" s="1" t="s">
        <v>59</v>
      </c>
      <c r="I708">
        <v>20</v>
      </c>
      <c r="J708">
        <v>2704</v>
      </c>
      <c r="K708" s="1" t="s">
        <v>72</v>
      </c>
      <c r="L708" s="1" t="s">
        <v>64</v>
      </c>
      <c r="M708">
        <v>0</v>
      </c>
      <c r="N708">
        <v>0</v>
      </c>
      <c r="O708">
        <v>0</v>
      </c>
      <c r="P708" s="2">
        <v>41579</v>
      </c>
      <c r="Q708">
        <v>0</v>
      </c>
      <c r="R708" s="1" t="s">
        <v>61</v>
      </c>
    </row>
    <row r="709" spans="1:18" x14ac:dyDescent="0.25">
      <c r="A709">
        <v>2013</v>
      </c>
      <c r="B709">
        <v>12</v>
      </c>
      <c r="C709" s="1" t="s">
        <v>35</v>
      </c>
      <c r="D709" s="1" t="s">
        <v>19</v>
      </c>
      <c r="E709" s="1" t="s">
        <v>71</v>
      </c>
      <c r="F709">
        <v>2012</v>
      </c>
      <c r="G709">
        <v>1</v>
      </c>
      <c r="H709" s="1" t="s">
        <v>59</v>
      </c>
      <c r="I709">
        <v>20</v>
      </c>
      <c r="J709">
        <v>2704</v>
      </c>
      <c r="K709" s="1" t="s">
        <v>72</v>
      </c>
      <c r="L709" s="1" t="s">
        <v>64</v>
      </c>
      <c r="M709">
        <v>0</v>
      </c>
      <c r="N709">
        <v>0</v>
      </c>
      <c r="O709">
        <v>0</v>
      </c>
      <c r="P709" s="2">
        <v>41609</v>
      </c>
      <c r="Q709">
        <v>0</v>
      </c>
      <c r="R709" s="1" t="s">
        <v>61</v>
      </c>
    </row>
    <row r="710" spans="1:18" x14ac:dyDescent="0.25">
      <c r="A710">
        <v>2013</v>
      </c>
      <c r="B710">
        <v>1</v>
      </c>
      <c r="C710" s="1" t="s">
        <v>18</v>
      </c>
      <c r="D710" s="1" t="s">
        <v>19</v>
      </c>
      <c r="E710" s="1" t="s">
        <v>73</v>
      </c>
      <c r="F710">
        <v>2012</v>
      </c>
      <c r="G710">
        <v>1</v>
      </c>
      <c r="H710" s="1" t="s">
        <v>59</v>
      </c>
      <c r="I710">
        <v>14</v>
      </c>
      <c r="J710">
        <v>1833</v>
      </c>
      <c r="K710" s="1" t="s">
        <v>74</v>
      </c>
      <c r="L710" s="1" t="s">
        <v>64</v>
      </c>
      <c r="M710">
        <v>0</v>
      </c>
      <c r="N710">
        <v>0</v>
      </c>
      <c r="O710">
        <v>0</v>
      </c>
      <c r="P710" s="2">
        <v>41275</v>
      </c>
      <c r="Q710">
        <v>0</v>
      </c>
      <c r="R710" s="1" t="s">
        <v>61</v>
      </c>
    </row>
    <row r="711" spans="1:18" x14ac:dyDescent="0.25">
      <c r="A711">
        <v>2013</v>
      </c>
      <c r="B711">
        <v>2</v>
      </c>
      <c r="C711" s="1" t="s">
        <v>25</v>
      </c>
      <c r="D711" s="1" t="s">
        <v>19</v>
      </c>
      <c r="E711" s="1" t="s">
        <v>73</v>
      </c>
      <c r="F711">
        <v>2012</v>
      </c>
      <c r="G711">
        <v>1</v>
      </c>
      <c r="H711" s="1" t="s">
        <v>59</v>
      </c>
      <c r="I711">
        <v>14</v>
      </c>
      <c r="J711">
        <v>1833</v>
      </c>
      <c r="K711" s="1" t="s">
        <v>74</v>
      </c>
      <c r="L711" s="1" t="s">
        <v>64</v>
      </c>
      <c r="M711">
        <v>0</v>
      </c>
      <c r="N711">
        <v>0</v>
      </c>
      <c r="O711">
        <v>0</v>
      </c>
      <c r="P711" s="2">
        <v>41306</v>
      </c>
      <c r="Q711">
        <v>0</v>
      </c>
      <c r="R711" s="1" t="s">
        <v>61</v>
      </c>
    </row>
    <row r="712" spans="1:18" x14ac:dyDescent="0.25">
      <c r="A712">
        <v>2013</v>
      </c>
      <c r="B712">
        <v>3</v>
      </c>
      <c r="C712" s="1" t="s">
        <v>26</v>
      </c>
      <c r="D712" s="1" t="s">
        <v>19</v>
      </c>
      <c r="E712" s="1" t="s">
        <v>73</v>
      </c>
      <c r="F712">
        <v>2012</v>
      </c>
      <c r="G712">
        <v>1</v>
      </c>
      <c r="H712" s="1" t="s">
        <v>59</v>
      </c>
      <c r="I712">
        <v>14</v>
      </c>
      <c r="J712">
        <v>1833</v>
      </c>
      <c r="K712" s="1" t="s">
        <v>74</v>
      </c>
      <c r="L712" s="1" t="s">
        <v>64</v>
      </c>
      <c r="M712">
        <v>0</v>
      </c>
      <c r="N712">
        <v>0</v>
      </c>
      <c r="O712">
        <v>0</v>
      </c>
      <c r="P712" s="2">
        <v>41334</v>
      </c>
      <c r="Q712">
        <v>0</v>
      </c>
      <c r="R712" s="1" t="s">
        <v>61</v>
      </c>
    </row>
    <row r="713" spans="1:18" x14ac:dyDescent="0.25">
      <c r="A713">
        <v>2013</v>
      </c>
      <c r="B713">
        <v>4</v>
      </c>
      <c r="C713" s="1" t="s">
        <v>27</v>
      </c>
      <c r="D713" s="1" t="s">
        <v>19</v>
      </c>
      <c r="E713" s="1" t="s">
        <v>73</v>
      </c>
      <c r="F713">
        <v>2012</v>
      </c>
      <c r="G713">
        <v>1</v>
      </c>
      <c r="H713" s="1" t="s">
        <v>59</v>
      </c>
      <c r="I713">
        <v>14</v>
      </c>
      <c r="J713">
        <v>1833</v>
      </c>
      <c r="K713" s="1" t="s">
        <v>74</v>
      </c>
      <c r="L713" s="1" t="s">
        <v>64</v>
      </c>
      <c r="M713">
        <v>0</v>
      </c>
      <c r="N713">
        <v>0</v>
      </c>
      <c r="O713">
        <v>0</v>
      </c>
      <c r="P713" s="2">
        <v>41365</v>
      </c>
      <c r="Q713">
        <v>0</v>
      </c>
      <c r="R713" s="1" t="s">
        <v>61</v>
      </c>
    </row>
    <row r="714" spans="1:18" x14ac:dyDescent="0.25">
      <c r="A714">
        <v>2013</v>
      </c>
      <c r="B714">
        <v>5</v>
      </c>
      <c r="C714" s="1" t="s">
        <v>28</v>
      </c>
      <c r="D714" s="1" t="s">
        <v>19</v>
      </c>
      <c r="E714" s="1" t="s">
        <v>73</v>
      </c>
      <c r="F714">
        <v>2012</v>
      </c>
      <c r="G714">
        <v>1</v>
      </c>
      <c r="H714" s="1" t="s">
        <v>59</v>
      </c>
      <c r="I714">
        <v>14</v>
      </c>
      <c r="J714">
        <v>1833</v>
      </c>
      <c r="K714" s="1" t="s">
        <v>74</v>
      </c>
      <c r="L714" s="1" t="s">
        <v>64</v>
      </c>
      <c r="M714">
        <v>0</v>
      </c>
      <c r="N714">
        <v>0</v>
      </c>
      <c r="O714">
        <v>0</v>
      </c>
      <c r="P714" s="2">
        <v>41395</v>
      </c>
      <c r="Q714">
        <v>0</v>
      </c>
      <c r="R714" s="1" t="s">
        <v>61</v>
      </c>
    </row>
    <row r="715" spans="1:18" x14ac:dyDescent="0.25">
      <c r="A715">
        <v>2013</v>
      </c>
      <c r="B715">
        <v>6</v>
      </c>
      <c r="C715" s="1" t="s">
        <v>29</v>
      </c>
      <c r="D715" s="1" t="s">
        <v>19</v>
      </c>
      <c r="E715" s="1" t="s">
        <v>73</v>
      </c>
      <c r="F715">
        <v>2012</v>
      </c>
      <c r="G715">
        <v>1</v>
      </c>
      <c r="H715" s="1" t="s">
        <v>59</v>
      </c>
      <c r="I715">
        <v>14</v>
      </c>
      <c r="J715">
        <v>1833</v>
      </c>
      <c r="K715" s="1" t="s">
        <v>74</v>
      </c>
      <c r="L715" s="1" t="s">
        <v>64</v>
      </c>
      <c r="M715">
        <v>0</v>
      </c>
      <c r="N715">
        <v>0</v>
      </c>
      <c r="O715">
        <v>0</v>
      </c>
      <c r="P715" s="2">
        <v>41426</v>
      </c>
      <c r="Q715">
        <v>0</v>
      </c>
      <c r="R715" s="1" t="s">
        <v>61</v>
      </c>
    </row>
    <row r="716" spans="1:18" x14ac:dyDescent="0.25">
      <c r="A716">
        <v>2013</v>
      </c>
      <c r="B716">
        <v>7</v>
      </c>
      <c r="C716" s="1" t="s">
        <v>30</v>
      </c>
      <c r="D716" s="1" t="s">
        <v>19</v>
      </c>
      <c r="E716" s="1" t="s">
        <v>73</v>
      </c>
      <c r="F716">
        <v>2012</v>
      </c>
      <c r="G716">
        <v>1</v>
      </c>
      <c r="H716" s="1" t="s">
        <v>59</v>
      </c>
      <c r="I716">
        <v>14</v>
      </c>
      <c r="J716">
        <v>1833</v>
      </c>
      <c r="K716" s="1" t="s">
        <v>74</v>
      </c>
      <c r="L716" s="1" t="s">
        <v>64</v>
      </c>
      <c r="M716">
        <v>0</v>
      </c>
      <c r="N716">
        <v>0</v>
      </c>
      <c r="O716">
        <v>0</v>
      </c>
      <c r="P716" s="2">
        <v>41456</v>
      </c>
      <c r="Q716">
        <v>0</v>
      </c>
      <c r="R716" s="1" t="s">
        <v>61</v>
      </c>
    </row>
    <row r="717" spans="1:18" x14ac:dyDescent="0.25">
      <c r="A717">
        <v>2013</v>
      </c>
      <c r="B717">
        <v>8</v>
      </c>
      <c r="C717" s="1" t="s">
        <v>31</v>
      </c>
      <c r="D717" s="1" t="s">
        <v>19</v>
      </c>
      <c r="E717" s="1" t="s">
        <v>73</v>
      </c>
      <c r="F717">
        <v>2012</v>
      </c>
      <c r="G717">
        <v>1</v>
      </c>
      <c r="H717" s="1" t="s">
        <v>59</v>
      </c>
      <c r="I717">
        <v>14</v>
      </c>
      <c r="J717">
        <v>1833</v>
      </c>
      <c r="K717" s="1" t="s">
        <v>74</v>
      </c>
      <c r="L717" s="1" t="s">
        <v>64</v>
      </c>
      <c r="M717">
        <v>0</v>
      </c>
      <c r="N717">
        <v>0</v>
      </c>
      <c r="O717">
        <v>0</v>
      </c>
      <c r="P717" s="2">
        <v>41487</v>
      </c>
      <c r="Q717">
        <v>0</v>
      </c>
      <c r="R717" s="1" t="s">
        <v>61</v>
      </c>
    </row>
    <row r="718" spans="1:18" x14ac:dyDescent="0.25">
      <c r="A718">
        <v>2013</v>
      </c>
      <c r="B718">
        <v>9</v>
      </c>
      <c r="C718" s="1" t="s">
        <v>32</v>
      </c>
      <c r="D718" s="1" t="s">
        <v>19</v>
      </c>
      <c r="E718" s="1" t="s">
        <v>73</v>
      </c>
      <c r="F718">
        <v>2012</v>
      </c>
      <c r="G718">
        <v>1</v>
      </c>
      <c r="H718" s="1" t="s">
        <v>59</v>
      </c>
      <c r="I718">
        <v>14</v>
      </c>
      <c r="J718">
        <v>1833</v>
      </c>
      <c r="K718" s="1" t="s">
        <v>74</v>
      </c>
      <c r="L718" s="1" t="s">
        <v>64</v>
      </c>
      <c r="M718">
        <v>0</v>
      </c>
      <c r="N718">
        <v>0</v>
      </c>
      <c r="O718">
        <v>0</v>
      </c>
      <c r="P718" s="2">
        <v>41518</v>
      </c>
      <c r="Q718">
        <v>0</v>
      </c>
      <c r="R718" s="1" t="s">
        <v>61</v>
      </c>
    </row>
    <row r="719" spans="1:18" x14ac:dyDescent="0.25">
      <c r="A719">
        <v>2013</v>
      </c>
      <c r="B719">
        <v>10</v>
      </c>
      <c r="C719" s="1" t="s">
        <v>33</v>
      </c>
      <c r="D719" s="1" t="s">
        <v>19</v>
      </c>
      <c r="E719" s="1" t="s">
        <v>73</v>
      </c>
      <c r="F719">
        <v>2012</v>
      </c>
      <c r="G719">
        <v>1</v>
      </c>
      <c r="H719" s="1" t="s">
        <v>59</v>
      </c>
      <c r="I719">
        <v>14</v>
      </c>
      <c r="J719">
        <v>1833</v>
      </c>
      <c r="K719" s="1" t="s">
        <v>74</v>
      </c>
      <c r="L719" s="1" t="s">
        <v>64</v>
      </c>
      <c r="M719">
        <v>0</v>
      </c>
      <c r="N719">
        <v>0</v>
      </c>
      <c r="O719">
        <v>0</v>
      </c>
      <c r="P719" s="2">
        <v>41548</v>
      </c>
      <c r="Q719">
        <v>0</v>
      </c>
      <c r="R719" s="1" t="s">
        <v>61</v>
      </c>
    </row>
    <row r="720" spans="1:18" x14ac:dyDescent="0.25">
      <c r="A720">
        <v>2013</v>
      </c>
      <c r="B720">
        <v>11</v>
      </c>
      <c r="C720" s="1" t="s">
        <v>34</v>
      </c>
      <c r="D720" s="1" t="s">
        <v>19</v>
      </c>
      <c r="E720" s="1" t="s">
        <v>73</v>
      </c>
      <c r="F720">
        <v>2012</v>
      </c>
      <c r="G720">
        <v>1</v>
      </c>
      <c r="H720" s="1" t="s">
        <v>59</v>
      </c>
      <c r="I720">
        <v>14</v>
      </c>
      <c r="J720">
        <v>1833</v>
      </c>
      <c r="K720" s="1" t="s">
        <v>74</v>
      </c>
      <c r="L720" s="1" t="s">
        <v>64</v>
      </c>
      <c r="M720">
        <v>0</v>
      </c>
      <c r="N720">
        <v>0</v>
      </c>
      <c r="O720">
        <v>0</v>
      </c>
      <c r="P720" s="2">
        <v>41579</v>
      </c>
      <c r="Q720">
        <v>0</v>
      </c>
      <c r="R720" s="1" t="s">
        <v>61</v>
      </c>
    </row>
    <row r="721" spans="1:18" x14ac:dyDescent="0.25">
      <c r="A721">
        <v>2013</v>
      </c>
      <c r="B721">
        <v>12</v>
      </c>
      <c r="C721" s="1" t="s">
        <v>35</v>
      </c>
      <c r="D721" s="1" t="s">
        <v>19</v>
      </c>
      <c r="E721" s="1" t="s">
        <v>73</v>
      </c>
      <c r="F721">
        <v>2012</v>
      </c>
      <c r="G721">
        <v>1</v>
      </c>
      <c r="H721" s="1" t="s">
        <v>59</v>
      </c>
      <c r="I721">
        <v>14</v>
      </c>
      <c r="J721">
        <v>1833</v>
      </c>
      <c r="K721" s="1" t="s">
        <v>74</v>
      </c>
      <c r="L721" s="1" t="s">
        <v>64</v>
      </c>
      <c r="M721">
        <v>0</v>
      </c>
      <c r="N721">
        <v>0</v>
      </c>
      <c r="O721">
        <v>0</v>
      </c>
      <c r="P721" s="2">
        <v>41609</v>
      </c>
      <c r="Q721">
        <v>0</v>
      </c>
      <c r="R721" s="1" t="s">
        <v>61</v>
      </c>
    </row>
    <row r="722" spans="1:18" x14ac:dyDescent="0.25">
      <c r="A722">
        <v>2013</v>
      </c>
      <c r="B722">
        <v>1</v>
      </c>
      <c r="C722" s="1" t="s">
        <v>18</v>
      </c>
      <c r="D722" s="1" t="s">
        <v>19</v>
      </c>
      <c r="E722" s="1" t="s">
        <v>75</v>
      </c>
      <c r="F722">
        <v>2012</v>
      </c>
      <c r="G722">
        <v>1</v>
      </c>
      <c r="H722" s="1" t="s">
        <v>59</v>
      </c>
      <c r="I722">
        <v>20</v>
      </c>
      <c r="J722">
        <v>1990</v>
      </c>
      <c r="K722" s="1" t="s">
        <v>76</v>
      </c>
      <c r="L722" s="1" t="s">
        <v>64</v>
      </c>
      <c r="M722">
        <v>0</v>
      </c>
      <c r="N722">
        <v>0</v>
      </c>
      <c r="O722">
        <v>0</v>
      </c>
      <c r="P722" s="2">
        <v>41275</v>
      </c>
      <c r="Q722">
        <v>0</v>
      </c>
      <c r="R722" s="1" t="s">
        <v>61</v>
      </c>
    </row>
    <row r="723" spans="1:18" x14ac:dyDescent="0.25">
      <c r="A723">
        <v>2013</v>
      </c>
      <c r="B723">
        <v>2</v>
      </c>
      <c r="C723" s="1" t="s">
        <v>25</v>
      </c>
      <c r="D723" s="1" t="s">
        <v>19</v>
      </c>
      <c r="E723" s="1" t="s">
        <v>75</v>
      </c>
      <c r="F723">
        <v>2012</v>
      </c>
      <c r="G723">
        <v>1</v>
      </c>
      <c r="H723" s="1" t="s">
        <v>59</v>
      </c>
      <c r="I723">
        <v>20</v>
      </c>
      <c r="J723">
        <v>1990</v>
      </c>
      <c r="K723" s="1" t="s">
        <v>76</v>
      </c>
      <c r="L723" s="1" t="s">
        <v>64</v>
      </c>
      <c r="M723">
        <v>0</v>
      </c>
      <c r="N723">
        <v>0</v>
      </c>
      <c r="O723">
        <v>0</v>
      </c>
      <c r="P723" s="2">
        <v>41306</v>
      </c>
      <c r="Q723">
        <v>0</v>
      </c>
      <c r="R723" s="1" t="s">
        <v>61</v>
      </c>
    </row>
    <row r="724" spans="1:18" x14ac:dyDescent="0.25">
      <c r="A724">
        <v>2013</v>
      </c>
      <c r="B724">
        <v>3</v>
      </c>
      <c r="C724" s="1" t="s">
        <v>26</v>
      </c>
      <c r="D724" s="1" t="s">
        <v>19</v>
      </c>
      <c r="E724" s="1" t="s">
        <v>75</v>
      </c>
      <c r="F724">
        <v>2012</v>
      </c>
      <c r="G724">
        <v>1</v>
      </c>
      <c r="H724" s="1" t="s">
        <v>59</v>
      </c>
      <c r="I724">
        <v>20</v>
      </c>
      <c r="J724">
        <v>1990</v>
      </c>
      <c r="K724" s="1" t="s">
        <v>76</v>
      </c>
      <c r="L724" s="1" t="s">
        <v>64</v>
      </c>
      <c r="M724">
        <v>0</v>
      </c>
      <c r="N724">
        <v>0</v>
      </c>
      <c r="O724">
        <v>0</v>
      </c>
      <c r="P724" s="2">
        <v>41334</v>
      </c>
      <c r="Q724">
        <v>0</v>
      </c>
      <c r="R724" s="1" t="s">
        <v>61</v>
      </c>
    </row>
    <row r="725" spans="1:18" x14ac:dyDescent="0.25">
      <c r="A725">
        <v>2013</v>
      </c>
      <c r="B725">
        <v>4</v>
      </c>
      <c r="C725" s="1" t="s">
        <v>27</v>
      </c>
      <c r="D725" s="1" t="s">
        <v>19</v>
      </c>
      <c r="E725" s="1" t="s">
        <v>75</v>
      </c>
      <c r="F725">
        <v>2012</v>
      </c>
      <c r="G725">
        <v>1</v>
      </c>
      <c r="H725" s="1" t="s">
        <v>59</v>
      </c>
      <c r="I725">
        <v>20</v>
      </c>
      <c r="J725">
        <v>1990</v>
      </c>
      <c r="K725" s="1" t="s">
        <v>76</v>
      </c>
      <c r="L725" s="1" t="s">
        <v>64</v>
      </c>
      <c r="M725">
        <v>0</v>
      </c>
      <c r="N725">
        <v>0</v>
      </c>
      <c r="O725">
        <v>0</v>
      </c>
      <c r="P725" s="2">
        <v>41365</v>
      </c>
      <c r="Q725">
        <v>0</v>
      </c>
      <c r="R725" s="1" t="s">
        <v>61</v>
      </c>
    </row>
    <row r="726" spans="1:18" x14ac:dyDescent="0.25">
      <c r="A726">
        <v>2013</v>
      </c>
      <c r="B726">
        <v>5</v>
      </c>
      <c r="C726" s="1" t="s">
        <v>28</v>
      </c>
      <c r="D726" s="1" t="s">
        <v>19</v>
      </c>
      <c r="E726" s="1" t="s">
        <v>75</v>
      </c>
      <c r="F726">
        <v>2012</v>
      </c>
      <c r="G726">
        <v>1</v>
      </c>
      <c r="H726" s="1" t="s">
        <v>59</v>
      </c>
      <c r="I726">
        <v>20</v>
      </c>
      <c r="J726">
        <v>1990</v>
      </c>
      <c r="K726" s="1" t="s">
        <v>76</v>
      </c>
      <c r="L726" s="1" t="s">
        <v>64</v>
      </c>
      <c r="M726">
        <v>0</v>
      </c>
      <c r="N726">
        <v>0</v>
      </c>
      <c r="O726">
        <v>0</v>
      </c>
      <c r="P726" s="2">
        <v>41395</v>
      </c>
      <c r="Q726">
        <v>0</v>
      </c>
      <c r="R726" s="1" t="s">
        <v>61</v>
      </c>
    </row>
    <row r="727" spans="1:18" x14ac:dyDescent="0.25">
      <c r="A727">
        <v>2013</v>
      </c>
      <c r="B727">
        <v>6</v>
      </c>
      <c r="C727" s="1" t="s">
        <v>29</v>
      </c>
      <c r="D727" s="1" t="s">
        <v>19</v>
      </c>
      <c r="E727" s="1" t="s">
        <v>75</v>
      </c>
      <c r="F727">
        <v>2012</v>
      </c>
      <c r="G727">
        <v>1</v>
      </c>
      <c r="H727" s="1" t="s">
        <v>59</v>
      </c>
      <c r="I727">
        <v>20</v>
      </c>
      <c r="J727">
        <v>1990</v>
      </c>
      <c r="K727" s="1" t="s">
        <v>76</v>
      </c>
      <c r="L727" s="1" t="s">
        <v>64</v>
      </c>
      <c r="M727">
        <v>0</v>
      </c>
      <c r="N727">
        <v>0</v>
      </c>
      <c r="O727">
        <v>0</v>
      </c>
      <c r="P727" s="2">
        <v>41426</v>
      </c>
      <c r="Q727">
        <v>0</v>
      </c>
      <c r="R727" s="1" t="s">
        <v>61</v>
      </c>
    </row>
    <row r="728" spans="1:18" x14ac:dyDescent="0.25">
      <c r="A728">
        <v>2013</v>
      </c>
      <c r="B728">
        <v>7</v>
      </c>
      <c r="C728" s="1" t="s">
        <v>30</v>
      </c>
      <c r="D728" s="1" t="s">
        <v>19</v>
      </c>
      <c r="E728" s="1" t="s">
        <v>75</v>
      </c>
      <c r="F728">
        <v>2012</v>
      </c>
      <c r="G728">
        <v>1</v>
      </c>
      <c r="H728" s="1" t="s">
        <v>59</v>
      </c>
      <c r="I728">
        <v>20</v>
      </c>
      <c r="J728">
        <v>1990</v>
      </c>
      <c r="K728" s="1" t="s">
        <v>76</v>
      </c>
      <c r="L728" s="1" t="s">
        <v>64</v>
      </c>
      <c r="M728">
        <v>0</v>
      </c>
      <c r="N728">
        <v>0</v>
      </c>
      <c r="O728">
        <v>0</v>
      </c>
      <c r="P728" s="2">
        <v>41456</v>
      </c>
      <c r="Q728">
        <v>0</v>
      </c>
      <c r="R728" s="1" t="s">
        <v>61</v>
      </c>
    </row>
    <row r="729" spans="1:18" x14ac:dyDescent="0.25">
      <c r="A729">
        <v>2013</v>
      </c>
      <c r="B729">
        <v>8</v>
      </c>
      <c r="C729" s="1" t="s">
        <v>31</v>
      </c>
      <c r="D729" s="1" t="s">
        <v>19</v>
      </c>
      <c r="E729" s="1" t="s">
        <v>75</v>
      </c>
      <c r="F729">
        <v>2012</v>
      </c>
      <c r="G729">
        <v>1</v>
      </c>
      <c r="H729" s="1" t="s">
        <v>59</v>
      </c>
      <c r="I729">
        <v>20</v>
      </c>
      <c r="J729">
        <v>1990</v>
      </c>
      <c r="K729" s="1" t="s">
        <v>76</v>
      </c>
      <c r="L729" s="1" t="s">
        <v>64</v>
      </c>
      <c r="M729">
        <v>0</v>
      </c>
      <c r="N729">
        <v>0</v>
      </c>
      <c r="O729">
        <v>0</v>
      </c>
      <c r="P729" s="2">
        <v>41487</v>
      </c>
      <c r="Q729">
        <v>0</v>
      </c>
      <c r="R729" s="1" t="s">
        <v>61</v>
      </c>
    </row>
    <row r="730" spans="1:18" x14ac:dyDescent="0.25">
      <c r="A730">
        <v>2013</v>
      </c>
      <c r="B730">
        <v>9</v>
      </c>
      <c r="C730" s="1" t="s">
        <v>32</v>
      </c>
      <c r="D730" s="1" t="s">
        <v>19</v>
      </c>
      <c r="E730" s="1" t="s">
        <v>75</v>
      </c>
      <c r="F730">
        <v>2012</v>
      </c>
      <c r="G730">
        <v>1</v>
      </c>
      <c r="H730" s="1" t="s">
        <v>59</v>
      </c>
      <c r="I730">
        <v>20</v>
      </c>
      <c r="J730">
        <v>1990</v>
      </c>
      <c r="K730" s="1" t="s">
        <v>76</v>
      </c>
      <c r="L730" s="1" t="s">
        <v>64</v>
      </c>
      <c r="M730">
        <v>0</v>
      </c>
      <c r="N730">
        <v>0</v>
      </c>
      <c r="O730">
        <v>0</v>
      </c>
      <c r="P730" s="2">
        <v>41518</v>
      </c>
      <c r="Q730">
        <v>0</v>
      </c>
      <c r="R730" s="1" t="s">
        <v>61</v>
      </c>
    </row>
    <row r="731" spans="1:18" x14ac:dyDescent="0.25">
      <c r="A731">
        <v>2013</v>
      </c>
      <c r="B731">
        <v>10</v>
      </c>
      <c r="C731" s="1" t="s">
        <v>33</v>
      </c>
      <c r="D731" s="1" t="s">
        <v>19</v>
      </c>
      <c r="E731" s="1" t="s">
        <v>75</v>
      </c>
      <c r="F731">
        <v>2012</v>
      </c>
      <c r="G731">
        <v>1</v>
      </c>
      <c r="H731" s="1" t="s">
        <v>59</v>
      </c>
      <c r="I731">
        <v>20</v>
      </c>
      <c r="J731">
        <v>1990</v>
      </c>
      <c r="K731" s="1" t="s">
        <v>76</v>
      </c>
      <c r="L731" s="1" t="s">
        <v>64</v>
      </c>
      <c r="M731">
        <v>0</v>
      </c>
      <c r="N731">
        <v>0</v>
      </c>
      <c r="O731">
        <v>0</v>
      </c>
      <c r="P731" s="2">
        <v>41548</v>
      </c>
      <c r="Q731">
        <v>0</v>
      </c>
      <c r="R731" s="1" t="s">
        <v>61</v>
      </c>
    </row>
    <row r="732" spans="1:18" x14ac:dyDescent="0.25">
      <c r="A732">
        <v>2013</v>
      </c>
      <c r="B732">
        <v>11</v>
      </c>
      <c r="C732" s="1" t="s">
        <v>34</v>
      </c>
      <c r="D732" s="1" t="s">
        <v>19</v>
      </c>
      <c r="E732" s="1" t="s">
        <v>75</v>
      </c>
      <c r="F732">
        <v>2012</v>
      </c>
      <c r="G732">
        <v>1</v>
      </c>
      <c r="H732" s="1" t="s">
        <v>59</v>
      </c>
      <c r="I732">
        <v>20</v>
      </c>
      <c r="J732">
        <v>1990</v>
      </c>
      <c r="K732" s="1" t="s">
        <v>76</v>
      </c>
      <c r="L732" s="1" t="s">
        <v>64</v>
      </c>
      <c r="M732">
        <v>0</v>
      </c>
      <c r="N732">
        <v>0</v>
      </c>
      <c r="O732">
        <v>0</v>
      </c>
      <c r="P732" s="2">
        <v>41579</v>
      </c>
      <c r="Q732">
        <v>0</v>
      </c>
      <c r="R732" s="1" t="s">
        <v>61</v>
      </c>
    </row>
    <row r="733" spans="1:18" x14ac:dyDescent="0.25">
      <c r="A733">
        <v>2013</v>
      </c>
      <c r="B733">
        <v>12</v>
      </c>
      <c r="C733" s="1" t="s">
        <v>35</v>
      </c>
      <c r="D733" s="1" t="s">
        <v>19</v>
      </c>
      <c r="E733" s="1" t="s">
        <v>75</v>
      </c>
      <c r="F733">
        <v>2012</v>
      </c>
      <c r="G733">
        <v>1</v>
      </c>
      <c r="H733" s="1" t="s">
        <v>59</v>
      </c>
      <c r="I733">
        <v>20</v>
      </c>
      <c r="J733">
        <v>1990</v>
      </c>
      <c r="K733" s="1" t="s">
        <v>76</v>
      </c>
      <c r="L733" s="1" t="s">
        <v>64</v>
      </c>
      <c r="M733">
        <v>0</v>
      </c>
      <c r="N733">
        <v>0</v>
      </c>
      <c r="O733">
        <v>0</v>
      </c>
      <c r="P733" s="2">
        <v>41609</v>
      </c>
      <c r="Q733">
        <v>0</v>
      </c>
      <c r="R733" s="1" t="s">
        <v>61</v>
      </c>
    </row>
    <row r="734" spans="1:18" x14ac:dyDescent="0.25">
      <c r="A734">
        <v>2013</v>
      </c>
      <c r="B734">
        <v>1</v>
      </c>
      <c r="C734" s="1" t="s">
        <v>18</v>
      </c>
      <c r="D734" s="1" t="s">
        <v>19</v>
      </c>
      <c r="E734" s="1" t="s">
        <v>77</v>
      </c>
      <c r="F734">
        <v>2012</v>
      </c>
      <c r="G734">
        <v>1</v>
      </c>
      <c r="H734" s="1" t="s">
        <v>59</v>
      </c>
      <c r="I734">
        <v>22</v>
      </c>
      <c r="J734">
        <v>2606</v>
      </c>
      <c r="K734" s="1" t="s">
        <v>78</v>
      </c>
      <c r="L734" s="1" t="s">
        <v>64</v>
      </c>
      <c r="M734">
        <v>0</v>
      </c>
      <c r="N734">
        <v>0</v>
      </c>
      <c r="O734">
        <v>0</v>
      </c>
      <c r="P734" s="2">
        <v>41275</v>
      </c>
      <c r="Q734">
        <v>0</v>
      </c>
      <c r="R734" s="1" t="s">
        <v>61</v>
      </c>
    </row>
    <row r="735" spans="1:18" x14ac:dyDescent="0.25">
      <c r="A735">
        <v>2013</v>
      </c>
      <c r="B735">
        <v>2</v>
      </c>
      <c r="C735" s="1" t="s">
        <v>25</v>
      </c>
      <c r="D735" s="1" t="s">
        <v>19</v>
      </c>
      <c r="E735" s="1" t="s">
        <v>77</v>
      </c>
      <c r="F735">
        <v>2012</v>
      </c>
      <c r="G735">
        <v>1</v>
      </c>
      <c r="H735" s="1" t="s">
        <v>59</v>
      </c>
      <c r="I735">
        <v>22</v>
      </c>
      <c r="J735">
        <v>2606</v>
      </c>
      <c r="K735" s="1" t="s">
        <v>78</v>
      </c>
      <c r="L735" s="1" t="s">
        <v>64</v>
      </c>
      <c r="M735">
        <v>0</v>
      </c>
      <c r="N735">
        <v>0</v>
      </c>
      <c r="O735">
        <v>0</v>
      </c>
      <c r="P735" s="2">
        <v>41306</v>
      </c>
      <c r="Q735">
        <v>0</v>
      </c>
      <c r="R735" s="1" t="s">
        <v>61</v>
      </c>
    </row>
    <row r="736" spans="1:18" x14ac:dyDescent="0.25">
      <c r="A736">
        <v>2013</v>
      </c>
      <c r="B736">
        <v>3</v>
      </c>
      <c r="C736" s="1" t="s">
        <v>26</v>
      </c>
      <c r="D736" s="1" t="s">
        <v>19</v>
      </c>
      <c r="E736" s="1" t="s">
        <v>77</v>
      </c>
      <c r="F736">
        <v>2012</v>
      </c>
      <c r="G736">
        <v>1</v>
      </c>
      <c r="H736" s="1" t="s">
        <v>59</v>
      </c>
      <c r="I736">
        <v>22</v>
      </c>
      <c r="J736">
        <v>2606</v>
      </c>
      <c r="K736" s="1" t="s">
        <v>78</v>
      </c>
      <c r="L736" s="1" t="s">
        <v>64</v>
      </c>
      <c r="M736">
        <v>0</v>
      </c>
      <c r="N736">
        <v>0</v>
      </c>
      <c r="O736">
        <v>0</v>
      </c>
      <c r="P736" s="2">
        <v>41334</v>
      </c>
      <c r="Q736">
        <v>0</v>
      </c>
      <c r="R736" s="1" t="s">
        <v>61</v>
      </c>
    </row>
    <row r="737" spans="1:18" x14ac:dyDescent="0.25">
      <c r="A737">
        <v>2013</v>
      </c>
      <c r="B737">
        <v>4</v>
      </c>
      <c r="C737" s="1" t="s">
        <v>27</v>
      </c>
      <c r="D737" s="1" t="s">
        <v>19</v>
      </c>
      <c r="E737" s="1" t="s">
        <v>77</v>
      </c>
      <c r="F737">
        <v>2012</v>
      </c>
      <c r="G737">
        <v>1</v>
      </c>
      <c r="H737" s="1" t="s">
        <v>59</v>
      </c>
      <c r="I737">
        <v>22</v>
      </c>
      <c r="J737">
        <v>2606</v>
      </c>
      <c r="K737" s="1" t="s">
        <v>78</v>
      </c>
      <c r="L737" s="1" t="s">
        <v>64</v>
      </c>
      <c r="M737">
        <v>0</v>
      </c>
      <c r="N737">
        <v>0</v>
      </c>
      <c r="O737">
        <v>0</v>
      </c>
      <c r="P737" s="2">
        <v>41365</v>
      </c>
      <c r="Q737">
        <v>0</v>
      </c>
      <c r="R737" s="1" t="s">
        <v>61</v>
      </c>
    </row>
    <row r="738" spans="1:18" x14ac:dyDescent="0.25">
      <c r="A738">
        <v>2013</v>
      </c>
      <c r="B738">
        <v>5</v>
      </c>
      <c r="C738" s="1" t="s">
        <v>28</v>
      </c>
      <c r="D738" s="1" t="s">
        <v>19</v>
      </c>
      <c r="E738" s="1" t="s">
        <v>77</v>
      </c>
      <c r="F738">
        <v>2012</v>
      </c>
      <c r="G738">
        <v>1</v>
      </c>
      <c r="H738" s="1" t="s">
        <v>59</v>
      </c>
      <c r="I738">
        <v>22</v>
      </c>
      <c r="J738">
        <v>2606</v>
      </c>
      <c r="K738" s="1" t="s">
        <v>78</v>
      </c>
      <c r="L738" s="1" t="s">
        <v>64</v>
      </c>
      <c r="M738">
        <v>0</v>
      </c>
      <c r="N738">
        <v>0</v>
      </c>
      <c r="O738">
        <v>0</v>
      </c>
      <c r="P738" s="2">
        <v>41395</v>
      </c>
      <c r="Q738">
        <v>0</v>
      </c>
      <c r="R738" s="1" t="s">
        <v>61</v>
      </c>
    </row>
    <row r="739" spans="1:18" x14ac:dyDescent="0.25">
      <c r="A739">
        <v>2013</v>
      </c>
      <c r="B739">
        <v>6</v>
      </c>
      <c r="C739" s="1" t="s">
        <v>29</v>
      </c>
      <c r="D739" s="1" t="s">
        <v>19</v>
      </c>
      <c r="E739" s="1" t="s">
        <v>77</v>
      </c>
      <c r="F739">
        <v>2012</v>
      </c>
      <c r="G739">
        <v>1</v>
      </c>
      <c r="H739" s="1" t="s">
        <v>59</v>
      </c>
      <c r="I739">
        <v>22</v>
      </c>
      <c r="J739">
        <v>2606</v>
      </c>
      <c r="K739" s="1" t="s">
        <v>78</v>
      </c>
      <c r="L739" s="1" t="s">
        <v>64</v>
      </c>
      <c r="M739">
        <v>0</v>
      </c>
      <c r="N739">
        <v>0</v>
      </c>
      <c r="O739">
        <v>0</v>
      </c>
      <c r="P739" s="2">
        <v>41426</v>
      </c>
      <c r="Q739">
        <v>0</v>
      </c>
      <c r="R739" s="1" t="s">
        <v>61</v>
      </c>
    </row>
    <row r="740" spans="1:18" x14ac:dyDescent="0.25">
      <c r="A740">
        <v>2013</v>
      </c>
      <c r="B740">
        <v>7</v>
      </c>
      <c r="C740" s="1" t="s">
        <v>30</v>
      </c>
      <c r="D740" s="1" t="s">
        <v>19</v>
      </c>
      <c r="E740" s="1" t="s">
        <v>77</v>
      </c>
      <c r="F740">
        <v>2012</v>
      </c>
      <c r="G740">
        <v>1</v>
      </c>
      <c r="H740" s="1" t="s">
        <v>59</v>
      </c>
      <c r="I740">
        <v>22</v>
      </c>
      <c r="J740">
        <v>2606</v>
      </c>
      <c r="K740" s="1" t="s">
        <v>78</v>
      </c>
      <c r="L740" s="1" t="s">
        <v>64</v>
      </c>
      <c r="M740">
        <v>0</v>
      </c>
      <c r="N740">
        <v>0</v>
      </c>
      <c r="O740">
        <v>0</v>
      </c>
      <c r="P740" s="2">
        <v>41456</v>
      </c>
      <c r="Q740">
        <v>0</v>
      </c>
      <c r="R740" s="1" t="s">
        <v>61</v>
      </c>
    </row>
    <row r="741" spans="1:18" x14ac:dyDescent="0.25">
      <c r="A741">
        <v>2013</v>
      </c>
      <c r="B741">
        <v>8</v>
      </c>
      <c r="C741" s="1" t="s">
        <v>31</v>
      </c>
      <c r="D741" s="1" t="s">
        <v>19</v>
      </c>
      <c r="E741" s="1" t="s">
        <v>77</v>
      </c>
      <c r="F741">
        <v>2012</v>
      </c>
      <c r="G741">
        <v>1</v>
      </c>
      <c r="H741" s="1" t="s">
        <v>59</v>
      </c>
      <c r="I741">
        <v>22</v>
      </c>
      <c r="J741">
        <v>2606</v>
      </c>
      <c r="K741" s="1" t="s">
        <v>78</v>
      </c>
      <c r="L741" s="1" t="s">
        <v>64</v>
      </c>
      <c r="M741">
        <v>0</v>
      </c>
      <c r="N741">
        <v>0</v>
      </c>
      <c r="O741">
        <v>0</v>
      </c>
      <c r="P741" s="2">
        <v>41487</v>
      </c>
      <c r="Q741">
        <v>0</v>
      </c>
      <c r="R741" s="1" t="s">
        <v>61</v>
      </c>
    </row>
    <row r="742" spans="1:18" x14ac:dyDescent="0.25">
      <c r="A742">
        <v>2013</v>
      </c>
      <c r="B742">
        <v>9</v>
      </c>
      <c r="C742" s="1" t="s">
        <v>32</v>
      </c>
      <c r="D742" s="1" t="s">
        <v>19</v>
      </c>
      <c r="E742" s="1" t="s">
        <v>77</v>
      </c>
      <c r="F742">
        <v>2012</v>
      </c>
      <c r="G742">
        <v>1</v>
      </c>
      <c r="H742" s="1" t="s">
        <v>59</v>
      </c>
      <c r="I742">
        <v>22</v>
      </c>
      <c r="J742">
        <v>2606</v>
      </c>
      <c r="K742" s="1" t="s">
        <v>78</v>
      </c>
      <c r="L742" s="1" t="s">
        <v>64</v>
      </c>
      <c r="M742">
        <v>0</v>
      </c>
      <c r="N742">
        <v>0</v>
      </c>
      <c r="O742">
        <v>0</v>
      </c>
      <c r="P742" s="2">
        <v>41518</v>
      </c>
      <c r="Q742">
        <v>0</v>
      </c>
      <c r="R742" s="1" t="s">
        <v>61</v>
      </c>
    </row>
    <row r="743" spans="1:18" x14ac:dyDescent="0.25">
      <c r="A743">
        <v>2013</v>
      </c>
      <c r="B743">
        <v>10</v>
      </c>
      <c r="C743" s="1" t="s">
        <v>33</v>
      </c>
      <c r="D743" s="1" t="s">
        <v>19</v>
      </c>
      <c r="E743" s="1" t="s">
        <v>77</v>
      </c>
      <c r="F743">
        <v>2012</v>
      </c>
      <c r="G743">
        <v>1</v>
      </c>
      <c r="H743" s="1" t="s">
        <v>59</v>
      </c>
      <c r="I743">
        <v>22</v>
      </c>
      <c r="J743">
        <v>2606</v>
      </c>
      <c r="K743" s="1" t="s">
        <v>78</v>
      </c>
      <c r="L743" s="1" t="s">
        <v>64</v>
      </c>
      <c r="M743">
        <v>0</v>
      </c>
      <c r="N743">
        <v>0</v>
      </c>
      <c r="O743">
        <v>0</v>
      </c>
      <c r="P743" s="2">
        <v>41548</v>
      </c>
      <c r="Q743">
        <v>0</v>
      </c>
      <c r="R743" s="1" t="s">
        <v>61</v>
      </c>
    </row>
    <row r="744" spans="1:18" x14ac:dyDescent="0.25">
      <c r="A744">
        <v>2013</v>
      </c>
      <c r="B744">
        <v>11</v>
      </c>
      <c r="C744" s="1" t="s">
        <v>34</v>
      </c>
      <c r="D744" s="1" t="s">
        <v>19</v>
      </c>
      <c r="E744" s="1" t="s">
        <v>77</v>
      </c>
      <c r="F744">
        <v>2012</v>
      </c>
      <c r="G744">
        <v>1</v>
      </c>
      <c r="H744" s="1" t="s">
        <v>59</v>
      </c>
      <c r="I744">
        <v>22</v>
      </c>
      <c r="J744">
        <v>2606</v>
      </c>
      <c r="K744" s="1" t="s">
        <v>78</v>
      </c>
      <c r="L744" s="1" t="s">
        <v>64</v>
      </c>
      <c r="M744">
        <v>0</v>
      </c>
      <c r="N744">
        <v>0</v>
      </c>
      <c r="O744">
        <v>0</v>
      </c>
      <c r="P744" s="2">
        <v>41579</v>
      </c>
      <c r="Q744">
        <v>0</v>
      </c>
      <c r="R744" s="1" t="s">
        <v>61</v>
      </c>
    </row>
    <row r="745" spans="1:18" x14ac:dyDescent="0.25">
      <c r="A745">
        <v>2013</v>
      </c>
      <c r="B745">
        <v>12</v>
      </c>
      <c r="C745" s="1" t="s">
        <v>35</v>
      </c>
      <c r="D745" s="1" t="s">
        <v>19</v>
      </c>
      <c r="E745" s="1" t="s">
        <v>77</v>
      </c>
      <c r="F745">
        <v>2012</v>
      </c>
      <c r="G745">
        <v>1</v>
      </c>
      <c r="H745" s="1" t="s">
        <v>59</v>
      </c>
      <c r="I745">
        <v>22</v>
      </c>
      <c r="J745">
        <v>2606</v>
      </c>
      <c r="K745" s="1" t="s">
        <v>78</v>
      </c>
      <c r="L745" s="1" t="s">
        <v>64</v>
      </c>
      <c r="M745">
        <v>0</v>
      </c>
      <c r="N745">
        <v>0</v>
      </c>
      <c r="O745">
        <v>0</v>
      </c>
      <c r="P745" s="2">
        <v>41609</v>
      </c>
      <c r="Q745">
        <v>0</v>
      </c>
      <c r="R745" s="1" t="s">
        <v>61</v>
      </c>
    </row>
    <row r="746" spans="1:18" x14ac:dyDescent="0.25">
      <c r="A746">
        <v>2013</v>
      </c>
      <c r="B746">
        <v>1</v>
      </c>
      <c r="C746" s="1" t="s">
        <v>18</v>
      </c>
      <c r="D746" s="1" t="s">
        <v>19</v>
      </c>
      <c r="E746" s="1" t="s">
        <v>79</v>
      </c>
      <c r="F746">
        <v>2012</v>
      </c>
      <c r="G746">
        <v>1</v>
      </c>
      <c r="H746" s="1" t="s">
        <v>59</v>
      </c>
      <c r="I746">
        <v>22</v>
      </c>
      <c r="J746">
        <v>2683</v>
      </c>
      <c r="K746" s="1" t="s">
        <v>80</v>
      </c>
      <c r="L746" s="1" t="s">
        <v>45</v>
      </c>
      <c r="M746">
        <v>0</v>
      </c>
      <c r="N746">
        <v>0</v>
      </c>
      <c r="O746">
        <v>0</v>
      </c>
      <c r="P746" s="2">
        <v>41275</v>
      </c>
      <c r="Q746">
        <v>0</v>
      </c>
      <c r="R746" s="1" t="s">
        <v>61</v>
      </c>
    </row>
    <row r="747" spans="1:18" x14ac:dyDescent="0.25">
      <c r="A747">
        <v>2013</v>
      </c>
      <c r="B747">
        <v>2</v>
      </c>
      <c r="C747" s="1" t="s">
        <v>25</v>
      </c>
      <c r="D747" s="1" t="s">
        <v>19</v>
      </c>
      <c r="E747" s="1" t="s">
        <v>79</v>
      </c>
      <c r="F747">
        <v>2012</v>
      </c>
      <c r="G747">
        <v>1</v>
      </c>
      <c r="H747" s="1" t="s">
        <v>59</v>
      </c>
      <c r="I747">
        <v>22</v>
      </c>
      <c r="J747">
        <v>2683</v>
      </c>
      <c r="K747" s="1" t="s">
        <v>80</v>
      </c>
      <c r="L747" s="1" t="s">
        <v>45</v>
      </c>
      <c r="M747">
        <v>0</v>
      </c>
      <c r="N747">
        <v>0</v>
      </c>
      <c r="O747">
        <v>0</v>
      </c>
      <c r="P747" s="2">
        <v>41306</v>
      </c>
      <c r="Q747">
        <v>0</v>
      </c>
      <c r="R747" s="1" t="s">
        <v>61</v>
      </c>
    </row>
    <row r="748" spans="1:18" x14ac:dyDescent="0.25">
      <c r="A748">
        <v>2013</v>
      </c>
      <c r="B748">
        <v>3</v>
      </c>
      <c r="C748" s="1" t="s">
        <v>26</v>
      </c>
      <c r="D748" s="1" t="s">
        <v>19</v>
      </c>
      <c r="E748" s="1" t="s">
        <v>79</v>
      </c>
      <c r="F748">
        <v>2012</v>
      </c>
      <c r="G748">
        <v>1</v>
      </c>
      <c r="H748" s="1" t="s">
        <v>59</v>
      </c>
      <c r="I748">
        <v>22</v>
      </c>
      <c r="J748">
        <v>2683</v>
      </c>
      <c r="K748" s="1" t="s">
        <v>80</v>
      </c>
      <c r="L748" s="1" t="s">
        <v>45</v>
      </c>
      <c r="M748">
        <v>0</v>
      </c>
      <c r="N748">
        <v>0</v>
      </c>
      <c r="O748">
        <v>0</v>
      </c>
      <c r="P748" s="2">
        <v>41334</v>
      </c>
      <c r="Q748">
        <v>0</v>
      </c>
      <c r="R748" s="1" t="s">
        <v>61</v>
      </c>
    </row>
    <row r="749" spans="1:18" x14ac:dyDescent="0.25">
      <c r="A749">
        <v>2013</v>
      </c>
      <c r="B749">
        <v>4</v>
      </c>
      <c r="C749" s="1" t="s">
        <v>27</v>
      </c>
      <c r="D749" s="1" t="s">
        <v>19</v>
      </c>
      <c r="E749" s="1" t="s">
        <v>79</v>
      </c>
      <c r="F749">
        <v>2012</v>
      </c>
      <c r="G749">
        <v>1</v>
      </c>
      <c r="H749" s="1" t="s">
        <v>59</v>
      </c>
      <c r="I749">
        <v>22</v>
      </c>
      <c r="J749">
        <v>2683</v>
      </c>
      <c r="K749" s="1" t="s">
        <v>80</v>
      </c>
      <c r="L749" s="1" t="s">
        <v>45</v>
      </c>
      <c r="M749">
        <v>0</v>
      </c>
      <c r="N749">
        <v>0</v>
      </c>
      <c r="O749">
        <v>0</v>
      </c>
      <c r="P749" s="2">
        <v>41365</v>
      </c>
      <c r="Q749">
        <v>0</v>
      </c>
      <c r="R749" s="1" t="s">
        <v>61</v>
      </c>
    </row>
    <row r="750" spans="1:18" x14ac:dyDescent="0.25">
      <c r="A750">
        <v>2013</v>
      </c>
      <c r="B750">
        <v>5</v>
      </c>
      <c r="C750" s="1" t="s">
        <v>28</v>
      </c>
      <c r="D750" s="1" t="s">
        <v>19</v>
      </c>
      <c r="E750" s="1" t="s">
        <v>79</v>
      </c>
      <c r="F750">
        <v>2012</v>
      </c>
      <c r="G750">
        <v>1</v>
      </c>
      <c r="H750" s="1" t="s">
        <v>59</v>
      </c>
      <c r="I750">
        <v>22</v>
      </c>
      <c r="J750">
        <v>2683</v>
      </c>
      <c r="K750" s="1" t="s">
        <v>80</v>
      </c>
      <c r="L750" s="1" t="s">
        <v>45</v>
      </c>
      <c r="M750">
        <v>0</v>
      </c>
      <c r="N750">
        <v>0</v>
      </c>
      <c r="O750">
        <v>0</v>
      </c>
      <c r="P750" s="2">
        <v>41395</v>
      </c>
      <c r="Q750">
        <v>0</v>
      </c>
      <c r="R750" s="1" t="s">
        <v>61</v>
      </c>
    </row>
    <row r="751" spans="1:18" x14ac:dyDescent="0.25">
      <c r="A751">
        <v>2013</v>
      </c>
      <c r="B751">
        <v>6</v>
      </c>
      <c r="C751" s="1" t="s">
        <v>29</v>
      </c>
      <c r="D751" s="1" t="s">
        <v>19</v>
      </c>
      <c r="E751" s="1" t="s">
        <v>79</v>
      </c>
      <c r="F751">
        <v>2012</v>
      </c>
      <c r="G751">
        <v>1</v>
      </c>
      <c r="H751" s="1" t="s">
        <v>59</v>
      </c>
      <c r="I751">
        <v>22</v>
      </c>
      <c r="J751">
        <v>2683</v>
      </c>
      <c r="K751" s="1" t="s">
        <v>80</v>
      </c>
      <c r="L751" s="1" t="s">
        <v>45</v>
      </c>
      <c r="M751">
        <v>0</v>
      </c>
      <c r="N751">
        <v>0</v>
      </c>
      <c r="O751">
        <v>0</v>
      </c>
      <c r="P751" s="2">
        <v>41426</v>
      </c>
      <c r="Q751">
        <v>0</v>
      </c>
      <c r="R751" s="1" t="s">
        <v>61</v>
      </c>
    </row>
    <row r="752" spans="1:18" x14ac:dyDescent="0.25">
      <c r="A752">
        <v>2013</v>
      </c>
      <c r="B752">
        <v>7</v>
      </c>
      <c r="C752" s="1" t="s">
        <v>30</v>
      </c>
      <c r="D752" s="1" t="s">
        <v>19</v>
      </c>
      <c r="E752" s="1" t="s">
        <v>79</v>
      </c>
      <c r="F752">
        <v>2012</v>
      </c>
      <c r="G752">
        <v>1</v>
      </c>
      <c r="H752" s="1" t="s">
        <v>59</v>
      </c>
      <c r="I752">
        <v>22</v>
      </c>
      <c r="J752">
        <v>2683</v>
      </c>
      <c r="K752" s="1" t="s">
        <v>80</v>
      </c>
      <c r="L752" s="1" t="s">
        <v>45</v>
      </c>
      <c r="M752">
        <v>0</v>
      </c>
      <c r="N752">
        <v>0</v>
      </c>
      <c r="O752">
        <v>0</v>
      </c>
      <c r="P752" s="2">
        <v>41456</v>
      </c>
      <c r="Q752">
        <v>0</v>
      </c>
      <c r="R752" s="1" t="s">
        <v>61</v>
      </c>
    </row>
    <row r="753" spans="1:18" x14ac:dyDescent="0.25">
      <c r="A753">
        <v>2013</v>
      </c>
      <c r="B753">
        <v>8</v>
      </c>
      <c r="C753" s="1" t="s">
        <v>31</v>
      </c>
      <c r="D753" s="1" t="s">
        <v>19</v>
      </c>
      <c r="E753" s="1" t="s">
        <v>79</v>
      </c>
      <c r="F753">
        <v>2012</v>
      </c>
      <c r="G753">
        <v>1</v>
      </c>
      <c r="H753" s="1" t="s">
        <v>59</v>
      </c>
      <c r="I753">
        <v>22</v>
      </c>
      <c r="J753">
        <v>2683</v>
      </c>
      <c r="K753" s="1" t="s">
        <v>80</v>
      </c>
      <c r="L753" s="1" t="s">
        <v>45</v>
      </c>
      <c r="M753">
        <v>0</v>
      </c>
      <c r="N753">
        <v>0</v>
      </c>
      <c r="O753">
        <v>0</v>
      </c>
      <c r="P753" s="2">
        <v>41487</v>
      </c>
      <c r="Q753">
        <v>0</v>
      </c>
      <c r="R753" s="1" t="s">
        <v>61</v>
      </c>
    </row>
    <row r="754" spans="1:18" x14ac:dyDescent="0.25">
      <c r="A754">
        <v>2013</v>
      </c>
      <c r="B754">
        <v>9</v>
      </c>
      <c r="C754" s="1" t="s">
        <v>32</v>
      </c>
      <c r="D754" s="1" t="s">
        <v>19</v>
      </c>
      <c r="E754" s="1" t="s">
        <v>79</v>
      </c>
      <c r="F754">
        <v>2012</v>
      </c>
      <c r="G754">
        <v>1</v>
      </c>
      <c r="H754" s="1" t="s">
        <v>59</v>
      </c>
      <c r="I754">
        <v>22</v>
      </c>
      <c r="J754">
        <v>2683</v>
      </c>
      <c r="K754" s="1" t="s">
        <v>80</v>
      </c>
      <c r="L754" s="1" t="s">
        <v>45</v>
      </c>
      <c r="M754">
        <v>0</v>
      </c>
      <c r="N754">
        <v>0</v>
      </c>
      <c r="O754">
        <v>0</v>
      </c>
      <c r="P754" s="2">
        <v>41518</v>
      </c>
      <c r="Q754">
        <v>0</v>
      </c>
      <c r="R754" s="1" t="s">
        <v>61</v>
      </c>
    </row>
    <row r="755" spans="1:18" x14ac:dyDescent="0.25">
      <c r="A755">
        <v>2013</v>
      </c>
      <c r="B755">
        <v>10</v>
      </c>
      <c r="C755" s="1" t="s">
        <v>33</v>
      </c>
      <c r="D755" s="1" t="s">
        <v>19</v>
      </c>
      <c r="E755" s="1" t="s">
        <v>79</v>
      </c>
      <c r="F755">
        <v>2012</v>
      </c>
      <c r="G755">
        <v>1</v>
      </c>
      <c r="H755" s="1" t="s">
        <v>59</v>
      </c>
      <c r="I755">
        <v>22</v>
      </c>
      <c r="J755">
        <v>2683</v>
      </c>
      <c r="K755" s="1" t="s">
        <v>80</v>
      </c>
      <c r="L755" s="1" t="s">
        <v>45</v>
      </c>
      <c r="M755">
        <v>0</v>
      </c>
      <c r="N755">
        <v>0</v>
      </c>
      <c r="O755">
        <v>0</v>
      </c>
      <c r="P755" s="2">
        <v>41548</v>
      </c>
      <c r="Q755">
        <v>0</v>
      </c>
      <c r="R755" s="1" t="s">
        <v>61</v>
      </c>
    </row>
    <row r="756" spans="1:18" x14ac:dyDescent="0.25">
      <c r="A756">
        <v>2013</v>
      </c>
      <c r="B756">
        <v>11</v>
      </c>
      <c r="C756" s="1" t="s">
        <v>34</v>
      </c>
      <c r="D756" s="1" t="s">
        <v>19</v>
      </c>
      <c r="E756" s="1" t="s">
        <v>79</v>
      </c>
      <c r="F756">
        <v>2012</v>
      </c>
      <c r="G756">
        <v>1</v>
      </c>
      <c r="H756" s="1" t="s">
        <v>59</v>
      </c>
      <c r="I756">
        <v>22</v>
      </c>
      <c r="J756">
        <v>2683</v>
      </c>
      <c r="K756" s="1" t="s">
        <v>80</v>
      </c>
      <c r="L756" s="1" t="s">
        <v>45</v>
      </c>
      <c r="M756">
        <v>0</v>
      </c>
      <c r="N756">
        <v>0</v>
      </c>
      <c r="O756">
        <v>0</v>
      </c>
      <c r="P756" s="2">
        <v>41579</v>
      </c>
      <c r="Q756">
        <v>0</v>
      </c>
      <c r="R756" s="1" t="s">
        <v>61</v>
      </c>
    </row>
    <row r="757" spans="1:18" x14ac:dyDescent="0.25">
      <c r="A757">
        <v>2013</v>
      </c>
      <c r="B757">
        <v>12</v>
      </c>
      <c r="C757" s="1" t="s">
        <v>35</v>
      </c>
      <c r="D757" s="1" t="s">
        <v>19</v>
      </c>
      <c r="E757" s="1" t="s">
        <v>79</v>
      </c>
      <c r="F757">
        <v>2012</v>
      </c>
      <c r="G757">
        <v>1</v>
      </c>
      <c r="H757" s="1" t="s">
        <v>59</v>
      </c>
      <c r="I757">
        <v>22</v>
      </c>
      <c r="J757">
        <v>2683</v>
      </c>
      <c r="K757" s="1" t="s">
        <v>80</v>
      </c>
      <c r="L757" s="1" t="s">
        <v>45</v>
      </c>
      <c r="M757">
        <v>0</v>
      </c>
      <c r="N757">
        <v>0</v>
      </c>
      <c r="O757">
        <v>0</v>
      </c>
      <c r="P757" s="2">
        <v>41609</v>
      </c>
      <c r="Q757">
        <v>0</v>
      </c>
      <c r="R757" s="1" t="s">
        <v>61</v>
      </c>
    </row>
    <row r="758" spans="1:18" x14ac:dyDescent="0.25">
      <c r="A758">
        <v>2013</v>
      </c>
      <c r="B758">
        <v>1</v>
      </c>
      <c r="C758" s="1" t="s">
        <v>18</v>
      </c>
      <c r="D758" s="1" t="s">
        <v>19</v>
      </c>
      <c r="E758" s="1" t="s">
        <v>81</v>
      </c>
      <c r="F758">
        <v>2012</v>
      </c>
      <c r="G758">
        <v>1</v>
      </c>
      <c r="H758" s="1" t="s">
        <v>59</v>
      </c>
      <c r="I758">
        <v>28</v>
      </c>
      <c r="J758">
        <v>3483</v>
      </c>
      <c r="K758" s="1" t="s">
        <v>53</v>
      </c>
      <c r="L758" s="1" t="s">
        <v>45</v>
      </c>
      <c r="M758">
        <v>0</v>
      </c>
      <c r="N758">
        <v>0</v>
      </c>
      <c r="O758">
        <v>0</v>
      </c>
      <c r="P758" s="2">
        <v>41275</v>
      </c>
      <c r="Q758">
        <v>0</v>
      </c>
      <c r="R758" s="1" t="s">
        <v>61</v>
      </c>
    </row>
    <row r="759" spans="1:18" x14ac:dyDescent="0.25">
      <c r="A759">
        <v>2013</v>
      </c>
      <c r="B759">
        <v>2</v>
      </c>
      <c r="C759" s="1" t="s">
        <v>25</v>
      </c>
      <c r="D759" s="1" t="s">
        <v>19</v>
      </c>
      <c r="E759" s="1" t="s">
        <v>81</v>
      </c>
      <c r="F759">
        <v>2012</v>
      </c>
      <c r="G759">
        <v>1</v>
      </c>
      <c r="H759" s="1" t="s">
        <v>59</v>
      </c>
      <c r="I759">
        <v>28</v>
      </c>
      <c r="J759">
        <v>3483</v>
      </c>
      <c r="K759" s="1" t="s">
        <v>53</v>
      </c>
      <c r="L759" s="1" t="s">
        <v>45</v>
      </c>
      <c r="M759">
        <v>0</v>
      </c>
      <c r="N759">
        <v>0</v>
      </c>
      <c r="O759">
        <v>0</v>
      </c>
      <c r="P759" s="2">
        <v>41306</v>
      </c>
      <c r="Q759">
        <v>0</v>
      </c>
      <c r="R759" s="1" t="s">
        <v>61</v>
      </c>
    </row>
    <row r="760" spans="1:18" x14ac:dyDescent="0.25">
      <c r="A760">
        <v>2013</v>
      </c>
      <c r="B760">
        <v>3</v>
      </c>
      <c r="C760" s="1" t="s">
        <v>26</v>
      </c>
      <c r="D760" s="1" t="s">
        <v>19</v>
      </c>
      <c r="E760" s="1" t="s">
        <v>81</v>
      </c>
      <c r="F760">
        <v>2012</v>
      </c>
      <c r="G760">
        <v>1</v>
      </c>
      <c r="H760" s="1" t="s">
        <v>59</v>
      </c>
      <c r="I760">
        <v>28</v>
      </c>
      <c r="J760">
        <v>3483</v>
      </c>
      <c r="K760" s="1" t="s">
        <v>53</v>
      </c>
      <c r="L760" s="1" t="s">
        <v>45</v>
      </c>
      <c r="M760">
        <v>0</v>
      </c>
      <c r="N760">
        <v>0</v>
      </c>
      <c r="O760">
        <v>0</v>
      </c>
      <c r="P760" s="2">
        <v>41334</v>
      </c>
      <c r="Q760">
        <v>0</v>
      </c>
      <c r="R760" s="1" t="s">
        <v>61</v>
      </c>
    </row>
    <row r="761" spans="1:18" x14ac:dyDescent="0.25">
      <c r="A761">
        <v>2013</v>
      </c>
      <c r="B761">
        <v>4</v>
      </c>
      <c r="C761" s="1" t="s">
        <v>27</v>
      </c>
      <c r="D761" s="1" t="s">
        <v>19</v>
      </c>
      <c r="E761" s="1" t="s">
        <v>81</v>
      </c>
      <c r="F761">
        <v>2012</v>
      </c>
      <c r="G761">
        <v>1</v>
      </c>
      <c r="H761" s="1" t="s">
        <v>59</v>
      </c>
      <c r="I761">
        <v>28</v>
      </c>
      <c r="J761">
        <v>3483</v>
      </c>
      <c r="K761" s="1" t="s">
        <v>53</v>
      </c>
      <c r="L761" s="1" t="s">
        <v>45</v>
      </c>
      <c r="M761">
        <v>0</v>
      </c>
      <c r="N761">
        <v>0</v>
      </c>
      <c r="O761">
        <v>0</v>
      </c>
      <c r="P761" s="2">
        <v>41365</v>
      </c>
      <c r="Q761">
        <v>0</v>
      </c>
      <c r="R761" s="1" t="s">
        <v>61</v>
      </c>
    </row>
    <row r="762" spans="1:18" x14ac:dyDescent="0.25">
      <c r="A762">
        <v>2013</v>
      </c>
      <c r="B762">
        <v>5</v>
      </c>
      <c r="C762" s="1" t="s">
        <v>28</v>
      </c>
      <c r="D762" s="1" t="s">
        <v>19</v>
      </c>
      <c r="E762" s="1" t="s">
        <v>81</v>
      </c>
      <c r="F762">
        <v>2012</v>
      </c>
      <c r="G762">
        <v>1</v>
      </c>
      <c r="H762" s="1" t="s">
        <v>59</v>
      </c>
      <c r="I762">
        <v>28</v>
      </c>
      <c r="J762">
        <v>3483</v>
      </c>
      <c r="K762" s="1" t="s">
        <v>53</v>
      </c>
      <c r="L762" s="1" t="s">
        <v>45</v>
      </c>
      <c r="M762">
        <v>0</v>
      </c>
      <c r="N762">
        <v>0</v>
      </c>
      <c r="O762">
        <v>0</v>
      </c>
      <c r="P762" s="2">
        <v>41395</v>
      </c>
      <c r="Q762">
        <v>0</v>
      </c>
      <c r="R762" s="1" t="s">
        <v>61</v>
      </c>
    </row>
    <row r="763" spans="1:18" x14ac:dyDescent="0.25">
      <c r="A763">
        <v>2013</v>
      </c>
      <c r="B763">
        <v>6</v>
      </c>
      <c r="C763" s="1" t="s">
        <v>29</v>
      </c>
      <c r="D763" s="1" t="s">
        <v>19</v>
      </c>
      <c r="E763" s="1" t="s">
        <v>81</v>
      </c>
      <c r="F763">
        <v>2012</v>
      </c>
      <c r="G763">
        <v>1</v>
      </c>
      <c r="H763" s="1" t="s">
        <v>59</v>
      </c>
      <c r="I763">
        <v>28</v>
      </c>
      <c r="J763">
        <v>3483</v>
      </c>
      <c r="K763" s="1" t="s">
        <v>53</v>
      </c>
      <c r="L763" s="1" t="s">
        <v>45</v>
      </c>
      <c r="M763">
        <v>0</v>
      </c>
      <c r="N763">
        <v>0</v>
      </c>
      <c r="O763">
        <v>0</v>
      </c>
      <c r="P763" s="2">
        <v>41426</v>
      </c>
      <c r="Q763">
        <v>0</v>
      </c>
      <c r="R763" s="1" t="s">
        <v>61</v>
      </c>
    </row>
    <row r="764" spans="1:18" x14ac:dyDescent="0.25">
      <c r="A764">
        <v>2013</v>
      </c>
      <c r="B764">
        <v>7</v>
      </c>
      <c r="C764" s="1" t="s">
        <v>30</v>
      </c>
      <c r="D764" s="1" t="s">
        <v>19</v>
      </c>
      <c r="E764" s="1" t="s">
        <v>81</v>
      </c>
      <c r="F764">
        <v>2012</v>
      </c>
      <c r="G764">
        <v>1</v>
      </c>
      <c r="H764" s="1" t="s">
        <v>59</v>
      </c>
      <c r="I764">
        <v>28</v>
      </c>
      <c r="J764">
        <v>3483</v>
      </c>
      <c r="K764" s="1" t="s">
        <v>53</v>
      </c>
      <c r="L764" s="1" t="s">
        <v>45</v>
      </c>
      <c r="M764">
        <v>0</v>
      </c>
      <c r="N764">
        <v>0</v>
      </c>
      <c r="O764">
        <v>0</v>
      </c>
      <c r="P764" s="2">
        <v>41456</v>
      </c>
      <c r="Q764">
        <v>0</v>
      </c>
      <c r="R764" s="1" t="s">
        <v>61</v>
      </c>
    </row>
    <row r="765" spans="1:18" x14ac:dyDescent="0.25">
      <c r="A765">
        <v>2013</v>
      </c>
      <c r="B765">
        <v>8</v>
      </c>
      <c r="C765" s="1" t="s">
        <v>31</v>
      </c>
      <c r="D765" s="1" t="s">
        <v>19</v>
      </c>
      <c r="E765" s="1" t="s">
        <v>81</v>
      </c>
      <c r="F765">
        <v>2012</v>
      </c>
      <c r="G765">
        <v>1</v>
      </c>
      <c r="H765" s="1" t="s">
        <v>59</v>
      </c>
      <c r="I765">
        <v>28</v>
      </c>
      <c r="J765">
        <v>3483</v>
      </c>
      <c r="K765" s="1" t="s">
        <v>53</v>
      </c>
      <c r="L765" s="1" t="s">
        <v>45</v>
      </c>
      <c r="M765">
        <v>0</v>
      </c>
      <c r="N765">
        <v>0</v>
      </c>
      <c r="O765">
        <v>0</v>
      </c>
      <c r="P765" s="2">
        <v>41487</v>
      </c>
      <c r="Q765">
        <v>0</v>
      </c>
      <c r="R765" s="1" t="s">
        <v>61</v>
      </c>
    </row>
    <row r="766" spans="1:18" x14ac:dyDescent="0.25">
      <c r="A766">
        <v>2013</v>
      </c>
      <c r="B766">
        <v>9</v>
      </c>
      <c r="C766" s="1" t="s">
        <v>32</v>
      </c>
      <c r="D766" s="1" t="s">
        <v>19</v>
      </c>
      <c r="E766" s="1" t="s">
        <v>81</v>
      </c>
      <c r="F766">
        <v>2012</v>
      </c>
      <c r="G766">
        <v>1</v>
      </c>
      <c r="H766" s="1" t="s">
        <v>59</v>
      </c>
      <c r="I766">
        <v>28</v>
      </c>
      <c r="J766">
        <v>3483</v>
      </c>
      <c r="K766" s="1" t="s">
        <v>53</v>
      </c>
      <c r="L766" s="1" t="s">
        <v>45</v>
      </c>
      <c r="M766">
        <v>0</v>
      </c>
      <c r="N766">
        <v>0</v>
      </c>
      <c r="O766">
        <v>0</v>
      </c>
      <c r="P766" s="2">
        <v>41518</v>
      </c>
      <c r="Q766">
        <v>0</v>
      </c>
      <c r="R766" s="1" t="s">
        <v>61</v>
      </c>
    </row>
    <row r="767" spans="1:18" x14ac:dyDescent="0.25">
      <c r="A767">
        <v>2013</v>
      </c>
      <c r="B767">
        <v>10</v>
      </c>
      <c r="C767" s="1" t="s">
        <v>33</v>
      </c>
      <c r="D767" s="1" t="s">
        <v>19</v>
      </c>
      <c r="E767" s="1" t="s">
        <v>81</v>
      </c>
      <c r="F767">
        <v>2012</v>
      </c>
      <c r="G767">
        <v>1</v>
      </c>
      <c r="H767" s="1" t="s">
        <v>59</v>
      </c>
      <c r="I767">
        <v>28</v>
      </c>
      <c r="J767">
        <v>3483</v>
      </c>
      <c r="K767" s="1" t="s">
        <v>53</v>
      </c>
      <c r="L767" s="1" t="s">
        <v>45</v>
      </c>
      <c r="M767">
        <v>0</v>
      </c>
      <c r="N767">
        <v>0</v>
      </c>
      <c r="O767">
        <v>0</v>
      </c>
      <c r="P767" s="2">
        <v>41548</v>
      </c>
      <c r="Q767">
        <v>0</v>
      </c>
      <c r="R767" s="1" t="s">
        <v>61</v>
      </c>
    </row>
    <row r="768" spans="1:18" x14ac:dyDescent="0.25">
      <c r="A768">
        <v>2013</v>
      </c>
      <c r="B768">
        <v>11</v>
      </c>
      <c r="C768" s="1" t="s">
        <v>34</v>
      </c>
      <c r="D768" s="1" t="s">
        <v>19</v>
      </c>
      <c r="E768" s="1" t="s">
        <v>81</v>
      </c>
      <c r="F768">
        <v>2012</v>
      </c>
      <c r="G768">
        <v>1</v>
      </c>
      <c r="H768" s="1" t="s">
        <v>59</v>
      </c>
      <c r="I768">
        <v>28</v>
      </c>
      <c r="J768">
        <v>3483</v>
      </c>
      <c r="K768" s="1" t="s">
        <v>53</v>
      </c>
      <c r="L768" s="1" t="s">
        <v>45</v>
      </c>
      <c r="M768">
        <v>0</v>
      </c>
      <c r="N768">
        <v>0</v>
      </c>
      <c r="O768">
        <v>0</v>
      </c>
      <c r="P768" s="2">
        <v>41579</v>
      </c>
      <c r="Q768">
        <v>0</v>
      </c>
      <c r="R768" s="1" t="s">
        <v>61</v>
      </c>
    </row>
    <row r="769" spans="1:18" x14ac:dyDescent="0.25">
      <c r="A769">
        <v>2013</v>
      </c>
      <c r="B769">
        <v>12</v>
      </c>
      <c r="C769" s="1" t="s">
        <v>35</v>
      </c>
      <c r="D769" s="1" t="s">
        <v>19</v>
      </c>
      <c r="E769" s="1" t="s">
        <v>81</v>
      </c>
      <c r="F769">
        <v>2012</v>
      </c>
      <c r="G769">
        <v>1</v>
      </c>
      <c r="H769" s="1" t="s">
        <v>59</v>
      </c>
      <c r="I769">
        <v>28</v>
      </c>
      <c r="J769">
        <v>3483</v>
      </c>
      <c r="K769" s="1" t="s">
        <v>53</v>
      </c>
      <c r="L769" s="1" t="s">
        <v>45</v>
      </c>
      <c r="M769">
        <v>0</v>
      </c>
      <c r="N769">
        <v>0</v>
      </c>
      <c r="O769">
        <v>0</v>
      </c>
      <c r="P769" s="2">
        <v>41609</v>
      </c>
      <c r="Q769">
        <v>0</v>
      </c>
      <c r="R769" s="1" t="s">
        <v>61</v>
      </c>
    </row>
    <row r="770" spans="1:18" x14ac:dyDescent="0.25">
      <c r="A770">
        <v>2013</v>
      </c>
      <c r="B770">
        <v>1</v>
      </c>
      <c r="C770" s="1" t="s">
        <v>18</v>
      </c>
      <c r="D770" s="1" t="s">
        <v>19</v>
      </c>
      <c r="E770" s="1" t="s">
        <v>82</v>
      </c>
      <c r="F770">
        <v>2013</v>
      </c>
      <c r="G770">
        <v>0</v>
      </c>
      <c r="H770" s="1" t="s">
        <v>59</v>
      </c>
      <c r="I770">
        <v>24</v>
      </c>
      <c r="J770">
        <v>2678</v>
      </c>
      <c r="K770" s="1" t="s">
        <v>83</v>
      </c>
      <c r="L770" s="1" t="s">
        <v>45</v>
      </c>
      <c r="M770">
        <v>0</v>
      </c>
      <c r="N770">
        <v>0</v>
      </c>
      <c r="O770">
        <v>0</v>
      </c>
      <c r="P770" s="2">
        <v>41275</v>
      </c>
      <c r="Q770">
        <v>0</v>
      </c>
      <c r="R770" s="1" t="s">
        <v>61</v>
      </c>
    </row>
    <row r="771" spans="1:18" x14ac:dyDescent="0.25">
      <c r="A771">
        <v>2013</v>
      </c>
      <c r="B771">
        <v>2</v>
      </c>
      <c r="C771" s="1" t="s">
        <v>25</v>
      </c>
      <c r="D771" s="1" t="s">
        <v>19</v>
      </c>
      <c r="E771" s="1" t="s">
        <v>82</v>
      </c>
      <c r="F771">
        <v>2013</v>
      </c>
      <c r="G771">
        <v>0</v>
      </c>
      <c r="H771" s="1" t="s">
        <v>59</v>
      </c>
      <c r="I771">
        <v>24</v>
      </c>
      <c r="J771">
        <v>2678</v>
      </c>
      <c r="K771" s="1" t="s">
        <v>83</v>
      </c>
      <c r="L771" s="1" t="s">
        <v>45</v>
      </c>
      <c r="M771">
        <v>0</v>
      </c>
      <c r="N771">
        <v>0</v>
      </c>
      <c r="O771">
        <v>0</v>
      </c>
      <c r="P771" s="2">
        <v>41306</v>
      </c>
      <c r="Q771">
        <v>0</v>
      </c>
      <c r="R771" s="1" t="s">
        <v>61</v>
      </c>
    </row>
    <row r="772" spans="1:18" x14ac:dyDescent="0.25">
      <c r="A772">
        <v>2013</v>
      </c>
      <c r="B772">
        <v>3</v>
      </c>
      <c r="C772" s="1" t="s">
        <v>26</v>
      </c>
      <c r="D772" s="1" t="s">
        <v>19</v>
      </c>
      <c r="E772" s="1" t="s">
        <v>82</v>
      </c>
      <c r="F772">
        <v>2013</v>
      </c>
      <c r="G772">
        <v>0</v>
      </c>
      <c r="H772" s="1" t="s">
        <v>59</v>
      </c>
      <c r="I772">
        <v>24</v>
      </c>
      <c r="J772">
        <v>2678</v>
      </c>
      <c r="K772" s="1" t="s">
        <v>83</v>
      </c>
      <c r="L772" s="1" t="s">
        <v>45</v>
      </c>
      <c r="M772">
        <v>0</v>
      </c>
      <c r="N772">
        <v>0</v>
      </c>
      <c r="O772">
        <v>0</v>
      </c>
      <c r="P772" s="2">
        <v>41334</v>
      </c>
      <c r="Q772">
        <v>0</v>
      </c>
      <c r="R772" s="1" t="s">
        <v>61</v>
      </c>
    </row>
    <row r="773" spans="1:18" x14ac:dyDescent="0.25">
      <c r="A773">
        <v>2013</v>
      </c>
      <c r="B773">
        <v>4</v>
      </c>
      <c r="C773" s="1" t="s">
        <v>27</v>
      </c>
      <c r="D773" s="1" t="s">
        <v>19</v>
      </c>
      <c r="E773" s="1" t="s">
        <v>82</v>
      </c>
      <c r="F773">
        <v>2013</v>
      </c>
      <c r="G773">
        <v>0</v>
      </c>
      <c r="H773" s="1" t="s">
        <v>59</v>
      </c>
      <c r="I773">
        <v>24</v>
      </c>
      <c r="J773">
        <v>2678</v>
      </c>
      <c r="K773" s="1" t="s">
        <v>83</v>
      </c>
      <c r="L773" s="1" t="s">
        <v>45</v>
      </c>
      <c r="M773">
        <v>0</v>
      </c>
      <c r="N773">
        <v>0</v>
      </c>
      <c r="O773">
        <v>0</v>
      </c>
      <c r="P773" s="2">
        <v>41365</v>
      </c>
      <c r="Q773">
        <v>0</v>
      </c>
      <c r="R773" s="1" t="s">
        <v>61</v>
      </c>
    </row>
    <row r="774" spans="1:18" x14ac:dyDescent="0.25">
      <c r="A774">
        <v>2013</v>
      </c>
      <c r="B774">
        <v>5</v>
      </c>
      <c r="C774" s="1" t="s">
        <v>28</v>
      </c>
      <c r="D774" s="1" t="s">
        <v>19</v>
      </c>
      <c r="E774" s="1" t="s">
        <v>82</v>
      </c>
      <c r="F774">
        <v>2013</v>
      </c>
      <c r="G774">
        <v>0</v>
      </c>
      <c r="H774" s="1" t="s">
        <v>59</v>
      </c>
      <c r="I774">
        <v>24</v>
      </c>
      <c r="J774">
        <v>2678</v>
      </c>
      <c r="K774" s="1" t="s">
        <v>83</v>
      </c>
      <c r="L774" s="1" t="s">
        <v>45</v>
      </c>
      <c r="M774">
        <v>0</v>
      </c>
      <c r="N774">
        <v>0</v>
      </c>
      <c r="O774">
        <v>0</v>
      </c>
      <c r="P774" s="2">
        <v>41395</v>
      </c>
      <c r="Q774">
        <v>0</v>
      </c>
      <c r="R774" s="1" t="s">
        <v>61</v>
      </c>
    </row>
    <row r="775" spans="1:18" x14ac:dyDescent="0.25">
      <c r="A775">
        <v>2013</v>
      </c>
      <c r="B775">
        <v>6</v>
      </c>
      <c r="C775" s="1" t="s">
        <v>29</v>
      </c>
      <c r="D775" s="1" t="s">
        <v>19</v>
      </c>
      <c r="E775" s="1" t="s">
        <v>82</v>
      </c>
      <c r="F775">
        <v>2013</v>
      </c>
      <c r="G775">
        <v>0</v>
      </c>
      <c r="H775" s="1" t="s">
        <v>59</v>
      </c>
      <c r="I775">
        <v>24</v>
      </c>
      <c r="J775">
        <v>2678</v>
      </c>
      <c r="K775" s="1" t="s">
        <v>83</v>
      </c>
      <c r="L775" s="1" t="s">
        <v>45</v>
      </c>
      <c r="M775">
        <v>0</v>
      </c>
      <c r="N775">
        <v>0</v>
      </c>
      <c r="O775">
        <v>0</v>
      </c>
      <c r="P775" s="2">
        <v>41426</v>
      </c>
      <c r="Q775">
        <v>0</v>
      </c>
      <c r="R775" s="1" t="s">
        <v>61</v>
      </c>
    </row>
    <row r="776" spans="1:18" x14ac:dyDescent="0.25">
      <c r="A776">
        <v>2013</v>
      </c>
      <c r="B776">
        <v>7</v>
      </c>
      <c r="C776" s="1" t="s">
        <v>30</v>
      </c>
      <c r="D776" s="1" t="s">
        <v>19</v>
      </c>
      <c r="E776" s="1" t="s">
        <v>82</v>
      </c>
      <c r="F776">
        <v>2013</v>
      </c>
      <c r="G776">
        <v>0</v>
      </c>
      <c r="H776" s="1" t="s">
        <v>59</v>
      </c>
      <c r="I776">
        <v>24</v>
      </c>
      <c r="J776">
        <v>2678</v>
      </c>
      <c r="K776" s="1" t="s">
        <v>83</v>
      </c>
      <c r="L776" s="1" t="s">
        <v>45</v>
      </c>
      <c r="M776">
        <v>0</v>
      </c>
      <c r="N776">
        <v>0</v>
      </c>
      <c r="O776">
        <v>0</v>
      </c>
      <c r="P776" s="2">
        <v>41456</v>
      </c>
      <c r="Q776">
        <v>0</v>
      </c>
      <c r="R776" s="1" t="s">
        <v>61</v>
      </c>
    </row>
    <row r="777" spans="1:18" x14ac:dyDescent="0.25">
      <c r="A777">
        <v>2013</v>
      </c>
      <c r="B777">
        <v>8</v>
      </c>
      <c r="C777" s="1" t="s">
        <v>31</v>
      </c>
      <c r="D777" s="1" t="s">
        <v>19</v>
      </c>
      <c r="E777" s="1" t="s">
        <v>82</v>
      </c>
      <c r="F777">
        <v>2013</v>
      </c>
      <c r="G777">
        <v>0</v>
      </c>
      <c r="H777" s="1" t="s">
        <v>59</v>
      </c>
      <c r="I777">
        <v>24</v>
      </c>
      <c r="J777">
        <v>2678</v>
      </c>
      <c r="K777" s="1" t="s">
        <v>83</v>
      </c>
      <c r="L777" s="1" t="s">
        <v>45</v>
      </c>
      <c r="M777">
        <v>0</v>
      </c>
      <c r="N777">
        <v>0</v>
      </c>
      <c r="O777">
        <v>0</v>
      </c>
      <c r="P777" s="2">
        <v>41487</v>
      </c>
      <c r="Q777">
        <v>0</v>
      </c>
      <c r="R777" s="1" t="s">
        <v>61</v>
      </c>
    </row>
    <row r="778" spans="1:18" x14ac:dyDescent="0.25">
      <c r="A778">
        <v>2013</v>
      </c>
      <c r="B778">
        <v>9</v>
      </c>
      <c r="C778" s="1" t="s">
        <v>32</v>
      </c>
      <c r="D778" s="1" t="s">
        <v>19</v>
      </c>
      <c r="E778" s="1" t="s">
        <v>82</v>
      </c>
      <c r="F778">
        <v>2013</v>
      </c>
      <c r="G778">
        <v>0</v>
      </c>
      <c r="H778" s="1" t="s">
        <v>59</v>
      </c>
      <c r="I778">
        <v>24</v>
      </c>
      <c r="J778">
        <v>2678</v>
      </c>
      <c r="K778" s="1" t="s">
        <v>83</v>
      </c>
      <c r="L778" s="1" t="s">
        <v>45</v>
      </c>
      <c r="M778">
        <v>0</v>
      </c>
      <c r="N778">
        <v>0</v>
      </c>
      <c r="O778">
        <v>0</v>
      </c>
      <c r="P778" s="2">
        <v>41518</v>
      </c>
      <c r="Q778">
        <v>0</v>
      </c>
      <c r="R778" s="1" t="s">
        <v>61</v>
      </c>
    </row>
    <row r="779" spans="1:18" x14ac:dyDescent="0.25">
      <c r="A779">
        <v>2013</v>
      </c>
      <c r="B779">
        <v>10</v>
      </c>
      <c r="C779" s="1" t="s">
        <v>33</v>
      </c>
      <c r="D779" s="1" t="s">
        <v>19</v>
      </c>
      <c r="E779" s="1" t="s">
        <v>82</v>
      </c>
      <c r="F779">
        <v>2013</v>
      </c>
      <c r="G779">
        <v>0</v>
      </c>
      <c r="H779" s="1" t="s">
        <v>59</v>
      </c>
      <c r="I779">
        <v>24</v>
      </c>
      <c r="J779">
        <v>2678</v>
      </c>
      <c r="K779" s="1" t="s">
        <v>83</v>
      </c>
      <c r="L779" s="1" t="s">
        <v>45</v>
      </c>
      <c r="M779">
        <v>0</v>
      </c>
      <c r="N779">
        <v>0</v>
      </c>
      <c r="O779">
        <v>0</v>
      </c>
      <c r="P779" s="2">
        <v>41548</v>
      </c>
      <c r="Q779">
        <v>0</v>
      </c>
      <c r="R779" s="1" t="s">
        <v>61</v>
      </c>
    </row>
    <row r="780" spans="1:18" x14ac:dyDescent="0.25">
      <c r="A780">
        <v>2013</v>
      </c>
      <c r="B780">
        <v>11</v>
      </c>
      <c r="C780" s="1" t="s">
        <v>34</v>
      </c>
      <c r="D780" s="1" t="s">
        <v>19</v>
      </c>
      <c r="E780" s="1" t="s">
        <v>82</v>
      </c>
      <c r="F780">
        <v>2013</v>
      </c>
      <c r="G780">
        <v>0</v>
      </c>
      <c r="H780" s="1" t="s">
        <v>59</v>
      </c>
      <c r="I780">
        <v>24</v>
      </c>
      <c r="J780">
        <v>2678</v>
      </c>
      <c r="K780" s="1" t="s">
        <v>83</v>
      </c>
      <c r="L780" s="1" t="s">
        <v>45</v>
      </c>
      <c r="M780">
        <v>0</v>
      </c>
      <c r="N780">
        <v>0</v>
      </c>
      <c r="O780">
        <v>0</v>
      </c>
      <c r="P780" s="2">
        <v>41579</v>
      </c>
      <c r="Q780">
        <v>0</v>
      </c>
      <c r="R780" s="1" t="s">
        <v>61</v>
      </c>
    </row>
    <row r="781" spans="1:18" x14ac:dyDescent="0.25">
      <c r="A781">
        <v>2013</v>
      </c>
      <c r="B781">
        <v>12</v>
      </c>
      <c r="C781" s="1" t="s">
        <v>35</v>
      </c>
      <c r="D781" s="1" t="s">
        <v>19</v>
      </c>
      <c r="E781" s="1" t="s">
        <v>82</v>
      </c>
      <c r="F781">
        <v>2013</v>
      </c>
      <c r="G781">
        <v>0</v>
      </c>
      <c r="H781" s="1" t="s">
        <v>59</v>
      </c>
      <c r="I781">
        <v>24</v>
      </c>
      <c r="J781">
        <v>2678</v>
      </c>
      <c r="K781" s="1" t="s">
        <v>83</v>
      </c>
      <c r="L781" s="1" t="s">
        <v>45</v>
      </c>
      <c r="M781">
        <v>0</v>
      </c>
      <c r="N781">
        <v>0</v>
      </c>
      <c r="O781">
        <v>0</v>
      </c>
      <c r="P781" s="2">
        <v>41609</v>
      </c>
      <c r="Q781">
        <v>0</v>
      </c>
      <c r="R781" s="1" t="s">
        <v>61</v>
      </c>
    </row>
    <row r="782" spans="1:18" x14ac:dyDescent="0.25">
      <c r="A782">
        <v>2013</v>
      </c>
      <c r="B782">
        <v>1</v>
      </c>
      <c r="C782" s="1" t="s">
        <v>18</v>
      </c>
      <c r="D782" s="1" t="s">
        <v>19</v>
      </c>
      <c r="E782" s="1" t="s">
        <v>84</v>
      </c>
      <c r="F782">
        <v>2013</v>
      </c>
      <c r="G782">
        <v>0</v>
      </c>
      <c r="H782" s="1" t="s">
        <v>59</v>
      </c>
      <c r="I782">
        <v>23</v>
      </c>
      <c r="J782">
        <v>2683</v>
      </c>
      <c r="K782" s="1" t="s">
        <v>85</v>
      </c>
      <c r="L782" s="1" t="s">
        <v>45</v>
      </c>
      <c r="M782">
        <v>0</v>
      </c>
      <c r="N782">
        <v>0</v>
      </c>
      <c r="O782">
        <v>0</v>
      </c>
      <c r="P782" s="2">
        <v>41275</v>
      </c>
      <c r="Q782">
        <v>0</v>
      </c>
      <c r="R782" s="1" t="s">
        <v>61</v>
      </c>
    </row>
    <row r="783" spans="1:18" x14ac:dyDescent="0.25">
      <c r="A783">
        <v>2013</v>
      </c>
      <c r="B783">
        <v>2</v>
      </c>
      <c r="C783" s="1" t="s">
        <v>25</v>
      </c>
      <c r="D783" s="1" t="s">
        <v>19</v>
      </c>
      <c r="E783" s="1" t="s">
        <v>84</v>
      </c>
      <c r="F783">
        <v>2013</v>
      </c>
      <c r="G783">
        <v>0</v>
      </c>
      <c r="H783" s="1" t="s">
        <v>59</v>
      </c>
      <c r="I783">
        <v>23</v>
      </c>
      <c r="J783">
        <v>2683</v>
      </c>
      <c r="K783" s="1" t="s">
        <v>85</v>
      </c>
      <c r="L783" s="1" t="s">
        <v>45</v>
      </c>
      <c r="M783">
        <v>0</v>
      </c>
      <c r="N783">
        <v>0</v>
      </c>
      <c r="O783">
        <v>0</v>
      </c>
      <c r="P783" s="2">
        <v>41306</v>
      </c>
      <c r="Q783">
        <v>0</v>
      </c>
      <c r="R783" s="1" t="s">
        <v>61</v>
      </c>
    </row>
    <row r="784" spans="1:18" x14ac:dyDescent="0.25">
      <c r="A784">
        <v>2013</v>
      </c>
      <c r="B784">
        <v>3</v>
      </c>
      <c r="C784" s="1" t="s">
        <v>26</v>
      </c>
      <c r="D784" s="1" t="s">
        <v>19</v>
      </c>
      <c r="E784" s="1" t="s">
        <v>84</v>
      </c>
      <c r="F784">
        <v>2013</v>
      </c>
      <c r="G784">
        <v>0</v>
      </c>
      <c r="H784" s="1" t="s">
        <v>59</v>
      </c>
      <c r="I784">
        <v>23</v>
      </c>
      <c r="J784">
        <v>2683</v>
      </c>
      <c r="K784" s="1" t="s">
        <v>85</v>
      </c>
      <c r="L784" s="1" t="s">
        <v>45</v>
      </c>
      <c r="M784">
        <v>0</v>
      </c>
      <c r="N784">
        <v>0</v>
      </c>
      <c r="O784">
        <v>0</v>
      </c>
      <c r="P784" s="2">
        <v>41334</v>
      </c>
      <c r="Q784">
        <v>0</v>
      </c>
      <c r="R784" s="1" t="s">
        <v>61</v>
      </c>
    </row>
    <row r="785" spans="1:18" x14ac:dyDescent="0.25">
      <c r="A785">
        <v>2013</v>
      </c>
      <c r="B785">
        <v>4</v>
      </c>
      <c r="C785" s="1" t="s">
        <v>27</v>
      </c>
      <c r="D785" s="1" t="s">
        <v>19</v>
      </c>
      <c r="E785" s="1" t="s">
        <v>84</v>
      </c>
      <c r="F785">
        <v>2013</v>
      </c>
      <c r="G785">
        <v>0</v>
      </c>
      <c r="H785" s="1" t="s">
        <v>59</v>
      </c>
      <c r="I785">
        <v>23</v>
      </c>
      <c r="J785">
        <v>2683</v>
      </c>
      <c r="K785" s="1" t="s">
        <v>85</v>
      </c>
      <c r="L785" s="1" t="s">
        <v>45</v>
      </c>
      <c r="M785">
        <v>0</v>
      </c>
      <c r="N785">
        <v>0</v>
      </c>
      <c r="O785">
        <v>0</v>
      </c>
      <c r="P785" s="2">
        <v>41365</v>
      </c>
      <c r="Q785">
        <v>0</v>
      </c>
      <c r="R785" s="1" t="s">
        <v>61</v>
      </c>
    </row>
    <row r="786" spans="1:18" x14ac:dyDescent="0.25">
      <c r="A786">
        <v>2013</v>
      </c>
      <c r="B786">
        <v>5</v>
      </c>
      <c r="C786" s="1" t="s">
        <v>28</v>
      </c>
      <c r="D786" s="1" t="s">
        <v>19</v>
      </c>
      <c r="E786" s="1" t="s">
        <v>84</v>
      </c>
      <c r="F786">
        <v>2013</v>
      </c>
      <c r="G786">
        <v>0</v>
      </c>
      <c r="H786" s="1" t="s">
        <v>59</v>
      </c>
      <c r="I786">
        <v>23</v>
      </c>
      <c r="J786">
        <v>2683</v>
      </c>
      <c r="K786" s="1" t="s">
        <v>85</v>
      </c>
      <c r="L786" s="1" t="s">
        <v>45</v>
      </c>
      <c r="M786">
        <v>0</v>
      </c>
      <c r="N786">
        <v>0</v>
      </c>
      <c r="O786">
        <v>0</v>
      </c>
      <c r="P786" s="2">
        <v>41395</v>
      </c>
      <c r="Q786">
        <v>0</v>
      </c>
      <c r="R786" s="1" t="s">
        <v>61</v>
      </c>
    </row>
    <row r="787" spans="1:18" x14ac:dyDescent="0.25">
      <c r="A787">
        <v>2013</v>
      </c>
      <c r="B787">
        <v>6</v>
      </c>
      <c r="C787" s="1" t="s">
        <v>29</v>
      </c>
      <c r="D787" s="1" t="s">
        <v>19</v>
      </c>
      <c r="E787" s="1" t="s">
        <v>84</v>
      </c>
      <c r="F787">
        <v>2013</v>
      </c>
      <c r="G787">
        <v>0</v>
      </c>
      <c r="H787" s="1" t="s">
        <v>59</v>
      </c>
      <c r="I787">
        <v>23</v>
      </c>
      <c r="J787">
        <v>2683</v>
      </c>
      <c r="K787" s="1" t="s">
        <v>85</v>
      </c>
      <c r="L787" s="1" t="s">
        <v>45</v>
      </c>
      <c r="M787">
        <v>0</v>
      </c>
      <c r="N787">
        <v>0</v>
      </c>
      <c r="O787">
        <v>0</v>
      </c>
      <c r="P787" s="2">
        <v>41426</v>
      </c>
      <c r="Q787">
        <v>0</v>
      </c>
      <c r="R787" s="1" t="s">
        <v>61</v>
      </c>
    </row>
    <row r="788" spans="1:18" x14ac:dyDescent="0.25">
      <c r="A788">
        <v>2013</v>
      </c>
      <c r="B788">
        <v>7</v>
      </c>
      <c r="C788" s="1" t="s">
        <v>30</v>
      </c>
      <c r="D788" s="1" t="s">
        <v>19</v>
      </c>
      <c r="E788" s="1" t="s">
        <v>84</v>
      </c>
      <c r="F788">
        <v>2013</v>
      </c>
      <c r="G788">
        <v>0</v>
      </c>
      <c r="H788" s="1" t="s">
        <v>59</v>
      </c>
      <c r="I788">
        <v>23</v>
      </c>
      <c r="J788">
        <v>2683</v>
      </c>
      <c r="K788" s="1" t="s">
        <v>85</v>
      </c>
      <c r="L788" s="1" t="s">
        <v>45</v>
      </c>
      <c r="M788">
        <v>0</v>
      </c>
      <c r="N788">
        <v>0</v>
      </c>
      <c r="O788">
        <v>0</v>
      </c>
      <c r="P788" s="2">
        <v>41456</v>
      </c>
      <c r="Q788">
        <v>0</v>
      </c>
      <c r="R788" s="1" t="s">
        <v>61</v>
      </c>
    </row>
    <row r="789" spans="1:18" x14ac:dyDescent="0.25">
      <c r="A789">
        <v>2013</v>
      </c>
      <c r="B789">
        <v>8</v>
      </c>
      <c r="C789" s="1" t="s">
        <v>31</v>
      </c>
      <c r="D789" s="1" t="s">
        <v>19</v>
      </c>
      <c r="E789" s="1" t="s">
        <v>84</v>
      </c>
      <c r="F789">
        <v>2013</v>
      </c>
      <c r="G789">
        <v>0</v>
      </c>
      <c r="H789" s="1" t="s">
        <v>59</v>
      </c>
      <c r="I789">
        <v>23</v>
      </c>
      <c r="J789">
        <v>2683</v>
      </c>
      <c r="K789" s="1" t="s">
        <v>85</v>
      </c>
      <c r="L789" s="1" t="s">
        <v>45</v>
      </c>
      <c r="M789">
        <v>0</v>
      </c>
      <c r="N789">
        <v>0</v>
      </c>
      <c r="O789">
        <v>0</v>
      </c>
      <c r="P789" s="2">
        <v>41487</v>
      </c>
      <c r="Q789">
        <v>0</v>
      </c>
      <c r="R789" s="1" t="s">
        <v>61</v>
      </c>
    </row>
    <row r="790" spans="1:18" x14ac:dyDescent="0.25">
      <c r="A790">
        <v>2013</v>
      </c>
      <c r="B790">
        <v>9</v>
      </c>
      <c r="C790" s="1" t="s">
        <v>32</v>
      </c>
      <c r="D790" s="1" t="s">
        <v>19</v>
      </c>
      <c r="E790" s="1" t="s">
        <v>84</v>
      </c>
      <c r="F790">
        <v>2013</v>
      </c>
      <c r="G790">
        <v>0</v>
      </c>
      <c r="H790" s="1" t="s">
        <v>59</v>
      </c>
      <c r="I790">
        <v>23</v>
      </c>
      <c r="J790">
        <v>2683</v>
      </c>
      <c r="K790" s="1" t="s">
        <v>85</v>
      </c>
      <c r="L790" s="1" t="s">
        <v>45</v>
      </c>
      <c r="M790">
        <v>0</v>
      </c>
      <c r="N790">
        <v>0</v>
      </c>
      <c r="O790">
        <v>0</v>
      </c>
      <c r="P790" s="2">
        <v>41518</v>
      </c>
      <c r="Q790">
        <v>0</v>
      </c>
      <c r="R790" s="1" t="s">
        <v>61</v>
      </c>
    </row>
    <row r="791" spans="1:18" x14ac:dyDescent="0.25">
      <c r="A791">
        <v>2013</v>
      </c>
      <c r="B791">
        <v>10</v>
      </c>
      <c r="C791" s="1" t="s">
        <v>33</v>
      </c>
      <c r="D791" s="1" t="s">
        <v>19</v>
      </c>
      <c r="E791" s="1" t="s">
        <v>84</v>
      </c>
      <c r="F791">
        <v>2013</v>
      </c>
      <c r="G791">
        <v>0</v>
      </c>
      <c r="H791" s="1" t="s">
        <v>59</v>
      </c>
      <c r="I791">
        <v>23</v>
      </c>
      <c r="J791">
        <v>2683</v>
      </c>
      <c r="K791" s="1" t="s">
        <v>85</v>
      </c>
      <c r="L791" s="1" t="s">
        <v>45</v>
      </c>
      <c r="M791">
        <v>0</v>
      </c>
      <c r="N791">
        <v>0</v>
      </c>
      <c r="O791">
        <v>0</v>
      </c>
      <c r="P791" s="2">
        <v>41548</v>
      </c>
      <c r="Q791">
        <v>0</v>
      </c>
      <c r="R791" s="1" t="s">
        <v>61</v>
      </c>
    </row>
    <row r="792" spans="1:18" x14ac:dyDescent="0.25">
      <c r="A792">
        <v>2013</v>
      </c>
      <c r="B792">
        <v>11</v>
      </c>
      <c r="C792" s="1" t="s">
        <v>34</v>
      </c>
      <c r="D792" s="1" t="s">
        <v>19</v>
      </c>
      <c r="E792" s="1" t="s">
        <v>84</v>
      </c>
      <c r="F792">
        <v>2013</v>
      </c>
      <c r="G792">
        <v>0</v>
      </c>
      <c r="H792" s="1" t="s">
        <v>59</v>
      </c>
      <c r="I792">
        <v>23</v>
      </c>
      <c r="J792">
        <v>2683</v>
      </c>
      <c r="K792" s="1" t="s">
        <v>85</v>
      </c>
      <c r="L792" s="1" t="s">
        <v>45</v>
      </c>
      <c r="M792">
        <v>0</v>
      </c>
      <c r="N792">
        <v>0</v>
      </c>
      <c r="O792">
        <v>0</v>
      </c>
      <c r="P792" s="2">
        <v>41579</v>
      </c>
      <c r="Q792">
        <v>0</v>
      </c>
      <c r="R792" s="1" t="s">
        <v>61</v>
      </c>
    </row>
    <row r="793" spans="1:18" x14ac:dyDescent="0.25">
      <c r="A793">
        <v>2013</v>
      </c>
      <c r="B793">
        <v>12</v>
      </c>
      <c r="C793" s="1" t="s">
        <v>35</v>
      </c>
      <c r="D793" s="1" t="s">
        <v>19</v>
      </c>
      <c r="E793" s="1" t="s">
        <v>84</v>
      </c>
      <c r="F793">
        <v>2013</v>
      </c>
      <c r="G793">
        <v>0</v>
      </c>
      <c r="H793" s="1" t="s">
        <v>59</v>
      </c>
      <c r="I793">
        <v>23</v>
      </c>
      <c r="J793">
        <v>2683</v>
      </c>
      <c r="K793" s="1" t="s">
        <v>85</v>
      </c>
      <c r="L793" s="1" t="s">
        <v>45</v>
      </c>
      <c r="M793">
        <v>0</v>
      </c>
      <c r="N793">
        <v>0</v>
      </c>
      <c r="O793">
        <v>0</v>
      </c>
      <c r="P793" s="2">
        <v>41609</v>
      </c>
      <c r="Q793">
        <v>0</v>
      </c>
      <c r="R793" s="1" t="s">
        <v>61</v>
      </c>
    </row>
    <row r="794" spans="1:18" x14ac:dyDescent="0.25">
      <c r="A794">
        <v>2013</v>
      </c>
      <c r="B794">
        <v>1</v>
      </c>
      <c r="C794" s="1" t="s">
        <v>18</v>
      </c>
      <c r="D794" s="1" t="s">
        <v>19</v>
      </c>
      <c r="E794" s="1" t="s">
        <v>86</v>
      </c>
      <c r="F794">
        <v>2013</v>
      </c>
      <c r="G794">
        <v>0</v>
      </c>
      <c r="H794" s="1" t="s">
        <v>59</v>
      </c>
      <c r="I794">
        <v>24</v>
      </c>
      <c r="J794">
        <v>3445</v>
      </c>
      <c r="K794" s="1" t="s">
        <v>87</v>
      </c>
      <c r="L794" s="1" t="s">
        <v>45</v>
      </c>
      <c r="M794">
        <v>0</v>
      </c>
      <c r="N794">
        <v>0</v>
      </c>
      <c r="O794">
        <v>0</v>
      </c>
      <c r="P794" s="2">
        <v>41275</v>
      </c>
      <c r="Q794">
        <v>0</v>
      </c>
      <c r="R794" s="1" t="s">
        <v>61</v>
      </c>
    </row>
    <row r="795" spans="1:18" x14ac:dyDescent="0.25">
      <c r="A795">
        <v>2013</v>
      </c>
      <c r="B795">
        <v>2</v>
      </c>
      <c r="C795" s="1" t="s">
        <v>25</v>
      </c>
      <c r="D795" s="1" t="s">
        <v>19</v>
      </c>
      <c r="E795" s="1" t="s">
        <v>86</v>
      </c>
      <c r="F795">
        <v>2013</v>
      </c>
      <c r="G795">
        <v>0</v>
      </c>
      <c r="H795" s="1" t="s">
        <v>59</v>
      </c>
      <c r="I795">
        <v>24</v>
      </c>
      <c r="J795">
        <v>3445</v>
      </c>
      <c r="K795" s="1" t="s">
        <v>87</v>
      </c>
      <c r="L795" s="1" t="s">
        <v>45</v>
      </c>
      <c r="M795">
        <v>0</v>
      </c>
      <c r="N795">
        <v>0</v>
      </c>
      <c r="O795">
        <v>0</v>
      </c>
      <c r="P795" s="2">
        <v>41306</v>
      </c>
      <c r="Q795">
        <v>0</v>
      </c>
      <c r="R795" s="1" t="s">
        <v>61</v>
      </c>
    </row>
    <row r="796" spans="1:18" x14ac:dyDescent="0.25">
      <c r="A796">
        <v>2013</v>
      </c>
      <c r="B796">
        <v>3</v>
      </c>
      <c r="C796" s="1" t="s">
        <v>26</v>
      </c>
      <c r="D796" s="1" t="s">
        <v>19</v>
      </c>
      <c r="E796" s="1" t="s">
        <v>86</v>
      </c>
      <c r="F796">
        <v>2013</v>
      </c>
      <c r="G796">
        <v>0</v>
      </c>
      <c r="H796" s="1" t="s">
        <v>59</v>
      </c>
      <c r="I796">
        <v>24</v>
      </c>
      <c r="J796">
        <v>3445</v>
      </c>
      <c r="K796" s="1" t="s">
        <v>87</v>
      </c>
      <c r="L796" s="1" t="s">
        <v>45</v>
      </c>
      <c r="M796">
        <v>0</v>
      </c>
      <c r="N796">
        <v>0</v>
      </c>
      <c r="O796">
        <v>0</v>
      </c>
      <c r="P796" s="2">
        <v>41334</v>
      </c>
      <c r="Q796">
        <v>0</v>
      </c>
      <c r="R796" s="1" t="s">
        <v>61</v>
      </c>
    </row>
    <row r="797" spans="1:18" x14ac:dyDescent="0.25">
      <c r="A797">
        <v>2013</v>
      </c>
      <c r="B797">
        <v>4</v>
      </c>
      <c r="C797" s="1" t="s">
        <v>27</v>
      </c>
      <c r="D797" s="1" t="s">
        <v>19</v>
      </c>
      <c r="E797" s="1" t="s">
        <v>86</v>
      </c>
      <c r="F797">
        <v>2013</v>
      </c>
      <c r="G797">
        <v>0</v>
      </c>
      <c r="H797" s="1" t="s">
        <v>59</v>
      </c>
      <c r="I797">
        <v>24</v>
      </c>
      <c r="J797">
        <v>3445</v>
      </c>
      <c r="K797" s="1" t="s">
        <v>87</v>
      </c>
      <c r="L797" s="1" t="s">
        <v>45</v>
      </c>
      <c r="M797">
        <v>0</v>
      </c>
      <c r="N797">
        <v>0</v>
      </c>
      <c r="O797">
        <v>0</v>
      </c>
      <c r="P797" s="2">
        <v>41365</v>
      </c>
      <c r="Q797">
        <v>0</v>
      </c>
      <c r="R797" s="1" t="s">
        <v>61</v>
      </c>
    </row>
    <row r="798" spans="1:18" x14ac:dyDescent="0.25">
      <c r="A798">
        <v>2013</v>
      </c>
      <c r="B798">
        <v>5</v>
      </c>
      <c r="C798" s="1" t="s">
        <v>28</v>
      </c>
      <c r="D798" s="1" t="s">
        <v>19</v>
      </c>
      <c r="E798" s="1" t="s">
        <v>86</v>
      </c>
      <c r="F798">
        <v>2013</v>
      </c>
      <c r="G798">
        <v>0</v>
      </c>
      <c r="H798" s="1" t="s">
        <v>59</v>
      </c>
      <c r="I798">
        <v>24</v>
      </c>
      <c r="J798">
        <v>3445</v>
      </c>
      <c r="K798" s="1" t="s">
        <v>87</v>
      </c>
      <c r="L798" s="1" t="s">
        <v>45</v>
      </c>
      <c r="M798">
        <v>0</v>
      </c>
      <c r="N798">
        <v>0</v>
      </c>
      <c r="O798">
        <v>0</v>
      </c>
      <c r="P798" s="2">
        <v>41395</v>
      </c>
      <c r="Q798">
        <v>0</v>
      </c>
      <c r="R798" s="1" t="s">
        <v>61</v>
      </c>
    </row>
    <row r="799" spans="1:18" x14ac:dyDescent="0.25">
      <c r="A799">
        <v>2013</v>
      </c>
      <c r="B799">
        <v>6</v>
      </c>
      <c r="C799" s="1" t="s">
        <v>29</v>
      </c>
      <c r="D799" s="1" t="s">
        <v>19</v>
      </c>
      <c r="E799" s="1" t="s">
        <v>86</v>
      </c>
      <c r="F799">
        <v>2013</v>
      </c>
      <c r="G799">
        <v>0</v>
      </c>
      <c r="H799" s="1" t="s">
        <v>59</v>
      </c>
      <c r="I799">
        <v>24</v>
      </c>
      <c r="J799">
        <v>3445</v>
      </c>
      <c r="K799" s="1" t="s">
        <v>87</v>
      </c>
      <c r="L799" s="1" t="s">
        <v>45</v>
      </c>
      <c r="M799">
        <v>0</v>
      </c>
      <c r="N799">
        <v>0</v>
      </c>
      <c r="O799">
        <v>0</v>
      </c>
      <c r="P799" s="2">
        <v>41426</v>
      </c>
      <c r="Q799">
        <v>0</v>
      </c>
      <c r="R799" s="1" t="s">
        <v>61</v>
      </c>
    </row>
    <row r="800" spans="1:18" x14ac:dyDescent="0.25">
      <c r="A800">
        <v>2013</v>
      </c>
      <c r="B800">
        <v>7</v>
      </c>
      <c r="C800" s="1" t="s">
        <v>30</v>
      </c>
      <c r="D800" s="1" t="s">
        <v>19</v>
      </c>
      <c r="E800" s="1" t="s">
        <v>86</v>
      </c>
      <c r="F800">
        <v>2013</v>
      </c>
      <c r="G800">
        <v>0</v>
      </c>
      <c r="H800" s="1" t="s">
        <v>59</v>
      </c>
      <c r="I800">
        <v>24</v>
      </c>
      <c r="J800">
        <v>3445</v>
      </c>
      <c r="K800" s="1" t="s">
        <v>87</v>
      </c>
      <c r="L800" s="1" t="s">
        <v>45</v>
      </c>
      <c r="M800">
        <v>0</v>
      </c>
      <c r="N800">
        <v>0</v>
      </c>
      <c r="O800">
        <v>0</v>
      </c>
      <c r="P800" s="2">
        <v>41456</v>
      </c>
      <c r="Q800">
        <v>0</v>
      </c>
      <c r="R800" s="1" t="s">
        <v>61</v>
      </c>
    </row>
    <row r="801" spans="1:18" x14ac:dyDescent="0.25">
      <c r="A801">
        <v>2013</v>
      </c>
      <c r="B801">
        <v>8</v>
      </c>
      <c r="C801" s="1" t="s">
        <v>31</v>
      </c>
      <c r="D801" s="1" t="s">
        <v>19</v>
      </c>
      <c r="E801" s="1" t="s">
        <v>86</v>
      </c>
      <c r="F801">
        <v>2013</v>
      </c>
      <c r="G801">
        <v>0</v>
      </c>
      <c r="H801" s="1" t="s">
        <v>59</v>
      </c>
      <c r="I801">
        <v>24</v>
      </c>
      <c r="J801">
        <v>3445</v>
      </c>
      <c r="K801" s="1" t="s">
        <v>87</v>
      </c>
      <c r="L801" s="1" t="s">
        <v>45</v>
      </c>
      <c r="M801">
        <v>0</v>
      </c>
      <c r="N801">
        <v>0</v>
      </c>
      <c r="O801">
        <v>0</v>
      </c>
      <c r="P801" s="2">
        <v>41487</v>
      </c>
      <c r="Q801">
        <v>0</v>
      </c>
      <c r="R801" s="1" t="s">
        <v>61</v>
      </c>
    </row>
    <row r="802" spans="1:18" x14ac:dyDescent="0.25">
      <c r="A802">
        <v>2013</v>
      </c>
      <c r="B802">
        <v>9</v>
      </c>
      <c r="C802" s="1" t="s">
        <v>32</v>
      </c>
      <c r="D802" s="1" t="s">
        <v>19</v>
      </c>
      <c r="E802" s="1" t="s">
        <v>86</v>
      </c>
      <c r="F802">
        <v>2013</v>
      </c>
      <c r="G802">
        <v>0</v>
      </c>
      <c r="H802" s="1" t="s">
        <v>59</v>
      </c>
      <c r="I802">
        <v>24</v>
      </c>
      <c r="J802">
        <v>3445</v>
      </c>
      <c r="K802" s="1" t="s">
        <v>87</v>
      </c>
      <c r="L802" s="1" t="s">
        <v>45</v>
      </c>
      <c r="M802">
        <v>0</v>
      </c>
      <c r="N802">
        <v>0</v>
      </c>
      <c r="O802">
        <v>0</v>
      </c>
      <c r="P802" s="2">
        <v>41518</v>
      </c>
      <c r="Q802">
        <v>0</v>
      </c>
      <c r="R802" s="1" t="s">
        <v>61</v>
      </c>
    </row>
    <row r="803" spans="1:18" x14ac:dyDescent="0.25">
      <c r="A803">
        <v>2013</v>
      </c>
      <c r="B803">
        <v>10</v>
      </c>
      <c r="C803" s="1" t="s">
        <v>33</v>
      </c>
      <c r="D803" s="1" t="s">
        <v>19</v>
      </c>
      <c r="E803" s="1" t="s">
        <v>86</v>
      </c>
      <c r="F803">
        <v>2013</v>
      </c>
      <c r="G803">
        <v>0</v>
      </c>
      <c r="H803" s="1" t="s">
        <v>59</v>
      </c>
      <c r="I803">
        <v>24</v>
      </c>
      <c r="J803">
        <v>3445</v>
      </c>
      <c r="K803" s="1" t="s">
        <v>87</v>
      </c>
      <c r="L803" s="1" t="s">
        <v>45</v>
      </c>
      <c r="M803">
        <v>0</v>
      </c>
      <c r="N803">
        <v>0</v>
      </c>
      <c r="O803">
        <v>0</v>
      </c>
      <c r="P803" s="2">
        <v>41548</v>
      </c>
      <c r="Q803">
        <v>0</v>
      </c>
      <c r="R803" s="1" t="s">
        <v>61</v>
      </c>
    </row>
    <row r="804" spans="1:18" x14ac:dyDescent="0.25">
      <c r="A804">
        <v>2013</v>
      </c>
      <c r="B804">
        <v>11</v>
      </c>
      <c r="C804" s="1" t="s">
        <v>34</v>
      </c>
      <c r="D804" s="1" t="s">
        <v>19</v>
      </c>
      <c r="E804" s="1" t="s">
        <v>86</v>
      </c>
      <c r="F804">
        <v>2013</v>
      </c>
      <c r="G804">
        <v>0</v>
      </c>
      <c r="H804" s="1" t="s">
        <v>59</v>
      </c>
      <c r="I804">
        <v>24</v>
      </c>
      <c r="J804">
        <v>3445</v>
      </c>
      <c r="K804" s="1" t="s">
        <v>87</v>
      </c>
      <c r="L804" s="1" t="s">
        <v>45</v>
      </c>
      <c r="M804">
        <v>0</v>
      </c>
      <c r="N804">
        <v>0</v>
      </c>
      <c r="O804">
        <v>0</v>
      </c>
      <c r="P804" s="2">
        <v>41579</v>
      </c>
      <c r="Q804">
        <v>0</v>
      </c>
      <c r="R804" s="1" t="s">
        <v>61</v>
      </c>
    </row>
    <row r="805" spans="1:18" x14ac:dyDescent="0.25">
      <c r="A805">
        <v>2013</v>
      </c>
      <c r="B805">
        <v>12</v>
      </c>
      <c r="C805" s="1" t="s">
        <v>35</v>
      </c>
      <c r="D805" s="1" t="s">
        <v>19</v>
      </c>
      <c r="E805" s="1" t="s">
        <v>86</v>
      </c>
      <c r="F805">
        <v>2013</v>
      </c>
      <c r="G805">
        <v>0</v>
      </c>
      <c r="H805" s="1" t="s">
        <v>59</v>
      </c>
      <c r="I805">
        <v>24</v>
      </c>
      <c r="J805">
        <v>3445</v>
      </c>
      <c r="K805" s="1" t="s">
        <v>87</v>
      </c>
      <c r="L805" s="1" t="s">
        <v>45</v>
      </c>
      <c r="M805">
        <v>0</v>
      </c>
      <c r="N805">
        <v>0</v>
      </c>
      <c r="O805">
        <v>0</v>
      </c>
      <c r="P805" s="2">
        <v>41609</v>
      </c>
      <c r="Q805">
        <v>0</v>
      </c>
      <c r="R805" s="1" t="s">
        <v>61</v>
      </c>
    </row>
    <row r="806" spans="1:18" x14ac:dyDescent="0.25">
      <c r="A806">
        <v>2013</v>
      </c>
      <c r="B806">
        <v>1</v>
      </c>
      <c r="C806" s="1" t="s">
        <v>18</v>
      </c>
      <c r="D806" s="1" t="s">
        <v>19</v>
      </c>
      <c r="E806" s="1" t="s">
        <v>88</v>
      </c>
      <c r="F806">
        <v>2013</v>
      </c>
      <c r="G806">
        <v>0</v>
      </c>
      <c r="H806" s="1" t="s">
        <v>59</v>
      </c>
      <c r="I806">
        <v>24</v>
      </c>
      <c r="J806">
        <v>3271</v>
      </c>
      <c r="K806" s="1" t="s">
        <v>89</v>
      </c>
      <c r="L806" s="1" t="s">
        <v>45</v>
      </c>
      <c r="M806">
        <v>0</v>
      </c>
      <c r="N806">
        <v>0</v>
      </c>
      <c r="O806">
        <v>0</v>
      </c>
      <c r="P806" s="2">
        <v>41275</v>
      </c>
      <c r="Q806">
        <v>0</v>
      </c>
      <c r="R806" s="1" t="s">
        <v>61</v>
      </c>
    </row>
    <row r="807" spans="1:18" x14ac:dyDescent="0.25">
      <c r="A807">
        <v>2013</v>
      </c>
      <c r="B807">
        <v>2</v>
      </c>
      <c r="C807" s="1" t="s">
        <v>25</v>
      </c>
      <c r="D807" s="1" t="s">
        <v>19</v>
      </c>
      <c r="E807" s="1" t="s">
        <v>88</v>
      </c>
      <c r="F807">
        <v>2013</v>
      </c>
      <c r="G807">
        <v>0</v>
      </c>
      <c r="H807" s="1" t="s">
        <v>59</v>
      </c>
      <c r="I807">
        <v>24</v>
      </c>
      <c r="J807">
        <v>3271</v>
      </c>
      <c r="K807" s="1" t="s">
        <v>89</v>
      </c>
      <c r="L807" s="1" t="s">
        <v>45</v>
      </c>
      <c r="M807">
        <v>0</v>
      </c>
      <c r="N807">
        <v>0</v>
      </c>
      <c r="O807">
        <v>0</v>
      </c>
      <c r="P807" s="2">
        <v>41306</v>
      </c>
      <c r="Q807">
        <v>0</v>
      </c>
      <c r="R807" s="1" t="s">
        <v>61</v>
      </c>
    </row>
    <row r="808" spans="1:18" x14ac:dyDescent="0.25">
      <c r="A808">
        <v>2013</v>
      </c>
      <c r="B808">
        <v>3</v>
      </c>
      <c r="C808" s="1" t="s">
        <v>26</v>
      </c>
      <c r="D808" s="1" t="s">
        <v>19</v>
      </c>
      <c r="E808" s="1" t="s">
        <v>88</v>
      </c>
      <c r="F808">
        <v>2013</v>
      </c>
      <c r="G808">
        <v>0</v>
      </c>
      <c r="H808" s="1" t="s">
        <v>59</v>
      </c>
      <c r="I808">
        <v>24</v>
      </c>
      <c r="J808">
        <v>3271</v>
      </c>
      <c r="K808" s="1" t="s">
        <v>89</v>
      </c>
      <c r="L808" s="1" t="s">
        <v>45</v>
      </c>
      <c r="M808">
        <v>0</v>
      </c>
      <c r="N808">
        <v>0</v>
      </c>
      <c r="O808">
        <v>0</v>
      </c>
      <c r="P808" s="2">
        <v>41334</v>
      </c>
      <c r="Q808">
        <v>0</v>
      </c>
      <c r="R808" s="1" t="s">
        <v>61</v>
      </c>
    </row>
    <row r="809" spans="1:18" x14ac:dyDescent="0.25">
      <c r="A809">
        <v>2013</v>
      </c>
      <c r="B809">
        <v>4</v>
      </c>
      <c r="C809" s="1" t="s">
        <v>27</v>
      </c>
      <c r="D809" s="1" t="s">
        <v>19</v>
      </c>
      <c r="E809" s="1" t="s">
        <v>88</v>
      </c>
      <c r="F809">
        <v>2013</v>
      </c>
      <c r="G809">
        <v>0</v>
      </c>
      <c r="H809" s="1" t="s">
        <v>59</v>
      </c>
      <c r="I809">
        <v>24</v>
      </c>
      <c r="J809">
        <v>3271</v>
      </c>
      <c r="K809" s="1" t="s">
        <v>89</v>
      </c>
      <c r="L809" s="1" t="s">
        <v>45</v>
      </c>
      <c r="M809">
        <v>0</v>
      </c>
      <c r="N809">
        <v>0</v>
      </c>
      <c r="O809">
        <v>0</v>
      </c>
      <c r="P809" s="2">
        <v>41365</v>
      </c>
      <c r="Q809">
        <v>0</v>
      </c>
      <c r="R809" s="1" t="s">
        <v>61</v>
      </c>
    </row>
    <row r="810" spans="1:18" x14ac:dyDescent="0.25">
      <c r="A810">
        <v>2013</v>
      </c>
      <c r="B810">
        <v>5</v>
      </c>
      <c r="C810" s="1" t="s">
        <v>28</v>
      </c>
      <c r="D810" s="1" t="s">
        <v>19</v>
      </c>
      <c r="E810" s="1" t="s">
        <v>88</v>
      </c>
      <c r="F810">
        <v>2013</v>
      </c>
      <c r="G810">
        <v>0</v>
      </c>
      <c r="H810" s="1" t="s">
        <v>59</v>
      </c>
      <c r="I810">
        <v>24</v>
      </c>
      <c r="J810">
        <v>3271</v>
      </c>
      <c r="K810" s="1" t="s">
        <v>89</v>
      </c>
      <c r="L810" s="1" t="s">
        <v>45</v>
      </c>
      <c r="M810">
        <v>0</v>
      </c>
      <c r="N810">
        <v>0</v>
      </c>
      <c r="O810">
        <v>0</v>
      </c>
      <c r="P810" s="2">
        <v>41395</v>
      </c>
      <c r="Q810">
        <v>0</v>
      </c>
      <c r="R810" s="1" t="s">
        <v>61</v>
      </c>
    </row>
    <row r="811" spans="1:18" x14ac:dyDescent="0.25">
      <c r="A811">
        <v>2013</v>
      </c>
      <c r="B811">
        <v>6</v>
      </c>
      <c r="C811" s="1" t="s">
        <v>29</v>
      </c>
      <c r="D811" s="1" t="s">
        <v>19</v>
      </c>
      <c r="E811" s="1" t="s">
        <v>88</v>
      </c>
      <c r="F811">
        <v>2013</v>
      </c>
      <c r="G811">
        <v>0</v>
      </c>
      <c r="H811" s="1" t="s">
        <v>59</v>
      </c>
      <c r="I811">
        <v>24</v>
      </c>
      <c r="J811">
        <v>3271</v>
      </c>
      <c r="K811" s="1" t="s">
        <v>89</v>
      </c>
      <c r="L811" s="1" t="s">
        <v>45</v>
      </c>
      <c r="M811">
        <v>0</v>
      </c>
      <c r="N811">
        <v>0</v>
      </c>
      <c r="O811">
        <v>0</v>
      </c>
      <c r="P811" s="2">
        <v>41426</v>
      </c>
      <c r="Q811">
        <v>0</v>
      </c>
      <c r="R811" s="1" t="s">
        <v>61</v>
      </c>
    </row>
    <row r="812" spans="1:18" x14ac:dyDescent="0.25">
      <c r="A812">
        <v>2013</v>
      </c>
      <c r="B812">
        <v>7</v>
      </c>
      <c r="C812" s="1" t="s">
        <v>30</v>
      </c>
      <c r="D812" s="1" t="s">
        <v>19</v>
      </c>
      <c r="E812" s="1" t="s">
        <v>88</v>
      </c>
      <c r="F812">
        <v>2013</v>
      </c>
      <c r="G812">
        <v>0</v>
      </c>
      <c r="H812" s="1" t="s">
        <v>59</v>
      </c>
      <c r="I812">
        <v>24</v>
      </c>
      <c r="J812">
        <v>3271</v>
      </c>
      <c r="K812" s="1" t="s">
        <v>89</v>
      </c>
      <c r="L812" s="1" t="s">
        <v>45</v>
      </c>
      <c r="M812">
        <v>0</v>
      </c>
      <c r="N812">
        <v>0</v>
      </c>
      <c r="O812">
        <v>0</v>
      </c>
      <c r="P812" s="2">
        <v>41456</v>
      </c>
      <c r="Q812">
        <v>0</v>
      </c>
      <c r="R812" s="1" t="s">
        <v>61</v>
      </c>
    </row>
    <row r="813" spans="1:18" x14ac:dyDescent="0.25">
      <c r="A813">
        <v>2013</v>
      </c>
      <c r="B813">
        <v>8</v>
      </c>
      <c r="C813" s="1" t="s">
        <v>31</v>
      </c>
      <c r="D813" s="1" t="s">
        <v>19</v>
      </c>
      <c r="E813" s="1" t="s">
        <v>88</v>
      </c>
      <c r="F813">
        <v>2013</v>
      </c>
      <c r="G813">
        <v>0</v>
      </c>
      <c r="H813" s="1" t="s">
        <v>59</v>
      </c>
      <c r="I813">
        <v>24</v>
      </c>
      <c r="J813">
        <v>3271</v>
      </c>
      <c r="K813" s="1" t="s">
        <v>89</v>
      </c>
      <c r="L813" s="1" t="s">
        <v>45</v>
      </c>
      <c r="M813">
        <v>0</v>
      </c>
      <c r="N813">
        <v>0</v>
      </c>
      <c r="O813">
        <v>0</v>
      </c>
      <c r="P813" s="2">
        <v>41487</v>
      </c>
      <c r="Q813">
        <v>0</v>
      </c>
      <c r="R813" s="1" t="s">
        <v>61</v>
      </c>
    </row>
    <row r="814" spans="1:18" x14ac:dyDescent="0.25">
      <c r="A814">
        <v>2013</v>
      </c>
      <c r="B814">
        <v>9</v>
      </c>
      <c r="C814" s="1" t="s">
        <v>32</v>
      </c>
      <c r="D814" s="1" t="s">
        <v>19</v>
      </c>
      <c r="E814" s="1" t="s">
        <v>88</v>
      </c>
      <c r="F814">
        <v>2013</v>
      </c>
      <c r="G814">
        <v>0</v>
      </c>
      <c r="H814" s="1" t="s">
        <v>59</v>
      </c>
      <c r="I814">
        <v>24</v>
      </c>
      <c r="J814">
        <v>3271</v>
      </c>
      <c r="K814" s="1" t="s">
        <v>89</v>
      </c>
      <c r="L814" s="1" t="s">
        <v>45</v>
      </c>
      <c r="M814">
        <v>0</v>
      </c>
      <c r="N814">
        <v>0</v>
      </c>
      <c r="O814">
        <v>0</v>
      </c>
      <c r="P814" s="2">
        <v>41518</v>
      </c>
      <c r="Q814">
        <v>0</v>
      </c>
      <c r="R814" s="1" t="s">
        <v>61</v>
      </c>
    </row>
    <row r="815" spans="1:18" x14ac:dyDescent="0.25">
      <c r="A815">
        <v>2013</v>
      </c>
      <c r="B815">
        <v>10</v>
      </c>
      <c r="C815" s="1" t="s">
        <v>33</v>
      </c>
      <c r="D815" s="1" t="s">
        <v>19</v>
      </c>
      <c r="E815" s="1" t="s">
        <v>88</v>
      </c>
      <c r="F815">
        <v>2013</v>
      </c>
      <c r="G815">
        <v>0</v>
      </c>
      <c r="H815" s="1" t="s">
        <v>59</v>
      </c>
      <c r="I815">
        <v>24</v>
      </c>
      <c r="J815">
        <v>3271</v>
      </c>
      <c r="K815" s="1" t="s">
        <v>89</v>
      </c>
      <c r="L815" s="1" t="s">
        <v>45</v>
      </c>
      <c r="M815">
        <v>0</v>
      </c>
      <c r="N815">
        <v>0</v>
      </c>
      <c r="O815">
        <v>0</v>
      </c>
      <c r="P815" s="2">
        <v>41548</v>
      </c>
      <c r="Q815">
        <v>0</v>
      </c>
      <c r="R815" s="1" t="s">
        <v>61</v>
      </c>
    </row>
    <row r="816" spans="1:18" x14ac:dyDescent="0.25">
      <c r="A816">
        <v>2013</v>
      </c>
      <c r="B816">
        <v>11</v>
      </c>
      <c r="C816" s="1" t="s">
        <v>34</v>
      </c>
      <c r="D816" s="1" t="s">
        <v>19</v>
      </c>
      <c r="E816" s="1" t="s">
        <v>88</v>
      </c>
      <c r="F816">
        <v>2013</v>
      </c>
      <c r="G816">
        <v>0</v>
      </c>
      <c r="H816" s="1" t="s">
        <v>59</v>
      </c>
      <c r="I816">
        <v>24</v>
      </c>
      <c r="J816">
        <v>3271</v>
      </c>
      <c r="K816" s="1" t="s">
        <v>89</v>
      </c>
      <c r="L816" s="1" t="s">
        <v>45</v>
      </c>
      <c r="M816">
        <v>0</v>
      </c>
      <c r="N816">
        <v>0</v>
      </c>
      <c r="O816">
        <v>0</v>
      </c>
      <c r="P816" s="2">
        <v>41579</v>
      </c>
      <c r="Q816">
        <v>0</v>
      </c>
      <c r="R816" s="1" t="s">
        <v>61</v>
      </c>
    </row>
    <row r="817" spans="1:18" x14ac:dyDescent="0.25">
      <c r="A817">
        <v>2013</v>
      </c>
      <c r="B817">
        <v>12</v>
      </c>
      <c r="C817" s="1" t="s">
        <v>35</v>
      </c>
      <c r="D817" s="1" t="s">
        <v>19</v>
      </c>
      <c r="E817" s="1" t="s">
        <v>88</v>
      </c>
      <c r="F817">
        <v>2013</v>
      </c>
      <c r="G817">
        <v>0</v>
      </c>
      <c r="H817" s="1" t="s">
        <v>59</v>
      </c>
      <c r="I817">
        <v>24</v>
      </c>
      <c r="J817">
        <v>3271</v>
      </c>
      <c r="K817" s="1" t="s">
        <v>89</v>
      </c>
      <c r="L817" s="1" t="s">
        <v>45</v>
      </c>
      <c r="M817">
        <v>0</v>
      </c>
      <c r="N817">
        <v>0</v>
      </c>
      <c r="O817">
        <v>0</v>
      </c>
      <c r="P817" s="2">
        <v>41609</v>
      </c>
      <c r="Q817">
        <v>0</v>
      </c>
      <c r="R817" s="1" t="s">
        <v>61</v>
      </c>
    </row>
    <row r="818" spans="1:18" x14ac:dyDescent="0.25">
      <c r="A818">
        <v>2013</v>
      </c>
      <c r="B818">
        <v>1</v>
      </c>
      <c r="C818" s="1" t="s">
        <v>18</v>
      </c>
      <c r="D818" s="1" t="s">
        <v>19</v>
      </c>
      <c r="E818" s="1" t="s">
        <v>90</v>
      </c>
      <c r="F818">
        <v>2013</v>
      </c>
      <c r="G818">
        <v>0</v>
      </c>
      <c r="H818" s="1" t="s">
        <v>59</v>
      </c>
      <c r="I818">
        <v>25</v>
      </c>
      <c r="J818">
        <v>3291</v>
      </c>
      <c r="K818" s="1" t="s">
        <v>91</v>
      </c>
      <c r="L818" s="1" t="s">
        <v>45</v>
      </c>
      <c r="M818">
        <v>0</v>
      </c>
      <c r="N818">
        <v>0</v>
      </c>
      <c r="O818">
        <v>0</v>
      </c>
      <c r="P818" s="2">
        <v>41275</v>
      </c>
      <c r="Q818">
        <v>0</v>
      </c>
      <c r="R818" s="1" t="s">
        <v>61</v>
      </c>
    </row>
    <row r="819" spans="1:18" x14ac:dyDescent="0.25">
      <c r="A819">
        <v>2013</v>
      </c>
      <c r="B819">
        <v>2</v>
      </c>
      <c r="C819" s="1" t="s">
        <v>25</v>
      </c>
      <c r="D819" s="1" t="s">
        <v>19</v>
      </c>
      <c r="E819" s="1" t="s">
        <v>90</v>
      </c>
      <c r="F819">
        <v>2013</v>
      </c>
      <c r="G819">
        <v>0</v>
      </c>
      <c r="H819" s="1" t="s">
        <v>59</v>
      </c>
      <c r="I819">
        <v>25</v>
      </c>
      <c r="J819">
        <v>3291</v>
      </c>
      <c r="K819" s="1" t="s">
        <v>91</v>
      </c>
      <c r="L819" s="1" t="s">
        <v>45</v>
      </c>
      <c r="M819">
        <v>0</v>
      </c>
      <c r="N819">
        <v>0</v>
      </c>
      <c r="O819">
        <v>0</v>
      </c>
      <c r="P819" s="2">
        <v>41306</v>
      </c>
      <c r="Q819">
        <v>0</v>
      </c>
      <c r="R819" s="1" t="s">
        <v>61</v>
      </c>
    </row>
    <row r="820" spans="1:18" x14ac:dyDescent="0.25">
      <c r="A820">
        <v>2013</v>
      </c>
      <c r="B820">
        <v>3</v>
      </c>
      <c r="C820" s="1" t="s">
        <v>26</v>
      </c>
      <c r="D820" s="1" t="s">
        <v>19</v>
      </c>
      <c r="E820" s="1" t="s">
        <v>90</v>
      </c>
      <c r="F820">
        <v>2013</v>
      </c>
      <c r="G820">
        <v>0</v>
      </c>
      <c r="H820" s="1" t="s">
        <v>59</v>
      </c>
      <c r="I820">
        <v>25</v>
      </c>
      <c r="J820">
        <v>3291</v>
      </c>
      <c r="K820" s="1" t="s">
        <v>91</v>
      </c>
      <c r="L820" s="1" t="s">
        <v>45</v>
      </c>
      <c r="M820">
        <v>0</v>
      </c>
      <c r="N820">
        <v>0</v>
      </c>
      <c r="O820">
        <v>0</v>
      </c>
      <c r="P820" s="2">
        <v>41334</v>
      </c>
      <c r="Q820">
        <v>0</v>
      </c>
      <c r="R820" s="1" t="s">
        <v>61</v>
      </c>
    </row>
    <row r="821" spans="1:18" x14ac:dyDescent="0.25">
      <c r="A821">
        <v>2013</v>
      </c>
      <c r="B821">
        <v>4</v>
      </c>
      <c r="C821" s="1" t="s">
        <v>27</v>
      </c>
      <c r="D821" s="1" t="s">
        <v>19</v>
      </c>
      <c r="E821" s="1" t="s">
        <v>90</v>
      </c>
      <c r="F821">
        <v>2013</v>
      </c>
      <c r="G821">
        <v>0</v>
      </c>
      <c r="H821" s="1" t="s">
        <v>59</v>
      </c>
      <c r="I821">
        <v>25</v>
      </c>
      <c r="J821">
        <v>3291</v>
      </c>
      <c r="K821" s="1" t="s">
        <v>91</v>
      </c>
      <c r="L821" s="1" t="s">
        <v>45</v>
      </c>
      <c r="M821">
        <v>0</v>
      </c>
      <c r="N821">
        <v>0</v>
      </c>
      <c r="O821">
        <v>0</v>
      </c>
      <c r="P821" s="2">
        <v>41365</v>
      </c>
      <c r="Q821">
        <v>0</v>
      </c>
      <c r="R821" s="1" t="s">
        <v>61</v>
      </c>
    </row>
    <row r="822" spans="1:18" x14ac:dyDescent="0.25">
      <c r="A822">
        <v>2013</v>
      </c>
      <c r="B822">
        <v>5</v>
      </c>
      <c r="C822" s="1" t="s">
        <v>28</v>
      </c>
      <c r="D822" s="1" t="s">
        <v>19</v>
      </c>
      <c r="E822" s="1" t="s">
        <v>90</v>
      </c>
      <c r="F822">
        <v>2013</v>
      </c>
      <c r="G822">
        <v>0</v>
      </c>
      <c r="H822" s="1" t="s">
        <v>59</v>
      </c>
      <c r="I822">
        <v>25</v>
      </c>
      <c r="J822">
        <v>3291</v>
      </c>
      <c r="K822" s="1" t="s">
        <v>91</v>
      </c>
      <c r="L822" s="1" t="s">
        <v>45</v>
      </c>
      <c r="M822">
        <v>0</v>
      </c>
      <c r="N822">
        <v>0</v>
      </c>
      <c r="O822">
        <v>0</v>
      </c>
      <c r="P822" s="2">
        <v>41395</v>
      </c>
      <c r="Q822">
        <v>0</v>
      </c>
      <c r="R822" s="1" t="s">
        <v>61</v>
      </c>
    </row>
    <row r="823" spans="1:18" x14ac:dyDescent="0.25">
      <c r="A823">
        <v>2013</v>
      </c>
      <c r="B823">
        <v>6</v>
      </c>
      <c r="C823" s="1" t="s">
        <v>29</v>
      </c>
      <c r="D823" s="1" t="s">
        <v>19</v>
      </c>
      <c r="E823" s="1" t="s">
        <v>90</v>
      </c>
      <c r="F823">
        <v>2013</v>
      </c>
      <c r="G823">
        <v>0</v>
      </c>
      <c r="H823" s="1" t="s">
        <v>59</v>
      </c>
      <c r="I823">
        <v>25</v>
      </c>
      <c r="J823">
        <v>3291</v>
      </c>
      <c r="K823" s="1" t="s">
        <v>91</v>
      </c>
      <c r="L823" s="1" t="s">
        <v>45</v>
      </c>
      <c r="M823">
        <v>0</v>
      </c>
      <c r="N823">
        <v>0</v>
      </c>
      <c r="O823">
        <v>0</v>
      </c>
      <c r="P823" s="2">
        <v>41426</v>
      </c>
      <c r="Q823">
        <v>0</v>
      </c>
      <c r="R823" s="1" t="s">
        <v>61</v>
      </c>
    </row>
    <row r="824" spans="1:18" x14ac:dyDescent="0.25">
      <c r="A824">
        <v>2013</v>
      </c>
      <c r="B824">
        <v>7</v>
      </c>
      <c r="C824" s="1" t="s">
        <v>30</v>
      </c>
      <c r="D824" s="1" t="s">
        <v>19</v>
      </c>
      <c r="E824" s="1" t="s">
        <v>90</v>
      </c>
      <c r="F824">
        <v>2013</v>
      </c>
      <c r="G824">
        <v>0</v>
      </c>
      <c r="H824" s="1" t="s">
        <v>59</v>
      </c>
      <c r="I824">
        <v>25</v>
      </c>
      <c r="J824">
        <v>3291</v>
      </c>
      <c r="K824" s="1" t="s">
        <v>91</v>
      </c>
      <c r="L824" s="1" t="s">
        <v>45</v>
      </c>
      <c r="M824">
        <v>0</v>
      </c>
      <c r="N824">
        <v>0</v>
      </c>
      <c r="O824">
        <v>0</v>
      </c>
      <c r="P824" s="2">
        <v>41456</v>
      </c>
      <c r="Q824">
        <v>0</v>
      </c>
      <c r="R824" s="1" t="s">
        <v>61</v>
      </c>
    </row>
    <row r="825" spans="1:18" x14ac:dyDescent="0.25">
      <c r="A825">
        <v>2013</v>
      </c>
      <c r="B825">
        <v>8</v>
      </c>
      <c r="C825" s="1" t="s">
        <v>31</v>
      </c>
      <c r="D825" s="1" t="s">
        <v>19</v>
      </c>
      <c r="E825" s="1" t="s">
        <v>90</v>
      </c>
      <c r="F825">
        <v>2013</v>
      </c>
      <c r="G825">
        <v>0</v>
      </c>
      <c r="H825" s="1" t="s">
        <v>59</v>
      </c>
      <c r="I825">
        <v>25</v>
      </c>
      <c r="J825">
        <v>3291</v>
      </c>
      <c r="K825" s="1" t="s">
        <v>91</v>
      </c>
      <c r="L825" s="1" t="s">
        <v>45</v>
      </c>
      <c r="M825">
        <v>0</v>
      </c>
      <c r="N825">
        <v>0</v>
      </c>
      <c r="O825">
        <v>0</v>
      </c>
      <c r="P825" s="2">
        <v>41487</v>
      </c>
      <c r="Q825">
        <v>0</v>
      </c>
      <c r="R825" s="1" t="s">
        <v>61</v>
      </c>
    </row>
    <row r="826" spans="1:18" x14ac:dyDescent="0.25">
      <c r="A826">
        <v>2013</v>
      </c>
      <c r="B826">
        <v>9</v>
      </c>
      <c r="C826" s="1" t="s">
        <v>32</v>
      </c>
      <c r="D826" s="1" t="s">
        <v>19</v>
      </c>
      <c r="E826" s="1" t="s">
        <v>90</v>
      </c>
      <c r="F826">
        <v>2013</v>
      </c>
      <c r="G826">
        <v>0</v>
      </c>
      <c r="H826" s="1" t="s">
        <v>59</v>
      </c>
      <c r="I826">
        <v>25</v>
      </c>
      <c r="J826">
        <v>3291</v>
      </c>
      <c r="K826" s="1" t="s">
        <v>91</v>
      </c>
      <c r="L826" s="1" t="s">
        <v>45</v>
      </c>
      <c r="M826">
        <v>0</v>
      </c>
      <c r="N826">
        <v>0</v>
      </c>
      <c r="O826">
        <v>0</v>
      </c>
      <c r="P826" s="2">
        <v>41518</v>
      </c>
      <c r="Q826">
        <v>0</v>
      </c>
      <c r="R826" s="1" t="s">
        <v>61</v>
      </c>
    </row>
    <row r="827" spans="1:18" x14ac:dyDescent="0.25">
      <c r="A827">
        <v>2013</v>
      </c>
      <c r="B827">
        <v>10</v>
      </c>
      <c r="C827" s="1" t="s">
        <v>33</v>
      </c>
      <c r="D827" s="1" t="s">
        <v>19</v>
      </c>
      <c r="E827" s="1" t="s">
        <v>90</v>
      </c>
      <c r="F827">
        <v>2013</v>
      </c>
      <c r="G827">
        <v>0</v>
      </c>
      <c r="H827" s="1" t="s">
        <v>59</v>
      </c>
      <c r="I827">
        <v>25</v>
      </c>
      <c r="J827">
        <v>3291</v>
      </c>
      <c r="K827" s="1" t="s">
        <v>91</v>
      </c>
      <c r="L827" s="1" t="s">
        <v>45</v>
      </c>
      <c r="M827">
        <v>0</v>
      </c>
      <c r="N827">
        <v>0</v>
      </c>
      <c r="O827">
        <v>0</v>
      </c>
      <c r="P827" s="2">
        <v>41548</v>
      </c>
      <c r="Q827">
        <v>0</v>
      </c>
      <c r="R827" s="1" t="s">
        <v>61</v>
      </c>
    </row>
    <row r="828" spans="1:18" x14ac:dyDescent="0.25">
      <c r="A828">
        <v>2013</v>
      </c>
      <c r="B828">
        <v>11</v>
      </c>
      <c r="C828" s="1" t="s">
        <v>34</v>
      </c>
      <c r="D828" s="1" t="s">
        <v>19</v>
      </c>
      <c r="E828" s="1" t="s">
        <v>90</v>
      </c>
      <c r="F828">
        <v>2013</v>
      </c>
      <c r="G828">
        <v>0</v>
      </c>
      <c r="H828" s="1" t="s">
        <v>59</v>
      </c>
      <c r="I828">
        <v>25</v>
      </c>
      <c r="J828">
        <v>3291</v>
      </c>
      <c r="K828" s="1" t="s">
        <v>91</v>
      </c>
      <c r="L828" s="1" t="s">
        <v>45</v>
      </c>
      <c r="M828">
        <v>0</v>
      </c>
      <c r="N828">
        <v>0</v>
      </c>
      <c r="O828">
        <v>0</v>
      </c>
      <c r="P828" s="2">
        <v>41579</v>
      </c>
      <c r="Q828">
        <v>0</v>
      </c>
      <c r="R828" s="1" t="s">
        <v>61</v>
      </c>
    </row>
    <row r="829" spans="1:18" x14ac:dyDescent="0.25">
      <c r="A829">
        <v>2013</v>
      </c>
      <c r="B829">
        <v>12</v>
      </c>
      <c r="C829" s="1" t="s">
        <v>35</v>
      </c>
      <c r="D829" s="1" t="s">
        <v>19</v>
      </c>
      <c r="E829" s="1" t="s">
        <v>90</v>
      </c>
      <c r="F829">
        <v>2013</v>
      </c>
      <c r="G829">
        <v>0</v>
      </c>
      <c r="H829" s="1" t="s">
        <v>59</v>
      </c>
      <c r="I829">
        <v>25</v>
      </c>
      <c r="J829">
        <v>3291</v>
      </c>
      <c r="K829" s="1" t="s">
        <v>91</v>
      </c>
      <c r="L829" s="1" t="s">
        <v>45</v>
      </c>
      <c r="M829">
        <v>0</v>
      </c>
      <c r="N829">
        <v>0</v>
      </c>
      <c r="O829">
        <v>0</v>
      </c>
      <c r="P829" s="2">
        <v>41609</v>
      </c>
      <c r="Q829">
        <v>0</v>
      </c>
      <c r="R829" s="1" t="s">
        <v>61</v>
      </c>
    </row>
    <row r="830" spans="1:18" x14ac:dyDescent="0.25">
      <c r="A830">
        <v>2013</v>
      </c>
      <c r="B830">
        <v>1</v>
      </c>
      <c r="C830" s="1" t="s">
        <v>18</v>
      </c>
      <c r="D830" s="1" t="s">
        <v>19</v>
      </c>
      <c r="E830" s="1" t="s">
        <v>92</v>
      </c>
      <c r="F830">
        <v>2014</v>
      </c>
      <c r="G830">
        <v>0</v>
      </c>
      <c r="H830" s="1" t="s">
        <v>59</v>
      </c>
      <c r="I830">
        <v>24</v>
      </c>
      <c r="J830">
        <v>2208</v>
      </c>
      <c r="K830" s="1" t="s">
        <v>93</v>
      </c>
      <c r="L830" s="1" t="s">
        <v>45</v>
      </c>
      <c r="M830">
        <v>0</v>
      </c>
      <c r="N830">
        <v>0</v>
      </c>
      <c r="O830">
        <v>0</v>
      </c>
      <c r="P830" s="2">
        <v>41275</v>
      </c>
      <c r="Q830">
        <v>0</v>
      </c>
      <c r="R830" s="1" t="s">
        <v>61</v>
      </c>
    </row>
    <row r="831" spans="1:18" x14ac:dyDescent="0.25">
      <c r="A831">
        <v>2013</v>
      </c>
      <c r="B831">
        <v>2</v>
      </c>
      <c r="C831" s="1" t="s">
        <v>25</v>
      </c>
      <c r="D831" s="1" t="s">
        <v>19</v>
      </c>
      <c r="E831" s="1" t="s">
        <v>92</v>
      </c>
      <c r="F831">
        <v>2014</v>
      </c>
      <c r="G831">
        <v>0</v>
      </c>
      <c r="H831" s="1" t="s">
        <v>59</v>
      </c>
      <c r="I831">
        <v>24</v>
      </c>
      <c r="J831">
        <v>2208</v>
      </c>
      <c r="K831" s="1" t="s">
        <v>93</v>
      </c>
      <c r="L831" s="1" t="s">
        <v>45</v>
      </c>
      <c r="M831">
        <v>0</v>
      </c>
      <c r="N831">
        <v>0</v>
      </c>
      <c r="O831">
        <v>0</v>
      </c>
      <c r="P831" s="2">
        <v>41306</v>
      </c>
      <c r="Q831">
        <v>0</v>
      </c>
      <c r="R831" s="1" t="s">
        <v>61</v>
      </c>
    </row>
    <row r="832" spans="1:18" x14ac:dyDescent="0.25">
      <c r="A832">
        <v>2013</v>
      </c>
      <c r="B832">
        <v>3</v>
      </c>
      <c r="C832" s="1" t="s">
        <v>26</v>
      </c>
      <c r="D832" s="1" t="s">
        <v>19</v>
      </c>
      <c r="E832" s="1" t="s">
        <v>92</v>
      </c>
      <c r="F832">
        <v>2014</v>
      </c>
      <c r="G832">
        <v>0</v>
      </c>
      <c r="H832" s="1" t="s">
        <v>59</v>
      </c>
      <c r="I832">
        <v>24</v>
      </c>
      <c r="J832">
        <v>2208</v>
      </c>
      <c r="K832" s="1" t="s">
        <v>93</v>
      </c>
      <c r="L832" s="1" t="s">
        <v>45</v>
      </c>
      <c r="M832">
        <v>0</v>
      </c>
      <c r="N832">
        <v>0</v>
      </c>
      <c r="O832">
        <v>0</v>
      </c>
      <c r="P832" s="2">
        <v>41334</v>
      </c>
      <c r="Q832">
        <v>0</v>
      </c>
      <c r="R832" s="1" t="s">
        <v>61</v>
      </c>
    </row>
    <row r="833" spans="1:18" x14ac:dyDescent="0.25">
      <c r="A833">
        <v>2013</v>
      </c>
      <c r="B833">
        <v>4</v>
      </c>
      <c r="C833" s="1" t="s">
        <v>27</v>
      </c>
      <c r="D833" s="1" t="s">
        <v>19</v>
      </c>
      <c r="E833" s="1" t="s">
        <v>92</v>
      </c>
      <c r="F833">
        <v>2014</v>
      </c>
      <c r="G833">
        <v>0</v>
      </c>
      <c r="H833" s="1" t="s">
        <v>59</v>
      </c>
      <c r="I833">
        <v>24</v>
      </c>
      <c r="J833">
        <v>2208</v>
      </c>
      <c r="K833" s="1" t="s">
        <v>93</v>
      </c>
      <c r="L833" s="1" t="s">
        <v>45</v>
      </c>
      <c r="M833">
        <v>0</v>
      </c>
      <c r="N833">
        <v>0</v>
      </c>
      <c r="O833">
        <v>0</v>
      </c>
      <c r="P833" s="2">
        <v>41365</v>
      </c>
      <c r="Q833">
        <v>0</v>
      </c>
      <c r="R833" s="1" t="s">
        <v>61</v>
      </c>
    </row>
    <row r="834" spans="1:18" x14ac:dyDescent="0.25">
      <c r="A834">
        <v>2013</v>
      </c>
      <c r="B834">
        <v>5</v>
      </c>
      <c r="C834" s="1" t="s">
        <v>28</v>
      </c>
      <c r="D834" s="1" t="s">
        <v>19</v>
      </c>
      <c r="E834" s="1" t="s">
        <v>92</v>
      </c>
      <c r="F834">
        <v>2014</v>
      </c>
      <c r="G834">
        <v>0</v>
      </c>
      <c r="H834" s="1" t="s">
        <v>59</v>
      </c>
      <c r="I834">
        <v>24</v>
      </c>
      <c r="J834">
        <v>2208</v>
      </c>
      <c r="K834" s="1" t="s">
        <v>93</v>
      </c>
      <c r="L834" s="1" t="s">
        <v>45</v>
      </c>
      <c r="M834">
        <v>0</v>
      </c>
      <c r="N834">
        <v>0</v>
      </c>
      <c r="O834">
        <v>0</v>
      </c>
      <c r="P834" s="2">
        <v>41395</v>
      </c>
      <c r="Q834">
        <v>0</v>
      </c>
      <c r="R834" s="1" t="s">
        <v>61</v>
      </c>
    </row>
    <row r="835" spans="1:18" x14ac:dyDescent="0.25">
      <c r="A835">
        <v>2013</v>
      </c>
      <c r="B835">
        <v>6</v>
      </c>
      <c r="C835" s="1" t="s">
        <v>29</v>
      </c>
      <c r="D835" s="1" t="s">
        <v>19</v>
      </c>
      <c r="E835" s="1" t="s">
        <v>92</v>
      </c>
      <c r="F835">
        <v>2014</v>
      </c>
      <c r="G835">
        <v>0</v>
      </c>
      <c r="H835" s="1" t="s">
        <v>59</v>
      </c>
      <c r="I835">
        <v>24</v>
      </c>
      <c r="J835">
        <v>2208</v>
      </c>
      <c r="K835" s="1" t="s">
        <v>93</v>
      </c>
      <c r="L835" s="1" t="s">
        <v>45</v>
      </c>
      <c r="M835">
        <v>0</v>
      </c>
      <c r="N835">
        <v>0</v>
      </c>
      <c r="O835">
        <v>0</v>
      </c>
      <c r="P835" s="2">
        <v>41426</v>
      </c>
      <c r="Q835">
        <v>0</v>
      </c>
      <c r="R835" s="1" t="s">
        <v>61</v>
      </c>
    </row>
    <row r="836" spans="1:18" x14ac:dyDescent="0.25">
      <c r="A836">
        <v>2013</v>
      </c>
      <c r="B836">
        <v>7</v>
      </c>
      <c r="C836" s="1" t="s">
        <v>30</v>
      </c>
      <c r="D836" s="1" t="s">
        <v>19</v>
      </c>
      <c r="E836" s="1" t="s">
        <v>92</v>
      </c>
      <c r="F836">
        <v>2014</v>
      </c>
      <c r="G836">
        <v>0</v>
      </c>
      <c r="H836" s="1" t="s">
        <v>59</v>
      </c>
      <c r="I836">
        <v>24</v>
      </c>
      <c r="J836">
        <v>2208</v>
      </c>
      <c r="K836" s="1" t="s">
        <v>93</v>
      </c>
      <c r="L836" s="1" t="s">
        <v>45</v>
      </c>
      <c r="M836">
        <v>0</v>
      </c>
      <c r="N836">
        <v>0</v>
      </c>
      <c r="O836">
        <v>0</v>
      </c>
      <c r="P836" s="2">
        <v>41456</v>
      </c>
      <c r="Q836">
        <v>0</v>
      </c>
      <c r="R836" s="1" t="s">
        <v>61</v>
      </c>
    </row>
    <row r="837" spans="1:18" x14ac:dyDescent="0.25">
      <c r="A837">
        <v>2013</v>
      </c>
      <c r="B837">
        <v>8</v>
      </c>
      <c r="C837" s="1" t="s">
        <v>31</v>
      </c>
      <c r="D837" s="1" t="s">
        <v>19</v>
      </c>
      <c r="E837" s="1" t="s">
        <v>92</v>
      </c>
      <c r="F837">
        <v>2014</v>
      </c>
      <c r="G837">
        <v>0</v>
      </c>
      <c r="H837" s="1" t="s">
        <v>59</v>
      </c>
      <c r="I837">
        <v>24</v>
      </c>
      <c r="J837">
        <v>2208</v>
      </c>
      <c r="K837" s="1" t="s">
        <v>93</v>
      </c>
      <c r="L837" s="1" t="s">
        <v>45</v>
      </c>
      <c r="M837">
        <v>0</v>
      </c>
      <c r="N837">
        <v>0</v>
      </c>
      <c r="O837">
        <v>0</v>
      </c>
      <c r="P837" s="2">
        <v>41487</v>
      </c>
      <c r="Q837">
        <v>0</v>
      </c>
      <c r="R837" s="1" t="s">
        <v>61</v>
      </c>
    </row>
    <row r="838" spans="1:18" x14ac:dyDescent="0.25">
      <c r="A838">
        <v>2013</v>
      </c>
      <c r="B838">
        <v>9</v>
      </c>
      <c r="C838" s="1" t="s">
        <v>32</v>
      </c>
      <c r="D838" s="1" t="s">
        <v>19</v>
      </c>
      <c r="E838" s="1" t="s">
        <v>92</v>
      </c>
      <c r="F838">
        <v>2014</v>
      </c>
      <c r="G838">
        <v>0</v>
      </c>
      <c r="H838" s="1" t="s">
        <v>59</v>
      </c>
      <c r="I838">
        <v>24</v>
      </c>
      <c r="J838">
        <v>2208</v>
      </c>
      <c r="K838" s="1" t="s">
        <v>93</v>
      </c>
      <c r="L838" s="1" t="s">
        <v>45</v>
      </c>
      <c r="M838">
        <v>0</v>
      </c>
      <c r="N838">
        <v>0</v>
      </c>
      <c r="O838">
        <v>0</v>
      </c>
      <c r="P838" s="2">
        <v>41518</v>
      </c>
      <c r="Q838">
        <v>0</v>
      </c>
      <c r="R838" s="1" t="s">
        <v>61</v>
      </c>
    </row>
    <row r="839" spans="1:18" x14ac:dyDescent="0.25">
      <c r="A839">
        <v>2013</v>
      </c>
      <c r="B839">
        <v>10</v>
      </c>
      <c r="C839" s="1" t="s">
        <v>33</v>
      </c>
      <c r="D839" s="1" t="s">
        <v>19</v>
      </c>
      <c r="E839" s="1" t="s">
        <v>92</v>
      </c>
      <c r="F839">
        <v>2014</v>
      </c>
      <c r="G839">
        <v>0</v>
      </c>
      <c r="H839" s="1" t="s">
        <v>59</v>
      </c>
      <c r="I839">
        <v>24</v>
      </c>
      <c r="J839">
        <v>2208</v>
      </c>
      <c r="K839" s="1" t="s">
        <v>93</v>
      </c>
      <c r="L839" s="1" t="s">
        <v>45</v>
      </c>
      <c r="M839">
        <v>0</v>
      </c>
      <c r="N839">
        <v>0</v>
      </c>
      <c r="O839">
        <v>0</v>
      </c>
      <c r="P839" s="2">
        <v>41548</v>
      </c>
      <c r="Q839">
        <v>0</v>
      </c>
      <c r="R839" s="1" t="s">
        <v>61</v>
      </c>
    </row>
    <row r="840" spans="1:18" x14ac:dyDescent="0.25">
      <c r="A840">
        <v>2013</v>
      </c>
      <c r="B840">
        <v>11</v>
      </c>
      <c r="C840" s="1" t="s">
        <v>34</v>
      </c>
      <c r="D840" s="1" t="s">
        <v>19</v>
      </c>
      <c r="E840" s="1" t="s">
        <v>92</v>
      </c>
      <c r="F840">
        <v>2014</v>
      </c>
      <c r="G840">
        <v>0</v>
      </c>
      <c r="H840" s="1" t="s">
        <v>59</v>
      </c>
      <c r="I840">
        <v>24</v>
      </c>
      <c r="J840">
        <v>2208</v>
      </c>
      <c r="K840" s="1" t="s">
        <v>93</v>
      </c>
      <c r="L840" s="1" t="s">
        <v>45</v>
      </c>
      <c r="M840">
        <v>0</v>
      </c>
      <c r="N840">
        <v>0</v>
      </c>
      <c r="O840">
        <v>0</v>
      </c>
      <c r="P840" s="2">
        <v>41579</v>
      </c>
      <c r="Q840">
        <v>0</v>
      </c>
      <c r="R840" s="1" t="s">
        <v>61</v>
      </c>
    </row>
    <row r="841" spans="1:18" x14ac:dyDescent="0.25">
      <c r="A841">
        <v>2013</v>
      </c>
      <c r="B841">
        <v>12</v>
      </c>
      <c r="C841" s="1" t="s">
        <v>35</v>
      </c>
      <c r="D841" s="1" t="s">
        <v>19</v>
      </c>
      <c r="E841" s="1" t="s">
        <v>92</v>
      </c>
      <c r="F841">
        <v>2014</v>
      </c>
      <c r="G841">
        <v>0</v>
      </c>
      <c r="H841" s="1" t="s">
        <v>59</v>
      </c>
      <c r="I841">
        <v>24</v>
      </c>
      <c r="J841">
        <v>2208</v>
      </c>
      <c r="K841" s="1" t="s">
        <v>93</v>
      </c>
      <c r="L841" s="1" t="s">
        <v>45</v>
      </c>
      <c r="M841">
        <v>0</v>
      </c>
      <c r="N841">
        <v>0</v>
      </c>
      <c r="O841">
        <v>0</v>
      </c>
      <c r="P841" s="2">
        <v>41609</v>
      </c>
      <c r="Q841">
        <v>0</v>
      </c>
      <c r="R841" s="1" t="s">
        <v>61</v>
      </c>
    </row>
    <row r="842" spans="1:18" x14ac:dyDescent="0.25">
      <c r="A842">
        <v>2013</v>
      </c>
      <c r="B842">
        <v>1</v>
      </c>
      <c r="C842" s="1" t="s">
        <v>18</v>
      </c>
      <c r="D842" s="1" t="s">
        <v>19</v>
      </c>
      <c r="E842" s="1" t="s">
        <v>94</v>
      </c>
      <c r="F842">
        <v>2014</v>
      </c>
      <c r="G842">
        <v>0</v>
      </c>
      <c r="H842" s="1" t="s">
        <v>59</v>
      </c>
      <c r="I842">
        <v>20</v>
      </c>
      <c r="J842">
        <v>1954</v>
      </c>
      <c r="K842" s="1" t="s">
        <v>95</v>
      </c>
      <c r="L842" s="1" t="s">
        <v>45</v>
      </c>
      <c r="M842">
        <v>0</v>
      </c>
      <c r="N842">
        <v>0</v>
      </c>
      <c r="O842">
        <v>0</v>
      </c>
      <c r="P842" s="2">
        <v>41275</v>
      </c>
      <c r="Q842">
        <v>0</v>
      </c>
      <c r="R842" s="1" t="s">
        <v>61</v>
      </c>
    </row>
    <row r="843" spans="1:18" x14ac:dyDescent="0.25">
      <c r="A843">
        <v>2013</v>
      </c>
      <c r="B843">
        <v>2</v>
      </c>
      <c r="C843" s="1" t="s">
        <v>25</v>
      </c>
      <c r="D843" s="1" t="s">
        <v>19</v>
      </c>
      <c r="E843" s="1" t="s">
        <v>94</v>
      </c>
      <c r="F843">
        <v>2014</v>
      </c>
      <c r="G843">
        <v>0</v>
      </c>
      <c r="H843" s="1" t="s">
        <v>59</v>
      </c>
      <c r="I843">
        <v>20</v>
      </c>
      <c r="J843">
        <v>1954</v>
      </c>
      <c r="K843" s="1" t="s">
        <v>95</v>
      </c>
      <c r="L843" s="1" t="s">
        <v>45</v>
      </c>
      <c r="M843">
        <v>0</v>
      </c>
      <c r="N843">
        <v>0</v>
      </c>
      <c r="O843">
        <v>0</v>
      </c>
      <c r="P843" s="2">
        <v>41306</v>
      </c>
      <c r="Q843">
        <v>0</v>
      </c>
      <c r="R843" s="1" t="s">
        <v>61</v>
      </c>
    </row>
    <row r="844" spans="1:18" x14ac:dyDescent="0.25">
      <c r="A844">
        <v>2013</v>
      </c>
      <c r="B844">
        <v>3</v>
      </c>
      <c r="C844" s="1" t="s">
        <v>26</v>
      </c>
      <c r="D844" s="1" t="s">
        <v>19</v>
      </c>
      <c r="E844" s="1" t="s">
        <v>94</v>
      </c>
      <c r="F844">
        <v>2014</v>
      </c>
      <c r="G844">
        <v>0</v>
      </c>
      <c r="H844" s="1" t="s">
        <v>59</v>
      </c>
      <c r="I844">
        <v>20</v>
      </c>
      <c r="J844">
        <v>1954</v>
      </c>
      <c r="K844" s="1" t="s">
        <v>95</v>
      </c>
      <c r="L844" s="1" t="s">
        <v>45</v>
      </c>
      <c r="M844">
        <v>0</v>
      </c>
      <c r="N844">
        <v>0</v>
      </c>
      <c r="O844">
        <v>0</v>
      </c>
      <c r="P844" s="2">
        <v>41334</v>
      </c>
      <c r="Q844">
        <v>0</v>
      </c>
      <c r="R844" s="1" t="s">
        <v>61</v>
      </c>
    </row>
    <row r="845" spans="1:18" x14ac:dyDescent="0.25">
      <c r="A845">
        <v>2013</v>
      </c>
      <c r="B845">
        <v>4</v>
      </c>
      <c r="C845" s="1" t="s">
        <v>27</v>
      </c>
      <c r="D845" s="1" t="s">
        <v>19</v>
      </c>
      <c r="E845" s="1" t="s">
        <v>94</v>
      </c>
      <c r="F845">
        <v>2014</v>
      </c>
      <c r="G845">
        <v>0</v>
      </c>
      <c r="H845" s="1" t="s">
        <v>59</v>
      </c>
      <c r="I845">
        <v>20</v>
      </c>
      <c r="J845">
        <v>1954</v>
      </c>
      <c r="K845" s="1" t="s">
        <v>95</v>
      </c>
      <c r="L845" s="1" t="s">
        <v>45</v>
      </c>
      <c r="M845">
        <v>0</v>
      </c>
      <c r="N845">
        <v>0</v>
      </c>
      <c r="O845">
        <v>0</v>
      </c>
      <c r="P845" s="2">
        <v>41365</v>
      </c>
      <c r="Q845">
        <v>0</v>
      </c>
      <c r="R845" s="1" t="s">
        <v>61</v>
      </c>
    </row>
    <row r="846" spans="1:18" x14ac:dyDescent="0.25">
      <c r="A846">
        <v>2013</v>
      </c>
      <c r="B846">
        <v>5</v>
      </c>
      <c r="C846" s="1" t="s">
        <v>28</v>
      </c>
      <c r="D846" s="1" t="s">
        <v>19</v>
      </c>
      <c r="E846" s="1" t="s">
        <v>94</v>
      </c>
      <c r="F846">
        <v>2014</v>
      </c>
      <c r="G846">
        <v>0</v>
      </c>
      <c r="H846" s="1" t="s">
        <v>59</v>
      </c>
      <c r="I846">
        <v>20</v>
      </c>
      <c r="J846">
        <v>1954</v>
      </c>
      <c r="K846" s="1" t="s">
        <v>95</v>
      </c>
      <c r="L846" s="1" t="s">
        <v>45</v>
      </c>
      <c r="M846">
        <v>0</v>
      </c>
      <c r="N846">
        <v>0</v>
      </c>
      <c r="O846">
        <v>0</v>
      </c>
      <c r="P846" s="2">
        <v>41395</v>
      </c>
      <c r="Q846">
        <v>0</v>
      </c>
      <c r="R846" s="1" t="s">
        <v>61</v>
      </c>
    </row>
    <row r="847" spans="1:18" x14ac:dyDescent="0.25">
      <c r="A847">
        <v>2013</v>
      </c>
      <c r="B847">
        <v>6</v>
      </c>
      <c r="C847" s="1" t="s">
        <v>29</v>
      </c>
      <c r="D847" s="1" t="s">
        <v>19</v>
      </c>
      <c r="E847" s="1" t="s">
        <v>94</v>
      </c>
      <c r="F847">
        <v>2014</v>
      </c>
      <c r="G847">
        <v>0</v>
      </c>
      <c r="H847" s="1" t="s">
        <v>59</v>
      </c>
      <c r="I847">
        <v>20</v>
      </c>
      <c r="J847">
        <v>1954</v>
      </c>
      <c r="K847" s="1" t="s">
        <v>95</v>
      </c>
      <c r="L847" s="1" t="s">
        <v>45</v>
      </c>
      <c r="M847">
        <v>0</v>
      </c>
      <c r="N847">
        <v>0</v>
      </c>
      <c r="O847">
        <v>0</v>
      </c>
      <c r="P847" s="2">
        <v>41426</v>
      </c>
      <c r="Q847">
        <v>0</v>
      </c>
      <c r="R847" s="1" t="s">
        <v>61</v>
      </c>
    </row>
    <row r="848" spans="1:18" x14ac:dyDescent="0.25">
      <c r="A848">
        <v>2013</v>
      </c>
      <c r="B848">
        <v>7</v>
      </c>
      <c r="C848" s="1" t="s">
        <v>30</v>
      </c>
      <c r="D848" s="1" t="s">
        <v>19</v>
      </c>
      <c r="E848" s="1" t="s">
        <v>94</v>
      </c>
      <c r="F848">
        <v>2014</v>
      </c>
      <c r="G848">
        <v>0</v>
      </c>
      <c r="H848" s="1" t="s">
        <v>59</v>
      </c>
      <c r="I848">
        <v>20</v>
      </c>
      <c r="J848">
        <v>1954</v>
      </c>
      <c r="K848" s="1" t="s">
        <v>95</v>
      </c>
      <c r="L848" s="1" t="s">
        <v>45</v>
      </c>
      <c r="M848">
        <v>0</v>
      </c>
      <c r="N848">
        <v>0</v>
      </c>
      <c r="O848">
        <v>0</v>
      </c>
      <c r="P848" s="2">
        <v>41456</v>
      </c>
      <c r="Q848">
        <v>0</v>
      </c>
      <c r="R848" s="1" t="s">
        <v>61</v>
      </c>
    </row>
    <row r="849" spans="1:18" x14ac:dyDescent="0.25">
      <c r="A849">
        <v>2013</v>
      </c>
      <c r="B849">
        <v>8</v>
      </c>
      <c r="C849" s="1" t="s">
        <v>31</v>
      </c>
      <c r="D849" s="1" t="s">
        <v>19</v>
      </c>
      <c r="E849" s="1" t="s">
        <v>94</v>
      </c>
      <c r="F849">
        <v>2014</v>
      </c>
      <c r="G849">
        <v>0</v>
      </c>
      <c r="H849" s="1" t="s">
        <v>59</v>
      </c>
      <c r="I849">
        <v>20</v>
      </c>
      <c r="J849">
        <v>1954</v>
      </c>
      <c r="K849" s="1" t="s">
        <v>95</v>
      </c>
      <c r="L849" s="1" t="s">
        <v>45</v>
      </c>
      <c r="M849">
        <v>0</v>
      </c>
      <c r="N849">
        <v>0</v>
      </c>
      <c r="O849">
        <v>0</v>
      </c>
      <c r="P849" s="2">
        <v>41487</v>
      </c>
      <c r="Q849">
        <v>0</v>
      </c>
      <c r="R849" s="1" t="s">
        <v>61</v>
      </c>
    </row>
    <row r="850" spans="1:18" x14ac:dyDescent="0.25">
      <c r="A850">
        <v>2013</v>
      </c>
      <c r="B850">
        <v>9</v>
      </c>
      <c r="C850" s="1" t="s">
        <v>32</v>
      </c>
      <c r="D850" s="1" t="s">
        <v>19</v>
      </c>
      <c r="E850" s="1" t="s">
        <v>94</v>
      </c>
      <c r="F850">
        <v>2014</v>
      </c>
      <c r="G850">
        <v>0</v>
      </c>
      <c r="H850" s="1" t="s">
        <v>59</v>
      </c>
      <c r="I850">
        <v>20</v>
      </c>
      <c r="J850">
        <v>1954</v>
      </c>
      <c r="K850" s="1" t="s">
        <v>95</v>
      </c>
      <c r="L850" s="1" t="s">
        <v>45</v>
      </c>
      <c r="M850">
        <v>0</v>
      </c>
      <c r="N850">
        <v>0</v>
      </c>
      <c r="O850">
        <v>0</v>
      </c>
      <c r="P850" s="2">
        <v>41518</v>
      </c>
      <c r="Q850">
        <v>0</v>
      </c>
      <c r="R850" s="1" t="s">
        <v>61</v>
      </c>
    </row>
    <row r="851" spans="1:18" x14ac:dyDescent="0.25">
      <c r="A851">
        <v>2013</v>
      </c>
      <c r="B851">
        <v>10</v>
      </c>
      <c r="C851" s="1" t="s">
        <v>33</v>
      </c>
      <c r="D851" s="1" t="s">
        <v>19</v>
      </c>
      <c r="E851" s="1" t="s">
        <v>94</v>
      </c>
      <c r="F851">
        <v>2014</v>
      </c>
      <c r="G851">
        <v>0</v>
      </c>
      <c r="H851" s="1" t="s">
        <v>59</v>
      </c>
      <c r="I851">
        <v>20</v>
      </c>
      <c r="J851">
        <v>1954</v>
      </c>
      <c r="K851" s="1" t="s">
        <v>95</v>
      </c>
      <c r="L851" s="1" t="s">
        <v>45</v>
      </c>
      <c r="M851">
        <v>0</v>
      </c>
      <c r="N851">
        <v>0</v>
      </c>
      <c r="O851">
        <v>0</v>
      </c>
      <c r="P851" s="2">
        <v>41548</v>
      </c>
      <c r="Q851">
        <v>0</v>
      </c>
      <c r="R851" s="1" t="s">
        <v>61</v>
      </c>
    </row>
    <row r="852" spans="1:18" x14ac:dyDescent="0.25">
      <c r="A852">
        <v>2013</v>
      </c>
      <c r="B852">
        <v>11</v>
      </c>
      <c r="C852" s="1" t="s">
        <v>34</v>
      </c>
      <c r="D852" s="1" t="s">
        <v>19</v>
      </c>
      <c r="E852" s="1" t="s">
        <v>94</v>
      </c>
      <c r="F852">
        <v>2014</v>
      </c>
      <c r="G852">
        <v>0</v>
      </c>
      <c r="H852" s="1" t="s">
        <v>59</v>
      </c>
      <c r="I852">
        <v>20</v>
      </c>
      <c r="J852">
        <v>1954</v>
      </c>
      <c r="K852" s="1" t="s">
        <v>95</v>
      </c>
      <c r="L852" s="1" t="s">
        <v>45</v>
      </c>
      <c r="M852">
        <v>0</v>
      </c>
      <c r="N852">
        <v>0</v>
      </c>
      <c r="O852">
        <v>0</v>
      </c>
      <c r="P852" s="2">
        <v>41579</v>
      </c>
      <c r="Q852">
        <v>0</v>
      </c>
      <c r="R852" s="1" t="s">
        <v>61</v>
      </c>
    </row>
    <row r="853" spans="1:18" x14ac:dyDescent="0.25">
      <c r="A853">
        <v>2013</v>
      </c>
      <c r="B853">
        <v>12</v>
      </c>
      <c r="C853" s="1" t="s">
        <v>35</v>
      </c>
      <c r="D853" s="1" t="s">
        <v>19</v>
      </c>
      <c r="E853" s="1" t="s">
        <v>94</v>
      </c>
      <c r="F853">
        <v>2014</v>
      </c>
      <c r="G853">
        <v>0</v>
      </c>
      <c r="H853" s="1" t="s">
        <v>59</v>
      </c>
      <c r="I853">
        <v>20</v>
      </c>
      <c r="J853">
        <v>1954</v>
      </c>
      <c r="K853" s="1" t="s">
        <v>95</v>
      </c>
      <c r="L853" s="1" t="s">
        <v>45</v>
      </c>
      <c r="M853">
        <v>0</v>
      </c>
      <c r="N853">
        <v>0</v>
      </c>
      <c r="O853">
        <v>0</v>
      </c>
      <c r="P853" s="2">
        <v>41609</v>
      </c>
      <c r="Q853">
        <v>0</v>
      </c>
      <c r="R853" s="1" t="s">
        <v>61</v>
      </c>
    </row>
    <row r="854" spans="1:18" x14ac:dyDescent="0.25">
      <c r="A854">
        <v>2013</v>
      </c>
      <c r="B854">
        <v>1</v>
      </c>
      <c r="C854" s="1" t="s">
        <v>18</v>
      </c>
      <c r="D854" s="1" t="s">
        <v>19</v>
      </c>
      <c r="E854" s="1" t="s">
        <v>96</v>
      </c>
      <c r="F854">
        <v>2014</v>
      </c>
      <c r="G854">
        <v>0</v>
      </c>
      <c r="H854" s="1" t="s">
        <v>59</v>
      </c>
      <c r="I854">
        <v>24</v>
      </c>
      <c r="J854">
        <v>1329</v>
      </c>
      <c r="K854" s="1" t="s">
        <v>97</v>
      </c>
      <c r="L854" s="1" t="s">
        <v>45</v>
      </c>
      <c r="M854">
        <v>0</v>
      </c>
      <c r="N854">
        <v>0</v>
      </c>
      <c r="O854">
        <v>0</v>
      </c>
      <c r="P854" s="2">
        <v>41275</v>
      </c>
      <c r="Q854">
        <v>0</v>
      </c>
      <c r="R854" s="1" t="s">
        <v>61</v>
      </c>
    </row>
    <row r="855" spans="1:18" x14ac:dyDescent="0.25">
      <c r="A855">
        <v>2013</v>
      </c>
      <c r="B855">
        <v>2</v>
      </c>
      <c r="C855" s="1" t="s">
        <v>25</v>
      </c>
      <c r="D855" s="1" t="s">
        <v>19</v>
      </c>
      <c r="E855" s="1" t="s">
        <v>96</v>
      </c>
      <c r="F855">
        <v>2014</v>
      </c>
      <c r="G855">
        <v>0</v>
      </c>
      <c r="H855" s="1" t="s">
        <v>59</v>
      </c>
      <c r="I855">
        <v>24</v>
      </c>
      <c r="J855">
        <v>1329</v>
      </c>
      <c r="K855" s="1" t="s">
        <v>97</v>
      </c>
      <c r="L855" s="1" t="s">
        <v>45</v>
      </c>
      <c r="M855">
        <v>0</v>
      </c>
      <c r="N855">
        <v>0</v>
      </c>
      <c r="O855">
        <v>0</v>
      </c>
      <c r="P855" s="2">
        <v>41306</v>
      </c>
      <c r="Q855">
        <v>0</v>
      </c>
      <c r="R855" s="1" t="s">
        <v>61</v>
      </c>
    </row>
    <row r="856" spans="1:18" x14ac:dyDescent="0.25">
      <c r="A856">
        <v>2013</v>
      </c>
      <c r="B856">
        <v>3</v>
      </c>
      <c r="C856" s="1" t="s">
        <v>26</v>
      </c>
      <c r="D856" s="1" t="s">
        <v>19</v>
      </c>
      <c r="E856" s="1" t="s">
        <v>96</v>
      </c>
      <c r="F856">
        <v>2014</v>
      </c>
      <c r="G856">
        <v>0</v>
      </c>
      <c r="H856" s="1" t="s">
        <v>59</v>
      </c>
      <c r="I856">
        <v>24</v>
      </c>
      <c r="J856">
        <v>1329</v>
      </c>
      <c r="K856" s="1" t="s">
        <v>97</v>
      </c>
      <c r="L856" s="1" t="s">
        <v>45</v>
      </c>
      <c r="M856">
        <v>0</v>
      </c>
      <c r="N856">
        <v>0</v>
      </c>
      <c r="O856">
        <v>0</v>
      </c>
      <c r="P856" s="2">
        <v>41334</v>
      </c>
      <c r="Q856">
        <v>0</v>
      </c>
      <c r="R856" s="1" t="s">
        <v>61</v>
      </c>
    </row>
    <row r="857" spans="1:18" x14ac:dyDescent="0.25">
      <c r="A857">
        <v>2013</v>
      </c>
      <c r="B857">
        <v>4</v>
      </c>
      <c r="C857" s="1" t="s">
        <v>27</v>
      </c>
      <c r="D857" s="1" t="s">
        <v>19</v>
      </c>
      <c r="E857" s="1" t="s">
        <v>96</v>
      </c>
      <c r="F857">
        <v>2014</v>
      </c>
      <c r="G857">
        <v>0</v>
      </c>
      <c r="H857" s="1" t="s">
        <v>59</v>
      </c>
      <c r="I857">
        <v>24</v>
      </c>
      <c r="J857">
        <v>1329</v>
      </c>
      <c r="K857" s="1" t="s">
        <v>97</v>
      </c>
      <c r="L857" s="1" t="s">
        <v>45</v>
      </c>
      <c r="M857">
        <v>0</v>
      </c>
      <c r="N857">
        <v>0</v>
      </c>
      <c r="O857">
        <v>0</v>
      </c>
      <c r="P857" s="2">
        <v>41365</v>
      </c>
      <c r="Q857">
        <v>0</v>
      </c>
      <c r="R857" s="1" t="s">
        <v>61</v>
      </c>
    </row>
    <row r="858" spans="1:18" x14ac:dyDescent="0.25">
      <c r="A858">
        <v>2013</v>
      </c>
      <c r="B858">
        <v>5</v>
      </c>
      <c r="C858" s="1" t="s">
        <v>28</v>
      </c>
      <c r="D858" s="1" t="s">
        <v>19</v>
      </c>
      <c r="E858" s="1" t="s">
        <v>96</v>
      </c>
      <c r="F858">
        <v>2014</v>
      </c>
      <c r="G858">
        <v>0</v>
      </c>
      <c r="H858" s="1" t="s">
        <v>59</v>
      </c>
      <c r="I858">
        <v>24</v>
      </c>
      <c r="J858">
        <v>1329</v>
      </c>
      <c r="K858" s="1" t="s">
        <v>97</v>
      </c>
      <c r="L858" s="1" t="s">
        <v>45</v>
      </c>
      <c r="M858">
        <v>0</v>
      </c>
      <c r="N858">
        <v>0</v>
      </c>
      <c r="O858">
        <v>0</v>
      </c>
      <c r="P858" s="2">
        <v>41395</v>
      </c>
      <c r="Q858">
        <v>0</v>
      </c>
      <c r="R858" s="1" t="s">
        <v>61</v>
      </c>
    </row>
    <row r="859" spans="1:18" x14ac:dyDescent="0.25">
      <c r="A859">
        <v>2013</v>
      </c>
      <c r="B859">
        <v>6</v>
      </c>
      <c r="C859" s="1" t="s">
        <v>29</v>
      </c>
      <c r="D859" s="1" t="s">
        <v>19</v>
      </c>
      <c r="E859" s="1" t="s">
        <v>96</v>
      </c>
      <c r="F859">
        <v>2014</v>
      </c>
      <c r="G859">
        <v>0</v>
      </c>
      <c r="H859" s="1" t="s">
        <v>59</v>
      </c>
      <c r="I859">
        <v>24</v>
      </c>
      <c r="J859">
        <v>1329</v>
      </c>
      <c r="K859" s="1" t="s">
        <v>97</v>
      </c>
      <c r="L859" s="1" t="s">
        <v>45</v>
      </c>
      <c r="M859">
        <v>0</v>
      </c>
      <c r="N859">
        <v>0</v>
      </c>
      <c r="O859">
        <v>0</v>
      </c>
      <c r="P859" s="2">
        <v>41426</v>
      </c>
      <c r="Q859">
        <v>0</v>
      </c>
      <c r="R859" s="1" t="s">
        <v>61</v>
      </c>
    </row>
    <row r="860" spans="1:18" x14ac:dyDescent="0.25">
      <c r="A860">
        <v>2013</v>
      </c>
      <c r="B860">
        <v>7</v>
      </c>
      <c r="C860" s="1" t="s">
        <v>30</v>
      </c>
      <c r="D860" s="1" t="s">
        <v>19</v>
      </c>
      <c r="E860" s="1" t="s">
        <v>96</v>
      </c>
      <c r="F860">
        <v>2014</v>
      </c>
      <c r="G860">
        <v>0</v>
      </c>
      <c r="H860" s="1" t="s">
        <v>59</v>
      </c>
      <c r="I860">
        <v>24</v>
      </c>
      <c r="J860">
        <v>1329</v>
      </c>
      <c r="K860" s="1" t="s">
        <v>97</v>
      </c>
      <c r="L860" s="1" t="s">
        <v>45</v>
      </c>
      <c r="M860">
        <v>0</v>
      </c>
      <c r="N860">
        <v>0</v>
      </c>
      <c r="O860">
        <v>0</v>
      </c>
      <c r="P860" s="2">
        <v>41456</v>
      </c>
      <c r="Q860">
        <v>0</v>
      </c>
      <c r="R860" s="1" t="s">
        <v>61</v>
      </c>
    </row>
    <row r="861" spans="1:18" x14ac:dyDescent="0.25">
      <c r="A861">
        <v>2013</v>
      </c>
      <c r="B861">
        <v>8</v>
      </c>
      <c r="C861" s="1" t="s">
        <v>31</v>
      </c>
      <c r="D861" s="1" t="s">
        <v>19</v>
      </c>
      <c r="E861" s="1" t="s">
        <v>96</v>
      </c>
      <c r="F861">
        <v>2014</v>
      </c>
      <c r="G861">
        <v>0</v>
      </c>
      <c r="H861" s="1" t="s">
        <v>59</v>
      </c>
      <c r="I861">
        <v>24</v>
      </c>
      <c r="J861">
        <v>1329</v>
      </c>
      <c r="K861" s="1" t="s">
        <v>97</v>
      </c>
      <c r="L861" s="1" t="s">
        <v>45</v>
      </c>
      <c r="M861">
        <v>0</v>
      </c>
      <c r="N861">
        <v>0</v>
      </c>
      <c r="O861">
        <v>0</v>
      </c>
      <c r="P861" s="2">
        <v>41487</v>
      </c>
      <c r="Q861">
        <v>0</v>
      </c>
      <c r="R861" s="1" t="s">
        <v>61</v>
      </c>
    </row>
    <row r="862" spans="1:18" x14ac:dyDescent="0.25">
      <c r="A862">
        <v>2013</v>
      </c>
      <c r="B862">
        <v>9</v>
      </c>
      <c r="C862" s="1" t="s">
        <v>32</v>
      </c>
      <c r="D862" s="1" t="s">
        <v>19</v>
      </c>
      <c r="E862" s="1" t="s">
        <v>96</v>
      </c>
      <c r="F862">
        <v>2014</v>
      </c>
      <c r="G862">
        <v>0</v>
      </c>
      <c r="H862" s="1" t="s">
        <v>59</v>
      </c>
      <c r="I862">
        <v>24</v>
      </c>
      <c r="J862">
        <v>1329</v>
      </c>
      <c r="K862" s="1" t="s">
        <v>97</v>
      </c>
      <c r="L862" s="1" t="s">
        <v>45</v>
      </c>
      <c r="M862">
        <v>0</v>
      </c>
      <c r="N862">
        <v>0</v>
      </c>
      <c r="O862">
        <v>0</v>
      </c>
      <c r="P862" s="2">
        <v>41518</v>
      </c>
      <c r="Q862">
        <v>0</v>
      </c>
      <c r="R862" s="1" t="s">
        <v>61</v>
      </c>
    </row>
    <row r="863" spans="1:18" x14ac:dyDescent="0.25">
      <c r="A863">
        <v>2013</v>
      </c>
      <c r="B863">
        <v>10</v>
      </c>
      <c r="C863" s="1" t="s">
        <v>33</v>
      </c>
      <c r="D863" s="1" t="s">
        <v>19</v>
      </c>
      <c r="E863" s="1" t="s">
        <v>96</v>
      </c>
      <c r="F863">
        <v>2014</v>
      </c>
      <c r="G863">
        <v>0</v>
      </c>
      <c r="H863" s="1" t="s">
        <v>59</v>
      </c>
      <c r="I863">
        <v>24</v>
      </c>
      <c r="J863">
        <v>1329</v>
      </c>
      <c r="K863" s="1" t="s">
        <v>97</v>
      </c>
      <c r="L863" s="1" t="s">
        <v>45</v>
      </c>
      <c r="M863">
        <v>0</v>
      </c>
      <c r="N863">
        <v>0</v>
      </c>
      <c r="O863">
        <v>0</v>
      </c>
      <c r="P863" s="2">
        <v>41548</v>
      </c>
      <c r="Q863">
        <v>0</v>
      </c>
      <c r="R863" s="1" t="s">
        <v>61</v>
      </c>
    </row>
    <row r="864" spans="1:18" x14ac:dyDescent="0.25">
      <c r="A864">
        <v>2013</v>
      </c>
      <c r="B864">
        <v>11</v>
      </c>
      <c r="C864" s="1" t="s">
        <v>34</v>
      </c>
      <c r="D864" s="1" t="s">
        <v>19</v>
      </c>
      <c r="E864" s="1" t="s">
        <v>96</v>
      </c>
      <c r="F864">
        <v>2014</v>
      </c>
      <c r="G864">
        <v>0</v>
      </c>
      <c r="H864" s="1" t="s">
        <v>59</v>
      </c>
      <c r="I864">
        <v>24</v>
      </c>
      <c r="J864">
        <v>1329</v>
      </c>
      <c r="K864" s="1" t="s">
        <v>97</v>
      </c>
      <c r="L864" s="1" t="s">
        <v>45</v>
      </c>
      <c r="M864">
        <v>0</v>
      </c>
      <c r="N864">
        <v>0</v>
      </c>
      <c r="O864">
        <v>0</v>
      </c>
      <c r="P864" s="2">
        <v>41579</v>
      </c>
      <c r="Q864">
        <v>0</v>
      </c>
      <c r="R864" s="1" t="s">
        <v>61</v>
      </c>
    </row>
    <row r="865" spans="1:18" x14ac:dyDescent="0.25">
      <c r="A865">
        <v>2013</v>
      </c>
      <c r="B865">
        <v>12</v>
      </c>
      <c r="C865" s="1" t="s">
        <v>35</v>
      </c>
      <c r="D865" s="1" t="s">
        <v>19</v>
      </c>
      <c r="E865" s="1" t="s">
        <v>96</v>
      </c>
      <c r="F865">
        <v>2014</v>
      </c>
      <c r="G865">
        <v>0</v>
      </c>
      <c r="H865" s="1" t="s">
        <v>59</v>
      </c>
      <c r="I865">
        <v>24</v>
      </c>
      <c r="J865">
        <v>1329</v>
      </c>
      <c r="K865" s="1" t="s">
        <v>97</v>
      </c>
      <c r="L865" s="1" t="s">
        <v>45</v>
      </c>
      <c r="M865">
        <v>0</v>
      </c>
      <c r="N865">
        <v>0</v>
      </c>
      <c r="O865">
        <v>0</v>
      </c>
      <c r="P865" s="2">
        <v>41609</v>
      </c>
      <c r="Q865">
        <v>0</v>
      </c>
      <c r="R865" s="1" t="s">
        <v>61</v>
      </c>
    </row>
    <row r="866" spans="1:18" x14ac:dyDescent="0.25">
      <c r="A866">
        <v>2013</v>
      </c>
      <c r="B866">
        <v>1</v>
      </c>
      <c r="C866" s="1" t="s">
        <v>18</v>
      </c>
      <c r="D866" s="1" t="s">
        <v>19</v>
      </c>
      <c r="E866" s="1" t="s">
        <v>98</v>
      </c>
      <c r="F866">
        <v>2014</v>
      </c>
      <c r="G866">
        <v>0</v>
      </c>
      <c r="H866" s="1" t="s">
        <v>59</v>
      </c>
      <c r="I866">
        <v>24</v>
      </c>
      <c r="J866">
        <v>1573</v>
      </c>
      <c r="K866" s="1" t="s">
        <v>99</v>
      </c>
      <c r="L866" s="1" t="s">
        <v>45</v>
      </c>
      <c r="M866">
        <v>0</v>
      </c>
      <c r="N866">
        <v>0</v>
      </c>
      <c r="O866">
        <v>0</v>
      </c>
      <c r="P866" s="2">
        <v>41275</v>
      </c>
      <c r="Q866">
        <v>0</v>
      </c>
      <c r="R866" s="1" t="s">
        <v>61</v>
      </c>
    </row>
    <row r="867" spans="1:18" x14ac:dyDescent="0.25">
      <c r="A867">
        <v>2013</v>
      </c>
      <c r="B867">
        <v>2</v>
      </c>
      <c r="C867" s="1" t="s">
        <v>25</v>
      </c>
      <c r="D867" s="1" t="s">
        <v>19</v>
      </c>
      <c r="E867" s="1" t="s">
        <v>98</v>
      </c>
      <c r="F867">
        <v>2014</v>
      </c>
      <c r="G867">
        <v>0</v>
      </c>
      <c r="H867" s="1" t="s">
        <v>59</v>
      </c>
      <c r="I867">
        <v>24</v>
      </c>
      <c r="J867">
        <v>1573</v>
      </c>
      <c r="K867" s="1" t="s">
        <v>99</v>
      </c>
      <c r="L867" s="1" t="s">
        <v>45</v>
      </c>
      <c r="M867">
        <v>0</v>
      </c>
      <c r="N867">
        <v>0</v>
      </c>
      <c r="O867">
        <v>0</v>
      </c>
      <c r="P867" s="2">
        <v>41306</v>
      </c>
      <c r="Q867">
        <v>0</v>
      </c>
      <c r="R867" s="1" t="s">
        <v>61</v>
      </c>
    </row>
    <row r="868" spans="1:18" x14ac:dyDescent="0.25">
      <c r="A868">
        <v>2013</v>
      </c>
      <c r="B868">
        <v>3</v>
      </c>
      <c r="C868" s="1" t="s">
        <v>26</v>
      </c>
      <c r="D868" s="1" t="s">
        <v>19</v>
      </c>
      <c r="E868" s="1" t="s">
        <v>98</v>
      </c>
      <c r="F868">
        <v>2014</v>
      </c>
      <c r="G868">
        <v>0</v>
      </c>
      <c r="H868" s="1" t="s">
        <v>59</v>
      </c>
      <c r="I868">
        <v>24</v>
      </c>
      <c r="J868">
        <v>1573</v>
      </c>
      <c r="K868" s="1" t="s">
        <v>99</v>
      </c>
      <c r="L868" s="1" t="s">
        <v>45</v>
      </c>
      <c r="M868">
        <v>0</v>
      </c>
      <c r="N868">
        <v>0</v>
      </c>
      <c r="O868">
        <v>0</v>
      </c>
      <c r="P868" s="2">
        <v>41334</v>
      </c>
      <c r="Q868">
        <v>0</v>
      </c>
      <c r="R868" s="1" t="s">
        <v>61</v>
      </c>
    </row>
    <row r="869" spans="1:18" x14ac:dyDescent="0.25">
      <c r="A869">
        <v>2013</v>
      </c>
      <c r="B869">
        <v>4</v>
      </c>
      <c r="C869" s="1" t="s">
        <v>27</v>
      </c>
      <c r="D869" s="1" t="s">
        <v>19</v>
      </c>
      <c r="E869" s="1" t="s">
        <v>98</v>
      </c>
      <c r="F869">
        <v>2014</v>
      </c>
      <c r="G869">
        <v>0</v>
      </c>
      <c r="H869" s="1" t="s">
        <v>59</v>
      </c>
      <c r="I869">
        <v>24</v>
      </c>
      <c r="J869">
        <v>1573</v>
      </c>
      <c r="K869" s="1" t="s">
        <v>99</v>
      </c>
      <c r="L869" s="1" t="s">
        <v>45</v>
      </c>
      <c r="M869">
        <v>0</v>
      </c>
      <c r="N869">
        <v>0</v>
      </c>
      <c r="O869">
        <v>0</v>
      </c>
      <c r="P869" s="2">
        <v>41365</v>
      </c>
      <c r="Q869">
        <v>0</v>
      </c>
      <c r="R869" s="1" t="s">
        <v>61</v>
      </c>
    </row>
    <row r="870" spans="1:18" x14ac:dyDescent="0.25">
      <c r="A870">
        <v>2013</v>
      </c>
      <c r="B870">
        <v>5</v>
      </c>
      <c r="C870" s="1" t="s">
        <v>28</v>
      </c>
      <c r="D870" s="1" t="s">
        <v>19</v>
      </c>
      <c r="E870" s="1" t="s">
        <v>98</v>
      </c>
      <c r="F870">
        <v>2014</v>
      </c>
      <c r="G870">
        <v>0</v>
      </c>
      <c r="H870" s="1" t="s">
        <v>59</v>
      </c>
      <c r="I870">
        <v>24</v>
      </c>
      <c r="J870">
        <v>1573</v>
      </c>
      <c r="K870" s="1" t="s">
        <v>99</v>
      </c>
      <c r="L870" s="1" t="s">
        <v>45</v>
      </c>
      <c r="M870">
        <v>0</v>
      </c>
      <c r="N870">
        <v>0</v>
      </c>
      <c r="O870">
        <v>0</v>
      </c>
      <c r="P870" s="2">
        <v>41395</v>
      </c>
      <c r="Q870">
        <v>0</v>
      </c>
      <c r="R870" s="1" t="s">
        <v>61</v>
      </c>
    </row>
    <row r="871" spans="1:18" x14ac:dyDescent="0.25">
      <c r="A871">
        <v>2013</v>
      </c>
      <c r="B871">
        <v>6</v>
      </c>
      <c r="C871" s="1" t="s">
        <v>29</v>
      </c>
      <c r="D871" s="1" t="s">
        <v>19</v>
      </c>
      <c r="E871" s="1" t="s">
        <v>98</v>
      </c>
      <c r="F871">
        <v>2014</v>
      </c>
      <c r="G871">
        <v>0</v>
      </c>
      <c r="H871" s="1" t="s">
        <v>59</v>
      </c>
      <c r="I871">
        <v>24</v>
      </c>
      <c r="J871">
        <v>1573</v>
      </c>
      <c r="K871" s="1" t="s">
        <v>99</v>
      </c>
      <c r="L871" s="1" t="s">
        <v>45</v>
      </c>
      <c r="M871">
        <v>0</v>
      </c>
      <c r="N871">
        <v>0</v>
      </c>
      <c r="O871">
        <v>0</v>
      </c>
      <c r="P871" s="2">
        <v>41426</v>
      </c>
      <c r="Q871">
        <v>0</v>
      </c>
      <c r="R871" s="1" t="s">
        <v>61</v>
      </c>
    </row>
    <row r="872" spans="1:18" x14ac:dyDescent="0.25">
      <c r="A872">
        <v>2013</v>
      </c>
      <c r="B872">
        <v>7</v>
      </c>
      <c r="C872" s="1" t="s">
        <v>30</v>
      </c>
      <c r="D872" s="1" t="s">
        <v>19</v>
      </c>
      <c r="E872" s="1" t="s">
        <v>98</v>
      </c>
      <c r="F872">
        <v>2014</v>
      </c>
      <c r="G872">
        <v>0</v>
      </c>
      <c r="H872" s="1" t="s">
        <v>59</v>
      </c>
      <c r="I872">
        <v>24</v>
      </c>
      <c r="J872">
        <v>1573</v>
      </c>
      <c r="K872" s="1" t="s">
        <v>99</v>
      </c>
      <c r="L872" s="1" t="s">
        <v>45</v>
      </c>
      <c r="M872">
        <v>0</v>
      </c>
      <c r="N872">
        <v>0</v>
      </c>
      <c r="O872">
        <v>0</v>
      </c>
      <c r="P872" s="2">
        <v>41456</v>
      </c>
      <c r="Q872">
        <v>0</v>
      </c>
      <c r="R872" s="1" t="s">
        <v>61</v>
      </c>
    </row>
    <row r="873" spans="1:18" x14ac:dyDescent="0.25">
      <c r="A873">
        <v>2013</v>
      </c>
      <c r="B873">
        <v>8</v>
      </c>
      <c r="C873" s="1" t="s">
        <v>31</v>
      </c>
      <c r="D873" s="1" t="s">
        <v>19</v>
      </c>
      <c r="E873" s="1" t="s">
        <v>98</v>
      </c>
      <c r="F873">
        <v>2014</v>
      </c>
      <c r="G873">
        <v>0</v>
      </c>
      <c r="H873" s="1" t="s">
        <v>59</v>
      </c>
      <c r="I873">
        <v>24</v>
      </c>
      <c r="J873">
        <v>1573</v>
      </c>
      <c r="K873" s="1" t="s">
        <v>99</v>
      </c>
      <c r="L873" s="1" t="s">
        <v>45</v>
      </c>
      <c r="M873">
        <v>0</v>
      </c>
      <c r="N873">
        <v>0</v>
      </c>
      <c r="O873">
        <v>0</v>
      </c>
      <c r="P873" s="2">
        <v>41487</v>
      </c>
      <c r="Q873">
        <v>0</v>
      </c>
      <c r="R873" s="1" t="s">
        <v>61</v>
      </c>
    </row>
    <row r="874" spans="1:18" x14ac:dyDescent="0.25">
      <c r="A874">
        <v>2013</v>
      </c>
      <c r="B874">
        <v>9</v>
      </c>
      <c r="C874" s="1" t="s">
        <v>32</v>
      </c>
      <c r="D874" s="1" t="s">
        <v>19</v>
      </c>
      <c r="E874" s="1" t="s">
        <v>98</v>
      </c>
      <c r="F874">
        <v>2014</v>
      </c>
      <c r="G874">
        <v>0</v>
      </c>
      <c r="H874" s="1" t="s">
        <v>59</v>
      </c>
      <c r="I874">
        <v>24</v>
      </c>
      <c r="J874">
        <v>1573</v>
      </c>
      <c r="K874" s="1" t="s">
        <v>99</v>
      </c>
      <c r="L874" s="1" t="s">
        <v>45</v>
      </c>
      <c r="M874">
        <v>0</v>
      </c>
      <c r="N874">
        <v>0</v>
      </c>
      <c r="O874">
        <v>0</v>
      </c>
      <c r="P874" s="2">
        <v>41518</v>
      </c>
      <c r="Q874">
        <v>0</v>
      </c>
      <c r="R874" s="1" t="s">
        <v>61</v>
      </c>
    </row>
    <row r="875" spans="1:18" x14ac:dyDescent="0.25">
      <c r="A875">
        <v>2013</v>
      </c>
      <c r="B875">
        <v>10</v>
      </c>
      <c r="C875" s="1" t="s">
        <v>33</v>
      </c>
      <c r="D875" s="1" t="s">
        <v>19</v>
      </c>
      <c r="E875" s="1" t="s">
        <v>98</v>
      </c>
      <c r="F875">
        <v>2014</v>
      </c>
      <c r="G875">
        <v>0</v>
      </c>
      <c r="H875" s="1" t="s">
        <v>59</v>
      </c>
      <c r="I875">
        <v>24</v>
      </c>
      <c r="J875">
        <v>1573</v>
      </c>
      <c r="K875" s="1" t="s">
        <v>99</v>
      </c>
      <c r="L875" s="1" t="s">
        <v>45</v>
      </c>
      <c r="M875">
        <v>0</v>
      </c>
      <c r="N875">
        <v>0</v>
      </c>
      <c r="O875">
        <v>0</v>
      </c>
      <c r="P875" s="2">
        <v>41548</v>
      </c>
      <c r="Q875">
        <v>0</v>
      </c>
      <c r="R875" s="1" t="s">
        <v>61</v>
      </c>
    </row>
    <row r="876" spans="1:18" x14ac:dyDescent="0.25">
      <c r="A876">
        <v>2013</v>
      </c>
      <c r="B876">
        <v>11</v>
      </c>
      <c r="C876" s="1" t="s">
        <v>34</v>
      </c>
      <c r="D876" s="1" t="s">
        <v>19</v>
      </c>
      <c r="E876" s="1" t="s">
        <v>98</v>
      </c>
      <c r="F876">
        <v>2014</v>
      </c>
      <c r="G876">
        <v>0</v>
      </c>
      <c r="H876" s="1" t="s">
        <v>59</v>
      </c>
      <c r="I876">
        <v>24</v>
      </c>
      <c r="J876">
        <v>1573</v>
      </c>
      <c r="K876" s="1" t="s">
        <v>99</v>
      </c>
      <c r="L876" s="1" t="s">
        <v>45</v>
      </c>
      <c r="M876">
        <v>0</v>
      </c>
      <c r="N876">
        <v>0</v>
      </c>
      <c r="O876">
        <v>0</v>
      </c>
      <c r="P876" s="2">
        <v>41579</v>
      </c>
      <c r="Q876">
        <v>0</v>
      </c>
      <c r="R876" s="1" t="s">
        <v>61</v>
      </c>
    </row>
    <row r="877" spans="1:18" x14ac:dyDescent="0.25">
      <c r="A877">
        <v>2013</v>
      </c>
      <c r="B877">
        <v>12</v>
      </c>
      <c r="C877" s="1" t="s">
        <v>35</v>
      </c>
      <c r="D877" s="1" t="s">
        <v>19</v>
      </c>
      <c r="E877" s="1" t="s">
        <v>98</v>
      </c>
      <c r="F877">
        <v>2014</v>
      </c>
      <c r="G877">
        <v>0</v>
      </c>
      <c r="H877" s="1" t="s">
        <v>59</v>
      </c>
      <c r="I877">
        <v>24</v>
      </c>
      <c r="J877">
        <v>1573</v>
      </c>
      <c r="K877" s="1" t="s">
        <v>99</v>
      </c>
      <c r="L877" s="1" t="s">
        <v>45</v>
      </c>
      <c r="M877">
        <v>0</v>
      </c>
      <c r="N877">
        <v>0</v>
      </c>
      <c r="O877">
        <v>0</v>
      </c>
      <c r="P877" s="2">
        <v>41609</v>
      </c>
      <c r="Q877">
        <v>0</v>
      </c>
      <c r="R877" s="1" t="s">
        <v>61</v>
      </c>
    </row>
    <row r="878" spans="1:18" x14ac:dyDescent="0.25">
      <c r="A878">
        <v>2013</v>
      </c>
      <c r="B878">
        <v>1</v>
      </c>
      <c r="C878" s="1" t="s">
        <v>18</v>
      </c>
      <c r="D878" s="1" t="s">
        <v>19</v>
      </c>
      <c r="E878" s="1" t="s">
        <v>100</v>
      </c>
      <c r="F878">
        <v>2016</v>
      </c>
      <c r="G878">
        <v>0</v>
      </c>
      <c r="H878" s="1" t="s">
        <v>59</v>
      </c>
      <c r="I878">
        <v>22</v>
      </c>
      <c r="J878">
        <v>3137</v>
      </c>
      <c r="K878" s="1" t="s">
        <v>101</v>
      </c>
      <c r="L878" s="1" t="s">
        <v>23</v>
      </c>
      <c r="M878">
        <v>0</v>
      </c>
      <c r="N878">
        <v>0</v>
      </c>
      <c r="O878">
        <v>0</v>
      </c>
      <c r="P878" s="2">
        <v>41275</v>
      </c>
      <c r="Q878">
        <v>0</v>
      </c>
      <c r="R878" s="1" t="s">
        <v>61</v>
      </c>
    </row>
    <row r="879" spans="1:18" x14ac:dyDescent="0.25">
      <c r="A879">
        <v>2013</v>
      </c>
      <c r="B879">
        <v>2</v>
      </c>
      <c r="C879" s="1" t="s">
        <v>25</v>
      </c>
      <c r="D879" s="1" t="s">
        <v>19</v>
      </c>
      <c r="E879" s="1" t="s">
        <v>100</v>
      </c>
      <c r="F879">
        <v>2016</v>
      </c>
      <c r="G879">
        <v>0</v>
      </c>
      <c r="H879" s="1" t="s">
        <v>59</v>
      </c>
      <c r="I879">
        <v>22</v>
      </c>
      <c r="J879">
        <v>3137</v>
      </c>
      <c r="K879" s="1" t="s">
        <v>101</v>
      </c>
      <c r="L879" s="1" t="s">
        <v>23</v>
      </c>
      <c r="M879">
        <v>0</v>
      </c>
      <c r="N879">
        <v>0</v>
      </c>
      <c r="O879">
        <v>0</v>
      </c>
      <c r="P879" s="2">
        <v>41306</v>
      </c>
      <c r="Q879">
        <v>0</v>
      </c>
      <c r="R879" s="1" t="s">
        <v>61</v>
      </c>
    </row>
    <row r="880" spans="1:18" x14ac:dyDescent="0.25">
      <c r="A880">
        <v>2013</v>
      </c>
      <c r="B880">
        <v>3</v>
      </c>
      <c r="C880" s="1" t="s">
        <v>26</v>
      </c>
      <c r="D880" s="1" t="s">
        <v>19</v>
      </c>
      <c r="E880" s="1" t="s">
        <v>100</v>
      </c>
      <c r="F880">
        <v>2016</v>
      </c>
      <c r="G880">
        <v>0</v>
      </c>
      <c r="H880" s="1" t="s">
        <v>59</v>
      </c>
      <c r="I880">
        <v>22</v>
      </c>
      <c r="J880">
        <v>3137</v>
      </c>
      <c r="K880" s="1" t="s">
        <v>101</v>
      </c>
      <c r="L880" s="1" t="s">
        <v>23</v>
      </c>
      <c r="M880">
        <v>0</v>
      </c>
      <c r="N880">
        <v>0</v>
      </c>
      <c r="O880">
        <v>0</v>
      </c>
      <c r="P880" s="2">
        <v>41334</v>
      </c>
      <c r="Q880">
        <v>0</v>
      </c>
      <c r="R880" s="1" t="s">
        <v>61</v>
      </c>
    </row>
    <row r="881" spans="1:18" x14ac:dyDescent="0.25">
      <c r="A881">
        <v>2013</v>
      </c>
      <c r="B881">
        <v>4</v>
      </c>
      <c r="C881" s="1" t="s">
        <v>27</v>
      </c>
      <c r="D881" s="1" t="s">
        <v>19</v>
      </c>
      <c r="E881" s="1" t="s">
        <v>100</v>
      </c>
      <c r="F881">
        <v>2016</v>
      </c>
      <c r="G881">
        <v>0</v>
      </c>
      <c r="H881" s="1" t="s">
        <v>59</v>
      </c>
      <c r="I881">
        <v>22</v>
      </c>
      <c r="J881">
        <v>3137</v>
      </c>
      <c r="K881" s="1" t="s">
        <v>101</v>
      </c>
      <c r="L881" s="1" t="s">
        <v>23</v>
      </c>
      <c r="M881">
        <v>0</v>
      </c>
      <c r="N881">
        <v>0</v>
      </c>
      <c r="O881">
        <v>0</v>
      </c>
      <c r="P881" s="2">
        <v>41365</v>
      </c>
      <c r="Q881">
        <v>0</v>
      </c>
      <c r="R881" s="1" t="s">
        <v>61</v>
      </c>
    </row>
    <row r="882" spans="1:18" x14ac:dyDescent="0.25">
      <c r="A882">
        <v>2013</v>
      </c>
      <c r="B882">
        <v>5</v>
      </c>
      <c r="C882" s="1" t="s">
        <v>28</v>
      </c>
      <c r="D882" s="1" t="s">
        <v>19</v>
      </c>
      <c r="E882" s="1" t="s">
        <v>100</v>
      </c>
      <c r="F882">
        <v>2016</v>
      </c>
      <c r="G882">
        <v>0</v>
      </c>
      <c r="H882" s="1" t="s">
        <v>59</v>
      </c>
      <c r="I882">
        <v>22</v>
      </c>
      <c r="J882">
        <v>3137</v>
      </c>
      <c r="K882" s="1" t="s">
        <v>101</v>
      </c>
      <c r="L882" s="1" t="s">
        <v>23</v>
      </c>
      <c r="M882">
        <v>0</v>
      </c>
      <c r="N882">
        <v>0</v>
      </c>
      <c r="O882">
        <v>0</v>
      </c>
      <c r="P882" s="2">
        <v>41395</v>
      </c>
      <c r="Q882">
        <v>0</v>
      </c>
      <c r="R882" s="1" t="s">
        <v>61</v>
      </c>
    </row>
    <row r="883" spans="1:18" x14ac:dyDescent="0.25">
      <c r="A883">
        <v>2013</v>
      </c>
      <c r="B883">
        <v>6</v>
      </c>
      <c r="C883" s="1" t="s">
        <v>29</v>
      </c>
      <c r="D883" s="1" t="s">
        <v>19</v>
      </c>
      <c r="E883" s="1" t="s">
        <v>100</v>
      </c>
      <c r="F883">
        <v>2016</v>
      </c>
      <c r="G883">
        <v>0</v>
      </c>
      <c r="H883" s="1" t="s">
        <v>59</v>
      </c>
      <c r="I883">
        <v>22</v>
      </c>
      <c r="J883">
        <v>3137</v>
      </c>
      <c r="K883" s="1" t="s">
        <v>101</v>
      </c>
      <c r="L883" s="1" t="s">
        <v>23</v>
      </c>
      <c r="M883">
        <v>0</v>
      </c>
      <c r="N883">
        <v>0</v>
      </c>
      <c r="O883">
        <v>0</v>
      </c>
      <c r="P883" s="2">
        <v>41426</v>
      </c>
      <c r="Q883">
        <v>0</v>
      </c>
      <c r="R883" s="1" t="s">
        <v>61</v>
      </c>
    </row>
    <row r="884" spans="1:18" x14ac:dyDescent="0.25">
      <c r="A884">
        <v>2013</v>
      </c>
      <c r="B884">
        <v>7</v>
      </c>
      <c r="C884" s="1" t="s">
        <v>30</v>
      </c>
      <c r="D884" s="1" t="s">
        <v>19</v>
      </c>
      <c r="E884" s="1" t="s">
        <v>100</v>
      </c>
      <c r="F884">
        <v>2016</v>
      </c>
      <c r="G884">
        <v>0</v>
      </c>
      <c r="H884" s="1" t="s">
        <v>59</v>
      </c>
      <c r="I884">
        <v>22</v>
      </c>
      <c r="J884">
        <v>3137</v>
      </c>
      <c r="K884" s="1" t="s">
        <v>101</v>
      </c>
      <c r="L884" s="1" t="s">
        <v>23</v>
      </c>
      <c r="M884">
        <v>0</v>
      </c>
      <c r="N884">
        <v>0</v>
      </c>
      <c r="O884">
        <v>0</v>
      </c>
      <c r="P884" s="2">
        <v>41456</v>
      </c>
      <c r="Q884">
        <v>0</v>
      </c>
      <c r="R884" s="1" t="s">
        <v>61</v>
      </c>
    </row>
    <row r="885" spans="1:18" x14ac:dyDescent="0.25">
      <c r="A885">
        <v>2013</v>
      </c>
      <c r="B885">
        <v>8</v>
      </c>
      <c r="C885" s="1" t="s">
        <v>31</v>
      </c>
      <c r="D885" s="1" t="s">
        <v>19</v>
      </c>
      <c r="E885" s="1" t="s">
        <v>100</v>
      </c>
      <c r="F885">
        <v>2016</v>
      </c>
      <c r="G885">
        <v>0</v>
      </c>
      <c r="H885" s="1" t="s">
        <v>59</v>
      </c>
      <c r="I885">
        <v>22</v>
      </c>
      <c r="J885">
        <v>3137</v>
      </c>
      <c r="K885" s="1" t="s">
        <v>101</v>
      </c>
      <c r="L885" s="1" t="s">
        <v>23</v>
      </c>
      <c r="M885">
        <v>0</v>
      </c>
      <c r="N885">
        <v>0</v>
      </c>
      <c r="O885">
        <v>0</v>
      </c>
      <c r="P885" s="2">
        <v>41487</v>
      </c>
      <c r="Q885">
        <v>0</v>
      </c>
      <c r="R885" s="1" t="s">
        <v>61</v>
      </c>
    </row>
    <row r="886" spans="1:18" x14ac:dyDescent="0.25">
      <c r="A886">
        <v>2013</v>
      </c>
      <c r="B886">
        <v>9</v>
      </c>
      <c r="C886" s="1" t="s">
        <v>32</v>
      </c>
      <c r="D886" s="1" t="s">
        <v>19</v>
      </c>
      <c r="E886" s="1" t="s">
        <v>100</v>
      </c>
      <c r="F886">
        <v>2016</v>
      </c>
      <c r="G886">
        <v>0</v>
      </c>
      <c r="H886" s="1" t="s">
        <v>59</v>
      </c>
      <c r="I886">
        <v>22</v>
      </c>
      <c r="J886">
        <v>3137</v>
      </c>
      <c r="K886" s="1" t="s">
        <v>101</v>
      </c>
      <c r="L886" s="1" t="s">
        <v>23</v>
      </c>
      <c r="M886">
        <v>0</v>
      </c>
      <c r="N886">
        <v>0</v>
      </c>
      <c r="O886">
        <v>0</v>
      </c>
      <c r="P886" s="2">
        <v>41518</v>
      </c>
      <c r="Q886">
        <v>0</v>
      </c>
      <c r="R886" s="1" t="s">
        <v>61</v>
      </c>
    </row>
    <row r="887" spans="1:18" x14ac:dyDescent="0.25">
      <c r="A887">
        <v>2013</v>
      </c>
      <c r="B887">
        <v>10</v>
      </c>
      <c r="C887" s="1" t="s">
        <v>33</v>
      </c>
      <c r="D887" s="1" t="s">
        <v>19</v>
      </c>
      <c r="E887" s="1" t="s">
        <v>100</v>
      </c>
      <c r="F887">
        <v>2016</v>
      </c>
      <c r="G887">
        <v>0</v>
      </c>
      <c r="H887" s="1" t="s">
        <v>59</v>
      </c>
      <c r="I887">
        <v>22</v>
      </c>
      <c r="J887">
        <v>3137</v>
      </c>
      <c r="K887" s="1" t="s">
        <v>101</v>
      </c>
      <c r="L887" s="1" t="s">
        <v>23</v>
      </c>
      <c r="M887">
        <v>0</v>
      </c>
      <c r="N887">
        <v>0</v>
      </c>
      <c r="O887">
        <v>0</v>
      </c>
      <c r="P887" s="2">
        <v>41548</v>
      </c>
      <c r="Q887">
        <v>0</v>
      </c>
      <c r="R887" s="1" t="s">
        <v>61</v>
      </c>
    </row>
    <row r="888" spans="1:18" x14ac:dyDescent="0.25">
      <c r="A888">
        <v>2013</v>
      </c>
      <c r="B888">
        <v>11</v>
      </c>
      <c r="C888" s="1" t="s">
        <v>34</v>
      </c>
      <c r="D888" s="1" t="s">
        <v>19</v>
      </c>
      <c r="E888" s="1" t="s">
        <v>100</v>
      </c>
      <c r="F888">
        <v>2016</v>
      </c>
      <c r="G888">
        <v>0</v>
      </c>
      <c r="H888" s="1" t="s">
        <v>59</v>
      </c>
      <c r="I888">
        <v>22</v>
      </c>
      <c r="J888">
        <v>3137</v>
      </c>
      <c r="K888" s="1" t="s">
        <v>101</v>
      </c>
      <c r="L888" s="1" t="s">
        <v>23</v>
      </c>
      <c r="M888">
        <v>0</v>
      </c>
      <c r="N888">
        <v>0</v>
      </c>
      <c r="O888">
        <v>0</v>
      </c>
      <c r="P888" s="2">
        <v>41579</v>
      </c>
      <c r="Q888">
        <v>0</v>
      </c>
      <c r="R888" s="1" t="s">
        <v>61</v>
      </c>
    </row>
    <row r="889" spans="1:18" x14ac:dyDescent="0.25">
      <c r="A889">
        <v>2013</v>
      </c>
      <c r="B889">
        <v>12</v>
      </c>
      <c r="C889" s="1" t="s">
        <v>35</v>
      </c>
      <c r="D889" s="1" t="s">
        <v>19</v>
      </c>
      <c r="E889" s="1" t="s">
        <v>100</v>
      </c>
      <c r="F889">
        <v>2016</v>
      </c>
      <c r="G889">
        <v>0</v>
      </c>
      <c r="H889" s="1" t="s">
        <v>59</v>
      </c>
      <c r="I889">
        <v>22</v>
      </c>
      <c r="J889">
        <v>3137</v>
      </c>
      <c r="K889" s="1" t="s">
        <v>101</v>
      </c>
      <c r="L889" s="1" t="s">
        <v>23</v>
      </c>
      <c r="M889">
        <v>0</v>
      </c>
      <c r="N889">
        <v>0</v>
      </c>
      <c r="O889">
        <v>0</v>
      </c>
      <c r="P889" s="2">
        <v>41609</v>
      </c>
      <c r="Q889">
        <v>0</v>
      </c>
      <c r="R889" s="1" t="s">
        <v>61</v>
      </c>
    </row>
    <row r="890" spans="1:18" x14ac:dyDescent="0.25">
      <c r="A890">
        <v>2013</v>
      </c>
      <c r="B890">
        <v>1</v>
      </c>
      <c r="C890" s="1" t="s">
        <v>18</v>
      </c>
      <c r="D890" s="1" t="s">
        <v>19</v>
      </c>
      <c r="E890" s="1" t="s">
        <v>102</v>
      </c>
      <c r="F890">
        <v>2016</v>
      </c>
      <c r="G890">
        <v>0</v>
      </c>
      <c r="H890" s="1" t="s">
        <v>59</v>
      </c>
      <c r="I890">
        <v>22</v>
      </c>
      <c r="J890">
        <v>3096</v>
      </c>
      <c r="K890" s="1" t="s">
        <v>103</v>
      </c>
      <c r="L890" s="1" t="s">
        <v>23</v>
      </c>
      <c r="M890">
        <v>0</v>
      </c>
      <c r="N890">
        <v>0</v>
      </c>
      <c r="O890">
        <v>0</v>
      </c>
      <c r="P890" s="2">
        <v>41275</v>
      </c>
      <c r="Q890">
        <v>0</v>
      </c>
      <c r="R890" s="1" t="s">
        <v>61</v>
      </c>
    </row>
    <row r="891" spans="1:18" x14ac:dyDescent="0.25">
      <c r="A891">
        <v>2013</v>
      </c>
      <c r="B891">
        <v>2</v>
      </c>
      <c r="C891" s="1" t="s">
        <v>25</v>
      </c>
      <c r="D891" s="1" t="s">
        <v>19</v>
      </c>
      <c r="E891" s="1" t="s">
        <v>102</v>
      </c>
      <c r="F891">
        <v>2016</v>
      </c>
      <c r="G891">
        <v>0</v>
      </c>
      <c r="H891" s="1" t="s">
        <v>59</v>
      </c>
      <c r="I891">
        <v>22</v>
      </c>
      <c r="J891">
        <v>3096</v>
      </c>
      <c r="K891" s="1" t="s">
        <v>103</v>
      </c>
      <c r="L891" s="1" t="s">
        <v>23</v>
      </c>
      <c r="M891">
        <v>0</v>
      </c>
      <c r="N891">
        <v>0</v>
      </c>
      <c r="O891">
        <v>0</v>
      </c>
      <c r="P891" s="2">
        <v>41306</v>
      </c>
      <c r="Q891">
        <v>0</v>
      </c>
      <c r="R891" s="1" t="s">
        <v>61</v>
      </c>
    </row>
    <row r="892" spans="1:18" x14ac:dyDescent="0.25">
      <c r="A892">
        <v>2013</v>
      </c>
      <c r="B892">
        <v>3</v>
      </c>
      <c r="C892" s="1" t="s">
        <v>26</v>
      </c>
      <c r="D892" s="1" t="s">
        <v>19</v>
      </c>
      <c r="E892" s="1" t="s">
        <v>102</v>
      </c>
      <c r="F892">
        <v>2016</v>
      </c>
      <c r="G892">
        <v>0</v>
      </c>
      <c r="H892" s="1" t="s">
        <v>59</v>
      </c>
      <c r="I892">
        <v>22</v>
      </c>
      <c r="J892">
        <v>3096</v>
      </c>
      <c r="K892" s="1" t="s">
        <v>103</v>
      </c>
      <c r="L892" s="1" t="s">
        <v>23</v>
      </c>
      <c r="M892">
        <v>0</v>
      </c>
      <c r="N892">
        <v>0</v>
      </c>
      <c r="O892">
        <v>0</v>
      </c>
      <c r="P892" s="2">
        <v>41334</v>
      </c>
      <c r="Q892">
        <v>0</v>
      </c>
      <c r="R892" s="1" t="s">
        <v>61</v>
      </c>
    </row>
    <row r="893" spans="1:18" x14ac:dyDescent="0.25">
      <c r="A893">
        <v>2013</v>
      </c>
      <c r="B893">
        <v>4</v>
      </c>
      <c r="C893" s="1" t="s">
        <v>27</v>
      </c>
      <c r="D893" s="1" t="s">
        <v>19</v>
      </c>
      <c r="E893" s="1" t="s">
        <v>102</v>
      </c>
      <c r="F893">
        <v>2016</v>
      </c>
      <c r="G893">
        <v>0</v>
      </c>
      <c r="H893" s="1" t="s">
        <v>59</v>
      </c>
      <c r="I893">
        <v>22</v>
      </c>
      <c r="J893">
        <v>3096</v>
      </c>
      <c r="K893" s="1" t="s">
        <v>103</v>
      </c>
      <c r="L893" s="1" t="s">
        <v>23</v>
      </c>
      <c r="M893">
        <v>0</v>
      </c>
      <c r="N893">
        <v>0</v>
      </c>
      <c r="O893">
        <v>0</v>
      </c>
      <c r="P893" s="2">
        <v>41365</v>
      </c>
      <c r="Q893">
        <v>0</v>
      </c>
      <c r="R893" s="1" t="s">
        <v>61</v>
      </c>
    </row>
    <row r="894" spans="1:18" x14ac:dyDescent="0.25">
      <c r="A894">
        <v>2013</v>
      </c>
      <c r="B894">
        <v>5</v>
      </c>
      <c r="C894" s="1" t="s">
        <v>28</v>
      </c>
      <c r="D894" s="1" t="s">
        <v>19</v>
      </c>
      <c r="E894" s="1" t="s">
        <v>102</v>
      </c>
      <c r="F894">
        <v>2016</v>
      </c>
      <c r="G894">
        <v>0</v>
      </c>
      <c r="H894" s="1" t="s">
        <v>59</v>
      </c>
      <c r="I894">
        <v>22</v>
      </c>
      <c r="J894">
        <v>3096</v>
      </c>
      <c r="K894" s="1" t="s">
        <v>103</v>
      </c>
      <c r="L894" s="1" t="s">
        <v>23</v>
      </c>
      <c r="M894">
        <v>0</v>
      </c>
      <c r="N894">
        <v>0</v>
      </c>
      <c r="O894">
        <v>0</v>
      </c>
      <c r="P894" s="2">
        <v>41395</v>
      </c>
      <c r="Q894">
        <v>0</v>
      </c>
      <c r="R894" s="1" t="s">
        <v>61</v>
      </c>
    </row>
    <row r="895" spans="1:18" x14ac:dyDescent="0.25">
      <c r="A895">
        <v>2013</v>
      </c>
      <c r="B895">
        <v>6</v>
      </c>
      <c r="C895" s="1" t="s">
        <v>29</v>
      </c>
      <c r="D895" s="1" t="s">
        <v>19</v>
      </c>
      <c r="E895" s="1" t="s">
        <v>102</v>
      </c>
      <c r="F895">
        <v>2016</v>
      </c>
      <c r="G895">
        <v>0</v>
      </c>
      <c r="H895" s="1" t="s">
        <v>59</v>
      </c>
      <c r="I895">
        <v>22</v>
      </c>
      <c r="J895">
        <v>3096</v>
      </c>
      <c r="K895" s="1" t="s">
        <v>103</v>
      </c>
      <c r="L895" s="1" t="s">
        <v>23</v>
      </c>
      <c r="M895">
        <v>0</v>
      </c>
      <c r="N895">
        <v>0</v>
      </c>
      <c r="O895">
        <v>0</v>
      </c>
      <c r="P895" s="2">
        <v>41426</v>
      </c>
      <c r="Q895">
        <v>0</v>
      </c>
      <c r="R895" s="1" t="s">
        <v>61</v>
      </c>
    </row>
    <row r="896" spans="1:18" x14ac:dyDescent="0.25">
      <c r="A896">
        <v>2013</v>
      </c>
      <c r="B896">
        <v>7</v>
      </c>
      <c r="C896" s="1" t="s">
        <v>30</v>
      </c>
      <c r="D896" s="1" t="s">
        <v>19</v>
      </c>
      <c r="E896" s="1" t="s">
        <v>102</v>
      </c>
      <c r="F896">
        <v>2016</v>
      </c>
      <c r="G896">
        <v>0</v>
      </c>
      <c r="H896" s="1" t="s">
        <v>59</v>
      </c>
      <c r="I896">
        <v>22</v>
      </c>
      <c r="J896">
        <v>3096</v>
      </c>
      <c r="K896" s="1" t="s">
        <v>103</v>
      </c>
      <c r="L896" s="1" t="s">
        <v>23</v>
      </c>
      <c r="M896">
        <v>0</v>
      </c>
      <c r="N896">
        <v>0</v>
      </c>
      <c r="O896">
        <v>0</v>
      </c>
      <c r="P896" s="2">
        <v>41456</v>
      </c>
      <c r="Q896">
        <v>0</v>
      </c>
      <c r="R896" s="1" t="s">
        <v>61</v>
      </c>
    </row>
    <row r="897" spans="1:18" x14ac:dyDescent="0.25">
      <c r="A897">
        <v>2013</v>
      </c>
      <c r="B897">
        <v>8</v>
      </c>
      <c r="C897" s="1" t="s">
        <v>31</v>
      </c>
      <c r="D897" s="1" t="s">
        <v>19</v>
      </c>
      <c r="E897" s="1" t="s">
        <v>102</v>
      </c>
      <c r="F897">
        <v>2016</v>
      </c>
      <c r="G897">
        <v>0</v>
      </c>
      <c r="H897" s="1" t="s">
        <v>59</v>
      </c>
      <c r="I897">
        <v>22</v>
      </c>
      <c r="J897">
        <v>3096</v>
      </c>
      <c r="K897" s="1" t="s">
        <v>103</v>
      </c>
      <c r="L897" s="1" t="s">
        <v>23</v>
      </c>
      <c r="M897">
        <v>0</v>
      </c>
      <c r="N897">
        <v>0</v>
      </c>
      <c r="O897">
        <v>0</v>
      </c>
      <c r="P897" s="2">
        <v>41487</v>
      </c>
      <c r="Q897">
        <v>0</v>
      </c>
      <c r="R897" s="1" t="s">
        <v>61</v>
      </c>
    </row>
    <row r="898" spans="1:18" x14ac:dyDescent="0.25">
      <c r="A898">
        <v>2013</v>
      </c>
      <c r="B898">
        <v>9</v>
      </c>
      <c r="C898" s="1" t="s">
        <v>32</v>
      </c>
      <c r="D898" s="1" t="s">
        <v>19</v>
      </c>
      <c r="E898" s="1" t="s">
        <v>102</v>
      </c>
      <c r="F898">
        <v>2016</v>
      </c>
      <c r="G898">
        <v>0</v>
      </c>
      <c r="H898" s="1" t="s">
        <v>59</v>
      </c>
      <c r="I898">
        <v>22</v>
      </c>
      <c r="J898">
        <v>3096</v>
      </c>
      <c r="K898" s="1" t="s">
        <v>103</v>
      </c>
      <c r="L898" s="1" t="s">
        <v>23</v>
      </c>
      <c r="M898">
        <v>0</v>
      </c>
      <c r="N898">
        <v>0</v>
      </c>
      <c r="O898">
        <v>0</v>
      </c>
      <c r="P898" s="2">
        <v>41518</v>
      </c>
      <c r="Q898">
        <v>0</v>
      </c>
      <c r="R898" s="1" t="s">
        <v>61</v>
      </c>
    </row>
    <row r="899" spans="1:18" x14ac:dyDescent="0.25">
      <c r="A899">
        <v>2013</v>
      </c>
      <c r="B899">
        <v>10</v>
      </c>
      <c r="C899" s="1" t="s">
        <v>33</v>
      </c>
      <c r="D899" s="1" t="s">
        <v>19</v>
      </c>
      <c r="E899" s="1" t="s">
        <v>102</v>
      </c>
      <c r="F899">
        <v>2016</v>
      </c>
      <c r="G899">
        <v>0</v>
      </c>
      <c r="H899" s="1" t="s">
        <v>59</v>
      </c>
      <c r="I899">
        <v>22</v>
      </c>
      <c r="J899">
        <v>3096</v>
      </c>
      <c r="K899" s="1" t="s">
        <v>103</v>
      </c>
      <c r="L899" s="1" t="s">
        <v>23</v>
      </c>
      <c r="M899">
        <v>0</v>
      </c>
      <c r="N899">
        <v>0</v>
      </c>
      <c r="O899">
        <v>0</v>
      </c>
      <c r="P899" s="2">
        <v>41548</v>
      </c>
      <c r="Q899">
        <v>0</v>
      </c>
      <c r="R899" s="1" t="s">
        <v>61</v>
      </c>
    </row>
    <row r="900" spans="1:18" x14ac:dyDescent="0.25">
      <c r="A900">
        <v>2013</v>
      </c>
      <c r="B900">
        <v>11</v>
      </c>
      <c r="C900" s="1" t="s">
        <v>34</v>
      </c>
      <c r="D900" s="1" t="s">
        <v>19</v>
      </c>
      <c r="E900" s="1" t="s">
        <v>102</v>
      </c>
      <c r="F900">
        <v>2016</v>
      </c>
      <c r="G900">
        <v>0</v>
      </c>
      <c r="H900" s="1" t="s">
        <v>59</v>
      </c>
      <c r="I900">
        <v>22</v>
      </c>
      <c r="J900">
        <v>3096</v>
      </c>
      <c r="K900" s="1" t="s">
        <v>103</v>
      </c>
      <c r="L900" s="1" t="s">
        <v>23</v>
      </c>
      <c r="M900">
        <v>0</v>
      </c>
      <c r="N900">
        <v>0</v>
      </c>
      <c r="O900">
        <v>0</v>
      </c>
      <c r="P900" s="2">
        <v>41579</v>
      </c>
      <c r="Q900">
        <v>0</v>
      </c>
      <c r="R900" s="1" t="s">
        <v>61</v>
      </c>
    </row>
    <row r="901" spans="1:18" x14ac:dyDescent="0.25">
      <c r="A901">
        <v>2013</v>
      </c>
      <c r="B901">
        <v>12</v>
      </c>
      <c r="C901" s="1" t="s">
        <v>35</v>
      </c>
      <c r="D901" s="1" t="s">
        <v>19</v>
      </c>
      <c r="E901" s="1" t="s">
        <v>102</v>
      </c>
      <c r="F901">
        <v>2016</v>
      </c>
      <c r="G901">
        <v>0</v>
      </c>
      <c r="H901" s="1" t="s">
        <v>59</v>
      </c>
      <c r="I901">
        <v>22</v>
      </c>
      <c r="J901">
        <v>3096</v>
      </c>
      <c r="K901" s="1" t="s">
        <v>103</v>
      </c>
      <c r="L901" s="1" t="s">
        <v>23</v>
      </c>
      <c r="M901">
        <v>0</v>
      </c>
      <c r="N901">
        <v>0</v>
      </c>
      <c r="O901">
        <v>0</v>
      </c>
      <c r="P901" s="2">
        <v>41609</v>
      </c>
      <c r="Q901">
        <v>0</v>
      </c>
      <c r="R901" s="1" t="s">
        <v>61</v>
      </c>
    </row>
    <row r="902" spans="1:18" x14ac:dyDescent="0.25">
      <c r="A902">
        <v>2013</v>
      </c>
      <c r="B902">
        <v>1</v>
      </c>
      <c r="C902" s="1" t="s">
        <v>18</v>
      </c>
      <c r="D902" s="1" t="s">
        <v>19</v>
      </c>
      <c r="E902" s="1" t="s">
        <v>104</v>
      </c>
      <c r="F902">
        <v>2016</v>
      </c>
      <c r="G902">
        <v>0</v>
      </c>
      <c r="H902" s="1" t="s">
        <v>59</v>
      </c>
      <c r="I902">
        <v>24</v>
      </c>
      <c r="J902">
        <v>3317</v>
      </c>
      <c r="K902" s="1" t="s">
        <v>105</v>
      </c>
      <c r="L902" s="1" t="s">
        <v>23</v>
      </c>
      <c r="M902">
        <v>0</v>
      </c>
      <c r="N902">
        <v>0</v>
      </c>
      <c r="O902">
        <v>0</v>
      </c>
      <c r="P902" s="2">
        <v>41275</v>
      </c>
      <c r="Q902">
        <v>0</v>
      </c>
      <c r="R902" s="1" t="s">
        <v>61</v>
      </c>
    </row>
    <row r="903" spans="1:18" x14ac:dyDescent="0.25">
      <c r="A903">
        <v>2013</v>
      </c>
      <c r="B903">
        <v>2</v>
      </c>
      <c r="C903" s="1" t="s">
        <v>25</v>
      </c>
      <c r="D903" s="1" t="s">
        <v>19</v>
      </c>
      <c r="E903" s="1" t="s">
        <v>104</v>
      </c>
      <c r="F903">
        <v>2016</v>
      </c>
      <c r="G903">
        <v>0</v>
      </c>
      <c r="H903" s="1" t="s">
        <v>59</v>
      </c>
      <c r="I903">
        <v>24</v>
      </c>
      <c r="J903">
        <v>3317</v>
      </c>
      <c r="K903" s="1" t="s">
        <v>105</v>
      </c>
      <c r="L903" s="1" t="s">
        <v>23</v>
      </c>
      <c r="M903">
        <v>0</v>
      </c>
      <c r="N903">
        <v>0</v>
      </c>
      <c r="O903">
        <v>0</v>
      </c>
      <c r="P903" s="2">
        <v>41306</v>
      </c>
      <c r="Q903">
        <v>0</v>
      </c>
      <c r="R903" s="1" t="s">
        <v>61</v>
      </c>
    </row>
    <row r="904" spans="1:18" x14ac:dyDescent="0.25">
      <c r="A904">
        <v>2013</v>
      </c>
      <c r="B904">
        <v>3</v>
      </c>
      <c r="C904" s="1" t="s">
        <v>26</v>
      </c>
      <c r="D904" s="1" t="s">
        <v>19</v>
      </c>
      <c r="E904" s="1" t="s">
        <v>104</v>
      </c>
      <c r="F904">
        <v>2016</v>
      </c>
      <c r="G904">
        <v>0</v>
      </c>
      <c r="H904" s="1" t="s">
        <v>59</v>
      </c>
      <c r="I904">
        <v>24</v>
      </c>
      <c r="J904">
        <v>3317</v>
      </c>
      <c r="K904" s="1" t="s">
        <v>105</v>
      </c>
      <c r="L904" s="1" t="s">
        <v>23</v>
      </c>
      <c r="M904">
        <v>0</v>
      </c>
      <c r="N904">
        <v>0</v>
      </c>
      <c r="O904">
        <v>0</v>
      </c>
      <c r="P904" s="2">
        <v>41334</v>
      </c>
      <c r="Q904">
        <v>0</v>
      </c>
      <c r="R904" s="1" t="s">
        <v>61</v>
      </c>
    </row>
    <row r="905" spans="1:18" x14ac:dyDescent="0.25">
      <c r="A905">
        <v>2013</v>
      </c>
      <c r="B905">
        <v>4</v>
      </c>
      <c r="C905" s="1" t="s">
        <v>27</v>
      </c>
      <c r="D905" s="1" t="s">
        <v>19</v>
      </c>
      <c r="E905" s="1" t="s">
        <v>104</v>
      </c>
      <c r="F905">
        <v>2016</v>
      </c>
      <c r="G905">
        <v>0</v>
      </c>
      <c r="H905" s="1" t="s">
        <v>59</v>
      </c>
      <c r="I905">
        <v>24</v>
      </c>
      <c r="J905">
        <v>3317</v>
      </c>
      <c r="K905" s="1" t="s">
        <v>105</v>
      </c>
      <c r="L905" s="1" t="s">
        <v>23</v>
      </c>
      <c r="M905">
        <v>0</v>
      </c>
      <c r="N905">
        <v>0</v>
      </c>
      <c r="O905">
        <v>0</v>
      </c>
      <c r="P905" s="2">
        <v>41365</v>
      </c>
      <c r="Q905">
        <v>0</v>
      </c>
      <c r="R905" s="1" t="s">
        <v>61</v>
      </c>
    </row>
    <row r="906" spans="1:18" x14ac:dyDescent="0.25">
      <c r="A906">
        <v>2013</v>
      </c>
      <c r="B906">
        <v>5</v>
      </c>
      <c r="C906" s="1" t="s">
        <v>28</v>
      </c>
      <c r="D906" s="1" t="s">
        <v>19</v>
      </c>
      <c r="E906" s="1" t="s">
        <v>104</v>
      </c>
      <c r="F906">
        <v>2016</v>
      </c>
      <c r="G906">
        <v>0</v>
      </c>
      <c r="H906" s="1" t="s">
        <v>59</v>
      </c>
      <c r="I906">
        <v>24</v>
      </c>
      <c r="J906">
        <v>3317</v>
      </c>
      <c r="K906" s="1" t="s">
        <v>105</v>
      </c>
      <c r="L906" s="1" t="s">
        <v>23</v>
      </c>
      <c r="M906">
        <v>0</v>
      </c>
      <c r="N906">
        <v>0</v>
      </c>
      <c r="O906">
        <v>0</v>
      </c>
      <c r="P906" s="2">
        <v>41395</v>
      </c>
      <c r="Q906">
        <v>0</v>
      </c>
      <c r="R906" s="1" t="s">
        <v>61</v>
      </c>
    </row>
    <row r="907" spans="1:18" x14ac:dyDescent="0.25">
      <c r="A907">
        <v>2013</v>
      </c>
      <c r="B907">
        <v>6</v>
      </c>
      <c r="C907" s="1" t="s">
        <v>29</v>
      </c>
      <c r="D907" s="1" t="s">
        <v>19</v>
      </c>
      <c r="E907" s="1" t="s">
        <v>104</v>
      </c>
      <c r="F907">
        <v>2016</v>
      </c>
      <c r="G907">
        <v>0</v>
      </c>
      <c r="H907" s="1" t="s">
        <v>59</v>
      </c>
      <c r="I907">
        <v>24</v>
      </c>
      <c r="J907">
        <v>3317</v>
      </c>
      <c r="K907" s="1" t="s">
        <v>105</v>
      </c>
      <c r="L907" s="1" t="s">
        <v>23</v>
      </c>
      <c r="M907">
        <v>0</v>
      </c>
      <c r="N907">
        <v>0</v>
      </c>
      <c r="O907">
        <v>0</v>
      </c>
      <c r="P907" s="2">
        <v>41426</v>
      </c>
      <c r="Q907">
        <v>0</v>
      </c>
      <c r="R907" s="1" t="s">
        <v>61</v>
      </c>
    </row>
    <row r="908" spans="1:18" x14ac:dyDescent="0.25">
      <c r="A908">
        <v>2013</v>
      </c>
      <c r="B908">
        <v>7</v>
      </c>
      <c r="C908" s="1" t="s">
        <v>30</v>
      </c>
      <c r="D908" s="1" t="s">
        <v>19</v>
      </c>
      <c r="E908" s="1" t="s">
        <v>104</v>
      </c>
      <c r="F908">
        <v>2016</v>
      </c>
      <c r="G908">
        <v>0</v>
      </c>
      <c r="H908" s="1" t="s">
        <v>59</v>
      </c>
      <c r="I908">
        <v>24</v>
      </c>
      <c r="J908">
        <v>3317</v>
      </c>
      <c r="K908" s="1" t="s">
        <v>105</v>
      </c>
      <c r="L908" s="1" t="s">
        <v>23</v>
      </c>
      <c r="M908">
        <v>0</v>
      </c>
      <c r="N908">
        <v>0</v>
      </c>
      <c r="O908">
        <v>0</v>
      </c>
      <c r="P908" s="2">
        <v>41456</v>
      </c>
      <c r="Q908">
        <v>0</v>
      </c>
      <c r="R908" s="1" t="s">
        <v>61</v>
      </c>
    </row>
    <row r="909" spans="1:18" x14ac:dyDescent="0.25">
      <c r="A909">
        <v>2013</v>
      </c>
      <c r="B909">
        <v>8</v>
      </c>
      <c r="C909" s="1" t="s">
        <v>31</v>
      </c>
      <c r="D909" s="1" t="s">
        <v>19</v>
      </c>
      <c r="E909" s="1" t="s">
        <v>104</v>
      </c>
      <c r="F909">
        <v>2016</v>
      </c>
      <c r="G909">
        <v>0</v>
      </c>
      <c r="H909" s="1" t="s">
        <v>59</v>
      </c>
      <c r="I909">
        <v>24</v>
      </c>
      <c r="J909">
        <v>3317</v>
      </c>
      <c r="K909" s="1" t="s">
        <v>105</v>
      </c>
      <c r="L909" s="1" t="s">
        <v>23</v>
      </c>
      <c r="M909">
        <v>0</v>
      </c>
      <c r="N909">
        <v>0</v>
      </c>
      <c r="O909">
        <v>0</v>
      </c>
      <c r="P909" s="2">
        <v>41487</v>
      </c>
      <c r="Q909">
        <v>0</v>
      </c>
      <c r="R909" s="1" t="s">
        <v>61</v>
      </c>
    </row>
    <row r="910" spans="1:18" x14ac:dyDescent="0.25">
      <c r="A910">
        <v>2013</v>
      </c>
      <c r="B910">
        <v>9</v>
      </c>
      <c r="C910" s="1" t="s">
        <v>32</v>
      </c>
      <c r="D910" s="1" t="s">
        <v>19</v>
      </c>
      <c r="E910" s="1" t="s">
        <v>104</v>
      </c>
      <c r="F910">
        <v>2016</v>
      </c>
      <c r="G910">
        <v>0</v>
      </c>
      <c r="H910" s="1" t="s">
        <v>59</v>
      </c>
      <c r="I910">
        <v>24</v>
      </c>
      <c r="J910">
        <v>3317</v>
      </c>
      <c r="K910" s="1" t="s">
        <v>105</v>
      </c>
      <c r="L910" s="1" t="s">
        <v>23</v>
      </c>
      <c r="M910">
        <v>0</v>
      </c>
      <c r="N910">
        <v>0</v>
      </c>
      <c r="O910">
        <v>0</v>
      </c>
      <c r="P910" s="2">
        <v>41518</v>
      </c>
      <c r="Q910">
        <v>0</v>
      </c>
      <c r="R910" s="1" t="s">
        <v>61</v>
      </c>
    </row>
    <row r="911" spans="1:18" x14ac:dyDescent="0.25">
      <c r="A911">
        <v>2013</v>
      </c>
      <c r="B911">
        <v>10</v>
      </c>
      <c r="C911" s="1" t="s">
        <v>33</v>
      </c>
      <c r="D911" s="1" t="s">
        <v>19</v>
      </c>
      <c r="E911" s="1" t="s">
        <v>104</v>
      </c>
      <c r="F911">
        <v>2016</v>
      </c>
      <c r="G911">
        <v>0</v>
      </c>
      <c r="H911" s="1" t="s">
        <v>59</v>
      </c>
      <c r="I911">
        <v>24</v>
      </c>
      <c r="J911">
        <v>3317</v>
      </c>
      <c r="K911" s="1" t="s">
        <v>105</v>
      </c>
      <c r="L911" s="1" t="s">
        <v>23</v>
      </c>
      <c r="M911">
        <v>0</v>
      </c>
      <c r="N911">
        <v>0</v>
      </c>
      <c r="O911">
        <v>0</v>
      </c>
      <c r="P911" s="2">
        <v>41548</v>
      </c>
      <c r="Q911">
        <v>0</v>
      </c>
      <c r="R911" s="1" t="s">
        <v>61</v>
      </c>
    </row>
    <row r="912" spans="1:18" x14ac:dyDescent="0.25">
      <c r="A912">
        <v>2013</v>
      </c>
      <c r="B912">
        <v>11</v>
      </c>
      <c r="C912" s="1" t="s">
        <v>34</v>
      </c>
      <c r="D912" s="1" t="s">
        <v>19</v>
      </c>
      <c r="E912" s="1" t="s">
        <v>104</v>
      </c>
      <c r="F912">
        <v>2016</v>
      </c>
      <c r="G912">
        <v>0</v>
      </c>
      <c r="H912" s="1" t="s">
        <v>59</v>
      </c>
      <c r="I912">
        <v>24</v>
      </c>
      <c r="J912">
        <v>3317</v>
      </c>
      <c r="K912" s="1" t="s">
        <v>105</v>
      </c>
      <c r="L912" s="1" t="s">
        <v>23</v>
      </c>
      <c r="M912">
        <v>0</v>
      </c>
      <c r="N912">
        <v>0</v>
      </c>
      <c r="O912">
        <v>0</v>
      </c>
      <c r="P912" s="2">
        <v>41579</v>
      </c>
      <c r="Q912">
        <v>0</v>
      </c>
      <c r="R912" s="1" t="s">
        <v>61</v>
      </c>
    </row>
    <row r="913" spans="1:18" x14ac:dyDescent="0.25">
      <c r="A913">
        <v>2013</v>
      </c>
      <c r="B913">
        <v>12</v>
      </c>
      <c r="C913" s="1" t="s">
        <v>35</v>
      </c>
      <c r="D913" s="1" t="s">
        <v>19</v>
      </c>
      <c r="E913" s="1" t="s">
        <v>104</v>
      </c>
      <c r="F913">
        <v>2016</v>
      </c>
      <c r="G913">
        <v>0</v>
      </c>
      <c r="H913" s="1" t="s">
        <v>59</v>
      </c>
      <c r="I913">
        <v>24</v>
      </c>
      <c r="J913">
        <v>3317</v>
      </c>
      <c r="K913" s="1" t="s">
        <v>105</v>
      </c>
      <c r="L913" s="1" t="s">
        <v>23</v>
      </c>
      <c r="M913">
        <v>0</v>
      </c>
      <c r="N913">
        <v>0</v>
      </c>
      <c r="O913">
        <v>0</v>
      </c>
      <c r="P913" s="2">
        <v>41609</v>
      </c>
      <c r="Q913">
        <v>0</v>
      </c>
      <c r="R913" s="1" t="s">
        <v>61</v>
      </c>
    </row>
    <row r="914" spans="1:18" x14ac:dyDescent="0.25">
      <c r="A914">
        <v>2013</v>
      </c>
      <c r="B914">
        <v>1</v>
      </c>
      <c r="C914" s="1" t="s">
        <v>18</v>
      </c>
      <c r="D914" s="1" t="s">
        <v>19</v>
      </c>
      <c r="E914" s="1" t="s">
        <v>106</v>
      </c>
      <c r="F914">
        <v>2016</v>
      </c>
      <c r="G914">
        <v>0</v>
      </c>
      <c r="H914" s="1" t="s">
        <v>59</v>
      </c>
      <c r="I914">
        <v>17</v>
      </c>
      <c r="J914">
        <v>2219</v>
      </c>
      <c r="K914" s="1" t="s">
        <v>107</v>
      </c>
      <c r="L914" s="1" t="s">
        <v>23</v>
      </c>
      <c r="M914">
        <v>0</v>
      </c>
      <c r="N914">
        <v>0</v>
      </c>
      <c r="O914">
        <v>0</v>
      </c>
      <c r="P914" s="2">
        <v>41275</v>
      </c>
      <c r="Q914">
        <v>0</v>
      </c>
      <c r="R914" s="1" t="s">
        <v>61</v>
      </c>
    </row>
    <row r="915" spans="1:18" x14ac:dyDescent="0.25">
      <c r="A915">
        <v>2013</v>
      </c>
      <c r="B915">
        <v>2</v>
      </c>
      <c r="C915" s="1" t="s">
        <v>25</v>
      </c>
      <c r="D915" s="1" t="s">
        <v>19</v>
      </c>
      <c r="E915" s="1" t="s">
        <v>106</v>
      </c>
      <c r="F915">
        <v>2016</v>
      </c>
      <c r="G915">
        <v>0</v>
      </c>
      <c r="H915" s="1" t="s">
        <v>59</v>
      </c>
      <c r="I915">
        <v>17</v>
      </c>
      <c r="J915">
        <v>2219</v>
      </c>
      <c r="K915" s="1" t="s">
        <v>107</v>
      </c>
      <c r="L915" s="1" t="s">
        <v>23</v>
      </c>
      <c r="M915">
        <v>0</v>
      </c>
      <c r="N915">
        <v>0</v>
      </c>
      <c r="O915">
        <v>0</v>
      </c>
      <c r="P915" s="2">
        <v>41306</v>
      </c>
      <c r="Q915">
        <v>0</v>
      </c>
      <c r="R915" s="1" t="s">
        <v>61</v>
      </c>
    </row>
    <row r="916" spans="1:18" x14ac:dyDescent="0.25">
      <c r="A916">
        <v>2013</v>
      </c>
      <c r="B916">
        <v>3</v>
      </c>
      <c r="C916" s="1" t="s">
        <v>26</v>
      </c>
      <c r="D916" s="1" t="s">
        <v>19</v>
      </c>
      <c r="E916" s="1" t="s">
        <v>106</v>
      </c>
      <c r="F916">
        <v>2016</v>
      </c>
      <c r="G916">
        <v>0</v>
      </c>
      <c r="H916" s="1" t="s">
        <v>59</v>
      </c>
      <c r="I916">
        <v>17</v>
      </c>
      <c r="J916">
        <v>2219</v>
      </c>
      <c r="K916" s="1" t="s">
        <v>107</v>
      </c>
      <c r="L916" s="1" t="s">
        <v>23</v>
      </c>
      <c r="M916">
        <v>0</v>
      </c>
      <c r="N916">
        <v>0</v>
      </c>
      <c r="O916">
        <v>0</v>
      </c>
      <c r="P916" s="2">
        <v>41334</v>
      </c>
      <c r="Q916">
        <v>0</v>
      </c>
      <c r="R916" s="1" t="s">
        <v>61</v>
      </c>
    </row>
    <row r="917" spans="1:18" x14ac:dyDescent="0.25">
      <c r="A917">
        <v>2013</v>
      </c>
      <c r="B917">
        <v>4</v>
      </c>
      <c r="C917" s="1" t="s">
        <v>27</v>
      </c>
      <c r="D917" s="1" t="s">
        <v>19</v>
      </c>
      <c r="E917" s="1" t="s">
        <v>106</v>
      </c>
      <c r="F917">
        <v>2016</v>
      </c>
      <c r="G917">
        <v>0</v>
      </c>
      <c r="H917" s="1" t="s">
        <v>59</v>
      </c>
      <c r="I917">
        <v>17</v>
      </c>
      <c r="J917">
        <v>2219</v>
      </c>
      <c r="K917" s="1" t="s">
        <v>107</v>
      </c>
      <c r="L917" s="1" t="s">
        <v>23</v>
      </c>
      <c r="M917">
        <v>0</v>
      </c>
      <c r="N917">
        <v>0</v>
      </c>
      <c r="O917">
        <v>0</v>
      </c>
      <c r="P917" s="2">
        <v>41365</v>
      </c>
      <c r="Q917">
        <v>0</v>
      </c>
      <c r="R917" s="1" t="s">
        <v>61</v>
      </c>
    </row>
    <row r="918" spans="1:18" x14ac:dyDescent="0.25">
      <c r="A918">
        <v>2013</v>
      </c>
      <c r="B918">
        <v>5</v>
      </c>
      <c r="C918" s="1" t="s">
        <v>28</v>
      </c>
      <c r="D918" s="1" t="s">
        <v>19</v>
      </c>
      <c r="E918" s="1" t="s">
        <v>106</v>
      </c>
      <c r="F918">
        <v>2016</v>
      </c>
      <c r="G918">
        <v>0</v>
      </c>
      <c r="H918" s="1" t="s">
        <v>59</v>
      </c>
      <c r="I918">
        <v>17</v>
      </c>
      <c r="J918">
        <v>2219</v>
      </c>
      <c r="K918" s="1" t="s">
        <v>107</v>
      </c>
      <c r="L918" s="1" t="s">
        <v>23</v>
      </c>
      <c r="M918">
        <v>0</v>
      </c>
      <c r="N918">
        <v>0</v>
      </c>
      <c r="O918">
        <v>0</v>
      </c>
      <c r="P918" s="2">
        <v>41395</v>
      </c>
      <c r="Q918">
        <v>0</v>
      </c>
      <c r="R918" s="1" t="s">
        <v>61</v>
      </c>
    </row>
    <row r="919" spans="1:18" x14ac:dyDescent="0.25">
      <c r="A919">
        <v>2013</v>
      </c>
      <c r="B919">
        <v>6</v>
      </c>
      <c r="C919" s="1" t="s">
        <v>29</v>
      </c>
      <c r="D919" s="1" t="s">
        <v>19</v>
      </c>
      <c r="E919" s="1" t="s">
        <v>106</v>
      </c>
      <c r="F919">
        <v>2016</v>
      </c>
      <c r="G919">
        <v>0</v>
      </c>
      <c r="H919" s="1" t="s">
        <v>59</v>
      </c>
      <c r="I919">
        <v>17</v>
      </c>
      <c r="J919">
        <v>2219</v>
      </c>
      <c r="K919" s="1" t="s">
        <v>107</v>
      </c>
      <c r="L919" s="1" t="s">
        <v>23</v>
      </c>
      <c r="M919">
        <v>0</v>
      </c>
      <c r="N919">
        <v>0</v>
      </c>
      <c r="O919">
        <v>0</v>
      </c>
      <c r="P919" s="2">
        <v>41426</v>
      </c>
      <c r="Q919">
        <v>0</v>
      </c>
      <c r="R919" s="1" t="s">
        <v>61</v>
      </c>
    </row>
    <row r="920" spans="1:18" x14ac:dyDescent="0.25">
      <c r="A920">
        <v>2013</v>
      </c>
      <c r="B920">
        <v>7</v>
      </c>
      <c r="C920" s="1" t="s">
        <v>30</v>
      </c>
      <c r="D920" s="1" t="s">
        <v>19</v>
      </c>
      <c r="E920" s="1" t="s">
        <v>106</v>
      </c>
      <c r="F920">
        <v>2016</v>
      </c>
      <c r="G920">
        <v>0</v>
      </c>
      <c r="H920" s="1" t="s">
        <v>59</v>
      </c>
      <c r="I920">
        <v>17</v>
      </c>
      <c r="J920">
        <v>2219</v>
      </c>
      <c r="K920" s="1" t="s">
        <v>107</v>
      </c>
      <c r="L920" s="1" t="s">
        <v>23</v>
      </c>
      <c r="M920">
        <v>0</v>
      </c>
      <c r="N920">
        <v>0</v>
      </c>
      <c r="O920">
        <v>0</v>
      </c>
      <c r="P920" s="2">
        <v>41456</v>
      </c>
      <c r="Q920">
        <v>0</v>
      </c>
      <c r="R920" s="1" t="s">
        <v>61</v>
      </c>
    </row>
    <row r="921" spans="1:18" x14ac:dyDescent="0.25">
      <c r="A921">
        <v>2013</v>
      </c>
      <c r="B921">
        <v>8</v>
      </c>
      <c r="C921" s="1" t="s">
        <v>31</v>
      </c>
      <c r="D921" s="1" t="s">
        <v>19</v>
      </c>
      <c r="E921" s="1" t="s">
        <v>106</v>
      </c>
      <c r="F921">
        <v>2016</v>
      </c>
      <c r="G921">
        <v>0</v>
      </c>
      <c r="H921" s="1" t="s">
        <v>59</v>
      </c>
      <c r="I921">
        <v>17</v>
      </c>
      <c r="J921">
        <v>2219</v>
      </c>
      <c r="K921" s="1" t="s">
        <v>107</v>
      </c>
      <c r="L921" s="1" t="s">
        <v>23</v>
      </c>
      <c r="M921">
        <v>0</v>
      </c>
      <c r="N921">
        <v>0</v>
      </c>
      <c r="O921">
        <v>0</v>
      </c>
      <c r="P921" s="2">
        <v>41487</v>
      </c>
      <c r="Q921">
        <v>0</v>
      </c>
      <c r="R921" s="1" t="s">
        <v>61</v>
      </c>
    </row>
    <row r="922" spans="1:18" x14ac:dyDescent="0.25">
      <c r="A922">
        <v>2013</v>
      </c>
      <c r="B922">
        <v>9</v>
      </c>
      <c r="C922" s="1" t="s">
        <v>32</v>
      </c>
      <c r="D922" s="1" t="s">
        <v>19</v>
      </c>
      <c r="E922" s="1" t="s">
        <v>106</v>
      </c>
      <c r="F922">
        <v>2016</v>
      </c>
      <c r="G922">
        <v>0</v>
      </c>
      <c r="H922" s="1" t="s">
        <v>59</v>
      </c>
      <c r="I922">
        <v>17</v>
      </c>
      <c r="J922">
        <v>2219</v>
      </c>
      <c r="K922" s="1" t="s">
        <v>107</v>
      </c>
      <c r="L922" s="1" t="s">
        <v>23</v>
      </c>
      <c r="M922">
        <v>0</v>
      </c>
      <c r="N922">
        <v>0</v>
      </c>
      <c r="O922">
        <v>0</v>
      </c>
      <c r="P922" s="2">
        <v>41518</v>
      </c>
      <c r="Q922">
        <v>0</v>
      </c>
      <c r="R922" s="1" t="s">
        <v>61</v>
      </c>
    </row>
    <row r="923" spans="1:18" x14ac:dyDescent="0.25">
      <c r="A923">
        <v>2013</v>
      </c>
      <c r="B923">
        <v>10</v>
      </c>
      <c r="C923" s="1" t="s">
        <v>33</v>
      </c>
      <c r="D923" s="1" t="s">
        <v>19</v>
      </c>
      <c r="E923" s="1" t="s">
        <v>106</v>
      </c>
      <c r="F923">
        <v>2016</v>
      </c>
      <c r="G923">
        <v>0</v>
      </c>
      <c r="H923" s="1" t="s">
        <v>59</v>
      </c>
      <c r="I923">
        <v>17</v>
      </c>
      <c r="J923">
        <v>2219</v>
      </c>
      <c r="K923" s="1" t="s">
        <v>107</v>
      </c>
      <c r="L923" s="1" t="s">
        <v>23</v>
      </c>
      <c r="M923">
        <v>0</v>
      </c>
      <c r="N923">
        <v>0</v>
      </c>
      <c r="O923">
        <v>0</v>
      </c>
      <c r="P923" s="2">
        <v>41548</v>
      </c>
      <c r="Q923">
        <v>0</v>
      </c>
      <c r="R923" s="1" t="s">
        <v>61</v>
      </c>
    </row>
    <row r="924" spans="1:18" x14ac:dyDescent="0.25">
      <c r="A924">
        <v>2013</v>
      </c>
      <c r="B924">
        <v>11</v>
      </c>
      <c r="C924" s="1" t="s">
        <v>34</v>
      </c>
      <c r="D924" s="1" t="s">
        <v>19</v>
      </c>
      <c r="E924" s="1" t="s">
        <v>106</v>
      </c>
      <c r="F924">
        <v>2016</v>
      </c>
      <c r="G924">
        <v>0</v>
      </c>
      <c r="H924" s="1" t="s">
        <v>59</v>
      </c>
      <c r="I924">
        <v>17</v>
      </c>
      <c r="J924">
        <v>2219</v>
      </c>
      <c r="K924" s="1" t="s">
        <v>107</v>
      </c>
      <c r="L924" s="1" t="s">
        <v>23</v>
      </c>
      <c r="M924">
        <v>0</v>
      </c>
      <c r="N924">
        <v>0</v>
      </c>
      <c r="O924">
        <v>0</v>
      </c>
      <c r="P924" s="2">
        <v>41579</v>
      </c>
      <c r="Q924">
        <v>0</v>
      </c>
      <c r="R924" s="1" t="s">
        <v>61</v>
      </c>
    </row>
    <row r="925" spans="1:18" x14ac:dyDescent="0.25">
      <c r="A925">
        <v>2013</v>
      </c>
      <c r="B925">
        <v>12</v>
      </c>
      <c r="C925" s="1" t="s">
        <v>35</v>
      </c>
      <c r="D925" s="1" t="s">
        <v>19</v>
      </c>
      <c r="E925" s="1" t="s">
        <v>106</v>
      </c>
      <c r="F925">
        <v>2016</v>
      </c>
      <c r="G925">
        <v>0</v>
      </c>
      <c r="H925" s="1" t="s">
        <v>59</v>
      </c>
      <c r="I925">
        <v>17</v>
      </c>
      <c r="J925">
        <v>2219</v>
      </c>
      <c r="K925" s="1" t="s">
        <v>107</v>
      </c>
      <c r="L925" s="1" t="s">
        <v>23</v>
      </c>
      <c r="M925">
        <v>0</v>
      </c>
      <c r="N925">
        <v>0</v>
      </c>
      <c r="O925">
        <v>0</v>
      </c>
      <c r="P925" s="2">
        <v>41609</v>
      </c>
      <c r="Q925">
        <v>0</v>
      </c>
      <c r="R925" s="1" t="s">
        <v>61</v>
      </c>
    </row>
    <row r="926" spans="1:18" x14ac:dyDescent="0.25">
      <c r="A926">
        <v>2013</v>
      </c>
      <c r="B926">
        <v>1</v>
      </c>
      <c r="C926" s="1" t="s">
        <v>18</v>
      </c>
      <c r="D926" s="1" t="s">
        <v>19</v>
      </c>
      <c r="E926" s="1" t="s">
        <v>108</v>
      </c>
      <c r="F926">
        <v>2016</v>
      </c>
      <c r="G926">
        <v>0</v>
      </c>
      <c r="H926" s="1" t="s">
        <v>59</v>
      </c>
      <c r="I926">
        <v>15</v>
      </c>
      <c r="J926">
        <v>2142</v>
      </c>
      <c r="K926" s="1" t="s">
        <v>109</v>
      </c>
      <c r="L926" s="1" t="s">
        <v>23</v>
      </c>
      <c r="M926">
        <v>0</v>
      </c>
      <c r="N926">
        <v>0</v>
      </c>
      <c r="O926">
        <v>0</v>
      </c>
      <c r="P926" s="2">
        <v>41275</v>
      </c>
      <c r="Q926">
        <v>0</v>
      </c>
      <c r="R926" s="1" t="s">
        <v>61</v>
      </c>
    </row>
    <row r="927" spans="1:18" x14ac:dyDescent="0.25">
      <c r="A927">
        <v>2013</v>
      </c>
      <c r="B927">
        <v>2</v>
      </c>
      <c r="C927" s="1" t="s">
        <v>25</v>
      </c>
      <c r="D927" s="1" t="s">
        <v>19</v>
      </c>
      <c r="E927" s="1" t="s">
        <v>108</v>
      </c>
      <c r="F927">
        <v>2016</v>
      </c>
      <c r="G927">
        <v>0</v>
      </c>
      <c r="H927" s="1" t="s">
        <v>59</v>
      </c>
      <c r="I927">
        <v>15</v>
      </c>
      <c r="J927">
        <v>2142</v>
      </c>
      <c r="K927" s="1" t="s">
        <v>109</v>
      </c>
      <c r="L927" s="1" t="s">
        <v>23</v>
      </c>
      <c r="M927">
        <v>0</v>
      </c>
      <c r="N927">
        <v>0</v>
      </c>
      <c r="O927">
        <v>0</v>
      </c>
      <c r="P927" s="2">
        <v>41306</v>
      </c>
      <c r="Q927">
        <v>0</v>
      </c>
      <c r="R927" s="1" t="s">
        <v>61</v>
      </c>
    </row>
    <row r="928" spans="1:18" x14ac:dyDescent="0.25">
      <c r="A928">
        <v>2013</v>
      </c>
      <c r="B928">
        <v>3</v>
      </c>
      <c r="C928" s="1" t="s">
        <v>26</v>
      </c>
      <c r="D928" s="1" t="s">
        <v>19</v>
      </c>
      <c r="E928" s="1" t="s">
        <v>108</v>
      </c>
      <c r="F928">
        <v>2016</v>
      </c>
      <c r="G928">
        <v>0</v>
      </c>
      <c r="H928" s="1" t="s">
        <v>59</v>
      </c>
      <c r="I928">
        <v>15</v>
      </c>
      <c r="J928">
        <v>2142</v>
      </c>
      <c r="K928" s="1" t="s">
        <v>109</v>
      </c>
      <c r="L928" s="1" t="s">
        <v>23</v>
      </c>
      <c r="M928">
        <v>0</v>
      </c>
      <c r="N928">
        <v>0</v>
      </c>
      <c r="O928">
        <v>0</v>
      </c>
      <c r="P928" s="2">
        <v>41334</v>
      </c>
      <c r="Q928">
        <v>0</v>
      </c>
      <c r="R928" s="1" t="s">
        <v>61</v>
      </c>
    </row>
    <row r="929" spans="1:18" x14ac:dyDescent="0.25">
      <c r="A929">
        <v>2013</v>
      </c>
      <c r="B929">
        <v>4</v>
      </c>
      <c r="C929" s="1" t="s">
        <v>27</v>
      </c>
      <c r="D929" s="1" t="s">
        <v>19</v>
      </c>
      <c r="E929" s="1" t="s">
        <v>108</v>
      </c>
      <c r="F929">
        <v>2016</v>
      </c>
      <c r="G929">
        <v>0</v>
      </c>
      <c r="H929" s="1" t="s">
        <v>59</v>
      </c>
      <c r="I929">
        <v>15</v>
      </c>
      <c r="J929">
        <v>2142</v>
      </c>
      <c r="K929" s="1" t="s">
        <v>109</v>
      </c>
      <c r="L929" s="1" t="s">
        <v>23</v>
      </c>
      <c r="M929">
        <v>0</v>
      </c>
      <c r="N929">
        <v>0</v>
      </c>
      <c r="O929">
        <v>0</v>
      </c>
      <c r="P929" s="2">
        <v>41365</v>
      </c>
      <c r="Q929">
        <v>0</v>
      </c>
      <c r="R929" s="1" t="s">
        <v>61</v>
      </c>
    </row>
    <row r="930" spans="1:18" x14ac:dyDescent="0.25">
      <c r="A930">
        <v>2013</v>
      </c>
      <c r="B930">
        <v>5</v>
      </c>
      <c r="C930" s="1" t="s">
        <v>28</v>
      </c>
      <c r="D930" s="1" t="s">
        <v>19</v>
      </c>
      <c r="E930" s="1" t="s">
        <v>108</v>
      </c>
      <c r="F930">
        <v>2016</v>
      </c>
      <c r="G930">
        <v>0</v>
      </c>
      <c r="H930" s="1" t="s">
        <v>59</v>
      </c>
      <c r="I930">
        <v>15</v>
      </c>
      <c r="J930">
        <v>2142</v>
      </c>
      <c r="K930" s="1" t="s">
        <v>109</v>
      </c>
      <c r="L930" s="1" t="s">
        <v>23</v>
      </c>
      <c r="M930">
        <v>0</v>
      </c>
      <c r="N930">
        <v>0</v>
      </c>
      <c r="O930">
        <v>0</v>
      </c>
      <c r="P930" s="2">
        <v>41395</v>
      </c>
      <c r="Q930">
        <v>0</v>
      </c>
      <c r="R930" s="1" t="s">
        <v>61</v>
      </c>
    </row>
    <row r="931" spans="1:18" x14ac:dyDescent="0.25">
      <c r="A931">
        <v>2013</v>
      </c>
      <c r="B931">
        <v>6</v>
      </c>
      <c r="C931" s="1" t="s">
        <v>29</v>
      </c>
      <c r="D931" s="1" t="s">
        <v>19</v>
      </c>
      <c r="E931" s="1" t="s">
        <v>108</v>
      </c>
      <c r="F931">
        <v>2016</v>
      </c>
      <c r="G931">
        <v>0</v>
      </c>
      <c r="H931" s="1" t="s">
        <v>59</v>
      </c>
      <c r="I931">
        <v>15</v>
      </c>
      <c r="J931">
        <v>2142</v>
      </c>
      <c r="K931" s="1" t="s">
        <v>109</v>
      </c>
      <c r="L931" s="1" t="s">
        <v>23</v>
      </c>
      <c r="M931">
        <v>0</v>
      </c>
      <c r="N931">
        <v>0</v>
      </c>
      <c r="O931">
        <v>0</v>
      </c>
      <c r="P931" s="2">
        <v>41426</v>
      </c>
      <c r="Q931">
        <v>0</v>
      </c>
      <c r="R931" s="1" t="s">
        <v>61</v>
      </c>
    </row>
    <row r="932" spans="1:18" x14ac:dyDescent="0.25">
      <c r="A932">
        <v>2013</v>
      </c>
      <c r="B932">
        <v>7</v>
      </c>
      <c r="C932" s="1" t="s">
        <v>30</v>
      </c>
      <c r="D932" s="1" t="s">
        <v>19</v>
      </c>
      <c r="E932" s="1" t="s">
        <v>108</v>
      </c>
      <c r="F932">
        <v>2016</v>
      </c>
      <c r="G932">
        <v>0</v>
      </c>
      <c r="H932" s="1" t="s">
        <v>59</v>
      </c>
      <c r="I932">
        <v>15</v>
      </c>
      <c r="J932">
        <v>2142</v>
      </c>
      <c r="K932" s="1" t="s">
        <v>109</v>
      </c>
      <c r="L932" s="1" t="s">
        <v>23</v>
      </c>
      <c r="M932">
        <v>0</v>
      </c>
      <c r="N932">
        <v>0</v>
      </c>
      <c r="O932">
        <v>0</v>
      </c>
      <c r="P932" s="2">
        <v>41456</v>
      </c>
      <c r="Q932">
        <v>0</v>
      </c>
      <c r="R932" s="1" t="s">
        <v>61</v>
      </c>
    </row>
    <row r="933" spans="1:18" x14ac:dyDescent="0.25">
      <c r="A933">
        <v>2013</v>
      </c>
      <c r="B933">
        <v>8</v>
      </c>
      <c r="C933" s="1" t="s">
        <v>31</v>
      </c>
      <c r="D933" s="1" t="s">
        <v>19</v>
      </c>
      <c r="E933" s="1" t="s">
        <v>108</v>
      </c>
      <c r="F933">
        <v>2016</v>
      </c>
      <c r="G933">
        <v>0</v>
      </c>
      <c r="H933" s="1" t="s">
        <v>59</v>
      </c>
      <c r="I933">
        <v>15</v>
      </c>
      <c r="J933">
        <v>2142</v>
      </c>
      <c r="K933" s="1" t="s">
        <v>109</v>
      </c>
      <c r="L933" s="1" t="s">
        <v>23</v>
      </c>
      <c r="M933">
        <v>0</v>
      </c>
      <c r="N933">
        <v>0</v>
      </c>
      <c r="O933">
        <v>0</v>
      </c>
      <c r="P933" s="2">
        <v>41487</v>
      </c>
      <c r="Q933">
        <v>0</v>
      </c>
      <c r="R933" s="1" t="s">
        <v>61</v>
      </c>
    </row>
    <row r="934" spans="1:18" x14ac:dyDescent="0.25">
      <c r="A934">
        <v>2013</v>
      </c>
      <c r="B934">
        <v>9</v>
      </c>
      <c r="C934" s="1" t="s">
        <v>32</v>
      </c>
      <c r="D934" s="1" t="s">
        <v>19</v>
      </c>
      <c r="E934" s="1" t="s">
        <v>108</v>
      </c>
      <c r="F934">
        <v>2016</v>
      </c>
      <c r="G934">
        <v>0</v>
      </c>
      <c r="H934" s="1" t="s">
        <v>59</v>
      </c>
      <c r="I934">
        <v>15</v>
      </c>
      <c r="J934">
        <v>2142</v>
      </c>
      <c r="K934" s="1" t="s">
        <v>109</v>
      </c>
      <c r="L934" s="1" t="s">
        <v>23</v>
      </c>
      <c r="M934">
        <v>0</v>
      </c>
      <c r="N934">
        <v>0</v>
      </c>
      <c r="O934">
        <v>0</v>
      </c>
      <c r="P934" s="2">
        <v>41518</v>
      </c>
      <c r="Q934">
        <v>0</v>
      </c>
      <c r="R934" s="1" t="s">
        <v>61</v>
      </c>
    </row>
    <row r="935" spans="1:18" x14ac:dyDescent="0.25">
      <c r="A935">
        <v>2013</v>
      </c>
      <c r="B935">
        <v>10</v>
      </c>
      <c r="C935" s="1" t="s">
        <v>33</v>
      </c>
      <c r="D935" s="1" t="s">
        <v>19</v>
      </c>
      <c r="E935" s="1" t="s">
        <v>108</v>
      </c>
      <c r="F935">
        <v>2016</v>
      </c>
      <c r="G935">
        <v>0</v>
      </c>
      <c r="H935" s="1" t="s">
        <v>59</v>
      </c>
      <c r="I935">
        <v>15</v>
      </c>
      <c r="J935">
        <v>2142</v>
      </c>
      <c r="K935" s="1" t="s">
        <v>109</v>
      </c>
      <c r="L935" s="1" t="s">
        <v>23</v>
      </c>
      <c r="M935">
        <v>0</v>
      </c>
      <c r="N935">
        <v>0</v>
      </c>
      <c r="O935">
        <v>0</v>
      </c>
      <c r="P935" s="2">
        <v>41548</v>
      </c>
      <c r="Q935">
        <v>0</v>
      </c>
      <c r="R935" s="1" t="s">
        <v>61</v>
      </c>
    </row>
    <row r="936" spans="1:18" x14ac:dyDescent="0.25">
      <c r="A936">
        <v>2013</v>
      </c>
      <c r="B936">
        <v>11</v>
      </c>
      <c r="C936" s="1" t="s">
        <v>34</v>
      </c>
      <c r="D936" s="1" t="s">
        <v>19</v>
      </c>
      <c r="E936" s="1" t="s">
        <v>108</v>
      </c>
      <c r="F936">
        <v>2016</v>
      </c>
      <c r="G936">
        <v>0</v>
      </c>
      <c r="H936" s="1" t="s">
        <v>59</v>
      </c>
      <c r="I936">
        <v>15</v>
      </c>
      <c r="J936">
        <v>2142</v>
      </c>
      <c r="K936" s="1" t="s">
        <v>109</v>
      </c>
      <c r="L936" s="1" t="s">
        <v>23</v>
      </c>
      <c r="M936">
        <v>0</v>
      </c>
      <c r="N936">
        <v>0</v>
      </c>
      <c r="O936">
        <v>0</v>
      </c>
      <c r="P936" s="2">
        <v>41579</v>
      </c>
      <c r="Q936">
        <v>0</v>
      </c>
      <c r="R936" s="1" t="s">
        <v>61</v>
      </c>
    </row>
    <row r="937" spans="1:18" x14ac:dyDescent="0.25">
      <c r="A937">
        <v>2013</v>
      </c>
      <c r="B937">
        <v>12</v>
      </c>
      <c r="C937" s="1" t="s">
        <v>35</v>
      </c>
      <c r="D937" s="1" t="s">
        <v>19</v>
      </c>
      <c r="E937" s="1" t="s">
        <v>108</v>
      </c>
      <c r="F937">
        <v>2016</v>
      </c>
      <c r="G937">
        <v>0</v>
      </c>
      <c r="H937" s="1" t="s">
        <v>59</v>
      </c>
      <c r="I937">
        <v>15</v>
      </c>
      <c r="J937">
        <v>2142</v>
      </c>
      <c r="K937" s="1" t="s">
        <v>109</v>
      </c>
      <c r="L937" s="1" t="s">
        <v>23</v>
      </c>
      <c r="M937">
        <v>0</v>
      </c>
      <c r="N937">
        <v>0</v>
      </c>
      <c r="O937">
        <v>0</v>
      </c>
      <c r="P937" s="2">
        <v>41609</v>
      </c>
      <c r="Q937">
        <v>0</v>
      </c>
      <c r="R937" s="1" t="s">
        <v>61</v>
      </c>
    </row>
    <row r="938" spans="1:18" x14ac:dyDescent="0.25">
      <c r="A938">
        <v>2013</v>
      </c>
      <c r="B938">
        <v>1</v>
      </c>
      <c r="C938" s="1" t="s">
        <v>18</v>
      </c>
      <c r="D938" s="1" t="s">
        <v>19</v>
      </c>
      <c r="E938" s="1" t="s">
        <v>110</v>
      </c>
      <c r="F938">
        <v>2016</v>
      </c>
      <c r="G938">
        <v>0</v>
      </c>
      <c r="H938" s="1" t="s">
        <v>59</v>
      </c>
      <c r="I938">
        <v>24</v>
      </c>
      <c r="J938">
        <v>3324</v>
      </c>
      <c r="K938" s="1" t="s">
        <v>111</v>
      </c>
      <c r="L938" s="1" t="s">
        <v>23</v>
      </c>
      <c r="M938">
        <v>0</v>
      </c>
      <c r="N938">
        <v>0</v>
      </c>
      <c r="O938">
        <v>0</v>
      </c>
      <c r="P938" s="2">
        <v>41275</v>
      </c>
      <c r="Q938">
        <v>0</v>
      </c>
      <c r="R938" s="1" t="s">
        <v>61</v>
      </c>
    </row>
    <row r="939" spans="1:18" x14ac:dyDescent="0.25">
      <c r="A939">
        <v>2013</v>
      </c>
      <c r="B939">
        <v>2</v>
      </c>
      <c r="C939" s="1" t="s">
        <v>25</v>
      </c>
      <c r="D939" s="1" t="s">
        <v>19</v>
      </c>
      <c r="E939" s="1" t="s">
        <v>110</v>
      </c>
      <c r="F939">
        <v>2016</v>
      </c>
      <c r="G939">
        <v>0</v>
      </c>
      <c r="H939" s="1" t="s">
        <v>59</v>
      </c>
      <c r="I939">
        <v>24</v>
      </c>
      <c r="J939">
        <v>3324</v>
      </c>
      <c r="K939" s="1" t="s">
        <v>111</v>
      </c>
      <c r="L939" s="1" t="s">
        <v>23</v>
      </c>
      <c r="M939">
        <v>0</v>
      </c>
      <c r="N939">
        <v>0</v>
      </c>
      <c r="O939">
        <v>0</v>
      </c>
      <c r="P939" s="2">
        <v>41306</v>
      </c>
      <c r="Q939">
        <v>0</v>
      </c>
      <c r="R939" s="1" t="s">
        <v>61</v>
      </c>
    </row>
    <row r="940" spans="1:18" x14ac:dyDescent="0.25">
      <c r="A940">
        <v>2013</v>
      </c>
      <c r="B940">
        <v>3</v>
      </c>
      <c r="C940" s="1" t="s">
        <v>26</v>
      </c>
      <c r="D940" s="1" t="s">
        <v>19</v>
      </c>
      <c r="E940" s="1" t="s">
        <v>110</v>
      </c>
      <c r="F940">
        <v>2016</v>
      </c>
      <c r="G940">
        <v>0</v>
      </c>
      <c r="H940" s="1" t="s">
        <v>59</v>
      </c>
      <c r="I940">
        <v>24</v>
      </c>
      <c r="J940">
        <v>3324</v>
      </c>
      <c r="K940" s="1" t="s">
        <v>111</v>
      </c>
      <c r="L940" s="1" t="s">
        <v>23</v>
      </c>
      <c r="M940">
        <v>0</v>
      </c>
      <c r="N940">
        <v>0</v>
      </c>
      <c r="O940">
        <v>0</v>
      </c>
      <c r="P940" s="2">
        <v>41334</v>
      </c>
      <c r="Q940">
        <v>0</v>
      </c>
      <c r="R940" s="1" t="s">
        <v>61</v>
      </c>
    </row>
    <row r="941" spans="1:18" x14ac:dyDescent="0.25">
      <c r="A941">
        <v>2013</v>
      </c>
      <c r="B941">
        <v>4</v>
      </c>
      <c r="C941" s="1" t="s">
        <v>27</v>
      </c>
      <c r="D941" s="1" t="s">
        <v>19</v>
      </c>
      <c r="E941" s="1" t="s">
        <v>110</v>
      </c>
      <c r="F941">
        <v>2016</v>
      </c>
      <c r="G941">
        <v>0</v>
      </c>
      <c r="H941" s="1" t="s">
        <v>59</v>
      </c>
      <c r="I941">
        <v>24</v>
      </c>
      <c r="J941">
        <v>3324</v>
      </c>
      <c r="K941" s="1" t="s">
        <v>111</v>
      </c>
      <c r="L941" s="1" t="s">
        <v>23</v>
      </c>
      <c r="M941">
        <v>0</v>
      </c>
      <c r="N941">
        <v>0</v>
      </c>
      <c r="O941">
        <v>0</v>
      </c>
      <c r="P941" s="2">
        <v>41365</v>
      </c>
      <c r="Q941">
        <v>0</v>
      </c>
      <c r="R941" s="1" t="s">
        <v>61</v>
      </c>
    </row>
    <row r="942" spans="1:18" x14ac:dyDescent="0.25">
      <c r="A942">
        <v>2013</v>
      </c>
      <c r="B942">
        <v>5</v>
      </c>
      <c r="C942" s="1" t="s">
        <v>28</v>
      </c>
      <c r="D942" s="1" t="s">
        <v>19</v>
      </c>
      <c r="E942" s="1" t="s">
        <v>110</v>
      </c>
      <c r="F942">
        <v>2016</v>
      </c>
      <c r="G942">
        <v>0</v>
      </c>
      <c r="H942" s="1" t="s">
        <v>59</v>
      </c>
      <c r="I942">
        <v>24</v>
      </c>
      <c r="J942">
        <v>3324</v>
      </c>
      <c r="K942" s="1" t="s">
        <v>111</v>
      </c>
      <c r="L942" s="1" t="s">
        <v>23</v>
      </c>
      <c r="M942">
        <v>0</v>
      </c>
      <c r="N942">
        <v>0</v>
      </c>
      <c r="O942">
        <v>0</v>
      </c>
      <c r="P942" s="2">
        <v>41395</v>
      </c>
      <c r="Q942">
        <v>0</v>
      </c>
      <c r="R942" s="1" t="s">
        <v>61</v>
      </c>
    </row>
    <row r="943" spans="1:18" x14ac:dyDescent="0.25">
      <c r="A943">
        <v>2013</v>
      </c>
      <c r="B943">
        <v>6</v>
      </c>
      <c r="C943" s="1" t="s">
        <v>29</v>
      </c>
      <c r="D943" s="1" t="s">
        <v>19</v>
      </c>
      <c r="E943" s="1" t="s">
        <v>110</v>
      </c>
      <c r="F943">
        <v>2016</v>
      </c>
      <c r="G943">
        <v>0</v>
      </c>
      <c r="H943" s="1" t="s">
        <v>59</v>
      </c>
      <c r="I943">
        <v>24</v>
      </c>
      <c r="J943">
        <v>3324</v>
      </c>
      <c r="K943" s="1" t="s">
        <v>111</v>
      </c>
      <c r="L943" s="1" t="s">
        <v>23</v>
      </c>
      <c r="M943">
        <v>0</v>
      </c>
      <c r="N943">
        <v>0</v>
      </c>
      <c r="O943">
        <v>0</v>
      </c>
      <c r="P943" s="2">
        <v>41426</v>
      </c>
      <c r="Q943">
        <v>0</v>
      </c>
      <c r="R943" s="1" t="s">
        <v>61</v>
      </c>
    </row>
    <row r="944" spans="1:18" x14ac:dyDescent="0.25">
      <c r="A944">
        <v>2013</v>
      </c>
      <c r="B944">
        <v>7</v>
      </c>
      <c r="C944" s="1" t="s">
        <v>30</v>
      </c>
      <c r="D944" s="1" t="s">
        <v>19</v>
      </c>
      <c r="E944" s="1" t="s">
        <v>110</v>
      </c>
      <c r="F944">
        <v>2016</v>
      </c>
      <c r="G944">
        <v>0</v>
      </c>
      <c r="H944" s="1" t="s">
        <v>59</v>
      </c>
      <c r="I944">
        <v>24</v>
      </c>
      <c r="J944">
        <v>3324</v>
      </c>
      <c r="K944" s="1" t="s">
        <v>111</v>
      </c>
      <c r="L944" s="1" t="s">
        <v>23</v>
      </c>
      <c r="M944">
        <v>0</v>
      </c>
      <c r="N944">
        <v>0</v>
      </c>
      <c r="O944">
        <v>0</v>
      </c>
      <c r="P944" s="2">
        <v>41456</v>
      </c>
      <c r="Q944">
        <v>0</v>
      </c>
      <c r="R944" s="1" t="s">
        <v>61</v>
      </c>
    </row>
    <row r="945" spans="1:18" x14ac:dyDescent="0.25">
      <c r="A945">
        <v>2013</v>
      </c>
      <c r="B945">
        <v>8</v>
      </c>
      <c r="C945" s="1" t="s">
        <v>31</v>
      </c>
      <c r="D945" s="1" t="s">
        <v>19</v>
      </c>
      <c r="E945" s="1" t="s">
        <v>110</v>
      </c>
      <c r="F945">
        <v>2016</v>
      </c>
      <c r="G945">
        <v>0</v>
      </c>
      <c r="H945" s="1" t="s">
        <v>59</v>
      </c>
      <c r="I945">
        <v>24</v>
      </c>
      <c r="J945">
        <v>3324</v>
      </c>
      <c r="K945" s="1" t="s">
        <v>111</v>
      </c>
      <c r="L945" s="1" t="s">
        <v>23</v>
      </c>
      <c r="M945">
        <v>0</v>
      </c>
      <c r="N945">
        <v>0</v>
      </c>
      <c r="O945">
        <v>0</v>
      </c>
      <c r="P945" s="2">
        <v>41487</v>
      </c>
      <c r="Q945">
        <v>0</v>
      </c>
      <c r="R945" s="1" t="s">
        <v>61</v>
      </c>
    </row>
    <row r="946" spans="1:18" x14ac:dyDescent="0.25">
      <c r="A946">
        <v>2013</v>
      </c>
      <c r="B946">
        <v>9</v>
      </c>
      <c r="C946" s="1" t="s">
        <v>32</v>
      </c>
      <c r="D946" s="1" t="s">
        <v>19</v>
      </c>
      <c r="E946" s="1" t="s">
        <v>110</v>
      </c>
      <c r="F946">
        <v>2016</v>
      </c>
      <c r="G946">
        <v>0</v>
      </c>
      <c r="H946" s="1" t="s">
        <v>59</v>
      </c>
      <c r="I946">
        <v>24</v>
      </c>
      <c r="J946">
        <v>3324</v>
      </c>
      <c r="K946" s="1" t="s">
        <v>111</v>
      </c>
      <c r="L946" s="1" t="s">
        <v>23</v>
      </c>
      <c r="M946">
        <v>0</v>
      </c>
      <c r="N946">
        <v>0</v>
      </c>
      <c r="O946">
        <v>0</v>
      </c>
      <c r="P946" s="2">
        <v>41518</v>
      </c>
      <c r="Q946">
        <v>0</v>
      </c>
      <c r="R946" s="1" t="s">
        <v>61</v>
      </c>
    </row>
    <row r="947" spans="1:18" x14ac:dyDescent="0.25">
      <c r="A947">
        <v>2013</v>
      </c>
      <c r="B947">
        <v>10</v>
      </c>
      <c r="C947" s="1" t="s">
        <v>33</v>
      </c>
      <c r="D947" s="1" t="s">
        <v>19</v>
      </c>
      <c r="E947" s="1" t="s">
        <v>110</v>
      </c>
      <c r="F947">
        <v>2016</v>
      </c>
      <c r="G947">
        <v>0</v>
      </c>
      <c r="H947" s="1" t="s">
        <v>59</v>
      </c>
      <c r="I947">
        <v>24</v>
      </c>
      <c r="J947">
        <v>3324</v>
      </c>
      <c r="K947" s="1" t="s">
        <v>111</v>
      </c>
      <c r="L947" s="1" t="s">
        <v>23</v>
      </c>
      <c r="M947">
        <v>0</v>
      </c>
      <c r="N947">
        <v>0</v>
      </c>
      <c r="O947">
        <v>0</v>
      </c>
      <c r="P947" s="2">
        <v>41548</v>
      </c>
      <c r="Q947">
        <v>0</v>
      </c>
      <c r="R947" s="1" t="s">
        <v>61</v>
      </c>
    </row>
    <row r="948" spans="1:18" x14ac:dyDescent="0.25">
      <c r="A948">
        <v>2013</v>
      </c>
      <c r="B948">
        <v>11</v>
      </c>
      <c r="C948" s="1" t="s">
        <v>34</v>
      </c>
      <c r="D948" s="1" t="s">
        <v>19</v>
      </c>
      <c r="E948" s="1" t="s">
        <v>110</v>
      </c>
      <c r="F948">
        <v>2016</v>
      </c>
      <c r="G948">
        <v>0</v>
      </c>
      <c r="H948" s="1" t="s">
        <v>59</v>
      </c>
      <c r="I948">
        <v>24</v>
      </c>
      <c r="J948">
        <v>3324</v>
      </c>
      <c r="K948" s="1" t="s">
        <v>111</v>
      </c>
      <c r="L948" s="1" t="s">
        <v>23</v>
      </c>
      <c r="M948">
        <v>0</v>
      </c>
      <c r="N948">
        <v>0</v>
      </c>
      <c r="O948">
        <v>0</v>
      </c>
      <c r="P948" s="2">
        <v>41579</v>
      </c>
      <c r="Q948">
        <v>0</v>
      </c>
      <c r="R948" s="1" t="s">
        <v>61</v>
      </c>
    </row>
    <row r="949" spans="1:18" x14ac:dyDescent="0.25">
      <c r="A949">
        <v>2013</v>
      </c>
      <c r="B949">
        <v>12</v>
      </c>
      <c r="C949" s="1" t="s">
        <v>35</v>
      </c>
      <c r="D949" s="1" t="s">
        <v>19</v>
      </c>
      <c r="E949" s="1" t="s">
        <v>110</v>
      </c>
      <c r="F949">
        <v>2016</v>
      </c>
      <c r="G949">
        <v>0</v>
      </c>
      <c r="H949" s="1" t="s">
        <v>59</v>
      </c>
      <c r="I949">
        <v>24</v>
      </c>
      <c r="J949">
        <v>3324</v>
      </c>
      <c r="K949" s="1" t="s">
        <v>111</v>
      </c>
      <c r="L949" s="1" t="s">
        <v>23</v>
      </c>
      <c r="M949">
        <v>0</v>
      </c>
      <c r="N949">
        <v>0</v>
      </c>
      <c r="O949">
        <v>0</v>
      </c>
      <c r="P949" s="2">
        <v>41609</v>
      </c>
      <c r="Q949">
        <v>0</v>
      </c>
      <c r="R949" s="1" t="s">
        <v>61</v>
      </c>
    </row>
    <row r="950" spans="1:18" x14ac:dyDescent="0.25">
      <c r="A950">
        <v>2013</v>
      </c>
      <c r="B950">
        <v>1</v>
      </c>
      <c r="C950" s="1" t="s">
        <v>18</v>
      </c>
      <c r="D950" s="1" t="s">
        <v>19</v>
      </c>
      <c r="E950" s="1" t="s">
        <v>112</v>
      </c>
      <c r="F950">
        <v>2016</v>
      </c>
      <c r="G950">
        <v>0</v>
      </c>
      <c r="H950" s="1" t="s">
        <v>59</v>
      </c>
      <c r="I950">
        <v>20</v>
      </c>
      <c r="J950">
        <v>2663</v>
      </c>
      <c r="K950" s="1" t="s">
        <v>113</v>
      </c>
      <c r="L950" s="1" t="s">
        <v>23</v>
      </c>
      <c r="M950">
        <v>0</v>
      </c>
      <c r="N950">
        <v>0</v>
      </c>
      <c r="O950">
        <v>0</v>
      </c>
      <c r="P950" s="2">
        <v>41275</v>
      </c>
      <c r="Q950">
        <v>0</v>
      </c>
      <c r="R950" s="1" t="s">
        <v>61</v>
      </c>
    </row>
    <row r="951" spans="1:18" x14ac:dyDescent="0.25">
      <c r="A951">
        <v>2013</v>
      </c>
      <c r="B951">
        <v>2</v>
      </c>
      <c r="C951" s="1" t="s">
        <v>25</v>
      </c>
      <c r="D951" s="1" t="s">
        <v>19</v>
      </c>
      <c r="E951" s="1" t="s">
        <v>112</v>
      </c>
      <c r="F951">
        <v>2016</v>
      </c>
      <c r="G951">
        <v>0</v>
      </c>
      <c r="H951" s="1" t="s">
        <v>59</v>
      </c>
      <c r="I951">
        <v>20</v>
      </c>
      <c r="J951">
        <v>2663</v>
      </c>
      <c r="K951" s="1" t="s">
        <v>113</v>
      </c>
      <c r="L951" s="1" t="s">
        <v>23</v>
      </c>
      <c r="M951">
        <v>0</v>
      </c>
      <c r="N951">
        <v>0</v>
      </c>
      <c r="O951">
        <v>0</v>
      </c>
      <c r="P951" s="2">
        <v>41306</v>
      </c>
      <c r="Q951">
        <v>0</v>
      </c>
      <c r="R951" s="1" t="s">
        <v>61</v>
      </c>
    </row>
    <row r="952" spans="1:18" x14ac:dyDescent="0.25">
      <c r="A952">
        <v>2013</v>
      </c>
      <c r="B952">
        <v>3</v>
      </c>
      <c r="C952" s="1" t="s">
        <v>26</v>
      </c>
      <c r="D952" s="1" t="s">
        <v>19</v>
      </c>
      <c r="E952" s="1" t="s">
        <v>112</v>
      </c>
      <c r="F952">
        <v>2016</v>
      </c>
      <c r="G952">
        <v>0</v>
      </c>
      <c r="H952" s="1" t="s">
        <v>59</v>
      </c>
      <c r="I952">
        <v>20</v>
      </c>
      <c r="J952">
        <v>2663</v>
      </c>
      <c r="K952" s="1" t="s">
        <v>113</v>
      </c>
      <c r="L952" s="1" t="s">
        <v>23</v>
      </c>
      <c r="M952">
        <v>0</v>
      </c>
      <c r="N952">
        <v>0</v>
      </c>
      <c r="O952">
        <v>0</v>
      </c>
      <c r="P952" s="2">
        <v>41334</v>
      </c>
      <c r="Q952">
        <v>0</v>
      </c>
      <c r="R952" s="1" t="s">
        <v>61</v>
      </c>
    </row>
    <row r="953" spans="1:18" x14ac:dyDescent="0.25">
      <c r="A953">
        <v>2013</v>
      </c>
      <c r="B953">
        <v>4</v>
      </c>
      <c r="C953" s="1" t="s">
        <v>27</v>
      </c>
      <c r="D953" s="1" t="s">
        <v>19</v>
      </c>
      <c r="E953" s="1" t="s">
        <v>112</v>
      </c>
      <c r="F953">
        <v>2016</v>
      </c>
      <c r="G953">
        <v>0</v>
      </c>
      <c r="H953" s="1" t="s">
        <v>59</v>
      </c>
      <c r="I953">
        <v>20</v>
      </c>
      <c r="J953">
        <v>2663</v>
      </c>
      <c r="K953" s="1" t="s">
        <v>113</v>
      </c>
      <c r="L953" s="1" t="s">
        <v>23</v>
      </c>
      <c r="M953">
        <v>0</v>
      </c>
      <c r="N953">
        <v>0</v>
      </c>
      <c r="O953">
        <v>0</v>
      </c>
      <c r="P953" s="2">
        <v>41365</v>
      </c>
      <c r="Q953">
        <v>0</v>
      </c>
      <c r="R953" s="1" t="s">
        <v>61</v>
      </c>
    </row>
    <row r="954" spans="1:18" x14ac:dyDescent="0.25">
      <c r="A954">
        <v>2013</v>
      </c>
      <c r="B954">
        <v>5</v>
      </c>
      <c r="C954" s="1" t="s">
        <v>28</v>
      </c>
      <c r="D954" s="1" t="s">
        <v>19</v>
      </c>
      <c r="E954" s="1" t="s">
        <v>112</v>
      </c>
      <c r="F954">
        <v>2016</v>
      </c>
      <c r="G954">
        <v>0</v>
      </c>
      <c r="H954" s="1" t="s">
        <v>59</v>
      </c>
      <c r="I954">
        <v>20</v>
      </c>
      <c r="J954">
        <v>2663</v>
      </c>
      <c r="K954" s="1" t="s">
        <v>113</v>
      </c>
      <c r="L954" s="1" t="s">
        <v>23</v>
      </c>
      <c r="M954">
        <v>0</v>
      </c>
      <c r="N954">
        <v>0</v>
      </c>
      <c r="O954">
        <v>0</v>
      </c>
      <c r="P954" s="2">
        <v>41395</v>
      </c>
      <c r="Q954">
        <v>0</v>
      </c>
      <c r="R954" s="1" t="s">
        <v>61</v>
      </c>
    </row>
    <row r="955" spans="1:18" x14ac:dyDescent="0.25">
      <c r="A955">
        <v>2013</v>
      </c>
      <c r="B955">
        <v>6</v>
      </c>
      <c r="C955" s="1" t="s">
        <v>29</v>
      </c>
      <c r="D955" s="1" t="s">
        <v>19</v>
      </c>
      <c r="E955" s="1" t="s">
        <v>112</v>
      </c>
      <c r="F955">
        <v>2016</v>
      </c>
      <c r="G955">
        <v>0</v>
      </c>
      <c r="H955" s="1" t="s">
        <v>59</v>
      </c>
      <c r="I955">
        <v>20</v>
      </c>
      <c r="J955">
        <v>2663</v>
      </c>
      <c r="K955" s="1" t="s">
        <v>113</v>
      </c>
      <c r="L955" s="1" t="s">
        <v>23</v>
      </c>
      <c r="M955">
        <v>0</v>
      </c>
      <c r="N955">
        <v>0</v>
      </c>
      <c r="O955">
        <v>0</v>
      </c>
      <c r="P955" s="2">
        <v>41426</v>
      </c>
      <c r="Q955">
        <v>0</v>
      </c>
      <c r="R955" s="1" t="s">
        <v>61</v>
      </c>
    </row>
    <row r="956" spans="1:18" x14ac:dyDescent="0.25">
      <c r="A956">
        <v>2013</v>
      </c>
      <c r="B956">
        <v>7</v>
      </c>
      <c r="C956" s="1" t="s">
        <v>30</v>
      </c>
      <c r="D956" s="1" t="s">
        <v>19</v>
      </c>
      <c r="E956" s="1" t="s">
        <v>112</v>
      </c>
      <c r="F956">
        <v>2016</v>
      </c>
      <c r="G956">
        <v>0</v>
      </c>
      <c r="H956" s="1" t="s">
        <v>59</v>
      </c>
      <c r="I956">
        <v>20</v>
      </c>
      <c r="J956">
        <v>2663</v>
      </c>
      <c r="K956" s="1" t="s">
        <v>113</v>
      </c>
      <c r="L956" s="1" t="s">
        <v>23</v>
      </c>
      <c r="M956">
        <v>0</v>
      </c>
      <c r="N956">
        <v>0</v>
      </c>
      <c r="O956">
        <v>0</v>
      </c>
      <c r="P956" s="2">
        <v>41456</v>
      </c>
      <c r="Q956">
        <v>0</v>
      </c>
      <c r="R956" s="1" t="s">
        <v>61</v>
      </c>
    </row>
    <row r="957" spans="1:18" x14ac:dyDescent="0.25">
      <c r="A957">
        <v>2013</v>
      </c>
      <c r="B957">
        <v>8</v>
      </c>
      <c r="C957" s="1" t="s">
        <v>31</v>
      </c>
      <c r="D957" s="1" t="s">
        <v>19</v>
      </c>
      <c r="E957" s="1" t="s">
        <v>112</v>
      </c>
      <c r="F957">
        <v>2016</v>
      </c>
      <c r="G957">
        <v>0</v>
      </c>
      <c r="H957" s="1" t="s">
        <v>59</v>
      </c>
      <c r="I957">
        <v>20</v>
      </c>
      <c r="J957">
        <v>2663</v>
      </c>
      <c r="K957" s="1" t="s">
        <v>113</v>
      </c>
      <c r="L957" s="1" t="s">
        <v>23</v>
      </c>
      <c r="M957">
        <v>0</v>
      </c>
      <c r="N957">
        <v>0</v>
      </c>
      <c r="O957">
        <v>0</v>
      </c>
      <c r="P957" s="2">
        <v>41487</v>
      </c>
      <c r="Q957">
        <v>0</v>
      </c>
      <c r="R957" s="1" t="s">
        <v>61</v>
      </c>
    </row>
    <row r="958" spans="1:18" x14ac:dyDescent="0.25">
      <c r="A958">
        <v>2013</v>
      </c>
      <c r="B958">
        <v>9</v>
      </c>
      <c r="C958" s="1" t="s">
        <v>32</v>
      </c>
      <c r="D958" s="1" t="s">
        <v>19</v>
      </c>
      <c r="E958" s="1" t="s">
        <v>112</v>
      </c>
      <c r="F958">
        <v>2016</v>
      </c>
      <c r="G958">
        <v>0</v>
      </c>
      <c r="H958" s="1" t="s">
        <v>59</v>
      </c>
      <c r="I958">
        <v>20</v>
      </c>
      <c r="J958">
        <v>2663</v>
      </c>
      <c r="K958" s="1" t="s">
        <v>113</v>
      </c>
      <c r="L958" s="1" t="s">
        <v>23</v>
      </c>
      <c r="M958">
        <v>0</v>
      </c>
      <c r="N958">
        <v>0</v>
      </c>
      <c r="O958">
        <v>0</v>
      </c>
      <c r="P958" s="2">
        <v>41518</v>
      </c>
      <c r="Q958">
        <v>0</v>
      </c>
      <c r="R958" s="1" t="s">
        <v>61</v>
      </c>
    </row>
    <row r="959" spans="1:18" x14ac:dyDescent="0.25">
      <c r="A959">
        <v>2013</v>
      </c>
      <c r="B959">
        <v>10</v>
      </c>
      <c r="C959" s="1" t="s">
        <v>33</v>
      </c>
      <c r="D959" s="1" t="s">
        <v>19</v>
      </c>
      <c r="E959" s="1" t="s">
        <v>112</v>
      </c>
      <c r="F959">
        <v>2016</v>
      </c>
      <c r="G959">
        <v>0</v>
      </c>
      <c r="H959" s="1" t="s">
        <v>59</v>
      </c>
      <c r="I959">
        <v>20</v>
      </c>
      <c r="J959">
        <v>2663</v>
      </c>
      <c r="K959" s="1" t="s">
        <v>113</v>
      </c>
      <c r="L959" s="1" t="s">
        <v>23</v>
      </c>
      <c r="M959">
        <v>0</v>
      </c>
      <c r="N959">
        <v>0</v>
      </c>
      <c r="O959">
        <v>0</v>
      </c>
      <c r="P959" s="2">
        <v>41548</v>
      </c>
      <c r="Q959">
        <v>0</v>
      </c>
      <c r="R959" s="1" t="s">
        <v>61</v>
      </c>
    </row>
    <row r="960" spans="1:18" x14ac:dyDescent="0.25">
      <c r="A960">
        <v>2013</v>
      </c>
      <c r="B960">
        <v>11</v>
      </c>
      <c r="C960" s="1" t="s">
        <v>34</v>
      </c>
      <c r="D960" s="1" t="s">
        <v>19</v>
      </c>
      <c r="E960" s="1" t="s">
        <v>112</v>
      </c>
      <c r="F960">
        <v>2016</v>
      </c>
      <c r="G960">
        <v>0</v>
      </c>
      <c r="H960" s="1" t="s">
        <v>59</v>
      </c>
      <c r="I960">
        <v>20</v>
      </c>
      <c r="J960">
        <v>2663</v>
      </c>
      <c r="K960" s="1" t="s">
        <v>113</v>
      </c>
      <c r="L960" s="1" t="s">
        <v>23</v>
      </c>
      <c r="M960">
        <v>0</v>
      </c>
      <c r="N960">
        <v>0</v>
      </c>
      <c r="O960">
        <v>0</v>
      </c>
      <c r="P960" s="2">
        <v>41579</v>
      </c>
      <c r="Q960">
        <v>0</v>
      </c>
      <c r="R960" s="1" t="s">
        <v>61</v>
      </c>
    </row>
    <row r="961" spans="1:18" x14ac:dyDescent="0.25">
      <c r="A961">
        <v>2013</v>
      </c>
      <c r="B961">
        <v>12</v>
      </c>
      <c r="C961" s="1" t="s">
        <v>35</v>
      </c>
      <c r="D961" s="1" t="s">
        <v>19</v>
      </c>
      <c r="E961" s="1" t="s">
        <v>112</v>
      </c>
      <c r="F961">
        <v>2016</v>
      </c>
      <c r="G961">
        <v>0</v>
      </c>
      <c r="H961" s="1" t="s">
        <v>59</v>
      </c>
      <c r="I961">
        <v>20</v>
      </c>
      <c r="J961">
        <v>2663</v>
      </c>
      <c r="K961" s="1" t="s">
        <v>113</v>
      </c>
      <c r="L961" s="1" t="s">
        <v>23</v>
      </c>
      <c r="M961">
        <v>0</v>
      </c>
      <c r="N961">
        <v>0</v>
      </c>
      <c r="O961">
        <v>0</v>
      </c>
      <c r="P961" s="2">
        <v>41609</v>
      </c>
      <c r="Q961">
        <v>0</v>
      </c>
      <c r="R961" s="1" t="s">
        <v>61</v>
      </c>
    </row>
    <row r="962" spans="1:18" x14ac:dyDescent="0.25">
      <c r="A962">
        <v>2013</v>
      </c>
      <c r="B962">
        <v>1</v>
      </c>
      <c r="C962" s="1" t="s">
        <v>18</v>
      </c>
      <c r="D962" s="1" t="s">
        <v>19</v>
      </c>
      <c r="E962" s="1" t="s">
        <v>114</v>
      </c>
      <c r="F962">
        <v>2016</v>
      </c>
      <c r="G962">
        <v>0</v>
      </c>
      <c r="H962" s="1" t="s">
        <v>59</v>
      </c>
      <c r="I962">
        <v>14</v>
      </c>
      <c r="J962">
        <v>1746</v>
      </c>
      <c r="K962" s="1" t="s">
        <v>115</v>
      </c>
      <c r="L962" s="1" t="s">
        <v>23</v>
      </c>
      <c r="M962">
        <v>0</v>
      </c>
      <c r="N962">
        <v>0</v>
      </c>
      <c r="O962">
        <v>0</v>
      </c>
      <c r="P962" s="2">
        <v>41275</v>
      </c>
      <c r="Q962">
        <v>0</v>
      </c>
      <c r="R962" s="1" t="s">
        <v>61</v>
      </c>
    </row>
    <row r="963" spans="1:18" x14ac:dyDescent="0.25">
      <c r="A963">
        <v>2013</v>
      </c>
      <c r="B963">
        <v>2</v>
      </c>
      <c r="C963" s="1" t="s">
        <v>25</v>
      </c>
      <c r="D963" s="1" t="s">
        <v>19</v>
      </c>
      <c r="E963" s="1" t="s">
        <v>114</v>
      </c>
      <c r="F963">
        <v>2016</v>
      </c>
      <c r="G963">
        <v>0</v>
      </c>
      <c r="H963" s="1" t="s">
        <v>59</v>
      </c>
      <c r="I963">
        <v>14</v>
      </c>
      <c r="J963">
        <v>1746</v>
      </c>
      <c r="K963" s="1" t="s">
        <v>115</v>
      </c>
      <c r="L963" s="1" t="s">
        <v>23</v>
      </c>
      <c r="M963">
        <v>0</v>
      </c>
      <c r="N963">
        <v>0</v>
      </c>
      <c r="O963">
        <v>0</v>
      </c>
      <c r="P963" s="2">
        <v>41306</v>
      </c>
      <c r="Q963">
        <v>0</v>
      </c>
      <c r="R963" s="1" t="s">
        <v>61</v>
      </c>
    </row>
    <row r="964" spans="1:18" x14ac:dyDescent="0.25">
      <c r="A964">
        <v>2013</v>
      </c>
      <c r="B964">
        <v>3</v>
      </c>
      <c r="C964" s="1" t="s">
        <v>26</v>
      </c>
      <c r="D964" s="1" t="s">
        <v>19</v>
      </c>
      <c r="E964" s="1" t="s">
        <v>114</v>
      </c>
      <c r="F964">
        <v>2016</v>
      </c>
      <c r="G964">
        <v>0</v>
      </c>
      <c r="H964" s="1" t="s">
        <v>59</v>
      </c>
      <c r="I964">
        <v>14</v>
      </c>
      <c r="J964">
        <v>1746</v>
      </c>
      <c r="K964" s="1" t="s">
        <v>115</v>
      </c>
      <c r="L964" s="1" t="s">
        <v>23</v>
      </c>
      <c r="M964">
        <v>0</v>
      </c>
      <c r="N964">
        <v>0</v>
      </c>
      <c r="O964">
        <v>0</v>
      </c>
      <c r="P964" s="2">
        <v>41334</v>
      </c>
      <c r="Q964">
        <v>0</v>
      </c>
      <c r="R964" s="1" t="s">
        <v>61</v>
      </c>
    </row>
    <row r="965" spans="1:18" x14ac:dyDescent="0.25">
      <c r="A965">
        <v>2013</v>
      </c>
      <c r="B965">
        <v>4</v>
      </c>
      <c r="C965" s="1" t="s">
        <v>27</v>
      </c>
      <c r="D965" s="1" t="s">
        <v>19</v>
      </c>
      <c r="E965" s="1" t="s">
        <v>114</v>
      </c>
      <c r="F965">
        <v>2016</v>
      </c>
      <c r="G965">
        <v>0</v>
      </c>
      <c r="H965" s="1" t="s">
        <v>59</v>
      </c>
      <c r="I965">
        <v>14</v>
      </c>
      <c r="J965">
        <v>1746</v>
      </c>
      <c r="K965" s="1" t="s">
        <v>115</v>
      </c>
      <c r="L965" s="1" t="s">
        <v>23</v>
      </c>
      <c r="M965">
        <v>0</v>
      </c>
      <c r="N965">
        <v>0</v>
      </c>
      <c r="O965">
        <v>0</v>
      </c>
      <c r="P965" s="2">
        <v>41365</v>
      </c>
      <c r="Q965">
        <v>0</v>
      </c>
      <c r="R965" s="1" t="s">
        <v>61</v>
      </c>
    </row>
    <row r="966" spans="1:18" x14ac:dyDescent="0.25">
      <c r="A966">
        <v>2013</v>
      </c>
      <c r="B966">
        <v>5</v>
      </c>
      <c r="C966" s="1" t="s">
        <v>28</v>
      </c>
      <c r="D966" s="1" t="s">
        <v>19</v>
      </c>
      <c r="E966" s="1" t="s">
        <v>114</v>
      </c>
      <c r="F966">
        <v>2016</v>
      </c>
      <c r="G966">
        <v>0</v>
      </c>
      <c r="H966" s="1" t="s">
        <v>59</v>
      </c>
      <c r="I966">
        <v>14</v>
      </c>
      <c r="J966">
        <v>1746</v>
      </c>
      <c r="K966" s="1" t="s">
        <v>115</v>
      </c>
      <c r="L966" s="1" t="s">
        <v>23</v>
      </c>
      <c r="M966">
        <v>0</v>
      </c>
      <c r="N966">
        <v>0</v>
      </c>
      <c r="O966">
        <v>0</v>
      </c>
      <c r="P966" s="2">
        <v>41395</v>
      </c>
      <c r="Q966">
        <v>0</v>
      </c>
      <c r="R966" s="1" t="s">
        <v>61</v>
      </c>
    </row>
    <row r="967" spans="1:18" x14ac:dyDescent="0.25">
      <c r="A967">
        <v>2013</v>
      </c>
      <c r="B967">
        <v>6</v>
      </c>
      <c r="C967" s="1" t="s">
        <v>29</v>
      </c>
      <c r="D967" s="1" t="s">
        <v>19</v>
      </c>
      <c r="E967" s="1" t="s">
        <v>114</v>
      </c>
      <c r="F967">
        <v>2016</v>
      </c>
      <c r="G967">
        <v>0</v>
      </c>
      <c r="H967" s="1" t="s">
        <v>59</v>
      </c>
      <c r="I967">
        <v>14</v>
      </c>
      <c r="J967">
        <v>1746</v>
      </c>
      <c r="K967" s="1" t="s">
        <v>115</v>
      </c>
      <c r="L967" s="1" t="s">
        <v>23</v>
      </c>
      <c r="M967">
        <v>0</v>
      </c>
      <c r="N967">
        <v>0</v>
      </c>
      <c r="O967">
        <v>0</v>
      </c>
      <c r="P967" s="2">
        <v>41426</v>
      </c>
      <c r="Q967">
        <v>0</v>
      </c>
      <c r="R967" s="1" t="s">
        <v>61</v>
      </c>
    </row>
    <row r="968" spans="1:18" x14ac:dyDescent="0.25">
      <c r="A968">
        <v>2013</v>
      </c>
      <c r="B968">
        <v>7</v>
      </c>
      <c r="C968" s="1" t="s">
        <v>30</v>
      </c>
      <c r="D968" s="1" t="s">
        <v>19</v>
      </c>
      <c r="E968" s="1" t="s">
        <v>114</v>
      </c>
      <c r="F968">
        <v>2016</v>
      </c>
      <c r="G968">
        <v>0</v>
      </c>
      <c r="H968" s="1" t="s">
        <v>59</v>
      </c>
      <c r="I968">
        <v>14</v>
      </c>
      <c r="J968">
        <v>1746</v>
      </c>
      <c r="K968" s="1" t="s">
        <v>115</v>
      </c>
      <c r="L968" s="1" t="s">
        <v>23</v>
      </c>
      <c r="M968">
        <v>0</v>
      </c>
      <c r="N968">
        <v>0</v>
      </c>
      <c r="O968">
        <v>0</v>
      </c>
      <c r="P968" s="2">
        <v>41456</v>
      </c>
      <c r="Q968">
        <v>0</v>
      </c>
      <c r="R968" s="1" t="s">
        <v>61</v>
      </c>
    </row>
    <row r="969" spans="1:18" x14ac:dyDescent="0.25">
      <c r="A969">
        <v>2013</v>
      </c>
      <c r="B969">
        <v>8</v>
      </c>
      <c r="C969" s="1" t="s">
        <v>31</v>
      </c>
      <c r="D969" s="1" t="s">
        <v>19</v>
      </c>
      <c r="E969" s="1" t="s">
        <v>114</v>
      </c>
      <c r="F969">
        <v>2016</v>
      </c>
      <c r="G969">
        <v>0</v>
      </c>
      <c r="H969" s="1" t="s">
        <v>59</v>
      </c>
      <c r="I969">
        <v>14</v>
      </c>
      <c r="J969">
        <v>1746</v>
      </c>
      <c r="K969" s="1" t="s">
        <v>115</v>
      </c>
      <c r="L969" s="1" t="s">
        <v>23</v>
      </c>
      <c r="M969">
        <v>0</v>
      </c>
      <c r="N969">
        <v>0</v>
      </c>
      <c r="O969">
        <v>0</v>
      </c>
      <c r="P969" s="2">
        <v>41487</v>
      </c>
      <c r="Q969">
        <v>0</v>
      </c>
      <c r="R969" s="1" t="s">
        <v>61</v>
      </c>
    </row>
    <row r="970" spans="1:18" x14ac:dyDescent="0.25">
      <c r="A970">
        <v>2013</v>
      </c>
      <c r="B970">
        <v>9</v>
      </c>
      <c r="C970" s="1" t="s">
        <v>32</v>
      </c>
      <c r="D970" s="1" t="s">
        <v>19</v>
      </c>
      <c r="E970" s="1" t="s">
        <v>114</v>
      </c>
      <c r="F970">
        <v>2016</v>
      </c>
      <c r="G970">
        <v>0</v>
      </c>
      <c r="H970" s="1" t="s">
        <v>59</v>
      </c>
      <c r="I970">
        <v>14</v>
      </c>
      <c r="J970">
        <v>1746</v>
      </c>
      <c r="K970" s="1" t="s">
        <v>115</v>
      </c>
      <c r="L970" s="1" t="s">
        <v>23</v>
      </c>
      <c r="M970">
        <v>0</v>
      </c>
      <c r="N970">
        <v>0</v>
      </c>
      <c r="O970">
        <v>0</v>
      </c>
      <c r="P970" s="2">
        <v>41518</v>
      </c>
      <c r="Q970">
        <v>0</v>
      </c>
      <c r="R970" s="1" t="s">
        <v>61</v>
      </c>
    </row>
    <row r="971" spans="1:18" x14ac:dyDescent="0.25">
      <c r="A971">
        <v>2013</v>
      </c>
      <c r="B971">
        <v>10</v>
      </c>
      <c r="C971" s="1" t="s">
        <v>33</v>
      </c>
      <c r="D971" s="1" t="s">
        <v>19</v>
      </c>
      <c r="E971" s="1" t="s">
        <v>114</v>
      </c>
      <c r="F971">
        <v>2016</v>
      </c>
      <c r="G971">
        <v>0</v>
      </c>
      <c r="H971" s="1" t="s">
        <v>59</v>
      </c>
      <c r="I971">
        <v>14</v>
      </c>
      <c r="J971">
        <v>1746</v>
      </c>
      <c r="K971" s="1" t="s">
        <v>115</v>
      </c>
      <c r="L971" s="1" t="s">
        <v>23</v>
      </c>
      <c r="M971">
        <v>0</v>
      </c>
      <c r="N971">
        <v>0</v>
      </c>
      <c r="O971">
        <v>0</v>
      </c>
      <c r="P971" s="2">
        <v>41548</v>
      </c>
      <c r="Q971">
        <v>0</v>
      </c>
      <c r="R971" s="1" t="s">
        <v>61</v>
      </c>
    </row>
    <row r="972" spans="1:18" x14ac:dyDescent="0.25">
      <c r="A972">
        <v>2013</v>
      </c>
      <c r="B972">
        <v>11</v>
      </c>
      <c r="C972" s="1" t="s">
        <v>34</v>
      </c>
      <c r="D972" s="1" t="s">
        <v>19</v>
      </c>
      <c r="E972" s="1" t="s">
        <v>114</v>
      </c>
      <c r="F972">
        <v>2016</v>
      </c>
      <c r="G972">
        <v>0</v>
      </c>
      <c r="H972" s="1" t="s">
        <v>59</v>
      </c>
      <c r="I972">
        <v>14</v>
      </c>
      <c r="J972">
        <v>1746</v>
      </c>
      <c r="K972" s="1" t="s">
        <v>115</v>
      </c>
      <c r="L972" s="1" t="s">
        <v>23</v>
      </c>
      <c r="M972">
        <v>0</v>
      </c>
      <c r="N972">
        <v>0</v>
      </c>
      <c r="O972">
        <v>0</v>
      </c>
      <c r="P972" s="2">
        <v>41579</v>
      </c>
      <c r="Q972">
        <v>0</v>
      </c>
      <c r="R972" s="1" t="s">
        <v>61</v>
      </c>
    </row>
    <row r="973" spans="1:18" x14ac:dyDescent="0.25">
      <c r="A973">
        <v>2013</v>
      </c>
      <c r="B973">
        <v>12</v>
      </c>
      <c r="C973" s="1" t="s">
        <v>35</v>
      </c>
      <c r="D973" s="1" t="s">
        <v>19</v>
      </c>
      <c r="E973" s="1" t="s">
        <v>114</v>
      </c>
      <c r="F973">
        <v>2016</v>
      </c>
      <c r="G973">
        <v>0</v>
      </c>
      <c r="H973" s="1" t="s">
        <v>59</v>
      </c>
      <c r="I973">
        <v>14</v>
      </c>
      <c r="J973">
        <v>1746</v>
      </c>
      <c r="K973" s="1" t="s">
        <v>115</v>
      </c>
      <c r="L973" s="1" t="s">
        <v>23</v>
      </c>
      <c r="M973">
        <v>0</v>
      </c>
      <c r="N973">
        <v>0</v>
      </c>
      <c r="O973">
        <v>0</v>
      </c>
      <c r="P973" s="2">
        <v>41609</v>
      </c>
      <c r="Q973">
        <v>0</v>
      </c>
      <c r="R973" s="1" t="s">
        <v>61</v>
      </c>
    </row>
    <row r="974" spans="1:18" x14ac:dyDescent="0.25">
      <c r="A974">
        <v>2013</v>
      </c>
      <c r="B974">
        <v>1</v>
      </c>
      <c r="C974" s="1" t="s">
        <v>18</v>
      </c>
      <c r="D974" s="1" t="s">
        <v>19</v>
      </c>
      <c r="E974" s="1" t="s">
        <v>116</v>
      </c>
      <c r="F974">
        <v>2016</v>
      </c>
      <c r="G974">
        <v>0</v>
      </c>
      <c r="H974" s="1" t="s">
        <v>59</v>
      </c>
      <c r="I974">
        <v>24</v>
      </c>
      <c r="J974">
        <v>3377</v>
      </c>
      <c r="K974" s="1" t="s">
        <v>103</v>
      </c>
      <c r="L974" s="1" t="s">
        <v>23</v>
      </c>
      <c r="M974">
        <v>0</v>
      </c>
      <c r="N974">
        <v>0</v>
      </c>
      <c r="O974">
        <v>0</v>
      </c>
      <c r="P974" s="2">
        <v>41275</v>
      </c>
      <c r="Q974">
        <v>0</v>
      </c>
      <c r="R974" s="1" t="s">
        <v>61</v>
      </c>
    </row>
    <row r="975" spans="1:18" x14ac:dyDescent="0.25">
      <c r="A975">
        <v>2013</v>
      </c>
      <c r="B975">
        <v>2</v>
      </c>
      <c r="C975" s="1" t="s">
        <v>25</v>
      </c>
      <c r="D975" s="1" t="s">
        <v>19</v>
      </c>
      <c r="E975" s="1" t="s">
        <v>116</v>
      </c>
      <c r="F975">
        <v>2016</v>
      </c>
      <c r="G975">
        <v>0</v>
      </c>
      <c r="H975" s="1" t="s">
        <v>59</v>
      </c>
      <c r="I975">
        <v>24</v>
      </c>
      <c r="J975">
        <v>3377</v>
      </c>
      <c r="K975" s="1" t="s">
        <v>103</v>
      </c>
      <c r="L975" s="1" t="s">
        <v>23</v>
      </c>
      <c r="M975">
        <v>0</v>
      </c>
      <c r="N975">
        <v>0</v>
      </c>
      <c r="O975">
        <v>0</v>
      </c>
      <c r="P975" s="2">
        <v>41306</v>
      </c>
      <c r="Q975">
        <v>0</v>
      </c>
      <c r="R975" s="1" t="s">
        <v>61</v>
      </c>
    </row>
    <row r="976" spans="1:18" x14ac:dyDescent="0.25">
      <c r="A976">
        <v>2013</v>
      </c>
      <c r="B976">
        <v>3</v>
      </c>
      <c r="C976" s="1" t="s">
        <v>26</v>
      </c>
      <c r="D976" s="1" t="s">
        <v>19</v>
      </c>
      <c r="E976" s="1" t="s">
        <v>116</v>
      </c>
      <c r="F976">
        <v>2016</v>
      </c>
      <c r="G976">
        <v>0</v>
      </c>
      <c r="H976" s="1" t="s">
        <v>59</v>
      </c>
      <c r="I976">
        <v>24</v>
      </c>
      <c r="J976">
        <v>3377</v>
      </c>
      <c r="K976" s="1" t="s">
        <v>103</v>
      </c>
      <c r="L976" s="1" t="s">
        <v>23</v>
      </c>
      <c r="M976">
        <v>0</v>
      </c>
      <c r="N976">
        <v>0</v>
      </c>
      <c r="O976">
        <v>0</v>
      </c>
      <c r="P976" s="2">
        <v>41334</v>
      </c>
      <c r="Q976">
        <v>0</v>
      </c>
      <c r="R976" s="1" t="s">
        <v>61</v>
      </c>
    </row>
    <row r="977" spans="1:18" x14ac:dyDescent="0.25">
      <c r="A977">
        <v>2013</v>
      </c>
      <c r="B977">
        <v>4</v>
      </c>
      <c r="C977" s="1" t="s">
        <v>27</v>
      </c>
      <c r="D977" s="1" t="s">
        <v>19</v>
      </c>
      <c r="E977" s="1" t="s">
        <v>116</v>
      </c>
      <c r="F977">
        <v>2016</v>
      </c>
      <c r="G977">
        <v>0</v>
      </c>
      <c r="H977" s="1" t="s">
        <v>59</v>
      </c>
      <c r="I977">
        <v>24</v>
      </c>
      <c r="J977">
        <v>3377</v>
      </c>
      <c r="K977" s="1" t="s">
        <v>103</v>
      </c>
      <c r="L977" s="1" t="s">
        <v>23</v>
      </c>
      <c r="M977">
        <v>0</v>
      </c>
      <c r="N977">
        <v>0</v>
      </c>
      <c r="O977">
        <v>0</v>
      </c>
      <c r="P977" s="2">
        <v>41365</v>
      </c>
      <c r="Q977">
        <v>0</v>
      </c>
      <c r="R977" s="1" t="s">
        <v>61</v>
      </c>
    </row>
    <row r="978" spans="1:18" x14ac:dyDescent="0.25">
      <c r="A978">
        <v>2013</v>
      </c>
      <c r="B978">
        <v>5</v>
      </c>
      <c r="C978" s="1" t="s">
        <v>28</v>
      </c>
      <c r="D978" s="1" t="s">
        <v>19</v>
      </c>
      <c r="E978" s="1" t="s">
        <v>116</v>
      </c>
      <c r="F978">
        <v>2016</v>
      </c>
      <c r="G978">
        <v>0</v>
      </c>
      <c r="H978" s="1" t="s">
        <v>59</v>
      </c>
      <c r="I978">
        <v>24</v>
      </c>
      <c r="J978">
        <v>3377</v>
      </c>
      <c r="K978" s="1" t="s">
        <v>103</v>
      </c>
      <c r="L978" s="1" t="s">
        <v>23</v>
      </c>
      <c r="M978">
        <v>0</v>
      </c>
      <c r="N978">
        <v>0</v>
      </c>
      <c r="O978">
        <v>0</v>
      </c>
      <c r="P978" s="2">
        <v>41395</v>
      </c>
      <c r="Q978">
        <v>0</v>
      </c>
      <c r="R978" s="1" t="s">
        <v>61</v>
      </c>
    </row>
    <row r="979" spans="1:18" x14ac:dyDescent="0.25">
      <c r="A979">
        <v>2013</v>
      </c>
      <c r="B979">
        <v>6</v>
      </c>
      <c r="C979" s="1" t="s">
        <v>29</v>
      </c>
      <c r="D979" s="1" t="s">
        <v>19</v>
      </c>
      <c r="E979" s="1" t="s">
        <v>116</v>
      </c>
      <c r="F979">
        <v>2016</v>
      </c>
      <c r="G979">
        <v>0</v>
      </c>
      <c r="H979" s="1" t="s">
        <v>59</v>
      </c>
      <c r="I979">
        <v>24</v>
      </c>
      <c r="J979">
        <v>3377</v>
      </c>
      <c r="K979" s="1" t="s">
        <v>103</v>
      </c>
      <c r="L979" s="1" t="s">
        <v>23</v>
      </c>
      <c r="M979">
        <v>0</v>
      </c>
      <c r="N979">
        <v>0</v>
      </c>
      <c r="O979">
        <v>0</v>
      </c>
      <c r="P979" s="2">
        <v>41426</v>
      </c>
      <c r="Q979">
        <v>0</v>
      </c>
      <c r="R979" s="1" t="s">
        <v>61</v>
      </c>
    </row>
    <row r="980" spans="1:18" x14ac:dyDescent="0.25">
      <c r="A980">
        <v>2013</v>
      </c>
      <c r="B980">
        <v>7</v>
      </c>
      <c r="C980" s="1" t="s">
        <v>30</v>
      </c>
      <c r="D980" s="1" t="s">
        <v>19</v>
      </c>
      <c r="E980" s="1" t="s">
        <v>116</v>
      </c>
      <c r="F980">
        <v>2016</v>
      </c>
      <c r="G980">
        <v>0</v>
      </c>
      <c r="H980" s="1" t="s">
        <v>59</v>
      </c>
      <c r="I980">
        <v>24</v>
      </c>
      <c r="J980">
        <v>3377</v>
      </c>
      <c r="K980" s="1" t="s">
        <v>103</v>
      </c>
      <c r="L980" s="1" t="s">
        <v>23</v>
      </c>
      <c r="M980">
        <v>0</v>
      </c>
      <c r="N980">
        <v>0</v>
      </c>
      <c r="O980">
        <v>0</v>
      </c>
      <c r="P980" s="2">
        <v>41456</v>
      </c>
      <c r="Q980">
        <v>0</v>
      </c>
      <c r="R980" s="1" t="s">
        <v>61</v>
      </c>
    </row>
    <row r="981" spans="1:18" x14ac:dyDescent="0.25">
      <c r="A981">
        <v>2013</v>
      </c>
      <c r="B981">
        <v>8</v>
      </c>
      <c r="C981" s="1" t="s">
        <v>31</v>
      </c>
      <c r="D981" s="1" t="s">
        <v>19</v>
      </c>
      <c r="E981" s="1" t="s">
        <v>116</v>
      </c>
      <c r="F981">
        <v>2016</v>
      </c>
      <c r="G981">
        <v>0</v>
      </c>
      <c r="H981" s="1" t="s">
        <v>59</v>
      </c>
      <c r="I981">
        <v>24</v>
      </c>
      <c r="J981">
        <v>3377</v>
      </c>
      <c r="K981" s="1" t="s">
        <v>103</v>
      </c>
      <c r="L981" s="1" t="s">
        <v>23</v>
      </c>
      <c r="M981">
        <v>0</v>
      </c>
      <c r="N981">
        <v>0</v>
      </c>
      <c r="O981">
        <v>0</v>
      </c>
      <c r="P981" s="2">
        <v>41487</v>
      </c>
      <c r="Q981">
        <v>0</v>
      </c>
      <c r="R981" s="1" t="s">
        <v>61</v>
      </c>
    </row>
    <row r="982" spans="1:18" x14ac:dyDescent="0.25">
      <c r="A982">
        <v>2013</v>
      </c>
      <c r="B982">
        <v>9</v>
      </c>
      <c r="C982" s="1" t="s">
        <v>32</v>
      </c>
      <c r="D982" s="1" t="s">
        <v>19</v>
      </c>
      <c r="E982" s="1" t="s">
        <v>116</v>
      </c>
      <c r="F982">
        <v>2016</v>
      </c>
      <c r="G982">
        <v>0</v>
      </c>
      <c r="H982" s="1" t="s">
        <v>59</v>
      </c>
      <c r="I982">
        <v>24</v>
      </c>
      <c r="J982">
        <v>3377</v>
      </c>
      <c r="K982" s="1" t="s">
        <v>103</v>
      </c>
      <c r="L982" s="1" t="s">
        <v>23</v>
      </c>
      <c r="M982">
        <v>0</v>
      </c>
      <c r="N982">
        <v>0</v>
      </c>
      <c r="O982">
        <v>0</v>
      </c>
      <c r="P982" s="2">
        <v>41518</v>
      </c>
      <c r="Q982">
        <v>0</v>
      </c>
      <c r="R982" s="1" t="s">
        <v>61</v>
      </c>
    </row>
    <row r="983" spans="1:18" x14ac:dyDescent="0.25">
      <c r="A983">
        <v>2013</v>
      </c>
      <c r="B983">
        <v>10</v>
      </c>
      <c r="C983" s="1" t="s">
        <v>33</v>
      </c>
      <c r="D983" s="1" t="s">
        <v>19</v>
      </c>
      <c r="E983" s="1" t="s">
        <v>116</v>
      </c>
      <c r="F983">
        <v>2016</v>
      </c>
      <c r="G983">
        <v>0</v>
      </c>
      <c r="H983" s="1" t="s">
        <v>59</v>
      </c>
      <c r="I983">
        <v>24</v>
      </c>
      <c r="J983">
        <v>3377</v>
      </c>
      <c r="K983" s="1" t="s">
        <v>103</v>
      </c>
      <c r="L983" s="1" t="s">
        <v>23</v>
      </c>
      <c r="M983">
        <v>0</v>
      </c>
      <c r="N983">
        <v>0</v>
      </c>
      <c r="O983">
        <v>0</v>
      </c>
      <c r="P983" s="2">
        <v>41548</v>
      </c>
      <c r="Q983">
        <v>0</v>
      </c>
      <c r="R983" s="1" t="s">
        <v>61</v>
      </c>
    </row>
    <row r="984" spans="1:18" x14ac:dyDescent="0.25">
      <c r="A984">
        <v>2013</v>
      </c>
      <c r="B984">
        <v>11</v>
      </c>
      <c r="C984" s="1" t="s">
        <v>34</v>
      </c>
      <c r="D984" s="1" t="s">
        <v>19</v>
      </c>
      <c r="E984" s="1" t="s">
        <v>116</v>
      </c>
      <c r="F984">
        <v>2016</v>
      </c>
      <c r="G984">
        <v>0</v>
      </c>
      <c r="H984" s="1" t="s">
        <v>59</v>
      </c>
      <c r="I984">
        <v>24</v>
      </c>
      <c r="J984">
        <v>3377</v>
      </c>
      <c r="K984" s="1" t="s">
        <v>103</v>
      </c>
      <c r="L984" s="1" t="s">
        <v>23</v>
      </c>
      <c r="M984">
        <v>0</v>
      </c>
      <c r="N984">
        <v>0</v>
      </c>
      <c r="O984">
        <v>0</v>
      </c>
      <c r="P984" s="2">
        <v>41579</v>
      </c>
      <c r="Q984">
        <v>0</v>
      </c>
      <c r="R984" s="1" t="s">
        <v>61</v>
      </c>
    </row>
    <row r="985" spans="1:18" x14ac:dyDescent="0.25">
      <c r="A985">
        <v>2013</v>
      </c>
      <c r="B985">
        <v>12</v>
      </c>
      <c r="C985" s="1" t="s">
        <v>35</v>
      </c>
      <c r="D985" s="1" t="s">
        <v>19</v>
      </c>
      <c r="E985" s="1" t="s">
        <v>116</v>
      </c>
      <c r="F985">
        <v>2016</v>
      </c>
      <c r="G985">
        <v>0</v>
      </c>
      <c r="H985" s="1" t="s">
        <v>59</v>
      </c>
      <c r="I985">
        <v>24</v>
      </c>
      <c r="J985">
        <v>3377</v>
      </c>
      <c r="K985" s="1" t="s">
        <v>103</v>
      </c>
      <c r="L985" s="1" t="s">
        <v>23</v>
      </c>
      <c r="M985">
        <v>0</v>
      </c>
      <c r="N985">
        <v>0</v>
      </c>
      <c r="O985">
        <v>0</v>
      </c>
      <c r="P985" s="2">
        <v>41609</v>
      </c>
      <c r="Q985">
        <v>0</v>
      </c>
      <c r="R985" s="1" t="s">
        <v>61</v>
      </c>
    </row>
    <row r="986" spans="1:18" x14ac:dyDescent="0.25">
      <c r="A986">
        <v>2013</v>
      </c>
      <c r="B986">
        <v>1</v>
      </c>
      <c r="C986" s="1" t="s">
        <v>18</v>
      </c>
      <c r="D986" s="1" t="s">
        <v>19</v>
      </c>
      <c r="E986" s="1" t="s">
        <v>117</v>
      </c>
      <c r="F986">
        <v>2016</v>
      </c>
      <c r="G986">
        <v>0</v>
      </c>
      <c r="H986" s="1" t="s">
        <v>59</v>
      </c>
      <c r="I986">
        <v>25</v>
      </c>
      <c r="J986">
        <v>3431</v>
      </c>
      <c r="K986" s="1" t="s">
        <v>118</v>
      </c>
      <c r="L986" s="1" t="s">
        <v>23</v>
      </c>
      <c r="M986">
        <v>0</v>
      </c>
      <c r="N986">
        <v>0</v>
      </c>
      <c r="O986">
        <v>0</v>
      </c>
      <c r="P986" s="2">
        <v>41275</v>
      </c>
      <c r="Q986">
        <v>0</v>
      </c>
      <c r="R986" s="1" t="s">
        <v>61</v>
      </c>
    </row>
    <row r="987" spans="1:18" x14ac:dyDescent="0.25">
      <c r="A987">
        <v>2013</v>
      </c>
      <c r="B987">
        <v>2</v>
      </c>
      <c r="C987" s="1" t="s">
        <v>25</v>
      </c>
      <c r="D987" s="1" t="s">
        <v>19</v>
      </c>
      <c r="E987" s="1" t="s">
        <v>117</v>
      </c>
      <c r="F987">
        <v>2016</v>
      </c>
      <c r="G987">
        <v>0</v>
      </c>
      <c r="H987" s="1" t="s">
        <v>59</v>
      </c>
      <c r="I987">
        <v>25</v>
      </c>
      <c r="J987">
        <v>3431</v>
      </c>
      <c r="K987" s="1" t="s">
        <v>118</v>
      </c>
      <c r="L987" s="1" t="s">
        <v>23</v>
      </c>
      <c r="M987">
        <v>0</v>
      </c>
      <c r="N987">
        <v>0</v>
      </c>
      <c r="O987">
        <v>0</v>
      </c>
      <c r="P987" s="2">
        <v>41306</v>
      </c>
      <c r="Q987">
        <v>0</v>
      </c>
      <c r="R987" s="1" t="s">
        <v>61</v>
      </c>
    </row>
    <row r="988" spans="1:18" x14ac:dyDescent="0.25">
      <c r="A988">
        <v>2013</v>
      </c>
      <c r="B988">
        <v>3</v>
      </c>
      <c r="C988" s="1" t="s">
        <v>26</v>
      </c>
      <c r="D988" s="1" t="s">
        <v>19</v>
      </c>
      <c r="E988" s="1" t="s">
        <v>117</v>
      </c>
      <c r="F988">
        <v>2016</v>
      </c>
      <c r="G988">
        <v>0</v>
      </c>
      <c r="H988" s="1" t="s">
        <v>59</v>
      </c>
      <c r="I988">
        <v>25</v>
      </c>
      <c r="J988">
        <v>3431</v>
      </c>
      <c r="K988" s="1" t="s">
        <v>118</v>
      </c>
      <c r="L988" s="1" t="s">
        <v>23</v>
      </c>
      <c r="M988">
        <v>0</v>
      </c>
      <c r="N988">
        <v>0</v>
      </c>
      <c r="O988">
        <v>0</v>
      </c>
      <c r="P988" s="2">
        <v>41334</v>
      </c>
      <c r="Q988">
        <v>0</v>
      </c>
      <c r="R988" s="1" t="s">
        <v>61</v>
      </c>
    </row>
    <row r="989" spans="1:18" x14ac:dyDescent="0.25">
      <c r="A989">
        <v>2013</v>
      </c>
      <c r="B989">
        <v>4</v>
      </c>
      <c r="C989" s="1" t="s">
        <v>27</v>
      </c>
      <c r="D989" s="1" t="s">
        <v>19</v>
      </c>
      <c r="E989" s="1" t="s">
        <v>117</v>
      </c>
      <c r="F989">
        <v>2016</v>
      </c>
      <c r="G989">
        <v>0</v>
      </c>
      <c r="H989" s="1" t="s">
        <v>59</v>
      </c>
      <c r="I989">
        <v>25</v>
      </c>
      <c r="J989">
        <v>3431</v>
      </c>
      <c r="K989" s="1" t="s">
        <v>118</v>
      </c>
      <c r="L989" s="1" t="s">
        <v>23</v>
      </c>
      <c r="M989">
        <v>0</v>
      </c>
      <c r="N989">
        <v>0</v>
      </c>
      <c r="O989">
        <v>0</v>
      </c>
      <c r="P989" s="2">
        <v>41365</v>
      </c>
      <c r="Q989">
        <v>0</v>
      </c>
      <c r="R989" s="1" t="s">
        <v>61</v>
      </c>
    </row>
    <row r="990" spans="1:18" x14ac:dyDescent="0.25">
      <c r="A990">
        <v>2013</v>
      </c>
      <c r="B990">
        <v>5</v>
      </c>
      <c r="C990" s="1" t="s">
        <v>28</v>
      </c>
      <c r="D990" s="1" t="s">
        <v>19</v>
      </c>
      <c r="E990" s="1" t="s">
        <v>117</v>
      </c>
      <c r="F990">
        <v>2016</v>
      </c>
      <c r="G990">
        <v>0</v>
      </c>
      <c r="H990" s="1" t="s">
        <v>59</v>
      </c>
      <c r="I990">
        <v>25</v>
      </c>
      <c r="J990">
        <v>3431</v>
      </c>
      <c r="K990" s="1" t="s">
        <v>118</v>
      </c>
      <c r="L990" s="1" t="s">
        <v>23</v>
      </c>
      <c r="M990">
        <v>0</v>
      </c>
      <c r="N990">
        <v>0</v>
      </c>
      <c r="O990">
        <v>0</v>
      </c>
      <c r="P990" s="2">
        <v>41395</v>
      </c>
      <c r="Q990">
        <v>0</v>
      </c>
      <c r="R990" s="1" t="s">
        <v>61</v>
      </c>
    </row>
    <row r="991" spans="1:18" x14ac:dyDescent="0.25">
      <c r="A991">
        <v>2013</v>
      </c>
      <c r="B991">
        <v>6</v>
      </c>
      <c r="C991" s="1" t="s">
        <v>29</v>
      </c>
      <c r="D991" s="1" t="s">
        <v>19</v>
      </c>
      <c r="E991" s="1" t="s">
        <v>117</v>
      </c>
      <c r="F991">
        <v>2016</v>
      </c>
      <c r="G991">
        <v>0</v>
      </c>
      <c r="H991" s="1" t="s">
        <v>59</v>
      </c>
      <c r="I991">
        <v>25</v>
      </c>
      <c r="J991">
        <v>3431</v>
      </c>
      <c r="K991" s="1" t="s">
        <v>118</v>
      </c>
      <c r="L991" s="1" t="s">
        <v>23</v>
      </c>
      <c r="M991">
        <v>0</v>
      </c>
      <c r="N991">
        <v>0</v>
      </c>
      <c r="O991">
        <v>0</v>
      </c>
      <c r="P991" s="2">
        <v>41426</v>
      </c>
      <c r="Q991">
        <v>0</v>
      </c>
      <c r="R991" s="1" t="s">
        <v>61</v>
      </c>
    </row>
    <row r="992" spans="1:18" x14ac:dyDescent="0.25">
      <c r="A992">
        <v>2013</v>
      </c>
      <c r="B992">
        <v>7</v>
      </c>
      <c r="C992" s="1" t="s">
        <v>30</v>
      </c>
      <c r="D992" s="1" t="s">
        <v>19</v>
      </c>
      <c r="E992" s="1" t="s">
        <v>117</v>
      </c>
      <c r="F992">
        <v>2016</v>
      </c>
      <c r="G992">
        <v>0</v>
      </c>
      <c r="H992" s="1" t="s">
        <v>59</v>
      </c>
      <c r="I992">
        <v>25</v>
      </c>
      <c r="J992">
        <v>3431</v>
      </c>
      <c r="K992" s="1" t="s">
        <v>118</v>
      </c>
      <c r="L992" s="1" t="s">
        <v>23</v>
      </c>
      <c r="M992">
        <v>0</v>
      </c>
      <c r="N992">
        <v>0</v>
      </c>
      <c r="O992">
        <v>0</v>
      </c>
      <c r="P992" s="2">
        <v>41456</v>
      </c>
      <c r="Q992">
        <v>0</v>
      </c>
      <c r="R992" s="1" t="s">
        <v>61</v>
      </c>
    </row>
    <row r="993" spans="1:18" x14ac:dyDescent="0.25">
      <c r="A993">
        <v>2013</v>
      </c>
      <c r="B993">
        <v>8</v>
      </c>
      <c r="C993" s="1" t="s">
        <v>31</v>
      </c>
      <c r="D993" s="1" t="s">
        <v>19</v>
      </c>
      <c r="E993" s="1" t="s">
        <v>117</v>
      </c>
      <c r="F993">
        <v>2016</v>
      </c>
      <c r="G993">
        <v>0</v>
      </c>
      <c r="H993" s="1" t="s">
        <v>59</v>
      </c>
      <c r="I993">
        <v>25</v>
      </c>
      <c r="J993">
        <v>3431</v>
      </c>
      <c r="K993" s="1" t="s">
        <v>118</v>
      </c>
      <c r="L993" s="1" t="s">
        <v>23</v>
      </c>
      <c r="M993">
        <v>0</v>
      </c>
      <c r="N993">
        <v>0</v>
      </c>
      <c r="O993">
        <v>0</v>
      </c>
      <c r="P993" s="2">
        <v>41487</v>
      </c>
      <c r="Q993">
        <v>0</v>
      </c>
      <c r="R993" s="1" t="s">
        <v>61</v>
      </c>
    </row>
    <row r="994" spans="1:18" x14ac:dyDescent="0.25">
      <c r="A994">
        <v>2013</v>
      </c>
      <c r="B994">
        <v>9</v>
      </c>
      <c r="C994" s="1" t="s">
        <v>32</v>
      </c>
      <c r="D994" s="1" t="s">
        <v>19</v>
      </c>
      <c r="E994" s="1" t="s">
        <v>117</v>
      </c>
      <c r="F994">
        <v>2016</v>
      </c>
      <c r="G994">
        <v>0</v>
      </c>
      <c r="H994" s="1" t="s">
        <v>59</v>
      </c>
      <c r="I994">
        <v>25</v>
      </c>
      <c r="J994">
        <v>3431</v>
      </c>
      <c r="K994" s="1" t="s">
        <v>118</v>
      </c>
      <c r="L994" s="1" t="s">
        <v>23</v>
      </c>
      <c r="M994">
        <v>0</v>
      </c>
      <c r="N994">
        <v>0</v>
      </c>
      <c r="O994">
        <v>0</v>
      </c>
      <c r="P994" s="2">
        <v>41518</v>
      </c>
      <c r="Q994">
        <v>0</v>
      </c>
      <c r="R994" s="1" t="s">
        <v>61</v>
      </c>
    </row>
    <row r="995" spans="1:18" x14ac:dyDescent="0.25">
      <c r="A995">
        <v>2013</v>
      </c>
      <c r="B995">
        <v>10</v>
      </c>
      <c r="C995" s="1" t="s">
        <v>33</v>
      </c>
      <c r="D995" s="1" t="s">
        <v>19</v>
      </c>
      <c r="E995" s="1" t="s">
        <v>117</v>
      </c>
      <c r="F995">
        <v>2016</v>
      </c>
      <c r="G995">
        <v>0</v>
      </c>
      <c r="H995" s="1" t="s">
        <v>59</v>
      </c>
      <c r="I995">
        <v>25</v>
      </c>
      <c r="J995">
        <v>3431</v>
      </c>
      <c r="K995" s="1" t="s">
        <v>118</v>
      </c>
      <c r="L995" s="1" t="s">
        <v>23</v>
      </c>
      <c r="M995">
        <v>0</v>
      </c>
      <c r="N995">
        <v>0</v>
      </c>
      <c r="O995">
        <v>0</v>
      </c>
      <c r="P995" s="2">
        <v>41548</v>
      </c>
      <c r="Q995">
        <v>0</v>
      </c>
      <c r="R995" s="1" t="s">
        <v>61</v>
      </c>
    </row>
    <row r="996" spans="1:18" x14ac:dyDescent="0.25">
      <c r="A996">
        <v>2013</v>
      </c>
      <c r="B996">
        <v>11</v>
      </c>
      <c r="C996" s="1" t="s">
        <v>34</v>
      </c>
      <c r="D996" s="1" t="s">
        <v>19</v>
      </c>
      <c r="E996" s="1" t="s">
        <v>117</v>
      </c>
      <c r="F996">
        <v>2016</v>
      </c>
      <c r="G996">
        <v>0</v>
      </c>
      <c r="H996" s="1" t="s">
        <v>59</v>
      </c>
      <c r="I996">
        <v>25</v>
      </c>
      <c r="J996">
        <v>3431</v>
      </c>
      <c r="K996" s="1" t="s">
        <v>118</v>
      </c>
      <c r="L996" s="1" t="s">
        <v>23</v>
      </c>
      <c r="M996">
        <v>0</v>
      </c>
      <c r="N996">
        <v>0</v>
      </c>
      <c r="O996">
        <v>0</v>
      </c>
      <c r="P996" s="2">
        <v>41579</v>
      </c>
      <c r="Q996">
        <v>0</v>
      </c>
      <c r="R996" s="1" t="s">
        <v>61</v>
      </c>
    </row>
    <row r="997" spans="1:18" x14ac:dyDescent="0.25">
      <c r="A997">
        <v>2013</v>
      </c>
      <c r="B997">
        <v>12</v>
      </c>
      <c r="C997" s="1" t="s">
        <v>35</v>
      </c>
      <c r="D997" s="1" t="s">
        <v>19</v>
      </c>
      <c r="E997" s="1" t="s">
        <v>117</v>
      </c>
      <c r="F997">
        <v>2016</v>
      </c>
      <c r="G997">
        <v>0</v>
      </c>
      <c r="H997" s="1" t="s">
        <v>59</v>
      </c>
      <c r="I997">
        <v>25</v>
      </c>
      <c r="J997">
        <v>3431</v>
      </c>
      <c r="K997" s="1" t="s">
        <v>118</v>
      </c>
      <c r="L997" s="1" t="s">
        <v>23</v>
      </c>
      <c r="M997">
        <v>0</v>
      </c>
      <c r="N997">
        <v>0</v>
      </c>
      <c r="O997">
        <v>0</v>
      </c>
      <c r="P997" s="2">
        <v>41609</v>
      </c>
      <c r="Q997">
        <v>0</v>
      </c>
      <c r="R997" s="1" t="s">
        <v>61</v>
      </c>
    </row>
    <row r="998" spans="1:18" x14ac:dyDescent="0.25">
      <c r="A998">
        <v>2013</v>
      </c>
      <c r="B998">
        <v>1</v>
      </c>
      <c r="C998" s="1" t="s">
        <v>18</v>
      </c>
      <c r="D998" s="1" t="s">
        <v>19</v>
      </c>
      <c r="E998" s="1" t="s">
        <v>119</v>
      </c>
      <c r="F998">
        <v>2016</v>
      </c>
      <c r="G998">
        <v>0</v>
      </c>
      <c r="H998" s="1" t="s">
        <v>59</v>
      </c>
      <c r="I998">
        <v>21</v>
      </c>
      <c r="J998">
        <v>2901</v>
      </c>
      <c r="K998" s="1" t="s">
        <v>120</v>
      </c>
      <c r="L998" s="1" t="s">
        <v>23</v>
      </c>
      <c r="M998">
        <v>0</v>
      </c>
      <c r="N998">
        <v>0</v>
      </c>
      <c r="O998">
        <v>0</v>
      </c>
      <c r="P998" s="2">
        <v>41275</v>
      </c>
      <c r="Q998">
        <v>0</v>
      </c>
      <c r="R998" s="1" t="s">
        <v>61</v>
      </c>
    </row>
    <row r="999" spans="1:18" x14ac:dyDescent="0.25">
      <c r="A999">
        <v>2013</v>
      </c>
      <c r="B999">
        <v>2</v>
      </c>
      <c r="C999" s="1" t="s">
        <v>25</v>
      </c>
      <c r="D999" s="1" t="s">
        <v>19</v>
      </c>
      <c r="E999" s="1" t="s">
        <v>119</v>
      </c>
      <c r="F999">
        <v>2016</v>
      </c>
      <c r="G999">
        <v>0</v>
      </c>
      <c r="H999" s="1" t="s">
        <v>59</v>
      </c>
      <c r="I999">
        <v>21</v>
      </c>
      <c r="J999">
        <v>2901</v>
      </c>
      <c r="K999" s="1" t="s">
        <v>120</v>
      </c>
      <c r="L999" s="1" t="s">
        <v>23</v>
      </c>
      <c r="M999">
        <v>0</v>
      </c>
      <c r="N999">
        <v>0</v>
      </c>
      <c r="O999">
        <v>0</v>
      </c>
      <c r="P999" s="2">
        <v>41306</v>
      </c>
      <c r="Q999">
        <v>0</v>
      </c>
      <c r="R999" s="1" t="s">
        <v>61</v>
      </c>
    </row>
    <row r="1000" spans="1:18" x14ac:dyDescent="0.25">
      <c r="A1000">
        <v>2013</v>
      </c>
      <c r="B1000">
        <v>3</v>
      </c>
      <c r="C1000" s="1" t="s">
        <v>26</v>
      </c>
      <c r="D1000" s="1" t="s">
        <v>19</v>
      </c>
      <c r="E1000" s="1" t="s">
        <v>119</v>
      </c>
      <c r="F1000">
        <v>2016</v>
      </c>
      <c r="G1000">
        <v>0</v>
      </c>
      <c r="H1000" s="1" t="s">
        <v>59</v>
      </c>
      <c r="I1000">
        <v>21</v>
      </c>
      <c r="J1000">
        <v>2901</v>
      </c>
      <c r="K1000" s="1" t="s">
        <v>120</v>
      </c>
      <c r="L1000" s="1" t="s">
        <v>23</v>
      </c>
      <c r="M1000">
        <v>0</v>
      </c>
      <c r="N1000">
        <v>0</v>
      </c>
      <c r="O1000">
        <v>0</v>
      </c>
      <c r="P1000" s="2">
        <v>41334</v>
      </c>
      <c r="Q1000">
        <v>0</v>
      </c>
      <c r="R1000" s="1" t="s">
        <v>61</v>
      </c>
    </row>
    <row r="1001" spans="1:18" x14ac:dyDescent="0.25">
      <c r="A1001">
        <v>2013</v>
      </c>
      <c r="B1001">
        <v>4</v>
      </c>
      <c r="C1001" s="1" t="s">
        <v>27</v>
      </c>
      <c r="D1001" s="1" t="s">
        <v>19</v>
      </c>
      <c r="E1001" s="1" t="s">
        <v>119</v>
      </c>
      <c r="F1001">
        <v>2016</v>
      </c>
      <c r="G1001">
        <v>0</v>
      </c>
      <c r="H1001" s="1" t="s">
        <v>59</v>
      </c>
      <c r="I1001">
        <v>21</v>
      </c>
      <c r="J1001">
        <v>2901</v>
      </c>
      <c r="K1001" s="1" t="s">
        <v>120</v>
      </c>
      <c r="L1001" s="1" t="s">
        <v>23</v>
      </c>
      <c r="M1001">
        <v>0</v>
      </c>
      <c r="N1001">
        <v>0</v>
      </c>
      <c r="O1001">
        <v>0</v>
      </c>
      <c r="P1001" s="2">
        <v>41365</v>
      </c>
      <c r="Q1001">
        <v>0</v>
      </c>
      <c r="R1001" s="1" t="s">
        <v>61</v>
      </c>
    </row>
    <row r="1002" spans="1:18" x14ac:dyDescent="0.25">
      <c r="A1002">
        <v>2013</v>
      </c>
      <c r="B1002">
        <v>5</v>
      </c>
      <c r="C1002" s="1" t="s">
        <v>28</v>
      </c>
      <c r="D1002" s="1" t="s">
        <v>19</v>
      </c>
      <c r="E1002" s="1" t="s">
        <v>119</v>
      </c>
      <c r="F1002">
        <v>2016</v>
      </c>
      <c r="G1002">
        <v>0</v>
      </c>
      <c r="H1002" s="1" t="s">
        <v>59</v>
      </c>
      <c r="I1002">
        <v>21</v>
      </c>
      <c r="J1002">
        <v>2901</v>
      </c>
      <c r="K1002" s="1" t="s">
        <v>120</v>
      </c>
      <c r="L1002" s="1" t="s">
        <v>23</v>
      </c>
      <c r="M1002">
        <v>0</v>
      </c>
      <c r="N1002">
        <v>0</v>
      </c>
      <c r="O1002">
        <v>0</v>
      </c>
      <c r="P1002" s="2">
        <v>41395</v>
      </c>
      <c r="Q1002">
        <v>0</v>
      </c>
      <c r="R1002" s="1" t="s">
        <v>61</v>
      </c>
    </row>
    <row r="1003" spans="1:18" x14ac:dyDescent="0.25">
      <c r="A1003">
        <v>2013</v>
      </c>
      <c r="B1003">
        <v>6</v>
      </c>
      <c r="C1003" s="1" t="s">
        <v>29</v>
      </c>
      <c r="D1003" s="1" t="s">
        <v>19</v>
      </c>
      <c r="E1003" s="1" t="s">
        <v>119</v>
      </c>
      <c r="F1003">
        <v>2016</v>
      </c>
      <c r="G1003">
        <v>0</v>
      </c>
      <c r="H1003" s="1" t="s">
        <v>59</v>
      </c>
      <c r="I1003">
        <v>21</v>
      </c>
      <c r="J1003">
        <v>2901</v>
      </c>
      <c r="K1003" s="1" t="s">
        <v>120</v>
      </c>
      <c r="L1003" s="1" t="s">
        <v>23</v>
      </c>
      <c r="M1003">
        <v>0</v>
      </c>
      <c r="N1003">
        <v>0</v>
      </c>
      <c r="O1003">
        <v>0</v>
      </c>
      <c r="P1003" s="2">
        <v>41426</v>
      </c>
      <c r="Q1003">
        <v>0</v>
      </c>
      <c r="R1003" s="1" t="s">
        <v>61</v>
      </c>
    </row>
    <row r="1004" spans="1:18" x14ac:dyDescent="0.25">
      <c r="A1004">
        <v>2013</v>
      </c>
      <c r="B1004">
        <v>7</v>
      </c>
      <c r="C1004" s="1" t="s">
        <v>30</v>
      </c>
      <c r="D1004" s="1" t="s">
        <v>19</v>
      </c>
      <c r="E1004" s="1" t="s">
        <v>119</v>
      </c>
      <c r="F1004">
        <v>2016</v>
      </c>
      <c r="G1004">
        <v>0</v>
      </c>
      <c r="H1004" s="1" t="s">
        <v>59</v>
      </c>
      <c r="I1004">
        <v>21</v>
      </c>
      <c r="J1004">
        <v>2901</v>
      </c>
      <c r="K1004" s="1" t="s">
        <v>120</v>
      </c>
      <c r="L1004" s="1" t="s">
        <v>23</v>
      </c>
      <c r="M1004">
        <v>0</v>
      </c>
      <c r="N1004">
        <v>0</v>
      </c>
      <c r="O1004">
        <v>0</v>
      </c>
      <c r="P1004" s="2">
        <v>41456</v>
      </c>
      <c r="Q1004">
        <v>0</v>
      </c>
      <c r="R1004" s="1" t="s">
        <v>61</v>
      </c>
    </row>
    <row r="1005" spans="1:18" x14ac:dyDescent="0.25">
      <c r="A1005">
        <v>2013</v>
      </c>
      <c r="B1005">
        <v>8</v>
      </c>
      <c r="C1005" s="1" t="s">
        <v>31</v>
      </c>
      <c r="D1005" s="1" t="s">
        <v>19</v>
      </c>
      <c r="E1005" s="1" t="s">
        <v>119</v>
      </c>
      <c r="F1005">
        <v>2016</v>
      </c>
      <c r="G1005">
        <v>0</v>
      </c>
      <c r="H1005" s="1" t="s">
        <v>59</v>
      </c>
      <c r="I1005">
        <v>21</v>
      </c>
      <c r="J1005">
        <v>2901</v>
      </c>
      <c r="K1005" s="1" t="s">
        <v>120</v>
      </c>
      <c r="L1005" s="1" t="s">
        <v>23</v>
      </c>
      <c r="M1005">
        <v>0</v>
      </c>
      <c r="N1005">
        <v>0</v>
      </c>
      <c r="O1005">
        <v>0</v>
      </c>
      <c r="P1005" s="2">
        <v>41487</v>
      </c>
      <c r="Q1005">
        <v>0</v>
      </c>
      <c r="R1005" s="1" t="s">
        <v>61</v>
      </c>
    </row>
    <row r="1006" spans="1:18" x14ac:dyDescent="0.25">
      <c r="A1006">
        <v>2013</v>
      </c>
      <c r="B1006">
        <v>9</v>
      </c>
      <c r="C1006" s="1" t="s">
        <v>32</v>
      </c>
      <c r="D1006" s="1" t="s">
        <v>19</v>
      </c>
      <c r="E1006" s="1" t="s">
        <v>119</v>
      </c>
      <c r="F1006">
        <v>2016</v>
      </c>
      <c r="G1006">
        <v>0</v>
      </c>
      <c r="H1006" s="1" t="s">
        <v>59</v>
      </c>
      <c r="I1006">
        <v>21</v>
      </c>
      <c r="J1006">
        <v>2901</v>
      </c>
      <c r="K1006" s="1" t="s">
        <v>120</v>
      </c>
      <c r="L1006" s="1" t="s">
        <v>23</v>
      </c>
      <c r="M1006">
        <v>0</v>
      </c>
      <c r="N1006">
        <v>0</v>
      </c>
      <c r="O1006">
        <v>0</v>
      </c>
      <c r="P1006" s="2">
        <v>41518</v>
      </c>
      <c r="Q1006">
        <v>0</v>
      </c>
      <c r="R1006" s="1" t="s">
        <v>61</v>
      </c>
    </row>
    <row r="1007" spans="1:18" x14ac:dyDescent="0.25">
      <c r="A1007">
        <v>2013</v>
      </c>
      <c r="B1007">
        <v>10</v>
      </c>
      <c r="C1007" s="1" t="s">
        <v>33</v>
      </c>
      <c r="D1007" s="1" t="s">
        <v>19</v>
      </c>
      <c r="E1007" s="1" t="s">
        <v>119</v>
      </c>
      <c r="F1007">
        <v>2016</v>
      </c>
      <c r="G1007">
        <v>0</v>
      </c>
      <c r="H1007" s="1" t="s">
        <v>59</v>
      </c>
      <c r="I1007">
        <v>21</v>
      </c>
      <c r="J1007">
        <v>2901</v>
      </c>
      <c r="K1007" s="1" t="s">
        <v>120</v>
      </c>
      <c r="L1007" s="1" t="s">
        <v>23</v>
      </c>
      <c r="M1007">
        <v>0</v>
      </c>
      <c r="N1007">
        <v>0</v>
      </c>
      <c r="O1007">
        <v>0</v>
      </c>
      <c r="P1007" s="2">
        <v>41548</v>
      </c>
      <c r="Q1007">
        <v>0</v>
      </c>
      <c r="R1007" s="1" t="s">
        <v>61</v>
      </c>
    </row>
    <row r="1008" spans="1:18" x14ac:dyDescent="0.25">
      <c r="A1008">
        <v>2013</v>
      </c>
      <c r="B1008">
        <v>11</v>
      </c>
      <c r="C1008" s="1" t="s">
        <v>34</v>
      </c>
      <c r="D1008" s="1" t="s">
        <v>19</v>
      </c>
      <c r="E1008" s="1" t="s">
        <v>119</v>
      </c>
      <c r="F1008">
        <v>2016</v>
      </c>
      <c r="G1008">
        <v>0</v>
      </c>
      <c r="H1008" s="1" t="s">
        <v>59</v>
      </c>
      <c r="I1008">
        <v>21</v>
      </c>
      <c r="J1008">
        <v>2901</v>
      </c>
      <c r="K1008" s="1" t="s">
        <v>120</v>
      </c>
      <c r="L1008" s="1" t="s">
        <v>23</v>
      </c>
      <c r="M1008">
        <v>0</v>
      </c>
      <c r="N1008">
        <v>0</v>
      </c>
      <c r="O1008">
        <v>0</v>
      </c>
      <c r="P1008" s="2">
        <v>41579</v>
      </c>
      <c r="Q1008">
        <v>0</v>
      </c>
      <c r="R1008" s="1" t="s">
        <v>61</v>
      </c>
    </row>
    <row r="1009" spans="1:18" x14ac:dyDescent="0.25">
      <c r="A1009">
        <v>2013</v>
      </c>
      <c r="B1009">
        <v>12</v>
      </c>
      <c r="C1009" s="1" t="s">
        <v>35</v>
      </c>
      <c r="D1009" s="1" t="s">
        <v>19</v>
      </c>
      <c r="E1009" s="1" t="s">
        <v>119</v>
      </c>
      <c r="F1009">
        <v>2016</v>
      </c>
      <c r="G1009">
        <v>0</v>
      </c>
      <c r="H1009" s="1" t="s">
        <v>59</v>
      </c>
      <c r="I1009">
        <v>21</v>
      </c>
      <c r="J1009">
        <v>2901</v>
      </c>
      <c r="K1009" s="1" t="s">
        <v>120</v>
      </c>
      <c r="L1009" s="1" t="s">
        <v>23</v>
      </c>
      <c r="M1009">
        <v>0</v>
      </c>
      <c r="N1009">
        <v>0</v>
      </c>
      <c r="O1009">
        <v>0</v>
      </c>
      <c r="P1009" s="2">
        <v>41609</v>
      </c>
      <c r="Q1009">
        <v>0</v>
      </c>
      <c r="R1009" s="1" t="s">
        <v>61</v>
      </c>
    </row>
    <row r="1010" spans="1:18" x14ac:dyDescent="0.25">
      <c r="A1010">
        <v>2014</v>
      </c>
      <c r="B1010">
        <v>1</v>
      </c>
      <c r="C1010" s="1" t="s">
        <v>18</v>
      </c>
      <c r="D1010" s="1" t="s">
        <v>19</v>
      </c>
      <c r="E1010" s="1" t="s">
        <v>20</v>
      </c>
      <c r="F1010">
        <v>2000</v>
      </c>
      <c r="G1010">
        <v>14</v>
      </c>
      <c r="H1010" s="1" t="s">
        <v>21</v>
      </c>
      <c r="I1010">
        <v>19</v>
      </c>
      <c r="J1010">
        <v>1490</v>
      </c>
      <c r="K1010" s="1" t="s">
        <v>22</v>
      </c>
      <c r="L1010" s="1" t="s">
        <v>23</v>
      </c>
      <c r="M1010">
        <v>1.169</v>
      </c>
      <c r="N1010">
        <v>22209.5</v>
      </c>
      <c r="O1010">
        <v>22.209</v>
      </c>
      <c r="P1010" s="2">
        <v>41640</v>
      </c>
      <c r="Q1010">
        <v>1</v>
      </c>
      <c r="R1010" s="1" t="s">
        <v>24</v>
      </c>
    </row>
    <row r="1011" spans="1:18" x14ac:dyDescent="0.25">
      <c r="A1011">
        <v>2014</v>
      </c>
      <c r="B1011">
        <v>2</v>
      </c>
      <c r="C1011" s="1" t="s">
        <v>25</v>
      </c>
      <c r="D1011" s="1" t="s">
        <v>19</v>
      </c>
      <c r="E1011" s="1" t="s">
        <v>20</v>
      </c>
      <c r="F1011">
        <v>2000</v>
      </c>
      <c r="G1011">
        <v>14</v>
      </c>
      <c r="H1011" s="1" t="s">
        <v>21</v>
      </c>
      <c r="I1011">
        <v>19</v>
      </c>
      <c r="J1011">
        <v>1490</v>
      </c>
      <c r="K1011" s="1" t="s">
        <v>22</v>
      </c>
      <c r="L1011" s="1" t="s">
        <v>23</v>
      </c>
      <c r="M1011">
        <v>1.0820000000000001</v>
      </c>
      <c r="N1011">
        <v>20552.5</v>
      </c>
      <c r="O1011">
        <v>20.552</v>
      </c>
      <c r="P1011" s="2">
        <v>41671</v>
      </c>
      <c r="Q1011">
        <v>1</v>
      </c>
      <c r="R1011" s="1" t="s">
        <v>24</v>
      </c>
    </row>
    <row r="1012" spans="1:18" x14ac:dyDescent="0.25">
      <c r="A1012">
        <v>2014</v>
      </c>
      <c r="B1012">
        <v>3</v>
      </c>
      <c r="C1012" s="1" t="s">
        <v>26</v>
      </c>
      <c r="D1012" s="1" t="s">
        <v>19</v>
      </c>
      <c r="E1012" s="1" t="s">
        <v>20</v>
      </c>
      <c r="F1012">
        <v>2000</v>
      </c>
      <c r="G1012">
        <v>14</v>
      </c>
      <c r="H1012" s="1" t="s">
        <v>21</v>
      </c>
      <c r="I1012">
        <v>19</v>
      </c>
      <c r="J1012">
        <v>1490</v>
      </c>
      <c r="K1012" s="1" t="s">
        <v>22</v>
      </c>
      <c r="L1012" s="1" t="s">
        <v>23</v>
      </c>
      <c r="M1012">
        <v>1.1120000000000001</v>
      </c>
      <c r="N1012">
        <v>21119.4</v>
      </c>
      <c r="O1012">
        <v>21.119</v>
      </c>
      <c r="P1012" s="2">
        <v>41699</v>
      </c>
      <c r="Q1012">
        <v>1</v>
      </c>
      <c r="R1012" s="1" t="s">
        <v>24</v>
      </c>
    </row>
    <row r="1013" spans="1:18" x14ac:dyDescent="0.25">
      <c r="A1013">
        <v>2014</v>
      </c>
      <c r="B1013">
        <v>4</v>
      </c>
      <c r="C1013" s="1" t="s">
        <v>27</v>
      </c>
      <c r="D1013" s="1" t="s">
        <v>19</v>
      </c>
      <c r="E1013" s="1" t="s">
        <v>20</v>
      </c>
      <c r="F1013">
        <v>2000</v>
      </c>
      <c r="G1013">
        <v>14</v>
      </c>
      <c r="H1013" s="1" t="s">
        <v>21</v>
      </c>
      <c r="I1013">
        <v>19</v>
      </c>
      <c r="J1013">
        <v>1490</v>
      </c>
      <c r="K1013" s="1" t="s">
        <v>22</v>
      </c>
      <c r="L1013" s="1" t="s">
        <v>23</v>
      </c>
      <c r="M1013">
        <v>1.4</v>
      </c>
      <c r="N1013">
        <v>26599.1</v>
      </c>
      <c r="O1013">
        <v>26.599</v>
      </c>
      <c r="P1013" s="2">
        <v>41730</v>
      </c>
      <c r="Q1013">
        <v>1</v>
      </c>
      <c r="R1013" s="1" t="s">
        <v>24</v>
      </c>
    </row>
    <row r="1014" spans="1:18" x14ac:dyDescent="0.25">
      <c r="A1014">
        <v>2014</v>
      </c>
      <c r="B1014">
        <v>5</v>
      </c>
      <c r="C1014" s="1" t="s">
        <v>28</v>
      </c>
      <c r="D1014" s="1" t="s">
        <v>19</v>
      </c>
      <c r="E1014" s="1" t="s">
        <v>20</v>
      </c>
      <c r="F1014">
        <v>2000</v>
      </c>
      <c r="G1014">
        <v>14</v>
      </c>
      <c r="H1014" s="1" t="s">
        <v>21</v>
      </c>
      <c r="I1014">
        <v>19</v>
      </c>
      <c r="J1014">
        <v>1490</v>
      </c>
      <c r="K1014" s="1" t="s">
        <v>22</v>
      </c>
      <c r="L1014" s="1" t="s">
        <v>23</v>
      </c>
      <c r="M1014">
        <v>1.4630000000000001</v>
      </c>
      <c r="N1014">
        <v>27805.5</v>
      </c>
      <c r="O1014">
        <v>27.805</v>
      </c>
      <c r="P1014" s="2">
        <v>41760</v>
      </c>
      <c r="Q1014">
        <v>1</v>
      </c>
      <c r="R1014" s="1" t="s">
        <v>24</v>
      </c>
    </row>
    <row r="1015" spans="1:18" x14ac:dyDescent="0.25">
      <c r="A1015">
        <v>2014</v>
      </c>
      <c r="B1015">
        <v>6</v>
      </c>
      <c r="C1015" s="1" t="s">
        <v>29</v>
      </c>
      <c r="D1015" s="1" t="s">
        <v>19</v>
      </c>
      <c r="E1015" s="1" t="s">
        <v>20</v>
      </c>
      <c r="F1015">
        <v>2000</v>
      </c>
      <c r="G1015">
        <v>14</v>
      </c>
      <c r="H1015" s="1" t="s">
        <v>21</v>
      </c>
      <c r="I1015">
        <v>19</v>
      </c>
      <c r="J1015">
        <v>1490</v>
      </c>
      <c r="K1015" s="1" t="s">
        <v>22</v>
      </c>
      <c r="L1015" s="1" t="s">
        <v>23</v>
      </c>
      <c r="M1015">
        <v>1.1339999999999999</v>
      </c>
      <c r="N1015">
        <v>21540.9</v>
      </c>
      <c r="O1015">
        <v>21.541</v>
      </c>
      <c r="P1015" s="2">
        <v>41791</v>
      </c>
      <c r="Q1015">
        <v>1</v>
      </c>
      <c r="R1015" s="1" t="s">
        <v>24</v>
      </c>
    </row>
    <row r="1016" spans="1:18" x14ac:dyDescent="0.25">
      <c r="A1016">
        <v>2014</v>
      </c>
      <c r="B1016">
        <v>7</v>
      </c>
      <c r="C1016" s="1" t="s">
        <v>30</v>
      </c>
      <c r="D1016" s="1" t="s">
        <v>19</v>
      </c>
      <c r="E1016" s="1" t="s">
        <v>20</v>
      </c>
      <c r="F1016">
        <v>2000</v>
      </c>
      <c r="G1016">
        <v>14</v>
      </c>
      <c r="H1016" s="1" t="s">
        <v>21</v>
      </c>
      <c r="I1016">
        <v>19</v>
      </c>
      <c r="J1016">
        <v>1490</v>
      </c>
      <c r="K1016" s="1" t="s">
        <v>22</v>
      </c>
      <c r="L1016" s="1" t="s">
        <v>23</v>
      </c>
      <c r="M1016">
        <v>1.694</v>
      </c>
      <c r="N1016">
        <v>32195</v>
      </c>
      <c r="O1016">
        <v>32.195</v>
      </c>
      <c r="P1016" s="2">
        <v>41821</v>
      </c>
      <c r="Q1016">
        <v>1</v>
      </c>
      <c r="R1016" s="1" t="s">
        <v>24</v>
      </c>
    </row>
    <row r="1017" spans="1:18" x14ac:dyDescent="0.25">
      <c r="A1017">
        <v>2014</v>
      </c>
      <c r="B1017">
        <v>8</v>
      </c>
      <c r="C1017" s="1" t="s">
        <v>31</v>
      </c>
      <c r="D1017" s="1" t="s">
        <v>19</v>
      </c>
      <c r="E1017" s="1" t="s">
        <v>20</v>
      </c>
      <c r="F1017">
        <v>2000</v>
      </c>
      <c r="G1017">
        <v>14</v>
      </c>
      <c r="H1017" s="1" t="s">
        <v>21</v>
      </c>
      <c r="I1017">
        <v>19</v>
      </c>
      <c r="J1017">
        <v>1490</v>
      </c>
      <c r="K1017" s="1" t="s">
        <v>22</v>
      </c>
      <c r="L1017" s="1" t="s">
        <v>23</v>
      </c>
      <c r="M1017">
        <v>1.758</v>
      </c>
      <c r="N1017">
        <v>33401.4</v>
      </c>
      <c r="O1017">
        <v>33.401000000000003</v>
      </c>
      <c r="P1017" s="2">
        <v>41852</v>
      </c>
      <c r="Q1017">
        <v>1</v>
      </c>
      <c r="R1017" s="1" t="s">
        <v>24</v>
      </c>
    </row>
    <row r="1018" spans="1:18" x14ac:dyDescent="0.25">
      <c r="A1018">
        <v>2014</v>
      </c>
      <c r="B1018">
        <v>9</v>
      </c>
      <c r="C1018" s="1" t="s">
        <v>32</v>
      </c>
      <c r="D1018" s="1" t="s">
        <v>19</v>
      </c>
      <c r="E1018" s="1" t="s">
        <v>20</v>
      </c>
      <c r="F1018">
        <v>2000</v>
      </c>
      <c r="G1018">
        <v>14</v>
      </c>
      <c r="H1018" s="1" t="s">
        <v>21</v>
      </c>
      <c r="I1018">
        <v>19</v>
      </c>
      <c r="J1018">
        <v>1490</v>
      </c>
      <c r="K1018" s="1" t="s">
        <v>22</v>
      </c>
      <c r="L1018" s="1" t="s">
        <v>23</v>
      </c>
      <c r="M1018">
        <v>1.4219999999999999</v>
      </c>
      <c r="N1018">
        <v>27020.6</v>
      </c>
      <c r="O1018">
        <v>27.021000000000001</v>
      </c>
      <c r="P1018" s="2">
        <v>41883</v>
      </c>
      <c r="Q1018">
        <v>1</v>
      </c>
      <c r="R1018" s="1" t="s">
        <v>24</v>
      </c>
    </row>
    <row r="1019" spans="1:18" x14ac:dyDescent="0.25">
      <c r="A1019">
        <v>2014</v>
      </c>
      <c r="B1019">
        <v>10</v>
      </c>
      <c r="C1019" s="1" t="s">
        <v>33</v>
      </c>
      <c r="D1019" s="1" t="s">
        <v>19</v>
      </c>
      <c r="E1019" s="1" t="s">
        <v>20</v>
      </c>
      <c r="F1019">
        <v>2000</v>
      </c>
      <c r="G1019">
        <v>14</v>
      </c>
      <c r="H1019" s="1" t="s">
        <v>21</v>
      </c>
      <c r="I1019">
        <v>19</v>
      </c>
      <c r="J1019">
        <v>1490</v>
      </c>
      <c r="K1019" s="1" t="s">
        <v>22</v>
      </c>
      <c r="L1019" s="1" t="s">
        <v>23</v>
      </c>
      <c r="M1019">
        <v>1.157</v>
      </c>
      <c r="N1019">
        <v>21976.9</v>
      </c>
      <c r="O1019">
        <v>21.977</v>
      </c>
      <c r="P1019" s="2">
        <v>41913</v>
      </c>
      <c r="Q1019">
        <v>1</v>
      </c>
      <c r="R1019" s="1" t="s">
        <v>24</v>
      </c>
    </row>
    <row r="1020" spans="1:18" x14ac:dyDescent="0.25">
      <c r="A1020">
        <v>2014</v>
      </c>
      <c r="B1020">
        <v>11</v>
      </c>
      <c r="C1020" s="1" t="s">
        <v>34</v>
      </c>
      <c r="D1020" s="1" t="s">
        <v>19</v>
      </c>
      <c r="E1020" s="1" t="s">
        <v>20</v>
      </c>
      <c r="F1020">
        <v>2000</v>
      </c>
      <c r="G1020">
        <v>14</v>
      </c>
      <c r="H1020" s="1" t="s">
        <v>21</v>
      </c>
      <c r="I1020">
        <v>19</v>
      </c>
      <c r="J1020">
        <v>1490</v>
      </c>
      <c r="K1020" s="1" t="s">
        <v>22</v>
      </c>
      <c r="L1020" s="1" t="s">
        <v>23</v>
      </c>
      <c r="M1020">
        <v>1.177</v>
      </c>
      <c r="N1020">
        <v>22354.799999999999</v>
      </c>
      <c r="O1020">
        <v>22.355</v>
      </c>
      <c r="P1020" s="2">
        <v>41944</v>
      </c>
      <c r="Q1020">
        <v>1</v>
      </c>
      <c r="R1020" s="1" t="s">
        <v>24</v>
      </c>
    </row>
    <row r="1021" spans="1:18" x14ac:dyDescent="0.25">
      <c r="A1021">
        <v>2014</v>
      </c>
      <c r="B1021">
        <v>12</v>
      </c>
      <c r="C1021" s="1" t="s">
        <v>35</v>
      </c>
      <c r="D1021" s="1" t="s">
        <v>19</v>
      </c>
      <c r="E1021" s="1" t="s">
        <v>20</v>
      </c>
      <c r="F1021">
        <v>2000</v>
      </c>
      <c r="G1021">
        <v>14</v>
      </c>
      <c r="H1021" s="1" t="s">
        <v>21</v>
      </c>
      <c r="I1021">
        <v>19</v>
      </c>
      <c r="J1021">
        <v>1490</v>
      </c>
      <c r="K1021" s="1" t="s">
        <v>22</v>
      </c>
      <c r="L1021" s="1" t="s">
        <v>23</v>
      </c>
      <c r="M1021">
        <v>1.0980000000000001</v>
      </c>
      <c r="N1021">
        <v>20857.7</v>
      </c>
      <c r="O1021">
        <v>20.858000000000001</v>
      </c>
      <c r="P1021" s="2">
        <v>41974</v>
      </c>
      <c r="Q1021">
        <v>1</v>
      </c>
      <c r="R1021" s="1" t="s">
        <v>24</v>
      </c>
    </row>
    <row r="1022" spans="1:18" x14ac:dyDescent="0.25">
      <c r="A1022">
        <v>2014</v>
      </c>
      <c r="B1022">
        <v>1</v>
      </c>
      <c r="C1022" s="1" t="s">
        <v>18</v>
      </c>
      <c r="D1022" s="1" t="s">
        <v>19</v>
      </c>
      <c r="E1022" s="1" t="s">
        <v>36</v>
      </c>
      <c r="F1022">
        <v>2000</v>
      </c>
      <c r="G1022">
        <v>14</v>
      </c>
      <c r="H1022" s="1" t="s">
        <v>21</v>
      </c>
      <c r="I1022">
        <v>24</v>
      </c>
      <c r="J1022">
        <v>1675</v>
      </c>
      <c r="K1022" s="1" t="s">
        <v>37</v>
      </c>
      <c r="L1022" s="1" t="s">
        <v>23</v>
      </c>
      <c r="M1022">
        <v>1.169</v>
      </c>
      <c r="N1022">
        <v>28054.1</v>
      </c>
      <c r="O1022">
        <v>28.053999999999998</v>
      </c>
      <c r="P1022" s="2">
        <v>41640</v>
      </c>
      <c r="Q1022">
        <v>1</v>
      </c>
      <c r="R1022" s="1" t="s">
        <v>24</v>
      </c>
    </row>
    <row r="1023" spans="1:18" x14ac:dyDescent="0.25">
      <c r="A1023">
        <v>2014</v>
      </c>
      <c r="B1023">
        <v>2</v>
      </c>
      <c r="C1023" s="1" t="s">
        <v>25</v>
      </c>
      <c r="D1023" s="1" t="s">
        <v>19</v>
      </c>
      <c r="E1023" s="1" t="s">
        <v>36</v>
      </c>
      <c r="F1023">
        <v>2000</v>
      </c>
      <c r="G1023">
        <v>14</v>
      </c>
      <c r="H1023" s="1" t="s">
        <v>21</v>
      </c>
      <c r="I1023">
        <v>24</v>
      </c>
      <c r="J1023">
        <v>1675</v>
      </c>
      <c r="K1023" s="1" t="s">
        <v>37</v>
      </c>
      <c r="L1023" s="1" t="s">
        <v>23</v>
      </c>
      <c r="M1023">
        <v>1.0820000000000001</v>
      </c>
      <c r="N1023">
        <v>25961</v>
      </c>
      <c r="O1023">
        <v>25.960999999999999</v>
      </c>
      <c r="P1023" s="2">
        <v>41671</v>
      </c>
      <c r="Q1023">
        <v>1</v>
      </c>
      <c r="R1023" s="1" t="s">
        <v>24</v>
      </c>
    </row>
    <row r="1024" spans="1:18" x14ac:dyDescent="0.25">
      <c r="A1024">
        <v>2014</v>
      </c>
      <c r="B1024">
        <v>3</v>
      </c>
      <c r="C1024" s="1" t="s">
        <v>26</v>
      </c>
      <c r="D1024" s="1" t="s">
        <v>19</v>
      </c>
      <c r="E1024" s="1" t="s">
        <v>36</v>
      </c>
      <c r="F1024">
        <v>2000</v>
      </c>
      <c r="G1024">
        <v>14</v>
      </c>
      <c r="H1024" s="1" t="s">
        <v>21</v>
      </c>
      <c r="I1024">
        <v>24</v>
      </c>
      <c r="J1024">
        <v>1675</v>
      </c>
      <c r="K1024" s="1" t="s">
        <v>37</v>
      </c>
      <c r="L1024" s="1" t="s">
        <v>23</v>
      </c>
      <c r="M1024">
        <v>1.1120000000000001</v>
      </c>
      <c r="N1024">
        <v>26677.1</v>
      </c>
      <c r="O1024">
        <v>26.677</v>
      </c>
      <c r="P1024" s="2">
        <v>41699</v>
      </c>
      <c r="Q1024">
        <v>1</v>
      </c>
      <c r="R1024" s="1" t="s">
        <v>24</v>
      </c>
    </row>
    <row r="1025" spans="1:18" x14ac:dyDescent="0.25">
      <c r="A1025">
        <v>2014</v>
      </c>
      <c r="B1025">
        <v>4</v>
      </c>
      <c r="C1025" s="1" t="s">
        <v>27</v>
      </c>
      <c r="D1025" s="1" t="s">
        <v>19</v>
      </c>
      <c r="E1025" s="1" t="s">
        <v>36</v>
      </c>
      <c r="F1025">
        <v>2000</v>
      </c>
      <c r="G1025">
        <v>14</v>
      </c>
      <c r="H1025" s="1" t="s">
        <v>21</v>
      </c>
      <c r="I1025">
        <v>24</v>
      </c>
      <c r="J1025">
        <v>1675</v>
      </c>
      <c r="K1025" s="1" t="s">
        <v>37</v>
      </c>
      <c r="L1025" s="1" t="s">
        <v>23</v>
      </c>
      <c r="M1025">
        <v>1.4</v>
      </c>
      <c r="N1025">
        <v>33598.800000000003</v>
      </c>
      <c r="O1025">
        <v>33.598999999999997</v>
      </c>
      <c r="P1025" s="2">
        <v>41730</v>
      </c>
      <c r="Q1025">
        <v>1</v>
      </c>
      <c r="R1025" s="1" t="s">
        <v>24</v>
      </c>
    </row>
    <row r="1026" spans="1:18" x14ac:dyDescent="0.25">
      <c r="A1026">
        <v>2014</v>
      </c>
      <c r="B1026">
        <v>5</v>
      </c>
      <c r="C1026" s="1" t="s">
        <v>28</v>
      </c>
      <c r="D1026" s="1" t="s">
        <v>19</v>
      </c>
      <c r="E1026" s="1" t="s">
        <v>36</v>
      </c>
      <c r="F1026">
        <v>2000</v>
      </c>
      <c r="G1026">
        <v>14</v>
      </c>
      <c r="H1026" s="1" t="s">
        <v>21</v>
      </c>
      <c r="I1026">
        <v>24</v>
      </c>
      <c r="J1026">
        <v>1675</v>
      </c>
      <c r="K1026" s="1" t="s">
        <v>37</v>
      </c>
      <c r="L1026" s="1" t="s">
        <v>23</v>
      </c>
      <c r="M1026">
        <v>1.4630000000000001</v>
      </c>
      <c r="N1026">
        <v>35122.699999999997</v>
      </c>
      <c r="O1026">
        <v>35.122999999999998</v>
      </c>
      <c r="P1026" s="2">
        <v>41760</v>
      </c>
      <c r="Q1026">
        <v>1</v>
      </c>
      <c r="R1026" s="1" t="s">
        <v>24</v>
      </c>
    </row>
    <row r="1027" spans="1:18" x14ac:dyDescent="0.25">
      <c r="A1027">
        <v>2014</v>
      </c>
      <c r="B1027">
        <v>6</v>
      </c>
      <c r="C1027" s="1" t="s">
        <v>29</v>
      </c>
      <c r="D1027" s="1" t="s">
        <v>19</v>
      </c>
      <c r="E1027" s="1" t="s">
        <v>36</v>
      </c>
      <c r="F1027">
        <v>2000</v>
      </c>
      <c r="G1027">
        <v>14</v>
      </c>
      <c r="H1027" s="1" t="s">
        <v>21</v>
      </c>
      <c r="I1027">
        <v>24</v>
      </c>
      <c r="J1027">
        <v>1675</v>
      </c>
      <c r="K1027" s="1" t="s">
        <v>37</v>
      </c>
      <c r="L1027" s="1" t="s">
        <v>23</v>
      </c>
      <c r="M1027">
        <v>1.1339999999999999</v>
      </c>
      <c r="N1027">
        <v>27209.5</v>
      </c>
      <c r="O1027">
        <v>27.21</v>
      </c>
      <c r="P1027" s="2">
        <v>41791</v>
      </c>
      <c r="Q1027">
        <v>1</v>
      </c>
      <c r="R1027" s="1" t="s">
        <v>24</v>
      </c>
    </row>
    <row r="1028" spans="1:18" x14ac:dyDescent="0.25">
      <c r="A1028">
        <v>2014</v>
      </c>
      <c r="B1028">
        <v>7</v>
      </c>
      <c r="C1028" s="1" t="s">
        <v>30</v>
      </c>
      <c r="D1028" s="1" t="s">
        <v>19</v>
      </c>
      <c r="E1028" s="1" t="s">
        <v>36</v>
      </c>
      <c r="F1028">
        <v>2000</v>
      </c>
      <c r="G1028">
        <v>14</v>
      </c>
      <c r="H1028" s="1" t="s">
        <v>21</v>
      </c>
      <c r="I1028">
        <v>24</v>
      </c>
      <c r="J1028">
        <v>1675</v>
      </c>
      <c r="K1028" s="1" t="s">
        <v>37</v>
      </c>
      <c r="L1028" s="1" t="s">
        <v>23</v>
      </c>
      <c r="M1028">
        <v>1.694</v>
      </c>
      <c r="N1028">
        <v>40667.4</v>
      </c>
      <c r="O1028">
        <v>40.667000000000002</v>
      </c>
      <c r="P1028" s="2">
        <v>41821</v>
      </c>
      <c r="Q1028">
        <v>1</v>
      </c>
      <c r="R1028" s="1" t="s">
        <v>24</v>
      </c>
    </row>
    <row r="1029" spans="1:18" x14ac:dyDescent="0.25">
      <c r="A1029">
        <v>2014</v>
      </c>
      <c r="B1029">
        <v>8</v>
      </c>
      <c r="C1029" s="1" t="s">
        <v>31</v>
      </c>
      <c r="D1029" s="1" t="s">
        <v>19</v>
      </c>
      <c r="E1029" s="1" t="s">
        <v>36</v>
      </c>
      <c r="F1029">
        <v>2000</v>
      </c>
      <c r="G1029">
        <v>14</v>
      </c>
      <c r="H1029" s="1" t="s">
        <v>21</v>
      </c>
      <c r="I1029">
        <v>24</v>
      </c>
      <c r="J1029">
        <v>1675</v>
      </c>
      <c r="K1029" s="1" t="s">
        <v>37</v>
      </c>
      <c r="L1029" s="1" t="s">
        <v>23</v>
      </c>
      <c r="M1029">
        <v>1.758</v>
      </c>
      <c r="N1029">
        <v>42191.3</v>
      </c>
      <c r="O1029">
        <v>42.191000000000003</v>
      </c>
      <c r="P1029" s="2">
        <v>41852</v>
      </c>
      <c r="Q1029">
        <v>1</v>
      </c>
      <c r="R1029" s="1" t="s">
        <v>24</v>
      </c>
    </row>
    <row r="1030" spans="1:18" x14ac:dyDescent="0.25">
      <c r="A1030">
        <v>2014</v>
      </c>
      <c r="B1030">
        <v>9</v>
      </c>
      <c r="C1030" s="1" t="s">
        <v>32</v>
      </c>
      <c r="D1030" s="1" t="s">
        <v>19</v>
      </c>
      <c r="E1030" s="1" t="s">
        <v>36</v>
      </c>
      <c r="F1030">
        <v>2000</v>
      </c>
      <c r="G1030">
        <v>14</v>
      </c>
      <c r="H1030" s="1" t="s">
        <v>21</v>
      </c>
      <c r="I1030">
        <v>24</v>
      </c>
      <c r="J1030">
        <v>1675</v>
      </c>
      <c r="K1030" s="1" t="s">
        <v>37</v>
      </c>
      <c r="L1030" s="1" t="s">
        <v>23</v>
      </c>
      <c r="M1030">
        <v>1.4219999999999999</v>
      </c>
      <c r="N1030">
        <v>34131.199999999997</v>
      </c>
      <c r="O1030">
        <v>34.131</v>
      </c>
      <c r="P1030" s="2">
        <v>41883</v>
      </c>
      <c r="Q1030">
        <v>1</v>
      </c>
      <c r="R1030" s="1" t="s">
        <v>24</v>
      </c>
    </row>
    <row r="1031" spans="1:18" x14ac:dyDescent="0.25">
      <c r="A1031">
        <v>2014</v>
      </c>
      <c r="B1031">
        <v>10</v>
      </c>
      <c r="C1031" s="1" t="s">
        <v>33</v>
      </c>
      <c r="D1031" s="1" t="s">
        <v>19</v>
      </c>
      <c r="E1031" s="1" t="s">
        <v>36</v>
      </c>
      <c r="F1031">
        <v>2000</v>
      </c>
      <c r="G1031">
        <v>14</v>
      </c>
      <c r="H1031" s="1" t="s">
        <v>21</v>
      </c>
      <c r="I1031">
        <v>24</v>
      </c>
      <c r="J1031">
        <v>1675</v>
      </c>
      <c r="K1031" s="1" t="s">
        <v>37</v>
      </c>
      <c r="L1031" s="1" t="s">
        <v>23</v>
      </c>
      <c r="M1031">
        <v>1.157</v>
      </c>
      <c r="N1031">
        <v>27760.3</v>
      </c>
      <c r="O1031">
        <v>27.76</v>
      </c>
      <c r="P1031" s="2">
        <v>41913</v>
      </c>
      <c r="Q1031">
        <v>1</v>
      </c>
      <c r="R1031" s="1" t="s">
        <v>24</v>
      </c>
    </row>
    <row r="1032" spans="1:18" x14ac:dyDescent="0.25">
      <c r="A1032">
        <v>2014</v>
      </c>
      <c r="B1032">
        <v>11</v>
      </c>
      <c r="C1032" s="1" t="s">
        <v>34</v>
      </c>
      <c r="D1032" s="1" t="s">
        <v>19</v>
      </c>
      <c r="E1032" s="1" t="s">
        <v>36</v>
      </c>
      <c r="F1032">
        <v>2000</v>
      </c>
      <c r="G1032">
        <v>14</v>
      </c>
      <c r="H1032" s="1" t="s">
        <v>21</v>
      </c>
      <c r="I1032">
        <v>24</v>
      </c>
      <c r="J1032">
        <v>1675</v>
      </c>
      <c r="K1032" s="1" t="s">
        <v>37</v>
      </c>
      <c r="L1032" s="1" t="s">
        <v>23</v>
      </c>
      <c r="M1032">
        <v>1.177</v>
      </c>
      <c r="N1032">
        <v>28237.7</v>
      </c>
      <c r="O1032">
        <v>28.238</v>
      </c>
      <c r="P1032" s="2">
        <v>41944</v>
      </c>
      <c r="Q1032">
        <v>1</v>
      </c>
      <c r="R1032" s="1" t="s">
        <v>24</v>
      </c>
    </row>
    <row r="1033" spans="1:18" x14ac:dyDescent="0.25">
      <c r="A1033">
        <v>2014</v>
      </c>
      <c r="B1033">
        <v>12</v>
      </c>
      <c r="C1033" s="1" t="s">
        <v>35</v>
      </c>
      <c r="D1033" s="1" t="s">
        <v>19</v>
      </c>
      <c r="E1033" s="1" t="s">
        <v>36</v>
      </c>
      <c r="F1033">
        <v>2000</v>
      </c>
      <c r="G1033">
        <v>14</v>
      </c>
      <c r="H1033" s="1" t="s">
        <v>21</v>
      </c>
      <c r="I1033">
        <v>24</v>
      </c>
      <c r="J1033">
        <v>1675</v>
      </c>
      <c r="K1033" s="1" t="s">
        <v>37</v>
      </c>
      <c r="L1033" s="1" t="s">
        <v>23</v>
      </c>
      <c r="M1033">
        <v>1.0980000000000001</v>
      </c>
      <c r="N1033">
        <v>26346.6</v>
      </c>
      <c r="O1033">
        <v>26.347000000000001</v>
      </c>
      <c r="P1033" s="2">
        <v>41974</v>
      </c>
      <c r="Q1033">
        <v>1</v>
      </c>
      <c r="R1033" s="1" t="s">
        <v>24</v>
      </c>
    </row>
    <row r="1034" spans="1:18" x14ac:dyDescent="0.25">
      <c r="A1034">
        <v>2014</v>
      </c>
      <c r="B1034">
        <v>1</v>
      </c>
      <c r="C1034" s="1" t="s">
        <v>18</v>
      </c>
      <c r="D1034" s="1" t="s">
        <v>19</v>
      </c>
      <c r="E1034" s="1" t="s">
        <v>38</v>
      </c>
      <c r="F1034">
        <v>2005</v>
      </c>
      <c r="G1034">
        <v>9</v>
      </c>
      <c r="H1034" s="1" t="s">
        <v>21</v>
      </c>
      <c r="I1034">
        <v>18</v>
      </c>
      <c r="J1034">
        <v>1922</v>
      </c>
      <c r="K1034" s="1" t="s">
        <v>39</v>
      </c>
      <c r="L1034" s="1" t="s">
        <v>23</v>
      </c>
      <c r="M1034">
        <v>1.224</v>
      </c>
      <c r="N1034">
        <v>22026.1</v>
      </c>
      <c r="O1034">
        <v>22.026</v>
      </c>
      <c r="P1034" s="2">
        <v>41640</v>
      </c>
      <c r="Q1034">
        <v>1</v>
      </c>
      <c r="R1034" s="1" t="s">
        <v>40</v>
      </c>
    </row>
    <row r="1035" spans="1:18" x14ac:dyDescent="0.25">
      <c r="A1035">
        <v>2014</v>
      </c>
      <c r="B1035">
        <v>2</v>
      </c>
      <c r="C1035" s="1" t="s">
        <v>25</v>
      </c>
      <c r="D1035" s="1" t="s">
        <v>19</v>
      </c>
      <c r="E1035" s="1" t="s">
        <v>38</v>
      </c>
      <c r="F1035">
        <v>2005</v>
      </c>
      <c r="G1035">
        <v>9</v>
      </c>
      <c r="H1035" s="1" t="s">
        <v>21</v>
      </c>
      <c r="I1035">
        <v>18</v>
      </c>
      <c r="J1035">
        <v>1922</v>
      </c>
      <c r="K1035" s="1" t="s">
        <v>39</v>
      </c>
      <c r="L1035" s="1" t="s">
        <v>23</v>
      </c>
      <c r="M1035">
        <v>1.1319999999999999</v>
      </c>
      <c r="N1035">
        <v>20382.8</v>
      </c>
      <c r="O1035">
        <v>20.382999999999999</v>
      </c>
      <c r="P1035" s="2">
        <v>41671</v>
      </c>
      <c r="Q1035">
        <v>1</v>
      </c>
      <c r="R1035" s="1" t="s">
        <v>40</v>
      </c>
    </row>
    <row r="1036" spans="1:18" x14ac:dyDescent="0.25">
      <c r="A1036">
        <v>2014</v>
      </c>
      <c r="B1036">
        <v>3</v>
      </c>
      <c r="C1036" s="1" t="s">
        <v>26</v>
      </c>
      <c r="D1036" s="1" t="s">
        <v>19</v>
      </c>
      <c r="E1036" s="1" t="s">
        <v>38</v>
      </c>
      <c r="F1036">
        <v>2005</v>
      </c>
      <c r="G1036">
        <v>9</v>
      </c>
      <c r="H1036" s="1" t="s">
        <v>21</v>
      </c>
      <c r="I1036">
        <v>18</v>
      </c>
      <c r="J1036">
        <v>1922</v>
      </c>
      <c r="K1036" s="1" t="s">
        <v>39</v>
      </c>
      <c r="L1036" s="1" t="s">
        <v>23</v>
      </c>
      <c r="M1036">
        <v>1.1639999999999999</v>
      </c>
      <c r="N1036">
        <v>20945</v>
      </c>
      <c r="O1036">
        <v>20.945</v>
      </c>
      <c r="P1036" s="2">
        <v>41699</v>
      </c>
      <c r="Q1036">
        <v>1</v>
      </c>
      <c r="R1036" s="1" t="s">
        <v>40</v>
      </c>
    </row>
    <row r="1037" spans="1:18" x14ac:dyDescent="0.25">
      <c r="A1037">
        <v>2014</v>
      </c>
      <c r="B1037">
        <v>4</v>
      </c>
      <c r="C1037" s="1" t="s">
        <v>27</v>
      </c>
      <c r="D1037" s="1" t="s">
        <v>19</v>
      </c>
      <c r="E1037" s="1" t="s">
        <v>38</v>
      </c>
      <c r="F1037">
        <v>2005</v>
      </c>
      <c r="G1037">
        <v>9</v>
      </c>
      <c r="H1037" s="1" t="s">
        <v>21</v>
      </c>
      <c r="I1037">
        <v>18</v>
      </c>
      <c r="J1037">
        <v>1922</v>
      </c>
      <c r="K1037" s="1" t="s">
        <v>39</v>
      </c>
      <c r="L1037" s="1" t="s">
        <v>23</v>
      </c>
      <c r="M1037">
        <v>1.466</v>
      </c>
      <c r="N1037">
        <v>26379.4</v>
      </c>
      <c r="O1037">
        <v>26.379000000000001</v>
      </c>
      <c r="P1037" s="2">
        <v>41730</v>
      </c>
      <c r="Q1037">
        <v>1</v>
      </c>
      <c r="R1037" s="1" t="s">
        <v>40</v>
      </c>
    </row>
    <row r="1038" spans="1:18" x14ac:dyDescent="0.25">
      <c r="A1038">
        <v>2014</v>
      </c>
      <c r="B1038">
        <v>5</v>
      </c>
      <c r="C1038" s="1" t="s">
        <v>28</v>
      </c>
      <c r="D1038" s="1" t="s">
        <v>19</v>
      </c>
      <c r="E1038" s="1" t="s">
        <v>38</v>
      </c>
      <c r="F1038">
        <v>2005</v>
      </c>
      <c r="G1038">
        <v>9</v>
      </c>
      <c r="H1038" s="1" t="s">
        <v>21</v>
      </c>
      <c r="I1038">
        <v>18</v>
      </c>
      <c r="J1038">
        <v>1922</v>
      </c>
      <c r="K1038" s="1" t="s">
        <v>39</v>
      </c>
      <c r="L1038" s="1" t="s">
        <v>23</v>
      </c>
      <c r="M1038">
        <v>1.532</v>
      </c>
      <c r="N1038">
        <v>27575.9</v>
      </c>
      <c r="O1038">
        <v>27.576000000000001</v>
      </c>
      <c r="P1038" s="2">
        <v>41760</v>
      </c>
      <c r="Q1038">
        <v>1</v>
      </c>
      <c r="R1038" s="1" t="s">
        <v>40</v>
      </c>
    </row>
    <row r="1039" spans="1:18" x14ac:dyDescent="0.25">
      <c r="A1039">
        <v>2014</v>
      </c>
      <c r="B1039">
        <v>6</v>
      </c>
      <c r="C1039" s="1" t="s">
        <v>29</v>
      </c>
      <c r="D1039" s="1" t="s">
        <v>19</v>
      </c>
      <c r="E1039" s="1" t="s">
        <v>38</v>
      </c>
      <c r="F1039">
        <v>2005</v>
      </c>
      <c r="G1039">
        <v>9</v>
      </c>
      <c r="H1039" s="1" t="s">
        <v>21</v>
      </c>
      <c r="I1039">
        <v>18</v>
      </c>
      <c r="J1039">
        <v>1922</v>
      </c>
      <c r="K1039" s="1" t="s">
        <v>39</v>
      </c>
      <c r="L1039" s="1" t="s">
        <v>23</v>
      </c>
      <c r="M1039">
        <v>1.1870000000000001</v>
      </c>
      <c r="N1039">
        <v>21363</v>
      </c>
      <c r="O1039">
        <v>21.363</v>
      </c>
      <c r="P1039" s="2">
        <v>41791</v>
      </c>
      <c r="Q1039">
        <v>1</v>
      </c>
      <c r="R1039" s="1" t="s">
        <v>40</v>
      </c>
    </row>
    <row r="1040" spans="1:18" x14ac:dyDescent="0.25">
      <c r="A1040">
        <v>2014</v>
      </c>
      <c r="B1040">
        <v>7</v>
      </c>
      <c r="C1040" s="1" t="s">
        <v>30</v>
      </c>
      <c r="D1040" s="1" t="s">
        <v>19</v>
      </c>
      <c r="E1040" s="1" t="s">
        <v>38</v>
      </c>
      <c r="F1040">
        <v>2005</v>
      </c>
      <c r="G1040">
        <v>9</v>
      </c>
      <c r="H1040" s="1" t="s">
        <v>21</v>
      </c>
      <c r="I1040">
        <v>18</v>
      </c>
      <c r="J1040">
        <v>1922</v>
      </c>
      <c r="K1040" s="1" t="s">
        <v>39</v>
      </c>
      <c r="L1040" s="1" t="s">
        <v>23</v>
      </c>
      <c r="M1040">
        <v>1.774</v>
      </c>
      <c r="N1040">
        <v>31929.200000000001</v>
      </c>
      <c r="O1040">
        <v>31.928999999999998</v>
      </c>
      <c r="P1040" s="2">
        <v>41821</v>
      </c>
      <c r="Q1040">
        <v>1</v>
      </c>
      <c r="R1040" s="1" t="s">
        <v>40</v>
      </c>
    </row>
    <row r="1041" spans="1:18" x14ac:dyDescent="0.25">
      <c r="A1041">
        <v>2014</v>
      </c>
      <c r="B1041">
        <v>8</v>
      </c>
      <c r="C1041" s="1" t="s">
        <v>31</v>
      </c>
      <c r="D1041" s="1" t="s">
        <v>19</v>
      </c>
      <c r="E1041" s="1" t="s">
        <v>38</v>
      </c>
      <c r="F1041">
        <v>2005</v>
      </c>
      <c r="G1041">
        <v>9</v>
      </c>
      <c r="H1041" s="1" t="s">
        <v>21</v>
      </c>
      <c r="I1041">
        <v>18</v>
      </c>
      <c r="J1041">
        <v>1922</v>
      </c>
      <c r="K1041" s="1" t="s">
        <v>39</v>
      </c>
      <c r="L1041" s="1" t="s">
        <v>23</v>
      </c>
      <c r="M1041">
        <v>1.84</v>
      </c>
      <c r="N1041">
        <v>33125.699999999997</v>
      </c>
      <c r="O1041">
        <v>33.125999999999998</v>
      </c>
      <c r="P1041" s="2">
        <v>41852</v>
      </c>
      <c r="Q1041">
        <v>1</v>
      </c>
      <c r="R1041" s="1" t="s">
        <v>40</v>
      </c>
    </row>
    <row r="1042" spans="1:18" x14ac:dyDescent="0.25">
      <c r="A1042">
        <v>2014</v>
      </c>
      <c r="B1042">
        <v>9</v>
      </c>
      <c r="C1042" s="1" t="s">
        <v>32</v>
      </c>
      <c r="D1042" s="1" t="s">
        <v>19</v>
      </c>
      <c r="E1042" s="1" t="s">
        <v>38</v>
      </c>
      <c r="F1042">
        <v>2005</v>
      </c>
      <c r="G1042">
        <v>9</v>
      </c>
      <c r="H1042" s="1" t="s">
        <v>21</v>
      </c>
      <c r="I1042">
        <v>18</v>
      </c>
      <c r="J1042">
        <v>1922</v>
      </c>
      <c r="K1042" s="1" t="s">
        <v>39</v>
      </c>
      <c r="L1042" s="1" t="s">
        <v>23</v>
      </c>
      <c r="M1042">
        <v>1.4890000000000001</v>
      </c>
      <c r="N1042">
        <v>26797.5</v>
      </c>
      <c r="O1042">
        <v>26.797000000000001</v>
      </c>
      <c r="P1042" s="2">
        <v>41883</v>
      </c>
      <c r="Q1042">
        <v>1</v>
      </c>
      <c r="R1042" s="1" t="s">
        <v>40</v>
      </c>
    </row>
    <row r="1043" spans="1:18" x14ac:dyDescent="0.25">
      <c r="A1043">
        <v>2014</v>
      </c>
      <c r="B1043">
        <v>10</v>
      </c>
      <c r="C1043" s="1" t="s">
        <v>33</v>
      </c>
      <c r="D1043" s="1" t="s">
        <v>19</v>
      </c>
      <c r="E1043" s="1" t="s">
        <v>38</v>
      </c>
      <c r="F1043">
        <v>2005</v>
      </c>
      <c r="G1043">
        <v>9</v>
      </c>
      <c r="H1043" s="1" t="s">
        <v>21</v>
      </c>
      <c r="I1043">
        <v>18</v>
      </c>
      <c r="J1043">
        <v>1922</v>
      </c>
      <c r="K1043" s="1" t="s">
        <v>39</v>
      </c>
      <c r="L1043" s="1" t="s">
        <v>23</v>
      </c>
      <c r="M1043">
        <v>1.2110000000000001</v>
      </c>
      <c r="N1043">
        <v>21795.5</v>
      </c>
      <c r="O1043">
        <v>21.795000000000002</v>
      </c>
      <c r="P1043" s="2">
        <v>41913</v>
      </c>
      <c r="Q1043">
        <v>1</v>
      </c>
      <c r="R1043" s="1" t="s">
        <v>40</v>
      </c>
    </row>
    <row r="1044" spans="1:18" x14ac:dyDescent="0.25">
      <c r="A1044">
        <v>2014</v>
      </c>
      <c r="B1044">
        <v>11</v>
      </c>
      <c r="C1044" s="1" t="s">
        <v>34</v>
      </c>
      <c r="D1044" s="1" t="s">
        <v>19</v>
      </c>
      <c r="E1044" s="1" t="s">
        <v>38</v>
      </c>
      <c r="F1044">
        <v>2005</v>
      </c>
      <c r="G1044">
        <v>9</v>
      </c>
      <c r="H1044" s="1" t="s">
        <v>21</v>
      </c>
      <c r="I1044">
        <v>18</v>
      </c>
      <c r="J1044">
        <v>1922</v>
      </c>
      <c r="K1044" s="1" t="s">
        <v>39</v>
      </c>
      <c r="L1044" s="1" t="s">
        <v>23</v>
      </c>
      <c r="M1044">
        <v>1.232</v>
      </c>
      <c r="N1044">
        <v>22170.3</v>
      </c>
      <c r="O1044">
        <v>22.17</v>
      </c>
      <c r="P1044" s="2">
        <v>41944</v>
      </c>
      <c r="Q1044">
        <v>1</v>
      </c>
      <c r="R1044" s="1" t="s">
        <v>40</v>
      </c>
    </row>
    <row r="1045" spans="1:18" x14ac:dyDescent="0.25">
      <c r="A1045">
        <v>2014</v>
      </c>
      <c r="B1045">
        <v>12</v>
      </c>
      <c r="C1045" s="1" t="s">
        <v>35</v>
      </c>
      <c r="D1045" s="1" t="s">
        <v>19</v>
      </c>
      <c r="E1045" s="1" t="s">
        <v>38</v>
      </c>
      <c r="F1045">
        <v>2005</v>
      </c>
      <c r="G1045">
        <v>9</v>
      </c>
      <c r="H1045" s="1" t="s">
        <v>21</v>
      </c>
      <c r="I1045">
        <v>18</v>
      </c>
      <c r="J1045">
        <v>1922</v>
      </c>
      <c r="K1045" s="1" t="s">
        <v>39</v>
      </c>
      <c r="L1045" s="1" t="s">
        <v>23</v>
      </c>
      <c r="M1045">
        <v>1.149</v>
      </c>
      <c r="N1045">
        <v>20685.5</v>
      </c>
      <c r="O1045">
        <v>20.686</v>
      </c>
      <c r="P1045" s="2">
        <v>41974</v>
      </c>
      <c r="Q1045">
        <v>1</v>
      </c>
      <c r="R1045" s="1" t="s">
        <v>40</v>
      </c>
    </row>
    <row r="1046" spans="1:18" x14ac:dyDescent="0.25">
      <c r="A1046">
        <v>2014</v>
      </c>
      <c r="B1046">
        <v>1</v>
      </c>
      <c r="C1046" s="1" t="s">
        <v>18</v>
      </c>
      <c r="D1046" s="1" t="s">
        <v>19</v>
      </c>
      <c r="E1046" s="1" t="s">
        <v>41</v>
      </c>
      <c r="F1046">
        <v>2005</v>
      </c>
      <c r="G1046">
        <v>9</v>
      </c>
      <c r="H1046" s="1" t="s">
        <v>21</v>
      </c>
      <c r="I1046">
        <v>26</v>
      </c>
      <c r="J1046">
        <v>2827</v>
      </c>
      <c r="K1046" s="1" t="s">
        <v>42</v>
      </c>
      <c r="L1046" s="1" t="s">
        <v>23</v>
      </c>
      <c r="M1046">
        <v>1.246</v>
      </c>
      <c r="N1046">
        <v>32397.4</v>
      </c>
      <c r="O1046">
        <v>32.396999999999998</v>
      </c>
      <c r="P1046" s="2">
        <v>41640</v>
      </c>
      <c r="Q1046">
        <v>1</v>
      </c>
      <c r="R1046" s="1" t="s">
        <v>40</v>
      </c>
    </row>
    <row r="1047" spans="1:18" x14ac:dyDescent="0.25">
      <c r="A1047">
        <v>2014</v>
      </c>
      <c r="B1047">
        <v>2</v>
      </c>
      <c r="C1047" s="1" t="s">
        <v>25</v>
      </c>
      <c r="D1047" s="1" t="s">
        <v>19</v>
      </c>
      <c r="E1047" s="1" t="s">
        <v>41</v>
      </c>
      <c r="F1047">
        <v>2005</v>
      </c>
      <c r="G1047">
        <v>9</v>
      </c>
      <c r="H1047" s="1" t="s">
        <v>21</v>
      </c>
      <c r="I1047">
        <v>26</v>
      </c>
      <c r="J1047">
        <v>2827</v>
      </c>
      <c r="K1047" s="1" t="s">
        <v>42</v>
      </c>
      <c r="L1047" s="1" t="s">
        <v>23</v>
      </c>
      <c r="M1047">
        <v>1.153</v>
      </c>
      <c r="N1047">
        <v>29980.3</v>
      </c>
      <c r="O1047">
        <v>29.98</v>
      </c>
      <c r="P1047" s="2">
        <v>41671</v>
      </c>
      <c r="Q1047">
        <v>1</v>
      </c>
      <c r="R1047" s="1" t="s">
        <v>40</v>
      </c>
    </row>
    <row r="1048" spans="1:18" x14ac:dyDescent="0.25">
      <c r="A1048">
        <v>2014</v>
      </c>
      <c r="B1048">
        <v>3</v>
      </c>
      <c r="C1048" s="1" t="s">
        <v>26</v>
      </c>
      <c r="D1048" s="1" t="s">
        <v>19</v>
      </c>
      <c r="E1048" s="1" t="s">
        <v>41</v>
      </c>
      <c r="F1048">
        <v>2005</v>
      </c>
      <c r="G1048">
        <v>9</v>
      </c>
      <c r="H1048" s="1" t="s">
        <v>21</v>
      </c>
      <c r="I1048">
        <v>26</v>
      </c>
      <c r="J1048">
        <v>2827</v>
      </c>
      <c r="K1048" s="1" t="s">
        <v>42</v>
      </c>
      <c r="L1048" s="1" t="s">
        <v>23</v>
      </c>
      <c r="M1048">
        <v>1.1850000000000001</v>
      </c>
      <c r="N1048">
        <v>30807.200000000001</v>
      </c>
      <c r="O1048">
        <v>30.806999999999999</v>
      </c>
      <c r="P1048" s="2">
        <v>41699</v>
      </c>
      <c r="Q1048">
        <v>1</v>
      </c>
      <c r="R1048" s="1" t="s">
        <v>40</v>
      </c>
    </row>
    <row r="1049" spans="1:18" x14ac:dyDescent="0.25">
      <c r="A1049">
        <v>2014</v>
      </c>
      <c r="B1049">
        <v>4</v>
      </c>
      <c r="C1049" s="1" t="s">
        <v>27</v>
      </c>
      <c r="D1049" s="1" t="s">
        <v>19</v>
      </c>
      <c r="E1049" s="1" t="s">
        <v>41</v>
      </c>
      <c r="F1049">
        <v>2005</v>
      </c>
      <c r="G1049">
        <v>9</v>
      </c>
      <c r="H1049" s="1" t="s">
        <v>21</v>
      </c>
      <c r="I1049">
        <v>26</v>
      </c>
      <c r="J1049">
        <v>2827</v>
      </c>
      <c r="K1049" s="1" t="s">
        <v>42</v>
      </c>
      <c r="L1049" s="1" t="s">
        <v>23</v>
      </c>
      <c r="M1049">
        <v>1.492</v>
      </c>
      <c r="N1049">
        <v>38800.6</v>
      </c>
      <c r="O1049">
        <v>38.801000000000002</v>
      </c>
      <c r="P1049" s="2">
        <v>41730</v>
      </c>
      <c r="Q1049">
        <v>1</v>
      </c>
      <c r="R1049" s="1" t="s">
        <v>40</v>
      </c>
    </row>
    <row r="1050" spans="1:18" x14ac:dyDescent="0.25">
      <c r="A1050">
        <v>2014</v>
      </c>
      <c r="B1050">
        <v>5</v>
      </c>
      <c r="C1050" s="1" t="s">
        <v>28</v>
      </c>
      <c r="D1050" s="1" t="s">
        <v>19</v>
      </c>
      <c r="E1050" s="1" t="s">
        <v>41</v>
      </c>
      <c r="F1050">
        <v>2005</v>
      </c>
      <c r="G1050">
        <v>9</v>
      </c>
      <c r="H1050" s="1" t="s">
        <v>21</v>
      </c>
      <c r="I1050">
        <v>26</v>
      </c>
      <c r="J1050">
        <v>2827</v>
      </c>
      <c r="K1050" s="1" t="s">
        <v>42</v>
      </c>
      <c r="L1050" s="1" t="s">
        <v>23</v>
      </c>
      <c r="M1050">
        <v>1.56</v>
      </c>
      <c r="N1050">
        <v>40560.400000000001</v>
      </c>
      <c r="O1050">
        <v>40.56</v>
      </c>
      <c r="P1050" s="2">
        <v>41760</v>
      </c>
      <c r="Q1050">
        <v>1</v>
      </c>
      <c r="R1050" s="1" t="s">
        <v>40</v>
      </c>
    </row>
    <row r="1051" spans="1:18" x14ac:dyDescent="0.25">
      <c r="A1051">
        <v>2014</v>
      </c>
      <c r="B1051">
        <v>6</v>
      </c>
      <c r="C1051" s="1" t="s">
        <v>29</v>
      </c>
      <c r="D1051" s="1" t="s">
        <v>19</v>
      </c>
      <c r="E1051" s="1" t="s">
        <v>41</v>
      </c>
      <c r="F1051">
        <v>2005</v>
      </c>
      <c r="G1051">
        <v>9</v>
      </c>
      <c r="H1051" s="1" t="s">
        <v>21</v>
      </c>
      <c r="I1051">
        <v>26</v>
      </c>
      <c r="J1051">
        <v>2827</v>
      </c>
      <c r="K1051" s="1" t="s">
        <v>42</v>
      </c>
      <c r="L1051" s="1" t="s">
        <v>23</v>
      </c>
      <c r="M1051">
        <v>1.2090000000000001</v>
      </c>
      <c r="N1051">
        <v>31422.1</v>
      </c>
      <c r="O1051">
        <v>31.422000000000001</v>
      </c>
      <c r="P1051" s="2">
        <v>41791</v>
      </c>
      <c r="Q1051">
        <v>1</v>
      </c>
      <c r="R1051" s="1" t="s">
        <v>40</v>
      </c>
    </row>
    <row r="1052" spans="1:18" x14ac:dyDescent="0.25">
      <c r="A1052">
        <v>2014</v>
      </c>
      <c r="B1052">
        <v>7</v>
      </c>
      <c r="C1052" s="1" t="s">
        <v>30</v>
      </c>
      <c r="D1052" s="1" t="s">
        <v>19</v>
      </c>
      <c r="E1052" s="1" t="s">
        <v>41</v>
      </c>
      <c r="F1052">
        <v>2005</v>
      </c>
      <c r="G1052">
        <v>9</v>
      </c>
      <c r="H1052" s="1" t="s">
        <v>21</v>
      </c>
      <c r="I1052">
        <v>26</v>
      </c>
      <c r="J1052">
        <v>2827</v>
      </c>
      <c r="K1052" s="1" t="s">
        <v>42</v>
      </c>
      <c r="L1052" s="1" t="s">
        <v>23</v>
      </c>
      <c r="M1052">
        <v>1.806</v>
      </c>
      <c r="N1052">
        <v>46963.5</v>
      </c>
      <c r="O1052">
        <v>46.963999999999999</v>
      </c>
      <c r="P1052" s="2">
        <v>41821</v>
      </c>
      <c r="Q1052">
        <v>1</v>
      </c>
      <c r="R1052" s="1" t="s">
        <v>40</v>
      </c>
    </row>
    <row r="1053" spans="1:18" x14ac:dyDescent="0.25">
      <c r="A1053">
        <v>2014</v>
      </c>
      <c r="B1053">
        <v>8</v>
      </c>
      <c r="C1053" s="1" t="s">
        <v>31</v>
      </c>
      <c r="D1053" s="1" t="s">
        <v>19</v>
      </c>
      <c r="E1053" s="1" t="s">
        <v>41</v>
      </c>
      <c r="F1053">
        <v>2005</v>
      </c>
      <c r="G1053">
        <v>9</v>
      </c>
      <c r="H1053" s="1" t="s">
        <v>21</v>
      </c>
      <c r="I1053">
        <v>26</v>
      </c>
      <c r="J1053">
        <v>2827</v>
      </c>
      <c r="K1053" s="1" t="s">
        <v>42</v>
      </c>
      <c r="L1053" s="1" t="s">
        <v>23</v>
      </c>
      <c r="M1053">
        <v>1.8740000000000001</v>
      </c>
      <c r="N1053">
        <v>48723.3</v>
      </c>
      <c r="O1053">
        <v>48.722999999999999</v>
      </c>
      <c r="P1053" s="2">
        <v>41852</v>
      </c>
      <c r="Q1053">
        <v>1</v>
      </c>
      <c r="R1053" s="1" t="s">
        <v>40</v>
      </c>
    </row>
    <row r="1054" spans="1:18" x14ac:dyDescent="0.25">
      <c r="A1054">
        <v>2014</v>
      </c>
      <c r="B1054">
        <v>9</v>
      </c>
      <c r="C1054" s="1" t="s">
        <v>32</v>
      </c>
      <c r="D1054" s="1" t="s">
        <v>19</v>
      </c>
      <c r="E1054" s="1" t="s">
        <v>41</v>
      </c>
      <c r="F1054">
        <v>2005</v>
      </c>
      <c r="G1054">
        <v>9</v>
      </c>
      <c r="H1054" s="1" t="s">
        <v>21</v>
      </c>
      <c r="I1054">
        <v>26</v>
      </c>
      <c r="J1054">
        <v>2827</v>
      </c>
      <c r="K1054" s="1" t="s">
        <v>42</v>
      </c>
      <c r="L1054" s="1" t="s">
        <v>23</v>
      </c>
      <c r="M1054">
        <v>1.516</v>
      </c>
      <c r="N1054">
        <v>39415.4</v>
      </c>
      <c r="O1054">
        <v>39.414999999999999</v>
      </c>
      <c r="P1054" s="2">
        <v>41883</v>
      </c>
      <c r="Q1054">
        <v>1</v>
      </c>
      <c r="R1054" s="1" t="s">
        <v>40</v>
      </c>
    </row>
    <row r="1055" spans="1:18" x14ac:dyDescent="0.25">
      <c r="A1055">
        <v>2014</v>
      </c>
      <c r="B1055">
        <v>10</v>
      </c>
      <c r="C1055" s="1" t="s">
        <v>33</v>
      </c>
      <c r="D1055" s="1" t="s">
        <v>19</v>
      </c>
      <c r="E1055" s="1" t="s">
        <v>41</v>
      </c>
      <c r="F1055">
        <v>2005</v>
      </c>
      <c r="G1055">
        <v>9</v>
      </c>
      <c r="H1055" s="1" t="s">
        <v>21</v>
      </c>
      <c r="I1055">
        <v>26</v>
      </c>
      <c r="J1055">
        <v>2827</v>
      </c>
      <c r="K1055" s="1" t="s">
        <v>42</v>
      </c>
      <c r="L1055" s="1" t="s">
        <v>23</v>
      </c>
      <c r="M1055">
        <v>1.2330000000000001</v>
      </c>
      <c r="N1055">
        <v>32058.2</v>
      </c>
      <c r="O1055">
        <v>32.058</v>
      </c>
      <c r="P1055" s="2">
        <v>41913</v>
      </c>
      <c r="Q1055">
        <v>1</v>
      </c>
      <c r="R1055" s="1" t="s">
        <v>40</v>
      </c>
    </row>
    <row r="1056" spans="1:18" x14ac:dyDescent="0.25">
      <c r="A1056">
        <v>2014</v>
      </c>
      <c r="B1056">
        <v>11</v>
      </c>
      <c r="C1056" s="1" t="s">
        <v>34</v>
      </c>
      <c r="D1056" s="1" t="s">
        <v>19</v>
      </c>
      <c r="E1056" s="1" t="s">
        <v>41</v>
      </c>
      <c r="F1056">
        <v>2005</v>
      </c>
      <c r="G1056">
        <v>9</v>
      </c>
      <c r="H1056" s="1" t="s">
        <v>21</v>
      </c>
      <c r="I1056">
        <v>26</v>
      </c>
      <c r="J1056">
        <v>2827</v>
      </c>
      <c r="K1056" s="1" t="s">
        <v>42</v>
      </c>
      <c r="L1056" s="1" t="s">
        <v>23</v>
      </c>
      <c r="M1056">
        <v>1.254</v>
      </c>
      <c r="N1056">
        <v>32609.4</v>
      </c>
      <c r="O1056">
        <v>32.609000000000002</v>
      </c>
      <c r="P1056" s="2">
        <v>41944</v>
      </c>
      <c r="Q1056">
        <v>1</v>
      </c>
      <c r="R1056" s="1" t="s">
        <v>40</v>
      </c>
    </row>
    <row r="1057" spans="1:18" x14ac:dyDescent="0.25">
      <c r="A1057">
        <v>2014</v>
      </c>
      <c r="B1057">
        <v>12</v>
      </c>
      <c r="C1057" s="1" t="s">
        <v>35</v>
      </c>
      <c r="D1057" s="1" t="s">
        <v>19</v>
      </c>
      <c r="E1057" s="1" t="s">
        <v>41</v>
      </c>
      <c r="F1057">
        <v>2005</v>
      </c>
      <c r="G1057">
        <v>9</v>
      </c>
      <c r="H1057" s="1" t="s">
        <v>21</v>
      </c>
      <c r="I1057">
        <v>26</v>
      </c>
      <c r="J1057">
        <v>2827</v>
      </c>
      <c r="K1057" s="1" t="s">
        <v>42</v>
      </c>
      <c r="L1057" s="1" t="s">
        <v>23</v>
      </c>
      <c r="M1057">
        <v>1.17</v>
      </c>
      <c r="N1057">
        <v>30425.599999999999</v>
      </c>
      <c r="O1057">
        <v>30.425999999999998</v>
      </c>
      <c r="P1057" s="2">
        <v>41974</v>
      </c>
      <c r="Q1057">
        <v>1</v>
      </c>
      <c r="R1057" s="1" t="s">
        <v>40</v>
      </c>
    </row>
    <row r="1058" spans="1:18" x14ac:dyDescent="0.25">
      <c r="A1058">
        <v>2014</v>
      </c>
      <c r="B1058">
        <v>1</v>
      </c>
      <c r="C1058" s="1" t="s">
        <v>18</v>
      </c>
      <c r="D1058" s="1" t="s">
        <v>19</v>
      </c>
      <c r="E1058" s="1" t="s">
        <v>43</v>
      </c>
      <c r="F1058">
        <v>2005</v>
      </c>
      <c r="G1058">
        <v>9</v>
      </c>
      <c r="H1058" s="1" t="s">
        <v>21</v>
      </c>
      <c r="I1058">
        <v>24</v>
      </c>
      <c r="J1058">
        <v>1947</v>
      </c>
      <c r="K1058" s="1" t="s">
        <v>44</v>
      </c>
      <c r="L1058" s="1" t="s">
        <v>45</v>
      </c>
      <c r="M1058">
        <v>1.169</v>
      </c>
      <c r="N1058">
        <v>28054.1</v>
      </c>
      <c r="O1058">
        <v>28.053999999999998</v>
      </c>
      <c r="P1058" s="2">
        <v>41640</v>
      </c>
      <c r="Q1058">
        <v>1</v>
      </c>
      <c r="R1058" s="1" t="s">
        <v>40</v>
      </c>
    </row>
    <row r="1059" spans="1:18" x14ac:dyDescent="0.25">
      <c r="A1059">
        <v>2014</v>
      </c>
      <c r="B1059">
        <v>2</v>
      </c>
      <c r="C1059" s="1" t="s">
        <v>25</v>
      </c>
      <c r="D1059" s="1" t="s">
        <v>19</v>
      </c>
      <c r="E1059" s="1" t="s">
        <v>43</v>
      </c>
      <c r="F1059">
        <v>2005</v>
      </c>
      <c r="G1059">
        <v>9</v>
      </c>
      <c r="H1059" s="1" t="s">
        <v>21</v>
      </c>
      <c r="I1059">
        <v>24</v>
      </c>
      <c r="J1059">
        <v>1947</v>
      </c>
      <c r="K1059" s="1" t="s">
        <v>44</v>
      </c>
      <c r="L1059" s="1" t="s">
        <v>45</v>
      </c>
      <c r="M1059">
        <v>1.0820000000000001</v>
      </c>
      <c r="N1059">
        <v>25961</v>
      </c>
      <c r="O1059">
        <v>25.960999999999999</v>
      </c>
      <c r="P1059" s="2">
        <v>41671</v>
      </c>
      <c r="Q1059">
        <v>1</v>
      </c>
      <c r="R1059" s="1" t="s">
        <v>40</v>
      </c>
    </row>
    <row r="1060" spans="1:18" x14ac:dyDescent="0.25">
      <c r="A1060">
        <v>2014</v>
      </c>
      <c r="B1060">
        <v>3</v>
      </c>
      <c r="C1060" s="1" t="s">
        <v>26</v>
      </c>
      <c r="D1060" s="1" t="s">
        <v>19</v>
      </c>
      <c r="E1060" s="1" t="s">
        <v>43</v>
      </c>
      <c r="F1060">
        <v>2005</v>
      </c>
      <c r="G1060">
        <v>9</v>
      </c>
      <c r="H1060" s="1" t="s">
        <v>21</v>
      </c>
      <c r="I1060">
        <v>24</v>
      </c>
      <c r="J1060">
        <v>1947</v>
      </c>
      <c r="K1060" s="1" t="s">
        <v>44</v>
      </c>
      <c r="L1060" s="1" t="s">
        <v>45</v>
      </c>
      <c r="M1060">
        <v>1.1120000000000001</v>
      </c>
      <c r="N1060">
        <v>26677.1</v>
      </c>
      <c r="O1060">
        <v>26.677</v>
      </c>
      <c r="P1060" s="2">
        <v>41699</v>
      </c>
      <c r="Q1060">
        <v>1</v>
      </c>
      <c r="R1060" s="1" t="s">
        <v>40</v>
      </c>
    </row>
    <row r="1061" spans="1:18" x14ac:dyDescent="0.25">
      <c r="A1061">
        <v>2014</v>
      </c>
      <c r="B1061">
        <v>4</v>
      </c>
      <c r="C1061" s="1" t="s">
        <v>27</v>
      </c>
      <c r="D1061" s="1" t="s">
        <v>19</v>
      </c>
      <c r="E1061" s="1" t="s">
        <v>43</v>
      </c>
      <c r="F1061">
        <v>2005</v>
      </c>
      <c r="G1061">
        <v>9</v>
      </c>
      <c r="H1061" s="1" t="s">
        <v>21</v>
      </c>
      <c r="I1061">
        <v>24</v>
      </c>
      <c r="J1061">
        <v>1947</v>
      </c>
      <c r="K1061" s="1" t="s">
        <v>44</v>
      </c>
      <c r="L1061" s="1" t="s">
        <v>45</v>
      </c>
      <c r="M1061">
        <v>1.4</v>
      </c>
      <c r="N1061">
        <v>33598.800000000003</v>
      </c>
      <c r="O1061">
        <v>33.598999999999997</v>
      </c>
      <c r="P1061" s="2">
        <v>41730</v>
      </c>
      <c r="Q1061">
        <v>1</v>
      </c>
      <c r="R1061" s="1" t="s">
        <v>40</v>
      </c>
    </row>
    <row r="1062" spans="1:18" x14ac:dyDescent="0.25">
      <c r="A1062">
        <v>2014</v>
      </c>
      <c r="B1062">
        <v>5</v>
      </c>
      <c r="C1062" s="1" t="s">
        <v>28</v>
      </c>
      <c r="D1062" s="1" t="s">
        <v>19</v>
      </c>
      <c r="E1062" s="1" t="s">
        <v>43</v>
      </c>
      <c r="F1062">
        <v>2005</v>
      </c>
      <c r="G1062">
        <v>9</v>
      </c>
      <c r="H1062" s="1" t="s">
        <v>21</v>
      </c>
      <c r="I1062">
        <v>24</v>
      </c>
      <c r="J1062">
        <v>1947</v>
      </c>
      <c r="K1062" s="1" t="s">
        <v>44</v>
      </c>
      <c r="L1062" s="1" t="s">
        <v>45</v>
      </c>
      <c r="M1062">
        <v>1.4630000000000001</v>
      </c>
      <c r="N1062">
        <v>35122.699999999997</v>
      </c>
      <c r="O1062">
        <v>35.122999999999998</v>
      </c>
      <c r="P1062" s="2">
        <v>41760</v>
      </c>
      <c r="Q1062">
        <v>1</v>
      </c>
      <c r="R1062" s="1" t="s">
        <v>40</v>
      </c>
    </row>
    <row r="1063" spans="1:18" x14ac:dyDescent="0.25">
      <c r="A1063">
        <v>2014</v>
      </c>
      <c r="B1063">
        <v>6</v>
      </c>
      <c r="C1063" s="1" t="s">
        <v>29</v>
      </c>
      <c r="D1063" s="1" t="s">
        <v>19</v>
      </c>
      <c r="E1063" s="1" t="s">
        <v>43</v>
      </c>
      <c r="F1063">
        <v>2005</v>
      </c>
      <c r="G1063">
        <v>9</v>
      </c>
      <c r="H1063" s="1" t="s">
        <v>21</v>
      </c>
      <c r="I1063">
        <v>24</v>
      </c>
      <c r="J1063">
        <v>1947</v>
      </c>
      <c r="K1063" s="1" t="s">
        <v>44</v>
      </c>
      <c r="L1063" s="1" t="s">
        <v>45</v>
      </c>
      <c r="M1063">
        <v>1.1339999999999999</v>
      </c>
      <c r="N1063">
        <v>27209.5</v>
      </c>
      <c r="O1063">
        <v>27.21</v>
      </c>
      <c r="P1063" s="2">
        <v>41791</v>
      </c>
      <c r="Q1063">
        <v>1</v>
      </c>
      <c r="R1063" s="1" t="s">
        <v>40</v>
      </c>
    </row>
    <row r="1064" spans="1:18" x14ac:dyDescent="0.25">
      <c r="A1064">
        <v>2014</v>
      </c>
      <c r="B1064">
        <v>7</v>
      </c>
      <c r="C1064" s="1" t="s">
        <v>30</v>
      </c>
      <c r="D1064" s="1" t="s">
        <v>19</v>
      </c>
      <c r="E1064" s="1" t="s">
        <v>43</v>
      </c>
      <c r="F1064">
        <v>2005</v>
      </c>
      <c r="G1064">
        <v>9</v>
      </c>
      <c r="H1064" s="1" t="s">
        <v>21</v>
      </c>
      <c r="I1064">
        <v>24</v>
      </c>
      <c r="J1064">
        <v>1947</v>
      </c>
      <c r="K1064" s="1" t="s">
        <v>44</v>
      </c>
      <c r="L1064" s="1" t="s">
        <v>45</v>
      </c>
      <c r="M1064">
        <v>1.694</v>
      </c>
      <c r="N1064">
        <v>40667.4</v>
      </c>
      <c r="O1064">
        <v>40.667000000000002</v>
      </c>
      <c r="P1064" s="2">
        <v>41821</v>
      </c>
      <c r="Q1064">
        <v>1</v>
      </c>
      <c r="R1064" s="1" t="s">
        <v>40</v>
      </c>
    </row>
    <row r="1065" spans="1:18" x14ac:dyDescent="0.25">
      <c r="A1065">
        <v>2014</v>
      </c>
      <c r="B1065">
        <v>8</v>
      </c>
      <c r="C1065" s="1" t="s">
        <v>31</v>
      </c>
      <c r="D1065" s="1" t="s">
        <v>19</v>
      </c>
      <c r="E1065" s="1" t="s">
        <v>43</v>
      </c>
      <c r="F1065">
        <v>2005</v>
      </c>
      <c r="G1065">
        <v>9</v>
      </c>
      <c r="H1065" s="1" t="s">
        <v>21</v>
      </c>
      <c r="I1065">
        <v>24</v>
      </c>
      <c r="J1065">
        <v>1947</v>
      </c>
      <c r="K1065" s="1" t="s">
        <v>44</v>
      </c>
      <c r="L1065" s="1" t="s">
        <v>45</v>
      </c>
      <c r="M1065">
        <v>1.758</v>
      </c>
      <c r="N1065">
        <v>42191.3</v>
      </c>
      <c r="O1065">
        <v>42.191000000000003</v>
      </c>
      <c r="P1065" s="2">
        <v>41852</v>
      </c>
      <c r="Q1065">
        <v>1</v>
      </c>
      <c r="R1065" s="1" t="s">
        <v>40</v>
      </c>
    </row>
    <row r="1066" spans="1:18" x14ac:dyDescent="0.25">
      <c r="A1066">
        <v>2014</v>
      </c>
      <c r="B1066">
        <v>9</v>
      </c>
      <c r="C1066" s="1" t="s">
        <v>32</v>
      </c>
      <c r="D1066" s="1" t="s">
        <v>19</v>
      </c>
      <c r="E1066" s="1" t="s">
        <v>43</v>
      </c>
      <c r="F1066">
        <v>2005</v>
      </c>
      <c r="G1066">
        <v>9</v>
      </c>
      <c r="H1066" s="1" t="s">
        <v>21</v>
      </c>
      <c r="I1066">
        <v>24</v>
      </c>
      <c r="J1066">
        <v>1947</v>
      </c>
      <c r="K1066" s="1" t="s">
        <v>44</v>
      </c>
      <c r="L1066" s="1" t="s">
        <v>45</v>
      </c>
      <c r="M1066">
        <v>1.4219999999999999</v>
      </c>
      <c r="N1066">
        <v>34131.199999999997</v>
      </c>
      <c r="O1066">
        <v>34.131</v>
      </c>
      <c r="P1066" s="2">
        <v>41883</v>
      </c>
      <c r="Q1066">
        <v>1</v>
      </c>
      <c r="R1066" s="1" t="s">
        <v>40</v>
      </c>
    </row>
    <row r="1067" spans="1:18" x14ac:dyDescent="0.25">
      <c r="A1067">
        <v>2014</v>
      </c>
      <c r="B1067">
        <v>10</v>
      </c>
      <c r="C1067" s="1" t="s">
        <v>33</v>
      </c>
      <c r="D1067" s="1" t="s">
        <v>19</v>
      </c>
      <c r="E1067" s="1" t="s">
        <v>43</v>
      </c>
      <c r="F1067">
        <v>2005</v>
      </c>
      <c r="G1067">
        <v>9</v>
      </c>
      <c r="H1067" s="1" t="s">
        <v>21</v>
      </c>
      <c r="I1067">
        <v>24</v>
      </c>
      <c r="J1067">
        <v>1947</v>
      </c>
      <c r="K1067" s="1" t="s">
        <v>44</v>
      </c>
      <c r="L1067" s="1" t="s">
        <v>45</v>
      </c>
      <c r="M1067">
        <v>1.157</v>
      </c>
      <c r="N1067">
        <v>27760.3</v>
      </c>
      <c r="O1067">
        <v>27.76</v>
      </c>
      <c r="P1067" s="2">
        <v>41913</v>
      </c>
      <c r="Q1067">
        <v>1</v>
      </c>
      <c r="R1067" s="1" t="s">
        <v>40</v>
      </c>
    </row>
    <row r="1068" spans="1:18" x14ac:dyDescent="0.25">
      <c r="A1068">
        <v>2014</v>
      </c>
      <c r="B1068">
        <v>11</v>
      </c>
      <c r="C1068" s="1" t="s">
        <v>34</v>
      </c>
      <c r="D1068" s="1" t="s">
        <v>19</v>
      </c>
      <c r="E1068" s="1" t="s">
        <v>43</v>
      </c>
      <c r="F1068">
        <v>2005</v>
      </c>
      <c r="G1068">
        <v>9</v>
      </c>
      <c r="H1068" s="1" t="s">
        <v>21</v>
      </c>
      <c r="I1068">
        <v>24</v>
      </c>
      <c r="J1068">
        <v>1947</v>
      </c>
      <c r="K1068" s="1" t="s">
        <v>44</v>
      </c>
      <c r="L1068" s="1" t="s">
        <v>45</v>
      </c>
      <c r="M1068">
        <v>1.177</v>
      </c>
      <c r="N1068">
        <v>28237.7</v>
      </c>
      <c r="O1068">
        <v>28.238</v>
      </c>
      <c r="P1068" s="2">
        <v>41944</v>
      </c>
      <c r="Q1068">
        <v>1</v>
      </c>
      <c r="R1068" s="1" t="s">
        <v>40</v>
      </c>
    </row>
    <row r="1069" spans="1:18" x14ac:dyDescent="0.25">
      <c r="A1069">
        <v>2014</v>
      </c>
      <c r="B1069">
        <v>12</v>
      </c>
      <c r="C1069" s="1" t="s">
        <v>35</v>
      </c>
      <c r="D1069" s="1" t="s">
        <v>19</v>
      </c>
      <c r="E1069" s="1" t="s">
        <v>43</v>
      </c>
      <c r="F1069">
        <v>2005</v>
      </c>
      <c r="G1069">
        <v>9</v>
      </c>
      <c r="H1069" s="1" t="s">
        <v>21</v>
      </c>
      <c r="I1069">
        <v>24</v>
      </c>
      <c r="J1069">
        <v>1947</v>
      </c>
      <c r="K1069" s="1" t="s">
        <v>44</v>
      </c>
      <c r="L1069" s="1" t="s">
        <v>45</v>
      </c>
      <c r="M1069">
        <v>1.0980000000000001</v>
      </c>
      <c r="N1069">
        <v>26346.6</v>
      </c>
      <c r="O1069">
        <v>26.347000000000001</v>
      </c>
      <c r="P1069" s="2">
        <v>41974</v>
      </c>
      <c r="Q1069">
        <v>1</v>
      </c>
      <c r="R1069" s="1" t="s">
        <v>40</v>
      </c>
    </row>
    <row r="1070" spans="1:18" x14ac:dyDescent="0.25">
      <c r="A1070">
        <v>2014</v>
      </c>
      <c r="B1070">
        <v>1</v>
      </c>
      <c r="C1070" s="1" t="s">
        <v>18</v>
      </c>
      <c r="D1070" s="1" t="s">
        <v>19</v>
      </c>
      <c r="E1070" s="1" t="s">
        <v>46</v>
      </c>
      <c r="F1070">
        <v>2006</v>
      </c>
      <c r="G1070">
        <v>8</v>
      </c>
      <c r="H1070" s="1" t="s">
        <v>21</v>
      </c>
      <c r="I1070">
        <v>25</v>
      </c>
      <c r="J1070">
        <v>2740</v>
      </c>
      <c r="K1070" s="1" t="s">
        <v>47</v>
      </c>
      <c r="L1070" s="1" t="s">
        <v>45</v>
      </c>
      <c r="M1070">
        <v>1.256</v>
      </c>
      <c r="N1070">
        <v>31400.400000000001</v>
      </c>
      <c r="O1070">
        <v>31.4</v>
      </c>
      <c r="P1070" s="2">
        <v>41640</v>
      </c>
      <c r="Q1070">
        <v>1</v>
      </c>
      <c r="R1070" s="1" t="s">
        <v>40</v>
      </c>
    </row>
    <row r="1071" spans="1:18" x14ac:dyDescent="0.25">
      <c r="A1071">
        <v>2014</v>
      </c>
      <c r="B1071">
        <v>2</v>
      </c>
      <c r="C1071" s="1" t="s">
        <v>25</v>
      </c>
      <c r="D1071" s="1" t="s">
        <v>19</v>
      </c>
      <c r="E1071" s="1" t="s">
        <v>46</v>
      </c>
      <c r="F1071">
        <v>2006</v>
      </c>
      <c r="G1071">
        <v>8</v>
      </c>
      <c r="H1071" s="1" t="s">
        <v>21</v>
      </c>
      <c r="I1071">
        <v>25</v>
      </c>
      <c r="J1071">
        <v>2740</v>
      </c>
      <c r="K1071" s="1" t="s">
        <v>47</v>
      </c>
      <c r="L1071" s="1" t="s">
        <v>45</v>
      </c>
      <c r="M1071">
        <v>1.1619999999999999</v>
      </c>
      <c r="N1071">
        <v>29057.7</v>
      </c>
      <c r="O1071">
        <v>29.058</v>
      </c>
      <c r="P1071" s="2">
        <v>41671</v>
      </c>
      <c r="Q1071">
        <v>1</v>
      </c>
      <c r="R1071" s="1" t="s">
        <v>40</v>
      </c>
    </row>
    <row r="1072" spans="1:18" x14ac:dyDescent="0.25">
      <c r="A1072">
        <v>2014</v>
      </c>
      <c r="B1072">
        <v>3</v>
      </c>
      <c r="C1072" s="1" t="s">
        <v>26</v>
      </c>
      <c r="D1072" s="1" t="s">
        <v>19</v>
      </c>
      <c r="E1072" s="1" t="s">
        <v>46</v>
      </c>
      <c r="F1072">
        <v>2006</v>
      </c>
      <c r="G1072">
        <v>8</v>
      </c>
      <c r="H1072" s="1" t="s">
        <v>21</v>
      </c>
      <c r="I1072">
        <v>25</v>
      </c>
      <c r="J1072">
        <v>2740</v>
      </c>
      <c r="K1072" s="1" t="s">
        <v>47</v>
      </c>
      <c r="L1072" s="1" t="s">
        <v>45</v>
      </c>
      <c r="M1072">
        <v>1.194</v>
      </c>
      <c r="N1072">
        <v>29859.200000000001</v>
      </c>
      <c r="O1072">
        <v>29.859000000000002</v>
      </c>
      <c r="P1072" s="2">
        <v>41699</v>
      </c>
      <c r="Q1072">
        <v>1</v>
      </c>
      <c r="R1072" s="1" t="s">
        <v>40</v>
      </c>
    </row>
    <row r="1073" spans="1:18" x14ac:dyDescent="0.25">
      <c r="A1073">
        <v>2014</v>
      </c>
      <c r="B1073">
        <v>4</v>
      </c>
      <c r="C1073" s="1" t="s">
        <v>27</v>
      </c>
      <c r="D1073" s="1" t="s">
        <v>19</v>
      </c>
      <c r="E1073" s="1" t="s">
        <v>46</v>
      </c>
      <c r="F1073">
        <v>2006</v>
      </c>
      <c r="G1073">
        <v>8</v>
      </c>
      <c r="H1073" s="1" t="s">
        <v>21</v>
      </c>
      <c r="I1073">
        <v>25</v>
      </c>
      <c r="J1073">
        <v>2740</v>
      </c>
      <c r="K1073" s="1" t="s">
        <v>47</v>
      </c>
      <c r="L1073" s="1" t="s">
        <v>45</v>
      </c>
      <c r="M1073">
        <v>1.504</v>
      </c>
      <c r="N1073">
        <v>37606.5</v>
      </c>
      <c r="O1073">
        <v>37.606000000000002</v>
      </c>
      <c r="P1073" s="2">
        <v>41730</v>
      </c>
      <c r="Q1073">
        <v>1</v>
      </c>
      <c r="R1073" s="1" t="s">
        <v>40</v>
      </c>
    </row>
    <row r="1074" spans="1:18" x14ac:dyDescent="0.25">
      <c r="A1074">
        <v>2014</v>
      </c>
      <c r="B1074">
        <v>5</v>
      </c>
      <c r="C1074" s="1" t="s">
        <v>28</v>
      </c>
      <c r="D1074" s="1" t="s">
        <v>19</v>
      </c>
      <c r="E1074" s="1" t="s">
        <v>46</v>
      </c>
      <c r="F1074">
        <v>2006</v>
      </c>
      <c r="G1074">
        <v>8</v>
      </c>
      <c r="H1074" s="1" t="s">
        <v>21</v>
      </c>
      <c r="I1074">
        <v>25</v>
      </c>
      <c r="J1074">
        <v>2740</v>
      </c>
      <c r="K1074" s="1" t="s">
        <v>47</v>
      </c>
      <c r="L1074" s="1" t="s">
        <v>45</v>
      </c>
      <c r="M1074">
        <v>1.5720000000000001</v>
      </c>
      <c r="N1074">
        <v>39312.1</v>
      </c>
      <c r="O1074">
        <v>39.311999999999998</v>
      </c>
      <c r="P1074" s="2">
        <v>41760</v>
      </c>
      <c r="Q1074">
        <v>1</v>
      </c>
      <c r="R1074" s="1" t="s">
        <v>40</v>
      </c>
    </row>
    <row r="1075" spans="1:18" x14ac:dyDescent="0.25">
      <c r="A1075">
        <v>2014</v>
      </c>
      <c r="B1075">
        <v>6</v>
      </c>
      <c r="C1075" s="1" t="s">
        <v>29</v>
      </c>
      <c r="D1075" s="1" t="s">
        <v>19</v>
      </c>
      <c r="E1075" s="1" t="s">
        <v>46</v>
      </c>
      <c r="F1075">
        <v>2006</v>
      </c>
      <c r="G1075">
        <v>8</v>
      </c>
      <c r="H1075" s="1" t="s">
        <v>21</v>
      </c>
      <c r="I1075">
        <v>25</v>
      </c>
      <c r="J1075">
        <v>2740</v>
      </c>
      <c r="K1075" s="1" t="s">
        <v>47</v>
      </c>
      <c r="L1075" s="1" t="s">
        <v>45</v>
      </c>
      <c r="M1075">
        <v>1.218</v>
      </c>
      <c r="N1075">
        <v>30455.1</v>
      </c>
      <c r="O1075">
        <v>30.454999999999998</v>
      </c>
      <c r="P1075" s="2">
        <v>41791</v>
      </c>
      <c r="Q1075">
        <v>1</v>
      </c>
      <c r="R1075" s="1" t="s">
        <v>40</v>
      </c>
    </row>
    <row r="1076" spans="1:18" x14ac:dyDescent="0.25">
      <c r="A1076">
        <v>2014</v>
      </c>
      <c r="B1076">
        <v>7</v>
      </c>
      <c r="C1076" s="1" t="s">
        <v>30</v>
      </c>
      <c r="D1076" s="1" t="s">
        <v>19</v>
      </c>
      <c r="E1076" s="1" t="s">
        <v>46</v>
      </c>
      <c r="F1076">
        <v>2006</v>
      </c>
      <c r="G1076">
        <v>8</v>
      </c>
      <c r="H1076" s="1" t="s">
        <v>21</v>
      </c>
      <c r="I1076">
        <v>25</v>
      </c>
      <c r="J1076">
        <v>2740</v>
      </c>
      <c r="K1076" s="1" t="s">
        <v>47</v>
      </c>
      <c r="L1076" s="1" t="s">
        <v>45</v>
      </c>
      <c r="M1076">
        <v>1.821</v>
      </c>
      <c r="N1076">
        <v>45518.2</v>
      </c>
      <c r="O1076">
        <v>45.518000000000001</v>
      </c>
      <c r="P1076" s="2">
        <v>41821</v>
      </c>
      <c r="Q1076">
        <v>1</v>
      </c>
      <c r="R1076" s="1" t="s">
        <v>40</v>
      </c>
    </row>
    <row r="1077" spans="1:18" x14ac:dyDescent="0.25">
      <c r="A1077">
        <v>2014</v>
      </c>
      <c r="B1077">
        <v>8</v>
      </c>
      <c r="C1077" s="1" t="s">
        <v>31</v>
      </c>
      <c r="D1077" s="1" t="s">
        <v>19</v>
      </c>
      <c r="E1077" s="1" t="s">
        <v>46</v>
      </c>
      <c r="F1077">
        <v>2006</v>
      </c>
      <c r="G1077">
        <v>8</v>
      </c>
      <c r="H1077" s="1" t="s">
        <v>21</v>
      </c>
      <c r="I1077">
        <v>25</v>
      </c>
      <c r="J1077">
        <v>2740</v>
      </c>
      <c r="K1077" s="1" t="s">
        <v>47</v>
      </c>
      <c r="L1077" s="1" t="s">
        <v>45</v>
      </c>
      <c r="M1077">
        <v>1.889</v>
      </c>
      <c r="N1077">
        <v>47223.9</v>
      </c>
      <c r="O1077">
        <v>47.223999999999997</v>
      </c>
      <c r="P1077" s="2">
        <v>41852</v>
      </c>
      <c r="Q1077">
        <v>1</v>
      </c>
      <c r="R1077" s="1" t="s">
        <v>40</v>
      </c>
    </row>
    <row r="1078" spans="1:18" x14ac:dyDescent="0.25">
      <c r="A1078">
        <v>2014</v>
      </c>
      <c r="B1078">
        <v>9</v>
      </c>
      <c r="C1078" s="1" t="s">
        <v>32</v>
      </c>
      <c r="D1078" s="1" t="s">
        <v>19</v>
      </c>
      <c r="E1078" s="1" t="s">
        <v>46</v>
      </c>
      <c r="F1078">
        <v>2006</v>
      </c>
      <c r="G1078">
        <v>8</v>
      </c>
      <c r="H1078" s="1" t="s">
        <v>21</v>
      </c>
      <c r="I1078">
        <v>25</v>
      </c>
      <c r="J1078">
        <v>2740</v>
      </c>
      <c r="K1078" s="1" t="s">
        <v>47</v>
      </c>
      <c r="L1078" s="1" t="s">
        <v>45</v>
      </c>
      <c r="M1078">
        <v>1.528</v>
      </c>
      <c r="N1078">
        <v>38202.400000000001</v>
      </c>
      <c r="O1078">
        <v>38.201999999999998</v>
      </c>
      <c r="P1078" s="2">
        <v>41883</v>
      </c>
      <c r="Q1078">
        <v>1</v>
      </c>
      <c r="R1078" s="1" t="s">
        <v>40</v>
      </c>
    </row>
    <row r="1079" spans="1:18" x14ac:dyDescent="0.25">
      <c r="A1079">
        <v>2014</v>
      </c>
      <c r="B1079">
        <v>10</v>
      </c>
      <c r="C1079" s="1" t="s">
        <v>33</v>
      </c>
      <c r="D1079" s="1" t="s">
        <v>19</v>
      </c>
      <c r="E1079" s="1" t="s">
        <v>46</v>
      </c>
      <c r="F1079">
        <v>2006</v>
      </c>
      <c r="G1079">
        <v>8</v>
      </c>
      <c r="H1079" s="1" t="s">
        <v>21</v>
      </c>
      <c r="I1079">
        <v>25</v>
      </c>
      <c r="J1079">
        <v>2740</v>
      </c>
      <c r="K1079" s="1" t="s">
        <v>47</v>
      </c>
      <c r="L1079" s="1" t="s">
        <v>45</v>
      </c>
      <c r="M1079">
        <v>1.2430000000000001</v>
      </c>
      <c r="N1079">
        <v>31071.599999999999</v>
      </c>
      <c r="O1079">
        <v>31.071999999999999</v>
      </c>
      <c r="P1079" s="2">
        <v>41913</v>
      </c>
      <c r="Q1079">
        <v>1</v>
      </c>
      <c r="R1079" s="1" t="s">
        <v>40</v>
      </c>
    </row>
    <row r="1080" spans="1:18" x14ac:dyDescent="0.25">
      <c r="A1080">
        <v>2014</v>
      </c>
      <c r="B1080">
        <v>11</v>
      </c>
      <c r="C1080" s="1" t="s">
        <v>34</v>
      </c>
      <c r="D1080" s="1" t="s">
        <v>19</v>
      </c>
      <c r="E1080" s="1" t="s">
        <v>46</v>
      </c>
      <c r="F1080">
        <v>2006</v>
      </c>
      <c r="G1080">
        <v>8</v>
      </c>
      <c r="H1080" s="1" t="s">
        <v>21</v>
      </c>
      <c r="I1080">
        <v>25</v>
      </c>
      <c r="J1080">
        <v>2740</v>
      </c>
      <c r="K1080" s="1" t="s">
        <v>47</v>
      </c>
      <c r="L1080" s="1" t="s">
        <v>45</v>
      </c>
      <c r="M1080">
        <v>1.264</v>
      </c>
      <c r="N1080">
        <v>31605.9</v>
      </c>
      <c r="O1080">
        <v>31.606000000000002</v>
      </c>
      <c r="P1080" s="2">
        <v>41944</v>
      </c>
      <c r="Q1080">
        <v>1</v>
      </c>
      <c r="R1080" s="1" t="s">
        <v>40</v>
      </c>
    </row>
    <row r="1081" spans="1:18" x14ac:dyDescent="0.25">
      <c r="A1081">
        <v>2014</v>
      </c>
      <c r="B1081">
        <v>12</v>
      </c>
      <c r="C1081" s="1" t="s">
        <v>35</v>
      </c>
      <c r="D1081" s="1" t="s">
        <v>19</v>
      </c>
      <c r="E1081" s="1" t="s">
        <v>46</v>
      </c>
      <c r="F1081">
        <v>2006</v>
      </c>
      <c r="G1081">
        <v>8</v>
      </c>
      <c r="H1081" s="1" t="s">
        <v>21</v>
      </c>
      <c r="I1081">
        <v>25</v>
      </c>
      <c r="J1081">
        <v>2740</v>
      </c>
      <c r="K1081" s="1" t="s">
        <v>47</v>
      </c>
      <c r="L1081" s="1" t="s">
        <v>45</v>
      </c>
      <c r="M1081">
        <v>1.18</v>
      </c>
      <c r="N1081">
        <v>29489.200000000001</v>
      </c>
      <c r="O1081">
        <v>29.489000000000001</v>
      </c>
      <c r="P1081" s="2">
        <v>41974</v>
      </c>
      <c r="Q1081">
        <v>1</v>
      </c>
      <c r="R1081" s="1" t="s">
        <v>40</v>
      </c>
    </row>
    <row r="1082" spans="1:18" x14ac:dyDescent="0.25">
      <c r="A1082">
        <v>2014</v>
      </c>
      <c r="B1082">
        <v>1</v>
      </c>
      <c r="C1082" s="1" t="s">
        <v>18</v>
      </c>
      <c r="D1082" s="1" t="s">
        <v>19</v>
      </c>
      <c r="E1082" s="1" t="s">
        <v>48</v>
      </c>
      <c r="F1082">
        <v>2006</v>
      </c>
      <c r="G1082">
        <v>8</v>
      </c>
      <c r="H1082" s="1" t="s">
        <v>21</v>
      </c>
      <c r="I1082">
        <v>24</v>
      </c>
      <c r="J1082">
        <v>3230</v>
      </c>
      <c r="K1082" s="1" t="s">
        <v>49</v>
      </c>
      <c r="L1082" s="1" t="s">
        <v>45</v>
      </c>
      <c r="M1082">
        <v>1.542</v>
      </c>
      <c r="N1082">
        <v>37015.800000000003</v>
      </c>
      <c r="O1082">
        <v>37.015999999999998</v>
      </c>
      <c r="P1082" s="2">
        <v>41640</v>
      </c>
      <c r="Q1082">
        <v>1</v>
      </c>
      <c r="R1082" s="1" t="s">
        <v>40</v>
      </c>
    </row>
    <row r="1083" spans="1:18" x14ac:dyDescent="0.25">
      <c r="A1083">
        <v>2014</v>
      </c>
      <c r="B1083">
        <v>2</v>
      </c>
      <c r="C1083" s="1" t="s">
        <v>25</v>
      </c>
      <c r="D1083" s="1" t="s">
        <v>19</v>
      </c>
      <c r="E1083" s="1" t="s">
        <v>48</v>
      </c>
      <c r="F1083">
        <v>2006</v>
      </c>
      <c r="G1083">
        <v>8</v>
      </c>
      <c r="H1083" s="1" t="s">
        <v>21</v>
      </c>
      <c r="I1083">
        <v>24</v>
      </c>
      <c r="J1083">
        <v>3230</v>
      </c>
      <c r="K1083" s="1" t="s">
        <v>49</v>
      </c>
      <c r="L1083" s="1" t="s">
        <v>45</v>
      </c>
      <c r="M1083">
        <v>1.427</v>
      </c>
      <c r="N1083">
        <v>34254.199999999997</v>
      </c>
      <c r="O1083">
        <v>34.253999999999998</v>
      </c>
      <c r="P1083" s="2">
        <v>41671</v>
      </c>
      <c r="Q1083">
        <v>1</v>
      </c>
      <c r="R1083" s="1" t="s">
        <v>40</v>
      </c>
    </row>
    <row r="1084" spans="1:18" x14ac:dyDescent="0.25">
      <c r="A1084">
        <v>2014</v>
      </c>
      <c r="B1084">
        <v>3</v>
      </c>
      <c r="C1084" s="1" t="s">
        <v>26</v>
      </c>
      <c r="D1084" s="1" t="s">
        <v>19</v>
      </c>
      <c r="E1084" s="1" t="s">
        <v>48</v>
      </c>
      <c r="F1084">
        <v>2006</v>
      </c>
      <c r="G1084">
        <v>8</v>
      </c>
      <c r="H1084" s="1" t="s">
        <v>21</v>
      </c>
      <c r="I1084">
        <v>24</v>
      </c>
      <c r="J1084">
        <v>3230</v>
      </c>
      <c r="K1084" s="1" t="s">
        <v>49</v>
      </c>
      <c r="L1084" s="1" t="s">
        <v>45</v>
      </c>
      <c r="M1084">
        <v>1.4670000000000001</v>
      </c>
      <c r="N1084">
        <v>35198.9</v>
      </c>
      <c r="O1084">
        <v>35.198999999999998</v>
      </c>
      <c r="P1084" s="2">
        <v>41699</v>
      </c>
      <c r="Q1084">
        <v>1</v>
      </c>
      <c r="R1084" s="1" t="s">
        <v>40</v>
      </c>
    </row>
    <row r="1085" spans="1:18" x14ac:dyDescent="0.25">
      <c r="A1085">
        <v>2014</v>
      </c>
      <c r="B1085">
        <v>4</v>
      </c>
      <c r="C1085" s="1" t="s">
        <v>27</v>
      </c>
      <c r="D1085" s="1" t="s">
        <v>19</v>
      </c>
      <c r="E1085" s="1" t="s">
        <v>48</v>
      </c>
      <c r="F1085">
        <v>2006</v>
      </c>
      <c r="G1085">
        <v>8</v>
      </c>
      <c r="H1085" s="1" t="s">
        <v>21</v>
      </c>
      <c r="I1085">
        <v>24</v>
      </c>
      <c r="J1085">
        <v>3230</v>
      </c>
      <c r="K1085" s="1" t="s">
        <v>49</v>
      </c>
      <c r="L1085" s="1" t="s">
        <v>45</v>
      </c>
      <c r="M1085">
        <v>1.847</v>
      </c>
      <c r="N1085">
        <v>44331.8</v>
      </c>
      <c r="O1085">
        <v>44.332000000000001</v>
      </c>
      <c r="P1085" s="2">
        <v>41730</v>
      </c>
      <c r="Q1085">
        <v>1</v>
      </c>
      <c r="R1085" s="1" t="s">
        <v>40</v>
      </c>
    </row>
    <row r="1086" spans="1:18" x14ac:dyDescent="0.25">
      <c r="A1086">
        <v>2014</v>
      </c>
      <c r="B1086">
        <v>5</v>
      </c>
      <c r="C1086" s="1" t="s">
        <v>28</v>
      </c>
      <c r="D1086" s="1" t="s">
        <v>19</v>
      </c>
      <c r="E1086" s="1" t="s">
        <v>48</v>
      </c>
      <c r="F1086">
        <v>2006</v>
      </c>
      <c r="G1086">
        <v>8</v>
      </c>
      <c r="H1086" s="1" t="s">
        <v>21</v>
      </c>
      <c r="I1086">
        <v>24</v>
      </c>
      <c r="J1086">
        <v>3230</v>
      </c>
      <c r="K1086" s="1" t="s">
        <v>49</v>
      </c>
      <c r="L1086" s="1" t="s">
        <v>45</v>
      </c>
      <c r="M1086">
        <v>1.931</v>
      </c>
      <c r="N1086">
        <v>46342.400000000001</v>
      </c>
      <c r="O1086">
        <v>46.341999999999999</v>
      </c>
      <c r="P1086" s="2">
        <v>41760</v>
      </c>
      <c r="Q1086">
        <v>1</v>
      </c>
      <c r="R1086" s="1" t="s">
        <v>40</v>
      </c>
    </row>
    <row r="1087" spans="1:18" x14ac:dyDescent="0.25">
      <c r="A1087">
        <v>2014</v>
      </c>
      <c r="B1087">
        <v>6</v>
      </c>
      <c r="C1087" s="1" t="s">
        <v>29</v>
      </c>
      <c r="D1087" s="1" t="s">
        <v>19</v>
      </c>
      <c r="E1087" s="1" t="s">
        <v>48</v>
      </c>
      <c r="F1087">
        <v>2006</v>
      </c>
      <c r="G1087">
        <v>8</v>
      </c>
      <c r="H1087" s="1" t="s">
        <v>21</v>
      </c>
      <c r="I1087">
        <v>24</v>
      </c>
      <c r="J1087">
        <v>3230</v>
      </c>
      <c r="K1087" s="1" t="s">
        <v>49</v>
      </c>
      <c r="L1087" s="1" t="s">
        <v>45</v>
      </c>
      <c r="M1087">
        <v>1.496</v>
      </c>
      <c r="N1087">
        <v>35901.5</v>
      </c>
      <c r="O1087">
        <v>35.901000000000003</v>
      </c>
      <c r="P1087" s="2">
        <v>41791</v>
      </c>
      <c r="Q1087">
        <v>1</v>
      </c>
      <c r="R1087" s="1" t="s">
        <v>40</v>
      </c>
    </row>
    <row r="1088" spans="1:18" x14ac:dyDescent="0.25">
      <c r="A1088">
        <v>2014</v>
      </c>
      <c r="B1088">
        <v>7</v>
      </c>
      <c r="C1088" s="1" t="s">
        <v>30</v>
      </c>
      <c r="D1088" s="1" t="s">
        <v>19</v>
      </c>
      <c r="E1088" s="1" t="s">
        <v>48</v>
      </c>
      <c r="F1088">
        <v>2006</v>
      </c>
      <c r="G1088">
        <v>8</v>
      </c>
      <c r="H1088" s="1" t="s">
        <v>21</v>
      </c>
      <c r="I1088">
        <v>24</v>
      </c>
      <c r="J1088">
        <v>3230</v>
      </c>
      <c r="K1088" s="1" t="s">
        <v>49</v>
      </c>
      <c r="L1088" s="1" t="s">
        <v>45</v>
      </c>
      <c r="M1088">
        <v>2.2360000000000002</v>
      </c>
      <c r="N1088">
        <v>53658.400000000001</v>
      </c>
      <c r="O1088">
        <v>53.658000000000001</v>
      </c>
      <c r="P1088" s="2">
        <v>41821</v>
      </c>
      <c r="Q1088">
        <v>1</v>
      </c>
      <c r="R1088" s="1" t="s">
        <v>40</v>
      </c>
    </row>
    <row r="1089" spans="1:18" x14ac:dyDescent="0.25">
      <c r="A1089">
        <v>2014</v>
      </c>
      <c r="B1089">
        <v>8</v>
      </c>
      <c r="C1089" s="1" t="s">
        <v>31</v>
      </c>
      <c r="D1089" s="1" t="s">
        <v>19</v>
      </c>
      <c r="E1089" s="1" t="s">
        <v>48</v>
      </c>
      <c r="F1089">
        <v>2006</v>
      </c>
      <c r="G1089">
        <v>8</v>
      </c>
      <c r="H1089" s="1" t="s">
        <v>21</v>
      </c>
      <c r="I1089">
        <v>24</v>
      </c>
      <c r="J1089">
        <v>3230</v>
      </c>
      <c r="K1089" s="1" t="s">
        <v>49</v>
      </c>
      <c r="L1089" s="1" t="s">
        <v>45</v>
      </c>
      <c r="M1089">
        <v>2.3199999999999998</v>
      </c>
      <c r="N1089">
        <v>55669.1</v>
      </c>
      <c r="O1089">
        <v>55.668999999999997</v>
      </c>
      <c r="P1089" s="2">
        <v>41852</v>
      </c>
      <c r="Q1089">
        <v>1</v>
      </c>
      <c r="R1089" s="1" t="s">
        <v>40</v>
      </c>
    </row>
    <row r="1090" spans="1:18" x14ac:dyDescent="0.25">
      <c r="A1090">
        <v>2014</v>
      </c>
      <c r="B1090">
        <v>9</v>
      </c>
      <c r="C1090" s="1" t="s">
        <v>32</v>
      </c>
      <c r="D1090" s="1" t="s">
        <v>19</v>
      </c>
      <c r="E1090" s="1" t="s">
        <v>48</v>
      </c>
      <c r="F1090">
        <v>2006</v>
      </c>
      <c r="G1090">
        <v>8</v>
      </c>
      <c r="H1090" s="1" t="s">
        <v>21</v>
      </c>
      <c r="I1090">
        <v>24</v>
      </c>
      <c r="J1090">
        <v>3230</v>
      </c>
      <c r="K1090" s="1" t="s">
        <v>49</v>
      </c>
      <c r="L1090" s="1" t="s">
        <v>45</v>
      </c>
      <c r="M1090">
        <v>1.8759999999999999</v>
      </c>
      <c r="N1090">
        <v>45034.3</v>
      </c>
      <c r="O1090">
        <v>45.033999999999999</v>
      </c>
      <c r="P1090" s="2">
        <v>41883</v>
      </c>
      <c r="Q1090">
        <v>1</v>
      </c>
      <c r="R1090" s="1" t="s">
        <v>40</v>
      </c>
    </row>
    <row r="1091" spans="1:18" x14ac:dyDescent="0.25">
      <c r="A1091">
        <v>2014</v>
      </c>
      <c r="B1091">
        <v>10</v>
      </c>
      <c r="C1091" s="1" t="s">
        <v>33</v>
      </c>
      <c r="D1091" s="1" t="s">
        <v>19</v>
      </c>
      <c r="E1091" s="1" t="s">
        <v>48</v>
      </c>
      <c r="F1091">
        <v>2006</v>
      </c>
      <c r="G1091">
        <v>8</v>
      </c>
      <c r="H1091" s="1" t="s">
        <v>21</v>
      </c>
      <c r="I1091">
        <v>24</v>
      </c>
      <c r="J1091">
        <v>3230</v>
      </c>
      <c r="K1091" s="1" t="s">
        <v>49</v>
      </c>
      <c r="L1091" s="1" t="s">
        <v>45</v>
      </c>
      <c r="M1091">
        <v>1.526</v>
      </c>
      <c r="N1091">
        <v>36628.199999999997</v>
      </c>
      <c r="O1091">
        <v>36.628</v>
      </c>
      <c r="P1091" s="2">
        <v>41913</v>
      </c>
      <c r="Q1091">
        <v>1</v>
      </c>
      <c r="R1091" s="1" t="s">
        <v>40</v>
      </c>
    </row>
    <row r="1092" spans="1:18" x14ac:dyDescent="0.25">
      <c r="A1092">
        <v>2014</v>
      </c>
      <c r="B1092">
        <v>11</v>
      </c>
      <c r="C1092" s="1" t="s">
        <v>34</v>
      </c>
      <c r="D1092" s="1" t="s">
        <v>19</v>
      </c>
      <c r="E1092" s="1" t="s">
        <v>48</v>
      </c>
      <c r="F1092">
        <v>2006</v>
      </c>
      <c r="G1092">
        <v>8</v>
      </c>
      <c r="H1092" s="1" t="s">
        <v>21</v>
      </c>
      <c r="I1092">
        <v>24</v>
      </c>
      <c r="J1092">
        <v>3230</v>
      </c>
      <c r="K1092" s="1" t="s">
        <v>49</v>
      </c>
      <c r="L1092" s="1" t="s">
        <v>45</v>
      </c>
      <c r="M1092">
        <v>1.552</v>
      </c>
      <c r="N1092">
        <v>37258.1</v>
      </c>
      <c r="O1092">
        <v>37.258000000000003</v>
      </c>
      <c r="P1092" s="2">
        <v>41944</v>
      </c>
      <c r="Q1092">
        <v>1</v>
      </c>
      <c r="R1092" s="1" t="s">
        <v>40</v>
      </c>
    </row>
    <row r="1093" spans="1:18" x14ac:dyDescent="0.25">
      <c r="A1093">
        <v>2014</v>
      </c>
      <c r="B1093">
        <v>12</v>
      </c>
      <c r="C1093" s="1" t="s">
        <v>35</v>
      </c>
      <c r="D1093" s="1" t="s">
        <v>19</v>
      </c>
      <c r="E1093" s="1" t="s">
        <v>48</v>
      </c>
      <c r="F1093">
        <v>2006</v>
      </c>
      <c r="G1093">
        <v>8</v>
      </c>
      <c r="H1093" s="1" t="s">
        <v>21</v>
      </c>
      <c r="I1093">
        <v>24</v>
      </c>
      <c r="J1093">
        <v>3230</v>
      </c>
      <c r="K1093" s="1" t="s">
        <v>49</v>
      </c>
      <c r="L1093" s="1" t="s">
        <v>45</v>
      </c>
      <c r="M1093">
        <v>1.448</v>
      </c>
      <c r="N1093">
        <v>34762.9</v>
      </c>
      <c r="O1093">
        <v>34.762999999999998</v>
      </c>
      <c r="P1093" s="2">
        <v>41974</v>
      </c>
      <c r="Q1093">
        <v>1</v>
      </c>
      <c r="R1093" s="1" t="s">
        <v>40</v>
      </c>
    </row>
    <row r="1094" spans="1:18" x14ac:dyDescent="0.25">
      <c r="A1094">
        <v>2014</v>
      </c>
      <c r="B1094">
        <v>1</v>
      </c>
      <c r="C1094" s="1" t="s">
        <v>18</v>
      </c>
      <c r="D1094" s="1" t="s">
        <v>19</v>
      </c>
      <c r="E1094" s="1" t="s">
        <v>50</v>
      </c>
      <c r="F1094">
        <v>2006</v>
      </c>
      <c r="G1094">
        <v>8</v>
      </c>
      <c r="H1094" s="1" t="s">
        <v>21</v>
      </c>
      <c r="I1094">
        <v>22</v>
      </c>
      <c r="J1094">
        <v>2447</v>
      </c>
      <c r="K1094" s="1" t="s">
        <v>51</v>
      </c>
      <c r="L1094" s="1" t="s">
        <v>45</v>
      </c>
      <c r="M1094">
        <v>1.2749999999999999</v>
      </c>
      <c r="N1094">
        <v>28042.6</v>
      </c>
      <c r="O1094">
        <v>28.042999999999999</v>
      </c>
      <c r="P1094" s="2">
        <v>41640</v>
      </c>
      <c r="Q1094">
        <v>1</v>
      </c>
      <c r="R1094" s="1" t="s">
        <v>40</v>
      </c>
    </row>
    <row r="1095" spans="1:18" x14ac:dyDescent="0.25">
      <c r="A1095">
        <v>2014</v>
      </c>
      <c r="B1095">
        <v>2</v>
      </c>
      <c r="C1095" s="1" t="s">
        <v>25</v>
      </c>
      <c r="D1095" s="1" t="s">
        <v>19</v>
      </c>
      <c r="E1095" s="1" t="s">
        <v>50</v>
      </c>
      <c r="F1095">
        <v>2006</v>
      </c>
      <c r="G1095">
        <v>8</v>
      </c>
      <c r="H1095" s="1" t="s">
        <v>21</v>
      </c>
      <c r="I1095">
        <v>22</v>
      </c>
      <c r="J1095">
        <v>2447</v>
      </c>
      <c r="K1095" s="1" t="s">
        <v>51</v>
      </c>
      <c r="L1095" s="1" t="s">
        <v>45</v>
      </c>
      <c r="M1095">
        <v>1.18</v>
      </c>
      <c r="N1095">
        <v>25950.400000000001</v>
      </c>
      <c r="O1095">
        <v>25.95</v>
      </c>
      <c r="P1095" s="2">
        <v>41671</v>
      </c>
      <c r="Q1095">
        <v>1</v>
      </c>
      <c r="R1095" s="1" t="s">
        <v>40</v>
      </c>
    </row>
    <row r="1096" spans="1:18" x14ac:dyDescent="0.25">
      <c r="A1096">
        <v>2014</v>
      </c>
      <c r="B1096">
        <v>3</v>
      </c>
      <c r="C1096" s="1" t="s">
        <v>26</v>
      </c>
      <c r="D1096" s="1" t="s">
        <v>19</v>
      </c>
      <c r="E1096" s="1" t="s">
        <v>50</v>
      </c>
      <c r="F1096">
        <v>2006</v>
      </c>
      <c r="G1096">
        <v>8</v>
      </c>
      <c r="H1096" s="1" t="s">
        <v>21</v>
      </c>
      <c r="I1096">
        <v>22</v>
      </c>
      <c r="J1096">
        <v>2447</v>
      </c>
      <c r="K1096" s="1" t="s">
        <v>51</v>
      </c>
      <c r="L1096" s="1" t="s">
        <v>45</v>
      </c>
      <c r="M1096">
        <v>1.212</v>
      </c>
      <c r="N1096">
        <v>26666.2</v>
      </c>
      <c r="O1096">
        <v>26.666</v>
      </c>
      <c r="P1096" s="2">
        <v>41699</v>
      </c>
      <c r="Q1096">
        <v>1</v>
      </c>
      <c r="R1096" s="1" t="s">
        <v>40</v>
      </c>
    </row>
    <row r="1097" spans="1:18" x14ac:dyDescent="0.25">
      <c r="A1097">
        <v>2014</v>
      </c>
      <c r="B1097">
        <v>4</v>
      </c>
      <c r="C1097" s="1" t="s">
        <v>27</v>
      </c>
      <c r="D1097" s="1" t="s">
        <v>19</v>
      </c>
      <c r="E1097" s="1" t="s">
        <v>50</v>
      </c>
      <c r="F1097">
        <v>2006</v>
      </c>
      <c r="G1097">
        <v>8</v>
      </c>
      <c r="H1097" s="1" t="s">
        <v>21</v>
      </c>
      <c r="I1097">
        <v>22</v>
      </c>
      <c r="J1097">
        <v>2447</v>
      </c>
      <c r="K1097" s="1" t="s">
        <v>51</v>
      </c>
      <c r="L1097" s="1" t="s">
        <v>45</v>
      </c>
      <c r="M1097">
        <v>1.5269999999999999</v>
      </c>
      <c r="N1097">
        <v>33585.1</v>
      </c>
      <c r="O1097">
        <v>33.585000000000001</v>
      </c>
      <c r="P1097" s="2">
        <v>41730</v>
      </c>
      <c r="Q1097">
        <v>1</v>
      </c>
      <c r="R1097" s="1" t="s">
        <v>40</v>
      </c>
    </row>
    <row r="1098" spans="1:18" x14ac:dyDescent="0.25">
      <c r="A1098">
        <v>2014</v>
      </c>
      <c r="B1098">
        <v>5</v>
      </c>
      <c r="C1098" s="1" t="s">
        <v>28</v>
      </c>
      <c r="D1098" s="1" t="s">
        <v>19</v>
      </c>
      <c r="E1098" s="1" t="s">
        <v>50</v>
      </c>
      <c r="F1098">
        <v>2006</v>
      </c>
      <c r="G1098">
        <v>8</v>
      </c>
      <c r="H1098" s="1" t="s">
        <v>21</v>
      </c>
      <c r="I1098">
        <v>22</v>
      </c>
      <c r="J1098">
        <v>2447</v>
      </c>
      <c r="K1098" s="1" t="s">
        <v>51</v>
      </c>
      <c r="L1098" s="1" t="s">
        <v>45</v>
      </c>
      <c r="M1098">
        <v>1.5960000000000001</v>
      </c>
      <c r="N1098">
        <v>35108.300000000003</v>
      </c>
      <c r="O1098">
        <v>35.107999999999997</v>
      </c>
      <c r="P1098" s="2">
        <v>41760</v>
      </c>
      <c r="Q1098">
        <v>1</v>
      </c>
      <c r="R1098" s="1" t="s">
        <v>40</v>
      </c>
    </row>
    <row r="1099" spans="1:18" x14ac:dyDescent="0.25">
      <c r="A1099">
        <v>2014</v>
      </c>
      <c r="B1099">
        <v>6</v>
      </c>
      <c r="C1099" s="1" t="s">
        <v>29</v>
      </c>
      <c r="D1099" s="1" t="s">
        <v>19</v>
      </c>
      <c r="E1099" s="1" t="s">
        <v>50</v>
      </c>
      <c r="F1099">
        <v>2006</v>
      </c>
      <c r="G1099">
        <v>8</v>
      </c>
      <c r="H1099" s="1" t="s">
        <v>21</v>
      </c>
      <c r="I1099">
        <v>22</v>
      </c>
      <c r="J1099">
        <v>2447</v>
      </c>
      <c r="K1099" s="1" t="s">
        <v>51</v>
      </c>
      <c r="L1099" s="1" t="s">
        <v>45</v>
      </c>
      <c r="M1099">
        <v>1.236</v>
      </c>
      <c r="N1099">
        <v>27198.400000000001</v>
      </c>
      <c r="O1099">
        <v>27.198</v>
      </c>
      <c r="P1099" s="2">
        <v>41791</v>
      </c>
      <c r="Q1099">
        <v>1</v>
      </c>
      <c r="R1099" s="1" t="s">
        <v>40</v>
      </c>
    </row>
    <row r="1100" spans="1:18" x14ac:dyDescent="0.25">
      <c r="A1100">
        <v>2014</v>
      </c>
      <c r="B1100">
        <v>7</v>
      </c>
      <c r="C1100" s="1" t="s">
        <v>30</v>
      </c>
      <c r="D1100" s="1" t="s">
        <v>19</v>
      </c>
      <c r="E1100" s="1" t="s">
        <v>50</v>
      </c>
      <c r="F1100">
        <v>2006</v>
      </c>
      <c r="G1100">
        <v>8</v>
      </c>
      <c r="H1100" s="1" t="s">
        <v>21</v>
      </c>
      <c r="I1100">
        <v>22</v>
      </c>
      <c r="J1100">
        <v>2447</v>
      </c>
      <c r="K1100" s="1" t="s">
        <v>51</v>
      </c>
      <c r="L1100" s="1" t="s">
        <v>45</v>
      </c>
      <c r="M1100">
        <v>1.8480000000000001</v>
      </c>
      <c r="N1100">
        <v>40650.800000000003</v>
      </c>
      <c r="O1100">
        <v>40.651000000000003</v>
      </c>
      <c r="P1100" s="2">
        <v>41821</v>
      </c>
      <c r="Q1100">
        <v>1</v>
      </c>
      <c r="R1100" s="1" t="s">
        <v>40</v>
      </c>
    </row>
    <row r="1101" spans="1:18" x14ac:dyDescent="0.25">
      <c r="A1101">
        <v>2014</v>
      </c>
      <c r="B1101">
        <v>8</v>
      </c>
      <c r="C1101" s="1" t="s">
        <v>31</v>
      </c>
      <c r="D1101" s="1" t="s">
        <v>19</v>
      </c>
      <c r="E1101" s="1" t="s">
        <v>50</v>
      </c>
      <c r="F1101">
        <v>2006</v>
      </c>
      <c r="G1101">
        <v>8</v>
      </c>
      <c r="H1101" s="1" t="s">
        <v>21</v>
      </c>
      <c r="I1101">
        <v>22</v>
      </c>
      <c r="J1101">
        <v>2447</v>
      </c>
      <c r="K1101" s="1" t="s">
        <v>51</v>
      </c>
      <c r="L1101" s="1" t="s">
        <v>45</v>
      </c>
      <c r="M1101">
        <v>1.917</v>
      </c>
      <c r="N1101">
        <v>42174</v>
      </c>
      <c r="O1101">
        <v>42.173999999999999</v>
      </c>
      <c r="P1101" s="2">
        <v>41852</v>
      </c>
      <c r="Q1101">
        <v>1</v>
      </c>
      <c r="R1101" s="1" t="s">
        <v>40</v>
      </c>
    </row>
    <row r="1102" spans="1:18" x14ac:dyDescent="0.25">
      <c r="A1102">
        <v>2014</v>
      </c>
      <c r="B1102">
        <v>9</v>
      </c>
      <c r="C1102" s="1" t="s">
        <v>32</v>
      </c>
      <c r="D1102" s="1" t="s">
        <v>19</v>
      </c>
      <c r="E1102" s="1" t="s">
        <v>50</v>
      </c>
      <c r="F1102">
        <v>2006</v>
      </c>
      <c r="G1102">
        <v>8</v>
      </c>
      <c r="H1102" s="1" t="s">
        <v>21</v>
      </c>
      <c r="I1102">
        <v>22</v>
      </c>
      <c r="J1102">
        <v>2447</v>
      </c>
      <c r="K1102" s="1" t="s">
        <v>51</v>
      </c>
      <c r="L1102" s="1" t="s">
        <v>45</v>
      </c>
      <c r="M1102">
        <v>1.5509999999999999</v>
      </c>
      <c r="N1102">
        <v>34117.300000000003</v>
      </c>
      <c r="O1102">
        <v>34.116999999999997</v>
      </c>
      <c r="P1102" s="2">
        <v>41883</v>
      </c>
      <c r="Q1102">
        <v>1</v>
      </c>
      <c r="R1102" s="1" t="s">
        <v>40</v>
      </c>
    </row>
    <row r="1103" spans="1:18" x14ac:dyDescent="0.25">
      <c r="A1103">
        <v>2014</v>
      </c>
      <c r="B1103">
        <v>10</v>
      </c>
      <c r="C1103" s="1" t="s">
        <v>33</v>
      </c>
      <c r="D1103" s="1" t="s">
        <v>19</v>
      </c>
      <c r="E1103" s="1" t="s">
        <v>50</v>
      </c>
      <c r="F1103">
        <v>2006</v>
      </c>
      <c r="G1103">
        <v>8</v>
      </c>
      <c r="H1103" s="1" t="s">
        <v>21</v>
      </c>
      <c r="I1103">
        <v>22</v>
      </c>
      <c r="J1103">
        <v>2447</v>
      </c>
      <c r="K1103" s="1" t="s">
        <v>51</v>
      </c>
      <c r="L1103" s="1" t="s">
        <v>45</v>
      </c>
      <c r="M1103">
        <v>1.2609999999999999</v>
      </c>
      <c r="N1103">
        <v>27749</v>
      </c>
      <c r="O1103">
        <v>27.748999999999999</v>
      </c>
      <c r="P1103" s="2">
        <v>41913</v>
      </c>
      <c r="Q1103">
        <v>1</v>
      </c>
      <c r="R1103" s="1" t="s">
        <v>40</v>
      </c>
    </row>
    <row r="1104" spans="1:18" x14ac:dyDescent="0.25">
      <c r="A1104">
        <v>2014</v>
      </c>
      <c r="B1104">
        <v>11</v>
      </c>
      <c r="C1104" s="1" t="s">
        <v>34</v>
      </c>
      <c r="D1104" s="1" t="s">
        <v>19</v>
      </c>
      <c r="E1104" s="1" t="s">
        <v>50</v>
      </c>
      <c r="F1104">
        <v>2006</v>
      </c>
      <c r="G1104">
        <v>8</v>
      </c>
      <c r="H1104" s="1" t="s">
        <v>21</v>
      </c>
      <c r="I1104">
        <v>22</v>
      </c>
      <c r="J1104">
        <v>2447</v>
      </c>
      <c r="K1104" s="1" t="s">
        <v>51</v>
      </c>
      <c r="L1104" s="1" t="s">
        <v>45</v>
      </c>
      <c r="M1104">
        <v>1.2829999999999999</v>
      </c>
      <c r="N1104">
        <v>28226.1</v>
      </c>
      <c r="O1104">
        <v>28.225999999999999</v>
      </c>
      <c r="P1104" s="2">
        <v>41944</v>
      </c>
      <c r="Q1104">
        <v>1</v>
      </c>
      <c r="R1104" s="1" t="s">
        <v>40</v>
      </c>
    </row>
    <row r="1105" spans="1:18" x14ac:dyDescent="0.25">
      <c r="A1105">
        <v>2014</v>
      </c>
      <c r="B1105">
        <v>12</v>
      </c>
      <c r="C1105" s="1" t="s">
        <v>35</v>
      </c>
      <c r="D1105" s="1" t="s">
        <v>19</v>
      </c>
      <c r="E1105" s="1" t="s">
        <v>50</v>
      </c>
      <c r="F1105">
        <v>2006</v>
      </c>
      <c r="G1105">
        <v>8</v>
      </c>
      <c r="H1105" s="1" t="s">
        <v>21</v>
      </c>
      <c r="I1105">
        <v>22</v>
      </c>
      <c r="J1105">
        <v>2447</v>
      </c>
      <c r="K1105" s="1" t="s">
        <v>51</v>
      </c>
      <c r="L1105" s="1" t="s">
        <v>45</v>
      </c>
      <c r="M1105">
        <v>1.1970000000000001</v>
      </c>
      <c r="N1105">
        <v>26335.8</v>
      </c>
      <c r="O1105">
        <v>26.335999999999999</v>
      </c>
      <c r="P1105" s="2">
        <v>41974</v>
      </c>
      <c r="Q1105">
        <v>1</v>
      </c>
      <c r="R1105" s="1" t="s">
        <v>40</v>
      </c>
    </row>
    <row r="1106" spans="1:18" x14ac:dyDescent="0.25">
      <c r="A1106">
        <v>2014</v>
      </c>
      <c r="B1106">
        <v>1</v>
      </c>
      <c r="C1106" s="1" t="s">
        <v>18</v>
      </c>
      <c r="D1106" s="1" t="s">
        <v>19</v>
      </c>
      <c r="E1106" s="1" t="s">
        <v>52</v>
      </c>
      <c r="F1106">
        <v>2006</v>
      </c>
      <c r="G1106">
        <v>8</v>
      </c>
      <c r="H1106" s="1" t="s">
        <v>21</v>
      </c>
      <c r="I1106">
        <v>15</v>
      </c>
      <c r="J1106">
        <v>1866</v>
      </c>
      <c r="K1106" s="1" t="s">
        <v>53</v>
      </c>
      <c r="L1106" s="1" t="s">
        <v>45</v>
      </c>
      <c r="M1106">
        <v>1.4259999999999999</v>
      </c>
      <c r="N1106">
        <v>21384.400000000001</v>
      </c>
      <c r="O1106">
        <v>21.384</v>
      </c>
      <c r="P1106" s="2">
        <v>41640</v>
      </c>
      <c r="Q1106">
        <v>1</v>
      </c>
      <c r="R1106" s="1" t="s">
        <v>40</v>
      </c>
    </row>
    <row r="1107" spans="1:18" x14ac:dyDescent="0.25">
      <c r="A1107">
        <v>2014</v>
      </c>
      <c r="B1107">
        <v>2</v>
      </c>
      <c r="C1107" s="1" t="s">
        <v>25</v>
      </c>
      <c r="D1107" s="1" t="s">
        <v>19</v>
      </c>
      <c r="E1107" s="1" t="s">
        <v>52</v>
      </c>
      <c r="F1107">
        <v>2006</v>
      </c>
      <c r="G1107">
        <v>8</v>
      </c>
      <c r="H1107" s="1" t="s">
        <v>21</v>
      </c>
      <c r="I1107">
        <v>15</v>
      </c>
      <c r="J1107">
        <v>1866</v>
      </c>
      <c r="K1107" s="1" t="s">
        <v>53</v>
      </c>
      <c r="L1107" s="1" t="s">
        <v>45</v>
      </c>
      <c r="M1107">
        <v>1.319</v>
      </c>
      <c r="N1107">
        <v>19788.900000000001</v>
      </c>
      <c r="O1107">
        <v>19.789000000000001</v>
      </c>
      <c r="P1107" s="2">
        <v>41671</v>
      </c>
      <c r="Q1107">
        <v>1</v>
      </c>
      <c r="R1107" s="1" t="s">
        <v>40</v>
      </c>
    </row>
    <row r="1108" spans="1:18" x14ac:dyDescent="0.25">
      <c r="A1108">
        <v>2014</v>
      </c>
      <c r="B1108">
        <v>3</v>
      </c>
      <c r="C1108" s="1" t="s">
        <v>26</v>
      </c>
      <c r="D1108" s="1" t="s">
        <v>19</v>
      </c>
      <c r="E1108" s="1" t="s">
        <v>52</v>
      </c>
      <c r="F1108">
        <v>2006</v>
      </c>
      <c r="G1108">
        <v>8</v>
      </c>
      <c r="H1108" s="1" t="s">
        <v>21</v>
      </c>
      <c r="I1108">
        <v>15</v>
      </c>
      <c r="J1108">
        <v>1866</v>
      </c>
      <c r="K1108" s="1" t="s">
        <v>53</v>
      </c>
      <c r="L1108" s="1" t="s">
        <v>45</v>
      </c>
      <c r="M1108">
        <v>1.3560000000000001</v>
      </c>
      <c r="N1108">
        <v>20334.7</v>
      </c>
      <c r="O1108">
        <v>20.335000000000001</v>
      </c>
      <c r="P1108" s="2">
        <v>41699</v>
      </c>
      <c r="Q1108">
        <v>1</v>
      </c>
      <c r="R1108" s="1" t="s">
        <v>40</v>
      </c>
    </row>
    <row r="1109" spans="1:18" x14ac:dyDescent="0.25">
      <c r="A1109">
        <v>2014</v>
      </c>
      <c r="B1109">
        <v>4</v>
      </c>
      <c r="C1109" s="1" t="s">
        <v>27</v>
      </c>
      <c r="D1109" s="1" t="s">
        <v>19</v>
      </c>
      <c r="E1109" s="1" t="s">
        <v>52</v>
      </c>
      <c r="F1109">
        <v>2006</v>
      </c>
      <c r="G1109">
        <v>8</v>
      </c>
      <c r="H1109" s="1" t="s">
        <v>21</v>
      </c>
      <c r="I1109">
        <v>15</v>
      </c>
      <c r="J1109">
        <v>1866</v>
      </c>
      <c r="K1109" s="1" t="s">
        <v>53</v>
      </c>
      <c r="L1109" s="1" t="s">
        <v>45</v>
      </c>
      <c r="M1109">
        <v>1.7070000000000001</v>
      </c>
      <c r="N1109">
        <v>25610.9</v>
      </c>
      <c r="O1109">
        <v>25.611000000000001</v>
      </c>
      <c r="P1109" s="2">
        <v>41730</v>
      </c>
      <c r="Q1109">
        <v>1</v>
      </c>
      <c r="R1109" s="1" t="s">
        <v>40</v>
      </c>
    </row>
    <row r="1110" spans="1:18" x14ac:dyDescent="0.25">
      <c r="A1110">
        <v>2014</v>
      </c>
      <c r="B1110">
        <v>5</v>
      </c>
      <c r="C1110" s="1" t="s">
        <v>28</v>
      </c>
      <c r="D1110" s="1" t="s">
        <v>19</v>
      </c>
      <c r="E1110" s="1" t="s">
        <v>52</v>
      </c>
      <c r="F1110">
        <v>2006</v>
      </c>
      <c r="G1110">
        <v>8</v>
      </c>
      <c r="H1110" s="1" t="s">
        <v>21</v>
      </c>
      <c r="I1110">
        <v>15</v>
      </c>
      <c r="J1110">
        <v>1866</v>
      </c>
      <c r="K1110" s="1" t="s">
        <v>53</v>
      </c>
      <c r="L1110" s="1" t="s">
        <v>45</v>
      </c>
      <c r="M1110">
        <v>1.7849999999999999</v>
      </c>
      <c r="N1110">
        <v>26772.400000000001</v>
      </c>
      <c r="O1110">
        <v>26.771999999999998</v>
      </c>
      <c r="P1110" s="2">
        <v>41760</v>
      </c>
      <c r="Q1110">
        <v>1</v>
      </c>
      <c r="R1110" s="1" t="s">
        <v>40</v>
      </c>
    </row>
    <row r="1111" spans="1:18" x14ac:dyDescent="0.25">
      <c r="A1111">
        <v>2014</v>
      </c>
      <c r="B1111">
        <v>6</v>
      </c>
      <c r="C1111" s="1" t="s">
        <v>29</v>
      </c>
      <c r="D1111" s="1" t="s">
        <v>19</v>
      </c>
      <c r="E1111" s="1" t="s">
        <v>52</v>
      </c>
      <c r="F1111">
        <v>2006</v>
      </c>
      <c r="G1111">
        <v>8</v>
      </c>
      <c r="H1111" s="1" t="s">
        <v>21</v>
      </c>
      <c r="I1111">
        <v>15</v>
      </c>
      <c r="J1111">
        <v>1866</v>
      </c>
      <c r="K1111" s="1" t="s">
        <v>53</v>
      </c>
      <c r="L1111" s="1" t="s">
        <v>45</v>
      </c>
      <c r="M1111">
        <v>1.383</v>
      </c>
      <c r="N1111">
        <v>20740.599999999999</v>
      </c>
      <c r="O1111">
        <v>20.741</v>
      </c>
      <c r="P1111" s="2">
        <v>41791</v>
      </c>
      <c r="Q1111">
        <v>1</v>
      </c>
      <c r="R1111" s="1" t="s">
        <v>40</v>
      </c>
    </row>
    <row r="1112" spans="1:18" x14ac:dyDescent="0.25">
      <c r="A1112">
        <v>2014</v>
      </c>
      <c r="B1112">
        <v>7</v>
      </c>
      <c r="C1112" s="1" t="s">
        <v>30</v>
      </c>
      <c r="D1112" s="1" t="s">
        <v>19</v>
      </c>
      <c r="E1112" s="1" t="s">
        <v>52</v>
      </c>
      <c r="F1112">
        <v>2006</v>
      </c>
      <c r="G1112">
        <v>8</v>
      </c>
      <c r="H1112" s="1" t="s">
        <v>21</v>
      </c>
      <c r="I1112">
        <v>15</v>
      </c>
      <c r="J1112">
        <v>1866</v>
      </c>
      <c r="K1112" s="1" t="s">
        <v>53</v>
      </c>
      <c r="L1112" s="1" t="s">
        <v>45</v>
      </c>
      <c r="M1112">
        <v>2.0670000000000002</v>
      </c>
      <c r="N1112">
        <v>30998.9</v>
      </c>
      <c r="O1112">
        <v>30.998999999999999</v>
      </c>
      <c r="P1112" s="2">
        <v>41821</v>
      </c>
      <c r="Q1112">
        <v>1</v>
      </c>
      <c r="R1112" s="1" t="s">
        <v>40</v>
      </c>
    </row>
    <row r="1113" spans="1:18" x14ac:dyDescent="0.25">
      <c r="A1113">
        <v>2014</v>
      </c>
      <c r="B1113">
        <v>8</v>
      </c>
      <c r="C1113" s="1" t="s">
        <v>31</v>
      </c>
      <c r="D1113" s="1" t="s">
        <v>19</v>
      </c>
      <c r="E1113" s="1" t="s">
        <v>52</v>
      </c>
      <c r="F1113">
        <v>2006</v>
      </c>
      <c r="G1113">
        <v>8</v>
      </c>
      <c r="H1113" s="1" t="s">
        <v>21</v>
      </c>
      <c r="I1113">
        <v>15</v>
      </c>
      <c r="J1113">
        <v>1866</v>
      </c>
      <c r="K1113" s="1" t="s">
        <v>53</v>
      </c>
      <c r="L1113" s="1" t="s">
        <v>45</v>
      </c>
      <c r="M1113">
        <v>2.1440000000000001</v>
      </c>
      <c r="N1113">
        <v>32160.5</v>
      </c>
      <c r="O1113">
        <v>32.161000000000001</v>
      </c>
      <c r="P1113" s="2">
        <v>41852</v>
      </c>
      <c r="Q1113">
        <v>1</v>
      </c>
      <c r="R1113" s="1" t="s">
        <v>40</v>
      </c>
    </row>
    <row r="1114" spans="1:18" x14ac:dyDescent="0.25">
      <c r="A1114">
        <v>2014</v>
      </c>
      <c r="B1114">
        <v>9</v>
      </c>
      <c r="C1114" s="1" t="s">
        <v>32</v>
      </c>
      <c r="D1114" s="1" t="s">
        <v>19</v>
      </c>
      <c r="E1114" s="1" t="s">
        <v>52</v>
      </c>
      <c r="F1114">
        <v>2006</v>
      </c>
      <c r="G1114">
        <v>8</v>
      </c>
      <c r="H1114" s="1" t="s">
        <v>21</v>
      </c>
      <c r="I1114">
        <v>15</v>
      </c>
      <c r="J1114">
        <v>1866</v>
      </c>
      <c r="K1114" s="1" t="s">
        <v>53</v>
      </c>
      <c r="L1114" s="1" t="s">
        <v>45</v>
      </c>
      <c r="M1114">
        <v>1.734</v>
      </c>
      <c r="N1114">
        <v>26016.7</v>
      </c>
      <c r="O1114">
        <v>26.016999999999999</v>
      </c>
      <c r="P1114" s="2">
        <v>41883</v>
      </c>
      <c r="Q1114">
        <v>1</v>
      </c>
      <c r="R1114" s="1" t="s">
        <v>40</v>
      </c>
    </row>
    <row r="1115" spans="1:18" x14ac:dyDescent="0.25">
      <c r="A1115">
        <v>2014</v>
      </c>
      <c r="B1115">
        <v>10</v>
      </c>
      <c r="C1115" s="1" t="s">
        <v>33</v>
      </c>
      <c r="D1115" s="1" t="s">
        <v>19</v>
      </c>
      <c r="E1115" s="1" t="s">
        <v>52</v>
      </c>
      <c r="F1115">
        <v>2006</v>
      </c>
      <c r="G1115">
        <v>8</v>
      </c>
      <c r="H1115" s="1" t="s">
        <v>21</v>
      </c>
      <c r="I1115">
        <v>15</v>
      </c>
      <c r="J1115">
        <v>1866</v>
      </c>
      <c r="K1115" s="1" t="s">
        <v>53</v>
      </c>
      <c r="L1115" s="1" t="s">
        <v>45</v>
      </c>
      <c r="M1115">
        <v>1.411</v>
      </c>
      <c r="N1115">
        <v>21160.400000000001</v>
      </c>
      <c r="O1115">
        <v>21.16</v>
      </c>
      <c r="P1115" s="2">
        <v>41913</v>
      </c>
      <c r="Q1115">
        <v>1</v>
      </c>
      <c r="R1115" s="1" t="s">
        <v>40</v>
      </c>
    </row>
    <row r="1116" spans="1:18" x14ac:dyDescent="0.25">
      <c r="A1116">
        <v>2014</v>
      </c>
      <c r="B1116">
        <v>11</v>
      </c>
      <c r="C1116" s="1" t="s">
        <v>34</v>
      </c>
      <c r="D1116" s="1" t="s">
        <v>19</v>
      </c>
      <c r="E1116" s="1" t="s">
        <v>52</v>
      </c>
      <c r="F1116">
        <v>2006</v>
      </c>
      <c r="G1116">
        <v>8</v>
      </c>
      <c r="H1116" s="1" t="s">
        <v>21</v>
      </c>
      <c r="I1116">
        <v>15</v>
      </c>
      <c r="J1116">
        <v>1866</v>
      </c>
      <c r="K1116" s="1" t="s">
        <v>53</v>
      </c>
      <c r="L1116" s="1" t="s">
        <v>45</v>
      </c>
      <c r="M1116">
        <v>1.4350000000000001</v>
      </c>
      <c r="N1116">
        <v>21524.3</v>
      </c>
      <c r="O1116">
        <v>21.524000000000001</v>
      </c>
      <c r="P1116" s="2">
        <v>41944</v>
      </c>
      <c r="Q1116">
        <v>1</v>
      </c>
      <c r="R1116" s="1" t="s">
        <v>40</v>
      </c>
    </row>
    <row r="1117" spans="1:18" x14ac:dyDescent="0.25">
      <c r="A1117">
        <v>2014</v>
      </c>
      <c r="B1117">
        <v>12</v>
      </c>
      <c r="C1117" s="1" t="s">
        <v>35</v>
      </c>
      <c r="D1117" s="1" t="s">
        <v>19</v>
      </c>
      <c r="E1117" s="1" t="s">
        <v>52</v>
      </c>
      <c r="F1117">
        <v>2006</v>
      </c>
      <c r="G1117">
        <v>8</v>
      </c>
      <c r="H1117" s="1" t="s">
        <v>21</v>
      </c>
      <c r="I1117">
        <v>15</v>
      </c>
      <c r="J1117">
        <v>1866</v>
      </c>
      <c r="K1117" s="1" t="s">
        <v>53</v>
      </c>
      <c r="L1117" s="1" t="s">
        <v>45</v>
      </c>
      <c r="M1117">
        <v>1.339</v>
      </c>
      <c r="N1117">
        <v>20082.8</v>
      </c>
      <c r="O1117">
        <v>20.082999999999998</v>
      </c>
      <c r="P1117" s="2">
        <v>41974</v>
      </c>
      <c r="Q1117">
        <v>1</v>
      </c>
      <c r="R1117" s="1" t="s">
        <v>40</v>
      </c>
    </row>
    <row r="1118" spans="1:18" x14ac:dyDescent="0.25">
      <c r="A1118">
        <v>2014</v>
      </c>
      <c r="B1118">
        <v>1</v>
      </c>
      <c r="C1118" s="1" t="s">
        <v>18</v>
      </c>
      <c r="D1118" s="1" t="s">
        <v>19</v>
      </c>
      <c r="E1118" s="1" t="s">
        <v>54</v>
      </c>
      <c r="F1118">
        <v>2006</v>
      </c>
      <c r="G1118">
        <v>8</v>
      </c>
      <c r="H1118" s="1" t="s">
        <v>21</v>
      </c>
      <c r="I1118">
        <v>25</v>
      </c>
      <c r="J1118">
        <v>3154</v>
      </c>
      <c r="K1118" s="1" t="s">
        <v>55</v>
      </c>
      <c r="L1118" s="1" t="s">
        <v>45</v>
      </c>
      <c r="M1118">
        <v>1.446</v>
      </c>
      <c r="N1118">
        <v>36144.800000000003</v>
      </c>
      <c r="O1118">
        <v>36.145000000000003</v>
      </c>
      <c r="P1118" s="2">
        <v>41640</v>
      </c>
      <c r="Q1118">
        <v>1</v>
      </c>
      <c r="R1118" s="1" t="s">
        <v>40</v>
      </c>
    </row>
    <row r="1119" spans="1:18" x14ac:dyDescent="0.25">
      <c r="A1119">
        <v>2014</v>
      </c>
      <c r="B1119">
        <v>2</v>
      </c>
      <c r="C1119" s="1" t="s">
        <v>25</v>
      </c>
      <c r="D1119" s="1" t="s">
        <v>19</v>
      </c>
      <c r="E1119" s="1" t="s">
        <v>54</v>
      </c>
      <c r="F1119">
        <v>2006</v>
      </c>
      <c r="G1119">
        <v>8</v>
      </c>
      <c r="H1119" s="1" t="s">
        <v>21</v>
      </c>
      <c r="I1119">
        <v>25</v>
      </c>
      <c r="J1119">
        <v>3154</v>
      </c>
      <c r="K1119" s="1" t="s">
        <v>55</v>
      </c>
      <c r="L1119" s="1" t="s">
        <v>45</v>
      </c>
      <c r="M1119">
        <v>1.3380000000000001</v>
      </c>
      <c r="N1119">
        <v>33448.199999999997</v>
      </c>
      <c r="O1119">
        <v>33.448</v>
      </c>
      <c r="P1119" s="2">
        <v>41671</v>
      </c>
      <c r="Q1119">
        <v>1</v>
      </c>
      <c r="R1119" s="1" t="s">
        <v>40</v>
      </c>
    </row>
    <row r="1120" spans="1:18" x14ac:dyDescent="0.25">
      <c r="A1120">
        <v>2014</v>
      </c>
      <c r="B1120">
        <v>3</v>
      </c>
      <c r="C1120" s="1" t="s">
        <v>26</v>
      </c>
      <c r="D1120" s="1" t="s">
        <v>19</v>
      </c>
      <c r="E1120" s="1" t="s">
        <v>54</v>
      </c>
      <c r="F1120">
        <v>2006</v>
      </c>
      <c r="G1120">
        <v>8</v>
      </c>
      <c r="H1120" s="1" t="s">
        <v>21</v>
      </c>
      <c r="I1120">
        <v>25</v>
      </c>
      <c r="J1120">
        <v>3154</v>
      </c>
      <c r="K1120" s="1" t="s">
        <v>55</v>
      </c>
      <c r="L1120" s="1" t="s">
        <v>45</v>
      </c>
      <c r="M1120">
        <v>1.375</v>
      </c>
      <c r="N1120">
        <v>34370.699999999997</v>
      </c>
      <c r="O1120">
        <v>34.371000000000002</v>
      </c>
      <c r="P1120" s="2">
        <v>41699</v>
      </c>
      <c r="Q1120">
        <v>1</v>
      </c>
      <c r="R1120" s="1" t="s">
        <v>40</v>
      </c>
    </row>
    <row r="1121" spans="1:18" x14ac:dyDescent="0.25">
      <c r="A1121">
        <v>2014</v>
      </c>
      <c r="B1121">
        <v>4</v>
      </c>
      <c r="C1121" s="1" t="s">
        <v>27</v>
      </c>
      <c r="D1121" s="1" t="s">
        <v>19</v>
      </c>
      <c r="E1121" s="1" t="s">
        <v>54</v>
      </c>
      <c r="F1121">
        <v>2006</v>
      </c>
      <c r="G1121">
        <v>8</v>
      </c>
      <c r="H1121" s="1" t="s">
        <v>21</v>
      </c>
      <c r="I1121">
        <v>25</v>
      </c>
      <c r="J1121">
        <v>3154</v>
      </c>
      <c r="K1121" s="1" t="s">
        <v>55</v>
      </c>
      <c r="L1121" s="1" t="s">
        <v>45</v>
      </c>
      <c r="M1121">
        <v>1.732</v>
      </c>
      <c r="N1121">
        <v>43288.7</v>
      </c>
      <c r="O1121">
        <v>43.289000000000001</v>
      </c>
      <c r="P1121" s="2">
        <v>41730</v>
      </c>
      <c r="Q1121">
        <v>1</v>
      </c>
      <c r="R1121" s="1" t="s">
        <v>40</v>
      </c>
    </row>
    <row r="1122" spans="1:18" x14ac:dyDescent="0.25">
      <c r="A1122">
        <v>2014</v>
      </c>
      <c r="B1122">
        <v>5</v>
      </c>
      <c r="C1122" s="1" t="s">
        <v>28</v>
      </c>
      <c r="D1122" s="1" t="s">
        <v>19</v>
      </c>
      <c r="E1122" s="1" t="s">
        <v>54</v>
      </c>
      <c r="F1122">
        <v>2006</v>
      </c>
      <c r="G1122">
        <v>8</v>
      </c>
      <c r="H1122" s="1" t="s">
        <v>21</v>
      </c>
      <c r="I1122">
        <v>25</v>
      </c>
      <c r="J1122">
        <v>3154</v>
      </c>
      <c r="K1122" s="1" t="s">
        <v>55</v>
      </c>
      <c r="L1122" s="1" t="s">
        <v>45</v>
      </c>
      <c r="M1122">
        <v>1.81</v>
      </c>
      <c r="N1122">
        <v>45252</v>
      </c>
      <c r="O1122">
        <v>45.252000000000002</v>
      </c>
      <c r="P1122" s="2">
        <v>41760</v>
      </c>
      <c r="Q1122">
        <v>1</v>
      </c>
      <c r="R1122" s="1" t="s">
        <v>40</v>
      </c>
    </row>
    <row r="1123" spans="1:18" x14ac:dyDescent="0.25">
      <c r="A1123">
        <v>2014</v>
      </c>
      <c r="B1123">
        <v>6</v>
      </c>
      <c r="C1123" s="1" t="s">
        <v>29</v>
      </c>
      <c r="D1123" s="1" t="s">
        <v>19</v>
      </c>
      <c r="E1123" s="1" t="s">
        <v>54</v>
      </c>
      <c r="F1123">
        <v>2006</v>
      </c>
      <c r="G1123">
        <v>8</v>
      </c>
      <c r="H1123" s="1" t="s">
        <v>21</v>
      </c>
      <c r="I1123">
        <v>25</v>
      </c>
      <c r="J1123">
        <v>3154</v>
      </c>
      <c r="K1123" s="1" t="s">
        <v>55</v>
      </c>
      <c r="L1123" s="1" t="s">
        <v>45</v>
      </c>
      <c r="M1123">
        <v>1.4019999999999999</v>
      </c>
      <c r="N1123">
        <v>35056.699999999997</v>
      </c>
      <c r="O1123">
        <v>35.057000000000002</v>
      </c>
      <c r="P1123" s="2">
        <v>41791</v>
      </c>
      <c r="Q1123">
        <v>1</v>
      </c>
      <c r="R1123" s="1" t="s">
        <v>40</v>
      </c>
    </row>
    <row r="1124" spans="1:18" x14ac:dyDescent="0.25">
      <c r="A1124">
        <v>2014</v>
      </c>
      <c r="B1124">
        <v>7</v>
      </c>
      <c r="C1124" s="1" t="s">
        <v>30</v>
      </c>
      <c r="D1124" s="1" t="s">
        <v>19</v>
      </c>
      <c r="E1124" s="1" t="s">
        <v>54</v>
      </c>
      <c r="F1124">
        <v>2006</v>
      </c>
      <c r="G1124">
        <v>8</v>
      </c>
      <c r="H1124" s="1" t="s">
        <v>21</v>
      </c>
      <c r="I1124">
        <v>25</v>
      </c>
      <c r="J1124">
        <v>3154</v>
      </c>
      <c r="K1124" s="1" t="s">
        <v>55</v>
      </c>
      <c r="L1124" s="1" t="s">
        <v>45</v>
      </c>
      <c r="M1124">
        <v>2.0960000000000001</v>
      </c>
      <c r="N1124">
        <v>52395.8</v>
      </c>
      <c r="O1124">
        <v>52.396000000000001</v>
      </c>
      <c r="P1124" s="2">
        <v>41821</v>
      </c>
      <c r="Q1124">
        <v>1</v>
      </c>
      <c r="R1124" s="1" t="s">
        <v>40</v>
      </c>
    </row>
    <row r="1125" spans="1:18" x14ac:dyDescent="0.25">
      <c r="A1125">
        <v>2014</v>
      </c>
      <c r="B1125">
        <v>8</v>
      </c>
      <c r="C1125" s="1" t="s">
        <v>31</v>
      </c>
      <c r="D1125" s="1" t="s">
        <v>19</v>
      </c>
      <c r="E1125" s="1" t="s">
        <v>54</v>
      </c>
      <c r="F1125">
        <v>2006</v>
      </c>
      <c r="G1125">
        <v>8</v>
      </c>
      <c r="H1125" s="1" t="s">
        <v>21</v>
      </c>
      <c r="I1125">
        <v>25</v>
      </c>
      <c r="J1125">
        <v>3154</v>
      </c>
      <c r="K1125" s="1" t="s">
        <v>55</v>
      </c>
      <c r="L1125" s="1" t="s">
        <v>45</v>
      </c>
      <c r="M1125">
        <v>2.1739999999999999</v>
      </c>
      <c r="N1125">
        <v>54359.199999999997</v>
      </c>
      <c r="O1125">
        <v>54.359000000000002</v>
      </c>
      <c r="P1125" s="2">
        <v>41852</v>
      </c>
      <c r="Q1125">
        <v>1</v>
      </c>
      <c r="R1125" s="1" t="s">
        <v>40</v>
      </c>
    </row>
    <row r="1126" spans="1:18" x14ac:dyDescent="0.25">
      <c r="A1126">
        <v>2014</v>
      </c>
      <c r="B1126">
        <v>9</v>
      </c>
      <c r="C1126" s="1" t="s">
        <v>32</v>
      </c>
      <c r="D1126" s="1" t="s">
        <v>19</v>
      </c>
      <c r="E1126" s="1" t="s">
        <v>54</v>
      </c>
      <c r="F1126">
        <v>2006</v>
      </c>
      <c r="G1126">
        <v>8</v>
      </c>
      <c r="H1126" s="1" t="s">
        <v>21</v>
      </c>
      <c r="I1126">
        <v>25</v>
      </c>
      <c r="J1126">
        <v>3154</v>
      </c>
      <c r="K1126" s="1" t="s">
        <v>55</v>
      </c>
      <c r="L1126" s="1" t="s">
        <v>45</v>
      </c>
      <c r="M1126">
        <v>1.7589999999999999</v>
      </c>
      <c r="N1126">
        <v>43974.6</v>
      </c>
      <c r="O1126">
        <v>43.975000000000001</v>
      </c>
      <c r="P1126" s="2">
        <v>41883</v>
      </c>
      <c r="Q1126">
        <v>1</v>
      </c>
      <c r="R1126" s="1" t="s">
        <v>40</v>
      </c>
    </row>
    <row r="1127" spans="1:18" x14ac:dyDescent="0.25">
      <c r="A1127">
        <v>2014</v>
      </c>
      <c r="B1127">
        <v>10</v>
      </c>
      <c r="C1127" s="1" t="s">
        <v>33</v>
      </c>
      <c r="D1127" s="1" t="s">
        <v>19</v>
      </c>
      <c r="E1127" s="1" t="s">
        <v>54</v>
      </c>
      <c r="F1127">
        <v>2006</v>
      </c>
      <c r="G1127">
        <v>8</v>
      </c>
      <c r="H1127" s="1" t="s">
        <v>21</v>
      </c>
      <c r="I1127">
        <v>25</v>
      </c>
      <c r="J1127">
        <v>3154</v>
      </c>
      <c r="K1127" s="1" t="s">
        <v>55</v>
      </c>
      <c r="L1127" s="1" t="s">
        <v>45</v>
      </c>
      <c r="M1127">
        <v>1.431</v>
      </c>
      <c r="N1127">
        <v>35766.400000000001</v>
      </c>
      <c r="O1127">
        <v>35.765999999999998</v>
      </c>
      <c r="P1127" s="2">
        <v>41913</v>
      </c>
      <c r="Q1127">
        <v>1</v>
      </c>
      <c r="R1127" s="1" t="s">
        <v>40</v>
      </c>
    </row>
    <row r="1128" spans="1:18" x14ac:dyDescent="0.25">
      <c r="A1128">
        <v>2014</v>
      </c>
      <c r="B1128">
        <v>11</v>
      </c>
      <c r="C1128" s="1" t="s">
        <v>34</v>
      </c>
      <c r="D1128" s="1" t="s">
        <v>19</v>
      </c>
      <c r="E1128" s="1" t="s">
        <v>54</v>
      </c>
      <c r="F1128">
        <v>2006</v>
      </c>
      <c r="G1128">
        <v>8</v>
      </c>
      <c r="H1128" s="1" t="s">
        <v>21</v>
      </c>
      <c r="I1128">
        <v>25</v>
      </c>
      <c r="J1128">
        <v>3154</v>
      </c>
      <c r="K1128" s="1" t="s">
        <v>55</v>
      </c>
      <c r="L1128" s="1" t="s">
        <v>45</v>
      </c>
      <c r="M1128">
        <v>1.4550000000000001</v>
      </c>
      <c r="N1128">
        <v>36381.4</v>
      </c>
      <c r="O1128">
        <v>36.381</v>
      </c>
      <c r="P1128" s="2">
        <v>41944</v>
      </c>
      <c r="Q1128">
        <v>1</v>
      </c>
      <c r="R1128" s="1" t="s">
        <v>40</v>
      </c>
    </row>
    <row r="1129" spans="1:18" x14ac:dyDescent="0.25">
      <c r="A1129">
        <v>2014</v>
      </c>
      <c r="B1129">
        <v>12</v>
      </c>
      <c r="C1129" s="1" t="s">
        <v>35</v>
      </c>
      <c r="D1129" s="1" t="s">
        <v>19</v>
      </c>
      <c r="E1129" s="1" t="s">
        <v>54</v>
      </c>
      <c r="F1129">
        <v>2006</v>
      </c>
      <c r="G1129">
        <v>8</v>
      </c>
      <c r="H1129" s="1" t="s">
        <v>21</v>
      </c>
      <c r="I1129">
        <v>25</v>
      </c>
      <c r="J1129">
        <v>3154</v>
      </c>
      <c r="K1129" s="1" t="s">
        <v>55</v>
      </c>
      <c r="L1129" s="1" t="s">
        <v>45</v>
      </c>
      <c r="M1129">
        <v>1.3580000000000001</v>
      </c>
      <c r="N1129">
        <v>33944.9</v>
      </c>
      <c r="O1129">
        <v>33.945</v>
      </c>
      <c r="P1129" s="2">
        <v>41974</v>
      </c>
      <c r="Q1129">
        <v>1</v>
      </c>
      <c r="R1129" s="1" t="s">
        <v>40</v>
      </c>
    </row>
    <row r="1130" spans="1:18" x14ac:dyDescent="0.25">
      <c r="A1130">
        <v>2014</v>
      </c>
      <c r="B1130">
        <v>1</v>
      </c>
      <c r="C1130" s="1" t="s">
        <v>18</v>
      </c>
      <c r="D1130" s="1" t="s">
        <v>19</v>
      </c>
      <c r="E1130" s="1" t="s">
        <v>56</v>
      </c>
      <c r="F1130">
        <v>2006</v>
      </c>
      <c r="G1130">
        <v>8</v>
      </c>
      <c r="H1130" s="1" t="s">
        <v>21</v>
      </c>
      <c r="I1130">
        <v>35</v>
      </c>
      <c r="J1130">
        <v>4204</v>
      </c>
      <c r="K1130" s="1" t="s">
        <v>57</v>
      </c>
      <c r="L1130" s="1" t="s">
        <v>45</v>
      </c>
      <c r="M1130">
        <v>1.377</v>
      </c>
      <c r="N1130">
        <v>48177.8</v>
      </c>
      <c r="O1130">
        <v>48.177999999999997</v>
      </c>
      <c r="P1130" s="2">
        <v>41640</v>
      </c>
      <c r="Q1130">
        <v>1</v>
      </c>
      <c r="R1130" s="1" t="s">
        <v>40</v>
      </c>
    </row>
    <row r="1131" spans="1:18" x14ac:dyDescent="0.25">
      <c r="A1131">
        <v>2014</v>
      </c>
      <c r="B1131">
        <v>2</v>
      </c>
      <c r="C1131" s="1" t="s">
        <v>25</v>
      </c>
      <c r="D1131" s="1" t="s">
        <v>19</v>
      </c>
      <c r="E1131" s="1" t="s">
        <v>56</v>
      </c>
      <c r="F1131">
        <v>2006</v>
      </c>
      <c r="G1131">
        <v>8</v>
      </c>
      <c r="H1131" s="1" t="s">
        <v>21</v>
      </c>
      <c r="I1131">
        <v>35</v>
      </c>
      <c r="J1131">
        <v>4204</v>
      </c>
      <c r="K1131" s="1" t="s">
        <v>57</v>
      </c>
      <c r="L1131" s="1" t="s">
        <v>45</v>
      </c>
      <c r="M1131">
        <v>1.274</v>
      </c>
      <c r="N1131">
        <v>44583.4</v>
      </c>
      <c r="O1131">
        <v>44.582999999999998</v>
      </c>
      <c r="P1131" s="2">
        <v>41671</v>
      </c>
      <c r="Q1131">
        <v>1</v>
      </c>
      <c r="R1131" s="1" t="s">
        <v>40</v>
      </c>
    </row>
    <row r="1132" spans="1:18" x14ac:dyDescent="0.25">
      <c r="A1132">
        <v>2014</v>
      </c>
      <c r="B1132">
        <v>3</v>
      </c>
      <c r="C1132" s="1" t="s">
        <v>26</v>
      </c>
      <c r="D1132" s="1" t="s">
        <v>19</v>
      </c>
      <c r="E1132" s="1" t="s">
        <v>56</v>
      </c>
      <c r="F1132">
        <v>2006</v>
      </c>
      <c r="G1132">
        <v>8</v>
      </c>
      <c r="H1132" s="1" t="s">
        <v>21</v>
      </c>
      <c r="I1132">
        <v>35</v>
      </c>
      <c r="J1132">
        <v>4204</v>
      </c>
      <c r="K1132" s="1" t="s">
        <v>57</v>
      </c>
      <c r="L1132" s="1" t="s">
        <v>45</v>
      </c>
      <c r="M1132">
        <v>1.3089999999999999</v>
      </c>
      <c r="N1132">
        <v>45813.1</v>
      </c>
      <c r="O1132">
        <v>45.813000000000002</v>
      </c>
      <c r="P1132" s="2">
        <v>41699</v>
      </c>
      <c r="Q1132">
        <v>1</v>
      </c>
      <c r="R1132" s="1" t="s">
        <v>40</v>
      </c>
    </row>
    <row r="1133" spans="1:18" x14ac:dyDescent="0.25">
      <c r="A1133">
        <v>2014</v>
      </c>
      <c r="B1133">
        <v>4</v>
      </c>
      <c r="C1133" s="1" t="s">
        <v>27</v>
      </c>
      <c r="D1133" s="1" t="s">
        <v>19</v>
      </c>
      <c r="E1133" s="1" t="s">
        <v>56</v>
      </c>
      <c r="F1133">
        <v>2006</v>
      </c>
      <c r="G1133">
        <v>8</v>
      </c>
      <c r="H1133" s="1" t="s">
        <v>21</v>
      </c>
      <c r="I1133">
        <v>35</v>
      </c>
      <c r="J1133">
        <v>4204</v>
      </c>
      <c r="K1133" s="1" t="s">
        <v>57</v>
      </c>
      <c r="L1133" s="1" t="s">
        <v>45</v>
      </c>
      <c r="M1133">
        <v>1.649</v>
      </c>
      <c r="N1133">
        <v>57699.9</v>
      </c>
      <c r="O1133">
        <v>57.7</v>
      </c>
      <c r="P1133" s="2">
        <v>41730</v>
      </c>
      <c r="Q1133">
        <v>1</v>
      </c>
      <c r="R1133" s="1" t="s">
        <v>40</v>
      </c>
    </row>
    <row r="1134" spans="1:18" x14ac:dyDescent="0.25">
      <c r="A1134">
        <v>2014</v>
      </c>
      <c r="B1134">
        <v>5</v>
      </c>
      <c r="C1134" s="1" t="s">
        <v>28</v>
      </c>
      <c r="D1134" s="1" t="s">
        <v>19</v>
      </c>
      <c r="E1134" s="1" t="s">
        <v>56</v>
      </c>
      <c r="F1134">
        <v>2006</v>
      </c>
      <c r="G1134">
        <v>8</v>
      </c>
      <c r="H1134" s="1" t="s">
        <v>21</v>
      </c>
      <c r="I1134">
        <v>35</v>
      </c>
      <c r="J1134">
        <v>4204</v>
      </c>
      <c r="K1134" s="1" t="s">
        <v>57</v>
      </c>
      <c r="L1134" s="1" t="s">
        <v>45</v>
      </c>
      <c r="M1134">
        <v>1.7230000000000001</v>
      </c>
      <c r="N1134">
        <v>60316.9</v>
      </c>
      <c r="O1134">
        <v>60.317</v>
      </c>
      <c r="P1134" s="2">
        <v>41760</v>
      </c>
      <c r="Q1134">
        <v>1</v>
      </c>
      <c r="R1134" s="1" t="s">
        <v>40</v>
      </c>
    </row>
    <row r="1135" spans="1:18" x14ac:dyDescent="0.25">
      <c r="A1135">
        <v>2014</v>
      </c>
      <c r="B1135">
        <v>6</v>
      </c>
      <c r="C1135" s="1" t="s">
        <v>29</v>
      </c>
      <c r="D1135" s="1" t="s">
        <v>19</v>
      </c>
      <c r="E1135" s="1" t="s">
        <v>56</v>
      </c>
      <c r="F1135">
        <v>2006</v>
      </c>
      <c r="G1135">
        <v>8</v>
      </c>
      <c r="H1135" s="1" t="s">
        <v>21</v>
      </c>
      <c r="I1135">
        <v>35</v>
      </c>
      <c r="J1135">
        <v>4204</v>
      </c>
      <c r="K1135" s="1" t="s">
        <v>57</v>
      </c>
      <c r="L1135" s="1" t="s">
        <v>45</v>
      </c>
      <c r="M1135">
        <v>1.335</v>
      </c>
      <c r="N1135">
        <v>46727.5</v>
      </c>
      <c r="O1135">
        <v>46.726999999999997</v>
      </c>
      <c r="P1135" s="2">
        <v>41791</v>
      </c>
      <c r="Q1135">
        <v>1</v>
      </c>
      <c r="R1135" s="1" t="s">
        <v>40</v>
      </c>
    </row>
    <row r="1136" spans="1:18" x14ac:dyDescent="0.25">
      <c r="A1136">
        <v>2014</v>
      </c>
      <c r="B1136">
        <v>7</v>
      </c>
      <c r="C1136" s="1" t="s">
        <v>30</v>
      </c>
      <c r="D1136" s="1" t="s">
        <v>19</v>
      </c>
      <c r="E1136" s="1" t="s">
        <v>56</v>
      </c>
      <c r="F1136">
        <v>2006</v>
      </c>
      <c r="G1136">
        <v>8</v>
      </c>
      <c r="H1136" s="1" t="s">
        <v>21</v>
      </c>
      <c r="I1136">
        <v>35</v>
      </c>
      <c r="J1136">
        <v>4204</v>
      </c>
      <c r="K1136" s="1" t="s">
        <v>57</v>
      </c>
      <c r="L1136" s="1" t="s">
        <v>45</v>
      </c>
      <c r="M1136">
        <v>1.9950000000000001</v>
      </c>
      <c r="N1136">
        <v>69838.899999999994</v>
      </c>
      <c r="O1136">
        <v>69.838999999999999</v>
      </c>
      <c r="P1136" s="2">
        <v>41821</v>
      </c>
      <c r="Q1136">
        <v>1</v>
      </c>
      <c r="R1136" s="1" t="s">
        <v>40</v>
      </c>
    </row>
    <row r="1137" spans="1:18" x14ac:dyDescent="0.25">
      <c r="A1137">
        <v>2014</v>
      </c>
      <c r="B1137">
        <v>8</v>
      </c>
      <c r="C1137" s="1" t="s">
        <v>31</v>
      </c>
      <c r="D1137" s="1" t="s">
        <v>19</v>
      </c>
      <c r="E1137" s="1" t="s">
        <v>56</v>
      </c>
      <c r="F1137">
        <v>2006</v>
      </c>
      <c r="G1137">
        <v>8</v>
      </c>
      <c r="H1137" s="1" t="s">
        <v>21</v>
      </c>
      <c r="I1137">
        <v>35</v>
      </c>
      <c r="J1137">
        <v>4204</v>
      </c>
      <c r="K1137" s="1" t="s">
        <v>57</v>
      </c>
      <c r="L1137" s="1" t="s">
        <v>45</v>
      </c>
      <c r="M1137">
        <v>2.0699999999999998</v>
      </c>
      <c r="N1137">
        <v>72455.899999999994</v>
      </c>
      <c r="O1137">
        <v>72.456000000000003</v>
      </c>
      <c r="P1137" s="2">
        <v>41852</v>
      </c>
      <c r="Q1137">
        <v>1</v>
      </c>
      <c r="R1137" s="1" t="s">
        <v>40</v>
      </c>
    </row>
    <row r="1138" spans="1:18" x14ac:dyDescent="0.25">
      <c r="A1138">
        <v>2014</v>
      </c>
      <c r="B1138">
        <v>9</v>
      </c>
      <c r="C1138" s="1" t="s">
        <v>32</v>
      </c>
      <c r="D1138" s="1" t="s">
        <v>19</v>
      </c>
      <c r="E1138" s="1" t="s">
        <v>56</v>
      </c>
      <c r="F1138">
        <v>2006</v>
      </c>
      <c r="G1138">
        <v>8</v>
      </c>
      <c r="H1138" s="1" t="s">
        <v>21</v>
      </c>
      <c r="I1138">
        <v>35</v>
      </c>
      <c r="J1138">
        <v>4204</v>
      </c>
      <c r="K1138" s="1" t="s">
        <v>57</v>
      </c>
      <c r="L1138" s="1" t="s">
        <v>45</v>
      </c>
      <c r="M1138">
        <v>1.675</v>
      </c>
      <c r="N1138">
        <v>58614.3</v>
      </c>
      <c r="O1138">
        <v>58.613999999999997</v>
      </c>
      <c r="P1138" s="2">
        <v>41883</v>
      </c>
      <c r="Q1138">
        <v>1</v>
      </c>
      <c r="R1138" s="1" t="s">
        <v>40</v>
      </c>
    </row>
    <row r="1139" spans="1:18" x14ac:dyDescent="0.25">
      <c r="A1139">
        <v>2014</v>
      </c>
      <c r="B1139">
        <v>10</v>
      </c>
      <c r="C1139" s="1" t="s">
        <v>33</v>
      </c>
      <c r="D1139" s="1" t="s">
        <v>19</v>
      </c>
      <c r="E1139" s="1" t="s">
        <v>56</v>
      </c>
      <c r="F1139">
        <v>2006</v>
      </c>
      <c r="G1139">
        <v>8</v>
      </c>
      <c r="H1139" s="1" t="s">
        <v>21</v>
      </c>
      <c r="I1139">
        <v>35</v>
      </c>
      <c r="J1139">
        <v>4204</v>
      </c>
      <c r="K1139" s="1" t="s">
        <v>57</v>
      </c>
      <c r="L1139" s="1" t="s">
        <v>45</v>
      </c>
      <c r="M1139">
        <v>1.3620000000000001</v>
      </c>
      <c r="N1139">
        <v>47673.4</v>
      </c>
      <c r="O1139">
        <v>47.673000000000002</v>
      </c>
      <c r="P1139" s="2">
        <v>41913</v>
      </c>
      <c r="Q1139">
        <v>1</v>
      </c>
      <c r="R1139" s="1" t="s">
        <v>40</v>
      </c>
    </row>
    <row r="1140" spans="1:18" x14ac:dyDescent="0.25">
      <c r="A1140">
        <v>2014</v>
      </c>
      <c r="B1140">
        <v>11</v>
      </c>
      <c r="C1140" s="1" t="s">
        <v>34</v>
      </c>
      <c r="D1140" s="1" t="s">
        <v>19</v>
      </c>
      <c r="E1140" s="1" t="s">
        <v>56</v>
      </c>
      <c r="F1140">
        <v>2006</v>
      </c>
      <c r="G1140">
        <v>8</v>
      </c>
      <c r="H1140" s="1" t="s">
        <v>21</v>
      </c>
      <c r="I1140">
        <v>35</v>
      </c>
      <c r="J1140">
        <v>4204</v>
      </c>
      <c r="K1140" s="1" t="s">
        <v>57</v>
      </c>
      <c r="L1140" s="1" t="s">
        <v>45</v>
      </c>
      <c r="M1140">
        <v>1.3859999999999999</v>
      </c>
      <c r="N1140">
        <v>48493.1</v>
      </c>
      <c r="O1140">
        <v>48.493000000000002</v>
      </c>
      <c r="P1140" s="2">
        <v>41944</v>
      </c>
      <c r="Q1140">
        <v>1</v>
      </c>
      <c r="R1140" s="1" t="s">
        <v>40</v>
      </c>
    </row>
    <row r="1141" spans="1:18" x14ac:dyDescent="0.25">
      <c r="A1141">
        <v>2014</v>
      </c>
      <c r="B1141">
        <v>12</v>
      </c>
      <c r="C1141" s="1" t="s">
        <v>35</v>
      </c>
      <c r="D1141" s="1" t="s">
        <v>19</v>
      </c>
      <c r="E1141" s="1" t="s">
        <v>56</v>
      </c>
      <c r="F1141">
        <v>2006</v>
      </c>
      <c r="G1141">
        <v>8</v>
      </c>
      <c r="H1141" s="1" t="s">
        <v>21</v>
      </c>
      <c r="I1141">
        <v>35</v>
      </c>
      <c r="J1141">
        <v>4204</v>
      </c>
      <c r="K1141" s="1" t="s">
        <v>57</v>
      </c>
      <c r="L1141" s="1" t="s">
        <v>45</v>
      </c>
      <c r="M1141">
        <v>1.2929999999999999</v>
      </c>
      <c r="N1141">
        <v>45245.5</v>
      </c>
      <c r="O1141">
        <v>45.246000000000002</v>
      </c>
      <c r="P1141" s="2">
        <v>41974</v>
      </c>
      <c r="Q1141">
        <v>1</v>
      </c>
      <c r="R1141" s="1" t="s">
        <v>40</v>
      </c>
    </row>
    <row r="1142" spans="1:18" x14ac:dyDescent="0.25">
      <c r="A1142">
        <v>2014</v>
      </c>
      <c r="B1142">
        <v>1</v>
      </c>
      <c r="C1142" s="1" t="s">
        <v>18</v>
      </c>
      <c r="D1142" s="1" t="s">
        <v>19</v>
      </c>
      <c r="E1142" s="1" t="s">
        <v>58</v>
      </c>
      <c r="F1142">
        <v>2012</v>
      </c>
      <c r="G1142">
        <v>2</v>
      </c>
      <c r="H1142" s="1" t="s">
        <v>59</v>
      </c>
      <c r="I1142">
        <v>10</v>
      </c>
      <c r="J1142">
        <v>1434</v>
      </c>
      <c r="K1142" s="1" t="s">
        <v>60</v>
      </c>
      <c r="L1142" s="1" t="s">
        <v>45</v>
      </c>
      <c r="M1142">
        <v>0</v>
      </c>
      <c r="N1142">
        <v>0</v>
      </c>
      <c r="O1142">
        <v>0</v>
      </c>
      <c r="P1142" s="2">
        <v>41640</v>
      </c>
      <c r="Q1142">
        <v>0</v>
      </c>
      <c r="R1142" s="1" t="s">
        <v>61</v>
      </c>
    </row>
    <row r="1143" spans="1:18" x14ac:dyDescent="0.25">
      <c r="A1143">
        <v>2014</v>
      </c>
      <c r="B1143">
        <v>2</v>
      </c>
      <c r="C1143" s="1" t="s">
        <v>25</v>
      </c>
      <c r="D1143" s="1" t="s">
        <v>19</v>
      </c>
      <c r="E1143" s="1" t="s">
        <v>58</v>
      </c>
      <c r="F1143">
        <v>2012</v>
      </c>
      <c r="G1143">
        <v>2</v>
      </c>
      <c r="H1143" s="1" t="s">
        <v>59</v>
      </c>
      <c r="I1143">
        <v>10</v>
      </c>
      <c r="J1143">
        <v>1434</v>
      </c>
      <c r="K1143" s="1" t="s">
        <v>60</v>
      </c>
      <c r="L1143" s="1" t="s">
        <v>45</v>
      </c>
      <c r="M1143">
        <v>0</v>
      </c>
      <c r="N1143">
        <v>0</v>
      </c>
      <c r="O1143">
        <v>0</v>
      </c>
      <c r="P1143" s="2">
        <v>41671</v>
      </c>
      <c r="Q1143">
        <v>0</v>
      </c>
      <c r="R1143" s="1" t="s">
        <v>61</v>
      </c>
    </row>
    <row r="1144" spans="1:18" x14ac:dyDescent="0.25">
      <c r="A1144">
        <v>2014</v>
      </c>
      <c r="B1144">
        <v>3</v>
      </c>
      <c r="C1144" s="1" t="s">
        <v>26</v>
      </c>
      <c r="D1144" s="1" t="s">
        <v>19</v>
      </c>
      <c r="E1144" s="1" t="s">
        <v>58</v>
      </c>
      <c r="F1144">
        <v>2012</v>
      </c>
      <c r="G1144">
        <v>2</v>
      </c>
      <c r="H1144" s="1" t="s">
        <v>59</v>
      </c>
      <c r="I1144">
        <v>10</v>
      </c>
      <c r="J1144">
        <v>1434</v>
      </c>
      <c r="K1144" s="1" t="s">
        <v>60</v>
      </c>
      <c r="L1144" s="1" t="s">
        <v>45</v>
      </c>
      <c r="M1144">
        <v>0</v>
      </c>
      <c r="N1144">
        <v>0</v>
      </c>
      <c r="O1144">
        <v>0</v>
      </c>
      <c r="P1144" s="2">
        <v>41699</v>
      </c>
      <c r="Q1144">
        <v>0</v>
      </c>
      <c r="R1144" s="1" t="s">
        <v>61</v>
      </c>
    </row>
    <row r="1145" spans="1:18" x14ac:dyDescent="0.25">
      <c r="A1145">
        <v>2014</v>
      </c>
      <c r="B1145">
        <v>4</v>
      </c>
      <c r="C1145" s="1" t="s">
        <v>27</v>
      </c>
      <c r="D1145" s="1" t="s">
        <v>19</v>
      </c>
      <c r="E1145" s="1" t="s">
        <v>58</v>
      </c>
      <c r="F1145">
        <v>2012</v>
      </c>
      <c r="G1145">
        <v>2</v>
      </c>
      <c r="H1145" s="1" t="s">
        <v>59</v>
      </c>
      <c r="I1145">
        <v>10</v>
      </c>
      <c r="J1145">
        <v>1434</v>
      </c>
      <c r="K1145" s="1" t="s">
        <v>60</v>
      </c>
      <c r="L1145" s="1" t="s">
        <v>45</v>
      </c>
      <c r="M1145">
        <v>0</v>
      </c>
      <c r="N1145">
        <v>0</v>
      </c>
      <c r="O1145">
        <v>0</v>
      </c>
      <c r="P1145" s="2">
        <v>41730</v>
      </c>
      <c r="Q1145">
        <v>0</v>
      </c>
      <c r="R1145" s="1" t="s">
        <v>61</v>
      </c>
    </row>
    <row r="1146" spans="1:18" x14ac:dyDescent="0.25">
      <c r="A1146">
        <v>2014</v>
      </c>
      <c r="B1146">
        <v>5</v>
      </c>
      <c r="C1146" s="1" t="s">
        <v>28</v>
      </c>
      <c r="D1146" s="1" t="s">
        <v>19</v>
      </c>
      <c r="E1146" s="1" t="s">
        <v>58</v>
      </c>
      <c r="F1146">
        <v>2012</v>
      </c>
      <c r="G1146">
        <v>2</v>
      </c>
      <c r="H1146" s="1" t="s">
        <v>59</v>
      </c>
      <c r="I1146">
        <v>10</v>
      </c>
      <c r="J1146">
        <v>1434</v>
      </c>
      <c r="K1146" s="1" t="s">
        <v>60</v>
      </c>
      <c r="L1146" s="1" t="s">
        <v>45</v>
      </c>
      <c r="M1146">
        <v>0</v>
      </c>
      <c r="N1146">
        <v>0</v>
      </c>
      <c r="O1146">
        <v>0</v>
      </c>
      <c r="P1146" s="2">
        <v>41760</v>
      </c>
      <c r="Q1146">
        <v>0</v>
      </c>
      <c r="R1146" s="1" t="s">
        <v>61</v>
      </c>
    </row>
    <row r="1147" spans="1:18" x14ac:dyDescent="0.25">
      <c r="A1147">
        <v>2014</v>
      </c>
      <c r="B1147">
        <v>6</v>
      </c>
      <c r="C1147" s="1" t="s">
        <v>29</v>
      </c>
      <c r="D1147" s="1" t="s">
        <v>19</v>
      </c>
      <c r="E1147" s="1" t="s">
        <v>58</v>
      </c>
      <c r="F1147">
        <v>2012</v>
      </c>
      <c r="G1147">
        <v>2</v>
      </c>
      <c r="H1147" s="1" t="s">
        <v>59</v>
      </c>
      <c r="I1147">
        <v>10</v>
      </c>
      <c r="J1147">
        <v>1434</v>
      </c>
      <c r="K1147" s="1" t="s">
        <v>60</v>
      </c>
      <c r="L1147" s="1" t="s">
        <v>45</v>
      </c>
      <c r="M1147">
        <v>0</v>
      </c>
      <c r="N1147">
        <v>0</v>
      </c>
      <c r="O1147">
        <v>0</v>
      </c>
      <c r="P1147" s="2">
        <v>41791</v>
      </c>
      <c r="Q1147">
        <v>0</v>
      </c>
      <c r="R1147" s="1" t="s">
        <v>61</v>
      </c>
    </row>
    <row r="1148" spans="1:18" x14ac:dyDescent="0.25">
      <c r="A1148">
        <v>2014</v>
      </c>
      <c r="B1148">
        <v>7</v>
      </c>
      <c r="C1148" s="1" t="s">
        <v>30</v>
      </c>
      <c r="D1148" s="1" t="s">
        <v>19</v>
      </c>
      <c r="E1148" s="1" t="s">
        <v>58</v>
      </c>
      <c r="F1148">
        <v>2012</v>
      </c>
      <c r="G1148">
        <v>2</v>
      </c>
      <c r="H1148" s="1" t="s">
        <v>59</v>
      </c>
      <c r="I1148">
        <v>10</v>
      </c>
      <c r="J1148">
        <v>1434</v>
      </c>
      <c r="K1148" s="1" t="s">
        <v>60</v>
      </c>
      <c r="L1148" s="1" t="s">
        <v>45</v>
      </c>
      <c r="M1148">
        <v>0</v>
      </c>
      <c r="N1148">
        <v>0</v>
      </c>
      <c r="O1148">
        <v>0</v>
      </c>
      <c r="P1148" s="2">
        <v>41821</v>
      </c>
      <c r="Q1148">
        <v>0</v>
      </c>
      <c r="R1148" s="1" t="s">
        <v>61</v>
      </c>
    </row>
    <row r="1149" spans="1:18" x14ac:dyDescent="0.25">
      <c r="A1149">
        <v>2014</v>
      </c>
      <c r="B1149">
        <v>8</v>
      </c>
      <c r="C1149" s="1" t="s">
        <v>31</v>
      </c>
      <c r="D1149" s="1" t="s">
        <v>19</v>
      </c>
      <c r="E1149" s="1" t="s">
        <v>58</v>
      </c>
      <c r="F1149">
        <v>2012</v>
      </c>
      <c r="G1149">
        <v>2</v>
      </c>
      <c r="H1149" s="1" t="s">
        <v>59</v>
      </c>
      <c r="I1149">
        <v>10</v>
      </c>
      <c r="J1149">
        <v>1434</v>
      </c>
      <c r="K1149" s="1" t="s">
        <v>60</v>
      </c>
      <c r="L1149" s="1" t="s">
        <v>45</v>
      </c>
      <c r="M1149">
        <v>0</v>
      </c>
      <c r="N1149">
        <v>0</v>
      </c>
      <c r="O1149">
        <v>0</v>
      </c>
      <c r="P1149" s="2">
        <v>41852</v>
      </c>
      <c r="Q1149">
        <v>0</v>
      </c>
      <c r="R1149" s="1" t="s">
        <v>61</v>
      </c>
    </row>
    <row r="1150" spans="1:18" x14ac:dyDescent="0.25">
      <c r="A1150">
        <v>2014</v>
      </c>
      <c r="B1150">
        <v>9</v>
      </c>
      <c r="C1150" s="1" t="s">
        <v>32</v>
      </c>
      <c r="D1150" s="1" t="s">
        <v>19</v>
      </c>
      <c r="E1150" s="1" t="s">
        <v>58</v>
      </c>
      <c r="F1150">
        <v>2012</v>
      </c>
      <c r="G1150">
        <v>2</v>
      </c>
      <c r="H1150" s="1" t="s">
        <v>59</v>
      </c>
      <c r="I1150">
        <v>10</v>
      </c>
      <c r="J1150">
        <v>1434</v>
      </c>
      <c r="K1150" s="1" t="s">
        <v>60</v>
      </c>
      <c r="L1150" s="1" t="s">
        <v>45</v>
      </c>
      <c r="M1150">
        <v>0</v>
      </c>
      <c r="N1150">
        <v>0</v>
      </c>
      <c r="O1150">
        <v>0</v>
      </c>
      <c r="P1150" s="2">
        <v>41883</v>
      </c>
      <c r="Q1150">
        <v>0</v>
      </c>
      <c r="R1150" s="1" t="s">
        <v>61</v>
      </c>
    </row>
    <row r="1151" spans="1:18" x14ac:dyDescent="0.25">
      <c r="A1151">
        <v>2014</v>
      </c>
      <c r="B1151">
        <v>10</v>
      </c>
      <c r="C1151" s="1" t="s">
        <v>33</v>
      </c>
      <c r="D1151" s="1" t="s">
        <v>19</v>
      </c>
      <c r="E1151" s="1" t="s">
        <v>58</v>
      </c>
      <c r="F1151">
        <v>2012</v>
      </c>
      <c r="G1151">
        <v>2</v>
      </c>
      <c r="H1151" s="1" t="s">
        <v>59</v>
      </c>
      <c r="I1151">
        <v>10</v>
      </c>
      <c r="J1151">
        <v>1434</v>
      </c>
      <c r="K1151" s="1" t="s">
        <v>60</v>
      </c>
      <c r="L1151" s="1" t="s">
        <v>45</v>
      </c>
      <c r="M1151">
        <v>0</v>
      </c>
      <c r="N1151">
        <v>0</v>
      </c>
      <c r="O1151">
        <v>0</v>
      </c>
      <c r="P1151" s="2">
        <v>41913</v>
      </c>
      <c r="Q1151">
        <v>0</v>
      </c>
      <c r="R1151" s="1" t="s">
        <v>61</v>
      </c>
    </row>
    <row r="1152" spans="1:18" x14ac:dyDescent="0.25">
      <c r="A1152">
        <v>2014</v>
      </c>
      <c r="B1152">
        <v>11</v>
      </c>
      <c r="C1152" s="1" t="s">
        <v>34</v>
      </c>
      <c r="D1152" s="1" t="s">
        <v>19</v>
      </c>
      <c r="E1152" s="1" t="s">
        <v>58</v>
      </c>
      <c r="F1152">
        <v>2012</v>
      </c>
      <c r="G1152">
        <v>2</v>
      </c>
      <c r="H1152" s="1" t="s">
        <v>59</v>
      </c>
      <c r="I1152">
        <v>10</v>
      </c>
      <c r="J1152">
        <v>1434</v>
      </c>
      <c r="K1152" s="1" t="s">
        <v>60</v>
      </c>
      <c r="L1152" s="1" t="s">
        <v>45</v>
      </c>
      <c r="M1152">
        <v>0</v>
      </c>
      <c r="N1152">
        <v>0</v>
      </c>
      <c r="O1152">
        <v>0</v>
      </c>
      <c r="P1152" s="2">
        <v>41944</v>
      </c>
      <c r="Q1152">
        <v>0</v>
      </c>
      <c r="R1152" s="1" t="s">
        <v>61</v>
      </c>
    </row>
    <row r="1153" spans="1:18" x14ac:dyDescent="0.25">
      <c r="A1153">
        <v>2014</v>
      </c>
      <c r="B1153">
        <v>12</v>
      </c>
      <c r="C1153" s="1" t="s">
        <v>35</v>
      </c>
      <c r="D1153" s="1" t="s">
        <v>19</v>
      </c>
      <c r="E1153" s="1" t="s">
        <v>58</v>
      </c>
      <c r="F1153">
        <v>2012</v>
      </c>
      <c r="G1153">
        <v>2</v>
      </c>
      <c r="H1153" s="1" t="s">
        <v>59</v>
      </c>
      <c r="I1153">
        <v>10</v>
      </c>
      <c r="J1153">
        <v>1434</v>
      </c>
      <c r="K1153" s="1" t="s">
        <v>60</v>
      </c>
      <c r="L1153" s="1" t="s">
        <v>45</v>
      </c>
      <c r="M1153">
        <v>0</v>
      </c>
      <c r="N1153">
        <v>0</v>
      </c>
      <c r="O1153">
        <v>0</v>
      </c>
      <c r="P1153" s="2">
        <v>41974</v>
      </c>
      <c r="Q1153">
        <v>0</v>
      </c>
      <c r="R1153" s="1" t="s">
        <v>61</v>
      </c>
    </row>
    <row r="1154" spans="1:18" x14ac:dyDescent="0.25">
      <c r="A1154">
        <v>2014</v>
      </c>
      <c r="B1154">
        <v>1</v>
      </c>
      <c r="C1154" s="1" t="s">
        <v>18</v>
      </c>
      <c r="D1154" s="1" t="s">
        <v>19</v>
      </c>
      <c r="E1154" s="1" t="s">
        <v>62</v>
      </c>
      <c r="F1154">
        <v>2012</v>
      </c>
      <c r="G1154">
        <v>2</v>
      </c>
      <c r="H1154" s="1" t="s">
        <v>59</v>
      </c>
      <c r="I1154">
        <v>24</v>
      </c>
      <c r="J1154">
        <v>3074</v>
      </c>
      <c r="K1154" s="1" t="s">
        <v>63</v>
      </c>
      <c r="L1154" s="1" t="s">
        <v>64</v>
      </c>
      <c r="M1154">
        <v>0</v>
      </c>
      <c r="N1154">
        <v>0</v>
      </c>
      <c r="O1154">
        <v>0</v>
      </c>
      <c r="P1154" s="2">
        <v>41640</v>
      </c>
      <c r="Q1154">
        <v>0</v>
      </c>
      <c r="R1154" s="1" t="s">
        <v>61</v>
      </c>
    </row>
    <row r="1155" spans="1:18" x14ac:dyDescent="0.25">
      <c r="A1155">
        <v>2014</v>
      </c>
      <c r="B1155">
        <v>2</v>
      </c>
      <c r="C1155" s="1" t="s">
        <v>25</v>
      </c>
      <c r="D1155" s="1" t="s">
        <v>19</v>
      </c>
      <c r="E1155" s="1" t="s">
        <v>62</v>
      </c>
      <c r="F1155">
        <v>2012</v>
      </c>
      <c r="G1155">
        <v>2</v>
      </c>
      <c r="H1155" s="1" t="s">
        <v>59</v>
      </c>
      <c r="I1155">
        <v>24</v>
      </c>
      <c r="J1155">
        <v>3074</v>
      </c>
      <c r="K1155" s="1" t="s">
        <v>63</v>
      </c>
      <c r="L1155" s="1" t="s">
        <v>64</v>
      </c>
      <c r="M1155">
        <v>0</v>
      </c>
      <c r="N1155">
        <v>0</v>
      </c>
      <c r="O1155">
        <v>0</v>
      </c>
      <c r="P1155" s="2">
        <v>41671</v>
      </c>
      <c r="Q1155">
        <v>0</v>
      </c>
      <c r="R1155" s="1" t="s">
        <v>61</v>
      </c>
    </row>
    <row r="1156" spans="1:18" x14ac:dyDescent="0.25">
      <c r="A1156">
        <v>2014</v>
      </c>
      <c r="B1156">
        <v>3</v>
      </c>
      <c r="C1156" s="1" t="s">
        <v>26</v>
      </c>
      <c r="D1156" s="1" t="s">
        <v>19</v>
      </c>
      <c r="E1156" s="1" t="s">
        <v>62</v>
      </c>
      <c r="F1156">
        <v>2012</v>
      </c>
      <c r="G1156">
        <v>2</v>
      </c>
      <c r="H1156" s="1" t="s">
        <v>59</v>
      </c>
      <c r="I1156">
        <v>24</v>
      </c>
      <c r="J1156">
        <v>3074</v>
      </c>
      <c r="K1156" s="1" t="s">
        <v>63</v>
      </c>
      <c r="L1156" s="1" t="s">
        <v>64</v>
      </c>
      <c r="M1156">
        <v>0</v>
      </c>
      <c r="N1156">
        <v>0</v>
      </c>
      <c r="O1156">
        <v>0</v>
      </c>
      <c r="P1156" s="2">
        <v>41699</v>
      </c>
      <c r="Q1156">
        <v>0</v>
      </c>
      <c r="R1156" s="1" t="s">
        <v>61</v>
      </c>
    </row>
    <row r="1157" spans="1:18" x14ac:dyDescent="0.25">
      <c r="A1157">
        <v>2014</v>
      </c>
      <c r="B1157">
        <v>4</v>
      </c>
      <c r="C1157" s="1" t="s">
        <v>27</v>
      </c>
      <c r="D1157" s="1" t="s">
        <v>19</v>
      </c>
      <c r="E1157" s="1" t="s">
        <v>62</v>
      </c>
      <c r="F1157">
        <v>2012</v>
      </c>
      <c r="G1157">
        <v>2</v>
      </c>
      <c r="H1157" s="1" t="s">
        <v>59</v>
      </c>
      <c r="I1157">
        <v>24</v>
      </c>
      <c r="J1157">
        <v>3074</v>
      </c>
      <c r="K1157" s="1" t="s">
        <v>63</v>
      </c>
      <c r="L1157" s="1" t="s">
        <v>64</v>
      </c>
      <c r="M1157">
        <v>0</v>
      </c>
      <c r="N1157">
        <v>0</v>
      </c>
      <c r="O1157">
        <v>0</v>
      </c>
      <c r="P1157" s="2">
        <v>41730</v>
      </c>
      <c r="Q1157">
        <v>0</v>
      </c>
      <c r="R1157" s="1" t="s">
        <v>61</v>
      </c>
    </row>
    <row r="1158" spans="1:18" x14ac:dyDescent="0.25">
      <c r="A1158">
        <v>2014</v>
      </c>
      <c r="B1158">
        <v>5</v>
      </c>
      <c r="C1158" s="1" t="s">
        <v>28</v>
      </c>
      <c r="D1158" s="1" t="s">
        <v>19</v>
      </c>
      <c r="E1158" s="1" t="s">
        <v>62</v>
      </c>
      <c r="F1158">
        <v>2012</v>
      </c>
      <c r="G1158">
        <v>2</v>
      </c>
      <c r="H1158" s="1" t="s">
        <v>59</v>
      </c>
      <c r="I1158">
        <v>24</v>
      </c>
      <c r="J1158">
        <v>3074</v>
      </c>
      <c r="K1158" s="1" t="s">
        <v>63</v>
      </c>
      <c r="L1158" s="1" t="s">
        <v>64</v>
      </c>
      <c r="M1158">
        <v>0</v>
      </c>
      <c r="N1158">
        <v>0</v>
      </c>
      <c r="O1158">
        <v>0</v>
      </c>
      <c r="P1158" s="2">
        <v>41760</v>
      </c>
      <c r="Q1158">
        <v>0</v>
      </c>
      <c r="R1158" s="1" t="s">
        <v>61</v>
      </c>
    </row>
    <row r="1159" spans="1:18" x14ac:dyDescent="0.25">
      <c r="A1159">
        <v>2014</v>
      </c>
      <c r="B1159">
        <v>6</v>
      </c>
      <c r="C1159" s="1" t="s">
        <v>29</v>
      </c>
      <c r="D1159" s="1" t="s">
        <v>19</v>
      </c>
      <c r="E1159" s="1" t="s">
        <v>62</v>
      </c>
      <c r="F1159">
        <v>2012</v>
      </c>
      <c r="G1159">
        <v>2</v>
      </c>
      <c r="H1159" s="1" t="s">
        <v>59</v>
      </c>
      <c r="I1159">
        <v>24</v>
      </c>
      <c r="J1159">
        <v>3074</v>
      </c>
      <c r="K1159" s="1" t="s">
        <v>63</v>
      </c>
      <c r="L1159" s="1" t="s">
        <v>64</v>
      </c>
      <c r="M1159">
        <v>0</v>
      </c>
      <c r="N1159">
        <v>0</v>
      </c>
      <c r="O1159">
        <v>0</v>
      </c>
      <c r="P1159" s="2">
        <v>41791</v>
      </c>
      <c r="Q1159">
        <v>0</v>
      </c>
      <c r="R1159" s="1" t="s">
        <v>61</v>
      </c>
    </row>
    <row r="1160" spans="1:18" x14ac:dyDescent="0.25">
      <c r="A1160">
        <v>2014</v>
      </c>
      <c r="B1160">
        <v>7</v>
      </c>
      <c r="C1160" s="1" t="s">
        <v>30</v>
      </c>
      <c r="D1160" s="1" t="s">
        <v>19</v>
      </c>
      <c r="E1160" s="1" t="s">
        <v>62</v>
      </c>
      <c r="F1160">
        <v>2012</v>
      </c>
      <c r="G1160">
        <v>2</v>
      </c>
      <c r="H1160" s="1" t="s">
        <v>59</v>
      </c>
      <c r="I1160">
        <v>24</v>
      </c>
      <c r="J1160">
        <v>3074</v>
      </c>
      <c r="K1160" s="1" t="s">
        <v>63</v>
      </c>
      <c r="L1160" s="1" t="s">
        <v>64</v>
      </c>
      <c r="M1160">
        <v>0</v>
      </c>
      <c r="N1160">
        <v>0</v>
      </c>
      <c r="O1160">
        <v>0</v>
      </c>
      <c r="P1160" s="2">
        <v>41821</v>
      </c>
      <c r="Q1160">
        <v>0</v>
      </c>
      <c r="R1160" s="1" t="s">
        <v>61</v>
      </c>
    </row>
    <row r="1161" spans="1:18" x14ac:dyDescent="0.25">
      <c r="A1161">
        <v>2014</v>
      </c>
      <c r="B1161">
        <v>8</v>
      </c>
      <c r="C1161" s="1" t="s">
        <v>31</v>
      </c>
      <c r="D1161" s="1" t="s">
        <v>19</v>
      </c>
      <c r="E1161" s="1" t="s">
        <v>62</v>
      </c>
      <c r="F1161">
        <v>2012</v>
      </c>
      <c r="G1161">
        <v>2</v>
      </c>
      <c r="H1161" s="1" t="s">
        <v>59</v>
      </c>
      <c r="I1161">
        <v>24</v>
      </c>
      <c r="J1161">
        <v>3074</v>
      </c>
      <c r="K1161" s="1" t="s">
        <v>63</v>
      </c>
      <c r="L1161" s="1" t="s">
        <v>64</v>
      </c>
      <c r="M1161">
        <v>0</v>
      </c>
      <c r="N1161">
        <v>0</v>
      </c>
      <c r="O1161">
        <v>0</v>
      </c>
      <c r="P1161" s="2">
        <v>41852</v>
      </c>
      <c r="Q1161">
        <v>0</v>
      </c>
      <c r="R1161" s="1" t="s">
        <v>61</v>
      </c>
    </row>
    <row r="1162" spans="1:18" x14ac:dyDescent="0.25">
      <c r="A1162">
        <v>2014</v>
      </c>
      <c r="B1162">
        <v>9</v>
      </c>
      <c r="C1162" s="1" t="s">
        <v>32</v>
      </c>
      <c r="D1162" s="1" t="s">
        <v>19</v>
      </c>
      <c r="E1162" s="1" t="s">
        <v>62</v>
      </c>
      <c r="F1162">
        <v>2012</v>
      </c>
      <c r="G1162">
        <v>2</v>
      </c>
      <c r="H1162" s="1" t="s">
        <v>59</v>
      </c>
      <c r="I1162">
        <v>24</v>
      </c>
      <c r="J1162">
        <v>3074</v>
      </c>
      <c r="K1162" s="1" t="s">
        <v>63</v>
      </c>
      <c r="L1162" s="1" t="s">
        <v>64</v>
      </c>
      <c r="M1162">
        <v>0</v>
      </c>
      <c r="N1162">
        <v>0</v>
      </c>
      <c r="O1162">
        <v>0</v>
      </c>
      <c r="P1162" s="2">
        <v>41883</v>
      </c>
      <c r="Q1162">
        <v>0</v>
      </c>
      <c r="R1162" s="1" t="s">
        <v>61</v>
      </c>
    </row>
    <row r="1163" spans="1:18" x14ac:dyDescent="0.25">
      <c r="A1163">
        <v>2014</v>
      </c>
      <c r="B1163">
        <v>10</v>
      </c>
      <c r="C1163" s="1" t="s">
        <v>33</v>
      </c>
      <c r="D1163" s="1" t="s">
        <v>19</v>
      </c>
      <c r="E1163" s="1" t="s">
        <v>62</v>
      </c>
      <c r="F1163">
        <v>2012</v>
      </c>
      <c r="G1163">
        <v>2</v>
      </c>
      <c r="H1163" s="1" t="s">
        <v>59</v>
      </c>
      <c r="I1163">
        <v>24</v>
      </c>
      <c r="J1163">
        <v>3074</v>
      </c>
      <c r="K1163" s="1" t="s">
        <v>63</v>
      </c>
      <c r="L1163" s="1" t="s">
        <v>64</v>
      </c>
      <c r="M1163">
        <v>0</v>
      </c>
      <c r="N1163">
        <v>0</v>
      </c>
      <c r="O1163">
        <v>0</v>
      </c>
      <c r="P1163" s="2">
        <v>41913</v>
      </c>
      <c r="Q1163">
        <v>0</v>
      </c>
      <c r="R1163" s="1" t="s">
        <v>61</v>
      </c>
    </row>
    <row r="1164" spans="1:18" x14ac:dyDescent="0.25">
      <c r="A1164">
        <v>2014</v>
      </c>
      <c r="B1164">
        <v>11</v>
      </c>
      <c r="C1164" s="1" t="s">
        <v>34</v>
      </c>
      <c r="D1164" s="1" t="s">
        <v>19</v>
      </c>
      <c r="E1164" s="1" t="s">
        <v>62</v>
      </c>
      <c r="F1164">
        <v>2012</v>
      </c>
      <c r="G1164">
        <v>2</v>
      </c>
      <c r="H1164" s="1" t="s">
        <v>59</v>
      </c>
      <c r="I1164">
        <v>24</v>
      </c>
      <c r="J1164">
        <v>3074</v>
      </c>
      <c r="K1164" s="1" t="s">
        <v>63</v>
      </c>
      <c r="L1164" s="1" t="s">
        <v>64</v>
      </c>
      <c r="M1164">
        <v>0</v>
      </c>
      <c r="N1164">
        <v>0</v>
      </c>
      <c r="O1164">
        <v>0</v>
      </c>
      <c r="P1164" s="2">
        <v>41944</v>
      </c>
      <c r="Q1164">
        <v>0</v>
      </c>
      <c r="R1164" s="1" t="s">
        <v>61</v>
      </c>
    </row>
    <row r="1165" spans="1:18" x14ac:dyDescent="0.25">
      <c r="A1165">
        <v>2014</v>
      </c>
      <c r="B1165">
        <v>12</v>
      </c>
      <c r="C1165" s="1" t="s">
        <v>35</v>
      </c>
      <c r="D1165" s="1" t="s">
        <v>19</v>
      </c>
      <c r="E1165" s="1" t="s">
        <v>62</v>
      </c>
      <c r="F1165">
        <v>2012</v>
      </c>
      <c r="G1165">
        <v>2</v>
      </c>
      <c r="H1165" s="1" t="s">
        <v>59</v>
      </c>
      <c r="I1165">
        <v>24</v>
      </c>
      <c r="J1165">
        <v>3074</v>
      </c>
      <c r="K1165" s="1" t="s">
        <v>63</v>
      </c>
      <c r="L1165" s="1" t="s">
        <v>64</v>
      </c>
      <c r="M1165">
        <v>0</v>
      </c>
      <c r="N1165">
        <v>0</v>
      </c>
      <c r="O1165">
        <v>0</v>
      </c>
      <c r="P1165" s="2">
        <v>41974</v>
      </c>
      <c r="Q1165">
        <v>0</v>
      </c>
      <c r="R1165" s="1" t="s">
        <v>61</v>
      </c>
    </row>
    <row r="1166" spans="1:18" x14ac:dyDescent="0.25">
      <c r="A1166">
        <v>2014</v>
      </c>
      <c r="B1166">
        <v>1</v>
      </c>
      <c r="C1166" s="1" t="s">
        <v>18</v>
      </c>
      <c r="D1166" s="1" t="s">
        <v>19</v>
      </c>
      <c r="E1166" s="1" t="s">
        <v>65</v>
      </c>
      <c r="F1166">
        <v>2012</v>
      </c>
      <c r="G1166">
        <v>2</v>
      </c>
      <c r="H1166" s="1" t="s">
        <v>59</v>
      </c>
      <c r="I1166">
        <v>19</v>
      </c>
      <c r="J1166">
        <v>2418</v>
      </c>
      <c r="K1166" s="1" t="s">
        <v>66</v>
      </c>
      <c r="L1166" s="1" t="s">
        <v>64</v>
      </c>
      <c r="M1166">
        <v>0</v>
      </c>
      <c r="N1166">
        <v>0</v>
      </c>
      <c r="O1166">
        <v>0</v>
      </c>
      <c r="P1166" s="2">
        <v>41640</v>
      </c>
      <c r="Q1166">
        <v>0</v>
      </c>
      <c r="R1166" s="1" t="s">
        <v>61</v>
      </c>
    </row>
    <row r="1167" spans="1:18" x14ac:dyDescent="0.25">
      <c r="A1167">
        <v>2014</v>
      </c>
      <c r="B1167">
        <v>2</v>
      </c>
      <c r="C1167" s="1" t="s">
        <v>25</v>
      </c>
      <c r="D1167" s="1" t="s">
        <v>19</v>
      </c>
      <c r="E1167" s="1" t="s">
        <v>65</v>
      </c>
      <c r="F1167">
        <v>2012</v>
      </c>
      <c r="G1167">
        <v>2</v>
      </c>
      <c r="H1167" s="1" t="s">
        <v>59</v>
      </c>
      <c r="I1167">
        <v>19</v>
      </c>
      <c r="J1167">
        <v>2418</v>
      </c>
      <c r="K1167" s="1" t="s">
        <v>66</v>
      </c>
      <c r="L1167" s="1" t="s">
        <v>64</v>
      </c>
      <c r="M1167">
        <v>0</v>
      </c>
      <c r="N1167">
        <v>0</v>
      </c>
      <c r="O1167">
        <v>0</v>
      </c>
      <c r="P1167" s="2">
        <v>41671</v>
      </c>
      <c r="Q1167">
        <v>0</v>
      </c>
      <c r="R1167" s="1" t="s">
        <v>61</v>
      </c>
    </row>
    <row r="1168" spans="1:18" x14ac:dyDescent="0.25">
      <c r="A1168">
        <v>2014</v>
      </c>
      <c r="B1168">
        <v>3</v>
      </c>
      <c r="C1168" s="1" t="s">
        <v>26</v>
      </c>
      <c r="D1168" s="1" t="s">
        <v>19</v>
      </c>
      <c r="E1168" s="1" t="s">
        <v>65</v>
      </c>
      <c r="F1168">
        <v>2012</v>
      </c>
      <c r="G1168">
        <v>2</v>
      </c>
      <c r="H1168" s="1" t="s">
        <v>59</v>
      </c>
      <c r="I1168">
        <v>19</v>
      </c>
      <c r="J1168">
        <v>2418</v>
      </c>
      <c r="K1168" s="1" t="s">
        <v>66</v>
      </c>
      <c r="L1168" s="1" t="s">
        <v>64</v>
      </c>
      <c r="M1168">
        <v>0</v>
      </c>
      <c r="N1168">
        <v>0</v>
      </c>
      <c r="O1168">
        <v>0</v>
      </c>
      <c r="P1168" s="2">
        <v>41699</v>
      </c>
      <c r="Q1168">
        <v>0</v>
      </c>
      <c r="R1168" s="1" t="s">
        <v>61</v>
      </c>
    </row>
    <row r="1169" spans="1:18" x14ac:dyDescent="0.25">
      <c r="A1169">
        <v>2014</v>
      </c>
      <c r="B1169">
        <v>4</v>
      </c>
      <c r="C1169" s="1" t="s">
        <v>27</v>
      </c>
      <c r="D1169" s="1" t="s">
        <v>19</v>
      </c>
      <c r="E1169" s="1" t="s">
        <v>65</v>
      </c>
      <c r="F1169">
        <v>2012</v>
      </c>
      <c r="G1169">
        <v>2</v>
      </c>
      <c r="H1169" s="1" t="s">
        <v>59</v>
      </c>
      <c r="I1169">
        <v>19</v>
      </c>
      <c r="J1169">
        <v>2418</v>
      </c>
      <c r="K1169" s="1" t="s">
        <v>66</v>
      </c>
      <c r="L1169" s="1" t="s">
        <v>64</v>
      </c>
      <c r="M1169">
        <v>0</v>
      </c>
      <c r="N1169">
        <v>0</v>
      </c>
      <c r="O1169">
        <v>0</v>
      </c>
      <c r="P1169" s="2">
        <v>41730</v>
      </c>
      <c r="Q1169">
        <v>0</v>
      </c>
      <c r="R1169" s="1" t="s">
        <v>61</v>
      </c>
    </row>
    <row r="1170" spans="1:18" x14ac:dyDescent="0.25">
      <c r="A1170">
        <v>2014</v>
      </c>
      <c r="B1170">
        <v>5</v>
      </c>
      <c r="C1170" s="1" t="s">
        <v>28</v>
      </c>
      <c r="D1170" s="1" t="s">
        <v>19</v>
      </c>
      <c r="E1170" s="1" t="s">
        <v>65</v>
      </c>
      <c r="F1170">
        <v>2012</v>
      </c>
      <c r="G1170">
        <v>2</v>
      </c>
      <c r="H1170" s="1" t="s">
        <v>59</v>
      </c>
      <c r="I1170">
        <v>19</v>
      </c>
      <c r="J1170">
        <v>2418</v>
      </c>
      <c r="K1170" s="1" t="s">
        <v>66</v>
      </c>
      <c r="L1170" s="1" t="s">
        <v>64</v>
      </c>
      <c r="M1170">
        <v>0</v>
      </c>
      <c r="N1170">
        <v>0</v>
      </c>
      <c r="O1170">
        <v>0</v>
      </c>
      <c r="P1170" s="2">
        <v>41760</v>
      </c>
      <c r="Q1170">
        <v>0</v>
      </c>
      <c r="R1170" s="1" t="s">
        <v>61</v>
      </c>
    </row>
    <row r="1171" spans="1:18" x14ac:dyDescent="0.25">
      <c r="A1171">
        <v>2014</v>
      </c>
      <c r="B1171">
        <v>6</v>
      </c>
      <c r="C1171" s="1" t="s">
        <v>29</v>
      </c>
      <c r="D1171" s="1" t="s">
        <v>19</v>
      </c>
      <c r="E1171" s="1" t="s">
        <v>65</v>
      </c>
      <c r="F1171">
        <v>2012</v>
      </c>
      <c r="G1171">
        <v>2</v>
      </c>
      <c r="H1171" s="1" t="s">
        <v>59</v>
      </c>
      <c r="I1171">
        <v>19</v>
      </c>
      <c r="J1171">
        <v>2418</v>
      </c>
      <c r="K1171" s="1" t="s">
        <v>66</v>
      </c>
      <c r="L1171" s="1" t="s">
        <v>64</v>
      </c>
      <c r="M1171">
        <v>0</v>
      </c>
      <c r="N1171">
        <v>0</v>
      </c>
      <c r="O1171">
        <v>0</v>
      </c>
      <c r="P1171" s="2">
        <v>41791</v>
      </c>
      <c r="Q1171">
        <v>0</v>
      </c>
      <c r="R1171" s="1" t="s">
        <v>61</v>
      </c>
    </row>
    <row r="1172" spans="1:18" x14ac:dyDescent="0.25">
      <c r="A1172">
        <v>2014</v>
      </c>
      <c r="B1172">
        <v>7</v>
      </c>
      <c r="C1172" s="1" t="s">
        <v>30</v>
      </c>
      <c r="D1172" s="1" t="s">
        <v>19</v>
      </c>
      <c r="E1172" s="1" t="s">
        <v>65</v>
      </c>
      <c r="F1172">
        <v>2012</v>
      </c>
      <c r="G1172">
        <v>2</v>
      </c>
      <c r="H1172" s="1" t="s">
        <v>59</v>
      </c>
      <c r="I1172">
        <v>19</v>
      </c>
      <c r="J1172">
        <v>2418</v>
      </c>
      <c r="K1172" s="1" t="s">
        <v>66</v>
      </c>
      <c r="L1172" s="1" t="s">
        <v>64</v>
      </c>
      <c r="M1172">
        <v>0</v>
      </c>
      <c r="N1172">
        <v>0</v>
      </c>
      <c r="O1172">
        <v>0</v>
      </c>
      <c r="P1172" s="2">
        <v>41821</v>
      </c>
      <c r="Q1172">
        <v>0</v>
      </c>
      <c r="R1172" s="1" t="s">
        <v>61</v>
      </c>
    </row>
    <row r="1173" spans="1:18" x14ac:dyDescent="0.25">
      <c r="A1173">
        <v>2014</v>
      </c>
      <c r="B1173">
        <v>8</v>
      </c>
      <c r="C1173" s="1" t="s">
        <v>31</v>
      </c>
      <c r="D1173" s="1" t="s">
        <v>19</v>
      </c>
      <c r="E1173" s="1" t="s">
        <v>65</v>
      </c>
      <c r="F1173">
        <v>2012</v>
      </c>
      <c r="G1173">
        <v>2</v>
      </c>
      <c r="H1173" s="1" t="s">
        <v>59</v>
      </c>
      <c r="I1173">
        <v>19</v>
      </c>
      <c r="J1173">
        <v>2418</v>
      </c>
      <c r="K1173" s="1" t="s">
        <v>66</v>
      </c>
      <c r="L1173" s="1" t="s">
        <v>64</v>
      </c>
      <c r="M1173">
        <v>0</v>
      </c>
      <c r="N1173">
        <v>0</v>
      </c>
      <c r="O1173">
        <v>0</v>
      </c>
      <c r="P1173" s="2">
        <v>41852</v>
      </c>
      <c r="Q1173">
        <v>0</v>
      </c>
      <c r="R1173" s="1" t="s">
        <v>61</v>
      </c>
    </row>
    <row r="1174" spans="1:18" x14ac:dyDescent="0.25">
      <c r="A1174">
        <v>2014</v>
      </c>
      <c r="B1174">
        <v>9</v>
      </c>
      <c r="C1174" s="1" t="s">
        <v>32</v>
      </c>
      <c r="D1174" s="1" t="s">
        <v>19</v>
      </c>
      <c r="E1174" s="1" t="s">
        <v>65</v>
      </c>
      <c r="F1174">
        <v>2012</v>
      </c>
      <c r="G1174">
        <v>2</v>
      </c>
      <c r="H1174" s="1" t="s">
        <v>59</v>
      </c>
      <c r="I1174">
        <v>19</v>
      </c>
      <c r="J1174">
        <v>2418</v>
      </c>
      <c r="K1174" s="1" t="s">
        <v>66</v>
      </c>
      <c r="L1174" s="1" t="s">
        <v>64</v>
      </c>
      <c r="M1174">
        <v>0</v>
      </c>
      <c r="N1174">
        <v>0</v>
      </c>
      <c r="O1174">
        <v>0</v>
      </c>
      <c r="P1174" s="2">
        <v>41883</v>
      </c>
      <c r="Q1174">
        <v>0</v>
      </c>
      <c r="R1174" s="1" t="s">
        <v>61</v>
      </c>
    </row>
    <row r="1175" spans="1:18" x14ac:dyDescent="0.25">
      <c r="A1175">
        <v>2014</v>
      </c>
      <c r="B1175">
        <v>10</v>
      </c>
      <c r="C1175" s="1" t="s">
        <v>33</v>
      </c>
      <c r="D1175" s="1" t="s">
        <v>19</v>
      </c>
      <c r="E1175" s="1" t="s">
        <v>65</v>
      </c>
      <c r="F1175">
        <v>2012</v>
      </c>
      <c r="G1175">
        <v>2</v>
      </c>
      <c r="H1175" s="1" t="s">
        <v>59</v>
      </c>
      <c r="I1175">
        <v>19</v>
      </c>
      <c r="J1175">
        <v>2418</v>
      </c>
      <c r="K1175" s="1" t="s">
        <v>66</v>
      </c>
      <c r="L1175" s="1" t="s">
        <v>64</v>
      </c>
      <c r="M1175">
        <v>0</v>
      </c>
      <c r="N1175">
        <v>0</v>
      </c>
      <c r="O1175">
        <v>0</v>
      </c>
      <c r="P1175" s="2">
        <v>41913</v>
      </c>
      <c r="Q1175">
        <v>0</v>
      </c>
      <c r="R1175" s="1" t="s">
        <v>61</v>
      </c>
    </row>
    <row r="1176" spans="1:18" x14ac:dyDescent="0.25">
      <c r="A1176">
        <v>2014</v>
      </c>
      <c r="B1176">
        <v>11</v>
      </c>
      <c r="C1176" s="1" t="s">
        <v>34</v>
      </c>
      <c r="D1176" s="1" t="s">
        <v>19</v>
      </c>
      <c r="E1176" s="1" t="s">
        <v>65</v>
      </c>
      <c r="F1176">
        <v>2012</v>
      </c>
      <c r="G1176">
        <v>2</v>
      </c>
      <c r="H1176" s="1" t="s">
        <v>59</v>
      </c>
      <c r="I1176">
        <v>19</v>
      </c>
      <c r="J1176">
        <v>2418</v>
      </c>
      <c r="K1176" s="1" t="s">
        <v>66</v>
      </c>
      <c r="L1176" s="1" t="s">
        <v>64</v>
      </c>
      <c r="M1176">
        <v>0</v>
      </c>
      <c r="N1176">
        <v>0</v>
      </c>
      <c r="O1176">
        <v>0</v>
      </c>
      <c r="P1176" s="2">
        <v>41944</v>
      </c>
      <c r="Q1176">
        <v>0</v>
      </c>
      <c r="R1176" s="1" t="s">
        <v>61</v>
      </c>
    </row>
    <row r="1177" spans="1:18" x14ac:dyDescent="0.25">
      <c r="A1177">
        <v>2014</v>
      </c>
      <c r="B1177">
        <v>12</v>
      </c>
      <c r="C1177" s="1" t="s">
        <v>35</v>
      </c>
      <c r="D1177" s="1" t="s">
        <v>19</v>
      </c>
      <c r="E1177" s="1" t="s">
        <v>65</v>
      </c>
      <c r="F1177">
        <v>2012</v>
      </c>
      <c r="G1177">
        <v>2</v>
      </c>
      <c r="H1177" s="1" t="s">
        <v>59</v>
      </c>
      <c r="I1177">
        <v>19</v>
      </c>
      <c r="J1177">
        <v>2418</v>
      </c>
      <c r="K1177" s="1" t="s">
        <v>66</v>
      </c>
      <c r="L1177" s="1" t="s">
        <v>64</v>
      </c>
      <c r="M1177">
        <v>0</v>
      </c>
      <c r="N1177">
        <v>0</v>
      </c>
      <c r="O1177">
        <v>0</v>
      </c>
      <c r="P1177" s="2">
        <v>41974</v>
      </c>
      <c r="Q1177">
        <v>0</v>
      </c>
      <c r="R1177" s="1" t="s">
        <v>61</v>
      </c>
    </row>
    <row r="1178" spans="1:18" x14ac:dyDescent="0.25">
      <c r="A1178">
        <v>2014</v>
      </c>
      <c r="B1178">
        <v>1</v>
      </c>
      <c r="C1178" s="1" t="s">
        <v>18</v>
      </c>
      <c r="D1178" s="1" t="s">
        <v>19</v>
      </c>
      <c r="E1178" s="1" t="s">
        <v>67</v>
      </c>
      <c r="F1178">
        <v>2012</v>
      </c>
      <c r="G1178">
        <v>2</v>
      </c>
      <c r="H1178" s="1" t="s">
        <v>59</v>
      </c>
      <c r="I1178">
        <v>25</v>
      </c>
      <c r="J1178">
        <v>3205</v>
      </c>
      <c r="K1178" s="1" t="s">
        <v>68</v>
      </c>
      <c r="L1178" s="1" t="s">
        <v>64</v>
      </c>
      <c r="M1178">
        <v>0</v>
      </c>
      <c r="N1178">
        <v>0</v>
      </c>
      <c r="O1178">
        <v>0</v>
      </c>
      <c r="P1178" s="2">
        <v>41640</v>
      </c>
      <c r="Q1178">
        <v>0</v>
      </c>
      <c r="R1178" s="1" t="s">
        <v>61</v>
      </c>
    </row>
    <row r="1179" spans="1:18" x14ac:dyDescent="0.25">
      <c r="A1179">
        <v>2014</v>
      </c>
      <c r="B1179">
        <v>2</v>
      </c>
      <c r="C1179" s="1" t="s">
        <v>25</v>
      </c>
      <c r="D1179" s="1" t="s">
        <v>19</v>
      </c>
      <c r="E1179" s="1" t="s">
        <v>67</v>
      </c>
      <c r="F1179">
        <v>2012</v>
      </c>
      <c r="G1179">
        <v>2</v>
      </c>
      <c r="H1179" s="1" t="s">
        <v>59</v>
      </c>
      <c r="I1179">
        <v>25</v>
      </c>
      <c r="J1179">
        <v>3205</v>
      </c>
      <c r="K1179" s="1" t="s">
        <v>68</v>
      </c>
      <c r="L1179" s="1" t="s">
        <v>64</v>
      </c>
      <c r="M1179">
        <v>0</v>
      </c>
      <c r="N1179">
        <v>0</v>
      </c>
      <c r="O1179">
        <v>0</v>
      </c>
      <c r="P1179" s="2">
        <v>41671</v>
      </c>
      <c r="Q1179">
        <v>0</v>
      </c>
      <c r="R1179" s="1" t="s">
        <v>61</v>
      </c>
    </row>
    <row r="1180" spans="1:18" x14ac:dyDescent="0.25">
      <c r="A1180">
        <v>2014</v>
      </c>
      <c r="B1180">
        <v>3</v>
      </c>
      <c r="C1180" s="1" t="s">
        <v>26</v>
      </c>
      <c r="D1180" s="1" t="s">
        <v>19</v>
      </c>
      <c r="E1180" s="1" t="s">
        <v>67</v>
      </c>
      <c r="F1180">
        <v>2012</v>
      </c>
      <c r="G1180">
        <v>2</v>
      </c>
      <c r="H1180" s="1" t="s">
        <v>59</v>
      </c>
      <c r="I1180">
        <v>25</v>
      </c>
      <c r="J1180">
        <v>3205</v>
      </c>
      <c r="K1180" s="1" t="s">
        <v>68</v>
      </c>
      <c r="L1180" s="1" t="s">
        <v>64</v>
      </c>
      <c r="M1180">
        <v>0</v>
      </c>
      <c r="N1180">
        <v>0</v>
      </c>
      <c r="O1180">
        <v>0</v>
      </c>
      <c r="P1180" s="2">
        <v>41699</v>
      </c>
      <c r="Q1180">
        <v>0</v>
      </c>
      <c r="R1180" s="1" t="s">
        <v>61</v>
      </c>
    </row>
    <row r="1181" spans="1:18" x14ac:dyDescent="0.25">
      <c r="A1181">
        <v>2014</v>
      </c>
      <c r="B1181">
        <v>4</v>
      </c>
      <c r="C1181" s="1" t="s">
        <v>27</v>
      </c>
      <c r="D1181" s="1" t="s">
        <v>19</v>
      </c>
      <c r="E1181" s="1" t="s">
        <v>67</v>
      </c>
      <c r="F1181">
        <v>2012</v>
      </c>
      <c r="G1181">
        <v>2</v>
      </c>
      <c r="H1181" s="1" t="s">
        <v>59</v>
      </c>
      <c r="I1181">
        <v>25</v>
      </c>
      <c r="J1181">
        <v>3205</v>
      </c>
      <c r="K1181" s="1" t="s">
        <v>68</v>
      </c>
      <c r="L1181" s="1" t="s">
        <v>64</v>
      </c>
      <c r="M1181">
        <v>0</v>
      </c>
      <c r="N1181">
        <v>0</v>
      </c>
      <c r="O1181">
        <v>0</v>
      </c>
      <c r="P1181" s="2">
        <v>41730</v>
      </c>
      <c r="Q1181">
        <v>0</v>
      </c>
      <c r="R1181" s="1" t="s">
        <v>61</v>
      </c>
    </row>
    <row r="1182" spans="1:18" x14ac:dyDescent="0.25">
      <c r="A1182">
        <v>2014</v>
      </c>
      <c r="B1182">
        <v>5</v>
      </c>
      <c r="C1182" s="1" t="s">
        <v>28</v>
      </c>
      <c r="D1182" s="1" t="s">
        <v>19</v>
      </c>
      <c r="E1182" s="1" t="s">
        <v>67</v>
      </c>
      <c r="F1182">
        <v>2012</v>
      </c>
      <c r="G1182">
        <v>2</v>
      </c>
      <c r="H1182" s="1" t="s">
        <v>59</v>
      </c>
      <c r="I1182">
        <v>25</v>
      </c>
      <c r="J1182">
        <v>3205</v>
      </c>
      <c r="K1182" s="1" t="s">
        <v>68</v>
      </c>
      <c r="L1182" s="1" t="s">
        <v>64</v>
      </c>
      <c r="M1182">
        <v>0</v>
      </c>
      <c r="N1182">
        <v>0</v>
      </c>
      <c r="O1182">
        <v>0</v>
      </c>
      <c r="P1182" s="2">
        <v>41760</v>
      </c>
      <c r="Q1182">
        <v>0</v>
      </c>
      <c r="R1182" s="1" t="s">
        <v>61</v>
      </c>
    </row>
    <row r="1183" spans="1:18" x14ac:dyDescent="0.25">
      <c r="A1183">
        <v>2014</v>
      </c>
      <c r="B1183">
        <v>6</v>
      </c>
      <c r="C1183" s="1" t="s">
        <v>29</v>
      </c>
      <c r="D1183" s="1" t="s">
        <v>19</v>
      </c>
      <c r="E1183" s="1" t="s">
        <v>67</v>
      </c>
      <c r="F1183">
        <v>2012</v>
      </c>
      <c r="G1183">
        <v>2</v>
      </c>
      <c r="H1183" s="1" t="s">
        <v>59</v>
      </c>
      <c r="I1183">
        <v>25</v>
      </c>
      <c r="J1183">
        <v>3205</v>
      </c>
      <c r="K1183" s="1" t="s">
        <v>68</v>
      </c>
      <c r="L1183" s="1" t="s">
        <v>64</v>
      </c>
      <c r="M1183">
        <v>0</v>
      </c>
      <c r="N1183">
        <v>0</v>
      </c>
      <c r="O1183">
        <v>0</v>
      </c>
      <c r="P1183" s="2">
        <v>41791</v>
      </c>
      <c r="Q1183">
        <v>0</v>
      </c>
      <c r="R1183" s="1" t="s">
        <v>61</v>
      </c>
    </row>
    <row r="1184" spans="1:18" x14ac:dyDescent="0.25">
      <c r="A1184">
        <v>2014</v>
      </c>
      <c r="B1184">
        <v>7</v>
      </c>
      <c r="C1184" s="1" t="s">
        <v>30</v>
      </c>
      <c r="D1184" s="1" t="s">
        <v>19</v>
      </c>
      <c r="E1184" s="1" t="s">
        <v>67</v>
      </c>
      <c r="F1184">
        <v>2012</v>
      </c>
      <c r="G1184">
        <v>2</v>
      </c>
      <c r="H1184" s="1" t="s">
        <v>59</v>
      </c>
      <c r="I1184">
        <v>25</v>
      </c>
      <c r="J1184">
        <v>3205</v>
      </c>
      <c r="K1184" s="1" t="s">
        <v>68</v>
      </c>
      <c r="L1184" s="1" t="s">
        <v>64</v>
      </c>
      <c r="M1184">
        <v>0</v>
      </c>
      <c r="N1184">
        <v>0</v>
      </c>
      <c r="O1184">
        <v>0</v>
      </c>
      <c r="P1184" s="2">
        <v>41821</v>
      </c>
      <c r="Q1184">
        <v>0</v>
      </c>
      <c r="R1184" s="1" t="s">
        <v>61</v>
      </c>
    </row>
    <row r="1185" spans="1:18" x14ac:dyDescent="0.25">
      <c r="A1185">
        <v>2014</v>
      </c>
      <c r="B1185">
        <v>8</v>
      </c>
      <c r="C1185" s="1" t="s">
        <v>31</v>
      </c>
      <c r="D1185" s="1" t="s">
        <v>19</v>
      </c>
      <c r="E1185" s="1" t="s">
        <v>67</v>
      </c>
      <c r="F1185">
        <v>2012</v>
      </c>
      <c r="G1185">
        <v>2</v>
      </c>
      <c r="H1185" s="1" t="s">
        <v>59</v>
      </c>
      <c r="I1185">
        <v>25</v>
      </c>
      <c r="J1185">
        <v>3205</v>
      </c>
      <c r="K1185" s="1" t="s">
        <v>68</v>
      </c>
      <c r="L1185" s="1" t="s">
        <v>64</v>
      </c>
      <c r="M1185">
        <v>0</v>
      </c>
      <c r="N1185">
        <v>0</v>
      </c>
      <c r="O1185">
        <v>0</v>
      </c>
      <c r="P1185" s="2">
        <v>41852</v>
      </c>
      <c r="Q1185">
        <v>0</v>
      </c>
      <c r="R1185" s="1" t="s">
        <v>61</v>
      </c>
    </row>
    <row r="1186" spans="1:18" x14ac:dyDescent="0.25">
      <c r="A1186">
        <v>2014</v>
      </c>
      <c r="B1186">
        <v>9</v>
      </c>
      <c r="C1186" s="1" t="s">
        <v>32</v>
      </c>
      <c r="D1186" s="1" t="s">
        <v>19</v>
      </c>
      <c r="E1186" s="1" t="s">
        <v>67</v>
      </c>
      <c r="F1186">
        <v>2012</v>
      </c>
      <c r="G1186">
        <v>2</v>
      </c>
      <c r="H1186" s="1" t="s">
        <v>59</v>
      </c>
      <c r="I1186">
        <v>25</v>
      </c>
      <c r="J1186">
        <v>3205</v>
      </c>
      <c r="K1186" s="1" t="s">
        <v>68</v>
      </c>
      <c r="L1186" s="1" t="s">
        <v>64</v>
      </c>
      <c r="M1186">
        <v>0</v>
      </c>
      <c r="N1186">
        <v>0</v>
      </c>
      <c r="O1186">
        <v>0</v>
      </c>
      <c r="P1186" s="2">
        <v>41883</v>
      </c>
      <c r="Q1186">
        <v>0</v>
      </c>
      <c r="R1186" s="1" t="s">
        <v>61</v>
      </c>
    </row>
    <row r="1187" spans="1:18" x14ac:dyDescent="0.25">
      <c r="A1187">
        <v>2014</v>
      </c>
      <c r="B1187">
        <v>10</v>
      </c>
      <c r="C1187" s="1" t="s">
        <v>33</v>
      </c>
      <c r="D1187" s="1" t="s">
        <v>19</v>
      </c>
      <c r="E1187" s="1" t="s">
        <v>67</v>
      </c>
      <c r="F1187">
        <v>2012</v>
      </c>
      <c r="G1187">
        <v>2</v>
      </c>
      <c r="H1187" s="1" t="s">
        <v>59</v>
      </c>
      <c r="I1187">
        <v>25</v>
      </c>
      <c r="J1187">
        <v>3205</v>
      </c>
      <c r="K1187" s="1" t="s">
        <v>68</v>
      </c>
      <c r="L1187" s="1" t="s">
        <v>64</v>
      </c>
      <c r="M1187">
        <v>0</v>
      </c>
      <c r="N1187">
        <v>0</v>
      </c>
      <c r="O1187">
        <v>0</v>
      </c>
      <c r="P1187" s="2">
        <v>41913</v>
      </c>
      <c r="Q1187">
        <v>0</v>
      </c>
      <c r="R1187" s="1" t="s">
        <v>61</v>
      </c>
    </row>
    <row r="1188" spans="1:18" x14ac:dyDescent="0.25">
      <c r="A1188">
        <v>2014</v>
      </c>
      <c r="B1188">
        <v>11</v>
      </c>
      <c r="C1188" s="1" t="s">
        <v>34</v>
      </c>
      <c r="D1188" s="1" t="s">
        <v>19</v>
      </c>
      <c r="E1188" s="1" t="s">
        <v>67</v>
      </c>
      <c r="F1188">
        <v>2012</v>
      </c>
      <c r="G1188">
        <v>2</v>
      </c>
      <c r="H1188" s="1" t="s">
        <v>59</v>
      </c>
      <c r="I1188">
        <v>25</v>
      </c>
      <c r="J1188">
        <v>3205</v>
      </c>
      <c r="K1188" s="1" t="s">
        <v>68</v>
      </c>
      <c r="L1188" s="1" t="s">
        <v>64</v>
      </c>
      <c r="M1188">
        <v>0</v>
      </c>
      <c r="N1188">
        <v>0</v>
      </c>
      <c r="O1188">
        <v>0</v>
      </c>
      <c r="P1188" s="2">
        <v>41944</v>
      </c>
      <c r="Q1188">
        <v>0</v>
      </c>
      <c r="R1188" s="1" t="s">
        <v>61</v>
      </c>
    </row>
    <row r="1189" spans="1:18" x14ac:dyDescent="0.25">
      <c r="A1189">
        <v>2014</v>
      </c>
      <c r="B1189">
        <v>12</v>
      </c>
      <c r="C1189" s="1" t="s">
        <v>35</v>
      </c>
      <c r="D1189" s="1" t="s">
        <v>19</v>
      </c>
      <c r="E1189" s="1" t="s">
        <v>67</v>
      </c>
      <c r="F1189">
        <v>2012</v>
      </c>
      <c r="G1189">
        <v>2</v>
      </c>
      <c r="H1189" s="1" t="s">
        <v>59</v>
      </c>
      <c r="I1189">
        <v>25</v>
      </c>
      <c r="J1189">
        <v>3205</v>
      </c>
      <c r="K1189" s="1" t="s">
        <v>68</v>
      </c>
      <c r="L1189" s="1" t="s">
        <v>64</v>
      </c>
      <c r="M1189">
        <v>0</v>
      </c>
      <c r="N1189">
        <v>0</v>
      </c>
      <c r="O1189">
        <v>0</v>
      </c>
      <c r="P1189" s="2">
        <v>41974</v>
      </c>
      <c r="Q1189">
        <v>0</v>
      </c>
      <c r="R1189" s="1" t="s">
        <v>61</v>
      </c>
    </row>
    <row r="1190" spans="1:18" x14ac:dyDescent="0.25">
      <c r="A1190">
        <v>2014</v>
      </c>
      <c r="B1190">
        <v>1</v>
      </c>
      <c r="C1190" s="1" t="s">
        <v>18</v>
      </c>
      <c r="D1190" s="1" t="s">
        <v>19</v>
      </c>
      <c r="E1190" s="1" t="s">
        <v>69</v>
      </c>
      <c r="F1190">
        <v>2012</v>
      </c>
      <c r="G1190">
        <v>2</v>
      </c>
      <c r="H1190" s="1" t="s">
        <v>59</v>
      </c>
      <c r="I1190">
        <v>19</v>
      </c>
      <c r="J1190">
        <v>2469</v>
      </c>
      <c r="K1190" s="1" t="s">
        <v>70</v>
      </c>
      <c r="L1190" s="1" t="s">
        <v>45</v>
      </c>
      <c r="M1190">
        <v>0</v>
      </c>
      <c r="N1190">
        <v>0</v>
      </c>
      <c r="O1190">
        <v>0</v>
      </c>
      <c r="P1190" s="2">
        <v>41640</v>
      </c>
      <c r="Q1190">
        <v>0</v>
      </c>
      <c r="R1190" s="1" t="s">
        <v>61</v>
      </c>
    </row>
    <row r="1191" spans="1:18" x14ac:dyDescent="0.25">
      <c r="A1191">
        <v>2014</v>
      </c>
      <c r="B1191">
        <v>2</v>
      </c>
      <c r="C1191" s="1" t="s">
        <v>25</v>
      </c>
      <c r="D1191" s="1" t="s">
        <v>19</v>
      </c>
      <c r="E1191" s="1" t="s">
        <v>69</v>
      </c>
      <c r="F1191">
        <v>2012</v>
      </c>
      <c r="G1191">
        <v>2</v>
      </c>
      <c r="H1191" s="1" t="s">
        <v>59</v>
      </c>
      <c r="I1191">
        <v>19</v>
      </c>
      <c r="J1191">
        <v>2469</v>
      </c>
      <c r="K1191" s="1" t="s">
        <v>70</v>
      </c>
      <c r="L1191" s="1" t="s">
        <v>45</v>
      </c>
      <c r="M1191">
        <v>0</v>
      </c>
      <c r="N1191">
        <v>0</v>
      </c>
      <c r="O1191">
        <v>0</v>
      </c>
      <c r="P1191" s="2">
        <v>41671</v>
      </c>
      <c r="Q1191">
        <v>0</v>
      </c>
      <c r="R1191" s="1" t="s">
        <v>61</v>
      </c>
    </row>
    <row r="1192" spans="1:18" x14ac:dyDescent="0.25">
      <c r="A1192">
        <v>2014</v>
      </c>
      <c r="B1192">
        <v>3</v>
      </c>
      <c r="C1192" s="1" t="s">
        <v>26</v>
      </c>
      <c r="D1192" s="1" t="s">
        <v>19</v>
      </c>
      <c r="E1192" s="1" t="s">
        <v>69</v>
      </c>
      <c r="F1192">
        <v>2012</v>
      </c>
      <c r="G1192">
        <v>2</v>
      </c>
      <c r="H1192" s="1" t="s">
        <v>59</v>
      </c>
      <c r="I1192">
        <v>19</v>
      </c>
      <c r="J1192">
        <v>2469</v>
      </c>
      <c r="K1192" s="1" t="s">
        <v>70</v>
      </c>
      <c r="L1192" s="1" t="s">
        <v>45</v>
      </c>
      <c r="M1192">
        <v>0</v>
      </c>
      <c r="N1192">
        <v>0</v>
      </c>
      <c r="O1192">
        <v>0</v>
      </c>
      <c r="P1192" s="2">
        <v>41699</v>
      </c>
      <c r="Q1192">
        <v>0</v>
      </c>
      <c r="R1192" s="1" t="s">
        <v>61</v>
      </c>
    </row>
    <row r="1193" spans="1:18" x14ac:dyDescent="0.25">
      <c r="A1193">
        <v>2014</v>
      </c>
      <c r="B1193">
        <v>4</v>
      </c>
      <c r="C1193" s="1" t="s">
        <v>27</v>
      </c>
      <c r="D1193" s="1" t="s">
        <v>19</v>
      </c>
      <c r="E1193" s="1" t="s">
        <v>69</v>
      </c>
      <c r="F1193">
        <v>2012</v>
      </c>
      <c r="G1193">
        <v>2</v>
      </c>
      <c r="H1193" s="1" t="s">
        <v>59</v>
      </c>
      <c r="I1193">
        <v>19</v>
      </c>
      <c r="J1193">
        <v>2469</v>
      </c>
      <c r="K1193" s="1" t="s">
        <v>70</v>
      </c>
      <c r="L1193" s="1" t="s">
        <v>45</v>
      </c>
      <c r="M1193">
        <v>0</v>
      </c>
      <c r="N1193">
        <v>0</v>
      </c>
      <c r="O1193">
        <v>0</v>
      </c>
      <c r="P1193" s="2">
        <v>41730</v>
      </c>
      <c r="Q1193">
        <v>0</v>
      </c>
      <c r="R1193" s="1" t="s">
        <v>61</v>
      </c>
    </row>
    <row r="1194" spans="1:18" x14ac:dyDescent="0.25">
      <c r="A1194">
        <v>2014</v>
      </c>
      <c r="B1194">
        <v>5</v>
      </c>
      <c r="C1194" s="1" t="s">
        <v>28</v>
      </c>
      <c r="D1194" s="1" t="s">
        <v>19</v>
      </c>
      <c r="E1194" s="1" t="s">
        <v>69</v>
      </c>
      <c r="F1194">
        <v>2012</v>
      </c>
      <c r="G1194">
        <v>2</v>
      </c>
      <c r="H1194" s="1" t="s">
        <v>59</v>
      </c>
      <c r="I1194">
        <v>19</v>
      </c>
      <c r="J1194">
        <v>2469</v>
      </c>
      <c r="K1194" s="1" t="s">
        <v>70</v>
      </c>
      <c r="L1194" s="1" t="s">
        <v>45</v>
      </c>
      <c r="M1194">
        <v>0</v>
      </c>
      <c r="N1194">
        <v>0</v>
      </c>
      <c r="O1194">
        <v>0</v>
      </c>
      <c r="P1194" s="2">
        <v>41760</v>
      </c>
      <c r="Q1194">
        <v>0</v>
      </c>
      <c r="R1194" s="1" t="s">
        <v>61</v>
      </c>
    </row>
    <row r="1195" spans="1:18" x14ac:dyDescent="0.25">
      <c r="A1195">
        <v>2014</v>
      </c>
      <c r="B1195">
        <v>6</v>
      </c>
      <c r="C1195" s="1" t="s">
        <v>29</v>
      </c>
      <c r="D1195" s="1" t="s">
        <v>19</v>
      </c>
      <c r="E1195" s="1" t="s">
        <v>69</v>
      </c>
      <c r="F1195">
        <v>2012</v>
      </c>
      <c r="G1195">
        <v>2</v>
      </c>
      <c r="H1195" s="1" t="s">
        <v>59</v>
      </c>
      <c r="I1195">
        <v>19</v>
      </c>
      <c r="J1195">
        <v>2469</v>
      </c>
      <c r="K1195" s="1" t="s">
        <v>70</v>
      </c>
      <c r="L1195" s="1" t="s">
        <v>45</v>
      </c>
      <c r="M1195">
        <v>0</v>
      </c>
      <c r="N1195">
        <v>0</v>
      </c>
      <c r="O1195">
        <v>0</v>
      </c>
      <c r="P1195" s="2">
        <v>41791</v>
      </c>
      <c r="Q1195">
        <v>0</v>
      </c>
      <c r="R1195" s="1" t="s">
        <v>61</v>
      </c>
    </row>
    <row r="1196" spans="1:18" x14ac:dyDescent="0.25">
      <c r="A1196">
        <v>2014</v>
      </c>
      <c r="B1196">
        <v>7</v>
      </c>
      <c r="C1196" s="1" t="s">
        <v>30</v>
      </c>
      <c r="D1196" s="1" t="s">
        <v>19</v>
      </c>
      <c r="E1196" s="1" t="s">
        <v>69</v>
      </c>
      <c r="F1196">
        <v>2012</v>
      </c>
      <c r="G1196">
        <v>2</v>
      </c>
      <c r="H1196" s="1" t="s">
        <v>59</v>
      </c>
      <c r="I1196">
        <v>19</v>
      </c>
      <c r="J1196">
        <v>2469</v>
      </c>
      <c r="K1196" s="1" t="s">
        <v>70</v>
      </c>
      <c r="L1196" s="1" t="s">
        <v>45</v>
      </c>
      <c r="M1196">
        <v>0</v>
      </c>
      <c r="N1196">
        <v>0</v>
      </c>
      <c r="O1196">
        <v>0</v>
      </c>
      <c r="P1196" s="2">
        <v>41821</v>
      </c>
      <c r="Q1196">
        <v>0</v>
      </c>
      <c r="R1196" s="1" t="s">
        <v>61</v>
      </c>
    </row>
    <row r="1197" spans="1:18" x14ac:dyDescent="0.25">
      <c r="A1197">
        <v>2014</v>
      </c>
      <c r="B1197">
        <v>8</v>
      </c>
      <c r="C1197" s="1" t="s">
        <v>31</v>
      </c>
      <c r="D1197" s="1" t="s">
        <v>19</v>
      </c>
      <c r="E1197" s="1" t="s">
        <v>69</v>
      </c>
      <c r="F1197">
        <v>2012</v>
      </c>
      <c r="G1197">
        <v>2</v>
      </c>
      <c r="H1197" s="1" t="s">
        <v>59</v>
      </c>
      <c r="I1197">
        <v>19</v>
      </c>
      <c r="J1197">
        <v>2469</v>
      </c>
      <c r="K1197" s="1" t="s">
        <v>70</v>
      </c>
      <c r="L1197" s="1" t="s">
        <v>45</v>
      </c>
      <c r="M1197">
        <v>0</v>
      </c>
      <c r="N1197">
        <v>0</v>
      </c>
      <c r="O1197">
        <v>0</v>
      </c>
      <c r="P1197" s="2">
        <v>41852</v>
      </c>
      <c r="Q1197">
        <v>0</v>
      </c>
      <c r="R1197" s="1" t="s">
        <v>61</v>
      </c>
    </row>
    <row r="1198" spans="1:18" x14ac:dyDescent="0.25">
      <c r="A1198">
        <v>2014</v>
      </c>
      <c r="B1198">
        <v>9</v>
      </c>
      <c r="C1198" s="1" t="s">
        <v>32</v>
      </c>
      <c r="D1198" s="1" t="s">
        <v>19</v>
      </c>
      <c r="E1198" s="1" t="s">
        <v>69</v>
      </c>
      <c r="F1198">
        <v>2012</v>
      </c>
      <c r="G1198">
        <v>2</v>
      </c>
      <c r="H1198" s="1" t="s">
        <v>59</v>
      </c>
      <c r="I1198">
        <v>19</v>
      </c>
      <c r="J1198">
        <v>2469</v>
      </c>
      <c r="K1198" s="1" t="s">
        <v>70</v>
      </c>
      <c r="L1198" s="1" t="s">
        <v>45</v>
      </c>
      <c r="M1198">
        <v>0</v>
      </c>
      <c r="N1198">
        <v>0</v>
      </c>
      <c r="O1198">
        <v>0</v>
      </c>
      <c r="P1198" s="2">
        <v>41883</v>
      </c>
      <c r="Q1198">
        <v>0</v>
      </c>
      <c r="R1198" s="1" t="s">
        <v>61</v>
      </c>
    </row>
    <row r="1199" spans="1:18" x14ac:dyDescent="0.25">
      <c r="A1199">
        <v>2014</v>
      </c>
      <c r="B1199">
        <v>10</v>
      </c>
      <c r="C1199" s="1" t="s">
        <v>33</v>
      </c>
      <c r="D1199" s="1" t="s">
        <v>19</v>
      </c>
      <c r="E1199" s="1" t="s">
        <v>69</v>
      </c>
      <c r="F1199">
        <v>2012</v>
      </c>
      <c r="G1199">
        <v>2</v>
      </c>
      <c r="H1199" s="1" t="s">
        <v>59</v>
      </c>
      <c r="I1199">
        <v>19</v>
      </c>
      <c r="J1199">
        <v>2469</v>
      </c>
      <c r="K1199" s="1" t="s">
        <v>70</v>
      </c>
      <c r="L1199" s="1" t="s">
        <v>45</v>
      </c>
      <c r="M1199">
        <v>0</v>
      </c>
      <c r="N1199">
        <v>0</v>
      </c>
      <c r="O1199">
        <v>0</v>
      </c>
      <c r="P1199" s="2">
        <v>41913</v>
      </c>
      <c r="Q1199">
        <v>0</v>
      </c>
      <c r="R1199" s="1" t="s">
        <v>61</v>
      </c>
    </row>
    <row r="1200" spans="1:18" x14ac:dyDescent="0.25">
      <c r="A1200">
        <v>2014</v>
      </c>
      <c r="B1200">
        <v>11</v>
      </c>
      <c r="C1200" s="1" t="s">
        <v>34</v>
      </c>
      <c r="D1200" s="1" t="s">
        <v>19</v>
      </c>
      <c r="E1200" s="1" t="s">
        <v>69</v>
      </c>
      <c r="F1200">
        <v>2012</v>
      </c>
      <c r="G1200">
        <v>2</v>
      </c>
      <c r="H1200" s="1" t="s">
        <v>59</v>
      </c>
      <c r="I1200">
        <v>19</v>
      </c>
      <c r="J1200">
        <v>2469</v>
      </c>
      <c r="K1200" s="1" t="s">
        <v>70</v>
      </c>
      <c r="L1200" s="1" t="s">
        <v>45</v>
      </c>
      <c r="M1200">
        <v>0</v>
      </c>
      <c r="N1200">
        <v>0</v>
      </c>
      <c r="O1200">
        <v>0</v>
      </c>
      <c r="P1200" s="2">
        <v>41944</v>
      </c>
      <c r="Q1200">
        <v>0</v>
      </c>
      <c r="R1200" s="1" t="s">
        <v>61</v>
      </c>
    </row>
    <row r="1201" spans="1:18" x14ac:dyDescent="0.25">
      <c r="A1201">
        <v>2014</v>
      </c>
      <c r="B1201">
        <v>12</v>
      </c>
      <c r="C1201" s="1" t="s">
        <v>35</v>
      </c>
      <c r="D1201" s="1" t="s">
        <v>19</v>
      </c>
      <c r="E1201" s="1" t="s">
        <v>69</v>
      </c>
      <c r="F1201">
        <v>2012</v>
      </c>
      <c r="G1201">
        <v>2</v>
      </c>
      <c r="H1201" s="1" t="s">
        <v>59</v>
      </c>
      <c r="I1201">
        <v>19</v>
      </c>
      <c r="J1201">
        <v>2469</v>
      </c>
      <c r="K1201" s="1" t="s">
        <v>70</v>
      </c>
      <c r="L1201" s="1" t="s">
        <v>45</v>
      </c>
      <c r="M1201">
        <v>0</v>
      </c>
      <c r="N1201">
        <v>0</v>
      </c>
      <c r="O1201">
        <v>0</v>
      </c>
      <c r="P1201" s="2">
        <v>41974</v>
      </c>
      <c r="Q1201">
        <v>0</v>
      </c>
      <c r="R1201" s="1" t="s">
        <v>61</v>
      </c>
    </row>
    <row r="1202" spans="1:18" x14ac:dyDescent="0.25">
      <c r="A1202">
        <v>2014</v>
      </c>
      <c r="B1202">
        <v>1</v>
      </c>
      <c r="C1202" s="1" t="s">
        <v>18</v>
      </c>
      <c r="D1202" s="1" t="s">
        <v>19</v>
      </c>
      <c r="E1202" s="1" t="s">
        <v>71</v>
      </c>
      <c r="F1202">
        <v>2012</v>
      </c>
      <c r="G1202">
        <v>2</v>
      </c>
      <c r="H1202" s="1" t="s">
        <v>59</v>
      </c>
      <c r="I1202">
        <v>20</v>
      </c>
      <c r="J1202">
        <v>2704</v>
      </c>
      <c r="K1202" s="1" t="s">
        <v>72</v>
      </c>
      <c r="L1202" s="1" t="s">
        <v>64</v>
      </c>
      <c r="M1202">
        <v>0</v>
      </c>
      <c r="N1202">
        <v>0</v>
      </c>
      <c r="O1202">
        <v>0</v>
      </c>
      <c r="P1202" s="2">
        <v>41640</v>
      </c>
      <c r="Q1202">
        <v>0</v>
      </c>
      <c r="R1202" s="1" t="s">
        <v>61</v>
      </c>
    </row>
    <row r="1203" spans="1:18" x14ac:dyDescent="0.25">
      <c r="A1203">
        <v>2014</v>
      </c>
      <c r="B1203">
        <v>2</v>
      </c>
      <c r="C1203" s="1" t="s">
        <v>25</v>
      </c>
      <c r="D1203" s="1" t="s">
        <v>19</v>
      </c>
      <c r="E1203" s="1" t="s">
        <v>71</v>
      </c>
      <c r="F1203">
        <v>2012</v>
      </c>
      <c r="G1203">
        <v>2</v>
      </c>
      <c r="H1203" s="1" t="s">
        <v>59</v>
      </c>
      <c r="I1203">
        <v>20</v>
      </c>
      <c r="J1203">
        <v>2704</v>
      </c>
      <c r="K1203" s="1" t="s">
        <v>72</v>
      </c>
      <c r="L1203" s="1" t="s">
        <v>64</v>
      </c>
      <c r="M1203">
        <v>0</v>
      </c>
      <c r="N1203">
        <v>0</v>
      </c>
      <c r="O1203">
        <v>0</v>
      </c>
      <c r="P1203" s="2">
        <v>41671</v>
      </c>
      <c r="Q1203">
        <v>0</v>
      </c>
      <c r="R1203" s="1" t="s">
        <v>61</v>
      </c>
    </row>
    <row r="1204" spans="1:18" x14ac:dyDescent="0.25">
      <c r="A1204">
        <v>2014</v>
      </c>
      <c r="B1204">
        <v>3</v>
      </c>
      <c r="C1204" s="1" t="s">
        <v>26</v>
      </c>
      <c r="D1204" s="1" t="s">
        <v>19</v>
      </c>
      <c r="E1204" s="1" t="s">
        <v>71</v>
      </c>
      <c r="F1204">
        <v>2012</v>
      </c>
      <c r="G1204">
        <v>2</v>
      </c>
      <c r="H1204" s="1" t="s">
        <v>59</v>
      </c>
      <c r="I1204">
        <v>20</v>
      </c>
      <c r="J1204">
        <v>2704</v>
      </c>
      <c r="K1204" s="1" t="s">
        <v>72</v>
      </c>
      <c r="L1204" s="1" t="s">
        <v>64</v>
      </c>
      <c r="M1204">
        <v>0</v>
      </c>
      <c r="N1204">
        <v>0</v>
      </c>
      <c r="O1204">
        <v>0</v>
      </c>
      <c r="P1204" s="2">
        <v>41699</v>
      </c>
      <c r="Q1204">
        <v>0</v>
      </c>
      <c r="R1204" s="1" t="s">
        <v>61</v>
      </c>
    </row>
    <row r="1205" spans="1:18" x14ac:dyDescent="0.25">
      <c r="A1205">
        <v>2014</v>
      </c>
      <c r="B1205">
        <v>4</v>
      </c>
      <c r="C1205" s="1" t="s">
        <v>27</v>
      </c>
      <c r="D1205" s="1" t="s">
        <v>19</v>
      </c>
      <c r="E1205" s="1" t="s">
        <v>71</v>
      </c>
      <c r="F1205">
        <v>2012</v>
      </c>
      <c r="G1205">
        <v>2</v>
      </c>
      <c r="H1205" s="1" t="s">
        <v>59</v>
      </c>
      <c r="I1205">
        <v>20</v>
      </c>
      <c r="J1205">
        <v>2704</v>
      </c>
      <c r="K1205" s="1" t="s">
        <v>72</v>
      </c>
      <c r="L1205" s="1" t="s">
        <v>64</v>
      </c>
      <c r="M1205">
        <v>0</v>
      </c>
      <c r="N1205">
        <v>0</v>
      </c>
      <c r="O1205">
        <v>0</v>
      </c>
      <c r="P1205" s="2">
        <v>41730</v>
      </c>
      <c r="Q1205">
        <v>0</v>
      </c>
      <c r="R1205" s="1" t="s">
        <v>61</v>
      </c>
    </row>
    <row r="1206" spans="1:18" x14ac:dyDescent="0.25">
      <c r="A1206">
        <v>2014</v>
      </c>
      <c r="B1206">
        <v>5</v>
      </c>
      <c r="C1206" s="1" t="s">
        <v>28</v>
      </c>
      <c r="D1206" s="1" t="s">
        <v>19</v>
      </c>
      <c r="E1206" s="1" t="s">
        <v>71</v>
      </c>
      <c r="F1206">
        <v>2012</v>
      </c>
      <c r="G1206">
        <v>2</v>
      </c>
      <c r="H1206" s="1" t="s">
        <v>59</v>
      </c>
      <c r="I1206">
        <v>20</v>
      </c>
      <c r="J1206">
        <v>2704</v>
      </c>
      <c r="K1206" s="1" t="s">
        <v>72</v>
      </c>
      <c r="L1206" s="1" t="s">
        <v>64</v>
      </c>
      <c r="M1206">
        <v>0</v>
      </c>
      <c r="N1206">
        <v>0</v>
      </c>
      <c r="O1206">
        <v>0</v>
      </c>
      <c r="P1206" s="2">
        <v>41760</v>
      </c>
      <c r="Q1206">
        <v>0</v>
      </c>
      <c r="R1206" s="1" t="s">
        <v>61</v>
      </c>
    </row>
    <row r="1207" spans="1:18" x14ac:dyDescent="0.25">
      <c r="A1207">
        <v>2014</v>
      </c>
      <c r="B1207">
        <v>6</v>
      </c>
      <c r="C1207" s="1" t="s">
        <v>29</v>
      </c>
      <c r="D1207" s="1" t="s">
        <v>19</v>
      </c>
      <c r="E1207" s="1" t="s">
        <v>71</v>
      </c>
      <c r="F1207">
        <v>2012</v>
      </c>
      <c r="G1207">
        <v>2</v>
      </c>
      <c r="H1207" s="1" t="s">
        <v>59</v>
      </c>
      <c r="I1207">
        <v>20</v>
      </c>
      <c r="J1207">
        <v>2704</v>
      </c>
      <c r="K1207" s="1" t="s">
        <v>72</v>
      </c>
      <c r="L1207" s="1" t="s">
        <v>64</v>
      </c>
      <c r="M1207">
        <v>0</v>
      </c>
      <c r="N1207">
        <v>0</v>
      </c>
      <c r="O1207">
        <v>0</v>
      </c>
      <c r="P1207" s="2">
        <v>41791</v>
      </c>
      <c r="Q1207">
        <v>0</v>
      </c>
      <c r="R1207" s="1" t="s">
        <v>61</v>
      </c>
    </row>
    <row r="1208" spans="1:18" x14ac:dyDescent="0.25">
      <c r="A1208">
        <v>2014</v>
      </c>
      <c r="B1208">
        <v>7</v>
      </c>
      <c r="C1208" s="1" t="s">
        <v>30</v>
      </c>
      <c r="D1208" s="1" t="s">
        <v>19</v>
      </c>
      <c r="E1208" s="1" t="s">
        <v>71</v>
      </c>
      <c r="F1208">
        <v>2012</v>
      </c>
      <c r="G1208">
        <v>2</v>
      </c>
      <c r="H1208" s="1" t="s">
        <v>59</v>
      </c>
      <c r="I1208">
        <v>20</v>
      </c>
      <c r="J1208">
        <v>2704</v>
      </c>
      <c r="K1208" s="1" t="s">
        <v>72</v>
      </c>
      <c r="L1208" s="1" t="s">
        <v>64</v>
      </c>
      <c r="M1208">
        <v>0</v>
      </c>
      <c r="N1208">
        <v>0</v>
      </c>
      <c r="O1208">
        <v>0</v>
      </c>
      <c r="P1208" s="2">
        <v>41821</v>
      </c>
      <c r="Q1208">
        <v>0</v>
      </c>
      <c r="R1208" s="1" t="s">
        <v>61</v>
      </c>
    </row>
    <row r="1209" spans="1:18" x14ac:dyDescent="0.25">
      <c r="A1209">
        <v>2014</v>
      </c>
      <c r="B1209">
        <v>8</v>
      </c>
      <c r="C1209" s="1" t="s">
        <v>31</v>
      </c>
      <c r="D1209" s="1" t="s">
        <v>19</v>
      </c>
      <c r="E1209" s="1" t="s">
        <v>71</v>
      </c>
      <c r="F1209">
        <v>2012</v>
      </c>
      <c r="G1209">
        <v>2</v>
      </c>
      <c r="H1209" s="1" t="s">
        <v>59</v>
      </c>
      <c r="I1209">
        <v>20</v>
      </c>
      <c r="J1209">
        <v>2704</v>
      </c>
      <c r="K1209" s="1" t="s">
        <v>72</v>
      </c>
      <c r="L1209" s="1" t="s">
        <v>64</v>
      </c>
      <c r="M1209">
        <v>0</v>
      </c>
      <c r="N1209">
        <v>0</v>
      </c>
      <c r="O1209">
        <v>0</v>
      </c>
      <c r="P1209" s="2">
        <v>41852</v>
      </c>
      <c r="Q1209">
        <v>0</v>
      </c>
      <c r="R1209" s="1" t="s">
        <v>61</v>
      </c>
    </row>
    <row r="1210" spans="1:18" x14ac:dyDescent="0.25">
      <c r="A1210">
        <v>2014</v>
      </c>
      <c r="B1210">
        <v>9</v>
      </c>
      <c r="C1210" s="1" t="s">
        <v>32</v>
      </c>
      <c r="D1210" s="1" t="s">
        <v>19</v>
      </c>
      <c r="E1210" s="1" t="s">
        <v>71</v>
      </c>
      <c r="F1210">
        <v>2012</v>
      </c>
      <c r="G1210">
        <v>2</v>
      </c>
      <c r="H1210" s="1" t="s">
        <v>59</v>
      </c>
      <c r="I1210">
        <v>20</v>
      </c>
      <c r="J1210">
        <v>2704</v>
      </c>
      <c r="K1210" s="1" t="s">
        <v>72</v>
      </c>
      <c r="L1210" s="1" t="s">
        <v>64</v>
      </c>
      <c r="M1210">
        <v>0</v>
      </c>
      <c r="N1210">
        <v>0</v>
      </c>
      <c r="O1210">
        <v>0</v>
      </c>
      <c r="P1210" s="2">
        <v>41883</v>
      </c>
      <c r="Q1210">
        <v>0</v>
      </c>
      <c r="R1210" s="1" t="s">
        <v>61</v>
      </c>
    </row>
    <row r="1211" spans="1:18" x14ac:dyDescent="0.25">
      <c r="A1211">
        <v>2014</v>
      </c>
      <c r="B1211">
        <v>10</v>
      </c>
      <c r="C1211" s="1" t="s">
        <v>33</v>
      </c>
      <c r="D1211" s="1" t="s">
        <v>19</v>
      </c>
      <c r="E1211" s="1" t="s">
        <v>71</v>
      </c>
      <c r="F1211">
        <v>2012</v>
      </c>
      <c r="G1211">
        <v>2</v>
      </c>
      <c r="H1211" s="1" t="s">
        <v>59</v>
      </c>
      <c r="I1211">
        <v>20</v>
      </c>
      <c r="J1211">
        <v>2704</v>
      </c>
      <c r="K1211" s="1" t="s">
        <v>72</v>
      </c>
      <c r="L1211" s="1" t="s">
        <v>64</v>
      </c>
      <c r="M1211">
        <v>0</v>
      </c>
      <c r="N1211">
        <v>0</v>
      </c>
      <c r="O1211">
        <v>0</v>
      </c>
      <c r="P1211" s="2">
        <v>41913</v>
      </c>
      <c r="Q1211">
        <v>0</v>
      </c>
      <c r="R1211" s="1" t="s">
        <v>61</v>
      </c>
    </row>
    <row r="1212" spans="1:18" x14ac:dyDescent="0.25">
      <c r="A1212">
        <v>2014</v>
      </c>
      <c r="B1212">
        <v>11</v>
      </c>
      <c r="C1212" s="1" t="s">
        <v>34</v>
      </c>
      <c r="D1212" s="1" t="s">
        <v>19</v>
      </c>
      <c r="E1212" s="1" t="s">
        <v>71</v>
      </c>
      <c r="F1212">
        <v>2012</v>
      </c>
      <c r="G1212">
        <v>2</v>
      </c>
      <c r="H1212" s="1" t="s">
        <v>59</v>
      </c>
      <c r="I1212">
        <v>20</v>
      </c>
      <c r="J1212">
        <v>2704</v>
      </c>
      <c r="K1212" s="1" t="s">
        <v>72</v>
      </c>
      <c r="L1212" s="1" t="s">
        <v>64</v>
      </c>
      <c r="M1212">
        <v>0</v>
      </c>
      <c r="N1212">
        <v>0</v>
      </c>
      <c r="O1212">
        <v>0</v>
      </c>
      <c r="P1212" s="2">
        <v>41944</v>
      </c>
      <c r="Q1212">
        <v>0</v>
      </c>
      <c r="R1212" s="1" t="s">
        <v>61</v>
      </c>
    </row>
    <row r="1213" spans="1:18" x14ac:dyDescent="0.25">
      <c r="A1213">
        <v>2014</v>
      </c>
      <c r="B1213">
        <v>12</v>
      </c>
      <c r="C1213" s="1" t="s">
        <v>35</v>
      </c>
      <c r="D1213" s="1" t="s">
        <v>19</v>
      </c>
      <c r="E1213" s="1" t="s">
        <v>71</v>
      </c>
      <c r="F1213">
        <v>2012</v>
      </c>
      <c r="G1213">
        <v>2</v>
      </c>
      <c r="H1213" s="1" t="s">
        <v>59</v>
      </c>
      <c r="I1213">
        <v>20</v>
      </c>
      <c r="J1213">
        <v>2704</v>
      </c>
      <c r="K1213" s="1" t="s">
        <v>72</v>
      </c>
      <c r="L1213" s="1" t="s">
        <v>64</v>
      </c>
      <c r="M1213">
        <v>0</v>
      </c>
      <c r="N1213">
        <v>0</v>
      </c>
      <c r="O1213">
        <v>0</v>
      </c>
      <c r="P1213" s="2">
        <v>41974</v>
      </c>
      <c r="Q1213">
        <v>0</v>
      </c>
      <c r="R1213" s="1" t="s">
        <v>61</v>
      </c>
    </row>
    <row r="1214" spans="1:18" x14ac:dyDescent="0.25">
      <c r="A1214">
        <v>2014</v>
      </c>
      <c r="B1214">
        <v>1</v>
      </c>
      <c r="C1214" s="1" t="s">
        <v>18</v>
      </c>
      <c r="D1214" s="1" t="s">
        <v>19</v>
      </c>
      <c r="E1214" s="1" t="s">
        <v>73</v>
      </c>
      <c r="F1214">
        <v>2012</v>
      </c>
      <c r="G1214">
        <v>2</v>
      </c>
      <c r="H1214" s="1" t="s">
        <v>59</v>
      </c>
      <c r="I1214">
        <v>14</v>
      </c>
      <c r="J1214">
        <v>1833</v>
      </c>
      <c r="K1214" s="1" t="s">
        <v>74</v>
      </c>
      <c r="L1214" s="1" t="s">
        <v>64</v>
      </c>
      <c r="M1214">
        <v>0</v>
      </c>
      <c r="N1214">
        <v>0</v>
      </c>
      <c r="O1214">
        <v>0</v>
      </c>
      <c r="P1214" s="2">
        <v>41640</v>
      </c>
      <c r="Q1214">
        <v>0</v>
      </c>
      <c r="R1214" s="1" t="s">
        <v>61</v>
      </c>
    </row>
    <row r="1215" spans="1:18" x14ac:dyDescent="0.25">
      <c r="A1215">
        <v>2014</v>
      </c>
      <c r="B1215">
        <v>2</v>
      </c>
      <c r="C1215" s="1" t="s">
        <v>25</v>
      </c>
      <c r="D1215" s="1" t="s">
        <v>19</v>
      </c>
      <c r="E1215" s="1" t="s">
        <v>73</v>
      </c>
      <c r="F1215">
        <v>2012</v>
      </c>
      <c r="G1215">
        <v>2</v>
      </c>
      <c r="H1215" s="1" t="s">
        <v>59</v>
      </c>
      <c r="I1215">
        <v>14</v>
      </c>
      <c r="J1215">
        <v>1833</v>
      </c>
      <c r="K1215" s="1" t="s">
        <v>74</v>
      </c>
      <c r="L1215" s="1" t="s">
        <v>64</v>
      </c>
      <c r="M1215">
        <v>0</v>
      </c>
      <c r="N1215">
        <v>0</v>
      </c>
      <c r="O1215">
        <v>0</v>
      </c>
      <c r="P1215" s="2">
        <v>41671</v>
      </c>
      <c r="Q1215">
        <v>0</v>
      </c>
      <c r="R1215" s="1" t="s">
        <v>61</v>
      </c>
    </row>
    <row r="1216" spans="1:18" x14ac:dyDescent="0.25">
      <c r="A1216">
        <v>2014</v>
      </c>
      <c r="B1216">
        <v>3</v>
      </c>
      <c r="C1216" s="1" t="s">
        <v>26</v>
      </c>
      <c r="D1216" s="1" t="s">
        <v>19</v>
      </c>
      <c r="E1216" s="1" t="s">
        <v>73</v>
      </c>
      <c r="F1216">
        <v>2012</v>
      </c>
      <c r="G1216">
        <v>2</v>
      </c>
      <c r="H1216" s="1" t="s">
        <v>59</v>
      </c>
      <c r="I1216">
        <v>14</v>
      </c>
      <c r="J1216">
        <v>1833</v>
      </c>
      <c r="K1216" s="1" t="s">
        <v>74</v>
      </c>
      <c r="L1216" s="1" t="s">
        <v>64</v>
      </c>
      <c r="M1216">
        <v>0</v>
      </c>
      <c r="N1216">
        <v>0</v>
      </c>
      <c r="O1216">
        <v>0</v>
      </c>
      <c r="P1216" s="2">
        <v>41699</v>
      </c>
      <c r="Q1216">
        <v>0</v>
      </c>
      <c r="R1216" s="1" t="s">
        <v>61</v>
      </c>
    </row>
    <row r="1217" spans="1:18" x14ac:dyDescent="0.25">
      <c r="A1217">
        <v>2014</v>
      </c>
      <c r="B1217">
        <v>4</v>
      </c>
      <c r="C1217" s="1" t="s">
        <v>27</v>
      </c>
      <c r="D1217" s="1" t="s">
        <v>19</v>
      </c>
      <c r="E1217" s="1" t="s">
        <v>73</v>
      </c>
      <c r="F1217">
        <v>2012</v>
      </c>
      <c r="G1217">
        <v>2</v>
      </c>
      <c r="H1217" s="1" t="s">
        <v>59</v>
      </c>
      <c r="I1217">
        <v>14</v>
      </c>
      <c r="J1217">
        <v>1833</v>
      </c>
      <c r="K1217" s="1" t="s">
        <v>74</v>
      </c>
      <c r="L1217" s="1" t="s">
        <v>64</v>
      </c>
      <c r="M1217">
        <v>0</v>
      </c>
      <c r="N1217">
        <v>0</v>
      </c>
      <c r="O1217">
        <v>0</v>
      </c>
      <c r="P1217" s="2">
        <v>41730</v>
      </c>
      <c r="Q1217">
        <v>0</v>
      </c>
      <c r="R1217" s="1" t="s">
        <v>61</v>
      </c>
    </row>
    <row r="1218" spans="1:18" x14ac:dyDescent="0.25">
      <c r="A1218">
        <v>2014</v>
      </c>
      <c r="B1218">
        <v>5</v>
      </c>
      <c r="C1218" s="1" t="s">
        <v>28</v>
      </c>
      <c r="D1218" s="1" t="s">
        <v>19</v>
      </c>
      <c r="E1218" s="1" t="s">
        <v>73</v>
      </c>
      <c r="F1218">
        <v>2012</v>
      </c>
      <c r="G1218">
        <v>2</v>
      </c>
      <c r="H1218" s="1" t="s">
        <v>59</v>
      </c>
      <c r="I1218">
        <v>14</v>
      </c>
      <c r="J1218">
        <v>1833</v>
      </c>
      <c r="K1218" s="1" t="s">
        <v>74</v>
      </c>
      <c r="L1218" s="1" t="s">
        <v>64</v>
      </c>
      <c r="M1218">
        <v>0</v>
      </c>
      <c r="N1218">
        <v>0</v>
      </c>
      <c r="O1218">
        <v>0</v>
      </c>
      <c r="P1218" s="2">
        <v>41760</v>
      </c>
      <c r="Q1218">
        <v>0</v>
      </c>
      <c r="R1218" s="1" t="s">
        <v>61</v>
      </c>
    </row>
    <row r="1219" spans="1:18" x14ac:dyDescent="0.25">
      <c r="A1219">
        <v>2014</v>
      </c>
      <c r="B1219">
        <v>6</v>
      </c>
      <c r="C1219" s="1" t="s">
        <v>29</v>
      </c>
      <c r="D1219" s="1" t="s">
        <v>19</v>
      </c>
      <c r="E1219" s="1" t="s">
        <v>73</v>
      </c>
      <c r="F1219">
        <v>2012</v>
      </c>
      <c r="G1219">
        <v>2</v>
      </c>
      <c r="H1219" s="1" t="s">
        <v>59</v>
      </c>
      <c r="I1219">
        <v>14</v>
      </c>
      <c r="J1219">
        <v>1833</v>
      </c>
      <c r="K1219" s="1" t="s">
        <v>74</v>
      </c>
      <c r="L1219" s="1" t="s">
        <v>64</v>
      </c>
      <c r="M1219">
        <v>0</v>
      </c>
      <c r="N1219">
        <v>0</v>
      </c>
      <c r="O1219">
        <v>0</v>
      </c>
      <c r="P1219" s="2">
        <v>41791</v>
      </c>
      <c r="Q1219">
        <v>0</v>
      </c>
      <c r="R1219" s="1" t="s">
        <v>61</v>
      </c>
    </row>
    <row r="1220" spans="1:18" x14ac:dyDescent="0.25">
      <c r="A1220">
        <v>2014</v>
      </c>
      <c r="B1220">
        <v>7</v>
      </c>
      <c r="C1220" s="1" t="s">
        <v>30</v>
      </c>
      <c r="D1220" s="1" t="s">
        <v>19</v>
      </c>
      <c r="E1220" s="1" t="s">
        <v>73</v>
      </c>
      <c r="F1220">
        <v>2012</v>
      </c>
      <c r="G1220">
        <v>2</v>
      </c>
      <c r="H1220" s="1" t="s">
        <v>59</v>
      </c>
      <c r="I1220">
        <v>14</v>
      </c>
      <c r="J1220">
        <v>1833</v>
      </c>
      <c r="K1220" s="1" t="s">
        <v>74</v>
      </c>
      <c r="L1220" s="1" t="s">
        <v>64</v>
      </c>
      <c r="M1220">
        <v>0</v>
      </c>
      <c r="N1220">
        <v>0</v>
      </c>
      <c r="O1220">
        <v>0</v>
      </c>
      <c r="P1220" s="2">
        <v>41821</v>
      </c>
      <c r="Q1220">
        <v>0</v>
      </c>
      <c r="R1220" s="1" t="s">
        <v>61</v>
      </c>
    </row>
    <row r="1221" spans="1:18" x14ac:dyDescent="0.25">
      <c r="A1221">
        <v>2014</v>
      </c>
      <c r="B1221">
        <v>8</v>
      </c>
      <c r="C1221" s="1" t="s">
        <v>31</v>
      </c>
      <c r="D1221" s="1" t="s">
        <v>19</v>
      </c>
      <c r="E1221" s="1" t="s">
        <v>73</v>
      </c>
      <c r="F1221">
        <v>2012</v>
      </c>
      <c r="G1221">
        <v>2</v>
      </c>
      <c r="H1221" s="1" t="s">
        <v>59</v>
      </c>
      <c r="I1221">
        <v>14</v>
      </c>
      <c r="J1221">
        <v>1833</v>
      </c>
      <c r="K1221" s="1" t="s">
        <v>74</v>
      </c>
      <c r="L1221" s="1" t="s">
        <v>64</v>
      </c>
      <c r="M1221">
        <v>0</v>
      </c>
      <c r="N1221">
        <v>0</v>
      </c>
      <c r="O1221">
        <v>0</v>
      </c>
      <c r="P1221" s="2">
        <v>41852</v>
      </c>
      <c r="Q1221">
        <v>0</v>
      </c>
      <c r="R1221" s="1" t="s">
        <v>61</v>
      </c>
    </row>
    <row r="1222" spans="1:18" x14ac:dyDescent="0.25">
      <c r="A1222">
        <v>2014</v>
      </c>
      <c r="B1222">
        <v>9</v>
      </c>
      <c r="C1222" s="1" t="s">
        <v>32</v>
      </c>
      <c r="D1222" s="1" t="s">
        <v>19</v>
      </c>
      <c r="E1222" s="1" t="s">
        <v>73</v>
      </c>
      <c r="F1222">
        <v>2012</v>
      </c>
      <c r="G1222">
        <v>2</v>
      </c>
      <c r="H1222" s="1" t="s">
        <v>59</v>
      </c>
      <c r="I1222">
        <v>14</v>
      </c>
      <c r="J1222">
        <v>1833</v>
      </c>
      <c r="K1222" s="1" t="s">
        <v>74</v>
      </c>
      <c r="L1222" s="1" t="s">
        <v>64</v>
      </c>
      <c r="M1222">
        <v>0</v>
      </c>
      <c r="N1222">
        <v>0</v>
      </c>
      <c r="O1222">
        <v>0</v>
      </c>
      <c r="P1222" s="2">
        <v>41883</v>
      </c>
      <c r="Q1222">
        <v>0</v>
      </c>
      <c r="R1222" s="1" t="s">
        <v>61</v>
      </c>
    </row>
    <row r="1223" spans="1:18" x14ac:dyDescent="0.25">
      <c r="A1223">
        <v>2014</v>
      </c>
      <c r="B1223">
        <v>10</v>
      </c>
      <c r="C1223" s="1" t="s">
        <v>33</v>
      </c>
      <c r="D1223" s="1" t="s">
        <v>19</v>
      </c>
      <c r="E1223" s="1" t="s">
        <v>73</v>
      </c>
      <c r="F1223">
        <v>2012</v>
      </c>
      <c r="G1223">
        <v>2</v>
      </c>
      <c r="H1223" s="1" t="s">
        <v>59</v>
      </c>
      <c r="I1223">
        <v>14</v>
      </c>
      <c r="J1223">
        <v>1833</v>
      </c>
      <c r="K1223" s="1" t="s">
        <v>74</v>
      </c>
      <c r="L1223" s="1" t="s">
        <v>64</v>
      </c>
      <c r="M1223">
        <v>0</v>
      </c>
      <c r="N1223">
        <v>0</v>
      </c>
      <c r="O1223">
        <v>0</v>
      </c>
      <c r="P1223" s="2">
        <v>41913</v>
      </c>
      <c r="Q1223">
        <v>0</v>
      </c>
      <c r="R1223" s="1" t="s">
        <v>61</v>
      </c>
    </row>
    <row r="1224" spans="1:18" x14ac:dyDescent="0.25">
      <c r="A1224">
        <v>2014</v>
      </c>
      <c r="B1224">
        <v>11</v>
      </c>
      <c r="C1224" s="1" t="s">
        <v>34</v>
      </c>
      <c r="D1224" s="1" t="s">
        <v>19</v>
      </c>
      <c r="E1224" s="1" t="s">
        <v>73</v>
      </c>
      <c r="F1224">
        <v>2012</v>
      </c>
      <c r="G1224">
        <v>2</v>
      </c>
      <c r="H1224" s="1" t="s">
        <v>59</v>
      </c>
      <c r="I1224">
        <v>14</v>
      </c>
      <c r="J1224">
        <v>1833</v>
      </c>
      <c r="K1224" s="1" t="s">
        <v>74</v>
      </c>
      <c r="L1224" s="1" t="s">
        <v>64</v>
      </c>
      <c r="M1224">
        <v>0</v>
      </c>
      <c r="N1224">
        <v>0</v>
      </c>
      <c r="O1224">
        <v>0</v>
      </c>
      <c r="P1224" s="2">
        <v>41944</v>
      </c>
      <c r="Q1224">
        <v>0</v>
      </c>
      <c r="R1224" s="1" t="s">
        <v>61</v>
      </c>
    </row>
    <row r="1225" spans="1:18" x14ac:dyDescent="0.25">
      <c r="A1225">
        <v>2014</v>
      </c>
      <c r="B1225">
        <v>12</v>
      </c>
      <c r="C1225" s="1" t="s">
        <v>35</v>
      </c>
      <c r="D1225" s="1" t="s">
        <v>19</v>
      </c>
      <c r="E1225" s="1" t="s">
        <v>73</v>
      </c>
      <c r="F1225">
        <v>2012</v>
      </c>
      <c r="G1225">
        <v>2</v>
      </c>
      <c r="H1225" s="1" t="s">
        <v>59</v>
      </c>
      <c r="I1225">
        <v>14</v>
      </c>
      <c r="J1225">
        <v>1833</v>
      </c>
      <c r="K1225" s="1" t="s">
        <v>74</v>
      </c>
      <c r="L1225" s="1" t="s">
        <v>64</v>
      </c>
      <c r="M1225">
        <v>0</v>
      </c>
      <c r="N1225">
        <v>0</v>
      </c>
      <c r="O1225">
        <v>0</v>
      </c>
      <c r="P1225" s="2">
        <v>41974</v>
      </c>
      <c r="Q1225">
        <v>0</v>
      </c>
      <c r="R1225" s="1" t="s">
        <v>61</v>
      </c>
    </row>
    <row r="1226" spans="1:18" x14ac:dyDescent="0.25">
      <c r="A1226">
        <v>2014</v>
      </c>
      <c r="B1226">
        <v>1</v>
      </c>
      <c r="C1226" s="1" t="s">
        <v>18</v>
      </c>
      <c r="D1226" s="1" t="s">
        <v>19</v>
      </c>
      <c r="E1226" s="1" t="s">
        <v>75</v>
      </c>
      <c r="F1226">
        <v>2012</v>
      </c>
      <c r="G1226">
        <v>2</v>
      </c>
      <c r="H1226" s="1" t="s">
        <v>59</v>
      </c>
      <c r="I1226">
        <v>20</v>
      </c>
      <c r="J1226">
        <v>1990</v>
      </c>
      <c r="K1226" s="1" t="s">
        <v>76</v>
      </c>
      <c r="L1226" s="1" t="s">
        <v>64</v>
      </c>
      <c r="M1226">
        <v>0</v>
      </c>
      <c r="N1226">
        <v>0</v>
      </c>
      <c r="O1226">
        <v>0</v>
      </c>
      <c r="P1226" s="2">
        <v>41640</v>
      </c>
      <c r="Q1226">
        <v>0</v>
      </c>
      <c r="R1226" s="1" t="s">
        <v>61</v>
      </c>
    </row>
    <row r="1227" spans="1:18" x14ac:dyDescent="0.25">
      <c r="A1227">
        <v>2014</v>
      </c>
      <c r="B1227">
        <v>2</v>
      </c>
      <c r="C1227" s="1" t="s">
        <v>25</v>
      </c>
      <c r="D1227" s="1" t="s">
        <v>19</v>
      </c>
      <c r="E1227" s="1" t="s">
        <v>75</v>
      </c>
      <c r="F1227">
        <v>2012</v>
      </c>
      <c r="G1227">
        <v>2</v>
      </c>
      <c r="H1227" s="1" t="s">
        <v>59</v>
      </c>
      <c r="I1227">
        <v>20</v>
      </c>
      <c r="J1227">
        <v>1990</v>
      </c>
      <c r="K1227" s="1" t="s">
        <v>76</v>
      </c>
      <c r="L1227" s="1" t="s">
        <v>64</v>
      </c>
      <c r="M1227">
        <v>0</v>
      </c>
      <c r="N1227">
        <v>0</v>
      </c>
      <c r="O1227">
        <v>0</v>
      </c>
      <c r="P1227" s="2">
        <v>41671</v>
      </c>
      <c r="Q1227">
        <v>0</v>
      </c>
      <c r="R1227" s="1" t="s">
        <v>61</v>
      </c>
    </row>
    <row r="1228" spans="1:18" x14ac:dyDescent="0.25">
      <c r="A1228">
        <v>2014</v>
      </c>
      <c r="B1228">
        <v>3</v>
      </c>
      <c r="C1228" s="1" t="s">
        <v>26</v>
      </c>
      <c r="D1228" s="1" t="s">
        <v>19</v>
      </c>
      <c r="E1228" s="1" t="s">
        <v>75</v>
      </c>
      <c r="F1228">
        <v>2012</v>
      </c>
      <c r="G1228">
        <v>2</v>
      </c>
      <c r="H1228" s="1" t="s">
        <v>59</v>
      </c>
      <c r="I1228">
        <v>20</v>
      </c>
      <c r="J1228">
        <v>1990</v>
      </c>
      <c r="K1228" s="1" t="s">
        <v>76</v>
      </c>
      <c r="L1228" s="1" t="s">
        <v>64</v>
      </c>
      <c r="M1228">
        <v>0</v>
      </c>
      <c r="N1228">
        <v>0</v>
      </c>
      <c r="O1228">
        <v>0</v>
      </c>
      <c r="P1228" s="2">
        <v>41699</v>
      </c>
      <c r="Q1228">
        <v>0</v>
      </c>
      <c r="R1228" s="1" t="s">
        <v>61</v>
      </c>
    </row>
    <row r="1229" spans="1:18" x14ac:dyDescent="0.25">
      <c r="A1229">
        <v>2014</v>
      </c>
      <c r="B1229">
        <v>4</v>
      </c>
      <c r="C1229" s="1" t="s">
        <v>27</v>
      </c>
      <c r="D1229" s="1" t="s">
        <v>19</v>
      </c>
      <c r="E1229" s="1" t="s">
        <v>75</v>
      </c>
      <c r="F1229">
        <v>2012</v>
      </c>
      <c r="G1229">
        <v>2</v>
      </c>
      <c r="H1229" s="1" t="s">
        <v>59</v>
      </c>
      <c r="I1229">
        <v>20</v>
      </c>
      <c r="J1229">
        <v>1990</v>
      </c>
      <c r="K1229" s="1" t="s">
        <v>76</v>
      </c>
      <c r="L1229" s="1" t="s">
        <v>64</v>
      </c>
      <c r="M1229">
        <v>0</v>
      </c>
      <c r="N1229">
        <v>0</v>
      </c>
      <c r="O1229">
        <v>0</v>
      </c>
      <c r="P1229" s="2">
        <v>41730</v>
      </c>
      <c r="Q1229">
        <v>0</v>
      </c>
      <c r="R1229" s="1" t="s">
        <v>61</v>
      </c>
    </row>
    <row r="1230" spans="1:18" x14ac:dyDescent="0.25">
      <c r="A1230">
        <v>2014</v>
      </c>
      <c r="B1230">
        <v>5</v>
      </c>
      <c r="C1230" s="1" t="s">
        <v>28</v>
      </c>
      <c r="D1230" s="1" t="s">
        <v>19</v>
      </c>
      <c r="E1230" s="1" t="s">
        <v>75</v>
      </c>
      <c r="F1230">
        <v>2012</v>
      </c>
      <c r="G1230">
        <v>2</v>
      </c>
      <c r="H1230" s="1" t="s">
        <v>59</v>
      </c>
      <c r="I1230">
        <v>20</v>
      </c>
      <c r="J1230">
        <v>1990</v>
      </c>
      <c r="K1230" s="1" t="s">
        <v>76</v>
      </c>
      <c r="L1230" s="1" t="s">
        <v>64</v>
      </c>
      <c r="M1230">
        <v>0</v>
      </c>
      <c r="N1230">
        <v>0</v>
      </c>
      <c r="O1230">
        <v>0</v>
      </c>
      <c r="P1230" s="2">
        <v>41760</v>
      </c>
      <c r="Q1230">
        <v>0</v>
      </c>
      <c r="R1230" s="1" t="s">
        <v>61</v>
      </c>
    </row>
    <row r="1231" spans="1:18" x14ac:dyDescent="0.25">
      <c r="A1231">
        <v>2014</v>
      </c>
      <c r="B1231">
        <v>6</v>
      </c>
      <c r="C1231" s="1" t="s">
        <v>29</v>
      </c>
      <c r="D1231" s="1" t="s">
        <v>19</v>
      </c>
      <c r="E1231" s="1" t="s">
        <v>75</v>
      </c>
      <c r="F1231">
        <v>2012</v>
      </c>
      <c r="G1231">
        <v>2</v>
      </c>
      <c r="H1231" s="1" t="s">
        <v>59</v>
      </c>
      <c r="I1231">
        <v>20</v>
      </c>
      <c r="J1231">
        <v>1990</v>
      </c>
      <c r="K1231" s="1" t="s">
        <v>76</v>
      </c>
      <c r="L1231" s="1" t="s">
        <v>64</v>
      </c>
      <c r="M1231">
        <v>0</v>
      </c>
      <c r="N1231">
        <v>0</v>
      </c>
      <c r="O1231">
        <v>0</v>
      </c>
      <c r="P1231" s="2">
        <v>41791</v>
      </c>
      <c r="Q1231">
        <v>0</v>
      </c>
      <c r="R1231" s="1" t="s">
        <v>61</v>
      </c>
    </row>
    <row r="1232" spans="1:18" x14ac:dyDescent="0.25">
      <c r="A1232">
        <v>2014</v>
      </c>
      <c r="B1232">
        <v>7</v>
      </c>
      <c r="C1232" s="1" t="s">
        <v>30</v>
      </c>
      <c r="D1232" s="1" t="s">
        <v>19</v>
      </c>
      <c r="E1232" s="1" t="s">
        <v>75</v>
      </c>
      <c r="F1232">
        <v>2012</v>
      </c>
      <c r="G1232">
        <v>2</v>
      </c>
      <c r="H1232" s="1" t="s">
        <v>59</v>
      </c>
      <c r="I1232">
        <v>20</v>
      </c>
      <c r="J1232">
        <v>1990</v>
      </c>
      <c r="K1232" s="1" t="s">
        <v>76</v>
      </c>
      <c r="L1232" s="1" t="s">
        <v>64</v>
      </c>
      <c r="M1232">
        <v>0</v>
      </c>
      <c r="N1232">
        <v>0</v>
      </c>
      <c r="O1232">
        <v>0</v>
      </c>
      <c r="P1232" s="2">
        <v>41821</v>
      </c>
      <c r="Q1232">
        <v>0</v>
      </c>
      <c r="R1232" s="1" t="s">
        <v>61</v>
      </c>
    </row>
    <row r="1233" spans="1:18" x14ac:dyDescent="0.25">
      <c r="A1233">
        <v>2014</v>
      </c>
      <c r="B1233">
        <v>8</v>
      </c>
      <c r="C1233" s="1" t="s">
        <v>31</v>
      </c>
      <c r="D1233" s="1" t="s">
        <v>19</v>
      </c>
      <c r="E1233" s="1" t="s">
        <v>75</v>
      </c>
      <c r="F1233">
        <v>2012</v>
      </c>
      <c r="G1233">
        <v>2</v>
      </c>
      <c r="H1233" s="1" t="s">
        <v>59</v>
      </c>
      <c r="I1233">
        <v>20</v>
      </c>
      <c r="J1233">
        <v>1990</v>
      </c>
      <c r="K1233" s="1" t="s">
        <v>76</v>
      </c>
      <c r="L1233" s="1" t="s">
        <v>64</v>
      </c>
      <c r="M1233">
        <v>0</v>
      </c>
      <c r="N1233">
        <v>0</v>
      </c>
      <c r="O1233">
        <v>0</v>
      </c>
      <c r="P1233" s="2">
        <v>41852</v>
      </c>
      <c r="Q1233">
        <v>0</v>
      </c>
      <c r="R1233" s="1" t="s">
        <v>61</v>
      </c>
    </row>
    <row r="1234" spans="1:18" x14ac:dyDescent="0.25">
      <c r="A1234">
        <v>2014</v>
      </c>
      <c r="B1234">
        <v>9</v>
      </c>
      <c r="C1234" s="1" t="s">
        <v>32</v>
      </c>
      <c r="D1234" s="1" t="s">
        <v>19</v>
      </c>
      <c r="E1234" s="1" t="s">
        <v>75</v>
      </c>
      <c r="F1234">
        <v>2012</v>
      </c>
      <c r="G1234">
        <v>2</v>
      </c>
      <c r="H1234" s="1" t="s">
        <v>59</v>
      </c>
      <c r="I1234">
        <v>20</v>
      </c>
      <c r="J1234">
        <v>1990</v>
      </c>
      <c r="K1234" s="1" t="s">
        <v>76</v>
      </c>
      <c r="L1234" s="1" t="s">
        <v>64</v>
      </c>
      <c r="M1234">
        <v>0</v>
      </c>
      <c r="N1234">
        <v>0</v>
      </c>
      <c r="O1234">
        <v>0</v>
      </c>
      <c r="P1234" s="2">
        <v>41883</v>
      </c>
      <c r="Q1234">
        <v>0</v>
      </c>
      <c r="R1234" s="1" t="s">
        <v>61</v>
      </c>
    </row>
    <row r="1235" spans="1:18" x14ac:dyDescent="0.25">
      <c r="A1235">
        <v>2014</v>
      </c>
      <c r="B1235">
        <v>10</v>
      </c>
      <c r="C1235" s="1" t="s">
        <v>33</v>
      </c>
      <c r="D1235" s="1" t="s">
        <v>19</v>
      </c>
      <c r="E1235" s="1" t="s">
        <v>75</v>
      </c>
      <c r="F1235">
        <v>2012</v>
      </c>
      <c r="G1235">
        <v>2</v>
      </c>
      <c r="H1235" s="1" t="s">
        <v>59</v>
      </c>
      <c r="I1235">
        <v>20</v>
      </c>
      <c r="J1235">
        <v>1990</v>
      </c>
      <c r="K1235" s="1" t="s">
        <v>76</v>
      </c>
      <c r="L1235" s="1" t="s">
        <v>64</v>
      </c>
      <c r="M1235">
        <v>0</v>
      </c>
      <c r="N1235">
        <v>0</v>
      </c>
      <c r="O1235">
        <v>0</v>
      </c>
      <c r="P1235" s="2">
        <v>41913</v>
      </c>
      <c r="Q1235">
        <v>0</v>
      </c>
      <c r="R1235" s="1" t="s">
        <v>61</v>
      </c>
    </row>
    <row r="1236" spans="1:18" x14ac:dyDescent="0.25">
      <c r="A1236">
        <v>2014</v>
      </c>
      <c r="B1236">
        <v>11</v>
      </c>
      <c r="C1236" s="1" t="s">
        <v>34</v>
      </c>
      <c r="D1236" s="1" t="s">
        <v>19</v>
      </c>
      <c r="E1236" s="1" t="s">
        <v>75</v>
      </c>
      <c r="F1236">
        <v>2012</v>
      </c>
      <c r="G1236">
        <v>2</v>
      </c>
      <c r="H1236" s="1" t="s">
        <v>59</v>
      </c>
      <c r="I1236">
        <v>20</v>
      </c>
      <c r="J1236">
        <v>1990</v>
      </c>
      <c r="K1236" s="1" t="s">
        <v>76</v>
      </c>
      <c r="L1236" s="1" t="s">
        <v>64</v>
      </c>
      <c r="M1236">
        <v>0</v>
      </c>
      <c r="N1236">
        <v>0</v>
      </c>
      <c r="O1236">
        <v>0</v>
      </c>
      <c r="P1236" s="2">
        <v>41944</v>
      </c>
      <c r="Q1236">
        <v>0</v>
      </c>
      <c r="R1236" s="1" t="s">
        <v>61</v>
      </c>
    </row>
    <row r="1237" spans="1:18" x14ac:dyDescent="0.25">
      <c r="A1237">
        <v>2014</v>
      </c>
      <c r="B1237">
        <v>12</v>
      </c>
      <c r="C1237" s="1" t="s">
        <v>35</v>
      </c>
      <c r="D1237" s="1" t="s">
        <v>19</v>
      </c>
      <c r="E1237" s="1" t="s">
        <v>75</v>
      </c>
      <c r="F1237">
        <v>2012</v>
      </c>
      <c r="G1237">
        <v>2</v>
      </c>
      <c r="H1237" s="1" t="s">
        <v>59</v>
      </c>
      <c r="I1237">
        <v>20</v>
      </c>
      <c r="J1237">
        <v>1990</v>
      </c>
      <c r="K1237" s="1" t="s">
        <v>76</v>
      </c>
      <c r="L1237" s="1" t="s">
        <v>64</v>
      </c>
      <c r="M1237">
        <v>0</v>
      </c>
      <c r="N1237">
        <v>0</v>
      </c>
      <c r="O1237">
        <v>0</v>
      </c>
      <c r="P1237" s="2">
        <v>41974</v>
      </c>
      <c r="Q1237">
        <v>0</v>
      </c>
      <c r="R1237" s="1" t="s">
        <v>61</v>
      </c>
    </row>
    <row r="1238" spans="1:18" x14ac:dyDescent="0.25">
      <c r="A1238">
        <v>2014</v>
      </c>
      <c r="B1238">
        <v>1</v>
      </c>
      <c r="C1238" s="1" t="s">
        <v>18</v>
      </c>
      <c r="D1238" s="1" t="s">
        <v>19</v>
      </c>
      <c r="E1238" s="1" t="s">
        <v>77</v>
      </c>
      <c r="F1238">
        <v>2012</v>
      </c>
      <c r="G1238">
        <v>2</v>
      </c>
      <c r="H1238" s="1" t="s">
        <v>59</v>
      </c>
      <c r="I1238">
        <v>22</v>
      </c>
      <c r="J1238">
        <v>2606</v>
      </c>
      <c r="K1238" s="1" t="s">
        <v>78</v>
      </c>
      <c r="L1238" s="1" t="s">
        <v>64</v>
      </c>
      <c r="M1238">
        <v>0</v>
      </c>
      <c r="N1238">
        <v>0</v>
      </c>
      <c r="O1238">
        <v>0</v>
      </c>
      <c r="P1238" s="2">
        <v>41640</v>
      </c>
      <c r="Q1238">
        <v>0</v>
      </c>
      <c r="R1238" s="1" t="s">
        <v>61</v>
      </c>
    </row>
    <row r="1239" spans="1:18" x14ac:dyDescent="0.25">
      <c r="A1239">
        <v>2014</v>
      </c>
      <c r="B1239">
        <v>2</v>
      </c>
      <c r="C1239" s="1" t="s">
        <v>25</v>
      </c>
      <c r="D1239" s="1" t="s">
        <v>19</v>
      </c>
      <c r="E1239" s="1" t="s">
        <v>77</v>
      </c>
      <c r="F1239">
        <v>2012</v>
      </c>
      <c r="G1239">
        <v>2</v>
      </c>
      <c r="H1239" s="1" t="s">
        <v>59</v>
      </c>
      <c r="I1239">
        <v>22</v>
      </c>
      <c r="J1239">
        <v>2606</v>
      </c>
      <c r="K1239" s="1" t="s">
        <v>78</v>
      </c>
      <c r="L1239" s="1" t="s">
        <v>64</v>
      </c>
      <c r="M1239">
        <v>0</v>
      </c>
      <c r="N1239">
        <v>0</v>
      </c>
      <c r="O1239">
        <v>0</v>
      </c>
      <c r="P1239" s="2">
        <v>41671</v>
      </c>
      <c r="Q1239">
        <v>0</v>
      </c>
      <c r="R1239" s="1" t="s">
        <v>61</v>
      </c>
    </row>
    <row r="1240" spans="1:18" x14ac:dyDescent="0.25">
      <c r="A1240">
        <v>2014</v>
      </c>
      <c r="B1240">
        <v>3</v>
      </c>
      <c r="C1240" s="1" t="s">
        <v>26</v>
      </c>
      <c r="D1240" s="1" t="s">
        <v>19</v>
      </c>
      <c r="E1240" s="1" t="s">
        <v>77</v>
      </c>
      <c r="F1240">
        <v>2012</v>
      </c>
      <c r="G1240">
        <v>2</v>
      </c>
      <c r="H1240" s="1" t="s">
        <v>59</v>
      </c>
      <c r="I1240">
        <v>22</v>
      </c>
      <c r="J1240">
        <v>2606</v>
      </c>
      <c r="K1240" s="1" t="s">
        <v>78</v>
      </c>
      <c r="L1240" s="1" t="s">
        <v>64</v>
      </c>
      <c r="M1240">
        <v>0</v>
      </c>
      <c r="N1240">
        <v>0</v>
      </c>
      <c r="O1240">
        <v>0</v>
      </c>
      <c r="P1240" s="2">
        <v>41699</v>
      </c>
      <c r="Q1240">
        <v>0</v>
      </c>
      <c r="R1240" s="1" t="s">
        <v>61</v>
      </c>
    </row>
    <row r="1241" spans="1:18" x14ac:dyDescent="0.25">
      <c r="A1241">
        <v>2014</v>
      </c>
      <c r="B1241">
        <v>4</v>
      </c>
      <c r="C1241" s="1" t="s">
        <v>27</v>
      </c>
      <c r="D1241" s="1" t="s">
        <v>19</v>
      </c>
      <c r="E1241" s="1" t="s">
        <v>77</v>
      </c>
      <c r="F1241">
        <v>2012</v>
      </c>
      <c r="G1241">
        <v>2</v>
      </c>
      <c r="H1241" s="1" t="s">
        <v>59</v>
      </c>
      <c r="I1241">
        <v>22</v>
      </c>
      <c r="J1241">
        <v>2606</v>
      </c>
      <c r="K1241" s="1" t="s">
        <v>78</v>
      </c>
      <c r="L1241" s="1" t="s">
        <v>64</v>
      </c>
      <c r="M1241">
        <v>0</v>
      </c>
      <c r="N1241">
        <v>0</v>
      </c>
      <c r="O1241">
        <v>0</v>
      </c>
      <c r="P1241" s="2">
        <v>41730</v>
      </c>
      <c r="Q1241">
        <v>0</v>
      </c>
      <c r="R1241" s="1" t="s">
        <v>61</v>
      </c>
    </row>
    <row r="1242" spans="1:18" x14ac:dyDescent="0.25">
      <c r="A1242">
        <v>2014</v>
      </c>
      <c r="B1242">
        <v>5</v>
      </c>
      <c r="C1242" s="1" t="s">
        <v>28</v>
      </c>
      <c r="D1242" s="1" t="s">
        <v>19</v>
      </c>
      <c r="E1242" s="1" t="s">
        <v>77</v>
      </c>
      <c r="F1242">
        <v>2012</v>
      </c>
      <c r="G1242">
        <v>2</v>
      </c>
      <c r="H1242" s="1" t="s">
        <v>59</v>
      </c>
      <c r="I1242">
        <v>22</v>
      </c>
      <c r="J1242">
        <v>2606</v>
      </c>
      <c r="K1242" s="1" t="s">
        <v>78</v>
      </c>
      <c r="L1242" s="1" t="s">
        <v>64</v>
      </c>
      <c r="M1242">
        <v>0</v>
      </c>
      <c r="N1242">
        <v>0</v>
      </c>
      <c r="O1242">
        <v>0</v>
      </c>
      <c r="P1242" s="2">
        <v>41760</v>
      </c>
      <c r="Q1242">
        <v>0</v>
      </c>
      <c r="R1242" s="1" t="s">
        <v>61</v>
      </c>
    </row>
    <row r="1243" spans="1:18" x14ac:dyDescent="0.25">
      <c r="A1243">
        <v>2014</v>
      </c>
      <c r="B1243">
        <v>6</v>
      </c>
      <c r="C1243" s="1" t="s">
        <v>29</v>
      </c>
      <c r="D1243" s="1" t="s">
        <v>19</v>
      </c>
      <c r="E1243" s="1" t="s">
        <v>77</v>
      </c>
      <c r="F1243">
        <v>2012</v>
      </c>
      <c r="G1243">
        <v>2</v>
      </c>
      <c r="H1243" s="1" t="s">
        <v>59</v>
      </c>
      <c r="I1243">
        <v>22</v>
      </c>
      <c r="J1243">
        <v>2606</v>
      </c>
      <c r="K1243" s="1" t="s">
        <v>78</v>
      </c>
      <c r="L1243" s="1" t="s">
        <v>64</v>
      </c>
      <c r="M1243">
        <v>0</v>
      </c>
      <c r="N1243">
        <v>0</v>
      </c>
      <c r="O1243">
        <v>0</v>
      </c>
      <c r="P1243" s="2">
        <v>41791</v>
      </c>
      <c r="Q1243">
        <v>0</v>
      </c>
      <c r="R1243" s="1" t="s">
        <v>61</v>
      </c>
    </row>
    <row r="1244" spans="1:18" x14ac:dyDescent="0.25">
      <c r="A1244">
        <v>2014</v>
      </c>
      <c r="B1244">
        <v>7</v>
      </c>
      <c r="C1244" s="1" t="s">
        <v>30</v>
      </c>
      <c r="D1244" s="1" t="s">
        <v>19</v>
      </c>
      <c r="E1244" s="1" t="s">
        <v>77</v>
      </c>
      <c r="F1244">
        <v>2012</v>
      </c>
      <c r="G1244">
        <v>2</v>
      </c>
      <c r="H1244" s="1" t="s">
        <v>59</v>
      </c>
      <c r="I1244">
        <v>22</v>
      </c>
      <c r="J1244">
        <v>2606</v>
      </c>
      <c r="K1244" s="1" t="s">
        <v>78</v>
      </c>
      <c r="L1244" s="1" t="s">
        <v>64</v>
      </c>
      <c r="M1244">
        <v>0</v>
      </c>
      <c r="N1244">
        <v>0</v>
      </c>
      <c r="O1244">
        <v>0</v>
      </c>
      <c r="P1244" s="2">
        <v>41821</v>
      </c>
      <c r="Q1244">
        <v>0</v>
      </c>
      <c r="R1244" s="1" t="s">
        <v>61</v>
      </c>
    </row>
    <row r="1245" spans="1:18" x14ac:dyDescent="0.25">
      <c r="A1245">
        <v>2014</v>
      </c>
      <c r="B1245">
        <v>8</v>
      </c>
      <c r="C1245" s="1" t="s">
        <v>31</v>
      </c>
      <c r="D1245" s="1" t="s">
        <v>19</v>
      </c>
      <c r="E1245" s="1" t="s">
        <v>77</v>
      </c>
      <c r="F1245">
        <v>2012</v>
      </c>
      <c r="G1245">
        <v>2</v>
      </c>
      <c r="H1245" s="1" t="s">
        <v>59</v>
      </c>
      <c r="I1245">
        <v>22</v>
      </c>
      <c r="J1245">
        <v>2606</v>
      </c>
      <c r="K1245" s="1" t="s">
        <v>78</v>
      </c>
      <c r="L1245" s="1" t="s">
        <v>64</v>
      </c>
      <c r="M1245">
        <v>0</v>
      </c>
      <c r="N1245">
        <v>0</v>
      </c>
      <c r="O1245">
        <v>0</v>
      </c>
      <c r="P1245" s="2">
        <v>41852</v>
      </c>
      <c r="Q1245">
        <v>0</v>
      </c>
      <c r="R1245" s="1" t="s">
        <v>61</v>
      </c>
    </row>
    <row r="1246" spans="1:18" x14ac:dyDescent="0.25">
      <c r="A1246">
        <v>2014</v>
      </c>
      <c r="B1246">
        <v>9</v>
      </c>
      <c r="C1246" s="1" t="s">
        <v>32</v>
      </c>
      <c r="D1246" s="1" t="s">
        <v>19</v>
      </c>
      <c r="E1246" s="1" t="s">
        <v>77</v>
      </c>
      <c r="F1246">
        <v>2012</v>
      </c>
      <c r="G1246">
        <v>2</v>
      </c>
      <c r="H1246" s="1" t="s">
        <v>59</v>
      </c>
      <c r="I1246">
        <v>22</v>
      </c>
      <c r="J1246">
        <v>2606</v>
      </c>
      <c r="K1246" s="1" t="s">
        <v>78</v>
      </c>
      <c r="L1246" s="1" t="s">
        <v>64</v>
      </c>
      <c r="M1246">
        <v>0</v>
      </c>
      <c r="N1246">
        <v>0</v>
      </c>
      <c r="O1246">
        <v>0</v>
      </c>
      <c r="P1246" s="2">
        <v>41883</v>
      </c>
      <c r="Q1246">
        <v>0</v>
      </c>
      <c r="R1246" s="1" t="s">
        <v>61</v>
      </c>
    </row>
    <row r="1247" spans="1:18" x14ac:dyDescent="0.25">
      <c r="A1247">
        <v>2014</v>
      </c>
      <c r="B1247">
        <v>10</v>
      </c>
      <c r="C1247" s="1" t="s">
        <v>33</v>
      </c>
      <c r="D1247" s="1" t="s">
        <v>19</v>
      </c>
      <c r="E1247" s="1" t="s">
        <v>77</v>
      </c>
      <c r="F1247">
        <v>2012</v>
      </c>
      <c r="G1247">
        <v>2</v>
      </c>
      <c r="H1247" s="1" t="s">
        <v>59</v>
      </c>
      <c r="I1247">
        <v>22</v>
      </c>
      <c r="J1247">
        <v>2606</v>
      </c>
      <c r="K1247" s="1" t="s">
        <v>78</v>
      </c>
      <c r="L1247" s="1" t="s">
        <v>64</v>
      </c>
      <c r="M1247">
        <v>0</v>
      </c>
      <c r="N1247">
        <v>0</v>
      </c>
      <c r="O1247">
        <v>0</v>
      </c>
      <c r="P1247" s="2">
        <v>41913</v>
      </c>
      <c r="Q1247">
        <v>0</v>
      </c>
      <c r="R1247" s="1" t="s">
        <v>61</v>
      </c>
    </row>
    <row r="1248" spans="1:18" x14ac:dyDescent="0.25">
      <c r="A1248">
        <v>2014</v>
      </c>
      <c r="B1248">
        <v>11</v>
      </c>
      <c r="C1248" s="1" t="s">
        <v>34</v>
      </c>
      <c r="D1248" s="1" t="s">
        <v>19</v>
      </c>
      <c r="E1248" s="1" t="s">
        <v>77</v>
      </c>
      <c r="F1248">
        <v>2012</v>
      </c>
      <c r="G1248">
        <v>2</v>
      </c>
      <c r="H1248" s="1" t="s">
        <v>59</v>
      </c>
      <c r="I1248">
        <v>22</v>
      </c>
      <c r="J1248">
        <v>2606</v>
      </c>
      <c r="K1248" s="1" t="s">
        <v>78</v>
      </c>
      <c r="L1248" s="1" t="s">
        <v>64</v>
      </c>
      <c r="M1248">
        <v>0</v>
      </c>
      <c r="N1248">
        <v>0</v>
      </c>
      <c r="O1248">
        <v>0</v>
      </c>
      <c r="P1248" s="2">
        <v>41944</v>
      </c>
      <c r="Q1248">
        <v>0</v>
      </c>
      <c r="R1248" s="1" t="s">
        <v>61</v>
      </c>
    </row>
    <row r="1249" spans="1:18" x14ac:dyDescent="0.25">
      <c r="A1249">
        <v>2014</v>
      </c>
      <c r="B1249">
        <v>12</v>
      </c>
      <c r="C1249" s="1" t="s">
        <v>35</v>
      </c>
      <c r="D1249" s="1" t="s">
        <v>19</v>
      </c>
      <c r="E1249" s="1" t="s">
        <v>77</v>
      </c>
      <c r="F1249">
        <v>2012</v>
      </c>
      <c r="G1249">
        <v>2</v>
      </c>
      <c r="H1249" s="1" t="s">
        <v>59</v>
      </c>
      <c r="I1249">
        <v>22</v>
      </c>
      <c r="J1249">
        <v>2606</v>
      </c>
      <c r="K1249" s="1" t="s">
        <v>78</v>
      </c>
      <c r="L1249" s="1" t="s">
        <v>64</v>
      </c>
      <c r="M1249">
        <v>0</v>
      </c>
      <c r="N1249">
        <v>0</v>
      </c>
      <c r="O1249">
        <v>0</v>
      </c>
      <c r="P1249" s="2">
        <v>41974</v>
      </c>
      <c r="Q1249">
        <v>0</v>
      </c>
      <c r="R1249" s="1" t="s">
        <v>61</v>
      </c>
    </row>
    <row r="1250" spans="1:18" x14ac:dyDescent="0.25">
      <c r="A1250">
        <v>2014</v>
      </c>
      <c r="B1250">
        <v>1</v>
      </c>
      <c r="C1250" s="1" t="s">
        <v>18</v>
      </c>
      <c r="D1250" s="1" t="s">
        <v>19</v>
      </c>
      <c r="E1250" s="1" t="s">
        <v>79</v>
      </c>
      <c r="F1250">
        <v>2012</v>
      </c>
      <c r="G1250">
        <v>2</v>
      </c>
      <c r="H1250" s="1" t="s">
        <v>59</v>
      </c>
      <c r="I1250">
        <v>22</v>
      </c>
      <c r="J1250">
        <v>2683</v>
      </c>
      <c r="K1250" s="1" t="s">
        <v>80</v>
      </c>
      <c r="L1250" s="1" t="s">
        <v>45</v>
      </c>
      <c r="M1250">
        <v>0</v>
      </c>
      <c r="N1250">
        <v>0</v>
      </c>
      <c r="O1250">
        <v>0</v>
      </c>
      <c r="P1250" s="2">
        <v>41640</v>
      </c>
      <c r="Q1250">
        <v>0</v>
      </c>
      <c r="R1250" s="1" t="s">
        <v>61</v>
      </c>
    </row>
    <row r="1251" spans="1:18" x14ac:dyDescent="0.25">
      <c r="A1251">
        <v>2014</v>
      </c>
      <c r="B1251">
        <v>2</v>
      </c>
      <c r="C1251" s="1" t="s">
        <v>25</v>
      </c>
      <c r="D1251" s="1" t="s">
        <v>19</v>
      </c>
      <c r="E1251" s="1" t="s">
        <v>79</v>
      </c>
      <c r="F1251">
        <v>2012</v>
      </c>
      <c r="G1251">
        <v>2</v>
      </c>
      <c r="H1251" s="1" t="s">
        <v>59</v>
      </c>
      <c r="I1251">
        <v>22</v>
      </c>
      <c r="J1251">
        <v>2683</v>
      </c>
      <c r="K1251" s="1" t="s">
        <v>80</v>
      </c>
      <c r="L1251" s="1" t="s">
        <v>45</v>
      </c>
      <c r="M1251">
        <v>0</v>
      </c>
      <c r="N1251">
        <v>0</v>
      </c>
      <c r="O1251">
        <v>0</v>
      </c>
      <c r="P1251" s="2">
        <v>41671</v>
      </c>
      <c r="Q1251">
        <v>0</v>
      </c>
      <c r="R1251" s="1" t="s">
        <v>61</v>
      </c>
    </row>
    <row r="1252" spans="1:18" x14ac:dyDescent="0.25">
      <c r="A1252">
        <v>2014</v>
      </c>
      <c r="B1252">
        <v>3</v>
      </c>
      <c r="C1252" s="1" t="s">
        <v>26</v>
      </c>
      <c r="D1252" s="1" t="s">
        <v>19</v>
      </c>
      <c r="E1252" s="1" t="s">
        <v>79</v>
      </c>
      <c r="F1252">
        <v>2012</v>
      </c>
      <c r="G1252">
        <v>2</v>
      </c>
      <c r="H1252" s="1" t="s">
        <v>59</v>
      </c>
      <c r="I1252">
        <v>22</v>
      </c>
      <c r="J1252">
        <v>2683</v>
      </c>
      <c r="K1252" s="1" t="s">
        <v>80</v>
      </c>
      <c r="L1252" s="1" t="s">
        <v>45</v>
      </c>
      <c r="M1252">
        <v>0</v>
      </c>
      <c r="N1252">
        <v>0</v>
      </c>
      <c r="O1252">
        <v>0</v>
      </c>
      <c r="P1252" s="2">
        <v>41699</v>
      </c>
      <c r="Q1252">
        <v>0</v>
      </c>
      <c r="R1252" s="1" t="s">
        <v>61</v>
      </c>
    </row>
    <row r="1253" spans="1:18" x14ac:dyDescent="0.25">
      <c r="A1253">
        <v>2014</v>
      </c>
      <c r="B1253">
        <v>4</v>
      </c>
      <c r="C1253" s="1" t="s">
        <v>27</v>
      </c>
      <c r="D1253" s="1" t="s">
        <v>19</v>
      </c>
      <c r="E1253" s="1" t="s">
        <v>79</v>
      </c>
      <c r="F1253">
        <v>2012</v>
      </c>
      <c r="G1253">
        <v>2</v>
      </c>
      <c r="H1253" s="1" t="s">
        <v>59</v>
      </c>
      <c r="I1253">
        <v>22</v>
      </c>
      <c r="J1253">
        <v>2683</v>
      </c>
      <c r="K1253" s="1" t="s">
        <v>80</v>
      </c>
      <c r="L1253" s="1" t="s">
        <v>45</v>
      </c>
      <c r="M1253">
        <v>0</v>
      </c>
      <c r="N1253">
        <v>0</v>
      </c>
      <c r="O1253">
        <v>0</v>
      </c>
      <c r="P1253" s="2">
        <v>41730</v>
      </c>
      <c r="Q1253">
        <v>0</v>
      </c>
      <c r="R1253" s="1" t="s">
        <v>61</v>
      </c>
    </row>
    <row r="1254" spans="1:18" x14ac:dyDescent="0.25">
      <c r="A1254">
        <v>2014</v>
      </c>
      <c r="B1254">
        <v>5</v>
      </c>
      <c r="C1254" s="1" t="s">
        <v>28</v>
      </c>
      <c r="D1254" s="1" t="s">
        <v>19</v>
      </c>
      <c r="E1254" s="1" t="s">
        <v>79</v>
      </c>
      <c r="F1254">
        <v>2012</v>
      </c>
      <c r="G1254">
        <v>2</v>
      </c>
      <c r="H1254" s="1" t="s">
        <v>59</v>
      </c>
      <c r="I1254">
        <v>22</v>
      </c>
      <c r="J1254">
        <v>2683</v>
      </c>
      <c r="K1254" s="1" t="s">
        <v>80</v>
      </c>
      <c r="L1254" s="1" t="s">
        <v>45</v>
      </c>
      <c r="M1254">
        <v>0</v>
      </c>
      <c r="N1254">
        <v>0</v>
      </c>
      <c r="O1254">
        <v>0</v>
      </c>
      <c r="P1254" s="2">
        <v>41760</v>
      </c>
      <c r="Q1254">
        <v>0</v>
      </c>
      <c r="R1254" s="1" t="s">
        <v>61</v>
      </c>
    </row>
    <row r="1255" spans="1:18" x14ac:dyDescent="0.25">
      <c r="A1255">
        <v>2014</v>
      </c>
      <c r="B1255">
        <v>6</v>
      </c>
      <c r="C1255" s="1" t="s">
        <v>29</v>
      </c>
      <c r="D1255" s="1" t="s">
        <v>19</v>
      </c>
      <c r="E1255" s="1" t="s">
        <v>79</v>
      </c>
      <c r="F1255">
        <v>2012</v>
      </c>
      <c r="G1255">
        <v>2</v>
      </c>
      <c r="H1255" s="1" t="s">
        <v>59</v>
      </c>
      <c r="I1255">
        <v>22</v>
      </c>
      <c r="J1255">
        <v>2683</v>
      </c>
      <c r="K1255" s="1" t="s">
        <v>80</v>
      </c>
      <c r="L1255" s="1" t="s">
        <v>45</v>
      </c>
      <c r="M1255">
        <v>0</v>
      </c>
      <c r="N1255">
        <v>0</v>
      </c>
      <c r="O1255">
        <v>0</v>
      </c>
      <c r="P1255" s="2">
        <v>41791</v>
      </c>
      <c r="Q1255">
        <v>0</v>
      </c>
      <c r="R1255" s="1" t="s">
        <v>61</v>
      </c>
    </row>
    <row r="1256" spans="1:18" x14ac:dyDescent="0.25">
      <c r="A1256">
        <v>2014</v>
      </c>
      <c r="B1256">
        <v>7</v>
      </c>
      <c r="C1256" s="1" t="s">
        <v>30</v>
      </c>
      <c r="D1256" s="1" t="s">
        <v>19</v>
      </c>
      <c r="E1256" s="1" t="s">
        <v>79</v>
      </c>
      <c r="F1256">
        <v>2012</v>
      </c>
      <c r="G1256">
        <v>2</v>
      </c>
      <c r="H1256" s="1" t="s">
        <v>59</v>
      </c>
      <c r="I1256">
        <v>22</v>
      </c>
      <c r="J1256">
        <v>2683</v>
      </c>
      <c r="K1256" s="1" t="s">
        <v>80</v>
      </c>
      <c r="L1256" s="1" t="s">
        <v>45</v>
      </c>
      <c r="M1256">
        <v>0</v>
      </c>
      <c r="N1256">
        <v>0</v>
      </c>
      <c r="O1256">
        <v>0</v>
      </c>
      <c r="P1256" s="2">
        <v>41821</v>
      </c>
      <c r="Q1256">
        <v>0</v>
      </c>
      <c r="R1256" s="1" t="s">
        <v>61</v>
      </c>
    </row>
    <row r="1257" spans="1:18" x14ac:dyDescent="0.25">
      <c r="A1257">
        <v>2014</v>
      </c>
      <c r="B1257">
        <v>8</v>
      </c>
      <c r="C1257" s="1" t="s">
        <v>31</v>
      </c>
      <c r="D1257" s="1" t="s">
        <v>19</v>
      </c>
      <c r="E1257" s="1" t="s">
        <v>79</v>
      </c>
      <c r="F1257">
        <v>2012</v>
      </c>
      <c r="G1257">
        <v>2</v>
      </c>
      <c r="H1257" s="1" t="s">
        <v>59</v>
      </c>
      <c r="I1257">
        <v>22</v>
      </c>
      <c r="J1257">
        <v>2683</v>
      </c>
      <c r="K1257" s="1" t="s">
        <v>80</v>
      </c>
      <c r="L1257" s="1" t="s">
        <v>45</v>
      </c>
      <c r="M1257">
        <v>0</v>
      </c>
      <c r="N1257">
        <v>0</v>
      </c>
      <c r="O1257">
        <v>0</v>
      </c>
      <c r="P1257" s="2">
        <v>41852</v>
      </c>
      <c r="Q1257">
        <v>0</v>
      </c>
      <c r="R1257" s="1" t="s">
        <v>61</v>
      </c>
    </row>
    <row r="1258" spans="1:18" x14ac:dyDescent="0.25">
      <c r="A1258">
        <v>2014</v>
      </c>
      <c r="B1258">
        <v>9</v>
      </c>
      <c r="C1258" s="1" t="s">
        <v>32</v>
      </c>
      <c r="D1258" s="1" t="s">
        <v>19</v>
      </c>
      <c r="E1258" s="1" t="s">
        <v>79</v>
      </c>
      <c r="F1258">
        <v>2012</v>
      </c>
      <c r="G1258">
        <v>2</v>
      </c>
      <c r="H1258" s="1" t="s">
        <v>59</v>
      </c>
      <c r="I1258">
        <v>22</v>
      </c>
      <c r="J1258">
        <v>2683</v>
      </c>
      <c r="K1258" s="1" t="s">
        <v>80</v>
      </c>
      <c r="L1258" s="1" t="s">
        <v>45</v>
      </c>
      <c r="M1258">
        <v>0</v>
      </c>
      <c r="N1258">
        <v>0</v>
      </c>
      <c r="O1258">
        <v>0</v>
      </c>
      <c r="P1258" s="2">
        <v>41883</v>
      </c>
      <c r="Q1258">
        <v>0</v>
      </c>
      <c r="R1258" s="1" t="s">
        <v>61</v>
      </c>
    </row>
    <row r="1259" spans="1:18" x14ac:dyDescent="0.25">
      <c r="A1259">
        <v>2014</v>
      </c>
      <c r="B1259">
        <v>10</v>
      </c>
      <c r="C1259" s="1" t="s">
        <v>33</v>
      </c>
      <c r="D1259" s="1" t="s">
        <v>19</v>
      </c>
      <c r="E1259" s="1" t="s">
        <v>79</v>
      </c>
      <c r="F1259">
        <v>2012</v>
      </c>
      <c r="G1259">
        <v>2</v>
      </c>
      <c r="H1259" s="1" t="s">
        <v>59</v>
      </c>
      <c r="I1259">
        <v>22</v>
      </c>
      <c r="J1259">
        <v>2683</v>
      </c>
      <c r="K1259" s="1" t="s">
        <v>80</v>
      </c>
      <c r="L1259" s="1" t="s">
        <v>45</v>
      </c>
      <c r="M1259">
        <v>0</v>
      </c>
      <c r="N1259">
        <v>0</v>
      </c>
      <c r="O1259">
        <v>0</v>
      </c>
      <c r="P1259" s="2">
        <v>41913</v>
      </c>
      <c r="Q1259">
        <v>0</v>
      </c>
      <c r="R1259" s="1" t="s">
        <v>61</v>
      </c>
    </row>
    <row r="1260" spans="1:18" x14ac:dyDescent="0.25">
      <c r="A1260">
        <v>2014</v>
      </c>
      <c r="B1260">
        <v>11</v>
      </c>
      <c r="C1260" s="1" t="s">
        <v>34</v>
      </c>
      <c r="D1260" s="1" t="s">
        <v>19</v>
      </c>
      <c r="E1260" s="1" t="s">
        <v>79</v>
      </c>
      <c r="F1260">
        <v>2012</v>
      </c>
      <c r="G1260">
        <v>2</v>
      </c>
      <c r="H1260" s="1" t="s">
        <v>59</v>
      </c>
      <c r="I1260">
        <v>22</v>
      </c>
      <c r="J1260">
        <v>2683</v>
      </c>
      <c r="K1260" s="1" t="s">
        <v>80</v>
      </c>
      <c r="L1260" s="1" t="s">
        <v>45</v>
      </c>
      <c r="M1260">
        <v>0</v>
      </c>
      <c r="N1260">
        <v>0</v>
      </c>
      <c r="O1260">
        <v>0</v>
      </c>
      <c r="P1260" s="2">
        <v>41944</v>
      </c>
      <c r="Q1260">
        <v>0</v>
      </c>
      <c r="R1260" s="1" t="s">
        <v>61</v>
      </c>
    </row>
    <row r="1261" spans="1:18" x14ac:dyDescent="0.25">
      <c r="A1261">
        <v>2014</v>
      </c>
      <c r="B1261">
        <v>12</v>
      </c>
      <c r="C1261" s="1" t="s">
        <v>35</v>
      </c>
      <c r="D1261" s="1" t="s">
        <v>19</v>
      </c>
      <c r="E1261" s="1" t="s">
        <v>79</v>
      </c>
      <c r="F1261">
        <v>2012</v>
      </c>
      <c r="G1261">
        <v>2</v>
      </c>
      <c r="H1261" s="1" t="s">
        <v>59</v>
      </c>
      <c r="I1261">
        <v>22</v>
      </c>
      <c r="J1261">
        <v>2683</v>
      </c>
      <c r="K1261" s="1" t="s">
        <v>80</v>
      </c>
      <c r="L1261" s="1" t="s">
        <v>45</v>
      </c>
      <c r="M1261">
        <v>0</v>
      </c>
      <c r="N1261">
        <v>0</v>
      </c>
      <c r="O1261">
        <v>0</v>
      </c>
      <c r="P1261" s="2">
        <v>41974</v>
      </c>
      <c r="Q1261">
        <v>0</v>
      </c>
      <c r="R1261" s="1" t="s">
        <v>61</v>
      </c>
    </row>
    <row r="1262" spans="1:18" x14ac:dyDescent="0.25">
      <c r="A1262">
        <v>2014</v>
      </c>
      <c r="B1262">
        <v>1</v>
      </c>
      <c r="C1262" s="1" t="s">
        <v>18</v>
      </c>
      <c r="D1262" s="1" t="s">
        <v>19</v>
      </c>
      <c r="E1262" s="1" t="s">
        <v>81</v>
      </c>
      <c r="F1262">
        <v>2012</v>
      </c>
      <c r="G1262">
        <v>2</v>
      </c>
      <c r="H1262" s="1" t="s">
        <v>59</v>
      </c>
      <c r="I1262">
        <v>28</v>
      </c>
      <c r="J1262">
        <v>3483</v>
      </c>
      <c r="K1262" s="1" t="s">
        <v>53</v>
      </c>
      <c r="L1262" s="1" t="s">
        <v>45</v>
      </c>
      <c r="M1262">
        <v>0</v>
      </c>
      <c r="N1262">
        <v>0</v>
      </c>
      <c r="O1262">
        <v>0</v>
      </c>
      <c r="P1262" s="2">
        <v>41640</v>
      </c>
      <c r="Q1262">
        <v>0</v>
      </c>
      <c r="R1262" s="1" t="s">
        <v>61</v>
      </c>
    </row>
    <row r="1263" spans="1:18" x14ac:dyDescent="0.25">
      <c r="A1263">
        <v>2014</v>
      </c>
      <c r="B1263">
        <v>2</v>
      </c>
      <c r="C1263" s="1" t="s">
        <v>25</v>
      </c>
      <c r="D1263" s="1" t="s">
        <v>19</v>
      </c>
      <c r="E1263" s="1" t="s">
        <v>81</v>
      </c>
      <c r="F1263">
        <v>2012</v>
      </c>
      <c r="G1263">
        <v>2</v>
      </c>
      <c r="H1263" s="1" t="s">
        <v>59</v>
      </c>
      <c r="I1263">
        <v>28</v>
      </c>
      <c r="J1263">
        <v>3483</v>
      </c>
      <c r="K1263" s="1" t="s">
        <v>53</v>
      </c>
      <c r="L1263" s="1" t="s">
        <v>45</v>
      </c>
      <c r="M1263">
        <v>0</v>
      </c>
      <c r="N1263">
        <v>0</v>
      </c>
      <c r="O1263">
        <v>0</v>
      </c>
      <c r="P1263" s="2">
        <v>41671</v>
      </c>
      <c r="Q1263">
        <v>0</v>
      </c>
      <c r="R1263" s="1" t="s">
        <v>61</v>
      </c>
    </row>
    <row r="1264" spans="1:18" x14ac:dyDescent="0.25">
      <c r="A1264">
        <v>2014</v>
      </c>
      <c r="B1264">
        <v>3</v>
      </c>
      <c r="C1264" s="1" t="s">
        <v>26</v>
      </c>
      <c r="D1264" s="1" t="s">
        <v>19</v>
      </c>
      <c r="E1264" s="1" t="s">
        <v>81</v>
      </c>
      <c r="F1264">
        <v>2012</v>
      </c>
      <c r="G1264">
        <v>2</v>
      </c>
      <c r="H1264" s="1" t="s">
        <v>59</v>
      </c>
      <c r="I1264">
        <v>28</v>
      </c>
      <c r="J1264">
        <v>3483</v>
      </c>
      <c r="K1264" s="1" t="s">
        <v>53</v>
      </c>
      <c r="L1264" s="1" t="s">
        <v>45</v>
      </c>
      <c r="M1264">
        <v>0</v>
      </c>
      <c r="N1264">
        <v>0</v>
      </c>
      <c r="O1264">
        <v>0</v>
      </c>
      <c r="P1264" s="2">
        <v>41699</v>
      </c>
      <c r="Q1264">
        <v>0</v>
      </c>
      <c r="R1264" s="1" t="s">
        <v>61</v>
      </c>
    </row>
    <row r="1265" spans="1:18" x14ac:dyDescent="0.25">
      <c r="A1265">
        <v>2014</v>
      </c>
      <c r="B1265">
        <v>4</v>
      </c>
      <c r="C1265" s="1" t="s">
        <v>27</v>
      </c>
      <c r="D1265" s="1" t="s">
        <v>19</v>
      </c>
      <c r="E1265" s="1" t="s">
        <v>81</v>
      </c>
      <c r="F1265">
        <v>2012</v>
      </c>
      <c r="G1265">
        <v>2</v>
      </c>
      <c r="H1265" s="1" t="s">
        <v>59</v>
      </c>
      <c r="I1265">
        <v>28</v>
      </c>
      <c r="J1265">
        <v>3483</v>
      </c>
      <c r="K1265" s="1" t="s">
        <v>53</v>
      </c>
      <c r="L1265" s="1" t="s">
        <v>45</v>
      </c>
      <c r="M1265">
        <v>0</v>
      </c>
      <c r="N1265">
        <v>0</v>
      </c>
      <c r="O1265">
        <v>0</v>
      </c>
      <c r="P1265" s="2">
        <v>41730</v>
      </c>
      <c r="Q1265">
        <v>0</v>
      </c>
      <c r="R1265" s="1" t="s">
        <v>61</v>
      </c>
    </row>
    <row r="1266" spans="1:18" x14ac:dyDescent="0.25">
      <c r="A1266">
        <v>2014</v>
      </c>
      <c r="B1266">
        <v>5</v>
      </c>
      <c r="C1266" s="1" t="s">
        <v>28</v>
      </c>
      <c r="D1266" s="1" t="s">
        <v>19</v>
      </c>
      <c r="E1266" s="1" t="s">
        <v>81</v>
      </c>
      <c r="F1266">
        <v>2012</v>
      </c>
      <c r="G1266">
        <v>2</v>
      </c>
      <c r="H1266" s="1" t="s">
        <v>59</v>
      </c>
      <c r="I1266">
        <v>28</v>
      </c>
      <c r="J1266">
        <v>3483</v>
      </c>
      <c r="K1266" s="1" t="s">
        <v>53</v>
      </c>
      <c r="L1266" s="1" t="s">
        <v>45</v>
      </c>
      <c r="M1266">
        <v>0</v>
      </c>
      <c r="N1266">
        <v>0</v>
      </c>
      <c r="O1266">
        <v>0</v>
      </c>
      <c r="P1266" s="2">
        <v>41760</v>
      </c>
      <c r="Q1266">
        <v>0</v>
      </c>
      <c r="R1266" s="1" t="s">
        <v>61</v>
      </c>
    </row>
    <row r="1267" spans="1:18" x14ac:dyDescent="0.25">
      <c r="A1267">
        <v>2014</v>
      </c>
      <c r="B1267">
        <v>6</v>
      </c>
      <c r="C1267" s="1" t="s">
        <v>29</v>
      </c>
      <c r="D1267" s="1" t="s">
        <v>19</v>
      </c>
      <c r="E1267" s="1" t="s">
        <v>81</v>
      </c>
      <c r="F1267">
        <v>2012</v>
      </c>
      <c r="G1267">
        <v>2</v>
      </c>
      <c r="H1267" s="1" t="s">
        <v>59</v>
      </c>
      <c r="I1267">
        <v>28</v>
      </c>
      <c r="J1267">
        <v>3483</v>
      </c>
      <c r="K1267" s="1" t="s">
        <v>53</v>
      </c>
      <c r="L1267" s="1" t="s">
        <v>45</v>
      </c>
      <c r="M1267">
        <v>0</v>
      </c>
      <c r="N1267">
        <v>0</v>
      </c>
      <c r="O1267">
        <v>0</v>
      </c>
      <c r="P1267" s="2">
        <v>41791</v>
      </c>
      <c r="Q1267">
        <v>0</v>
      </c>
      <c r="R1267" s="1" t="s">
        <v>61</v>
      </c>
    </row>
    <row r="1268" spans="1:18" x14ac:dyDescent="0.25">
      <c r="A1268">
        <v>2014</v>
      </c>
      <c r="B1268">
        <v>7</v>
      </c>
      <c r="C1268" s="1" t="s">
        <v>30</v>
      </c>
      <c r="D1268" s="1" t="s">
        <v>19</v>
      </c>
      <c r="E1268" s="1" t="s">
        <v>81</v>
      </c>
      <c r="F1268">
        <v>2012</v>
      </c>
      <c r="G1268">
        <v>2</v>
      </c>
      <c r="H1268" s="1" t="s">
        <v>59</v>
      </c>
      <c r="I1268">
        <v>28</v>
      </c>
      <c r="J1268">
        <v>3483</v>
      </c>
      <c r="K1268" s="1" t="s">
        <v>53</v>
      </c>
      <c r="L1268" s="1" t="s">
        <v>45</v>
      </c>
      <c r="M1268">
        <v>0</v>
      </c>
      <c r="N1268">
        <v>0</v>
      </c>
      <c r="O1268">
        <v>0</v>
      </c>
      <c r="P1268" s="2">
        <v>41821</v>
      </c>
      <c r="Q1268">
        <v>0</v>
      </c>
      <c r="R1268" s="1" t="s">
        <v>61</v>
      </c>
    </row>
    <row r="1269" spans="1:18" x14ac:dyDescent="0.25">
      <c r="A1269">
        <v>2014</v>
      </c>
      <c r="B1269">
        <v>8</v>
      </c>
      <c r="C1269" s="1" t="s">
        <v>31</v>
      </c>
      <c r="D1269" s="1" t="s">
        <v>19</v>
      </c>
      <c r="E1269" s="1" t="s">
        <v>81</v>
      </c>
      <c r="F1269">
        <v>2012</v>
      </c>
      <c r="G1269">
        <v>2</v>
      </c>
      <c r="H1269" s="1" t="s">
        <v>59</v>
      </c>
      <c r="I1269">
        <v>28</v>
      </c>
      <c r="J1269">
        <v>3483</v>
      </c>
      <c r="K1269" s="1" t="s">
        <v>53</v>
      </c>
      <c r="L1269" s="1" t="s">
        <v>45</v>
      </c>
      <c r="M1269">
        <v>0</v>
      </c>
      <c r="N1269">
        <v>0</v>
      </c>
      <c r="O1269">
        <v>0</v>
      </c>
      <c r="P1269" s="2">
        <v>41852</v>
      </c>
      <c r="Q1269">
        <v>0</v>
      </c>
      <c r="R1269" s="1" t="s">
        <v>61</v>
      </c>
    </row>
    <row r="1270" spans="1:18" x14ac:dyDescent="0.25">
      <c r="A1270">
        <v>2014</v>
      </c>
      <c r="B1270">
        <v>9</v>
      </c>
      <c r="C1270" s="1" t="s">
        <v>32</v>
      </c>
      <c r="D1270" s="1" t="s">
        <v>19</v>
      </c>
      <c r="E1270" s="1" t="s">
        <v>81</v>
      </c>
      <c r="F1270">
        <v>2012</v>
      </c>
      <c r="G1270">
        <v>2</v>
      </c>
      <c r="H1270" s="1" t="s">
        <v>59</v>
      </c>
      <c r="I1270">
        <v>28</v>
      </c>
      <c r="J1270">
        <v>3483</v>
      </c>
      <c r="K1270" s="1" t="s">
        <v>53</v>
      </c>
      <c r="L1270" s="1" t="s">
        <v>45</v>
      </c>
      <c r="M1270">
        <v>0</v>
      </c>
      <c r="N1270">
        <v>0</v>
      </c>
      <c r="O1270">
        <v>0</v>
      </c>
      <c r="P1270" s="2">
        <v>41883</v>
      </c>
      <c r="Q1270">
        <v>0</v>
      </c>
      <c r="R1270" s="1" t="s">
        <v>61</v>
      </c>
    </row>
    <row r="1271" spans="1:18" x14ac:dyDescent="0.25">
      <c r="A1271">
        <v>2014</v>
      </c>
      <c r="B1271">
        <v>10</v>
      </c>
      <c r="C1271" s="1" t="s">
        <v>33</v>
      </c>
      <c r="D1271" s="1" t="s">
        <v>19</v>
      </c>
      <c r="E1271" s="1" t="s">
        <v>81</v>
      </c>
      <c r="F1271">
        <v>2012</v>
      </c>
      <c r="G1271">
        <v>2</v>
      </c>
      <c r="H1271" s="1" t="s">
        <v>59</v>
      </c>
      <c r="I1271">
        <v>28</v>
      </c>
      <c r="J1271">
        <v>3483</v>
      </c>
      <c r="K1271" s="1" t="s">
        <v>53</v>
      </c>
      <c r="L1271" s="1" t="s">
        <v>45</v>
      </c>
      <c r="M1271">
        <v>0</v>
      </c>
      <c r="N1271">
        <v>0</v>
      </c>
      <c r="O1271">
        <v>0</v>
      </c>
      <c r="P1271" s="2">
        <v>41913</v>
      </c>
      <c r="Q1271">
        <v>0</v>
      </c>
      <c r="R1271" s="1" t="s">
        <v>61</v>
      </c>
    </row>
    <row r="1272" spans="1:18" x14ac:dyDescent="0.25">
      <c r="A1272">
        <v>2014</v>
      </c>
      <c r="B1272">
        <v>11</v>
      </c>
      <c r="C1272" s="1" t="s">
        <v>34</v>
      </c>
      <c r="D1272" s="1" t="s">
        <v>19</v>
      </c>
      <c r="E1272" s="1" t="s">
        <v>81</v>
      </c>
      <c r="F1272">
        <v>2012</v>
      </c>
      <c r="G1272">
        <v>2</v>
      </c>
      <c r="H1272" s="1" t="s">
        <v>59</v>
      </c>
      <c r="I1272">
        <v>28</v>
      </c>
      <c r="J1272">
        <v>3483</v>
      </c>
      <c r="K1272" s="1" t="s">
        <v>53</v>
      </c>
      <c r="L1272" s="1" t="s">
        <v>45</v>
      </c>
      <c r="M1272">
        <v>0</v>
      </c>
      <c r="N1272">
        <v>0</v>
      </c>
      <c r="O1272">
        <v>0</v>
      </c>
      <c r="P1272" s="2">
        <v>41944</v>
      </c>
      <c r="Q1272">
        <v>0</v>
      </c>
      <c r="R1272" s="1" t="s">
        <v>61</v>
      </c>
    </row>
    <row r="1273" spans="1:18" x14ac:dyDescent="0.25">
      <c r="A1273">
        <v>2014</v>
      </c>
      <c r="B1273">
        <v>12</v>
      </c>
      <c r="C1273" s="1" t="s">
        <v>35</v>
      </c>
      <c r="D1273" s="1" t="s">
        <v>19</v>
      </c>
      <c r="E1273" s="1" t="s">
        <v>81</v>
      </c>
      <c r="F1273">
        <v>2012</v>
      </c>
      <c r="G1273">
        <v>2</v>
      </c>
      <c r="H1273" s="1" t="s">
        <v>59</v>
      </c>
      <c r="I1273">
        <v>28</v>
      </c>
      <c r="J1273">
        <v>3483</v>
      </c>
      <c r="K1273" s="1" t="s">
        <v>53</v>
      </c>
      <c r="L1273" s="1" t="s">
        <v>45</v>
      </c>
      <c r="M1273">
        <v>0</v>
      </c>
      <c r="N1273">
        <v>0</v>
      </c>
      <c r="O1273">
        <v>0</v>
      </c>
      <c r="P1273" s="2">
        <v>41974</v>
      </c>
      <c r="Q1273">
        <v>0</v>
      </c>
      <c r="R1273" s="1" t="s">
        <v>61</v>
      </c>
    </row>
    <row r="1274" spans="1:18" x14ac:dyDescent="0.25">
      <c r="A1274">
        <v>2014</v>
      </c>
      <c r="B1274">
        <v>1</v>
      </c>
      <c r="C1274" s="1" t="s">
        <v>18</v>
      </c>
      <c r="D1274" s="1" t="s">
        <v>19</v>
      </c>
      <c r="E1274" s="1" t="s">
        <v>82</v>
      </c>
      <c r="F1274">
        <v>2013</v>
      </c>
      <c r="G1274">
        <v>1</v>
      </c>
      <c r="H1274" s="1" t="s">
        <v>59</v>
      </c>
      <c r="I1274">
        <v>24</v>
      </c>
      <c r="J1274">
        <v>2678</v>
      </c>
      <c r="K1274" s="1" t="s">
        <v>83</v>
      </c>
      <c r="L1274" s="1" t="s">
        <v>45</v>
      </c>
      <c r="M1274">
        <v>0</v>
      </c>
      <c r="N1274">
        <v>0</v>
      </c>
      <c r="O1274">
        <v>0</v>
      </c>
      <c r="P1274" s="2">
        <v>41640</v>
      </c>
      <c r="Q1274">
        <v>0</v>
      </c>
      <c r="R1274" s="1" t="s">
        <v>61</v>
      </c>
    </row>
    <row r="1275" spans="1:18" x14ac:dyDescent="0.25">
      <c r="A1275">
        <v>2014</v>
      </c>
      <c r="B1275">
        <v>2</v>
      </c>
      <c r="C1275" s="1" t="s">
        <v>25</v>
      </c>
      <c r="D1275" s="1" t="s">
        <v>19</v>
      </c>
      <c r="E1275" s="1" t="s">
        <v>82</v>
      </c>
      <c r="F1275">
        <v>2013</v>
      </c>
      <c r="G1275">
        <v>1</v>
      </c>
      <c r="H1275" s="1" t="s">
        <v>59</v>
      </c>
      <c r="I1275">
        <v>24</v>
      </c>
      <c r="J1275">
        <v>2678</v>
      </c>
      <c r="K1275" s="1" t="s">
        <v>83</v>
      </c>
      <c r="L1275" s="1" t="s">
        <v>45</v>
      </c>
      <c r="M1275">
        <v>0</v>
      </c>
      <c r="N1275">
        <v>0</v>
      </c>
      <c r="O1275">
        <v>0</v>
      </c>
      <c r="P1275" s="2">
        <v>41671</v>
      </c>
      <c r="Q1275">
        <v>0</v>
      </c>
      <c r="R1275" s="1" t="s">
        <v>61</v>
      </c>
    </row>
    <row r="1276" spans="1:18" x14ac:dyDescent="0.25">
      <c r="A1276">
        <v>2014</v>
      </c>
      <c r="B1276">
        <v>3</v>
      </c>
      <c r="C1276" s="1" t="s">
        <v>26</v>
      </c>
      <c r="D1276" s="1" t="s">
        <v>19</v>
      </c>
      <c r="E1276" s="1" t="s">
        <v>82</v>
      </c>
      <c r="F1276">
        <v>2013</v>
      </c>
      <c r="G1276">
        <v>1</v>
      </c>
      <c r="H1276" s="1" t="s">
        <v>59</v>
      </c>
      <c r="I1276">
        <v>24</v>
      </c>
      <c r="J1276">
        <v>2678</v>
      </c>
      <c r="K1276" s="1" t="s">
        <v>83</v>
      </c>
      <c r="L1276" s="1" t="s">
        <v>45</v>
      </c>
      <c r="M1276">
        <v>0</v>
      </c>
      <c r="N1276">
        <v>0</v>
      </c>
      <c r="O1276">
        <v>0</v>
      </c>
      <c r="P1276" s="2">
        <v>41699</v>
      </c>
      <c r="Q1276">
        <v>0</v>
      </c>
      <c r="R1276" s="1" t="s">
        <v>61</v>
      </c>
    </row>
    <row r="1277" spans="1:18" x14ac:dyDescent="0.25">
      <c r="A1277">
        <v>2014</v>
      </c>
      <c r="B1277">
        <v>4</v>
      </c>
      <c r="C1277" s="1" t="s">
        <v>27</v>
      </c>
      <c r="D1277" s="1" t="s">
        <v>19</v>
      </c>
      <c r="E1277" s="1" t="s">
        <v>82</v>
      </c>
      <c r="F1277">
        <v>2013</v>
      </c>
      <c r="G1277">
        <v>1</v>
      </c>
      <c r="H1277" s="1" t="s">
        <v>59</v>
      </c>
      <c r="I1277">
        <v>24</v>
      </c>
      <c r="J1277">
        <v>2678</v>
      </c>
      <c r="K1277" s="1" t="s">
        <v>83</v>
      </c>
      <c r="L1277" s="1" t="s">
        <v>45</v>
      </c>
      <c r="M1277">
        <v>0</v>
      </c>
      <c r="N1277">
        <v>0</v>
      </c>
      <c r="O1277">
        <v>0</v>
      </c>
      <c r="P1277" s="2">
        <v>41730</v>
      </c>
      <c r="Q1277">
        <v>0</v>
      </c>
      <c r="R1277" s="1" t="s">
        <v>61</v>
      </c>
    </row>
    <row r="1278" spans="1:18" x14ac:dyDescent="0.25">
      <c r="A1278">
        <v>2014</v>
      </c>
      <c r="B1278">
        <v>5</v>
      </c>
      <c r="C1278" s="1" t="s">
        <v>28</v>
      </c>
      <c r="D1278" s="1" t="s">
        <v>19</v>
      </c>
      <c r="E1278" s="1" t="s">
        <v>82</v>
      </c>
      <c r="F1278">
        <v>2013</v>
      </c>
      <c r="G1278">
        <v>1</v>
      </c>
      <c r="H1278" s="1" t="s">
        <v>59</v>
      </c>
      <c r="I1278">
        <v>24</v>
      </c>
      <c r="J1278">
        <v>2678</v>
      </c>
      <c r="K1278" s="1" t="s">
        <v>83</v>
      </c>
      <c r="L1278" s="1" t="s">
        <v>45</v>
      </c>
      <c r="M1278">
        <v>0</v>
      </c>
      <c r="N1278">
        <v>0</v>
      </c>
      <c r="O1278">
        <v>0</v>
      </c>
      <c r="P1278" s="2">
        <v>41760</v>
      </c>
      <c r="Q1278">
        <v>0</v>
      </c>
      <c r="R1278" s="1" t="s">
        <v>61</v>
      </c>
    </row>
    <row r="1279" spans="1:18" x14ac:dyDescent="0.25">
      <c r="A1279">
        <v>2014</v>
      </c>
      <c r="B1279">
        <v>6</v>
      </c>
      <c r="C1279" s="1" t="s">
        <v>29</v>
      </c>
      <c r="D1279" s="1" t="s">
        <v>19</v>
      </c>
      <c r="E1279" s="1" t="s">
        <v>82</v>
      </c>
      <c r="F1279">
        <v>2013</v>
      </c>
      <c r="G1279">
        <v>1</v>
      </c>
      <c r="H1279" s="1" t="s">
        <v>59</v>
      </c>
      <c r="I1279">
        <v>24</v>
      </c>
      <c r="J1279">
        <v>2678</v>
      </c>
      <c r="K1279" s="1" t="s">
        <v>83</v>
      </c>
      <c r="L1279" s="1" t="s">
        <v>45</v>
      </c>
      <c r="M1279">
        <v>0</v>
      </c>
      <c r="N1279">
        <v>0</v>
      </c>
      <c r="O1279">
        <v>0</v>
      </c>
      <c r="P1279" s="2">
        <v>41791</v>
      </c>
      <c r="Q1279">
        <v>0</v>
      </c>
      <c r="R1279" s="1" t="s">
        <v>61</v>
      </c>
    </row>
    <row r="1280" spans="1:18" x14ac:dyDescent="0.25">
      <c r="A1280">
        <v>2014</v>
      </c>
      <c r="B1280">
        <v>7</v>
      </c>
      <c r="C1280" s="1" t="s">
        <v>30</v>
      </c>
      <c r="D1280" s="1" t="s">
        <v>19</v>
      </c>
      <c r="E1280" s="1" t="s">
        <v>82</v>
      </c>
      <c r="F1280">
        <v>2013</v>
      </c>
      <c r="G1280">
        <v>1</v>
      </c>
      <c r="H1280" s="1" t="s">
        <v>59</v>
      </c>
      <c r="I1280">
        <v>24</v>
      </c>
      <c r="J1280">
        <v>2678</v>
      </c>
      <c r="K1280" s="1" t="s">
        <v>83</v>
      </c>
      <c r="L1280" s="1" t="s">
        <v>45</v>
      </c>
      <c r="M1280">
        <v>0</v>
      </c>
      <c r="N1280">
        <v>0</v>
      </c>
      <c r="O1280">
        <v>0</v>
      </c>
      <c r="P1280" s="2">
        <v>41821</v>
      </c>
      <c r="Q1280">
        <v>0</v>
      </c>
      <c r="R1280" s="1" t="s">
        <v>61</v>
      </c>
    </row>
    <row r="1281" spans="1:18" x14ac:dyDescent="0.25">
      <c r="A1281">
        <v>2014</v>
      </c>
      <c r="B1281">
        <v>8</v>
      </c>
      <c r="C1281" s="1" t="s">
        <v>31</v>
      </c>
      <c r="D1281" s="1" t="s">
        <v>19</v>
      </c>
      <c r="E1281" s="1" t="s">
        <v>82</v>
      </c>
      <c r="F1281">
        <v>2013</v>
      </c>
      <c r="G1281">
        <v>1</v>
      </c>
      <c r="H1281" s="1" t="s">
        <v>59</v>
      </c>
      <c r="I1281">
        <v>24</v>
      </c>
      <c r="J1281">
        <v>2678</v>
      </c>
      <c r="K1281" s="1" t="s">
        <v>83</v>
      </c>
      <c r="L1281" s="1" t="s">
        <v>45</v>
      </c>
      <c r="M1281">
        <v>0</v>
      </c>
      <c r="N1281">
        <v>0</v>
      </c>
      <c r="O1281">
        <v>0</v>
      </c>
      <c r="P1281" s="2">
        <v>41852</v>
      </c>
      <c r="Q1281">
        <v>0</v>
      </c>
      <c r="R1281" s="1" t="s">
        <v>61</v>
      </c>
    </row>
    <row r="1282" spans="1:18" x14ac:dyDescent="0.25">
      <c r="A1282">
        <v>2014</v>
      </c>
      <c r="B1282">
        <v>9</v>
      </c>
      <c r="C1282" s="1" t="s">
        <v>32</v>
      </c>
      <c r="D1282" s="1" t="s">
        <v>19</v>
      </c>
      <c r="E1282" s="1" t="s">
        <v>82</v>
      </c>
      <c r="F1282">
        <v>2013</v>
      </c>
      <c r="G1282">
        <v>1</v>
      </c>
      <c r="H1282" s="1" t="s">
        <v>59</v>
      </c>
      <c r="I1282">
        <v>24</v>
      </c>
      <c r="J1282">
        <v>2678</v>
      </c>
      <c r="K1282" s="1" t="s">
        <v>83</v>
      </c>
      <c r="L1282" s="1" t="s">
        <v>45</v>
      </c>
      <c r="M1282">
        <v>0</v>
      </c>
      <c r="N1282">
        <v>0</v>
      </c>
      <c r="O1282">
        <v>0</v>
      </c>
      <c r="P1282" s="2">
        <v>41883</v>
      </c>
      <c r="Q1282">
        <v>0</v>
      </c>
      <c r="R1282" s="1" t="s">
        <v>61</v>
      </c>
    </row>
    <row r="1283" spans="1:18" x14ac:dyDescent="0.25">
      <c r="A1283">
        <v>2014</v>
      </c>
      <c r="B1283">
        <v>10</v>
      </c>
      <c r="C1283" s="1" t="s">
        <v>33</v>
      </c>
      <c r="D1283" s="1" t="s">
        <v>19</v>
      </c>
      <c r="E1283" s="1" t="s">
        <v>82</v>
      </c>
      <c r="F1283">
        <v>2013</v>
      </c>
      <c r="G1283">
        <v>1</v>
      </c>
      <c r="H1283" s="1" t="s">
        <v>59</v>
      </c>
      <c r="I1283">
        <v>24</v>
      </c>
      <c r="J1283">
        <v>2678</v>
      </c>
      <c r="K1283" s="1" t="s">
        <v>83</v>
      </c>
      <c r="L1283" s="1" t="s">
        <v>45</v>
      </c>
      <c r="M1283">
        <v>0</v>
      </c>
      <c r="N1283">
        <v>0</v>
      </c>
      <c r="O1283">
        <v>0</v>
      </c>
      <c r="P1283" s="2">
        <v>41913</v>
      </c>
      <c r="Q1283">
        <v>0</v>
      </c>
      <c r="R1283" s="1" t="s">
        <v>61</v>
      </c>
    </row>
    <row r="1284" spans="1:18" x14ac:dyDescent="0.25">
      <c r="A1284">
        <v>2014</v>
      </c>
      <c r="B1284">
        <v>11</v>
      </c>
      <c r="C1284" s="1" t="s">
        <v>34</v>
      </c>
      <c r="D1284" s="1" t="s">
        <v>19</v>
      </c>
      <c r="E1284" s="1" t="s">
        <v>82</v>
      </c>
      <c r="F1284">
        <v>2013</v>
      </c>
      <c r="G1284">
        <v>1</v>
      </c>
      <c r="H1284" s="1" t="s">
        <v>59</v>
      </c>
      <c r="I1284">
        <v>24</v>
      </c>
      <c r="J1284">
        <v>2678</v>
      </c>
      <c r="K1284" s="1" t="s">
        <v>83</v>
      </c>
      <c r="L1284" s="1" t="s">
        <v>45</v>
      </c>
      <c r="M1284">
        <v>0</v>
      </c>
      <c r="N1284">
        <v>0</v>
      </c>
      <c r="O1284">
        <v>0</v>
      </c>
      <c r="P1284" s="2">
        <v>41944</v>
      </c>
      <c r="Q1284">
        <v>0</v>
      </c>
      <c r="R1284" s="1" t="s">
        <v>61</v>
      </c>
    </row>
    <row r="1285" spans="1:18" x14ac:dyDescent="0.25">
      <c r="A1285">
        <v>2014</v>
      </c>
      <c r="B1285">
        <v>12</v>
      </c>
      <c r="C1285" s="1" t="s">
        <v>35</v>
      </c>
      <c r="D1285" s="1" t="s">
        <v>19</v>
      </c>
      <c r="E1285" s="1" t="s">
        <v>82</v>
      </c>
      <c r="F1285">
        <v>2013</v>
      </c>
      <c r="G1285">
        <v>1</v>
      </c>
      <c r="H1285" s="1" t="s">
        <v>59</v>
      </c>
      <c r="I1285">
        <v>24</v>
      </c>
      <c r="J1285">
        <v>2678</v>
      </c>
      <c r="K1285" s="1" t="s">
        <v>83</v>
      </c>
      <c r="L1285" s="1" t="s">
        <v>45</v>
      </c>
      <c r="M1285">
        <v>0</v>
      </c>
      <c r="N1285">
        <v>0</v>
      </c>
      <c r="O1285">
        <v>0</v>
      </c>
      <c r="P1285" s="2">
        <v>41974</v>
      </c>
      <c r="Q1285">
        <v>0</v>
      </c>
      <c r="R1285" s="1" t="s">
        <v>61</v>
      </c>
    </row>
    <row r="1286" spans="1:18" x14ac:dyDescent="0.25">
      <c r="A1286">
        <v>2014</v>
      </c>
      <c r="B1286">
        <v>1</v>
      </c>
      <c r="C1286" s="1" t="s">
        <v>18</v>
      </c>
      <c r="D1286" s="1" t="s">
        <v>19</v>
      </c>
      <c r="E1286" s="1" t="s">
        <v>84</v>
      </c>
      <c r="F1286">
        <v>2013</v>
      </c>
      <c r="G1286">
        <v>1</v>
      </c>
      <c r="H1286" s="1" t="s">
        <v>59</v>
      </c>
      <c r="I1286">
        <v>23</v>
      </c>
      <c r="J1286">
        <v>2683</v>
      </c>
      <c r="K1286" s="1" t="s">
        <v>85</v>
      </c>
      <c r="L1286" s="1" t="s">
        <v>45</v>
      </c>
      <c r="M1286">
        <v>0</v>
      </c>
      <c r="N1286">
        <v>0</v>
      </c>
      <c r="O1286">
        <v>0</v>
      </c>
      <c r="P1286" s="2">
        <v>41640</v>
      </c>
      <c r="Q1286">
        <v>0</v>
      </c>
      <c r="R1286" s="1" t="s">
        <v>61</v>
      </c>
    </row>
    <row r="1287" spans="1:18" x14ac:dyDescent="0.25">
      <c r="A1287">
        <v>2014</v>
      </c>
      <c r="B1287">
        <v>2</v>
      </c>
      <c r="C1287" s="1" t="s">
        <v>25</v>
      </c>
      <c r="D1287" s="1" t="s">
        <v>19</v>
      </c>
      <c r="E1287" s="1" t="s">
        <v>84</v>
      </c>
      <c r="F1287">
        <v>2013</v>
      </c>
      <c r="G1287">
        <v>1</v>
      </c>
      <c r="H1287" s="1" t="s">
        <v>59</v>
      </c>
      <c r="I1287">
        <v>23</v>
      </c>
      <c r="J1287">
        <v>2683</v>
      </c>
      <c r="K1287" s="1" t="s">
        <v>85</v>
      </c>
      <c r="L1287" s="1" t="s">
        <v>45</v>
      </c>
      <c r="M1287">
        <v>0</v>
      </c>
      <c r="N1287">
        <v>0</v>
      </c>
      <c r="O1287">
        <v>0</v>
      </c>
      <c r="P1287" s="2">
        <v>41671</v>
      </c>
      <c r="Q1287">
        <v>0</v>
      </c>
      <c r="R1287" s="1" t="s">
        <v>61</v>
      </c>
    </row>
    <row r="1288" spans="1:18" x14ac:dyDescent="0.25">
      <c r="A1288">
        <v>2014</v>
      </c>
      <c r="B1288">
        <v>3</v>
      </c>
      <c r="C1288" s="1" t="s">
        <v>26</v>
      </c>
      <c r="D1288" s="1" t="s">
        <v>19</v>
      </c>
      <c r="E1288" s="1" t="s">
        <v>84</v>
      </c>
      <c r="F1288">
        <v>2013</v>
      </c>
      <c r="G1288">
        <v>1</v>
      </c>
      <c r="H1288" s="1" t="s">
        <v>59</v>
      </c>
      <c r="I1288">
        <v>23</v>
      </c>
      <c r="J1288">
        <v>2683</v>
      </c>
      <c r="K1288" s="1" t="s">
        <v>85</v>
      </c>
      <c r="L1288" s="1" t="s">
        <v>45</v>
      </c>
      <c r="M1288">
        <v>0</v>
      </c>
      <c r="N1288">
        <v>0</v>
      </c>
      <c r="O1288">
        <v>0</v>
      </c>
      <c r="P1288" s="2">
        <v>41699</v>
      </c>
      <c r="Q1288">
        <v>0</v>
      </c>
      <c r="R1288" s="1" t="s">
        <v>61</v>
      </c>
    </row>
    <row r="1289" spans="1:18" x14ac:dyDescent="0.25">
      <c r="A1289">
        <v>2014</v>
      </c>
      <c r="B1289">
        <v>4</v>
      </c>
      <c r="C1289" s="1" t="s">
        <v>27</v>
      </c>
      <c r="D1289" s="1" t="s">
        <v>19</v>
      </c>
      <c r="E1289" s="1" t="s">
        <v>84</v>
      </c>
      <c r="F1289">
        <v>2013</v>
      </c>
      <c r="G1289">
        <v>1</v>
      </c>
      <c r="H1289" s="1" t="s">
        <v>59</v>
      </c>
      <c r="I1289">
        <v>23</v>
      </c>
      <c r="J1289">
        <v>2683</v>
      </c>
      <c r="K1289" s="1" t="s">
        <v>85</v>
      </c>
      <c r="L1289" s="1" t="s">
        <v>45</v>
      </c>
      <c r="M1289">
        <v>0</v>
      </c>
      <c r="N1289">
        <v>0</v>
      </c>
      <c r="O1289">
        <v>0</v>
      </c>
      <c r="P1289" s="2">
        <v>41730</v>
      </c>
      <c r="Q1289">
        <v>0</v>
      </c>
      <c r="R1289" s="1" t="s">
        <v>61</v>
      </c>
    </row>
    <row r="1290" spans="1:18" x14ac:dyDescent="0.25">
      <c r="A1290">
        <v>2014</v>
      </c>
      <c r="B1290">
        <v>5</v>
      </c>
      <c r="C1290" s="1" t="s">
        <v>28</v>
      </c>
      <c r="D1290" s="1" t="s">
        <v>19</v>
      </c>
      <c r="E1290" s="1" t="s">
        <v>84</v>
      </c>
      <c r="F1290">
        <v>2013</v>
      </c>
      <c r="G1290">
        <v>1</v>
      </c>
      <c r="H1290" s="1" t="s">
        <v>59</v>
      </c>
      <c r="I1290">
        <v>23</v>
      </c>
      <c r="J1290">
        <v>2683</v>
      </c>
      <c r="K1290" s="1" t="s">
        <v>85</v>
      </c>
      <c r="L1290" s="1" t="s">
        <v>45</v>
      </c>
      <c r="M1290">
        <v>0</v>
      </c>
      <c r="N1290">
        <v>0</v>
      </c>
      <c r="O1290">
        <v>0</v>
      </c>
      <c r="P1290" s="2">
        <v>41760</v>
      </c>
      <c r="Q1290">
        <v>0</v>
      </c>
      <c r="R1290" s="1" t="s">
        <v>61</v>
      </c>
    </row>
    <row r="1291" spans="1:18" x14ac:dyDescent="0.25">
      <c r="A1291">
        <v>2014</v>
      </c>
      <c r="B1291">
        <v>6</v>
      </c>
      <c r="C1291" s="1" t="s">
        <v>29</v>
      </c>
      <c r="D1291" s="1" t="s">
        <v>19</v>
      </c>
      <c r="E1291" s="1" t="s">
        <v>84</v>
      </c>
      <c r="F1291">
        <v>2013</v>
      </c>
      <c r="G1291">
        <v>1</v>
      </c>
      <c r="H1291" s="1" t="s">
        <v>59</v>
      </c>
      <c r="I1291">
        <v>23</v>
      </c>
      <c r="J1291">
        <v>2683</v>
      </c>
      <c r="K1291" s="1" t="s">
        <v>85</v>
      </c>
      <c r="L1291" s="1" t="s">
        <v>45</v>
      </c>
      <c r="M1291">
        <v>0</v>
      </c>
      <c r="N1291">
        <v>0</v>
      </c>
      <c r="O1291">
        <v>0</v>
      </c>
      <c r="P1291" s="2">
        <v>41791</v>
      </c>
      <c r="Q1291">
        <v>0</v>
      </c>
      <c r="R1291" s="1" t="s">
        <v>61</v>
      </c>
    </row>
    <row r="1292" spans="1:18" x14ac:dyDescent="0.25">
      <c r="A1292">
        <v>2014</v>
      </c>
      <c r="B1292">
        <v>7</v>
      </c>
      <c r="C1292" s="1" t="s">
        <v>30</v>
      </c>
      <c r="D1292" s="1" t="s">
        <v>19</v>
      </c>
      <c r="E1292" s="1" t="s">
        <v>84</v>
      </c>
      <c r="F1292">
        <v>2013</v>
      </c>
      <c r="G1292">
        <v>1</v>
      </c>
      <c r="H1292" s="1" t="s">
        <v>59</v>
      </c>
      <c r="I1292">
        <v>23</v>
      </c>
      <c r="J1292">
        <v>2683</v>
      </c>
      <c r="K1292" s="1" t="s">
        <v>85</v>
      </c>
      <c r="L1292" s="1" t="s">
        <v>45</v>
      </c>
      <c r="M1292">
        <v>0</v>
      </c>
      <c r="N1292">
        <v>0</v>
      </c>
      <c r="O1292">
        <v>0</v>
      </c>
      <c r="P1292" s="2">
        <v>41821</v>
      </c>
      <c r="Q1292">
        <v>0</v>
      </c>
      <c r="R1292" s="1" t="s">
        <v>61</v>
      </c>
    </row>
    <row r="1293" spans="1:18" x14ac:dyDescent="0.25">
      <c r="A1293">
        <v>2014</v>
      </c>
      <c r="B1293">
        <v>8</v>
      </c>
      <c r="C1293" s="1" t="s">
        <v>31</v>
      </c>
      <c r="D1293" s="1" t="s">
        <v>19</v>
      </c>
      <c r="E1293" s="1" t="s">
        <v>84</v>
      </c>
      <c r="F1293">
        <v>2013</v>
      </c>
      <c r="G1293">
        <v>1</v>
      </c>
      <c r="H1293" s="1" t="s">
        <v>59</v>
      </c>
      <c r="I1293">
        <v>23</v>
      </c>
      <c r="J1293">
        <v>2683</v>
      </c>
      <c r="K1293" s="1" t="s">
        <v>85</v>
      </c>
      <c r="L1293" s="1" t="s">
        <v>45</v>
      </c>
      <c r="M1293">
        <v>0</v>
      </c>
      <c r="N1293">
        <v>0</v>
      </c>
      <c r="O1293">
        <v>0</v>
      </c>
      <c r="P1293" s="2">
        <v>41852</v>
      </c>
      <c r="Q1293">
        <v>0</v>
      </c>
      <c r="R1293" s="1" t="s">
        <v>61</v>
      </c>
    </row>
    <row r="1294" spans="1:18" x14ac:dyDescent="0.25">
      <c r="A1294">
        <v>2014</v>
      </c>
      <c r="B1294">
        <v>9</v>
      </c>
      <c r="C1294" s="1" t="s">
        <v>32</v>
      </c>
      <c r="D1294" s="1" t="s">
        <v>19</v>
      </c>
      <c r="E1294" s="1" t="s">
        <v>84</v>
      </c>
      <c r="F1294">
        <v>2013</v>
      </c>
      <c r="G1294">
        <v>1</v>
      </c>
      <c r="H1294" s="1" t="s">
        <v>59</v>
      </c>
      <c r="I1294">
        <v>23</v>
      </c>
      <c r="J1294">
        <v>2683</v>
      </c>
      <c r="K1294" s="1" t="s">
        <v>85</v>
      </c>
      <c r="L1294" s="1" t="s">
        <v>45</v>
      </c>
      <c r="M1294">
        <v>0</v>
      </c>
      <c r="N1294">
        <v>0</v>
      </c>
      <c r="O1294">
        <v>0</v>
      </c>
      <c r="P1294" s="2">
        <v>41883</v>
      </c>
      <c r="Q1294">
        <v>0</v>
      </c>
      <c r="R1294" s="1" t="s">
        <v>61</v>
      </c>
    </row>
    <row r="1295" spans="1:18" x14ac:dyDescent="0.25">
      <c r="A1295">
        <v>2014</v>
      </c>
      <c r="B1295">
        <v>10</v>
      </c>
      <c r="C1295" s="1" t="s">
        <v>33</v>
      </c>
      <c r="D1295" s="1" t="s">
        <v>19</v>
      </c>
      <c r="E1295" s="1" t="s">
        <v>84</v>
      </c>
      <c r="F1295">
        <v>2013</v>
      </c>
      <c r="G1295">
        <v>1</v>
      </c>
      <c r="H1295" s="1" t="s">
        <v>59</v>
      </c>
      <c r="I1295">
        <v>23</v>
      </c>
      <c r="J1295">
        <v>2683</v>
      </c>
      <c r="K1295" s="1" t="s">
        <v>85</v>
      </c>
      <c r="L1295" s="1" t="s">
        <v>45</v>
      </c>
      <c r="M1295">
        <v>0</v>
      </c>
      <c r="N1295">
        <v>0</v>
      </c>
      <c r="O1295">
        <v>0</v>
      </c>
      <c r="P1295" s="2">
        <v>41913</v>
      </c>
      <c r="Q1295">
        <v>0</v>
      </c>
      <c r="R1295" s="1" t="s">
        <v>61</v>
      </c>
    </row>
    <row r="1296" spans="1:18" x14ac:dyDescent="0.25">
      <c r="A1296">
        <v>2014</v>
      </c>
      <c r="B1296">
        <v>11</v>
      </c>
      <c r="C1296" s="1" t="s">
        <v>34</v>
      </c>
      <c r="D1296" s="1" t="s">
        <v>19</v>
      </c>
      <c r="E1296" s="1" t="s">
        <v>84</v>
      </c>
      <c r="F1296">
        <v>2013</v>
      </c>
      <c r="G1296">
        <v>1</v>
      </c>
      <c r="H1296" s="1" t="s">
        <v>59</v>
      </c>
      <c r="I1296">
        <v>23</v>
      </c>
      <c r="J1296">
        <v>2683</v>
      </c>
      <c r="K1296" s="1" t="s">
        <v>85</v>
      </c>
      <c r="L1296" s="1" t="s">
        <v>45</v>
      </c>
      <c r="M1296">
        <v>0</v>
      </c>
      <c r="N1296">
        <v>0</v>
      </c>
      <c r="O1296">
        <v>0</v>
      </c>
      <c r="P1296" s="2">
        <v>41944</v>
      </c>
      <c r="Q1296">
        <v>0</v>
      </c>
      <c r="R1296" s="1" t="s">
        <v>61</v>
      </c>
    </row>
    <row r="1297" spans="1:18" x14ac:dyDescent="0.25">
      <c r="A1297">
        <v>2014</v>
      </c>
      <c r="B1297">
        <v>12</v>
      </c>
      <c r="C1297" s="1" t="s">
        <v>35</v>
      </c>
      <c r="D1297" s="1" t="s">
        <v>19</v>
      </c>
      <c r="E1297" s="1" t="s">
        <v>84</v>
      </c>
      <c r="F1297">
        <v>2013</v>
      </c>
      <c r="G1297">
        <v>1</v>
      </c>
      <c r="H1297" s="1" t="s">
        <v>59</v>
      </c>
      <c r="I1297">
        <v>23</v>
      </c>
      <c r="J1297">
        <v>2683</v>
      </c>
      <c r="K1297" s="1" t="s">
        <v>85</v>
      </c>
      <c r="L1297" s="1" t="s">
        <v>45</v>
      </c>
      <c r="M1297">
        <v>0</v>
      </c>
      <c r="N1297">
        <v>0</v>
      </c>
      <c r="O1297">
        <v>0</v>
      </c>
      <c r="P1297" s="2">
        <v>41974</v>
      </c>
      <c r="Q1297">
        <v>0</v>
      </c>
      <c r="R1297" s="1" t="s">
        <v>61</v>
      </c>
    </row>
    <row r="1298" spans="1:18" x14ac:dyDescent="0.25">
      <c r="A1298">
        <v>2014</v>
      </c>
      <c r="B1298">
        <v>1</v>
      </c>
      <c r="C1298" s="1" t="s">
        <v>18</v>
      </c>
      <c r="D1298" s="1" t="s">
        <v>19</v>
      </c>
      <c r="E1298" s="1" t="s">
        <v>86</v>
      </c>
      <c r="F1298">
        <v>2013</v>
      </c>
      <c r="G1298">
        <v>1</v>
      </c>
      <c r="H1298" s="1" t="s">
        <v>59</v>
      </c>
      <c r="I1298">
        <v>24</v>
      </c>
      <c r="J1298">
        <v>3445</v>
      </c>
      <c r="K1298" s="1" t="s">
        <v>87</v>
      </c>
      <c r="L1298" s="1" t="s">
        <v>45</v>
      </c>
      <c r="M1298">
        <v>0</v>
      </c>
      <c r="N1298">
        <v>0</v>
      </c>
      <c r="O1298">
        <v>0</v>
      </c>
      <c r="P1298" s="2">
        <v>41640</v>
      </c>
      <c r="Q1298">
        <v>0</v>
      </c>
      <c r="R1298" s="1" t="s">
        <v>61</v>
      </c>
    </row>
    <row r="1299" spans="1:18" x14ac:dyDescent="0.25">
      <c r="A1299">
        <v>2014</v>
      </c>
      <c r="B1299">
        <v>2</v>
      </c>
      <c r="C1299" s="1" t="s">
        <v>25</v>
      </c>
      <c r="D1299" s="1" t="s">
        <v>19</v>
      </c>
      <c r="E1299" s="1" t="s">
        <v>86</v>
      </c>
      <c r="F1299">
        <v>2013</v>
      </c>
      <c r="G1299">
        <v>1</v>
      </c>
      <c r="H1299" s="1" t="s">
        <v>59</v>
      </c>
      <c r="I1299">
        <v>24</v>
      </c>
      <c r="J1299">
        <v>3445</v>
      </c>
      <c r="K1299" s="1" t="s">
        <v>87</v>
      </c>
      <c r="L1299" s="1" t="s">
        <v>45</v>
      </c>
      <c r="M1299">
        <v>0</v>
      </c>
      <c r="N1299">
        <v>0</v>
      </c>
      <c r="O1299">
        <v>0</v>
      </c>
      <c r="P1299" s="2">
        <v>41671</v>
      </c>
      <c r="Q1299">
        <v>0</v>
      </c>
      <c r="R1299" s="1" t="s">
        <v>61</v>
      </c>
    </row>
    <row r="1300" spans="1:18" x14ac:dyDescent="0.25">
      <c r="A1300">
        <v>2014</v>
      </c>
      <c r="B1300">
        <v>3</v>
      </c>
      <c r="C1300" s="1" t="s">
        <v>26</v>
      </c>
      <c r="D1300" s="1" t="s">
        <v>19</v>
      </c>
      <c r="E1300" s="1" t="s">
        <v>86</v>
      </c>
      <c r="F1300">
        <v>2013</v>
      </c>
      <c r="G1300">
        <v>1</v>
      </c>
      <c r="H1300" s="1" t="s">
        <v>59</v>
      </c>
      <c r="I1300">
        <v>24</v>
      </c>
      <c r="J1300">
        <v>3445</v>
      </c>
      <c r="K1300" s="1" t="s">
        <v>87</v>
      </c>
      <c r="L1300" s="1" t="s">
        <v>45</v>
      </c>
      <c r="M1300">
        <v>0</v>
      </c>
      <c r="N1300">
        <v>0</v>
      </c>
      <c r="O1300">
        <v>0</v>
      </c>
      <c r="P1300" s="2">
        <v>41699</v>
      </c>
      <c r="Q1300">
        <v>0</v>
      </c>
      <c r="R1300" s="1" t="s">
        <v>61</v>
      </c>
    </row>
    <row r="1301" spans="1:18" x14ac:dyDescent="0.25">
      <c r="A1301">
        <v>2014</v>
      </c>
      <c r="B1301">
        <v>4</v>
      </c>
      <c r="C1301" s="1" t="s">
        <v>27</v>
      </c>
      <c r="D1301" s="1" t="s">
        <v>19</v>
      </c>
      <c r="E1301" s="1" t="s">
        <v>86</v>
      </c>
      <c r="F1301">
        <v>2013</v>
      </c>
      <c r="G1301">
        <v>1</v>
      </c>
      <c r="H1301" s="1" t="s">
        <v>59</v>
      </c>
      <c r="I1301">
        <v>24</v>
      </c>
      <c r="J1301">
        <v>3445</v>
      </c>
      <c r="K1301" s="1" t="s">
        <v>87</v>
      </c>
      <c r="L1301" s="1" t="s">
        <v>45</v>
      </c>
      <c r="M1301">
        <v>0</v>
      </c>
      <c r="N1301">
        <v>0</v>
      </c>
      <c r="O1301">
        <v>0</v>
      </c>
      <c r="P1301" s="2">
        <v>41730</v>
      </c>
      <c r="Q1301">
        <v>0</v>
      </c>
      <c r="R1301" s="1" t="s">
        <v>61</v>
      </c>
    </row>
    <row r="1302" spans="1:18" x14ac:dyDescent="0.25">
      <c r="A1302">
        <v>2014</v>
      </c>
      <c r="B1302">
        <v>5</v>
      </c>
      <c r="C1302" s="1" t="s">
        <v>28</v>
      </c>
      <c r="D1302" s="1" t="s">
        <v>19</v>
      </c>
      <c r="E1302" s="1" t="s">
        <v>86</v>
      </c>
      <c r="F1302">
        <v>2013</v>
      </c>
      <c r="G1302">
        <v>1</v>
      </c>
      <c r="H1302" s="1" t="s">
        <v>59</v>
      </c>
      <c r="I1302">
        <v>24</v>
      </c>
      <c r="J1302">
        <v>3445</v>
      </c>
      <c r="K1302" s="1" t="s">
        <v>87</v>
      </c>
      <c r="L1302" s="1" t="s">
        <v>45</v>
      </c>
      <c r="M1302">
        <v>0</v>
      </c>
      <c r="N1302">
        <v>0</v>
      </c>
      <c r="O1302">
        <v>0</v>
      </c>
      <c r="P1302" s="2">
        <v>41760</v>
      </c>
      <c r="Q1302">
        <v>0</v>
      </c>
      <c r="R1302" s="1" t="s">
        <v>61</v>
      </c>
    </row>
    <row r="1303" spans="1:18" x14ac:dyDescent="0.25">
      <c r="A1303">
        <v>2014</v>
      </c>
      <c r="B1303">
        <v>6</v>
      </c>
      <c r="C1303" s="1" t="s">
        <v>29</v>
      </c>
      <c r="D1303" s="1" t="s">
        <v>19</v>
      </c>
      <c r="E1303" s="1" t="s">
        <v>86</v>
      </c>
      <c r="F1303">
        <v>2013</v>
      </c>
      <c r="G1303">
        <v>1</v>
      </c>
      <c r="H1303" s="1" t="s">
        <v>59</v>
      </c>
      <c r="I1303">
        <v>24</v>
      </c>
      <c r="J1303">
        <v>3445</v>
      </c>
      <c r="K1303" s="1" t="s">
        <v>87</v>
      </c>
      <c r="L1303" s="1" t="s">
        <v>45</v>
      </c>
      <c r="M1303">
        <v>0</v>
      </c>
      <c r="N1303">
        <v>0</v>
      </c>
      <c r="O1303">
        <v>0</v>
      </c>
      <c r="P1303" s="2">
        <v>41791</v>
      </c>
      <c r="Q1303">
        <v>0</v>
      </c>
      <c r="R1303" s="1" t="s">
        <v>61</v>
      </c>
    </row>
    <row r="1304" spans="1:18" x14ac:dyDescent="0.25">
      <c r="A1304">
        <v>2014</v>
      </c>
      <c r="B1304">
        <v>7</v>
      </c>
      <c r="C1304" s="1" t="s">
        <v>30</v>
      </c>
      <c r="D1304" s="1" t="s">
        <v>19</v>
      </c>
      <c r="E1304" s="1" t="s">
        <v>86</v>
      </c>
      <c r="F1304">
        <v>2013</v>
      </c>
      <c r="G1304">
        <v>1</v>
      </c>
      <c r="H1304" s="1" t="s">
        <v>59</v>
      </c>
      <c r="I1304">
        <v>24</v>
      </c>
      <c r="J1304">
        <v>3445</v>
      </c>
      <c r="K1304" s="1" t="s">
        <v>87</v>
      </c>
      <c r="L1304" s="1" t="s">
        <v>45</v>
      </c>
      <c r="M1304">
        <v>0</v>
      </c>
      <c r="N1304">
        <v>0</v>
      </c>
      <c r="O1304">
        <v>0</v>
      </c>
      <c r="P1304" s="2">
        <v>41821</v>
      </c>
      <c r="Q1304">
        <v>0</v>
      </c>
      <c r="R1304" s="1" t="s">
        <v>61</v>
      </c>
    </row>
    <row r="1305" spans="1:18" x14ac:dyDescent="0.25">
      <c r="A1305">
        <v>2014</v>
      </c>
      <c r="B1305">
        <v>8</v>
      </c>
      <c r="C1305" s="1" t="s">
        <v>31</v>
      </c>
      <c r="D1305" s="1" t="s">
        <v>19</v>
      </c>
      <c r="E1305" s="1" t="s">
        <v>86</v>
      </c>
      <c r="F1305">
        <v>2013</v>
      </c>
      <c r="G1305">
        <v>1</v>
      </c>
      <c r="H1305" s="1" t="s">
        <v>59</v>
      </c>
      <c r="I1305">
        <v>24</v>
      </c>
      <c r="J1305">
        <v>3445</v>
      </c>
      <c r="K1305" s="1" t="s">
        <v>87</v>
      </c>
      <c r="L1305" s="1" t="s">
        <v>45</v>
      </c>
      <c r="M1305">
        <v>0</v>
      </c>
      <c r="N1305">
        <v>0</v>
      </c>
      <c r="O1305">
        <v>0</v>
      </c>
      <c r="P1305" s="2">
        <v>41852</v>
      </c>
      <c r="Q1305">
        <v>0</v>
      </c>
      <c r="R1305" s="1" t="s">
        <v>61</v>
      </c>
    </row>
    <row r="1306" spans="1:18" x14ac:dyDescent="0.25">
      <c r="A1306">
        <v>2014</v>
      </c>
      <c r="B1306">
        <v>9</v>
      </c>
      <c r="C1306" s="1" t="s">
        <v>32</v>
      </c>
      <c r="D1306" s="1" t="s">
        <v>19</v>
      </c>
      <c r="E1306" s="1" t="s">
        <v>86</v>
      </c>
      <c r="F1306">
        <v>2013</v>
      </c>
      <c r="G1306">
        <v>1</v>
      </c>
      <c r="H1306" s="1" t="s">
        <v>59</v>
      </c>
      <c r="I1306">
        <v>24</v>
      </c>
      <c r="J1306">
        <v>3445</v>
      </c>
      <c r="K1306" s="1" t="s">
        <v>87</v>
      </c>
      <c r="L1306" s="1" t="s">
        <v>45</v>
      </c>
      <c r="M1306">
        <v>0</v>
      </c>
      <c r="N1306">
        <v>0</v>
      </c>
      <c r="O1306">
        <v>0</v>
      </c>
      <c r="P1306" s="2">
        <v>41883</v>
      </c>
      <c r="Q1306">
        <v>0</v>
      </c>
      <c r="R1306" s="1" t="s">
        <v>61</v>
      </c>
    </row>
    <row r="1307" spans="1:18" x14ac:dyDescent="0.25">
      <c r="A1307">
        <v>2014</v>
      </c>
      <c r="B1307">
        <v>10</v>
      </c>
      <c r="C1307" s="1" t="s">
        <v>33</v>
      </c>
      <c r="D1307" s="1" t="s">
        <v>19</v>
      </c>
      <c r="E1307" s="1" t="s">
        <v>86</v>
      </c>
      <c r="F1307">
        <v>2013</v>
      </c>
      <c r="G1307">
        <v>1</v>
      </c>
      <c r="H1307" s="1" t="s">
        <v>59</v>
      </c>
      <c r="I1307">
        <v>24</v>
      </c>
      <c r="J1307">
        <v>3445</v>
      </c>
      <c r="K1307" s="1" t="s">
        <v>87</v>
      </c>
      <c r="L1307" s="1" t="s">
        <v>45</v>
      </c>
      <c r="M1307">
        <v>0</v>
      </c>
      <c r="N1307">
        <v>0</v>
      </c>
      <c r="O1307">
        <v>0</v>
      </c>
      <c r="P1307" s="2">
        <v>41913</v>
      </c>
      <c r="Q1307">
        <v>0</v>
      </c>
      <c r="R1307" s="1" t="s">
        <v>61</v>
      </c>
    </row>
    <row r="1308" spans="1:18" x14ac:dyDescent="0.25">
      <c r="A1308">
        <v>2014</v>
      </c>
      <c r="B1308">
        <v>11</v>
      </c>
      <c r="C1308" s="1" t="s">
        <v>34</v>
      </c>
      <c r="D1308" s="1" t="s">
        <v>19</v>
      </c>
      <c r="E1308" s="1" t="s">
        <v>86</v>
      </c>
      <c r="F1308">
        <v>2013</v>
      </c>
      <c r="G1308">
        <v>1</v>
      </c>
      <c r="H1308" s="1" t="s">
        <v>59</v>
      </c>
      <c r="I1308">
        <v>24</v>
      </c>
      <c r="J1308">
        <v>3445</v>
      </c>
      <c r="K1308" s="1" t="s">
        <v>87</v>
      </c>
      <c r="L1308" s="1" t="s">
        <v>45</v>
      </c>
      <c r="M1308">
        <v>0</v>
      </c>
      <c r="N1308">
        <v>0</v>
      </c>
      <c r="O1308">
        <v>0</v>
      </c>
      <c r="P1308" s="2">
        <v>41944</v>
      </c>
      <c r="Q1308">
        <v>0</v>
      </c>
      <c r="R1308" s="1" t="s">
        <v>61</v>
      </c>
    </row>
    <row r="1309" spans="1:18" x14ac:dyDescent="0.25">
      <c r="A1309">
        <v>2014</v>
      </c>
      <c r="B1309">
        <v>12</v>
      </c>
      <c r="C1309" s="1" t="s">
        <v>35</v>
      </c>
      <c r="D1309" s="1" t="s">
        <v>19</v>
      </c>
      <c r="E1309" s="1" t="s">
        <v>86</v>
      </c>
      <c r="F1309">
        <v>2013</v>
      </c>
      <c r="G1309">
        <v>1</v>
      </c>
      <c r="H1309" s="1" t="s">
        <v>59</v>
      </c>
      <c r="I1309">
        <v>24</v>
      </c>
      <c r="J1309">
        <v>3445</v>
      </c>
      <c r="K1309" s="1" t="s">
        <v>87</v>
      </c>
      <c r="L1309" s="1" t="s">
        <v>45</v>
      </c>
      <c r="M1309">
        <v>0</v>
      </c>
      <c r="N1309">
        <v>0</v>
      </c>
      <c r="O1309">
        <v>0</v>
      </c>
      <c r="P1309" s="2">
        <v>41974</v>
      </c>
      <c r="Q1309">
        <v>0</v>
      </c>
      <c r="R1309" s="1" t="s">
        <v>61</v>
      </c>
    </row>
    <row r="1310" spans="1:18" x14ac:dyDescent="0.25">
      <c r="A1310">
        <v>2014</v>
      </c>
      <c r="B1310">
        <v>1</v>
      </c>
      <c r="C1310" s="1" t="s">
        <v>18</v>
      </c>
      <c r="D1310" s="1" t="s">
        <v>19</v>
      </c>
      <c r="E1310" s="1" t="s">
        <v>88</v>
      </c>
      <c r="F1310">
        <v>2013</v>
      </c>
      <c r="G1310">
        <v>1</v>
      </c>
      <c r="H1310" s="1" t="s">
        <v>59</v>
      </c>
      <c r="I1310">
        <v>24</v>
      </c>
      <c r="J1310">
        <v>3271</v>
      </c>
      <c r="K1310" s="1" t="s">
        <v>89</v>
      </c>
      <c r="L1310" s="1" t="s">
        <v>45</v>
      </c>
      <c r="M1310">
        <v>0</v>
      </c>
      <c r="N1310">
        <v>0</v>
      </c>
      <c r="O1310">
        <v>0</v>
      </c>
      <c r="P1310" s="2">
        <v>41640</v>
      </c>
      <c r="Q1310">
        <v>0</v>
      </c>
      <c r="R1310" s="1" t="s">
        <v>61</v>
      </c>
    </row>
    <row r="1311" spans="1:18" x14ac:dyDescent="0.25">
      <c r="A1311">
        <v>2014</v>
      </c>
      <c r="B1311">
        <v>2</v>
      </c>
      <c r="C1311" s="1" t="s">
        <v>25</v>
      </c>
      <c r="D1311" s="1" t="s">
        <v>19</v>
      </c>
      <c r="E1311" s="1" t="s">
        <v>88</v>
      </c>
      <c r="F1311">
        <v>2013</v>
      </c>
      <c r="G1311">
        <v>1</v>
      </c>
      <c r="H1311" s="1" t="s">
        <v>59</v>
      </c>
      <c r="I1311">
        <v>24</v>
      </c>
      <c r="J1311">
        <v>3271</v>
      </c>
      <c r="K1311" s="1" t="s">
        <v>89</v>
      </c>
      <c r="L1311" s="1" t="s">
        <v>45</v>
      </c>
      <c r="M1311">
        <v>0</v>
      </c>
      <c r="N1311">
        <v>0</v>
      </c>
      <c r="O1311">
        <v>0</v>
      </c>
      <c r="P1311" s="2">
        <v>41671</v>
      </c>
      <c r="Q1311">
        <v>0</v>
      </c>
      <c r="R1311" s="1" t="s">
        <v>61</v>
      </c>
    </row>
    <row r="1312" spans="1:18" x14ac:dyDescent="0.25">
      <c r="A1312">
        <v>2014</v>
      </c>
      <c r="B1312">
        <v>3</v>
      </c>
      <c r="C1312" s="1" t="s">
        <v>26</v>
      </c>
      <c r="D1312" s="1" t="s">
        <v>19</v>
      </c>
      <c r="E1312" s="1" t="s">
        <v>88</v>
      </c>
      <c r="F1312">
        <v>2013</v>
      </c>
      <c r="G1312">
        <v>1</v>
      </c>
      <c r="H1312" s="1" t="s">
        <v>59</v>
      </c>
      <c r="I1312">
        <v>24</v>
      </c>
      <c r="J1312">
        <v>3271</v>
      </c>
      <c r="K1312" s="1" t="s">
        <v>89</v>
      </c>
      <c r="L1312" s="1" t="s">
        <v>45</v>
      </c>
      <c r="M1312">
        <v>0</v>
      </c>
      <c r="N1312">
        <v>0</v>
      </c>
      <c r="O1312">
        <v>0</v>
      </c>
      <c r="P1312" s="2">
        <v>41699</v>
      </c>
      <c r="Q1312">
        <v>0</v>
      </c>
      <c r="R1312" s="1" t="s">
        <v>61</v>
      </c>
    </row>
    <row r="1313" spans="1:18" x14ac:dyDescent="0.25">
      <c r="A1313">
        <v>2014</v>
      </c>
      <c r="B1313">
        <v>4</v>
      </c>
      <c r="C1313" s="1" t="s">
        <v>27</v>
      </c>
      <c r="D1313" s="1" t="s">
        <v>19</v>
      </c>
      <c r="E1313" s="1" t="s">
        <v>88</v>
      </c>
      <c r="F1313">
        <v>2013</v>
      </c>
      <c r="G1313">
        <v>1</v>
      </c>
      <c r="H1313" s="1" t="s">
        <v>59</v>
      </c>
      <c r="I1313">
        <v>24</v>
      </c>
      <c r="J1313">
        <v>3271</v>
      </c>
      <c r="K1313" s="1" t="s">
        <v>89</v>
      </c>
      <c r="L1313" s="1" t="s">
        <v>45</v>
      </c>
      <c r="M1313">
        <v>0</v>
      </c>
      <c r="N1313">
        <v>0</v>
      </c>
      <c r="O1313">
        <v>0</v>
      </c>
      <c r="P1313" s="2">
        <v>41730</v>
      </c>
      <c r="Q1313">
        <v>0</v>
      </c>
      <c r="R1313" s="1" t="s">
        <v>61</v>
      </c>
    </row>
    <row r="1314" spans="1:18" x14ac:dyDescent="0.25">
      <c r="A1314">
        <v>2014</v>
      </c>
      <c r="B1314">
        <v>5</v>
      </c>
      <c r="C1314" s="1" t="s">
        <v>28</v>
      </c>
      <c r="D1314" s="1" t="s">
        <v>19</v>
      </c>
      <c r="E1314" s="1" t="s">
        <v>88</v>
      </c>
      <c r="F1314">
        <v>2013</v>
      </c>
      <c r="G1314">
        <v>1</v>
      </c>
      <c r="H1314" s="1" t="s">
        <v>59</v>
      </c>
      <c r="I1314">
        <v>24</v>
      </c>
      <c r="J1314">
        <v>3271</v>
      </c>
      <c r="K1314" s="1" t="s">
        <v>89</v>
      </c>
      <c r="L1314" s="1" t="s">
        <v>45</v>
      </c>
      <c r="M1314">
        <v>0</v>
      </c>
      <c r="N1314">
        <v>0</v>
      </c>
      <c r="O1314">
        <v>0</v>
      </c>
      <c r="P1314" s="2">
        <v>41760</v>
      </c>
      <c r="Q1314">
        <v>0</v>
      </c>
      <c r="R1314" s="1" t="s">
        <v>61</v>
      </c>
    </row>
    <row r="1315" spans="1:18" x14ac:dyDescent="0.25">
      <c r="A1315">
        <v>2014</v>
      </c>
      <c r="B1315">
        <v>6</v>
      </c>
      <c r="C1315" s="1" t="s">
        <v>29</v>
      </c>
      <c r="D1315" s="1" t="s">
        <v>19</v>
      </c>
      <c r="E1315" s="1" t="s">
        <v>88</v>
      </c>
      <c r="F1315">
        <v>2013</v>
      </c>
      <c r="G1315">
        <v>1</v>
      </c>
      <c r="H1315" s="1" t="s">
        <v>59</v>
      </c>
      <c r="I1315">
        <v>24</v>
      </c>
      <c r="J1315">
        <v>3271</v>
      </c>
      <c r="K1315" s="1" t="s">
        <v>89</v>
      </c>
      <c r="L1315" s="1" t="s">
        <v>45</v>
      </c>
      <c r="M1315">
        <v>0</v>
      </c>
      <c r="N1315">
        <v>0</v>
      </c>
      <c r="O1315">
        <v>0</v>
      </c>
      <c r="P1315" s="2">
        <v>41791</v>
      </c>
      <c r="Q1315">
        <v>0</v>
      </c>
      <c r="R1315" s="1" t="s">
        <v>61</v>
      </c>
    </row>
    <row r="1316" spans="1:18" x14ac:dyDescent="0.25">
      <c r="A1316">
        <v>2014</v>
      </c>
      <c r="B1316">
        <v>7</v>
      </c>
      <c r="C1316" s="1" t="s">
        <v>30</v>
      </c>
      <c r="D1316" s="1" t="s">
        <v>19</v>
      </c>
      <c r="E1316" s="1" t="s">
        <v>88</v>
      </c>
      <c r="F1316">
        <v>2013</v>
      </c>
      <c r="G1316">
        <v>1</v>
      </c>
      <c r="H1316" s="1" t="s">
        <v>59</v>
      </c>
      <c r="I1316">
        <v>24</v>
      </c>
      <c r="J1316">
        <v>3271</v>
      </c>
      <c r="K1316" s="1" t="s">
        <v>89</v>
      </c>
      <c r="L1316" s="1" t="s">
        <v>45</v>
      </c>
      <c r="M1316">
        <v>0</v>
      </c>
      <c r="N1316">
        <v>0</v>
      </c>
      <c r="O1316">
        <v>0</v>
      </c>
      <c r="P1316" s="2">
        <v>41821</v>
      </c>
      <c r="Q1316">
        <v>0</v>
      </c>
      <c r="R1316" s="1" t="s">
        <v>61</v>
      </c>
    </row>
    <row r="1317" spans="1:18" x14ac:dyDescent="0.25">
      <c r="A1317">
        <v>2014</v>
      </c>
      <c r="B1317">
        <v>8</v>
      </c>
      <c r="C1317" s="1" t="s">
        <v>31</v>
      </c>
      <c r="D1317" s="1" t="s">
        <v>19</v>
      </c>
      <c r="E1317" s="1" t="s">
        <v>88</v>
      </c>
      <c r="F1317">
        <v>2013</v>
      </c>
      <c r="G1317">
        <v>1</v>
      </c>
      <c r="H1317" s="1" t="s">
        <v>59</v>
      </c>
      <c r="I1317">
        <v>24</v>
      </c>
      <c r="J1317">
        <v>3271</v>
      </c>
      <c r="K1317" s="1" t="s">
        <v>89</v>
      </c>
      <c r="L1317" s="1" t="s">
        <v>45</v>
      </c>
      <c r="M1317">
        <v>0</v>
      </c>
      <c r="N1317">
        <v>0</v>
      </c>
      <c r="O1317">
        <v>0</v>
      </c>
      <c r="P1317" s="2">
        <v>41852</v>
      </c>
      <c r="Q1317">
        <v>0</v>
      </c>
      <c r="R1317" s="1" t="s">
        <v>61</v>
      </c>
    </row>
    <row r="1318" spans="1:18" x14ac:dyDescent="0.25">
      <c r="A1318">
        <v>2014</v>
      </c>
      <c r="B1318">
        <v>9</v>
      </c>
      <c r="C1318" s="1" t="s">
        <v>32</v>
      </c>
      <c r="D1318" s="1" t="s">
        <v>19</v>
      </c>
      <c r="E1318" s="1" t="s">
        <v>88</v>
      </c>
      <c r="F1318">
        <v>2013</v>
      </c>
      <c r="G1318">
        <v>1</v>
      </c>
      <c r="H1318" s="1" t="s">
        <v>59</v>
      </c>
      <c r="I1318">
        <v>24</v>
      </c>
      <c r="J1318">
        <v>3271</v>
      </c>
      <c r="K1318" s="1" t="s">
        <v>89</v>
      </c>
      <c r="L1318" s="1" t="s">
        <v>45</v>
      </c>
      <c r="M1318">
        <v>0</v>
      </c>
      <c r="N1318">
        <v>0</v>
      </c>
      <c r="O1318">
        <v>0</v>
      </c>
      <c r="P1318" s="2">
        <v>41883</v>
      </c>
      <c r="Q1318">
        <v>0</v>
      </c>
      <c r="R1318" s="1" t="s">
        <v>61</v>
      </c>
    </row>
    <row r="1319" spans="1:18" x14ac:dyDescent="0.25">
      <c r="A1319">
        <v>2014</v>
      </c>
      <c r="B1319">
        <v>10</v>
      </c>
      <c r="C1319" s="1" t="s">
        <v>33</v>
      </c>
      <c r="D1319" s="1" t="s">
        <v>19</v>
      </c>
      <c r="E1319" s="1" t="s">
        <v>88</v>
      </c>
      <c r="F1319">
        <v>2013</v>
      </c>
      <c r="G1319">
        <v>1</v>
      </c>
      <c r="H1319" s="1" t="s">
        <v>59</v>
      </c>
      <c r="I1319">
        <v>24</v>
      </c>
      <c r="J1319">
        <v>3271</v>
      </c>
      <c r="K1319" s="1" t="s">
        <v>89</v>
      </c>
      <c r="L1319" s="1" t="s">
        <v>45</v>
      </c>
      <c r="M1319">
        <v>0</v>
      </c>
      <c r="N1319">
        <v>0</v>
      </c>
      <c r="O1319">
        <v>0</v>
      </c>
      <c r="P1319" s="2">
        <v>41913</v>
      </c>
      <c r="Q1319">
        <v>0</v>
      </c>
      <c r="R1319" s="1" t="s">
        <v>61</v>
      </c>
    </row>
    <row r="1320" spans="1:18" x14ac:dyDescent="0.25">
      <c r="A1320">
        <v>2014</v>
      </c>
      <c r="B1320">
        <v>11</v>
      </c>
      <c r="C1320" s="1" t="s">
        <v>34</v>
      </c>
      <c r="D1320" s="1" t="s">
        <v>19</v>
      </c>
      <c r="E1320" s="1" t="s">
        <v>88</v>
      </c>
      <c r="F1320">
        <v>2013</v>
      </c>
      <c r="G1320">
        <v>1</v>
      </c>
      <c r="H1320" s="1" t="s">
        <v>59</v>
      </c>
      <c r="I1320">
        <v>24</v>
      </c>
      <c r="J1320">
        <v>3271</v>
      </c>
      <c r="K1320" s="1" t="s">
        <v>89</v>
      </c>
      <c r="L1320" s="1" t="s">
        <v>45</v>
      </c>
      <c r="M1320">
        <v>0</v>
      </c>
      <c r="N1320">
        <v>0</v>
      </c>
      <c r="O1320">
        <v>0</v>
      </c>
      <c r="P1320" s="2">
        <v>41944</v>
      </c>
      <c r="Q1320">
        <v>0</v>
      </c>
      <c r="R1320" s="1" t="s">
        <v>61</v>
      </c>
    </row>
    <row r="1321" spans="1:18" x14ac:dyDescent="0.25">
      <c r="A1321">
        <v>2014</v>
      </c>
      <c r="B1321">
        <v>12</v>
      </c>
      <c r="C1321" s="1" t="s">
        <v>35</v>
      </c>
      <c r="D1321" s="1" t="s">
        <v>19</v>
      </c>
      <c r="E1321" s="1" t="s">
        <v>88</v>
      </c>
      <c r="F1321">
        <v>2013</v>
      </c>
      <c r="G1321">
        <v>1</v>
      </c>
      <c r="H1321" s="1" t="s">
        <v>59</v>
      </c>
      <c r="I1321">
        <v>24</v>
      </c>
      <c r="J1321">
        <v>3271</v>
      </c>
      <c r="K1321" s="1" t="s">
        <v>89</v>
      </c>
      <c r="L1321" s="1" t="s">
        <v>45</v>
      </c>
      <c r="M1321">
        <v>0</v>
      </c>
      <c r="N1321">
        <v>0</v>
      </c>
      <c r="O1321">
        <v>0</v>
      </c>
      <c r="P1321" s="2">
        <v>41974</v>
      </c>
      <c r="Q1321">
        <v>0</v>
      </c>
      <c r="R1321" s="1" t="s">
        <v>61</v>
      </c>
    </row>
    <row r="1322" spans="1:18" x14ac:dyDescent="0.25">
      <c r="A1322">
        <v>2014</v>
      </c>
      <c r="B1322">
        <v>1</v>
      </c>
      <c r="C1322" s="1" t="s">
        <v>18</v>
      </c>
      <c r="D1322" s="1" t="s">
        <v>19</v>
      </c>
      <c r="E1322" s="1" t="s">
        <v>90</v>
      </c>
      <c r="F1322">
        <v>2013</v>
      </c>
      <c r="G1322">
        <v>1</v>
      </c>
      <c r="H1322" s="1" t="s">
        <v>59</v>
      </c>
      <c r="I1322">
        <v>25</v>
      </c>
      <c r="J1322">
        <v>3291</v>
      </c>
      <c r="K1322" s="1" t="s">
        <v>91</v>
      </c>
      <c r="L1322" s="1" t="s">
        <v>45</v>
      </c>
      <c r="M1322">
        <v>0</v>
      </c>
      <c r="N1322">
        <v>0</v>
      </c>
      <c r="O1322">
        <v>0</v>
      </c>
      <c r="P1322" s="2">
        <v>41640</v>
      </c>
      <c r="Q1322">
        <v>0</v>
      </c>
      <c r="R1322" s="1" t="s">
        <v>61</v>
      </c>
    </row>
    <row r="1323" spans="1:18" x14ac:dyDescent="0.25">
      <c r="A1323">
        <v>2014</v>
      </c>
      <c r="B1323">
        <v>2</v>
      </c>
      <c r="C1323" s="1" t="s">
        <v>25</v>
      </c>
      <c r="D1323" s="1" t="s">
        <v>19</v>
      </c>
      <c r="E1323" s="1" t="s">
        <v>90</v>
      </c>
      <c r="F1323">
        <v>2013</v>
      </c>
      <c r="G1323">
        <v>1</v>
      </c>
      <c r="H1323" s="1" t="s">
        <v>59</v>
      </c>
      <c r="I1323">
        <v>25</v>
      </c>
      <c r="J1323">
        <v>3291</v>
      </c>
      <c r="K1323" s="1" t="s">
        <v>91</v>
      </c>
      <c r="L1323" s="1" t="s">
        <v>45</v>
      </c>
      <c r="M1323">
        <v>0</v>
      </c>
      <c r="N1323">
        <v>0</v>
      </c>
      <c r="O1323">
        <v>0</v>
      </c>
      <c r="P1323" s="2">
        <v>41671</v>
      </c>
      <c r="Q1323">
        <v>0</v>
      </c>
      <c r="R1323" s="1" t="s">
        <v>61</v>
      </c>
    </row>
    <row r="1324" spans="1:18" x14ac:dyDescent="0.25">
      <c r="A1324">
        <v>2014</v>
      </c>
      <c r="B1324">
        <v>3</v>
      </c>
      <c r="C1324" s="1" t="s">
        <v>26</v>
      </c>
      <c r="D1324" s="1" t="s">
        <v>19</v>
      </c>
      <c r="E1324" s="1" t="s">
        <v>90</v>
      </c>
      <c r="F1324">
        <v>2013</v>
      </c>
      <c r="G1324">
        <v>1</v>
      </c>
      <c r="H1324" s="1" t="s">
        <v>59</v>
      </c>
      <c r="I1324">
        <v>25</v>
      </c>
      <c r="J1324">
        <v>3291</v>
      </c>
      <c r="K1324" s="1" t="s">
        <v>91</v>
      </c>
      <c r="L1324" s="1" t="s">
        <v>45</v>
      </c>
      <c r="M1324">
        <v>0</v>
      </c>
      <c r="N1324">
        <v>0</v>
      </c>
      <c r="O1324">
        <v>0</v>
      </c>
      <c r="P1324" s="2">
        <v>41699</v>
      </c>
      <c r="Q1324">
        <v>0</v>
      </c>
      <c r="R1324" s="1" t="s">
        <v>61</v>
      </c>
    </row>
    <row r="1325" spans="1:18" x14ac:dyDescent="0.25">
      <c r="A1325">
        <v>2014</v>
      </c>
      <c r="B1325">
        <v>4</v>
      </c>
      <c r="C1325" s="1" t="s">
        <v>27</v>
      </c>
      <c r="D1325" s="1" t="s">
        <v>19</v>
      </c>
      <c r="E1325" s="1" t="s">
        <v>90</v>
      </c>
      <c r="F1325">
        <v>2013</v>
      </c>
      <c r="G1325">
        <v>1</v>
      </c>
      <c r="H1325" s="1" t="s">
        <v>59</v>
      </c>
      <c r="I1325">
        <v>25</v>
      </c>
      <c r="J1325">
        <v>3291</v>
      </c>
      <c r="K1325" s="1" t="s">
        <v>91</v>
      </c>
      <c r="L1325" s="1" t="s">
        <v>45</v>
      </c>
      <c r="M1325">
        <v>0</v>
      </c>
      <c r="N1325">
        <v>0</v>
      </c>
      <c r="O1325">
        <v>0</v>
      </c>
      <c r="P1325" s="2">
        <v>41730</v>
      </c>
      <c r="Q1325">
        <v>0</v>
      </c>
      <c r="R1325" s="1" t="s">
        <v>61</v>
      </c>
    </row>
    <row r="1326" spans="1:18" x14ac:dyDescent="0.25">
      <c r="A1326">
        <v>2014</v>
      </c>
      <c r="B1326">
        <v>5</v>
      </c>
      <c r="C1326" s="1" t="s">
        <v>28</v>
      </c>
      <c r="D1326" s="1" t="s">
        <v>19</v>
      </c>
      <c r="E1326" s="1" t="s">
        <v>90</v>
      </c>
      <c r="F1326">
        <v>2013</v>
      </c>
      <c r="G1326">
        <v>1</v>
      </c>
      <c r="H1326" s="1" t="s">
        <v>59</v>
      </c>
      <c r="I1326">
        <v>25</v>
      </c>
      <c r="J1326">
        <v>3291</v>
      </c>
      <c r="K1326" s="1" t="s">
        <v>91</v>
      </c>
      <c r="L1326" s="1" t="s">
        <v>45</v>
      </c>
      <c r="M1326">
        <v>0</v>
      </c>
      <c r="N1326">
        <v>0</v>
      </c>
      <c r="O1326">
        <v>0</v>
      </c>
      <c r="P1326" s="2">
        <v>41760</v>
      </c>
      <c r="Q1326">
        <v>0</v>
      </c>
      <c r="R1326" s="1" t="s">
        <v>61</v>
      </c>
    </row>
    <row r="1327" spans="1:18" x14ac:dyDescent="0.25">
      <c r="A1327">
        <v>2014</v>
      </c>
      <c r="B1327">
        <v>6</v>
      </c>
      <c r="C1327" s="1" t="s">
        <v>29</v>
      </c>
      <c r="D1327" s="1" t="s">
        <v>19</v>
      </c>
      <c r="E1327" s="1" t="s">
        <v>90</v>
      </c>
      <c r="F1327">
        <v>2013</v>
      </c>
      <c r="G1327">
        <v>1</v>
      </c>
      <c r="H1327" s="1" t="s">
        <v>59</v>
      </c>
      <c r="I1327">
        <v>25</v>
      </c>
      <c r="J1327">
        <v>3291</v>
      </c>
      <c r="K1327" s="1" t="s">
        <v>91</v>
      </c>
      <c r="L1327" s="1" t="s">
        <v>45</v>
      </c>
      <c r="M1327">
        <v>0</v>
      </c>
      <c r="N1327">
        <v>0</v>
      </c>
      <c r="O1327">
        <v>0</v>
      </c>
      <c r="P1327" s="2">
        <v>41791</v>
      </c>
      <c r="Q1327">
        <v>0</v>
      </c>
      <c r="R1327" s="1" t="s">
        <v>61</v>
      </c>
    </row>
    <row r="1328" spans="1:18" x14ac:dyDescent="0.25">
      <c r="A1328">
        <v>2014</v>
      </c>
      <c r="B1328">
        <v>7</v>
      </c>
      <c r="C1328" s="1" t="s">
        <v>30</v>
      </c>
      <c r="D1328" s="1" t="s">
        <v>19</v>
      </c>
      <c r="E1328" s="1" t="s">
        <v>90</v>
      </c>
      <c r="F1328">
        <v>2013</v>
      </c>
      <c r="G1328">
        <v>1</v>
      </c>
      <c r="H1328" s="1" t="s">
        <v>59</v>
      </c>
      <c r="I1328">
        <v>25</v>
      </c>
      <c r="J1328">
        <v>3291</v>
      </c>
      <c r="K1328" s="1" t="s">
        <v>91</v>
      </c>
      <c r="L1328" s="1" t="s">
        <v>45</v>
      </c>
      <c r="M1328">
        <v>0</v>
      </c>
      <c r="N1328">
        <v>0</v>
      </c>
      <c r="O1328">
        <v>0</v>
      </c>
      <c r="P1328" s="2">
        <v>41821</v>
      </c>
      <c r="Q1328">
        <v>0</v>
      </c>
      <c r="R1328" s="1" t="s">
        <v>61</v>
      </c>
    </row>
    <row r="1329" spans="1:18" x14ac:dyDescent="0.25">
      <c r="A1329">
        <v>2014</v>
      </c>
      <c r="B1329">
        <v>8</v>
      </c>
      <c r="C1329" s="1" t="s">
        <v>31</v>
      </c>
      <c r="D1329" s="1" t="s">
        <v>19</v>
      </c>
      <c r="E1329" s="1" t="s">
        <v>90</v>
      </c>
      <c r="F1329">
        <v>2013</v>
      </c>
      <c r="G1329">
        <v>1</v>
      </c>
      <c r="H1329" s="1" t="s">
        <v>59</v>
      </c>
      <c r="I1329">
        <v>25</v>
      </c>
      <c r="J1329">
        <v>3291</v>
      </c>
      <c r="K1329" s="1" t="s">
        <v>91</v>
      </c>
      <c r="L1329" s="1" t="s">
        <v>45</v>
      </c>
      <c r="M1329">
        <v>0</v>
      </c>
      <c r="N1329">
        <v>0</v>
      </c>
      <c r="O1329">
        <v>0</v>
      </c>
      <c r="P1329" s="2">
        <v>41852</v>
      </c>
      <c r="Q1329">
        <v>0</v>
      </c>
      <c r="R1329" s="1" t="s">
        <v>61</v>
      </c>
    </row>
    <row r="1330" spans="1:18" x14ac:dyDescent="0.25">
      <c r="A1330">
        <v>2014</v>
      </c>
      <c r="B1330">
        <v>9</v>
      </c>
      <c r="C1330" s="1" t="s">
        <v>32</v>
      </c>
      <c r="D1330" s="1" t="s">
        <v>19</v>
      </c>
      <c r="E1330" s="1" t="s">
        <v>90</v>
      </c>
      <c r="F1330">
        <v>2013</v>
      </c>
      <c r="G1330">
        <v>1</v>
      </c>
      <c r="H1330" s="1" t="s">
        <v>59</v>
      </c>
      <c r="I1330">
        <v>25</v>
      </c>
      <c r="J1330">
        <v>3291</v>
      </c>
      <c r="K1330" s="1" t="s">
        <v>91</v>
      </c>
      <c r="L1330" s="1" t="s">
        <v>45</v>
      </c>
      <c r="M1330">
        <v>0</v>
      </c>
      <c r="N1330">
        <v>0</v>
      </c>
      <c r="O1330">
        <v>0</v>
      </c>
      <c r="P1330" s="2">
        <v>41883</v>
      </c>
      <c r="Q1330">
        <v>0</v>
      </c>
      <c r="R1330" s="1" t="s">
        <v>61</v>
      </c>
    </row>
    <row r="1331" spans="1:18" x14ac:dyDescent="0.25">
      <c r="A1331">
        <v>2014</v>
      </c>
      <c r="B1331">
        <v>10</v>
      </c>
      <c r="C1331" s="1" t="s">
        <v>33</v>
      </c>
      <c r="D1331" s="1" t="s">
        <v>19</v>
      </c>
      <c r="E1331" s="1" t="s">
        <v>90</v>
      </c>
      <c r="F1331">
        <v>2013</v>
      </c>
      <c r="G1331">
        <v>1</v>
      </c>
      <c r="H1331" s="1" t="s">
        <v>59</v>
      </c>
      <c r="I1331">
        <v>25</v>
      </c>
      <c r="J1331">
        <v>3291</v>
      </c>
      <c r="K1331" s="1" t="s">
        <v>91</v>
      </c>
      <c r="L1331" s="1" t="s">
        <v>45</v>
      </c>
      <c r="M1331">
        <v>0</v>
      </c>
      <c r="N1331">
        <v>0</v>
      </c>
      <c r="O1331">
        <v>0</v>
      </c>
      <c r="P1331" s="2">
        <v>41913</v>
      </c>
      <c r="Q1331">
        <v>0</v>
      </c>
      <c r="R1331" s="1" t="s">
        <v>61</v>
      </c>
    </row>
    <row r="1332" spans="1:18" x14ac:dyDescent="0.25">
      <c r="A1332">
        <v>2014</v>
      </c>
      <c r="B1332">
        <v>11</v>
      </c>
      <c r="C1332" s="1" t="s">
        <v>34</v>
      </c>
      <c r="D1332" s="1" t="s">
        <v>19</v>
      </c>
      <c r="E1332" s="1" t="s">
        <v>90</v>
      </c>
      <c r="F1332">
        <v>2013</v>
      </c>
      <c r="G1332">
        <v>1</v>
      </c>
      <c r="H1332" s="1" t="s">
        <v>59</v>
      </c>
      <c r="I1332">
        <v>25</v>
      </c>
      <c r="J1332">
        <v>3291</v>
      </c>
      <c r="K1332" s="1" t="s">
        <v>91</v>
      </c>
      <c r="L1332" s="1" t="s">
        <v>45</v>
      </c>
      <c r="M1332">
        <v>0</v>
      </c>
      <c r="N1332">
        <v>0</v>
      </c>
      <c r="O1332">
        <v>0</v>
      </c>
      <c r="P1332" s="2">
        <v>41944</v>
      </c>
      <c r="Q1332">
        <v>0</v>
      </c>
      <c r="R1332" s="1" t="s">
        <v>61</v>
      </c>
    </row>
    <row r="1333" spans="1:18" x14ac:dyDescent="0.25">
      <c r="A1333">
        <v>2014</v>
      </c>
      <c r="B1333">
        <v>12</v>
      </c>
      <c r="C1333" s="1" t="s">
        <v>35</v>
      </c>
      <c r="D1333" s="1" t="s">
        <v>19</v>
      </c>
      <c r="E1333" s="1" t="s">
        <v>90</v>
      </c>
      <c r="F1333">
        <v>2013</v>
      </c>
      <c r="G1333">
        <v>1</v>
      </c>
      <c r="H1333" s="1" t="s">
        <v>59</v>
      </c>
      <c r="I1333">
        <v>25</v>
      </c>
      <c r="J1333">
        <v>3291</v>
      </c>
      <c r="K1333" s="1" t="s">
        <v>91</v>
      </c>
      <c r="L1333" s="1" t="s">
        <v>45</v>
      </c>
      <c r="M1333">
        <v>0</v>
      </c>
      <c r="N1333">
        <v>0</v>
      </c>
      <c r="O1333">
        <v>0</v>
      </c>
      <c r="P1333" s="2">
        <v>41974</v>
      </c>
      <c r="Q1333">
        <v>0</v>
      </c>
      <c r="R1333" s="1" t="s">
        <v>61</v>
      </c>
    </row>
    <row r="1334" spans="1:18" x14ac:dyDescent="0.25">
      <c r="A1334">
        <v>2014</v>
      </c>
      <c r="B1334">
        <v>1</v>
      </c>
      <c r="C1334" s="1" t="s">
        <v>18</v>
      </c>
      <c r="D1334" s="1" t="s">
        <v>19</v>
      </c>
      <c r="E1334" s="1" t="s">
        <v>92</v>
      </c>
      <c r="F1334">
        <v>2014</v>
      </c>
      <c r="G1334">
        <v>0</v>
      </c>
      <c r="H1334" s="1" t="s">
        <v>59</v>
      </c>
      <c r="I1334">
        <v>24</v>
      </c>
      <c r="J1334">
        <v>2208</v>
      </c>
      <c r="K1334" s="1" t="s">
        <v>93</v>
      </c>
      <c r="L1334" s="1" t="s">
        <v>45</v>
      </c>
      <c r="M1334">
        <v>0</v>
      </c>
      <c r="N1334">
        <v>0</v>
      </c>
      <c r="O1334">
        <v>0</v>
      </c>
      <c r="P1334" s="2">
        <v>41640</v>
      </c>
      <c r="Q1334">
        <v>0</v>
      </c>
      <c r="R1334" s="1" t="s">
        <v>61</v>
      </c>
    </row>
    <row r="1335" spans="1:18" x14ac:dyDescent="0.25">
      <c r="A1335">
        <v>2014</v>
      </c>
      <c r="B1335">
        <v>2</v>
      </c>
      <c r="C1335" s="1" t="s">
        <v>25</v>
      </c>
      <c r="D1335" s="1" t="s">
        <v>19</v>
      </c>
      <c r="E1335" s="1" t="s">
        <v>92</v>
      </c>
      <c r="F1335">
        <v>2014</v>
      </c>
      <c r="G1335">
        <v>0</v>
      </c>
      <c r="H1335" s="1" t="s">
        <v>59</v>
      </c>
      <c r="I1335">
        <v>24</v>
      </c>
      <c r="J1335">
        <v>2208</v>
      </c>
      <c r="K1335" s="1" t="s">
        <v>93</v>
      </c>
      <c r="L1335" s="1" t="s">
        <v>45</v>
      </c>
      <c r="M1335">
        <v>0</v>
      </c>
      <c r="N1335">
        <v>0</v>
      </c>
      <c r="O1335">
        <v>0</v>
      </c>
      <c r="P1335" s="2">
        <v>41671</v>
      </c>
      <c r="Q1335">
        <v>0</v>
      </c>
      <c r="R1335" s="1" t="s">
        <v>61</v>
      </c>
    </row>
    <row r="1336" spans="1:18" x14ac:dyDescent="0.25">
      <c r="A1336">
        <v>2014</v>
      </c>
      <c r="B1336">
        <v>3</v>
      </c>
      <c r="C1336" s="1" t="s">
        <v>26</v>
      </c>
      <c r="D1336" s="1" t="s">
        <v>19</v>
      </c>
      <c r="E1336" s="1" t="s">
        <v>92</v>
      </c>
      <c r="F1336">
        <v>2014</v>
      </c>
      <c r="G1336">
        <v>0</v>
      </c>
      <c r="H1336" s="1" t="s">
        <v>59</v>
      </c>
      <c r="I1336">
        <v>24</v>
      </c>
      <c r="J1336">
        <v>2208</v>
      </c>
      <c r="K1336" s="1" t="s">
        <v>93</v>
      </c>
      <c r="L1336" s="1" t="s">
        <v>45</v>
      </c>
      <c r="M1336">
        <v>0</v>
      </c>
      <c r="N1336">
        <v>0</v>
      </c>
      <c r="O1336">
        <v>0</v>
      </c>
      <c r="P1336" s="2">
        <v>41699</v>
      </c>
      <c r="Q1336">
        <v>0</v>
      </c>
      <c r="R1336" s="1" t="s">
        <v>61</v>
      </c>
    </row>
    <row r="1337" spans="1:18" x14ac:dyDescent="0.25">
      <c r="A1337">
        <v>2014</v>
      </c>
      <c r="B1337">
        <v>4</v>
      </c>
      <c r="C1337" s="1" t="s">
        <v>27</v>
      </c>
      <c r="D1337" s="1" t="s">
        <v>19</v>
      </c>
      <c r="E1337" s="1" t="s">
        <v>92</v>
      </c>
      <c r="F1337">
        <v>2014</v>
      </c>
      <c r="G1337">
        <v>0</v>
      </c>
      <c r="H1337" s="1" t="s">
        <v>59</v>
      </c>
      <c r="I1337">
        <v>24</v>
      </c>
      <c r="J1337">
        <v>2208</v>
      </c>
      <c r="K1337" s="1" t="s">
        <v>93</v>
      </c>
      <c r="L1337" s="1" t="s">
        <v>45</v>
      </c>
      <c r="M1337">
        <v>0</v>
      </c>
      <c r="N1337">
        <v>0</v>
      </c>
      <c r="O1337">
        <v>0</v>
      </c>
      <c r="P1337" s="2">
        <v>41730</v>
      </c>
      <c r="Q1337">
        <v>0</v>
      </c>
      <c r="R1337" s="1" t="s">
        <v>61</v>
      </c>
    </row>
    <row r="1338" spans="1:18" x14ac:dyDescent="0.25">
      <c r="A1338">
        <v>2014</v>
      </c>
      <c r="B1338">
        <v>5</v>
      </c>
      <c r="C1338" s="1" t="s">
        <v>28</v>
      </c>
      <c r="D1338" s="1" t="s">
        <v>19</v>
      </c>
      <c r="E1338" s="1" t="s">
        <v>92</v>
      </c>
      <c r="F1338">
        <v>2014</v>
      </c>
      <c r="G1338">
        <v>0</v>
      </c>
      <c r="H1338" s="1" t="s">
        <v>59</v>
      </c>
      <c r="I1338">
        <v>24</v>
      </c>
      <c r="J1338">
        <v>2208</v>
      </c>
      <c r="K1338" s="1" t="s">
        <v>93</v>
      </c>
      <c r="L1338" s="1" t="s">
        <v>45</v>
      </c>
      <c r="M1338">
        <v>0</v>
      </c>
      <c r="N1338">
        <v>0</v>
      </c>
      <c r="O1338">
        <v>0</v>
      </c>
      <c r="P1338" s="2">
        <v>41760</v>
      </c>
      <c r="Q1338">
        <v>0</v>
      </c>
      <c r="R1338" s="1" t="s">
        <v>61</v>
      </c>
    </row>
    <row r="1339" spans="1:18" x14ac:dyDescent="0.25">
      <c r="A1339">
        <v>2014</v>
      </c>
      <c r="B1339">
        <v>6</v>
      </c>
      <c r="C1339" s="1" t="s">
        <v>29</v>
      </c>
      <c r="D1339" s="1" t="s">
        <v>19</v>
      </c>
      <c r="E1339" s="1" t="s">
        <v>92</v>
      </c>
      <c r="F1339">
        <v>2014</v>
      </c>
      <c r="G1339">
        <v>0</v>
      </c>
      <c r="H1339" s="1" t="s">
        <v>59</v>
      </c>
      <c r="I1339">
        <v>24</v>
      </c>
      <c r="J1339">
        <v>2208</v>
      </c>
      <c r="K1339" s="1" t="s">
        <v>93</v>
      </c>
      <c r="L1339" s="1" t="s">
        <v>45</v>
      </c>
      <c r="M1339">
        <v>0</v>
      </c>
      <c r="N1339">
        <v>0</v>
      </c>
      <c r="O1339">
        <v>0</v>
      </c>
      <c r="P1339" s="2">
        <v>41791</v>
      </c>
      <c r="Q1339">
        <v>0</v>
      </c>
      <c r="R1339" s="1" t="s">
        <v>61</v>
      </c>
    </row>
    <row r="1340" spans="1:18" x14ac:dyDescent="0.25">
      <c r="A1340">
        <v>2014</v>
      </c>
      <c r="B1340">
        <v>7</v>
      </c>
      <c r="C1340" s="1" t="s">
        <v>30</v>
      </c>
      <c r="D1340" s="1" t="s">
        <v>19</v>
      </c>
      <c r="E1340" s="1" t="s">
        <v>92</v>
      </c>
      <c r="F1340">
        <v>2014</v>
      </c>
      <c r="G1340">
        <v>0</v>
      </c>
      <c r="H1340" s="1" t="s">
        <v>59</v>
      </c>
      <c r="I1340">
        <v>24</v>
      </c>
      <c r="J1340">
        <v>2208</v>
      </c>
      <c r="K1340" s="1" t="s">
        <v>93</v>
      </c>
      <c r="L1340" s="1" t="s">
        <v>45</v>
      </c>
      <c r="M1340">
        <v>0</v>
      </c>
      <c r="N1340">
        <v>0</v>
      </c>
      <c r="O1340">
        <v>0</v>
      </c>
      <c r="P1340" s="2">
        <v>41821</v>
      </c>
      <c r="Q1340">
        <v>0</v>
      </c>
      <c r="R1340" s="1" t="s">
        <v>61</v>
      </c>
    </row>
    <row r="1341" spans="1:18" x14ac:dyDescent="0.25">
      <c r="A1341">
        <v>2014</v>
      </c>
      <c r="B1341">
        <v>8</v>
      </c>
      <c r="C1341" s="1" t="s">
        <v>31</v>
      </c>
      <c r="D1341" s="1" t="s">
        <v>19</v>
      </c>
      <c r="E1341" s="1" t="s">
        <v>92</v>
      </c>
      <c r="F1341">
        <v>2014</v>
      </c>
      <c r="G1341">
        <v>0</v>
      </c>
      <c r="H1341" s="1" t="s">
        <v>59</v>
      </c>
      <c r="I1341">
        <v>24</v>
      </c>
      <c r="J1341">
        <v>2208</v>
      </c>
      <c r="K1341" s="1" t="s">
        <v>93</v>
      </c>
      <c r="L1341" s="1" t="s">
        <v>45</v>
      </c>
      <c r="M1341">
        <v>0</v>
      </c>
      <c r="N1341">
        <v>0</v>
      </c>
      <c r="O1341">
        <v>0</v>
      </c>
      <c r="P1341" s="2">
        <v>41852</v>
      </c>
      <c r="Q1341">
        <v>0</v>
      </c>
      <c r="R1341" s="1" t="s">
        <v>61</v>
      </c>
    </row>
    <row r="1342" spans="1:18" x14ac:dyDescent="0.25">
      <c r="A1342">
        <v>2014</v>
      </c>
      <c r="B1342">
        <v>9</v>
      </c>
      <c r="C1342" s="1" t="s">
        <v>32</v>
      </c>
      <c r="D1342" s="1" t="s">
        <v>19</v>
      </c>
      <c r="E1342" s="1" t="s">
        <v>92</v>
      </c>
      <c r="F1342">
        <v>2014</v>
      </c>
      <c r="G1342">
        <v>0</v>
      </c>
      <c r="H1342" s="1" t="s">
        <v>59</v>
      </c>
      <c r="I1342">
        <v>24</v>
      </c>
      <c r="J1342">
        <v>2208</v>
      </c>
      <c r="K1342" s="1" t="s">
        <v>93</v>
      </c>
      <c r="L1342" s="1" t="s">
        <v>45</v>
      </c>
      <c r="M1342">
        <v>0</v>
      </c>
      <c r="N1342">
        <v>0</v>
      </c>
      <c r="O1342">
        <v>0</v>
      </c>
      <c r="P1342" s="2">
        <v>41883</v>
      </c>
      <c r="Q1342">
        <v>0</v>
      </c>
      <c r="R1342" s="1" t="s">
        <v>61</v>
      </c>
    </row>
    <row r="1343" spans="1:18" x14ac:dyDescent="0.25">
      <c r="A1343">
        <v>2014</v>
      </c>
      <c r="B1343">
        <v>10</v>
      </c>
      <c r="C1343" s="1" t="s">
        <v>33</v>
      </c>
      <c r="D1343" s="1" t="s">
        <v>19</v>
      </c>
      <c r="E1343" s="1" t="s">
        <v>92</v>
      </c>
      <c r="F1343">
        <v>2014</v>
      </c>
      <c r="G1343">
        <v>0</v>
      </c>
      <c r="H1343" s="1" t="s">
        <v>59</v>
      </c>
      <c r="I1343">
        <v>24</v>
      </c>
      <c r="J1343">
        <v>2208</v>
      </c>
      <c r="K1343" s="1" t="s">
        <v>93</v>
      </c>
      <c r="L1343" s="1" t="s">
        <v>45</v>
      </c>
      <c r="M1343">
        <v>0</v>
      </c>
      <c r="N1343">
        <v>0</v>
      </c>
      <c r="O1343">
        <v>0</v>
      </c>
      <c r="P1343" s="2">
        <v>41913</v>
      </c>
      <c r="Q1343">
        <v>0</v>
      </c>
      <c r="R1343" s="1" t="s">
        <v>61</v>
      </c>
    </row>
    <row r="1344" spans="1:18" x14ac:dyDescent="0.25">
      <c r="A1344">
        <v>2014</v>
      </c>
      <c r="B1344">
        <v>11</v>
      </c>
      <c r="C1344" s="1" t="s">
        <v>34</v>
      </c>
      <c r="D1344" s="1" t="s">
        <v>19</v>
      </c>
      <c r="E1344" s="1" t="s">
        <v>92</v>
      </c>
      <c r="F1344">
        <v>2014</v>
      </c>
      <c r="G1344">
        <v>0</v>
      </c>
      <c r="H1344" s="1" t="s">
        <v>59</v>
      </c>
      <c r="I1344">
        <v>24</v>
      </c>
      <c r="J1344">
        <v>2208</v>
      </c>
      <c r="K1344" s="1" t="s">
        <v>93</v>
      </c>
      <c r="L1344" s="1" t="s">
        <v>45</v>
      </c>
      <c r="M1344">
        <v>0</v>
      </c>
      <c r="N1344">
        <v>0</v>
      </c>
      <c r="O1344">
        <v>0</v>
      </c>
      <c r="P1344" s="2">
        <v>41944</v>
      </c>
      <c r="Q1344">
        <v>0</v>
      </c>
      <c r="R1344" s="1" t="s">
        <v>61</v>
      </c>
    </row>
    <row r="1345" spans="1:18" x14ac:dyDescent="0.25">
      <c r="A1345">
        <v>2014</v>
      </c>
      <c r="B1345">
        <v>12</v>
      </c>
      <c r="C1345" s="1" t="s">
        <v>35</v>
      </c>
      <c r="D1345" s="1" t="s">
        <v>19</v>
      </c>
      <c r="E1345" s="1" t="s">
        <v>92</v>
      </c>
      <c r="F1345">
        <v>2014</v>
      </c>
      <c r="G1345">
        <v>0</v>
      </c>
      <c r="H1345" s="1" t="s">
        <v>59</v>
      </c>
      <c r="I1345">
        <v>24</v>
      </c>
      <c r="J1345">
        <v>2208</v>
      </c>
      <c r="K1345" s="1" t="s">
        <v>93</v>
      </c>
      <c r="L1345" s="1" t="s">
        <v>45</v>
      </c>
      <c r="M1345">
        <v>0</v>
      </c>
      <c r="N1345">
        <v>0</v>
      </c>
      <c r="O1345">
        <v>0</v>
      </c>
      <c r="P1345" s="2">
        <v>41974</v>
      </c>
      <c r="Q1345">
        <v>0</v>
      </c>
      <c r="R1345" s="1" t="s">
        <v>61</v>
      </c>
    </row>
    <row r="1346" spans="1:18" x14ac:dyDescent="0.25">
      <c r="A1346">
        <v>2014</v>
      </c>
      <c r="B1346">
        <v>1</v>
      </c>
      <c r="C1346" s="1" t="s">
        <v>18</v>
      </c>
      <c r="D1346" s="1" t="s">
        <v>19</v>
      </c>
      <c r="E1346" s="1" t="s">
        <v>94</v>
      </c>
      <c r="F1346">
        <v>2014</v>
      </c>
      <c r="G1346">
        <v>0</v>
      </c>
      <c r="H1346" s="1" t="s">
        <v>59</v>
      </c>
      <c r="I1346">
        <v>20</v>
      </c>
      <c r="J1346">
        <v>1954</v>
      </c>
      <c r="K1346" s="1" t="s">
        <v>95</v>
      </c>
      <c r="L1346" s="1" t="s">
        <v>45</v>
      </c>
      <c r="M1346">
        <v>0</v>
      </c>
      <c r="N1346">
        <v>0</v>
      </c>
      <c r="O1346">
        <v>0</v>
      </c>
      <c r="P1346" s="2">
        <v>41640</v>
      </c>
      <c r="Q1346">
        <v>0</v>
      </c>
      <c r="R1346" s="1" t="s">
        <v>61</v>
      </c>
    </row>
    <row r="1347" spans="1:18" x14ac:dyDescent="0.25">
      <c r="A1347">
        <v>2014</v>
      </c>
      <c r="B1347">
        <v>2</v>
      </c>
      <c r="C1347" s="1" t="s">
        <v>25</v>
      </c>
      <c r="D1347" s="1" t="s">
        <v>19</v>
      </c>
      <c r="E1347" s="1" t="s">
        <v>94</v>
      </c>
      <c r="F1347">
        <v>2014</v>
      </c>
      <c r="G1347">
        <v>0</v>
      </c>
      <c r="H1347" s="1" t="s">
        <v>59</v>
      </c>
      <c r="I1347">
        <v>20</v>
      </c>
      <c r="J1347">
        <v>1954</v>
      </c>
      <c r="K1347" s="1" t="s">
        <v>95</v>
      </c>
      <c r="L1347" s="1" t="s">
        <v>45</v>
      </c>
      <c r="M1347">
        <v>0</v>
      </c>
      <c r="N1347">
        <v>0</v>
      </c>
      <c r="O1347">
        <v>0</v>
      </c>
      <c r="P1347" s="2">
        <v>41671</v>
      </c>
      <c r="Q1347">
        <v>0</v>
      </c>
      <c r="R1347" s="1" t="s">
        <v>61</v>
      </c>
    </row>
    <row r="1348" spans="1:18" x14ac:dyDescent="0.25">
      <c r="A1348">
        <v>2014</v>
      </c>
      <c r="B1348">
        <v>3</v>
      </c>
      <c r="C1348" s="1" t="s">
        <v>26</v>
      </c>
      <c r="D1348" s="1" t="s">
        <v>19</v>
      </c>
      <c r="E1348" s="1" t="s">
        <v>94</v>
      </c>
      <c r="F1348">
        <v>2014</v>
      </c>
      <c r="G1348">
        <v>0</v>
      </c>
      <c r="H1348" s="1" t="s">
        <v>59</v>
      </c>
      <c r="I1348">
        <v>20</v>
      </c>
      <c r="J1348">
        <v>1954</v>
      </c>
      <c r="K1348" s="1" t="s">
        <v>95</v>
      </c>
      <c r="L1348" s="1" t="s">
        <v>45</v>
      </c>
      <c r="M1348">
        <v>0</v>
      </c>
      <c r="N1348">
        <v>0</v>
      </c>
      <c r="O1348">
        <v>0</v>
      </c>
      <c r="P1348" s="2">
        <v>41699</v>
      </c>
      <c r="Q1348">
        <v>0</v>
      </c>
      <c r="R1348" s="1" t="s">
        <v>61</v>
      </c>
    </row>
    <row r="1349" spans="1:18" x14ac:dyDescent="0.25">
      <c r="A1349">
        <v>2014</v>
      </c>
      <c r="B1349">
        <v>4</v>
      </c>
      <c r="C1349" s="1" t="s">
        <v>27</v>
      </c>
      <c r="D1349" s="1" t="s">
        <v>19</v>
      </c>
      <c r="E1349" s="1" t="s">
        <v>94</v>
      </c>
      <c r="F1349">
        <v>2014</v>
      </c>
      <c r="G1349">
        <v>0</v>
      </c>
      <c r="H1349" s="1" t="s">
        <v>59</v>
      </c>
      <c r="I1349">
        <v>20</v>
      </c>
      <c r="J1349">
        <v>1954</v>
      </c>
      <c r="K1349" s="1" t="s">
        <v>95</v>
      </c>
      <c r="L1349" s="1" t="s">
        <v>45</v>
      </c>
      <c r="M1349">
        <v>0</v>
      </c>
      <c r="N1349">
        <v>0</v>
      </c>
      <c r="O1349">
        <v>0</v>
      </c>
      <c r="P1349" s="2">
        <v>41730</v>
      </c>
      <c r="Q1349">
        <v>0</v>
      </c>
      <c r="R1349" s="1" t="s">
        <v>61</v>
      </c>
    </row>
    <row r="1350" spans="1:18" x14ac:dyDescent="0.25">
      <c r="A1350">
        <v>2014</v>
      </c>
      <c r="B1350">
        <v>5</v>
      </c>
      <c r="C1350" s="1" t="s">
        <v>28</v>
      </c>
      <c r="D1350" s="1" t="s">
        <v>19</v>
      </c>
      <c r="E1350" s="1" t="s">
        <v>94</v>
      </c>
      <c r="F1350">
        <v>2014</v>
      </c>
      <c r="G1350">
        <v>0</v>
      </c>
      <c r="H1350" s="1" t="s">
        <v>59</v>
      </c>
      <c r="I1350">
        <v>20</v>
      </c>
      <c r="J1350">
        <v>1954</v>
      </c>
      <c r="K1350" s="1" t="s">
        <v>95</v>
      </c>
      <c r="L1350" s="1" t="s">
        <v>45</v>
      </c>
      <c r="M1350">
        <v>0</v>
      </c>
      <c r="N1350">
        <v>0</v>
      </c>
      <c r="O1350">
        <v>0</v>
      </c>
      <c r="P1350" s="2">
        <v>41760</v>
      </c>
      <c r="Q1350">
        <v>0</v>
      </c>
      <c r="R1350" s="1" t="s">
        <v>61</v>
      </c>
    </row>
    <row r="1351" spans="1:18" x14ac:dyDescent="0.25">
      <c r="A1351">
        <v>2014</v>
      </c>
      <c r="B1351">
        <v>6</v>
      </c>
      <c r="C1351" s="1" t="s">
        <v>29</v>
      </c>
      <c r="D1351" s="1" t="s">
        <v>19</v>
      </c>
      <c r="E1351" s="1" t="s">
        <v>94</v>
      </c>
      <c r="F1351">
        <v>2014</v>
      </c>
      <c r="G1351">
        <v>0</v>
      </c>
      <c r="H1351" s="1" t="s">
        <v>59</v>
      </c>
      <c r="I1351">
        <v>20</v>
      </c>
      <c r="J1351">
        <v>1954</v>
      </c>
      <c r="K1351" s="1" t="s">
        <v>95</v>
      </c>
      <c r="L1351" s="1" t="s">
        <v>45</v>
      </c>
      <c r="M1351">
        <v>0</v>
      </c>
      <c r="N1351">
        <v>0</v>
      </c>
      <c r="O1351">
        <v>0</v>
      </c>
      <c r="P1351" s="2">
        <v>41791</v>
      </c>
      <c r="Q1351">
        <v>0</v>
      </c>
      <c r="R1351" s="1" t="s">
        <v>61</v>
      </c>
    </row>
    <row r="1352" spans="1:18" x14ac:dyDescent="0.25">
      <c r="A1352">
        <v>2014</v>
      </c>
      <c r="B1352">
        <v>7</v>
      </c>
      <c r="C1352" s="1" t="s">
        <v>30</v>
      </c>
      <c r="D1352" s="1" t="s">
        <v>19</v>
      </c>
      <c r="E1352" s="1" t="s">
        <v>94</v>
      </c>
      <c r="F1352">
        <v>2014</v>
      </c>
      <c r="G1352">
        <v>0</v>
      </c>
      <c r="H1352" s="1" t="s">
        <v>59</v>
      </c>
      <c r="I1352">
        <v>20</v>
      </c>
      <c r="J1352">
        <v>1954</v>
      </c>
      <c r="K1352" s="1" t="s">
        <v>95</v>
      </c>
      <c r="L1352" s="1" t="s">
        <v>45</v>
      </c>
      <c r="M1352">
        <v>0</v>
      </c>
      <c r="N1352">
        <v>0</v>
      </c>
      <c r="O1352">
        <v>0</v>
      </c>
      <c r="P1352" s="2">
        <v>41821</v>
      </c>
      <c r="Q1352">
        <v>0</v>
      </c>
      <c r="R1352" s="1" t="s">
        <v>61</v>
      </c>
    </row>
    <row r="1353" spans="1:18" x14ac:dyDescent="0.25">
      <c r="A1353">
        <v>2014</v>
      </c>
      <c r="B1353">
        <v>8</v>
      </c>
      <c r="C1353" s="1" t="s">
        <v>31</v>
      </c>
      <c r="D1353" s="1" t="s">
        <v>19</v>
      </c>
      <c r="E1353" s="1" t="s">
        <v>94</v>
      </c>
      <c r="F1353">
        <v>2014</v>
      </c>
      <c r="G1353">
        <v>0</v>
      </c>
      <c r="H1353" s="1" t="s">
        <v>59</v>
      </c>
      <c r="I1353">
        <v>20</v>
      </c>
      <c r="J1353">
        <v>1954</v>
      </c>
      <c r="K1353" s="1" t="s">
        <v>95</v>
      </c>
      <c r="L1353" s="1" t="s">
        <v>45</v>
      </c>
      <c r="M1353">
        <v>0</v>
      </c>
      <c r="N1353">
        <v>0</v>
      </c>
      <c r="O1353">
        <v>0</v>
      </c>
      <c r="P1353" s="2">
        <v>41852</v>
      </c>
      <c r="Q1353">
        <v>0</v>
      </c>
      <c r="R1353" s="1" t="s">
        <v>61</v>
      </c>
    </row>
    <row r="1354" spans="1:18" x14ac:dyDescent="0.25">
      <c r="A1354">
        <v>2014</v>
      </c>
      <c r="B1354">
        <v>9</v>
      </c>
      <c r="C1354" s="1" t="s">
        <v>32</v>
      </c>
      <c r="D1354" s="1" t="s">
        <v>19</v>
      </c>
      <c r="E1354" s="1" t="s">
        <v>94</v>
      </c>
      <c r="F1354">
        <v>2014</v>
      </c>
      <c r="G1354">
        <v>0</v>
      </c>
      <c r="H1354" s="1" t="s">
        <v>59</v>
      </c>
      <c r="I1354">
        <v>20</v>
      </c>
      <c r="J1354">
        <v>1954</v>
      </c>
      <c r="K1354" s="1" t="s">
        <v>95</v>
      </c>
      <c r="L1354" s="1" t="s">
        <v>45</v>
      </c>
      <c r="M1354">
        <v>0</v>
      </c>
      <c r="N1354">
        <v>0</v>
      </c>
      <c r="O1354">
        <v>0</v>
      </c>
      <c r="P1354" s="2">
        <v>41883</v>
      </c>
      <c r="Q1354">
        <v>0</v>
      </c>
      <c r="R1354" s="1" t="s">
        <v>61</v>
      </c>
    </row>
    <row r="1355" spans="1:18" x14ac:dyDescent="0.25">
      <c r="A1355">
        <v>2014</v>
      </c>
      <c r="B1355">
        <v>10</v>
      </c>
      <c r="C1355" s="1" t="s">
        <v>33</v>
      </c>
      <c r="D1355" s="1" t="s">
        <v>19</v>
      </c>
      <c r="E1355" s="1" t="s">
        <v>94</v>
      </c>
      <c r="F1355">
        <v>2014</v>
      </c>
      <c r="G1355">
        <v>0</v>
      </c>
      <c r="H1355" s="1" t="s">
        <v>59</v>
      </c>
      <c r="I1355">
        <v>20</v>
      </c>
      <c r="J1355">
        <v>1954</v>
      </c>
      <c r="K1355" s="1" t="s">
        <v>95</v>
      </c>
      <c r="L1355" s="1" t="s">
        <v>45</v>
      </c>
      <c r="M1355">
        <v>0</v>
      </c>
      <c r="N1355">
        <v>0</v>
      </c>
      <c r="O1355">
        <v>0</v>
      </c>
      <c r="P1355" s="2">
        <v>41913</v>
      </c>
      <c r="Q1355">
        <v>0</v>
      </c>
      <c r="R1355" s="1" t="s">
        <v>61</v>
      </c>
    </row>
    <row r="1356" spans="1:18" x14ac:dyDescent="0.25">
      <c r="A1356">
        <v>2014</v>
      </c>
      <c r="B1356">
        <v>11</v>
      </c>
      <c r="C1356" s="1" t="s">
        <v>34</v>
      </c>
      <c r="D1356" s="1" t="s">
        <v>19</v>
      </c>
      <c r="E1356" s="1" t="s">
        <v>94</v>
      </c>
      <c r="F1356">
        <v>2014</v>
      </c>
      <c r="G1356">
        <v>0</v>
      </c>
      <c r="H1356" s="1" t="s">
        <v>59</v>
      </c>
      <c r="I1356">
        <v>20</v>
      </c>
      <c r="J1356">
        <v>1954</v>
      </c>
      <c r="K1356" s="1" t="s">
        <v>95</v>
      </c>
      <c r="L1356" s="1" t="s">
        <v>45</v>
      </c>
      <c r="M1356">
        <v>0</v>
      </c>
      <c r="N1356">
        <v>0</v>
      </c>
      <c r="O1356">
        <v>0</v>
      </c>
      <c r="P1356" s="2">
        <v>41944</v>
      </c>
      <c r="Q1356">
        <v>0</v>
      </c>
      <c r="R1356" s="1" t="s">
        <v>61</v>
      </c>
    </row>
    <row r="1357" spans="1:18" x14ac:dyDescent="0.25">
      <c r="A1357">
        <v>2014</v>
      </c>
      <c r="B1357">
        <v>12</v>
      </c>
      <c r="C1357" s="1" t="s">
        <v>35</v>
      </c>
      <c r="D1357" s="1" t="s">
        <v>19</v>
      </c>
      <c r="E1357" s="1" t="s">
        <v>94</v>
      </c>
      <c r="F1357">
        <v>2014</v>
      </c>
      <c r="G1357">
        <v>0</v>
      </c>
      <c r="H1357" s="1" t="s">
        <v>59</v>
      </c>
      <c r="I1357">
        <v>20</v>
      </c>
      <c r="J1357">
        <v>1954</v>
      </c>
      <c r="K1357" s="1" t="s">
        <v>95</v>
      </c>
      <c r="L1357" s="1" t="s">
        <v>45</v>
      </c>
      <c r="M1357">
        <v>0</v>
      </c>
      <c r="N1357">
        <v>0</v>
      </c>
      <c r="O1357">
        <v>0</v>
      </c>
      <c r="P1357" s="2">
        <v>41974</v>
      </c>
      <c r="Q1357">
        <v>0</v>
      </c>
      <c r="R1357" s="1" t="s">
        <v>61</v>
      </c>
    </row>
    <row r="1358" spans="1:18" x14ac:dyDescent="0.25">
      <c r="A1358">
        <v>2014</v>
      </c>
      <c r="B1358">
        <v>1</v>
      </c>
      <c r="C1358" s="1" t="s">
        <v>18</v>
      </c>
      <c r="D1358" s="1" t="s">
        <v>19</v>
      </c>
      <c r="E1358" s="1" t="s">
        <v>96</v>
      </c>
      <c r="F1358">
        <v>2014</v>
      </c>
      <c r="G1358">
        <v>0</v>
      </c>
      <c r="H1358" s="1" t="s">
        <v>59</v>
      </c>
      <c r="I1358">
        <v>24</v>
      </c>
      <c r="J1358">
        <v>1329</v>
      </c>
      <c r="K1358" s="1" t="s">
        <v>97</v>
      </c>
      <c r="L1358" s="1" t="s">
        <v>45</v>
      </c>
      <c r="M1358">
        <v>0</v>
      </c>
      <c r="N1358">
        <v>0</v>
      </c>
      <c r="O1358">
        <v>0</v>
      </c>
      <c r="P1358" s="2">
        <v>41640</v>
      </c>
      <c r="Q1358">
        <v>0</v>
      </c>
      <c r="R1358" s="1" t="s">
        <v>61</v>
      </c>
    </row>
    <row r="1359" spans="1:18" x14ac:dyDescent="0.25">
      <c r="A1359">
        <v>2014</v>
      </c>
      <c r="B1359">
        <v>2</v>
      </c>
      <c r="C1359" s="1" t="s">
        <v>25</v>
      </c>
      <c r="D1359" s="1" t="s">
        <v>19</v>
      </c>
      <c r="E1359" s="1" t="s">
        <v>96</v>
      </c>
      <c r="F1359">
        <v>2014</v>
      </c>
      <c r="G1359">
        <v>0</v>
      </c>
      <c r="H1359" s="1" t="s">
        <v>59</v>
      </c>
      <c r="I1359">
        <v>24</v>
      </c>
      <c r="J1359">
        <v>1329</v>
      </c>
      <c r="K1359" s="1" t="s">
        <v>97</v>
      </c>
      <c r="L1359" s="1" t="s">
        <v>45</v>
      </c>
      <c r="M1359">
        <v>0</v>
      </c>
      <c r="N1359">
        <v>0</v>
      </c>
      <c r="O1359">
        <v>0</v>
      </c>
      <c r="P1359" s="2">
        <v>41671</v>
      </c>
      <c r="Q1359">
        <v>0</v>
      </c>
      <c r="R1359" s="1" t="s">
        <v>61</v>
      </c>
    </row>
    <row r="1360" spans="1:18" x14ac:dyDescent="0.25">
      <c r="A1360">
        <v>2014</v>
      </c>
      <c r="B1360">
        <v>3</v>
      </c>
      <c r="C1360" s="1" t="s">
        <v>26</v>
      </c>
      <c r="D1360" s="1" t="s">
        <v>19</v>
      </c>
      <c r="E1360" s="1" t="s">
        <v>96</v>
      </c>
      <c r="F1360">
        <v>2014</v>
      </c>
      <c r="G1360">
        <v>0</v>
      </c>
      <c r="H1360" s="1" t="s">
        <v>59</v>
      </c>
      <c r="I1360">
        <v>24</v>
      </c>
      <c r="J1360">
        <v>1329</v>
      </c>
      <c r="K1360" s="1" t="s">
        <v>97</v>
      </c>
      <c r="L1360" s="1" t="s">
        <v>45</v>
      </c>
      <c r="M1360">
        <v>0</v>
      </c>
      <c r="N1360">
        <v>0</v>
      </c>
      <c r="O1360">
        <v>0</v>
      </c>
      <c r="P1360" s="2">
        <v>41699</v>
      </c>
      <c r="Q1360">
        <v>0</v>
      </c>
      <c r="R1360" s="1" t="s">
        <v>61</v>
      </c>
    </row>
    <row r="1361" spans="1:18" x14ac:dyDescent="0.25">
      <c r="A1361">
        <v>2014</v>
      </c>
      <c r="B1361">
        <v>4</v>
      </c>
      <c r="C1361" s="1" t="s">
        <v>27</v>
      </c>
      <c r="D1361" s="1" t="s">
        <v>19</v>
      </c>
      <c r="E1361" s="1" t="s">
        <v>96</v>
      </c>
      <c r="F1361">
        <v>2014</v>
      </c>
      <c r="G1361">
        <v>0</v>
      </c>
      <c r="H1361" s="1" t="s">
        <v>59</v>
      </c>
      <c r="I1361">
        <v>24</v>
      </c>
      <c r="J1361">
        <v>1329</v>
      </c>
      <c r="K1361" s="1" t="s">
        <v>97</v>
      </c>
      <c r="L1361" s="1" t="s">
        <v>45</v>
      </c>
      <c r="M1361">
        <v>0</v>
      </c>
      <c r="N1361">
        <v>0</v>
      </c>
      <c r="O1361">
        <v>0</v>
      </c>
      <c r="P1361" s="2">
        <v>41730</v>
      </c>
      <c r="Q1361">
        <v>0</v>
      </c>
      <c r="R1361" s="1" t="s">
        <v>61</v>
      </c>
    </row>
    <row r="1362" spans="1:18" x14ac:dyDescent="0.25">
      <c r="A1362">
        <v>2014</v>
      </c>
      <c r="B1362">
        <v>5</v>
      </c>
      <c r="C1362" s="1" t="s">
        <v>28</v>
      </c>
      <c r="D1362" s="1" t="s">
        <v>19</v>
      </c>
      <c r="E1362" s="1" t="s">
        <v>96</v>
      </c>
      <c r="F1362">
        <v>2014</v>
      </c>
      <c r="G1362">
        <v>0</v>
      </c>
      <c r="H1362" s="1" t="s">
        <v>59</v>
      </c>
      <c r="I1362">
        <v>24</v>
      </c>
      <c r="J1362">
        <v>1329</v>
      </c>
      <c r="K1362" s="1" t="s">
        <v>97</v>
      </c>
      <c r="L1362" s="1" t="s">
        <v>45</v>
      </c>
      <c r="M1362">
        <v>0</v>
      </c>
      <c r="N1362">
        <v>0</v>
      </c>
      <c r="O1362">
        <v>0</v>
      </c>
      <c r="P1362" s="2">
        <v>41760</v>
      </c>
      <c r="Q1362">
        <v>0</v>
      </c>
      <c r="R1362" s="1" t="s">
        <v>61</v>
      </c>
    </row>
    <row r="1363" spans="1:18" x14ac:dyDescent="0.25">
      <c r="A1363">
        <v>2014</v>
      </c>
      <c r="B1363">
        <v>6</v>
      </c>
      <c r="C1363" s="1" t="s">
        <v>29</v>
      </c>
      <c r="D1363" s="1" t="s">
        <v>19</v>
      </c>
      <c r="E1363" s="1" t="s">
        <v>96</v>
      </c>
      <c r="F1363">
        <v>2014</v>
      </c>
      <c r="G1363">
        <v>0</v>
      </c>
      <c r="H1363" s="1" t="s">
        <v>59</v>
      </c>
      <c r="I1363">
        <v>24</v>
      </c>
      <c r="J1363">
        <v>1329</v>
      </c>
      <c r="K1363" s="1" t="s">
        <v>97</v>
      </c>
      <c r="L1363" s="1" t="s">
        <v>45</v>
      </c>
      <c r="M1363">
        <v>0</v>
      </c>
      <c r="N1363">
        <v>0</v>
      </c>
      <c r="O1363">
        <v>0</v>
      </c>
      <c r="P1363" s="2">
        <v>41791</v>
      </c>
      <c r="Q1363">
        <v>0</v>
      </c>
      <c r="R1363" s="1" t="s">
        <v>61</v>
      </c>
    </row>
    <row r="1364" spans="1:18" x14ac:dyDescent="0.25">
      <c r="A1364">
        <v>2014</v>
      </c>
      <c r="B1364">
        <v>7</v>
      </c>
      <c r="C1364" s="1" t="s">
        <v>30</v>
      </c>
      <c r="D1364" s="1" t="s">
        <v>19</v>
      </c>
      <c r="E1364" s="1" t="s">
        <v>96</v>
      </c>
      <c r="F1364">
        <v>2014</v>
      </c>
      <c r="G1364">
        <v>0</v>
      </c>
      <c r="H1364" s="1" t="s">
        <v>59</v>
      </c>
      <c r="I1364">
        <v>24</v>
      </c>
      <c r="J1364">
        <v>1329</v>
      </c>
      <c r="K1364" s="1" t="s">
        <v>97</v>
      </c>
      <c r="L1364" s="1" t="s">
        <v>45</v>
      </c>
      <c r="M1364">
        <v>0</v>
      </c>
      <c r="N1364">
        <v>0</v>
      </c>
      <c r="O1364">
        <v>0</v>
      </c>
      <c r="P1364" s="2">
        <v>41821</v>
      </c>
      <c r="Q1364">
        <v>0</v>
      </c>
      <c r="R1364" s="1" t="s">
        <v>61</v>
      </c>
    </row>
    <row r="1365" spans="1:18" x14ac:dyDescent="0.25">
      <c r="A1365">
        <v>2014</v>
      </c>
      <c r="B1365">
        <v>8</v>
      </c>
      <c r="C1365" s="1" t="s">
        <v>31</v>
      </c>
      <c r="D1365" s="1" t="s">
        <v>19</v>
      </c>
      <c r="E1365" s="1" t="s">
        <v>96</v>
      </c>
      <c r="F1365">
        <v>2014</v>
      </c>
      <c r="G1365">
        <v>0</v>
      </c>
      <c r="H1365" s="1" t="s">
        <v>59</v>
      </c>
      <c r="I1365">
        <v>24</v>
      </c>
      <c r="J1365">
        <v>1329</v>
      </c>
      <c r="K1365" s="1" t="s">
        <v>97</v>
      </c>
      <c r="L1365" s="1" t="s">
        <v>45</v>
      </c>
      <c r="M1365">
        <v>0</v>
      </c>
      <c r="N1365">
        <v>0</v>
      </c>
      <c r="O1365">
        <v>0</v>
      </c>
      <c r="P1365" s="2">
        <v>41852</v>
      </c>
      <c r="Q1365">
        <v>0</v>
      </c>
      <c r="R1365" s="1" t="s">
        <v>61</v>
      </c>
    </row>
    <row r="1366" spans="1:18" x14ac:dyDescent="0.25">
      <c r="A1366">
        <v>2014</v>
      </c>
      <c r="B1366">
        <v>9</v>
      </c>
      <c r="C1366" s="1" t="s">
        <v>32</v>
      </c>
      <c r="D1366" s="1" t="s">
        <v>19</v>
      </c>
      <c r="E1366" s="1" t="s">
        <v>96</v>
      </c>
      <c r="F1366">
        <v>2014</v>
      </c>
      <c r="G1366">
        <v>0</v>
      </c>
      <c r="H1366" s="1" t="s">
        <v>59</v>
      </c>
      <c r="I1366">
        <v>24</v>
      </c>
      <c r="J1366">
        <v>1329</v>
      </c>
      <c r="K1366" s="1" t="s">
        <v>97</v>
      </c>
      <c r="L1366" s="1" t="s">
        <v>45</v>
      </c>
      <c r="M1366">
        <v>0</v>
      </c>
      <c r="N1366">
        <v>0</v>
      </c>
      <c r="O1366">
        <v>0</v>
      </c>
      <c r="P1366" s="2">
        <v>41883</v>
      </c>
      <c r="Q1366">
        <v>0</v>
      </c>
      <c r="R1366" s="1" t="s">
        <v>61</v>
      </c>
    </row>
    <row r="1367" spans="1:18" x14ac:dyDescent="0.25">
      <c r="A1367">
        <v>2014</v>
      </c>
      <c r="B1367">
        <v>10</v>
      </c>
      <c r="C1367" s="1" t="s">
        <v>33</v>
      </c>
      <c r="D1367" s="1" t="s">
        <v>19</v>
      </c>
      <c r="E1367" s="1" t="s">
        <v>96</v>
      </c>
      <c r="F1367">
        <v>2014</v>
      </c>
      <c r="G1367">
        <v>0</v>
      </c>
      <c r="H1367" s="1" t="s">
        <v>59</v>
      </c>
      <c r="I1367">
        <v>24</v>
      </c>
      <c r="J1367">
        <v>1329</v>
      </c>
      <c r="K1367" s="1" t="s">
        <v>97</v>
      </c>
      <c r="L1367" s="1" t="s">
        <v>45</v>
      </c>
      <c r="M1367">
        <v>0</v>
      </c>
      <c r="N1367">
        <v>0</v>
      </c>
      <c r="O1367">
        <v>0</v>
      </c>
      <c r="P1367" s="2">
        <v>41913</v>
      </c>
      <c r="Q1367">
        <v>0</v>
      </c>
      <c r="R1367" s="1" t="s">
        <v>61</v>
      </c>
    </row>
    <row r="1368" spans="1:18" x14ac:dyDescent="0.25">
      <c r="A1368">
        <v>2014</v>
      </c>
      <c r="B1368">
        <v>11</v>
      </c>
      <c r="C1368" s="1" t="s">
        <v>34</v>
      </c>
      <c r="D1368" s="1" t="s">
        <v>19</v>
      </c>
      <c r="E1368" s="1" t="s">
        <v>96</v>
      </c>
      <c r="F1368">
        <v>2014</v>
      </c>
      <c r="G1368">
        <v>0</v>
      </c>
      <c r="H1368" s="1" t="s">
        <v>59</v>
      </c>
      <c r="I1368">
        <v>24</v>
      </c>
      <c r="J1368">
        <v>1329</v>
      </c>
      <c r="K1368" s="1" t="s">
        <v>97</v>
      </c>
      <c r="L1368" s="1" t="s">
        <v>45</v>
      </c>
      <c r="M1368">
        <v>0</v>
      </c>
      <c r="N1368">
        <v>0</v>
      </c>
      <c r="O1368">
        <v>0</v>
      </c>
      <c r="P1368" s="2">
        <v>41944</v>
      </c>
      <c r="Q1368">
        <v>0</v>
      </c>
      <c r="R1368" s="1" t="s">
        <v>61</v>
      </c>
    </row>
    <row r="1369" spans="1:18" x14ac:dyDescent="0.25">
      <c r="A1369">
        <v>2014</v>
      </c>
      <c r="B1369">
        <v>12</v>
      </c>
      <c r="C1369" s="1" t="s">
        <v>35</v>
      </c>
      <c r="D1369" s="1" t="s">
        <v>19</v>
      </c>
      <c r="E1369" s="1" t="s">
        <v>96</v>
      </c>
      <c r="F1369">
        <v>2014</v>
      </c>
      <c r="G1369">
        <v>0</v>
      </c>
      <c r="H1369" s="1" t="s">
        <v>59</v>
      </c>
      <c r="I1369">
        <v>24</v>
      </c>
      <c r="J1369">
        <v>1329</v>
      </c>
      <c r="K1369" s="1" t="s">
        <v>97</v>
      </c>
      <c r="L1369" s="1" t="s">
        <v>45</v>
      </c>
      <c r="M1369">
        <v>0</v>
      </c>
      <c r="N1369">
        <v>0</v>
      </c>
      <c r="O1369">
        <v>0</v>
      </c>
      <c r="P1369" s="2">
        <v>41974</v>
      </c>
      <c r="Q1369">
        <v>0</v>
      </c>
      <c r="R1369" s="1" t="s">
        <v>61</v>
      </c>
    </row>
    <row r="1370" spans="1:18" x14ac:dyDescent="0.25">
      <c r="A1370">
        <v>2014</v>
      </c>
      <c r="B1370">
        <v>1</v>
      </c>
      <c r="C1370" s="1" t="s">
        <v>18</v>
      </c>
      <c r="D1370" s="1" t="s">
        <v>19</v>
      </c>
      <c r="E1370" s="1" t="s">
        <v>98</v>
      </c>
      <c r="F1370">
        <v>2014</v>
      </c>
      <c r="G1370">
        <v>0</v>
      </c>
      <c r="H1370" s="1" t="s">
        <v>59</v>
      </c>
      <c r="I1370">
        <v>24</v>
      </c>
      <c r="J1370">
        <v>1573</v>
      </c>
      <c r="K1370" s="1" t="s">
        <v>99</v>
      </c>
      <c r="L1370" s="1" t="s">
        <v>45</v>
      </c>
      <c r="M1370">
        <v>0</v>
      </c>
      <c r="N1370">
        <v>0</v>
      </c>
      <c r="O1370">
        <v>0</v>
      </c>
      <c r="P1370" s="2">
        <v>41640</v>
      </c>
      <c r="Q1370">
        <v>0</v>
      </c>
      <c r="R1370" s="1" t="s">
        <v>61</v>
      </c>
    </row>
    <row r="1371" spans="1:18" x14ac:dyDescent="0.25">
      <c r="A1371">
        <v>2014</v>
      </c>
      <c r="B1371">
        <v>2</v>
      </c>
      <c r="C1371" s="1" t="s">
        <v>25</v>
      </c>
      <c r="D1371" s="1" t="s">
        <v>19</v>
      </c>
      <c r="E1371" s="1" t="s">
        <v>98</v>
      </c>
      <c r="F1371">
        <v>2014</v>
      </c>
      <c r="G1371">
        <v>0</v>
      </c>
      <c r="H1371" s="1" t="s">
        <v>59</v>
      </c>
      <c r="I1371">
        <v>24</v>
      </c>
      <c r="J1371">
        <v>1573</v>
      </c>
      <c r="K1371" s="1" t="s">
        <v>99</v>
      </c>
      <c r="L1371" s="1" t="s">
        <v>45</v>
      </c>
      <c r="M1371">
        <v>0</v>
      </c>
      <c r="N1371">
        <v>0</v>
      </c>
      <c r="O1371">
        <v>0</v>
      </c>
      <c r="P1371" s="2">
        <v>41671</v>
      </c>
      <c r="Q1371">
        <v>0</v>
      </c>
      <c r="R1371" s="1" t="s">
        <v>61</v>
      </c>
    </row>
    <row r="1372" spans="1:18" x14ac:dyDescent="0.25">
      <c r="A1372">
        <v>2014</v>
      </c>
      <c r="B1372">
        <v>3</v>
      </c>
      <c r="C1372" s="1" t="s">
        <v>26</v>
      </c>
      <c r="D1372" s="1" t="s">
        <v>19</v>
      </c>
      <c r="E1372" s="1" t="s">
        <v>98</v>
      </c>
      <c r="F1372">
        <v>2014</v>
      </c>
      <c r="G1372">
        <v>0</v>
      </c>
      <c r="H1372" s="1" t="s">
        <v>59</v>
      </c>
      <c r="I1372">
        <v>24</v>
      </c>
      <c r="J1372">
        <v>1573</v>
      </c>
      <c r="K1372" s="1" t="s">
        <v>99</v>
      </c>
      <c r="L1372" s="1" t="s">
        <v>45</v>
      </c>
      <c r="M1372">
        <v>0</v>
      </c>
      <c r="N1372">
        <v>0</v>
      </c>
      <c r="O1372">
        <v>0</v>
      </c>
      <c r="P1372" s="2">
        <v>41699</v>
      </c>
      <c r="Q1372">
        <v>0</v>
      </c>
      <c r="R1372" s="1" t="s">
        <v>61</v>
      </c>
    </row>
    <row r="1373" spans="1:18" x14ac:dyDescent="0.25">
      <c r="A1373">
        <v>2014</v>
      </c>
      <c r="B1373">
        <v>4</v>
      </c>
      <c r="C1373" s="1" t="s">
        <v>27</v>
      </c>
      <c r="D1373" s="1" t="s">
        <v>19</v>
      </c>
      <c r="E1373" s="1" t="s">
        <v>98</v>
      </c>
      <c r="F1373">
        <v>2014</v>
      </c>
      <c r="G1373">
        <v>0</v>
      </c>
      <c r="H1373" s="1" t="s">
        <v>59</v>
      </c>
      <c r="I1373">
        <v>24</v>
      </c>
      <c r="J1373">
        <v>1573</v>
      </c>
      <c r="K1373" s="1" t="s">
        <v>99</v>
      </c>
      <c r="L1373" s="1" t="s">
        <v>45</v>
      </c>
      <c r="M1373">
        <v>0</v>
      </c>
      <c r="N1373">
        <v>0</v>
      </c>
      <c r="O1373">
        <v>0</v>
      </c>
      <c r="P1373" s="2">
        <v>41730</v>
      </c>
      <c r="Q1373">
        <v>0</v>
      </c>
      <c r="R1373" s="1" t="s">
        <v>61</v>
      </c>
    </row>
    <row r="1374" spans="1:18" x14ac:dyDescent="0.25">
      <c r="A1374">
        <v>2014</v>
      </c>
      <c r="B1374">
        <v>5</v>
      </c>
      <c r="C1374" s="1" t="s">
        <v>28</v>
      </c>
      <c r="D1374" s="1" t="s">
        <v>19</v>
      </c>
      <c r="E1374" s="1" t="s">
        <v>98</v>
      </c>
      <c r="F1374">
        <v>2014</v>
      </c>
      <c r="G1374">
        <v>0</v>
      </c>
      <c r="H1374" s="1" t="s">
        <v>59</v>
      </c>
      <c r="I1374">
        <v>24</v>
      </c>
      <c r="J1374">
        <v>1573</v>
      </c>
      <c r="K1374" s="1" t="s">
        <v>99</v>
      </c>
      <c r="L1374" s="1" t="s">
        <v>45</v>
      </c>
      <c r="M1374">
        <v>0</v>
      </c>
      <c r="N1374">
        <v>0</v>
      </c>
      <c r="O1374">
        <v>0</v>
      </c>
      <c r="P1374" s="2">
        <v>41760</v>
      </c>
      <c r="Q1374">
        <v>0</v>
      </c>
      <c r="R1374" s="1" t="s">
        <v>61</v>
      </c>
    </row>
    <row r="1375" spans="1:18" x14ac:dyDescent="0.25">
      <c r="A1375">
        <v>2014</v>
      </c>
      <c r="B1375">
        <v>6</v>
      </c>
      <c r="C1375" s="1" t="s">
        <v>29</v>
      </c>
      <c r="D1375" s="1" t="s">
        <v>19</v>
      </c>
      <c r="E1375" s="1" t="s">
        <v>98</v>
      </c>
      <c r="F1375">
        <v>2014</v>
      </c>
      <c r="G1375">
        <v>0</v>
      </c>
      <c r="H1375" s="1" t="s">
        <v>59</v>
      </c>
      <c r="I1375">
        <v>24</v>
      </c>
      <c r="J1375">
        <v>1573</v>
      </c>
      <c r="K1375" s="1" t="s">
        <v>99</v>
      </c>
      <c r="L1375" s="1" t="s">
        <v>45</v>
      </c>
      <c r="M1375">
        <v>0</v>
      </c>
      <c r="N1375">
        <v>0</v>
      </c>
      <c r="O1375">
        <v>0</v>
      </c>
      <c r="P1375" s="2">
        <v>41791</v>
      </c>
      <c r="Q1375">
        <v>0</v>
      </c>
      <c r="R1375" s="1" t="s">
        <v>61</v>
      </c>
    </row>
    <row r="1376" spans="1:18" x14ac:dyDescent="0.25">
      <c r="A1376">
        <v>2014</v>
      </c>
      <c r="B1376">
        <v>7</v>
      </c>
      <c r="C1376" s="1" t="s">
        <v>30</v>
      </c>
      <c r="D1376" s="1" t="s">
        <v>19</v>
      </c>
      <c r="E1376" s="1" t="s">
        <v>98</v>
      </c>
      <c r="F1376">
        <v>2014</v>
      </c>
      <c r="G1376">
        <v>0</v>
      </c>
      <c r="H1376" s="1" t="s">
        <v>59</v>
      </c>
      <c r="I1376">
        <v>24</v>
      </c>
      <c r="J1376">
        <v>1573</v>
      </c>
      <c r="K1376" s="1" t="s">
        <v>99</v>
      </c>
      <c r="L1376" s="1" t="s">
        <v>45</v>
      </c>
      <c r="M1376">
        <v>0</v>
      </c>
      <c r="N1376">
        <v>0</v>
      </c>
      <c r="O1376">
        <v>0</v>
      </c>
      <c r="P1376" s="2">
        <v>41821</v>
      </c>
      <c r="Q1376">
        <v>0</v>
      </c>
      <c r="R1376" s="1" t="s">
        <v>61</v>
      </c>
    </row>
    <row r="1377" spans="1:18" x14ac:dyDescent="0.25">
      <c r="A1377">
        <v>2014</v>
      </c>
      <c r="B1377">
        <v>8</v>
      </c>
      <c r="C1377" s="1" t="s">
        <v>31</v>
      </c>
      <c r="D1377" s="1" t="s">
        <v>19</v>
      </c>
      <c r="E1377" s="1" t="s">
        <v>98</v>
      </c>
      <c r="F1377">
        <v>2014</v>
      </c>
      <c r="G1377">
        <v>0</v>
      </c>
      <c r="H1377" s="1" t="s">
        <v>59</v>
      </c>
      <c r="I1377">
        <v>24</v>
      </c>
      <c r="J1377">
        <v>1573</v>
      </c>
      <c r="K1377" s="1" t="s">
        <v>99</v>
      </c>
      <c r="L1377" s="1" t="s">
        <v>45</v>
      </c>
      <c r="M1377">
        <v>0</v>
      </c>
      <c r="N1377">
        <v>0</v>
      </c>
      <c r="O1377">
        <v>0</v>
      </c>
      <c r="P1377" s="2">
        <v>41852</v>
      </c>
      <c r="Q1377">
        <v>0</v>
      </c>
      <c r="R1377" s="1" t="s">
        <v>61</v>
      </c>
    </row>
    <row r="1378" spans="1:18" x14ac:dyDescent="0.25">
      <c r="A1378">
        <v>2014</v>
      </c>
      <c r="B1378">
        <v>9</v>
      </c>
      <c r="C1378" s="1" t="s">
        <v>32</v>
      </c>
      <c r="D1378" s="1" t="s">
        <v>19</v>
      </c>
      <c r="E1378" s="1" t="s">
        <v>98</v>
      </c>
      <c r="F1378">
        <v>2014</v>
      </c>
      <c r="G1378">
        <v>0</v>
      </c>
      <c r="H1378" s="1" t="s">
        <v>59</v>
      </c>
      <c r="I1378">
        <v>24</v>
      </c>
      <c r="J1378">
        <v>1573</v>
      </c>
      <c r="K1378" s="1" t="s">
        <v>99</v>
      </c>
      <c r="L1378" s="1" t="s">
        <v>45</v>
      </c>
      <c r="M1378">
        <v>0</v>
      </c>
      <c r="N1378">
        <v>0</v>
      </c>
      <c r="O1378">
        <v>0</v>
      </c>
      <c r="P1378" s="2">
        <v>41883</v>
      </c>
      <c r="Q1378">
        <v>0</v>
      </c>
      <c r="R1378" s="1" t="s">
        <v>61</v>
      </c>
    </row>
    <row r="1379" spans="1:18" x14ac:dyDescent="0.25">
      <c r="A1379">
        <v>2014</v>
      </c>
      <c r="B1379">
        <v>10</v>
      </c>
      <c r="C1379" s="1" t="s">
        <v>33</v>
      </c>
      <c r="D1379" s="1" t="s">
        <v>19</v>
      </c>
      <c r="E1379" s="1" t="s">
        <v>98</v>
      </c>
      <c r="F1379">
        <v>2014</v>
      </c>
      <c r="G1379">
        <v>0</v>
      </c>
      <c r="H1379" s="1" t="s">
        <v>59</v>
      </c>
      <c r="I1379">
        <v>24</v>
      </c>
      <c r="J1379">
        <v>1573</v>
      </c>
      <c r="K1379" s="1" t="s">
        <v>99</v>
      </c>
      <c r="L1379" s="1" t="s">
        <v>45</v>
      </c>
      <c r="M1379">
        <v>0</v>
      </c>
      <c r="N1379">
        <v>0</v>
      </c>
      <c r="O1379">
        <v>0</v>
      </c>
      <c r="P1379" s="2">
        <v>41913</v>
      </c>
      <c r="Q1379">
        <v>0</v>
      </c>
      <c r="R1379" s="1" t="s">
        <v>61</v>
      </c>
    </row>
    <row r="1380" spans="1:18" x14ac:dyDescent="0.25">
      <c r="A1380">
        <v>2014</v>
      </c>
      <c r="B1380">
        <v>11</v>
      </c>
      <c r="C1380" s="1" t="s">
        <v>34</v>
      </c>
      <c r="D1380" s="1" t="s">
        <v>19</v>
      </c>
      <c r="E1380" s="1" t="s">
        <v>98</v>
      </c>
      <c r="F1380">
        <v>2014</v>
      </c>
      <c r="G1380">
        <v>0</v>
      </c>
      <c r="H1380" s="1" t="s">
        <v>59</v>
      </c>
      <c r="I1380">
        <v>24</v>
      </c>
      <c r="J1380">
        <v>1573</v>
      </c>
      <c r="K1380" s="1" t="s">
        <v>99</v>
      </c>
      <c r="L1380" s="1" t="s">
        <v>45</v>
      </c>
      <c r="M1380">
        <v>0</v>
      </c>
      <c r="N1380">
        <v>0</v>
      </c>
      <c r="O1380">
        <v>0</v>
      </c>
      <c r="P1380" s="2">
        <v>41944</v>
      </c>
      <c r="Q1380">
        <v>0</v>
      </c>
      <c r="R1380" s="1" t="s">
        <v>61</v>
      </c>
    </row>
    <row r="1381" spans="1:18" x14ac:dyDescent="0.25">
      <c r="A1381">
        <v>2014</v>
      </c>
      <c r="B1381">
        <v>12</v>
      </c>
      <c r="C1381" s="1" t="s">
        <v>35</v>
      </c>
      <c r="D1381" s="1" t="s">
        <v>19</v>
      </c>
      <c r="E1381" s="1" t="s">
        <v>98</v>
      </c>
      <c r="F1381">
        <v>2014</v>
      </c>
      <c r="G1381">
        <v>0</v>
      </c>
      <c r="H1381" s="1" t="s">
        <v>59</v>
      </c>
      <c r="I1381">
        <v>24</v>
      </c>
      <c r="J1381">
        <v>1573</v>
      </c>
      <c r="K1381" s="1" t="s">
        <v>99</v>
      </c>
      <c r="L1381" s="1" t="s">
        <v>45</v>
      </c>
      <c r="M1381">
        <v>0</v>
      </c>
      <c r="N1381">
        <v>0</v>
      </c>
      <c r="O1381">
        <v>0</v>
      </c>
      <c r="P1381" s="2">
        <v>41974</v>
      </c>
      <c r="Q1381">
        <v>0</v>
      </c>
      <c r="R1381" s="1" t="s">
        <v>61</v>
      </c>
    </row>
    <row r="1382" spans="1:18" x14ac:dyDescent="0.25">
      <c r="A1382">
        <v>2014</v>
      </c>
      <c r="B1382">
        <v>1</v>
      </c>
      <c r="C1382" s="1" t="s">
        <v>18</v>
      </c>
      <c r="D1382" s="1" t="s">
        <v>19</v>
      </c>
      <c r="E1382" s="1" t="s">
        <v>100</v>
      </c>
      <c r="F1382">
        <v>2016</v>
      </c>
      <c r="G1382">
        <v>0</v>
      </c>
      <c r="H1382" s="1" t="s">
        <v>59</v>
      </c>
      <c r="I1382">
        <v>22</v>
      </c>
      <c r="J1382">
        <v>3137</v>
      </c>
      <c r="K1382" s="1" t="s">
        <v>101</v>
      </c>
      <c r="L1382" s="1" t="s">
        <v>23</v>
      </c>
      <c r="M1382">
        <v>0</v>
      </c>
      <c r="N1382">
        <v>0</v>
      </c>
      <c r="O1382">
        <v>0</v>
      </c>
      <c r="P1382" s="2">
        <v>41640</v>
      </c>
      <c r="Q1382">
        <v>0</v>
      </c>
      <c r="R1382" s="1" t="s">
        <v>61</v>
      </c>
    </row>
    <row r="1383" spans="1:18" x14ac:dyDescent="0.25">
      <c r="A1383">
        <v>2014</v>
      </c>
      <c r="B1383">
        <v>2</v>
      </c>
      <c r="C1383" s="1" t="s">
        <v>25</v>
      </c>
      <c r="D1383" s="1" t="s">
        <v>19</v>
      </c>
      <c r="E1383" s="1" t="s">
        <v>100</v>
      </c>
      <c r="F1383">
        <v>2016</v>
      </c>
      <c r="G1383">
        <v>0</v>
      </c>
      <c r="H1383" s="1" t="s">
        <v>59</v>
      </c>
      <c r="I1383">
        <v>22</v>
      </c>
      <c r="J1383">
        <v>3137</v>
      </c>
      <c r="K1383" s="1" t="s">
        <v>101</v>
      </c>
      <c r="L1383" s="1" t="s">
        <v>23</v>
      </c>
      <c r="M1383">
        <v>0</v>
      </c>
      <c r="N1383">
        <v>0</v>
      </c>
      <c r="O1383">
        <v>0</v>
      </c>
      <c r="P1383" s="2">
        <v>41671</v>
      </c>
      <c r="Q1383">
        <v>0</v>
      </c>
      <c r="R1383" s="1" t="s">
        <v>61</v>
      </c>
    </row>
    <row r="1384" spans="1:18" x14ac:dyDescent="0.25">
      <c r="A1384">
        <v>2014</v>
      </c>
      <c r="B1384">
        <v>3</v>
      </c>
      <c r="C1384" s="1" t="s">
        <v>26</v>
      </c>
      <c r="D1384" s="1" t="s">
        <v>19</v>
      </c>
      <c r="E1384" s="1" t="s">
        <v>100</v>
      </c>
      <c r="F1384">
        <v>2016</v>
      </c>
      <c r="G1384">
        <v>0</v>
      </c>
      <c r="H1384" s="1" t="s">
        <v>59</v>
      </c>
      <c r="I1384">
        <v>22</v>
      </c>
      <c r="J1384">
        <v>3137</v>
      </c>
      <c r="K1384" s="1" t="s">
        <v>101</v>
      </c>
      <c r="L1384" s="1" t="s">
        <v>23</v>
      </c>
      <c r="M1384">
        <v>0</v>
      </c>
      <c r="N1384">
        <v>0</v>
      </c>
      <c r="O1384">
        <v>0</v>
      </c>
      <c r="P1384" s="2">
        <v>41699</v>
      </c>
      <c r="Q1384">
        <v>0</v>
      </c>
      <c r="R1384" s="1" t="s">
        <v>61</v>
      </c>
    </row>
    <row r="1385" spans="1:18" x14ac:dyDescent="0.25">
      <c r="A1385">
        <v>2014</v>
      </c>
      <c r="B1385">
        <v>4</v>
      </c>
      <c r="C1385" s="1" t="s">
        <v>27</v>
      </c>
      <c r="D1385" s="1" t="s">
        <v>19</v>
      </c>
      <c r="E1385" s="1" t="s">
        <v>100</v>
      </c>
      <c r="F1385">
        <v>2016</v>
      </c>
      <c r="G1385">
        <v>0</v>
      </c>
      <c r="H1385" s="1" t="s">
        <v>59</v>
      </c>
      <c r="I1385">
        <v>22</v>
      </c>
      <c r="J1385">
        <v>3137</v>
      </c>
      <c r="K1385" s="1" t="s">
        <v>101</v>
      </c>
      <c r="L1385" s="1" t="s">
        <v>23</v>
      </c>
      <c r="M1385">
        <v>0</v>
      </c>
      <c r="N1385">
        <v>0</v>
      </c>
      <c r="O1385">
        <v>0</v>
      </c>
      <c r="P1385" s="2">
        <v>41730</v>
      </c>
      <c r="Q1385">
        <v>0</v>
      </c>
      <c r="R1385" s="1" t="s">
        <v>61</v>
      </c>
    </row>
    <row r="1386" spans="1:18" x14ac:dyDescent="0.25">
      <c r="A1386">
        <v>2014</v>
      </c>
      <c r="B1386">
        <v>5</v>
      </c>
      <c r="C1386" s="1" t="s">
        <v>28</v>
      </c>
      <c r="D1386" s="1" t="s">
        <v>19</v>
      </c>
      <c r="E1386" s="1" t="s">
        <v>100</v>
      </c>
      <c r="F1386">
        <v>2016</v>
      </c>
      <c r="G1386">
        <v>0</v>
      </c>
      <c r="H1386" s="1" t="s">
        <v>59</v>
      </c>
      <c r="I1386">
        <v>22</v>
      </c>
      <c r="J1386">
        <v>3137</v>
      </c>
      <c r="K1386" s="1" t="s">
        <v>101</v>
      </c>
      <c r="L1386" s="1" t="s">
        <v>23</v>
      </c>
      <c r="M1386">
        <v>0</v>
      </c>
      <c r="N1386">
        <v>0</v>
      </c>
      <c r="O1386">
        <v>0</v>
      </c>
      <c r="P1386" s="2">
        <v>41760</v>
      </c>
      <c r="Q1386">
        <v>0</v>
      </c>
      <c r="R1386" s="1" t="s">
        <v>61</v>
      </c>
    </row>
    <row r="1387" spans="1:18" x14ac:dyDescent="0.25">
      <c r="A1387">
        <v>2014</v>
      </c>
      <c r="B1387">
        <v>6</v>
      </c>
      <c r="C1387" s="1" t="s">
        <v>29</v>
      </c>
      <c r="D1387" s="1" t="s">
        <v>19</v>
      </c>
      <c r="E1387" s="1" t="s">
        <v>100</v>
      </c>
      <c r="F1387">
        <v>2016</v>
      </c>
      <c r="G1387">
        <v>0</v>
      </c>
      <c r="H1387" s="1" t="s">
        <v>59</v>
      </c>
      <c r="I1387">
        <v>22</v>
      </c>
      <c r="J1387">
        <v>3137</v>
      </c>
      <c r="K1387" s="1" t="s">
        <v>101</v>
      </c>
      <c r="L1387" s="1" t="s">
        <v>23</v>
      </c>
      <c r="M1387">
        <v>0</v>
      </c>
      <c r="N1387">
        <v>0</v>
      </c>
      <c r="O1387">
        <v>0</v>
      </c>
      <c r="P1387" s="2">
        <v>41791</v>
      </c>
      <c r="Q1387">
        <v>0</v>
      </c>
      <c r="R1387" s="1" t="s">
        <v>61</v>
      </c>
    </row>
    <row r="1388" spans="1:18" x14ac:dyDescent="0.25">
      <c r="A1388">
        <v>2014</v>
      </c>
      <c r="B1388">
        <v>7</v>
      </c>
      <c r="C1388" s="1" t="s">
        <v>30</v>
      </c>
      <c r="D1388" s="1" t="s">
        <v>19</v>
      </c>
      <c r="E1388" s="1" t="s">
        <v>100</v>
      </c>
      <c r="F1388">
        <v>2016</v>
      </c>
      <c r="G1388">
        <v>0</v>
      </c>
      <c r="H1388" s="1" t="s">
        <v>59</v>
      </c>
      <c r="I1388">
        <v>22</v>
      </c>
      <c r="J1388">
        <v>3137</v>
      </c>
      <c r="K1388" s="1" t="s">
        <v>101</v>
      </c>
      <c r="L1388" s="1" t="s">
        <v>23</v>
      </c>
      <c r="M1388">
        <v>0</v>
      </c>
      <c r="N1388">
        <v>0</v>
      </c>
      <c r="O1388">
        <v>0</v>
      </c>
      <c r="P1388" s="2">
        <v>41821</v>
      </c>
      <c r="Q1388">
        <v>0</v>
      </c>
      <c r="R1388" s="1" t="s">
        <v>61</v>
      </c>
    </row>
    <row r="1389" spans="1:18" x14ac:dyDescent="0.25">
      <c r="A1389">
        <v>2014</v>
      </c>
      <c r="B1389">
        <v>8</v>
      </c>
      <c r="C1389" s="1" t="s">
        <v>31</v>
      </c>
      <c r="D1389" s="1" t="s">
        <v>19</v>
      </c>
      <c r="E1389" s="1" t="s">
        <v>100</v>
      </c>
      <c r="F1389">
        <v>2016</v>
      </c>
      <c r="G1389">
        <v>0</v>
      </c>
      <c r="H1389" s="1" t="s">
        <v>59</v>
      </c>
      <c r="I1389">
        <v>22</v>
      </c>
      <c r="J1389">
        <v>3137</v>
      </c>
      <c r="K1389" s="1" t="s">
        <v>101</v>
      </c>
      <c r="L1389" s="1" t="s">
        <v>23</v>
      </c>
      <c r="M1389">
        <v>0</v>
      </c>
      <c r="N1389">
        <v>0</v>
      </c>
      <c r="O1389">
        <v>0</v>
      </c>
      <c r="P1389" s="2">
        <v>41852</v>
      </c>
      <c r="Q1389">
        <v>0</v>
      </c>
      <c r="R1389" s="1" t="s">
        <v>61</v>
      </c>
    </row>
    <row r="1390" spans="1:18" x14ac:dyDescent="0.25">
      <c r="A1390">
        <v>2014</v>
      </c>
      <c r="B1390">
        <v>9</v>
      </c>
      <c r="C1390" s="1" t="s">
        <v>32</v>
      </c>
      <c r="D1390" s="1" t="s">
        <v>19</v>
      </c>
      <c r="E1390" s="1" t="s">
        <v>100</v>
      </c>
      <c r="F1390">
        <v>2016</v>
      </c>
      <c r="G1390">
        <v>0</v>
      </c>
      <c r="H1390" s="1" t="s">
        <v>59</v>
      </c>
      <c r="I1390">
        <v>22</v>
      </c>
      <c r="J1390">
        <v>3137</v>
      </c>
      <c r="K1390" s="1" t="s">
        <v>101</v>
      </c>
      <c r="L1390" s="1" t="s">
        <v>23</v>
      </c>
      <c r="M1390">
        <v>0</v>
      </c>
      <c r="N1390">
        <v>0</v>
      </c>
      <c r="O1390">
        <v>0</v>
      </c>
      <c r="P1390" s="2">
        <v>41883</v>
      </c>
      <c r="Q1390">
        <v>0</v>
      </c>
      <c r="R1390" s="1" t="s">
        <v>61</v>
      </c>
    </row>
    <row r="1391" spans="1:18" x14ac:dyDescent="0.25">
      <c r="A1391">
        <v>2014</v>
      </c>
      <c r="B1391">
        <v>10</v>
      </c>
      <c r="C1391" s="1" t="s">
        <v>33</v>
      </c>
      <c r="D1391" s="1" t="s">
        <v>19</v>
      </c>
      <c r="E1391" s="1" t="s">
        <v>100</v>
      </c>
      <c r="F1391">
        <v>2016</v>
      </c>
      <c r="G1391">
        <v>0</v>
      </c>
      <c r="H1391" s="1" t="s">
        <v>59</v>
      </c>
      <c r="I1391">
        <v>22</v>
      </c>
      <c r="J1391">
        <v>3137</v>
      </c>
      <c r="K1391" s="1" t="s">
        <v>101</v>
      </c>
      <c r="L1391" s="1" t="s">
        <v>23</v>
      </c>
      <c r="M1391">
        <v>0</v>
      </c>
      <c r="N1391">
        <v>0</v>
      </c>
      <c r="O1391">
        <v>0</v>
      </c>
      <c r="P1391" s="2">
        <v>41913</v>
      </c>
      <c r="Q1391">
        <v>0</v>
      </c>
      <c r="R1391" s="1" t="s">
        <v>61</v>
      </c>
    </row>
    <row r="1392" spans="1:18" x14ac:dyDescent="0.25">
      <c r="A1392">
        <v>2014</v>
      </c>
      <c r="B1392">
        <v>11</v>
      </c>
      <c r="C1392" s="1" t="s">
        <v>34</v>
      </c>
      <c r="D1392" s="1" t="s">
        <v>19</v>
      </c>
      <c r="E1392" s="1" t="s">
        <v>100</v>
      </c>
      <c r="F1392">
        <v>2016</v>
      </c>
      <c r="G1392">
        <v>0</v>
      </c>
      <c r="H1392" s="1" t="s">
        <v>59</v>
      </c>
      <c r="I1392">
        <v>22</v>
      </c>
      <c r="J1392">
        <v>3137</v>
      </c>
      <c r="K1392" s="1" t="s">
        <v>101</v>
      </c>
      <c r="L1392" s="1" t="s">
        <v>23</v>
      </c>
      <c r="M1392">
        <v>0</v>
      </c>
      <c r="N1392">
        <v>0</v>
      </c>
      <c r="O1392">
        <v>0</v>
      </c>
      <c r="P1392" s="2">
        <v>41944</v>
      </c>
      <c r="Q1392">
        <v>0</v>
      </c>
      <c r="R1392" s="1" t="s">
        <v>61</v>
      </c>
    </row>
    <row r="1393" spans="1:18" x14ac:dyDescent="0.25">
      <c r="A1393">
        <v>2014</v>
      </c>
      <c r="B1393">
        <v>12</v>
      </c>
      <c r="C1393" s="1" t="s">
        <v>35</v>
      </c>
      <c r="D1393" s="1" t="s">
        <v>19</v>
      </c>
      <c r="E1393" s="1" t="s">
        <v>100</v>
      </c>
      <c r="F1393">
        <v>2016</v>
      </c>
      <c r="G1393">
        <v>0</v>
      </c>
      <c r="H1393" s="1" t="s">
        <v>59</v>
      </c>
      <c r="I1393">
        <v>22</v>
      </c>
      <c r="J1393">
        <v>3137</v>
      </c>
      <c r="K1393" s="1" t="s">
        <v>101</v>
      </c>
      <c r="L1393" s="1" t="s">
        <v>23</v>
      </c>
      <c r="M1393">
        <v>0</v>
      </c>
      <c r="N1393">
        <v>0</v>
      </c>
      <c r="O1393">
        <v>0</v>
      </c>
      <c r="P1393" s="2">
        <v>41974</v>
      </c>
      <c r="Q1393">
        <v>0</v>
      </c>
      <c r="R1393" s="1" t="s">
        <v>61</v>
      </c>
    </row>
    <row r="1394" spans="1:18" x14ac:dyDescent="0.25">
      <c r="A1394">
        <v>2014</v>
      </c>
      <c r="B1394">
        <v>1</v>
      </c>
      <c r="C1394" s="1" t="s">
        <v>18</v>
      </c>
      <c r="D1394" s="1" t="s">
        <v>19</v>
      </c>
      <c r="E1394" s="1" t="s">
        <v>102</v>
      </c>
      <c r="F1394">
        <v>2016</v>
      </c>
      <c r="G1394">
        <v>0</v>
      </c>
      <c r="H1394" s="1" t="s">
        <v>59</v>
      </c>
      <c r="I1394">
        <v>22</v>
      </c>
      <c r="J1394">
        <v>3096</v>
      </c>
      <c r="K1394" s="1" t="s">
        <v>103</v>
      </c>
      <c r="L1394" s="1" t="s">
        <v>23</v>
      </c>
      <c r="M1394">
        <v>0</v>
      </c>
      <c r="N1394">
        <v>0</v>
      </c>
      <c r="O1394">
        <v>0</v>
      </c>
      <c r="P1394" s="2">
        <v>41640</v>
      </c>
      <c r="Q1394">
        <v>0</v>
      </c>
      <c r="R1394" s="1" t="s">
        <v>61</v>
      </c>
    </row>
    <row r="1395" spans="1:18" x14ac:dyDescent="0.25">
      <c r="A1395">
        <v>2014</v>
      </c>
      <c r="B1395">
        <v>2</v>
      </c>
      <c r="C1395" s="1" t="s">
        <v>25</v>
      </c>
      <c r="D1395" s="1" t="s">
        <v>19</v>
      </c>
      <c r="E1395" s="1" t="s">
        <v>102</v>
      </c>
      <c r="F1395">
        <v>2016</v>
      </c>
      <c r="G1395">
        <v>0</v>
      </c>
      <c r="H1395" s="1" t="s">
        <v>59</v>
      </c>
      <c r="I1395">
        <v>22</v>
      </c>
      <c r="J1395">
        <v>3096</v>
      </c>
      <c r="K1395" s="1" t="s">
        <v>103</v>
      </c>
      <c r="L1395" s="1" t="s">
        <v>23</v>
      </c>
      <c r="M1395">
        <v>0</v>
      </c>
      <c r="N1395">
        <v>0</v>
      </c>
      <c r="O1395">
        <v>0</v>
      </c>
      <c r="P1395" s="2">
        <v>41671</v>
      </c>
      <c r="Q1395">
        <v>0</v>
      </c>
      <c r="R1395" s="1" t="s">
        <v>61</v>
      </c>
    </row>
    <row r="1396" spans="1:18" x14ac:dyDescent="0.25">
      <c r="A1396">
        <v>2014</v>
      </c>
      <c r="B1396">
        <v>3</v>
      </c>
      <c r="C1396" s="1" t="s">
        <v>26</v>
      </c>
      <c r="D1396" s="1" t="s">
        <v>19</v>
      </c>
      <c r="E1396" s="1" t="s">
        <v>102</v>
      </c>
      <c r="F1396">
        <v>2016</v>
      </c>
      <c r="G1396">
        <v>0</v>
      </c>
      <c r="H1396" s="1" t="s">
        <v>59</v>
      </c>
      <c r="I1396">
        <v>22</v>
      </c>
      <c r="J1396">
        <v>3096</v>
      </c>
      <c r="K1396" s="1" t="s">
        <v>103</v>
      </c>
      <c r="L1396" s="1" t="s">
        <v>23</v>
      </c>
      <c r="M1396">
        <v>0</v>
      </c>
      <c r="N1396">
        <v>0</v>
      </c>
      <c r="O1396">
        <v>0</v>
      </c>
      <c r="P1396" s="2">
        <v>41699</v>
      </c>
      <c r="Q1396">
        <v>0</v>
      </c>
      <c r="R1396" s="1" t="s">
        <v>61</v>
      </c>
    </row>
    <row r="1397" spans="1:18" x14ac:dyDescent="0.25">
      <c r="A1397">
        <v>2014</v>
      </c>
      <c r="B1397">
        <v>4</v>
      </c>
      <c r="C1397" s="1" t="s">
        <v>27</v>
      </c>
      <c r="D1397" s="1" t="s">
        <v>19</v>
      </c>
      <c r="E1397" s="1" t="s">
        <v>102</v>
      </c>
      <c r="F1397">
        <v>2016</v>
      </c>
      <c r="G1397">
        <v>0</v>
      </c>
      <c r="H1397" s="1" t="s">
        <v>59</v>
      </c>
      <c r="I1397">
        <v>22</v>
      </c>
      <c r="J1397">
        <v>3096</v>
      </c>
      <c r="K1397" s="1" t="s">
        <v>103</v>
      </c>
      <c r="L1397" s="1" t="s">
        <v>23</v>
      </c>
      <c r="M1397">
        <v>0</v>
      </c>
      <c r="N1397">
        <v>0</v>
      </c>
      <c r="O1397">
        <v>0</v>
      </c>
      <c r="P1397" s="2">
        <v>41730</v>
      </c>
      <c r="Q1397">
        <v>0</v>
      </c>
      <c r="R1397" s="1" t="s">
        <v>61</v>
      </c>
    </row>
    <row r="1398" spans="1:18" x14ac:dyDescent="0.25">
      <c r="A1398">
        <v>2014</v>
      </c>
      <c r="B1398">
        <v>5</v>
      </c>
      <c r="C1398" s="1" t="s">
        <v>28</v>
      </c>
      <c r="D1398" s="1" t="s">
        <v>19</v>
      </c>
      <c r="E1398" s="1" t="s">
        <v>102</v>
      </c>
      <c r="F1398">
        <v>2016</v>
      </c>
      <c r="G1398">
        <v>0</v>
      </c>
      <c r="H1398" s="1" t="s">
        <v>59</v>
      </c>
      <c r="I1398">
        <v>22</v>
      </c>
      <c r="J1398">
        <v>3096</v>
      </c>
      <c r="K1398" s="1" t="s">
        <v>103</v>
      </c>
      <c r="L1398" s="1" t="s">
        <v>23</v>
      </c>
      <c r="M1398">
        <v>0</v>
      </c>
      <c r="N1398">
        <v>0</v>
      </c>
      <c r="O1398">
        <v>0</v>
      </c>
      <c r="P1398" s="2">
        <v>41760</v>
      </c>
      <c r="Q1398">
        <v>0</v>
      </c>
      <c r="R1398" s="1" t="s">
        <v>61</v>
      </c>
    </row>
    <row r="1399" spans="1:18" x14ac:dyDescent="0.25">
      <c r="A1399">
        <v>2014</v>
      </c>
      <c r="B1399">
        <v>6</v>
      </c>
      <c r="C1399" s="1" t="s">
        <v>29</v>
      </c>
      <c r="D1399" s="1" t="s">
        <v>19</v>
      </c>
      <c r="E1399" s="1" t="s">
        <v>102</v>
      </c>
      <c r="F1399">
        <v>2016</v>
      </c>
      <c r="G1399">
        <v>0</v>
      </c>
      <c r="H1399" s="1" t="s">
        <v>59</v>
      </c>
      <c r="I1399">
        <v>22</v>
      </c>
      <c r="J1399">
        <v>3096</v>
      </c>
      <c r="K1399" s="1" t="s">
        <v>103</v>
      </c>
      <c r="L1399" s="1" t="s">
        <v>23</v>
      </c>
      <c r="M1399">
        <v>0</v>
      </c>
      <c r="N1399">
        <v>0</v>
      </c>
      <c r="O1399">
        <v>0</v>
      </c>
      <c r="P1399" s="2">
        <v>41791</v>
      </c>
      <c r="Q1399">
        <v>0</v>
      </c>
      <c r="R1399" s="1" t="s">
        <v>61</v>
      </c>
    </row>
    <row r="1400" spans="1:18" x14ac:dyDescent="0.25">
      <c r="A1400">
        <v>2014</v>
      </c>
      <c r="B1400">
        <v>7</v>
      </c>
      <c r="C1400" s="1" t="s">
        <v>30</v>
      </c>
      <c r="D1400" s="1" t="s">
        <v>19</v>
      </c>
      <c r="E1400" s="1" t="s">
        <v>102</v>
      </c>
      <c r="F1400">
        <v>2016</v>
      </c>
      <c r="G1400">
        <v>0</v>
      </c>
      <c r="H1400" s="1" t="s">
        <v>59</v>
      </c>
      <c r="I1400">
        <v>22</v>
      </c>
      <c r="J1400">
        <v>3096</v>
      </c>
      <c r="K1400" s="1" t="s">
        <v>103</v>
      </c>
      <c r="L1400" s="1" t="s">
        <v>23</v>
      </c>
      <c r="M1400">
        <v>0</v>
      </c>
      <c r="N1400">
        <v>0</v>
      </c>
      <c r="O1400">
        <v>0</v>
      </c>
      <c r="P1400" s="2">
        <v>41821</v>
      </c>
      <c r="Q1400">
        <v>0</v>
      </c>
      <c r="R1400" s="1" t="s">
        <v>61</v>
      </c>
    </row>
    <row r="1401" spans="1:18" x14ac:dyDescent="0.25">
      <c r="A1401">
        <v>2014</v>
      </c>
      <c r="B1401">
        <v>8</v>
      </c>
      <c r="C1401" s="1" t="s">
        <v>31</v>
      </c>
      <c r="D1401" s="1" t="s">
        <v>19</v>
      </c>
      <c r="E1401" s="1" t="s">
        <v>102</v>
      </c>
      <c r="F1401">
        <v>2016</v>
      </c>
      <c r="G1401">
        <v>0</v>
      </c>
      <c r="H1401" s="1" t="s">
        <v>59</v>
      </c>
      <c r="I1401">
        <v>22</v>
      </c>
      <c r="J1401">
        <v>3096</v>
      </c>
      <c r="K1401" s="1" t="s">
        <v>103</v>
      </c>
      <c r="L1401" s="1" t="s">
        <v>23</v>
      </c>
      <c r="M1401">
        <v>0</v>
      </c>
      <c r="N1401">
        <v>0</v>
      </c>
      <c r="O1401">
        <v>0</v>
      </c>
      <c r="P1401" s="2">
        <v>41852</v>
      </c>
      <c r="Q1401">
        <v>0</v>
      </c>
      <c r="R1401" s="1" t="s">
        <v>61</v>
      </c>
    </row>
    <row r="1402" spans="1:18" x14ac:dyDescent="0.25">
      <c r="A1402">
        <v>2014</v>
      </c>
      <c r="B1402">
        <v>9</v>
      </c>
      <c r="C1402" s="1" t="s">
        <v>32</v>
      </c>
      <c r="D1402" s="1" t="s">
        <v>19</v>
      </c>
      <c r="E1402" s="1" t="s">
        <v>102</v>
      </c>
      <c r="F1402">
        <v>2016</v>
      </c>
      <c r="G1402">
        <v>0</v>
      </c>
      <c r="H1402" s="1" t="s">
        <v>59</v>
      </c>
      <c r="I1402">
        <v>22</v>
      </c>
      <c r="J1402">
        <v>3096</v>
      </c>
      <c r="K1402" s="1" t="s">
        <v>103</v>
      </c>
      <c r="L1402" s="1" t="s">
        <v>23</v>
      </c>
      <c r="M1402">
        <v>0</v>
      </c>
      <c r="N1402">
        <v>0</v>
      </c>
      <c r="O1402">
        <v>0</v>
      </c>
      <c r="P1402" s="2">
        <v>41883</v>
      </c>
      <c r="Q1402">
        <v>0</v>
      </c>
      <c r="R1402" s="1" t="s">
        <v>61</v>
      </c>
    </row>
    <row r="1403" spans="1:18" x14ac:dyDescent="0.25">
      <c r="A1403">
        <v>2014</v>
      </c>
      <c r="B1403">
        <v>10</v>
      </c>
      <c r="C1403" s="1" t="s">
        <v>33</v>
      </c>
      <c r="D1403" s="1" t="s">
        <v>19</v>
      </c>
      <c r="E1403" s="1" t="s">
        <v>102</v>
      </c>
      <c r="F1403">
        <v>2016</v>
      </c>
      <c r="G1403">
        <v>0</v>
      </c>
      <c r="H1403" s="1" t="s">
        <v>59</v>
      </c>
      <c r="I1403">
        <v>22</v>
      </c>
      <c r="J1403">
        <v>3096</v>
      </c>
      <c r="K1403" s="1" t="s">
        <v>103</v>
      </c>
      <c r="L1403" s="1" t="s">
        <v>23</v>
      </c>
      <c r="M1403">
        <v>0</v>
      </c>
      <c r="N1403">
        <v>0</v>
      </c>
      <c r="O1403">
        <v>0</v>
      </c>
      <c r="P1403" s="2">
        <v>41913</v>
      </c>
      <c r="Q1403">
        <v>0</v>
      </c>
      <c r="R1403" s="1" t="s">
        <v>61</v>
      </c>
    </row>
    <row r="1404" spans="1:18" x14ac:dyDescent="0.25">
      <c r="A1404">
        <v>2014</v>
      </c>
      <c r="B1404">
        <v>11</v>
      </c>
      <c r="C1404" s="1" t="s">
        <v>34</v>
      </c>
      <c r="D1404" s="1" t="s">
        <v>19</v>
      </c>
      <c r="E1404" s="1" t="s">
        <v>102</v>
      </c>
      <c r="F1404">
        <v>2016</v>
      </c>
      <c r="G1404">
        <v>0</v>
      </c>
      <c r="H1404" s="1" t="s">
        <v>59</v>
      </c>
      <c r="I1404">
        <v>22</v>
      </c>
      <c r="J1404">
        <v>3096</v>
      </c>
      <c r="K1404" s="1" t="s">
        <v>103</v>
      </c>
      <c r="L1404" s="1" t="s">
        <v>23</v>
      </c>
      <c r="M1404">
        <v>0</v>
      </c>
      <c r="N1404">
        <v>0</v>
      </c>
      <c r="O1404">
        <v>0</v>
      </c>
      <c r="P1404" s="2">
        <v>41944</v>
      </c>
      <c r="Q1404">
        <v>0</v>
      </c>
      <c r="R1404" s="1" t="s">
        <v>61</v>
      </c>
    </row>
    <row r="1405" spans="1:18" x14ac:dyDescent="0.25">
      <c r="A1405">
        <v>2014</v>
      </c>
      <c r="B1405">
        <v>12</v>
      </c>
      <c r="C1405" s="1" t="s">
        <v>35</v>
      </c>
      <c r="D1405" s="1" t="s">
        <v>19</v>
      </c>
      <c r="E1405" s="1" t="s">
        <v>102</v>
      </c>
      <c r="F1405">
        <v>2016</v>
      </c>
      <c r="G1405">
        <v>0</v>
      </c>
      <c r="H1405" s="1" t="s">
        <v>59</v>
      </c>
      <c r="I1405">
        <v>22</v>
      </c>
      <c r="J1405">
        <v>3096</v>
      </c>
      <c r="K1405" s="1" t="s">
        <v>103</v>
      </c>
      <c r="L1405" s="1" t="s">
        <v>23</v>
      </c>
      <c r="M1405">
        <v>0</v>
      </c>
      <c r="N1405">
        <v>0</v>
      </c>
      <c r="O1405">
        <v>0</v>
      </c>
      <c r="P1405" s="2">
        <v>41974</v>
      </c>
      <c r="Q1405">
        <v>0</v>
      </c>
      <c r="R1405" s="1" t="s">
        <v>61</v>
      </c>
    </row>
    <row r="1406" spans="1:18" x14ac:dyDescent="0.25">
      <c r="A1406">
        <v>2014</v>
      </c>
      <c r="B1406">
        <v>1</v>
      </c>
      <c r="C1406" s="1" t="s">
        <v>18</v>
      </c>
      <c r="D1406" s="1" t="s">
        <v>19</v>
      </c>
      <c r="E1406" s="1" t="s">
        <v>104</v>
      </c>
      <c r="F1406">
        <v>2016</v>
      </c>
      <c r="G1406">
        <v>0</v>
      </c>
      <c r="H1406" s="1" t="s">
        <v>59</v>
      </c>
      <c r="I1406">
        <v>24</v>
      </c>
      <c r="J1406">
        <v>3317</v>
      </c>
      <c r="K1406" s="1" t="s">
        <v>105</v>
      </c>
      <c r="L1406" s="1" t="s">
        <v>23</v>
      </c>
      <c r="M1406">
        <v>0</v>
      </c>
      <c r="N1406">
        <v>0</v>
      </c>
      <c r="O1406">
        <v>0</v>
      </c>
      <c r="P1406" s="2">
        <v>41640</v>
      </c>
      <c r="Q1406">
        <v>0</v>
      </c>
      <c r="R1406" s="1" t="s">
        <v>61</v>
      </c>
    </row>
    <row r="1407" spans="1:18" x14ac:dyDescent="0.25">
      <c r="A1407">
        <v>2014</v>
      </c>
      <c r="B1407">
        <v>2</v>
      </c>
      <c r="C1407" s="1" t="s">
        <v>25</v>
      </c>
      <c r="D1407" s="1" t="s">
        <v>19</v>
      </c>
      <c r="E1407" s="1" t="s">
        <v>104</v>
      </c>
      <c r="F1407">
        <v>2016</v>
      </c>
      <c r="G1407">
        <v>0</v>
      </c>
      <c r="H1407" s="1" t="s">
        <v>59</v>
      </c>
      <c r="I1407">
        <v>24</v>
      </c>
      <c r="J1407">
        <v>3317</v>
      </c>
      <c r="K1407" s="1" t="s">
        <v>105</v>
      </c>
      <c r="L1407" s="1" t="s">
        <v>23</v>
      </c>
      <c r="M1407">
        <v>0</v>
      </c>
      <c r="N1407">
        <v>0</v>
      </c>
      <c r="O1407">
        <v>0</v>
      </c>
      <c r="P1407" s="2">
        <v>41671</v>
      </c>
      <c r="Q1407">
        <v>0</v>
      </c>
      <c r="R1407" s="1" t="s">
        <v>61</v>
      </c>
    </row>
    <row r="1408" spans="1:18" x14ac:dyDescent="0.25">
      <c r="A1408">
        <v>2014</v>
      </c>
      <c r="B1408">
        <v>3</v>
      </c>
      <c r="C1408" s="1" t="s">
        <v>26</v>
      </c>
      <c r="D1408" s="1" t="s">
        <v>19</v>
      </c>
      <c r="E1408" s="1" t="s">
        <v>104</v>
      </c>
      <c r="F1408">
        <v>2016</v>
      </c>
      <c r="G1408">
        <v>0</v>
      </c>
      <c r="H1408" s="1" t="s">
        <v>59</v>
      </c>
      <c r="I1408">
        <v>24</v>
      </c>
      <c r="J1408">
        <v>3317</v>
      </c>
      <c r="K1408" s="1" t="s">
        <v>105</v>
      </c>
      <c r="L1408" s="1" t="s">
        <v>23</v>
      </c>
      <c r="M1408">
        <v>0</v>
      </c>
      <c r="N1408">
        <v>0</v>
      </c>
      <c r="O1408">
        <v>0</v>
      </c>
      <c r="P1408" s="2">
        <v>41699</v>
      </c>
      <c r="Q1408">
        <v>0</v>
      </c>
      <c r="R1408" s="1" t="s">
        <v>61</v>
      </c>
    </row>
    <row r="1409" spans="1:18" x14ac:dyDescent="0.25">
      <c r="A1409">
        <v>2014</v>
      </c>
      <c r="B1409">
        <v>4</v>
      </c>
      <c r="C1409" s="1" t="s">
        <v>27</v>
      </c>
      <c r="D1409" s="1" t="s">
        <v>19</v>
      </c>
      <c r="E1409" s="1" t="s">
        <v>104</v>
      </c>
      <c r="F1409">
        <v>2016</v>
      </c>
      <c r="G1409">
        <v>0</v>
      </c>
      <c r="H1409" s="1" t="s">
        <v>59</v>
      </c>
      <c r="I1409">
        <v>24</v>
      </c>
      <c r="J1409">
        <v>3317</v>
      </c>
      <c r="K1409" s="1" t="s">
        <v>105</v>
      </c>
      <c r="L1409" s="1" t="s">
        <v>23</v>
      </c>
      <c r="M1409">
        <v>0</v>
      </c>
      <c r="N1409">
        <v>0</v>
      </c>
      <c r="O1409">
        <v>0</v>
      </c>
      <c r="P1409" s="2">
        <v>41730</v>
      </c>
      <c r="Q1409">
        <v>0</v>
      </c>
      <c r="R1409" s="1" t="s">
        <v>61</v>
      </c>
    </row>
    <row r="1410" spans="1:18" x14ac:dyDescent="0.25">
      <c r="A1410">
        <v>2014</v>
      </c>
      <c r="B1410">
        <v>5</v>
      </c>
      <c r="C1410" s="1" t="s">
        <v>28</v>
      </c>
      <c r="D1410" s="1" t="s">
        <v>19</v>
      </c>
      <c r="E1410" s="1" t="s">
        <v>104</v>
      </c>
      <c r="F1410">
        <v>2016</v>
      </c>
      <c r="G1410">
        <v>0</v>
      </c>
      <c r="H1410" s="1" t="s">
        <v>59</v>
      </c>
      <c r="I1410">
        <v>24</v>
      </c>
      <c r="J1410">
        <v>3317</v>
      </c>
      <c r="K1410" s="1" t="s">
        <v>105</v>
      </c>
      <c r="L1410" s="1" t="s">
        <v>23</v>
      </c>
      <c r="M1410">
        <v>0</v>
      </c>
      <c r="N1410">
        <v>0</v>
      </c>
      <c r="O1410">
        <v>0</v>
      </c>
      <c r="P1410" s="2">
        <v>41760</v>
      </c>
      <c r="Q1410">
        <v>0</v>
      </c>
      <c r="R1410" s="1" t="s">
        <v>61</v>
      </c>
    </row>
    <row r="1411" spans="1:18" x14ac:dyDescent="0.25">
      <c r="A1411">
        <v>2014</v>
      </c>
      <c r="B1411">
        <v>6</v>
      </c>
      <c r="C1411" s="1" t="s">
        <v>29</v>
      </c>
      <c r="D1411" s="1" t="s">
        <v>19</v>
      </c>
      <c r="E1411" s="1" t="s">
        <v>104</v>
      </c>
      <c r="F1411">
        <v>2016</v>
      </c>
      <c r="G1411">
        <v>0</v>
      </c>
      <c r="H1411" s="1" t="s">
        <v>59</v>
      </c>
      <c r="I1411">
        <v>24</v>
      </c>
      <c r="J1411">
        <v>3317</v>
      </c>
      <c r="K1411" s="1" t="s">
        <v>105</v>
      </c>
      <c r="L1411" s="1" t="s">
        <v>23</v>
      </c>
      <c r="M1411">
        <v>0</v>
      </c>
      <c r="N1411">
        <v>0</v>
      </c>
      <c r="O1411">
        <v>0</v>
      </c>
      <c r="P1411" s="2">
        <v>41791</v>
      </c>
      <c r="Q1411">
        <v>0</v>
      </c>
      <c r="R1411" s="1" t="s">
        <v>61</v>
      </c>
    </row>
    <row r="1412" spans="1:18" x14ac:dyDescent="0.25">
      <c r="A1412">
        <v>2014</v>
      </c>
      <c r="B1412">
        <v>7</v>
      </c>
      <c r="C1412" s="1" t="s">
        <v>30</v>
      </c>
      <c r="D1412" s="1" t="s">
        <v>19</v>
      </c>
      <c r="E1412" s="1" t="s">
        <v>104</v>
      </c>
      <c r="F1412">
        <v>2016</v>
      </c>
      <c r="G1412">
        <v>0</v>
      </c>
      <c r="H1412" s="1" t="s">
        <v>59</v>
      </c>
      <c r="I1412">
        <v>24</v>
      </c>
      <c r="J1412">
        <v>3317</v>
      </c>
      <c r="K1412" s="1" t="s">
        <v>105</v>
      </c>
      <c r="L1412" s="1" t="s">
        <v>23</v>
      </c>
      <c r="M1412">
        <v>0</v>
      </c>
      <c r="N1412">
        <v>0</v>
      </c>
      <c r="O1412">
        <v>0</v>
      </c>
      <c r="P1412" s="2">
        <v>41821</v>
      </c>
      <c r="Q1412">
        <v>0</v>
      </c>
      <c r="R1412" s="1" t="s">
        <v>61</v>
      </c>
    </row>
    <row r="1413" spans="1:18" x14ac:dyDescent="0.25">
      <c r="A1413">
        <v>2014</v>
      </c>
      <c r="B1413">
        <v>8</v>
      </c>
      <c r="C1413" s="1" t="s">
        <v>31</v>
      </c>
      <c r="D1413" s="1" t="s">
        <v>19</v>
      </c>
      <c r="E1413" s="1" t="s">
        <v>104</v>
      </c>
      <c r="F1413">
        <v>2016</v>
      </c>
      <c r="G1413">
        <v>0</v>
      </c>
      <c r="H1413" s="1" t="s">
        <v>59</v>
      </c>
      <c r="I1413">
        <v>24</v>
      </c>
      <c r="J1413">
        <v>3317</v>
      </c>
      <c r="K1413" s="1" t="s">
        <v>105</v>
      </c>
      <c r="L1413" s="1" t="s">
        <v>23</v>
      </c>
      <c r="M1413">
        <v>0</v>
      </c>
      <c r="N1413">
        <v>0</v>
      </c>
      <c r="O1413">
        <v>0</v>
      </c>
      <c r="P1413" s="2">
        <v>41852</v>
      </c>
      <c r="Q1413">
        <v>0</v>
      </c>
      <c r="R1413" s="1" t="s">
        <v>61</v>
      </c>
    </row>
    <row r="1414" spans="1:18" x14ac:dyDescent="0.25">
      <c r="A1414">
        <v>2014</v>
      </c>
      <c r="B1414">
        <v>9</v>
      </c>
      <c r="C1414" s="1" t="s">
        <v>32</v>
      </c>
      <c r="D1414" s="1" t="s">
        <v>19</v>
      </c>
      <c r="E1414" s="1" t="s">
        <v>104</v>
      </c>
      <c r="F1414">
        <v>2016</v>
      </c>
      <c r="G1414">
        <v>0</v>
      </c>
      <c r="H1414" s="1" t="s">
        <v>59</v>
      </c>
      <c r="I1414">
        <v>24</v>
      </c>
      <c r="J1414">
        <v>3317</v>
      </c>
      <c r="K1414" s="1" t="s">
        <v>105</v>
      </c>
      <c r="L1414" s="1" t="s">
        <v>23</v>
      </c>
      <c r="M1414">
        <v>0</v>
      </c>
      <c r="N1414">
        <v>0</v>
      </c>
      <c r="O1414">
        <v>0</v>
      </c>
      <c r="P1414" s="2">
        <v>41883</v>
      </c>
      <c r="Q1414">
        <v>0</v>
      </c>
      <c r="R1414" s="1" t="s">
        <v>61</v>
      </c>
    </row>
    <row r="1415" spans="1:18" x14ac:dyDescent="0.25">
      <c r="A1415">
        <v>2014</v>
      </c>
      <c r="B1415">
        <v>10</v>
      </c>
      <c r="C1415" s="1" t="s">
        <v>33</v>
      </c>
      <c r="D1415" s="1" t="s">
        <v>19</v>
      </c>
      <c r="E1415" s="1" t="s">
        <v>104</v>
      </c>
      <c r="F1415">
        <v>2016</v>
      </c>
      <c r="G1415">
        <v>0</v>
      </c>
      <c r="H1415" s="1" t="s">
        <v>59</v>
      </c>
      <c r="I1415">
        <v>24</v>
      </c>
      <c r="J1415">
        <v>3317</v>
      </c>
      <c r="K1415" s="1" t="s">
        <v>105</v>
      </c>
      <c r="L1415" s="1" t="s">
        <v>23</v>
      </c>
      <c r="M1415">
        <v>0</v>
      </c>
      <c r="N1415">
        <v>0</v>
      </c>
      <c r="O1415">
        <v>0</v>
      </c>
      <c r="P1415" s="2">
        <v>41913</v>
      </c>
      <c r="Q1415">
        <v>0</v>
      </c>
      <c r="R1415" s="1" t="s">
        <v>61</v>
      </c>
    </row>
    <row r="1416" spans="1:18" x14ac:dyDescent="0.25">
      <c r="A1416">
        <v>2014</v>
      </c>
      <c r="B1416">
        <v>11</v>
      </c>
      <c r="C1416" s="1" t="s">
        <v>34</v>
      </c>
      <c r="D1416" s="1" t="s">
        <v>19</v>
      </c>
      <c r="E1416" s="1" t="s">
        <v>104</v>
      </c>
      <c r="F1416">
        <v>2016</v>
      </c>
      <c r="G1416">
        <v>0</v>
      </c>
      <c r="H1416" s="1" t="s">
        <v>59</v>
      </c>
      <c r="I1416">
        <v>24</v>
      </c>
      <c r="J1416">
        <v>3317</v>
      </c>
      <c r="K1416" s="1" t="s">
        <v>105</v>
      </c>
      <c r="L1416" s="1" t="s">
        <v>23</v>
      </c>
      <c r="M1416">
        <v>0</v>
      </c>
      <c r="N1416">
        <v>0</v>
      </c>
      <c r="O1416">
        <v>0</v>
      </c>
      <c r="P1416" s="2">
        <v>41944</v>
      </c>
      <c r="Q1416">
        <v>0</v>
      </c>
      <c r="R1416" s="1" t="s">
        <v>61</v>
      </c>
    </row>
    <row r="1417" spans="1:18" x14ac:dyDescent="0.25">
      <c r="A1417">
        <v>2014</v>
      </c>
      <c r="B1417">
        <v>12</v>
      </c>
      <c r="C1417" s="1" t="s">
        <v>35</v>
      </c>
      <c r="D1417" s="1" t="s">
        <v>19</v>
      </c>
      <c r="E1417" s="1" t="s">
        <v>104</v>
      </c>
      <c r="F1417">
        <v>2016</v>
      </c>
      <c r="G1417">
        <v>0</v>
      </c>
      <c r="H1417" s="1" t="s">
        <v>59</v>
      </c>
      <c r="I1417">
        <v>24</v>
      </c>
      <c r="J1417">
        <v>3317</v>
      </c>
      <c r="K1417" s="1" t="s">
        <v>105</v>
      </c>
      <c r="L1417" s="1" t="s">
        <v>23</v>
      </c>
      <c r="M1417">
        <v>0</v>
      </c>
      <c r="N1417">
        <v>0</v>
      </c>
      <c r="O1417">
        <v>0</v>
      </c>
      <c r="P1417" s="2">
        <v>41974</v>
      </c>
      <c r="Q1417">
        <v>0</v>
      </c>
      <c r="R1417" s="1" t="s">
        <v>61</v>
      </c>
    </row>
    <row r="1418" spans="1:18" x14ac:dyDescent="0.25">
      <c r="A1418">
        <v>2014</v>
      </c>
      <c r="B1418">
        <v>1</v>
      </c>
      <c r="C1418" s="1" t="s">
        <v>18</v>
      </c>
      <c r="D1418" s="1" t="s">
        <v>19</v>
      </c>
      <c r="E1418" s="1" t="s">
        <v>106</v>
      </c>
      <c r="F1418">
        <v>2016</v>
      </c>
      <c r="G1418">
        <v>0</v>
      </c>
      <c r="H1418" s="1" t="s">
        <v>59</v>
      </c>
      <c r="I1418">
        <v>17</v>
      </c>
      <c r="J1418">
        <v>2219</v>
      </c>
      <c r="K1418" s="1" t="s">
        <v>107</v>
      </c>
      <c r="L1418" s="1" t="s">
        <v>23</v>
      </c>
      <c r="M1418">
        <v>0</v>
      </c>
      <c r="N1418">
        <v>0</v>
      </c>
      <c r="O1418">
        <v>0</v>
      </c>
      <c r="P1418" s="2">
        <v>41640</v>
      </c>
      <c r="Q1418">
        <v>0</v>
      </c>
      <c r="R1418" s="1" t="s">
        <v>61</v>
      </c>
    </row>
    <row r="1419" spans="1:18" x14ac:dyDescent="0.25">
      <c r="A1419">
        <v>2014</v>
      </c>
      <c r="B1419">
        <v>2</v>
      </c>
      <c r="C1419" s="1" t="s">
        <v>25</v>
      </c>
      <c r="D1419" s="1" t="s">
        <v>19</v>
      </c>
      <c r="E1419" s="1" t="s">
        <v>106</v>
      </c>
      <c r="F1419">
        <v>2016</v>
      </c>
      <c r="G1419">
        <v>0</v>
      </c>
      <c r="H1419" s="1" t="s">
        <v>59</v>
      </c>
      <c r="I1419">
        <v>17</v>
      </c>
      <c r="J1419">
        <v>2219</v>
      </c>
      <c r="K1419" s="1" t="s">
        <v>107</v>
      </c>
      <c r="L1419" s="1" t="s">
        <v>23</v>
      </c>
      <c r="M1419">
        <v>0</v>
      </c>
      <c r="N1419">
        <v>0</v>
      </c>
      <c r="O1419">
        <v>0</v>
      </c>
      <c r="P1419" s="2">
        <v>41671</v>
      </c>
      <c r="Q1419">
        <v>0</v>
      </c>
      <c r="R1419" s="1" t="s">
        <v>61</v>
      </c>
    </row>
    <row r="1420" spans="1:18" x14ac:dyDescent="0.25">
      <c r="A1420">
        <v>2014</v>
      </c>
      <c r="B1420">
        <v>3</v>
      </c>
      <c r="C1420" s="1" t="s">
        <v>26</v>
      </c>
      <c r="D1420" s="1" t="s">
        <v>19</v>
      </c>
      <c r="E1420" s="1" t="s">
        <v>106</v>
      </c>
      <c r="F1420">
        <v>2016</v>
      </c>
      <c r="G1420">
        <v>0</v>
      </c>
      <c r="H1420" s="1" t="s">
        <v>59</v>
      </c>
      <c r="I1420">
        <v>17</v>
      </c>
      <c r="J1420">
        <v>2219</v>
      </c>
      <c r="K1420" s="1" t="s">
        <v>107</v>
      </c>
      <c r="L1420" s="1" t="s">
        <v>23</v>
      </c>
      <c r="M1420">
        <v>0</v>
      </c>
      <c r="N1420">
        <v>0</v>
      </c>
      <c r="O1420">
        <v>0</v>
      </c>
      <c r="P1420" s="2">
        <v>41699</v>
      </c>
      <c r="Q1420">
        <v>0</v>
      </c>
      <c r="R1420" s="1" t="s">
        <v>61</v>
      </c>
    </row>
    <row r="1421" spans="1:18" x14ac:dyDescent="0.25">
      <c r="A1421">
        <v>2014</v>
      </c>
      <c r="B1421">
        <v>4</v>
      </c>
      <c r="C1421" s="1" t="s">
        <v>27</v>
      </c>
      <c r="D1421" s="1" t="s">
        <v>19</v>
      </c>
      <c r="E1421" s="1" t="s">
        <v>106</v>
      </c>
      <c r="F1421">
        <v>2016</v>
      </c>
      <c r="G1421">
        <v>0</v>
      </c>
      <c r="H1421" s="1" t="s">
        <v>59</v>
      </c>
      <c r="I1421">
        <v>17</v>
      </c>
      <c r="J1421">
        <v>2219</v>
      </c>
      <c r="K1421" s="1" t="s">
        <v>107</v>
      </c>
      <c r="L1421" s="1" t="s">
        <v>23</v>
      </c>
      <c r="M1421">
        <v>0</v>
      </c>
      <c r="N1421">
        <v>0</v>
      </c>
      <c r="O1421">
        <v>0</v>
      </c>
      <c r="P1421" s="2">
        <v>41730</v>
      </c>
      <c r="Q1421">
        <v>0</v>
      </c>
      <c r="R1421" s="1" t="s">
        <v>61</v>
      </c>
    </row>
    <row r="1422" spans="1:18" x14ac:dyDescent="0.25">
      <c r="A1422">
        <v>2014</v>
      </c>
      <c r="B1422">
        <v>5</v>
      </c>
      <c r="C1422" s="1" t="s">
        <v>28</v>
      </c>
      <c r="D1422" s="1" t="s">
        <v>19</v>
      </c>
      <c r="E1422" s="1" t="s">
        <v>106</v>
      </c>
      <c r="F1422">
        <v>2016</v>
      </c>
      <c r="G1422">
        <v>0</v>
      </c>
      <c r="H1422" s="1" t="s">
        <v>59</v>
      </c>
      <c r="I1422">
        <v>17</v>
      </c>
      <c r="J1422">
        <v>2219</v>
      </c>
      <c r="K1422" s="1" t="s">
        <v>107</v>
      </c>
      <c r="L1422" s="1" t="s">
        <v>23</v>
      </c>
      <c r="M1422">
        <v>0</v>
      </c>
      <c r="N1422">
        <v>0</v>
      </c>
      <c r="O1422">
        <v>0</v>
      </c>
      <c r="P1422" s="2">
        <v>41760</v>
      </c>
      <c r="Q1422">
        <v>0</v>
      </c>
      <c r="R1422" s="1" t="s">
        <v>61</v>
      </c>
    </row>
    <row r="1423" spans="1:18" x14ac:dyDescent="0.25">
      <c r="A1423">
        <v>2014</v>
      </c>
      <c r="B1423">
        <v>6</v>
      </c>
      <c r="C1423" s="1" t="s">
        <v>29</v>
      </c>
      <c r="D1423" s="1" t="s">
        <v>19</v>
      </c>
      <c r="E1423" s="1" t="s">
        <v>106</v>
      </c>
      <c r="F1423">
        <v>2016</v>
      </c>
      <c r="G1423">
        <v>0</v>
      </c>
      <c r="H1423" s="1" t="s">
        <v>59</v>
      </c>
      <c r="I1423">
        <v>17</v>
      </c>
      <c r="J1423">
        <v>2219</v>
      </c>
      <c r="K1423" s="1" t="s">
        <v>107</v>
      </c>
      <c r="L1423" s="1" t="s">
        <v>23</v>
      </c>
      <c r="M1423">
        <v>0</v>
      </c>
      <c r="N1423">
        <v>0</v>
      </c>
      <c r="O1423">
        <v>0</v>
      </c>
      <c r="P1423" s="2">
        <v>41791</v>
      </c>
      <c r="Q1423">
        <v>0</v>
      </c>
      <c r="R1423" s="1" t="s">
        <v>61</v>
      </c>
    </row>
    <row r="1424" spans="1:18" x14ac:dyDescent="0.25">
      <c r="A1424">
        <v>2014</v>
      </c>
      <c r="B1424">
        <v>7</v>
      </c>
      <c r="C1424" s="1" t="s">
        <v>30</v>
      </c>
      <c r="D1424" s="1" t="s">
        <v>19</v>
      </c>
      <c r="E1424" s="1" t="s">
        <v>106</v>
      </c>
      <c r="F1424">
        <v>2016</v>
      </c>
      <c r="G1424">
        <v>0</v>
      </c>
      <c r="H1424" s="1" t="s">
        <v>59</v>
      </c>
      <c r="I1424">
        <v>17</v>
      </c>
      <c r="J1424">
        <v>2219</v>
      </c>
      <c r="K1424" s="1" t="s">
        <v>107</v>
      </c>
      <c r="L1424" s="1" t="s">
        <v>23</v>
      </c>
      <c r="M1424">
        <v>0</v>
      </c>
      <c r="N1424">
        <v>0</v>
      </c>
      <c r="O1424">
        <v>0</v>
      </c>
      <c r="P1424" s="2">
        <v>41821</v>
      </c>
      <c r="Q1424">
        <v>0</v>
      </c>
      <c r="R1424" s="1" t="s">
        <v>61</v>
      </c>
    </row>
    <row r="1425" spans="1:18" x14ac:dyDescent="0.25">
      <c r="A1425">
        <v>2014</v>
      </c>
      <c r="B1425">
        <v>8</v>
      </c>
      <c r="C1425" s="1" t="s">
        <v>31</v>
      </c>
      <c r="D1425" s="1" t="s">
        <v>19</v>
      </c>
      <c r="E1425" s="1" t="s">
        <v>106</v>
      </c>
      <c r="F1425">
        <v>2016</v>
      </c>
      <c r="G1425">
        <v>0</v>
      </c>
      <c r="H1425" s="1" t="s">
        <v>59</v>
      </c>
      <c r="I1425">
        <v>17</v>
      </c>
      <c r="J1425">
        <v>2219</v>
      </c>
      <c r="K1425" s="1" t="s">
        <v>107</v>
      </c>
      <c r="L1425" s="1" t="s">
        <v>23</v>
      </c>
      <c r="M1425">
        <v>0</v>
      </c>
      <c r="N1425">
        <v>0</v>
      </c>
      <c r="O1425">
        <v>0</v>
      </c>
      <c r="P1425" s="2">
        <v>41852</v>
      </c>
      <c r="Q1425">
        <v>0</v>
      </c>
      <c r="R1425" s="1" t="s">
        <v>61</v>
      </c>
    </row>
    <row r="1426" spans="1:18" x14ac:dyDescent="0.25">
      <c r="A1426">
        <v>2014</v>
      </c>
      <c r="B1426">
        <v>9</v>
      </c>
      <c r="C1426" s="1" t="s">
        <v>32</v>
      </c>
      <c r="D1426" s="1" t="s">
        <v>19</v>
      </c>
      <c r="E1426" s="1" t="s">
        <v>106</v>
      </c>
      <c r="F1426">
        <v>2016</v>
      </c>
      <c r="G1426">
        <v>0</v>
      </c>
      <c r="H1426" s="1" t="s">
        <v>59</v>
      </c>
      <c r="I1426">
        <v>17</v>
      </c>
      <c r="J1426">
        <v>2219</v>
      </c>
      <c r="K1426" s="1" t="s">
        <v>107</v>
      </c>
      <c r="L1426" s="1" t="s">
        <v>23</v>
      </c>
      <c r="M1426">
        <v>0</v>
      </c>
      <c r="N1426">
        <v>0</v>
      </c>
      <c r="O1426">
        <v>0</v>
      </c>
      <c r="P1426" s="2">
        <v>41883</v>
      </c>
      <c r="Q1426">
        <v>0</v>
      </c>
      <c r="R1426" s="1" t="s">
        <v>61</v>
      </c>
    </row>
    <row r="1427" spans="1:18" x14ac:dyDescent="0.25">
      <c r="A1427">
        <v>2014</v>
      </c>
      <c r="B1427">
        <v>10</v>
      </c>
      <c r="C1427" s="1" t="s">
        <v>33</v>
      </c>
      <c r="D1427" s="1" t="s">
        <v>19</v>
      </c>
      <c r="E1427" s="1" t="s">
        <v>106</v>
      </c>
      <c r="F1427">
        <v>2016</v>
      </c>
      <c r="G1427">
        <v>0</v>
      </c>
      <c r="H1427" s="1" t="s">
        <v>59</v>
      </c>
      <c r="I1427">
        <v>17</v>
      </c>
      <c r="J1427">
        <v>2219</v>
      </c>
      <c r="K1427" s="1" t="s">
        <v>107</v>
      </c>
      <c r="L1427" s="1" t="s">
        <v>23</v>
      </c>
      <c r="M1427">
        <v>0</v>
      </c>
      <c r="N1427">
        <v>0</v>
      </c>
      <c r="O1427">
        <v>0</v>
      </c>
      <c r="P1427" s="2">
        <v>41913</v>
      </c>
      <c r="Q1427">
        <v>0</v>
      </c>
      <c r="R1427" s="1" t="s">
        <v>61</v>
      </c>
    </row>
    <row r="1428" spans="1:18" x14ac:dyDescent="0.25">
      <c r="A1428">
        <v>2014</v>
      </c>
      <c r="B1428">
        <v>11</v>
      </c>
      <c r="C1428" s="1" t="s">
        <v>34</v>
      </c>
      <c r="D1428" s="1" t="s">
        <v>19</v>
      </c>
      <c r="E1428" s="1" t="s">
        <v>106</v>
      </c>
      <c r="F1428">
        <v>2016</v>
      </c>
      <c r="G1428">
        <v>0</v>
      </c>
      <c r="H1428" s="1" t="s">
        <v>59</v>
      </c>
      <c r="I1428">
        <v>17</v>
      </c>
      <c r="J1428">
        <v>2219</v>
      </c>
      <c r="K1428" s="1" t="s">
        <v>107</v>
      </c>
      <c r="L1428" s="1" t="s">
        <v>23</v>
      </c>
      <c r="M1428">
        <v>0</v>
      </c>
      <c r="N1428">
        <v>0</v>
      </c>
      <c r="O1428">
        <v>0</v>
      </c>
      <c r="P1428" s="2">
        <v>41944</v>
      </c>
      <c r="Q1428">
        <v>0</v>
      </c>
      <c r="R1428" s="1" t="s">
        <v>61</v>
      </c>
    </row>
    <row r="1429" spans="1:18" x14ac:dyDescent="0.25">
      <c r="A1429">
        <v>2014</v>
      </c>
      <c r="B1429">
        <v>12</v>
      </c>
      <c r="C1429" s="1" t="s">
        <v>35</v>
      </c>
      <c r="D1429" s="1" t="s">
        <v>19</v>
      </c>
      <c r="E1429" s="1" t="s">
        <v>106</v>
      </c>
      <c r="F1429">
        <v>2016</v>
      </c>
      <c r="G1429">
        <v>0</v>
      </c>
      <c r="H1429" s="1" t="s">
        <v>59</v>
      </c>
      <c r="I1429">
        <v>17</v>
      </c>
      <c r="J1429">
        <v>2219</v>
      </c>
      <c r="K1429" s="1" t="s">
        <v>107</v>
      </c>
      <c r="L1429" s="1" t="s">
        <v>23</v>
      </c>
      <c r="M1429">
        <v>0</v>
      </c>
      <c r="N1429">
        <v>0</v>
      </c>
      <c r="O1429">
        <v>0</v>
      </c>
      <c r="P1429" s="2">
        <v>41974</v>
      </c>
      <c r="Q1429">
        <v>0</v>
      </c>
      <c r="R1429" s="1" t="s">
        <v>61</v>
      </c>
    </row>
    <row r="1430" spans="1:18" x14ac:dyDescent="0.25">
      <c r="A1430">
        <v>2014</v>
      </c>
      <c r="B1430">
        <v>1</v>
      </c>
      <c r="C1430" s="1" t="s">
        <v>18</v>
      </c>
      <c r="D1430" s="1" t="s">
        <v>19</v>
      </c>
      <c r="E1430" s="1" t="s">
        <v>108</v>
      </c>
      <c r="F1430">
        <v>2016</v>
      </c>
      <c r="G1430">
        <v>0</v>
      </c>
      <c r="H1430" s="1" t="s">
        <v>59</v>
      </c>
      <c r="I1430">
        <v>15</v>
      </c>
      <c r="J1430">
        <v>2142</v>
      </c>
      <c r="K1430" s="1" t="s">
        <v>109</v>
      </c>
      <c r="L1430" s="1" t="s">
        <v>23</v>
      </c>
      <c r="M1430">
        <v>0</v>
      </c>
      <c r="N1430">
        <v>0</v>
      </c>
      <c r="O1430">
        <v>0</v>
      </c>
      <c r="P1430" s="2">
        <v>41640</v>
      </c>
      <c r="Q1430">
        <v>0</v>
      </c>
      <c r="R1430" s="1" t="s">
        <v>61</v>
      </c>
    </row>
    <row r="1431" spans="1:18" x14ac:dyDescent="0.25">
      <c r="A1431">
        <v>2014</v>
      </c>
      <c r="B1431">
        <v>2</v>
      </c>
      <c r="C1431" s="1" t="s">
        <v>25</v>
      </c>
      <c r="D1431" s="1" t="s">
        <v>19</v>
      </c>
      <c r="E1431" s="1" t="s">
        <v>108</v>
      </c>
      <c r="F1431">
        <v>2016</v>
      </c>
      <c r="G1431">
        <v>0</v>
      </c>
      <c r="H1431" s="1" t="s">
        <v>59</v>
      </c>
      <c r="I1431">
        <v>15</v>
      </c>
      <c r="J1431">
        <v>2142</v>
      </c>
      <c r="K1431" s="1" t="s">
        <v>109</v>
      </c>
      <c r="L1431" s="1" t="s">
        <v>23</v>
      </c>
      <c r="M1431">
        <v>0</v>
      </c>
      <c r="N1431">
        <v>0</v>
      </c>
      <c r="O1431">
        <v>0</v>
      </c>
      <c r="P1431" s="2">
        <v>41671</v>
      </c>
      <c r="Q1431">
        <v>0</v>
      </c>
      <c r="R1431" s="1" t="s">
        <v>61</v>
      </c>
    </row>
    <row r="1432" spans="1:18" x14ac:dyDescent="0.25">
      <c r="A1432">
        <v>2014</v>
      </c>
      <c r="B1432">
        <v>3</v>
      </c>
      <c r="C1432" s="1" t="s">
        <v>26</v>
      </c>
      <c r="D1432" s="1" t="s">
        <v>19</v>
      </c>
      <c r="E1432" s="1" t="s">
        <v>108</v>
      </c>
      <c r="F1432">
        <v>2016</v>
      </c>
      <c r="G1432">
        <v>0</v>
      </c>
      <c r="H1432" s="1" t="s">
        <v>59</v>
      </c>
      <c r="I1432">
        <v>15</v>
      </c>
      <c r="J1432">
        <v>2142</v>
      </c>
      <c r="K1432" s="1" t="s">
        <v>109</v>
      </c>
      <c r="L1432" s="1" t="s">
        <v>23</v>
      </c>
      <c r="M1432">
        <v>0</v>
      </c>
      <c r="N1432">
        <v>0</v>
      </c>
      <c r="O1432">
        <v>0</v>
      </c>
      <c r="P1432" s="2">
        <v>41699</v>
      </c>
      <c r="Q1432">
        <v>0</v>
      </c>
      <c r="R1432" s="1" t="s">
        <v>61</v>
      </c>
    </row>
    <row r="1433" spans="1:18" x14ac:dyDescent="0.25">
      <c r="A1433">
        <v>2014</v>
      </c>
      <c r="B1433">
        <v>4</v>
      </c>
      <c r="C1433" s="1" t="s">
        <v>27</v>
      </c>
      <c r="D1433" s="1" t="s">
        <v>19</v>
      </c>
      <c r="E1433" s="1" t="s">
        <v>108</v>
      </c>
      <c r="F1433">
        <v>2016</v>
      </c>
      <c r="G1433">
        <v>0</v>
      </c>
      <c r="H1433" s="1" t="s">
        <v>59</v>
      </c>
      <c r="I1433">
        <v>15</v>
      </c>
      <c r="J1433">
        <v>2142</v>
      </c>
      <c r="K1433" s="1" t="s">
        <v>109</v>
      </c>
      <c r="L1433" s="1" t="s">
        <v>23</v>
      </c>
      <c r="M1433">
        <v>0</v>
      </c>
      <c r="N1433">
        <v>0</v>
      </c>
      <c r="O1433">
        <v>0</v>
      </c>
      <c r="P1433" s="2">
        <v>41730</v>
      </c>
      <c r="Q1433">
        <v>0</v>
      </c>
      <c r="R1433" s="1" t="s">
        <v>61</v>
      </c>
    </row>
    <row r="1434" spans="1:18" x14ac:dyDescent="0.25">
      <c r="A1434">
        <v>2014</v>
      </c>
      <c r="B1434">
        <v>5</v>
      </c>
      <c r="C1434" s="1" t="s">
        <v>28</v>
      </c>
      <c r="D1434" s="1" t="s">
        <v>19</v>
      </c>
      <c r="E1434" s="1" t="s">
        <v>108</v>
      </c>
      <c r="F1434">
        <v>2016</v>
      </c>
      <c r="G1434">
        <v>0</v>
      </c>
      <c r="H1434" s="1" t="s">
        <v>59</v>
      </c>
      <c r="I1434">
        <v>15</v>
      </c>
      <c r="J1434">
        <v>2142</v>
      </c>
      <c r="K1434" s="1" t="s">
        <v>109</v>
      </c>
      <c r="L1434" s="1" t="s">
        <v>23</v>
      </c>
      <c r="M1434">
        <v>0</v>
      </c>
      <c r="N1434">
        <v>0</v>
      </c>
      <c r="O1434">
        <v>0</v>
      </c>
      <c r="P1434" s="2">
        <v>41760</v>
      </c>
      <c r="Q1434">
        <v>0</v>
      </c>
      <c r="R1434" s="1" t="s">
        <v>61</v>
      </c>
    </row>
    <row r="1435" spans="1:18" x14ac:dyDescent="0.25">
      <c r="A1435">
        <v>2014</v>
      </c>
      <c r="B1435">
        <v>6</v>
      </c>
      <c r="C1435" s="1" t="s">
        <v>29</v>
      </c>
      <c r="D1435" s="1" t="s">
        <v>19</v>
      </c>
      <c r="E1435" s="1" t="s">
        <v>108</v>
      </c>
      <c r="F1435">
        <v>2016</v>
      </c>
      <c r="G1435">
        <v>0</v>
      </c>
      <c r="H1435" s="1" t="s">
        <v>59</v>
      </c>
      <c r="I1435">
        <v>15</v>
      </c>
      <c r="J1435">
        <v>2142</v>
      </c>
      <c r="K1435" s="1" t="s">
        <v>109</v>
      </c>
      <c r="L1435" s="1" t="s">
        <v>23</v>
      </c>
      <c r="M1435">
        <v>0</v>
      </c>
      <c r="N1435">
        <v>0</v>
      </c>
      <c r="O1435">
        <v>0</v>
      </c>
      <c r="P1435" s="2">
        <v>41791</v>
      </c>
      <c r="Q1435">
        <v>0</v>
      </c>
      <c r="R1435" s="1" t="s">
        <v>61</v>
      </c>
    </row>
    <row r="1436" spans="1:18" x14ac:dyDescent="0.25">
      <c r="A1436">
        <v>2014</v>
      </c>
      <c r="B1436">
        <v>7</v>
      </c>
      <c r="C1436" s="1" t="s">
        <v>30</v>
      </c>
      <c r="D1436" s="1" t="s">
        <v>19</v>
      </c>
      <c r="E1436" s="1" t="s">
        <v>108</v>
      </c>
      <c r="F1436">
        <v>2016</v>
      </c>
      <c r="G1436">
        <v>0</v>
      </c>
      <c r="H1436" s="1" t="s">
        <v>59</v>
      </c>
      <c r="I1436">
        <v>15</v>
      </c>
      <c r="J1436">
        <v>2142</v>
      </c>
      <c r="K1436" s="1" t="s">
        <v>109</v>
      </c>
      <c r="L1436" s="1" t="s">
        <v>23</v>
      </c>
      <c r="M1436">
        <v>0</v>
      </c>
      <c r="N1436">
        <v>0</v>
      </c>
      <c r="O1436">
        <v>0</v>
      </c>
      <c r="P1436" s="2">
        <v>41821</v>
      </c>
      <c r="Q1436">
        <v>0</v>
      </c>
      <c r="R1436" s="1" t="s">
        <v>61</v>
      </c>
    </row>
    <row r="1437" spans="1:18" x14ac:dyDescent="0.25">
      <c r="A1437">
        <v>2014</v>
      </c>
      <c r="B1437">
        <v>8</v>
      </c>
      <c r="C1437" s="1" t="s">
        <v>31</v>
      </c>
      <c r="D1437" s="1" t="s">
        <v>19</v>
      </c>
      <c r="E1437" s="1" t="s">
        <v>108</v>
      </c>
      <c r="F1437">
        <v>2016</v>
      </c>
      <c r="G1437">
        <v>0</v>
      </c>
      <c r="H1437" s="1" t="s">
        <v>59</v>
      </c>
      <c r="I1437">
        <v>15</v>
      </c>
      <c r="J1437">
        <v>2142</v>
      </c>
      <c r="K1437" s="1" t="s">
        <v>109</v>
      </c>
      <c r="L1437" s="1" t="s">
        <v>23</v>
      </c>
      <c r="M1437">
        <v>0</v>
      </c>
      <c r="N1437">
        <v>0</v>
      </c>
      <c r="O1437">
        <v>0</v>
      </c>
      <c r="P1437" s="2">
        <v>41852</v>
      </c>
      <c r="Q1437">
        <v>0</v>
      </c>
      <c r="R1437" s="1" t="s">
        <v>61</v>
      </c>
    </row>
    <row r="1438" spans="1:18" x14ac:dyDescent="0.25">
      <c r="A1438">
        <v>2014</v>
      </c>
      <c r="B1438">
        <v>9</v>
      </c>
      <c r="C1438" s="1" t="s">
        <v>32</v>
      </c>
      <c r="D1438" s="1" t="s">
        <v>19</v>
      </c>
      <c r="E1438" s="1" t="s">
        <v>108</v>
      </c>
      <c r="F1438">
        <v>2016</v>
      </c>
      <c r="G1438">
        <v>0</v>
      </c>
      <c r="H1438" s="1" t="s">
        <v>59</v>
      </c>
      <c r="I1438">
        <v>15</v>
      </c>
      <c r="J1438">
        <v>2142</v>
      </c>
      <c r="K1438" s="1" t="s">
        <v>109</v>
      </c>
      <c r="L1438" s="1" t="s">
        <v>23</v>
      </c>
      <c r="M1438">
        <v>0</v>
      </c>
      <c r="N1438">
        <v>0</v>
      </c>
      <c r="O1438">
        <v>0</v>
      </c>
      <c r="P1438" s="2">
        <v>41883</v>
      </c>
      <c r="Q1438">
        <v>0</v>
      </c>
      <c r="R1438" s="1" t="s">
        <v>61</v>
      </c>
    </row>
    <row r="1439" spans="1:18" x14ac:dyDescent="0.25">
      <c r="A1439">
        <v>2014</v>
      </c>
      <c r="B1439">
        <v>10</v>
      </c>
      <c r="C1439" s="1" t="s">
        <v>33</v>
      </c>
      <c r="D1439" s="1" t="s">
        <v>19</v>
      </c>
      <c r="E1439" s="1" t="s">
        <v>108</v>
      </c>
      <c r="F1439">
        <v>2016</v>
      </c>
      <c r="G1439">
        <v>0</v>
      </c>
      <c r="H1439" s="1" t="s">
        <v>59</v>
      </c>
      <c r="I1439">
        <v>15</v>
      </c>
      <c r="J1439">
        <v>2142</v>
      </c>
      <c r="K1439" s="1" t="s">
        <v>109</v>
      </c>
      <c r="L1439" s="1" t="s">
        <v>23</v>
      </c>
      <c r="M1439">
        <v>0</v>
      </c>
      <c r="N1439">
        <v>0</v>
      </c>
      <c r="O1439">
        <v>0</v>
      </c>
      <c r="P1439" s="2">
        <v>41913</v>
      </c>
      <c r="Q1439">
        <v>0</v>
      </c>
      <c r="R1439" s="1" t="s">
        <v>61</v>
      </c>
    </row>
    <row r="1440" spans="1:18" x14ac:dyDescent="0.25">
      <c r="A1440">
        <v>2014</v>
      </c>
      <c r="B1440">
        <v>11</v>
      </c>
      <c r="C1440" s="1" t="s">
        <v>34</v>
      </c>
      <c r="D1440" s="1" t="s">
        <v>19</v>
      </c>
      <c r="E1440" s="1" t="s">
        <v>108</v>
      </c>
      <c r="F1440">
        <v>2016</v>
      </c>
      <c r="G1440">
        <v>0</v>
      </c>
      <c r="H1440" s="1" t="s">
        <v>59</v>
      </c>
      <c r="I1440">
        <v>15</v>
      </c>
      <c r="J1440">
        <v>2142</v>
      </c>
      <c r="K1440" s="1" t="s">
        <v>109</v>
      </c>
      <c r="L1440" s="1" t="s">
        <v>23</v>
      </c>
      <c r="M1440">
        <v>0</v>
      </c>
      <c r="N1440">
        <v>0</v>
      </c>
      <c r="O1440">
        <v>0</v>
      </c>
      <c r="P1440" s="2">
        <v>41944</v>
      </c>
      <c r="Q1440">
        <v>0</v>
      </c>
      <c r="R1440" s="1" t="s">
        <v>61</v>
      </c>
    </row>
    <row r="1441" spans="1:18" x14ac:dyDescent="0.25">
      <c r="A1441">
        <v>2014</v>
      </c>
      <c r="B1441">
        <v>12</v>
      </c>
      <c r="C1441" s="1" t="s">
        <v>35</v>
      </c>
      <c r="D1441" s="1" t="s">
        <v>19</v>
      </c>
      <c r="E1441" s="1" t="s">
        <v>108</v>
      </c>
      <c r="F1441">
        <v>2016</v>
      </c>
      <c r="G1441">
        <v>0</v>
      </c>
      <c r="H1441" s="1" t="s">
        <v>59</v>
      </c>
      <c r="I1441">
        <v>15</v>
      </c>
      <c r="J1441">
        <v>2142</v>
      </c>
      <c r="K1441" s="1" t="s">
        <v>109</v>
      </c>
      <c r="L1441" s="1" t="s">
        <v>23</v>
      </c>
      <c r="M1441">
        <v>0</v>
      </c>
      <c r="N1441">
        <v>0</v>
      </c>
      <c r="O1441">
        <v>0</v>
      </c>
      <c r="P1441" s="2">
        <v>41974</v>
      </c>
      <c r="Q1441">
        <v>0</v>
      </c>
      <c r="R1441" s="1" t="s">
        <v>61</v>
      </c>
    </row>
    <row r="1442" spans="1:18" x14ac:dyDescent="0.25">
      <c r="A1442">
        <v>2014</v>
      </c>
      <c r="B1442">
        <v>1</v>
      </c>
      <c r="C1442" s="1" t="s">
        <v>18</v>
      </c>
      <c r="D1442" s="1" t="s">
        <v>19</v>
      </c>
      <c r="E1442" s="1" t="s">
        <v>110</v>
      </c>
      <c r="F1442">
        <v>2016</v>
      </c>
      <c r="G1442">
        <v>0</v>
      </c>
      <c r="H1442" s="1" t="s">
        <v>59</v>
      </c>
      <c r="I1442">
        <v>24</v>
      </c>
      <c r="J1442">
        <v>3324</v>
      </c>
      <c r="K1442" s="1" t="s">
        <v>111</v>
      </c>
      <c r="L1442" s="1" t="s">
        <v>23</v>
      </c>
      <c r="M1442">
        <v>0</v>
      </c>
      <c r="N1442">
        <v>0</v>
      </c>
      <c r="O1442">
        <v>0</v>
      </c>
      <c r="P1442" s="2">
        <v>41640</v>
      </c>
      <c r="Q1442">
        <v>0</v>
      </c>
      <c r="R1442" s="1" t="s">
        <v>61</v>
      </c>
    </row>
    <row r="1443" spans="1:18" x14ac:dyDescent="0.25">
      <c r="A1443">
        <v>2014</v>
      </c>
      <c r="B1443">
        <v>2</v>
      </c>
      <c r="C1443" s="1" t="s">
        <v>25</v>
      </c>
      <c r="D1443" s="1" t="s">
        <v>19</v>
      </c>
      <c r="E1443" s="1" t="s">
        <v>110</v>
      </c>
      <c r="F1443">
        <v>2016</v>
      </c>
      <c r="G1443">
        <v>0</v>
      </c>
      <c r="H1443" s="1" t="s">
        <v>59</v>
      </c>
      <c r="I1443">
        <v>24</v>
      </c>
      <c r="J1443">
        <v>3324</v>
      </c>
      <c r="K1443" s="1" t="s">
        <v>111</v>
      </c>
      <c r="L1443" s="1" t="s">
        <v>23</v>
      </c>
      <c r="M1443">
        <v>0</v>
      </c>
      <c r="N1443">
        <v>0</v>
      </c>
      <c r="O1443">
        <v>0</v>
      </c>
      <c r="P1443" s="2">
        <v>41671</v>
      </c>
      <c r="Q1443">
        <v>0</v>
      </c>
      <c r="R1443" s="1" t="s">
        <v>61</v>
      </c>
    </row>
    <row r="1444" spans="1:18" x14ac:dyDescent="0.25">
      <c r="A1444">
        <v>2014</v>
      </c>
      <c r="B1444">
        <v>3</v>
      </c>
      <c r="C1444" s="1" t="s">
        <v>26</v>
      </c>
      <c r="D1444" s="1" t="s">
        <v>19</v>
      </c>
      <c r="E1444" s="1" t="s">
        <v>110</v>
      </c>
      <c r="F1444">
        <v>2016</v>
      </c>
      <c r="G1444">
        <v>0</v>
      </c>
      <c r="H1444" s="1" t="s">
        <v>59</v>
      </c>
      <c r="I1444">
        <v>24</v>
      </c>
      <c r="J1444">
        <v>3324</v>
      </c>
      <c r="K1444" s="1" t="s">
        <v>111</v>
      </c>
      <c r="L1444" s="1" t="s">
        <v>23</v>
      </c>
      <c r="M1444">
        <v>0</v>
      </c>
      <c r="N1444">
        <v>0</v>
      </c>
      <c r="O1444">
        <v>0</v>
      </c>
      <c r="P1444" s="2">
        <v>41699</v>
      </c>
      <c r="Q1444">
        <v>0</v>
      </c>
      <c r="R1444" s="1" t="s">
        <v>61</v>
      </c>
    </row>
    <row r="1445" spans="1:18" x14ac:dyDescent="0.25">
      <c r="A1445">
        <v>2014</v>
      </c>
      <c r="B1445">
        <v>4</v>
      </c>
      <c r="C1445" s="1" t="s">
        <v>27</v>
      </c>
      <c r="D1445" s="1" t="s">
        <v>19</v>
      </c>
      <c r="E1445" s="1" t="s">
        <v>110</v>
      </c>
      <c r="F1445">
        <v>2016</v>
      </c>
      <c r="G1445">
        <v>0</v>
      </c>
      <c r="H1445" s="1" t="s">
        <v>59</v>
      </c>
      <c r="I1445">
        <v>24</v>
      </c>
      <c r="J1445">
        <v>3324</v>
      </c>
      <c r="K1445" s="1" t="s">
        <v>111</v>
      </c>
      <c r="L1445" s="1" t="s">
        <v>23</v>
      </c>
      <c r="M1445">
        <v>0</v>
      </c>
      <c r="N1445">
        <v>0</v>
      </c>
      <c r="O1445">
        <v>0</v>
      </c>
      <c r="P1445" s="2">
        <v>41730</v>
      </c>
      <c r="Q1445">
        <v>0</v>
      </c>
      <c r="R1445" s="1" t="s">
        <v>61</v>
      </c>
    </row>
    <row r="1446" spans="1:18" x14ac:dyDescent="0.25">
      <c r="A1446">
        <v>2014</v>
      </c>
      <c r="B1446">
        <v>5</v>
      </c>
      <c r="C1446" s="1" t="s">
        <v>28</v>
      </c>
      <c r="D1446" s="1" t="s">
        <v>19</v>
      </c>
      <c r="E1446" s="1" t="s">
        <v>110</v>
      </c>
      <c r="F1446">
        <v>2016</v>
      </c>
      <c r="G1446">
        <v>0</v>
      </c>
      <c r="H1446" s="1" t="s">
        <v>59</v>
      </c>
      <c r="I1446">
        <v>24</v>
      </c>
      <c r="J1446">
        <v>3324</v>
      </c>
      <c r="K1446" s="1" t="s">
        <v>111</v>
      </c>
      <c r="L1446" s="1" t="s">
        <v>23</v>
      </c>
      <c r="M1446">
        <v>0</v>
      </c>
      <c r="N1446">
        <v>0</v>
      </c>
      <c r="O1446">
        <v>0</v>
      </c>
      <c r="P1446" s="2">
        <v>41760</v>
      </c>
      <c r="Q1446">
        <v>0</v>
      </c>
      <c r="R1446" s="1" t="s">
        <v>61</v>
      </c>
    </row>
    <row r="1447" spans="1:18" x14ac:dyDescent="0.25">
      <c r="A1447">
        <v>2014</v>
      </c>
      <c r="B1447">
        <v>6</v>
      </c>
      <c r="C1447" s="1" t="s">
        <v>29</v>
      </c>
      <c r="D1447" s="1" t="s">
        <v>19</v>
      </c>
      <c r="E1447" s="1" t="s">
        <v>110</v>
      </c>
      <c r="F1447">
        <v>2016</v>
      </c>
      <c r="G1447">
        <v>0</v>
      </c>
      <c r="H1447" s="1" t="s">
        <v>59</v>
      </c>
      <c r="I1447">
        <v>24</v>
      </c>
      <c r="J1447">
        <v>3324</v>
      </c>
      <c r="K1447" s="1" t="s">
        <v>111</v>
      </c>
      <c r="L1447" s="1" t="s">
        <v>23</v>
      </c>
      <c r="M1447">
        <v>0</v>
      </c>
      <c r="N1447">
        <v>0</v>
      </c>
      <c r="O1447">
        <v>0</v>
      </c>
      <c r="P1447" s="2">
        <v>41791</v>
      </c>
      <c r="Q1447">
        <v>0</v>
      </c>
      <c r="R1447" s="1" t="s">
        <v>61</v>
      </c>
    </row>
    <row r="1448" spans="1:18" x14ac:dyDescent="0.25">
      <c r="A1448">
        <v>2014</v>
      </c>
      <c r="B1448">
        <v>7</v>
      </c>
      <c r="C1448" s="1" t="s">
        <v>30</v>
      </c>
      <c r="D1448" s="1" t="s">
        <v>19</v>
      </c>
      <c r="E1448" s="1" t="s">
        <v>110</v>
      </c>
      <c r="F1448">
        <v>2016</v>
      </c>
      <c r="G1448">
        <v>0</v>
      </c>
      <c r="H1448" s="1" t="s">
        <v>59</v>
      </c>
      <c r="I1448">
        <v>24</v>
      </c>
      <c r="J1448">
        <v>3324</v>
      </c>
      <c r="K1448" s="1" t="s">
        <v>111</v>
      </c>
      <c r="L1448" s="1" t="s">
        <v>23</v>
      </c>
      <c r="M1448">
        <v>0</v>
      </c>
      <c r="N1448">
        <v>0</v>
      </c>
      <c r="O1448">
        <v>0</v>
      </c>
      <c r="P1448" s="2">
        <v>41821</v>
      </c>
      <c r="Q1448">
        <v>0</v>
      </c>
      <c r="R1448" s="1" t="s">
        <v>61</v>
      </c>
    </row>
    <row r="1449" spans="1:18" x14ac:dyDescent="0.25">
      <c r="A1449">
        <v>2014</v>
      </c>
      <c r="B1449">
        <v>8</v>
      </c>
      <c r="C1449" s="1" t="s">
        <v>31</v>
      </c>
      <c r="D1449" s="1" t="s">
        <v>19</v>
      </c>
      <c r="E1449" s="1" t="s">
        <v>110</v>
      </c>
      <c r="F1449">
        <v>2016</v>
      </c>
      <c r="G1449">
        <v>0</v>
      </c>
      <c r="H1449" s="1" t="s">
        <v>59</v>
      </c>
      <c r="I1449">
        <v>24</v>
      </c>
      <c r="J1449">
        <v>3324</v>
      </c>
      <c r="K1449" s="1" t="s">
        <v>111</v>
      </c>
      <c r="L1449" s="1" t="s">
        <v>23</v>
      </c>
      <c r="M1449">
        <v>0</v>
      </c>
      <c r="N1449">
        <v>0</v>
      </c>
      <c r="O1449">
        <v>0</v>
      </c>
      <c r="P1449" s="2">
        <v>41852</v>
      </c>
      <c r="Q1449">
        <v>0</v>
      </c>
      <c r="R1449" s="1" t="s">
        <v>61</v>
      </c>
    </row>
    <row r="1450" spans="1:18" x14ac:dyDescent="0.25">
      <c r="A1450">
        <v>2014</v>
      </c>
      <c r="B1450">
        <v>9</v>
      </c>
      <c r="C1450" s="1" t="s">
        <v>32</v>
      </c>
      <c r="D1450" s="1" t="s">
        <v>19</v>
      </c>
      <c r="E1450" s="1" t="s">
        <v>110</v>
      </c>
      <c r="F1450">
        <v>2016</v>
      </c>
      <c r="G1450">
        <v>0</v>
      </c>
      <c r="H1450" s="1" t="s">
        <v>59</v>
      </c>
      <c r="I1450">
        <v>24</v>
      </c>
      <c r="J1450">
        <v>3324</v>
      </c>
      <c r="K1450" s="1" t="s">
        <v>111</v>
      </c>
      <c r="L1450" s="1" t="s">
        <v>23</v>
      </c>
      <c r="M1450">
        <v>0</v>
      </c>
      <c r="N1450">
        <v>0</v>
      </c>
      <c r="O1450">
        <v>0</v>
      </c>
      <c r="P1450" s="2">
        <v>41883</v>
      </c>
      <c r="Q1450">
        <v>0</v>
      </c>
      <c r="R1450" s="1" t="s">
        <v>61</v>
      </c>
    </row>
    <row r="1451" spans="1:18" x14ac:dyDescent="0.25">
      <c r="A1451">
        <v>2014</v>
      </c>
      <c r="B1451">
        <v>10</v>
      </c>
      <c r="C1451" s="1" t="s">
        <v>33</v>
      </c>
      <c r="D1451" s="1" t="s">
        <v>19</v>
      </c>
      <c r="E1451" s="1" t="s">
        <v>110</v>
      </c>
      <c r="F1451">
        <v>2016</v>
      </c>
      <c r="G1451">
        <v>0</v>
      </c>
      <c r="H1451" s="1" t="s">
        <v>59</v>
      </c>
      <c r="I1451">
        <v>24</v>
      </c>
      <c r="J1451">
        <v>3324</v>
      </c>
      <c r="K1451" s="1" t="s">
        <v>111</v>
      </c>
      <c r="L1451" s="1" t="s">
        <v>23</v>
      </c>
      <c r="M1451">
        <v>0</v>
      </c>
      <c r="N1451">
        <v>0</v>
      </c>
      <c r="O1451">
        <v>0</v>
      </c>
      <c r="P1451" s="2">
        <v>41913</v>
      </c>
      <c r="Q1451">
        <v>0</v>
      </c>
      <c r="R1451" s="1" t="s">
        <v>61</v>
      </c>
    </row>
    <row r="1452" spans="1:18" x14ac:dyDescent="0.25">
      <c r="A1452">
        <v>2014</v>
      </c>
      <c r="B1452">
        <v>11</v>
      </c>
      <c r="C1452" s="1" t="s">
        <v>34</v>
      </c>
      <c r="D1452" s="1" t="s">
        <v>19</v>
      </c>
      <c r="E1452" s="1" t="s">
        <v>110</v>
      </c>
      <c r="F1452">
        <v>2016</v>
      </c>
      <c r="G1452">
        <v>0</v>
      </c>
      <c r="H1452" s="1" t="s">
        <v>59</v>
      </c>
      <c r="I1452">
        <v>24</v>
      </c>
      <c r="J1452">
        <v>3324</v>
      </c>
      <c r="K1452" s="1" t="s">
        <v>111</v>
      </c>
      <c r="L1452" s="1" t="s">
        <v>23</v>
      </c>
      <c r="M1452">
        <v>0</v>
      </c>
      <c r="N1452">
        <v>0</v>
      </c>
      <c r="O1452">
        <v>0</v>
      </c>
      <c r="P1452" s="2">
        <v>41944</v>
      </c>
      <c r="Q1452">
        <v>0</v>
      </c>
      <c r="R1452" s="1" t="s">
        <v>61</v>
      </c>
    </row>
    <row r="1453" spans="1:18" x14ac:dyDescent="0.25">
      <c r="A1453">
        <v>2014</v>
      </c>
      <c r="B1453">
        <v>12</v>
      </c>
      <c r="C1453" s="1" t="s">
        <v>35</v>
      </c>
      <c r="D1453" s="1" t="s">
        <v>19</v>
      </c>
      <c r="E1453" s="1" t="s">
        <v>110</v>
      </c>
      <c r="F1453">
        <v>2016</v>
      </c>
      <c r="G1453">
        <v>0</v>
      </c>
      <c r="H1453" s="1" t="s">
        <v>59</v>
      </c>
      <c r="I1453">
        <v>24</v>
      </c>
      <c r="J1453">
        <v>3324</v>
      </c>
      <c r="K1453" s="1" t="s">
        <v>111</v>
      </c>
      <c r="L1453" s="1" t="s">
        <v>23</v>
      </c>
      <c r="M1453">
        <v>0</v>
      </c>
      <c r="N1453">
        <v>0</v>
      </c>
      <c r="O1453">
        <v>0</v>
      </c>
      <c r="P1453" s="2">
        <v>41974</v>
      </c>
      <c r="Q1453">
        <v>0</v>
      </c>
      <c r="R1453" s="1" t="s">
        <v>61</v>
      </c>
    </row>
    <row r="1454" spans="1:18" x14ac:dyDescent="0.25">
      <c r="A1454">
        <v>2014</v>
      </c>
      <c r="B1454">
        <v>1</v>
      </c>
      <c r="C1454" s="1" t="s">
        <v>18</v>
      </c>
      <c r="D1454" s="1" t="s">
        <v>19</v>
      </c>
      <c r="E1454" s="1" t="s">
        <v>112</v>
      </c>
      <c r="F1454">
        <v>2016</v>
      </c>
      <c r="G1454">
        <v>0</v>
      </c>
      <c r="H1454" s="1" t="s">
        <v>59</v>
      </c>
      <c r="I1454">
        <v>20</v>
      </c>
      <c r="J1454">
        <v>2663</v>
      </c>
      <c r="K1454" s="1" t="s">
        <v>113</v>
      </c>
      <c r="L1454" s="1" t="s">
        <v>23</v>
      </c>
      <c r="M1454">
        <v>0</v>
      </c>
      <c r="N1454">
        <v>0</v>
      </c>
      <c r="O1454">
        <v>0</v>
      </c>
      <c r="P1454" s="2">
        <v>41640</v>
      </c>
      <c r="Q1454">
        <v>0</v>
      </c>
      <c r="R1454" s="1" t="s">
        <v>61</v>
      </c>
    </row>
    <row r="1455" spans="1:18" x14ac:dyDescent="0.25">
      <c r="A1455">
        <v>2014</v>
      </c>
      <c r="B1455">
        <v>2</v>
      </c>
      <c r="C1455" s="1" t="s">
        <v>25</v>
      </c>
      <c r="D1455" s="1" t="s">
        <v>19</v>
      </c>
      <c r="E1455" s="1" t="s">
        <v>112</v>
      </c>
      <c r="F1455">
        <v>2016</v>
      </c>
      <c r="G1455">
        <v>0</v>
      </c>
      <c r="H1455" s="1" t="s">
        <v>59</v>
      </c>
      <c r="I1455">
        <v>20</v>
      </c>
      <c r="J1455">
        <v>2663</v>
      </c>
      <c r="K1455" s="1" t="s">
        <v>113</v>
      </c>
      <c r="L1455" s="1" t="s">
        <v>23</v>
      </c>
      <c r="M1455">
        <v>0</v>
      </c>
      <c r="N1455">
        <v>0</v>
      </c>
      <c r="O1455">
        <v>0</v>
      </c>
      <c r="P1455" s="2">
        <v>41671</v>
      </c>
      <c r="Q1455">
        <v>0</v>
      </c>
      <c r="R1455" s="1" t="s">
        <v>61</v>
      </c>
    </row>
    <row r="1456" spans="1:18" x14ac:dyDescent="0.25">
      <c r="A1456">
        <v>2014</v>
      </c>
      <c r="B1456">
        <v>3</v>
      </c>
      <c r="C1456" s="1" t="s">
        <v>26</v>
      </c>
      <c r="D1456" s="1" t="s">
        <v>19</v>
      </c>
      <c r="E1456" s="1" t="s">
        <v>112</v>
      </c>
      <c r="F1456">
        <v>2016</v>
      </c>
      <c r="G1456">
        <v>0</v>
      </c>
      <c r="H1456" s="1" t="s">
        <v>59</v>
      </c>
      <c r="I1456">
        <v>20</v>
      </c>
      <c r="J1456">
        <v>2663</v>
      </c>
      <c r="K1456" s="1" t="s">
        <v>113</v>
      </c>
      <c r="L1456" s="1" t="s">
        <v>23</v>
      </c>
      <c r="M1456">
        <v>0</v>
      </c>
      <c r="N1456">
        <v>0</v>
      </c>
      <c r="O1456">
        <v>0</v>
      </c>
      <c r="P1456" s="2">
        <v>41699</v>
      </c>
      <c r="Q1456">
        <v>0</v>
      </c>
      <c r="R1456" s="1" t="s">
        <v>61</v>
      </c>
    </row>
    <row r="1457" spans="1:18" x14ac:dyDescent="0.25">
      <c r="A1457">
        <v>2014</v>
      </c>
      <c r="B1457">
        <v>4</v>
      </c>
      <c r="C1457" s="1" t="s">
        <v>27</v>
      </c>
      <c r="D1457" s="1" t="s">
        <v>19</v>
      </c>
      <c r="E1457" s="1" t="s">
        <v>112</v>
      </c>
      <c r="F1457">
        <v>2016</v>
      </c>
      <c r="G1457">
        <v>0</v>
      </c>
      <c r="H1457" s="1" t="s">
        <v>59</v>
      </c>
      <c r="I1457">
        <v>20</v>
      </c>
      <c r="J1457">
        <v>2663</v>
      </c>
      <c r="K1457" s="1" t="s">
        <v>113</v>
      </c>
      <c r="L1457" s="1" t="s">
        <v>23</v>
      </c>
      <c r="M1457">
        <v>0</v>
      </c>
      <c r="N1457">
        <v>0</v>
      </c>
      <c r="O1457">
        <v>0</v>
      </c>
      <c r="P1457" s="2">
        <v>41730</v>
      </c>
      <c r="Q1457">
        <v>0</v>
      </c>
      <c r="R1457" s="1" t="s">
        <v>61</v>
      </c>
    </row>
    <row r="1458" spans="1:18" x14ac:dyDescent="0.25">
      <c r="A1458">
        <v>2014</v>
      </c>
      <c r="B1458">
        <v>5</v>
      </c>
      <c r="C1458" s="1" t="s">
        <v>28</v>
      </c>
      <c r="D1458" s="1" t="s">
        <v>19</v>
      </c>
      <c r="E1458" s="1" t="s">
        <v>112</v>
      </c>
      <c r="F1458">
        <v>2016</v>
      </c>
      <c r="G1458">
        <v>0</v>
      </c>
      <c r="H1458" s="1" t="s">
        <v>59</v>
      </c>
      <c r="I1458">
        <v>20</v>
      </c>
      <c r="J1458">
        <v>2663</v>
      </c>
      <c r="K1458" s="1" t="s">
        <v>113</v>
      </c>
      <c r="L1458" s="1" t="s">
        <v>23</v>
      </c>
      <c r="M1458">
        <v>0</v>
      </c>
      <c r="N1458">
        <v>0</v>
      </c>
      <c r="O1458">
        <v>0</v>
      </c>
      <c r="P1458" s="2">
        <v>41760</v>
      </c>
      <c r="Q1458">
        <v>0</v>
      </c>
      <c r="R1458" s="1" t="s">
        <v>61</v>
      </c>
    </row>
    <row r="1459" spans="1:18" x14ac:dyDescent="0.25">
      <c r="A1459">
        <v>2014</v>
      </c>
      <c r="B1459">
        <v>6</v>
      </c>
      <c r="C1459" s="1" t="s">
        <v>29</v>
      </c>
      <c r="D1459" s="1" t="s">
        <v>19</v>
      </c>
      <c r="E1459" s="1" t="s">
        <v>112</v>
      </c>
      <c r="F1459">
        <v>2016</v>
      </c>
      <c r="G1459">
        <v>0</v>
      </c>
      <c r="H1459" s="1" t="s">
        <v>59</v>
      </c>
      <c r="I1459">
        <v>20</v>
      </c>
      <c r="J1459">
        <v>2663</v>
      </c>
      <c r="K1459" s="1" t="s">
        <v>113</v>
      </c>
      <c r="L1459" s="1" t="s">
        <v>23</v>
      </c>
      <c r="M1459">
        <v>0</v>
      </c>
      <c r="N1459">
        <v>0</v>
      </c>
      <c r="O1459">
        <v>0</v>
      </c>
      <c r="P1459" s="2">
        <v>41791</v>
      </c>
      <c r="Q1459">
        <v>0</v>
      </c>
      <c r="R1459" s="1" t="s">
        <v>61</v>
      </c>
    </row>
    <row r="1460" spans="1:18" x14ac:dyDescent="0.25">
      <c r="A1460">
        <v>2014</v>
      </c>
      <c r="B1460">
        <v>7</v>
      </c>
      <c r="C1460" s="1" t="s">
        <v>30</v>
      </c>
      <c r="D1460" s="1" t="s">
        <v>19</v>
      </c>
      <c r="E1460" s="1" t="s">
        <v>112</v>
      </c>
      <c r="F1460">
        <v>2016</v>
      </c>
      <c r="G1460">
        <v>0</v>
      </c>
      <c r="H1460" s="1" t="s">
        <v>59</v>
      </c>
      <c r="I1460">
        <v>20</v>
      </c>
      <c r="J1460">
        <v>2663</v>
      </c>
      <c r="K1460" s="1" t="s">
        <v>113</v>
      </c>
      <c r="L1460" s="1" t="s">
        <v>23</v>
      </c>
      <c r="M1460">
        <v>0</v>
      </c>
      <c r="N1460">
        <v>0</v>
      </c>
      <c r="O1460">
        <v>0</v>
      </c>
      <c r="P1460" s="2">
        <v>41821</v>
      </c>
      <c r="Q1460">
        <v>0</v>
      </c>
      <c r="R1460" s="1" t="s">
        <v>61</v>
      </c>
    </row>
    <row r="1461" spans="1:18" x14ac:dyDescent="0.25">
      <c r="A1461">
        <v>2014</v>
      </c>
      <c r="B1461">
        <v>8</v>
      </c>
      <c r="C1461" s="1" t="s">
        <v>31</v>
      </c>
      <c r="D1461" s="1" t="s">
        <v>19</v>
      </c>
      <c r="E1461" s="1" t="s">
        <v>112</v>
      </c>
      <c r="F1461">
        <v>2016</v>
      </c>
      <c r="G1461">
        <v>0</v>
      </c>
      <c r="H1461" s="1" t="s">
        <v>59</v>
      </c>
      <c r="I1461">
        <v>20</v>
      </c>
      <c r="J1461">
        <v>2663</v>
      </c>
      <c r="K1461" s="1" t="s">
        <v>113</v>
      </c>
      <c r="L1461" s="1" t="s">
        <v>23</v>
      </c>
      <c r="M1461">
        <v>0</v>
      </c>
      <c r="N1461">
        <v>0</v>
      </c>
      <c r="O1461">
        <v>0</v>
      </c>
      <c r="P1461" s="2">
        <v>41852</v>
      </c>
      <c r="Q1461">
        <v>0</v>
      </c>
      <c r="R1461" s="1" t="s">
        <v>61</v>
      </c>
    </row>
    <row r="1462" spans="1:18" x14ac:dyDescent="0.25">
      <c r="A1462">
        <v>2014</v>
      </c>
      <c r="B1462">
        <v>9</v>
      </c>
      <c r="C1462" s="1" t="s">
        <v>32</v>
      </c>
      <c r="D1462" s="1" t="s">
        <v>19</v>
      </c>
      <c r="E1462" s="1" t="s">
        <v>112</v>
      </c>
      <c r="F1462">
        <v>2016</v>
      </c>
      <c r="G1462">
        <v>0</v>
      </c>
      <c r="H1462" s="1" t="s">
        <v>59</v>
      </c>
      <c r="I1462">
        <v>20</v>
      </c>
      <c r="J1462">
        <v>2663</v>
      </c>
      <c r="K1462" s="1" t="s">
        <v>113</v>
      </c>
      <c r="L1462" s="1" t="s">
        <v>23</v>
      </c>
      <c r="M1462">
        <v>0</v>
      </c>
      <c r="N1462">
        <v>0</v>
      </c>
      <c r="O1462">
        <v>0</v>
      </c>
      <c r="P1462" s="2">
        <v>41883</v>
      </c>
      <c r="Q1462">
        <v>0</v>
      </c>
      <c r="R1462" s="1" t="s">
        <v>61</v>
      </c>
    </row>
    <row r="1463" spans="1:18" x14ac:dyDescent="0.25">
      <c r="A1463">
        <v>2014</v>
      </c>
      <c r="B1463">
        <v>10</v>
      </c>
      <c r="C1463" s="1" t="s">
        <v>33</v>
      </c>
      <c r="D1463" s="1" t="s">
        <v>19</v>
      </c>
      <c r="E1463" s="1" t="s">
        <v>112</v>
      </c>
      <c r="F1463">
        <v>2016</v>
      </c>
      <c r="G1463">
        <v>0</v>
      </c>
      <c r="H1463" s="1" t="s">
        <v>59</v>
      </c>
      <c r="I1463">
        <v>20</v>
      </c>
      <c r="J1463">
        <v>2663</v>
      </c>
      <c r="K1463" s="1" t="s">
        <v>113</v>
      </c>
      <c r="L1463" s="1" t="s">
        <v>23</v>
      </c>
      <c r="M1463">
        <v>0</v>
      </c>
      <c r="N1463">
        <v>0</v>
      </c>
      <c r="O1463">
        <v>0</v>
      </c>
      <c r="P1463" s="2">
        <v>41913</v>
      </c>
      <c r="Q1463">
        <v>0</v>
      </c>
      <c r="R1463" s="1" t="s">
        <v>61</v>
      </c>
    </row>
    <row r="1464" spans="1:18" x14ac:dyDescent="0.25">
      <c r="A1464">
        <v>2014</v>
      </c>
      <c r="B1464">
        <v>11</v>
      </c>
      <c r="C1464" s="1" t="s">
        <v>34</v>
      </c>
      <c r="D1464" s="1" t="s">
        <v>19</v>
      </c>
      <c r="E1464" s="1" t="s">
        <v>112</v>
      </c>
      <c r="F1464">
        <v>2016</v>
      </c>
      <c r="G1464">
        <v>0</v>
      </c>
      <c r="H1464" s="1" t="s">
        <v>59</v>
      </c>
      <c r="I1464">
        <v>20</v>
      </c>
      <c r="J1464">
        <v>2663</v>
      </c>
      <c r="K1464" s="1" t="s">
        <v>113</v>
      </c>
      <c r="L1464" s="1" t="s">
        <v>23</v>
      </c>
      <c r="M1464">
        <v>0</v>
      </c>
      <c r="N1464">
        <v>0</v>
      </c>
      <c r="O1464">
        <v>0</v>
      </c>
      <c r="P1464" s="2">
        <v>41944</v>
      </c>
      <c r="Q1464">
        <v>0</v>
      </c>
      <c r="R1464" s="1" t="s">
        <v>61</v>
      </c>
    </row>
    <row r="1465" spans="1:18" x14ac:dyDescent="0.25">
      <c r="A1465">
        <v>2014</v>
      </c>
      <c r="B1465">
        <v>12</v>
      </c>
      <c r="C1465" s="1" t="s">
        <v>35</v>
      </c>
      <c r="D1465" s="1" t="s">
        <v>19</v>
      </c>
      <c r="E1465" s="1" t="s">
        <v>112</v>
      </c>
      <c r="F1465">
        <v>2016</v>
      </c>
      <c r="G1465">
        <v>0</v>
      </c>
      <c r="H1465" s="1" t="s">
        <v>59</v>
      </c>
      <c r="I1465">
        <v>20</v>
      </c>
      <c r="J1465">
        <v>2663</v>
      </c>
      <c r="K1465" s="1" t="s">
        <v>113</v>
      </c>
      <c r="L1465" s="1" t="s">
        <v>23</v>
      </c>
      <c r="M1465">
        <v>0</v>
      </c>
      <c r="N1465">
        <v>0</v>
      </c>
      <c r="O1465">
        <v>0</v>
      </c>
      <c r="P1465" s="2">
        <v>41974</v>
      </c>
      <c r="Q1465">
        <v>0</v>
      </c>
      <c r="R1465" s="1" t="s">
        <v>61</v>
      </c>
    </row>
    <row r="1466" spans="1:18" x14ac:dyDescent="0.25">
      <c r="A1466">
        <v>2014</v>
      </c>
      <c r="B1466">
        <v>1</v>
      </c>
      <c r="C1466" s="1" t="s">
        <v>18</v>
      </c>
      <c r="D1466" s="1" t="s">
        <v>19</v>
      </c>
      <c r="E1466" s="1" t="s">
        <v>114</v>
      </c>
      <c r="F1466">
        <v>2016</v>
      </c>
      <c r="G1466">
        <v>0</v>
      </c>
      <c r="H1466" s="1" t="s">
        <v>59</v>
      </c>
      <c r="I1466">
        <v>14</v>
      </c>
      <c r="J1466">
        <v>1746</v>
      </c>
      <c r="K1466" s="1" t="s">
        <v>115</v>
      </c>
      <c r="L1466" s="1" t="s">
        <v>23</v>
      </c>
      <c r="M1466">
        <v>0</v>
      </c>
      <c r="N1466">
        <v>0</v>
      </c>
      <c r="O1466">
        <v>0</v>
      </c>
      <c r="P1466" s="2">
        <v>41640</v>
      </c>
      <c r="Q1466">
        <v>0</v>
      </c>
      <c r="R1466" s="1" t="s">
        <v>61</v>
      </c>
    </row>
    <row r="1467" spans="1:18" x14ac:dyDescent="0.25">
      <c r="A1467">
        <v>2014</v>
      </c>
      <c r="B1467">
        <v>2</v>
      </c>
      <c r="C1467" s="1" t="s">
        <v>25</v>
      </c>
      <c r="D1467" s="1" t="s">
        <v>19</v>
      </c>
      <c r="E1467" s="1" t="s">
        <v>114</v>
      </c>
      <c r="F1467">
        <v>2016</v>
      </c>
      <c r="G1467">
        <v>0</v>
      </c>
      <c r="H1467" s="1" t="s">
        <v>59</v>
      </c>
      <c r="I1467">
        <v>14</v>
      </c>
      <c r="J1467">
        <v>1746</v>
      </c>
      <c r="K1467" s="1" t="s">
        <v>115</v>
      </c>
      <c r="L1467" s="1" t="s">
        <v>23</v>
      </c>
      <c r="M1467">
        <v>0</v>
      </c>
      <c r="N1467">
        <v>0</v>
      </c>
      <c r="O1467">
        <v>0</v>
      </c>
      <c r="P1467" s="2">
        <v>41671</v>
      </c>
      <c r="Q1467">
        <v>0</v>
      </c>
      <c r="R1467" s="1" t="s">
        <v>61</v>
      </c>
    </row>
    <row r="1468" spans="1:18" x14ac:dyDescent="0.25">
      <c r="A1468">
        <v>2014</v>
      </c>
      <c r="B1468">
        <v>3</v>
      </c>
      <c r="C1468" s="1" t="s">
        <v>26</v>
      </c>
      <c r="D1468" s="1" t="s">
        <v>19</v>
      </c>
      <c r="E1468" s="1" t="s">
        <v>114</v>
      </c>
      <c r="F1468">
        <v>2016</v>
      </c>
      <c r="G1468">
        <v>0</v>
      </c>
      <c r="H1468" s="1" t="s">
        <v>59</v>
      </c>
      <c r="I1468">
        <v>14</v>
      </c>
      <c r="J1468">
        <v>1746</v>
      </c>
      <c r="K1468" s="1" t="s">
        <v>115</v>
      </c>
      <c r="L1468" s="1" t="s">
        <v>23</v>
      </c>
      <c r="M1468">
        <v>0</v>
      </c>
      <c r="N1468">
        <v>0</v>
      </c>
      <c r="O1468">
        <v>0</v>
      </c>
      <c r="P1468" s="2">
        <v>41699</v>
      </c>
      <c r="Q1468">
        <v>0</v>
      </c>
      <c r="R1468" s="1" t="s">
        <v>61</v>
      </c>
    </row>
    <row r="1469" spans="1:18" x14ac:dyDescent="0.25">
      <c r="A1469">
        <v>2014</v>
      </c>
      <c r="B1469">
        <v>4</v>
      </c>
      <c r="C1469" s="1" t="s">
        <v>27</v>
      </c>
      <c r="D1469" s="1" t="s">
        <v>19</v>
      </c>
      <c r="E1469" s="1" t="s">
        <v>114</v>
      </c>
      <c r="F1469">
        <v>2016</v>
      </c>
      <c r="G1469">
        <v>0</v>
      </c>
      <c r="H1469" s="1" t="s">
        <v>59</v>
      </c>
      <c r="I1469">
        <v>14</v>
      </c>
      <c r="J1469">
        <v>1746</v>
      </c>
      <c r="K1469" s="1" t="s">
        <v>115</v>
      </c>
      <c r="L1469" s="1" t="s">
        <v>23</v>
      </c>
      <c r="M1469">
        <v>0</v>
      </c>
      <c r="N1469">
        <v>0</v>
      </c>
      <c r="O1469">
        <v>0</v>
      </c>
      <c r="P1469" s="2">
        <v>41730</v>
      </c>
      <c r="Q1469">
        <v>0</v>
      </c>
      <c r="R1469" s="1" t="s">
        <v>61</v>
      </c>
    </row>
    <row r="1470" spans="1:18" x14ac:dyDescent="0.25">
      <c r="A1470">
        <v>2014</v>
      </c>
      <c r="B1470">
        <v>5</v>
      </c>
      <c r="C1470" s="1" t="s">
        <v>28</v>
      </c>
      <c r="D1470" s="1" t="s">
        <v>19</v>
      </c>
      <c r="E1470" s="1" t="s">
        <v>114</v>
      </c>
      <c r="F1470">
        <v>2016</v>
      </c>
      <c r="G1470">
        <v>0</v>
      </c>
      <c r="H1470" s="1" t="s">
        <v>59</v>
      </c>
      <c r="I1470">
        <v>14</v>
      </c>
      <c r="J1470">
        <v>1746</v>
      </c>
      <c r="K1470" s="1" t="s">
        <v>115</v>
      </c>
      <c r="L1470" s="1" t="s">
        <v>23</v>
      </c>
      <c r="M1470">
        <v>0</v>
      </c>
      <c r="N1470">
        <v>0</v>
      </c>
      <c r="O1470">
        <v>0</v>
      </c>
      <c r="P1470" s="2">
        <v>41760</v>
      </c>
      <c r="Q1470">
        <v>0</v>
      </c>
      <c r="R1470" s="1" t="s">
        <v>61</v>
      </c>
    </row>
    <row r="1471" spans="1:18" x14ac:dyDescent="0.25">
      <c r="A1471">
        <v>2014</v>
      </c>
      <c r="B1471">
        <v>6</v>
      </c>
      <c r="C1471" s="1" t="s">
        <v>29</v>
      </c>
      <c r="D1471" s="1" t="s">
        <v>19</v>
      </c>
      <c r="E1471" s="1" t="s">
        <v>114</v>
      </c>
      <c r="F1471">
        <v>2016</v>
      </c>
      <c r="G1471">
        <v>0</v>
      </c>
      <c r="H1471" s="1" t="s">
        <v>59</v>
      </c>
      <c r="I1471">
        <v>14</v>
      </c>
      <c r="J1471">
        <v>1746</v>
      </c>
      <c r="K1471" s="1" t="s">
        <v>115</v>
      </c>
      <c r="L1471" s="1" t="s">
        <v>23</v>
      </c>
      <c r="M1471">
        <v>0</v>
      </c>
      <c r="N1471">
        <v>0</v>
      </c>
      <c r="O1471">
        <v>0</v>
      </c>
      <c r="P1471" s="2">
        <v>41791</v>
      </c>
      <c r="Q1471">
        <v>0</v>
      </c>
      <c r="R1471" s="1" t="s">
        <v>61</v>
      </c>
    </row>
    <row r="1472" spans="1:18" x14ac:dyDescent="0.25">
      <c r="A1472">
        <v>2014</v>
      </c>
      <c r="B1472">
        <v>7</v>
      </c>
      <c r="C1472" s="1" t="s">
        <v>30</v>
      </c>
      <c r="D1472" s="1" t="s">
        <v>19</v>
      </c>
      <c r="E1472" s="1" t="s">
        <v>114</v>
      </c>
      <c r="F1472">
        <v>2016</v>
      </c>
      <c r="G1472">
        <v>0</v>
      </c>
      <c r="H1472" s="1" t="s">
        <v>59</v>
      </c>
      <c r="I1472">
        <v>14</v>
      </c>
      <c r="J1472">
        <v>1746</v>
      </c>
      <c r="K1472" s="1" t="s">
        <v>115</v>
      </c>
      <c r="L1472" s="1" t="s">
        <v>23</v>
      </c>
      <c r="M1472">
        <v>0</v>
      </c>
      <c r="N1472">
        <v>0</v>
      </c>
      <c r="O1472">
        <v>0</v>
      </c>
      <c r="P1472" s="2">
        <v>41821</v>
      </c>
      <c r="Q1472">
        <v>0</v>
      </c>
      <c r="R1472" s="1" t="s">
        <v>61</v>
      </c>
    </row>
    <row r="1473" spans="1:18" x14ac:dyDescent="0.25">
      <c r="A1473">
        <v>2014</v>
      </c>
      <c r="B1473">
        <v>8</v>
      </c>
      <c r="C1473" s="1" t="s">
        <v>31</v>
      </c>
      <c r="D1473" s="1" t="s">
        <v>19</v>
      </c>
      <c r="E1473" s="1" t="s">
        <v>114</v>
      </c>
      <c r="F1473">
        <v>2016</v>
      </c>
      <c r="G1473">
        <v>0</v>
      </c>
      <c r="H1473" s="1" t="s">
        <v>59</v>
      </c>
      <c r="I1473">
        <v>14</v>
      </c>
      <c r="J1473">
        <v>1746</v>
      </c>
      <c r="K1473" s="1" t="s">
        <v>115</v>
      </c>
      <c r="L1473" s="1" t="s">
        <v>23</v>
      </c>
      <c r="M1473">
        <v>0</v>
      </c>
      <c r="N1473">
        <v>0</v>
      </c>
      <c r="O1473">
        <v>0</v>
      </c>
      <c r="P1473" s="2">
        <v>41852</v>
      </c>
      <c r="Q1473">
        <v>0</v>
      </c>
      <c r="R1473" s="1" t="s">
        <v>61</v>
      </c>
    </row>
    <row r="1474" spans="1:18" x14ac:dyDescent="0.25">
      <c r="A1474">
        <v>2014</v>
      </c>
      <c r="B1474">
        <v>9</v>
      </c>
      <c r="C1474" s="1" t="s">
        <v>32</v>
      </c>
      <c r="D1474" s="1" t="s">
        <v>19</v>
      </c>
      <c r="E1474" s="1" t="s">
        <v>114</v>
      </c>
      <c r="F1474">
        <v>2016</v>
      </c>
      <c r="G1474">
        <v>0</v>
      </c>
      <c r="H1474" s="1" t="s">
        <v>59</v>
      </c>
      <c r="I1474">
        <v>14</v>
      </c>
      <c r="J1474">
        <v>1746</v>
      </c>
      <c r="K1474" s="1" t="s">
        <v>115</v>
      </c>
      <c r="L1474" s="1" t="s">
        <v>23</v>
      </c>
      <c r="M1474">
        <v>0</v>
      </c>
      <c r="N1474">
        <v>0</v>
      </c>
      <c r="O1474">
        <v>0</v>
      </c>
      <c r="P1474" s="2">
        <v>41883</v>
      </c>
      <c r="Q1474">
        <v>0</v>
      </c>
      <c r="R1474" s="1" t="s">
        <v>61</v>
      </c>
    </row>
    <row r="1475" spans="1:18" x14ac:dyDescent="0.25">
      <c r="A1475">
        <v>2014</v>
      </c>
      <c r="B1475">
        <v>10</v>
      </c>
      <c r="C1475" s="1" t="s">
        <v>33</v>
      </c>
      <c r="D1475" s="1" t="s">
        <v>19</v>
      </c>
      <c r="E1475" s="1" t="s">
        <v>114</v>
      </c>
      <c r="F1475">
        <v>2016</v>
      </c>
      <c r="G1475">
        <v>0</v>
      </c>
      <c r="H1475" s="1" t="s">
        <v>59</v>
      </c>
      <c r="I1475">
        <v>14</v>
      </c>
      <c r="J1475">
        <v>1746</v>
      </c>
      <c r="K1475" s="1" t="s">
        <v>115</v>
      </c>
      <c r="L1475" s="1" t="s">
        <v>23</v>
      </c>
      <c r="M1475">
        <v>0</v>
      </c>
      <c r="N1475">
        <v>0</v>
      </c>
      <c r="O1475">
        <v>0</v>
      </c>
      <c r="P1475" s="2">
        <v>41913</v>
      </c>
      <c r="Q1475">
        <v>0</v>
      </c>
      <c r="R1475" s="1" t="s">
        <v>61</v>
      </c>
    </row>
    <row r="1476" spans="1:18" x14ac:dyDescent="0.25">
      <c r="A1476">
        <v>2014</v>
      </c>
      <c r="B1476">
        <v>11</v>
      </c>
      <c r="C1476" s="1" t="s">
        <v>34</v>
      </c>
      <c r="D1476" s="1" t="s">
        <v>19</v>
      </c>
      <c r="E1476" s="1" t="s">
        <v>114</v>
      </c>
      <c r="F1476">
        <v>2016</v>
      </c>
      <c r="G1476">
        <v>0</v>
      </c>
      <c r="H1476" s="1" t="s">
        <v>59</v>
      </c>
      <c r="I1476">
        <v>14</v>
      </c>
      <c r="J1476">
        <v>1746</v>
      </c>
      <c r="K1476" s="1" t="s">
        <v>115</v>
      </c>
      <c r="L1476" s="1" t="s">
        <v>23</v>
      </c>
      <c r="M1476">
        <v>0</v>
      </c>
      <c r="N1476">
        <v>0</v>
      </c>
      <c r="O1476">
        <v>0</v>
      </c>
      <c r="P1476" s="2">
        <v>41944</v>
      </c>
      <c r="Q1476">
        <v>0</v>
      </c>
      <c r="R1476" s="1" t="s">
        <v>61</v>
      </c>
    </row>
    <row r="1477" spans="1:18" x14ac:dyDescent="0.25">
      <c r="A1477">
        <v>2014</v>
      </c>
      <c r="B1477">
        <v>12</v>
      </c>
      <c r="C1477" s="1" t="s">
        <v>35</v>
      </c>
      <c r="D1477" s="1" t="s">
        <v>19</v>
      </c>
      <c r="E1477" s="1" t="s">
        <v>114</v>
      </c>
      <c r="F1477">
        <v>2016</v>
      </c>
      <c r="G1477">
        <v>0</v>
      </c>
      <c r="H1477" s="1" t="s">
        <v>59</v>
      </c>
      <c r="I1477">
        <v>14</v>
      </c>
      <c r="J1477">
        <v>1746</v>
      </c>
      <c r="K1477" s="1" t="s">
        <v>115</v>
      </c>
      <c r="L1477" s="1" t="s">
        <v>23</v>
      </c>
      <c r="M1477">
        <v>0</v>
      </c>
      <c r="N1477">
        <v>0</v>
      </c>
      <c r="O1477">
        <v>0</v>
      </c>
      <c r="P1477" s="2">
        <v>41974</v>
      </c>
      <c r="Q1477">
        <v>0</v>
      </c>
      <c r="R1477" s="1" t="s">
        <v>61</v>
      </c>
    </row>
    <row r="1478" spans="1:18" x14ac:dyDescent="0.25">
      <c r="A1478">
        <v>2014</v>
      </c>
      <c r="B1478">
        <v>1</v>
      </c>
      <c r="C1478" s="1" t="s">
        <v>18</v>
      </c>
      <c r="D1478" s="1" t="s">
        <v>19</v>
      </c>
      <c r="E1478" s="1" t="s">
        <v>116</v>
      </c>
      <c r="F1478">
        <v>2016</v>
      </c>
      <c r="G1478">
        <v>0</v>
      </c>
      <c r="H1478" s="1" t="s">
        <v>59</v>
      </c>
      <c r="I1478">
        <v>24</v>
      </c>
      <c r="J1478">
        <v>3377</v>
      </c>
      <c r="K1478" s="1" t="s">
        <v>103</v>
      </c>
      <c r="L1478" s="1" t="s">
        <v>23</v>
      </c>
      <c r="M1478">
        <v>0</v>
      </c>
      <c r="N1478">
        <v>0</v>
      </c>
      <c r="O1478">
        <v>0</v>
      </c>
      <c r="P1478" s="2">
        <v>41640</v>
      </c>
      <c r="Q1478">
        <v>0</v>
      </c>
      <c r="R1478" s="1" t="s">
        <v>61</v>
      </c>
    </row>
    <row r="1479" spans="1:18" x14ac:dyDescent="0.25">
      <c r="A1479">
        <v>2014</v>
      </c>
      <c r="B1479">
        <v>2</v>
      </c>
      <c r="C1479" s="1" t="s">
        <v>25</v>
      </c>
      <c r="D1479" s="1" t="s">
        <v>19</v>
      </c>
      <c r="E1479" s="1" t="s">
        <v>116</v>
      </c>
      <c r="F1479">
        <v>2016</v>
      </c>
      <c r="G1479">
        <v>0</v>
      </c>
      <c r="H1479" s="1" t="s">
        <v>59</v>
      </c>
      <c r="I1479">
        <v>24</v>
      </c>
      <c r="J1479">
        <v>3377</v>
      </c>
      <c r="K1479" s="1" t="s">
        <v>103</v>
      </c>
      <c r="L1479" s="1" t="s">
        <v>23</v>
      </c>
      <c r="M1479">
        <v>0</v>
      </c>
      <c r="N1479">
        <v>0</v>
      </c>
      <c r="O1479">
        <v>0</v>
      </c>
      <c r="P1479" s="2">
        <v>41671</v>
      </c>
      <c r="Q1479">
        <v>0</v>
      </c>
      <c r="R1479" s="1" t="s">
        <v>61</v>
      </c>
    </row>
    <row r="1480" spans="1:18" x14ac:dyDescent="0.25">
      <c r="A1480">
        <v>2014</v>
      </c>
      <c r="B1480">
        <v>3</v>
      </c>
      <c r="C1480" s="1" t="s">
        <v>26</v>
      </c>
      <c r="D1480" s="1" t="s">
        <v>19</v>
      </c>
      <c r="E1480" s="1" t="s">
        <v>116</v>
      </c>
      <c r="F1480">
        <v>2016</v>
      </c>
      <c r="G1480">
        <v>0</v>
      </c>
      <c r="H1480" s="1" t="s">
        <v>59</v>
      </c>
      <c r="I1480">
        <v>24</v>
      </c>
      <c r="J1480">
        <v>3377</v>
      </c>
      <c r="K1480" s="1" t="s">
        <v>103</v>
      </c>
      <c r="L1480" s="1" t="s">
        <v>23</v>
      </c>
      <c r="M1480">
        <v>0</v>
      </c>
      <c r="N1480">
        <v>0</v>
      </c>
      <c r="O1480">
        <v>0</v>
      </c>
      <c r="P1480" s="2">
        <v>41699</v>
      </c>
      <c r="Q1480">
        <v>0</v>
      </c>
      <c r="R1480" s="1" t="s">
        <v>61</v>
      </c>
    </row>
    <row r="1481" spans="1:18" x14ac:dyDescent="0.25">
      <c r="A1481">
        <v>2014</v>
      </c>
      <c r="B1481">
        <v>4</v>
      </c>
      <c r="C1481" s="1" t="s">
        <v>27</v>
      </c>
      <c r="D1481" s="1" t="s">
        <v>19</v>
      </c>
      <c r="E1481" s="1" t="s">
        <v>116</v>
      </c>
      <c r="F1481">
        <v>2016</v>
      </c>
      <c r="G1481">
        <v>0</v>
      </c>
      <c r="H1481" s="1" t="s">
        <v>59</v>
      </c>
      <c r="I1481">
        <v>24</v>
      </c>
      <c r="J1481">
        <v>3377</v>
      </c>
      <c r="K1481" s="1" t="s">
        <v>103</v>
      </c>
      <c r="L1481" s="1" t="s">
        <v>23</v>
      </c>
      <c r="M1481">
        <v>0</v>
      </c>
      <c r="N1481">
        <v>0</v>
      </c>
      <c r="O1481">
        <v>0</v>
      </c>
      <c r="P1481" s="2">
        <v>41730</v>
      </c>
      <c r="Q1481">
        <v>0</v>
      </c>
      <c r="R1481" s="1" t="s">
        <v>61</v>
      </c>
    </row>
    <row r="1482" spans="1:18" x14ac:dyDescent="0.25">
      <c r="A1482">
        <v>2014</v>
      </c>
      <c r="B1482">
        <v>5</v>
      </c>
      <c r="C1482" s="1" t="s">
        <v>28</v>
      </c>
      <c r="D1482" s="1" t="s">
        <v>19</v>
      </c>
      <c r="E1482" s="1" t="s">
        <v>116</v>
      </c>
      <c r="F1482">
        <v>2016</v>
      </c>
      <c r="G1482">
        <v>0</v>
      </c>
      <c r="H1482" s="1" t="s">
        <v>59</v>
      </c>
      <c r="I1482">
        <v>24</v>
      </c>
      <c r="J1482">
        <v>3377</v>
      </c>
      <c r="K1482" s="1" t="s">
        <v>103</v>
      </c>
      <c r="L1482" s="1" t="s">
        <v>23</v>
      </c>
      <c r="M1482">
        <v>0</v>
      </c>
      <c r="N1482">
        <v>0</v>
      </c>
      <c r="O1482">
        <v>0</v>
      </c>
      <c r="P1482" s="2">
        <v>41760</v>
      </c>
      <c r="Q1482">
        <v>0</v>
      </c>
      <c r="R1482" s="1" t="s">
        <v>61</v>
      </c>
    </row>
    <row r="1483" spans="1:18" x14ac:dyDescent="0.25">
      <c r="A1483">
        <v>2014</v>
      </c>
      <c r="B1483">
        <v>6</v>
      </c>
      <c r="C1483" s="1" t="s">
        <v>29</v>
      </c>
      <c r="D1483" s="1" t="s">
        <v>19</v>
      </c>
      <c r="E1483" s="1" t="s">
        <v>116</v>
      </c>
      <c r="F1483">
        <v>2016</v>
      </c>
      <c r="G1483">
        <v>0</v>
      </c>
      <c r="H1483" s="1" t="s">
        <v>59</v>
      </c>
      <c r="I1483">
        <v>24</v>
      </c>
      <c r="J1483">
        <v>3377</v>
      </c>
      <c r="K1483" s="1" t="s">
        <v>103</v>
      </c>
      <c r="L1483" s="1" t="s">
        <v>23</v>
      </c>
      <c r="M1483">
        <v>0</v>
      </c>
      <c r="N1483">
        <v>0</v>
      </c>
      <c r="O1483">
        <v>0</v>
      </c>
      <c r="P1483" s="2">
        <v>41791</v>
      </c>
      <c r="Q1483">
        <v>0</v>
      </c>
      <c r="R1483" s="1" t="s">
        <v>61</v>
      </c>
    </row>
    <row r="1484" spans="1:18" x14ac:dyDescent="0.25">
      <c r="A1484">
        <v>2014</v>
      </c>
      <c r="B1484">
        <v>7</v>
      </c>
      <c r="C1484" s="1" t="s">
        <v>30</v>
      </c>
      <c r="D1484" s="1" t="s">
        <v>19</v>
      </c>
      <c r="E1484" s="1" t="s">
        <v>116</v>
      </c>
      <c r="F1484">
        <v>2016</v>
      </c>
      <c r="G1484">
        <v>0</v>
      </c>
      <c r="H1484" s="1" t="s">
        <v>59</v>
      </c>
      <c r="I1484">
        <v>24</v>
      </c>
      <c r="J1484">
        <v>3377</v>
      </c>
      <c r="K1484" s="1" t="s">
        <v>103</v>
      </c>
      <c r="L1484" s="1" t="s">
        <v>23</v>
      </c>
      <c r="M1484">
        <v>0</v>
      </c>
      <c r="N1484">
        <v>0</v>
      </c>
      <c r="O1484">
        <v>0</v>
      </c>
      <c r="P1484" s="2">
        <v>41821</v>
      </c>
      <c r="Q1484">
        <v>0</v>
      </c>
      <c r="R1484" s="1" t="s">
        <v>61</v>
      </c>
    </row>
    <row r="1485" spans="1:18" x14ac:dyDescent="0.25">
      <c r="A1485">
        <v>2014</v>
      </c>
      <c r="B1485">
        <v>8</v>
      </c>
      <c r="C1485" s="1" t="s">
        <v>31</v>
      </c>
      <c r="D1485" s="1" t="s">
        <v>19</v>
      </c>
      <c r="E1485" s="1" t="s">
        <v>116</v>
      </c>
      <c r="F1485">
        <v>2016</v>
      </c>
      <c r="G1485">
        <v>0</v>
      </c>
      <c r="H1485" s="1" t="s">
        <v>59</v>
      </c>
      <c r="I1485">
        <v>24</v>
      </c>
      <c r="J1485">
        <v>3377</v>
      </c>
      <c r="K1485" s="1" t="s">
        <v>103</v>
      </c>
      <c r="L1485" s="1" t="s">
        <v>23</v>
      </c>
      <c r="M1485">
        <v>0</v>
      </c>
      <c r="N1485">
        <v>0</v>
      </c>
      <c r="O1485">
        <v>0</v>
      </c>
      <c r="P1485" s="2">
        <v>41852</v>
      </c>
      <c r="Q1485">
        <v>0</v>
      </c>
      <c r="R1485" s="1" t="s">
        <v>61</v>
      </c>
    </row>
    <row r="1486" spans="1:18" x14ac:dyDescent="0.25">
      <c r="A1486">
        <v>2014</v>
      </c>
      <c r="B1486">
        <v>9</v>
      </c>
      <c r="C1486" s="1" t="s">
        <v>32</v>
      </c>
      <c r="D1486" s="1" t="s">
        <v>19</v>
      </c>
      <c r="E1486" s="1" t="s">
        <v>116</v>
      </c>
      <c r="F1486">
        <v>2016</v>
      </c>
      <c r="G1486">
        <v>0</v>
      </c>
      <c r="H1486" s="1" t="s">
        <v>59</v>
      </c>
      <c r="I1486">
        <v>24</v>
      </c>
      <c r="J1486">
        <v>3377</v>
      </c>
      <c r="K1486" s="1" t="s">
        <v>103</v>
      </c>
      <c r="L1486" s="1" t="s">
        <v>23</v>
      </c>
      <c r="M1486">
        <v>0</v>
      </c>
      <c r="N1486">
        <v>0</v>
      </c>
      <c r="O1486">
        <v>0</v>
      </c>
      <c r="P1486" s="2">
        <v>41883</v>
      </c>
      <c r="Q1486">
        <v>0</v>
      </c>
      <c r="R1486" s="1" t="s">
        <v>61</v>
      </c>
    </row>
    <row r="1487" spans="1:18" x14ac:dyDescent="0.25">
      <c r="A1487">
        <v>2014</v>
      </c>
      <c r="B1487">
        <v>10</v>
      </c>
      <c r="C1487" s="1" t="s">
        <v>33</v>
      </c>
      <c r="D1487" s="1" t="s">
        <v>19</v>
      </c>
      <c r="E1487" s="1" t="s">
        <v>116</v>
      </c>
      <c r="F1487">
        <v>2016</v>
      </c>
      <c r="G1487">
        <v>0</v>
      </c>
      <c r="H1487" s="1" t="s">
        <v>59</v>
      </c>
      <c r="I1487">
        <v>24</v>
      </c>
      <c r="J1487">
        <v>3377</v>
      </c>
      <c r="K1487" s="1" t="s">
        <v>103</v>
      </c>
      <c r="L1487" s="1" t="s">
        <v>23</v>
      </c>
      <c r="M1487">
        <v>0</v>
      </c>
      <c r="N1487">
        <v>0</v>
      </c>
      <c r="O1487">
        <v>0</v>
      </c>
      <c r="P1487" s="2">
        <v>41913</v>
      </c>
      <c r="Q1487">
        <v>0</v>
      </c>
      <c r="R1487" s="1" t="s">
        <v>61</v>
      </c>
    </row>
    <row r="1488" spans="1:18" x14ac:dyDescent="0.25">
      <c r="A1488">
        <v>2014</v>
      </c>
      <c r="B1488">
        <v>11</v>
      </c>
      <c r="C1488" s="1" t="s">
        <v>34</v>
      </c>
      <c r="D1488" s="1" t="s">
        <v>19</v>
      </c>
      <c r="E1488" s="1" t="s">
        <v>116</v>
      </c>
      <c r="F1488">
        <v>2016</v>
      </c>
      <c r="G1488">
        <v>0</v>
      </c>
      <c r="H1488" s="1" t="s">
        <v>59</v>
      </c>
      <c r="I1488">
        <v>24</v>
      </c>
      <c r="J1488">
        <v>3377</v>
      </c>
      <c r="K1488" s="1" t="s">
        <v>103</v>
      </c>
      <c r="L1488" s="1" t="s">
        <v>23</v>
      </c>
      <c r="M1488">
        <v>0</v>
      </c>
      <c r="N1488">
        <v>0</v>
      </c>
      <c r="O1488">
        <v>0</v>
      </c>
      <c r="P1488" s="2">
        <v>41944</v>
      </c>
      <c r="Q1488">
        <v>0</v>
      </c>
      <c r="R1488" s="1" t="s">
        <v>61</v>
      </c>
    </row>
    <row r="1489" spans="1:18" x14ac:dyDescent="0.25">
      <c r="A1489">
        <v>2014</v>
      </c>
      <c r="B1489">
        <v>12</v>
      </c>
      <c r="C1489" s="1" t="s">
        <v>35</v>
      </c>
      <c r="D1489" s="1" t="s">
        <v>19</v>
      </c>
      <c r="E1489" s="1" t="s">
        <v>116</v>
      </c>
      <c r="F1489">
        <v>2016</v>
      </c>
      <c r="G1489">
        <v>0</v>
      </c>
      <c r="H1489" s="1" t="s">
        <v>59</v>
      </c>
      <c r="I1489">
        <v>24</v>
      </c>
      <c r="J1489">
        <v>3377</v>
      </c>
      <c r="K1489" s="1" t="s">
        <v>103</v>
      </c>
      <c r="L1489" s="1" t="s">
        <v>23</v>
      </c>
      <c r="M1489">
        <v>0</v>
      </c>
      <c r="N1489">
        <v>0</v>
      </c>
      <c r="O1489">
        <v>0</v>
      </c>
      <c r="P1489" s="2">
        <v>41974</v>
      </c>
      <c r="Q1489">
        <v>0</v>
      </c>
      <c r="R1489" s="1" t="s">
        <v>61</v>
      </c>
    </row>
    <row r="1490" spans="1:18" x14ac:dyDescent="0.25">
      <c r="A1490">
        <v>2014</v>
      </c>
      <c r="B1490">
        <v>1</v>
      </c>
      <c r="C1490" s="1" t="s">
        <v>18</v>
      </c>
      <c r="D1490" s="1" t="s">
        <v>19</v>
      </c>
      <c r="E1490" s="1" t="s">
        <v>117</v>
      </c>
      <c r="F1490">
        <v>2016</v>
      </c>
      <c r="G1490">
        <v>0</v>
      </c>
      <c r="H1490" s="1" t="s">
        <v>59</v>
      </c>
      <c r="I1490">
        <v>25</v>
      </c>
      <c r="J1490">
        <v>3431</v>
      </c>
      <c r="K1490" s="1" t="s">
        <v>118</v>
      </c>
      <c r="L1490" s="1" t="s">
        <v>23</v>
      </c>
      <c r="M1490">
        <v>0</v>
      </c>
      <c r="N1490">
        <v>0</v>
      </c>
      <c r="O1490">
        <v>0</v>
      </c>
      <c r="P1490" s="2">
        <v>41640</v>
      </c>
      <c r="Q1490">
        <v>0</v>
      </c>
      <c r="R1490" s="1" t="s">
        <v>61</v>
      </c>
    </row>
    <row r="1491" spans="1:18" x14ac:dyDescent="0.25">
      <c r="A1491">
        <v>2014</v>
      </c>
      <c r="B1491">
        <v>2</v>
      </c>
      <c r="C1491" s="1" t="s">
        <v>25</v>
      </c>
      <c r="D1491" s="1" t="s">
        <v>19</v>
      </c>
      <c r="E1491" s="1" t="s">
        <v>117</v>
      </c>
      <c r="F1491">
        <v>2016</v>
      </c>
      <c r="G1491">
        <v>0</v>
      </c>
      <c r="H1491" s="1" t="s">
        <v>59</v>
      </c>
      <c r="I1491">
        <v>25</v>
      </c>
      <c r="J1491">
        <v>3431</v>
      </c>
      <c r="K1491" s="1" t="s">
        <v>118</v>
      </c>
      <c r="L1491" s="1" t="s">
        <v>23</v>
      </c>
      <c r="M1491">
        <v>0</v>
      </c>
      <c r="N1491">
        <v>0</v>
      </c>
      <c r="O1491">
        <v>0</v>
      </c>
      <c r="P1491" s="2">
        <v>41671</v>
      </c>
      <c r="Q1491">
        <v>0</v>
      </c>
      <c r="R1491" s="1" t="s">
        <v>61</v>
      </c>
    </row>
    <row r="1492" spans="1:18" x14ac:dyDescent="0.25">
      <c r="A1492">
        <v>2014</v>
      </c>
      <c r="B1492">
        <v>3</v>
      </c>
      <c r="C1492" s="1" t="s">
        <v>26</v>
      </c>
      <c r="D1492" s="1" t="s">
        <v>19</v>
      </c>
      <c r="E1492" s="1" t="s">
        <v>117</v>
      </c>
      <c r="F1492">
        <v>2016</v>
      </c>
      <c r="G1492">
        <v>0</v>
      </c>
      <c r="H1492" s="1" t="s">
        <v>59</v>
      </c>
      <c r="I1492">
        <v>25</v>
      </c>
      <c r="J1492">
        <v>3431</v>
      </c>
      <c r="K1492" s="1" t="s">
        <v>118</v>
      </c>
      <c r="L1492" s="1" t="s">
        <v>23</v>
      </c>
      <c r="M1492">
        <v>0</v>
      </c>
      <c r="N1492">
        <v>0</v>
      </c>
      <c r="O1492">
        <v>0</v>
      </c>
      <c r="P1492" s="2">
        <v>41699</v>
      </c>
      <c r="Q1492">
        <v>0</v>
      </c>
      <c r="R1492" s="1" t="s">
        <v>61</v>
      </c>
    </row>
    <row r="1493" spans="1:18" x14ac:dyDescent="0.25">
      <c r="A1493">
        <v>2014</v>
      </c>
      <c r="B1493">
        <v>4</v>
      </c>
      <c r="C1493" s="1" t="s">
        <v>27</v>
      </c>
      <c r="D1493" s="1" t="s">
        <v>19</v>
      </c>
      <c r="E1493" s="1" t="s">
        <v>117</v>
      </c>
      <c r="F1493">
        <v>2016</v>
      </c>
      <c r="G1493">
        <v>0</v>
      </c>
      <c r="H1493" s="1" t="s">
        <v>59</v>
      </c>
      <c r="I1493">
        <v>25</v>
      </c>
      <c r="J1493">
        <v>3431</v>
      </c>
      <c r="K1493" s="1" t="s">
        <v>118</v>
      </c>
      <c r="L1493" s="1" t="s">
        <v>23</v>
      </c>
      <c r="M1493">
        <v>0</v>
      </c>
      <c r="N1493">
        <v>0</v>
      </c>
      <c r="O1493">
        <v>0</v>
      </c>
      <c r="P1493" s="2">
        <v>41730</v>
      </c>
      <c r="Q1493">
        <v>0</v>
      </c>
      <c r="R1493" s="1" t="s">
        <v>61</v>
      </c>
    </row>
    <row r="1494" spans="1:18" x14ac:dyDescent="0.25">
      <c r="A1494">
        <v>2014</v>
      </c>
      <c r="B1494">
        <v>5</v>
      </c>
      <c r="C1494" s="1" t="s">
        <v>28</v>
      </c>
      <c r="D1494" s="1" t="s">
        <v>19</v>
      </c>
      <c r="E1494" s="1" t="s">
        <v>117</v>
      </c>
      <c r="F1494">
        <v>2016</v>
      </c>
      <c r="G1494">
        <v>0</v>
      </c>
      <c r="H1494" s="1" t="s">
        <v>59</v>
      </c>
      <c r="I1494">
        <v>25</v>
      </c>
      <c r="J1494">
        <v>3431</v>
      </c>
      <c r="K1494" s="1" t="s">
        <v>118</v>
      </c>
      <c r="L1494" s="1" t="s">
        <v>23</v>
      </c>
      <c r="M1494">
        <v>0</v>
      </c>
      <c r="N1494">
        <v>0</v>
      </c>
      <c r="O1494">
        <v>0</v>
      </c>
      <c r="P1494" s="2">
        <v>41760</v>
      </c>
      <c r="Q1494">
        <v>0</v>
      </c>
      <c r="R1494" s="1" t="s">
        <v>61</v>
      </c>
    </row>
    <row r="1495" spans="1:18" x14ac:dyDescent="0.25">
      <c r="A1495">
        <v>2014</v>
      </c>
      <c r="B1495">
        <v>6</v>
      </c>
      <c r="C1495" s="1" t="s">
        <v>29</v>
      </c>
      <c r="D1495" s="1" t="s">
        <v>19</v>
      </c>
      <c r="E1495" s="1" t="s">
        <v>117</v>
      </c>
      <c r="F1495">
        <v>2016</v>
      </c>
      <c r="G1495">
        <v>0</v>
      </c>
      <c r="H1495" s="1" t="s">
        <v>59</v>
      </c>
      <c r="I1495">
        <v>25</v>
      </c>
      <c r="J1495">
        <v>3431</v>
      </c>
      <c r="K1495" s="1" t="s">
        <v>118</v>
      </c>
      <c r="L1495" s="1" t="s">
        <v>23</v>
      </c>
      <c r="M1495">
        <v>0</v>
      </c>
      <c r="N1495">
        <v>0</v>
      </c>
      <c r="O1495">
        <v>0</v>
      </c>
      <c r="P1495" s="2">
        <v>41791</v>
      </c>
      <c r="Q1495">
        <v>0</v>
      </c>
      <c r="R1495" s="1" t="s">
        <v>61</v>
      </c>
    </row>
    <row r="1496" spans="1:18" x14ac:dyDescent="0.25">
      <c r="A1496">
        <v>2014</v>
      </c>
      <c r="B1496">
        <v>7</v>
      </c>
      <c r="C1496" s="1" t="s">
        <v>30</v>
      </c>
      <c r="D1496" s="1" t="s">
        <v>19</v>
      </c>
      <c r="E1496" s="1" t="s">
        <v>117</v>
      </c>
      <c r="F1496">
        <v>2016</v>
      </c>
      <c r="G1496">
        <v>0</v>
      </c>
      <c r="H1496" s="1" t="s">
        <v>59</v>
      </c>
      <c r="I1496">
        <v>25</v>
      </c>
      <c r="J1496">
        <v>3431</v>
      </c>
      <c r="K1496" s="1" t="s">
        <v>118</v>
      </c>
      <c r="L1496" s="1" t="s">
        <v>23</v>
      </c>
      <c r="M1496">
        <v>0</v>
      </c>
      <c r="N1496">
        <v>0</v>
      </c>
      <c r="O1496">
        <v>0</v>
      </c>
      <c r="P1496" s="2">
        <v>41821</v>
      </c>
      <c r="Q1496">
        <v>0</v>
      </c>
      <c r="R1496" s="1" t="s">
        <v>61</v>
      </c>
    </row>
    <row r="1497" spans="1:18" x14ac:dyDescent="0.25">
      <c r="A1497">
        <v>2014</v>
      </c>
      <c r="B1497">
        <v>8</v>
      </c>
      <c r="C1497" s="1" t="s">
        <v>31</v>
      </c>
      <c r="D1497" s="1" t="s">
        <v>19</v>
      </c>
      <c r="E1497" s="1" t="s">
        <v>117</v>
      </c>
      <c r="F1497">
        <v>2016</v>
      </c>
      <c r="G1497">
        <v>0</v>
      </c>
      <c r="H1497" s="1" t="s">
        <v>59</v>
      </c>
      <c r="I1497">
        <v>25</v>
      </c>
      <c r="J1497">
        <v>3431</v>
      </c>
      <c r="K1497" s="1" t="s">
        <v>118</v>
      </c>
      <c r="L1497" s="1" t="s">
        <v>23</v>
      </c>
      <c r="M1497">
        <v>0</v>
      </c>
      <c r="N1497">
        <v>0</v>
      </c>
      <c r="O1497">
        <v>0</v>
      </c>
      <c r="P1497" s="2">
        <v>41852</v>
      </c>
      <c r="Q1497">
        <v>0</v>
      </c>
      <c r="R1497" s="1" t="s">
        <v>61</v>
      </c>
    </row>
    <row r="1498" spans="1:18" x14ac:dyDescent="0.25">
      <c r="A1498">
        <v>2014</v>
      </c>
      <c r="B1498">
        <v>9</v>
      </c>
      <c r="C1498" s="1" t="s">
        <v>32</v>
      </c>
      <c r="D1498" s="1" t="s">
        <v>19</v>
      </c>
      <c r="E1498" s="1" t="s">
        <v>117</v>
      </c>
      <c r="F1498">
        <v>2016</v>
      </c>
      <c r="G1498">
        <v>0</v>
      </c>
      <c r="H1498" s="1" t="s">
        <v>59</v>
      </c>
      <c r="I1498">
        <v>25</v>
      </c>
      <c r="J1498">
        <v>3431</v>
      </c>
      <c r="K1498" s="1" t="s">
        <v>118</v>
      </c>
      <c r="L1498" s="1" t="s">
        <v>23</v>
      </c>
      <c r="M1498">
        <v>0</v>
      </c>
      <c r="N1498">
        <v>0</v>
      </c>
      <c r="O1498">
        <v>0</v>
      </c>
      <c r="P1498" s="2">
        <v>41883</v>
      </c>
      <c r="Q1498">
        <v>0</v>
      </c>
      <c r="R1498" s="1" t="s">
        <v>61</v>
      </c>
    </row>
    <row r="1499" spans="1:18" x14ac:dyDescent="0.25">
      <c r="A1499">
        <v>2014</v>
      </c>
      <c r="B1499">
        <v>10</v>
      </c>
      <c r="C1499" s="1" t="s">
        <v>33</v>
      </c>
      <c r="D1499" s="1" t="s">
        <v>19</v>
      </c>
      <c r="E1499" s="1" t="s">
        <v>117</v>
      </c>
      <c r="F1499">
        <v>2016</v>
      </c>
      <c r="G1499">
        <v>0</v>
      </c>
      <c r="H1499" s="1" t="s">
        <v>59</v>
      </c>
      <c r="I1499">
        <v>25</v>
      </c>
      <c r="J1499">
        <v>3431</v>
      </c>
      <c r="K1499" s="1" t="s">
        <v>118</v>
      </c>
      <c r="L1499" s="1" t="s">
        <v>23</v>
      </c>
      <c r="M1499">
        <v>0</v>
      </c>
      <c r="N1499">
        <v>0</v>
      </c>
      <c r="O1499">
        <v>0</v>
      </c>
      <c r="P1499" s="2">
        <v>41913</v>
      </c>
      <c r="Q1499">
        <v>0</v>
      </c>
      <c r="R1499" s="1" t="s">
        <v>61</v>
      </c>
    </row>
    <row r="1500" spans="1:18" x14ac:dyDescent="0.25">
      <c r="A1500">
        <v>2014</v>
      </c>
      <c r="B1500">
        <v>11</v>
      </c>
      <c r="C1500" s="1" t="s">
        <v>34</v>
      </c>
      <c r="D1500" s="1" t="s">
        <v>19</v>
      </c>
      <c r="E1500" s="1" t="s">
        <v>117</v>
      </c>
      <c r="F1500">
        <v>2016</v>
      </c>
      <c r="G1500">
        <v>0</v>
      </c>
      <c r="H1500" s="1" t="s">
        <v>59</v>
      </c>
      <c r="I1500">
        <v>25</v>
      </c>
      <c r="J1500">
        <v>3431</v>
      </c>
      <c r="K1500" s="1" t="s">
        <v>118</v>
      </c>
      <c r="L1500" s="1" t="s">
        <v>23</v>
      </c>
      <c r="M1500">
        <v>0</v>
      </c>
      <c r="N1500">
        <v>0</v>
      </c>
      <c r="O1500">
        <v>0</v>
      </c>
      <c r="P1500" s="2">
        <v>41944</v>
      </c>
      <c r="Q1500">
        <v>0</v>
      </c>
      <c r="R1500" s="1" t="s">
        <v>61</v>
      </c>
    </row>
    <row r="1501" spans="1:18" x14ac:dyDescent="0.25">
      <c r="A1501">
        <v>2014</v>
      </c>
      <c r="B1501">
        <v>12</v>
      </c>
      <c r="C1501" s="1" t="s">
        <v>35</v>
      </c>
      <c r="D1501" s="1" t="s">
        <v>19</v>
      </c>
      <c r="E1501" s="1" t="s">
        <v>117</v>
      </c>
      <c r="F1501">
        <v>2016</v>
      </c>
      <c r="G1501">
        <v>0</v>
      </c>
      <c r="H1501" s="1" t="s">
        <v>59</v>
      </c>
      <c r="I1501">
        <v>25</v>
      </c>
      <c r="J1501">
        <v>3431</v>
      </c>
      <c r="K1501" s="1" t="s">
        <v>118</v>
      </c>
      <c r="L1501" s="1" t="s">
        <v>23</v>
      </c>
      <c r="M1501">
        <v>0</v>
      </c>
      <c r="N1501">
        <v>0</v>
      </c>
      <c r="O1501">
        <v>0</v>
      </c>
      <c r="P1501" s="2">
        <v>41974</v>
      </c>
      <c r="Q1501">
        <v>0</v>
      </c>
      <c r="R1501" s="1" t="s">
        <v>61</v>
      </c>
    </row>
    <row r="1502" spans="1:18" x14ac:dyDescent="0.25">
      <c r="A1502">
        <v>2014</v>
      </c>
      <c r="B1502">
        <v>1</v>
      </c>
      <c r="C1502" s="1" t="s">
        <v>18</v>
      </c>
      <c r="D1502" s="1" t="s">
        <v>19</v>
      </c>
      <c r="E1502" s="1" t="s">
        <v>119</v>
      </c>
      <c r="F1502">
        <v>2016</v>
      </c>
      <c r="G1502">
        <v>0</v>
      </c>
      <c r="H1502" s="1" t="s">
        <v>59</v>
      </c>
      <c r="I1502">
        <v>21</v>
      </c>
      <c r="J1502">
        <v>2901</v>
      </c>
      <c r="K1502" s="1" t="s">
        <v>120</v>
      </c>
      <c r="L1502" s="1" t="s">
        <v>23</v>
      </c>
      <c r="M1502">
        <v>0</v>
      </c>
      <c r="N1502">
        <v>0</v>
      </c>
      <c r="O1502">
        <v>0</v>
      </c>
      <c r="P1502" s="2">
        <v>41640</v>
      </c>
      <c r="Q1502">
        <v>0</v>
      </c>
      <c r="R1502" s="1" t="s">
        <v>61</v>
      </c>
    </row>
    <row r="1503" spans="1:18" x14ac:dyDescent="0.25">
      <c r="A1503">
        <v>2014</v>
      </c>
      <c r="B1503">
        <v>2</v>
      </c>
      <c r="C1503" s="1" t="s">
        <v>25</v>
      </c>
      <c r="D1503" s="1" t="s">
        <v>19</v>
      </c>
      <c r="E1503" s="1" t="s">
        <v>119</v>
      </c>
      <c r="F1503">
        <v>2016</v>
      </c>
      <c r="G1503">
        <v>0</v>
      </c>
      <c r="H1503" s="1" t="s">
        <v>59</v>
      </c>
      <c r="I1503">
        <v>21</v>
      </c>
      <c r="J1503">
        <v>2901</v>
      </c>
      <c r="K1503" s="1" t="s">
        <v>120</v>
      </c>
      <c r="L1503" s="1" t="s">
        <v>23</v>
      </c>
      <c r="M1503">
        <v>0</v>
      </c>
      <c r="N1503">
        <v>0</v>
      </c>
      <c r="O1503">
        <v>0</v>
      </c>
      <c r="P1503" s="2">
        <v>41671</v>
      </c>
      <c r="Q1503">
        <v>0</v>
      </c>
      <c r="R1503" s="1" t="s">
        <v>61</v>
      </c>
    </row>
    <row r="1504" spans="1:18" x14ac:dyDescent="0.25">
      <c r="A1504">
        <v>2014</v>
      </c>
      <c r="B1504">
        <v>3</v>
      </c>
      <c r="C1504" s="1" t="s">
        <v>26</v>
      </c>
      <c r="D1504" s="1" t="s">
        <v>19</v>
      </c>
      <c r="E1504" s="1" t="s">
        <v>119</v>
      </c>
      <c r="F1504">
        <v>2016</v>
      </c>
      <c r="G1504">
        <v>0</v>
      </c>
      <c r="H1504" s="1" t="s">
        <v>59</v>
      </c>
      <c r="I1504">
        <v>21</v>
      </c>
      <c r="J1504">
        <v>2901</v>
      </c>
      <c r="K1504" s="1" t="s">
        <v>120</v>
      </c>
      <c r="L1504" s="1" t="s">
        <v>23</v>
      </c>
      <c r="M1504">
        <v>0</v>
      </c>
      <c r="N1504">
        <v>0</v>
      </c>
      <c r="O1504">
        <v>0</v>
      </c>
      <c r="P1504" s="2">
        <v>41699</v>
      </c>
      <c r="Q1504">
        <v>0</v>
      </c>
      <c r="R1504" s="1" t="s">
        <v>61</v>
      </c>
    </row>
    <row r="1505" spans="1:18" x14ac:dyDescent="0.25">
      <c r="A1505">
        <v>2014</v>
      </c>
      <c r="B1505">
        <v>4</v>
      </c>
      <c r="C1505" s="1" t="s">
        <v>27</v>
      </c>
      <c r="D1505" s="1" t="s">
        <v>19</v>
      </c>
      <c r="E1505" s="1" t="s">
        <v>119</v>
      </c>
      <c r="F1505">
        <v>2016</v>
      </c>
      <c r="G1505">
        <v>0</v>
      </c>
      <c r="H1505" s="1" t="s">
        <v>59</v>
      </c>
      <c r="I1505">
        <v>21</v>
      </c>
      <c r="J1505">
        <v>2901</v>
      </c>
      <c r="K1505" s="1" t="s">
        <v>120</v>
      </c>
      <c r="L1505" s="1" t="s">
        <v>23</v>
      </c>
      <c r="M1505">
        <v>0</v>
      </c>
      <c r="N1505">
        <v>0</v>
      </c>
      <c r="O1505">
        <v>0</v>
      </c>
      <c r="P1505" s="2">
        <v>41730</v>
      </c>
      <c r="Q1505">
        <v>0</v>
      </c>
      <c r="R1505" s="1" t="s">
        <v>61</v>
      </c>
    </row>
    <row r="1506" spans="1:18" x14ac:dyDescent="0.25">
      <c r="A1506">
        <v>2014</v>
      </c>
      <c r="B1506">
        <v>5</v>
      </c>
      <c r="C1506" s="1" t="s">
        <v>28</v>
      </c>
      <c r="D1506" s="1" t="s">
        <v>19</v>
      </c>
      <c r="E1506" s="1" t="s">
        <v>119</v>
      </c>
      <c r="F1506">
        <v>2016</v>
      </c>
      <c r="G1506">
        <v>0</v>
      </c>
      <c r="H1506" s="1" t="s">
        <v>59</v>
      </c>
      <c r="I1506">
        <v>21</v>
      </c>
      <c r="J1506">
        <v>2901</v>
      </c>
      <c r="K1506" s="1" t="s">
        <v>120</v>
      </c>
      <c r="L1506" s="1" t="s">
        <v>23</v>
      </c>
      <c r="M1506">
        <v>0</v>
      </c>
      <c r="N1506">
        <v>0</v>
      </c>
      <c r="O1506">
        <v>0</v>
      </c>
      <c r="P1506" s="2">
        <v>41760</v>
      </c>
      <c r="Q1506">
        <v>0</v>
      </c>
      <c r="R1506" s="1" t="s">
        <v>61</v>
      </c>
    </row>
    <row r="1507" spans="1:18" x14ac:dyDescent="0.25">
      <c r="A1507">
        <v>2014</v>
      </c>
      <c r="B1507">
        <v>6</v>
      </c>
      <c r="C1507" s="1" t="s">
        <v>29</v>
      </c>
      <c r="D1507" s="1" t="s">
        <v>19</v>
      </c>
      <c r="E1507" s="1" t="s">
        <v>119</v>
      </c>
      <c r="F1507">
        <v>2016</v>
      </c>
      <c r="G1507">
        <v>0</v>
      </c>
      <c r="H1507" s="1" t="s">
        <v>59</v>
      </c>
      <c r="I1507">
        <v>21</v>
      </c>
      <c r="J1507">
        <v>2901</v>
      </c>
      <c r="K1507" s="1" t="s">
        <v>120</v>
      </c>
      <c r="L1507" s="1" t="s">
        <v>23</v>
      </c>
      <c r="M1507">
        <v>0</v>
      </c>
      <c r="N1507">
        <v>0</v>
      </c>
      <c r="O1507">
        <v>0</v>
      </c>
      <c r="P1507" s="2">
        <v>41791</v>
      </c>
      <c r="Q1507">
        <v>0</v>
      </c>
      <c r="R1507" s="1" t="s">
        <v>61</v>
      </c>
    </row>
    <row r="1508" spans="1:18" x14ac:dyDescent="0.25">
      <c r="A1508">
        <v>2014</v>
      </c>
      <c r="B1508">
        <v>7</v>
      </c>
      <c r="C1508" s="1" t="s">
        <v>30</v>
      </c>
      <c r="D1508" s="1" t="s">
        <v>19</v>
      </c>
      <c r="E1508" s="1" t="s">
        <v>119</v>
      </c>
      <c r="F1508">
        <v>2016</v>
      </c>
      <c r="G1508">
        <v>0</v>
      </c>
      <c r="H1508" s="1" t="s">
        <v>59</v>
      </c>
      <c r="I1508">
        <v>21</v>
      </c>
      <c r="J1508">
        <v>2901</v>
      </c>
      <c r="K1508" s="1" t="s">
        <v>120</v>
      </c>
      <c r="L1508" s="1" t="s">
        <v>23</v>
      </c>
      <c r="M1508">
        <v>0</v>
      </c>
      <c r="N1508">
        <v>0</v>
      </c>
      <c r="O1508">
        <v>0</v>
      </c>
      <c r="P1508" s="2">
        <v>41821</v>
      </c>
      <c r="Q1508">
        <v>0</v>
      </c>
      <c r="R1508" s="1" t="s">
        <v>61</v>
      </c>
    </row>
    <row r="1509" spans="1:18" x14ac:dyDescent="0.25">
      <c r="A1509">
        <v>2014</v>
      </c>
      <c r="B1509">
        <v>8</v>
      </c>
      <c r="C1509" s="1" t="s">
        <v>31</v>
      </c>
      <c r="D1509" s="1" t="s">
        <v>19</v>
      </c>
      <c r="E1509" s="1" t="s">
        <v>119</v>
      </c>
      <c r="F1509">
        <v>2016</v>
      </c>
      <c r="G1509">
        <v>0</v>
      </c>
      <c r="H1509" s="1" t="s">
        <v>59</v>
      </c>
      <c r="I1509">
        <v>21</v>
      </c>
      <c r="J1509">
        <v>2901</v>
      </c>
      <c r="K1509" s="1" t="s">
        <v>120</v>
      </c>
      <c r="L1509" s="1" t="s">
        <v>23</v>
      </c>
      <c r="M1509">
        <v>0</v>
      </c>
      <c r="N1509">
        <v>0</v>
      </c>
      <c r="O1509">
        <v>0</v>
      </c>
      <c r="P1509" s="2">
        <v>41852</v>
      </c>
      <c r="Q1509">
        <v>0</v>
      </c>
      <c r="R1509" s="1" t="s">
        <v>61</v>
      </c>
    </row>
    <row r="1510" spans="1:18" x14ac:dyDescent="0.25">
      <c r="A1510">
        <v>2014</v>
      </c>
      <c r="B1510">
        <v>9</v>
      </c>
      <c r="C1510" s="1" t="s">
        <v>32</v>
      </c>
      <c r="D1510" s="1" t="s">
        <v>19</v>
      </c>
      <c r="E1510" s="1" t="s">
        <v>119</v>
      </c>
      <c r="F1510">
        <v>2016</v>
      </c>
      <c r="G1510">
        <v>0</v>
      </c>
      <c r="H1510" s="1" t="s">
        <v>59</v>
      </c>
      <c r="I1510">
        <v>21</v>
      </c>
      <c r="J1510">
        <v>2901</v>
      </c>
      <c r="K1510" s="1" t="s">
        <v>120</v>
      </c>
      <c r="L1510" s="1" t="s">
        <v>23</v>
      </c>
      <c r="M1510">
        <v>0</v>
      </c>
      <c r="N1510">
        <v>0</v>
      </c>
      <c r="O1510">
        <v>0</v>
      </c>
      <c r="P1510" s="2">
        <v>41883</v>
      </c>
      <c r="Q1510">
        <v>0</v>
      </c>
      <c r="R1510" s="1" t="s">
        <v>61</v>
      </c>
    </row>
    <row r="1511" spans="1:18" x14ac:dyDescent="0.25">
      <c r="A1511">
        <v>2014</v>
      </c>
      <c r="B1511">
        <v>10</v>
      </c>
      <c r="C1511" s="1" t="s">
        <v>33</v>
      </c>
      <c r="D1511" s="1" t="s">
        <v>19</v>
      </c>
      <c r="E1511" s="1" t="s">
        <v>119</v>
      </c>
      <c r="F1511">
        <v>2016</v>
      </c>
      <c r="G1511">
        <v>0</v>
      </c>
      <c r="H1511" s="1" t="s">
        <v>59</v>
      </c>
      <c r="I1511">
        <v>21</v>
      </c>
      <c r="J1511">
        <v>2901</v>
      </c>
      <c r="K1511" s="1" t="s">
        <v>120</v>
      </c>
      <c r="L1511" s="1" t="s">
        <v>23</v>
      </c>
      <c r="M1511">
        <v>0</v>
      </c>
      <c r="N1511">
        <v>0</v>
      </c>
      <c r="O1511">
        <v>0</v>
      </c>
      <c r="P1511" s="2">
        <v>41913</v>
      </c>
      <c r="Q1511">
        <v>0</v>
      </c>
      <c r="R1511" s="1" t="s">
        <v>61</v>
      </c>
    </row>
    <row r="1512" spans="1:18" x14ac:dyDescent="0.25">
      <c r="A1512">
        <v>2014</v>
      </c>
      <c r="B1512">
        <v>11</v>
      </c>
      <c r="C1512" s="1" t="s">
        <v>34</v>
      </c>
      <c r="D1512" s="1" t="s">
        <v>19</v>
      </c>
      <c r="E1512" s="1" t="s">
        <v>119</v>
      </c>
      <c r="F1512">
        <v>2016</v>
      </c>
      <c r="G1512">
        <v>0</v>
      </c>
      <c r="H1512" s="1" t="s">
        <v>59</v>
      </c>
      <c r="I1512">
        <v>21</v>
      </c>
      <c r="J1512">
        <v>2901</v>
      </c>
      <c r="K1512" s="1" t="s">
        <v>120</v>
      </c>
      <c r="L1512" s="1" t="s">
        <v>23</v>
      </c>
      <c r="M1512">
        <v>0</v>
      </c>
      <c r="N1512">
        <v>0</v>
      </c>
      <c r="O1512">
        <v>0</v>
      </c>
      <c r="P1512" s="2">
        <v>41944</v>
      </c>
      <c r="Q1512">
        <v>0</v>
      </c>
      <c r="R1512" s="1" t="s">
        <v>61</v>
      </c>
    </row>
    <row r="1513" spans="1:18" x14ac:dyDescent="0.25">
      <c r="A1513">
        <v>2014</v>
      </c>
      <c r="B1513">
        <v>12</v>
      </c>
      <c r="C1513" s="1" t="s">
        <v>35</v>
      </c>
      <c r="D1513" s="1" t="s">
        <v>19</v>
      </c>
      <c r="E1513" s="1" t="s">
        <v>119</v>
      </c>
      <c r="F1513">
        <v>2016</v>
      </c>
      <c r="G1513">
        <v>0</v>
      </c>
      <c r="H1513" s="1" t="s">
        <v>59</v>
      </c>
      <c r="I1513">
        <v>21</v>
      </c>
      <c r="J1513">
        <v>2901</v>
      </c>
      <c r="K1513" s="1" t="s">
        <v>120</v>
      </c>
      <c r="L1513" s="1" t="s">
        <v>23</v>
      </c>
      <c r="M1513">
        <v>0</v>
      </c>
      <c r="N1513">
        <v>0</v>
      </c>
      <c r="O1513">
        <v>0</v>
      </c>
      <c r="P1513" s="2">
        <v>41974</v>
      </c>
      <c r="Q1513">
        <v>0</v>
      </c>
      <c r="R1513" s="1" t="s">
        <v>61</v>
      </c>
    </row>
    <row r="1514" spans="1:18" x14ac:dyDescent="0.25">
      <c r="A1514">
        <v>2015</v>
      </c>
      <c r="B1514">
        <v>1</v>
      </c>
      <c r="C1514" s="1" t="s">
        <v>18</v>
      </c>
      <c r="D1514" s="1" t="s">
        <v>19</v>
      </c>
      <c r="E1514" s="1" t="s">
        <v>20</v>
      </c>
      <c r="F1514">
        <v>2000</v>
      </c>
      <c r="G1514">
        <v>15</v>
      </c>
      <c r="H1514" s="1" t="s">
        <v>21</v>
      </c>
      <c r="I1514">
        <v>19</v>
      </c>
      <c r="J1514">
        <v>1490</v>
      </c>
      <c r="K1514" s="1" t="s">
        <v>22</v>
      </c>
      <c r="L1514" s="1" t="s">
        <v>23</v>
      </c>
      <c r="M1514">
        <v>0.66700000000000004</v>
      </c>
      <c r="N1514">
        <v>12674.5</v>
      </c>
      <c r="O1514">
        <v>12.675000000000001</v>
      </c>
      <c r="P1514" s="2">
        <v>42005</v>
      </c>
      <c r="Q1514">
        <v>1</v>
      </c>
      <c r="R1514" s="1" t="s">
        <v>24</v>
      </c>
    </row>
    <row r="1515" spans="1:18" x14ac:dyDescent="0.25">
      <c r="A1515">
        <v>2015</v>
      </c>
      <c r="B1515">
        <v>2</v>
      </c>
      <c r="C1515" s="1" t="s">
        <v>25</v>
      </c>
      <c r="D1515" s="1" t="s">
        <v>19</v>
      </c>
      <c r="E1515" s="1" t="s">
        <v>20</v>
      </c>
      <c r="F1515">
        <v>2000</v>
      </c>
      <c r="G1515">
        <v>15</v>
      </c>
      <c r="H1515" s="1" t="s">
        <v>21</v>
      </c>
      <c r="I1515">
        <v>19</v>
      </c>
      <c r="J1515">
        <v>1490</v>
      </c>
      <c r="K1515" s="1" t="s">
        <v>22</v>
      </c>
      <c r="L1515" s="1" t="s">
        <v>23</v>
      </c>
      <c r="M1515">
        <v>0.70599999999999996</v>
      </c>
      <c r="N1515">
        <v>13415.8</v>
      </c>
      <c r="O1515">
        <v>13.416</v>
      </c>
      <c r="P1515" s="2">
        <v>42036</v>
      </c>
      <c r="Q1515">
        <v>1</v>
      </c>
      <c r="R1515" s="1" t="s">
        <v>24</v>
      </c>
    </row>
    <row r="1516" spans="1:18" x14ac:dyDescent="0.25">
      <c r="A1516">
        <v>2015</v>
      </c>
      <c r="B1516">
        <v>3</v>
      </c>
      <c r="C1516" s="1" t="s">
        <v>26</v>
      </c>
      <c r="D1516" s="1" t="s">
        <v>19</v>
      </c>
      <c r="E1516" s="1" t="s">
        <v>20</v>
      </c>
      <c r="F1516">
        <v>2000</v>
      </c>
      <c r="G1516">
        <v>15</v>
      </c>
      <c r="H1516" s="1" t="s">
        <v>21</v>
      </c>
      <c r="I1516">
        <v>19</v>
      </c>
      <c r="J1516">
        <v>1490</v>
      </c>
      <c r="K1516" s="1" t="s">
        <v>22</v>
      </c>
      <c r="L1516" s="1" t="s">
        <v>23</v>
      </c>
      <c r="M1516">
        <v>0.96299999999999997</v>
      </c>
      <c r="N1516">
        <v>18299.599999999999</v>
      </c>
      <c r="O1516">
        <v>18.3</v>
      </c>
      <c r="P1516" s="2">
        <v>42064</v>
      </c>
      <c r="Q1516">
        <v>1</v>
      </c>
      <c r="R1516" s="1" t="s">
        <v>24</v>
      </c>
    </row>
    <row r="1517" spans="1:18" x14ac:dyDescent="0.25">
      <c r="A1517">
        <v>2015</v>
      </c>
      <c r="B1517">
        <v>4</v>
      </c>
      <c r="C1517" s="1" t="s">
        <v>27</v>
      </c>
      <c r="D1517" s="1" t="s">
        <v>19</v>
      </c>
      <c r="E1517" s="1" t="s">
        <v>20</v>
      </c>
      <c r="F1517">
        <v>2000</v>
      </c>
      <c r="G1517">
        <v>15</v>
      </c>
      <c r="H1517" s="1" t="s">
        <v>21</v>
      </c>
      <c r="I1517">
        <v>19</v>
      </c>
      <c r="J1517">
        <v>1490</v>
      </c>
      <c r="K1517" s="1" t="s">
        <v>22</v>
      </c>
      <c r="L1517" s="1" t="s">
        <v>23</v>
      </c>
      <c r="M1517">
        <v>0.87</v>
      </c>
      <c r="N1517">
        <v>16526.3</v>
      </c>
      <c r="O1517">
        <v>16.526</v>
      </c>
      <c r="P1517" s="2">
        <v>42095</v>
      </c>
      <c r="Q1517">
        <v>1</v>
      </c>
      <c r="R1517" s="1" t="s">
        <v>24</v>
      </c>
    </row>
    <row r="1518" spans="1:18" x14ac:dyDescent="0.25">
      <c r="A1518">
        <v>2015</v>
      </c>
      <c r="B1518">
        <v>5</v>
      </c>
      <c r="C1518" s="1" t="s">
        <v>28</v>
      </c>
      <c r="D1518" s="1" t="s">
        <v>19</v>
      </c>
      <c r="E1518" s="1" t="s">
        <v>20</v>
      </c>
      <c r="F1518">
        <v>2000</v>
      </c>
      <c r="G1518">
        <v>15</v>
      </c>
      <c r="H1518" s="1" t="s">
        <v>21</v>
      </c>
      <c r="I1518">
        <v>19</v>
      </c>
      <c r="J1518">
        <v>1490</v>
      </c>
      <c r="K1518" s="1" t="s">
        <v>22</v>
      </c>
      <c r="L1518" s="1" t="s">
        <v>23</v>
      </c>
      <c r="M1518">
        <v>0.95399999999999996</v>
      </c>
      <c r="N1518">
        <v>18125.099999999999</v>
      </c>
      <c r="O1518">
        <v>18.125</v>
      </c>
      <c r="P1518" s="2">
        <v>42125</v>
      </c>
      <c r="Q1518">
        <v>1</v>
      </c>
      <c r="R1518" s="1" t="s">
        <v>24</v>
      </c>
    </row>
    <row r="1519" spans="1:18" x14ac:dyDescent="0.25">
      <c r="A1519">
        <v>2015</v>
      </c>
      <c r="B1519">
        <v>6</v>
      </c>
      <c r="C1519" s="1" t="s">
        <v>29</v>
      </c>
      <c r="D1519" s="1" t="s">
        <v>19</v>
      </c>
      <c r="E1519" s="1" t="s">
        <v>20</v>
      </c>
      <c r="F1519">
        <v>2000</v>
      </c>
      <c r="G1519">
        <v>15</v>
      </c>
      <c r="H1519" s="1" t="s">
        <v>21</v>
      </c>
      <c r="I1519">
        <v>19</v>
      </c>
      <c r="J1519">
        <v>1490</v>
      </c>
      <c r="K1519" s="1" t="s">
        <v>22</v>
      </c>
      <c r="L1519" s="1" t="s">
        <v>23</v>
      </c>
      <c r="M1519">
        <v>1.3109999999999999</v>
      </c>
      <c r="N1519">
        <v>24913</v>
      </c>
      <c r="O1519">
        <v>24.913</v>
      </c>
      <c r="P1519" s="2">
        <v>42156</v>
      </c>
      <c r="Q1519">
        <v>1</v>
      </c>
      <c r="R1519" s="1" t="s">
        <v>24</v>
      </c>
    </row>
    <row r="1520" spans="1:18" x14ac:dyDescent="0.25">
      <c r="A1520">
        <v>2015</v>
      </c>
      <c r="B1520">
        <v>7</v>
      </c>
      <c r="C1520" s="1" t="s">
        <v>30</v>
      </c>
      <c r="D1520" s="1" t="s">
        <v>19</v>
      </c>
      <c r="E1520" s="1" t="s">
        <v>20</v>
      </c>
      <c r="F1520">
        <v>2000</v>
      </c>
      <c r="G1520">
        <v>15</v>
      </c>
      <c r="H1520" s="1" t="s">
        <v>21</v>
      </c>
      <c r="I1520">
        <v>19</v>
      </c>
      <c r="J1520">
        <v>1490</v>
      </c>
      <c r="K1520" s="1" t="s">
        <v>22</v>
      </c>
      <c r="L1520" s="1" t="s">
        <v>23</v>
      </c>
      <c r="M1520">
        <v>1.5309999999999999</v>
      </c>
      <c r="N1520">
        <v>29084.5</v>
      </c>
      <c r="O1520">
        <v>29.085000000000001</v>
      </c>
      <c r="P1520" s="2">
        <v>42186</v>
      </c>
      <c r="Q1520">
        <v>1</v>
      </c>
      <c r="R1520" s="1" t="s">
        <v>24</v>
      </c>
    </row>
    <row r="1521" spans="1:18" x14ac:dyDescent="0.25">
      <c r="A1521">
        <v>2015</v>
      </c>
      <c r="B1521">
        <v>8</v>
      </c>
      <c r="C1521" s="1" t="s">
        <v>31</v>
      </c>
      <c r="D1521" s="1" t="s">
        <v>19</v>
      </c>
      <c r="E1521" s="1" t="s">
        <v>20</v>
      </c>
      <c r="F1521">
        <v>2000</v>
      </c>
      <c r="G1521">
        <v>15</v>
      </c>
      <c r="H1521" s="1" t="s">
        <v>21</v>
      </c>
      <c r="I1521">
        <v>19</v>
      </c>
      <c r="J1521">
        <v>1490</v>
      </c>
      <c r="K1521" s="1" t="s">
        <v>22</v>
      </c>
      <c r="L1521" s="1" t="s">
        <v>23</v>
      </c>
      <c r="M1521">
        <v>1.6779999999999999</v>
      </c>
      <c r="N1521">
        <v>31875.3</v>
      </c>
      <c r="O1521">
        <v>31.875</v>
      </c>
      <c r="P1521" s="2">
        <v>42217</v>
      </c>
      <c r="Q1521">
        <v>1</v>
      </c>
      <c r="R1521" s="1" t="s">
        <v>24</v>
      </c>
    </row>
    <row r="1522" spans="1:18" x14ac:dyDescent="0.25">
      <c r="A1522">
        <v>2015</v>
      </c>
      <c r="B1522">
        <v>9</v>
      </c>
      <c r="C1522" s="1" t="s">
        <v>32</v>
      </c>
      <c r="D1522" s="1" t="s">
        <v>19</v>
      </c>
      <c r="E1522" s="1" t="s">
        <v>20</v>
      </c>
      <c r="F1522">
        <v>2000</v>
      </c>
      <c r="G1522">
        <v>15</v>
      </c>
      <c r="H1522" s="1" t="s">
        <v>21</v>
      </c>
      <c r="I1522">
        <v>19</v>
      </c>
      <c r="J1522">
        <v>1490</v>
      </c>
      <c r="K1522" s="1" t="s">
        <v>22</v>
      </c>
      <c r="L1522" s="1" t="s">
        <v>23</v>
      </c>
      <c r="M1522">
        <v>1.3140000000000001</v>
      </c>
      <c r="N1522">
        <v>24956.6</v>
      </c>
      <c r="O1522">
        <v>24.957000000000001</v>
      </c>
      <c r="P1522" s="2">
        <v>42248</v>
      </c>
      <c r="Q1522">
        <v>1</v>
      </c>
      <c r="R1522" s="1" t="s">
        <v>24</v>
      </c>
    </row>
    <row r="1523" spans="1:18" x14ac:dyDescent="0.25">
      <c r="A1523">
        <v>2015</v>
      </c>
      <c r="B1523">
        <v>10</v>
      </c>
      <c r="C1523" s="1" t="s">
        <v>33</v>
      </c>
      <c r="D1523" s="1" t="s">
        <v>19</v>
      </c>
      <c r="E1523" s="1" t="s">
        <v>20</v>
      </c>
      <c r="F1523">
        <v>2000</v>
      </c>
      <c r="G1523">
        <v>15</v>
      </c>
      <c r="H1523" s="1" t="s">
        <v>21</v>
      </c>
      <c r="I1523">
        <v>19</v>
      </c>
      <c r="J1523">
        <v>1490</v>
      </c>
      <c r="K1523" s="1" t="s">
        <v>22</v>
      </c>
      <c r="L1523" s="1" t="s">
        <v>23</v>
      </c>
      <c r="M1523">
        <v>1.292</v>
      </c>
      <c r="N1523">
        <v>24549.599999999999</v>
      </c>
      <c r="O1523">
        <v>24.55</v>
      </c>
      <c r="P1523" s="2">
        <v>42278</v>
      </c>
      <c r="Q1523">
        <v>1</v>
      </c>
      <c r="R1523" s="1" t="s">
        <v>24</v>
      </c>
    </row>
    <row r="1524" spans="1:18" x14ac:dyDescent="0.25">
      <c r="A1524">
        <v>2015</v>
      </c>
      <c r="B1524">
        <v>11</v>
      </c>
      <c r="C1524" s="1" t="s">
        <v>34</v>
      </c>
      <c r="D1524" s="1" t="s">
        <v>19</v>
      </c>
      <c r="E1524" s="1" t="s">
        <v>20</v>
      </c>
      <c r="F1524">
        <v>2000</v>
      </c>
      <c r="G1524">
        <v>15</v>
      </c>
      <c r="H1524" s="1" t="s">
        <v>21</v>
      </c>
      <c r="I1524">
        <v>19</v>
      </c>
      <c r="J1524">
        <v>1490</v>
      </c>
      <c r="K1524" s="1" t="s">
        <v>22</v>
      </c>
      <c r="L1524" s="1" t="s">
        <v>23</v>
      </c>
      <c r="M1524">
        <v>0.95699999999999996</v>
      </c>
      <c r="N1524">
        <v>18183.3</v>
      </c>
      <c r="O1524">
        <v>18.183</v>
      </c>
      <c r="P1524" s="2">
        <v>42309</v>
      </c>
      <c r="Q1524">
        <v>1</v>
      </c>
      <c r="R1524" s="1" t="s">
        <v>24</v>
      </c>
    </row>
    <row r="1525" spans="1:18" x14ac:dyDescent="0.25">
      <c r="A1525">
        <v>2015</v>
      </c>
      <c r="B1525">
        <v>12</v>
      </c>
      <c r="C1525" s="1" t="s">
        <v>35</v>
      </c>
      <c r="D1525" s="1" t="s">
        <v>19</v>
      </c>
      <c r="E1525" s="1" t="s">
        <v>20</v>
      </c>
      <c r="F1525">
        <v>2000</v>
      </c>
      <c r="G1525">
        <v>15</v>
      </c>
      <c r="H1525" s="1" t="s">
        <v>21</v>
      </c>
      <c r="I1525">
        <v>19</v>
      </c>
      <c r="J1525">
        <v>1490</v>
      </c>
      <c r="K1525" s="1" t="s">
        <v>22</v>
      </c>
      <c r="L1525" s="1" t="s">
        <v>23</v>
      </c>
      <c r="M1525">
        <v>0.94699999999999995</v>
      </c>
      <c r="N1525">
        <v>17994.3</v>
      </c>
      <c r="O1525">
        <v>17.994</v>
      </c>
      <c r="P1525" s="2">
        <v>42339</v>
      </c>
      <c r="Q1525">
        <v>1</v>
      </c>
      <c r="R1525" s="1" t="s">
        <v>24</v>
      </c>
    </row>
    <row r="1526" spans="1:18" x14ac:dyDescent="0.25">
      <c r="A1526">
        <v>2015</v>
      </c>
      <c r="B1526">
        <v>1</v>
      </c>
      <c r="C1526" s="1" t="s">
        <v>18</v>
      </c>
      <c r="D1526" s="1" t="s">
        <v>19</v>
      </c>
      <c r="E1526" s="1" t="s">
        <v>36</v>
      </c>
      <c r="F1526">
        <v>2000</v>
      </c>
      <c r="G1526">
        <v>15</v>
      </c>
      <c r="H1526" s="1" t="s">
        <v>21</v>
      </c>
      <c r="I1526">
        <v>24</v>
      </c>
      <c r="J1526">
        <v>1675</v>
      </c>
      <c r="K1526" s="1" t="s">
        <v>37</v>
      </c>
      <c r="L1526" s="1" t="s">
        <v>23</v>
      </c>
      <c r="M1526">
        <v>0.66700000000000004</v>
      </c>
      <c r="N1526">
        <v>16009.9</v>
      </c>
      <c r="O1526">
        <v>16.010000000000002</v>
      </c>
      <c r="P1526" s="2">
        <v>42005</v>
      </c>
      <c r="Q1526">
        <v>1</v>
      </c>
      <c r="R1526" s="1" t="s">
        <v>24</v>
      </c>
    </row>
    <row r="1527" spans="1:18" x14ac:dyDescent="0.25">
      <c r="A1527">
        <v>2015</v>
      </c>
      <c r="B1527">
        <v>2</v>
      </c>
      <c r="C1527" s="1" t="s">
        <v>25</v>
      </c>
      <c r="D1527" s="1" t="s">
        <v>19</v>
      </c>
      <c r="E1527" s="1" t="s">
        <v>36</v>
      </c>
      <c r="F1527">
        <v>2000</v>
      </c>
      <c r="G1527">
        <v>15</v>
      </c>
      <c r="H1527" s="1" t="s">
        <v>21</v>
      </c>
      <c r="I1527">
        <v>24</v>
      </c>
      <c r="J1527">
        <v>1675</v>
      </c>
      <c r="K1527" s="1" t="s">
        <v>37</v>
      </c>
      <c r="L1527" s="1" t="s">
        <v>23</v>
      </c>
      <c r="M1527">
        <v>0.70599999999999996</v>
      </c>
      <c r="N1527">
        <v>16946.3</v>
      </c>
      <c r="O1527">
        <v>16.946000000000002</v>
      </c>
      <c r="P1527" s="2">
        <v>42036</v>
      </c>
      <c r="Q1527">
        <v>1</v>
      </c>
      <c r="R1527" s="1" t="s">
        <v>24</v>
      </c>
    </row>
    <row r="1528" spans="1:18" x14ac:dyDescent="0.25">
      <c r="A1528">
        <v>2015</v>
      </c>
      <c r="B1528">
        <v>3</v>
      </c>
      <c r="C1528" s="1" t="s">
        <v>26</v>
      </c>
      <c r="D1528" s="1" t="s">
        <v>19</v>
      </c>
      <c r="E1528" s="1" t="s">
        <v>36</v>
      </c>
      <c r="F1528">
        <v>2000</v>
      </c>
      <c r="G1528">
        <v>15</v>
      </c>
      <c r="H1528" s="1" t="s">
        <v>21</v>
      </c>
      <c r="I1528">
        <v>24</v>
      </c>
      <c r="J1528">
        <v>1675</v>
      </c>
      <c r="K1528" s="1" t="s">
        <v>37</v>
      </c>
      <c r="L1528" s="1" t="s">
        <v>23</v>
      </c>
      <c r="M1528">
        <v>0.96299999999999997</v>
      </c>
      <c r="N1528">
        <v>23115.200000000001</v>
      </c>
      <c r="O1528">
        <v>23.114999999999998</v>
      </c>
      <c r="P1528" s="2">
        <v>42064</v>
      </c>
      <c r="Q1528">
        <v>1</v>
      </c>
      <c r="R1528" s="1" t="s">
        <v>24</v>
      </c>
    </row>
    <row r="1529" spans="1:18" x14ac:dyDescent="0.25">
      <c r="A1529">
        <v>2015</v>
      </c>
      <c r="B1529">
        <v>4</v>
      </c>
      <c r="C1529" s="1" t="s">
        <v>27</v>
      </c>
      <c r="D1529" s="1" t="s">
        <v>19</v>
      </c>
      <c r="E1529" s="1" t="s">
        <v>36</v>
      </c>
      <c r="F1529">
        <v>2000</v>
      </c>
      <c r="G1529">
        <v>15</v>
      </c>
      <c r="H1529" s="1" t="s">
        <v>21</v>
      </c>
      <c r="I1529">
        <v>24</v>
      </c>
      <c r="J1529">
        <v>1675</v>
      </c>
      <c r="K1529" s="1" t="s">
        <v>37</v>
      </c>
      <c r="L1529" s="1" t="s">
        <v>23</v>
      </c>
      <c r="M1529">
        <v>0.87</v>
      </c>
      <c r="N1529">
        <v>20875.3</v>
      </c>
      <c r="O1529">
        <v>20.875</v>
      </c>
      <c r="P1529" s="2">
        <v>42095</v>
      </c>
      <c r="Q1529">
        <v>1</v>
      </c>
      <c r="R1529" s="1" t="s">
        <v>24</v>
      </c>
    </row>
    <row r="1530" spans="1:18" x14ac:dyDescent="0.25">
      <c r="A1530">
        <v>2015</v>
      </c>
      <c r="B1530">
        <v>5</v>
      </c>
      <c r="C1530" s="1" t="s">
        <v>28</v>
      </c>
      <c r="D1530" s="1" t="s">
        <v>19</v>
      </c>
      <c r="E1530" s="1" t="s">
        <v>36</v>
      </c>
      <c r="F1530">
        <v>2000</v>
      </c>
      <c r="G1530">
        <v>15</v>
      </c>
      <c r="H1530" s="1" t="s">
        <v>21</v>
      </c>
      <c r="I1530">
        <v>24</v>
      </c>
      <c r="J1530">
        <v>1675</v>
      </c>
      <c r="K1530" s="1" t="s">
        <v>37</v>
      </c>
      <c r="L1530" s="1" t="s">
        <v>23</v>
      </c>
      <c r="M1530">
        <v>0.95399999999999996</v>
      </c>
      <c r="N1530">
        <v>22894.9</v>
      </c>
      <c r="O1530">
        <v>22.895</v>
      </c>
      <c r="P1530" s="2">
        <v>42125</v>
      </c>
      <c r="Q1530">
        <v>1</v>
      </c>
      <c r="R1530" s="1" t="s">
        <v>24</v>
      </c>
    </row>
    <row r="1531" spans="1:18" x14ac:dyDescent="0.25">
      <c r="A1531">
        <v>2015</v>
      </c>
      <c r="B1531">
        <v>6</v>
      </c>
      <c r="C1531" s="1" t="s">
        <v>29</v>
      </c>
      <c r="D1531" s="1" t="s">
        <v>19</v>
      </c>
      <c r="E1531" s="1" t="s">
        <v>36</v>
      </c>
      <c r="F1531">
        <v>2000</v>
      </c>
      <c r="G1531">
        <v>15</v>
      </c>
      <c r="H1531" s="1" t="s">
        <v>21</v>
      </c>
      <c r="I1531">
        <v>24</v>
      </c>
      <c r="J1531">
        <v>1675</v>
      </c>
      <c r="K1531" s="1" t="s">
        <v>37</v>
      </c>
      <c r="L1531" s="1" t="s">
        <v>23</v>
      </c>
      <c r="M1531">
        <v>1.3109999999999999</v>
      </c>
      <c r="N1531">
        <v>31469</v>
      </c>
      <c r="O1531">
        <v>31.469000000000001</v>
      </c>
      <c r="P1531" s="2">
        <v>42156</v>
      </c>
      <c r="Q1531">
        <v>1</v>
      </c>
      <c r="R1531" s="1" t="s">
        <v>24</v>
      </c>
    </row>
    <row r="1532" spans="1:18" x14ac:dyDescent="0.25">
      <c r="A1532">
        <v>2015</v>
      </c>
      <c r="B1532">
        <v>7</v>
      </c>
      <c r="C1532" s="1" t="s">
        <v>30</v>
      </c>
      <c r="D1532" s="1" t="s">
        <v>19</v>
      </c>
      <c r="E1532" s="1" t="s">
        <v>36</v>
      </c>
      <c r="F1532">
        <v>2000</v>
      </c>
      <c r="G1532">
        <v>15</v>
      </c>
      <c r="H1532" s="1" t="s">
        <v>21</v>
      </c>
      <c r="I1532">
        <v>24</v>
      </c>
      <c r="J1532">
        <v>1675</v>
      </c>
      <c r="K1532" s="1" t="s">
        <v>37</v>
      </c>
      <c r="L1532" s="1" t="s">
        <v>23</v>
      </c>
      <c r="M1532">
        <v>1.5309999999999999</v>
      </c>
      <c r="N1532">
        <v>36738.400000000001</v>
      </c>
      <c r="O1532">
        <v>36.738</v>
      </c>
      <c r="P1532" s="2">
        <v>42186</v>
      </c>
      <c r="Q1532">
        <v>1</v>
      </c>
      <c r="R1532" s="1" t="s">
        <v>24</v>
      </c>
    </row>
    <row r="1533" spans="1:18" x14ac:dyDescent="0.25">
      <c r="A1533">
        <v>2015</v>
      </c>
      <c r="B1533">
        <v>8</v>
      </c>
      <c r="C1533" s="1" t="s">
        <v>31</v>
      </c>
      <c r="D1533" s="1" t="s">
        <v>19</v>
      </c>
      <c r="E1533" s="1" t="s">
        <v>36</v>
      </c>
      <c r="F1533">
        <v>2000</v>
      </c>
      <c r="G1533">
        <v>15</v>
      </c>
      <c r="H1533" s="1" t="s">
        <v>21</v>
      </c>
      <c r="I1533">
        <v>24</v>
      </c>
      <c r="J1533">
        <v>1675</v>
      </c>
      <c r="K1533" s="1" t="s">
        <v>37</v>
      </c>
      <c r="L1533" s="1" t="s">
        <v>23</v>
      </c>
      <c r="M1533">
        <v>1.6779999999999999</v>
      </c>
      <c r="N1533">
        <v>40263.5</v>
      </c>
      <c r="O1533">
        <v>40.262999999999998</v>
      </c>
      <c r="P1533" s="2">
        <v>42217</v>
      </c>
      <c r="Q1533">
        <v>1</v>
      </c>
      <c r="R1533" s="1" t="s">
        <v>24</v>
      </c>
    </row>
    <row r="1534" spans="1:18" x14ac:dyDescent="0.25">
      <c r="A1534">
        <v>2015</v>
      </c>
      <c r="B1534">
        <v>9</v>
      </c>
      <c r="C1534" s="1" t="s">
        <v>32</v>
      </c>
      <c r="D1534" s="1" t="s">
        <v>19</v>
      </c>
      <c r="E1534" s="1" t="s">
        <v>36</v>
      </c>
      <c r="F1534">
        <v>2000</v>
      </c>
      <c r="G1534">
        <v>15</v>
      </c>
      <c r="H1534" s="1" t="s">
        <v>21</v>
      </c>
      <c r="I1534">
        <v>24</v>
      </c>
      <c r="J1534">
        <v>1675</v>
      </c>
      <c r="K1534" s="1" t="s">
        <v>37</v>
      </c>
      <c r="L1534" s="1" t="s">
        <v>23</v>
      </c>
      <c r="M1534">
        <v>1.3140000000000001</v>
      </c>
      <c r="N1534">
        <v>31524.1</v>
      </c>
      <c r="O1534">
        <v>31.524000000000001</v>
      </c>
      <c r="P1534" s="2">
        <v>42248</v>
      </c>
      <c r="Q1534">
        <v>1</v>
      </c>
      <c r="R1534" s="1" t="s">
        <v>24</v>
      </c>
    </row>
    <row r="1535" spans="1:18" x14ac:dyDescent="0.25">
      <c r="A1535">
        <v>2015</v>
      </c>
      <c r="B1535">
        <v>10</v>
      </c>
      <c r="C1535" s="1" t="s">
        <v>33</v>
      </c>
      <c r="D1535" s="1" t="s">
        <v>19</v>
      </c>
      <c r="E1535" s="1" t="s">
        <v>36</v>
      </c>
      <c r="F1535">
        <v>2000</v>
      </c>
      <c r="G1535">
        <v>15</v>
      </c>
      <c r="H1535" s="1" t="s">
        <v>21</v>
      </c>
      <c r="I1535">
        <v>24</v>
      </c>
      <c r="J1535">
        <v>1675</v>
      </c>
      <c r="K1535" s="1" t="s">
        <v>37</v>
      </c>
      <c r="L1535" s="1" t="s">
        <v>23</v>
      </c>
      <c r="M1535">
        <v>1.292</v>
      </c>
      <c r="N1535">
        <v>31010</v>
      </c>
      <c r="O1535">
        <v>31.01</v>
      </c>
      <c r="P1535" s="2">
        <v>42278</v>
      </c>
      <c r="Q1535">
        <v>1</v>
      </c>
      <c r="R1535" s="1" t="s">
        <v>24</v>
      </c>
    </row>
    <row r="1536" spans="1:18" x14ac:dyDescent="0.25">
      <c r="A1536">
        <v>2015</v>
      </c>
      <c r="B1536">
        <v>11</v>
      </c>
      <c r="C1536" s="1" t="s">
        <v>34</v>
      </c>
      <c r="D1536" s="1" t="s">
        <v>19</v>
      </c>
      <c r="E1536" s="1" t="s">
        <v>36</v>
      </c>
      <c r="F1536">
        <v>2000</v>
      </c>
      <c r="G1536">
        <v>15</v>
      </c>
      <c r="H1536" s="1" t="s">
        <v>21</v>
      </c>
      <c r="I1536">
        <v>24</v>
      </c>
      <c r="J1536">
        <v>1675</v>
      </c>
      <c r="K1536" s="1" t="s">
        <v>37</v>
      </c>
      <c r="L1536" s="1" t="s">
        <v>23</v>
      </c>
      <c r="M1536">
        <v>0.95699999999999996</v>
      </c>
      <c r="N1536">
        <v>22968.400000000001</v>
      </c>
      <c r="O1536">
        <v>22.968</v>
      </c>
      <c r="P1536" s="2">
        <v>42309</v>
      </c>
      <c r="Q1536">
        <v>1</v>
      </c>
      <c r="R1536" s="1" t="s">
        <v>24</v>
      </c>
    </row>
    <row r="1537" spans="1:18" x14ac:dyDescent="0.25">
      <c r="A1537">
        <v>2015</v>
      </c>
      <c r="B1537">
        <v>12</v>
      </c>
      <c r="C1537" s="1" t="s">
        <v>35</v>
      </c>
      <c r="D1537" s="1" t="s">
        <v>19</v>
      </c>
      <c r="E1537" s="1" t="s">
        <v>36</v>
      </c>
      <c r="F1537">
        <v>2000</v>
      </c>
      <c r="G1537">
        <v>15</v>
      </c>
      <c r="H1537" s="1" t="s">
        <v>21</v>
      </c>
      <c r="I1537">
        <v>24</v>
      </c>
      <c r="J1537">
        <v>1675</v>
      </c>
      <c r="K1537" s="1" t="s">
        <v>37</v>
      </c>
      <c r="L1537" s="1" t="s">
        <v>23</v>
      </c>
      <c r="M1537">
        <v>0.94699999999999995</v>
      </c>
      <c r="N1537">
        <v>22729.7</v>
      </c>
      <c r="O1537">
        <v>22.73</v>
      </c>
      <c r="P1537" s="2">
        <v>42339</v>
      </c>
      <c r="Q1537">
        <v>1</v>
      </c>
      <c r="R1537" s="1" t="s">
        <v>24</v>
      </c>
    </row>
    <row r="1538" spans="1:18" x14ac:dyDescent="0.25">
      <c r="A1538">
        <v>2015</v>
      </c>
      <c r="B1538">
        <v>1</v>
      </c>
      <c r="C1538" s="1" t="s">
        <v>18</v>
      </c>
      <c r="D1538" s="1" t="s">
        <v>19</v>
      </c>
      <c r="E1538" s="1" t="s">
        <v>38</v>
      </c>
      <c r="F1538">
        <v>2005</v>
      </c>
      <c r="G1538">
        <v>10</v>
      </c>
      <c r="H1538" s="1" t="s">
        <v>21</v>
      </c>
      <c r="I1538">
        <v>18</v>
      </c>
      <c r="J1538">
        <v>1922</v>
      </c>
      <c r="K1538" s="1" t="s">
        <v>39</v>
      </c>
      <c r="L1538" s="1" t="s">
        <v>23</v>
      </c>
      <c r="M1538">
        <v>0.69799999999999995</v>
      </c>
      <c r="N1538">
        <v>12569.9</v>
      </c>
      <c r="O1538">
        <v>12.57</v>
      </c>
      <c r="P1538" s="2">
        <v>42005</v>
      </c>
      <c r="Q1538">
        <v>1</v>
      </c>
      <c r="R1538" s="1" t="s">
        <v>40</v>
      </c>
    </row>
    <row r="1539" spans="1:18" x14ac:dyDescent="0.25">
      <c r="A1539">
        <v>2015</v>
      </c>
      <c r="B1539">
        <v>2</v>
      </c>
      <c r="C1539" s="1" t="s">
        <v>25</v>
      </c>
      <c r="D1539" s="1" t="s">
        <v>19</v>
      </c>
      <c r="E1539" s="1" t="s">
        <v>38</v>
      </c>
      <c r="F1539">
        <v>2005</v>
      </c>
      <c r="G1539">
        <v>10</v>
      </c>
      <c r="H1539" s="1" t="s">
        <v>21</v>
      </c>
      <c r="I1539">
        <v>18</v>
      </c>
      <c r="J1539">
        <v>1922</v>
      </c>
      <c r="K1539" s="1" t="s">
        <v>39</v>
      </c>
      <c r="L1539" s="1" t="s">
        <v>23</v>
      </c>
      <c r="M1539">
        <v>0.73899999999999999</v>
      </c>
      <c r="N1539">
        <v>13305</v>
      </c>
      <c r="O1539">
        <v>13.305</v>
      </c>
      <c r="P1539" s="2">
        <v>42036</v>
      </c>
      <c r="Q1539">
        <v>1</v>
      </c>
      <c r="R1539" s="1" t="s">
        <v>40</v>
      </c>
    </row>
    <row r="1540" spans="1:18" x14ac:dyDescent="0.25">
      <c r="A1540">
        <v>2015</v>
      </c>
      <c r="B1540">
        <v>3</v>
      </c>
      <c r="C1540" s="1" t="s">
        <v>26</v>
      </c>
      <c r="D1540" s="1" t="s">
        <v>19</v>
      </c>
      <c r="E1540" s="1" t="s">
        <v>38</v>
      </c>
      <c r="F1540">
        <v>2005</v>
      </c>
      <c r="G1540">
        <v>10</v>
      </c>
      <c r="H1540" s="1" t="s">
        <v>21</v>
      </c>
      <c r="I1540">
        <v>18</v>
      </c>
      <c r="J1540">
        <v>1922</v>
      </c>
      <c r="K1540" s="1" t="s">
        <v>39</v>
      </c>
      <c r="L1540" s="1" t="s">
        <v>23</v>
      </c>
      <c r="M1540">
        <v>1.008</v>
      </c>
      <c r="N1540">
        <v>18148.5</v>
      </c>
      <c r="O1540">
        <v>18.148</v>
      </c>
      <c r="P1540" s="2">
        <v>42064</v>
      </c>
      <c r="Q1540">
        <v>1</v>
      </c>
      <c r="R1540" s="1" t="s">
        <v>40</v>
      </c>
    </row>
    <row r="1541" spans="1:18" x14ac:dyDescent="0.25">
      <c r="A1541">
        <v>2015</v>
      </c>
      <c r="B1541">
        <v>4</v>
      </c>
      <c r="C1541" s="1" t="s">
        <v>27</v>
      </c>
      <c r="D1541" s="1" t="s">
        <v>19</v>
      </c>
      <c r="E1541" s="1" t="s">
        <v>38</v>
      </c>
      <c r="F1541">
        <v>2005</v>
      </c>
      <c r="G1541">
        <v>10</v>
      </c>
      <c r="H1541" s="1" t="s">
        <v>21</v>
      </c>
      <c r="I1541">
        <v>18</v>
      </c>
      <c r="J1541">
        <v>1922</v>
      </c>
      <c r="K1541" s="1" t="s">
        <v>39</v>
      </c>
      <c r="L1541" s="1" t="s">
        <v>23</v>
      </c>
      <c r="M1541">
        <v>0.91100000000000003</v>
      </c>
      <c r="N1541">
        <v>16389.900000000001</v>
      </c>
      <c r="O1541">
        <v>16.39</v>
      </c>
      <c r="P1541" s="2">
        <v>42095</v>
      </c>
      <c r="Q1541">
        <v>1</v>
      </c>
      <c r="R1541" s="1" t="s">
        <v>40</v>
      </c>
    </row>
    <row r="1542" spans="1:18" x14ac:dyDescent="0.25">
      <c r="A1542">
        <v>2015</v>
      </c>
      <c r="B1542">
        <v>5</v>
      </c>
      <c r="C1542" s="1" t="s">
        <v>28</v>
      </c>
      <c r="D1542" s="1" t="s">
        <v>19</v>
      </c>
      <c r="E1542" s="1" t="s">
        <v>38</v>
      </c>
      <c r="F1542">
        <v>2005</v>
      </c>
      <c r="G1542">
        <v>10</v>
      </c>
      <c r="H1542" s="1" t="s">
        <v>21</v>
      </c>
      <c r="I1542">
        <v>18</v>
      </c>
      <c r="J1542">
        <v>1922</v>
      </c>
      <c r="K1542" s="1" t="s">
        <v>39</v>
      </c>
      <c r="L1542" s="1" t="s">
        <v>23</v>
      </c>
      <c r="M1542">
        <v>0.999</v>
      </c>
      <c r="N1542">
        <v>17975.5</v>
      </c>
      <c r="O1542">
        <v>17.975999999999999</v>
      </c>
      <c r="P1542" s="2">
        <v>42125</v>
      </c>
      <c r="Q1542">
        <v>1</v>
      </c>
      <c r="R1542" s="1" t="s">
        <v>40</v>
      </c>
    </row>
    <row r="1543" spans="1:18" x14ac:dyDescent="0.25">
      <c r="A1543">
        <v>2015</v>
      </c>
      <c r="B1543">
        <v>6</v>
      </c>
      <c r="C1543" s="1" t="s">
        <v>29</v>
      </c>
      <c r="D1543" s="1" t="s">
        <v>19</v>
      </c>
      <c r="E1543" s="1" t="s">
        <v>38</v>
      </c>
      <c r="F1543">
        <v>2005</v>
      </c>
      <c r="G1543">
        <v>10</v>
      </c>
      <c r="H1543" s="1" t="s">
        <v>21</v>
      </c>
      <c r="I1543">
        <v>18</v>
      </c>
      <c r="J1543">
        <v>1922</v>
      </c>
      <c r="K1543" s="1" t="s">
        <v>39</v>
      </c>
      <c r="L1543" s="1" t="s">
        <v>23</v>
      </c>
      <c r="M1543">
        <v>1.373</v>
      </c>
      <c r="N1543">
        <v>24707.3</v>
      </c>
      <c r="O1543">
        <v>24.707000000000001</v>
      </c>
      <c r="P1543" s="2">
        <v>42156</v>
      </c>
      <c r="Q1543">
        <v>1</v>
      </c>
      <c r="R1543" s="1" t="s">
        <v>40</v>
      </c>
    </row>
    <row r="1544" spans="1:18" x14ac:dyDescent="0.25">
      <c r="A1544">
        <v>2015</v>
      </c>
      <c r="B1544">
        <v>7</v>
      </c>
      <c r="C1544" s="1" t="s">
        <v>30</v>
      </c>
      <c r="D1544" s="1" t="s">
        <v>19</v>
      </c>
      <c r="E1544" s="1" t="s">
        <v>38</v>
      </c>
      <c r="F1544">
        <v>2005</v>
      </c>
      <c r="G1544">
        <v>10</v>
      </c>
      <c r="H1544" s="1" t="s">
        <v>21</v>
      </c>
      <c r="I1544">
        <v>18</v>
      </c>
      <c r="J1544">
        <v>1922</v>
      </c>
      <c r="K1544" s="1" t="s">
        <v>39</v>
      </c>
      <c r="L1544" s="1" t="s">
        <v>23</v>
      </c>
      <c r="M1544">
        <v>1.6020000000000001</v>
      </c>
      <c r="N1544">
        <v>28844.400000000001</v>
      </c>
      <c r="O1544">
        <v>28.844000000000001</v>
      </c>
      <c r="P1544" s="2">
        <v>42186</v>
      </c>
      <c r="Q1544">
        <v>1</v>
      </c>
      <c r="R1544" s="1" t="s">
        <v>40</v>
      </c>
    </row>
    <row r="1545" spans="1:18" x14ac:dyDescent="0.25">
      <c r="A1545">
        <v>2015</v>
      </c>
      <c r="B1545">
        <v>8</v>
      </c>
      <c r="C1545" s="1" t="s">
        <v>31</v>
      </c>
      <c r="D1545" s="1" t="s">
        <v>19</v>
      </c>
      <c r="E1545" s="1" t="s">
        <v>38</v>
      </c>
      <c r="F1545">
        <v>2005</v>
      </c>
      <c r="G1545">
        <v>10</v>
      </c>
      <c r="H1545" s="1" t="s">
        <v>21</v>
      </c>
      <c r="I1545">
        <v>18</v>
      </c>
      <c r="J1545">
        <v>1922</v>
      </c>
      <c r="K1545" s="1" t="s">
        <v>39</v>
      </c>
      <c r="L1545" s="1" t="s">
        <v>23</v>
      </c>
      <c r="M1545">
        <v>1.756</v>
      </c>
      <c r="N1545">
        <v>31612.1</v>
      </c>
      <c r="O1545">
        <v>31.611999999999998</v>
      </c>
      <c r="P1545" s="2">
        <v>42217</v>
      </c>
      <c r="Q1545">
        <v>1</v>
      </c>
      <c r="R1545" s="1" t="s">
        <v>40</v>
      </c>
    </row>
    <row r="1546" spans="1:18" x14ac:dyDescent="0.25">
      <c r="A1546">
        <v>2015</v>
      </c>
      <c r="B1546">
        <v>9</v>
      </c>
      <c r="C1546" s="1" t="s">
        <v>32</v>
      </c>
      <c r="D1546" s="1" t="s">
        <v>19</v>
      </c>
      <c r="E1546" s="1" t="s">
        <v>38</v>
      </c>
      <c r="F1546">
        <v>2005</v>
      </c>
      <c r="G1546">
        <v>10</v>
      </c>
      <c r="H1546" s="1" t="s">
        <v>21</v>
      </c>
      <c r="I1546">
        <v>18</v>
      </c>
      <c r="J1546">
        <v>1922</v>
      </c>
      <c r="K1546" s="1" t="s">
        <v>39</v>
      </c>
      <c r="L1546" s="1" t="s">
        <v>23</v>
      </c>
      <c r="M1546">
        <v>1.375</v>
      </c>
      <c r="N1546">
        <v>24750.6</v>
      </c>
      <c r="O1546">
        <v>24.751000000000001</v>
      </c>
      <c r="P1546" s="2">
        <v>42248</v>
      </c>
      <c r="Q1546">
        <v>1</v>
      </c>
      <c r="R1546" s="1" t="s">
        <v>40</v>
      </c>
    </row>
    <row r="1547" spans="1:18" x14ac:dyDescent="0.25">
      <c r="A1547">
        <v>2015</v>
      </c>
      <c r="B1547">
        <v>10</v>
      </c>
      <c r="C1547" s="1" t="s">
        <v>33</v>
      </c>
      <c r="D1547" s="1" t="s">
        <v>19</v>
      </c>
      <c r="E1547" s="1" t="s">
        <v>38</v>
      </c>
      <c r="F1547">
        <v>2005</v>
      </c>
      <c r="G1547">
        <v>10</v>
      </c>
      <c r="H1547" s="1" t="s">
        <v>21</v>
      </c>
      <c r="I1547">
        <v>18</v>
      </c>
      <c r="J1547">
        <v>1922</v>
      </c>
      <c r="K1547" s="1" t="s">
        <v>39</v>
      </c>
      <c r="L1547" s="1" t="s">
        <v>23</v>
      </c>
      <c r="M1547">
        <v>1.353</v>
      </c>
      <c r="N1547">
        <v>24346.9</v>
      </c>
      <c r="O1547">
        <v>24.347000000000001</v>
      </c>
      <c r="P1547" s="2">
        <v>42278</v>
      </c>
      <c r="Q1547">
        <v>1</v>
      </c>
      <c r="R1547" s="1" t="s">
        <v>40</v>
      </c>
    </row>
    <row r="1548" spans="1:18" x14ac:dyDescent="0.25">
      <c r="A1548">
        <v>2015</v>
      </c>
      <c r="B1548">
        <v>11</v>
      </c>
      <c r="C1548" s="1" t="s">
        <v>34</v>
      </c>
      <c r="D1548" s="1" t="s">
        <v>19</v>
      </c>
      <c r="E1548" s="1" t="s">
        <v>38</v>
      </c>
      <c r="F1548">
        <v>2005</v>
      </c>
      <c r="G1548">
        <v>10</v>
      </c>
      <c r="H1548" s="1" t="s">
        <v>21</v>
      </c>
      <c r="I1548">
        <v>18</v>
      </c>
      <c r="J1548">
        <v>1922</v>
      </c>
      <c r="K1548" s="1" t="s">
        <v>39</v>
      </c>
      <c r="L1548" s="1" t="s">
        <v>23</v>
      </c>
      <c r="M1548">
        <v>1.002</v>
      </c>
      <c r="N1548">
        <v>18033.2</v>
      </c>
      <c r="O1548">
        <v>18.033000000000001</v>
      </c>
      <c r="P1548" s="2">
        <v>42309</v>
      </c>
      <c r="Q1548">
        <v>1</v>
      </c>
      <c r="R1548" s="1" t="s">
        <v>40</v>
      </c>
    </row>
    <row r="1549" spans="1:18" x14ac:dyDescent="0.25">
      <c r="A1549">
        <v>2015</v>
      </c>
      <c r="B1549">
        <v>12</v>
      </c>
      <c r="C1549" s="1" t="s">
        <v>35</v>
      </c>
      <c r="D1549" s="1" t="s">
        <v>19</v>
      </c>
      <c r="E1549" s="1" t="s">
        <v>38</v>
      </c>
      <c r="F1549">
        <v>2005</v>
      </c>
      <c r="G1549">
        <v>10</v>
      </c>
      <c r="H1549" s="1" t="s">
        <v>21</v>
      </c>
      <c r="I1549">
        <v>18</v>
      </c>
      <c r="J1549">
        <v>1922</v>
      </c>
      <c r="K1549" s="1" t="s">
        <v>39</v>
      </c>
      <c r="L1549" s="1" t="s">
        <v>23</v>
      </c>
      <c r="M1549">
        <v>0.99099999999999999</v>
      </c>
      <c r="N1549">
        <v>17845.8</v>
      </c>
      <c r="O1549">
        <v>17.846</v>
      </c>
      <c r="P1549" s="2">
        <v>42339</v>
      </c>
      <c r="Q1549">
        <v>1</v>
      </c>
      <c r="R1549" s="1" t="s">
        <v>40</v>
      </c>
    </row>
    <row r="1550" spans="1:18" x14ac:dyDescent="0.25">
      <c r="A1550">
        <v>2015</v>
      </c>
      <c r="B1550">
        <v>1</v>
      </c>
      <c r="C1550" s="1" t="s">
        <v>18</v>
      </c>
      <c r="D1550" s="1" t="s">
        <v>19</v>
      </c>
      <c r="E1550" s="1" t="s">
        <v>41</v>
      </c>
      <c r="F1550">
        <v>2005</v>
      </c>
      <c r="G1550">
        <v>10</v>
      </c>
      <c r="H1550" s="1" t="s">
        <v>21</v>
      </c>
      <c r="I1550">
        <v>26</v>
      </c>
      <c r="J1550">
        <v>2827</v>
      </c>
      <c r="K1550" s="1" t="s">
        <v>42</v>
      </c>
      <c r="L1550" s="1" t="s">
        <v>23</v>
      </c>
      <c r="M1550">
        <v>0.71099999999999997</v>
      </c>
      <c r="N1550">
        <v>18488.599999999999</v>
      </c>
      <c r="O1550">
        <v>18.489000000000001</v>
      </c>
      <c r="P1550" s="2">
        <v>42005</v>
      </c>
      <c r="Q1550">
        <v>1</v>
      </c>
      <c r="R1550" s="1" t="s">
        <v>40</v>
      </c>
    </row>
    <row r="1551" spans="1:18" x14ac:dyDescent="0.25">
      <c r="A1551">
        <v>2015</v>
      </c>
      <c r="B1551">
        <v>2</v>
      </c>
      <c r="C1551" s="1" t="s">
        <v>25</v>
      </c>
      <c r="D1551" s="1" t="s">
        <v>19</v>
      </c>
      <c r="E1551" s="1" t="s">
        <v>41</v>
      </c>
      <c r="F1551">
        <v>2005</v>
      </c>
      <c r="G1551">
        <v>10</v>
      </c>
      <c r="H1551" s="1" t="s">
        <v>21</v>
      </c>
      <c r="I1551">
        <v>26</v>
      </c>
      <c r="J1551">
        <v>2827</v>
      </c>
      <c r="K1551" s="1" t="s">
        <v>42</v>
      </c>
      <c r="L1551" s="1" t="s">
        <v>23</v>
      </c>
      <c r="M1551">
        <v>0.753</v>
      </c>
      <c r="N1551">
        <v>19569.900000000001</v>
      </c>
      <c r="O1551">
        <v>19.57</v>
      </c>
      <c r="P1551" s="2">
        <v>42036</v>
      </c>
      <c r="Q1551">
        <v>1</v>
      </c>
      <c r="R1551" s="1" t="s">
        <v>40</v>
      </c>
    </row>
    <row r="1552" spans="1:18" x14ac:dyDescent="0.25">
      <c r="A1552">
        <v>2015</v>
      </c>
      <c r="B1552">
        <v>3</v>
      </c>
      <c r="C1552" s="1" t="s">
        <v>26</v>
      </c>
      <c r="D1552" s="1" t="s">
        <v>19</v>
      </c>
      <c r="E1552" s="1" t="s">
        <v>41</v>
      </c>
      <c r="F1552">
        <v>2005</v>
      </c>
      <c r="G1552">
        <v>10</v>
      </c>
      <c r="H1552" s="1" t="s">
        <v>21</v>
      </c>
      <c r="I1552">
        <v>26</v>
      </c>
      <c r="J1552">
        <v>2827</v>
      </c>
      <c r="K1552" s="1" t="s">
        <v>42</v>
      </c>
      <c r="L1552" s="1" t="s">
        <v>23</v>
      </c>
      <c r="M1552">
        <v>1.0269999999999999</v>
      </c>
      <c r="N1552">
        <v>26693.9</v>
      </c>
      <c r="O1552">
        <v>26.693999999999999</v>
      </c>
      <c r="P1552" s="2">
        <v>42064</v>
      </c>
      <c r="Q1552">
        <v>1</v>
      </c>
      <c r="R1552" s="1" t="s">
        <v>40</v>
      </c>
    </row>
    <row r="1553" spans="1:18" x14ac:dyDescent="0.25">
      <c r="A1553">
        <v>2015</v>
      </c>
      <c r="B1553">
        <v>4</v>
      </c>
      <c r="C1553" s="1" t="s">
        <v>27</v>
      </c>
      <c r="D1553" s="1" t="s">
        <v>19</v>
      </c>
      <c r="E1553" s="1" t="s">
        <v>41</v>
      </c>
      <c r="F1553">
        <v>2005</v>
      </c>
      <c r="G1553">
        <v>10</v>
      </c>
      <c r="H1553" s="1" t="s">
        <v>21</v>
      </c>
      <c r="I1553">
        <v>26</v>
      </c>
      <c r="J1553">
        <v>2827</v>
      </c>
      <c r="K1553" s="1" t="s">
        <v>42</v>
      </c>
      <c r="L1553" s="1" t="s">
        <v>23</v>
      </c>
      <c r="M1553">
        <v>0.92700000000000005</v>
      </c>
      <c r="N1553">
        <v>24107.200000000001</v>
      </c>
      <c r="O1553">
        <v>24.106999999999999</v>
      </c>
      <c r="P1553" s="2">
        <v>42095</v>
      </c>
      <c r="Q1553">
        <v>1</v>
      </c>
      <c r="R1553" s="1" t="s">
        <v>40</v>
      </c>
    </row>
    <row r="1554" spans="1:18" x14ac:dyDescent="0.25">
      <c r="A1554">
        <v>2015</v>
      </c>
      <c r="B1554">
        <v>5</v>
      </c>
      <c r="C1554" s="1" t="s">
        <v>28</v>
      </c>
      <c r="D1554" s="1" t="s">
        <v>19</v>
      </c>
      <c r="E1554" s="1" t="s">
        <v>41</v>
      </c>
      <c r="F1554">
        <v>2005</v>
      </c>
      <c r="G1554">
        <v>10</v>
      </c>
      <c r="H1554" s="1" t="s">
        <v>21</v>
      </c>
      <c r="I1554">
        <v>26</v>
      </c>
      <c r="J1554">
        <v>2827</v>
      </c>
      <c r="K1554" s="1" t="s">
        <v>42</v>
      </c>
      <c r="L1554" s="1" t="s">
        <v>23</v>
      </c>
      <c r="M1554">
        <v>1.0169999999999999</v>
      </c>
      <c r="N1554">
        <v>26439.5</v>
      </c>
      <c r="O1554">
        <v>26.44</v>
      </c>
      <c r="P1554" s="2">
        <v>42125</v>
      </c>
      <c r="Q1554">
        <v>1</v>
      </c>
      <c r="R1554" s="1" t="s">
        <v>40</v>
      </c>
    </row>
    <row r="1555" spans="1:18" x14ac:dyDescent="0.25">
      <c r="A1555">
        <v>2015</v>
      </c>
      <c r="B1555">
        <v>6</v>
      </c>
      <c r="C1555" s="1" t="s">
        <v>29</v>
      </c>
      <c r="D1555" s="1" t="s">
        <v>19</v>
      </c>
      <c r="E1555" s="1" t="s">
        <v>41</v>
      </c>
      <c r="F1555">
        <v>2005</v>
      </c>
      <c r="G1555">
        <v>10</v>
      </c>
      <c r="H1555" s="1" t="s">
        <v>21</v>
      </c>
      <c r="I1555">
        <v>26</v>
      </c>
      <c r="J1555">
        <v>2827</v>
      </c>
      <c r="K1555" s="1" t="s">
        <v>42</v>
      </c>
      <c r="L1555" s="1" t="s">
        <v>23</v>
      </c>
      <c r="M1555">
        <v>1.3979999999999999</v>
      </c>
      <c r="N1555">
        <v>36341.1</v>
      </c>
      <c r="O1555">
        <v>36.341000000000001</v>
      </c>
      <c r="P1555" s="2">
        <v>42156</v>
      </c>
      <c r="Q1555">
        <v>1</v>
      </c>
      <c r="R1555" s="1" t="s">
        <v>40</v>
      </c>
    </row>
    <row r="1556" spans="1:18" x14ac:dyDescent="0.25">
      <c r="A1556">
        <v>2015</v>
      </c>
      <c r="B1556">
        <v>7</v>
      </c>
      <c r="C1556" s="1" t="s">
        <v>30</v>
      </c>
      <c r="D1556" s="1" t="s">
        <v>19</v>
      </c>
      <c r="E1556" s="1" t="s">
        <v>41</v>
      </c>
      <c r="F1556">
        <v>2005</v>
      </c>
      <c r="G1556">
        <v>10</v>
      </c>
      <c r="H1556" s="1" t="s">
        <v>21</v>
      </c>
      <c r="I1556">
        <v>26</v>
      </c>
      <c r="J1556">
        <v>2827</v>
      </c>
      <c r="K1556" s="1" t="s">
        <v>42</v>
      </c>
      <c r="L1556" s="1" t="s">
        <v>23</v>
      </c>
      <c r="M1556">
        <v>1.6319999999999999</v>
      </c>
      <c r="N1556">
        <v>42426.2</v>
      </c>
      <c r="O1556">
        <v>42.426000000000002</v>
      </c>
      <c r="P1556" s="2">
        <v>42186</v>
      </c>
      <c r="Q1556">
        <v>1</v>
      </c>
      <c r="R1556" s="1" t="s">
        <v>40</v>
      </c>
    </row>
    <row r="1557" spans="1:18" x14ac:dyDescent="0.25">
      <c r="A1557">
        <v>2015</v>
      </c>
      <c r="B1557">
        <v>8</v>
      </c>
      <c r="C1557" s="1" t="s">
        <v>31</v>
      </c>
      <c r="D1557" s="1" t="s">
        <v>19</v>
      </c>
      <c r="E1557" s="1" t="s">
        <v>41</v>
      </c>
      <c r="F1557">
        <v>2005</v>
      </c>
      <c r="G1557">
        <v>10</v>
      </c>
      <c r="H1557" s="1" t="s">
        <v>21</v>
      </c>
      <c r="I1557">
        <v>26</v>
      </c>
      <c r="J1557">
        <v>2827</v>
      </c>
      <c r="K1557" s="1" t="s">
        <v>42</v>
      </c>
      <c r="L1557" s="1" t="s">
        <v>23</v>
      </c>
      <c r="M1557">
        <v>1.788</v>
      </c>
      <c r="N1557">
        <v>46497.1</v>
      </c>
      <c r="O1557">
        <v>46.497</v>
      </c>
      <c r="P1557" s="2">
        <v>42217</v>
      </c>
      <c r="Q1557">
        <v>1</v>
      </c>
      <c r="R1557" s="1" t="s">
        <v>40</v>
      </c>
    </row>
    <row r="1558" spans="1:18" x14ac:dyDescent="0.25">
      <c r="A1558">
        <v>2015</v>
      </c>
      <c r="B1558">
        <v>9</v>
      </c>
      <c r="C1558" s="1" t="s">
        <v>32</v>
      </c>
      <c r="D1558" s="1" t="s">
        <v>19</v>
      </c>
      <c r="E1558" s="1" t="s">
        <v>41</v>
      </c>
      <c r="F1558">
        <v>2005</v>
      </c>
      <c r="G1558">
        <v>10</v>
      </c>
      <c r="H1558" s="1" t="s">
        <v>21</v>
      </c>
      <c r="I1558">
        <v>26</v>
      </c>
      <c r="J1558">
        <v>2827</v>
      </c>
      <c r="K1558" s="1" t="s">
        <v>42</v>
      </c>
      <c r="L1558" s="1" t="s">
        <v>23</v>
      </c>
      <c r="M1558">
        <v>1.4</v>
      </c>
      <c r="N1558">
        <v>36404.699999999997</v>
      </c>
      <c r="O1558">
        <v>36.405000000000001</v>
      </c>
      <c r="P1558" s="2">
        <v>42248</v>
      </c>
      <c r="Q1558">
        <v>1</v>
      </c>
      <c r="R1558" s="1" t="s">
        <v>40</v>
      </c>
    </row>
    <row r="1559" spans="1:18" x14ac:dyDescent="0.25">
      <c r="A1559">
        <v>2015</v>
      </c>
      <c r="B1559">
        <v>10</v>
      </c>
      <c r="C1559" s="1" t="s">
        <v>33</v>
      </c>
      <c r="D1559" s="1" t="s">
        <v>19</v>
      </c>
      <c r="E1559" s="1" t="s">
        <v>41</v>
      </c>
      <c r="F1559">
        <v>2005</v>
      </c>
      <c r="G1559">
        <v>10</v>
      </c>
      <c r="H1559" s="1" t="s">
        <v>21</v>
      </c>
      <c r="I1559">
        <v>26</v>
      </c>
      <c r="J1559">
        <v>2827</v>
      </c>
      <c r="K1559" s="1" t="s">
        <v>42</v>
      </c>
      <c r="L1559" s="1" t="s">
        <v>23</v>
      </c>
      <c r="M1559">
        <v>1.377</v>
      </c>
      <c r="N1559">
        <v>35811</v>
      </c>
      <c r="O1559">
        <v>35.811</v>
      </c>
      <c r="P1559" s="2">
        <v>42278</v>
      </c>
      <c r="Q1559">
        <v>1</v>
      </c>
      <c r="R1559" s="1" t="s">
        <v>40</v>
      </c>
    </row>
    <row r="1560" spans="1:18" x14ac:dyDescent="0.25">
      <c r="A1560">
        <v>2015</v>
      </c>
      <c r="B1560">
        <v>11</v>
      </c>
      <c r="C1560" s="1" t="s">
        <v>34</v>
      </c>
      <c r="D1560" s="1" t="s">
        <v>19</v>
      </c>
      <c r="E1560" s="1" t="s">
        <v>41</v>
      </c>
      <c r="F1560">
        <v>2005</v>
      </c>
      <c r="G1560">
        <v>10</v>
      </c>
      <c r="H1560" s="1" t="s">
        <v>21</v>
      </c>
      <c r="I1560">
        <v>26</v>
      </c>
      <c r="J1560">
        <v>2827</v>
      </c>
      <c r="K1560" s="1" t="s">
        <v>42</v>
      </c>
      <c r="L1560" s="1" t="s">
        <v>23</v>
      </c>
      <c r="M1560">
        <v>1.02</v>
      </c>
      <c r="N1560">
        <v>26524.3</v>
      </c>
      <c r="O1560">
        <v>26.524000000000001</v>
      </c>
      <c r="P1560" s="2">
        <v>42309</v>
      </c>
      <c r="Q1560">
        <v>1</v>
      </c>
      <c r="R1560" s="1" t="s">
        <v>40</v>
      </c>
    </row>
    <row r="1561" spans="1:18" x14ac:dyDescent="0.25">
      <c r="A1561">
        <v>2015</v>
      </c>
      <c r="B1561">
        <v>12</v>
      </c>
      <c r="C1561" s="1" t="s">
        <v>35</v>
      </c>
      <c r="D1561" s="1" t="s">
        <v>19</v>
      </c>
      <c r="E1561" s="1" t="s">
        <v>41</v>
      </c>
      <c r="F1561">
        <v>2005</v>
      </c>
      <c r="G1561">
        <v>10</v>
      </c>
      <c r="H1561" s="1" t="s">
        <v>21</v>
      </c>
      <c r="I1561">
        <v>26</v>
      </c>
      <c r="J1561">
        <v>2827</v>
      </c>
      <c r="K1561" s="1" t="s">
        <v>42</v>
      </c>
      <c r="L1561" s="1" t="s">
        <v>23</v>
      </c>
      <c r="M1561">
        <v>1.01</v>
      </c>
      <c r="N1561">
        <v>26248.7</v>
      </c>
      <c r="O1561">
        <v>26.248999999999999</v>
      </c>
      <c r="P1561" s="2">
        <v>42339</v>
      </c>
      <c r="Q1561">
        <v>1</v>
      </c>
      <c r="R1561" s="1" t="s">
        <v>40</v>
      </c>
    </row>
    <row r="1562" spans="1:18" x14ac:dyDescent="0.25">
      <c r="A1562">
        <v>2015</v>
      </c>
      <c r="B1562">
        <v>1</v>
      </c>
      <c r="C1562" s="1" t="s">
        <v>18</v>
      </c>
      <c r="D1562" s="1" t="s">
        <v>19</v>
      </c>
      <c r="E1562" s="1" t="s">
        <v>43</v>
      </c>
      <c r="F1562">
        <v>2005</v>
      </c>
      <c r="G1562">
        <v>10</v>
      </c>
      <c r="H1562" s="1" t="s">
        <v>21</v>
      </c>
      <c r="I1562">
        <v>24</v>
      </c>
      <c r="J1562">
        <v>1947</v>
      </c>
      <c r="K1562" s="1" t="s">
        <v>44</v>
      </c>
      <c r="L1562" s="1" t="s">
        <v>45</v>
      </c>
      <c r="M1562">
        <v>0.66700000000000004</v>
      </c>
      <c r="N1562">
        <v>16009.9</v>
      </c>
      <c r="O1562">
        <v>16.010000000000002</v>
      </c>
      <c r="P1562" s="2">
        <v>42005</v>
      </c>
      <c r="Q1562">
        <v>1</v>
      </c>
      <c r="R1562" s="1" t="s">
        <v>40</v>
      </c>
    </row>
    <row r="1563" spans="1:18" x14ac:dyDescent="0.25">
      <c r="A1563">
        <v>2015</v>
      </c>
      <c r="B1563">
        <v>2</v>
      </c>
      <c r="C1563" s="1" t="s">
        <v>25</v>
      </c>
      <c r="D1563" s="1" t="s">
        <v>19</v>
      </c>
      <c r="E1563" s="1" t="s">
        <v>43</v>
      </c>
      <c r="F1563">
        <v>2005</v>
      </c>
      <c r="G1563">
        <v>10</v>
      </c>
      <c r="H1563" s="1" t="s">
        <v>21</v>
      </c>
      <c r="I1563">
        <v>24</v>
      </c>
      <c r="J1563">
        <v>1947</v>
      </c>
      <c r="K1563" s="1" t="s">
        <v>44</v>
      </c>
      <c r="L1563" s="1" t="s">
        <v>45</v>
      </c>
      <c r="M1563">
        <v>0.70599999999999996</v>
      </c>
      <c r="N1563">
        <v>16946.3</v>
      </c>
      <c r="O1563">
        <v>16.946000000000002</v>
      </c>
      <c r="P1563" s="2">
        <v>42036</v>
      </c>
      <c r="Q1563">
        <v>1</v>
      </c>
      <c r="R1563" s="1" t="s">
        <v>40</v>
      </c>
    </row>
    <row r="1564" spans="1:18" x14ac:dyDescent="0.25">
      <c r="A1564">
        <v>2015</v>
      </c>
      <c r="B1564">
        <v>3</v>
      </c>
      <c r="C1564" s="1" t="s">
        <v>26</v>
      </c>
      <c r="D1564" s="1" t="s">
        <v>19</v>
      </c>
      <c r="E1564" s="1" t="s">
        <v>43</v>
      </c>
      <c r="F1564">
        <v>2005</v>
      </c>
      <c r="G1564">
        <v>10</v>
      </c>
      <c r="H1564" s="1" t="s">
        <v>21</v>
      </c>
      <c r="I1564">
        <v>24</v>
      </c>
      <c r="J1564">
        <v>1947</v>
      </c>
      <c r="K1564" s="1" t="s">
        <v>44</v>
      </c>
      <c r="L1564" s="1" t="s">
        <v>45</v>
      </c>
      <c r="M1564">
        <v>0.96299999999999997</v>
      </c>
      <c r="N1564">
        <v>23115.200000000001</v>
      </c>
      <c r="O1564">
        <v>23.114999999999998</v>
      </c>
      <c r="P1564" s="2">
        <v>42064</v>
      </c>
      <c r="Q1564">
        <v>1</v>
      </c>
      <c r="R1564" s="1" t="s">
        <v>40</v>
      </c>
    </row>
    <row r="1565" spans="1:18" x14ac:dyDescent="0.25">
      <c r="A1565">
        <v>2015</v>
      </c>
      <c r="B1565">
        <v>4</v>
      </c>
      <c r="C1565" s="1" t="s">
        <v>27</v>
      </c>
      <c r="D1565" s="1" t="s">
        <v>19</v>
      </c>
      <c r="E1565" s="1" t="s">
        <v>43</v>
      </c>
      <c r="F1565">
        <v>2005</v>
      </c>
      <c r="G1565">
        <v>10</v>
      </c>
      <c r="H1565" s="1" t="s">
        <v>21</v>
      </c>
      <c r="I1565">
        <v>24</v>
      </c>
      <c r="J1565">
        <v>1947</v>
      </c>
      <c r="K1565" s="1" t="s">
        <v>44</v>
      </c>
      <c r="L1565" s="1" t="s">
        <v>45</v>
      </c>
      <c r="M1565">
        <v>0.87</v>
      </c>
      <c r="N1565">
        <v>20875.3</v>
      </c>
      <c r="O1565">
        <v>20.875</v>
      </c>
      <c r="P1565" s="2">
        <v>42095</v>
      </c>
      <c r="Q1565">
        <v>1</v>
      </c>
      <c r="R1565" s="1" t="s">
        <v>40</v>
      </c>
    </row>
    <row r="1566" spans="1:18" x14ac:dyDescent="0.25">
      <c r="A1566">
        <v>2015</v>
      </c>
      <c r="B1566">
        <v>5</v>
      </c>
      <c r="C1566" s="1" t="s">
        <v>28</v>
      </c>
      <c r="D1566" s="1" t="s">
        <v>19</v>
      </c>
      <c r="E1566" s="1" t="s">
        <v>43</v>
      </c>
      <c r="F1566">
        <v>2005</v>
      </c>
      <c r="G1566">
        <v>10</v>
      </c>
      <c r="H1566" s="1" t="s">
        <v>21</v>
      </c>
      <c r="I1566">
        <v>24</v>
      </c>
      <c r="J1566">
        <v>1947</v>
      </c>
      <c r="K1566" s="1" t="s">
        <v>44</v>
      </c>
      <c r="L1566" s="1" t="s">
        <v>45</v>
      </c>
      <c r="M1566">
        <v>0.95399999999999996</v>
      </c>
      <c r="N1566">
        <v>22894.9</v>
      </c>
      <c r="O1566">
        <v>22.895</v>
      </c>
      <c r="P1566" s="2">
        <v>42125</v>
      </c>
      <c r="Q1566">
        <v>1</v>
      </c>
      <c r="R1566" s="1" t="s">
        <v>40</v>
      </c>
    </row>
    <row r="1567" spans="1:18" x14ac:dyDescent="0.25">
      <c r="A1567">
        <v>2015</v>
      </c>
      <c r="B1567">
        <v>6</v>
      </c>
      <c r="C1567" s="1" t="s">
        <v>29</v>
      </c>
      <c r="D1567" s="1" t="s">
        <v>19</v>
      </c>
      <c r="E1567" s="1" t="s">
        <v>43</v>
      </c>
      <c r="F1567">
        <v>2005</v>
      </c>
      <c r="G1567">
        <v>10</v>
      </c>
      <c r="H1567" s="1" t="s">
        <v>21</v>
      </c>
      <c r="I1567">
        <v>24</v>
      </c>
      <c r="J1567">
        <v>1947</v>
      </c>
      <c r="K1567" s="1" t="s">
        <v>44</v>
      </c>
      <c r="L1567" s="1" t="s">
        <v>45</v>
      </c>
      <c r="M1567">
        <v>1.3109999999999999</v>
      </c>
      <c r="N1567">
        <v>31469</v>
      </c>
      <c r="O1567">
        <v>31.469000000000001</v>
      </c>
      <c r="P1567" s="2">
        <v>42156</v>
      </c>
      <c r="Q1567">
        <v>1</v>
      </c>
      <c r="R1567" s="1" t="s">
        <v>40</v>
      </c>
    </row>
    <row r="1568" spans="1:18" x14ac:dyDescent="0.25">
      <c r="A1568">
        <v>2015</v>
      </c>
      <c r="B1568">
        <v>7</v>
      </c>
      <c r="C1568" s="1" t="s">
        <v>30</v>
      </c>
      <c r="D1568" s="1" t="s">
        <v>19</v>
      </c>
      <c r="E1568" s="1" t="s">
        <v>43</v>
      </c>
      <c r="F1568">
        <v>2005</v>
      </c>
      <c r="G1568">
        <v>10</v>
      </c>
      <c r="H1568" s="1" t="s">
        <v>21</v>
      </c>
      <c r="I1568">
        <v>24</v>
      </c>
      <c r="J1568">
        <v>1947</v>
      </c>
      <c r="K1568" s="1" t="s">
        <v>44</v>
      </c>
      <c r="L1568" s="1" t="s">
        <v>45</v>
      </c>
      <c r="M1568">
        <v>1.5309999999999999</v>
      </c>
      <c r="N1568">
        <v>36738.400000000001</v>
      </c>
      <c r="O1568">
        <v>36.738</v>
      </c>
      <c r="P1568" s="2">
        <v>42186</v>
      </c>
      <c r="Q1568">
        <v>1</v>
      </c>
      <c r="R1568" s="1" t="s">
        <v>40</v>
      </c>
    </row>
    <row r="1569" spans="1:18" x14ac:dyDescent="0.25">
      <c r="A1569">
        <v>2015</v>
      </c>
      <c r="B1569">
        <v>8</v>
      </c>
      <c r="C1569" s="1" t="s">
        <v>31</v>
      </c>
      <c r="D1569" s="1" t="s">
        <v>19</v>
      </c>
      <c r="E1569" s="1" t="s">
        <v>43</v>
      </c>
      <c r="F1569">
        <v>2005</v>
      </c>
      <c r="G1569">
        <v>10</v>
      </c>
      <c r="H1569" s="1" t="s">
        <v>21</v>
      </c>
      <c r="I1569">
        <v>24</v>
      </c>
      <c r="J1569">
        <v>1947</v>
      </c>
      <c r="K1569" s="1" t="s">
        <v>44</v>
      </c>
      <c r="L1569" s="1" t="s">
        <v>45</v>
      </c>
      <c r="M1569">
        <v>1.6779999999999999</v>
      </c>
      <c r="N1569">
        <v>40263.5</v>
      </c>
      <c r="O1569">
        <v>40.262999999999998</v>
      </c>
      <c r="P1569" s="2">
        <v>42217</v>
      </c>
      <c r="Q1569">
        <v>1</v>
      </c>
      <c r="R1569" s="1" t="s">
        <v>40</v>
      </c>
    </row>
    <row r="1570" spans="1:18" x14ac:dyDescent="0.25">
      <c r="A1570">
        <v>2015</v>
      </c>
      <c r="B1570">
        <v>9</v>
      </c>
      <c r="C1570" s="1" t="s">
        <v>32</v>
      </c>
      <c r="D1570" s="1" t="s">
        <v>19</v>
      </c>
      <c r="E1570" s="1" t="s">
        <v>43</v>
      </c>
      <c r="F1570">
        <v>2005</v>
      </c>
      <c r="G1570">
        <v>10</v>
      </c>
      <c r="H1570" s="1" t="s">
        <v>21</v>
      </c>
      <c r="I1570">
        <v>24</v>
      </c>
      <c r="J1570">
        <v>1947</v>
      </c>
      <c r="K1570" s="1" t="s">
        <v>44</v>
      </c>
      <c r="L1570" s="1" t="s">
        <v>45</v>
      </c>
      <c r="M1570">
        <v>1.3140000000000001</v>
      </c>
      <c r="N1570">
        <v>31524.1</v>
      </c>
      <c r="O1570">
        <v>31.524000000000001</v>
      </c>
      <c r="P1570" s="2">
        <v>42248</v>
      </c>
      <c r="Q1570">
        <v>1</v>
      </c>
      <c r="R1570" s="1" t="s">
        <v>40</v>
      </c>
    </row>
    <row r="1571" spans="1:18" x14ac:dyDescent="0.25">
      <c r="A1571">
        <v>2015</v>
      </c>
      <c r="B1571">
        <v>10</v>
      </c>
      <c r="C1571" s="1" t="s">
        <v>33</v>
      </c>
      <c r="D1571" s="1" t="s">
        <v>19</v>
      </c>
      <c r="E1571" s="1" t="s">
        <v>43</v>
      </c>
      <c r="F1571">
        <v>2005</v>
      </c>
      <c r="G1571">
        <v>10</v>
      </c>
      <c r="H1571" s="1" t="s">
        <v>21</v>
      </c>
      <c r="I1571">
        <v>24</v>
      </c>
      <c r="J1571">
        <v>1947</v>
      </c>
      <c r="K1571" s="1" t="s">
        <v>44</v>
      </c>
      <c r="L1571" s="1" t="s">
        <v>45</v>
      </c>
      <c r="M1571">
        <v>1.292</v>
      </c>
      <c r="N1571">
        <v>31010</v>
      </c>
      <c r="O1571">
        <v>31.01</v>
      </c>
      <c r="P1571" s="2">
        <v>42278</v>
      </c>
      <c r="Q1571">
        <v>1</v>
      </c>
      <c r="R1571" s="1" t="s">
        <v>40</v>
      </c>
    </row>
    <row r="1572" spans="1:18" x14ac:dyDescent="0.25">
      <c r="A1572">
        <v>2015</v>
      </c>
      <c r="B1572">
        <v>11</v>
      </c>
      <c r="C1572" s="1" t="s">
        <v>34</v>
      </c>
      <c r="D1572" s="1" t="s">
        <v>19</v>
      </c>
      <c r="E1572" s="1" t="s">
        <v>43</v>
      </c>
      <c r="F1572">
        <v>2005</v>
      </c>
      <c r="G1572">
        <v>10</v>
      </c>
      <c r="H1572" s="1" t="s">
        <v>21</v>
      </c>
      <c r="I1572">
        <v>24</v>
      </c>
      <c r="J1572">
        <v>1947</v>
      </c>
      <c r="K1572" s="1" t="s">
        <v>44</v>
      </c>
      <c r="L1572" s="1" t="s">
        <v>45</v>
      </c>
      <c r="M1572">
        <v>0.95699999999999996</v>
      </c>
      <c r="N1572">
        <v>22968.400000000001</v>
      </c>
      <c r="O1572">
        <v>22.968</v>
      </c>
      <c r="P1572" s="2">
        <v>42309</v>
      </c>
      <c r="Q1572">
        <v>1</v>
      </c>
      <c r="R1572" s="1" t="s">
        <v>40</v>
      </c>
    </row>
    <row r="1573" spans="1:18" x14ac:dyDescent="0.25">
      <c r="A1573">
        <v>2015</v>
      </c>
      <c r="B1573">
        <v>12</v>
      </c>
      <c r="C1573" s="1" t="s">
        <v>35</v>
      </c>
      <c r="D1573" s="1" t="s">
        <v>19</v>
      </c>
      <c r="E1573" s="1" t="s">
        <v>43</v>
      </c>
      <c r="F1573">
        <v>2005</v>
      </c>
      <c r="G1573">
        <v>10</v>
      </c>
      <c r="H1573" s="1" t="s">
        <v>21</v>
      </c>
      <c r="I1573">
        <v>24</v>
      </c>
      <c r="J1573">
        <v>1947</v>
      </c>
      <c r="K1573" s="1" t="s">
        <v>44</v>
      </c>
      <c r="L1573" s="1" t="s">
        <v>45</v>
      </c>
      <c r="M1573">
        <v>0.94699999999999995</v>
      </c>
      <c r="N1573">
        <v>22729.7</v>
      </c>
      <c r="O1573">
        <v>22.73</v>
      </c>
      <c r="P1573" s="2">
        <v>42339</v>
      </c>
      <c r="Q1573">
        <v>1</v>
      </c>
      <c r="R1573" s="1" t="s">
        <v>40</v>
      </c>
    </row>
    <row r="1574" spans="1:18" x14ac:dyDescent="0.25">
      <c r="A1574">
        <v>2015</v>
      </c>
      <c r="B1574">
        <v>1</v>
      </c>
      <c r="C1574" s="1" t="s">
        <v>18</v>
      </c>
      <c r="D1574" s="1" t="s">
        <v>19</v>
      </c>
      <c r="E1574" s="1" t="s">
        <v>46</v>
      </c>
      <c r="F1574">
        <v>2006</v>
      </c>
      <c r="G1574">
        <v>9</v>
      </c>
      <c r="H1574" s="1" t="s">
        <v>21</v>
      </c>
      <c r="I1574">
        <v>25</v>
      </c>
      <c r="J1574">
        <v>2740</v>
      </c>
      <c r="K1574" s="1" t="s">
        <v>47</v>
      </c>
      <c r="L1574" s="1" t="s">
        <v>45</v>
      </c>
      <c r="M1574">
        <v>0.71699999999999997</v>
      </c>
      <c r="N1574">
        <v>17919.599999999999</v>
      </c>
      <c r="O1574">
        <v>17.920000000000002</v>
      </c>
      <c r="P1574" s="2">
        <v>42005</v>
      </c>
      <c r="Q1574">
        <v>1</v>
      </c>
      <c r="R1574" s="1" t="s">
        <v>40</v>
      </c>
    </row>
    <row r="1575" spans="1:18" x14ac:dyDescent="0.25">
      <c r="A1575">
        <v>2015</v>
      </c>
      <c r="B1575">
        <v>2</v>
      </c>
      <c r="C1575" s="1" t="s">
        <v>25</v>
      </c>
      <c r="D1575" s="1" t="s">
        <v>19</v>
      </c>
      <c r="E1575" s="1" t="s">
        <v>46</v>
      </c>
      <c r="F1575">
        <v>2006</v>
      </c>
      <c r="G1575">
        <v>9</v>
      </c>
      <c r="H1575" s="1" t="s">
        <v>21</v>
      </c>
      <c r="I1575">
        <v>25</v>
      </c>
      <c r="J1575">
        <v>2740</v>
      </c>
      <c r="K1575" s="1" t="s">
        <v>47</v>
      </c>
      <c r="L1575" s="1" t="s">
        <v>45</v>
      </c>
      <c r="M1575">
        <v>0.75900000000000001</v>
      </c>
      <c r="N1575">
        <v>18967.599999999999</v>
      </c>
      <c r="O1575">
        <v>18.968</v>
      </c>
      <c r="P1575" s="2">
        <v>42036</v>
      </c>
      <c r="Q1575">
        <v>1</v>
      </c>
      <c r="R1575" s="1" t="s">
        <v>40</v>
      </c>
    </row>
    <row r="1576" spans="1:18" x14ac:dyDescent="0.25">
      <c r="A1576">
        <v>2015</v>
      </c>
      <c r="B1576">
        <v>3</v>
      </c>
      <c r="C1576" s="1" t="s">
        <v>26</v>
      </c>
      <c r="D1576" s="1" t="s">
        <v>19</v>
      </c>
      <c r="E1576" s="1" t="s">
        <v>46</v>
      </c>
      <c r="F1576">
        <v>2006</v>
      </c>
      <c r="G1576">
        <v>9</v>
      </c>
      <c r="H1576" s="1" t="s">
        <v>21</v>
      </c>
      <c r="I1576">
        <v>25</v>
      </c>
      <c r="J1576">
        <v>2740</v>
      </c>
      <c r="K1576" s="1" t="s">
        <v>47</v>
      </c>
      <c r="L1576" s="1" t="s">
        <v>45</v>
      </c>
      <c r="M1576">
        <v>1.0349999999999999</v>
      </c>
      <c r="N1576">
        <v>25872.400000000001</v>
      </c>
      <c r="O1576">
        <v>25.872</v>
      </c>
      <c r="P1576" s="2">
        <v>42064</v>
      </c>
      <c r="Q1576">
        <v>1</v>
      </c>
      <c r="R1576" s="1" t="s">
        <v>40</v>
      </c>
    </row>
    <row r="1577" spans="1:18" x14ac:dyDescent="0.25">
      <c r="A1577">
        <v>2015</v>
      </c>
      <c r="B1577">
        <v>4</v>
      </c>
      <c r="C1577" s="1" t="s">
        <v>27</v>
      </c>
      <c r="D1577" s="1" t="s">
        <v>19</v>
      </c>
      <c r="E1577" s="1" t="s">
        <v>46</v>
      </c>
      <c r="F1577">
        <v>2006</v>
      </c>
      <c r="G1577">
        <v>9</v>
      </c>
      <c r="H1577" s="1" t="s">
        <v>21</v>
      </c>
      <c r="I1577">
        <v>25</v>
      </c>
      <c r="J1577">
        <v>2740</v>
      </c>
      <c r="K1577" s="1" t="s">
        <v>47</v>
      </c>
      <c r="L1577" s="1" t="s">
        <v>45</v>
      </c>
      <c r="M1577">
        <v>0.93500000000000005</v>
      </c>
      <c r="N1577">
        <v>23365.3</v>
      </c>
      <c r="O1577">
        <v>23.364999999999998</v>
      </c>
      <c r="P1577" s="2">
        <v>42095</v>
      </c>
      <c r="Q1577">
        <v>1</v>
      </c>
      <c r="R1577" s="1" t="s">
        <v>40</v>
      </c>
    </row>
    <row r="1578" spans="1:18" x14ac:dyDescent="0.25">
      <c r="A1578">
        <v>2015</v>
      </c>
      <c r="B1578">
        <v>5</v>
      </c>
      <c r="C1578" s="1" t="s">
        <v>28</v>
      </c>
      <c r="D1578" s="1" t="s">
        <v>19</v>
      </c>
      <c r="E1578" s="1" t="s">
        <v>46</v>
      </c>
      <c r="F1578">
        <v>2006</v>
      </c>
      <c r="G1578">
        <v>9</v>
      </c>
      <c r="H1578" s="1" t="s">
        <v>21</v>
      </c>
      <c r="I1578">
        <v>25</v>
      </c>
      <c r="J1578">
        <v>2740</v>
      </c>
      <c r="K1578" s="1" t="s">
        <v>47</v>
      </c>
      <c r="L1578" s="1" t="s">
        <v>45</v>
      </c>
      <c r="M1578">
        <v>1.0249999999999999</v>
      </c>
      <c r="N1578">
        <v>25625.8</v>
      </c>
      <c r="O1578">
        <v>25.626000000000001</v>
      </c>
      <c r="P1578" s="2">
        <v>42125</v>
      </c>
      <c r="Q1578">
        <v>1</v>
      </c>
      <c r="R1578" s="1" t="s">
        <v>40</v>
      </c>
    </row>
    <row r="1579" spans="1:18" x14ac:dyDescent="0.25">
      <c r="A1579">
        <v>2015</v>
      </c>
      <c r="B1579">
        <v>6</v>
      </c>
      <c r="C1579" s="1" t="s">
        <v>29</v>
      </c>
      <c r="D1579" s="1" t="s">
        <v>19</v>
      </c>
      <c r="E1579" s="1" t="s">
        <v>46</v>
      </c>
      <c r="F1579">
        <v>2006</v>
      </c>
      <c r="G1579">
        <v>9</v>
      </c>
      <c r="H1579" s="1" t="s">
        <v>21</v>
      </c>
      <c r="I1579">
        <v>25</v>
      </c>
      <c r="J1579">
        <v>2740</v>
      </c>
      <c r="K1579" s="1" t="s">
        <v>47</v>
      </c>
      <c r="L1579" s="1" t="s">
        <v>45</v>
      </c>
      <c r="M1579">
        <v>1.409</v>
      </c>
      <c r="N1579">
        <v>35222.699999999997</v>
      </c>
      <c r="O1579">
        <v>35.222999999999999</v>
      </c>
      <c r="P1579" s="2">
        <v>42156</v>
      </c>
      <c r="Q1579">
        <v>1</v>
      </c>
      <c r="R1579" s="1" t="s">
        <v>40</v>
      </c>
    </row>
    <row r="1580" spans="1:18" x14ac:dyDescent="0.25">
      <c r="A1580">
        <v>2015</v>
      </c>
      <c r="B1580">
        <v>7</v>
      </c>
      <c r="C1580" s="1" t="s">
        <v>30</v>
      </c>
      <c r="D1580" s="1" t="s">
        <v>19</v>
      </c>
      <c r="E1580" s="1" t="s">
        <v>46</v>
      </c>
      <c r="F1580">
        <v>2006</v>
      </c>
      <c r="G1580">
        <v>9</v>
      </c>
      <c r="H1580" s="1" t="s">
        <v>21</v>
      </c>
      <c r="I1580">
        <v>25</v>
      </c>
      <c r="J1580">
        <v>2740</v>
      </c>
      <c r="K1580" s="1" t="s">
        <v>47</v>
      </c>
      <c r="L1580" s="1" t="s">
        <v>45</v>
      </c>
      <c r="M1580">
        <v>1.645</v>
      </c>
      <c r="N1580">
        <v>41120.5</v>
      </c>
      <c r="O1580">
        <v>41.121000000000002</v>
      </c>
      <c r="P1580" s="2">
        <v>42186</v>
      </c>
      <c r="Q1580">
        <v>1</v>
      </c>
      <c r="R1580" s="1" t="s">
        <v>40</v>
      </c>
    </row>
    <row r="1581" spans="1:18" x14ac:dyDescent="0.25">
      <c r="A1581">
        <v>2015</v>
      </c>
      <c r="B1581">
        <v>8</v>
      </c>
      <c r="C1581" s="1" t="s">
        <v>31</v>
      </c>
      <c r="D1581" s="1" t="s">
        <v>19</v>
      </c>
      <c r="E1581" s="1" t="s">
        <v>46</v>
      </c>
      <c r="F1581">
        <v>2006</v>
      </c>
      <c r="G1581">
        <v>9</v>
      </c>
      <c r="H1581" s="1" t="s">
        <v>21</v>
      </c>
      <c r="I1581">
        <v>25</v>
      </c>
      <c r="J1581">
        <v>2740</v>
      </c>
      <c r="K1581" s="1" t="s">
        <v>47</v>
      </c>
      <c r="L1581" s="1" t="s">
        <v>45</v>
      </c>
      <c r="M1581">
        <v>1.8029999999999999</v>
      </c>
      <c r="N1581">
        <v>45066.2</v>
      </c>
      <c r="O1581">
        <v>45.066000000000003</v>
      </c>
      <c r="P1581" s="2">
        <v>42217</v>
      </c>
      <c r="Q1581">
        <v>1</v>
      </c>
      <c r="R1581" s="1" t="s">
        <v>40</v>
      </c>
    </row>
    <row r="1582" spans="1:18" x14ac:dyDescent="0.25">
      <c r="A1582">
        <v>2015</v>
      </c>
      <c r="B1582">
        <v>9</v>
      </c>
      <c r="C1582" s="1" t="s">
        <v>32</v>
      </c>
      <c r="D1582" s="1" t="s">
        <v>19</v>
      </c>
      <c r="E1582" s="1" t="s">
        <v>46</v>
      </c>
      <c r="F1582">
        <v>2006</v>
      </c>
      <c r="G1582">
        <v>9</v>
      </c>
      <c r="H1582" s="1" t="s">
        <v>21</v>
      </c>
      <c r="I1582">
        <v>25</v>
      </c>
      <c r="J1582">
        <v>2740</v>
      </c>
      <c r="K1582" s="1" t="s">
        <v>47</v>
      </c>
      <c r="L1582" s="1" t="s">
        <v>45</v>
      </c>
      <c r="M1582">
        <v>1.411</v>
      </c>
      <c r="N1582">
        <v>35284.300000000003</v>
      </c>
      <c r="O1582">
        <v>35.283999999999999</v>
      </c>
      <c r="P1582" s="2">
        <v>42248</v>
      </c>
      <c r="Q1582">
        <v>1</v>
      </c>
      <c r="R1582" s="1" t="s">
        <v>40</v>
      </c>
    </row>
    <row r="1583" spans="1:18" x14ac:dyDescent="0.25">
      <c r="A1583">
        <v>2015</v>
      </c>
      <c r="B1583">
        <v>10</v>
      </c>
      <c r="C1583" s="1" t="s">
        <v>33</v>
      </c>
      <c r="D1583" s="1" t="s">
        <v>19</v>
      </c>
      <c r="E1583" s="1" t="s">
        <v>46</v>
      </c>
      <c r="F1583">
        <v>2006</v>
      </c>
      <c r="G1583">
        <v>9</v>
      </c>
      <c r="H1583" s="1" t="s">
        <v>21</v>
      </c>
      <c r="I1583">
        <v>25</v>
      </c>
      <c r="J1583">
        <v>2740</v>
      </c>
      <c r="K1583" s="1" t="s">
        <v>47</v>
      </c>
      <c r="L1583" s="1" t="s">
        <v>45</v>
      </c>
      <c r="M1583">
        <v>1.3879999999999999</v>
      </c>
      <c r="N1583">
        <v>34709</v>
      </c>
      <c r="O1583">
        <v>34.709000000000003</v>
      </c>
      <c r="P1583" s="2">
        <v>42278</v>
      </c>
      <c r="Q1583">
        <v>1</v>
      </c>
      <c r="R1583" s="1" t="s">
        <v>40</v>
      </c>
    </row>
    <row r="1584" spans="1:18" x14ac:dyDescent="0.25">
      <c r="A1584">
        <v>2015</v>
      </c>
      <c r="B1584">
        <v>11</v>
      </c>
      <c r="C1584" s="1" t="s">
        <v>34</v>
      </c>
      <c r="D1584" s="1" t="s">
        <v>19</v>
      </c>
      <c r="E1584" s="1" t="s">
        <v>46</v>
      </c>
      <c r="F1584">
        <v>2006</v>
      </c>
      <c r="G1584">
        <v>9</v>
      </c>
      <c r="H1584" s="1" t="s">
        <v>21</v>
      </c>
      <c r="I1584">
        <v>25</v>
      </c>
      <c r="J1584">
        <v>2740</v>
      </c>
      <c r="K1584" s="1" t="s">
        <v>47</v>
      </c>
      <c r="L1584" s="1" t="s">
        <v>45</v>
      </c>
      <c r="M1584">
        <v>1.028</v>
      </c>
      <c r="N1584">
        <v>25708</v>
      </c>
      <c r="O1584">
        <v>25.707999999999998</v>
      </c>
      <c r="P1584" s="2">
        <v>42309</v>
      </c>
      <c r="Q1584">
        <v>1</v>
      </c>
      <c r="R1584" s="1" t="s">
        <v>40</v>
      </c>
    </row>
    <row r="1585" spans="1:18" x14ac:dyDescent="0.25">
      <c r="A1585">
        <v>2015</v>
      </c>
      <c r="B1585">
        <v>12</v>
      </c>
      <c r="C1585" s="1" t="s">
        <v>35</v>
      </c>
      <c r="D1585" s="1" t="s">
        <v>19</v>
      </c>
      <c r="E1585" s="1" t="s">
        <v>46</v>
      </c>
      <c r="F1585">
        <v>2006</v>
      </c>
      <c r="G1585">
        <v>9</v>
      </c>
      <c r="H1585" s="1" t="s">
        <v>21</v>
      </c>
      <c r="I1585">
        <v>25</v>
      </c>
      <c r="J1585">
        <v>2740</v>
      </c>
      <c r="K1585" s="1" t="s">
        <v>47</v>
      </c>
      <c r="L1585" s="1" t="s">
        <v>45</v>
      </c>
      <c r="M1585">
        <v>1.018</v>
      </c>
      <c r="N1585">
        <v>25440.9</v>
      </c>
      <c r="O1585">
        <v>25.440999999999999</v>
      </c>
      <c r="P1585" s="2">
        <v>42339</v>
      </c>
      <c r="Q1585">
        <v>1</v>
      </c>
      <c r="R1585" s="1" t="s">
        <v>40</v>
      </c>
    </row>
    <row r="1586" spans="1:18" x14ac:dyDescent="0.25">
      <c r="A1586">
        <v>2015</v>
      </c>
      <c r="B1586">
        <v>1</v>
      </c>
      <c r="C1586" s="1" t="s">
        <v>18</v>
      </c>
      <c r="D1586" s="1" t="s">
        <v>19</v>
      </c>
      <c r="E1586" s="1" t="s">
        <v>48</v>
      </c>
      <c r="F1586">
        <v>2006</v>
      </c>
      <c r="G1586">
        <v>9</v>
      </c>
      <c r="H1586" s="1" t="s">
        <v>21</v>
      </c>
      <c r="I1586">
        <v>24</v>
      </c>
      <c r="J1586">
        <v>3230</v>
      </c>
      <c r="K1586" s="1" t="s">
        <v>49</v>
      </c>
      <c r="L1586" s="1" t="s">
        <v>45</v>
      </c>
      <c r="M1586">
        <v>0.88</v>
      </c>
      <c r="N1586">
        <v>21124.2</v>
      </c>
      <c r="O1586">
        <v>21.123999999999999</v>
      </c>
      <c r="P1586" s="2">
        <v>42005</v>
      </c>
      <c r="Q1586">
        <v>1</v>
      </c>
      <c r="R1586" s="1" t="s">
        <v>40</v>
      </c>
    </row>
    <row r="1587" spans="1:18" x14ac:dyDescent="0.25">
      <c r="A1587">
        <v>2015</v>
      </c>
      <c r="B1587">
        <v>2</v>
      </c>
      <c r="C1587" s="1" t="s">
        <v>25</v>
      </c>
      <c r="D1587" s="1" t="s">
        <v>19</v>
      </c>
      <c r="E1587" s="1" t="s">
        <v>48</v>
      </c>
      <c r="F1587">
        <v>2006</v>
      </c>
      <c r="G1587">
        <v>9</v>
      </c>
      <c r="H1587" s="1" t="s">
        <v>21</v>
      </c>
      <c r="I1587">
        <v>24</v>
      </c>
      <c r="J1587">
        <v>3230</v>
      </c>
      <c r="K1587" s="1" t="s">
        <v>49</v>
      </c>
      <c r="L1587" s="1" t="s">
        <v>45</v>
      </c>
      <c r="M1587">
        <v>0.93200000000000005</v>
      </c>
      <c r="N1587">
        <v>22359.7</v>
      </c>
      <c r="O1587">
        <v>22.36</v>
      </c>
      <c r="P1587" s="2">
        <v>42036</v>
      </c>
      <c r="Q1587">
        <v>1</v>
      </c>
      <c r="R1587" s="1" t="s">
        <v>40</v>
      </c>
    </row>
    <row r="1588" spans="1:18" x14ac:dyDescent="0.25">
      <c r="A1588">
        <v>2015</v>
      </c>
      <c r="B1588">
        <v>3</v>
      </c>
      <c r="C1588" s="1" t="s">
        <v>26</v>
      </c>
      <c r="D1588" s="1" t="s">
        <v>19</v>
      </c>
      <c r="E1588" s="1" t="s">
        <v>48</v>
      </c>
      <c r="F1588">
        <v>2006</v>
      </c>
      <c r="G1588">
        <v>9</v>
      </c>
      <c r="H1588" s="1" t="s">
        <v>21</v>
      </c>
      <c r="I1588">
        <v>24</v>
      </c>
      <c r="J1588">
        <v>3230</v>
      </c>
      <c r="K1588" s="1" t="s">
        <v>49</v>
      </c>
      <c r="L1588" s="1" t="s">
        <v>45</v>
      </c>
      <c r="M1588">
        <v>1.2709999999999999</v>
      </c>
      <c r="N1588">
        <v>30499.3</v>
      </c>
      <c r="O1588">
        <v>30.498999999999999</v>
      </c>
      <c r="P1588" s="2">
        <v>42064</v>
      </c>
      <c r="Q1588">
        <v>1</v>
      </c>
      <c r="R1588" s="1" t="s">
        <v>40</v>
      </c>
    </row>
    <row r="1589" spans="1:18" x14ac:dyDescent="0.25">
      <c r="A1589">
        <v>2015</v>
      </c>
      <c r="B1589">
        <v>4</v>
      </c>
      <c r="C1589" s="1" t="s">
        <v>27</v>
      </c>
      <c r="D1589" s="1" t="s">
        <v>19</v>
      </c>
      <c r="E1589" s="1" t="s">
        <v>48</v>
      </c>
      <c r="F1589">
        <v>2006</v>
      </c>
      <c r="G1589">
        <v>9</v>
      </c>
      <c r="H1589" s="1" t="s">
        <v>21</v>
      </c>
      <c r="I1589">
        <v>24</v>
      </c>
      <c r="J1589">
        <v>3230</v>
      </c>
      <c r="K1589" s="1" t="s">
        <v>49</v>
      </c>
      <c r="L1589" s="1" t="s">
        <v>45</v>
      </c>
      <c r="M1589">
        <v>1.1479999999999999</v>
      </c>
      <c r="N1589">
        <v>27543.8</v>
      </c>
      <c r="O1589">
        <v>27.544</v>
      </c>
      <c r="P1589" s="2">
        <v>42095</v>
      </c>
      <c r="Q1589">
        <v>1</v>
      </c>
      <c r="R1589" s="1" t="s">
        <v>40</v>
      </c>
    </row>
    <row r="1590" spans="1:18" x14ac:dyDescent="0.25">
      <c r="A1590">
        <v>2015</v>
      </c>
      <c r="B1590">
        <v>5</v>
      </c>
      <c r="C1590" s="1" t="s">
        <v>28</v>
      </c>
      <c r="D1590" s="1" t="s">
        <v>19</v>
      </c>
      <c r="E1590" s="1" t="s">
        <v>48</v>
      </c>
      <c r="F1590">
        <v>2006</v>
      </c>
      <c r="G1590">
        <v>9</v>
      </c>
      <c r="H1590" s="1" t="s">
        <v>21</v>
      </c>
      <c r="I1590">
        <v>24</v>
      </c>
      <c r="J1590">
        <v>3230</v>
      </c>
      <c r="K1590" s="1" t="s">
        <v>49</v>
      </c>
      <c r="L1590" s="1" t="s">
        <v>45</v>
      </c>
      <c r="M1590">
        <v>1.2589999999999999</v>
      </c>
      <c r="N1590">
        <v>30208.6</v>
      </c>
      <c r="O1590">
        <v>30.209</v>
      </c>
      <c r="P1590" s="2">
        <v>42125</v>
      </c>
      <c r="Q1590">
        <v>1</v>
      </c>
      <c r="R1590" s="1" t="s">
        <v>40</v>
      </c>
    </row>
    <row r="1591" spans="1:18" x14ac:dyDescent="0.25">
      <c r="A1591">
        <v>2015</v>
      </c>
      <c r="B1591">
        <v>6</v>
      </c>
      <c r="C1591" s="1" t="s">
        <v>29</v>
      </c>
      <c r="D1591" s="1" t="s">
        <v>19</v>
      </c>
      <c r="E1591" s="1" t="s">
        <v>48</v>
      </c>
      <c r="F1591">
        <v>2006</v>
      </c>
      <c r="G1591">
        <v>9</v>
      </c>
      <c r="H1591" s="1" t="s">
        <v>21</v>
      </c>
      <c r="I1591">
        <v>24</v>
      </c>
      <c r="J1591">
        <v>3230</v>
      </c>
      <c r="K1591" s="1" t="s">
        <v>49</v>
      </c>
      <c r="L1591" s="1" t="s">
        <v>45</v>
      </c>
      <c r="M1591">
        <v>1.73</v>
      </c>
      <c r="N1591">
        <v>41521.699999999997</v>
      </c>
      <c r="O1591">
        <v>41.521999999999998</v>
      </c>
      <c r="P1591" s="2">
        <v>42156</v>
      </c>
      <c r="Q1591">
        <v>1</v>
      </c>
      <c r="R1591" s="1" t="s">
        <v>40</v>
      </c>
    </row>
    <row r="1592" spans="1:18" x14ac:dyDescent="0.25">
      <c r="A1592">
        <v>2015</v>
      </c>
      <c r="B1592">
        <v>7</v>
      </c>
      <c r="C1592" s="1" t="s">
        <v>30</v>
      </c>
      <c r="D1592" s="1" t="s">
        <v>19</v>
      </c>
      <c r="E1592" s="1" t="s">
        <v>48</v>
      </c>
      <c r="F1592">
        <v>2006</v>
      </c>
      <c r="G1592">
        <v>9</v>
      </c>
      <c r="H1592" s="1" t="s">
        <v>21</v>
      </c>
      <c r="I1592">
        <v>24</v>
      </c>
      <c r="J1592">
        <v>3230</v>
      </c>
      <c r="K1592" s="1" t="s">
        <v>49</v>
      </c>
      <c r="L1592" s="1" t="s">
        <v>45</v>
      </c>
      <c r="M1592">
        <v>2.02</v>
      </c>
      <c r="N1592">
        <v>48474.2</v>
      </c>
      <c r="O1592">
        <v>48.473999999999997</v>
      </c>
      <c r="P1592" s="2">
        <v>42186</v>
      </c>
      <c r="Q1592">
        <v>1</v>
      </c>
      <c r="R1592" s="1" t="s">
        <v>40</v>
      </c>
    </row>
    <row r="1593" spans="1:18" x14ac:dyDescent="0.25">
      <c r="A1593">
        <v>2015</v>
      </c>
      <c r="B1593">
        <v>8</v>
      </c>
      <c r="C1593" s="1" t="s">
        <v>31</v>
      </c>
      <c r="D1593" s="1" t="s">
        <v>19</v>
      </c>
      <c r="E1593" s="1" t="s">
        <v>48</v>
      </c>
      <c r="F1593">
        <v>2006</v>
      </c>
      <c r="G1593">
        <v>9</v>
      </c>
      <c r="H1593" s="1" t="s">
        <v>21</v>
      </c>
      <c r="I1593">
        <v>24</v>
      </c>
      <c r="J1593">
        <v>3230</v>
      </c>
      <c r="K1593" s="1" t="s">
        <v>49</v>
      </c>
      <c r="L1593" s="1" t="s">
        <v>45</v>
      </c>
      <c r="M1593">
        <v>2.214</v>
      </c>
      <c r="N1593">
        <v>53125.4</v>
      </c>
      <c r="O1593">
        <v>53.125</v>
      </c>
      <c r="P1593" s="2">
        <v>42217</v>
      </c>
      <c r="Q1593">
        <v>1</v>
      </c>
      <c r="R1593" s="1" t="s">
        <v>40</v>
      </c>
    </row>
    <row r="1594" spans="1:18" x14ac:dyDescent="0.25">
      <c r="A1594">
        <v>2015</v>
      </c>
      <c r="B1594">
        <v>9</v>
      </c>
      <c r="C1594" s="1" t="s">
        <v>32</v>
      </c>
      <c r="D1594" s="1" t="s">
        <v>19</v>
      </c>
      <c r="E1594" s="1" t="s">
        <v>48</v>
      </c>
      <c r="F1594">
        <v>2006</v>
      </c>
      <c r="G1594">
        <v>9</v>
      </c>
      <c r="H1594" s="1" t="s">
        <v>21</v>
      </c>
      <c r="I1594">
        <v>24</v>
      </c>
      <c r="J1594">
        <v>3230</v>
      </c>
      <c r="K1594" s="1" t="s">
        <v>49</v>
      </c>
      <c r="L1594" s="1" t="s">
        <v>45</v>
      </c>
      <c r="M1594">
        <v>1.7330000000000001</v>
      </c>
      <c r="N1594">
        <v>41594.300000000003</v>
      </c>
      <c r="O1594">
        <v>41.594000000000001</v>
      </c>
      <c r="P1594" s="2">
        <v>42248</v>
      </c>
      <c r="Q1594">
        <v>1</v>
      </c>
      <c r="R1594" s="1" t="s">
        <v>40</v>
      </c>
    </row>
    <row r="1595" spans="1:18" x14ac:dyDescent="0.25">
      <c r="A1595">
        <v>2015</v>
      </c>
      <c r="B1595">
        <v>10</v>
      </c>
      <c r="C1595" s="1" t="s">
        <v>33</v>
      </c>
      <c r="D1595" s="1" t="s">
        <v>19</v>
      </c>
      <c r="E1595" s="1" t="s">
        <v>48</v>
      </c>
      <c r="F1595">
        <v>2006</v>
      </c>
      <c r="G1595">
        <v>9</v>
      </c>
      <c r="H1595" s="1" t="s">
        <v>21</v>
      </c>
      <c r="I1595">
        <v>24</v>
      </c>
      <c r="J1595">
        <v>3230</v>
      </c>
      <c r="K1595" s="1" t="s">
        <v>49</v>
      </c>
      <c r="L1595" s="1" t="s">
        <v>45</v>
      </c>
      <c r="M1595">
        <v>1.7050000000000001</v>
      </c>
      <c r="N1595">
        <v>40916</v>
      </c>
      <c r="O1595">
        <v>40.915999999999997</v>
      </c>
      <c r="P1595" s="2">
        <v>42278</v>
      </c>
      <c r="Q1595">
        <v>1</v>
      </c>
      <c r="R1595" s="1" t="s">
        <v>40</v>
      </c>
    </row>
    <row r="1596" spans="1:18" x14ac:dyDescent="0.25">
      <c r="A1596">
        <v>2015</v>
      </c>
      <c r="B1596">
        <v>11</v>
      </c>
      <c r="C1596" s="1" t="s">
        <v>34</v>
      </c>
      <c r="D1596" s="1" t="s">
        <v>19</v>
      </c>
      <c r="E1596" s="1" t="s">
        <v>48</v>
      </c>
      <c r="F1596">
        <v>2006</v>
      </c>
      <c r="G1596">
        <v>9</v>
      </c>
      <c r="H1596" s="1" t="s">
        <v>21</v>
      </c>
      <c r="I1596">
        <v>24</v>
      </c>
      <c r="J1596">
        <v>3230</v>
      </c>
      <c r="K1596" s="1" t="s">
        <v>49</v>
      </c>
      <c r="L1596" s="1" t="s">
        <v>45</v>
      </c>
      <c r="M1596">
        <v>1.2629999999999999</v>
      </c>
      <c r="N1596">
        <v>30305.5</v>
      </c>
      <c r="O1596">
        <v>30.305</v>
      </c>
      <c r="P1596" s="2">
        <v>42309</v>
      </c>
      <c r="Q1596">
        <v>1</v>
      </c>
      <c r="R1596" s="1" t="s">
        <v>40</v>
      </c>
    </row>
    <row r="1597" spans="1:18" x14ac:dyDescent="0.25">
      <c r="A1597">
        <v>2015</v>
      </c>
      <c r="B1597">
        <v>12</v>
      </c>
      <c r="C1597" s="1" t="s">
        <v>35</v>
      </c>
      <c r="D1597" s="1" t="s">
        <v>19</v>
      </c>
      <c r="E1597" s="1" t="s">
        <v>48</v>
      </c>
      <c r="F1597">
        <v>2006</v>
      </c>
      <c r="G1597">
        <v>9</v>
      </c>
      <c r="H1597" s="1" t="s">
        <v>21</v>
      </c>
      <c r="I1597">
        <v>24</v>
      </c>
      <c r="J1597">
        <v>3230</v>
      </c>
      <c r="K1597" s="1" t="s">
        <v>49</v>
      </c>
      <c r="L1597" s="1" t="s">
        <v>45</v>
      </c>
      <c r="M1597">
        <v>1.25</v>
      </c>
      <c r="N1597">
        <v>29990.6</v>
      </c>
      <c r="O1597">
        <v>29.991</v>
      </c>
      <c r="P1597" s="2">
        <v>42339</v>
      </c>
      <c r="Q1597">
        <v>1</v>
      </c>
      <c r="R1597" s="1" t="s">
        <v>40</v>
      </c>
    </row>
    <row r="1598" spans="1:18" x14ac:dyDescent="0.25">
      <c r="A1598">
        <v>2015</v>
      </c>
      <c r="B1598">
        <v>1</v>
      </c>
      <c r="C1598" s="1" t="s">
        <v>18</v>
      </c>
      <c r="D1598" s="1" t="s">
        <v>19</v>
      </c>
      <c r="E1598" s="1" t="s">
        <v>50</v>
      </c>
      <c r="F1598">
        <v>2006</v>
      </c>
      <c r="G1598">
        <v>9</v>
      </c>
      <c r="H1598" s="1" t="s">
        <v>21</v>
      </c>
      <c r="I1598">
        <v>22</v>
      </c>
      <c r="J1598">
        <v>2447</v>
      </c>
      <c r="K1598" s="1" t="s">
        <v>51</v>
      </c>
      <c r="L1598" s="1" t="s">
        <v>45</v>
      </c>
      <c r="M1598">
        <v>0.72699999999999998</v>
      </c>
      <c r="N1598">
        <v>16003.4</v>
      </c>
      <c r="O1598">
        <v>16.003</v>
      </c>
      <c r="P1598" s="2">
        <v>42005</v>
      </c>
      <c r="Q1598">
        <v>1</v>
      </c>
      <c r="R1598" s="1" t="s">
        <v>40</v>
      </c>
    </row>
    <row r="1599" spans="1:18" x14ac:dyDescent="0.25">
      <c r="A1599">
        <v>2015</v>
      </c>
      <c r="B1599">
        <v>2</v>
      </c>
      <c r="C1599" s="1" t="s">
        <v>25</v>
      </c>
      <c r="D1599" s="1" t="s">
        <v>19</v>
      </c>
      <c r="E1599" s="1" t="s">
        <v>50</v>
      </c>
      <c r="F1599">
        <v>2006</v>
      </c>
      <c r="G1599">
        <v>9</v>
      </c>
      <c r="H1599" s="1" t="s">
        <v>21</v>
      </c>
      <c r="I1599">
        <v>22</v>
      </c>
      <c r="J1599">
        <v>2447</v>
      </c>
      <c r="K1599" s="1" t="s">
        <v>51</v>
      </c>
      <c r="L1599" s="1" t="s">
        <v>45</v>
      </c>
      <c r="M1599">
        <v>0.77</v>
      </c>
      <c r="N1599">
        <v>16939.400000000001</v>
      </c>
      <c r="O1599">
        <v>16.939</v>
      </c>
      <c r="P1599" s="2">
        <v>42036</v>
      </c>
      <c r="Q1599">
        <v>1</v>
      </c>
      <c r="R1599" s="1" t="s">
        <v>40</v>
      </c>
    </row>
    <row r="1600" spans="1:18" x14ac:dyDescent="0.25">
      <c r="A1600">
        <v>2015</v>
      </c>
      <c r="B1600">
        <v>3</v>
      </c>
      <c r="C1600" s="1" t="s">
        <v>26</v>
      </c>
      <c r="D1600" s="1" t="s">
        <v>19</v>
      </c>
      <c r="E1600" s="1" t="s">
        <v>50</v>
      </c>
      <c r="F1600">
        <v>2006</v>
      </c>
      <c r="G1600">
        <v>9</v>
      </c>
      <c r="H1600" s="1" t="s">
        <v>21</v>
      </c>
      <c r="I1600">
        <v>22</v>
      </c>
      <c r="J1600">
        <v>2447</v>
      </c>
      <c r="K1600" s="1" t="s">
        <v>51</v>
      </c>
      <c r="L1600" s="1" t="s">
        <v>45</v>
      </c>
      <c r="M1600">
        <v>1.05</v>
      </c>
      <c r="N1600">
        <v>23105.8</v>
      </c>
      <c r="O1600">
        <v>23.106000000000002</v>
      </c>
      <c r="P1600" s="2">
        <v>42064</v>
      </c>
      <c r="Q1600">
        <v>1</v>
      </c>
      <c r="R1600" s="1" t="s">
        <v>40</v>
      </c>
    </row>
    <row r="1601" spans="1:18" x14ac:dyDescent="0.25">
      <c r="A1601">
        <v>2015</v>
      </c>
      <c r="B1601">
        <v>4</v>
      </c>
      <c r="C1601" s="1" t="s">
        <v>27</v>
      </c>
      <c r="D1601" s="1" t="s">
        <v>19</v>
      </c>
      <c r="E1601" s="1" t="s">
        <v>50</v>
      </c>
      <c r="F1601">
        <v>2006</v>
      </c>
      <c r="G1601">
        <v>9</v>
      </c>
      <c r="H1601" s="1" t="s">
        <v>21</v>
      </c>
      <c r="I1601">
        <v>22</v>
      </c>
      <c r="J1601">
        <v>2447</v>
      </c>
      <c r="K1601" s="1" t="s">
        <v>51</v>
      </c>
      <c r="L1601" s="1" t="s">
        <v>45</v>
      </c>
      <c r="M1601">
        <v>0.94799999999999995</v>
      </c>
      <c r="N1601">
        <v>20866.8</v>
      </c>
      <c r="O1601">
        <v>20.867000000000001</v>
      </c>
      <c r="P1601" s="2">
        <v>42095</v>
      </c>
      <c r="Q1601">
        <v>1</v>
      </c>
      <c r="R1601" s="1" t="s">
        <v>40</v>
      </c>
    </row>
    <row r="1602" spans="1:18" x14ac:dyDescent="0.25">
      <c r="A1602">
        <v>2015</v>
      </c>
      <c r="B1602">
        <v>5</v>
      </c>
      <c r="C1602" s="1" t="s">
        <v>28</v>
      </c>
      <c r="D1602" s="1" t="s">
        <v>19</v>
      </c>
      <c r="E1602" s="1" t="s">
        <v>50</v>
      </c>
      <c r="F1602">
        <v>2006</v>
      </c>
      <c r="G1602">
        <v>9</v>
      </c>
      <c r="H1602" s="1" t="s">
        <v>21</v>
      </c>
      <c r="I1602">
        <v>22</v>
      </c>
      <c r="J1602">
        <v>2447</v>
      </c>
      <c r="K1602" s="1" t="s">
        <v>51</v>
      </c>
      <c r="L1602" s="1" t="s">
        <v>45</v>
      </c>
      <c r="M1602">
        <v>1.04</v>
      </c>
      <c r="N1602">
        <v>22885.599999999999</v>
      </c>
      <c r="O1602">
        <v>22.885999999999999</v>
      </c>
      <c r="P1602" s="2">
        <v>42125</v>
      </c>
      <c r="Q1602">
        <v>1</v>
      </c>
      <c r="R1602" s="1" t="s">
        <v>40</v>
      </c>
    </row>
    <row r="1603" spans="1:18" x14ac:dyDescent="0.25">
      <c r="A1603">
        <v>2015</v>
      </c>
      <c r="B1603">
        <v>6</v>
      </c>
      <c r="C1603" s="1" t="s">
        <v>29</v>
      </c>
      <c r="D1603" s="1" t="s">
        <v>19</v>
      </c>
      <c r="E1603" s="1" t="s">
        <v>50</v>
      </c>
      <c r="F1603">
        <v>2006</v>
      </c>
      <c r="G1603">
        <v>9</v>
      </c>
      <c r="H1603" s="1" t="s">
        <v>21</v>
      </c>
      <c r="I1603">
        <v>22</v>
      </c>
      <c r="J1603">
        <v>2447</v>
      </c>
      <c r="K1603" s="1" t="s">
        <v>51</v>
      </c>
      <c r="L1603" s="1" t="s">
        <v>45</v>
      </c>
      <c r="M1603">
        <v>1.43</v>
      </c>
      <c r="N1603">
        <v>31456.2</v>
      </c>
      <c r="O1603">
        <v>31.456</v>
      </c>
      <c r="P1603" s="2">
        <v>42156</v>
      </c>
      <c r="Q1603">
        <v>1</v>
      </c>
      <c r="R1603" s="1" t="s">
        <v>40</v>
      </c>
    </row>
    <row r="1604" spans="1:18" x14ac:dyDescent="0.25">
      <c r="A1604">
        <v>2015</v>
      </c>
      <c r="B1604">
        <v>7</v>
      </c>
      <c r="C1604" s="1" t="s">
        <v>30</v>
      </c>
      <c r="D1604" s="1" t="s">
        <v>19</v>
      </c>
      <c r="E1604" s="1" t="s">
        <v>50</v>
      </c>
      <c r="F1604">
        <v>2006</v>
      </c>
      <c r="G1604">
        <v>9</v>
      </c>
      <c r="H1604" s="1" t="s">
        <v>21</v>
      </c>
      <c r="I1604">
        <v>22</v>
      </c>
      <c r="J1604">
        <v>2447</v>
      </c>
      <c r="K1604" s="1" t="s">
        <v>51</v>
      </c>
      <c r="L1604" s="1" t="s">
        <v>45</v>
      </c>
      <c r="M1604">
        <v>1.669</v>
      </c>
      <c r="N1604">
        <v>36723.4</v>
      </c>
      <c r="O1604">
        <v>36.722999999999999</v>
      </c>
      <c r="P1604" s="2">
        <v>42186</v>
      </c>
      <c r="Q1604">
        <v>1</v>
      </c>
      <c r="R1604" s="1" t="s">
        <v>40</v>
      </c>
    </row>
    <row r="1605" spans="1:18" x14ac:dyDescent="0.25">
      <c r="A1605">
        <v>2015</v>
      </c>
      <c r="B1605">
        <v>8</v>
      </c>
      <c r="C1605" s="1" t="s">
        <v>31</v>
      </c>
      <c r="D1605" s="1" t="s">
        <v>19</v>
      </c>
      <c r="E1605" s="1" t="s">
        <v>50</v>
      </c>
      <c r="F1605">
        <v>2006</v>
      </c>
      <c r="G1605">
        <v>9</v>
      </c>
      <c r="H1605" s="1" t="s">
        <v>21</v>
      </c>
      <c r="I1605">
        <v>22</v>
      </c>
      <c r="J1605">
        <v>2447</v>
      </c>
      <c r="K1605" s="1" t="s">
        <v>51</v>
      </c>
      <c r="L1605" s="1" t="s">
        <v>45</v>
      </c>
      <c r="M1605">
        <v>1.829</v>
      </c>
      <c r="N1605">
        <v>40247</v>
      </c>
      <c r="O1605">
        <v>40.247</v>
      </c>
      <c r="P1605" s="2">
        <v>42217</v>
      </c>
      <c r="Q1605">
        <v>1</v>
      </c>
      <c r="R1605" s="1" t="s">
        <v>40</v>
      </c>
    </row>
    <row r="1606" spans="1:18" x14ac:dyDescent="0.25">
      <c r="A1606">
        <v>2015</v>
      </c>
      <c r="B1606">
        <v>9</v>
      </c>
      <c r="C1606" s="1" t="s">
        <v>32</v>
      </c>
      <c r="D1606" s="1" t="s">
        <v>19</v>
      </c>
      <c r="E1606" s="1" t="s">
        <v>50</v>
      </c>
      <c r="F1606">
        <v>2006</v>
      </c>
      <c r="G1606">
        <v>9</v>
      </c>
      <c r="H1606" s="1" t="s">
        <v>21</v>
      </c>
      <c r="I1606">
        <v>22</v>
      </c>
      <c r="J1606">
        <v>2447</v>
      </c>
      <c r="K1606" s="1" t="s">
        <v>51</v>
      </c>
      <c r="L1606" s="1" t="s">
        <v>45</v>
      </c>
      <c r="M1606">
        <v>1.4319999999999999</v>
      </c>
      <c r="N1606">
        <v>31511.200000000001</v>
      </c>
      <c r="O1606">
        <v>31.510999999999999</v>
      </c>
      <c r="P1606" s="2">
        <v>42248</v>
      </c>
      <c r="Q1606">
        <v>1</v>
      </c>
      <c r="R1606" s="1" t="s">
        <v>40</v>
      </c>
    </row>
    <row r="1607" spans="1:18" x14ac:dyDescent="0.25">
      <c r="A1607">
        <v>2015</v>
      </c>
      <c r="B1607">
        <v>10</v>
      </c>
      <c r="C1607" s="1" t="s">
        <v>33</v>
      </c>
      <c r="D1607" s="1" t="s">
        <v>19</v>
      </c>
      <c r="E1607" s="1" t="s">
        <v>50</v>
      </c>
      <c r="F1607">
        <v>2006</v>
      </c>
      <c r="G1607">
        <v>9</v>
      </c>
      <c r="H1607" s="1" t="s">
        <v>21</v>
      </c>
      <c r="I1607">
        <v>22</v>
      </c>
      <c r="J1607">
        <v>2447</v>
      </c>
      <c r="K1607" s="1" t="s">
        <v>51</v>
      </c>
      <c r="L1607" s="1" t="s">
        <v>45</v>
      </c>
      <c r="M1607">
        <v>1.409</v>
      </c>
      <c r="N1607">
        <v>30997.4</v>
      </c>
      <c r="O1607">
        <v>30.997</v>
      </c>
      <c r="P1607" s="2">
        <v>42278</v>
      </c>
      <c r="Q1607">
        <v>1</v>
      </c>
      <c r="R1607" s="1" t="s">
        <v>40</v>
      </c>
    </row>
    <row r="1608" spans="1:18" x14ac:dyDescent="0.25">
      <c r="A1608">
        <v>2015</v>
      </c>
      <c r="B1608">
        <v>11</v>
      </c>
      <c r="C1608" s="1" t="s">
        <v>34</v>
      </c>
      <c r="D1608" s="1" t="s">
        <v>19</v>
      </c>
      <c r="E1608" s="1" t="s">
        <v>50</v>
      </c>
      <c r="F1608">
        <v>2006</v>
      </c>
      <c r="G1608">
        <v>9</v>
      </c>
      <c r="H1608" s="1" t="s">
        <v>21</v>
      </c>
      <c r="I1608">
        <v>22</v>
      </c>
      <c r="J1608">
        <v>2447</v>
      </c>
      <c r="K1608" s="1" t="s">
        <v>51</v>
      </c>
      <c r="L1608" s="1" t="s">
        <v>45</v>
      </c>
      <c r="M1608">
        <v>1.044</v>
      </c>
      <c r="N1608">
        <v>22959</v>
      </c>
      <c r="O1608">
        <v>22.959</v>
      </c>
      <c r="P1608" s="2">
        <v>42309</v>
      </c>
      <c r="Q1608">
        <v>1</v>
      </c>
      <c r="R1608" s="1" t="s">
        <v>40</v>
      </c>
    </row>
    <row r="1609" spans="1:18" x14ac:dyDescent="0.25">
      <c r="A1609">
        <v>2015</v>
      </c>
      <c r="B1609">
        <v>12</v>
      </c>
      <c r="C1609" s="1" t="s">
        <v>35</v>
      </c>
      <c r="D1609" s="1" t="s">
        <v>19</v>
      </c>
      <c r="E1609" s="1" t="s">
        <v>50</v>
      </c>
      <c r="F1609">
        <v>2006</v>
      </c>
      <c r="G1609">
        <v>9</v>
      </c>
      <c r="H1609" s="1" t="s">
        <v>21</v>
      </c>
      <c r="I1609">
        <v>22</v>
      </c>
      <c r="J1609">
        <v>2447</v>
      </c>
      <c r="K1609" s="1" t="s">
        <v>51</v>
      </c>
      <c r="L1609" s="1" t="s">
        <v>45</v>
      </c>
      <c r="M1609">
        <v>1.0329999999999999</v>
      </c>
      <c r="N1609">
        <v>22720.400000000001</v>
      </c>
      <c r="O1609">
        <v>22.72</v>
      </c>
      <c r="P1609" s="2">
        <v>42339</v>
      </c>
      <c r="Q1609">
        <v>1</v>
      </c>
      <c r="R1609" s="1" t="s">
        <v>40</v>
      </c>
    </row>
    <row r="1610" spans="1:18" x14ac:dyDescent="0.25">
      <c r="A1610">
        <v>2015</v>
      </c>
      <c r="B1610">
        <v>1</v>
      </c>
      <c r="C1610" s="1" t="s">
        <v>18</v>
      </c>
      <c r="D1610" s="1" t="s">
        <v>19</v>
      </c>
      <c r="E1610" s="1" t="s">
        <v>52</v>
      </c>
      <c r="F1610">
        <v>2006</v>
      </c>
      <c r="G1610">
        <v>9</v>
      </c>
      <c r="H1610" s="1" t="s">
        <v>21</v>
      </c>
      <c r="I1610">
        <v>15</v>
      </c>
      <c r="J1610">
        <v>1866</v>
      </c>
      <c r="K1610" s="1" t="s">
        <v>53</v>
      </c>
      <c r="L1610" s="1" t="s">
        <v>45</v>
      </c>
      <c r="M1610">
        <v>0.81399999999999995</v>
      </c>
      <c r="N1610">
        <v>12203.6</v>
      </c>
      <c r="O1610">
        <v>12.204000000000001</v>
      </c>
      <c r="P1610" s="2">
        <v>42005</v>
      </c>
      <c r="Q1610">
        <v>1</v>
      </c>
      <c r="R1610" s="1" t="s">
        <v>40</v>
      </c>
    </row>
    <row r="1611" spans="1:18" x14ac:dyDescent="0.25">
      <c r="A1611">
        <v>2015</v>
      </c>
      <c r="B1611">
        <v>2</v>
      </c>
      <c r="C1611" s="1" t="s">
        <v>25</v>
      </c>
      <c r="D1611" s="1" t="s">
        <v>19</v>
      </c>
      <c r="E1611" s="1" t="s">
        <v>52</v>
      </c>
      <c r="F1611">
        <v>2006</v>
      </c>
      <c r="G1611">
        <v>9</v>
      </c>
      <c r="H1611" s="1" t="s">
        <v>21</v>
      </c>
      <c r="I1611">
        <v>15</v>
      </c>
      <c r="J1611">
        <v>1866</v>
      </c>
      <c r="K1611" s="1" t="s">
        <v>53</v>
      </c>
      <c r="L1611" s="1" t="s">
        <v>45</v>
      </c>
      <c r="M1611">
        <v>0.86099999999999999</v>
      </c>
      <c r="N1611">
        <v>12917.4</v>
      </c>
      <c r="O1611">
        <v>12.917</v>
      </c>
      <c r="P1611" s="2">
        <v>42036</v>
      </c>
      <c r="Q1611">
        <v>1</v>
      </c>
      <c r="R1611" s="1" t="s">
        <v>40</v>
      </c>
    </row>
    <row r="1612" spans="1:18" x14ac:dyDescent="0.25">
      <c r="A1612">
        <v>2015</v>
      </c>
      <c r="B1612">
        <v>3</v>
      </c>
      <c r="C1612" s="1" t="s">
        <v>26</v>
      </c>
      <c r="D1612" s="1" t="s">
        <v>19</v>
      </c>
      <c r="E1612" s="1" t="s">
        <v>52</v>
      </c>
      <c r="F1612">
        <v>2006</v>
      </c>
      <c r="G1612">
        <v>9</v>
      </c>
      <c r="H1612" s="1" t="s">
        <v>21</v>
      </c>
      <c r="I1612">
        <v>15</v>
      </c>
      <c r="J1612">
        <v>1866</v>
      </c>
      <c r="K1612" s="1" t="s">
        <v>53</v>
      </c>
      <c r="L1612" s="1" t="s">
        <v>45</v>
      </c>
      <c r="M1612">
        <v>1.175</v>
      </c>
      <c r="N1612">
        <v>17619.7</v>
      </c>
      <c r="O1612">
        <v>17.62</v>
      </c>
      <c r="P1612" s="2">
        <v>42064</v>
      </c>
      <c r="Q1612">
        <v>1</v>
      </c>
      <c r="R1612" s="1" t="s">
        <v>40</v>
      </c>
    </row>
    <row r="1613" spans="1:18" x14ac:dyDescent="0.25">
      <c r="A1613">
        <v>2015</v>
      </c>
      <c r="B1613">
        <v>4</v>
      </c>
      <c r="C1613" s="1" t="s">
        <v>27</v>
      </c>
      <c r="D1613" s="1" t="s">
        <v>19</v>
      </c>
      <c r="E1613" s="1" t="s">
        <v>52</v>
      </c>
      <c r="F1613">
        <v>2006</v>
      </c>
      <c r="G1613">
        <v>9</v>
      </c>
      <c r="H1613" s="1" t="s">
        <v>21</v>
      </c>
      <c r="I1613">
        <v>15</v>
      </c>
      <c r="J1613">
        <v>1866</v>
      </c>
      <c r="K1613" s="1" t="s">
        <v>53</v>
      </c>
      <c r="L1613" s="1" t="s">
        <v>45</v>
      </c>
      <c r="M1613">
        <v>1.0609999999999999</v>
      </c>
      <c r="N1613">
        <v>15912.3</v>
      </c>
      <c r="O1613">
        <v>15.912000000000001</v>
      </c>
      <c r="P1613" s="2">
        <v>42095</v>
      </c>
      <c r="Q1613">
        <v>1</v>
      </c>
      <c r="R1613" s="1" t="s">
        <v>40</v>
      </c>
    </row>
    <row r="1614" spans="1:18" x14ac:dyDescent="0.25">
      <c r="A1614">
        <v>2015</v>
      </c>
      <c r="B1614">
        <v>5</v>
      </c>
      <c r="C1614" s="1" t="s">
        <v>28</v>
      </c>
      <c r="D1614" s="1" t="s">
        <v>19</v>
      </c>
      <c r="E1614" s="1" t="s">
        <v>52</v>
      </c>
      <c r="F1614">
        <v>2006</v>
      </c>
      <c r="G1614">
        <v>9</v>
      </c>
      <c r="H1614" s="1" t="s">
        <v>21</v>
      </c>
      <c r="I1614">
        <v>15</v>
      </c>
      <c r="J1614">
        <v>1866</v>
      </c>
      <c r="K1614" s="1" t="s">
        <v>53</v>
      </c>
      <c r="L1614" s="1" t="s">
        <v>45</v>
      </c>
      <c r="M1614">
        <v>1.163</v>
      </c>
      <c r="N1614">
        <v>17451.8</v>
      </c>
      <c r="O1614">
        <v>17.452000000000002</v>
      </c>
      <c r="P1614" s="2">
        <v>42125</v>
      </c>
      <c r="Q1614">
        <v>1</v>
      </c>
      <c r="R1614" s="1" t="s">
        <v>40</v>
      </c>
    </row>
    <row r="1615" spans="1:18" x14ac:dyDescent="0.25">
      <c r="A1615">
        <v>2015</v>
      </c>
      <c r="B1615">
        <v>6</v>
      </c>
      <c r="C1615" s="1" t="s">
        <v>29</v>
      </c>
      <c r="D1615" s="1" t="s">
        <v>19</v>
      </c>
      <c r="E1615" s="1" t="s">
        <v>52</v>
      </c>
      <c r="F1615">
        <v>2006</v>
      </c>
      <c r="G1615">
        <v>9</v>
      </c>
      <c r="H1615" s="1" t="s">
        <v>21</v>
      </c>
      <c r="I1615">
        <v>15</v>
      </c>
      <c r="J1615">
        <v>1866</v>
      </c>
      <c r="K1615" s="1" t="s">
        <v>53</v>
      </c>
      <c r="L1615" s="1" t="s">
        <v>45</v>
      </c>
      <c r="M1615">
        <v>1.599</v>
      </c>
      <c r="N1615">
        <v>23987.4</v>
      </c>
      <c r="O1615">
        <v>23.986999999999998</v>
      </c>
      <c r="P1615" s="2">
        <v>42156</v>
      </c>
      <c r="Q1615">
        <v>1</v>
      </c>
      <c r="R1615" s="1" t="s">
        <v>40</v>
      </c>
    </row>
    <row r="1616" spans="1:18" x14ac:dyDescent="0.25">
      <c r="A1616">
        <v>2015</v>
      </c>
      <c r="B1616">
        <v>7</v>
      </c>
      <c r="C1616" s="1" t="s">
        <v>30</v>
      </c>
      <c r="D1616" s="1" t="s">
        <v>19</v>
      </c>
      <c r="E1616" s="1" t="s">
        <v>52</v>
      </c>
      <c r="F1616">
        <v>2006</v>
      </c>
      <c r="G1616">
        <v>9</v>
      </c>
      <c r="H1616" s="1" t="s">
        <v>21</v>
      </c>
      <c r="I1616">
        <v>15</v>
      </c>
      <c r="J1616">
        <v>1866</v>
      </c>
      <c r="K1616" s="1" t="s">
        <v>53</v>
      </c>
      <c r="L1616" s="1" t="s">
        <v>45</v>
      </c>
      <c r="M1616">
        <v>1.867</v>
      </c>
      <c r="N1616">
        <v>28004</v>
      </c>
      <c r="O1616">
        <v>28.004000000000001</v>
      </c>
      <c r="P1616" s="2">
        <v>42186</v>
      </c>
      <c r="Q1616">
        <v>1</v>
      </c>
      <c r="R1616" s="1" t="s">
        <v>40</v>
      </c>
    </row>
    <row r="1617" spans="1:18" x14ac:dyDescent="0.25">
      <c r="A1617">
        <v>2015</v>
      </c>
      <c r="B1617">
        <v>8</v>
      </c>
      <c r="C1617" s="1" t="s">
        <v>31</v>
      </c>
      <c r="D1617" s="1" t="s">
        <v>19</v>
      </c>
      <c r="E1617" s="1" t="s">
        <v>52</v>
      </c>
      <c r="F1617">
        <v>2006</v>
      </c>
      <c r="G1617">
        <v>9</v>
      </c>
      <c r="H1617" s="1" t="s">
        <v>21</v>
      </c>
      <c r="I1617">
        <v>15</v>
      </c>
      <c r="J1617">
        <v>1866</v>
      </c>
      <c r="K1617" s="1" t="s">
        <v>53</v>
      </c>
      <c r="L1617" s="1" t="s">
        <v>45</v>
      </c>
      <c r="M1617">
        <v>2.0459999999999998</v>
      </c>
      <c r="N1617">
        <v>30691</v>
      </c>
      <c r="O1617">
        <v>30.690999999999999</v>
      </c>
      <c r="P1617" s="2">
        <v>42217</v>
      </c>
      <c r="Q1617">
        <v>1</v>
      </c>
      <c r="R1617" s="1" t="s">
        <v>40</v>
      </c>
    </row>
    <row r="1618" spans="1:18" x14ac:dyDescent="0.25">
      <c r="A1618">
        <v>2015</v>
      </c>
      <c r="B1618">
        <v>9</v>
      </c>
      <c r="C1618" s="1" t="s">
        <v>32</v>
      </c>
      <c r="D1618" s="1" t="s">
        <v>19</v>
      </c>
      <c r="E1618" s="1" t="s">
        <v>52</v>
      </c>
      <c r="F1618">
        <v>2006</v>
      </c>
      <c r="G1618">
        <v>9</v>
      </c>
      <c r="H1618" s="1" t="s">
        <v>21</v>
      </c>
      <c r="I1618">
        <v>15</v>
      </c>
      <c r="J1618">
        <v>1866</v>
      </c>
      <c r="K1618" s="1" t="s">
        <v>53</v>
      </c>
      <c r="L1618" s="1" t="s">
        <v>45</v>
      </c>
      <c r="M1618">
        <v>1.6020000000000001</v>
      </c>
      <c r="N1618">
        <v>24029.4</v>
      </c>
      <c r="O1618">
        <v>24.029</v>
      </c>
      <c r="P1618" s="2">
        <v>42248</v>
      </c>
      <c r="Q1618">
        <v>1</v>
      </c>
      <c r="R1618" s="1" t="s">
        <v>40</v>
      </c>
    </row>
    <row r="1619" spans="1:18" x14ac:dyDescent="0.25">
      <c r="A1619">
        <v>2015</v>
      </c>
      <c r="B1619">
        <v>10</v>
      </c>
      <c r="C1619" s="1" t="s">
        <v>33</v>
      </c>
      <c r="D1619" s="1" t="s">
        <v>19</v>
      </c>
      <c r="E1619" s="1" t="s">
        <v>52</v>
      </c>
      <c r="F1619">
        <v>2006</v>
      </c>
      <c r="G1619">
        <v>9</v>
      </c>
      <c r="H1619" s="1" t="s">
        <v>21</v>
      </c>
      <c r="I1619">
        <v>15</v>
      </c>
      <c r="J1619">
        <v>1866</v>
      </c>
      <c r="K1619" s="1" t="s">
        <v>53</v>
      </c>
      <c r="L1619" s="1" t="s">
        <v>45</v>
      </c>
      <c r="M1619">
        <v>1.5760000000000001</v>
      </c>
      <c r="N1619">
        <v>23637.599999999999</v>
      </c>
      <c r="O1619">
        <v>23.638000000000002</v>
      </c>
      <c r="P1619" s="2">
        <v>42278</v>
      </c>
      <c r="Q1619">
        <v>1</v>
      </c>
      <c r="R1619" s="1" t="s">
        <v>40</v>
      </c>
    </row>
    <row r="1620" spans="1:18" x14ac:dyDescent="0.25">
      <c r="A1620">
        <v>2015</v>
      </c>
      <c r="B1620">
        <v>11</v>
      </c>
      <c r="C1620" s="1" t="s">
        <v>34</v>
      </c>
      <c r="D1620" s="1" t="s">
        <v>19</v>
      </c>
      <c r="E1620" s="1" t="s">
        <v>52</v>
      </c>
      <c r="F1620">
        <v>2006</v>
      </c>
      <c r="G1620">
        <v>9</v>
      </c>
      <c r="H1620" s="1" t="s">
        <v>21</v>
      </c>
      <c r="I1620">
        <v>15</v>
      </c>
      <c r="J1620">
        <v>1866</v>
      </c>
      <c r="K1620" s="1" t="s">
        <v>53</v>
      </c>
      <c r="L1620" s="1" t="s">
        <v>45</v>
      </c>
      <c r="M1620">
        <v>1.167</v>
      </c>
      <c r="N1620">
        <v>17507.7</v>
      </c>
      <c r="O1620">
        <v>17.507999999999999</v>
      </c>
      <c r="P1620" s="2">
        <v>42309</v>
      </c>
      <c r="Q1620">
        <v>1</v>
      </c>
      <c r="R1620" s="1" t="s">
        <v>40</v>
      </c>
    </row>
    <row r="1621" spans="1:18" x14ac:dyDescent="0.25">
      <c r="A1621">
        <v>2015</v>
      </c>
      <c r="B1621">
        <v>12</v>
      </c>
      <c r="C1621" s="1" t="s">
        <v>35</v>
      </c>
      <c r="D1621" s="1" t="s">
        <v>19</v>
      </c>
      <c r="E1621" s="1" t="s">
        <v>52</v>
      </c>
      <c r="F1621">
        <v>2006</v>
      </c>
      <c r="G1621">
        <v>9</v>
      </c>
      <c r="H1621" s="1" t="s">
        <v>21</v>
      </c>
      <c r="I1621">
        <v>15</v>
      </c>
      <c r="J1621">
        <v>1866</v>
      </c>
      <c r="K1621" s="1" t="s">
        <v>53</v>
      </c>
      <c r="L1621" s="1" t="s">
        <v>45</v>
      </c>
      <c r="M1621">
        <v>1.155</v>
      </c>
      <c r="N1621">
        <v>17325.8</v>
      </c>
      <c r="O1621">
        <v>17.326000000000001</v>
      </c>
      <c r="P1621" s="2">
        <v>42339</v>
      </c>
      <c r="Q1621">
        <v>1</v>
      </c>
      <c r="R1621" s="1" t="s">
        <v>40</v>
      </c>
    </row>
    <row r="1622" spans="1:18" x14ac:dyDescent="0.25">
      <c r="A1622">
        <v>2015</v>
      </c>
      <c r="B1622">
        <v>1</v>
      </c>
      <c r="C1622" s="1" t="s">
        <v>18</v>
      </c>
      <c r="D1622" s="1" t="s">
        <v>19</v>
      </c>
      <c r="E1622" s="1" t="s">
        <v>54</v>
      </c>
      <c r="F1622">
        <v>2006</v>
      </c>
      <c r="G1622">
        <v>9</v>
      </c>
      <c r="H1622" s="1" t="s">
        <v>21</v>
      </c>
      <c r="I1622">
        <v>25</v>
      </c>
      <c r="J1622">
        <v>3154</v>
      </c>
      <c r="K1622" s="1" t="s">
        <v>55</v>
      </c>
      <c r="L1622" s="1" t="s">
        <v>45</v>
      </c>
      <c r="M1622">
        <v>0.82499999999999996</v>
      </c>
      <c r="N1622">
        <v>20627.2</v>
      </c>
      <c r="O1622">
        <v>20.626999999999999</v>
      </c>
      <c r="P1622" s="2">
        <v>42005</v>
      </c>
      <c r="Q1622">
        <v>1</v>
      </c>
      <c r="R1622" s="1" t="s">
        <v>40</v>
      </c>
    </row>
    <row r="1623" spans="1:18" x14ac:dyDescent="0.25">
      <c r="A1623">
        <v>2015</v>
      </c>
      <c r="B1623">
        <v>2</v>
      </c>
      <c r="C1623" s="1" t="s">
        <v>25</v>
      </c>
      <c r="D1623" s="1" t="s">
        <v>19</v>
      </c>
      <c r="E1623" s="1" t="s">
        <v>54</v>
      </c>
      <c r="F1623">
        <v>2006</v>
      </c>
      <c r="G1623">
        <v>9</v>
      </c>
      <c r="H1623" s="1" t="s">
        <v>21</v>
      </c>
      <c r="I1623">
        <v>25</v>
      </c>
      <c r="J1623">
        <v>3154</v>
      </c>
      <c r="K1623" s="1" t="s">
        <v>55</v>
      </c>
      <c r="L1623" s="1" t="s">
        <v>45</v>
      </c>
      <c r="M1623">
        <v>0.873</v>
      </c>
      <c r="N1623">
        <v>21833.599999999999</v>
      </c>
      <c r="O1623">
        <v>21.834</v>
      </c>
      <c r="P1623" s="2">
        <v>42036</v>
      </c>
      <c r="Q1623">
        <v>1</v>
      </c>
      <c r="R1623" s="1" t="s">
        <v>40</v>
      </c>
    </row>
    <row r="1624" spans="1:18" x14ac:dyDescent="0.25">
      <c r="A1624">
        <v>2015</v>
      </c>
      <c r="B1624">
        <v>3</v>
      </c>
      <c r="C1624" s="1" t="s">
        <v>26</v>
      </c>
      <c r="D1624" s="1" t="s">
        <v>19</v>
      </c>
      <c r="E1624" s="1" t="s">
        <v>54</v>
      </c>
      <c r="F1624">
        <v>2006</v>
      </c>
      <c r="G1624">
        <v>9</v>
      </c>
      <c r="H1624" s="1" t="s">
        <v>21</v>
      </c>
      <c r="I1624">
        <v>25</v>
      </c>
      <c r="J1624">
        <v>3154</v>
      </c>
      <c r="K1624" s="1" t="s">
        <v>55</v>
      </c>
      <c r="L1624" s="1" t="s">
        <v>45</v>
      </c>
      <c r="M1624">
        <v>1.1910000000000001</v>
      </c>
      <c r="N1624">
        <v>29781.599999999999</v>
      </c>
      <c r="O1624">
        <v>29.782</v>
      </c>
      <c r="P1624" s="2">
        <v>42064</v>
      </c>
      <c r="Q1624">
        <v>1</v>
      </c>
      <c r="R1624" s="1" t="s">
        <v>40</v>
      </c>
    </row>
    <row r="1625" spans="1:18" x14ac:dyDescent="0.25">
      <c r="A1625">
        <v>2015</v>
      </c>
      <c r="B1625">
        <v>4</v>
      </c>
      <c r="C1625" s="1" t="s">
        <v>27</v>
      </c>
      <c r="D1625" s="1" t="s">
        <v>19</v>
      </c>
      <c r="E1625" s="1" t="s">
        <v>54</v>
      </c>
      <c r="F1625">
        <v>2006</v>
      </c>
      <c r="G1625">
        <v>9</v>
      </c>
      <c r="H1625" s="1" t="s">
        <v>21</v>
      </c>
      <c r="I1625">
        <v>25</v>
      </c>
      <c r="J1625">
        <v>3154</v>
      </c>
      <c r="K1625" s="1" t="s">
        <v>55</v>
      </c>
      <c r="L1625" s="1" t="s">
        <v>45</v>
      </c>
      <c r="M1625">
        <v>1.0760000000000001</v>
      </c>
      <c r="N1625">
        <v>26895.7</v>
      </c>
      <c r="O1625">
        <v>26.896000000000001</v>
      </c>
      <c r="P1625" s="2">
        <v>42095</v>
      </c>
      <c r="Q1625">
        <v>1</v>
      </c>
      <c r="R1625" s="1" t="s">
        <v>40</v>
      </c>
    </row>
    <row r="1626" spans="1:18" x14ac:dyDescent="0.25">
      <c r="A1626">
        <v>2015</v>
      </c>
      <c r="B1626">
        <v>5</v>
      </c>
      <c r="C1626" s="1" t="s">
        <v>28</v>
      </c>
      <c r="D1626" s="1" t="s">
        <v>19</v>
      </c>
      <c r="E1626" s="1" t="s">
        <v>54</v>
      </c>
      <c r="F1626">
        <v>2006</v>
      </c>
      <c r="G1626">
        <v>9</v>
      </c>
      <c r="H1626" s="1" t="s">
        <v>21</v>
      </c>
      <c r="I1626">
        <v>25</v>
      </c>
      <c r="J1626">
        <v>3154</v>
      </c>
      <c r="K1626" s="1" t="s">
        <v>55</v>
      </c>
      <c r="L1626" s="1" t="s">
        <v>45</v>
      </c>
      <c r="M1626">
        <v>1.18</v>
      </c>
      <c r="N1626">
        <v>29497.8</v>
      </c>
      <c r="O1626">
        <v>29.498000000000001</v>
      </c>
      <c r="P1626" s="2">
        <v>42125</v>
      </c>
      <c r="Q1626">
        <v>1</v>
      </c>
      <c r="R1626" s="1" t="s">
        <v>40</v>
      </c>
    </row>
    <row r="1627" spans="1:18" x14ac:dyDescent="0.25">
      <c r="A1627">
        <v>2015</v>
      </c>
      <c r="B1627">
        <v>6</v>
      </c>
      <c r="C1627" s="1" t="s">
        <v>29</v>
      </c>
      <c r="D1627" s="1" t="s">
        <v>19</v>
      </c>
      <c r="E1627" s="1" t="s">
        <v>54</v>
      </c>
      <c r="F1627">
        <v>2006</v>
      </c>
      <c r="G1627">
        <v>9</v>
      </c>
      <c r="H1627" s="1" t="s">
        <v>21</v>
      </c>
      <c r="I1627">
        <v>25</v>
      </c>
      <c r="J1627">
        <v>3154</v>
      </c>
      <c r="K1627" s="1" t="s">
        <v>55</v>
      </c>
      <c r="L1627" s="1" t="s">
        <v>45</v>
      </c>
      <c r="M1627">
        <v>1.6220000000000001</v>
      </c>
      <c r="N1627">
        <v>40544.699999999997</v>
      </c>
      <c r="O1627">
        <v>40.545000000000002</v>
      </c>
      <c r="P1627" s="2">
        <v>42156</v>
      </c>
      <c r="Q1627">
        <v>1</v>
      </c>
      <c r="R1627" s="1" t="s">
        <v>40</v>
      </c>
    </row>
    <row r="1628" spans="1:18" x14ac:dyDescent="0.25">
      <c r="A1628">
        <v>2015</v>
      </c>
      <c r="B1628">
        <v>7</v>
      </c>
      <c r="C1628" s="1" t="s">
        <v>30</v>
      </c>
      <c r="D1628" s="1" t="s">
        <v>19</v>
      </c>
      <c r="E1628" s="1" t="s">
        <v>54</v>
      </c>
      <c r="F1628">
        <v>2006</v>
      </c>
      <c r="G1628">
        <v>9</v>
      </c>
      <c r="H1628" s="1" t="s">
        <v>21</v>
      </c>
      <c r="I1628">
        <v>25</v>
      </c>
      <c r="J1628">
        <v>3154</v>
      </c>
      <c r="K1628" s="1" t="s">
        <v>55</v>
      </c>
      <c r="L1628" s="1" t="s">
        <v>45</v>
      </c>
      <c r="M1628">
        <v>1.893</v>
      </c>
      <c r="N1628">
        <v>47333.7</v>
      </c>
      <c r="O1628">
        <v>47.334000000000003</v>
      </c>
      <c r="P1628" s="2">
        <v>42186</v>
      </c>
      <c r="Q1628">
        <v>1</v>
      </c>
      <c r="R1628" s="1" t="s">
        <v>40</v>
      </c>
    </row>
    <row r="1629" spans="1:18" x14ac:dyDescent="0.25">
      <c r="A1629">
        <v>2015</v>
      </c>
      <c r="B1629">
        <v>8</v>
      </c>
      <c r="C1629" s="1" t="s">
        <v>31</v>
      </c>
      <c r="D1629" s="1" t="s">
        <v>19</v>
      </c>
      <c r="E1629" s="1" t="s">
        <v>54</v>
      </c>
      <c r="F1629">
        <v>2006</v>
      </c>
      <c r="G1629">
        <v>9</v>
      </c>
      <c r="H1629" s="1" t="s">
        <v>21</v>
      </c>
      <c r="I1629">
        <v>25</v>
      </c>
      <c r="J1629">
        <v>3154</v>
      </c>
      <c r="K1629" s="1" t="s">
        <v>55</v>
      </c>
      <c r="L1629" s="1" t="s">
        <v>45</v>
      </c>
      <c r="M1629">
        <v>2.0750000000000002</v>
      </c>
      <c r="N1629">
        <v>51875.4</v>
      </c>
      <c r="O1629">
        <v>51.875</v>
      </c>
      <c r="P1629" s="2">
        <v>42217</v>
      </c>
      <c r="Q1629">
        <v>1</v>
      </c>
      <c r="R1629" s="1" t="s">
        <v>40</v>
      </c>
    </row>
    <row r="1630" spans="1:18" x14ac:dyDescent="0.25">
      <c r="A1630">
        <v>2015</v>
      </c>
      <c r="B1630">
        <v>9</v>
      </c>
      <c r="C1630" s="1" t="s">
        <v>32</v>
      </c>
      <c r="D1630" s="1" t="s">
        <v>19</v>
      </c>
      <c r="E1630" s="1" t="s">
        <v>54</v>
      </c>
      <c r="F1630">
        <v>2006</v>
      </c>
      <c r="G1630">
        <v>9</v>
      </c>
      <c r="H1630" s="1" t="s">
        <v>21</v>
      </c>
      <c r="I1630">
        <v>25</v>
      </c>
      <c r="J1630">
        <v>3154</v>
      </c>
      <c r="K1630" s="1" t="s">
        <v>55</v>
      </c>
      <c r="L1630" s="1" t="s">
        <v>45</v>
      </c>
      <c r="M1630">
        <v>1.625</v>
      </c>
      <c r="N1630">
        <v>40615.599999999999</v>
      </c>
      <c r="O1630">
        <v>40.616</v>
      </c>
      <c r="P1630" s="2">
        <v>42248</v>
      </c>
      <c r="Q1630">
        <v>1</v>
      </c>
      <c r="R1630" s="1" t="s">
        <v>40</v>
      </c>
    </row>
    <row r="1631" spans="1:18" x14ac:dyDescent="0.25">
      <c r="A1631">
        <v>2015</v>
      </c>
      <c r="B1631">
        <v>10</v>
      </c>
      <c r="C1631" s="1" t="s">
        <v>33</v>
      </c>
      <c r="D1631" s="1" t="s">
        <v>19</v>
      </c>
      <c r="E1631" s="1" t="s">
        <v>54</v>
      </c>
      <c r="F1631">
        <v>2006</v>
      </c>
      <c r="G1631">
        <v>9</v>
      </c>
      <c r="H1631" s="1" t="s">
        <v>21</v>
      </c>
      <c r="I1631">
        <v>25</v>
      </c>
      <c r="J1631">
        <v>3154</v>
      </c>
      <c r="K1631" s="1" t="s">
        <v>55</v>
      </c>
      <c r="L1631" s="1" t="s">
        <v>45</v>
      </c>
      <c r="M1631">
        <v>1.5980000000000001</v>
      </c>
      <c r="N1631">
        <v>39953.300000000003</v>
      </c>
      <c r="O1631">
        <v>39.953000000000003</v>
      </c>
      <c r="P1631" s="2">
        <v>42278</v>
      </c>
      <c r="Q1631">
        <v>1</v>
      </c>
      <c r="R1631" s="1" t="s">
        <v>40</v>
      </c>
    </row>
    <row r="1632" spans="1:18" x14ac:dyDescent="0.25">
      <c r="A1632">
        <v>2015</v>
      </c>
      <c r="B1632">
        <v>11</v>
      </c>
      <c r="C1632" s="1" t="s">
        <v>34</v>
      </c>
      <c r="D1632" s="1" t="s">
        <v>19</v>
      </c>
      <c r="E1632" s="1" t="s">
        <v>54</v>
      </c>
      <c r="F1632">
        <v>2006</v>
      </c>
      <c r="G1632">
        <v>9</v>
      </c>
      <c r="H1632" s="1" t="s">
        <v>21</v>
      </c>
      <c r="I1632">
        <v>25</v>
      </c>
      <c r="J1632">
        <v>3154</v>
      </c>
      <c r="K1632" s="1" t="s">
        <v>55</v>
      </c>
      <c r="L1632" s="1" t="s">
        <v>45</v>
      </c>
      <c r="M1632">
        <v>1.1839999999999999</v>
      </c>
      <c r="N1632">
        <v>29592.400000000001</v>
      </c>
      <c r="O1632">
        <v>29.591999999999999</v>
      </c>
      <c r="P1632" s="2">
        <v>42309</v>
      </c>
      <c r="Q1632">
        <v>1</v>
      </c>
      <c r="R1632" s="1" t="s">
        <v>40</v>
      </c>
    </row>
    <row r="1633" spans="1:18" x14ac:dyDescent="0.25">
      <c r="A1633">
        <v>2015</v>
      </c>
      <c r="B1633">
        <v>12</v>
      </c>
      <c r="C1633" s="1" t="s">
        <v>35</v>
      </c>
      <c r="D1633" s="1" t="s">
        <v>19</v>
      </c>
      <c r="E1633" s="1" t="s">
        <v>54</v>
      </c>
      <c r="F1633">
        <v>2006</v>
      </c>
      <c r="G1633">
        <v>9</v>
      </c>
      <c r="H1633" s="1" t="s">
        <v>21</v>
      </c>
      <c r="I1633">
        <v>25</v>
      </c>
      <c r="J1633">
        <v>3154</v>
      </c>
      <c r="K1633" s="1" t="s">
        <v>55</v>
      </c>
      <c r="L1633" s="1" t="s">
        <v>45</v>
      </c>
      <c r="M1633">
        <v>1.171</v>
      </c>
      <c r="N1633">
        <v>29284.9</v>
      </c>
      <c r="O1633">
        <v>29.285</v>
      </c>
      <c r="P1633" s="2">
        <v>42339</v>
      </c>
      <c r="Q1633">
        <v>1</v>
      </c>
      <c r="R1633" s="1" t="s">
        <v>40</v>
      </c>
    </row>
    <row r="1634" spans="1:18" x14ac:dyDescent="0.25">
      <c r="A1634">
        <v>2015</v>
      </c>
      <c r="B1634">
        <v>1</v>
      </c>
      <c r="C1634" s="1" t="s">
        <v>18</v>
      </c>
      <c r="D1634" s="1" t="s">
        <v>19</v>
      </c>
      <c r="E1634" s="1" t="s">
        <v>56</v>
      </c>
      <c r="F1634">
        <v>2006</v>
      </c>
      <c r="G1634">
        <v>9</v>
      </c>
      <c r="H1634" s="1" t="s">
        <v>21</v>
      </c>
      <c r="I1634">
        <v>35</v>
      </c>
      <c r="J1634">
        <v>4204</v>
      </c>
      <c r="K1634" s="1" t="s">
        <v>57</v>
      </c>
      <c r="L1634" s="1" t="s">
        <v>45</v>
      </c>
      <c r="M1634">
        <v>0.78600000000000003</v>
      </c>
      <c r="N1634">
        <v>27494.2</v>
      </c>
      <c r="O1634">
        <v>27.494</v>
      </c>
      <c r="P1634" s="2">
        <v>42005</v>
      </c>
      <c r="Q1634">
        <v>1</v>
      </c>
      <c r="R1634" s="1" t="s">
        <v>40</v>
      </c>
    </row>
    <row r="1635" spans="1:18" x14ac:dyDescent="0.25">
      <c r="A1635">
        <v>2015</v>
      </c>
      <c r="B1635">
        <v>2</v>
      </c>
      <c r="C1635" s="1" t="s">
        <v>25</v>
      </c>
      <c r="D1635" s="1" t="s">
        <v>19</v>
      </c>
      <c r="E1635" s="1" t="s">
        <v>56</v>
      </c>
      <c r="F1635">
        <v>2006</v>
      </c>
      <c r="G1635">
        <v>9</v>
      </c>
      <c r="H1635" s="1" t="s">
        <v>21</v>
      </c>
      <c r="I1635">
        <v>35</v>
      </c>
      <c r="J1635">
        <v>4204</v>
      </c>
      <c r="K1635" s="1" t="s">
        <v>57</v>
      </c>
      <c r="L1635" s="1" t="s">
        <v>45</v>
      </c>
      <c r="M1635">
        <v>0.83099999999999996</v>
      </c>
      <c r="N1635">
        <v>29102.2</v>
      </c>
      <c r="O1635">
        <v>29.102</v>
      </c>
      <c r="P1635" s="2">
        <v>42036</v>
      </c>
      <c r="Q1635">
        <v>1</v>
      </c>
      <c r="R1635" s="1" t="s">
        <v>40</v>
      </c>
    </row>
    <row r="1636" spans="1:18" x14ac:dyDescent="0.25">
      <c r="A1636">
        <v>2015</v>
      </c>
      <c r="B1636">
        <v>3</v>
      </c>
      <c r="C1636" s="1" t="s">
        <v>26</v>
      </c>
      <c r="D1636" s="1" t="s">
        <v>19</v>
      </c>
      <c r="E1636" s="1" t="s">
        <v>56</v>
      </c>
      <c r="F1636">
        <v>2006</v>
      </c>
      <c r="G1636">
        <v>9</v>
      </c>
      <c r="H1636" s="1" t="s">
        <v>21</v>
      </c>
      <c r="I1636">
        <v>35</v>
      </c>
      <c r="J1636">
        <v>4204</v>
      </c>
      <c r="K1636" s="1" t="s">
        <v>57</v>
      </c>
      <c r="L1636" s="1" t="s">
        <v>45</v>
      </c>
      <c r="M1636">
        <v>1.1339999999999999</v>
      </c>
      <c r="N1636">
        <v>39696.300000000003</v>
      </c>
      <c r="O1636">
        <v>39.695999999999998</v>
      </c>
      <c r="P1636" s="2">
        <v>42064</v>
      </c>
      <c r="Q1636">
        <v>1</v>
      </c>
      <c r="R1636" s="1" t="s">
        <v>40</v>
      </c>
    </row>
    <row r="1637" spans="1:18" x14ac:dyDescent="0.25">
      <c r="A1637">
        <v>2015</v>
      </c>
      <c r="B1637">
        <v>4</v>
      </c>
      <c r="C1637" s="1" t="s">
        <v>27</v>
      </c>
      <c r="D1637" s="1" t="s">
        <v>19</v>
      </c>
      <c r="E1637" s="1" t="s">
        <v>56</v>
      </c>
      <c r="F1637">
        <v>2006</v>
      </c>
      <c r="G1637">
        <v>9</v>
      </c>
      <c r="H1637" s="1" t="s">
        <v>21</v>
      </c>
      <c r="I1637">
        <v>35</v>
      </c>
      <c r="J1637">
        <v>4204</v>
      </c>
      <c r="K1637" s="1" t="s">
        <v>57</v>
      </c>
      <c r="L1637" s="1" t="s">
        <v>45</v>
      </c>
      <c r="M1637">
        <v>1.024</v>
      </c>
      <c r="N1637">
        <v>35849.599999999999</v>
      </c>
      <c r="O1637">
        <v>35.85</v>
      </c>
      <c r="P1637" s="2">
        <v>42095</v>
      </c>
      <c r="Q1637">
        <v>1</v>
      </c>
      <c r="R1637" s="1" t="s">
        <v>40</v>
      </c>
    </row>
    <row r="1638" spans="1:18" x14ac:dyDescent="0.25">
      <c r="A1638">
        <v>2015</v>
      </c>
      <c r="B1638">
        <v>5</v>
      </c>
      <c r="C1638" s="1" t="s">
        <v>28</v>
      </c>
      <c r="D1638" s="1" t="s">
        <v>19</v>
      </c>
      <c r="E1638" s="1" t="s">
        <v>56</v>
      </c>
      <c r="F1638">
        <v>2006</v>
      </c>
      <c r="G1638">
        <v>9</v>
      </c>
      <c r="H1638" s="1" t="s">
        <v>21</v>
      </c>
      <c r="I1638">
        <v>35</v>
      </c>
      <c r="J1638">
        <v>4204</v>
      </c>
      <c r="K1638" s="1" t="s">
        <v>57</v>
      </c>
      <c r="L1638" s="1" t="s">
        <v>45</v>
      </c>
      <c r="M1638">
        <v>1.123</v>
      </c>
      <c r="N1638">
        <v>39317.9</v>
      </c>
      <c r="O1638">
        <v>39.317999999999998</v>
      </c>
      <c r="P1638" s="2">
        <v>42125</v>
      </c>
      <c r="Q1638">
        <v>1</v>
      </c>
      <c r="R1638" s="1" t="s">
        <v>40</v>
      </c>
    </row>
    <row r="1639" spans="1:18" x14ac:dyDescent="0.25">
      <c r="A1639">
        <v>2015</v>
      </c>
      <c r="B1639">
        <v>6</v>
      </c>
      <c r="C1639" s="1" t="s">
        <v>29</v>
      </c>
      <c r="D1639" s="1" t="s">
        <v>19</v>
      </c>
      <c r="E1639" s="1" t="s">
        <v>56</v>
      </c>
      <c r="F1639">
        <v>2006</v>
      </c>
      <c r="G1639">
        <v>9</v>
      </c>
      <c r="H1639" s="1" t="s">
        <v>21</v>
      </c>
      <c r="I1639">
        <v>35</v>
      </c>
      <c r="J1639">
        <v>4204</v>
      </c>
      <c r="K1639" s="1" t="s">
        <v>57</v>
      </c>
      <c r="L1639" s="1" t="s">
        <v>45</v>
      </c>
      <c r="M1639">
        <v>1.544</v>
      </c>
      <c r="N1639">
        <v>54042.400000000001</v>
      </c>
      <c r="O1639">
        <v>54.042000000000002</v>
      </c>
      <c r="P1639" s="2">
        <v>42156</v>
      </c>
      <c r="Q1639">
        <v>1</v>
      </c>
      <c r="R1639" s="1" t="s">
        <v>40</v>
      </c>
    </row>
    <row r="1640" spans="1:18" x14ac:dyDescent="0.25">
      <c r="A1640">
        <v>2015</v>
      </c>
      <c r="B1640">
        <v>7</v>
      </c>
      <c r="C1640" s="1" t="s">
        <v>30</v>
      </c>
      <c r="D1640" s="1" t="s">
        <v>19</v>
      </c>
      <c r="E1640" s="1" t="s">
        <v>56</v>
      </c>
      <c r="F1640">
        <v>2006</v>
      </c>
      <c r="G1640">
        <v>9</v>
      </c>
      <c r="H1640" s="1" t="s">
        <v>21</v>
      </c>
      <c r="I1640">
        <v>35</v>
      </c>
      <c r="J1640">
        <v>4204</v>
      </c>
      <c r="K1640" s="1" t="s">
        <v>57</v>
      </c>
      <c r="L1640" s="1" t="s">
        <v>45</v>
      </c>
      <c r="M1640">
        <v>1.8029999999999999</v>
      </c>
      <c r="N1640">
        <v>63091.5</v>
      </c>
      <c r="O1640">
        <v>63.091999999999999</v>
      </c>
      <c r="P1640" s="2">
        <v>42186</v>
      </c>
      <c r="Q1640">
        <v>1</v>
      </c>
      <c r="R1640" s="1" t="s">
        <v>40</v>
      </c>
    </row>
    <row r="1641" spans="1:18" x14ac:dyDescent="0.25">
      <c r="A1641">
        <v>2015</v>
      </c>
      <c r="B1641">
        <v>8</v>
      </c>
      <c r="C1641" s="1" t="s">
        <v>31</v>
      </c>
      <c r="D1641" s="1" t="s">
        <v>19</v>
      </c>
      <c r="E1641" s="1" t="s">
        <v>56</v>
      </c>
      <c r="F1641">
        <v>2006</v>
      </c>
      <c r="G1641">
        <v>9</v>
      </c>
      <c r="H1641" s="1" t="s">
        <v>21</v>
      </c>
      <c r="I1641">
        <v>35</v>
      </c>
      <c r="J1641">
        <v>4204</v>
      </c>
      <c r="K1641" s="1" t="s">
        <v>57</v>
      </c>
      <c r="L1641" s="1" t="s">
        <v>45</v>
      </c>
      <c r="M1641">
        <v>1.976</v>
      </c>
      <c r="N1641">
        <v>69145.3</v>
      </c>
      <c r="O1641">
        <v>69.144999999999996</v>
      </c>
      <c r="P1641" s="2">
        <v>42217</v>
      </c>
      <c r="Q1641">
        <v>1</v>
      </c>
      <c r="R1641" s="1" t="s">
        <v>40</v>
      </c>
    </row>
    <row r="1642" spans="1:18" x14ac:dyDescent="0.25">
      <c r="A1642">
        <v>2015</v>
      </c>
      <c r="B1642">
        <v>9</v>
      </c>
      <c r="C1642" s="1" t="s">
        <v>32</v>
      </c>
      <c r="D1642" s="1" t="s">
        <v>19</v>
      </c>
      <c r="E1642" s="1" t="s">
        <v>56</v>
      </c>
      <c r="F1642">
        <v>2006</v>
      </c>
      <c r="G1642">
        <v>9</v>
      </c>
      <c r="H1642" s="1" t="s">
        <v>21</v>
      </c>
      <c r="I1642">
        <v>35</v>
      </c>
      <c r="J1642">
        <v>4204</v>
      </c>
      <c r="K1642" s="1" t="s">
        <v>57</v>
      </c>
      <c r="L1642" s="1" t="s">
        <v>45</v>
      </c>
      <c r="M1642">
        <v>1.5469999999999999</v>
      </c>
      <c r="N1642">
        <v>54137</v>
      </c>
      <c r="O1642">
        <v>54.137</v>
      </c>
      <c r="P1642" s="2">
        <v>42248</v>
      </c>
      <c r="Q1642">
        <v>1</v>
      </c>
      <c r="R1642" s="1" t="s">
        <v>40</v>
      </c>
    </row>
    <row r="1643" spans="1:18" x14ac:dyDescent="0.25">
      <c r="A1643">
        <v>2015</v>
      </c>
      <c r="B1643">
        <v>10</v>
      </c>
      <c r="C1643" s="1" t="s">
        <v>33</v>
      </c>
      <c r="D1643" s="1" t="s">
        <v>19</v>
      </c>
      <c r="E1643" s="1" t="s">
        <v>56</v>
      </c>
      <c r="F1643">
        <v>2006</v>
      </c>
      <c r="G1643">
        <v>9</v>
      </c>
      <c r="H1643" s="1" t="s">
        <v>21</v>
      </c>
      <c r="I1643">
        <v>35</v>
      </c>
      <c r="J1643">
        <v>4204</v>
      </c>
      <c r="K1643" s="1" t="s">
        <v>57</v>
      </c>
      <c r="L1643" s="1" t="s">
        <v>45</v>
      </c>
      <c r="M1643">
        <v>1.522</v>
      </c>
      <c r="N1643">
        <v>53254.2</v>
      </c>
      <c r="O1643">
        <v>53.253999999999998</v>
      </c>
      <c r="P1643" s="2">
        <v>42278</v>
      </c>
      <c r="Q1643">
        <v>1</v>
      </c>
      <c r="R1643" s="1" t="s">
        <v>40</v>
      </c>
    </row>
    <row r="1644" spans="1:18" x14ac:dyDescent="0.25">
      <c r="A1644">
        <v>2015</v>
      </c>
      <c r="B1644">
        <v>11</v>
      </c>
      <c r="C1644" s="1" t="s">
        <v>34</v>
      </c>
      <c r="D1644" s="1" t="s">
        <v>19</v>
      </c>
      <c r="E1644" s="1" t="s">
        <v>56</v>
      </c>
      <c r="F1644">
        <v>2006</v>
      </c>
      <c r="G1644">
        <v>9</v>
      </c>
      <c r="H1644" s="1" t="s">
        <v>21</v>
      </c>
      <c r="I1644">
        <v>35</v>
      </c>
      <c r="J1644">
        <v>4204</v>
      </c>
      <c r="K1644" s="1" t="s">
        <v>57</v>
      </c>
      <c r="L1644" s="1" t="s">
        <v>45</v>
      </c>
      <c r="M1644">
        <v>1.127</v>
      </c>
      <c r="N1644">
        <v>39444</v>
      </c>
      <c r="O1644">
        <v>39.444000000000003</v>
      </c>
      <c r="P1644" s="2">
        <v>42309</v>
      </c>
      <c r="Q1644">
        <v>1</v>
      </c>
      <c r="R1644" s="1" t="s">
        <v>40</v>
      </c>
    </row>
    <row r="1645" spans="1:18" x14ac:dyDescent="0.25">
      <c r="A1645">
        <v>2015</v>
      </c>
      <c r="B1645">
        <v>12</v>
      </c>
      <c r="C1645" s="1" t="s">
        <v>35</v>
      </c>
      <c r="D1645" s="1" t="s">
        <v>19</v>
      </c>
      <c r="E1645" s="1" t="s">
        <v>56</v>
      </c>
      <c r="F1645">
        <v>2006</v>
      </c>
      <c r="G1645">
        <v>9</v>
      </c>
      <c r="H1645" s="1" t="s">
        <v>21</v>
      </c>
      <c r="I1645">
        <v>35</v>
      </c>
      <c r="J1645">
        <v>4204</v>
      </c>
      <c r="K1645" s="1" t="s">
        <v>57</v>
      </c>
      <c r="L1645" s="1" t="s">
        <v>45</v>
      </c>
      <c r="M1645">
        <v>1.115</v>
      </c>
      <c r="N1645">
        <v>39034.1</v>
      </c>
      <c r="O1645">
        <v>39.033999999999999</v>
      </c>
      <c r="P1645" s="2">
        <v>42339</v>
      </c>
      <c r="Q1645">
        <v>1</v>
      </c>
      <c r="R1645" s="1" t="s">
        <v>40</v>
      </c>
    </row>
    <row r="1646" spans="1:18" x14ac:dyDescent="0.25">
      <c r="A1646">
        <v>2015</v>
      </c>
      <c r="B1646">
        <v>1</v>
      </c>
      <c r="C1646" s="1" t="s">
        <v>18</v>
      </c>
      <c r="D1646" s="1" t="s">
        <v>19</v>
      </c>
      <c r="E1646" s="1" t="s">
        <v>58</v>
      </c>
      <c r="F1646">
        <v>2012</v>
      </c>
      <c r="G1646">
        <v>3</v>
      </c>
      <c r="H1646" s="1" t="s">
        <v>121</v>
      </c>
      <c r="I1646">
        <v>10</v>
      </c>
      <c r="J1646">
        <v>1434</v>
      </c>
      <c r="K1646" s="1" t="s">
        <v>60</v>
      </c>
      <c r="L1646" s="1" t="s">
        <v>45</v>
      </c>
      <c r="M1646">
        <v>0.33100000000000002</v>
      </c>
      <c r="N1646">
        <v>3313.6</v>
      </c>
      <c r="O1646">
        <v>3.3140000000000001</v>
      </c>
      <c r="P1646" s="2">
        <v>42005</v>
      </c>
      <c r="Q1646">
        <v>1</v>
      </c>
      <c r="R1646" s="1" t="s">
        <v>122</v>
      </c>
    </row>
    <row r="1647" spans="1:18" x14ac:dyDescent="0.25">
      <c r="A1647">
        <v>2015</v>
      </c>
      <c r="B1647">
        <v>2</v>
      </c>
      <c r="C1647" s="1" t="s">
        <v>25</v>
      </c>
      <c r="D1647" s="1" t="s">
        <v>19</v>
      </c>
      <c r="E1647" s="1" t="s">
        <v>58</v>
      </c>
      <c r="F1647">
        <v>2012</v>
      </c>
      <c r="G1647">
        <v>3</v>
      </c>
      <c r="H1647" s="1" t="s">
        <v>121</v>
      </c>
      <c r="I1647">
        <v>10</v>
      </c>
      <c r="J1647">
        <v>1434</v>
      </c>
      <c r="K1647" s="1" t="s">
        <v>60</v>
      </c>
      <c r="L1647" s="1" t="s">
        <v>45</v>
      </c>
      <c r="M1647">
        <v>0.35099999999999998</v>
      </c>
      <c r="N1647">
        <v>3507.4</v>
      </c>
      <c r="O1647">
        <v>3.5070000000000001</v>
      </c>
      <c r="P1647" s="2">
        <v>42036</v>
      </c>
      <c r="Q1647">
        <v>1</v>
      </c>
      <c r="R1647" s="1" t="s">
        <v>122</v>
      </c>
    </row>
    <row r="1648" spans="1:18" x14ac:dyDescent="0.25">
      <c r="A1648">
        <v>2015</v>
      </c>
      <c r="B1648">
        <v>3</v>
      </c>
      <c r="C1648" s="1" t="s">
        <v>26</v>
      </c>
      <c r="D1648" s="1" t="s">
        <v>19</v>
      </c>
      <c r="E1648" s="1" t="s">
        <v>58</v>
      </c>
      <c r="F1648">
        <v>2012</v>
      </c>
      <c r="G1648">
        <v>3</v>
      </c>
      <c r="H1648" s="1" t="s">
        <v>121</v>
      </c>
      <c r="I1648">
        <v>10</v>
      </c>
      <c r="J1648">
        <v>1434</v>
      </c>
      <c r="K1648" s="1" t="s">
        <v>60</v>
      </c>
      <c r="L1648" s="1" t="s">
        <v>45</v>
      </c>
      <c r="M1648">
        <v>0.47799999999999998</v>
      </c>
      <c r="N1648">
        <v>4784.2</v>
      </c>
      <c r="O1648">
        <v>4.7839999999999998</v>
      </c>
      <c r="P1648" s="2">
        <v>42064</v>
      </c>
      <c r="Q1648">
        <v>1</v>
      </c>
      <c r="R1648" s="1" t="s">
        <v>122</v>
      </c>
    </row>
    <row r="1649" spans="1:18" x14ac:dyDescent="0.25">
      <c r="A1649">
        <v>2015</v>
      </c>
      <c r="B1649">
        <v>4</v>
      </c>
      <c r="C1649" s="1" t="s">
        <v>27</v>
      </c>
      <c r="D1649" s="1" t="s">
        <v>19</v>
      </c>
      <c r="E1649" s="1" t="s">
        <v>58</v>
      </c>
      <c r="F1649">
        <v>2012</v>
      </c>
      <c r="G1649">
        <v>3</v>
      </c>
      <c r="H1649" s="1" t="s">
        <v>121</v>
      </c>
      <c r="I1649">
        <v>10</v>
      </c>
      <c r="J1649">
        <v>1434</v>
      </c>
      <c r="K1649" s="1" t="s">
        <v>60</v>
      </c>
      <c r="L1649" s="1" t="s">
        <v>45</v>
      </c>
      <c r="M1649">
        <v>0.432</v>
      </c>
      <c r="N1649">
        <v>4320.6000000000004</v>
      </c>
      <c r="O1649">
        <v>4.3209999999999997</v>
      </c>
      <c r="P1649" s="2">
        <v>42095</v>
      </c>
      <c r="Q1649">
        <v>1</v>
      </c>
      <c r="R1649" s="1" t="s">
        <v>122</v>
      </c>
    </row>
    <row r="1650" spans="1:18" x14ac:dyDescent="0.25">
      <c r="A1650">
        <v>2015</v>
      </c>
      <c r="B1650">
        <v>5</v>
      </c>
      <c r="C1650" s="1" t="s">
        <v>28</v>
      </c>
      <c r="D1650" s="1" t="s">
        <v>19</v>
      </c>
      <c r="E1650" s="1" t="s">
        <v>58</v>
      </c>
      <c r="F1650">
        <v>2012</v>
      </c>
      <c r="G1650">
        <v>3</v>
      </c>
      <c r="H1650" s="1" t="s">
        <v>121</v>
      </c>
      <c r="I1650">
        <v>10</v>
      </c>
      <c r="J1650">
        <v>1434</v>
      </c>
      <c r="K1650" s="1" t="s">
        <v>60</v>
      </c>
      <c r="L1650" s="1" t="s">
        <v>45</v>
      </c>
      <c r="M1650">
        <v>0.47399999999999998</v>
      </c>
      <c r="N1650">
        <v>4738.6000000000004</v>
      </c>
      <c r="O1650">
        <v>4.7389999999999999</v>
      </c>
      <c r="P1650" s="2">
        <v>42125</v>
      </c>
      <c r="Q1650">
        <v>1</v>
      </c>
      <c r="R1650" s="1" t="s">
        <v>122</v>
      </c>
    </row>
    <row r="1651" spans="1:18" x14ac:dyDescent="0.25">
      <c r="A1651">
        <v>2015</v>
      </c>
      <c r="B1651">
        <v>6</v>
      </c>
      <c r="C1651" s="1" t="s">
        <v>29</v>
      </c>
      <c r="D1651" s="1" t="s">
        <v>19</v>
      </c>
      <c r="E1651" s="1" t="s">
        <v>58</v>
      </c>
      <c r="F1651">
        <v>2012</v>
      </c>
      <c r="G1651">
        <v>3</v>
      </c>
      <c r="H1651" s="1" t="s">
        <v>121</v>
      </c>
      <c r="I1651">
        <v>10</v>
      </c>
      <c r="J1651">
        <v>1434</v>
      </c>
      <c r="K1651" s="1" t="s">
        <v>60</v>
      </c>
      <c r="L1651" s="1" t="s">
        <v>45</v>
      </c>
      <c r="M1651">
        <v>0.65100000000000002</v>
      </c>
      <c r="N1651">
        <v>6513.2</v>
      </c>
      <c r="O1651">
        <v>6.5129999999999999</v>
      </c>
      <c r="P1651" s="2">
        <v>42156</v>
      </c>
      <c r="Q1651">
        <v>1</v>
      </c>
      <c r="R1651" s="1" t="s">
        <v>122</v>
      </c>
    </row>
    <row r="1652" spans="1:18" x14ac:dyDescent="0.25">
      <c r="A1652">
        <v>2015</v>
      </c>
      <c r="B1652">
        <v>7</v>
      </c>
      <c r="C1652" s="1" t="s">
        <v>30</v>
      </c>
      <c r="D1652" s="1" t="s">
        <v>19</v>
      </c>
      <c r="E1652" s="1" t="s">
        <v>58</v>
      </c>
      <c r="F1652">
        <v>2012</v>
      </c>
      <c r="G1652">
        <v>3</v>
      </c>
      <c r="H1652" s="1" t="s">
        <v>121</v>
      </c>
      <c r="I1652">
        <v>10</v>
      </c>
      <c r="J1652">
        <v>1434</v>
      </c>
      <c r="K1652" s="1" t="s">
        <v>60</v>
      </c>
      <c r="L1652" s="1" t="s">
        <v>45</v>
      </c>
      <c r="M1652">
        <v>0.76</v>
      </c>
      <c r="N1652">
        <v>7603.8</v>
      </c>
      <c r="O1652">
        <v>7.6040000000000001</v>
      </c>
      <c r="P1652" s="2">
        <v>42186</v>
      </c>
      <c r="Q1652">
        <v>1</v>
      </c>
      <c r="R1652" s="1" t="s">
        <v>122</v>
      </c>
    </row>
    <row r="1653" spans="1:18" x14ac:dyDescent="0.25">
      <c r="A1653">
        <v>2015</v>
      </c>
      <c r="B1653">
        <v>8</v>
      </c>
      <c r="C1653" s="1" t="s">
        <v>31</v>
      </c>
      <c r="D1653" s="1" t="s">
        <v>19</v>
      </c>
      <c r="E1653" s="1" t="s">
        <v>58</v>
      </c>
      <c r="F1653">
        <v>2012</v>
      </c>
      <c r="G1653">
        <v>3</v>
      </c>
      <c r="H1653" s="1" t="s">
        <v>121</v>
      </c>
      <c r="I1653">
        <v>10</v>
      </c>
      <c r="J1653">
        <v>1434</v>
      </c>
      <c r="K1653" s="1" t="s">
        <v>60</v>
      </c>
      <c r="L1653" s="1" t="s">
        <v>45</v>
      </c>
      <c r="M1653">
        <v>0.83299999999999996</v>
      </c>
      <c r="N1653">
        <v>8333.4</v>
      </c>
      <c r="O1653">
        <v>8.3330000000000002</v>
      </c>
      <c r="P1653" s="2">
        <v>42217</v>
      </c>
      <c r="Q1653">
        <v>1</v>
      </c>
      <c r="R1653" s="1" t="s">
        <v>122</v>
      </c>
    </row>
    <row r="1654" spans="1:18" x14ac:dyDescent="0.25">
      <c r="A1654">
        <v>2015</v>
      </c>
      <c r="B1654">
        <v>9</v>
      </c>
      <c r="C1654" s="1" t="s">
        <v>32</v>
      </c>
      <c r="D1654" s="1" t="s">
        <v>19</v>
      </c>
      <c r="E1654" s="1" t="s">
        <v>58</v>
      </c>
      <c r="F1654">
        <v>2012</v>
      </c>
      <c r="G1654">
        <v>3</v>
      </c>
      <c r="H1654" s="1" t="s">
        <v>121</v>
      </c>
      <c r="I1654">
        <v>10</v>
      </c>
      <c r="J1654">
        <v>1434</v>
      </c>
      <c r="K1654" s="1" t="s">
        <v>60</v>
      </c>
      <c r="L1654" s="1" t="s">
        <v>45</v>
      </c>
      <c r="M1654">
        <v>0.65200000000000002</v>
      </c>
      <c r="N1654">
        <v>6524.6</v>
      </c>
      <c r="O1654">
        <v>6.5250000000000004</v>
      </c>
      <c r="P1654" s="2">
        <v>42248</v>
      </c>
      <c r="Q1654">
        <v>1</v>
      </c>
      <c r="R1654" s="1" t="s">
        <v>122</v>
      </c>
    </row>
    <row r="1655" spans="1:18" x14ac:dyDescent="0.25">
      <c r="A1655">
        <v>2015</v>
      </c>
      <c r="B1655">
        <v>10</v>
      </c>
      <c r="C1655" s="1" t="s">
        <v>33</v>
      </c>
      <c r="D1655" s="1" t="s">
        <v>19</v>
      </c>
      <c r="E1655" s="1" t="s">
        <v>58</v>
      </c>
      <c r="F1655">
        <v>2012</v>
      </c>
      <c r="G1655">
        <v>3</v>
      </c>
      <c r="H1655" s="1" t="s">
        <v>121</v>
      </c>
      <c r="I1655">
        <v>10</v>
      </c>
      <c r="J1655">
        <v>1434</v>
      </c>
      <c r="K1655" s="1" t="s">
        <v>60</v>
      </c>
      <c r="L1655" s="1" t="s">
        <v>45</v>
      </c>
      <c r="M1655">
        <v>0.64200000000000002</v>
      </c>
      <c r="N1655">
        <v>6418.2</v>
      </c>
      <c r="O1655">
        <v>6.4180000000000001</v>
      </c>
      <c r="P1655" s="2">
        <v>42278</v>
      </c>
      <c r="Q1655">
        <v>1</v>
      </c>
      <c r="R1655" s="1" t="s">
        <v>122</v>
      </c>
    </row>
    <row r="1656" spans="1:18" x14ac:dyDescent="0.25">
      <c r="A1656">
        <v>2015</v>
      </c>
      <c r="B1656">
        <v>11</v>
      </c>
      <c r="C1656" s="1" t="s">
        <v>34</v>
      </c>
      <c r="D1656" s="1" t="s">
        <v>19</v>
      </c>
      <c r="E1656" s="1" t="s">
        <v>58</v>
      </c>
      <c r="F1656">
        <v>2012</v>
      </c>
      <c r="G1656">
        <v>3</v>
      </c>
      <c r="H1656" s="1" t="s">
        <v>121</v>
      </c>
      <c r="I1656">
        <v>10</v>
      </c>
      <c r="J1656">
        <v>1434</v>
      </c>
      <c r="K1656" s="1" t="s">
        <v>60</v>
      </c>
      <c r="L1656" s="1" t="s">
        <v>45</v>
      </c>
      <c r="M1656">
        <v>0.47499999999999998</v>
      </c>
      <c r="N1656">
        <v>4753.8</v>
      </c>
      <c r="O1656">
        <v>4.7539999999999996</v>
      </c>
      <c r="P1656" s="2">
        <v>42309</v>
      </c>
      <c r="Q1656">
        <v>1</v>
      </c>
      <c r="R1656" s="1" t="s">
        <v>122</v>
      </c>
    </row>
    <row r="1657" spans="1:18" x14ac:dyDescent="0.25">
      <c r="A1657">
        <v>2015</v>
      </c>
      <c r="B1657">
        <v>12</v>
      </c>
      <c r="C1657" s="1" t="s">
        <v>35</v>
      </c>
      <c r="D1657" s="1" t="s">
        <v>19</v>
      </c>
      <c r="E1657" s="1" t="s">
        <v>58</v>
      </c>
      <c r="F1657">
        <v>2012</v>
      </c>
      <c r="G1657">
        <v>3</v>
      </c>
      <c r="H1657" s="1" t="s">
        <v>121</v>
      </c>
      <c r="I1657">
        <v>10</v>
      </c>
      <c r="J1657">
        <v>1434</v>
      </c>
      <c r="K1657" s="1" t="s">
        <v>60</v>
      </c>
      <c r="L1657" s="1" t="s">
        <v>45</v>
      </c>
      <c r="M1657">
        <v>0.47</v>
      </c>
      <c r="N1657">
        <v>4704.3999999999996</v>
      </c>
      <c r="O1657">
        <v>4.7039999999999997</v>
      </c>
      <c r="P1657" s="2">
        <v>42339</v>
      </c>
      <c r="Q1657">
        <v>1</v>
      </c>
      <c r="R1657" s="1" t="s">
        <v>122</v>
      </c>
    </row>
    <row r="1658" spans="1:18" x14ac:dyDescent="0.25">
      <c r="A1658">
        <v>2015</v>
      </c>
      <c r="B1658">
        <v>1</v>
      </c>
      <c r="C1658" s="1" t="s">
        <v>18</v>
      </c>
      <c r="D1658" s="1" t="s">
        <v>19</v>
      </c>
      <c r="E1658" s="1" t="s">
        <v>62</v>
      </c>
      <c r="F1658">
        <v>2012</v>
      </c>
      <c r="G1658">
        <v>3</v>
      </c>
      <c r="H1658" s="1" t="s">
        <v>121</v>
      </c>
      <c r="I1658">
        <v>24</v>
      </c>
      <c r="J1658">
        <v>3074</v>
      </c>
      <c r="K1658" s="1" t="s">
        <v>63</v>
      </c>
      <c r="L1658" s="1" t="s">
        <v>64</v>
      </c>
      <c r="M1658">
        <v>0.33100000000000002</v>
      </c>
      <c r="N1658">
        <v>7952.6</v>
      </c>
      <c r="O1658">
        <v>7.9530000000000003</v>
      </c>
      <c r="P1658" s="2">
        <v>42005</v>
      </c>
      <c r="Q1658">
        <v>1</v>
      </c>
      <c r="R1658" s="1" t="s">
        <v>122</v>
      </c>
    </row>
    <row r="1659" spans="1:18" x14ac:dyDescent="0.25">
      <c r="A1659">
        <v>2015</v>
      </c>
      <c r="B1659">
        <v>2</v>
      </c>
      <c r="C1659" s="1" t="s">
        <v>25</v>
      </c>
      <c r="D1659" s="1" t="s">
        <v>19</v>
      </c>
      <c r="E1659" s="1" t="s">
        <v>62</v>
      </c>
      <c r="F1659">
        <v>2012</v>
      </c>
      <c r="G1659">
        <v>3</v>
      </c>
      <c r="H1659" s="1" t="s">
        <v>121</v>
      </c>
      <c r="I1659">
        <v>24</v>
      </c>
      <c r="J1659">
        <v>3074</v>
      </c>
      <c r="K1659" s="1" t="s">
        <v>63</v>
      </c>
      <c r="L1659" s="1" t="s">
        <v>64</v>
      </c>
      <c r="M1659">
        <v>0.35099999999999998</v>
      </c>
      <c r="N1659">
        <v>8417.7999999999993</v>
      </c>
      <c r="O1659">
        <v>8.4179999999999993</v>
      </c>
      <c r="P1659" s="2">
        <v>42036</v>
      </c>
      <c r="Q1659">
        <v>1</v>
      </c>
      <c r="R1659" s="1" t="s">
        <v>122</v>
      </c>
    </row>
    <row r="1660" spans="1:18" x14ac:dyDescent="0.25">
      <c r="A1660">
        <v>2015</v>
      </c>
      <c r="B1660">
        <v>3</v>
      </c>
      <c r="C1660" s="1" t="s">
        <v>26</v>
      </c>
      <c r="D1660" s="1" t="s">
        <v>19</v>
      </c>
      <c r="E1660" s="1" t="s">
        <v>62</v>
      </c>
      <c r="F1660">
        <v>2012</v>
      </c>
      <c r="G1660">
        <v>3</v>
      </c>
      <c r="H1660" s="1" t="s">
        <v>121</v>
      </c>
      <c r="I1660">
        <v>24</v>
      </c>
      <c r="J1660">
        <v>3074</v>
      </c>
      <c r="K1660" s="1" t="s">
        <v>63</v>
      </c>
      <c r="L1660" s="1" t="s">
        <v>64</v>
      </c>
      <c r="M1660">
        <v>0.47799999999999998</v>
      </c>
      <c r="N1660">
        <v>11482.1</v>
      </c>
      <c r="O1660">
        <v>11.481999999999999</v>
      </c>
      <c r="P1660" s="2">
        <v>42064</v>
      </c>
      <c r="Q1660">
        <v>1</v>
      </c>
      <c r="R1660" s="1" t="s">
        <v>122</v>
      </c>
    </row>
    <row r="1661" spans="1:18" x14ac:dyDescent="0.25">
      <c r="A1661">
        <v>2015</v>
      </c>
      <c r="B1661">
        <v>4</v>
      </c>
      <c r="C1661" s="1" t="s">
        <v>27</v>
      </c>
      <c r="D1661" s="1" t="s">
        <v>19</v>
      </c>
      <c r="E1661" s="1" t="s">
        <v>62</v>
      </c>
      <c r="F1661">
        <v>2012</v>
      </c>
      <c r="G1661">
        <v>3</v>
      </c>
      <c r="H1661" s="1" t="s">
        <v>121</v>
      </c>
      <c r="I1661">
        <v>24</v>
      </c>
      <c r="J1661">
        <v>3074</v>
      </c>
      <c r="K1661" s="1" t="s">
        <v>63</v>
      </c>
      <c r="L1661" s="1" t="s">
        <v>64</v>
      </c>
      <c r="M1661">
        <v>0.432</v>
      </c>
      <c r="N1661">
        <v>10369.4</v>
      </c>
      <c r="O1661">
        <v>10.369</v>
      </c>
      <c r="P1661" s="2">
        <v>42095</v>
      </c>
      <c r="Q1661">
        <v>1</v>
      </c>
      <c r="R1661" s="1" t="s">
        <v>122</v>
      </c>
    </row>
    <row r="1662" spans="1:18" x14ac:dyDescent="0.25">
      <c r="A1662">
        <v>2015</v>
      </c>
      <c r="B1662">
        <v>5</v>
      </c>
      <c r="C1662" s="1" t="s">
        <v>28</v>
      </c>
      <c r="D1662" s="1" t="s">
        <v>19</v>
      </c>
      <c r="E1662" s="1" t="s">
        <v>62</v>
      </c>
      <c r="F1662">
        <v>2012</v>
      </c>
      <c r="G1662">
        <v>3</v>
      </c>
      <c r="H1662" s="1" t="s">
        <v>121</v>
      </c>
      <c r="I1662">
        <v>24</v>
      </c>
      <c r="J1662">
        <v>3074</v>
      </c>
      <c r="K1662" s="1" t="s">
        <v>63</v>
      </c>
      <c r="L1662" s="1" t="s">
        <v>64</v>
      </c>
      <c r="M1662">
        <v>0.47399999999999998</v>
      </c>
      <c r="N1662">
        <v>11372.6</v>
      </c>
      <c r="O1662">
        <v>11.372999999999999</v>
      </c>
      <c r="P1662" s="2">
        <v>42125</v>
      </c>
      <c r="Q1662">
        <v>1</v>
      </c>
      <c r="R1662" s="1" t="s">
        <v>122</v>
      </c>
    </row>
    <row r="1663" spans="1:18" x14ac:dyDescent="0.25">
      <c r="A1663">
        <v>2015</v>
      </c>
      <c r="B1663">
        <v>6</v>
      </c>
      <c r="C1663" s="1" t="s">
        <v>29</v>
      </c>
      <c r="D1663" s="1" t="s">
        <v>19</v>
      </c>
      <c r="E1663" s="1" t="s">
        <v>62</v>
      </c>
      <c r="F1663">
        <v>2012</v>
      </c>
      <c r="G1663">
        <v>3</v>
      </c>
      <c r="H1663" s="1" t="s">
        <v>121</v>
      </c>
      <c r="I1663">
        <v>24</v>
      </c>
      <c r="J1663">
        <v>3074</v>
      </c>
      <c r="K1663" s="1" t="s">
        <v>63</v>
      </c>
      <c r="L1663" s="1" t="s">
        <v>64</v>
      </c>
      <c r="M1663">
        <v>0.65100000000000002</v>
      </c>
      <c r="N1663">
        <v>15631.7</v>
      </c>
      <c r="O1663">
        <v>15.632</v>
      </c>
      <c r="P1663" s="2">
        <v>42156</v>
      </c>
      <c r="Q1663">
        <v>1</v>
      </c>
      <c r="R1663" s="1" t="s">
        <v>122</v>
      </c>
    </row>
    <row r="1664" spans="1:18" x14ac:dyDescent="0.25">
      <c r="A1664">
        <v>2015</v>
      </c>
      <c r="B1664">
        <v>7</v>
      </c>
      <c r="C1664" s="1" t="s">
        <v>30</v>
      </c>
      <c r="D1664" s="1" t="s">
        <v>19</v>
      </c>
      <c r="E1664" s="1" t="s">
        <v>62</v>
      </c>
      <c r="F1664">
        <v>2012</v>
      </c>
      <c r="G1664">
        <v>3</v>
      </c>
      <c r="H1664" s="1" t="s">
        <v>121</v>
      </c>
      <c r="I1664">
        <v>24</v>
      </c>
      <c r="J1664">
        <v>3074</v>
      </c>
      <c r="K1664" s="1" t="s">
        <v>63</v>
      </c>
      <c r="L1664" s="1" t="s">
        <v>64</v>
      </c>
      <c r="M1664">
        <v>0.76</v>
      </c>
      <c r="N1664">
        <v>18249.099999999999</v>
      </c>
      <c r="O1664">
        <v>18.248999999999999</v>
      </c>
      <c r="P1664" s="2">
        <v>42186</v>
      </c>
      <c r="Q1664">
        <v>1</v>
      </c>
      <c r="R1664" s="1" t="s">
        <v>122</v>
      </c>
    </row>
    <row r="1665" spans="1:18" x14ac:dyDescent="0.25">
      <c r="A1665">
        <v>2015</v>
      </c>
      <c r="B1665">
        <v>8</v>
      </c>
      <c r="C1665" s="1" t="s">
        <v>31</v>
      </c>
      <c r="D1665" s="1" t="s">
        <v>19</v>
      </c>
      <c r="E1665" s="1" t="s">
        <v>62</v>
      </c>
      <c r="F1665">
        <v>2012</v>
      </c>
      <c r="G1665">
        <v>3</v>
      </c>
      <c r="H1665" s="1" t="s">
        <v>121</v>
      </c>
      <c r="I1665">
        <v>24</v>
      </c>
      <c r="J1665">
        <v>3074</v>
      </c>
      <c r="K1665" s="1" t="s">
        <v>63</v>
      </c>
      <c r="L1665" s="1" t="s">
        <v>64</v>
      </c>
      <c r="M1665">
        <v>0.83299999999999996</v>
      </c>
      <c r="N1665">
        <v>20000.2</v>
      </c>
      <c r="O1665">
        <v>20</v>
      </c>
      <c r="P1665" s="2">
        <v>42217</v>
      </c>
      <c r="Q1665">
        <v>1</v>
      </c>
      <c r="R1665" s="1" t="s">
        <v>122</v>
      </c>
    </row>
    <row r="1666" spans="1:18" x14ac:dyDescent="0.25">
      <c r="A1666">
        <v>2015</v>
      </c>
      <c r="B1666">
        <v>9</v>
      </c>
      <c r="C1666" s="1" t="s">
        <v>32</v>
      </c>
      <c r="D1666" s="1" t="s">
        <v>19</v>
      </c>
      <c r="E1666" s="1" t="s">
        <v>62</v>
      </c>
      <c r="F1666">
        <v>2012</v>
      </c>
      <c r="G1666">
        <v>3</v>
      </c>
      <c r="H1666" s="1" t="s">
        <v>121</v>
      </c>
      <c r="I1666">
        <v>24</v>
      </c>
      <c r="J1666">
        <v>3074</v>
      </c>
      <c r="K1666" s="1" t="s">
        <v>63</v>
      </c>
      <c r="L1666" s="1" t="s">
        <v>64</v>
      </c>
      <c r="M1666">
        <v>0.65200000000000002</v>
      </c>
      <c r="N1666">
        <v>15659</v>
      </c>
      <c r="O1666">
        <v>15.659000000000001</v>
      </c>
      <c r="P1666" s="2">
        <v>42248</v>
      </c>
      <c r="Q1666">
        <v>1</v>
      </c>
      <c r="R1666" s="1" t="s">
        <v>122</v>
      </c>
    </row>
    <row r="1667" spans="1:18" x14ac:dyDescent="0.25">
      <c r="A1667">
        <v>2015</v>
      </c>
      <c r="B1667">
        <v>10</v>
      </c>
      <c r="C1667" s="1" t="s">
        <v>33</v>
      </c>
      <c r="D1667" s="1" t="s">
        <v>19</v>
      </c>
      <c r="E1667" s="1" t="s">
        <v>62</v>
      </c>
      <c r="F1667">
        <v>2012</v>
      </c>
      <c r="G1667">
        <v>3</v>
      </c>
      <c r="H1667" s="1" t="s">
        <v>121</v>
      </c>
      <c r="I1667">
        <v>24</v>
      </c>
      <c r="J1667">
        <v>3074</v>
      </c>
      <c r="K1667" s="1" t="s">
        <v>63</v>
      </c>
      <c r="L1667" s="1" t="s">
        <v>64</v>
      </c>
      <c r="M1667">
        <v>0.64200000000000002</v>
      </c>
      <c r="N1667">
        <v>15403.7</v>
      </c>
      <c r="O1667">
        <v>15.404</v>
      </c>
      <c r="P1667" s="2">
        <v>42278</v>
      </c>
      <c r="Q1667">
        <v>1</v>
      </c>
      <c r="R1667" s="1" t="s">
        <v>122</v>
      </c>
    </row>
    <row r="1668" spans="1:18" x14ac:dyDescent="0.25">
      <c r="A1668">
        <v>2015</v>
      </c>
      <c r="B1668">
        <v>11</v>
      </c>
      <c r="C1668" s="1" t="s">
        <v>34</v>
      </c>
      <c r="D1668" s="1" t="s">
        <v>19</v>
      </c>
      <c r="E1668" s="1" t="s">
        <v>62</v>
      </c>
      <c r="F1668">
        <v>2012</v>
      </c>
      <c r="G1668">
        <v>3</v>
      </c>
      <c r="H1668" s="1" t="s">
        <v>121</v>
      </c>
      <c r="I1668">
        <v>24</v>
      </c>
      <c r="J1668">
        <v>3074</v>
      </c>
      <c r="K1668" s="1" t="s">
        <v>63</v>
      </c>
      <c r="L1668" s="1" t="s">
        <v>64</v>
      </c>
      <c r="M1668">
        <v>0.47499999999999998</v>
      </c>
      <c r="N1668">
        <v>11409.1</v>
      </c>
      <c r="O1668">
        <v>11.409000000000001</v>
      </c>
      <c r="P1668" s="2">
        <v>42309</v>
      </c>
      <c r="Q1668">
        <v>1</v>
      </c>
      <c r="R1668" s="1" t="s">
        <v>122</v>
      </c>
    </row>
    <row r="1669" spans="1:18" x14ac:dyDescent="0.25">
      <c r="A1669">
        <v>2015</v>
      </c>
      <c r="B1669">
        <v>12</v>
      </c>
      <c r="C1669" s="1" t="s">
        <v>35</v>
      </c>
      <c r="D1669" s="1" t="s">
        <v>19</v>
      </c>
      <c r="E1669" s="1" t="s">
        <v>62</v>
      </c>
      <c r="F1669">
        <v>2012</v>
      </c>
      <c r="G1669">
        <v>3</v>
      </c>
      <c r="H1669" s="1" t="s">
        <v>121</v>
      </c>
      <c r="I1669">
        <v>24</v>
      </c>
      <c r="J1669">
        <v>3074</v>
      </c>
      <c r="K1669" s="1" t="s">
        <v>63</v>
      </c>
      <c r="L1669" s="1" t="s">
        <v>64</v>
      </c>
      <c r="M1669">
        <v>0.47</v>
      </c>
      <c r="N1669">
        <v>11290.6</v>
      </c>
      <c r="O1669">
        <v>11.291</v>
      </c>
      <c r="P1669" s="2">
        <v>42339</v>
      </c>
      <c r="Q1669">
        <v>1</v>
      </c>
      <c r="R1669" s="1" t="s">
        <v>122</v>
      </c>
    </row>
    <row r="1670" spans="1:18" x14ac:dyDescent="0.25">
      <c r="A1670">
        <v>2015</v>
      </c>
      <c r="B1670">
        <v>1</v>
      </c>
      <c r="C1670" s="1" t="s">
        <v>18</v>
      </c>
      <c r="D1670" s="1" t="s">
        <v>19</v>
      </c>
      <c r="E1670" s="1" t="s">
        <v>65</v>
      </c>
      <c r="F1670">
        <v>2012</v>
      </c>
      <c r="G1670">
        <v>3</v>
      </c>
      <c r="H1670" s="1" t="s">
        <v>121</v>
      </c>
      <c r="I1670">
        <v>19</v>
      </c>
      <c r="J1670">
        <v>2418</v>
      </c>
      <c r="K1670" s="1" t="s">
        <v>66</v>
      </c>
      <c r="L1670" s="1" t="s">
        <v>64</v>
      </c>
      <c r="M1670">
        <v>0.33100000000000002</v>
      </c>
      <c r="N1670">
        <v>6295.8</v>
      </c>
      <c r="O1670">
        <v>6.2960000000000003</v>
      </c>
      <c r="P1670" s="2">
        <v>42005</v>
      </c>
      <c r="Q1670">
        <v>1</v>
      </c>
      <c r="R1670" s="1" t="s">
        <v>122</v>
      </c>
    </row>
    <row r="1671" spans="1:18" x14ac:dyDescent="0.25">
      <c r="A1671">
        <v>2015</v>
      </c>
      <c r="B1671">
        <v>2</v>
      </c>
      <c r="C1671" s="1" t="s">
        <v>25</v>
      </c>
      <c r="D1671" s="1" t="s">
        <v>19</v>
      </c>
      <c r="E1671" s="1" t="s">
        <v>65</v>
      </c>
      <c r="F1671">
        <v>2012</v>
      </c>
      <c r="G1671">
        <v>3</v>
      </c>
      <c r="H1671" s="1" t="s">
        <v>121</v>
      </c>
      <c r="I1671">
        <v>19</v>
      </c>
      <c r="J1671">
        <v>2418</v>
      </c>
      <c r="K1671" s="1" t="s">
        <v>66</v>
      </c>
      <c r="L1671" s="1" t="s">
        <v>64</v>
      </c>
      <c r="M1671">
        <v>0.35099999999999998</v>
      </c>
      <c r="N1671">
        <v>6664.1</v>
      </c>
      <c r="O1671">
        <v>6.6639999999999997</v>
      </c>
      <c r="P1671" s="2">
        <v>42036</v>
      </c>
      <c r="Q1671">
        <v>1</v>
      </c>
      <c r="R1671" s="1" t="s">
        <v>122</v>
      </c>
    </row>
    <row r="1672" spans="1:18" x14ac:dyDescent="0.25">
      <c r="A1672">
        <v>2015</v>
      </c>
      <c r="B1672">
        <v>3</v>
      </c>
      <c r="C1672" s="1" t="s">
        <v>26</v>
      </c>
      <c r="D1672" s="1" t="s">
        <v>19</v>
      </c>
      <c r="E1672" s="1" t="s">
        <v>65</v>
      </c>
      <c r="F1672">
        <v>2012</v>
      </c>
      <c r="G1672">
        <v>3</v>
      </c>
      <c r="H1672" s="1" t="s">
        <v>121</v>
      </c>
      <c r="I1672">
        <v>19</v>
      </c>
      <c r="J1672">
        <v>2418</v>
      </c>
      <c r="K1672" s="1" t="s">
        <v>66</v>
      </c>
      <c r="L1672" s="1" t="s">
        <v>64</v>
      </c>
      <c r="M1672">
        <v>0.47799999999999998</v>
      </c>
      <c r="N1672">
        <v>9090</v>
      </c>
      <c r="O1672">
        <v>9.09</v>
      </c>
      <c r="P1672" s="2">
        <v>42064</v>
      </c>
      <c r="Q1672">
        <v>1</v>
      </c>
      <c r="R1672" s="1" t="s">
        <v>122</v>
      </c>
    </row>
    <row r="1673" spans="1:18" x14ac:dyDescent="0.25">
      <c r="A1673">
        <v>2015</v>
      </c>
      <c r="B1673">
        <v>4</v>
      </c>
      <c r="C1673" s="1" t="s">
        <v>27</v>
      </c>
      <c r="D1673" s="1" t="s">
        <v>19</v>
      </c>
      <c r="E1673" s="1" t="s">
        <v>65</v>
      </c>
      <c r="F1673">
        <v>2012</v>
      </c>
      <c r="G1673">
        <v>3</v>
      </c>
      <c r="H1673" s="1" t="s">
        <v>121</v>
      </c>
      <c r="I1673">
        <v>19</v>
      </c>
      <c r="J1673">
        <v>2418</v>
      </c>
      <c r="K1673" s="1" t="s">
        <v>66</v>
      </c>
      <c r="L1673" s="1" t="s">
        <v>64</v>
      </c>
      <c r="M1673">
        <v>0.432</v>
      </c>
      <c r="N1673">
        <v>8209.1</v>
      </c>
      <c r="O1673">
        <v>8.2089999999999996</v>
      </c>
      <c r="P1673" s="2">
        <v>42095</v>
      </c>
      <c r="Q1673">
        <v>1</v>
      </c>
      <c r="R1673" s="1" t="s">
        <v>122</v>
      </c>
    </row>
    <row r="1674" spans="1:18" x14ac:dyDescent="0.25">
      <c r="A1674">
        <v>2015</v>
      </c>
      <c r="B1674">
        <v>5</v>
      </c>
      <c r="C1674" s="1" t="s">
        <v>28</v>
      </c>
      <c r="D1674" s="1" t="s">
        <v>19</v>
      </c>
      <c r="E1674" s="1" t="s">
        <v>65</v>
      </c>
      <c r="F1674">
        <v>2012</v>
      </c>
      <c r="G1674">
        <v>3</v>
      </c>
      <c r="H1674" s="1" t="s">
        <v>121</v>
      </c>
      <c r="I1674">
        <v>19</v>
      </c>
      <c r="J1674">
        <v>2418</v>
      </c>
      <c r="K1674" s="1" t="s">
        <v>66</v>
      </c>
      <c r="L1674" s="1" t="s">
        <v>64</v>
      </c>
      <c r="M1674">
        <v>0.47399999999999998</v>
      </c>
      <c r="N1674">
        <v>9003.2999999999993</v>
      </c>
      <c r="O1674">
        <v>9.0030000000000001</v>
      </c>
      <c r="P1674" s="2">
        <v>42125</v>
      </c>
      <c r="Q1674">
        <v>1</v>
      </c>
      <c r="R1674" s="1" t="s">
        <v>122</v>
      </c>
    </row>
    <row r="1675" spans="1:18" x14ac:dyDescent="0.25">
      <c r="A1675">
        <v>2015</v>
      </c>
      <c r="B1675">
        <v>6</v>
      </c>
      <c r="C1675" s="1" t="s">
        <v>29</v>
      </c>
      <c r="D1675" s="1" t="s">
        <v>19</v>
      </c>
      <c r="E1675" s="1" t="s">
        <v>65</v>
      </c>
      <c r="F1675">
        <v>2012</v>
      </c>
      <c r="G1675">
        <v>3</v>
      </c>
      <c r="H1675" s="1" t="s">
        <v>121</v>
      </c>
      <c r="I1675">
        <v>19</v>
      </c>
      <c r="J1675">
        <v>2418</v>
      </c>
      <c r="K1675" s="1" t="s">
        <v>66</v>
      </c>
      <c r="L1675" s="1" t="s">
        <v>64</v>
      </c>
      <c r="M1675">
        <v>0.65100000000000002</v>
      </c>
      <c r="N1675">
        <v>12375.1</v>
      </c>
      <c r="O1675">
        <v>12.375</v>
      </c>
      <c r="P1675" s="2">
        <v>42156</v>
      </c>
      <c r="Q1675">
        <v>1</v>
      </c>
      <c r="R1675" s="1" t="s">
        <v>122</v>
      </c>
    </row>
    <row r="1676" spans="1:18" x14ac:dyDescent="0.25">
      <c r="A1676">
        <v>2015</v>
      </c>
      <c r="B1676">
        <v>7</v>
      </c>
      <c r="C1676" s="1" t="s">
        <v>30</v>
      </c>
      <c r="D1676" s="1" t="s">
        <v>19</v>
      </c>
      <c r="E1676" s="1" t="s">
        <v>65</v>
      </c>
      <c r="F1676">
        <v>2012</v>
      </c>
      <c r="G1676">
        <v>3</v>
      </c>
      <c r="H1676" s="1" t="s">
        <v>121</v>
      </c>
      <c r="I1676">
        <v>19</v>
      </c>
      <c r="J1676">
        <v>2418</v>
      </c>
      <c r="K1676" s="1" t="s">
        <v>66</v>
      </c>
      <c r="L1676" s="1" t="s">
        <v>64</v>
      </c>
      <c r="M1676">
        <v>0.76</v>
      </c>
      <c r="N1676">
        <v>14447.2</v>
      </c>
      <c r="O1676">
        <v>14.446999999999999</v>
      </c>
      <c r="P1676" s="2">
        <v>42186</v>
      </c>
      <c r="Q1676">
        <v>1</v>
      </c>
      <c r="R1676" s="1" t="s">
        <v>122</v>
      </c>
    </row>
    <row r="1677" spans="1:18" x14ac:dyDescent="0.25">
      <c r="A1677">
        <v>2015</v>
      </c>
      <c r="B1677">
        <v>8</v>
      </c>
      <c r="C1677" s="1" t="s">
        <v>31</v>
      </c>
      <c r="D1677" s="1" t="s">
        <v>19</v>
      </c>
      <c r="E1677" s="1" t="s">
        <v>65</v>
      </c>
      <c r="F1677">
        <v>2012</v>
      </c>
      <c r="G1677">
        <v>3</v>
      </c>
      <c r="H1677" s="1" t="s">
        <v>121</v>
      </c>
      <c r="I1677">
        <v>19</v>
      </c>
      <c r="J1677">
        <v>2418</v>
      </c>
      <c r="K1677" s="1" t="s">
        <v>66</v>
      </c>
      <c r="L1677" s="1" t="s">
        <v>64</v>
      </c>
      <c r="M1677">
        <v>0.83299999999999996</v>
      </c>
      <c r="N1677">
        <v>15833.5</v>
      </c>
      <c r="O1677">
        <v>15.833</v>
      </c>
      <c r="P1677" s="2">
        <v>42217</v>
      </c>
      <c r="Q1677">
        <v>1</v>
      </c>
      <c r="R1677" s="1" t="s">
        <v>122</v>
      </c>
    </row>
    <row r="1678" spans="1:18" x14ac:dyDescent="0.25">
      <c r="A1678">
        <v>2015</v>
      </c>
      <c r="B1678">
        <v>9</v>
      </c>
      <c r="C1678" s="1" t="s">
        <v>32</v>
      </c>
      <c r="D1678" s="1" t="s">
        <v>19</v>
      </c>
      <c r="E1678" s="1" t="s">
        <v>65</v>
      </c>
      <c r="F1678">
        <v>2012</v>
      </c>
      <c r="G1678">
        <v>3</v>
      </c>
      <c r="H1678" s="1" t="s">
        <v>121</v>
      </c>
      <c r="I1678">
        <v>19</v>
      </c>
      <c r="J1678">
        <v>2418</v>
      </c>
      <c r="K1678" s="1" t="s">
        <v>66</v>
      </c>
      <c r="L1678" s="1" t="s">
        <v>64</v>
      </c>
      <c r="M1678">
        <v>0.65200000000000002</v>
      </c>
      <c r="N1678">
        <v>12396.7</v>
      </c>
      <c r="O1678">
        <v>12.397</v>
      </c>
      <c r="P1678" s="2">
        <v>42248</v>
      </c>
      <c r="Q1678">
        <v>1</v>
      </c>
      <c r="R1678" s="1" t="s">
        <v>122</v>
      </c>
    </row>
    <row r="1679" spans="1:18" x14ac:dyDescent="0.25">
      <c r="A1679">
        <v>2015</v>
      </c>
      <c r="B1679">
        <v>10</v>
      </c>
      <c r="C1679" s="1" t="s">
        <v>33</v>
      </c>
      <c r="D1679" s="1" t="s">
        <v>19</v>
      </c>
      <c r="E1679" s="1" t="s">
        <v>65</v>
      </c>
      <c r="F1679">
        <v>2012</v>
      </c>
      <c r="G1679">
        <v>3</v>
      </c>
      <c r="H1679" s="1" t="s">
        <v>121</v>
      </c>
      <c r="I1679">
        <v>19</v>
      </c>
      <c r="J1679">
        <v>2418</v>
      </c>
      <c r="K1679" s="1" t="s">
        <v>66</v>
      </c>
      <c r="L1679" s="1" t="s">
        <v>64</v>
      </c>
      <c r="M1679">
        <v>0.64200000000000002</v>
      </c>
      <c r="N1679">
        <v>12194.6</v>
      </c>
      <c r="O1679">
        <v>12.195</v>
      </c>
      <c r="P1679" s="2">
        <v>42278</v>
      </c>
      <c r="Q1679">
        <v>1</v>
      </c>
      <c r="R1679" s="1" t="s">
        <v>122</v>
      </c>
    </row>
    <row r="1680" spans="1:18" x14ac:dyDescent="0.25">
      <c r="A1680">
        <v>2015</v>
      </c>
      <c r="B1680">
        <v>11</v>
      </c>
      <c r="C1680" s="1" t="s">
        <v>34</v>
      </c>
      <c r="D1680" s="1" t="s">
        <v>19</v>
      </c>
      <c r="E1680" s="1" t="s">
        <v>65</v>
      </c>
      <c r="F1680">
        <v>2012</v>
      </c>
      <c r="G1680">
        <v>3</v>
      </c>
      <c r="H1680" s="1" t="s">
        <v>121</v>
      </c>
      <c r="I1680">
        <v>19</v>
      </c>
      <c r="J1680">
        <v>2418</v>
      </c>
      <c r="K1680" s="1" t="s">
        <v>66</v>
      </c>
      <c r="L1680" s="1" t="s">
        <v>64</v>
      </c>
      <c r="M1680">
        <v>0.47499999999999998</v>
      </c>
      <c r="N1680">
        <v>9032.2000000000007</v>
      </c>
      <c r="O1680">
        <v>9.032</v>
      </c>
      <c r="P1680" s="2">
        <v>42309</v>
      </c>
      <c r="Q1680">
        <v>1</v>
      </c>
      <c r="R1680" s="1" t="s">
        <v>122</v>
      </c>
    </row>
    <row r="1681" spans="1:18" x14ac:dyDescent="0.25">
      <c r="A1681">
        <v>2015</v>
      </c>
      <c r="B1681">
        <v>12</v>
      </c>
      <c r="C1681" s="1" t="s">
        <v>35</v>
      </c>
      <c r="D1681" s="1" t="s">
        <v>19</v>
      </c>
      <c r="E1681" s="1" t="s">
        <v>65</v>
      </c>
      <c r="F1681">
        <v>2012</v>
      </c>
      <c r="G1681">
        <v>3</v>
      </c>
      <c r="H1681" s="1" t="s">
        <v>121</v>
      </c>
      <c r="I1681">
        <v>19</v>
      </c>
      <c r="J1681">
        <v>2418</v>
      </c>
      <c r="K1681" s="1" t="s">
        <v>66</v>
      </c>
      <c r="L1681" s="1" t="s">
        <v>64</v>
      </c>
      <c r="M1681">
        <v>0.47</v>
      </c>
      <c r="N1681">
        <v>8938.4</v>
      </c>
      <c r="O1681">
        <v>8.9380000000000006</v>
      </c>
      <c r="P1681" s="2">
        <v>42339</v>
      </c>
      <c r="Q1681">
        <v>1</v>
      </c>
      <c r="R1681" s="1" t="s">
        <v>122</v>
      </c>
    </row>
    <row r="1682" spans="1:18" x14ac:dyDescent="0.25">
      <c r="A1682">
        <v>2015</v>
      </c>
      <c r="B1682">
        <v>1</v>
      </c>
      <c r="C1682" s="1" t="s">
        <v>18</v>
      </c>
      <c r="D1682" s="1" t="s">
        <v>19</v>
      </c>
      <c r="E1682" s="1" t="s">
        <v>67</v>
      </c>
      <c r="F1682">
        <v>2012</v>
      </c>
      <c r="G1682">
        <v>3</v>
      </c>
      <c r="H1682" s="1" t="s">
        <v>121</v>
      </c>
      <c r="I1682">
        <v>25</v>
      </c>
      <c r="J1682">
        <v>3205</v>
      </c>
      <c r="K1682" s="1" t="s">
        <v>68</v>
      </c>
      <c r="L1682" s="1" t="s">
        <v>64</v>
      </c>
      <c r="M1682">
        <v>0.33100000000000002</v>
      </c>
      <c r="N1682">
        <v>8284</v>
      </c>
      <c r="O1682">
        <v>8.2840000000000007</v>
      </c>
      <c r="P1682" s="2">
        <v>42005</v>
      </c>
      <c r="Q1682">
        <v>1</v>
      </c>
      <c r="R1682" s="1" t="s">
        <v>122</v>
      </c>
    </row>
    <row r="1683" spans="1:18" x14ac:dyDescent="0.25">
      <c r="A1683">
        <v>2015</v>
      </c>
      <c r="B1683">
        <v>2</v>
      </c>
      <c r="C1683" s="1" t="s">
        <v>25</v>
      </c>
      <c r="D1683" s="1" t="s">
        <v>19</v>
      </c>
      <c r="E1683" s="1" t="s">
        <v>67</v>
      </c>
      <c r="F1683">
        <v>2012</v>
      </c>
      <c r="G1683">
        <v>3</v>
      </c>
      <c r="H1683" s="1" t="s">
        <v>121</v>
      </c>
      <c r="I1683">
        <v>25</v>
      </c>
      <c r="J1683">
        <v>3205</v>
      </c>
      <c r="K1683" s="1" t="s">
        <v>68</v>
      </c>
      <c r="L1683" s="1" t="s">
        <v>64</v>
      </c>
      <c r="M1683">
        <v>0.35099999999999998</v>
      </c>
      <c r="N1683">
        <v>8768.5</v>
      </c>
      <c r="O1683">
        <v>8.7680000000000007</v>
      </c>
      <c r="P1683" s="2">
        <v>42036</v>
      </c>
      <c r="Q1683">
        <v>1</v>
      </c>
      <c r="R1683" s="1" t="s">
        <v>122</v>
      </c>
    </row>
    <row r="1684" spans="1:18" x14ac:dyDescent="0.25">
      <c r="A1684">
        <v>2015</v>
      </c>
      <c r="B1684">
        <v>3</v>
      </c>
      <c r="C1684" s="1" t="s">
        <v>26</v>
      </c>
      <c r="D1684" s="1" t="s">
        <v>19</v>
      </c>
      <c r="E1684" s="1" t="s">
        <v>67</v>
      </c>
      <c r="F1684">
        <v>2012</v>
      </c>
      <c r="G1684">
        <v>3</v>
      </c>
      <c r="H1684" s="1" t="s">
        <v>121</v>
      </c>
      <c r="I1684">
        <v>25</v>
      </c>
      <c r="J1684">
        <v>3205</v>
      </c>
      <c r="K1684" s="1" t="s">
        <v>68</v>
      </c>
      <c r="L1684" s="1" t="s">
        <v>64</v>
      </c>
      <c r="M1684">
        <v>0.47799999999999998</v>
      </c>
      <c r="N1684">
        <v>11960.5</v>
      </c>
      <c r="O1684">
        <v>11.96</v>
      </c>
      <c r="P1684" s="2">
        <v>42064</v>
      </c>
      <c r="Q1684">
        <v>1</v>
      </c>
      <c r="R1684" s="1" t="s">
        <v>122</v>
      </c>
    </row>
    <row r="1685" spans="1:18" x14ac:dyDescent="0.25">
      <c r="A1685">
        <v>2015</v>
      </c>
      <c r="B1685">
        <v>4</v>
      </c>
      <c r="C1685" s="1" t="s">
        <v>27</v>
      </c>
      <c r="D1685" s="1" t="s">
        <v>19</v>
      </c>
      <c r="E1685" s="1" t="s">
        <v>67</v>
      </c>
      <c r="F1685">
        <v>2012</v>
      </c>
      <c r="G1685">
        <v>3</v>
      </c>
      <c r="H1685" s="1" t="s">
        <v>121</v>
      </c>
      <c r="I1685">
        <v>25</v>
      </c>
      <c r="J1685">
        <v>3205</v>
      </c>
      <c r="K1685" s="1" t="s">
        <v>68</v>
      </c>
      <c r="L1685" s="1" t="s">
        <v>64</v>
      </c>
      <c r="M1685">
        <v>0.432</v>
      </c>
      <c r="N1685">
        <v>10801.5</v>
      </c>
      <c r="O1685">
        <v>10.802</v>
      </c>
      <c r="P1685" s="2">
        <v>42095</v>
      </c>
      <c r="Q1685">
        <v>1</v>
      </c>
      <c r="R1685" s="1" t="s">
        <v>122</v>
      </c>
    </row>
    <row r="1686" spans="1:18" x14ac:dyDescent="0.25">
      <c r="A1686">
        <v>2015</v>
      </c>
      <c r="B1686">
        <v>5</v>
      </c>
      <c r="C1686" s="1" t="s">
        <v>28</v>
      </c>
      <c r="D1686" s="1" t="s">
        <v>19</v>
      </c>
      <c r="E1686" s="1" t="s">
        <v>67</v>
      </c>
      <c r="F1686">
        <v>2012</v>
      </c>
      <c r="G1686">
        <v>3</v>
      </c>
      <c r="H1686" s="1" t="s">
        <v>121</v>
      </c>
      <c r="I1686">
        <v>25</v>
      </c>
      <c r="J1686">
        <v>3205</v>
      </c>
      <c r="K1686" s="1" t="s">
        <v>68</v>
      </c>
      <c r="L1686" s="1" t="s">
        <v>64</v>
      </c>
      <c r="M1686">
        <v>0.47399999999999998</v>
      </c>
      <c r="N1686">
        <v>11846.5</v>
      </c>
      <c r="O1686">
        <v>11.847</v>
      </c>
      <c r="P1686" s="2">
        <v>42125</v>
      </c>
      <c r="Q1686">
        <v>1</v>
      </c>
      <c r="R1686" s="1" t="s">
        <v>122</v>
      </c>
    </row>
    <row r="1687" spans="1:18" x14ac:dyDescent="0.25">
      <c r="A1687">
        <v>2015</v>
      </c>
      <c r="B1687">
        <v>6</v>
      </c>
      <c r="C1687" s="1" t="s">
        <v>29</v>
      </c>
      <c r="D1687" s="1" t="s">
        <v>19</v>
      </c>
      <c r="E1687" s="1" t="s">
        <v>67</v>
      </c>
      <c r="F1687">
        <v>2012</v>
      </c>
      <c r="G1687">
        <v>3</v>
      </c>
      <c r="H1687" s="1" t="s">
        <v>121</v>
      </c>
      <c r="I1687">
        <v>25</v>
      </c>
      <c r="J1687">
        <v>3205</v>
      </c>
      <c r="K1687" s="1" t="s">
        <v>68</v>
      </c>
      <c r="L1687" s="1" t="s">
        <v>64</v>
      </c>
      <c r="M1687">
        <v>0.65100000000000002</v>
      </c>
      <c r="N1687">
        <v>16283</v>
      </c>
      <c r="O1687">
        <v>16.283000000000001</v>
      </c>
      <c r="P1687" s="2">
        <v>42156</v>
      </c>
      <c r="Q1687">
        <v>1</v>
      </c>
      <c r="R1687" s="1" t="s">
        <v>122</v>
      </c>
    </row>
    <row r="1688" spans="1:18" x14ac:dyDescent="0.25">
      <c r="A1688">
        <v>2015</v>
      </c>
      <c r="B1688">
        <v>7</v>
      </c>
      <c r="C1688" s="1" t="s">
        <v>30</v>
      </c>
      <c r="D1688" s="1" t="s">
        <v>19</v>
      </c>
      <c r="E1688" s="1" t="s">
        <v>67</v>
      </c>
      <c r="F1688">
        <v>2012</v>
      </c>
      <c r="G1688">
        <v>3</v>
      </c>
      <c r="H1688" s="1" t="s">
        <v>121</v>
      </c>
      <c r="I1688">
        <v>25</v>
      </c>
      <c r="J1688">
        <v>3205</v>
      </c>
      <c r="K1688" s="1" t="s">
        <v>68</v>
      </c>
      <c r="L1688" s="1" t="s">
        <v>64</v>
      </c>
      <c r="M1688">
        <v>0.76</v>
      </c>
      <c r="N1688">
        <v>19009.5</v>
      </c>
      <c r="O1688">
        <v>19.009</v>
      </c>
      <c r="P1688" s="2">
        <v>42186</v>
      </c>
      <c r="Q1688">
        <v>1</v>
      </c>
      <c r="R1688" s="1" t="s">
        <v>122</v>
      </c>
    </row>
    <row r="1689" spans="1:18" x14ac:dyDescent="0.25">
      <c r="A1689">
        <v>2015</v>
      </c>
      <c r="B1689">
        <v>8</v>
      </c>
      <c r="C1689" s="1" t="s">
        <v>31</v>
      </c>
      <c r="D1689" s="1" t="s">
        <v>19</v>
      </c>
      <c r="E1689" s="1" t="s">
        <v>67</v>
      </c>
      <c r="F1689">
        <v>2012</v>
      </c>
      <c r="G1689">
        <v>3</v>
      </c>
      <c r="H1689" s="1" t="s">
        <v>121</v>
      </c>
      <c r="I1689">
        <v>25</v>
      </c>
      <c r="J1689">
        <v>3205</v>
      </c>
      <c r="K1689" s="1" t="s">
        <v>68</v>
      </c>
      <c r="L1689" s="1" t="s">
        <v>64</v>
      </c>
      <c r="M1689">
        <v>0.83299999999999996</v>
      </c>
      <c r="N1689">
        <v>20833.5</v>
      </c>
      <c r="O1689">
        <v>20.834</v>
      </c>
      <c r="P1689" s="2">
        <v>42217</v>
      </c>
      <c r="Q1689">
        <v>1</v>
      </c>
      <c r="R1689" s="1" t="s">
        <v>122</v>
      </c>
    </row>
    <row r="1690" spans="1:18" x14ac:dyDescent="0.25">
      <c r="A1690">
        <v>2015</v>
      </c>
      <c r="B1690">
        <v>9</v>
      </c>
      <c r="C1690" s="1" t="s">
        <v>32</v>
      </c>
      <c r="D1690" s="1" t="s">
        <v>19</v>
      </c>
      <c r="E1690" s="1" t="s">
        <v>67</v>
      </c>
      <c r="F1690">
        <v>2012</v>
      </c>
      <c r="G1690">
        <v>3</v>
      </c>
      <c r="H1690" s="1" t="s">
        <v>121</v>
      </c>
      <c r="I1690">
        <v>25</v>
      </c>
      <c r="J1690">
        <v>3205</v>
      </c>
      <c r="K1690" s="1" t="s">
        <v>68</v>
      </c>
      <c r="L1690" s="1" t="s">
        <v>64</v>
      </c>
      <c r="M1690">
        <v>0.65200000000000002</v>
      </c>
      <c r="N1690">
        <v>16311.5</v>
      </c>
      <c r="O1690">
        <v>16.312000000000001</v>
      </c>
      <c r="P1690" s="2">
        <v>42248</v>
      </c>
      <c r="Q1690">
        <v>1</v>
      </c>
      <c r="R1690" s="1" t="s">
        <v>122</v>
      </c>
    </row>
    <row r="1691" spans="1:18" x14ac:dyDescent="0.25">
      <c r="A1691">
        <v>2015</v>
      </c>
      <c r="B1691">
        <v>10</v>
      </c>
      <c r="C1691" s="1" t="s">
        <v>33</v>
      </c>
      <c r="D1691" s="1" t="s">
        <v>19</v>
      </c>
      <c r="E1691" s="1" t="s">
        <v>67</v>
      </c>
      <c r="F1691">
        <v>2012</v>
      </c>
      <c r="G1691">
        <v>3</v>
      </c>
      <c r="H1691" s="1" t="s">
        <v>121</v>
      </c>
      <c r="I1691">
        <v>25</v>
      </c>
      <c r="J1691">
        <v>3205</v>
      </c>
      <c r="K1691" s="1" t="s">
        <v>68</v>
      </c>
      <c r="L1691" s="1" t="s">
        <v>64</v>
      </c>
      <c r="M1691">
        <v>0.64200000000000002</v>
      </c>
      <c r="N1691">
        <v>16045.5</v>
      </c>
      <c r="O1691">
        <v>16.045999999999999</v>
      </c>
      <c r="P1691" s="2">
        <v>42278</v>
      </c>
      <c r="Q1691">
        <v>1</v>
      </c>
      <c r="R1691" s="1" t="s">
        <v>122</v>
      </c>
    </row>
    <row r="1692" spans="1:18" x14ac:dyDescent="0.25">
      <c r="A1692">
        <v>2015</v>
      </c>
      <c r="B1692">
        <v>11</v>
      </c>
      <c r="C1692" s="1" t="s">
        <v>34</v>
      </c>
      <c r="D1692" s="1" t="s">
        <v>19</v>
      </c>
      <c r="E1692" s="1" t="s">
        <v>67</v>
      </c>
      <c r="F1692">
        <v>2012</v>
      </c>
      <c r="G1692">
        <v>3</v>
      </c>
      <c r="H1692" s="1" t="s">
        <v>121</v>
      </c>
      <c r="I1692">
        <v>25</v>
      </c>
      <c r="J1692">
        <v>3205</v>
      </c>
      <c r="K1692" s="1" t="s">
        <v>68</v>
      </c>
      <c r="L1692" s="1" t="s">
        <v>64</v>
      </c>
      <c r="M1692">
        <v>0.47499999999999998</v>
      </c>
      <c r="N1692">
        <v>11884.5</v>
      </c>
      <c r="O1692">
        <v>11.884</v>
      </c>
      <c r="P1692" s="2">
        <v>42309</v>
      </c>
      <c r="Q1692">
        <v>1</v>
      </c>
      <c r="R1692" s="1" t="s">
        <v>122</v>
      </c>
    </row>
    <row r="1693" spans="1:18" x14ac:dyDescent="0.25">
      <c r="A1693">
        <v>2015</v>
      </c>
      <c r="B1693">
        <v>12</v>
      </c>
      <c r="C1693" s="1" t="s">
        <v>35</v>
      </c>
      <c r="D1693" s="1" t="s">
        <v>19</v>
      </c>
      <c r="E1693" s="1" t="s">
        <v>67</v>
      </c>
      <c r="F1693">
        <v>2012</v>
      </c>
      <c r="G1693">
        <v>3</v>
      </c>
      <c r="H1693" s="1" t="s">
        <v>121</v>
      </c>
      <c r="I1693">
        <v>25</v>
      </c>
      <c r="J1693">
        <v>3205</v>
      </c>
      <c r="K1693" s="1" t="s">
        <v>68</v>
      </c>
      <c r="L1693" s="1" t="s">
        <v>64</v>
      </c>
      <c r="M1693">
        <v>0.47</v>
      </c>
      <c r="N1693">
        <v>11761</v>
      </c>
      <c r="O1693">
        <v>11.760999999999999</v>
      </c>
      <c r="P1693" s="2">
        <v>42339</v>
      </c>
      <c r="Q1693">
        <v>1</v>
      </c>
      <c r="R1693" s="1" t="s">
        <v>122</v>
      </c>
    </row>
    <row r="1694" spans="1:18" x14ac:dyDescent="0.25">
      <c r="A1694">
        <v>2015</v>
      </c>
      <c r="B1694">
        <v>1</v>
      </c>
      <c r="C1694" s="1" t="s">
        <v>18</v>
      </c>
      <c r="D1694" s="1" t="s">
        <v>19</v>
      </c>
      <c r="E1694" s="1" t="s">
        <v>69</v>
      </c>
      <c r="F1694">
        <v>2012</v>
      </c>
      <c r="G1694">
        <v>3</v>
      </c>
      <c r="H1694" s="1" t="s">
        <v>121</v>
      </c>
      <c r="I1694">
        <v>19</v>
      </c>
      <c r="J1694">
        <v>2469</v>
      </c>
      <c r="K1694" s="1" t="s">
        <v>70</v>
      </c>
      <c r="L1694" s="1" t="s">
        <v>45</v>
      </c>
      <c r="M1694">
        <v>0.33100000000000002</v>
      </c>
      <c r="N1694">
        <v>6295.8</v>
      </c>
      <c r="O1694">
        <v>6.2960000000000003</v>
      </c>
      <c r="P1694" s="2">
        <v>42005</v>
      </c>
      <c r="Q1694">
        <v>1</v>
      </c>
      <c r="R1694" s="1" t="s">
        <v>122</v>
      </c>
    </row>
    <row r="1695" spans="1:18" x14ac:dyDescent="0.25">
      <c r="A1695">
        <v>2015</v>
      </c>
      <c r="B1695">
        <v>2</v>
      </c>
      <c r="C1695" s="1" t="s">
        <v>25</v>
      </c>
      <c r="D1695" s="1" t="s">
        <v>19</v>
      </c>
      <c r="E1695" s="1" t="s">
        <v>69</v>
      </c>
      <c r="F1695">
        <v>2012</v>
      </c>
      <c r="G1695">
        <v>3</v>
      </c>
      <c r="H1695" s="1" t="s">
        <v>121</v>
      </c>
      <c r="I1695">
        <v>19</v>
      </c>
      <c r="J1695">
        <v>2469</v>
      </c>
      <c r="K1695" s="1" t="s">
        <v>70</v>
      </c>
      <c r="L1695" s="1" t="s">
        <v>45</v>
      </c>
      <c r="M1695">
        <v>0.35099999999999998</v>
      </c>
      <c r="N1695">
        <v>6664.1</v>
      </c>
      <c r="O1695">
        <v>6.6639999999999997</v>
      </c>
      <c r="P1695" s="2">
        <v>42036</v>
      </c>
      <c r="Q1695">
        <v>1</v>
      </c>
      <c r="R1695" s="1" t="s">
        <v>122</v>
      </c>
    </row>
    <row r="1696" spans="1:18" x14ac:dyDescent="0.25">
      <c r="A1696">
        <v>2015</v>
      </c>
      <c r="B1696">
        <v>3</v>
      </c>
      <c r="C1696" s="1" t="s">
        <v>26</v>
      </c>
      <c r="D1696" s="1" t="s">
        <v>19</v>
      </c>
      <c r="E1696" s="1" t="s">
        <v>69</v>
      </c>
      <c r="F1696">
        <v>2012</v>
      </c>
      <c r="G1696">
        <v>3</v>
      </c>
      <c r="H1696" s="1" t="s">
        <v>121</v>
      </c>
      <c r="I1696">
        <v>19</v>
      </c>
      <c r="J1696">
        <v>2469</v>
      </c>
      <c r="K1696" s="1" t="s">
        <v>70</v>
      </c>
      <c r="L1696" s="1" t="s">
        <v>45</v>
      </c>
      <c r="M1696">
        <v>0.47799999999999998</v>
      </c>
      <c r="N1696">
        <v>9090</v>
      </c>
      <c r="O1696">
        <v>9.09</v>
      </c>
      <c r="P1696" s="2">
        <v>42064</v>
      </c>
      <c r="Q1696">
        <v>1</v>
      </c>
      <c r="R1696" s="1" t="s">
        <v>122</v>
      </c>
    </row>
    <row r="1697" spans="1:18" x14ac:dyDescent="0.25">
      <c r="A1697">
        <v>2015</v>
      </c>
      <c r="B1697">
        <v>4</v>
      </c>
      <c r="C1697" s="1" t="s">
        <v>27</v>
      </c>
      <c r="D1697" s="1" t="s">
        <v>19</v>
      </c>
      <c r="E1697" s="1" t="s">
        <v>69</v>
      </c>
      <c r="F1697">
        <v>2012</v>
      </c>
      <c r="G1697">
        <v>3</v>
      </c>
      <c r="H1697" s="1" t="s">
        <v>121</v>
      </c>
      <c r="I1697">
        <v>19</v>
      </c>
      <c r="J1697">
        <v>2469</v>
      </c>
      <c r="K1697" s="1" t="s">
        <v>70</v>
      </c>
      <c r="L1697" s="1" t="s">
        <v>45</v>
      </c>
      <c r="M1697">
        <v>0.432</v>
      </c>
      <c r="N1697">
        <v>8209.1</v>
      </c>
      <c r="O1697">
        <v>8.2089999999999996</v>
      </c>
      <c r="P1697" s="2">
        <v>42095</v>
      </c>
      <c r="Q1697">
        <v>1</v>
      </c>
      <c r="R1697" s="1" t="s">
        <v>122</v>
      </c>
    </row>
    <row r="1698" spans="1:18" x14ac:dyDescent="0.25">
      <c r="A1698">
        <v>2015</v>
      </c>
      <c r="B1698">
        <v>5</v>
      </c>
      <c r="C1698" s="1" t="s">
        <v>28</v>
      </c>
      <c r="D1698" s="1" t="s">
        <v>19</v>
      </c>
      <c r="E1698" s="1" t="s">
        <v>69</v>
      </c>
      <c r="F1698">
        <v>2012</v>
      </c>
      <c r="G1698">
        <v>3</v>
      </c>
      <c r="H1698" s="1" t="s">
        <v>121</v>
      </c>
      <c r="I1698">
        <v>19</v>
      </c>
      <c r="J1698">
        <v>2469</v>
      </c>
      <c r="K1698" s="1" t="s">
        <v>70</v>
      </c>
      <c r="L1698" s="1" t="s">
        <v>45</v>
      </c>
      <c r="M1698">
        <v>0.47399999999999998</v>
      </c>
      <c r="N1698">
        <v>9003.2999999999993</v>
      </c>
      <c r="O1698">
        <v>9.0030000000000001</v>
      </c>
      <c r="P1698" s="2">
        <v>42125</v>
      </c>
      <c r="Q1698">
        <v>1</v>
      </c>
      <c r="R1698" s="1" t="s">
        <v>122</v>
      </c>
    </row>
    <row r="1699" spans="1:18" x14ac:dyDescent="0.25">
      <c r="A1699">
        <v>2015</v>
      </c>
      <c r="B1699">
        <v>6</v>
      </c>
      <c r="C1699" s="1" t="s">
        <v>29</v>
      </c>
      <c r="D1699" s="1" t="s">
        <v>19</v>
      </c>
      <c r="E1699" s="1" t="s">
        <v>69</v>
      </c>
      <c r="F1699">
        <v>2012</v>
      </c>
      <c r="G1699">
        <v>3</v>
      </c>
      <c r="H1699" s="1" t="s">
        <v>121</v>
      </c>
      <c r="I1699">
        <v>19</v>
      </c>
      <c r="J1699">
        <v>2469</v>
      </c>
      <c r="K1699" s="1" t="s">
        <v>70</v>
      </c>
      <c r="L1699" s="1" t="s">
        <v>45</v>
      </c>
      <c r="M1699">
        <v>0.65100000000000002</v>
      </c>
      <c r="N1699">
        <v>12375.1</v>
      </c>
      <c r="O1699">
        <v>12.375</v>
      </c>
      <c r="P1699" s="2">
        <v>42156</v>
      </c>
      <c r="Q1699">
        <v>1</v>
      </c>
      <c r="R1699" s="1" t="s">
        <v>122</v>
      </c>
    </row>
    <row r="1700" spans="1:18" x14ac:dyDescent="0.25">
      <c r="A1700">
        <v>2015</v>
      </c>
      <c r="B1700">
        <v>7</v>
      </c>
      <c r="C1700" s="1" t="s">
        <v>30</v>
      </c>
      <c r="D1700" s="1" t="s">
        <v>19</v>
      </c>
      <c r="E1700" s="1" t="s">
        <v>69</v>
      </c>
      <c r="F1700">
        <v>2012</v>
      </c>
      <c r="G1700">
        <v>3</v>
      </c>
      <c r="H1700" s="1" t="s">
        <v>121</v>
      </c>
      <c r="I1700">
        <v>19</v>
      </c>
      <c r="J1700">
        <v>2469</v>
      </c>
      <c r="K1700" s="1" t="s">
        <v>70</v>
      </c>
      <c r="L1700" s="1" t="s">
        <v>45</v>
      </c>
      <c r="M1700">
        <v>0.76</v>
      </c>
      <c r="N1700">
        <v>14447.2</v>
      </c>
      <c r="O1700">
        <v>14.446999999999999</v>
      </c>
      <c r="P1700" s="2">
        <v>42186</v>
      </c>
      <c r="Q1700">
        <v>1</v>
      </c>
      <c r="R1700" s="1" t="s">
        <v>122</v>
      </c>
    </row>
    <row r="1701" spans="1:18" x14ac:dyDescent="0.25">
      <c r="A1701">
        <v>2015</v>
      </c>
      <c r="B1701">
        <v>8</v>
      </c>
      <c r="C1701" s="1" t="s">
        <v>31</v>
      </c>
      <c r="D1701" s="1" t="s">
        <v>19</v>
      </c>
      <c r="E1701" s="1" t="s">
        <v>69</v>
      </c>
      <c r="F1701">
        <v>2012</v>
      </c>
      <c r="G1701">
        <v>3</v>
      </c>
      <c r="H1701" s="1" t="s">
        <v>121</v>
      </c>
      <c r="I1701">
        <v>19</v>
      </c>
      <c r="J1701">
        <v>2469</v>
      </c>
      <c r="K1701" s="1" t="s">
        <v>70</v>
      </c>
      <c r="L1701" s="1" t="s">
        <v>45</v>
      </c>
      <c r="M1701">
        <v>0.83299999999999996</v>
      </c>
      <c r="N1701">
        <v>15833.5</v>
      </c>
      <c r="O1701">
        <v>15.833</v>
      </c>
      <c r="P1701" s="2">
        <v>42217</v>
      </c>
      <c r="Q1701">
        <v>1</v>
      </c>
      <c r="R1701" s="1" t="s">
        <v>122</v>
      </c>
    </row>
    <row r="1702" spans="1:18" x14ac:dyDescent="0.25">
      <c r="A1702">
        <v>2015</v>
      </c>
      <c r="B1702">
        <v>9</v>
      </c>
      <c r="C1702" s="1" t="s">
        <v>32</v>
      </c>
      <c r="D1702" s="1" t="s">
        <v>19</v>
      </c>
      <c r="E1702" s="1" t="s">
        <v>69</v>
      </c>
      <c r="F1702">
        <v>2012</v>
      </c>
      <c r="G1702">
        <v>3</v>
      </c>
      <c r="H1702" s="1" t="s">
        <v>121</v>
      </c>
      <c r="I1702">
        <v>19</v>
      </c>
      <c r="J1702">
        <v>2469</v>
      </c>
      <c r="K1702" s="1" t="s">
        <v>70</v>
      </c>
      <c r="L1702" s="1" t="s">
        <v>45</v>
      </c>
      <c r="M1702">
        <v>0.65200000000000002</v>
      </c>
      <c r="N1702">
        <v>12396.7</v>
      </c>
      <c r="O1702">
        <v>12.397</v>
      </c>
      <c r="P1702" s="2">
        <v>42248</v>
      </c>
      <c r="Q1702">
        <v>1</v>
      </c>
      <c r="R1702" s="1" t="s">
        <v>122</v>
      </c>
    </row>
    <row r="1703" spans="1:18" x14ac:dyDescent="0.25">
      <c r="A1703">
        <v>2015</v>
      </c>
      <c r="B1703">
        <v>10</v>
      </c>
      <c r="C1703" s="1" t="s">
        <v>33</v>
      </c>
      <c r="D1703" s="1" t="s">
        <v>19</v>
      </c>
      <c r="E1703" s="1" t="s">
        <v>69</v>
      </c>
      <c r="F1703">
        <v>2012</v>
      </c>
      <c r="G1703">
        <v>3</v>
      </c>
      <c r="H1703" s="1" t="s">
        <v>121</v>
      </c>
      <c r="I1703">
        <v>19</v>
      </c>
      <c r="J1703">
        <v>2469</v>
      </c>
      <c r="K1703" s="1" t="s">
        <v>70</v>
      </c>
      <c r="L1703" s="1" t="s">
        <v>45</v>
      </c>
      <c r="M1703">
        <v>0.64200000000000002</v>
      </c>
      <c r="N1703">
        <v>12194.6</v>
      </c>
      <c r="O1703">
        <v>12.195</v>
      </c>
      <c r="P1703" s="2">
        <v>42278</v>
      </c>
      <c r="Q1703">
        <v>1</v>
      </c>
      <c r="R1703" s="1" t="s">
        <v>122</v>
      </c>
    </row>
    <row r="1704" spans="1:18" x14ac:dyDescent="0.25">
      <c r="A1704">
        <v>2015</v>
      </c>
      <c r="B1704">
        <v>11</v>
      </c>
      <c r="C1704" s="1" t="s">
        <v>34</v>
      </c>
      <c r="D1704" s="1" t="s">
        <v>19</v>
      </c>
      <c r="E1704" s="1" t="s">
        <v>69</v>
      </c>
      <c r="F1704">
        <v>2012</v>
      </c>
      <c r="G1704">
        <v>3</v>
      </c>
      <c r="H1704" s="1" t="s">
        <v>121</v>
      </c>
      <c r="I1704">
        <v>19</v>
      </c>
      <c r="J1704">
        <v>2469</v>
      </c>
      <c r="K1704" s="1" t="s">
        <v>70</v>
      </c>
      <c r="L1704" s="1" t="s">
        <v>45</v>
      </c>
      <c r="M1704">
        <v>0.47499999999999998</v>
      </c>
      <c r="N1704">
        <v>9032.2000000000007</v>
      </c>
      <c r="O1704">
        <v>9.032</v>
      </c>
      <c r="P1704" s="2">
        <v>42309</v>
      </c>
      <c r="Q1704">
        <v>1</v>
      </c>
      <c r="R1704" s="1" t="s">
        <v>122</v>
      </c>
    </row>
    <row r="1705" spans="1:18" x14ac:dyDescent="0.25">
      <c r="A1705">
        <v>2015</v>
      </c>
      <c r="B1705">
        <v>12</v>
      </c>
      <c r="C1705" s="1" t="s">
        <v>35</v>
      </c>
      <c r="D1705" s="1" t="s">
        <v>19</v>
      </c>
      <c r="E1705" s="1" t="s">
        <v>69</v>
      </c>
      <c r="F1705">
        <v>2012</v>
      </c>
      <c r="G1705">
        <v>3</v>
      </c>
      <c r="H1705" s="1" t="s">
        <v>121</v>
      </c>
      <c r="I1705">
        <v>19</v>
      </c>
      <c r="J1705">
        <v>2469</v>
      </c>
      <c r="K1705" s="1" t="s">
        <v>70</v>
      </c>
      <c r="L1705" s="1" t="s">
        <v>45</v>
      </c>
      <c r="M1705">
        <v>0.47</v>
      </c>
      <c r="N1705">
        <v>8938.4</v>
      </c>
      <c r="O1705">
        <v>8.9380000000000006</v>
      </c>
      <c r="P1705" s="2">
        <v>42339</v>
      </c>
      <c r="Q1705">
        <v>1</v>
      </c>
      <c r="R1705" s="1" t="s">
        <v>122</v>
      </c>
    </row>
    <row r="1706" spans="1:18" x14ac:dyDescent="0.25">
      <c r="A1706">
        <v>2015</v>
      </c>
      <c r="B1706">
        <v>1</v>
      </c>
      <c r="C1706" s="1" t="s">
        <v>18</v>
      </c>
      <c r="D1706" s="1" t="s">
        <v>19</v>
      </c>
      <c r="E1706" s="1" t="s">
        <v>71</v>
      </c>
      <c r="F1706">
        <v>2012</v>
      </c>
      <c r="G1706">
        <v>3</v>
      </c>
      <c r="H1706" s="1" t="s">
        <v>121</v>
      </c>
      <c r="I1706">
        <v>20</v>
      </c>
      <c r="J1706">
        <v>2704</v>
      </c>
      <c r="K1706" s="1" t="s">
        <v>72</v>
      </c>
      <c r="L1706" s="1" t="s">
        <v>64</v>
      </c>
      <c r="M1706">
        <v>0.33100000000000002</v>
      </c>
      <c r="N1706">
        <v>6627.2</v>
      </c>
      <c r="O1706">
        <v>6.6269999999999998</v>
      </c>
      <c r="P1706" s="2">
        <v>42005</v>
      </c>
      <c r="Q1706">
        <v>1</v>
      </c>
      <c r="R1706" s="1" t="s">
        <v>122</v>
      </c>
    </row>
    <row r="1707" spans="1:18" x14ac:dyDescent="0.25">
      <c r="A1707">
        <v>2015</v>
      </c>
      <c r="B1707">
        <v>2</v>
      </c>
      <c r="C1707" s="1" t="s">
        <v>25</v>
      </c>
      <c r="D1707" s="1" t="s">
        <v>19</v>
      </c>
      <c r="E1707" s="1" t="s">
        <v>71</v>
      </c>
      <c r="F1707">
        <v>2012</v>
      </c>
      <c r="G1707">
        <v>3</v>
      </c>
      <c r="H1707" s="1" t="s">
        <v>121</v>
      </c>
      <c r="I1707">
        <v>20</v>
      </c>
      <c r="J1707">
        <v>2704</v>
      </c>
      <c r="K1707" s="1" t="s">
        <v>72</v>
      </c>
      <c r="L1707" s="1" t="s">
        <v>64</v>
      </c>
      <c r="M1707">
        <v>0.35099999999999998</v>
      </c>
      <c r="N1707">
        <v>7014.8</v>
      </c>
      <c r="O1707">
        <v>7.0149999999999997</v>
      </c>
      <c r="P1707" s="2">
        <v>42036</v>
      </c>
      <c r="Q1707">
        <v>1</v>
      </c>
      <c r="R1707" s="1" t="s">
        <v>122</v>
      </c>
    </row>
    <row r="1708" spans="1:18" x14ac:dyDescent="0.25">
      <c r="A1708">
        <v>2015</v>
      </c>
      <c r="B1708">
        <v>3</v>
      </c>
      <c r="C1708" s="1" t="s">
        <v>26</v>
      </c>
      <c r="D1708" s="1" t="s">
        <v>19</v>
      </c>
      <c r="E1708" s="1" t="s">
        <v>71</v>
      </c>
      <c r="F1708">
        <v>2012</v>
      </c>
      <c r="G1708">
        <v>3</v>
      </c>
      <c r="H1708" s="1" t="s">
        <v>121</v>
      </c>
      <c r="I1708">
        <v>20</v>
      </c>
      <c r="J1708">
        <v>2704</v>
      </c>
      <c r="K1708" s="1" t="s">
        <v>72</v>
      </c>
      <c r="L1708" s="1" t="s">
        <v>64</v>
      </c>
      <c r="M1708">
        <v>0.47799999999999998</v>
      </c>
      <c r="N1708">
        <v>9568.4</v>
      </c>
      <c r="O1708">
        <v>9.5679999999999996</v>
      </c>
      <c r="P1708" s="2">
        <v>42064</v>
      </c>
      <c r="Q1708">
        <v>1</v>
      </c>
      <c r="R1708" s="1" t="s">
        <v>122</v>
      </c>
    </row>
    <row r="1709" spans="1:18" x14ac:dyDescent="0.25">
      <c r="A1709">
        <v>2015</v>
      </c>
      <c r="B1709">
        <v>4</v>
      </c>
      <c r="C1709" s="1" t="s">
        <v>27</v>
      </c>
      <c r="D1709" s="1" t="s">
        <v>19</v>
      </c>
      <c r="E1709" s="1" t="s">
        <v>71</v>
      </c>
      <c r="F1709">
        <v>2012</v>
      </c>
      <c r="G1709">
        <v>3</v>
      </c>
      <c r="H1709" s="1" t="s">
        <v>121</v>
      </c>
      <c r="I1709">
        <v>20</v>
      </c>
      <c r="J1709">
        <v>2704</v>
      </c>
      <c r="K1709" s="1" t="s">
        <v>72</v>
      </c>
      <c r="L1709" s="1" t="s">
        <v>64</v>
      </c>
      <c r="M1709">
        <v>0.432</v>
      </c>
      <c r="N1709">
        <v>8641.2000000000007</v>
      </c>
      <c r="O1709">
        <v>8.641</v>
      </c>
      <c r="P1709" s="2">
        <v>42095</v>
      </c>
      <c r="Q1709">
        <v>1</v>
      </c>
      <c r="R1709" s="1" t="s">
        <v>122</v>
      </c>
    </row>
    <row r="1710" spans="1:18" x14ac:dyDescent="0.25">
      <c r="A1710">
        <v>2015</v>
      </c>
      <c r="B1710">
        <v>5</v>
      </c>
      <c r="C1710" s="1" t="s">
        <v>28</v>
      </c>
      <c r="D1710" s="1" t="s">
        <v>19</v>
      </c>
      <c r="E1710" s="1" t="s">
        <v>71</v>
      </c>
      <c r="F1710">
        <v>2012</v>
      </c>
      <c r="G1710">
        <v>3</v>
      </c>
      <c r="H1710" s="1" t="s">
        <v>121</v>
      </c>
      <c r="I1710">
        <v>20</v>
      </c>
      <c r="J1710">
        <v>2704</v>
      </c>
      <c r="K1710" s="1" t="s">
        <v>72</v>
      </c>
      <c r="L1710" s="1" t="s">
        <v>64</v>
      </c>
      <c r="M1710">
        <v>0.47399999999999998</v>
      </c>
      <c r="N1710">
        <v>9477.2000000000007</v>
      </c>
      <c r="O1710">
        <v>9.4770000000000003</v>
      </c>
      <c r="P1710" s="2">
        <v>42125</v>
      </c>
      <c r="Q1710">
        <v>1</v>
      </c>
      <c r="R1710" s="1" t="s">
        <v>122</v>
      </c>
    </row>
    <row r="1711" spans="1:18" x14ac:dyDescent="0.25">
      <c r="A1711">
        <v>2015</v>
      </c>
      <c r="B1711">
        <v>6</v>
      </c>
      <c r="C1711" s="1" t="s">
        <v>29</v>
      </c>
      <c r="D1711" s="1" t="s">
        <v>19</v>
      </c>
      <c r="E1711" s="1" t="s">
        <v>71</v>
      </c>
      <c r="F1711">
        <v>2012</v>
      </c>
      <c r="G1711">
        <v>3</v>
      </c>
      <c r="H1711" s="1" t="s">
        <v>121</v>
      </c>
      <c r="I1711">
        <v>20</v>
      </c>
      <c r="J1711">
        <v>2704</v>
      </c>
      <c r="K1711" s="1" t="s">
        <v>72</v>
      </c>
      <c r="L1711" s="1" t="s">
        <v>64</v>
      </c>
      <c r="M1711">
        <v>0.65100000000000002</v>
      </c>
      <c r="N1711">
        <v>13026.4</v>
      </c>
      <c r="O1711">
        <v>13.026</v>
      </c>
      <c r="P1711" s="2">
        <v>42156</v>
      </c>
      <c r="Q1711">
        <v>1</v>
      </c>
      <c r="R1711" s="1" t="s">
        <v>122</v>
      </c>
    </row>
    <row r="1712" spans="1:18" x14ac:dyDescent="0.25">
      <c r="A1712">
        <v>2015</v>
      </c>
      <c r="B1712">
        <v>7</v>
      </c>
      <c r="C1712" s="1" t="s">
        <v>30</v>
      </c>
      <c r="D1712" s="1" t="s">
        <v>19</v>
      </c>
      <c r="E1712" s="1" t="s">
        <v>71</v>
      </c>
      <c r="F1712">
        <v>2012</v>
      </c>
      <c r="G1712">
        <v>3</v>
      </c>
      <c r="H1712" s="1" t="s">
        <v>121</v>
      </c>
      <c r="I1712">
        <v>20</v>
      </c>
      <c r="J1712">
        <v>2704</v>
      </c>
      <c r="K1712" s="1" t="s">
        <v>72</v>
      </c>
      <c r="L1712" s="1" t="s">
        <v>64</v>
      </c>
      <c r="M1712">
        <v>0.76</v>
      </c>
      <c r="N1712">
        <v>15207.6</v>
      </c>
      <c r="O1712">
        <v>15.208</v>
      </c>
      <c r="P1712" s="2">
        <v>42186</v>
      </c>
      <c r="Q1712">
        <v>1</v>
      </c>
      <c r="R1712" s="1" t="s">
        <v>122</v>
      </c>
    </row>
    <row r="1713" spans="1:18" x14ac:dyDescent="0.25">
      <c r="A1713">
        <v>2015</v>
      </c>
      <c r="B1713">
        <v>8</v>
      </c>
      <c r="C1713" s="1" t="s">
        <v>31</v>
      </c>
      <c r="D1713" s="1" t="s">
        <v>19</v>
      </c>
      <c r="E1713" s="1" t="s">
        <v>71</v>
      </c>
      <c r="F1713">
        <v>2012</v>
      </c>
      <c r="G1713">
        <v>3</v>
      </c>
      <c r="H1713" s="1" t="s">
        <v>121</v>
      </c>
      <c r="I1713">
        <v>20</v>
      </c>
      <c r="J1713">
        <v>2704</v>
      </c>
      <c r="K1713" s="1" t="s">
        <v>72</v>
      </c>
      <c r="L1713" s="1" t="s">
        <v>64</v>
      </c>
      <c r="M1713">
        <v>0.83299999999999996</v>
      </c>
      <c r="N1713">
        <v>16666.8</v>
      </c>
      <c r="O1713">
        <v>16.667000000000002</v>
      </c>
      <c r="P1713" s="2">
        <v>42217</v>
      </c>
      <c r="Q1713">
        <v>1</v>
      </c>
      <c r="R1713" s="1" t="s">
        <v>122</v>
      </c>
    </row>
    <row r="1714" spans="1:18" x14ac:dyDescent="0.25">
      <c r="A1714">
        <v>2015</v>
      </c>
      <c r="B1714">
        <v>9</v>
      </c>
      <c r="C1714" s="1" t="s">
        <v>32</v>
      </c>
      <c r="D1714" s="1" t="s">
        <v>19</v>
      </c>
      <c r="E1714" s="1" t="s">
        <v>71</v>
      </c>
      <c r="F1714">
        <v>2012</v>
      </c>
      <c r="G1714">
        <v>3</v>
      </c>
      <c r="H1714" s="1" t="s">
        <v>121</v>
      </c>
      <c r="I1714">
        <v>20</v>
      </c>
      <c r="J1714">
        <v>2704</v>
      </c>
      <c r="K1714" s="1" t="s">
        <v>72</v>
      </c>
      <c r="L1714" s="1" t="s">
        <v>64</v>
      </c>
      <c r="M1714">
        <v>0.65200000000000002</v>
      </c>
      <c r="N1714">
        <v>13049.2</v>
      </c>
      <c r="O1714">
        <v>13.048999999999999</v>
      </c>
      <c r="P1714" s="2">
        <v>42248</v>
      </c>
      <c r="Q1714">
        <v>1</v>
      </c>
      <c r="R1714" s="1" t="s">
        <v>122</v>
      </c>
    </row>
    <row r="1715" spans="1:18" x14ac:dyDescent="0.25">
      <c r="A1715">
        <v>2015</v>
      </c>
      <c r="B1715">
        <v>10</v>
      </c>
      <c r="C1715" s="1" t="s">
        <v>33</v>
      </c>
      <c r="D1715" s="1" t="s">
        <v>19</v>
      </c>
      <c r="E1715" s="1" t="s">
        <v>71</v>
      </c>
      <c r="F1715">
        <v>2012</v>
      </c>
      <c r="G1715">
        <v>3</v>
      </c>
      <c r="H1715" s="1" t="s">
        <v>121</v>
      </c>
      <c r="I1715">
        <v>20</v>
      </c>
      <c r="J1715">
        <v>2704</v>
      </c>
      <c r="K1715" s="1" t="s">
        <v>72</v>
      </c>
      <c r="L1715" s="1" t="s">
        <v>64</v>
      </c>
      <c r="M1715">
        <v>0.64200000000000002</v>
      </c>
      <c r="N1715">
        <v>12836.4</v>
      </c>
      <c r="O1715">
        <v>12.836</v>
      </c>
      <c r="P1715" s="2">
        <v>42278</v>
      </c>
      <c r="Q1715">
        <v>1</v>
      </c>
      <c r="R1715" s="1" t="s">
        <v>122</v>
      </c>
    </row>
    <row r="1716" spans="1:18" x14ac:dyDescent="0.25">
      <c r="A1716">
        <v>2015</v>
      </c>
      <c r="B1716">
        <v>11</v>
      </c>
      <c r="C1716" s="1" t="s">
        <v>34</v>
      </c>
      <c r="D1716" s="1" t="s">
        <v>19</v>
      </c>
      <c r="E1716" s="1" t="s">
        <v>71</v>
      </c>
      <c r="F1716">
        <v>2012</v>
      </c>
      <c r="G1716">
        <v>3</v>
      </c>
      <c r="H1716" s="1" t="s">
        <v>121</v>
      </c>
      <c r="I1716">
        <v>20</v>
      </c>
      <c r="J1716">
        <v>2704</v>
      </c>
      <c r="K1716" s="1" t="s">
        <v>72</v>
      </c>
      <c r="L1716" s="1" t="s">
        <v>64</v>
      </c>
      <c r="M1716">
        <v>0.47499999999999998</v>
      </c>
      <c r="N1716">
        <v>9507.6</v>
      </c>
      <c r="O1716">
        <v>9.5079999999999991</v>
      </c>
      <c r="P1716" s="2">
        <v>42309</v>
      </c>
      <c r="Q1716">
        <v>1</v>
      </c>
      <c r="R1716" s="1" t="s">
        <v>122</v>
      </c>
    </row>
    <row r="1717" spans="1:18" x14ac:dyDescent="0.25">
      <c r="A1717">
        <v>2015</v>
      </c>
      <c r="B1717">
        <v>12</v>
      </c>
      <c r="C1717" s="1" t="s">
        <v>35</v>
      </c>
      <c r="D1717" s="1" t="s">
        <v>19</v>
      </c>
      <c r="E1717" s="1" t="s">
        <v>71</v>
      </c>
      <c r="F1717">
        <v>2012</v>
      </c>
      <c r="G1717">
        <v>3</v>
      </c>
      <c r="H1717" s="1" t="s">
        <v>121</v>
      </c>
      <c r="I1717">
        <v>20</v>
      </c>
      <c r="J1717">
        <v>2704</v>
      </c>
      <c r="K1717" s="1" t="s">
        <v>72</v>
      </c>
      <c r="L1717" s="1" t="s">
        <v>64</v>
      </c>
      <c r="M1717">
        <v>0.47</v>
      </c>
      <c r="N1717">
        <v>9408.7999999999993</v>
      </c>
      <c r="O1717">
        <v>9.4090000000000007</v>
      </c>
      <c r="P1717" s="2">
        <v>42339</v>
      </c>
      <c r="Q1717">
        <v>1</v>
      </c>
      <c r="R1717" s="1" t="s">
        <v>122</v>
      </c>
    </row>
    <row r="1718" spans="1:18" x14ac:dyDescent="0.25">
      <c r="A1718">
        <v>2015</v>
      </c>
      <c r="B1718">
        <v>1</v>
      </c>
      <c r="C1718" s="1" t="s">
        <v>18</v>
      </c>
      <c r="D1718" s="1" t="s">
        <v>19</v>
      </c>
      <c r="E1718" s="1" t="s">
        <v>73</v>
      </c>
      <c r="F1718">
        <v>2012</v>
      </c>
      <c r="G1718">
        <v>3</v>
      </c>
      <c r="H1718" s="1" t="s">
        <v>121</v>
      </c>
      <c r="I1718">
        <v>14</v>
      </c>
      <c r="J1718">
        <v>1833</v>
      </c>
      <c r="K1718" s="1" t="s">
        <v>74</v>
      </c>
      <c r="L1718" s="1" t="s">
        <v>64</v>
      </c>
      <c r="M1718">
        <v>0.33100000000000002</v>
      </c>
      <c r="N1718">
        <v>4639</v>
      </c>
      <c r="O1718">
        <v>4.6390000000000002</v>
      </c>
      <c r="P1718" s="2">
        <v>42005</v>
      </c>
      <c r="Q1718">
        <v>1</v>
      </c>
      <c r="R1718" s="1" t="s">
        <v>122</v>
      </c>
    </row>
    <row r="1719" spans="1:18" x14ac:dyDescent="0.25">
      <c r="A1719">
        <v>2015</v>
      </c>
      <c r="B1719">
        <v>2</v>
      </c>
      <c r="C1719" s="1" t="s">
        <v>25</v>
      </c>
      <c r="D1719" s="1" t="s">
        <v>19</v>
      </c>
      <c r="E1719" s="1" t="s">
        <v>73</v>
      </c>
      <c r="F1719">
        <v>2012</v>
      </c>
      <c r="G1719">
        <v>3</v>
      </c>
      <c r="H1719" s="1" t="s">
        <v>121</v>
      </c>
      <c r="I1719">
        <v>14</v>
      </c>
      <c r="J1719">
        <v>1833</v>
      </c>
      <c r="K1719" s="1" t="s">
        <v>74</v>
      </c>
      <c r="L1719" s="1" t="s">
        <v>64</v>
      </c>
      <c r="M1719">
        <v>0.35099999999999998</v>
      </c>
      <c r="N1719">
        <v>4910.3999999999996</v>
      </c>
      <c r="O1719">
        <v>4.91</v>
      </c>
      <c r="P1719" s="2">
        <v>42036</v>
      </c>
      <c r="Q1719">
        <v>1</v>
      </c>
      <c r="R1719" s="1" t="s">
        <v>122</v>
      </c>
    </row>
    <row r="1720" spans="1:18" x14ac:dyDescent="0.25">
      <c r="A1720">
        <v>2015</v>
      </c>
      <c r="B1720">
        <v>3</v>
      </c>
      <c r="C1720" s="1" t="s">
        <v>26</v>
      </c>
      <c r="D1720" s="1" t="s">
        <v>19</v>
      </c>
      <c r="E1720" s="1" t="s">
        <v>73</v>
      </c>
      <c r="F1720">
        <v>2012</v>
      </c>
      <c r="G1720">
        <v>3</v>
      </c>
      <c r="H1720" s="1" t="s">
        <v>121</v>
      </c>
      <c r="I1720">
        <v>14</v>
      </c>
      <c r="J1720">
        <v>1833</v>
      </c>
      <c r="K1720" s="1" t="s">
        <v>74</v>
      </c>
      <c r="L1720" s="1" t="s">
        <v>64</v>
      </c>
      <c r="M1720">
        <v>0.47799999999999998</v>
      </c>
      <c r="N1720">
        <v>6697.9</v>
      </c>
      <c r="O1720">
        <v>6.6980000000000004</v>
      </c>
      <c r="P1720" s="2">
        <v>42064</v>
      </c>
      <c r="Q1720">
        <v>1</v>
      </c>
      <c r="R1720" s="1" t="s">
        <v>122</v>
      </c>
    </row>
    <row r="1721" spans="1:18" x14ac:dyDescent="0.25">
      <c r="A1721">
        <v>2015</v>
      </c>
      <c r="B1721">
        <v>4</v>
      </c>
      <c r="C1721" s="1" t="s">
        <v>27</v>
      </c>
      <c r="D1721" s="1" t="s">
        <v>19</v>
      </c>
      <c r="E1721" s="1" t="s">
        <v>73</v>
      </c>
      <c r="F1721">
        <v>2012</v>
      </c>
      <c r="G1721">
        <v>3</v>
      </c>
      <c r="H1721" s="1" t="s">
        <v>121</v>
      </c>
      <c r="I1721">
        <v>14</v>
      </c>
      <c r="J1721">
        <v>1833</v>
      </c>
      <c r="K1721" s="1" t="s">
        <v>74</v>
      </c>
      <c r="L1721" s="1" t="s">
        <v>64</v>
      </c>
      <c r="M1721">
        <v>0.432</v>
      </c>
      <c r="N1721">
        <v>6048.8</v>
      </c>
      <c r="O1721">
        <v>6.0490000000000004</v>
      </c>
      <c r="P1721" s="2">
        <v>42095</v>
      </c>
      <c r="Q1721">
        <v>1</v>
      </c>
      <c r="R1721" s="1" t="s">
        <v>122</v>
      </c>
    </row>
    <row r="1722" spans="1:18" x14ac:dyDescent="0.25">
      <c r="A1722">
        <v>2015</v>
      </c>
      <c r="B1722">
        <v>5</v>
      </c>
      <c r="C1722" s="1" t="s">
        <v>28</v>
      </c>
      <c r="D1722" s="1" t="s">
        <v>19</v>
      </c>
      <c r="E1722" s="1" t="s">
        <v>73</v>
      </c>
      <c r="F1722">
        <v>2012</v>
      </c>
      <c r="G1722">
        <v>3</v>
      </c>
      <c r="H1722" s="1" t="s">
        <v>121</v>
      </c>
      <c r="I1722">
        <v>14</v>
      </c>
      <c r="J1722">
        <v>1833</v>
      </c>
      <c r="K1722" s="1" t="s">
        <v>74</v>
      </c>
      <c r="L1722" s="1" t="s">
        <v>64</v>
      </c>
      <c r="M1722">
        <v>0.47399999999999998</v>
      </c>
      <c r="N1722">
        <v>6634</v>
      </c>
      <c r="O1722">
        <v>6.6340000000000003</v>
      </c>
      <c r="P1722" s="2">
        <v>42125</v>
      </c>
      <c r="Q1722">
        <v>1</v>
      </c>
      <c r="R1722" s="1" t="s">
        <v>122</v>
      </c>
    </row>
    <row r="1723" spans="1:18" x14ac:dyDescent="0.25">
      <c r="A1723">
        <v>2015</v>
      </c>
      <c r="B1723">
        <v>6</v>
      </c>
      <c r="C1723" s="1" t="s">
        <v>29</v>
      </c>
      <c r="D1723" s="1" t="s">
        <v>19</v>
      </c>
      <c r="E1723" s="1" t="s">
        <v>73</v>
      </c>
      <c r="F1723">
        <v>2012</v>
      </c>
      <c r="G1723">
        <v>3</v>
      </c>
      <c r="H1723" s="1" t="s">
        <v>121</v>
      </c>
      <c r="I1723">
        <v>14</v>
      </c>
      <c r="J1723">
        <v>1833</v>
      </c>
      <c r="K1723" s="1" t="s">
        <v>74</v>
      </c>
      <c r="L1723" s="1" t="s">
        <v>64</v>
      </c>
      <c r="M1723">
        <v>0.65100000000000002</v>
      </c>
      <c r="N1723">
        <v>9118.5</v>
      </c>
      <c r="O1723">
        <v>9.1180000000000003</v>
      </c>
      <c r="P1723" s="2">
        <v>42156</v>
      </c>
      <c r="Q1723">
        <v>1</v>
      </c>
      <c r="R1723" s="1" t="s">
        <v>122</v>
      </c>
    </row>
    <row r="1724" spans="1:18" x14ac:dyDescent="0.25">
      <c r="A1724">
        <v>2015</v>
      </c>
      <c r="B1724">
        <v>7</v>
      </c>
      <c r="C1724" s="1" t="s">
        <v>30</v>
      </c>
      <c r="D1724" s="1" t="s">
        <v>19</v>
      </c>
      <c r="E1724" s="1" t="s">
        <v>73</v>
      </c>
      <c r="F1724">
        <v>2012</v>
      </c>
      <c r="G1724">
        <v>3</v>
      </c>
      <c r="H1724" s="1" t="s">
        <v>121</v>
      </c>
      <c r="I1724">
        <v>14</v>
      </c>
      <c r="J1724">
        <v>1833</v>
      </c>
      <c r="K1724" s="1" t="s">
        <v>74</v>
      </c>
      <c r="L1724" s="1" t="s">
        <v>64</v>
      </c>
      <c r="M1724">
        <v>0.76</v>
      </c>
      <c r="N1724">
        <v>10645.3</v>
      </c>
      <c r="O1724">
        <v>10.645</v>
      </c>
      <c r="P1724" s="2">
        <v>42186</v>
      </c>
      <c r="Q1724">
        <v>1</v>
      </c>
      <c r="R1724" s="1" t="s">
        <v>122</v>
      </c>
    </row>
    <row r="1725" spans="1:18" x14ac:dyDescent="0.25">
      <c r="A1725">
        <v>2015</v>
      </c>
      <c r="B1725">
        <v>8</v>
      </c>
      <c r="C1725" s="1" t="s">
        <v>31</v>
      </c>
      <c r="D1725" s="1" t="s">
        <v>19</v>
      </c>
      <c r="E1725" s="1" t="s">
        <v>73</v>
      </c>
      <c r="F1725">
        <v>2012</v>
      </c>
      <c r="G1725">
        <v>3</v>
      </c>
      <c r="H1725" s="1" t="s">
        <v>121</v>
      </c>
      <c r="I1725">
        <v>14</v>
      </c>
      <c r="J1725">
        <v>1833</v>
      </c>
      <c r="K1725" s="1" t="s">
        <v>74</v>
      </c>
      <c r="L1725" s="1" t="s">
        <v>64</v>
      </c>
      <c r="M1725">
        <v>0.83299999999999996</v>
      </c>
      <c r="N1725">
        <v>11666.8</v>
      </c>
      <c r="O1725">
        <v>11.667</v>
      </c>
      <c r="P1725" s="2">
        <v>42217</v>
      </c>
      <c r="Q1725">
        <v>1</v>
      </c>
      <c r="R1725" s="1" t="s">
        <v>122</v>
      </c>
    </row>
    <row r="1726" spans="1:18" x14ac:dyDescent="0.25">
      <c r="A1726">
        <v>2015</v>
      </c>
      <c r="B1726">
        <v>9</v>
      </c>
      <c r="C1726" s="1" t="s">
        <v>32</v>
      </c>
      <c r="D1726" s="1" t="s">
        <v>19</v>
      </c>
      <c r="E1726" s="1" t="s">
        <v>73</v>
      </c>
      <c r="F1726">
        <v>2012</v>
      </c>
      <c r="G1726">
        <v>3</v>
      </c>
      <c r="H1726" s="1" t="s">
        <v>121</v>
      </c>
      <c r="I1726">
        <v>14</v>
      </c>
      <c r="J1726">
        <v>1833</v>
      </c>
      <c r="K1726" s="1" t="s">
        <v>74</v>
      </c>
      <c r="L1726" s="1" t="s">
        <v>64</v>
      </c>
      <c r="M1726">
        <v>0.65200000000000002</v>
      </c>
      <c r="N1726">
        <v>9134.4</v>
      </c>
      <c r="O1726">
        <v>9.1340000000000003</v>
      </c>
      <c r="P1726" s="2">
        <v>42248</v>
      </c>
      <c r="Q1726">
        <v>1</v>
      </c>
      <c r="R1726" s="1" t="s">
        <v>122</v>
      </c>
    </row>
    <row r="1727" spans="1:18" x14ac:dyDescent="0.25">
      <c r="A1727">
        <v>2015</v>
      </c>
      <c r="B1727">
        <v>10</v>
      </c>
      <c r="C1727" s="1" t="s">
        <v>33</v>
      </c>
      <c r="D1727" s="1" t="s">
        <v>19</v>
      </c>
      <c r="E1727" s="1" t="s">
        <v>73</v>
      </c>
      <c r="F1727">
        <v>2012</v>
      </c>
      <c r="G1727">
        <v>3</v>
      </c>
      <c r="H1727" s="1" t="s">
        <v>121</v>
      </c>
      <c r="I1727">
        <v>14</v>
      </c>
      <c r="J1727">
        <v>1833</v>
      </c>
      <c r="K1727" s="1" t="s">
        <v>74</v>
      </c>
      <c r="L1727" s="1" t="s">
        <v>64</v>
      </c>
      <c r="M1727">
        <v>0.64200000000000002</v>
      </c>
      <c r="N1727">
        <v>8985.5</v>
      </c>
      <c r="O1727">
        <v>8.9849999999999994</v>
      </c>
      <c r="P1727" s="2">
        <v>42278</v>
      </c>
      <c r="Q1727">
        <v>1</v>
      </c>
      <c r="R1727" s="1" t="s">
        <v>122</v>
      </c>
    </row>
    <row r="1728" spans="1:18" x14ac:dyDescent="0.25">
      <c r="A1728">
        <v>2015</v>
      </c>
      <c r="B1728">
        <v>11</v>
      </c>
      <c r="C1728" s="1" t="s">
        <v>34</v>
      </c>
      <c r="D1728" s="1" t="s">
        <v>19</v>
      </c>
      <c r="E1728" s="1" t="s">
        <v>73</v>
      </c>
      <c r="F1728">
        <v>2012</v>
      </c>
      <c r="G1728">
        <v>3</v>
      </c>
      <c r="H1728" s="1" t="s">
        <v>121</v>
      </c>
      <c r="I1728">
        <v>14</v>
      </c>
      <c r="J1728">
        <v>1833</v>
      </c>
      <c r="K1728" s="1" t="s">
        <v>74</v>
      </c>
      <c r="L1728" s="1" t="s">
        <v>64</v>
      </c>
      <c r="M1728">
        <v>0.47499999999999998</v>
      </c>
      <c r="N1728">
        <v>6655.3</v>
      </c>
      <c r="O1728">
        <v>6.6550000000000002</v>
      </c>
      <c r="P1728" s="2">
        <v>42309</v>
      </c>
      <c r="Q1728">
        <v>1</v>
      </c>
      <c r="R1728" s="1" t="s">
        <v>122</v>
      </c>
    </row>
    <row r="1729" spans="1:18" x14ac:dyDescent="0.25">
      <c r="A1729">
        <v>2015</v>
      </c>
      <c r="B1729">
        <v>12</v>
      </c>
      <c r="C1729" s="1" t="s">
        <v>35</v>
      </c>
      <c r="D1729" s="1" t="s">
        <v>19</v>
      </c>
      <c r="E1729" s="1" t="s">
        <v>73</v>
      </c>
      <c r="F1729">
        <v>2012</v>
      </c>
      <c r="G1729">
        <v>3</v>
      </c>
      <c r="H1729" s="1" t="s">
        <v>121</v>
      </c>
      <c r="I1729">
        <v>14</v>
      </c>
      <c r="J1729">
        <v>1833</v>
      </c>
      <c r="K1729" s="1" t="s">
        <v>74</v>
      </c>
      <c r="L1729" s="1" t="s">
        <v>64</v>
      </c>
      <c r="M1729">
        <v>0.47</v>
      </c>
      <c r="N1729">
        <v>6586.2</v>
      </c>
      <c r="O1729">
        <v>6.5860000000000003</v>
      </c>
      <c r="P1729" s="2">
        <v>42339</v>
      </c>
      <c r="Q1729">
        <v>1</v>
      </c>
      <c r="R1729" s="1" t="s">
        <v>122</v>
      </c>
    </row>
    <row r="1730" spans="1:18" x14ac:dyDescent="0.25">
      <c r="A1730">
        <v>2015</v>
      </c>
      <c r="B1730">
        <v>1</v>
      </c>
      <c r="C1730" s="1" t="s">
        <v>18</v>
      </c>
      <c r="D1730" s="1" t="s">
        <v>19</v>
      </c>
      <c r="E1730" s="1" t="s">
        <v>75</v>
      </c>
      <c r="F1730">
        <v>2012</v>
      </c>
      <c r="G1730">
        <v>3</v>
      </c>
      <c r="H1730" s="1" t="s">
        <v>121</v>
      </c>
      <c r="I1730">
        <v>20</v>
      </c>
      <c r="J1730">
        <v>1990</v>
      </c>
      <c r="K1730" s="1" t="s">
        <v>76</v>
      </c>
      <c r="L1730" s="1" t="s">
        <v>64</v>
      </c>
      <c r="M1730">
        <v>0.33100000000000002</v>
      </c>
      <c r="N1730">
        <v>6627.2</v>
      </c>
      <c r="O1730">
        <v>6.6269999999999998</v>
      </c>
      <c r="P1730" s="2">
        <v>42005</v>
      </c>
      <c r="Q1730">
        <v>1</v>
      </c>
      <c r="R1730" s="1" t="s">
        <v>122</v>
      </c>
    </row>
    <row r="1731" spans="1:18" x14ac:dyDescent="0.25">
      <c r="A1731">
        <v>2015</v>
      </c>
      <c r="B1731">
        <v>2</v>
      </c>
      <c r="C1731" s="1" t="s">
        <v>25</v>
      </c>
      <c r="D1731" s="1" t="s">
        <v>19</v>
      </c>
      <c r="E1731" s="1" t="s">
        <v>75</v>
      </c>
      <c r="F1731">
        <v>2012</v>
      </c>
      <c r="G1731">
        <v>3</v>
      </c>
      <c r="H1731" s="1" t="s">
        <v>121</v>
      </c>
      <c r="I1731">
        <v>20</v>
      </c>
      <c r="J1731">
        <v>1990</v>
      </c>
      <c r="K1731" s="1" t="s">
        <v>76</v>
      </c>
      <c r="L1731" s="1" t="s">
        <v>64</v>
      </c>
      <c r="M1731">
        <v>0.35099999999999998</v>
      </c>
      <c r="N1731">
        <v>7014.8</v>
      </c>
      <c r="O1731">
        <v>7.0149999999999997</v>
      </c>
      <c r="P1731" s="2">
        <v>42036</v>
      </c>
      <c r="Q1731">
        <v>1</v>
      </c>
      <c r="R1731" s="1" t="s">
        <v>122</v>
      </c>
    </row>
    <row r="1732" spans="1:18" x14ac:dyDescent="0.25">
      <c r="A1732">
        <v>2015</v>
      </c>
      <c r="B1732">
        <v>3</v>
      </c>
      <c r="C1732" s="1" t="s">
        <v>26</v>
      </c>
      <c r="D1732" s="1" t="s">
        <v>19</v>
      </c>
      <c r="E1732" s="1" t="s">
        <v>75</v>
      </c>
      <c r="F1732">
        <v>2012</v>
      </c>
      <c r="G1732">
        <v>3</v>
      </c>
      <c r="H1732" s="1" t="s">
        <v>121</v>
      </c>
      <c r="I1732">
        <v>20</v>
      </c>
      <c r="J1732">
        <v>1990</v>
      </c>
      <c r="K1732" s="1" t="s">
        <v>76</v>
      </c>
      <c r="L1732" s="1" t="s">
        <v>64</v>
      </c>
      <c r="M1732">
        <v>0.47799999999999998</v>
      </c>
      <c r="N1732">
        <v>9568.4</v>
      </c>
      <c r="O1732">
        <v>9.5679999999999996</v>
      </c>
      <c r="P1732" s="2">
        <v>42064</v>
      </c>
      <c r="Q1732">
        <v>1</v>
      </c>
      <c r="R1732" s="1" t="s">
        <v>122</v>
      </c>
    </row>
    <row r="1733" spans="1:18" x14ac:dyDescent="0.25">
      <c r="A1733">
        <v>2015</v>
      </c>
      <c r="B1733">
        <v>4</v>
      </c>
      <c r="C1733" s="1" t="s">
        <v>27</v>
      </c>
      <c r="D1733" s="1" t="s">
        <v>19</v>
      </c>
      <c r="E1733" s="1" t="s">
        <v>75</v>
      </c>
      <c r="F1733">
        <v>2012</v>
      </c>
      <c r="G1733">
        <v>3</v>
      </c>
      <c r="H1733" s="1" t="s">
        <v>121</v>
      </c>
      <c r="I1733">
        <v>20</v>
      </c>
      <c r="J1733">
        <v>1990</v>
      </c>
      <c r="K1733" s="1" t="s">
        <v>76</v>
      </c>
      <c r="L1733" s="1" t="s">
        <v>64</v>
      </c>
      <c r="M1733">
        <v>0.432</v>
      </c>
      <c r="N1733">
        <v>8641.2000000000007</v>
      </c>
      <c r="O1733">
        <v>8.641</v>
      </c>
      <c r="P1733" s="2">
        <v>42095</v>
      </c>
      <c r="Q1733">
        <v>1</v>
      </c>
      <c r="R1733" s="1" t="s">
        <v>122</v>
      </c>
    </row>
    <row r="1734" spans="1:18" x14ac:dyDescent="0.25">
      <c r="A1734">
        <v>2015</v>
      </c>
      <c r="B1734">
        <v>5</v>
      </c>
      <c r="C1734" s="1" t="s">
        <v>28</v>
      </c>
      <c r="D1734" s="1" t="s">
        <v>19</v>
      </c>
      <c r="E1734" s="1" t="s">
        <v>75</v>
      </c>
      <c r="F1734">
        <v>2012</v>
      </c>
      <c r="G1734">
        <v>3</v>
      </c>
      <c r="H1734" s="1" t="s">
        <v>121</v>
      </c>
      <c r="I1734">
        <v>20</v>
      </c>
      <c r="J1734">
        <v>1990</v>
      </c>
      <c r="K1734" s="1" t="s">
        <v>76</v>
      </c>
      <c r="L1734" s="1" t="s">
        <v>64</v>
      </c>
      <c r="M1734">
        <v>0.47399999999999998</v>
      </c>
      <c r="N1734">
        <v>9477.2000000000007</v>
      </c>
      <c r="O1734">
        <v>9.4770000000000003</v>
      </c>
      <c r="P1734" s="2">
        <v>42125</v>
      </c>
      <c r="Q1734">
        <v>1</v>
      </c>
      <c r="R1734" s="1" t="s">
        <v>122</v>
      </c>
    </row>
    <row r="1735" spans="1:18" x14ac:dyDescent="0.25">
      <c r="A1735">
        <v>2015</v>
      </c>
      <c r="B1735">
        <v>6</v>
      </c>
      <c r="C1735" s="1" t="s">
        <v>29</v>
      </c>
      <c r="D1735" s="1" t="s">
        <v>19</v>
      </c>
      <c r="E1735" s="1" t="s">
        <v>75</v>
      </c>
      <c r="F1735">
        <v>2012</v>
      </c>
      <c r="G1735">
        <v>3</v>
      </c>
      <c r="H1735" s="1" t="s">
        <v>121</v>
      </c>
      <c r="I1735">
        <v>20</v>
      </c>
      <c r="J1735">
        <v>1990</v>
      </c>
      <c r="K1735" s="1" t="s">
        <v>76</v>
      </c>
      <c r="L1735" s="1" t="s">
        <v>64</v>
      </c>
      <c r="M1735">
        <v>0.65100000000000002</v>
      </c>
      <c r="N1735">
        <v>13026.4</v>
      </c>
      <c r="O1735">
        <v>13.026</v>
      </c>
      <c r="P1735" s="2">
        <v>42156</v>
      </c>
      <c r="Q1735">
        <v>1</v>
      </c>
      <c r="R1735" s="1" t="s">
        <v>122</v>
      </c>
    </row>
    <row r="1736" spans="1:18" x14ac:dyDescent="0.25">
      <c r="A1736">
        <v>2015</v>
      </c>
      <c r="B1736">
        <v>7</v>
      </c>
      <c r="C1736" s="1" t="s">
        <v>30</v>
      </c>
      <c r="D1736" s="1" t="s">
        <v>19</v>
      </c>
      <c r="E1736" s="1" t="s">
        <v>75</v>
      </c>
      <c r="F1736">
        <v>2012</v>
      </c>
      <c r="G1736">
        <v>3</v>
      </c>
      <c r="H1736" s="1" t="s">
        <v>121</v>
      </c>
      <c r="I1736">
        <v>20</v>
      </c>
      <c r="J1736">
        <v>1990</v>
      </c>
      <c r="K1736" s="1" t="s">
        <v>76</v>
      </c>
      <c r="L1736" s="1" t="s">
        <v>64</v>
      </c>
      <c r="M1736">
        <v>0.76</v>
      </c>
      <c r="N1736">
        <v>15207.6</v>
      </c>
      <c r="O1736">
        <v>15.208</v>
      </c>
      <c r="P1736" s="2">
        <v>42186</v>
      </c>
      <c r="Q1736">
        <v>1</v>
      </c>
      <c r="R1736" s="1" t="s">
        <v>122</v>
      </c>
    </row>
    <row r="1737" spans="1:18" x14ac:dyDescent="0.25">
      <c r="A1737">
        <v>2015</v>
      </c>
      <c r="B1737">
        <v>8</v>
      </c>
      <c r="C1737" s="1" t="s">
        <v>31</v>
      </c>
      <c r="D1737" s="1" t="s">
        <v>19</v>
      </c>
      <c r="E1737" s="1" t="s">
        <v>75</v>
      </c>
      <c r="F1737">
        <v>2012</v>
      </c>
      <c r="G1737">
        <v>3</v>
      </c>
      <c r="H1737" s="1" t="s">
        <v>121</v>
      </c>
      <c r="I1737">
        <v>20</v>
      </c>
      <c r="J1737">
        <v>1990</v>
      </c>
      <c r="K1737" s="1" t="s">
        <v>76</v>
      </c>
      <c r="L1737" s="1" t="s">
        <v>64</v>
      </c>
      <c r="M1737">
        <v>0.83299999999999996</v>
      </c>
      <c r="N1737">
        <v>16666.8</v>
      </c>
      <c r="O1737">
        <v>16.667000000000002</v>
      </c>
      <c r="P1737" s="2">
        <v>42217</v>
      </c>
      <c r="Q1737">
        <v>1</v>
      </c>
      <c r="R1737" s="1" t="s">
        <v>122</v>
      </c>
    </row>
    <row r="1738" spans="1:18" x14ac:dyDescent="0.25">
      <c r="A1738">
        <v>2015</v>
      </c>
      <c r="B1738">
        <v>9</v>
      </c>
      <c r="C1738" s="1" t="s">
        <v>32</v>
      </c>
      <c r="D1738" s="1" t="s">
        <v>19</v>
      </c>
      <c r="E1738" s="1" t="s">
        <v>75</v>
      </c>
      <c r="F1738">
        <v>2012</v>
      </c>
      <c r="G1738">
        <v>3</v>
      </c>
      <c r="H1738" s="1" t="s">
        <v>121</v>
      </c>
      <c r="I1738">
        <v>20</v>
      </c>
      <c r="J1738">
        <v>1990</v>
      </c>
      <c r="K1738" s="1" t="s">
        <v>76</v>
      </c>
      <c r="L1738" s="1" t="s">
        <v>64</v>
      </c>
      <c r="M1738">
        <v>0.65200000000000002</v>
      </c>
      <c r="N1738">
        <v>13049.2</v>
      </c>
      <c r="O1738">
        <v>13.048999999999999</v>
      </c>
      <c r="P1738" s="2">
        <v>42248</v>
      </c>
      <c r="Q1738">
        <v>1</v>
      </c>
      <c r="R1738" s="1" t="s">
        <v>122</v>
      </c>
    </row>
    <row r="1739" spans="1:18" x14ac:dyDescent="0.25">
      <c r="A1739">
        <v>2015</v>
      </c>
      <c r="B1739">
        <v>10</v>
      </c>
      <c r="C1739" s="1" t="s">
        <v>33</v>
      </c>
      <c r="D1739" s="1" t="s">
        <v>19</v>
      </c>
      <c r="E1739" s="1" t="s">
        <v>75</v>
      </c>
      <c r="F1739">
        <v>2012</v>
      </c>
      <c r="G1739">
        <v>3</v>
      </c>
      <c r="H1739" s="1" t="s">
        <v>121</v>
      </c>
      <c r="I1739">
        <v>20</v>
      </c>
      <c r="J1739">
        <v>1990</v>
      </c>
      <c r="K1739" s="1" t="s">
        <v>76</v>
      </c>
      <c r="L1739" s="1" t="s">
        <v>64</v>
      </c>
      <c r="M1739">
        <v>0.64200000000000002</v>
      </c>
      <c r="N1739">
        <v>12836.4</v>
      </c>
      <c r="O1739">
        <v>12.836</v>
      </c>
      <c r="P1739" s="2">
        <v>42278</v>
      </c>
      <c r="Q1739">
        <v>1</v>
      </c>
      <c r="R1739" s="1" t="s">
        <v>122</v>
      </c>
    </row>
    <row r="1740" spans="1:18" x14ac:dyDescent="0.25">
      <c r="A1740">
        <v>2015</v>
      </c>
      <c r="B1740">
        <v>11</v>
      </c>
      <c r="C1740" s="1" t="s">
        <v>34</v>
      </c>
      <c r="D1740" s="1" t="s">
        <v>19</v>
      </c>
      <c r="E1740" s="1" t="s">
        <v>75</v>
      </c>
      <c r="F1740">
        <v>2012</v>
      </c>
      <c r="G1740">
        <v>3</v>
      </c>
      <c r="H1740" s="1" t="s">
        <v>121</v>
      </c>
      <c r="I1740">
        <v>20</v>
      </c>
      <c r="J1740">
        <v>1990</v>
      </c>
      <c r="K1740" s="1" t="s">
        <v>76</v>
      </c>
      <c r="L1740" s="1" t="s">
        <v>64</v>
      </c>
      <c r="M1740">
        <v>0.47499999999999998</v>
      </c>
      <c r="N1740">
        <v>9507.6</v>
      </c>
      <c r="O1740">
        <v>9.5079999999999991</v>
      </c>
      <c r="P1740" s="2">
        <v>42309</v>
      </c>
      <c r="Q1740">
        <v>1</v>
      </c>
      <c r="R1740" s="1" t="s">
        <v>122</v>
      </c>
    </row>
    <row r="1741" spans="1:18" x14ac:dyDescent="0.25">
      <c r="A1741">
        <v>2015</v>
      </c>
      <c r="B1741">
        <v>12</v>
      </c>
      <c r="C1741" s="1" t="s">
        <v>35</v>
      </c>
      <c r="D1741" s="1" t="s">
        <v>19</v>
      </c>
      <c r="E1741" s="1" t="s">
        <v>75</v>
      </c>
      <c r="F1741">
        <v>2012</v>
      </c>
      <c r="G1741">
        <v>3</v>
      </c>
      <c r="H1741" s="1" t="s">
        <v>121</v>
      </c>
      <c r="I1741">
        <v>20</v>
      </c>
      <c r="J1741">
        <v>1990</v>
      </c>
      <c r="K1741" s="1" t="s">
        <v>76</v>
      </c>
      <c r="L1741" s="1" t="s">
        <v>64</v>
      </c>
      <c r="M1741">
        <v>0.47</v>
      </c>
      <c r="N1741">
        <v>9408.7999999999993</v>
      </c>
      <c r="O1741">
        <v>9.4090000000000007</v>
      </c>
      <c r="P1741" s="2">
        <v>42339</v>
      </c>
      <c r="Q1741">
        <v>1</v>
      </c>
      <c r="R1741" s="1" t="s">
        <v>122</v>
      </c>
    </row>
    <row r="1742" spans="1:18" x14ac:dyDescent="0.25">
      <c r="A1742">
        <v>2015</v>
      </c>
      <c r="B1742">
        <v>1</v>
      </c>
      <c r="C1742" s="1" t="s">
        <v>18</v>
      </c>
      <c r="D1742" s="1" t="s">
        <v>19</v>
      </c>
      <c r="E1742" s="1" t="s">
        <v>77</v>
      </c>
      <c r="F1742">
        <v>2012</v>
      </c>
      <c r="G1742">
        <v>3</v>
      </c>
      <c r="H1742" s="1" t="s">
        <v>121</v>
      </c>
      <c r="I1742">
        <v>22</v>
      </c>
      <c r="J1742">
        <v>2606</v>
      </c>
      <c r="K1742" s="1" t="s">
        <v>78</v>
      </c>
      <c r="L1742" s="1" t="s">
        <v>64</v>
      </c>
      <c r="M1742">
        <v>0.33100000000000002</v>
      </c>
      <c r="N1742">
        <v>7289.9</v>
      </c>
      <c r="O1742">
        <v>7.29</v>
      </c>
      <c r="P1742" s="2">
        <v>42005</v>
      </c>
      <c r="Q1742">
        <v>1</v>
      </c>
      <c r="R1742" s="1" t="s">
        <v>122</v>
      </c>
    </row>
    <row r="1743" spans="1:18" x14ac:dyDescent="0.25">
      <c r="A1743">
        <v>2015</v>
      </c>
      <c r="B1743">
        <v>2</v>
      </c>
      <c r="C1743" s="1" t="s">
        <v>25</v>
      </c>
      <c r="D1743" s="1" t="s">
        <v>19</v>
      </c>
      <c r="E1743" s="1" t="s">
        <v>77</v>
      </c>
      <c r="F1743">
        <v>2012</v>
      </c>
      <c r="G1743">
        <v>3</v>
      </c>
      <c r="H1743" s="1" t="s">
        <v>121</v>
      </c>
      <c r="I1743">
        <v>22</v>
      </c>
      <c r="J1743">
        <v>2606</v>
      </c>
      <c r="K1743" s="1" t="s">
        <v>78</v>
      </c>
      <c r="L1743" s="1" t="s">
        <v>64</v>
      </c>
      <c r="M1743">
        <v>0.35099999999999998</v>
      </c>
      <c r="N1743">
        <v>7716.3</v>
      </c>
      <c r="O1743">
        <v>7.7160000000000002</v>
      </c>
      <c r="P1743" s="2">
        <v>42036</v>
      </c>
      <c r="Q1743">
        <v>1</v>
      </c>
      <c r="R1743" s="1" t="s">
        <v>122</v>
      </c>
    </row>
    <row r="1744" spans="1:18" x14ac:dyDescent="0.25">
      <c r="A1744">
        <v>2015</v>
      </c>
      <c r="B1744">
        <v>3</v>
      </c>
      <c r="C1744" s="1" t="s">
        <v>26</v>
      </c>
      <c r="D1744" s="1" t="s">
        <v>19</v>
      </c>
      <c r="E1744" s="1" t="s">
        <v>77</v>
      </c>
      <c r="F1744">
        <v>2012</v>
      </c>
      <c r="G1744">
        <v>3</v>
      </c>
      <c r="H1744" s="1" t="s">
        <v>121</v>
      </c>
      <c r="I1744">
        <v>22</v>
      </c>
      <c r="J1744">
        <v>2606</v>
      </c>
      <c r="K1744" s="1" t="s">
        <v>78</v>
      </c>
      <c r="L1744" s="1" t="s">
        <v>64</v>
      </c>
      <c r="M1744">
        <v>0.47799999999999998</v>
      </c>
      <c r="N1744">
        <v>10525.2</v>
      </c>
      <c r="O1744">
        <v>10.525</v>
      </c>
      <c r="P1744" s="2">
        <v>42064</v>
      </c>
      <c r="Q1744">
        <v>1</v>
      </c>
      <c r="R1744" s="1" t="s">
        <v>122</v>
      </c>
    </row>
    <row r="1745" spans="1:18" x14ac:dyDescent="0.25">
      <c r="A1745">
        <v>2015</v>
      </c>
      <c r="B1745">
        <v>4</v>
      </c>
      <c r="C1745" s="1" t="s">
        <v>27</v>
      </c>
      <c r="D1745" s="1" t="s">
        <v>19</v>
      </c>
      <c r="E1745" s="1" t="s">
        <v>77</v>
      </c>
      <c r="F1745">
        <v>2012</v>
      </c>
      <c r="G1745">
        <v>3</v>
      </c>
      <c r="H1745" s="1" t="s">
        <v>121</v>
      </c>
      <c r="I1745">
        <v>22</v>
      </c>
      <c r="J1745">
        <v>2606</v>
      </c>
      <c r="K1745" s="1" t="s">
        <v>78</v>
      </c>
      <c r="L1745" s="1" t="s">
        <v>64</v>
      </c>
      <c r="M1745">
        <v>0.432</v>
      </c>
      <c r="N1745">
        <v>9505.2999999999993</v>
      </c>
      <c r="O1745">
        <v>9.5050000000000008</v>
      </c>
      <c r="P1745" s="2">
        <v>42095</v>
      </c>
      <c r="Q1745">
        <v>1</v>
      </c>
      <c r="R1745" s="1" t="s">
        <v>122</v>
      </c>
    </row>
    <row r="1746" spans="1:18" x14ac:dyDescent="0.25">
      <c r="A1746">
        <v>2015</v>
      </c>
      <c r="B1746">
        <v>5</v>
      </c>
      <c r="C1746" s="1" t="s">
        <v>28</v>
      </c>
      <c r="D1746" s="1" t="s">
        <v>19</v>
      </c>
      <c r="E1746" s="1" t="s">
        <v>77</v>
      </c>
      <c r="F1746">
        <v>2012</v>
      </c>
      <c r="G1746">
        <v>3</v>
      </c>
      <c r="H1746" s="1" t="s">
        <v>121</v>
      </c>
      <c r="I1746">
        <v>22</v>
      </c>
      <c r="J1746">
        <v>2606</v>
      </c>
      <c r="K1746" s="1" t="s">
        <v>78</v>
      </c>
      <c r="L1746" s="1" t="s">
        <v>64</v>
      </c>
      <c r="M1746">
        <v>0.47399999999999998</v>
      </c>
      <c r="N1746">
        <v>10424.9</v>
      </c>
      <c r="O1746">
        <v>10.425000000000001</v>
      </c>
      <c r="P1746" s="2">
        <v>42125</v>
      </c>
      <c r="Q1746">
        <v>1</v>
      </c>
      <c r="R1746" s="1" t="s">
        <v>122</v>
      </c>
    </row>
    <row r="1747" spans="1:18" x14ac:dyDescent="0.25">
      <c r="A1747">
        <v>2015</v>
      </c>
      <c r="B1747">
        <v>6</v>
      </c>
      <c r="C1747" s="1" t="s">
        <v>29</v>
      </c>
      <c r="D1747" s="1" t="s">
        <v>19</v>
      </c>
      <c r="E1747" s="1" t="s">
        <v>77</v>
      </c>
      <c r="F1747">
        <v>2012</v>
      </c>
      <c r="G1747">
        <v>3</v>
      </c>
      <c r="H1747" s="1" t="s">
        <v>121</v>
      </c>
      <c r="I1747">
        <v>22</v>
      </c>
      <c r="J1747">
        <v>2606</v>
      </c>
      <c r="K1747" s="1" t="s">
        <v>78</v>
      </c>
      <c r="L1747" s="1" t="s">
        <v>64</v>
      </c>
      <c r="M1747">
        <v>0.65100000000000002</v>
      </c>
      <c r="N1747">
        <v>14329</v>
      </c>
      <c r="O1747">
        <v>14.329000000000001</v>
      </c>
      <c r="P1747" s="2">
        <v>42156</v>
      </c>
      <c r="Q1747">
        <v>1</v>
      </c>
      <c r="R1747" s="1" t="s">
        <v>122</v>
      </c>
    </row>
    <row r="1748" spans="1:18" x14ac:dyDescent="0.25">
      <c r="A1748">
        <v>2015</v>
      </c>
      <c r="B1748">
        <v>7</v>
      </c>
      <c r="C1748" s="1" t="s">
        <v>30</v>
      </c>
      <c r="D1748" s="1" t="s">
        <v>19</v>
      </c>
      <c r="E1748" s="1" t="s">
        <v>77</v>
      </c>
      <c r="F1748">
        <v>2012</v>
      </c>
      <c r="G1748">
        <v>3</v>
      </c>
      <c r="H1748" s="1" t="s">
        <v>121</v>
      </c>
      <c r="I1748">
        <v>22</v>
      </c>
      <c r="J1748">
        <v>2606</v>
      </c>
      <c r="K1748" s="1" t="s">
        <v>78</v>
      </c>
      <c r="L1748" s="1" t="s">
        <v>64</v>
      </c>
      <c r="M1748">
        <v>0.76</v>
      </c>
      <c r="N1748">
        <v>16728.400000000001</v>
      </c>
      <c r="O1748">
        <v>16.728000000000002</v>
      </c>
      <c r="P1748" s="2">
        <v>42186</v>
      </c>
      <c r="Q1748">
        <v>1</v>
      </c>
      <c r="R1748" s="1" t="s">
        <v>122</v>
      </c>
    </row>
    <row r="1749" spans="1:18" x14ac:dyDescent="0.25">
      <c r="A1749">
        <v>2015</v>
      </c>
      <c r="B1749">
        <v>8</v>
      </c>
      <c r="C1749" s="1" t="s">
        <v>31</v>
      </c>
      <c r="D1749" s="1" t="s">
        <v>19</v>
      </c>
      <c r="E1749" s="1" t="s">
        <v>77</v>
      </c>
      <c r="F1749">
        <v>2012</v>
      </c>
      <c r="G1749">
        <v>3</v>
      </c>
      <c r="H1749" s="1" t="s">
        <v>121</v>
      </c>
      <c r="I1749">
        <v>22</v>
      </c>
      <c r="J1749">
        <v>2606</v>
      </c>
      <c r="K1749" s="1" t="s">
        <v>78</v>
      </c>
      <c r="L1749" s="1" t="s">
        <v>64</v>
      </c>
      <c r="M1749">
        <v>0.83299999999999996</v>
      </c>
      <c r="N1749">
        <v>18333.5</v>
      </c>
      <c r="O1749">
        <v>18.332999999999998</v>
      </c>
      <c r="P1749" s="2">
        <v>42217</v>
      </c>
      <c r="Q1749">
        <v>1</v>
      </c>
      <c r="R1749" s="1" t="s">
        <v>122</v>
      </c>
    </row>
    <row r="1750" spans="1:18" x14ac:dyDescent="0.25">
      <c r="A1750">
        <v>2015</v>
      </c>
      <c r="B1750">
        <v>9</v>
      </c>
      <c r="C1750" s="1" t="s">
        <v>32</v>
      </c>
      <c r="D1750" s="1" t="s">
        <v>19</v>
      </c>
      <c r="E1750" s="1" t="s">
        <v>77</v>
      </c>
      <c r="F1750">
        <v>2012</v>
      </c>
      <c r="G1750">
        <v>3</v>
      </c>
      <c r="H1750" s="1" t="s">
        <v>121</v>
      </c>
      <c r="I1750">
        <v>22</v>
      </c>
      <c r="J1750">
        <v>2606</v>
      </c>
      <c r="K1750" s="1" t="s">
        <v>78</v>
      </c>
      <c r="L1750" s="1" t="s">
        <v>64</v>
      </c>
      <c r="M1750">
        <v>0.65200000000000002</v>
      </c>
      <c r="N1750">
        <v>14354.1</v>
      </c>
      <c r="O1750">
        <v>14.353999999999999</v>
      </c>
      <c r="P1750" s="2">
        <v>42248</v>
      </c>
      <c r="Q1750">
        <v>1</v>
      </c>
      <c r="R1750" s="1" t="s">
        <v>122</v>
      </c>
    </row>
    <row r="1751" spans="1:18" x14ac:dyDescent="0.25">
      <c r="A1751">
        <v>2015</v>
      </c>
      <c r="B1751">
        <v>10</v>
      </c>
      <c r="C1751" s="1" t="s">
        <v>33</v>
      </c>
      <c r="D1751" s="1" t="s">
        <v>19</v>
      </c>
      <c r="E1751" s="1" t="s">
        <v>77</v>
      </c>
      <c r="F1751">
        <v>2012</v>
      </c>
      <c r="G1751">
        <v>3</v>
      </c>
      <c r="H1751" s="1" t="s">
        <v>121</v>
      </c>
      <c r="I1751">
        <v>22</v>
      </c>
      <c r="J1751">
        <v>2606</v>
      </c>
      <c r="K1751" s="1" t="s">
        <v>78</v>
      </c>
      <c r="L1751" s="1" t="s">
        <v>64</v>
      </c>
      <c r="M1751">
        <v>0.64200000000000002</v>
      </c>
      <c r="N1751">
        <v>14120</v>
      </c>
      <c r="O1751">
        <v>14.12</v>
      </c>
      <c r="P1751" s="2">
        <v>42278</v>
      </c>
      <c r="Q1751">
        <v>1</v>
      </c>
      <c r="R1751" s="1" t="s">
        <v>122</v>
      </c>
    </row>
    <row r="1752" spans="1:18" x14ac:dyDescent="0.25">
      <c r="A1752">
        <v>2015</v>
      </c>
      <c r="B1752">
        <v>11</v>
      </c>
      <c r="C1752" s="1" t="s">
        <v>34</v>
      </c>
      <c r="D1752" s="1" t="s">
        <v>19</v>
      </c>
      <c r="E1752" s="1" t="s">
        <v>77</v>
      </c>
      <c r="F1752">
        <v>2012</v>
      </c>
      <c r="G1752">
        <v>3</v>
      </c>
      <c r="H1752" s="1" t="s">
        <v>121</v>
      </c>
      <c r="I1752">
        <v>22</v>
      </c>
      <c r="J1752">
        <v>2606</v>
      </c>
      <c r="K1752" s="1" t="s">
        <v>78</v>
      </c>
      <c r="L1752" s="1" t="s">
        <v>64</v>
      </c>
      <c r="M1752">
        <v>0.47499999999999998</v>
      </c>
      <c r="N1752">
        <v>10458.4</v>
      </c>
      <c r="O1752">
        <v>10.458</v>
      </c>
      <c r="P1752" s="2">
        <v>42309</v>
      </c>
      <c r="Q1752">
        <v>1</v>
      </c>
      <c r="R1752" s="1" t="s">
        <v>122</v>
      </c>
    </row>
    <row r="1753" spans="1:18" x14ac:dyDescent="0.25">
      <c r="A1753">
        <v>2015</v>
      </c>
      <c r="B1753">
        <v>12</v>
      </c>
      <c r="C1753" s="1" t="s">
        <v>35</v>
      </c>
      <c r="D1753" s="1" t="s">
        <v>19</v>
      </c>
      <c r="E1753" s="1" t="s">
        <v>77</v>
      </c>
      <c r="F1753">
        <v>2012</v>
      </c>
      <c r="G1753">
        <v>3</v>
      </c>
      <c r="H1753" s="1" t="s">
        <v>121</v>
      </c>
      <c r="I1753">
        <v>22</v>
      </c>
      <c r="J1753">
        <v>2606</v>
      </c>
      <c r="K1753" s="1" t="s">
        <v>78</v>
      </c>
      <c r="L1753" s="1" t="s">
        <v>64</v>
      </c>
      <c r="M1753">
        <v>0.47</v>
      </c>
      <c r="N1753">
        <v>10349.700000000001</v>
      </c>
      <c r="O1753">
        <v>10.35</v>
      </c>
      <c r="P1753" s="2">
        <v>42339</v>
      </c>
      <c r="Q1753">
        <v>1</v>
      </c>
      <c r="R1753" s="1" t="s">
        <v>122</v>
      </c>
    </row>
    <row r="1754" spans="1:18" x14ac:dyDescent="0.25">
      <c r="A1754">
        <v>2015</v>
      </c>
      <c r="B1754">
        <v>1</v>
      </c>
      <c r="C1754" s="1" t="s">
        <v>18</v>
      </c>
      <c r="D1754" s="1" t="s">
        <v>19</v>
      </c>
      <c r="E1754" s="1" t="s">
        <v>79</v>
      </c>
      <c r="F1754">
        <v>2012</v>
      </c>
      <c r="G1754">
        <v>3</v>
      </c>
      <c r="H1754" s="1" t="s">
        <v>121</v>
      </c>
      <c r="I1754">
        <v>22</v>
      </c>
      <c r="J1754">
        <v>2683</v>
      </c>
      <c r="K1754" s="1" t="s">
        <v>80</v>
      </c>
      <c r="L1754" s="1" t="s">
        <v>45</v>
      </c>
      <c r="M1754">
        <v>0.33100000000000002</v>
      </c>
      <c r="N1754">
        <v>7289.9</v>
      </c>
      <c r="O1754">
        <v>7.29</v>
      </c>
      <c r="P1754" s="2">
        <v>42005</v>
      </c>
      <c r="Q1754">
        <v>1</v>
      </c>
      <c r="R1754" s="1" t="s">
        <v>122</v>
      </c>
    </row>
    <row r="1755" spans="1:18" x14ac:dyDescent="0.25">
      <c r="A1755">
        <v>2015</v>
      </c>
      <c r="B1755">
        <v>2</v>
      </c>
      <c r="C1755" s="1" t="s">
        <v>25</v>
      </c>
      <c r="D1755" s="1" t="s">
        <v>19</v>
      </c>
      <c r="E1755" s="1" t="s">
        <v>79</v>
      </c>
      <c r="F1755">
        <v>2012</v>
      </c>
      <c r="G1755">
        <v>3</v>
      </c>
      <c r="H1755" s="1" t="s">
        <v>121</v>
      </c>
      <c r="I1755">
        <v>22</v>
      </c>
      <c r="J1755">
        <v>2683</v>
      </c>
      <c r="K1755" s="1" t="s">
        <v>80</v>
      </c>
      <c r="L1755" s="1" t="s">
        <v>45</v>
      </c>
      <c r="M1755">
        <v>0.35099999999999998</v>
      </c>
      <c r="N1755">
        <v>7716.3</v>
      </c>
      <c r="O1755">
        <v>7.7160000000000002</v>
      </c>
      <c r="P1755" s="2">
        <v>42036</v>
      </c>
      <c r="Q1755">
        <v>1</v>
      </c>
      <c r="R1755" s="1" t="s">
        <v>122</v>
      </c>
    </row>
    <row r="1756" spans="1:18" x14ac:dyDescent="0.25">
      <c r="A1756">
        <v>2015</v>
      </c>
      <c r="B1756">
        <v>3</v>
      </c>
      <c r="C1756" s="1" t="s">
        <v>26</v>
      </c>
      <c r="D1756" s="1" t="s">
        <v>19</v>
      </c>
      <c r="E1756" s="1" t="s">
        <v>79</v>
      </c>
      <c r="F1756">
        <v>2012</v>
      </c>
      <c r="G1756">
        <v>3</v>
      </c>
      <c r="H1756" s="1" t="s">
        <v>121</v>
      </c>
      <c r="I1756">
        <v>22</v>
      </c>
      <c r="J1756">
        <v>2683</v>
      </c>
      <c r="K1756" s="1" t="s">
        <v>80</v>
      </c>
      <c r="L1756" s="1" t="s">
        <v>45</v>
      </c>
      <c r="M1756">
        <v>0.47799999999999998</v>
      </c>
      <c r="N1756">
        <v>10525.2</v>
      </c>
      <c r="O1756">
        <v>10.525</v>
      </c>
      <c r="P1756" s="2">
        <v>42064</v>
      </c>
      <c r="Q1756">
        <v>1</v>
      </c>
      <c r="R1756" s="1" t="s">
        <v>122</v>
      </c>
    </row>
    <row r="1757" spans="1:18" x14ac:dyDescent="0.25">
      <c r="A1757">
        <v>2015</v>
      </c>
      <c r="B1757">
        <v>4</v>
      </c>
      <c r="C1757" s="1" t="s">
        <v>27</v>
      </c>
      <c r="D1757" s="1" t="s">
        <v>19</v>
      </c>
      <c r="E1757" s="1" t="s">
        <v>79</v>
      </c>
      <c r="F1757">
        <v>2012</v>
      </c>
      <c r="G1757">
        <v>3</v>
      </c>
      <c r="H1757" s="1" t="s">
        <v>121</v>
      </c>
      <c r="I1757">
        <v>22</v>
      </c>
      <c r="J1757">
        <v>2683</v>
      </c>
      <c r="K1757" s="1" t="s">
        <v>80</v>
      </c>
      <c r="L1757" s="1" t="s">
        <v>45</v>
      </c>
      <c r="M1757">
        <v>0.432</v>
      </c>
      <c r="N1757">
        <v>9505.2999999999993</v>
      </c>
      <c r="O1757">
        <v>9.5050000000000008</v>
      </c>
      <c r="P1757" s="2">
        <v>42095</v>
      </c>
      <c r="Q1757">
        <v>1</v>
      </c>
      <c r="R1757" s="1" t="s">
        <v>122</v>
      </c>
    </row>
    <row r="1758" spans="1:18" x14ac:dyDescent="0.25">
      <c r="A1758">
        <v>2015</v>
      </c>
      <c r="B1758">
        <v>5</v>
      </c>
      <c r="C1758" s="1" t="s">
        <v>28</v>
      </c>
      <c r="D1758" s="1" t="s">
        <v>19</v>
      </c>
      <c r="E1758" s="1" t="s">
        <v>79</v>
      </c>
      <c r="F1758">
        <v>2012</v>
      </c>
      <c r="G1758">
        <v>3</v>
      </c>
      <c r="H1758" s="1" t="s">
        <v>121</v>
      </c>
      <c r="I1758">
        <v>22</v>
      </c>
      <c r="J1758">
        <v>2683</v>
      </c>
      <c r="K1758" s="1" t="s">
        <v>80</v>
      </c>
      <c r="L1758" s="1" t="s">
        <v>45</v>
      </c>
      <c r="M1758">
        <v>0.47399999999999998</v>
      </c>
      <c r="N1758">
        <v>10424.9</v>
      </c>
      <c r="O1758">
        <v>10.425000000000001</v>
      </c>
      <c r="P1758" s="2">
        <v>42125</v>
      </c>
      <c r="Q1758">
        <v>1</v>
      </c>
      <c r="R1758" s="1" t="s">
        <v>122</v>
      </c>
    </row>
    <row r="1759" spans="1:18" x14ac:dyDescent="0.25">
      <c r="A1759">
        <v>2015</v>
      </c>
      <c r="B1759">
        <v>6</v>
      </c>
      <c r="C1759" s="1" t="s">
        <v>29</v>
      </c>
      <c r="D1759" s="1" t="s">
        <v>19</v>
      </c>
      <c r="E1759" s="1" t="s">
        <v>79</v>
      </c>
      <c r="F1759">
        <v>2012</v>
      </c>
      <c r="G1759">
        <v>3</v>
      </c>
      <c r="H1759" s="1" t="s">
        <v>121</v>
      </c>
      <c r="I1759">
        <v>22</v>
      </c>
      <c r="J1759">
        <v>2683</v>
      </c>
      <c r="K1759" s="1" t="s">
        <v>80</v>
      </c>
      <c r="L1759" s="1" t="s">
        <v>45</v>
      </c>
      <c r="M1759">
        <v>0.65100000000000002</v>
      </c>
      <c r="N1759">
        <v>14329</v>
      </c>
      <c r="O1759">
        <v>14.329000000000001</v>
      </c>
      <c r="P1759" s="2">
        <v>42156</v>
      </c>
      <c r="Q1759">
        <v>1</v>
      </c>
      <c r="R1759" s="1" t="s">
        <v>122</v>
      </c>
    </row>
    <row r="1760" spans="1:18" x14ac:dyDescent="0.25">
      <c r="A1760">
        <v>2015</v>
      </c>
      <c r="B1760">
        <v>7</v>
      </c>
      <c r="C1760" s="1" t="s">
        <v>30</v>
      </c>
      <c r="D1760" s="1" t="s">
        <v>19</v>
      </c>
      <c r="E1760" s="1" t="s">
        <v>79</v>
      </c>
      <c r="F1760">
        <v>2012</v>
      </c>
      <c r="G1760">
        <v>3</v>
      </c>
      <c r="H1760" s="1" t="s">
        <v>121</v>
      </c>
      <c r="I1760">
        <v>22</v>
      </c>
      <c r="J1760">
        <v>2683</v>
      </c>
      <c r="K1760" s="1" t="s">
        <v>80</v>
      </c>
      <c r="L1760" s="1" t="s">
        <v>45</v>
      </c>
      <c r="M1760">
        <v>0.76</v>
      </c>
      <c r="N1760">
        <v>16728.400000000001</v>
      </c>
      <c r="O1760">
        <v>16.728000000000002</v>
      </c>
      <c r="P1760" s="2">
        <v>42186</v>
      </c>
      <c r="Q1760">
        <v>1</v>
      </c>
      <c r="R1760" s="1" t="s">
        <v>122</v>
      </c>
    </row>
    <row r="1761" spans="1:18" x14ac:dyDescent="0.25">
      <c r="A1761">
        <v>2015</v>
      </c>
      <c r="B1761">
        <v>8</v>
      </c>
      <c r="C1761" s="1" t="s">
        <v>31</v>
      </c>
      <c r="D1761" s="1" t="s">
        <v>19</v>
      </c>
      <c r="E1761" s="1" t="s">
        <v>79</v>
      </c>
      <c r="F1761">
        <v>2012</v>
      </c>
      <c r="G1761">
        <v>3</v>
      </c>
      <c r="H1761" s="1" t="s">
        <v>121</v>
      </c>
      <c r="I1761">
        <v>22</v>
      </c>
      <c r="J1761">
        <v>2683</v>
      </c>
      <c r="K1761" s="1" t="s">
        <v>80</v>
      </c>
      <c r="L1761" s="1" t="s">
        <v>45</v>
      </c>
      <c r="M1761">
        <v>0.83299999999999996</v>
      </c>
      <c r="N1761">
        <v>18333.5</v>
      </c>
      <c r="O1761">
        <v>18.332999999999998</v>
      </c>
      <c r="P1761" s="2">
        <v>42217</v>
      </c>
      <c r="Q1761">
        <v>1</v>
      </c>
      <c r="R1761" s="1" t="s">
        <v>122</v>
      </c>
    </row>
    <row r="1762" spans="1:18" x14ac:dyDescent="0.25">
      <c r="A1762">
        <v>2015</v>
      </c>
      <c r="B1762">
        <v>9</v>
      </c>
      <c r="C1762" s="1" t="s">
        <v>32</v>
      </c>
      <c r="D1762" s="1" t="s">
        <v>19</v>
      </c>
      <c r="E1762" s="1" t="s">
        <v>79</v>
      </c>
      <c r="F1762">
        <v>2012</v>
      </c>
      <c r="G1762">
        <v>3</v>
      </c>
      <c r="H1762" s="1" t="s">
        <v>121</v>
      </c>
      <c r="I1762">
        <v>22</v>
      </c>
      <c r="J1762">
        <v>2683</v>
      </c>
      <c r="K1762" s="1" t="s">
        <v>80</v>
      </c>
      <c r="L1762" s="1" t="s">
        <v>45</v>
      </c>
      <c r="M1762">
        <v>0.65200000000000002</v>
      </c>
      <c r="N1762">
        <v>14354.1</v>
      </c>
      <c r="O1762">
        <v>14.353999999999999</v>
      </c>
      <c r="P1762" s="2">
        <v>42248</v>
      </c>
      <c r="Q1762">
        <v>1</v>
      </c>
      <c r="R1762" s="1" t="s">
        <v>122</v>
      </c>
    </row>
    <row r="1763" spans="1:18" x14ac:dyDescent="0.25">
      <c r="A1763">
        <v>2015</v>
      </c>
      <c r="B1763">
        <v>10</v>
      </c>
      <c r="C1763" s="1" t="s">
        <v>33</v>
      </c>
      <c r="D1763" s="1" t="s">
        <v>19</v>
      </c>
      <c r="E1763" s="1" t="s">
        <v>79</v>
      </c>
      <c r="F1763">
        <v>2012</v>
      </c>
      <c r="G1763">
        <v>3</v>
      </c>
      <c r="H1763" s="1" t="s">
        <v>121</v>
      </c>
      <c r="I1763">
        <v>22</v>
      </c>
      <c r="J1763">
        <v>2683</v>
      </c>
      <c r="K1763" s="1" t="s">
        <v>80</v>
      </c>
      <c r="L1763" s="1" t="s">
        <v>45</v>
      </c>
      <c r="M1763">
        <v>0.64200000000000002</v>
      </c>
      <c r="N1763">
        <v>14120</v>
      </c>
      <c r="O1763">
        <v>14.12</v>
      </c>
      <c r="P1763" s="2">
        <v>42278</v>
      </c>
      <c r="Q1763">
        <v>1</v>
      </c>
      <c r="R1763" s="1" t="s">
        <v>122</v>
      </c>
    </row>
    <row r="1764" spans="1:18" x14ac:dyDescent="0.25">
      <c r="A1764">
        <v>2015</v>
      </c>
      <c r="B1764">
        <v>11</v>
      </c>
      <c r="C1764" s="1" t="s">
        <v>34</v>
      </c>
      <c r="D1764" s="1" t="s">
        <v>19</v>
      </c>
      <c r="E1764" s="1" t="s">
        <v>79</v>
      </c>
      <c r="F1764">
        <v>2012</v>
      </c>
      <c r="G1764">
        <v>3</v>
      </c>
      <c r="H1764" s="1" t="s">
        <v>121</v>
      </c>
      <c r="I1764">
        <v>22</v>
      </c>
      <c r="J1764">
        <v>2683</v>
      </c>
      <c r="K1764" s="1" t="s">
        <v>80</v>
      </c>
      <c r="L1764" s="1" t="s">
        <v>45</v>
      </c>
      <c r="M1764">
        <v>0.47499999999999998</v>
      </c>
      <c r="N1764">
        <v>10458.4</v>
      </c>
      <c r="O1764">
        <v>10.458</v>
      </c>
      <c r="P1764" s="2">
        <v>42309</v>
      </c>
      <c r="Q1764">
        <v>1</v>
      </c>
      <c r="R1764" s="1" t="s">
        <v>122</v>
      </c>
    </row>
    <row r="1765" spans="1:18" x14ac:dyDescent="0.25">
      <c r="A1765">
        <v>2015</v>
      </c>
      <c r="B1765">
        <v>12</v>
      </c>
      <c r="C1765" s="1" t="s">
        <v>35</v>
      </c>
      <c r="D1765" s="1" t="s">
        <v>19</v>
      </c>
      <c r="E1765" s="1" t="s">
        <v>79</v>
      </c>
      <c r="F1765">
        <v>2012</v>
      </c>
      <c r="G1765">
        <v>3</v>
      </c>
      <c r="H1765" s="1" t="s">
        <v>121</v>
      </c>
      <c r="I1765">
        <v>22</v>
      </c>
      <c r="J1765">
        <v>2683</v>
      </c>
      <c r="K1765" s="1" t="s">
        <v>80</v>
      </c>
      <c r="L1765" s="1" t="s">
        <v>45</v>
      </c>
      <c r="M1765">
        <v>0.47</v>
      </c>
      <c r="N1765">
        <v>10349.700000000001</v>
      </c>
      <c r="O1765">
        <v>10.35</v>
      </c>
      <c r="P1765" s="2">
        <v>42339</v>
      </c>
      <c r="Q1765">
        <v>1</v>
      </c>
      <c r="R1765" s="1" t="s">
        <v>122</v>
      </c>
    </row>
    <row r="1766" spans="1:18" x14ac:dyDescent="0.25">
      <c r="A1766">
        <v>2015</v>
      </c>
      <c r="B1766">
        <v>1</v>
      </c>
      <c r="C1766" s="1" t="s">
        <v>18</v>
      </c>
      <c r="D1766" s="1" t="s">
        <v>19</v>
      </c>
      <c r="E1766" s="1" t="s">
        <v>81</v>
      </c>
      <c r="F1766">
        <v>2012</v>
      </c>
      <c r="G1766">
        <v>3</v>
      </c>
      <c r="H1766" s="1" t="s">
        <v>121</v>
      </c>
      <c r="I1766">
        <v>28</v>
      </c>
      <c r="J1766">
        <v>3483</v>
      </c>
      <c r="K1766" s="1" t="s">
        <v>53</v>
      </c>
      <c r="L1766" s="1" t="s">
        <v>45</v>
      </c>
      <c r="M1766">
        <v>0.33100000000000002</v>
      </c>
      <c r="N1766">
        <v>9278.1</v>
      </c>
      <c r="O1766">
        <v>9.2780000000000005</v>
      </c>
      <c r="P1766" s="2">
        <v>42005</v>
      </c>
      <c r="Q1766">
        <v>1</v>
      </c>
      <c r="R1766" s="1" t="s">
        <v>122</v>
      </c>
    </row>
    <row r="1767" spans="1:18" x14ac:dyDescent="0.25">
      <c r="A1767">
        <v>2015</v>
      </c>
      <c r="B1767">
        <v>2</v>
      </c>
      <c r="C1767" s="1" t="s">
        <v>25</v>
      </c>
      <c r="D1767" s="1" t="s">
        <v>19</v>
      </c>
      <c r="E1767" s="1" t="s">
        <v>81</v>
      </c>
      <c r="F1767">
        <v>2012</v>
      </c>
      <c r="G1767">
        <v>3</v>
      </c>
      <c r="H1767" s="1" t="s">
        <v>121</v>
      </c>
      <c r="I1767">
        <v>28</v>
      </c>
      <c r="J1767">
        <v>3483</v>
      </c>
      <c r="K1767" s="1" t="s">
        <v>53</v>
      </c>
      <c r="L1767" s="1" t="s">
        <v>45</v>
      </c>
      <c r="M1767">
        <v>0.35099999999999998</v>
      </c>
      <c r="N1767">
        <v>9820.7000000000007</v>
      </c>
      <c r="O1767">
        <v>9.8209999999999997</v>
      </c>
      <c r="P1767" s="2">
        <v>42036</v>
      </c>
      <c r="Q1767">
        <v>1</v>
      </c>
      <c r="R1767" s="1" t="s">
        <v>122</v>
      </c>
    </row>
    <row r="1768" spans="1:18" x14ac:dyDescent="0.25">
      <c r="A1768">
        <v>2015</v>
      </c>
      <c r="B1768">
        <v>3</v>
      </c>
      <c r="C1768" s="1" t="s">
        <v>26</v>
      </c>
      <c r="D1768" s="1" t="s">
        <v>19</v>
      </c>
      <c r="E1768" s="1" t="s">
        <v>81</v>
      </c>
      <c r="F1768">
        <v>2012</v>
      </c>
      <c r="G1768">
        <v>3</v>
      </c>
      <c r="H1768" s="1" t="s">
        <v>121</v>
      </c>
      <c r="I1768">
        <v>28</v>
      </c>
      <c r="J1768">
        <v>3483</v>
      </c>
      <c r="K1768" s="1" t="s">
        <v>53</v>
      </c>
      <c r="L1768" s="1" t="s">
        <v>45</v>
      </c>
      <c r="M1768">
        <v>0.47799999999999998</v>
      </c>
      <c r="N1768">
        <v>13395.8</v>
      </c>
      <c r="O1768">
        <v>13.396000000000001</v>
      </c>
      <c r="P1768" s="2">
        <v>42064</v>
      </c>
      <c r="Q1768">
        <v>1</v>
      </c>
      <c r="R1768" s="1" t="s">
        <v>122</v>
      </c>
    </row>
    <row r="1769" spans="1:18" x14ac:dyDescent="0.25">
      <c r="A1769">
        <v>2015</v>
      </c>
      <c r="B1769">
        <v>4</v>
      </c>
      <c r="C1769" s="1" t="s">
        <v>27</v>
      </c>
      <c r="D1769" s="1" t="s">
        <v>19</v>
      </c>
      <c r="E1769" s="1" t="s">
        <v>81</v>
      </c>
      <c r="F1769">
        <v>2012</v>
      </c>
      <c r="G1769">
        <v>3</v>
      </c>
      <c r="H1769" s="1" t="s">
        <v>121</v>
      </c>
      <c r="I1769">
        <v>28</v>
      </c>
      <c r="J1769">
        <v>3483</v>
      </c>
      <c r="K1769" s="1" t="s">
        <v>53</v>
      </c>
      <c r="L1769" s="1" t="s">
        <v>45</v>
      </c>
      <c r="M1769">
        <v>0.432</v>
      </c>
      <c r="N1769">
        <v>12097.7</v>
      </c>
      <c r="O1769">
        <v>12.098000000000001</v>
      </c>
      <c r="P1769" s="2">
        <v>42095</v>
      </c>
      <c r="Q1769">
        <v>1</v>
      </c>
      <c r="R1769" s="1" t="s">
        <v>122</v>
      </c>
    </row>
    <row r="1770" spans="1:18" x14ac:dyDescent="0.25">
      <c r="A1770">
        <v>2015</v>
      </c>
      <c r="B1770">
        <v>5</v>
      </c>
      <c r="C1770" s="1" t="s">
        <v>28</v>
      </c>
      <c r="D1770" s="1" t="s">
        <v>19</v>
      </c>
      <c r="E1770" s="1" t="s">
        <v>81</v>
      </c>
      <c r="F1770">
        <v>2012</v>
      </c>
      <c r="G1770">
        <v>3</v>
      </c>
      <c r="H1770" s="1" t="s">
        <v>121</v>
      </c>
      <c r="I1770">
        <v>28</v>
      </c>
      <c r="J1770">
        <v>3483</v>
      </c>
      <c r="K1770" s="1" t="s">
        <v>53</v>
      </c>
      <c r="L1770" s="1" t="s">
        <v>45</v>
      </c>
      <c r="M1770">
        <v>0.47399999999999998</v>
      </c>
      <c r="N1770">
        <v>13268.1</v>
      </c>
      <c r="O1770">
        <v>13.268000000000001</v>
      </c>
      <c r="P1770" s="2">
        <v>42125</v>
      </c>
      <c r="Q1770">
        <v>1</v>
      </c>
      <c r="R1770" s="1" t="s">
        <v>122</v>
      </c>
    </row>
    <row r="1771" spans="1:18" x14ac:dyDescent="0.25">
      <c r="A1771">
        <v>2015</v>
      </c>
      <c r="B1771">
        <v>6</v>
      </c>
      <c r="C1771" s="1" t="s">
        <v>29</v>
      </c>
      <c r="D1771" s="1" t="s">
        <v>19</v>
      </c>
      <c r="E1771" s="1" t="s">
        <v>81</v>
      </c>
      <c r="F1771">
        <v>2012</v>
      </c>
      <c r="G1771">
        <v>3</v>
      </c>
      <c r="H1771" s="1" t="s">
        <v>121</v>
      </c>
      <c r="I1771">
        <v>28</v>
      </c>
      <c r="J1771">
        <v>3483</v>
      </c>
      <c r="K1771" s="1" t="s">
        <v>53</v>
      </c>
      <c r="L1771" s="1" t="s">
        <v>45</v>
      </c>
      <c r="M1771">
        <v>0.65100000000000002</v>
      </c>
      <c r="N1771">
        <v>18237</v>
      </c>
      <c r="O1771">
        <v>18.236999999999998</v>
      </c>
      <c r="P1771" s="2">
        <v>42156</v>
      </c>
      <c r="Q1771">
        <v>1</v>
      </c>
      <c r="R1771" s="1" t="s">
        <v>122</v>
      </c>
    </row>
    <row r="1772" spans="1:18" x14ac:dyDescent="0.25">
      <c r="A1772">
        <v>2015</v>
      </c>
      <c r="B1772">
        <v>7</v>
      </c>
      <c r="C1772" s="1" t="s">
        <v>30</v>
      </c>
      <c r="D1772" s="1" t="s">
        <v>19</v>
      </c>
      <c r="E1772" s="1" t="s">
        <v>81</v>
      </c>
      <c r="F1772">
        <v>2012</v>
      </c>
      <c r="G1772">
        <v>3</v>
      </c>
      <c r="H1772" s="1" t="s">
        <v>121</v>
      </c>
      <c r="I1772">
        <v>28</v>
      </c>
      <c r="J1772">
        <v>3483</v>
      </c>
      <c r="K1772" s="1" t="s">
        <v>53</v>
      </c>
      <c r="L1772" s="1" t="s">
        <v>45</v>
      </c>
      <c r="M1772">
        <v>0.76</v>
      </c>
      <c r="N1772">
        <v>21290.6</v>
      </c>
      <c r="O1772">
        <v>21.291</v>
      </c>
      <c r="P1772" s="2">
        <v>42186</v>
      </c>
      <c r="Q1772">
        <v>1</v>
      </c>
      <c r="R1772" s="1" t="s">
        <v>122</v>
      </c>
    </row>
    <row r="1773" spans="1:18" x14ac:dyDescent="0.25">
      <c r="A1773">
        <v>2015</v>
      </c>
      <c r="B1773">
        <v>8</v>
      </c>
      <c r="C1773" s="1" t="s">
        <v>31</v>
      </c>
      <c r="D1773" s="1" t="s">
        <v>19</v>
      </c>
      <c r="E1773" s="1" t="s">
        <v>81</v>
      </c>
      <c r="F1773">
        <v>2012</v>
      </c>
      <c r="G1773">
        <v>3</v>
      </c>
      <c r="H1773" s="1" t="s">
        <v>121</v>
      </c>
      <c r="I1773">
        <v>28</v>
      </c>
      <c r="J1773">
        <v>3483</v>
      </c>
      <c r="K1773" s="1" t="s">
        <v>53</v>
      </c>
      <c r="L1773" s="1" t="s">
        <v>45</v>
      </c>
      <c r="M1773">
        <v>0.83299999999999996</v>
      </c>
      <c r="N1773">
        <v>23333.5</v>
      </c>
      <c r="O1773">
        <v>23.334</v>
      </c>
      <c r="P1773" s="2">
        <v>42217</v>
      </c>
      <c r="Q1773">
        <v>1</v>
      </c>
      <c r="R1773" s="1" t="s">
        <v>122</v>
      </c>
    </row>
    <row r="1774" spans="1:18" x14ac:dyDescent="0.25">
      <c r="A1774">
        <v>2015</v>
      </c>
      <c r="B1774">
        <v>9</v>
      </c>
      <c r="C1774" s="1" t="s">
        <v>32</v>
      </c>
      <c r="D1774" s="1" t="s">
        <v>19</v>
      </c>
      <c r="E1774" s="1" t="s">
        <v>81</v>
      </c>
      <c r="F1774">
        <v>2012</v>
      </c>
      <c r="G1774">
        <v>3</v>
      </c>
      <c r="H1774" s="1" t="s">
        <v>121</v>
      </c>
      <c r="I1774">
        <v>28</v>
      </c>
      <c r="J1774">
        <v>3483</v>
      </c>
      <c r="K1774" s="1" t="s">
        <v>53</v>
      </c>
      <c r="L1774" s="1" t="s">
        <v>45</v>
      </c>
      <c r="M1774">
        <v>0.65200000000000002</v>
      </c>
      <c r="N1774">
        <v>18268.900000000001</v>
      </c>
      <c r="O1774">
        <v>18.268999999999998</v>
      </c>
      <c r="P1774" s="2">
        <v>42248</v>
      </c>
      <c r="Q1774">
        <v>1</v>
      </c>
      <c r="R1774" s="1" t="s">
        <v>122</v>
      </c>
    </row>
    <row r="1775" spans="1:18" x14ac:dyDescent="0.25">
      <c r="A1775">
        <v>2015</v>
      </c>
      <c r="B1775">
        <v>10</v>
      </c>
      <c r="C1775" s="1" t="s">
        <v>33</v>
      </c>
      <c r="D1775" s="1" t="s">
        <v>19</v>
      </c>
      <c r="E1775" s="1" t="s">
        <v>81</v>
      </c>
      <c r="F1775">
        <v>2012</v>
      </c>
      <c r="G1775">
        <v>3</v>
      </c>
      <c r="H1775" s="1" t="s">
        <v>121</v>
      </c>
      <c r="I1775">
        <v>28</v>
      </c>
      <c r="J1775">
        <v>3483</v>
      </c>
      <c r="K1775" s="1" t="s">
        <v>53</v>
      </c>
      <c r="L1775" s="1" t="s">
        <v>45</v>
      </c>
      <c r="M1775">
        <v>0.64200000000000002</v>
      </c>
      <c r="N1775">
        <v>17971</v>
      </c>
      <c r="O1775">
        <v>17.971</v>
      </c>
      <c r="P1775" s="2">
        <v>42278</v>
      </c>
      <c r="Q1775">
        <v>1</v>
      </c>
      <c r="R1775" s="1" t="s">
        <v>122</v>
      </c>
    </row>
    <row r="1776" spans="1:18" x14ac:dyDescent="0.25">
      <c r="A1776">
        <v>2015</v>
      </c>
      <c r="B1776">
        <v>11</v>
      </c>
      <c r="C1776" s="1" t="s">
        <v>34</v>
      </c>
      <c r="D1776" s="1" t="s">
        <v>19</v>
      </c>
      <c r="E1776" s="1" t="s">
        <v>81</v>
      </c>
      <c r="F1776">
        <v>2012</v>
      </c>
      <c r="G1776">
        <v>3</v>
      </c>
      <c r="H1776" s="1" t="s">
        <v>121</v>
      </c>
      <c r="I1776">
        <v>28</v>
      </c>
      <c r="J1776">
        <v>3483</v>
      </c>
      <c r="K1776" s="1" t="s">
        <v>53</v>
      </c>
      <c r="L1776" s="1" t="s">
        <v>45</v>
      </c>
      <c r="M1776">
        <v>0.47499999999999998</v>
      </c>
      <c r="N1776">
        <v>13310.6</v>
      </c>
      <c r="O1776">
        <v>13.311</v>
      </c>
      <c r="P1776" s="2">
        <v>42309</v>
      </c>
      <c r="Q1776">
        <v>1</v>
      </c>
      <c r="R1776" s="1" t="s">
        <v>122</v>
      </c>
    </row>
    <row r="1777" spans="1:18" x14ac:dyDescent="0.25">
      <c r="A1777">
        <v>2015</v>
      </c>
      <c r="B1777">
        <v>12</v>
      </c>
      <c r="C1777" s="1" t="s">
        <v>35</v>
      </c>
      <c r="D1777" s="1" t="s">
        <v>19</v>
      </c>
      <c r="E1777" s="1" t="s">
        <v>81</v>
      </c>
      <c r="F1777">
        <v>2012</v>
      </c>
      <c r="G1777">
        <v>3</v>
      </c>
      <c r="H1777" s="1" t="s">
        <v>121</v>
      </c>
      <c r="I1777">
        <v>28</v>
      </c>
      <c r="J1777">
        <v>3483</v>
      </c>
      <c r="K1777" s="1" t="s">
        <v>53</v>
      </c>
      <c r="L1777" s="1" t="s">
        <v>45</v>
      </c>
      <c r="M1777">
        <v>0.47</v>
      </c>
      <c r="N1777">
        <v>13172.3</v>
      </c>
      <c r="O1777">
        <v>13.172000000000001</v>
      </c>
      <c r="P1777" s="2">
        <v>42339</v>
      </c>
      <c r="Q1777">
        <v>1</v>
      </c>
      <c r="R1777" s="1" t="s">
        <v>122</v>
      </c>
    </row>
    <row r="1778" spans="1:18" x14ac:dyDescent="0.25">
      <c r="A1778">
        <v>2015</v>
      </c>
      <c r="B1778">
        <v>1</v>
      </c>
      <c r="C1778" s="1" t="s">
        <v>18</v>
      </c>
      <c r="D1778" s="1" t="s">
        <v>19</v>
      </c>
      <c r="E1778" s="1" t="s">
        <v>82</v>
      </c>
      <c r="F1778">
        <v>2013</v>
      </c>
      <c r="G1778">
        <v>2</v>
      </c>
      <c r="H1778" s="1" t="s">
        <v>59</v>
      </c>
      <c r="I1778">
        <v>24</v>
      </c>
      <c r="J1778">
        <v>2678</v>
      </c>
      <c r="K1778" s="1" t="s">
        <v>83</v>
      </c>
      <c r="L1778" s="1" t="s">
        <v>45</v>
      </c>
      <c r="M1778">
        <v>0</v>
      </c>
      <c r="N1778">
        <v>0</v>
      </c>
      <c r="O1778">
        <v>0</v>
      </c>
      <c r="P1778" s="2">
        <v>42005</v>
      </c>
      <c r="Q1778">
        <v>0</v>
      </c>
      <c r="R1778" s="1" t="s">
        <v>61</v>
      </c>
    </row>
    <row r="1779" spans="1:18" x14ac:dyDescent="0.25">
      <c r="A1779">
        <v>2015</v>
      </c>
      <c r="B1779">
        <v>2</v>
      </c>
      <c r="C1779" s="1" t="s">
        <v>25</v>
      </c>
      <c r="D1779" s="1" t="s">
        <v>19</v>
      </c>
      <c r="E1779" s="1" t="s">
        <v>82</v>
      </c>
      <c r="F1779">
        <v>2013</v>
      </c>
      <c r="G1779">
        <v>2</v>
      </c>
      <c r="H1779" s="1" t="s">
        <v>59</v>
      </c>
      <c r="I1779">
        <v>24</v>
      </c>
      <c r="J1779">
        <v>2678</v>
      </c>
      <c r="K1779" s="1" t="s">
        <v>83</v>
      </c>
      <c r="L1779" s="1" t="s">
        <v>45</v>
      </c>
      <c r="M1779">
        <v>0</v>
      </c>
      <c r="N1779">
        <v>0</v>
      </c>
      <c r="O1779">
        <v>0</v>
      </c>
      <c r="P1779" s="2">
        <v>42036</v>
      </c>
      <c r="Q1779">
        <v>0</v>
      </c>
      <c r="R1779" s="1" t="s">
        <v>61</v>
      </c>
    </row>
    <row r="1780" spans="1:18" x14ac:dyDescent="0.25">
      <c r="A1780">
        <v>2015</v>
      </c>
      <c r="B1780">
        <v>3</v>
      </c>
      <c r="C1780" s="1" t="s">
        <v>26</v>
      </c>
      <c r="D1780" s="1" t="s">
        <v>19</v>
      </c>
      <c r="E1780" s="1" t="s">
        <v>82</v>
      </c>
      <c r="F1780">
        <v>2013</v>
      </c>
      <c r="G1780">
        <v>2</v>
      </c>
      <c r="H1780" s="1" t="s">
        <v>59</v>
      </c>
      <c r="I1780">
        <v>24</v>
      </c>
      <c r="J1780">
        <v>2678</v>
      </c>
      <c r="K1780" s="1" t="s">
        <v>83</v>
      </c>
      <c r="L1780" s="1" t="s">
        <v>45</v>
      </c>
      <c r="M1780">
        <v>0</v>
      </c>
      <c r="N1780">
        <v>0</v>
      </c>
      <c r="O1780">
        <v>0</v>
      </c>
      <c r="P1780" s="2">
        <v>42064</v>
      </c>
      <c r="Q1780">
        <v>0</v>
      </c>
      <c r="R1780" s="1" t="s">
        <v>61</v>
      </c>
    </row>
    <row r="1781" spans="1:18" x14ac:dyDescent="0.25">
      <c r="A1781">
        <v>2015</v>
      </c>
      <c r="B1781">
        <v>4</v>
      </c>
      <c r="C1781" s="1" t="s">
        <v>27</v>
      </c>
      <c r="D1781" s="1" t="s">
        <v>19</v>
      </c>
      <c r="E1781" s="1" t="s">
        <v>82</v>
      </c>
      <c r="F1781">
        <v>2013</v>
      </c>
      <c r="G1781">
        <v>2</v>
      </c>
      <c r="H1781" s="1" t="s">
        <v>59</v>
      </c>
      <c r="I1781">
        <v>24</v>
      </c>
      <c r="J1781">
        <v>2678</v>
      </c>
      <c r="K1781" s="1" t="s">
        <v>83</v>
      </c>
      <c r="L1781" s="1" t="s">
        <v>45</v>
      </c>
      <c r="M1781">
        <v>0</v>
      </c>
      <c r="N1781">
        <v>0</v>
      </c>
      <c r="O1781">
        <v>0</v>
      </c>
      <c r="P1781" s="2">
        <v>42095</v>
      </c>
      <c r="Q1781">
        <v>0</v>
      </c>
      <c r="R1781" s="1" t="s">
        <v>61</v>
      </c>
    </row>
    <row r="1782" spans="1:18" x14ac:dyDescent="0.25">
      <c r="A1782">
        <v>2015</v>
      </c>
      <c r="B1782">
        <v>5</v>
      </c>
      <c r="C1782" s="1" t="s">
        <v>28</v>
      </c>
      <c r="D1782" s="1" t="s">
        <v>19</v>
      </c>
      <c r="E1782" s="1" t="s">
        <v>82</v>
      </c>
      <c r="F1782">
        <v>2013</v>
      </c>
      <c r="G1782">
        <v>2</v>
      </c>
      <c r="H1782" s="1" t="s">
        <v>59</v>
      </c>
      <c r="I1782">
        <v>24</v>
      </c>
      <c r="J1782">
        <v>2678</v>
      </c>
      <c r="K1782" s="1" t="s">
        <v>83</v>
      </c>
      <c r="L1782" s="1" t="s">
        <v>45</v>
      </c>
      <c r="M1782">
        <v>0</v>
      </c>
      <c r="N1782">
        <v>0</v>
      </c>
      <c r="O1782">
        <v>0</v>
      </c>
      <c r="P1782" s="2">
        <v>42125</v>
      </c>
      <c r="Q1782">
        <v>0</v>
      </c>
      <c r="R1782" s="1" t="s">
        <v>61</v>
      </c>
    </row>
    <row r="1783" spans="1:18" x14ac:dyDescent="0.25">
      <c r="A1783">
        <v>2015</v>
      </c>
      <c r="B1783">
        <v>6</v>
      </c>
      <c r="C1783" s="1" t="s">
        <v>29</v>
      </c>
      <c r="D1783" s="1" t="s">
        <v>19</v>
      </c>
      <c r="E1783" s="1" t="s">
        <v>82</v>
      </c>
      <c r="F1783">
        <v>2013</v>
      </c>
      <c r="G1783">
        <v>2</v>
      </c>
      <c r="H1783" s="1" t="s">
        <v>59</v>
      </c>
      <c r="I1783">
        <v>24</v>
      </c>
      <c r="J1783">
        <v>2678</v>
      </c>
      <c r="K1783" s="1" t="s">
        <v>83</v>
      </c>
      <c r="L1783" s="1" t="s">
        <v>45</v>
      </c>
      <c r="M1783">
        <v>0</v>
      </c>
      <c r="N1783">
        <v>0</v>
      </c>
      <c r="O1783">
        <v>0</v>
      </c>
      <c r="P1783" s="2">
        <v>42156</v>
      </c>
      <c r="Q1783">
        <v>0</v>
      </c>
      <c r="R1783" s="1" t="s">
        <v>61</v>
      </c>
    </row>
    <row r="1784" spans="1:18" x14ac:dyDescent="0.25">
      <c r="A1784">
        <v>2015</v>
      </c>
      <c r="B1784">
        <v>7</v>
      </c>
      <c r="C1784" s="1" t="s">
        <v>30</v>
      </c>
      <c r="D1784" s="1" t="s">
        <v>19</v>
      </c>
      <c r="E1784" s="1" t="s">
        <v>82</v>
      </c>
      <c r="F1784">
        <v>2013</v>
      </c>
      <c r="G1784">
        <v>2</v>
      </c>
      <c r="H1784" s="1" t="s">
        <v>59</v>
      </c>
      <c r="I1784">
        <v>24</v>
      </c>
      <c r="J1784">
        <v>2678</v>
      </c>
      <c r="K1784" s="1" t="s">
        <v>83</v>
      </c>
      <c r="L1784" s="1" t="s">
        <v>45</v>
      </c>
      <c r="M1784">
        <v>0</v>
      </c>
      <c r="N1784">
        <v>0</v>
      </c>
      <c r="O1784">
        <v>0</v>
      </c>
      <c r="P1784" s="2">
        <v>42186</v>
      </c>
      <c r="Q1784">
        <v>0</v>
      </c>
      <c r="R1784" s="1" t="s">
        <v>61</v>
      </c>
    </row>
    <row r="1785" spans="1:18" x14ac:dyDescent="0.25">
      <c r="A1785">
        <v>2015</v>
      </c>
      <c r="B1785">
        <v>8</v>
      </c>
      <c r="C1785" s="1" t="s">
        <v>31</v>
      </c>
      <c r="D1785" s="1" t="s">
        <v>19</v>
      </c>
      <c r="E1785" s="1" t="s">
        <v>82</v>
      </c>
      <c r="F1785">
        <v>2013</v>
      </c>
      <c r="G1785">
        <v>2</v>
      </c>
      <c r="H1785" s="1" t="s">
        <v>59</v>
      </c>
      <c r="I1785">
        <v>24</v>
      </c>
      <c r="J1785">
        <v>2678</v>
      </c>
      <c r="K1785" s="1" t="s">
        <v>83</v>
      </c>
      <c r="L1785" s="1" t="s">
        <v>45</v>
      </c>
      <c r="M1785">
        <v>0</v>
      </c>
      <c r="N1785">
        <v>0</v>
      </c>
      <c r="O1785">
        <v>0</v>
      </c>
      <c r="P1785" s="2">
        <v>42217</v>
      </c>
      <c r="Q1785">
        <v>0</v>
      </c>
      <c r="R1785" s="1" t="s">
        <v>61</v>
      </c>
    </row>
    <row r="1786" spans="1:18" x14ac:dyDescent="0.25">
      <c r="A1786">
        <v>2015</v>
      </c>
      <c r="B1786">
        <v>9</v>
      </c>
      <c r="C1786" s="1" t="s">
        <v>32</v>
      </c>
      <c r="D1786" s="1" t="s">
        <v>19</v>
      </c>
      <c r="E1786" s="1" t="s">
        <v>82</v>
      </c>
      <c r="F1786">
        <v>2013</v>
      </c>
      <c r="G1786">
        <v>2</v>
      </c>
      <c r="H1786" s="1" t="s">
        <v>59</v>
      </c>
      <c r="I1786">
        <v>24</v>
      </c>
      <c r="J1786">
        <v>2678</v>
      </c>
      <c r="K1786" s="1" t="s">
        <v>83</v>
      </c>
      <c r="L1786" s="1" t="s">
        <v>45</v>
      </c>
      <c r="M1786">
        <v>0</v>
      </c>
      <c r="N1786">
        <v>0</v>
      </c>
      <c r="O1786">
        <v>0</v>
      </c>
      <c r="P1786" s="2">
        <v>42248</v>
      </c>
      <c r="Q1786">
        <v>0</v>
      </c>
      <c r="R1786" s="1" t="s">
        <v>61</v>
      </c>
    </row>
    <row r="1787" spans="1:18" x14ac:dyDescent="0.25">
      <c r="A1787">
        <v>2015</v>
      </c>
      <c r="B1787">
        <v>10</v>
      </c>
      <c r="C1787" s="1" t="s">
        <v>33</v>
      </c>
      <c r="D1787" s="1" t="s">
        <v>19</v>
      </c>
      <c r="E1787" s="1" t="s">
        <v>82</v>
      </c>
      <c r="F1787">
        <v>2013</v>
      </c>
      <c r="G1787">
        <v>2</v>
      </c>
      <c r="H1787" s="1" t="s">
        <v>59</v>
      </c>
      <c r="I1787">
        <v>24</v>
      </c>
      <c r="J1787">
        <v>2678</v>
      </c>
      <c r="K1787" s="1" t="s">
        <v>83</v>
      </c>
      <c r="L1787" s="1" t="s">
        <v>45</v>
      </c>
      <c r="M1787">
        <v>0</v>
      </c>
      <c r="N1787">
        <v>0</v>
      </c>
      <c r="O1787">
        <v>0</v>
      </c>
      <c r="P1787" s="2">
        <v>42278</v>
      </c>
      <c r="Q1787">
        <v>0</v>
      </c>
      <c r="R1787" s="1" t="s">
        <v>61</v>
      </c>
    </row>
    <row r="1788" spans="1:18" x14ac:dyDescent="0.25">
      <c r="A1788">
        <v>2015</v>
      </c>
      <c r="B1788">
        <v>11</v>
      </c>
      <c r="C1788" s="1" t="s">
        <v>34</v>
      </c>
      <c r="D1788" s="1" t="s">
        <v>19</v>
      </c>
      <c r="E1788" s="1" t="s">
        <v>82</v>
      </c>
      <c r="F1788">
        <v>2013</v>
      </c>
      <c r="G1788">
        <v>2</v>
      </c>
      <c r="H1788" s="1" t="s">
        <v>59</v>
      </c>
      <c r="I1788">
        <v>24</v>
      </c>
      <c r="J1788">
        <v>2678</v>
      </c>
      <c r="K1788" s="1" t="s">
        <v>83</v>
      </c>
      <c r="L1788" s="1" t="s">
        <v>45</v>
      </c>
      <c r="M1788">
        <v>0</v>
      </c>
      <c r="N1788">
        <v>0</v>
      </c>
      <c r="O1788">
        <v>0</v>
      </c>
      <c r="P1788" s="2">
        <v>42309</v>
      </c>
      <c r="Q1788">
        <v>0</v>
      </c>
      <c r="R1788" s="1" t="s">
        <v>61</v>
      </c>
    </row>
    <row r="1789" spans="1:18" x14ac:dyDescent="0.25">
      <c r="A1789">
        <v>2015</v>
      </c>
      <c r="B1789">
        <v>12</v>
      </c>
      <c r="C1789" s="1" t="s">
        <v>35</v>
      </c>
      <c r="D1789" s="1" t="s">
        <v>19</v>
      </c>
      <c r="E1789" s="1" t="s">
        <v>82</v>
      </c>
      <c r="F1789">
        <v>2013</v>
      </c>
      <c r="G1789">
        <v>2</v>
      </c>
      <c r="H1789" s="1" t="s">
        <v>59</v>
      </c>
      <c r="I1789">
        <v>24</v>
      </c>
      <c r="J1789">
        <v>2678</v>
      </c>
      <c r="K1789" s="1" t="s">
        <v>83</v>
      </c>
      <c r="L1789" s="1" t="s">
        <v>45</v>
      </c>
      <c r="M1789">
        <v>0</v>
      </c>
      <c r="N1789">
        <v>0</v>
      </c>
      <c r="O1789">
        <v>0</v>
      </c>
      <c r="P1789" s="2">
        <v>42339</v>
      </c>
      <c r="Q1789">
        <v>0</v>
      </c>
      <c r="R1789" s="1" t="s">
        <v>61</v>
      </c>
    </row>
    <row r="1790" spans="1:18" x14ac:dyDescent="0.25">
      <c r="A1790">
        <v>2015</v>
      </c>
      <c r="B1790">
        <v>1</v>
      </c>
      <c r="C1790" s="1" t="s">
        <v>18</v>
      </c>
      <c r="D1790" s="1" t="s">
        <v>19</v>
      </c>
      <c r="E1790" s="1" t="s">
        <v>84</v>
      </c>
      <c r="F1790">
        <v>2013</v>
      </c>
      <c r="G1790">
        <v>2</v>
      </c>
      <c r="H1790" s="1" t="s">
        <v>59</v>
      </c>
      <c r="I1790">
        <v>23</v>
      </c>
      <c r="J1790">
        <v>2683</v>
      </c>
      <c r="K1790" s="1" t="s">
        <v>85</v>
      </c>
      <c r="L1790" s="1" t="s">
        <v>45</v>
      </c>
      <c r="M1790">
        <v>0</v>
      </c>
      <c r="N1790">
        <v>0</v>
      </c>
      <c r="O1790">
        <v>0</v>
      </c>
      <c r="P1790" s="2">
        <v>42005</v>
      </c>
      <c r="Q1790">
        <v>0</v>
      </c>
      <c r="R1790" s="1" t="s">
        <v>61</v>
      </c>
    </row>
    <row r="1791" spans="1:18" x14ac:dyDescent="0.25">
      <c r="A1791">
        <v>2015</v>
      </c>
      <c r="B1791">
        <v>2</v>
      </c>
      <c r="C1791" s="1" t="s">
        <v>25</v>
      </c>
      <c r="D1791" s="1" t="s">
        <v>19</v>
      </c>
      <c r="E1791" s="1" t="s">
        <v>84</v>
      </c>
      <c r="F1791">
        <v>2013</v>
      </c>
      <c r="G1791">
        <v>2</v>
      </c>
      <c r="H1791" s="1" t="s">
        <v>59</v>
      </c>
      <c r="I1791">
        <v>23</v>
      </c>
      <c r="J1791">
        <v>2683</v>
      </c>
      <c r="K1791" s="1" t="s">
        <v>85</v>
      </c>
      <c r="L1791" s="1" t="s">
        <v>45</v>
      </c>
      <c r="M1791">
        <v>0</v>
      </c>
      <c r="N1791">
        <v>0</v>
      </c>
      <c r="O1791">
        <v>0</v>
      </c>
      <c r="P1791" s="2">
        <v>42036</v>
      </c>
      <c r="Q1791">
        <v>0</v>
      </c>
      <c r="R1791" s="1" t="s">
        <v>61</v>
      </c>
    </row>
    <row r="1792" spans="1:18" x14ac:dyDescent="0.25">
      <c r="A1792">
        <v>2015</v>
      </c>
      <c r="B1792">
        <v>3</v>
      </c>
      <c r="C1792" s="1" t="s">
        <v>26</v>
      </c>
      <c r="D1792" s="1" t="s">
        <v>19</v>
      </c>
      <c r="E1792" s="1" t="s">
        <v>84</v>
      </c>
      <c r="F1792">
        <v>2013</v>
      </c>
      <c r="G1792">
        <v>2</v>
      </c>
      <c r="H1792" s="1" t="s">
        <v>59</v>
      </c>
      <c r="I1792">
        <v>23</v>
      </c>
      <c r="J1792">
        <v>2683</v>
      </c>
      <c r="K1792" s="1" t="s">
        <v>85</v>
      </c>
      <c r="L1792" s="1" t="s">
        <v>45</v>
      </c>
      <c r="M1792">
        <v>0</v>
      </c>
      <c r="N1792">
        <v>0</v>
      </c>
      <c r="O1792">
        <v>0</v>
      </c>
      <c r="P1792" s="2">
        <v>42064</v>
      </c>
      <c r="Q1792">
        <v>0</v>
      </c>
      <c r="R1792" s="1" t="s">
        <v>61</v>
      </c>
    </row>
    <row r="1793" spans="1:18" x14ac:dyDescent="0.25">
      <c r="A1793">
        <v>2015</v>
      </c>
      <c r="B1793">
        <v>4</v>
      </c>
      <c r="C1793" s="1" t="s">
        <v>27</v>
      </c>
      <c r="D1793" s="1" t="s">
        <v>19</v>
      </c>
      <c r="E1793" s="1" t="s">
        <v>84</v>
      </c>
      <c r="F1793">
        <v>2013</v>
      </c>
      <c r="G1793">
        <v>2</v>
      </c>
      <c r="H1793" s="1" t="s">
        <v>59</v>
      </c>
      <c r="I1793">
        <v>23</v>
      </c>
      <c r="J1793">
        <v>2683</v>
      </c>
      <c r="K1793" s="1" t="s">
        <v>85</v>
      </c>
      <c r="L1793" s="1" t="s">
        <v>45</v>
      </c>
      <c r="M1793">
        <v>0</v>
      </c>
      <c r="N1793">
        <v>0</v>
      </c>
      <c r="O1793">
        <v>0</v>
      </c>
      <c r="P1793" s="2">
        <v>42095</v>
      </c>
      <c r="Q1793">
        <v>0</v>
      </c>
      <c r="R1793" s="1" t="s">
        <v>61</v>
      </c>
    </row>
    <row r="1794" spans="1:18" x14ac:dyDescent="0.25">
      <c r="A1794">
        <v>2015</v>
      </c>
      <c r="B1794">
        <v>5</v>
      </c>
      <c r="C1794" s="1" t="s">
        <v>28</v>
      </c>
      <c r="D1794" s="1" t="s">
        <v>19</v>
      </c>
      <c r="E1794" s="1" t="s">
        <v>84</v>
      </c>
      <c r="F1794">
        <v>2013</v>
      </c>
      <c r="G1794">
        <v>2</v>
      </c>
      <c r="H1794" s="1" t="s">
        <v>59</v>
      </c>
      <c r="I1794">
        <v>23</v>
      </c>
      <c r="J1794">
        <v>2683</v>
      </c>
      <c r="K1794" s="1" t="s">
        <v>85</v>
      </c>
      <c r="L1794" s="1" t="s">
        <v>45</v>
      </c>
      <c r="M1794">
        <v>0</v>
      </c>
      <c r="N1794">
        <v>0</v>
      </c>
      <c r="O1794">
        <v>0</v>
      </c>
      <c r="P1794" s="2">
        <v>42125</v>
      </c>
      <c r="Q1794">
        <v>0</v>
      </c>
      <c r="R1794" s="1" t="s">
        <v>61</v>
      </c>
    </row>
    <row r="1795" spans="1:18" x14ac:dyDescent="0.25">
      <c r="A1795">
        <v>2015</v>
      </c>
      <c r="B1795">
        <v>6</v>
      </c>
      <c r="C1795" s="1" t="s">
        <v>29</v>
      </c>
      <c r="D1795" s="1" t="s">
        <v>19</v>
      </c>
      <c r="E1795" s="1" t="s">
        <v>84</v>
      </c>
      <c r="F1795">
        <v>2013</v>
      </c>
      <c r="G1795">
        <v>2</v>
      </c>
      <c r="H1795" s="1" t="s">
        <v>59</v>
      </c>
      <c r="I1795">
        <v>23</v>
      </c>
      <c r="J1795">
        <v>2683</v>
      </c>
      <c r="K1795" s="1" t="s">
        <v>85</v>
      </c>
      <c r="L1795" s="1" t="s">
        <v>45</v>
      </c>
      <c r="M1795">
        <v>0</v>
      </c>
      <c r="N1795">
        <v>0</v>
      </c>
      <c r="O1795">
        <v>0</v>
      </c>
      <c r="P1795" s="2">
        <v>42156</v>
      </c>
      <c r="Q1795">
        <v>0</v>
      </c>
      <c r="R1795" s="1" t="s">
        <v>61</v>
      </c>
    </row>
    <row r="1796" spans="1:18" x14ac:dyDescent="0.25">
      <c r="A1796">
        <v>2015</v>
      </c>
      <c r="B1796">
        <v>7</v>
      </c>
      <c r="C1796" s="1" t="s">
        <v>30</v>
      </c>
      <c r="D1796" s="1" t="s">
        <v>19</v>
      </c>
      <c r="E1796" s="1" t="s">
        <v>84</v>
      </c>
      <c r="F1796">
        <v>2013</v>
      </c>
      <c r="G1796">
        <v>2</v>
      </c>
      <c r="H1796" s="1" t="s">
        <v>59</v>
      </c>
      <c r="I1796">
        <v>23</v>
      </c>
      <c r="J1796">
        <v>2683</v>
      </c>
      <c r="K1796" s="1" t="s">
        <v>85</v>
      </c>
      <c r="L1796" s="1" t="s">
        <v>45</v>
      </c>
      <c r="M1796">
        <v>0</v>
      </c>
      <c r="N1796">
        <v>0</v>
      </c>
      <c r="O1796">
        <v>0</v>
      </c>
      <c r="P1796" s="2">
        <v>42186</v>
      </c>
      <c r="Q1796">
        <v>0</v>
      </c>
      <c r="R1796" s="1" t="s">
        <v>61</v>
      </c>
    </row>
    <row r="1797" spans="1:18" x14ac:dyDescent="0.25">
      <c r="A1797">
        <v>2015</v>
      </c>
      <c r="B1797">
        <v>8</v>
      </c>
      <c r="C1797" s="1" t="s">
        <v>31</v>
      </c>
      <c r="D1797" s="1" t="s">
        <v>19</v>
      </c>
      <c r="E1797" s="1" t="s">
        <v>84</v>
      </c>
      <c r="F1797">
        <v>2013</v>
      </c>
      <c r="G1797">
        <v>2</v>
      </c>
      <c r="H1797" s="1" t="s">
        <v>59</v>
      </c>
      <c r="I1797">
        <v>23</v>
      </c>
      <c r="J1797">
        <v>2683</v>
      </c>
      <c r="K1797" s="1" t="s">
        <v>85</v>
      </c>
      <c r="L1797" s="1" t="s">
        <v>45</v>
      </c>
      <c r="M1797">
        <v>0</v>
      </c>
      <c r="N1797">
        <v>0</v>
      </c>
      <c r="O1797">
        <v>0</v>
      </c>
      <c r="P1797" s="2">
        <v>42217</v>
      </c>
      <c r="Q1797">
        <v>0</v>
      </c>
      <c r="R1797" s="1" t="s">
        <v>61</v>
      </c>
    </row>
    <row r="1798" spans="1:18" x14ac:dyDescent="0.25">
      <c r="A1798">
        <v>2015</v>
      </c>
      <c r="B1798">
        <v>9</v>
      </c>
      <c r="C1798" s="1" t="s">
        <v>32</v>
      </c>
      <c r="D1798" s="1" t="s">
        <v>19</v>
      </c>
      <c r="E1798" s="1" t="s">
        <v>84</v>
      </c>
      <c r="F1798">
        <v>2013</v>
      </c>
      <c r="G1798">
        <v>2</v>
      </c>
      <c r="H1798" s="1" t="s">
        <v>59</v>
      </c>
      <c r="I1798">
        <v>23</v>
      </c>
      <c r="J1798">
        <v>2683</v>
      </c>
      <c r="K1798" s="1" t="s">
        <v>85</v>
      </c>
      <c r="L1798" s="1" t="s">
        <v>45</v>
      </c>
      <c r="M1798">
        <v>0</v>
      </c>
      <c r="N1798">
        <v>0</v>
      </c>
      <c r="O1798">
        <v>0</v>
      </c>
      <c r="P1798" s="2">
        <v>42248</v>
      </c>
      <c r="Q1798">
        <v>0</v>
      </c>
      <c r="R1798" s="1" t="s">
        <v>61</v>
      </c>
    </row>
    <row r="1799" spans="1:18" x14ac:dyDescent="0.25">
      <c r="A1799">
        <v>2015</v>
      </c>
      <c r="B1799">
        <v>10</v>
      </c>
      <c r="C1799" s="1" t="s">
        <v>33</v>
      </c>
      <c r="D1799" s="1" t="s">
        <v>19</v>
      </c>
      <c r="E1799" s="1" t="s">
        <v>84</v>
      </c>
      <c r="F1799">
        <v>2013</v>
      </c>
      <c r="G1799">
        <v>2</v>
      </c>
      <c r="H1799" s="1" t="s">
        <v>59</v>
      </c>
      <c r="I1799">
        <v>23</v>
      </c>
      <c r="J1799">
        <v>2683</v>
      </c>
      <c r="K1799" s="1" t="s">
        <v>85</v>
      </c>
      <c r="L1799" s="1" t="s">
        <v>45</v>
      </c>
      <c r="M1799">
        <v>0</v>
      </c>
      <c r="N1799">
        <v>0</v>
      </c>
      <c r="O1799">
        <v>0</v>
      </c>
      <c r="P1799" s="2">
        <v>42278</v>
      </c>
      <c r="Q1799">
        <v>0</v>
      </c>
      <c r="R1799" s="1" t="s">
        <v>61</v>
      </c>
    </row>
    <row r="1800" spans="1:18" x14ac:dyDescent="0.25">
      <c r="A1800">
        <v>2015</v>
      </c>
      <c r="B1800">
        <v>11</v>
      </c>
      <c r="C1800" s="1" t="s">
        <v>34</v>
      </c>
      <c r="D1800" s="1" t="s">
        <v>19</v>
      </c>
      <c r="E1800" s="1" t="s">
        <v>84</v>
      </c>
      <c r="F1800">
        <v>2013</v>
      </c>
      <c r="G1800">
        <v>2</v>
      </c>
      <c r="H1800" s="1" t="s">
        <v>59</v>
      </c>
      <c r="I1800">
        <v>23</v>
      </c>
      <c r="J1800">
        <v>2683</v>
      </c>
      <c r="K1800" s="1" t="s">
        <v>85</v>
      </c>
      <c r="L1800" s="1" t="s">
        <v>45</v>
      </c>
      <c r="M1800">
        <v>0</v>
      </c>
      <c r="N1800">
        <v>0</v>
      </c>
      <c r="O1800">
        <v>0</v>
      </c>
      <c r="P1800" s="2">
        <v>42309</v>
      </c>
      <c r="Q1800">
        <v>0</v>
      </c>
      <c r="R1800" s="1" t="s">
        <v>61</v>
      </c>
    </row>
    <row r="1801" spans="1:18" x14ac:dyDescent="0.25">
      <c r="A1801">
        <v>2015</v>
      </c>
      <c r="B1801">
        <v>12</v>
      </c>
      <c r="C1801" s="1" t="s">
        <v>35</v>
      </c>
      <c r="D1801" s="1" t="s">
        <v>19</v>
      </c>
      <c r="E1801" s="1" t="s">
        <v>84</v>
      </c>
      <c r="F1801">
        <v>2013</v>
      </c>
      <c r="G1801">
        <v>2</v>
      </c>
      <c r="H1801" s="1" t="s">
        <v>59</v>
      </c>
      <c r="I1801">
        <v>23</v>
      </c>
      <c r="J1801">
        <v>2683</v>
      </c>
      <c r="K1801" s="1" t="s">
        <v>85</v>
      </c>
      <c r="L1801" s="1" t="s">
        <v>45</v>
      </c>
      <c r="M1801">
        <v>0</v>
      </c>
      <c r="N1801">
        <v>0</v>
      </c>
      <c r="O1801">
        <v>0</v>
      </c>
      <c r="P1801" s="2">
        <v>42339</v>
      </c>
      <c r="Q1801">
        <v>0</v>
      </c>
      <c r="R1801" s="1" t="s">
        <v>61</v>
      </c>
    </row>
    <row r="1802" spans="1:18" x14ac:dyDescent="0.25">
      <c r="A1802">
        <v>2015</v>
      </c>
      <c r="B1802">
        <v>1</v>
      </c>
      <c r="C1802" s="1" t="s">
        <v>18</v>
      </c>
      <c r="D1802" s="1" t="s">
        <v>19</v>
      </c>
      <c r="E1802" s="1" t="s">
        <v>86</v>
      </c>
      <c r="F1802">
        <v>2013</v>
      </c>
      <c r="G1802">
        <v>2</v>
      </c>
      <c r="H1802" s="1" t="s">
        <v>59</v>
      </c>
      <c r="I1802">
        <v>24</v>
      </c>
      <c r="J1802">
        <v>3445</v>
      </c>
      <c r="K1802" s="1" t="s">
        <v>87</v>
      </c>
      <c r="L1802" s="1" t="s">
        <v>45</v>
      </c>
      <c r="M1802">
        <v>0</v>
      </c>
      <c r="N1802">
        <v>0</v>
      </c>
      <c r="O1802">
        <v>0</v>
      </c>
      <c r="P1802" s="2">
        <v>42005</v>
      </c>
      <c r="Q1802">
        <v>0</v>
      </c>
      <c r="R1802" s="1" t="s">
        <v>61</v>
      </c>
    </row>
    <row r="1803" spans="1:18" x14ac:dyDescent="0.25">
      <c r="A1803">
        <v>2015</v>
      </c>
      <c r="B1803">
        <v>2</v>
      </c>
      <c r="C1803" s="1" t="s">
        <v>25</v>
      </c>
      <c r="D1803" s="1" t="s">
        <v>19</v>
      </c>
      <c r="E1803" s="1" t="s">
        <v>86</v>
      </c>
      <c r="F1803">
        <v>2013</v>
      </c>
      <c r="G1803">
        <v>2</v>
      </c>
      <c r="H1803" s="1" t="s">
        <v>59</v>
      </c>
      <c r="I1803">
        <v>24</v>
      </c>
      <c r="J1803">
        <v>3445</v>
      </c>
      <c r="K1803" s="1" t="s">
        <v>87</v>
      </c>
      <c r="L1803" s="1" t="s">
        <v>45</v>
      </c>
      <c r="M1803">
        <v>0</v>
      </c>
      <c r="N1803">
        <v>0</v>
      </c>
      <c r="O1803">
        <v>0</v>
      </c>
      <c r="P1803" s="2">
        <v>42036</v>
      </c>
      <c r="Q1803">
        <v>0</v>
      </c>
      <c r="R1803" s="1" t="s">
        <v>61</v>
      </c>
    </row>
    <row r="1804" spans="1:18" x14ac:dyDescent="0.25">
      <c r="A1804">
        <v>2015</v>
      </c>
      <c r="B1804">
        <v>3</v>
      </c>
      <c r="C1804" s="1" t="s">
        <v>26</v>
      </c>
      <c r="D1804" s="1" t="s">
        <v>19</v>
      </c>
      <c r="E1804" s="1" t="s">
        <v>86</v>
      </c>
      <c r="F1804">
        <v>2013</v>
      </c>
      <c r="G1804">
        <v>2</v>
      </c>
      <c r="H1804" s="1" t="s">
        <v>59</v>
      </c>
      <c r="I1804">
        <v>24</v>
      </c>
      <c r="J1804">
        <v>3445</v>
      </c>
      <c r="K1804" s="1" t="s">
        <v>87</v>
      </c>
      <c r="L1804" s="1" t="s">
        <v>45</v>
      </c>
      <c r="M1804">
        <v>0</v>
      </c>
      <c r="N1804">
        <v>0</v>
      </c>
      <c r="O1804">
        <v>0</v>
      </c>
      <c r="P1804" s="2">
        <v>42064</v>
      </c>
      <c r="Q1804">
        <v>0</v>
      </c>
      <c r="R1804" s="1" t="s">
        <v>61</v>
      </c>
    </row>
    <row r="1805" spans="1:18" x14ac:dyDescent="0.25">
      <c r="A1805">
        <v>2015</v>
      </c>
      <c r="B1805">
        <v>4</v>
      </c>
      <c r="C1805" s="1" t="s">
        <v>27</v>
      </c>
      <c r="D1805" s="1" t="s">
        <v>19</v>
      </c>
      <c r="E1805" s="1" t="s">
        <v>86</v>
      </c>
      <c r="F1805">
        <v>2013</v>
      </c>
      <c r="G1805">
        <v>2</v>
      </c>
      <c r="H1805" s="1" t="s">
        <v>59</v>
      </c>
      <c r="I1805">
        <v>24</v>
      </c>
      <c r="J1805">
        <v>3445</v>
      </c>
      <c r="K1805" s="1" t="s">
        <v>87</v>
      </c>
      <c r="L1805" s="1" t="s">
        <v>45</v>
      </c>
      <c r="M1805">
        <v>0</v>
      </c>
      <c r="N1805">
        <v>0</v>
      </c>
      <c r="O1805">
        <v>0</v>
      </c>
      <c r="P1805" s="2">
        <v>42095</v>
      </c>
      <c r="Q1805">
        <v>0</v>
      </c>
      <c r="R1805" s="1" t="s">
        <v>61</v>
      </c>
    </row>
    <row r="1806" spans="1:18" x14ac:dyDescent="0.25">
      <c r="A1806">
        <v>2015</v>
      </c>
      <c r="B1806">
        <v>5</v>
      </c>
      <c r="C1806" s="1" t="s">
        <v>28</v>
      </c>
      <c r="D1806" s="1" t="s">
        <v>19</v>
      </c>
      <c r="E1806" s="1" t="s">
        <v>86</v>
      </c>
      <c r="F1806">
        <v>2013</v>
      </c>
      <c r="G1806">
        <v>2</v>
      </c>
      <c r="H1806" s="1" t="s">
        <v>59</v>
      </c>
      <c r="I1806">
        <v>24</v>
      </c>
      <c r="J1806">
        <v>3445</v>
      </c>
      <c r="K1806" s="1" t="s">
        <v>87</v>
      </c>
      <c r="L1806" s="1" t="s">
        <v>45</v>
      </c>
      <c r="M1806">
        <v>0</v>
      </c>
      <c r="N1806">
        <v>0</v>
      </c>
      <c r="O1806">
        <v>0</v>
      </c>
      <c r="P1806" s="2">
        <v>42125</v>
      </c>
      <c r="Q1806">
        <v>0</v>
      </c>
      <c r="R1806" s="1" t="s">
        <v>61</v>
      </c>
    </row>
    <row r="1807" spans="1:18" x14ac:dyDescent="0.25">
      <c r="A1807">
        <v>2015</v>
      </c>
      <c r="B1807">
        <v>6</v>
      </c>
      <c r="C1807" s="1" t="s">
        <v>29</v>
      </c>
      <c r="D1807" s="1" t="s">
        <v>19</v>
      </c>
      <c r="E1807" s="1" t="s">
        <v>86</v>
      </c>
      <c r="F1807">
        <v>2013</v>
      </c>
      <c r="G1807">
        <v>2</v>
      </c>
      <c r="H1807" s="1" t="s">
        <v>59</v>
      </c>
      <c r="I1807">
        <v>24</v>
      </c>
      <c r="J1807">
        <v>3445</v>
      </c>
      <c r="K1807" s="1" t="s">
        <v>87</v>
      </c>
      <c r="L1807" s="1" t="s">
        <v>45</v>
      </c>
      <c r="M1807">
        <v>0</v>
      </c>
      <c r="N1807">
        <v>0</v>
      </c>
      <c r="O1807">
        <v>0</v>
      </c>
      <c r="P1807" s="2">
        <v>42156</v>
      </c>
      <c r="Q1807">
        <v>0</v>
      </c>
      <c r="R1807" s="1" t="s">
        <v>61</v>
      </c>
    </row>
    <row r="1808" spans="1:18" x14ac:dyDescent="0.25">
      <c r="A1808">
        <v>2015</v>
      </c>
      <c r="B1808">
        <v>7</v>
      </c>
      <c r="C1808" s="1" t="s">
        <v>30</v>
      </c>
      <c r="D1808" s="1" t="s">
        <v>19</v>
      </c>
      <c r="E1808" s="1" t="s">
        <v>86</v>
      </c>
      <c r="F1808">
        <v>2013</v>
      </c>
      <c r="G1808">
        <v>2</v>
      </c>
      <c r="H1808" s="1" t="s">
        <v>59</v>
      </c>
      <c r="I1808">
        <v>24</v>
      </c>
      <c r="J1808">
        <v>3445</v>
      </c>
      <c r="K1808" s="1" t="s">
        <v>87</v>
      </c>
      <c r="L1808" s="1" t="s">
        <v>45</v>
      </c>
      <c r="M1808">
        <v>0</v>
      </c>
      <c r="N1808">
        <v>0</v>
      </c>
      <c r="O1808">
        <v>0</v>
      </c>
      <c r="P1808" s="2">
        <v>42186</v>
      </c>
      <c r="Q1808">
        <v>0</v>
      </c>
      <c r="R1808" s="1" t="s">
        <v>61</v>
      </c>
    </row>
    <row r="1809" spans="1:18" x14ac:dyDescent="0.25">
      <c r="A1809">
        <v>2015</v>
      </c>
      <c r="B1809">
        <v>8</v>
      </c>
      <c r="C1809" s="1" t="s">
        <v>31</v>
      </c>
      <c r="D1809" s="1" t="s">
        <v>19</v>
      </c>
      <c r="E1809" s="1" t="s">
        <v>86</v>
      </c>
      <c r="F1809">
        <v>2013</v>
      </c>
      <c r="G1809">
        <v>2</v>
      </c>
      <c r="H1809" s="1" t="s">
        <v>59</v>
      </c>
      <c r="I1809">
        <v>24</v>
      </c>
      <c r="J1809">
        <v>3445</v>
      </c>
      <c r="K1809" s="1" t="s">
        <v>87</v>
      </c>
      <c r="L1809" s="1" t="s">
        <v>45</v>
      </c>
      <c r="M1809">
        <v>0</v>
      </c>
      <c r="N1809">
        <v>0</v>
      </c>
      <c r="O1809">
        <v>0</v>
      </c>
      <c r="P1809" s="2">
        <v>42217</v>
      </c>
      <c r="Q1809">
        <v>0</v>
      </c>
      <c r="R1809" s="1" t="s">
        <v>61</v>
      </c>
    </row>
    <row r="1810" spans="1:18" x14ac:dyDescent="0.25">
      <c r="A1810">
        <v>2015</v>
      </c>
      <c r="B1810">
        <v>9</v>
      </c>
      <c r="C1810" s="1" t="s">
        <v>32</v>
      </c>
      <c r="D1810" s="1" t="s">
        <v>19</v>
      </c>
      <c r="E1810" s="1" t="s">
        <v>86</v>
      </c>
      <c r="F1810">
        <v>2013</v>
      </c>
      <c r="G1810">
        <v>2</v>
      </c>
      <c r="H1810" s="1" t="s">
        <v>59</v>
      </c>
      <c r="I1810">
        <v>24</v>
      </c>
      <c r="J1810">
        <v>3445</v>
      </c>
      <c r="K1810" s="1" t="s">
        <v>87</v>
      </c>
      <c r="L1810" s="1" t="s">
        <v>45</v>
      </c>
      <c r="M1810">
        <v>0</v>
      </c>
      <c r="N1810">
        <v>0</v>
      </c>
      <c r="O1810">
        <v>0</v>
      </c>
      <c r="P1810" s="2">
        <v>42248</v>
      </c>
      <c r="Q1810">
        <v>0</v>
      </c>
      <c r="R1810" s="1" t="s">
        <v>61</v>
      </c>
    </row>
    <row r="1811" spans="1:18" x14ac:dyDescent="0.25">
      <c r="A1811">
        <v>2015</v>
      </c>
      <c r="B1811">
        <v>10</v>
      </c>
      <c r="C1811" s="1" t="s">
        <v>33</v>
      </c>
      <c r="D1811" s="1" t="s">
        <v>19</v>
      </c>
      <c r="E1811" s="1" t="s">
        <v>86</v>
      </c>
      <c r="F1811">
        <v>2013</v>
      </c>
      <c r="G1811">
        <v>2</v>
      </c>
      <c r="H1811" s="1" t="s">
        <v>59</v>
      </c>
      <c r="I1811">
        <v>24</v>
      </c>
      <c r="J1811">
        <v>3445</v>
      </c>
      <c r="K1811" s="1" t="s">
        <v>87</v>
      </c>
      <c r="L1811" s="1" t="s">
        <v>45</v>
      </c>
      <c r="M1811">
        <v>0</v>
      </c>
      <c r="N1811">
        <v>0</v>
      </c>
      <c r="O1811">
        <v>0</v>
      </c>
      <c r="P1811" s="2">
        <v>42278</v>
      </c>
      <c r="Q1811">
        <v>0</v>
      </c>
      <c r="R1811" s="1" t="s">
        <v>61</v>
      </c>
    </row>
    <row r="1812" spans="1:18" x14ac:dyDescent="0.25">
      <c r="A1812">
        <v>2015</v>
      </c>
      <c r="B1812">
        <v>11</v>
      </c>
      <c r="C1812" s="1" t="s">
        <v>34</v>
      </c>
      <c r="D1812" s="1" t="s">
        <v>19</v>
      </c>
      <c r="E1812" s="1" t="s">
        <v>86</v>
      </c>
      <c r="F1812">
        <v>2013</v>
      </c>
      <c r="G1812">
        <v>2</v>
      </c>
      <c r="H1812" s="1" t="s">
        <v>59</v>
      </c>
      <c r="I1812">
        <v>24</v>
      </c>
      <c r="J1812">
        <v>3445</v>
      </c>
      <c r="K1812" s="1" t="s">
        <v>87</v>
      </c>
      <c r="L1812" s="1" t="s">
        <v>45</v>
      </c>
      <c r="M1812">
        <v>0</v>
      </c>
      <c r="N1812">
        <v>0</v>
      </c>
      <c r="O1812">
        <v>0</v>
      </c>
      <c r="P1812" s="2">
        <v>42309</v>
      </c>
      <c r="Q1812">
        <v>0</v>
      </c>
      <c r="R1812" s="1" t="s">
        <v>61</v>
      </c>
    </row>
    <row r="1813" spans="1:18" x14ac:dyDescent="0.25">
      <c r="A1813">
        <v>2015</v>
      </c>
      <c r="B1813">
        <v>12</v>
      </c>
      <c r="C1813" s="1" t="s">
        <v>35</v>
      </c>
      <c r="D1813" s="1" t="s">
        <v>19</v>
      </c>
      <c r="E1813" s="1" t="s">
        <v>86</v>
      </c>
      <c r="F1813">
        <v>2013</v>
      </c>
      <c r="G1813">
        <v>2</v>
      </c>
      <c r="H1813" s="1" t="s">
        <v>59</v>
      </c>
      <c r="I1813">
        <v>24</v>
      </c>
      <c r="J1813">
        <v>3445</v>
      </c>
      <c r="K1813" s="1" t="s">
        <v>87</v>
      </c>
      <c r="L1813" s="1" t="s">
        <v>45</v>
      </c>
      <c r="M1813">
        <v>0</v>
      </c>
      <c r="N1813">
        <v>0</v>
      </c>
      <c r="O1813">
        <v>0</v>
      </c>
      <c r="P1813" s="2">
        <v>42339</v>
      </c>
      <c r="Q1813">
        <v>0</v>
      </c>
      <c r="R1813" s="1" t="s">
        <v>61</v>
      </c>
    </row>
    <row r="1814" spans="1:18" x14ac:dyDescent="0.25">
      <c r="A1814">
        <v>2015</v>
      </c>
      <c r="B1814">
        <v>1</v>
      </c>
      <c r="C1814" s="1" t="s">
        <v>18</v>
      </c>
      <c r="D1814" s="1" t="s">
        <v>19</v>
      </c>
      <c r="E1814" s="1" t="s">
        <v>88</v>
      </c>
      <c r="F1814">
        <v>2013</v>
      </c>
      <c r="G1814">
        <v>2</v>
      </c>
      <c r="H1814" s="1" t="s">
        <v>59</v>
      </c>
      <c r="I1814">
        <v>24</v>
      </c>
      <c r="J1814">
        <v>3271</v>
      </c>
      <c r="K1814" s="1" t="s">
        <v>89</v>
      </c>
      <c r="L1814" s="1" t="s">
        <v>45</v>
      </c>
      <c r="M1814">
        <v>0</v>
      </c>
      <c r="N1814">
        <v>0</v>
      </c>
      <c r="O1814">
        <v>0</v>
      </c>
      <c r="P1814" s="2">
        <v>42005</v>
      </c>
      <c r="Q1814">
        <v>0</v>
      </c>
      <c r="R1814" s="1" t="s">
        <v>61</v>
      </c>
    </row>
    <row r="1815" spans="1:18" x14ac:dyDescent="0.25">
      <c r="A1815">
        <v>2015</v>
      </c>
      <c r="B1815">
        <v>2</v>
      </c>
      <c r="C1815" s="1" t="s">
        <v>25</v>
      </c>
      <c r="D1815" s="1" t="s">
        <v>19</v>
      </c>
      <c r="E1815" s="1" t="s">
        <v>88</v>
      </c>
      <c r="F1815">
        <v>2013</v>
      </c>
      <c r="G1815">
        <v>2</v>
      </c>
      <c r="H1815" s="1" t="s">
        <v>59</v>
      </c>
      <c r="I1815">
        <v>24</v>
      </c>
      <c r="J1815">
        <v>3271</v>
      </c>
      <c r="K1815" s="1" t="s">
        <v>89</v>
      </c>
      <c r="L1815" s="1" t="s">
        <v>45</v>
      </c>
      <c r="M1815">
        <v>0</v>
      </c>
      <c r="N1815">
        <v>0</v>
      </c>
      <c r="O1815">
        <v>0</v>
      </c>
      <c r="P1815" s="2">
        <v>42036</v>
      </c>
      <c r="Q1815">
        <v>0</v>
      </c>
      <c r="R1815" s="1" t="s">
        <v>61</v>
      </c>
    </row>
    <row r="1816" spans="1:18" x14ac:dyDescent="0.25">
      <c r="A1816">
        <v>2015</v>
      </c>
      <c r="B1816">
        <v>3</v>
      </c>
      <c r="C1816" s="1" t="s">
        <v>26</v>
      </c>
      <c r="D1816" s="1" t="s">
        <v>19</v>
      </c>
      <c r="E1816" s="1" t="s">
        <v>88</v>
      </c>
      <c r="F1816">
        <v>2013</v>
      </c>
      <c r="G1816">
        <v>2</v>
      </c>
      <c r="H1816" s="1" t="s">
        <v>59</v>
      </c>
      <c r="I1816">
        <v>24</v>
      </c>
      <c r="J1816">
        <v>3271</v>
      </c>
      <c r="K1816" s="1" t="s">
        <v>89</v>
      </c>
      <c r="L1816" s="1" t="s">
        <v>45</v>
      </c>
      <c r="M1816">
        <v>0</v>
      </c>
      <c r="N1816">
        <v>0</v>
      </c>
      <c r="O1816">
        <v>0</v>
      </c>
      <c r="P1816" s="2">
        <v>42064</v>
      </c>
      <c r="Q1816">
        <v>0</v>
      </c>
      <c r="R1816" s="1" t="s">
        <v>61</v>
      </c>
    </row>
    <row r="1817" spans="1:18" x14ac:dyDescent="0.25">
      <c r="A1817">
        <v>2015</v>
      </c>
      <c r="B1817">
        <v>4</v>
      </c>
      <c r="C1817" s="1" t="s">
        <v>27</v>
      </c>
      <c r="D1817" s="1" t="s">
        <v>19</v>
      </c>
      <c r="E1817" s="1" t="s">
        <v>88</v>
      </c>
      <c r="F1817">
        <v>2013</v>
      </c>
      <c r="G1817">
        <v>2</v>
      </c>
      <c r="H1817" s="1" t="s">
        <v>59</v>
      </c>
      <c r="I1817">
        <v>24</v>
      </c>
      <c r="J1817">
        <v>3271</v>
      </c>
      <c r="K1817" s="1" t="s">
        <v>89</v>
      </c>
      <c r="L1817" s="1" t="s">
        <v>45</v>
      </c>
      <c r="M1817">
        <v>0</v>
      </c>
      <c r="N1817">
        <v>0</v>
      </c>
      <c r="O1817">
        <v>0</v>
      </c>
      <c r="P1817" s="2">
        <v>42095</v>
      </c>
      <c r="Q1817">
        <v>0</v>
      </c>
      <c r="R1817" s="1" t="s">
        <v>61</v>
      </c>
    </row>
    <row r="1818" spans="1:18" x14ac:dyDescent="0.25">
      <c r="A1818">
        <v>2015</v>
      </c>
      <c r="B1818">
        <v>5</v>
      </c>
      <c r="C1818" s="1" t="s">
        <v>28</v>
      </c>
      <c r="D1818" s="1" t="s">
        <v>19</v>
      </c>
      <c r="E1818" s="1" t="s">
        <v>88</v>
      </c>
      <c r="F1818">
        <v>2013</v>
      </c>
      <c r="G1818">
        <v>2</v>
      </c>
      <c r="H1818" s="1" t="s">
        <v>59</v>
      </c>
      <c r="I1818">
        <v>24</v>
      </c>
      <c r="J1818">
        <v>3271</v>
      </c>
      <c r="K1818" s="1" t="s">
        <v>89</v>
      </c>
      <c r="L1818" s="1" t="s">
        <v>45</v>
      </c>
      <c r="M1818">
        <v>0</v>
      </c>
      <c r="N1818">
        <v>0</v>
      </c>
      <c r="O1818">
        <v>0</v>
      </c>
      <c r="P1818" s="2">
        <v>42125</v>
      </c>
      <c r="Q1818">
        <v>0</v>
      </c>
      <c r="R1818" s="1" t="s">
        <v>61</v>
      </c>
    </row>
    <row r="1819" spans="1:18" x14ac:dyDescent="0.25">
      <c r="A1819">
        <v>2015</v>
      </c>
      <c r="B1819">
        <v>6</v>
      </c>
      <c r="C1819" s="1" t="s">
        <v>29</v>
      </c>
      <c r="D1819" s="1" t="s">
        <v>19</v>
      </c>
      <c r="E1819" s="1" t="s">
        <v>88</v>
      </c>
      <c r="F1819">
        <v>2013</v>
      </c>
      <c r="G1819">
        <v>2</v>
      </c>
      <c r="H1819" s="1" t="s">
        <v>59</v>
      </c>
      <c r="I1819">
        <v>24</v>
      </c>
      <c r="J1819">
        <v>3271</v>
      </c>
      <c r="K1819" s="1" t="s">
        <v>89</v>
      </c>
      <c r="L1819" s="1" t="s">
        <v>45</v>
      </c>
      <c r="M1819">
        <v>0</v>
      </c>
      <c r="N1819">
        <v>0</v>
      </c>
      <c r="O1819">
        <v>0</v>
      </c>
      <c r="P1819" s="2">
        <v>42156</v>
      </c>
      <c r="Q1819">
        <v>0</v>
      </c>
      <c r="R1819" s="1" t="s">
        <v>61</v>
      </c>
    </row>
    <row r="1820" spans="1:18" x14ac:dyDescent="0.25">
      <c r="A1820">
        <v>2015</v>
      </c>
      <c r="B1820">
        <v>7</v>
      </c>
      <c r="C1820" s="1" t="s">
        <v>30</v>
      </c>
      <c r="D1820" s="1" t="s">
        <v>19</v>
      </c>
      <c r="E1820" s="1" t="s">
        <v>88</v>
      </c>
      <c r="F1820">
        <v>2013</v>
      </c>
      <c r="G1820">
        <v>2</v>
      </c>
      <c r="H1820" s="1" t="s">
        <v>59</v>
      </c>
      <c r="I1820">
        <v>24</v>
      </c>
      <c r="J1820">
        <v>3271</v>
      </c>
      <c r="K1820" s="1" t="s">
        <v>89</v>
      </c>
      <c r="L1820" s="1" t="s">
        <v>45</v>
      </c>
      <c r="M1820">
        <v>0</v>
      </c>
      <c r="N1820">
        <v>0</v>
      </c>
      <c r="O1820">
        <v>0</v>
      </c>
      <c r="P1820" s="2">
        <v>42186</v>
      </c>
      <c r="Q1820">
        <v>0</v>
      </c>
      <c r="R1820" s="1" t="s">
        <v>61</v>
      </c>
    </row>
    <row r="1821" spans="1:18" x14ac:dyDescent="0.25">
      <c r="A1821">
        <v>2015</v>
      </c>
      <c r="B1821">
        <v>8</v>
      </c>
      <c r="C1821" s="1" t="s">
        <v>31</v>
      </c>
      <c r="D1821" s="1" t="s">
        <v>19</v>
      </c>
      <c r="E1821" s="1" t="s">
        <v>88</v>
      </c>
      <c r="F1821">
        <v>2013</v>
      </c>
      <c r="G1821">
        <v>2</v>
      </c>
      <c r="H1821" s="1" t="s">
        <v>59</v>
      </c>
      <c r="I1821">
        <v>24</v>
      </c>
      <c r="J1821">
        <v>3271</v>
      </c>
      <c r="K1821" s="1" t="s">
        <v>89</v>
      </c>
      <c r="L1821" s="1" t="s">
        <v>45</v>
      </c>
      <c r="M1821">
        <v>0</v>
      </c>
      <c r="N1821">
        <v>0</v>
      </c>
      <c r="O1821">
        <v>0</v>
      </c>
      <c r="P1821" s="2">
        <v>42217</v>
      </c>
      <c r="Q1821">
        <v>0</v>
      </c>
      <c r="R1821" s="1" t="s">
        <v>61</v>
      </c>
    </row>
    <row r="1822" spans="1:18" x14ac:dyDescent="0.25">
      <c r="A1822">
        <v>2015</v>
      </c>
      <c r="B1822">
        <v>9</v>
      </c>
      <c r="C1822" s="1" t="s">
        <v>32</v>
      </c>
      <c r="D1822" s="1" t="s">
        <v>19</v>
      </c>
      <c r="E1822" s="1" t="s">
        <v>88</v>
      </c>
      <c r="F1822">
        <v>2013</v>
      </c>
      <c r="G1822">
        <v>2</v>
      </c>
      <c r="H1822" s="1" t="s">
        <v>59</v>
      </c>
      <c r="I1822">
        <v>24</v>
      </c>
      <c r="J1822">
        <v>3271</v>
      </c>
      <c r="K1822" s="1" t="s">
        <v>89</v>
      </c>
      <c r="L1822" s="1" t="s">
        <v>45</v>
      </c>
      <c r="M1822">
        <v>0</v>
      </c>
      <c r="N1822">
        <v>0</v>
      </c>
      <c r="O1822">
        <v>0</v>
      </c>
      <c r="P1822" s="2">
        <v>42248</v>
      </c>
      <c r="Q1822">
        <v>0</v>
      </c>
      <c r="R1822" s="1" t="s">
        <v>61</v>
      </c>
    </row>
    <row r="1823" spans="1:18" x14ac:dyDescent="0.25">
      <c r="A1823">
        <v>2015</v>
      </c>
      <c r="B1823">
        <v>10</v>
      </c>
      <c r="C1823" s="1" t="s">
        <v>33</v>
      </c>
      <c r="D1823" s="1" t="s">
        <v>19</v>
      </c>
      <c r="E1823" s="1" t="s">
        <v>88</v>
      </c>
      <c r="F1823">
        <v>2013</v>
      </c>
      <c r="G1823">
        <v>2</v>
      </c>
      <c r="H1823" s="1" t="s">
        <v>59</v>
      </c>
      <c r="I1823">
        <v>24</v>
      </c>
      <c r="J1823">
        <v>3271</v>
      </c>
      <c r="K1823" s="1" t="s">
        <v>89</v>
      </c>
      <c r="L1823" s="1" t="s">
        <v>45</v>
      </c>
      <c r="M1823">
        <v>0</v>
      </c>
      <c r="N1823">
        <v>0</v>
      </c>
      <c r="O1823">
        <v>0</v>
      </c>
      <c r="P1823" s="2">
        <v>42278</v>
      </c>
      <c r="Q1823">
        <v>0</v>
      </c>
      <c r="R1823" s="1" t="s">
        <v>61</v>
      </c>
    </row>
    <row r="1824" spans="1:18" x14ac:dyDescent="0.25">
      <c r="A1824">
        <v>2015</v>
      </c>
      <c r="B1824">
        <v>11</v>
      </c>
      <c r="C1824" s="1" t="s">
        <v>34</v>
      </c>
      <c r="D1824" s="1" t="s">
        <v>19</v>
      </c>
      <c r="E1824" s="1" t="s">
        <v>88</v>
      </c>
      <c r="F1824">
        <v>2013</v>
      </c>
      <c r="G1824">
        <v>2</v>
      </c>
      <c r="H1824" s="1" t="s">
        <v>59</v>
      </c>
      <c r="I1824">
        <v>24</v>
      </c>
      <c r="J1824">
        <v>3271</v>
      </c>
      <c r="K1824" s="1" t="s">
        <v>89</v>
      </c>
      <c r="L1824" s="1" t="s">
        <v>45</v>
      </c>
      <c r="M1824">
        <v>0</v>
      </c>
      <c r="N1824">
        <v>0</v>
      </c>
      <c r="O1824">
        <v>0</v>
      </c>
      <c r="P1824" s="2">
        <v>42309</v>
      </c>
      <c r="Q1824">
        <v>0</v>
      </c>
      <c r="R1824" s="1" t="s">
        <v>61</v>
      </c>
    </row>
    <row r="1825" spans="1:18" x14ac:dyDescent="0.25">
      <c r="A1825">
        <v>2015</v>
      </c>
      <c r="B1825">
        <v>12</v>
      </c>
      <c r="C1825" s="1" t="s">
        <v>35</v>
      </c>
      <c r="D1825" s="1" t="s">
        <v>19</v>
      </c>
      <c r="E1825" s="1" t="s">
        <v>88</v>
      </c>
      <c r="F1825">
        <v>2013</v>
      </c>
      <c r="G1825">
        <v>2</v>
      </c>
      <c r="H1825" s="1" t="s">
        <v>59</v>
      </c>
      <c r="I1825">
        <v>24</v>
      </c>
      <c r="J1825">
        <v>3271</v>
      </c>
      <c r="K1825" s="1" t="s">
        <v>89</v>
      </c>
      <c r="L1825" s="1" t="s">
        <v>45</v>
      </c>
      <c r="M1825">
        <v>0</v>
      </c>
      <c r="N1825">
        <v>0</v>
      </c>
      <c r="O1825">
        <v>0</v>
      </c>
      <c r="P1825" s="2">
        <v>42339</v>
      </c>
      <c r="Q1825">
        <v>0</v>
      </c>
      <c r="R1825" s="1" t="s">
        <v>61</v>
      </c>
    </row>
    <row r="1826" spans="1:18" x14ac:dyDescent="0.25">
      <c r="A1826">
        <v>2015</v>
      </c>
      <c r="B1826">
        <v>1</v>
      </c>
      <c r="C1826" s="1" t="s">
        <v>18</v>
      </c>
      <c r="D1826" s="1" t="s">
        <v>19</v>
      </c>
      <c r="E1826" s="1" t="s">
        <v>90</v>
      </c>
      <c r="F1826">
        <v>2013</v>
      </c>
      <c r="G1826">
        <v>2</v>
      </c>
      <c r="H1826" s="1" t="s">
        <v>59</v>
      </c>
      <c r="I1826">
        <v>25</v>
      </c>
      <c r="J1826">
        <v>3291</v>
      </c>
      <c r="K1826" s="1" t="s">
        <v>91</v>
      </c>
      <c r="L1826" s="1" t="s">
        <v>45</v>
      </c>
      <c r="M1826">
        <v>0</v>
      </c>
      <c r="N1826">
        <v>0</v>
      </c>
      <c r="O1826">
        <v>0</v>
      </c>
      <c r="P1826" s="2">
        <v>42005</v>
      </c>
      <c r="Q1826">
        <v>0</v>
      </c>
      <c r="R1826" s="1" t="s">
        <v>61</v>
      </c>
    </row>
    <row r="1827" spans="1:18" x14ac:dyDescent="0.25">
      <c r="A1827">
        <v>2015</v>
      </c>
      <c r="B1827">
        <v>2</v>
      </c>
      <c r="C1827" s="1" t="s">
        <v>25</v>
      </c>
      <c r="D1827" s="1" t="s">
        <v>19</v>
      </c>
      <c r="E1827" s="1" t="s">
        <v>90</v>
      </c>
      <c r="F1827">
        <v>2013</v>
      </c>
      <c r="G1827">
        <v>2</v>
      </c>
      <c r="H1827" s="1" t="s">
        <v>59</v>
      </c>
      <c r="I1827">
        <v>25</v>
      </c>
      <c r="J1827">
        <v>3291</v>
      </c>
      <c r="K1827" s="1" t="s">
        <v>91</v>
      </c>
      <c r="L1827" s="1" t="s">
        <v>45</v>
      </c>
      <c r="M1827">
        <v>0</v>
      </c>
      <c r="N1827">
        <v>0</v>
      </c>
      <c r="O1827">
        <v>0</v>
      </c>
      <c r="P1827" s="2">
        <v>42036</v>
      </c>
      <c r="Q1827">
        <v>0</v>
      </c>
      <c r="R1827" s="1" t="s">
        <v>61</v>
      </c>
    </row>
    <row r="1828" spans="1:18" x14ac:dyDescent="0.25">
      <c r="A1828">
        <v>2015</v>
      </c>
      <c r="B1828">
        <v>3</v>
      </c>
      <c r="C1828" s="1" t="s">
        <v>26</v>
      </c>
      <c r="D1828" s="1" t="s">
        <v>19</v>
      </c>
      <c r="E1828" s="1" t="s">
        <v>90</v>
      </c>
      <c r="F1828">
        <v>2013</v>
      </c>
      <c r="G1828">
        <v>2</v>
      </c>
      <c r="H1828" s="1" t="s">
        <v>59</v>
      </c>
      <c r="I1828">
        <v>25</v>
      </c>
      <c r="J1828">
        <v>3291</v>
      </c>
      <c r="K1828" s="1" t="s">
        <v>91</v>
      </c>
      <c r="L1828" s="1" t="s">
        <v>45</v>
      </c>
      <c r="M1828">
        <v>0</v>
      </c>
      <c r="N1828">
        <v>0</v>
      </c>
      <c r="O1828">
        <v>0</v>
      </c>
      <c r="P1828" s="2">
        <v>42064</v>
      </c>
      <c r="Q1828">
        <v>0</v>
      </c>
      <c r="R1828" s="1" t="s">
        <v>61</v>
      </c>
    </row>
    <row r="1829" spans="1:18" x14ac:dyDescent="0.25">
      <c r="A1829">
        <v>2015</v>
      </c>
      <c r="B1829">
        <v>4</v>
      </c>
      <c r="C1829" s="1" t="s">
        <v>27</v>
      </c>
      <c r="D1829" s="1" t="s">
        <v>19</v>
      </c>
      <c r="E1829" s="1" t="s">
        <v>90</v>
      </c>
      <c r="F1829">
        <v>2013</v>
      </c>
      <c r="G1829">
        <v>2</v>
      </c>
      <c r="H1829" s="1" t="s">
        <v>59</v>
      </c>
      <c r="I1829">
        <v>25</v>
      </c>
      <c r="J1829">
        <v>3291</v>
      </c>
      <c r="K1829" s="1" t="s">
        <v>91</v>
      </c>
      <c r="L1829" s="1" t="s">
        <v>45</v>
      </c>
      <c r="M1829">
        <v>0</v>
      </c>
      <c r="N1829">
        <v>0</v>
      </c>
      <c r="O1829">
        <v>0</v>
      </c>
      <c r="P1829" s="2">
        <v>42095</v>
      </c>
      <c r="Q1829">
        <v>0</v>
      </c>
      <c r="R1829" s="1" t="s">
        <v>61</v>
      </c>
    </row>
    <row r="1830" spans="1:18" x14ac:dyDescent="0.25">
      <c r="A1830">
        <v>2015</v>
      </c>
      <c r="B1830">
        <v>5</v>
      </c>
      <c r="C1830" s="1" t="s">
        <v>28</v>
      </c>
      <c r="D1830" s="1" t="s">
        <v>19</v>
      </c>
      <c r="E1830" s="1" t="s">
        <v>90</v>
      </c>
      <c r="F1830">
        <v>2013</v>
      </c>
      <c r="G1830">
        <v>2</v>
      </c>
      <c r="H1830" s="1" t="s">
        <v>59</v>
      </c>
      <c r="I1830">
        <v>25</v>
      </c>
      <c r="J1830">
        <v>3291</v>
      </c>
      <c r="K1830" s="1" t="s">
        <v>91</v>
      </c>
      <c r="L1830" s="1" t="s">
        <v>45</v>
      </c>
      <c r="M1830">
        <v>0</v>
      </c>
      <c r="N1830">
        <v>0</v>
      </c>
      <c r="O1830">
        <v>0</v>
      </c>
      <c r="P1830" s="2">
        <v>42125</v>
      </c>
      <c r="Q1830">
        <v>0</v>
      </c>
      <c r="R1830" s="1" t="s">
        <v>61</v>
      </c>
    </row>
    <row r="1831" spans="1:18" x14ac:dyDescent="0.25">
      <c r="A1831">
        <v>2015</v>
      </c>
      <c r="B1831">
        <v>6</v>
      </c>
      <c r="C1831" s="1" t="s">
        <v>29</v>
      </c>
      <c r="D1831" s="1" t="s">
        <v>19</v>
      </c>
      <c r="E1831" s="1" t="s">
        <v>90</v>
      </c>
      <c r="F1831">
        <v>2013</v>
      </c>
      <c r="G1831">
        <v>2</v>
      </c>
      <c r="H1831" s="1" t="s">
        <v>59</v>
      </c>
      <c r="I1831">
        <v>25</v>
      </c>
      <c r="J1831">
        <v>3291</v>
      </c>
      <c r="K1831" s="1" t="s">
        <v>91</v>
      </c>
      <c r="L1831" s="1" t="s">
        <v>45</v>
      </c>
      <c r="M1831">
        <v>0</v>
      </c>
      <c r="N1831">
        <v>0</v>
      </c>
      <c r="O1831">
        <v>0</v>
      </c>
      <c r="P1831" s="2">
        <v>42156</v>
      </c>
      <c r="Q1831">
        <v>0</v>
      </c>
      <c r="R1831" s="1" t="s">
        <v>61</v>
      </c>
    </row>
    <row r="1832" spans="1:18" x14ac:dyDescent="0.25">
      <c r="A1832">
        <v>2015</v>
      </c>
      <c r="B1832">
        <v>7</v>
      </c>
      <c r="C1832" s="1" t="s">
        <v>30</v>
      </c>
      <c r="D1832" s="1" t="s">
        <v>19</v>
      </c>
      <c r="E1832" s="1" t="s">
        <v>90</v>
      </c>
      <c r="F1832">
        <v>2013</v>
      </c>
      <c r="G1832">
        <v>2</v>
      </c>
      <c r="H1832" s="1" t="s">
        <v>59</v>
      </c>
      <c r="I1832">
        <v>25</v>
      </c>
      <c r="J1832">
        <v>3291</v>
      </c>
      <c r="K1832" s="1" t="s">
        <v>91</v>
      </c>
      <c r="L1832" s="1" t="s">
        <v>45</v>
      </c>
      <c r="M1832">
        <v>0</v>
      </c>
      <c r="N1832">
        <v>0</v>
      </c>
      <c r="O1832">
        <v>0</v>
      </c>
      <c r="P1832" s="2">
        <v>42186</v>
      </c>
      <c r="Q1832">
        <v>0</v>
      </c>
      <c r="R1832" s="1" t="s">
        <v>61</v>
      </c>
    </row>
    <row r="1833" spans="1:18" x14ac:dyDescent="0.25">
      <c r="A1833">
        <v>2015</v>
      </c>
      <c r="B1833">
        <v>8</v>
      </c>
      <c r="C1833" s="1" t="s">
        <v>31</v>
      </c>
      <c r="D1833" s="1" t="s">
        <v>19</v>
      </c>
      <c r="E1833" s="1" t="s">
        <v>90</v>
      </c>
      <c r="F1833">
        <v>2013</v>
      </c>
      <c r="G1833">
        <v>2</v>
      </c>
      <c r="H1833" s="1" t="s">
        <v>59</v>
      </c>
      <c r="I1833">
        <v>25</v>
      </c>
      <c r="J1833">
        <v>3291</v>
      </c>
      <c r="K1833" s="1" t="s">
        <v>91</v>
      </c>
      <c r="L1833" s="1" t="s">
        <v>45</v>
      </c>
      <c r="M1833">
        <v>0</v>
      </c>
      <c r="N1833">
        <v>0</v>
      </c>
      <c r="O1833">
        <v>0</v>
      </c>
      <c r="P1833" s="2">
        <v>42217</v>
      </c>
      <c r="Q1833">
        <v>0</v>
      </c>
      <c r="R1833" s="1" t="s">
        <v>61</v>
      </c>
    </row>
    <row r="1834" spans="1:18" x14ac:dyDescent="0.25">
      <c r="A1834">
        <v>2015</v>
      </c>
      <c r="B1834">
        <v>9</v>
      </c>
      <c r="C1834" s="1" t="s">
        <v>32</v>
      </c>
      <c r="D1834" s="1" t="s">
        <v>19</v>
      </c>
      <c r="E1834" s="1" t="s">
        <v>90</v>
      </c>
      <c r="F1834">
        <v>2013</v>
      </c>
      <c r="G1834">
        <v>2</v>
      </c>
      <c r="H1834" s="1" t="s">
        <v>59</v>
      </c>
      <c r="I1834">
        <v>25</v>
      </c>
      <c r="J1834">
        <v>3291</v>
      </c>
      <c r="K1834" s="1" t="s">
        <v>91</v>
      </c>
      <c r="L1834" s="1" t="s">
        <v>45</v>
      </c>
      <c r="M1834">
        <v>0</v>
      </c>
      <c r="N1834">
        <v>0</v>
      </c>
      <c r="O1834">
        <v>0</v>
      </c>
      <c r="P1834" s="2">
        <v>42248</v>
      </c>
      <c r="Q1834">
        <v>0</v>
      </c>
      <c r="R1834" s="1" t="s">
        <v>61</v>
      </c>
    </row>
    <row r="1835" spans="1:18" x14ac:dyDescent="0.25">
      <c r="A1835">
        <v>2015</v>
      </c>
      <c r="B1835">
        <v>10</v>
      </c>
      <c r="C1835" s="1" t="s">
        <v>33</v>
      </c>
      <c r="D1835" s="1" t="s">
        <v>19</v>
      </c>
      <c r="E1835" s="1" t="s">
        <v>90</v>
      </c>
      <c r="F1835">
        <v>2013</v>
      </c>
      <c r="G1835">
        <v>2</v>
      </c>
      <c r="H1835" s="1" t="s">
        <v>59</v>
      </c>
      <c r="I1835">
        <v>25</v>
      </c>
      <c r="J1835">
        <v>3291</v>
      </c>
      <c r="K1835" s="1" t="s">
        <v>91</v>
      </c>
      <c r="L1835" s="1" t="s">
        <v>45</v>
      </c>
      <c r="M1835">
        <v>0</v>
      </c>
      <c r="N1835">
        <v>0</v>
      </c>
      <c r="O1835">
        <v>0</v>
      </c>
      <c r="P1835" s="2">
        <v>42278</v>
      </c>
      <c r="Q1835">
        <v>0</v>
      </c>
      <c r="R1835" s="1" t="s">
        <v>61</v>
      </c>
    </row>
    <row r="1836" spans="1:18" x14ac:dyDescent="0.25">
      <c r="A1836">
        <v>2015</v>
      </c>
      <c r="B1836">
        <v>11</v>
      </c>
      <c r="C1836" s="1" t="s">
        <v>34</v>
      </c>
      <c r="D1836" s="1" t="s">
        <v>19</v>
      </c>
      <c r="E1836" s="1" t="s">
        <v>90</v>
      </c>
      <c r="F1836">
        <v>2013</v>
      </c>
      <c r="G1836">
        <v>2</v>
      </c>
      <c r="H1836" s="1" t="s">
        <v>59</v>
      </c>
      <c r="I1836">
        <v>25</v>
      </c>
      <c r="J1836">
        <v>3291</v>
      </c>
      <c r="K1836" s="1" t="s">
        <v>91</v>
      </c>
      <c r="L1836" s="1" t="s">
        <v>45</v>
      </c>
      <c r="M1836">
        <v>0</v>
      </c>
      <c r="N1836">
        <v>0</v>
      </c>
      <c r="O1836">
        <v>0</v>
      </c>
      <c r="P1836" s="2">
        <v>42309</v>
      </c>
      <c r="Q1836">
        <v>0</v>
      </c>
      <c r="R1836" s="1" t="s">
        <v>61</v>
      </c>
    </row>
    <row r="1837" spans="1:18" x14ac:dyDescent="0.25">
      <c r="A1837">
        <v>2015</v>
      </c>
      <c r="B1837">
        <v>12</v>
      </c>
      <c r="C1837" s="1" t="s">
        <v>35</v>
      </c>
      <c r="D1837" s="1" t="s">
        <v>19</v>
      </c>
      <c r="E1837" s="1" t="s">
        <v>90</v>
      </c>
      <c r="F1837">
        <v>2013</v>
      </c>
      <c r="G1837">
        <v>2</v>
      </c>
      <c r="H1837" s="1" t="s">
        <v>59</v>
      </c>
      <c r="I1837">
        <v>25</v>
      </c>
      <c r="J1837">
        <v>3291</v>
      </c>
      <c r="K1837" s="1" t="s">
        <v>91</v>
      </c>
      <c r="L1837" s="1" t="s">
        <v>45</v>
      </c>
      <c r="M1837">
        <v>0</v>
      </c>
      <c r="N1837">
        <v>0</v>
      </c>
      <c r="O1837">
        <v>0</v>
      </c>
      <c r="P1837" s="2">
        <v>42339</v>
      </c>
      <c r="Q1837">
        <v>0</v>
      </c>
      <c r="R1837" s="1" t="s">
        <v>61</v>
      </c>
    </row>
    <row r="1838" spans="1:18" x14ac:dyDescent="0.25">
      <c r="A1838">
        <v>2015</v>
      </c>
      <c r="B1838">
        <v>1</v>
      </c>
      <c r="C1838" s="1" t="s">
        <v>18</v>
      </c>
      <c r="D1838" s="1" t="s">
        <v>19</v>
      </c>
      <c r="E1838" s="1" t="s">
        <v>92</v>
      </c>
      <c r="F1838">
        <v>2014</v>
      </c>
      <c r="G1838">
        <v>1</v>
      </c>
      <c r="H1838" s="1" t="s">
        <v>59</v>
      </c>
      <c r="I1838">
        <v>24</v>
      </c>
      <c r="J1838">
        <v>2208</v>
      </c>
      <c r="K1838" s="1" t="s">
        <v>93</v>
      </c>
      <c r="L1838" s="1" t="s">
        <v>45</v>
      </c>
      <c r="M1838">
        <v>0</v>
      </c>
      <c r="N1838">
        <v>0</v>
      </c>
      <c r="O1838">
        <v>0</v>
      </c>
      <c r="P1838" s="2">
        <v>42005</v>
      </c>
      <c r="Q1838">
        <v>0</v>
      </c>
      <c r="R1838" s="1" t="s">
        <v>61</v>
      </c>
    </row>
    <row r="1839" spans="1:18" x14ac:dyDescent="0.25">
      <c r="A1839">
        <v>2015</v>
      </c>
      <c r="B1839">
        <v>2</v>
      </c>
      <c r="C1839" s="1" t="s">
        <v>25</v>
      </c>
      <c r="D1839" s="1" t="s">
        <v>19</v>
      </c>
      <c r="E1839" s="1" t="s">
        <v>92</v>
      </c>
      <c r="F1839">
        <v>2014</v>
      </c>
      <c r="G1839">
        <v>1</v>
      </c>
      <c r="H1839" s="1" t="s">
        <v>59</v>
      </c>
      <c r="I1839">
        <v>24</v>
      </c>
      <c r="J1839">
        <v>2208</v>
      </c>
      <c r="K1839" s="1" t="s">
        <v>93</v>
      </c>
      <c r="L1839" s="1" t="s">
        <v>45</v>
      </c>
      <c r="M1839">
        <v>0</v>
      </c>
      <c r="N1839">
        <v>0</v>
      </c>
      <c r="O1839">
        <v>0</v>
      </c>
      <c r="P1839" s="2">
        <v>42036</v>
      </c>
      <c r="Q1839">
        <v>0</v>
      </c>
      <c r="R1839" s="1" t="s">
        <v>61</v>
      </c>
    </row>
    <row r="1840" spans="1:18" x14ac:dyDescent="0.25">
      <c r="A1840">
        <v>2015</v>
      </c>
      <c r="B1840">
        <v>3</v>
      </c>
      <c r="C1840" s="1" t="s">
        <v>26</v>
      </c>
      <c r="D1840" s="1" t="s">
        <v>19</v>
      </c>
      <c r="E1840" s="1" t="s">
        <v>92</v>
      </c>
      <c r="F1840">
        <v>2014</v>
      </c>
      <c r="G1840">
        <v>1</v>
      </c>
      <c r="H1840" s="1" t="s">
        <v>59</v>
      </c>
      <c r="I1840">
        <v>24</v>
      </c>
      <c r="J1840">
        <v>2208</v>
      </c>
      <c r="K1840" s="1" t="s">
        <v>93</v>
      </c>
      <c r="L1840" s="1" t="s">
        <v>45</v>
      </c>
      <c r="M1840">
        <v>0</v>
      </c>
      <c r="N1840">
        <v>0</v>
      </c>
      <c r="O1840">
        <v>0</v>
      </c>
      <c r="P1840" s="2">
        <v>42064</v>
      </c>
      <c r="Q1840">
        <v>0</v>
      </c>
      <c r="R1840" s="1" t="s">
        <v>61</v>
      </c>
    </row>
    <row r="1841" spans="1:18" x14ac:dyDescent="0.25">
      <c r="A1841">
        <v>2015</v>
      </c>
      <c r="B1841">
        <v>4</v>
      </c>
      <c r="C1841" s="1" t="s">
        <v>27</v>
      </c>
      <c r="D1841" s="1" t="s">
        <v>19</v>
      </c>
      <c r="E1841" s="1" t="s">
        <v>92</v>
      </c>
      <c r="F1841">
        <v>2014</v>
      </c>
      <c r="G1841">
        <v>1</v>
      </c>
      <c r="H1841" s="1" t="s">
        <v>59</v>
      </c>
      <c r="I1841">
        <v>24</v>
      </c>
      <c r="J1841">
        <v>2208</v>
      </c>
      <c r="K1841" s="1" t="s">
        <v>93</v>
      </c>
      <c r="L1841" s="1" t="s">
        <v>45</v>
      </c>
      <c r="M1841">
        <v>0</v>
      </c>
      <c r="N1841">
        <v>0</v>
      </c>
      <c r="O1841">
        <v>0</v>
      </c>
      <c r="P1841" s="2">
        <v>42095</v>
      </c>
      <c r="Q1841">
        <v>0</v>
      </c>
      <c r="R1841" s="1" t="s">
        <v>61</v>
      </c>
    </row>
    <row r="1842" spans="1:18" x14ac:dyDescent="0.25">
      <c r="A1842">
        <v>2015</v>
      </c>
      <c r="B1842">
        <v>5</v>
      </c>
      <c r="C1842" s="1" t="s">
        <v>28</v>
      </c>
      <c r="D1842" s="1" t="s">
        <v>19</v>
      </c>
      <c r="E1842" s="1" t="s">
        <v>92</v>
      </c>
      <c r="F1842">
        <v>2014</v>
      </c>
      <c r="G1842">
        <v>1</v>
      </c>
      <c r="H1842" s="1" t="s">
        <v>59</v>
      </c>
      <c r="I1842">
        <v>24</v>
      </c>
      <c r="J1842">
        <v>2208</v>
      </c>
      <c r="K1842" s="1" t="s">
        <v>93</v>
      </c>
      <c r="L1842" s="1" t="s">
        <v>45</v>
      </c>
      <c r="M1842">
        <v>0</v>
      </c>
      <c r="N1842">
        <v>0</v>
      </c>
      <c r="O1842">
        <v>0</v>
      </c>
      <c r="P1842" s="2">
        <v>42125</v>
      </c>
      <c r="Q1842">
        <v>0</v>
      </c>
      <c r="R1842" s="1" t="s">
        <v>61</v>
      </c>
    </row>
    <row r="1843" spans="1:18" x14ac:dyDescent="0.25">
      <c r="A1843">
        <v>2015</v>
      </c>
      <c r="B1843">
        <v>6</v>
      </c>
      <c r="C1843" s="1" t="s">
        <v>29</v>
      </c>
      <c r="D1843" s="1" t="s">
        <v>19</v>
      </c>
      <c r="E1843" s="1" t="s">
        <v>92</v>
      </c>
      <c r="F1843">
        <v>2014</v>
      </c>
      <c r="G1843">
        <v>1</v>
      </c>
      <c r="H1843" s="1" t="s">
        <v>59</v>
      </c>
      <c r="I1843">
        <v>24</v>
      </c>
      <c r="J1843">
        <v>2208</v>
      </c>
      <c r="K1843" s="1" t="s">
        <v>93</v>
      </c>
      <c r="L1843" s="1" t="s">
        <v>45</v>
      </c>
      <c r="M1843">
        <v>0</v>
      </c>
      <c r="N1843">
        <v>0</v>
      </c>
      <c r="O1843">
        <v>0</v>
      </c>
      <c r="P1843" s="2">
        <v>42156</v>
      </c>
      <c r="Q1843">
        <v>0</v>
      </c>
      <c r="R1843" s="1" t="s">
        <v>61</v>
      </c>
    </row>
    <row r="1844" spans="1:18" x14ac:dyDescent="0.25">
      <c r="A1844">
        <v>2015</v>
      </c>
      <c r="B1844">
        <v>7</v>
      </c>
      <c r="C1844" s="1" t="s">
        <v>30</v>
      </c>
      <c r="D1844" s="1" t="s">
        <v>19</v>
      </c>
      <c r="E1844" s="1" t="s">
        <v>92</v>
      </c>
      <c r="F1844">
        <v>2014</v>
      </c>
      <c r="G1844">
        <v>1</v>
      </c>
      <c r="H1844" s="1" t="s">
        <v>59</v>
      </c>
      <c r="I1844">
        <v>24</v>
      </c>
      <c r="J1844">
        <v>2208</v>
      </c>
      <c r="K1844" s="1" t="s">
        <v>93</v>
      </c>
      <c r="L1844" s="1" t="s">
        <v>45</v>
      </c>
      <c r="M1844">
        <v>0</v>
      </c>
      <c r="N1844">
        <v>0</v>
      </c>
      <c r="O1844">
        <v>0</v>
      </c>
      <c r="P1844" s="2">
        <v>42186</v>
      </c>
      <c r="Q1844">
        <v>0</v>
      </c>
      <c r="R1844" s="1" t="s">
        <v>61</v>
      </c>
    </row>
    <row r="1845" spans="1:18" x14ac:dyDescent="0.25">
      <c r="A1845">
        <v>2015</v>
      </c>
      <c r="B1845">
        <v>8</v>
      </c>
      <c r="C1845" s="1" t="s">
        <v>31</v>
      </c>
      <c r="D1845" s="1" t="s">
        <v>19</v>
      </c>
      <c r="E1845" s="1" t="s">
        <v>92</v>
      </c>
      <c r="F1845">
        <v>2014</v>
      </c>
      <c r="G1845">
        <v>1</v>
      </c>
      <c r="H1845" s="1" t="s">
        <v>59</v>
      </c>
      <c r="I1845">
        <v>24</v>
      </c>
      <c r="J1845">
        <v>2208</v>
      </c>
      <c r="K1845" s="1" t="s">
        <v>93</v>
      </c>
      <c r="L1845" s="1" t="s">
        <v>45</v>
      </c>
      <c r="M1845">
        <v>0</v>
      </c>
      <c r="N1845">
        <v>0</v>
      </c>
      <c r="O1845">
        <v>0</v>
      </c>
      <c r="P1845" s="2">
        <v>42217</v>
      </c>
      <c r="Q1845">
        <v>0</v>
      </c>
      <c r="R1845" s="1" t="s">
        <v>61</v>
      </c>
    </row>
    <row r="1846" spans="1:18" x14ac:dyDescent="0.25">
      <c r="A1846">
        <v>2015</v>
      </c>
      <c r="B1846">
        <v>9</v>
      </c>
      <c r="C1846" s="1" t="s">
        <v>32</v>
      </c>
      <c r="D1846" s="1" t="s">
        <v>19</v>
      </c>
      <c r="E1846" s="1" t="s">
        <v>92</v>
      </c>
      <c r="F1846">
        <v>2014</v>
      </c>
      <c r="G1846">
        <v>1</v>
      </c>
      <c r="H1846" s="1" t="s">
        <v>59</v>
      </c>
      <c r="I1846">
        <v>24</v>
      </c>
      <c r="J1846">
        <v>2208</v>
      </c>
      <c r="K1846" s="1" t="s">
        <v>93</v>
      </c>
      <c r="L1846" s="1" t="s">
        <v>45</v>
      </c>
      <c r="M1846">
        <v>0</v>
      </c>
      <c r="N1846">
        <v>0</v>
      </c>
      <c r="O1846">
        <v>0</v>
      </c>
      <c r="P1846" s="2">
        <v>42248</v>
      </c>
      <c r="Q1846">
        <v>0</v>
      </c>
      <c r="R1846" s="1" t="s">
        <v>61</v>
      </c>
    </row>
    <row r="1847" spans="1:18" x14ac:dyDescent="0.25">
      <c r="A1847">
        <v>2015</v>
      </c>
      <c r="B1847">
        <v>10</v>
      </c>
      <c r="C1847" s="1" t="s">
        <v>33</v>
      </c>
      <c r="D1847" s="1" t="s">
        <v>19</v>
      </c>
      <c r="E1847" s="1" t="s">
        <v>92</v>
      </c>
      <c r="F1847">
        <v>2014</v>
      </c>
      <c r="G1847">
        <v>1</v>
      </c>
      <c r="H1847" s="1" t="s">
        <v>59</v>
      </c>
      <c r="I1847">
        <v>24</v>
      </c>
      <c r="J1847">
        <v>2208</v>
      </c>
      <c r="K1847" s="1" t="s">
        <v>93</v>
      </c>
      <c r="L1847" s="1" t="s">
        <v>45</v>
      </c>
      <c r="M1847">
        <v>0</v>
      </c>
      <c r="N1847">
        <v>0</v>
      </c>
      <c r="O1847">
        <v>0</v>
      </c>
      <c r="P1847" s="2">
        <v>42278</v>
      </c>
      <c r="Q1847">
        <v>0</v>
      </c>
      <c r="R1847" s="1" t="s">
        <v>61</v>
      </c>
    </row>
    <row r="1848" spans="1:18" x14ac:dyDescent="0.25">
      <c r="A1848">
        <v>2015</v>
      </c>
      <c r="B1848">
        <v>11</v>
      </c>
      <c r="C1848" s="1" t="s">
        <v>34</v>
      </c>
      <c r="D1848" s="1" t="s">
        <v>19</v>
      </c>
      <c r="E1848" s="1" t="s">
        <v>92</v>
      </c>
      <c r="F1848">
        <v>2014</v>
      </c>
      <c r="G1848">
        <v>1</v>
      </c>
      <c r="H1848" s="1" t="s">
        <v>59</v>
      </c>
      <c r="I1848">
        <v>24</v>
      </c>
      <c r="J1848">
        <v>2208</v>
      </c>
      <c r="K1848" s="1" t="s">
        <v>93</v>
      </c>
      <c r="L1848" s="1" t="s">
        <v>45</v>
      </c>
      <c r="M1848">
        <v>0</v>
      </c>
      <c r="N1848">
        <v>0</v>
      </c>
      <c r="O1848">
        <v>0</v>
      </c>
      <c r="P1848" s="2">
        <v>42309</v>
      </c>
      <c r="Q1848">
        <v>0</v>
      </c>
      <c r="R1848" s="1" t="s">
        <v>61</v>
      </c>
    </row>
    <row r="1849" spans="1:18" x14ac:dyDescent="0.25">
      <c r="A1849">
        <v>2015</v>
      </c>
      <c r="B1849">
        <v>12</v>
      </c>
      <c r="C1849" s="1" t="s">
        <v>35</v>
      </c>
      <c r="D1849" s="1" t="s">
        <v>19</v>
      </c>
      <c r="E1849" s="1" t="s">
        <v>92</v>
      </c>
      <c r="F1849">
        <v>2014</v>
      </c>
      <c r="G1849">
        <v>1</v>
      </c>
      <c r="H1849" s="1" t="s">
        <v>59</v>
      </c>
      <c r="I1849">
        <v>24</v>
      </c>
      <c r="J1849">
        <v>2208</v>
      </c>
      <c r="K1849" s="1" t="s">
        <v>93</v>
      </c>
      <c r="L1849" s="1" t="s">
        <v>45</v>
      </c>
      <c r="M1849">
        <v>0</v>
      </c>
      <c r="N1849">
        <v>0</v>
      </c>
      <c r="O1849">
        <v>0</v>
      </c>
      <c r="P1849" s="2">
        <v>42339</v>
      </c>
      <c r="Q1849">
        <v>0</v>
      </c>
      <c r="R1849" s="1" t="s">
        <v>61</v>
      </c>
    </row>
    <row r="1850" spans="1:18" x14ac:dyDescent="0.25">
      <c r="A1850">
        <v>2015</v>
      </c>
      <c r="B1850">
        <v>1</v>
      </c>
      <c r="C1850" s="1" t="s">
        <v>18</v>
      </c>
      <c r="D1850" s="1" t="s">
        <v>19</v>
      </c>
      <c r="E1850" s="1" t="s">
        <v>94</v>
      </c>
      <c r="F1850">
        <v>2014</v>
      </c>
      <c r="G1850">
        <v>1</v>
      </c>
      <c r="H1850" s="1" t="s">
        <v>59</v>
      </c>
      <c r="I1850">
        <v>20</v>
      </c>
      <c r="J1850">
        <v>1954</v>
      </c>
      <c r="K1850" s="1" t="s">
        <v>95</v>
      </c>
      <c r="L1850" s="1" t="s">
        <v>45</v>
      </c>
      <c r="M1850">
        <v>0</v>
      </c>
      <c r="N1850">
        <v>0</v>
      </c>
      <c r="O1850">
        <v>0</v>
      </c>
      <c r="P1850" s="2">
        <v>42005</v>
      </c>
      <c r="Q1850">
        <v>0</v>
      </c>
      <c r="R1850" s="1" t="s">
        <v>61</v>
      </c>
    </row>
    <row r="1851" spans="1:18" x14ac:dyDescent="0.25">
      <c r="A1851">
        <v>2015</v>
      </c>
      <c r="B1851">
        <v>2</v>
      </c>
      <c r="C1851" s="1" t="s">
        <v>25</v>
      </c>
      <c r="D1851" s="1" t="s">
        <v>19</v>
      </c>
      <c r="E1851" s="1" t="s">
        <v>94</v>
      </c>
      <c r="F1851">
        <v>2014</v>
      </c>
      <c r="G1851">
        <v>1</v>
      </c>
      <c r="H1851" s="1" t="s">
        <v>59</v>
      </c>
      <c r="I1851">
        <v>20</v>
      </c>
      <c r="J1851">
        <v>1954</v>
      </c>
      <c r="K1851" s="1" t="s">
        <v>95</v>
      </c>
      <c r="L1851" s="1" t="s">
        <v>45</v>
      </c>
      <c r="M1851">
        <v>0</v>
      </c>
      <c r="N1851">
        <v>0</v>
      </c>
      <c r="O1851">
        <v>0</v>
      </c>
      <c r="P1851" s="2">
        <v>42036</v>
      </c>
      <c r="Q1851">
        <v>0</v>
      </c>
      <c r="R1851" s="1" t="s">
        <v>61</v>
      </c>
    </row>
    <row r="1852" spans="1:18" x14ac:dyDescent="0.25">
      <c r="A1852">
        <v>2015</v>
      </c>
      <c r="B1852">
        <v>3</v>
      </c>
      <c r="C1852" s="1" t="s">
        <v>26</v>
      </c>
      <c r="D1852" s="1" t="s">
        <v>19</v>
      </c>
      <c r="E1852" s="1" t="s">
        <v>94</v>
      </c>
      <c r="F1852">
        <v>2014</v>
      </c>
      <c r="G1852">
        <v>1</v>
      </c>
      <c r="H1852" s="1" t="s">
        <v>59</v>
      </c>
      <c r="I1852">
        <v>20</v>
      </c>
      <c r="J1852">
        <v>1954</v>
      </c>
      <c r="K1852" s="1" t="s">
        <v>95</v>
      </c>
      <c r="L1852" s="1" t="s">
        <v>45</v>
      </c>
      <c r="M1852">
        <v>0</v>
      </c>
      <c r="N1852">
        <v>0</v>
      </c>
      <c r="O1852">
        <v>0</v>
      </c>
      <c r="P1852" s="2">
        <v>42064</v>
      </c>
      <c r="Q1852">
        <v>0</v>
      </c>
      <c r="R1852" s="1" t="s">
        <v>61</v>
      </c>
    </row>
    <row r="1853" spans="1:18" x14ac:dyDescent="0.25">
      <c r="A1853">
        <v>2015</v>
      </c>
      <c r="B1853">
        <v>4</v>
      </c>
      <c r="C1853" s="1" t="s">
        <v>27</v>
      </c>
      <c r="D1853" s="1" t="s">
        <v>19</v>
      </c>
      <c r="E1853" s="1" t="s">
        <v>94</v>
      </c>
      <c r="F1853">
        <v>2014</v>
      </c>
      <c r="G1853">
        <v>1</v>
      </c>
      <c r="H1853" s="1" t="s">
        <v>59</v>
      </c>
      <c r="I1853">
        <v>20</v>
      </c>
      <c r="J1853">
        <v>1954</v>
      </c>
      <c r="K1853" s="1" t="s">
        <v>95</v>
      </c>
      <c r="L1853" s="1" t="s">
        <v>45</v>
      </c>
      <c r="M1853">
        <v>0</v>
      </c>
      <c r="N1853">
        <v>0</v>
      </c>
      <c r="O1853">
        <v>0</v>
      </c>
      <c r="P1853" s="2">
        <v>42095</v>
      </c>
      <c r="Q1853">
        <v>0</v>
      </c>
      <c r="R1853" s="1" t="s">
        <v>61</v>
      </c>
    </row>
    <row r="1854" spans="1:18" x14ac:dyDescent="0.25">
      <c r="A1854">
        <v>2015</v>
      </c>
      <c r="B1854">
        <v>5</v>
      </c>
      <c r="C1854" s="1" t="s">
        <v>28</v>
      </c>
      <c r="D1854" s="1" t="s">
        <v>19</v>
      </c>
      <c r="E1854" s="1" t="s">
        <v>94</v>
      </c>
      <c r="F1854">
        <v>2014</v>
      </c>
      <c r="G1854">
        <v>1</v>
      </c>
      <c r="H1854" s="1" t="s">
        <v>59</v>
      </c>
      <c r="I1854">
        <v>20</v>
      </c>
      <c r="J1854">
        <v>1954</v>
      </c>
      <c r="K1854" s="1" t="s">
        <v>95</v>
      </c>
      <c r="L1854" s="1" t="s">
        <v>45</v>
      </c>
      <c r="M1854">
        <v>0</v>
      </c>
      <c r="N1854">
        <v>0</v>
      </c>
      <c r="O1854">
        <v>0</v>
      </c>
      <c r="P1854" s="2">
        <v>42125</v>
      </c>
      <c r="Q1854">
        <v>0</v>
      </c>
      <c r="R1854" s="1" t="s">
        <v>61</v>
      </c>
    </row>
    <row r="1855" spans="1:18" x14ac:dyDescent="0.25">
      <c r="A1855">
        <v>2015</v>
      </c>
      <c r="B1855">
        <v>6</v>
      </c>
      <c r="C1855" s="1" t="s">
        <v>29</v>
      </c>
      <c r="D1855" s="1" t="s">
        <v>19</v>
      </c>
      <c r="E1855" s="1" t="s">
        <v>94</v>
      </c>
      <c r="F1855">
        <v>2014</v>
      </c>
      <c r="G1855">
        <v>1</v>
      </c>
      <c r="H1855" s="1" t="s">
        <v>59</v>
      </c>
      <c r="I1855">
        <v>20</v>
      </c>
      <c r="J1855">
        <v>1954</v>
      </c>
      <c r="K1855" s="1" t="s">
        <v>95</v>
      </c>
      <c r="L1855" s="1" t="s">
        <v>45</v>
      </c>
      <c r="M1855">
        <v>0</v>
      </c>
      <c r="N1855">
        <v>0</v>
      </c>
      <c r="O1855">
        <v>0</v>
      </c>
      <c r="P1855" s="2">
        <v>42156</v>
      </c>
      <c r="Q1855">
        <v>0</v>
      </c>
      <c r="R1855" s="1" t="s">
        <v>61</v>
      </c>
    </row>
    <row r="1856" spans="1:18" x14ac:dyDescent="0.25">
      <c r="A1856">
        <v>2015</v>
      </c>
      <c r="B1856">
        <v>7</v>
      </c>
      <c r="C1856" s="1" t="s">
        <v>30</v>
      </c>
      <c r="D1856" s="1" t="s">
        <v>19</v>
      </c>
      <c r="E1856" s="1" t="s">
        <v>94</v>
      </c>
      <c r="F1856">
        <v>2014</v>
      </c>
      <c r="G1856">
        <v>1</v>
      </c>
      <c r="H1856" s="1" t="s">
        <v>59</v>
      </c>
      <c r="I1856">
        <v>20</v>
      </c>
      <c r="J1856">
        <v>1954</v>
      </c>
      <c r="K1856" s="1" t="s">
        <v>95</v>
      </c>
      <c r="L1856" s="1" t="s">
        <v>45</v>
      </c>
      <c r="M1856">
        <v>0</v>
      </c>
      <c r="N1856">
        <v>0</v>
      </c>
      <c r="O1856">
        <v>0</v>
      </c>
      <c r="P1856" s="2">
        <v>42186</v>
      </c>
      <c r="Q1856">
        <v>0</v>
      </c>
      <c r="R1856" s="1" t="s">
        <v>61</v>
      </c>
    </row>
    <row r="1857" spans="1:18" x14ac:dyDescent="0.25">
      <c r="A1857">
        <v>2015</v>
      </c>
      <c r="B1857">
        <v>8</v>
      </c>
      <c r="C1857" s="1" t="s">
        <v>31</v>
      </c>
      <c r="D1857" s="1" t="s">
        <v>19</v>
      </c>
      <c r="E1857" s="1" t="s">
        <v>94</v>
      </c>
      <c r="F1857">
        <v>2014</v>
      </c>
      <c r="G1857">
        <v>1</v>
      </c>
      <c r="H1857" s="1" t="s">
        <v>59</v>
      </c>
      <c r="I1857">
        <v>20</v>
      </c>
      <c r="J1857">
        <v>1954</v>
      </c>
      <c r="K1857" s="1" t="s">
        <v>95</v>
      </c>
      <c r="L1857" s="1" t="s">
        <v>45</v>
      </c>
      <c r="M1857">
        <v>0</v>
      </c>
      <c r="N1857">
        <v>0</v>
      </c>
      <c r="O1857">
        <v>0</v>
      </c>
      <c r="P1857" s="2">
        <v>42217</v>
      </c>
      <c r="Q1857">
        <v>0</v>
      </c>
      <c r="R1857" s="1" t="s">
        <v>61</v>
      </c>
    </row>
    <row r="1858" spans="1:18" x14ac:dyDescent="0.25">
      <c r="A1858">
        <v>2015</v>
      </c>
      <c r="B1858">
        <v>9</v>
      </c>
      <c r="C1858" s="1" t="s">
        <v>32</v>
      </c>
      <c r="D1858" s="1" t="s">
        <v>19</v>
      </c>
      <c r="E1858" s="1" t="s">
        <v>94</v>
      </c>
      <c r="F1858">
        <v>2014</v>
      </c>
      <c r="G1858">
        <v>1</v>
      </c>
      <c r="H1858" s="1" t="s">
        <v>59</v>
      </c>
      <c r="I1858">
        <v>20</v>
      </c>
      <c r="J1858">
        <v>1954</v>
      </c>
      <c r="K1858" s="1" t="s">
        <v>95</v>
      </c>
      <c r="L1858" s="1" t="s">
        <v>45</v>
      </c>
      <c r="M1858">
        <v>0</v>
      </c>
      <c r="N1858">
        <v>0</v>
      </c>
      <c r="O1858">
        <v>0</v>
      </c>
      <c r="P1858" s="2">
        <v>42248</v>
      </c>
      <c r="Q1858">
        <v>0</v>
      </c>
      <c r="R1858" s="1" t="s">
        <v>61</v>
      </c>
    </row>
    <row r="1859" spans="1:18" x14ac:dyDescent="0.25">
      <c r="A1859">
        <v>2015</v>
      </c>
      <c r="B1859">
        <v>10</v>
      </c>
      <c r="C1859" s="1" t="s">
        <v>33</v>
      </c>
      <c r="D1859" s="1" t="s">
        <v>19</v>
      </c>
      <c r="E1859" s="1" t="s">
        <v>94</v>
      </c>
      <c r="F1859">
        <v>2014</v>
      </c>
      <c r="G1859">
        <v>1</v>
      </c>
      <c r="H1859" s="1" t="s">
        <v>59</v>
      </c>
      <c r="I1859">
        <v>20</v>
      </c>
      <c r="J1859">
        <v>1954</v>
      </c>
      <c r="K1859" s="1" t="s">
        <v>95</v>
      </c>
      <c r="L1859" s="1" t="s">
        <v>45</v>
      </c>
      <c r="M1859">
        <v>0</v>
      </c>
      <c r="N1859">
        <v>0</v>
      </c>
      <c r="O1859">
        <v>0</v>
      </c>
      <c r="P1859" s="2">
        <v>42278</v>
      </c>
      <c r="Q1859">
        <v>0</v>
      </c>
      <c r="R1859" s="1" t="s">
        <v>61</v>
      </c>
    </row>
    <row r="1860" spans="1:18" x14ac:dyDescent="0.25">
      <c r="A1860">
        <v>2015</v>
      </c>
      <c r="B1860">
        <v>11</v>
      </c>
      <c r="C1860" s="1" t="s">
        <v>34</v>
      </c>
      <c r="D1860" s="1" t="s">
        <v>19</v>
      </c>
      <c r="E1860" s="1" t="s">
        <v>94</v>
      </c>
      <c r="F1860">
        <v>2014</v>
      </c>
      <c r="G1860">
        <v>1</v>
      </c>
      <c r="H1860" s="1" t="s">
        <v>59</v>
      </c>
      <c r="I1860">
        <v>20</v>
      </c>
      <c r="J1860">
        <v>1954</v>
      </c>
      <c r="K1860" s="1" t="s">
        <v>95</v>
      </c>
      <c r="L1860" s="1" t="s">
        <v>45</v>
      </c>
      <c r="M1860">
        <v>0</v>
      </c>
      <c r="N1860">
        <v>0</v>
      </c>
      <c r="O1860">
        <v>0</v>
      </c>
      <c r="P1860" s="2">
        <v>42309</v>
      </c>
      <c r="Q1860">
        <v>0</v>
      </c>
      <c r="R1860" s="1" t="s">
        <v>61</v>
      </c>
    </row>
    <row r="1861" spans="1:18" x14ac:dyDescent="0.25">
      <c r="A1861">
        <v>2015</v>
      </c>
      <c r="B1861">
        <v>12</v>
      </c>
      <c r="C1861" s="1" t="s">
        <v>35</v>
      </c>
      <c r="D1861" s="1" t="s">
        <v>19</v>
      </c>
      <c r="E1861" s="1" t="s">
        <v>94</v>
      </c>
      <c r="F1861">
        <v>2014</v>
      </c>
      <c r="G1861">
        <v>1</v>
      </c>
      <c r="H1861" s="1" t="s">
        <v>59</v>
      </c>
      <c r="I1861">
        <v>20</v>
      </c>
      <c r="J1861">
        <v>1954</v>
      </c>
      <c r="K1861" s="1" t="s">
        <v>95</v>
      </c>
      <c r="L1861" s="1" t="s">
        <v>45</v>
      </c>
      <c r="M1861">
        <v>0</v>
      </c>
      <c r="N1861">
        <v>0</v>
      </c>
      <c r="O1861">
        <v>0</v>
      </c>
      <c r="P1861" s="2">
        <v>42339</v>
      </c>
      <c r="Q1861">
        <v>0</v>
      </c>
      <c r="R1861" s="1" t="s">
        <v>61</v>
      </c>
    </row>
    <row r="1862" spans="1:18" x14ac:dyDescent="0.25">
      <c r="A1862">
        <v>2015</v>
      </c>
      <c r="B1862">
        <v>1</v>
      </c>
      <c r="C1862" s="1" t="s">
        <v>18</v>
      </c>
      <c r="D1862" s="1" t="s">
        <v>19</v>
      </c>
      <c r="E1862" s="1" t="s">
        <v>96</v>
      </c>
      <c r="F1862">
        <v>2014</v>
      </c>
      <c r="G1862">
        <v>1</v>
      </c>
      <c r="H1862" s="1" t="s">
        <v>59</v>
      </c>
      <c r="I1862">
        <v>24</v>
      </c>
      <c r="J1862">
        <v>1329</v>
      </c>
      <c r="K1862" s="1" t="s">
        <v>97</v>
      </c>
      <c r="L1862" s="1" t="s">
        <v>45</v>
      </c>
      <c r="M1862">
        <v>0</v>
      </c>
      <c r="N1862">
        <v>0</v>
      </c>
      <c r="O1862">
        <v>0</v>
      </c>
      <c r="P1862" s="2">
        <v>42005</v>
      </c>
      <c r="Q1862">
        <v>0</v>
      </c>
      <c r="R1862" s="1" t="s">
        <v>61</v>
      </c>
    </row>
    <row r="1863" spans="1:18" x14ac:dyDescent="0.25">
      <c r="A1863">
        <v>2015</v>
      </c>
      <c r="B1863">
        <v>2</v>
      </c>
      <c r="C1863" s="1" t="s">
        <v>25</v>
      </c>
      <c r="D1863" s="1" t="s">
        <v>19</v>
      </c>
      <c r="E1863" s="1" t="s">
        <v>96</v>
      </c>
      <c r="F1863">
        <v>2014</v>
      </c>
      <c r="G1863">
        <v>1</v>
      </c>
      <c r="H1863" s="1" t="s">
        <v>59</v>
      </c>
      <c r="I1863">
        <v>24</v>
      </c>
      <c r="J1863">
        <v>1329</v>
      </c>
      <c r="K1863" s="1" t="s">
        <v>97</v>
      </c>
      <c r="L1863" s="1" t="s">
        <v>45</v>
      </c>
      <c r="M1863">
        <v>0</v>
      </c>
      <c r="N1863">
        <v>0</v>
      </c>
      <c r="O1863">
        <v>0</v>
      </c>
      <c r="P1863" s="2">
        <v>42036</v>
      </c>
      <c r="Q1863">
        <v>0</v>
      </c>
      <c r="R1863" s="1" t="s">
        <v>61</v>
      </c>
    </row>
    <row r="1864" spans="1:18" x14ac:dyDescent="0.25">
      <c r="A1864">
        <v>2015</v>
      </c>
      <c r="B1864">
        <v>3</v>
      </c>
      <c r="C1864" s="1" t="s">
        <v>26</v>
      </c>
      <c r="D1864" s="1" t="s">
        <v>19</v>
      </c>
      <c r="E1864" s="1" t="s">
        <v>96</v>
      </c>
      <c r="F1864">
        <v>2014</v>
      </c>
      <c r="G1864">
        <v>1</v>
      </c>
      <c r="H1864" s="1" t="s">
        <v>59</v>
      </c>
      <c r="I1864">
        <v>24</v>
      </c>
      <c r="J1864">
        <v>1329</v>
      </c>
      <c r="K1864" s="1" t="s">
        <v>97</v>
      </c>
      <c r="L1864" s="1" t="s">
        <v>45</v>
      </c>
      <c r="M1864">
        <v>0</v>
      </c>
      <c r="N1864">
        <v>0</v>
      </c>
      <c r="O1864">
        <v>0</v>
      </c>
      <c r="P1864" s="2">
        <v>42064</v>
      </c>
      <c r="Q1864">
        <v>0</v>
      </c>
      <c r="R1864" s="1" t="s">
        <v>61</v>
      </c>
    </row>
    <row r="1865" spans="1:18" x14ac:dyDescent="0.25">
      <c r="A1865">
        <v>2015</v>
      </c>
      <c r="B1865">
        <v>4</v>
      </c>
      <c r="C1865" s="1" t="s">
        <v>27</v>
      </c>
      <c r="D1865" s="1" t="s">
        <v>19</v>
      </c>
      <c r="E1865" s="1" t="s">
        <v>96</v>
      </c>
      <c r="F1865">
        <v>2014</v>
      </c>
      <c r="G1865">
        <v>1</v>
      </c>
      <c r="H1865" s="1" t="s">
        <v>59</v>
      </c>
      <c r="I1865">
        <v>24</v>
      </c>
      <c r="J1865">
        <v>1329</v>
      </c>
      <c r="K1865" s="1" t="s">
        <v>97</v>
      </c>
      <c r="L1865" s="1" t="s">
        <v>45</v>
      </c>
      <c r="M1865">
        <v>0</v>
      </c>
      <c r="N1865">
        <v>0</v>
      </c>
      <c r="O1865">
        <v>0</v>
      </c>
      <c r="P1865" s="2">
        <v>42095</v>
      </c>
      <c r="Q1865">
        <v>0</v>
      </c>
      <c r="R1865" s="1" t="s">
        <v>61</v>
      </c>
    </row>
    <row r="1866" spans="1:18" x14ac:dyDescent="0.25">
      <c r="A1866">
        <v>2015</v>
      </c>
      <c r="B1866">
        <v>5</v>
      </c>
      <c r="C1866" s="1" t="s">
        <v>28</v>
      </c>
      <c r="D1866" s="1" t="s">
        <v>19</v>
      </c>
      <c r="E1866" s="1" t="s">
        <v>96</v>
      </c>
      <c r="F1866">
        <v>2014</v>
      </c>
      <c r="G1866">
        <v>1</v>
      </c>
      <c r="H1866" s="1" t="s">
        <v>59</v>
      </c>
      <c r="I1866">
        <v>24</v>
      </c>
      <c r="J1866">
        <v>1329</v>
      </c>
      <c r="K1866" s="1" t="s">
        <v>97</v>
      </c>
      <c r="L1866" s="1" t="s">
        <v>45</v>
      </c>
      <c r="M1866">
        <v>0</v>
      </c>
      <c r="N1866">
        <v>0</v>
      </c>
      <c r="O1866">
        <v>0</v>
      </c>
      <c r="P1866" s="2">
        <v>42125</v>
      </c>
      <c r="Q1866">
        <v>0</v>
      </c>
      <c r="R1866" s="1" t="s">
        <v>61</v>
      </c>
    </row>
    <row r="1867" spans="1:18" x14ac:dyDescent="0.25">
      <c r="A1867">
        <v>2015</v>
      </c>
      <c r="B1867">
        <v>6</v>
      </c>
      <c r="C1867" s="1" t="s">
        <v>29</v>
      </c>
      <c r="D1867" s="1" t="s">
        <v>19</v>
      </c>
      <c r="E1867" s="1" t="s">
        <v>96</v>
      </c>
      <c r="F1867">
        <v>2014</v>
      </c>
      <c r="G1867">
        <v>1</v>
      </c>
      <c r="H1867" s="1" t="s">
        <v>59</v>
      </c>
      <c r="I1867">
        <v>24</v>
      </c>
      <c r="J1867">
        <v>1329</v>
      </c>
      <c r="K1867" s="1" t="s">
        <v>97</v>
      </c>
      <c r="L1867" s="1" t="s">
        <v>45</v>
      </c>
      <c r="M1867">
        <v>0</v>
      </c>
      <c r="N1867">
        <v>0</v>
      </c>
      <c r="O1867">
        <v>0</v>
      </c>
      <c r="P1867" s="2">
        <v>42156</v>
      </c>
      <c r="Q1867">
        <v>0</v>
      </c>
      <c r="R1867" s="1" t="s">
        <v>61</v>
      </c>
    </row>
    <row r="1868" spans="1:18" x14ac:dyDescent="0.25">
      <c r="A1868">
        <v>2015</v>
      </c>
      <c r="B1868">
        <v>7</v>
      </c>
      <c r="C1868" s="1" t="s">
        <v>30</v>
      </c>
      <c r="D1868" s="1" t="s">
        <v>19</v>
      </c>
      <c r="E1868" s="1" t="s">
        <v>96</v>
      </c>
      <c r="F1868">
        <v>2014</v>
      </c>
      <c r="G1868">
        <v>1</v>
      </c>
      <c r="H1868" s="1" t="s">
        <v>59</v>
      </c>
      <c r="I1868">
        <v>24</v>
      </c>
      <c r="J1868">
        <v>1329</v>
      </c>
      <c r="K1868" s="1" t="s">
        <v>97</v>
      </c>
      <c r="L1868" s="1" t="s">
        <v>45</v>
      </c>
      <c r="M1868">
        <v>0</v>
      </c>
      <c r="N1868">
        <v>0</v>
      </c>
      <c r="O1868">
        <v>0</v>
      </c>
      <c r="P1868" s="2">
        <v>42186</v>
      </c>
      <c r="Q1868">
        <v>0</v>
      </c>
      <c r="R1868" s="1" t="s">
        <v>61</v>
      </c>
    </row>
    <row r="1869" spans="1:18" x14ac:dyDescent="0.25">
      <c r="A1869">
        <v>2015</v>
      </c>
      <c r="B1869">
        <v>8</v>
      </c>
      <c r="C1869" s="1" t="s">
        <v>31</v>
      </c>
      <c r="D1869" s="1" t="s">
        <v>19</v>
      </c>
      <c r="E1869" s="1" t="s">
        <v>96</v>
      </c>
      <c r="F1869">
        <v>2014</v>
      </c>
      <c r="G1869">
        <v>1</v>
      </c>
      <c r="H1869" s="1" t="s">
        <v>59</v>
      </c>
      <c r="I1869">
        <v>24</v>
      </c>
      <c r="J1869">
        <v>1329</v>
      </c>
      <c r="K1869" s="1" t="s">
        <v>97</v>
      </c>
      <c r="L1869" s="1" t="s">
        <v>45</v>
      </c>
      <c r="M1869">
        <v>0</v>
      </c>
      <c r="N1869">
        <v>0</v>
      </c>
      <c r="O1869">
        <v>0</v>
      </c>
      <c r="P1869" s="2">
        <v>42217</v>
      </c>
      <c r="Q1869">
        <v>0</v>
      </c>
      <c r="R1869" s="1" t="s">
        <v>61</v>
      </c>
    </row>
    <row r="1870" spans="1:18" x14ac:dyDescent="0.25">
      <c r="A1870">
        <v>2015</v>
      </c>
      <c r="B1870">
        <v>9</v>
      </c>
      <c r="C1870" s="1" t="s">
        <v>32</v>
      </c>
      <c r="D1870" s="1" t="s">
        <v>19</v>
      </c>
      <c r="E1870" s="1" t="s">
        <v>96</v>
      </c>
      <c r="F1870">
        <v>2014</v>
      </c>
      <c r="G1870">
        <v>1</v>
      </c>
      <c r="H1870" s="1" t="s">
        <v>59</v>
      </c>
      <c r="I1870">
        <v>24</v>
      </c>
      <c r="J1870">
        <v>1329</v>
      </c>
      <c r="K1870" s="1" t="s">
        <v>97</v>
      </c>
      <c r="L1870" s="1" t="s">
        <v>45</v>
      </c>
      <c r="M1870">
        <v>0</v>
      </c>
      <c r="N1870">
        <v>0</v>
      </c>
      <c r="O1870">
        <v>0</v>
      </c>
      <c r="P1870" s="2">
        <v>42248</v>
      </c>
      <c r="Q1870">
        <v>0</v>
      </c>
      <c r="R1870" s="1" t="s">
        <v>61</v>
      </c>
    </row>
    <row r="1871" spans="1:18" x14ac:dyDescent="0.25">
      <c r="A1871">
        <v>2015</v>
      </c>
      <c r="B1871">
        <v>10</v>
      </c>
      <c r="C1871" s="1" t="s">
        <v>33</v>
      </c>
      <c r="D1871" s="1" t="s">
        <v>19</v>
      </c>
      <c r="E1871" s="1" t="s">
        <v>96</v>
      </c>
      <c r="F1871">
        <v>2014</v>
      </c>
      <c r="G1871">
        <v>1</v>
      </c>
      <c r="H1871" s="1" t="s">
        <v>59</v>
      </c>
      <c r="I1871">
        <v>24</v>
      </c>
      <c r="J1871">
        <v>1329</v>
      </c>
      <c r="K1871" s="1" t="s">
        <v>97</v>
      </c>
      <c r="L1871" s="1" t="s">
        <v>45</v>
      </c>
      <c r="M1871">
        <v>0</v>
      </c>
      <c r="N1871">
        <v>0</v>
      </c>
      <c r="O1871">
        <v>0</v>
      </c>
      <c r="P1871" s="2">
        <v>42278</v>
      </c>
      <c r="Q1871">
        <v>0</v>
      </c>
      <c r="R1871" s="1" t="s">
        <v>61</v>
      </c>
    </row>
    <row r="1872" spans="1:18" x14ac:dyDescent="0.25">
      <c r="A1872">
        <v>2015</v>
      </c>
      <c r="B1872">
        <v>11</v>
      </c>
      <c r="C1872" s="1" t="s">
        <v>34</v>
      </c>
      <c r="D1872" s="1" t="s">
        <v>19</v>
      </c>
      <c r="E1872" s="1" t="s">
        <v>96</v>
      </c>
      <c r="F1872">
        <v>2014</v>
      </c>
      <c r="G1872">
        <v>1</v>
      </c>
      <c r="H1872" s="1" t="s">
        <v>59</v>
      </c>
      <c r="I1872">
        <v>24</v>
      </c>
      <c r="J1872">
        <v>1329</v>
      </c>
      <c r="K1872" s="1" t="s">
        <v>97</v>
      </c>
      <c r="L1872" s="1" t="s">
        <v>45</v>
      </c>
      <c r="M1872">
        <v>0</v>
      </c>
      <c r="N1872">
        <v>0</v>
      </c>
      <c r="O1872">
        <v>0</v>
      </c>
      <c r="P1872" s="2">
        <v>42309</v>
      </c>
      <c r="Q1872">
        <v>0</v>
      </c>
      <c r="R1872" s="1" t="s">
        <v>61</v>
      </c>
    </row>
    <row r="1873" spans="1:18" x14ac:dyDescent="0.25">
      <c r="A1873">
        <v>2015</v>
      </c>
      <c r="B1873">
        <v>12</v>
      </c>
      <c r="C1873" s="1" t="s">
        <v>35</v>
      </c>
      <c r="D1873" s="1" t="s">
        <v>19</v>
      </c>
      <c r="E1873" s="1" t="s">
        <v>96</v>
      </c>
      <c r="F1873">
        <v>2014</v>
      </c>
      <c r="G1873">
        <v>1</v>
      </c>
      <c r="H1873" s="1" t="s">
        <v>59</v>
      </c>
      <c r="I1873">
        <v>24</v>
      </c>
      <c r="J1873">
        <v>1329</v>
      </c>
      <c r="K1873" s="1" t="s">
        <v>97</v>
      </c>
      <c r="L1873" s="1" t="s">
        <v>45</v>
      </c>
      <c r="M1873">
        <v>0</v>
      </c>
      <c r="N1873">
        <v>0</v>
      </c>
      <c r="O1873">
        <v>0</v>
      </c>
      <c r="P1873" s="2">
        <v>42339</v>
      </c>
      <c r="Q1873">
        <v>0</v>
      </c>
      <c r="R1873" s="1" t="s">
        <v>61</v>
      </c>
    </row>
    <row r="1874" spans="1:18" x14ac:dyDescent="0.25">
      <c r="A1874">
        <v>2015</v>
      </c>
      <c r="B1874">
        <v>1</v>
      </c>
      <c r="C1874" s="1" t="s">
        <v>18</v>
      </c>
      <c r="D1874" s="1" t="s">
        <v>19</v>
      </c>
      <c r="E1874" s="1" t="s">
        <v>98</v>
      </c>
      <c r="F1874">
        <v>2014</v>
      </c>
      <c r="G1874">
        <v>1</v>
      </c>
      <c r="H1874" s="1" t="s">
        <v>59</v>
      </c>
      <c r="I1874">
        <v>24</v>
      </c>
      <c r="J1874">
        <v>1573</v>
      </c>
      <c r="K1874" s="1" t="s">
        <v>99</v>
      </c>
      <c r="L1874" s="1" t="s">
        <v>45</v>
      </c>
      <c r="M1874">
        <v>0</v>
      </c>
      <c r="N1874">
        <v>0</v>
      </c>
      <c r="O1874">
        <v>0</v>
      </c>
      <c r="P1874" s="2">
        <v>42005</v>
      </c>
      <c r="Q1874">
        <v>0</v>
      </c>
      <c r="R1874" s="1" t="s">
        <v>61</v>
      </c>
    </row>
    <row r="1875" spans="1:18" x14ac:dyDescent="0.25">
      <c r="A1875">
        <v>2015</v>
      </c>
      <c r="B1875">
        <v>2</v>
      </c>
      <c r="C1875" s="1" t="s">
        <v>25</v>
      </c>
      <c r="D1875" s="1" t="s">
        <v>19</v>
      </c>
      <c r="E1875" s="1" t="s">
        <v>98</v>
      </c>
      <c r="F1875">
        <v>2014</v>
      </c>
      <c r="G1875">
        <v>1</v>
      </c>
      <c r="H1875" s="1" t="s">
        <v>59</v>
      </c>
      <c r="I1875">
        <v>24</v>
      </c>
      <c r="J1875">
        <v>1573</v>
      </c>
      <c r="K1875" s="1" t="s">
        <v>99</v>
      </c>
      <c r="L1875" s="1" t="s">
        <v>45</v>
      </c>
      <c r="M1875">
        <v>0</v>
      </c>
      <c r="N1875">
        <v>0</v>
      </c>
      <c r="O1875">
        <v>0</v>
      </c>
      <c r="P1875" s="2">
        <v>42036</v>
      </c>
      <c r="Q1875">
        <v>0</v>
      </c>
      <c r="R1875" s="1" t="s">
        <v>61</v>
      </c>
    </row>
    <row r="1876" spans="1:18" x14ac:dyDescent="0.25">
      <c r="A1876">
        <v>2015</v>
      </c>
      <c r="B1876">
        <v>3</v>
      </c>
      <c r="C1876" s="1" t="s">
        <v>26</v>
      </c>
      <c r="D1876" s="1" t="s">
        <v>19</v>
      </c>
      <c r="E1876" s="1" t="s">
        <v>98</v>
      </c>
      <c r="F1876">
        <v>2014</v>
      </c>
      <c r="G1876">
        <v>1</v>
      </c>
      <c r="H1876" s="1" t="s">
        <v>59</v>
      </c>
      <c r="I1876">
        <v>24</v>
      </c>
      <c r="J1876">
        <v>1573</v>
      </c>
      <c r="K1876" s="1" t="s">
        <v>99</v>
      </c>
      <c r="L1876" s="1" t="s">
        <v>45</v>
      </c>
      <c r="M1876">
        <v>0</v>
      </c>
      <c r="N1876">
        <v>0</v>
      </c>
      <c r="O1876">
        <v>0</v>
      </c>
      <c r="P1876" s="2">
        <v>42064</v>
      </c>
      <c r="Q1876">
        <v>0</v>
      </c>
      <c r="R1876" s="1" t="s">
        <v>61</v>
      </c>
    </row>
    <row r="1877" spans="1:18" x14ac:dyDescent="0.25">
      <c r="A1877">
        <v>2015</v>
      </c>
      <c r="B1877">
        <v>4</v>
      </c>
      <c r="C1877" s="1" t="s">
        <v>27</v>
      </c>
      <c r="D1877" s="1" t="s">
        <v>19</v>
      </c>
      <c r="E1877" s="1" t="s">
        <v>98</v>
      </c>
      <c r="F1877">
        <v>2014</v>
      </c>
      <c r="G1877">
        <v>1</v>
      </c>
      <c r="H1877" s="1" t="s">
        <v>59</v>
      </c>
      <c r="I1877">
        <v>24</v>
      </c>
      <c r="J1877">
        <v>1573</v>
      </c>
      <c r="K1877" s="1" t="s">
        <v>99</v>
      </c>
      <c r="L1877" s="1" t="s">
        <v>45</v>
      </c>
      <c r="M1877">
        <v>0</v>
      </c>
      <c r="N1877">
        <v>0</v>
      </c>
      <c r="O1877">
        <v>0</v>
      </c>
      <c r="P1877" s="2">
        <v>42095</v>
      </c>
      <c r="Q1877">
        <v>0</v>
      </c>
      <c r="R1877" s="1" t="s">
        <v>61</v>
      </c>
    </row>
    <row r="1878" spans="1:18" x14ac:dyDescent="0.25">
      <c r="A1878">
        <v>2015</v>
      </c>
      <c r="B1878">
        <v>5</v>
      </c>
      <c r="C1878" s="1" t="s">
        <v>28</v>
      </c>
      <c r="D1878" s="1" t="s">
        <v>19</v>
      </c>
      <c r="E1878" s="1" t="s">
        <v>98</v>
      </c>
      <c r="F1878">
        <v>2014</v>
      </c>
      <c r="G1878">
        <v>1</v>
      </c>
      <c r="H1878" s="1" t="s">
        <v>59</v>
      </c>
      <c r="I1878">
        <v>24</v>
      </c>
      <c r="J1878">
        <v>1573</v>
      </c>
      <c r="K1878" s="1" t="s">
        <v>99</v>
      </c>
      <c r="L1878" s="1" t="s">
        <v>45</v>
      </c>
      <c r="M1878">
        <v>0</v>
      </c>
      <c r="N1878">
        <v>0</v>
      </c>
      <c r="O1878">
        <v>0</v>
      </c>
      <c r="P1878" s="2">
        <v>42125</v>
      </c>
      <c r="Q1878">
        <v>0</v>
      </c>
      <c r="R1878" s="1" t="s">
        <v>61</v>
      </c>
    </row>
    <row r="1879" spans="1:18" x14ac:dyDescent="0.25">
      <c r="A1879">
        <v>2015</v>
      </c>
      <c r="B1879">
        <v>6</v>
      </c>
      <c r="C1879" s="1" t="s">
        <v>29</v>
      </c>
      <c r="D1879" s="1" t="s">
        <v>19</v>
      </c>
      <c r="E1879" s="1" t="s">
        <v>98</v>
      </c>
      <c r="F1879">
        <v>2014</v>
      </c>
      <c r="G1879">
        <v>1</v>
      </c>
      <c r="H1879" s="1" t="s">
        <v>59</v>
      </c>
      <c r="I1879">
        <v>24</v>
      </c>
      <c r="J1879">
        <v>1573</v>
      </c>
      <c r="K1879" s="1" t="s">
        <v>99</v>
      </c>
      <c r="L1879" s="1" t="s">
        <v>45</v>
      </c>
      <c r="M1879">
        <v>0</v>
      </c>
      <c r="N1879">
        <v>0</v>
      </c>
      <c r="O1879">
        <v>0</v>
      </c>
      <c r="P1879" s="2">
        <v>42156</v>
      </c>
      <c r="Q1879">
        <v>0</v>
      </c>
      <c r="R1879" s="1" t="s">
        <v>61</v>
      </c>
    </row>
    <row r="1880" spans="1:18" x14ac:dyDescent="0.25">
      <c r="A1880">
        <v>2015</v>
      </c>
      <c r="B1880">
        <v>7</v>
      </c>
      <c r="C1880" s="1" t="s">
        <v>30</v>
      </c>
      <c r="D1880" s="1" t="s">
        <v>19</v>
      </c>
      <c r="E1880" s="1" t="s">
        <v>98</v>
      </c>
      <c r="F1880">
        <v>2014</v>
      </c>
      <c r="G1880">
        <v>1</v>
      </c>
      <c r="H1880" s="1" t="s">
        <v>59</v>
      </c>
      <c r="I1880">
        <v>24</v>
      </c>
      <c r="J1880">
        <v>1573</v>
      </c>
      <c r="K1880" s="1" t="s">
        <v>99</v>
      </c>
      <c r="L1880" s="1" t="s">
        <v>45</v>
      </c>
      <c r="M1880">
        <v>0</v>
      </c>
      <c r="N1880">
        <v>0</v>
      </c>
      <c r="O1880">
        <v>0</v>
      </c>
      <c r="P1880" s="2">
        <v>42186</v>
      </c>
      <c r="Q1880">
        <v>0</v>
      </c>
      <c r="R1880" s="1" t="s">
        <v>61</v>
      </c>
    </row>
    <row r="1881" spans="1:18" x14ac:dyDescent="0.25">
      <c r="A1881">
        <v>2015</v>
      </c>
      <c r="B1881">
        <v>8</v>
      </c>
      <c r="C1881" s="1" t="s">
        <v>31</v>
      </c>
      <c r="D1881" s="1" t="s">
        <v>19</v>
      </c>
      <c r="E1881" s="1" t="s">
        <v>98</v>
      </c>
      <c r="F1881">
        <v>2014</v>
      </c>
      <c r="G1881">
        <v>1</v>
      </c>
      <c r="H1881" s="1" t="s">
        <v>59</v>
      </c>
      <c r="I1881">
        <v>24</v>
      </c>
      <c r="J1881">
        <v>1573</v>
      </c>
      <c r="K1881" s="1" t="s">
        <v>99</v>
      </c>
      <c r="L1881" s="1" t="s">
        <v>45</v>
      </c>
      <c r="M1881">
        <v>0</v>
      </c>
      <c r="N1881">
        <v>0</v>
      </c>
      <c r="O1881">
        <v>0</v>
      </c>
      <c r="P1881" s="2">
        <v>42217</v>
      </c>
      <c r="Q1881">
        <v>0</v>
      </c>
      <c r="R1881" s="1" t="s">
        <v>61</v>
      </c>
    </row>
    <row r="1882" spans="1:18" x14ac:dyDescent="0.25">
      <c r="A1882">
        <v>2015</v>
      </c>
      <c r="B1882">
        <v>9</v>
      </c>
      <c r="C1882" s="1" t="s">
        <v>32</v>
      </c>
      <c r="D1882" s="1" t="s">
        <v>19</v>
      </c>
      <c r="E1882" s="1" t="s">
        <v>98</v>
      </c>
      <c r="F1882">
        <v>2014</v>
      </c>
      <c r="G1882">
        <v>1</v>
      </c>
      <c r="H1882" s="1" t="s">
        <v>59</v>
      </c>
      <c r="I1882">
        <v>24</v>
      </c>
      <c r="J1882">
        <v>1573</v>
      </c>
      <c r="K1882" s="1" t="s">
        <v>99</v>
      </c>
      <c r="L1882" s="1" t="s">
        <v>45</v>
      </c>
      <c r="M1882">
        <v>0</v>
      </c>
      <c r="N1882">
        <v>0</v>
      </c>
      <c r="O1882">
        <v>0</v>
      </c>
      <c r="P1882" s="2">
        <v>42248</v>
      </c>
      <c r="Q1882">
        <v>0</v>
      </c>
      <c r="R1882" s="1" t="s">
        <v>61</v>
      </c>
    </row>
    <row r="1883" spans="1:18" x14ac:dyDescent="0.25">
      <c r="A1883">
        <v>2015</v>
      </c>
      <c r="B1883">
        <v>10</v>
      </c>
      <c r="C1883" s="1" t="s">
        <v>33</v>
      </c>
      <c r="D1883" s="1" t="s">
        <v>19</v>
      </c>
      <c r="E1883" s="1" t="s">
        <v>98</v>
      </c>
      <c r="F1883">
        <v>2014</v>
      </c>
      <c r="G1883">
        <v>1</v>
      </c>
      <c r="H1883" s="1" t="s">
        <v>59</v>
      </c>
      <c r="I1883">
        <v>24</v>
      </c>
      <c r="J1883">
        <v>1573</v>
      </c>
      <c r="K1883" s="1" t="s">
        <v>99</v>
      </c>
      <c r="L1883" s="1" t="s">
        <v>45</v>
      </c>
      <c r="M1883">
        <v>0</v>
      </c>
      <c r="N1883">
        <v>0</v>
      </c>
      <c r="O1883">
        <v>0</v>
      </c>
      <c r="P1883" s="2">
        <v>42278</v>
      </c>
      <c r="Q1883">
        <v>0</v>
      </c>
      <c r="R1883" s="1" t="s">
        <v>61</v>
      </c>
    </row>
    <row r="1884" spans="1:18" x14ac:dyDescent="0.25">
      <c r="A1884">
        <v>2015</v>
      </c>
      <c r="B1884">
        <v>11</v>
      </c>
      <c r="C1884" s="1" t="s">
        <v>34</v>
      </c>
      <c r="D1884" s="1" t="s">
        <v>19</v>
      </c>
      <c r="E1884" s="1" t="s">
        <v>98</v>
      </c>
      <c r="F1884">
        <v>2014</v>
      </c>
      <c r="G1884">
        <v>1</v>
      </c>
      <c r="H1884" s="1" t="s">
        <v>59</v>
      </c>
      <c r="I1884">
        <v>24</v>
      </c>
      <c r="J1884">
        <v>1573</v>
      </c>
      <c r="K1884" s="1" t="s">
        <v>99</v>
      </c>
      <c r="L1884" s="1" t="s">
        <v>45</v>
      </c>
      <c r="M1884">
        <v>0</v>
      </c>
      <c r="N1884">
        <v>0</v>
      </c>
      <c r="O1884">
        <v>0</v>
      </c>
      <c r="P1884" s="2">
        <v>42309</v>
      </c>
      <c r="Q1884">
        <v>0</v>
      </c>
      <c r="R1884" s="1" t="s">
        <v>61</v>
      </c>
    </row>
    <row r="1885" spans="1:18" x14ac:dyDescent="0.25">
      <c r="A1885">
        <v>2015</v>
      </c>
      <c r="B1885">
        <v>12</v>
      </c>
      <c r="C1885" s="1" t="s">
        <v>35</v>
      </c>
      <c r="D1885" s="1" t="s">
        <v>19</v>
      </c>
      <c r="E1885" s="1" t="s">
        <v>98</v>
      </c>
      <c r="F1885">
        <v>2014</v>
      </c>
      <c r="G1885">
        <v>1</v>
      </c>
      <c r="H1885" s="1" t="s">
        <v>59</v>
      </c>
      <c r="I1885">
        <v>24</v>
      </c>
      <c r="J1885">
        <v>1573</v>
      </c>
      <c r="K1885" s="1" t="s">
        <v>99</v>
      </c>
      <c r="L1885" s="1" t="s">
        <v>45</v>
      </c>
      <c r="M1885">
        <v>0</v>
      </c>
      <c r="N1885">
        <v>0</v>
      </c>
      <c r="O1885">
        <v>0</v>
      </c>
      <c r="P1885" s="2">
        <v>42339</v>
      </c>
      <c r="Q1885">
        <v>0</v>
      </c>
      <c r="R1885" s="1" t="s">
        <v>61</v>
      </c>
    </row>
    <row r="1886" spans="1:18" x14ac:dyDescent="0.25">
      <c r="A1886">
        <v>2015</v>
      </c>
      <c r="B1886">
        <v>1</v>
      </c>
      <c r="C1886" s="1" t="s">
        <v>18</v>
      </c>
      <c r="D1886" s="1" t="s">
        <v>19</v>
      </c>
      <c r="E1886" s="1" t="s">
        <v>100</v>
      </c>
      <c r="F1886">
        <v>2016</v>
      </c>
      <c r="G1886">
        <v>0</v>
      </c>
      <c r="H1886" s="1" t="s">
        <v>59</v>
      </c>
      <c r="I1886">
        <v>22</v>
      </c>
      <c r="J1886">
        <v>3137</v>
      </c>
      <c r="K1886" s="1" t="s">
        <v>101</v>
      </c>
      <c r="L1886" s="1" t="s">
        <v>23</v>
      </c>
      <c r="M1886">
        <v>0</v>
      </c>
      <c r="N1886">
        <v>0</v>
      </c>
      <c r="O1886">
        <v>0</v>
      </c>
      <c r="P1886" s="2">
        <v>42005</v>
      </c>
      <c r="Q1886">
        <v>0</v>
      </c>
      <c r="R1886" s="1" t="s">
        <v>61</v>
      </c>
    </row>
    <row r="1887" spans="1:18" x14ac:dyDescent="0.25">
      <c r="A1887">
        <v>2015</v>
      </c>
      <c r="B1887">
        <v>2</v>
      </c>
      <c r="C1887" s="1" t="s">
        <v>25</v>
      </c>
      <c r="D1887" s="1" t="s">
        <v>19</v>
      </c>
      <c r="E1887" s="1" t="s">
        <v>100</v>
      </c>
      <c r="F1887">
        <v>2016</v>
      </c>
      <c r="G1887">
        <v>0</v>
      </c>
      <c r="H1887" s="1" t="s">
        <v>59</v>
      </c>
      <c r="I1887">
        <v>22</v>
      </c>
      <c r="J1887">
        <v>3137</v>
      </c>
      <c r="K1887" s="1" t="s">
        <v>101</v>
      </c>
      <c r="L1887" s="1" t="s">
        <v>23</v>
      </c>
      <c r="M1887">
        <v>0</v>
      </c>
      <c r="N1887">
        <v>0</v>
      </c>
      <c r="O1887">
        <v>0</v>
      </c>
      <c r="P1887" s="2">
        <v>42036</v>
      </c>
      <c r="Q1887">
        <v>0</v>
      </c>
      <c r="R1887" s="1" t="s">
        <v>61</v>
      </c>
    </row>
    <row r="1888" spans="1:18" x14ac:dyDescent="0.25">
      <c r="A1888">
        <v>2015</v>
      </c>
      <c r="B1888">
        <v>3</v>
      </c>
      <c r="C1888" s="1" t="s">
        <v>26</v>
      </c>
      <c r="D1888" s="1" t="s">
        <v>19</v>
      </c>
      <c r="E1888" s="1" t="s">
        <v>100</v>
      </c>
      <c r="F1888">
        <v>2016</v>
      </c>
      <c r="G1888">
        <v>0</v>
      </c>
      <c r="H1888" s="1" t="s">
        <v>59</v>
      </c>
      <c r="I1888">
        <v>22</v>
      </c>
      <c r="J1888">
        <v>3137</v>
      </c>
      <c r="K1888" s="1" t="s">
        <v>101</v>
      </c>
      <c r="L1888" s="1" t="s">
        <v>23</v>
      </c>
      <c r="M1888">
        <v>0</v>
      </c>
      <c r="N1888">
        <v>0</v>
      </c>
      <c r="O1888">
        <v>0</v>
      </c>
      <c r="P1888" s="2">
        <v>42064</v>
      </c>
      <c r="Q1888">
        <v>0</v>
      </c>
      <c r="R1888" s="1" t="s">
        <v>61</v>
      </c>
    </row>
    <row r="1889" spans="1:18" x14ac:dyDescent="0.25">
      <c r="A1889">
        <v>2015</v>
      </c>
      <c r="B1889">
        <v>4</v>
      </c>
      <c r="C1889" s="1" t="s">
        <v>27</v>
      </c>
      <c r="D1889" s="1" t="s">
        <v>19</v>
      </c>
      <c r="E1889" s="1" t="s">
        <v>100</v>
      </c>
      <c r="F1889">
        <v>2016</v>
      </c>
      <c r="G1889">
        <v>0</v>
      </c>
      <c r="H1889" s="1" t="s">
        <v>59</v>
      </c>
      <c r="I1889">
        <v>22</v>
      </c>
      <c r="J1889">
        <v>3137</v>
      </c>
      <c r="K1889" s="1" t="s">
        <v>101</v>
      </c>
      <c r="L1889" s="1" t="s">
        <v>23</v>
      </c>
      <c r="M1889">
        <v>0</v>
      </c>
      <c r="N1889">
        <v>0</v>
      </c>
      <c r="O1889">
        <v>0</v>
      </c>
      <c r="P1889" s="2">
        <v>42095</v>
      </c>
      <c r="Q1889">
        <v>0</v>
      </c>
      <c r="R1889" s="1" t="s">
        <v>61</v>
      </c>
    </row>
    <row r="1890" spans="1:18" x14ac:dyDescent="0.25">
      <c r="A1890">
        <v>2015</v>
      </c>
      <c r="B1890">
        <v>5</v>
      </c>
      <c r="C1890" s="1" t="s">
        <v>28</v>
      </c>
      <c r="D1890" s="1" t="s">
        <v>19</v>
      </c>
      <c r="E1890" s="1" t="s">
        <v>100</v>
      </c>
      <c r="F1890">
        <v>2016</v>
      </c>
      <c r="G1890">
        <v>0</v>
      </c>
      <c r="H1890" s="1" t="s">
        <v>59</v>
      </c>
      <c r="I1890">
        <v>22</v>
      </c>
      <c r="J1890">
        <v>3137</v>
      </c>
      <c r="K1890" s="1" t="s">
        <v>101</v>
      </c>
      <c r="L1890" s="1" t="s">
        <v>23</v>
      </c>
      <c r="M1890">
        <v>0</v>
      </c>
      <c r="N1890">
        <v>0</v>
      </c>
      <c r="O1890">
        <v>0</v>
      </c>
      <c r="P1890" s="2">
        <v>42125</v>
      </c>
      <c r="Q1890">
        <v>0</v>
      </c>
      <c r="R1890" s="1" t="s">
        <v>61</v>
      </c>
    </row>
    <row r="1891" spans="1:18" x14ac:dyDescent="0.25">
      <c r="A1891">
        <v>2015</v>
      </c>
      <c r="B1891">
        <v>6</v>
      </c>
      <c r="C1891" s="1" t="s">
        <v>29</v>
      </c>
      <c r="D1891" s="1" t="s">
        <v>19</v>
      </c>
      <c r="E1891" s="1" t="s">
        <v>100</v>
      </c>
      <c r="F1891">
        <v>2016</v>
      </c>
      <c r="G1891">
        <v>0</v>
      </c>
      <c r="H1891" s="1" t="s">
        <v>59</v>
      </c>
      <c r="I1891">
        <v>22</v>
      </c>
      <c r="J1891">
        <v>3137</v>
      </c>
      <c r="K1891" s="1" t="s">
        <v>101</v>
      </c>
      <c r="L1891" s="1" t="s">
        <v>23</v>
      </c>
      <c r="M1891">
        <v>0</v>
      </c>
      <c r="N1891">
        <v>0</v>
      </c>
      <c r="O1891">
        <v>0</v>
      </c>
      <c r="P1891" s="2">
        <v>42156</v>
      </c>
      <c r="Q1891">
        <v>0</v>
      </c>
      <c r="R1891" s="1" t="s">
        <v>61</v>
      </c>
    </row>
    <row r="1892" spans="1:18" x14ac:dyDescent="0.25">
      <c r="A1892">
        <v>2015</v>
      </c>
      <c r="B1892">
        <v>7</v>
      </c>
      <c r="C1892" s="1" t="s">
        <v>30</v>
      </c>
      <c r="D1892" s="1" t="s">
        <v>19</v>
      </c>
      <c r="E1892" s="1" t="s">
        <v>100</v>
      </c>
      <c r="F1892">
        <v>2016</v>
      </c>
      <c r="G1892">
        <v>0</v>
      </c>
      <c r="H1892" s="1" t="s">
        <v>59</v>
      </c>
      <c r="I1892">
        <v>22</v>
      </c>
      <c r="J1892">
        <v>3137</v>
      </c>
      <c r="K1892" s="1" t="s">
        <v>101</v>
      </c>
      <c r="L1892" s="1" t="s">
        <v>23</v>
      </c>
      <c r="M1892">
        <v>0</v>
      </c>
      <c r="N1892">
        <v>0</v>
      </c>
      <c r="O1892">
        <v>0</v>
      </c>
      <c r="P1892" s="2">
        <v>42186</v>
      </c>
      <c r="Q1892">
        <v>0</v>
      </c>
      <c r="R1892" s="1" t="s">
        <v>61</v>
      </c>
    </row>
    <row r="1893" spans="1:18" x14ac:dyDescent="0.25">
      <c r="A1893">
        <v>2015</v>
      </c>
      <c r="B1893">
        <v>8</v>
      </c>
      <c r="C1893" s="1" t="s">
        <v>31</v>
      </c>
      <c r="D1893" s="1" t="s">
        <v>19</v>
      </c>
      <c r="E1893" s="1" t="s">
        <v>100</v>
      </c>
      <c r="F1893">
        <v>2016</v>
      </c>
      <c r="G1893">
        <v>0</v>
      </c>
      <c r="H1893" s="1" t="s">
        <v>59</v>
      </c>
      <c r="I1893">
        <v>22</v>
      </c>
      <c r="J1893">
        <v>3137</v>
      </c>
      <c r="K1893" s="1" t="s">
        <v>101</v>
      </c>
      <c r="L1893" s="1" t="s">
        <v>23</v>
      </c>
      <c r="M1893">
        <v>0</v>
      </c>
      <c r="N1893">
        <v>0</v>
      </c>
      <c r="O1893">
        <v>0</v>
      </c>
      <c r="P1893" s="2">
        <v>42217</v>
      </c>
      <c r="Q1893">
        <v>0</v>
      </c>
      <c r="R1893" s="1" t="s">
        <v>61</v>
      </c>
    </row>
    <row r="1894" spans="1:18" x14ac:dyDescent="0.25">
      <c r="A1894">
        <v>2015</v>
      </c>
      <c r="B1894">
        <v>9</v>
      </c>
      <c r="C1894" s="1" t="s">
        <v>32</v>
      </c>
      <c r="D1894" s="1" t="s">
        <v>19</v>
      </c>
      <c r="E1894" s="1" t="s">
        <v>100</v>
      </c>
      <c r="F1894">
        <v>2016</v>
      </c>
      <c r="G1894">
        <v>0</v>
      </c>
      <c r="H1894" s="1" t="s">
        <v>59</v>
      </c>
      <c r="I1894">
        <v>22</v>
      </c>
      <c r="J1894">
        <v>3137</v>
      </c>
      <c r="K1894" s="1" t="s">
        <v>101</v>
      </c>
      <c r="L1894" s="1" t="s">
        <v>23</v>
      </c>
      <c r="M1894">
        <v>0</v>
      </c>
      <c r="N1894">
        <v>0</v>
      </c>
      <c r="O1894">
        <v>0</v>
      </c>
      <c r="P1894" s="2">
        <v>42248</v>
      </c>
      <c r="Q1894">
        <v>0</v>
      </c>
      <c r="R1894" s="1" t="s">
        <v>61</v>
      </c>
    </row>
    <row r="1895" spans="1:18" x14ac:dyDescent="0.25">
      <c r="A1895">
        <v>2015</v>
      </c>
      <c r="B1895">
        <v>10</v>
      </c>
      <c r="C1895" s="1" t="s">
        <v>33</v>
      </c>
      <c r="D1895" s="1" t="s">
        <v>19</v>
      </c>
      <c r="E1895" s="1" t="s">
        <v>100</v>
      </c>
      <c r="F1895">
        <v>2016</v>
      </c>
      <c r="G1895">
        <v>0</v>
      </c>
      <c r="H1895" s="1" t="s">
        <v>59</v>
      </c>
      <c r="I1895">
        <v>22</v>
      </c>
      <c r="J1895">
        <v>3137</v>
      </c>
      <c r="K1895" s="1" t="s">
        <v>101</v>
      </c>
      <c r="L1895" s="1" t="s">
        <v>23</v>
      </c>
      <c r="M1895">
        <v>0</v>
      </c>
      <c r="N1895">
        <v>0</v>
      </c>
      <c r="O1895">
        <v>0</v>
      </c>
      <c r="P1895" s="2">
        <v>42278</v>
      </c>
      <c r="Q1895">
        <v>0</v>
      </c>
      <c r="R1895" s="1" t="s">
        <v>61</v>
      </c>
    </row>
    <row r="1896" spans="1:18" x14ac:dyDescent="0.25">
      <c r="A1896">
        <v>2015</v>
      </c>
      <c r="B1896">
        <v>11</v>
      </c>
      <c r="C1896" s="1" t="s">
        <v>34</v>
      </c>
      <c r="D1896" s="1" t="s">
        <v>19</v>
      </c>
      <c r="E1896" s="1" t="s">
        <v>100</v>
      </c>
      <c r="F1896">
        <v>2016</v>
      </c>
      <c r="G1896">
        <v>0</v>
      </c>
      <c r="H1896" s="1" t="s">
        <v>59</v>
      </c>
      <c r="I1896">
        <v>22</v>
      </c>
      <c r="J1896">
        <v>3137</v>
      </c>
      <c r="K1896" s="1" t="s">
        <v>101</v>
      </c>
      <c r="L1896" s="1" t="s">
        <v>23</v>
      </c>
      <c r="M1896">
        <v>0</v>
      </c>
      <c r="N1896">
        <v>0</v>
      </c>
      <c r="O1896">
        <v>0</v>
      </c>
      <c r="P1896" s="2">
        <v>42309</v>
      </c>
      <c r="Q1896">
        <v>0</v>
      </c>
      <c r="R1896" s="1" t="s">
        <v>61</v>
      </c>
    </row>
    <row r="1897" spans="1:18" x14ac:dyDescent="0.25">
      <c r="A1897">
        <v>2015</v>
      </c>
      <c r="B1897">
        <v>12</v>
      </c>
      <c r="C1897" s="1" t="s">
        <v>35</v>
      </c>
      <c r="D1897" s="1" t="s">
        <v>19</v>
      </c>
      <c r="E1897" s="1" t="s">
        <v>100</v>
      </c>
      <c r="F1897">
        <v>2016</v>
      </c>
      <c r="G1897">
        <v>0</v>
      </c>
      <c r="H1897" s="1" t="s">
        <v>59</v>
      </c>
      <c r="I1897">
        <v>22</v>
      </c>
      <c r="J1897">
        <v>3137</v>
      </c>
      <c r="K1897" s="1" t="s">
        <v>101</v>
      </c>
      <c r="L1897" s="1" t="s">
        <v>23</v>
      </c>
      <c r="M1897">
        <v>0</v>
      </c>
      <c r="N1897">
        <v>0</v>
      </c>
      <c r="O1897">
        <v>0</v>
      </c>
      <c r="P1897" s="2">
        <v>42339</v>
      </c>
      <c r="Q1897">
        <v>0</v>
      </c>
      <c r="R1897" s="1" t="s">
        <v>61</v>
      </c>
    </row>
    <row r="1898" spans="1:18" x14ac:dyDescent="0.25">
      <c r="A1898">
        <v>2015</v>
      </c>
      <c r="B1898">
        <v>1</v>
      </c>
      <c r="C1898" s="1" t="s">
        <v>18</v>
      </c>
      <c r="D1898" s="1" t="s">
        <v>19</v>
      </c>
      <c r="E1898" s="1" t="s">
        <v>102</v>
      </c>
      <c r="F1898">
        <v>2016</v>
      </c>
      <c r="G1898">
        <v>0</v>
      </c>
      <c r="H1898" s="1" t="s">
        <v>59</v>
      </c>
      <c r="I1898">
        <v>22</v>
      </c>
      <c r="J1898">
        <v>3096</v>
      </c>
      <c r="K1898" s="1" t="s">
        <v>103</v>
      </c>
      <c r="L1898" s="1" t="s">
        <v>23</v>
      </c>
      <c r="M1898">
        <v>0</v>
      </c>
      <c r="N1898">
        <v>0</v>
      </c>
      <c r="O1898">
        <v>0</v>
      </c>
      <c r="P1898" s="2">
        <v>42005</v>
      </c>
      <c r="Q1898">
        <v>0</v>
      </c>
      <c r="R1898" s="1" t="s">
        <v>61</v>
      </c>
    </row>
    <row r="1899" spans="1:18" x14ac:dyDescent="0.25">
      <c r="A1899">
        <v>2015</v>
      </c>
      <c r="B1899">
        <v>2</v>
      </c>
      <c r="C1899" s="1" t="s">
        <v>25</v>
      </c>
      <c r="D1899" s="1" t="s">
        <v>19</v>
      </c>
      <c r="E1899" s="1" t="s">
        <v>102</v>
      </c>
      <c r="F1899">
        <v>2016</v>
      </c>
      <c r="G1899">
        <v>0</v>
      </c>
      <c r="H1899" s="1" t="s">
        <v>59</v>
      </c>
      <c r="I1899">
        <v>22</v>
      </c>
      <c r="J1899">
        <v>3096</v>
      </c>
      <c r="K1899" s="1" t="s">
        <v>103</v>
      </c>
      <c r="L1899" s="1" t="s">
        <v>23</v>
      </c>
      <c r="M1899">
        <v>0</v>
      </c>
      <c r="N1899">
        <v>0</v>
      </c>
      <c r="O1899">
        <v>0</v>
      </c>
      <c r="P1899" s="2">
        <v>42036</v>
      </c>
      <c r="Q1899">
        <v>0</v>
      </c>
      <c r="R1899" s="1" t="s">
        <v>61</v>
      </c>
    </row>
    <row r="1900" spans="1:18" x14ac:dyDescent="0.25">
      <c r="A1900">
        <v>2015</v>
      </c>
      <c r="B1900">
        <v>3</v>
      </c>
      <c r="C1900" s="1" t="s">
        <v>26</v>
      </c>
      <c r="D1900" s="1" t="s">
        <v>19</v>
      </c>
      <c r="E1900" s="1" t="s">
        <v>102</v>
      </c>
      <c r="F1900">
        <v>2016</v>
      </c>
      <c r="G1900">
        <v>0</v>
      </c>
      <c r="H1900" s="1" t="s">
        <v>59</v>
      </c>
      <c r="I1900">
        <v>22</v>
      </c>
      <c r="J1900">
        <v>3096</v>
      </c>
      <c r="K1900" s="1" t="s">
        <v>103</v>
      </c>
      <c r="L1900" s="1" t="s">
        <v>23</v>
      </c>
      <c r="M1900">
        <v>0</v>
      </c>
      <c r="N1900">
        <v>0</v>
      </c>
      <c r="O1900">
        <v>0</v>
      </c>
      <c r="P1900" s="2">
        <v>42064</v>
      </c>
      <c r="Q1900">
        <v>0</v>
      </c>
      <c r="R1900" s="1" t="s">
        <v>61</v>
      </c>
    </row>
    <row r="1901" spans="1:18" x14ac:dyDescent="0.25">
      <c r="A1901">
        <v>2015</v>
      </c>
      <c r="B1901">
        <v>4</v>
      </c>
      <c r="C1901" s="1" t="s">
        <v>27</v>
      </c>
      <c r="D1901" s="1" t="s">
        <v>19</v>
      </c>
      <c r="E1901" s="1" t="s">
        <v>102</v>
      </c>
      <c r="F1901">
        <v>2016</v>
      </c>
      <c r="G1901">
        <v>0</v>
      </c>
      <c r="H1901" s="1" t="s">
        <v>59</v>
      </c>
      <c r="I1901">
        <v>22</v>
      </c>
      <c r="J1901">
        <v>3096</v>
      </c>
      <c r="K1901" s="1" t="s">
        <v>103</v>
      </c>
      <c r="L1901" s="1" t="s">
        <v>23</v>
      </c>
      <c r="M1901">
        <v>0</v>
      </c>
      <c r="N1901">
        <v>0</v>
      </c>
      <c r="O1901">
        <v>0</v>
      </c>
      <c r="P1901" s="2">
        <v>42095</v>
      </c>
      <c r="Q1901">
        <v>0</v>
      </c>
      <c r="R1901" s="1" t="s">
        <v>61</v>
      </c>
    </row>
    <row r="1902" spans="1:18" x14ac:dyDescent="0.25">
      <c r="A1902">
        <v>2015</v>
      </c>
      <c r="B1902">
        <v>5</v>
      </c>
      <c r="C1902" s="1" t="s">
        <v>28</v>
      </c>
      <c r="D1902" s="1" t="s">
        <v>19</v>
      </c>
      <c r="E1902" s="1" t="s">
        <v>102</v>
      </c>
      <c r="F1902">
        <v>2016</v>
      </c>
      <c r="G1902">
        <v>0</v>
      </c>
      <c r="H1902" s="1" t="s">
        <v>59</v>
      </c>
      <c r="I1902">
        <v>22</v>
      </c>
      <c r="J1902">
        <v>3096</v>
      </c>
      <c r="K1902" s="1" t="s">
        <v>103</v>
      </c>
      <c r="L1902" s="1" t="s">
        <v>23</v>
      </c>
      <c r="M1902">
        <v>0</v>
      </c>
      <c r="N1902">
        <v>0</v>
      </c>
      <c r="O1902">
        <v>0</v>
      </c>
      <c r="P1902" s="2">
        <v>42125</v>
      </c>
      <c r="Q1902">
        <v>0</v>
      </c>
      <c r="R1902" s="1" t="s">
        <v>61</v>
      </c>
    </row>
    <row r="1903" spans="1:18" x14ac:dyDescent="0.25">
      <c r="A1903">
        <v>2015</v>
      </c>
      <c r="B1903">
        <v>6</v>
      </c>
      <c r="C1903" s="1" t="s">
        <v>29</v>
      </c>
      <c r="D1903" s="1" t="s">
        <v>19</v>
      </c>
      <c r="E1903" s="1" t="s">
        <v>102</v>
      </c>
      <c r="F1903">
        <v>2016</v>
      </c>
      <c r="G1903">
        <v>0</v>
      </c>
      <c r="H1903" s="1" t="s">
        <v>59</v>
      </c>
      <c r="I1903">
        <v>22</v>
      </c>
      <c r="J1903">
        <v>3096</v>
      </c>
      <c r="K1903" s="1" t="s">
        <v>103</v>
      </c>
      <c r="L1903" s="1" t="s">
        <v>23</v>
      </c>
      <c r="M1903">
        <v>0</v>
      </c>
      <c r="N1903">
        <v>0</v>
      </c>
      <c r="O1903">
        <v>0</v>
      </c>
      <c r="P1903" s="2">
        <v>42156</v>
      </c>
      <c r="Q1903">
        <v>0</v>
      </c>
      <c r="R1903" s="1" t="s">
        <v>61</v>
      </c>
    </row>
    <row r="1904" spans="1:18" x14ac:dyDescent="0.25">
      <c r="A1904">
        <v>2015</v>
      </c>
      <c r="B1904">
        <v>7</v>
      </c>
      <c r="C1904" s="1" t="s">
        <v>30</v>
      </c>
      <c r="D1904" s="1" t="s">
        <v>19</v>
      </c>
      <c r="E1904" s="1" t="s">
        <v>102</v>
      </c>
      <c r="F1904">
        <v>2016</v>
      </c>
      <c r="G1904">
        <v>0</v>
      </c>
      <c r="H1904" s="1" t="s">
        <v>59</v>
      </c>
      <c r="I1904">
        <v>22</v>
      </c>
      <c r="J1904">
        <v>3096</v>
      </c>
      <c r="K1904" s="1" t="s">
        <v>103</v>
      </c>
      <c r="L1904" s="1" t="s">
        <v>23</v>
      </c>
      <c r="M1904">
        <v>0</v>
      </c>
      <c r="N1904">
        <v>0</v>
      </c>
      <c r="O1904">
        <v>0</v>
      </c>
      <c r="P1904" s="2">
        <v>42186</v>
      </c>
      <c r="Q1904">
        <v>0</v>
      </c>
      <c r="R1904" s="1" t="s">
        <v>61</v>
      </c>
    </row>
    <row r="1905" spans="1:18" x14ac:dyDescent="0.25">
      <c r="A1905">
        <v>2015</v>
      </c>
      <c r="B1905">
        <v>8</v>
      </c>
      <c r="C1905" s="1" t="s">
        <v>31</v>
      </c>
      <c r="D1905" s="1" t="s">
        <v>19</v>
      </c>
      <c r="E1905" s="1" t="s">
        <v>102</v>
      </c>
      <c r="F1905">
        <v>2016</v>
      </c>
      <c r="G1905">
        <v>0</v>
      </c>
      <c r="H1905" s="1" t="s">
        <v>59</v>
      </c>
      <c r="I1905">
        <v>22</v>
      </c>
      <c r="J1905">
        <v>3096</v>
      </c>
      <c r="K1905" s="1" t="s">
        <v>103</v>
      </c>
      <c r="L1905" s="1" t="s">
        <v>23</v>
      </c>
      <c r="M1905">
        <v>0</v>
      </c>
      <c r="N1905">
        <v>0</v>
      </c>
      <c r="O1905">
        <v>0</v>
      </c>
      <c r="P1905" s="2">
        <v>42217</v>
      </c>
      <c r="Q1905">
        <v>0</v>
      </c>
      <c r="R1905" s="1" t="s">
        <v>61</v>
      </c>
    </row>
    <row r="1906" spans="1:18" x14ac:dyDescent="0.25">
      <c r="A1906">
        <v>2015</v>
      </c>
      <c r="B1906">
        <v>9</v>
      </c>
      <c r="C1906" s="1" t="s">
        <v>32</v>
      </c>
      <c r="D1906" s="1" t="s">
        <v>19</v>
      </c>
      <c r="E1906" s="1" t="s">
        <v>102</v>
      </c>
      <c r="F1906">
        <v>2016</v>
      </c>
      <c r="G1906">
        <v>0</v>
      </c>
      <c r="H1906" s="1" t="s">
        <v>59</v>
      </c>
      <c r="I1906">
        <v>22</v>
      </c>
      <c r="J1906">
        <v>3096</v>
      </c>
      <c r="K1906" s="1" t="s">
        <v>103</v>
      </c>
      <c r="L1906" s="1" t="s">
        <v>23</v>
      </c>
      <c r="M1906">
        <v>0</v>
      </c>
      <c r="N1906">
        <v>0</v>
      </c>
      <c r="O1906">
        <v>0</v>
      </c>
      <c r="P1906" s="2">
        <v>42248</v>
      </c>
      <c r="Q1906">
        <v>0</v>
      </c>
      <c r="R1906" s="1" t="s">
        <v>61</v>
      </c>
    </row>
    <row r="1907" spans="1:18" x14ac:dyDescent="0.25">
      <c r="A1907">
        <v>2015</v>
      </c>
      <c r="B1907">
        <v>10</v>
      </c>
      <c r="C1907" s="1" t="s">
        <v>33</v>
      </c>
      <c r="D1907" s="1" t="s">
        <v>19</v>
      </c>
      <c r="E1907" s="1" t="s">
        <v>102</v>
      </c>
      <c r="F1907">
        <v>2016</v>
      </c>
      <c r="G1907">
        <v>0</v>
      </c>
      <c r="H1907" s="1" t="s">
        <v>59</v>
      </c>
      <c r="I1907">
        <v>22</v>
      </c>
      <c r="J1907">
        <v>3096</v>
      </c>
      <c r="K1907" s="1" t="s">
        <v>103</v>
      </c>
      <c r="L1907" s="1" t="s">
        <v>23</v>
      </c>
      <c r="M1907">
        <v>0</v>
      </c>
      <c r="N1907">
        <v>0</v>
      </c>
      <c r="O1907">
        <v>0</v>
      </c>
      <c r="P1907" s="2">
        <v>42278</v>
      </c>
      <c r="Q1907">
        <v>0</v>
      </c>
      <c r="R1907" s="1" t="s">
        <v>61</v>
      </c>
    </row>
    <row r="1908" spans="1:18" x14ac:dyDescent="0.25">
      <c r="A1908">
        <v>2015</v>
      </c>
      <c r="B1908">
        <v>11</v>
      </c>
      <c r="C1908" s="1" t="s">
        <v>34</v>
      </c>
      <c r="D1908" s="1" t="s">
        <v>19</v>
      </c>
      <c r="E1908" s="1" t="s">
        <v>102</v>
      </c>
      <c r="F1908">
        <v>2016</v>
      </c>
      <c r="G1908">
        <v>0</v>
      </c>
      <c r="H1908" s="1" t="s">
        <v>59</v>
      </c>
      <c r="I1908">
        <v>22</v>
      </c>
      <c r="J1908">
        <v>3096</v>
      </c>
      <c r="K1908" s="1" t="s">
        <v>103</v>
      </c>
      <c r="L1908" s="1" t="s">
        <v>23</v>
      </c>
      <c r="M1908">
        <v>0</v>
      </c>
      <c r="N1908">
        <v>0</v>
      </c>
      <c r="O1908">
        <v>0</v>
      </c>
      <c r="P1908" s="2">
        <v>42309</v>
      </c>
      <c r="Q1908">
        <v>0</v>
      </c>
      <c r="R1908" s="1" t="s">
        <v>61</v>
      </c>
    </row>
    <row r="1909" spans="1:18" x14ac:dyDescent="0.25">
      <c r="A1909">
        <v>2015</v>
      </c>
      <c r="B1909">
        <v>12</v>
      </c>
      <c r="C1909" s="1" t="s">
        <v>35</v>
      </c>
      <c r="D1909" s="1" t="s">
        <v>19</v>
      </c>
      <c r="E1909" s="1" t="s">
        <v>102</v>
      </c>
      <c r="F1909">
        <v>2016</v>
      </c>
      <c r="G1909">
        <v>0</v>
      </c>
      <c r="H1909" s="1" t="s">
        <v>59</v>
      </c>
      <c r="I1909">
        <v>22</v>
      </c>
      <c r="J1909">
        <v>3096</v>
      </c>
      <c r="K1909" s="1" t="s">
        <v>103</v>
      </c>
      <c r="L1909" s="1" t="s">
        <v>23</v>
      </c>
      <c r="M1909">
        <v>0</v>
      </c>
      <c r="N1909">
        <v>0</v>
      </c>
      <c r="O1909">
        <v>0</v>
      </c>
      <c r="P1909" s="2">
        <v>42339</v>
      </c>
      <c r="Q1909">
        <v>0</v>
      </c>
      <c r="R1909" s="1" t="s">
        <v>61</v>
      </c>
    </row>
    <row r="1910" spans="1:18" x14ac:dyDescent="0.25">
      <c r="A1910">
        <v>2015</v>
      </c>
      <c r="B1910">
        <v>1</v>
      </c>
      <c r="C1910" s="1" t="s">
        <v>18</v>
      </c>
      <c r="D1910" s="1" t="s">
        <v>19</v>
      </c>
      <c r="E1910" s="1" t="s">
        <v>104</v>
      </c>
      <c r="F1910">
        <v>2016</v>
      </c>
      <c r="G1910">
        <v>0</v>
      </c>
      <c r="H1910" s="1" t="s">
        <v>59</v>
      </c>
      <c r="I1910">
        <v>24</v>
      </c>
      <c r="J1910">
        <v>3317</v>
      </c>
      <c r="K1910" s="1" t="s">
        <v>105</v>
      </c>
      <c r="L1910" s="1" t="s">
        <v>23</v>
      </c>
      <c r="M1910">
        <v>0</v>
      </c>
      <c r="N1910">
        <v>0</v>
      </c>
      <c r="O1910">
        <v>0</v>
      </c>
      <c r="P1910" s="2">
        <v>42005</v>
      </c>
      <c r="Q1910">
        <v>0</v>
      </c>
      <c r="R1910" s="1" t="s">
        <v>61</v>
      </c>
    </row>
    <row r="1911" spans="1:18" x14ac:dyDescent="0.25">
      <c r="A1911">
        <v>2015</v>
      </c>
      <c r="B1911">
        <v>2</v>
      </c>
      <c r="C1911" s="1" t="s">
        <v>25</v>
      </c>
      <c r="D1911" s="1" t="s">
        <v>19</v>
      </c>
      <c r="E1911" s="1" t="s">
        <v>104</v>
      </c>
      <c r="F1911">
        <v>2016</v>
      </c>
      <c r="G1911">
        <v>0</v>
      </c>
      <c r="H1911" s="1" t="s">
        <v>59</v>
      </c>
      <c r="I1911">
        <v>24</v>
      </c>
      <c r="J1911">
        <v>3317</v>
      </c>
      <c r="K1911" s="1" t="s">
        <v>105</v>
      </c>
      <c r="L1911" s="1" t="s">
        <v>23</v>
      </c>
      <c r="M1911">
        <v>0</v>
      </c>
      <c r="N1911">
        <v>0</v>
      </c>
      <c r="O1911">
        <v>0</v>
      </c>
      <c r="P1911" s="2">
        <v>42036</v>
      </c>
      <c r="Q1911">
        <v>0</v>
      </c>
      <c r="R1911" s="1" t="s">
        <v>61</v>
      </c>
    </row>
    <row r="1912" spans="1:18" x14ac:dyDescent="0.25">
      <c r="A1912">
        <v>2015</v>
      </c>
      <c r="B1912">
        <v>3</v>
      </c>
      <c r="C1912" s="1" t="s">
        <v>26</v>
      </c>
      <c r="D1912" s="1" t="s">
        <v>19</v>
      </c>
      <c r="E1912" s="1" t="s">
        <v>104</v>
      </c>
      <c r="F1912">
        <v>2016</v>
      </c>
      <c r="G1912">
        <v>0</v>
      </c>
      <c r="H1912" s="1" t="s">
        <v>59</v>
      </c>
      <c r="I1912">
        <v>24</v>
      </c>
      <c r="J1912">
        <v>3317</v>
      </c>
      <c r="K1912" s="1" t="s">
        <v>105</v>
      </c>
      <c r="L1912" s="1" t="s">
        <v>23</v>
      </c>
      <c r="M1912">
        <v>0</v>
      </c>
      <c r="N1912">
        <v>0</v>
      </c>
      <c r="O1912">
        <v>0</v>
      </c>
      <c r="P1912" s="2">
        <v>42064</v>
      </c>
      <c r="Q1912">
        <v>0</v>
      </c>
      <c r="R1912" s="1" t="s">
        <v>61</v>
      </c>
    </row>
    <row r="1913" spans="1:18" x14ac:dyDescent="0.25">
      <c r="A1913">
        <v>2015</v>
      </c>
      <c r="B1913">
        <v>4</v>
      </c>
      <c r="C1913" s="1" t="s">
        <v>27</v>
      </c>
      <c r="D1913" s="1" t="s">
        <v>19</v>
      </c>
      <c r="E1913" s="1" t="s">
        <v>104</v>
      </c>
      <c r="F1913">
        <v>2016</v>
      </c>
      <c r="G1913">
        <v>0</v>
      </c>
      <c r="H1913" s="1" t="s">
        <v>59</v>
      </c>
      <c r="I1913">
        <v>24</v>
      </c>
      <c r="J1913">
        <v>3317</v>
      </c>
      <c r="K1913" s="1" t="s">
        <v>105</v>
      </c>
      <c r="L1913" s="1" t="s">
        <v>23</v>
      </c>
      <c r="M1913">
        <v>0</v>
      </c>
      <c r="N1913">
        <v>0</v>
      </c>
      <c r="O1913">
        <v>0</v>
      </c>
      <c r="P1913" s="2">
        <v>42095</v>
      </c>
      <c r="Q1913">
        <v>0</v>
      </c>
      <c r="R1913" s="1" t="s">
        <v>61</v>
      </c>
    </row>
    <row r="1914" spans="1:18" x14ac:dyDescent="0.25">
      <c r="A1914">
        <v>2015</v>
      </c>
      <c r="B1914">
        <v>5</v>
      </c>
      <c r="C1914" s="1" t="s">
        <v>28</v>
      </c>
      <c r="D1914" s="1" t="s">
        <v>19</v>
      </c>
      <c r="E1914" s="1" t="s">
        <v>104</v>
      </c>
      <c r="F1914">
        <v>2016</v>
      </c>
      <c r="G1914">
        <v>0</v>
      </c>
      <c r="H1914" s="1" t="s">
        <v>59</v>
      </c>
      <c r="I1914">
        <v>24</v>
      </c>
      <c r="J1914">
        <v>3317</v>
      </c>
      <c r="K1914" s="1" t="s">
        <v>105</v>
      </c>
      <c r="L1914" s="1" t="s">
        <v>23</v>
      </c>
      <c r="M1914">
        <v>0</v>
      </c>
      <c r="N1914">
        <v>0</v>
      </c>
      <c r="O1914">
        <v>0</v>
      </c>
      <c r="P1914" s="2">
        <v>42125</v>
      </c>
      <c r="Q1914">
        <v>0</v>
      </c>
      <c r="R1914" s="1" t="s">
        <v>61</v>
      </c>
    </row>
    <row r="1915" spans="1:18" x14ac:dyDescent="0.25">
      <c r="A1915">
        <v>2015</v>
      </c>
      <c r="B1915">
        <v>6</v>
      </c>
      <c r="C1915" s="1" t="s">
        <v>29</v>
      </c>
      <c r="D1915" s="1" t="s">
        <v>19</v>
      </c>
      <c r="E1915" s="1" t="s">
        <v>104</v>
      </c>
      <c r="F1915">
        <v>2016</v>
      </c>
      <c r="G1915">
        <v>0</v>
      </c>
      <c r="H1915" s="1" t="s">
        <v>59</v>
      </c>
      <c r="I1915">
        <v>24</v>
      </c>
      <c r="J1915">
        <v>3317</v>
      </c>
      <c r="K1915" s="1" t="s">
        <v>105</v>
      </c>
      <c r="L1915" s="1" t="s">
        <v>23</v>
      </c>
      <c r="M1915">
        <v>0</v>
      </c>
      <c r="N1915">
        <v>0</v>
      </c>
      <c r="O1915">
        <v>0</v>
      </c>
      <c r="P1915" s="2">
        <v>42156</v>
      </c>
      <c r="Q1915">
        <v>0</v>
      </c>
      <c r="R1915" s="1" t="s">
        <v>61</v>
      </c>
    </row>
    <row r="1916" spans="1:18" x14ac:dyDescent="0.25">
      <c r="A1916">
        <v>2015</v>
      </c>
      <c r="B1916">
        <v>7</v>
      </c>
      <c r="C1916" s="1" t="s">
        <v>30</v>
      </c>
      <c r="D1916" s="1" t="s">
        <v>19</v>
      </c>
      <c r="E1916" s="1" t="s">
        <v>104</v>
      </c>
      <c r="F1916">
        <v>2016</v>
      </c>
      <c r="G1916">
        <v>0</v>
      </c>
      <c r="H1916" s="1" t="s">
        <v>59</v>
      </c>
      <c r="I1916">
        <v>24</v>
      </c>
      <c r="J1916">
        <v>3317</v>
      </c>
      <c r="K1916" s="1" t="s">
        <v>105</v>
      </c>
      <c r="L1916" s="1" t="s">
        <v>23</v>
      </c>
      <c r="M1916">
        <v>0</v>
      </c>
      <c r="N1916">
        <v>0</v>
      </c>
      <c r="O1916">
        <v>0</v>
      </c>
      <c r="P1916" s="2">
        <v>42186</v>
      </c>
      <c r="Q1916">
        <v>0</v>
      </c>
      <c r="R1916" s="1" t="s">
        <v>61</v>
      </c>
    </row>
    <row r="1917" spans="1:18" x14ac:dyDescent="0.25">
      <c r="A1917">
        <v>2015</v>
      </c>
      <c r="B1917">
        <v>8</v>
      </c>
      <c r="C1917" s="1" t="s">
        <v>31</v>
      </c>
      <c r="D1917" s="1" t="s">
        <v>19</v>
      </c>
      <c r="E1917" s="1" t="s">
        <v>104</v>
      </c>
      <c r="F1917">
        <v>2016</v>
      </c>
      <c r="G1917">
        <v>0</v>
      </c>
      <c r="H1917" s="1" t="s">
        <v>59</v>
      </c>
      <c r="I1917">
        <v>24</v>
      </c>
      <c r="J1917">
        <v>3317</v>
      </c>
      <c r="K1917" s="1" t="s">
        <v>105</v>
      </c>
      <c r="L1917" s="1" t="s">
        <v>23</v>
      </c>
      <c r="M1917">
        <v>0</v>
      </c>
      <c r="N1917">
        <v>0</v>
      </c>
      <c r="O1917">
        <v>0</v>
      </c>
      <c r="P1917" s="2">
        <v>42217</v>
      </c>
      <c r="Q1917">
        <v>0</v>
      </c>
      <c r="R1917" s="1" t="s">
        <v>61</v>
      </c>
    </row>
    <row r="1918" spans="1:18" x14ac:dyDescent="0.25">
      <c r="A1918">
        <v>2015</v>
      </c>
      <c r="B1918">
        <v>9</v>
      </c>
      <c r="C1918" s="1" t="s">
        <v>32</v>
      </c>
      <c r="D1918" s="1" t="s">
        <v>19</v>
      </c>
      <c r="E1918" s="1" t="s">
        <v>104</v>
      </c>
      <c r="F1918">
        <v>2016</v>
      </c>
      <c r="G1918">
        <v>0</v>
      </c>
      <c r="H1918" s="1" t="s">
        <v>59</v>
      </c>
      <c r="I1918">
        <v>24</v>
      </c>
      <c r="J1918">
        <v>3317</v>
      </c>
      <c r="K1918" s="1" t="s">
        <v>105</v>
      </c>
      <c r="L1918" s="1" t="s">
        <v>23</v>
      </c>
      <c r="M1918">
        <v>0</v>
      </c>
      <c r="N1918">
        <v>0</v>
      </c>
      <c r="O1918">
        <v>0</v>
      </c>
      <c r="P1918" s="2">
        <v>42248</v>
      </c>
      <c r="Q1918">
        <v>0</v>
      </c>
      <c r="R1918" s="1" t="s">
        <v>61</v>
      </c>
    </row>
    <row r="1919" spans="1:18" x14ac:dyDescent="0.25">
      <c r="A1919">
        <v>2015</v>
      </c>
      <c r="B1919">
        <v>10</v>
      </c>
      <c r="C1919" s="1" t="s">
        <v>33</v>
      </c>
      <c r="D1919" s="1" t="s">
        <v>19</v>
      </c>
      <c r="E1919" s="1" t="s">
        <v>104</v>
      </c>
      <c r="F1919">
        <v>2016</v>
      </c>
      <c r="G1919">
        <v>0</v>
      </c>
      <c r="H1919" s="1" t="s">
        <v>59</v>
      </c>
      <c r="I1919">
        <v>24</v>
      </c>
      <c r="J1919">
        <v>3317</v>
      </c>
      <c r="K1919" s="1" t="s">
        <v>105</v>
      </c>
      <c r="L1919" s="1" t="s">
        <v>23</v>
      </c>
      <c r="M1919">
        <v>0</v>
      </c>
      <c r="N1919">
        <v>0</v>
      </c>
      <c r="O1919">
        <v>0</v>
      </c>
      <c r="P1919" s="2">
        <v>42278</v>
      </c>
      <c r="Q1919">
        <v>0</v>
      </c>
      <c r="R1919" s="1" t="s">
        <v>61</v>
      </c>
    </row>
    <row r="1920" spans="1:18" x14ac:dyDescent="0.25">
      <c r="A1920">
        <v>2015</v>
      </c>
      <c r="B1920">
        <v>11</v>
      </c>
      <c r="C1920" s="1" t="s">
        <v>34</v>
      </c>
      <c r="D1920" s="1" t="s">
        <v>19</v>
      </c>
      <c r="E1920" s="1" t="s">
        <v>104</v>
      </c>
      <c r="F1920">
        <v>2016</v>
      </c>
      <c r="G1920">
        <v>0</v>
      </c>
      <c r="H1920" s="1" t="s">
        <v>59</v>
      </c>
      <c r="I1920">
        <v>24</v>
      </c>
      <c r="J1920">
        <v>3317</v>
      </c>
      <c r="K1920" s="1" t="s">
        <v>105</v>
      </c>
      <c r="L1920" s="1" t="s">
        <v>23</v>
      </c>
      <c r="M1920">
        <v>0</v>
      </c>
      <c r="N1920">
        <v>0</v>
      </c>
      <c r="O1920">
        <v>0</v>
      </c>
      <c r="P1920" s="2">
        <v>42309</v>
      </c>
      <c r="Q1920">
        <v>0</v>
      </c>
      <c r="R1920" s="1" t="s">
        <v>61</v>
      </c>
    </row>
    <row r="1921" spans="1:18" x14ac:dyDescent="0.25">
      <c r="A1921">
        <v>2015</v>
      </c>
      <c r="B1921">
        <v>12</v>
      </c>
      <c r="C1921" s="1" t="s">
        <v>35</v>
      </c>
      <c r="D1921" s="1" t="s">
        <v>19</v>
      </c>
      <c r="E1921" s="1" t="s">
        <v>104</v>
      </c>
      <c r="F1921">
        <v>2016</v>
      </c>
      <c r="G1921">
        <v>0</v>
      </c>
      <c r="H1921" s="1" t="s">
        <v>59</v>
      </c>
      <c r="I1921">
        <v>24</v>
      </c>
      <c r="J1921">
        <v>3317</v>
      </c>
      <c r="K1921" s="1" t="s">
        <v>105</v>
      </c>
      <c r="L1921" s="1" t="s">
        <v>23</v>
      </c>
      <c r="M1921">
        <v>0</v>
      </c>
      <c r="N1921">
        <v>0</v>
      </c>
      <c r="O1921">
        <v>0</v>
      </c>
      <c r="P1921" s="2">
        <v>42339</v>
      </c>
      <c r="Q1921">
        <v>0</v>
      </c>
      <c r="R1921" s="1" t="s">
        <v>61</v>
      </c>
    </row>
    <row r="1922" spans="1:18" x14ac:dyDescent="0.25">
      <c r="A1922">
        <v>2015</v>
      </c>
      <c r="B1922">
        <v>1</v>
      </c>
      <c r="C1922" s="1" t="s">
        <v>18</v>
      </c>
      <c r="D1922" s="1" t="s">
        <v>19</v>
      </c>
      <c r="E1922" s="1" t="s">
        <v>106</v>
      </c>
      <c r="F1922">
        <v>2016</v>
      </c>
      <c r="G1922">
        <v>0</v>
      </c>
      <c r="H1922" s="1" t="s">
        <v>59</v>
      </c>
      <c r="I1922">
        <v>17</v>
      </c>
      <c r="J1922">
        <v>2219</v>
      </c>
      <c r="K1922" s="1" t="s">
        <v>107</v>
      </c>
      <c r="L1922" s="1" t="s">
        <v>23</v>
      </c>
      <c r="M1922">
        <v>0</v>
      </c>
      <c r="N1922">
        <v>0</v>
      </c>
      <c r="O1922">
        <v>0</v>
      </c>
      <c r="P1922" s="2">
        <v>42005</v>
      </c>
      <c r="Q1922">
        <v>0</v>
      </c>
      <c r="R1922" s="1" t="s">
        <v>61</v>
      </c>
    </row>
    <row r="1923" spans="1:18" x14ac:dyDescent="0.25">
      <c r="A1923">
        <v>2015</v>
      </c>
      <c r="B1923">
        <v>2</v>
      </c>
      <c r="C1923" s="1" t="s">
        <v>25</v>
      </c>
      <c r="D1923" s="1" t="s">
        <v>19</v>
      </c>
      <c r="E1923" s="1" t="s">
        <v>106</v>
      </c>
      <c r="F1923">
        <v>2016</v>
      </c>
      <c r="G1923">
        <v>0</v>
      </c>
      <c r="H1923" s="1" t="s">
        <v>59</v>
      </c>
      <c r="I1923">
        <v>17</v>
      </c>
      <c r="J1923">
        <v>2219</v>
      </c>
      <c r="K1923" s="1" t="s">
        <v>107</v>
      </c>
      <c r="L1923" s="1" t="s">
        <v>23</v>
      </c>
      <c r="M1923">
        <v>0</v>
      </c>
      <c r="N1923">
        <v>0</v>
      </c>
      <c r="O1923">
        <v>0</v>
      </c>
      <c r="P1923" s="2">
        <v>42036</v>
      </c>
      <c r="Q1923">
        <v>0</v>
      </c>
      <c r="R1923" s="1" t="s">
        <v>61</v>
      </c>
    </row>
    <row r="1924" spans="1:18" x14ac:dyDescent="0.25">
      <c r="A1924">
        <v>2015</v>
      </c>
      <c r="B1924">
        <v>3</v>
      </c>
      <c r="C1924" s="1" t="s">
        <v>26</v>
      </c>
      <c r="D1924" s="1" t="s">
        <v>19</v>
      </c>
      <c r="E1924" s="1" t="s">
        <v>106</v>
      </c>
      <c r="F1924">
        <v>2016</v>
      </c>
      <c r="G1924">
        <v>0</v>
      </c>
      <c r="H1924" s="1" t="s">
        <v>59</v>
      </c>
      <c r="I1924">
        <v>17</v>
      </c>
      <c r="J1924">
        <v>2219</v>
      </c>
      <c r="K1924" s="1" t="s">
        <v>107</v>
      </c>
      <c r="L1924" s="1" t="s">
        <v>23</v>
      </c>
      <c r="M1924">
        <v>0</v>
      </c>
      <c r="N1924">
        <v>0</v>
      </c>
      <c r="O1924">
        <v>0</v>
      </c>
      <c r="P1924" s="2">
        <v>42064</v>
      </c>
      <c r="Q1924">
        <v>0</v>
      </c>
      <c r="R1924" s="1" t="s">
        <v>61</v>
      </c>
    </row>
    <row r="1925" spans="1:18" x14ac:dyDescent="0.25">
      <c r="A1925">
        <v>2015</v>
      </c>
      <c r="B1925">
        <v>4</v>
      </c>
      <c r="C1925" s="1" t="s">
        <v>27</v>
      </c>
      <c r="D1925" s="1" t="s">
        <v>19</v>
      </c>
      <c r="E1925" s="1" t="s">
        <v>106</v>
      </c>
      <c r="F1925">
        <v>2016</v>
      </c>
      <c r="G1925">
        <v>0</v>
      </c>
      <c r="H1925" s="1" t="s">
        <v>59</v>
      </c>
      <c r="I1925">
        <v>17</v>
      </c>
      <c r="J1925">
        <v>2219</v>
      </c>
      <c r="K1925" s="1" t="s">
        <v>107</v>
      </c>
      <c r="L1925" s="1" t="s">
        <v>23</v>
      </c>
      <c r="M1925">
        <v>0</v>
      </c>
      <c r="N1925">
        <v>0</v>
      </c>
      <c r="O1925">
        <v>0</v>
      </c>
      <c r="P1925" s="2">
        <v>42095</v>
      </c>
      <c r="Q1925">
        <v>0</v>
      </c>
      <c r="R1925" s="1" t="s">
        <v>61</v>
      </c>
    </row>
    <row r="1926" spans="1:18" x14ac:dyDescent="0.25">
      <c r="A1926">
        <v>2015</v>
      </c>
      <c r="B1926">
        <v>5</v>
      </c>
      <c r="C1926" s="1" t="s">
        <v>28</v>
      </c>
      <c r="D1926" s="1" t="s">
        <v>19</v>
      </c>
      <c r="E1926" s="1" t="s">
        <v>106</v>
      </c>
      <c r="F1926">
        <v>2016</v>
      </c>
      <c r="G1926">
        <v>0</v>
      </c>
      <c r="H1926" s="1" t="s">
        <v>59</v>
      </c>
      <c r="I1926">
        <v>17</v>
      </c>
      <c r="J1926">
        <v>2219</v>
      </c>
      <c r="K1926" s="1" t="s">
        <v>107</v>
      </c>
      <c r="L1926" s="1" t="s">
        <v>23</v>
      </c>
      <c r="M1926">
        <v>0</v>
      </c>
      <c r="N1926">
        <v>0</v>
      </c>
      <c r="O1926">
        <v>0</v>
      </c>
      <c r="P1926" s="2">
        <v>42125</v>
      </c>
      <c r="Q1926">
        <v>0</v>
      </c>
      <c r="R1926" s="1" t="s">
        <v>61</v>
      </c>
    </row>
    <row r="1927" spans="1:18" x14ac:dyDescent="0.25">
      <c r="A1927">
        <v>2015</v>
      </c>
      <c r="B1927">
        <v>6</v>
      </c>
      <c r="C1927" s="1" t="s">
        <v>29</v>
      </c>
      <c r="D1927" s="1" t="s">
        <v>19</v>
      </c>
      <c r="E1927" s="1" t="s">
        <v>106</v>
      </c>
      <c r="F1927">
        <v>2016</v>
      </c>
      <c r="G1927">
        <v>0</v>
      </c>
      <c r="H1927" s="1" t="s">
        <v>59</v>
      </c>
      <c r="I1927">
        <v>17</v>
      </c>
      <c r="J1927">
        <v>2219</v>
      </c>
      <c r="K1927" s="1" t="s">
        <v>107</v>
      </c>
      <c r="L1927" s="1" t="s">
        <v>23</v>
      </c>
      <c r="M1927">
        <v>0</v>
      </c>
      <c r="N1927">
        <v>0</v>
      </c>
      <c r="O1927">
        <v>0</v>
      </c>
      <c r="P1927" s="2">
        <v>42156</v>
      </c>
      <c r="Q1927">
        <v>0</v>
      </c>
      <c r="R1927" s="1" t="s">
        <v>61</v>
      </c>
    </row>
    <row r="1928" spans="1:18" x14ac:dyDescent="0.25">
      <c r="A1928">
        <v>2015</v>
      </c>
      <c r="B1928">
        <v>7</v>
      </c>
      <c r="C1928" s="1" t="s">
        <v>30</v>
      </c>
      <c r="D1928" s="1" t="s">
        <v>19</v>
      </c>
      <c r="E1928" s="1" t="s">
        <v>106</v>
      </c>
      <c r="F1928">
        <v>2016</v>
      </c>
      <c r="G1928">
        <v>0</v>
      </c>
      <c r="H1928" s="1" t="s">
        <v>59</v>
      </c>
      <c r="I1928">
        <v>17</v>
      </c>
      <c r="J1928">
        <v>2219</v>
      </c>
      <c r="K1928" s="1" t="s">
        <v>107</v>
      </c>
      <c r="L1928" s="1" t="s">
        <v>23</v>
      </c>
      <c r="M1928">
        <v>0</v>
      </c>
      <c r="N1928">
        <v>0</v>
      </c>
      <c r="O1928">
        <v>0</v>
      </c>
      <c r="P1928" s="2">
        <v>42186</v>
      </c>
      <c r="Q1928">
        <v>0</v>
      </c>
      <c r="R1928" s="1" t="s">
        <v>61</v>
      </c>
    </row>
    <row r="1929" spans="1:18" x14ac:dyDescent="0.25">
      <c r="A1929">
        <v>2015</v>
      </c>
      <c r="B1929">
        <v>8</v>
      </c>
      <c r="C1929" s="1" t="s">
        <v>31</v>
      </c>
      <c r="D1929" s="1" t="s">
        <v>19</v>
      </c>
      <c r="E1929" s="1" t="s">
        <v>106</v>
      </c>
      <c r="F1929">
        <v>2016</v>
      </c>
      <c r="G1929">
        <v>0</v>
      </c>
      <c r="H1929" s="1" t="s">
        <v>59</v>
      </c>
      <c r="I1929">
        <v>17</v>
      </c>
      <c r="J1929">
        <v>2219</v>
      </c>
      <c r="K1929" s="1" t="s">
        <v>107</v>
      </c>
      <c r="L1929" s="1" t="s">
        <v>23</v>
      </c>
      <c r="M1929">
        <v>0</v>
      </c>
      <c r="N1929">
        <v>0</v>
      </c>
      <c r="O1929">
        <v>0</v>
      </c>
      <c r="P1929" s="2">
        <v>42217</v>
      </c>
      <c r="Q1929">
        <v>0</v>
      </c>
      <c r="R1929" s="1" t="s">
        <v>61</v>
      </c>
    </row>
    <row r="1930" spans="1:18" x14ac:dyDescent="0.25">
      <c r="A1930">
        <v>2015</v>
      </c>
      <c r="B1930">
        <v>9</v>
      </c>
      <c r="C1930" s="1" t="s">
        <v>32</v>
      </c>
      <c r="D1930" s="1" t="s">
        <v>19</v>
      </c>
      <c r="E1930" s="1" t="s">
        <v>106</v>
      </c>
      <c r="F1930">
        <v>2016</v>
      </c>
      <c r="G1930">
        <v>0</v>
      </c>
      <c r="H1930" s="1" t="s">
        <v>59</v>
      </c>
      <c r="I1930">
        <v>17</v>
      </c>
      <c r="J1930">
        <v>2219</v>
      </c>
      <c r="K1930" s="1" t="s">
        <v>107</v>
      </c>
      <c r="L1930" s="1" t="s">
        <v>23</v>
      </c>
      <c r="M1930">
        <v>0</v>
      </c>
      <c r="N1930">
        <v>0</v>
      </c>
      <c r="O1930">
        <v>0</v>
      </c>
      <c r="P1930" s="2">
        <v>42248</v>
      </c>
      <c r="Q1930">
        <v>0</v>
      </c>
      <c r="R1930" s="1" t="s">
        <v>61</v>
      </c>
    </row>
    <row r="1931" spans="1:18" x14ac:dyDescent="0.25">
      <c r="A1931">
        <v>2015</v>
      </c>
      <c r="B1931">
        <v>10</v>
      </c>
      <c r="C1931" s="1" t="s">
        <v>33</v>
      </c>
      <c r="D1931" s="1" t="s">
        <v>19</v>
      </c>
      <c r="E1931" s="1" t="s">
        <v>106</v>
      </c>
      <c r="F1931">
        <v>2016</v>
      </c>
      <c r="G1931">
        <v>0</v>
      </c>
      <c r="H1931" s="1" t="s">
        <v>59</v>
      </c>
      <c r="I1931">
        <v>17</v>
      </c>
      <c r="J1931">
        <v>2219</v>
      </c>
      <c r="K1931" s="1" t="s">
        <v>107</v>
      </c>
      <c r="L1931" s="1" t="s">
        <v>23</v>
      </c>
      <c r="M1931">
        <v>0</v>
      </c>
      <c r="N1931">
        <v>0</v>
      </c>
      <c r="O1931">
        <v>0</v>
      </c>
      <c r="P1931" s="2">
        <v>42278</v>
      </c>
      <c r="Q1931">
        <v>0</v>
      </c>
      <c r="R1931" s="1" t="s">
        <v>61</v>
      </c>
    </row>
    <row r="1932" spans="1:18" x14ac:dyDescent="0.25">
      <c r="A1932">
        <v>2015</v>
      </c>
      <c r="B1932">
        <v>11</v>
      </c>
      <c r="C1932" s="1" t="s">
        <v>34</v>
      </c>
      <c r="D1932" s="1" t="s">
        <v>19</v>
      </c>
      <c r="E1932" s="1" t="s">
        <v>106</v>
      </c>
      <c r="F1932">
        <v>2016</v>
      </c>
      <c r="G1932">
        <v>0</v>
      </c>
      <c r="H1932" s="1" t="s">
        <v>59</v>
      </c>
      <c r="I1932">
        <v>17</v>
      </c>
      <c r="J1932">
        <v>2219</v>
      </c>
      <c r="K1932" s="1" t="s">
        <v>107</v>
      </c>
      <c r="L1932" s="1" t="s">
        <v>23</v>
      </c>
      <c r="M1932">
        <v>0</v>
      </c>
      <c r="N1932">
        <v>0</v>
      </c>
      <c r="O1932">
        <v>0</v>
      </c>
      <c r="P1932" s="2">
        <v>42309</v>
      </c>
      <c r="Q1932">
        <v>0</v>
      </c>
      <c r="R1932" s="1" t="s">
        <v>61</v>
      </c>
    </row>
    <row r="1933" spans="1:18" x14ac:dyDescent="0.25">
      <c r="A1933">
        <v>2015</v>
      </c>
      <c r="B1933">
        <v>12</v>
      </c>
      <c r="C1933" s="1" t="s">
        <v>35</v>
      </c>
      <c r="D1933" s="1" t="s">
        <v>19</v>
      </c>
      <c r="E1933" s="1" t="s">
        <v>106</v>
      </c>
      <c r="F1933">
        <v>2016</v>
      </c>
      <c r="G1933">
        <v>0</v>
      </c>
      <c r="H1933" s="1" t="s">
        <v>59</v>
      </c>
      <c r="I1933">
        <v>17</v>
      </c>
      <c r="J1933">
        <v>2219</v>
      </c>
      <c r="K1933" s="1" t="s">
        <v>107</v>
      </c>
      <c r="L1933" s="1" t="s">
        <v>23</v>
      </c>
      <c r="M1933">
        <v>0</v>
      </c>
      <c r="N1933">
        <v>0</v>
      </c>
      <c r="O1933">
        <v>0</v>
      </c>
      <c r="P1933" s="2">
        <v>42339</v>
      </c>
      <c r="Q1933">
        <v>0</v>
      </c>
      <c r="R1933" s="1" t="s">
        <v>61</v>
      </c>
    </row>
    <row r="1934" spans="1:18" x14ac:dyDescent="0.25">
      <c r="A1934">
        <v>2015</v>
      </c>
      <c r="B1934">
        <v>1</v>
      </c>
      <c r="C1934" s="1" t="s">
        <v>18</v>
      </c>
      <c r="D1934" s="1" t="s">
        <v>19</v>
      </c>
      <c r="E1934" s="1" t="s">
        <v>108</v>
      </c>
      <c r="F1934">
        <v>2016</v>
      </c>
      <c r="G1934">
        <v>0</v>
      </c>
      <c r="H1934" s="1" t="s">
        <v>59</v>
      </c>
      <c r="I1934">
        <v>15</v>
      </c>
      <c r="J1934">
        <v>2142</v>
      </c>
      <c r="K1934" s="1" t="s">
        <v>109</v>
      </c>
      <c r="L1934" s="1" t="s">
        <v>23</v>
      </c>
      <c r="M1934">
        <v>0</v>
      </c>
      <c r="N1934">
        <v>0</v>
      </c>
      <c r="O1934">
        <v>0</v>
      </c>
      <c r="P1934" s="2">
        <v>42005</v>
      </c>
      <c r="Q1934">
        <v>0</v>
      </c>
      <c r="R1934" s="1" t="s">
        <v>61</v>
      </c>
    </row>
    <row r="1935" spans="1:18" x14ac:dyDescent="0.25">
      <c r="A1935">
        <v>2015</v>
      </c>
      <c r="B1935">
        <v>2</v>
      </c>
      <c r="C1935" s="1" t="s">
        <v>25</v>
      </c>
      <c r="D1935" s="1" t="s">
        <v>19</v>
      </c>
      <c r="E1935" s="1" t="s">
        <v>108</v>
      </c>
      <c r="F1935">
        <v>2016</v>
      </c>
      <c r="G1935">
        <v>0</v>
      </c>
      <c r="H1935" s="1" t="s">
        <v>59</v>
      </c>
      <c r="I1935">
        <v>15</v>
      </c>
      <c r="J1935">
        <v>2142</v>
      </c>
      <c r="K1935" s="1" t="s">
        <v>109</v>
      </c>
      <c r="L1935" s="1" t="s">
        <v>23</v>
      </c>
      <c r="M1935">
        <v>0</v>
      </c>
      <c r="N1935">
        <v>0</v>
      </c>
      <c r="O1935">
        <v>0</v>
      </c>
      <c r="P1935" s="2">
        <v>42036</v>
      </c>
      <c r="Q1935">
        <v>0</v>
      </c>
      <c r="R1935" s="1" t="s">
        <v>61</v>
      </c>
    </row>
    <row r="1936" spans="1:18" x14ac:dyDescent="0.25">
      <c r="A1936">
        <v>2015</v>
      </c>
      <c r="B1936">
        <v>3</v>
      </c>
      <c r="C1936" s="1" t="s">
        <v>26</v>
      </c>
      <c r="D1936" s="1" t="s">
        <v>19</v>
      </c>
      <c r="E1936" s="1" t="s">
        <v>108</v>
      </c>
      <c r="F1936">
        <v>2016</v>
      </c>
      <c r="G1936">
        <v>0</v>
      </c>
      <c r="H1936" s="1" t="s">
        <v>59</v>
      </c>
      <c r="I1936">
        <v>15</v>
      </c>
      <c r="J1936">
        <v>2142</v>
      </c>
      <c r="K1936" s="1" t="s">
        <v>109</v>
      </c>
      <c r="L1936" s="1" t="s">
        <v>23</v>
      </c>
      <c r="M1936">
        <v>0</v>
      </c>
      <c r="N1936">
        <v>0</v>
      </c>
      <c r="O1936">
        <v>0</v>
      </c>
      <c r="P1936" s="2">
        <v>42064</v>
      </c>
      <c r="Q1936">
        <v>0</v>
      </c>
      <c r="R1936" s="1" t="s">
        <v>61</v>
      </c>
    </row>
    <row r="1937" spans="1:18" x14ac:dyDescent="0.25">
      <c r="A1937">
        <v>2015</v>
      </c>
      <c r="B1937">
        <v>4</v>
      </c>
      <c r="C1937" s="1" t="s">
        <v>27</v>
      </c>
      <c r="D1937" s="1" t="s">
        <v>19</v>
      </c>
      <c r="E1937" s="1" t="s">
        <v>108</v>
      </c>
      <c r="F1937">
        <v>2016</v>
      </c>
      <c r="G1937">
        <v>0</v>
      </c>
      <c r="H1937" s="1" t="s">
        <v>59</v>
      </c>
      <c r="I1937">
        <v>15</v>
      </c>
      <c r="J1937">
        <v>2142</v>
      </c>
      <c r="K1937" s="1" t="s">
        <v>109</v>
      </c>
      <c r="L1937" s="1" t="s">
        <v>23</v>
      </c>
      <c r="M1937">
        <v>0</v>
      </c>
      <c r="N1937">
        <v>0</v>
      </c>
      <c r="O1937">
        <v>0</v>
      </c>
      <c r="P1937" s="2">
        <v>42095</v>
      </c>
      <c r="Q1937">
        <v>0</v>
      </c>
      <c r="R1937" s="1" t="s">
        <v>61</v>
      </c>
    </row>
    <row r="1938" spans="1:18" x14ac:dyDescent="0.25">
      <c r="A1938">
        <v>2015</v>
      </c>
      <c r="B1938">
        <v>5</v>
      </c>
      <c r="C1938" s="1" t="s">
        <v>28</v>
      </c>
      <c r="D1938" s="1" t="s">
        <v>19</v>
      </c>
      <c r="E1938" s="1" t="s">
        <v>108</v>
      </c>
      <c r="F1938">
        <v>2016</v>
      </c>
      <c r="G1938">
        <v>0</v>
      </c>
      <c r="H1938" s="1" t="s">
        <v>59</v>
      </c>
      <c r="I1938">
        <v>15</v>
      </c>
      <c r="J1938">
        <v>2142</v>
      </c>
      <c r="K1938" s="1" t="s">
        <v>109</v>
      </c>
      <c r="L1938" s="1" t="s">
        <v>23</v>
      </c>
      <c r="M1938">
        <v>0</v>
      </c>
      <c r="N1938">
        <v>0</v>
      </c>
      <c r="O1938">
        <v>0</v>
      </c>
      <c r="P1938" s="2">
        <v>42125</v>
      </c>
      <c r="Q1938">
        <v>0</v>
      </c>
      <c r="R1938" s="1" t="s">
        <v>61</v>
      </c>
    </row>
    <row r="1939" spans="1:18" x14ac:dyDescent="0.25">
      <c r="A1939">
        <v>2015</v>
      </c>
      <c r="B1939">
        <v>6</v>
      </c>
      <c r="C1939" s="1" t="s">
        <v>29</v>
      </c>
      <c r="D1939" s="1" t="s">
        <v>19</v>
      </c>
      <c r="E1939" s="1" t="s">
        <v>108</v>
      </c>
      <c r="F1939">
        <v>2016</v>
      </c>
      <c r="G1939">
        <v>0</v>
      </c>
      <c r="H1939" s="1" t="s">
        <v>59</v>
      </c>
      <c r="I1939">
        <v>15</v>
      </c>
      <c r="J1939">
        <v>2142</v>
      </c>
      <c r="K1939" s="1" t="s">
        <v>109</v>
      </c>
      <c r="L1939" s="1" t="s">
        <v>23</v>
      </c>
      <c r="M1939">
        <v>0</v>
      </c>
      <c r="N1939">
        <v>0</v>
      </c>
      <c r="O1939">
        <v>0</v>
      </c>
      <c r="P1939" s="2">
        <v>42156</v>
      </c>
      <c r="Q1939">
        <v>0</v>
      </c>
      <c r="R1939" s="1" t="s">
        <v>61</v>
      </c>
    </row>
    <row r="1940" spans="1:18" x14ac:dyDescent="0.25">
      <c r="A1940">
        <v>2015</v>
      </c>
      <c r="B1940">
        <v>7</v>
      </c>
      <c r="C1940" s="1" t="s">
        <v>30</v>
      </c>
      <c r="D1940" s="1" t="s">
        <v>19</v>
      </c>
      <c r="E1940" s="1" t="s">
        <v>108</v>
      </c>
      <c r="F1940">
        <v>2016</v>
      </c>
      <c r="G1940">
        <v>0</v>
      </c>
      <c r="H1940" s="1" t="s">
        <v>59</v>
      </c>
      <c r="I1940">
        <v>15</v>
      </c>
      <c r="J1940">
        <v>2142</v>
      </c>
      <c r="K1940" s="1" t="s">
        <v>109</v>
      </c>
      <c r="L1940" s="1" t="s">
        <v>23</v>
      </c>
      <c r="M1940">
        <v>0</v>
      </c>
      <c r="N1940">
        <v>0</v>
      </c>
      <c r="O1940">
        <v>0</v>
      </c>
      <c r="P1940" s="2">
        <v>42186</v>
      </c>
      <c r="Q1940">
        <v>0</v>
      </c>
      <c r="R1940" s="1" t="s">
        <v>61</v>
      </c>
    </row>
    <row r="1941" spans="1:18" x14ac:dyDescent="0.25">
      <c r="A1941">
        <v>2015</v>
      </c>
      <c r="B1941">
        <v>8</v>
      </c>
      <c r="C1941" s="1" t="s">
        <v>31</v>
      </c>
      <c r="D1941" s="1" t="s">
        <v>19</v>
      </c>
      <c r="E1941" s="1" t="s">
        <v>108</v>
      </c>
      <c r="F1941">
        <v>2016</v>
      </c>
      <c r="G1941">
        <v>0</v>
      </c>
      <c r="H1941" s="1" t="s">
        <v>59</v>
      </c>
      <c r="I1941">
        <v>15</v>
      </c>
      <c r="J1941">
        <v>2142</v>
      </c>
      <c r="K1941" s="1" t="s">
        <v>109</v>
      </c>
      <c r="L1941" s="1" t="s">
        <v>23</v>
      </c>
      <c r="M1941">
        <v>0</v>
      </c>
      <c r="N1941">
        <v>0</v>
      </c>
      <c r="O1941">
        <v>0</v>
      </c>
      <c r="P1941" s="2">
        <v>42217</v>
      </c>
      <c r="Q1941">
        <v>0</v>
      </c>
      <c r="R1941" s="1" t="s">
        <v>61</v>
      </c>
    </row>
    <row r="1942" spans="1:18" x14ac:dyDescent="0.25">
      <c r="A1942">
        <v>2015</v>
      </c>
      <c r="B1942">
        <v>9</v>
      </c>
      <c r="C1942" s="1" t="s">
        <v>32</v>
      </c>
      <c r="D1942" s="1" t="s">
        <v>19</v>
      </c>
      <c r="E1942" s="1" t="s">
        <v>108</v>
      </c>
      <c r="F1942">
        <v>2016</v>
      </c>
      <c r="G1942">
        <v>0</v>
      </c>
      <c r="H1942" s="1" t="s">
        <v>59</v>
      </c>
      <c r="I1942">
        <v>15</v>
      </c>
      <c r="J1942">
        <v>2142</v>
      </c>
      <c r="K1942" s="1" t="s">
        <v>109</v>
      </c>
      <c r="L1942" s="1" t="s">
        <v>23</v>
      </c>
      <c r="M1942">
        <v>0</v>
      </c>
      <c r="N1942">
        <v>0</v>
      </c>
      <c r="O1942">
        <v>0</v>
      </c>
      <c r="P1942" s="2">
        <v>42248</v>
      </c>
      <c r="Q1942">
        <v>0</v>
      </c>
      <c r="R1942" s="1" t="s">
        <v>61</v>
      </c>
    </row>
    <row r="1943" spans="1:18" x14ac:dyDescent="0.25">
      <c r="A1943">
        <v>2015</v>
      </c>
      <c r="B1943">
        <v>10</v>
      </c>
      <c r="C1943" s="1" t="s">
        <v>33</v>
      </c>
      <c r="D1943" s="1" t="s">
        <v>19</v>
      </c>
      <c r="E1943" s="1" t="s">
        <v>108</v>
      </c>
      <c r="F1943">
        <v>2016</v>
      </c>
      <c r="G1943">
        <v>0</v>
      </c>
      <c r="H1943" s="1" t="s">
        <v>59</v>
      </c>
      <c r="I1943">
        <v>15</v>
      </c>
      <c r="J1943">
        <v>2142</v>
      </c>
      <c r="K1943" s="1" t="s">
        <v>109</v>
      </c>
      <c r="L1943" s="1" t="s">
        <v>23</v>
      </c>
      <c r="M1943">
        <v>0</v>
      </c>
      <c r="N1943">
        <v>0</v>
      </c>
      <c r="O1943">
        <v>0</v>
      </c>
      <c r="P1943" s="2">
        <v>42278</v>
      </c>
      <c r="Q1943">
        <v>0</v>
      </c>
      <c r="R1943" s="1" t="s">
        <v>61</v>
      </c>
    </row>
    <row r="1944" spans="1:18" x14ac:dyDescent="0.25">
      <c r="A1944">
        <v>2015</v>
      </c>
      <c r="B1944">
        <v>11</v>
      </c>
      <c r="C1944" s="1" t="s">
        <v>34</v>
      </c>
      <c r="D1944" s="1" t="s">
        <v>19</v>
      </c>
      <c r="E1944" s="1" t="s">
        <v>108</v>
      </c>
      <c r="F1944">
        <v>2016</v>
      </c>
      <c r="G1944">
        <v>0</v>
      </c>
      <c r="H1944" s="1" t="s">
        <v>59</v>
      </c>
      <c r="I1944">
        <v>15</v>
      </c>
      <c r="J1944">
        <v>2142</v>
      </c>
      <c r="K1944" s="1" t="s">
        <v>109</v>
      </c>
      <c r="L1944" s="1" t="s">
        <v>23</v>
      </c>
      <c r="M1944">
        <v>0</v>
      </c>
      <c r="N1944">
        <v>0</v>
      </c>
      <c r="O1944">
        <v>0</v>
      </c>
      <c r="P1944" s="2">
        <v>42309</v>
      </c>
      <c r="Q1944">
        <v>0</v>
      </c>
      <c r="R1944" s="1" t="s">
        <v>61</v>
      </c>
    </row>
    <row r="1945" spans="1:18" x14ac:dyDescent="0.25">
      <c r="A1945">
        <v>2015</v>
      </c>
      <c r="B1945">
        <v>12</v>
      </c>
      <c r="C1945" s="1" t="s">
        <v>35</v>
      </c>
      <c r="D1945" s="1" t="s">
        <v>19</v>
      </c>
      <c r="E1945" s="1" t="s">
        <v>108</v>
      </c>
      <c r="F1945">
        <v>2016</v>
      </c>
      <c r="G1945">
        <v>0</v>
      </c>
      <c r="H1945" s="1" t="s">
        <v>59</v>
      </c>
      <c r="I1945">
        <v>15</v>
      </c>
      <c r="J1945">
        <v>2142</v>
      </c>
      <c r="K1945" s="1" t="s">
        <v>109</v>
      </c>
      <c r="L1945" s="1" t="s">
        <v>23</v>
      </c>
      <c r="M1945">
        <v>0</v>
      </c>
      <c r="N1945">
        <v>0</v>
      </c>
      <c r="O1945">
        <v>0</v>
      </c>
      <c r="P1945" s="2">
        <v>42339</v>
      </c>
      <c r="Q1945">
        <v>0</v>
      </c>
      <c r="R1945" s="1" t="s">
        <v>61</v>
      </c>
    </row>
    <row r="1946" spans="1:18" x14ac:dyDescent="0.25">
      <c r="A1946">
        <v>2015</v>
      </c>
      <c r="B1946">
        <v>1</v>
      </c>
      <c r="C1946" s="1" t="s">
        <v>18</v>
      </c>
      <c r="D1946" s="1" t="s">
        <v>19</v>
      </c>
      <c r="E1946" s="1" t="s">
        <v>110</v>
      </c>
      <c r="F1946">
        <v>2016</v>
      </c>
      <c r="G1946">
        <v>0</v>
      </c>
      <c r="H1946" s="1" t="s">
        <v>59</v>
      </c>
      <c r="I1946">
        <v>24</v>
      </c>
      <c r="J1946">
        <v>3324</v>
      </c>
      <c r="K1946" s="1" t="s">
        <v>111</v>
      </c>
      <c r="L1946" s="1" t="s">
        <v>23</v>
      </c>
      <c r="M1946">
        <v>0</v>
      </c>
      <c r="N1946">
        <v>0</v>
      </c>
      <c r="O1946">
        <v>0</v>
      </c>
      <c r="P1946" s="2">
        <v>42005</v>
      </c>
      <c r="Q1946">
        <v>0</v>
      </c>
      <c r="R1946" s="1" t="s">
        <v>61</v>
      </c>
    </row>
    <row r="1947" spans="1:18" x14ac:dyDescent="0.25">
      <c r="A1947">
        <v>2015</v>
      </c>
      <c r="B1947">
        <v>2</v>
      </c>
      <c r="C1947" s="1" t="s">
        <v>25</v>
      </c>
      <c r="D1947" s="1" t="s">
        <v>19</v>
      </c>
      <c r="E1947" s="1" t="s">
        <v>110</v>
      </c>
      <c r="F1947">
        <v>2016</v>
      </c>
      <c r="G1947">
        <v>0</v>
      </c>
      <c r="H1947" s="1" t="s">
        <v>59</v>
      </c>
      <c r="I1947">
        <v>24</v>
      </c>
      <c r="J1947">
        <v>3324</v>
      </c>
      <c r="K1947" s="1" t="s">
        <v>111</v>
      </c>
      <c r="L1947" s="1" t="s">
        <v>23</v>
      </c>
      <c r="M1947">
        <v>0</v>
      </c>
      <c r="N1947">
        <v>0</v>
      </c>
      <c r="O1947">
        <v>0</v>
      </c>
      <c r="P1947" s="2">
        <v>42036</v>
      </c>
      <c r="Q1947">
        <v>0</v>
      </c>
      <c r="R1947" s="1" t="s">
        <v>61</v>
      </c>
    </row>
    <row r="1948" spans="1:18" x14ac:dyDescent="0.25">
      <c r="A1948">
        <v>2015</v>
      </c>
      <c r="B1948">
        <v>3</v>
      </c>
      <c r="C1948" s="1" t="s">
        <v>26</v>
      </c>
      <c r="D1948" s="1" t="s">
        <v>19</v>
      </c>
      <c r="E1948" s="1" t="s">
        <v>110</v>
      </c>
      <c r="F1948">
        <v>2016</v>
      </c>
      <c r="G1948">
        <v>0</v>
      </c>
      <c r="H1948" s="1" t="s">
        <v>59</v>
      </c>
      <c r="I1948">
        <v>24</v>
      </c>
      <c r="J1948">
        <v>3324</v>
      </c>
      <c r="K1948" s="1" t="s">
        <v>111</v>
      </c>
      <c r="L1948" s="1" t="s">
        <v>23</v>
      </c>
      <c r="M1948">
        <v>0</v>
      </c>
      <c r="N1948">
        <v>0</v>
      </c>
      <c r="O1948">
        <v>0</v>
      </c>
      <c r="P1948" s="2">
        <v>42064</v>
      </c>
      <c r="Q1948">
        <v>0</v>
      </c>
      <c r="R1948" s="1" t="s">
        <v>61</v>
      </c>
    </row>
    <row r="1949" spans="1:18" x14ac:dyDescent="0.25">
      <c r="A1949">
        <v>2015</v>
      </c>
      <c r="B1949">
        <v>4</v>
      </c>
      <c r="C1949" s="1" t="s">
        <v>27</v>
      </c>
      <c r="D1949" s="1" t="s">
        <v>19</v>
      </c>
      <c r="E1949" s="1" t="s">
        <v>110</v>
      </c>
      <c r="F1949">
        <v>2016</v>
      </c>
      <c r="G1949">
        <v>0</v>
      </c>
      <c r="H1949" s="1" t="s">
        <v>59</v>
      </c>
      <c r="I1949">
        <v>24</v>
      </c>
      <c r="J1949">
        <v>3324</v>
      </c>
      <c r="K1949" s="1" t="s">
        <v>111</v>
      </c>
      <c r="L1949" s="1" t="s">
        <v>23</v>
      </c>
      <c r="M1949">
        <v>0</v>
      </c>
      <c r="N1949">
        <v>0</v>
      </c>
      <c r="O1949">
        <v>0</v>
      </c>
      <c r="P1949" s="2">
        <v>42095</v>
      </c>
      <c r="Q1949">
        <v>0</v>
      </c>
      <c r="R1949" s="1" t="s">
        <v>61</v>
      </c>
    </row>
    <row r="1950" spans="1:18" x14ac:dyDescent="0.25">
      <c r="A1950">
        <v>2015</v>
      </c>
      <c r="B1950">
        <v>5</v>
      </c>
      <c r="C1950" s="1" t="s">
        <v>28</v>
      </c>
      <c r="D1950" s="1" t="s">
        <v>19</v>
      </c>
      <c r="E1950" s="1" t="s">
        <v>110</v>
      </c>
      <c r="F1950">
        <v>2016</v>
      </c>
      <c r="G1950">
        <v>0</v>
      </c>
      <c r="H1950" s="1" t="s">
        <v>59</v>
      </c>
      <c r="I1950">
        <v>24</v>
      </c>
      <c r="J1950">
        <v>3324</v>
      </c>
      <c r="K1950" s="1" t="s">
        <v>111</v>
      </c>
      <c r="L1950" s="1" t="s">
        <v>23</v>
      </c>
      <c r="M1950">
        <v>0</v>
      </c>
      <c r="N1950">
        <v>0</v>
      </c>
      <c r="O1950">
        <v>0</v>
      </c>
      <c r="P1950" s="2">
        <v>42125</v>
      </c>
      <c r="Q1950">
        <v>0</v>
      </c>
      <c r="R1950" s="1" t="s">
        <v>61</v>
      </c>
    </row>
    <row r="1951" spans="1:18" x14ac:dyDescent="0.25">
      <c r="A1951">
        <v>2015</v>
      </c>
      <c r="B1951">
        <v>6</v>
      </c>
      <c r="C1951" s="1" t="s">
        <v>29</v>
      </c>
      <c r="D1951" s="1" t="s">
        <v>19</v>
      </c>
      <c r="E1951" s="1" t="s">
        <v>110</v>
      </c>
      <c r="F1951">
        <v>2016</v>
      </c>
      <c r="G1951">
        <v>0</v>
      </c>
      <c r="H1951" s="1" t="s">
        <v>59</v>
      </c>
      <c r="I1951">
        <v>24</v>
      </c>
      <c r="J1951">
        <v>3324</v>
      </c>
      <c r="K1951" s="1" t="s">
        <v>111</v>
      </c>
      <c r="L1951" s="1" t="s">
        <v>23</v>
      </c>
      <c r="M1951">
        <v>0</v>
      </c>
      <c r="N1951">
        <v>0</v>
      </c>
      <c r="O1951">
        <v>0</v>
      </c>
      <c r="P1951" s="2">
        <v>42156</v>
      </c>
      <c r="Q1951">
        <v>0</v>
      </c>
      <c r="R1951" s="1" t="s">
        <v>61</v>
      </c>
    </row>
    <row r="1952" spans="1:18" x14ac:dyDescent="0.25">
      <c r="A1952">
        <v>2015</v>
      </c>
      <c r="B1952">
        <v>7</v>
      </c>
      <c r="C1952" s="1" t="s">
        <v>30</v>
      </c>
      <c r="D1952" s="1" t="s">
        <v>19</v>
      </c>
      <c r="E1952" s="1" t="s">
        <v>110</v>
      </c>
      <c r="F1952">
        <v>2016</v>
      </c>
      <c r="G1952">
        <v>0</v>
      </c>
      <c r="H1952" s="1" t="s">
        <v>59</v>
      </c>
      <c r="I1952">
        <v>24</v>
      </c>
      <c r="J1952">
        <v>3324</v>
      </c>
      <c r="K1952" s="1" t="s">
        <v>111</v>
      </c>
      <c r="L1952" s="1" t="s">
        <v>23</v>
      </c>
      <c r="M1952">
        <v>0</v>
      </c>
      <c r="N1952">
        <v>0</v>
      </c>
      <c r="O1952">
        <v>0</v>
      </c>
      <c r="P1952" s="2">
        <v>42186</v>
      </c>
      <c r="Q1952">
        <v>0</v>
      </c>
      <c r="R1952" s="1" t="s">
        <v>61</v>
      </c>
    </row>
    <row r="1953" spans="1:18" x14ac:dyDescent="0.25">
      <c r="A1953">
        <v>2015</v>
      </c>
      <c r="B1953">
        <v>8</v>
      </c>
      <c r="C1953" s="1" t="s">
        <v>31</v>
      </c>
      <c r="D1953" s="1" t="s">
        <v>19</v>
      </c>
      <c r="E1953" s="1" t="s">
        <v>110</v>
      </c>
      <c r="F1953">
        <v>2016</v>
      </c>
      <c r="G1953">
        <v>0</v>
      </c>
      <c r="H1953" s="1" t="s">
        <v>59</v>
      </c>
      <c r="I1953">
        <v>24</v>
      </c>
      <c r="J1953">
        <v>3324</v>
      </c>
      <c r="K1953" s="1" t="s">
        <v>111</v>
      </c>
      <c r="L1953" s="1" t="s">
        <v>23</v>
      </c>
      <c r="M1953">
        <v>0</v>
      </c>
      <c r="N1953">
        <v>0</v>
      </c>
      <c r="O1953">
        <v>0</v>
      </c>
      <c r="P1953" s="2">
        <v>42217</v>
      </c>
      <c r="Q1953">
        <v>0</v>
      </c>
      <c r="R1953" s="1" t="s">
        <v>61</v>
      </c>
    </row>
    <row r="1954" spans="1:18" x14ac:dyDescent="0.25">
      <c r="A1954">
        <v>2015</v>
      </c>
      <c r="B1954">
        <v>9</v>
      </c>
      <c r="C1954" s="1" t="s">
        <v>32</v>
      </c>
      <c r="D1954" s="1" t="s">
        <v>19</v>
      </c>
      <c r="E1954" s="1" t="s">
        <v>110</v>
      </c>
      <c r="F1954">
        <v>2016</v>
      </c>
      <c r="G1954">
        <v>0</v>
      </c>
      <c r="H1954" s="1" t="s">
        <v>59</v>
      </c>
      <c r="I1954">
        <v>24</v>
      </c>
      <c r="J1954">
        <v>3324</v>
      </c>
      <c r="K1954" s="1" t="s">
        <v>111</v>
      </c>
      <c r="L1954" s="1" t="s">
        <v>23</v>
      </c>
      <c r="M1954">
        <v>0</v>
      </c>
      <c r="N1954">
        <v>0</v>
      </c>
      <c r="O1954">
        <v>0</v>
      </c>
      <c r="P1954" s="2">
        <v>42248</v>
      </c>
      <c r="Q1954">
        <v>0</v>
      </c>
      <c r="R1954" s="1" t="s">
        <v>61</v>
      </c>
    </row>
    <row r="1955" spans="1:18" x14ac:dyDescent="0.25">
      <c r="A1955">
        <v>2015</v>
      </c>
      <c r="B1955">
        <v>10</v>
      </c>
      <c r="C1955" s="1" t="s">
        <v>33</v>
      </c>
      <c r="D1955" s="1" t="s">
        <v>19</v>
      </c>
      <c r="E1955" s="1" t="s">
        <v>110</v>
      </c>
      <c r="F1955">
        <v>2016</v>
      </c>
      <c r="G1955">
        <v>0</v>
      </c>
      <c r="H1955" s="1" t="s">
        <v>59</v>
      </c>
      <c r="I1955">
        <v>24</v>
      </c>
      <c r="J1955">
        <v>3324</v>
      </c>
      <c r="K1955" s="1" t="s">
        <v>111</v>
      </c>
      <c r="L1955" s="1" t="s">
        <v>23</v>
      </c>
      <c r="M1955">
        <v>0</v>
      </c>
      <c r="N1955">
        <v>0</v>
      </c>
      <c r="O1955">
        <v>0</v>
      </c>
      <c r="P1955" s="2">
        <v>42278</v>
      </c>
      <c r="Q1955">
        <v>0</v>
      </c>
      <c r="R1955" s="1" t="s">
        <v>61</v>
      </c>
    </row>
    <row r="1956" spans="1:18" x14ac:dyDescent="0.25">
      <c r="A1956">
        <v>2015</v>
      </c>
      <c r="B1956">
        <v>11</v>
      </c>
      <c r="C1956" s="1" t="s">
        <v>34</v>
      </c>
      <c r="D1956" s="1" t="s">
        <v>19</v>
      </c>
      <c r="E1956" s="1" t="s">
        <v>110</v>
      </c>
      <c r="F1956">
        <v>2016</v>
      </c>
      <c r="G1956">
        <v>0</v>
      </c>
      <c r="H1956" s="1" t="s">
        <v>59</v>
      </c>
      <c r="I1956">
        <v>24</v>
      </c>
      <c r="J1956">
        <v>3324</v>
      </c>
      <c r="K1956" s="1" t="s">
        <v>111</v>
      </c>
      <c r="L1956" s="1" t="s">
        <v>23</v>
      </c>
      <c r="M1956">
        <v>0</v>
      </c>
      <c r="N1956">
        <v>0</v>
      </c>
      <c r="O1956">
        <v>0</v>
      </c>
      <c r="P1956" s="2">
        <v>42309</v>
      </c>
      <c r="Q1956">
        <v>0</v>
      </c>
      <c r="R1956" s="1" t="s">
        <v>61</v>
      </c>
    </row>
    <row r="1957" spans="1:18" x14ac:dyDescent="0.25">
      <c r="A1957">
        <v>2015</v>
      </c>
      <c r="B1957">
        <v>12</v>
      </c>
      <c r="C1957" s="1" t="s">
        <v>35</v>
      </c>
      <c r="D1957" s="1" t="s">
        <v>19</v>
      </c>
      <c r="E1957" s="1" t="s">
        <v>110</v>
      </c>
      <c r="F1957">
        <v>2016</v>
      </c>
      <c r="G1957">
        <v>0</v>
      </c>
      <c r="H1957" s="1" t="s">
        <v>59</v>
      </c>
      <c r="I1957">
        <v>24</v>
      </c>
      <c r="J1957">
        <v>3324</v>
      </c>
      <c r="K1957" s="1" t="s">
        <v>111</v>
      </c>
      <c r="L1957" s="1" t="s">
        <v>23</v>
      </c>
      <c r="M1957">
        <v>0</v>
      </c>
      <c r="N1957">
        <v>0</v>
      </c>
      <c r="O1957">
        <v>0</v>
      </c>
      <c r="P1957" s="2">
        <v>42339</v>
      </c>
      <c r="Q1957">
        <v>0</v>
      </c>
      <c r="R1957" s="1" t="s">
        <v>61</v>
      </c>
    </row>
    <row r="1958" spans="1:18" x14ac:dyDescent="0.25">
      <c r="A1958">
        <v>2015</v>
      </c>
      <c r="B1958">
        <v>1</v>
      </c>
      <c r="C1958" s="1" t="s">
        <v>18</v>
      </c>
      <c r="D1958" s="1" t="s">
        <v>19</v>
      </c>
      <c r="E1958" s="1" t="s">
        <v>112</v>
      </c>
      <c r="F1958">
        <v>2016</v>
      </c>
      <c r="G1958">
        <v>0</v>
      </c>
      <c r="H1958" s="1" t="s">
        <v>59</v>
      </c>
      <c r="I1958">
        <v>20</v>
      </c>
      <c r="J1958">
        <v>2663</v>
      </c>
      <c r="K1958" s="1" t="s">
        <v>113</v>
      </c>
      <c r="L1958" s="1" t="s">
        <v>23</v>
      </c>
      <c r="M1958">
        <v>0</v>
      </c>
      <c r="N1958">
        <v>0</v>
      </c>
      <c r="O1958">
        <v>0</v>
      </c>
      <c r="P1958" s="2">
        <v>42005</v>
      </c>
      <c r="Q1958">
        <v>0</v>
      </c>
      <c r="R1958" s="1" t="s">
        <v>61</v>
      </c>
    </row>
    <row r="1959" spans="1:18" x14ac:dyDescent="0.25">
      <c r="A1959">
        <v>2015</v>
      </c>
      <c r="B1959">
        <v>2</v>
      </c>
      <c r="C1959" s="1" t="s">
        <v>25</v>
      </c>
      <c r="D1959" s="1" t="s">
        <v>19</v>
      </c>
      <c r="E1959" s="1" t="s">
        <v>112</v>
      </c>
      <c r="F1959">
        <v>2016</v>
      </c>
      <c r="G1959">
        <v>0</v>
      </c>
      <c r="H1959" s="1" t="s">
        <v>59</v>
      </c>
      <c r="I1959">
        <v>20</v>
      </c>
      <c r="J1959">
        <v>2663</v>
      </c>
      <c r="K1959" s="1" t="s">
        <v>113</v>
      </c>
      <c r="L1959" s="1" t="s">
        <v>23</v>
      </c>
      <c r="M1959">
        <v>0</v>
      </c>
      <c r="N1959">
        <v>0</v>
      </c>
      <c r="O1959">
        <v>0</v>
      </c>
      <c r="P1959" s="2">
        <v>42036</v>
      </c>
      <c r="Q1959">
        <v>0</v>
      </c>
      <c r="R1959" s="1" t="s">
        <v>61</v>
      </c>
    </row>
    <row r="1960" spans="1:18" x14ac:dyDescent="0.25">
      <c r="A1960">
        <v>2015</v>
      </c>
      <c r="B1960">
        <v>3</v>
      </c>
      <c r="C1960" s="1" t="s">
        <v>26</v>
      </c>
      <c r="D1960" s="1" t="s">
        <v>19</v>
      </c>
      <c r="E1960" s="1" t="s">
        <v>112</v>
      </c>
      <c r="F1960">
        <v>2016</v>
      </c>
      <c r="G1960">
        <v>0</v>
      </c>
      <c r="H1960" s="1" t="s">
        <v>59</v>
      </c>
      <c r="I1960">
        <v>20</v>
      </c>
      <c r="J1960">
        <v>2663</v>
      </c>
      <c r="K1960" s="1" t="s">
        <v>113</v>
      </c>
      <c r="L1960" s="1" t="s">
        <v>23</v>
      </c>
      <c r="M1960">
        <v>0</v>
      </c>
      <c r="N1960">
        <v>0</v>
      </c>
      <c r="O1960">
        <v>0</v>
      </c>
      <c r="P1960" s="2">
        <v>42064</v>
      </c>
      <c r="Q1960">
        <v>0</v>
      </c>
      <c r="R1960" s="1" t="s">
        <v>61</v>
      </c>
    </row>
    <row r="1961" spans="1:18" x14ac:dyDescent="0.25">
      <c r="A1961">
        <v>2015</v>
      </c>
      <c r="B1961">
        <v>4</v>
      </c>
      <c r="C1961" s="1" t="s">
        <v>27</v>
      </c>
      <c r="D1961" s="1" t="s">
        <v>19</v>
      </c>
      <c r="E1961" s="1" t="s">
        <v>112</v>
      </c>
      <c r="F1961">
        <v>2016</v>
      </c>
      <c r="G1961">
        <v>0</v>
      </c>
      <c r="H1961" s="1" t="s">
        <v>59</v>
      </c>
      <c r="I1961">
        <v>20</v>
      </c>
      <c r="J1961">
        <v>2663</v>
      </c>
      <c r="K1961" s="1" t="s">
        <v>113</v>
      </c>
      <c r="L1961" s="1" t="s">
        <v>23</v>
      </c>
      <c r="M1961">
        <v>0</v>
      </c>
      <c r="N1961">
        <v>0</v>
      </c>
      <c r="O1961">
        <v>0</v>
      </c>
      <c r="P1961" s="2">
        <v>42095</v>
      </c>
      <c r="Q1961">
        <v>0</v>
      </c>
      <c r="R1961" s="1" t="s">
        <v>61</v>
      </c>
    </row>
    <row r="1962" spans="1:18" x14ac:dyDescent="0.25">
      <c r="A1962">
        <v>2015</v>
      </c>
      <c r="B1962">
        <v>5</v>
      </c>
      <c r="C1962" s="1" t="s">
        <v>28</v>
      </c>
      <c r="D1962" s="1" t="s">
        <v>19</v>
      </c>
      <c r="E1962" s="1" t="s">
        <v>112</v>
      </c>
      <c r="F1962">
        <v>2016</v>
      </c>
      <c r="G1962">
        <v>0</v>
      </c>
      <c r="H1962" s="1" t="s">
        <v>59</v>
      </c>
      <c r="I1962">
        <v>20</v>
      </c>
      <c r="J1962">
        <v>2663</v>
      </c>
      <c r="K1962" s="1" t="s">
        <v>113</v>
      </c>
      <c r="L1962" s="1" t="s">
        <v>23</v>
      </c>
      <c r="M1962">
        <v>0</v>
      </c>
      <c r="N1962">
        <v>0</v>
      </c>
      <c r="O1962">
        <v>0</v>
      </c>
      <c r="P1962" s="2">
        <v>42125</v>
      </c>
      <c r="Q1962">
        <v>0</v>
      </c>
      <c r="R1962" s="1" t="s">
        <v>61</v>
      </c>
    </row>
    <row r="1963" spans="1:18" x14ac:dyDescent="0.25">
      <c r="A1963">
        <v>2015</v>
      </c>
      <c r="B1963">
        <v>6</v>
      </c>
      <c r="C1963" s="1" t="s">
        <v>29</v>
      </c>
      <c r="D1963" s="1" t="s">
        <v>19</v>
      </c>
      <c r="E1963" s="1" t="s">
        <v>112</v>
      </c>
      <c r="F1963">
        <v>2016</v>
      </c>
      <c r="G1963">
        <v>0</v>
      </c>
      <c r="H1963" s="1" t="s">
        <v>59</v>
      </c>
      <c r="I1963">
        <v>20</v>
      </c>
      <c r="J1963">
        <v>2663</v>
      </c>
      <c r="K1963" s="1" t="s">
        <v>113</v>
      </c>
      <c r="L1963" s="1" t="s">
        <v>23</v>
      </c>
      <c r="M1963">
        <v>0</v>
      </c>
      <c r="N1963">
        <v>0</v>
      </c>
      <c r="O1963">
        <v>0</v>
      </c>
      <c r="P1963" s="2">
        <v>42156</v>
      </c>
      <c r="Q1963">
        <v>0</v>
      </c>
      <c r="R1963" s="1" t="s">
        <v>61</v>
      </c>
    </row>
    <row r="1964" spans="1:18" x14ac:dyDescent="0.25">
      <c r="A1964">
        <v>2015</v>
      </c>
      <c r="B1964">
        <v>7</v>
      </c>
      <c r="C1964" s="1" t="s">
        <v>30</v>
      </c>
      <c r="D1964" s="1" t="s">
        <v>19</v>
      </c>
      <c r="E1964" s="1" t="s">
        <v>112</v>
      </c>
      <c r="F1964">
        <v>2016</v>
      </c>
      <c r="G1964">
        <v>0</v>
      </c>
      <c r="H1964" s="1" t="s">
        <v>59</v>
      </c>
      <c r="I1964">
        <v>20</v>
      </c>
      <c r="J1964">
        <v>2663</v>
      </c>
      <c r="K1964" s="1" t="s">
        <v>113</v>
      </c>
      <c r="L1964" s="1" t="s">
        <v>23</v>
      </c>
      <c r="M1964">
        <v>0</v>
      </c>
      <c r="N1964">
        <v>0</v>
      </c>
      <c r="O1964">
        <v>0</v>
      </c>
      <c r="P1964" s="2">
        <v>42186</v>
      </c>
      <c r="Q1964">
        <v>0</v>
      </c>
      <c r="R1964" s="1" t="s">
        <v>61</v>
      </c>
    </row>
    <row r="1965" spans="1:18" x14ac:dyDescent="0.25">
      <c r="A1965">
        <v>2015</v>
      </c>
      <c r="B1965">
        <v>8</v>
      </c>
      <c r="C1965" s="1" t="s">
        <v>31</v>
      </c>
      <c r="D1965" s="1" t="s">
        <v>19</v>
      </c>
      <c r="E1965" s="1" t="s">
        <v>112</v>
      </c>
      <c r="F1965">
        <v>2016</v>
      </c>
      <c r="G1965">
        <v>0</v>
      </c>
      <c r="H1965" s="1" t="s">
        <v>59</v>
      </c>
      <c r="I1965">
        <v>20</v>
      </c>
      <c r="J1965">
        <v>2663</v>
      </c>
      <c r="K1965" s="1" t="s">
        <v>113</v>
      </c>
      <c r="L1965" s="1" t="s">
        <v>23</v>
      </c>
      <c r="M1965">
        <v>0</v>
      </c>
      <c r="N1965">
        <v>0</v>
      </c>
      <c r="O1965">
        <v>0</v>
      </c>
      <c r="P1965" s="2">
        <v>42217</v>
      </c>
      <c r="Q1965">
        <v>0</v>
      </c>
      <c r="R1965" s="1" t="s">
        <v>61</v>
      </c>
    </row>
    <row r="1966" spans="1:18" x14ac:dyDescent="0.25">
      <c r="A1966">
        <v>2015</v>
      </c>
      <c r="B1966">
        <v>9</v>
      </c>
      <c r="C1966" s="1" t="s">
        <v>32</v>
      </c>
      <c r="D1966" s="1" t="s">
        <v>19</v>
      </c>
      <c r="E1966" s="1" t="s">
        <v>112</v>
      </c>
      <c r="F1966">
        <v>2016</v>
      </c>
      <c r="G1966">
        <v>0</v>
      </c>
      <c r="H1966" s="1" t="s">
        <v>59</v>
      </c>
      <c r="I1966">
        <v>20</v>
      </c>
      <c r="J1966">
        <v>2663</v>
      </c>
      <c r="K1966" s="1" t="s">
        <v>113</v>
      </c>
      <c r="L1966" s="1" t="s">
        <v>23</v>
      </c>
      <c r="M1966">
        <v>0</v>
      </c>
      <c r="N1966">
        <v>0</v>
      </c>
      <c r="O1966">
        <v>0</v>
      </c>
      <c r="P1966" s="2">
        <v>42248</v>
      </c>
      <c r="Q1966">
        <v>0</v>
      </c>
      <c r="R1966" s="1" t="s">
        <v>61</v>
      </c>
    </row>
    <row r="1967" spans="1:18" x14ac:dyDescent="0.25">
      <c r="A1967">
        <v>2015</v>
      </c>
      <c r="B1967">
        <v>10</v>
      </c>
      <c r="C1967" s="1" t="s">
        <v>33</v>
      </c>
      <c r="D1967" s="1" t="s">
        <v>19</v>
      </c>
      <c r="E1967" s="1" t="s">
        <v>112</v>
      </c>
      <c r="F1967">
        <v>2016</v>
      </c>
      <c r="G1967">
        <v>0</v>
      </c>
      <c r="H1967" s="1" t="s">
        <v>59</v>
      </c>
      <c r="I1967">
        <v>20</v>
      </c>
      <c r="J1967">
        <v>2663</v>
      </c>
      <c r="K1967" s="1" t="s">
        <v>113</v>
      </c>
      <c r="L1967" s="1" t="s">
        <v>23</v>
      </c>
      <c r="M1967">
        <v>0</v>
      </c>
      <c r="N1967">
        <v>0</v>
      </c>
      <c r="O1967">
        <v>0</v>
      </c>
      <c r="P1967" s="2">
        <v>42278</v>
      </c>
      <c r="Q1967">
        <v>0</v>
      </c>
      <c r="R1967" s="1" t="s">
        <v>61</v>
      </c>
    </row>
    <row r="1968" spans="1:18" x14ac:dyDescent="0.25">
      <c r="A1968">
        <v>2015</v>
      </c>
      <c r="B1968">
        <v>11</v>
      </c>
      <c r="C1968" s="1" t="s">
        <v>34</v>
      </c>
      <c r="D1968" s="1" t="s">
        <v>19</v>
      </c>
      <c r="E1968" s="1" t="s">
        <v>112</v>
      </c>
      <c r="F1968">
        <v>2016</v>
      </c>
      <c r="G1968">
        <v>0</v>
      </c>
      <c r="H1968" s="1" t="s">
        <v>59</v>
      </c>
      <c r="I1968">
        <v>20</v>
      </c>
      <c r="J1968">
        <v>2663</v>
      </c>
      <c r="K1968" s="1" t="s">
        <v>113</v>
      </c>
      <c r="L1968" s="1" t="s">
        <v>23</v>
      </c>
      <c r="M1968">
        <v>0</v>
      </c>
      <c r="N1968">
        <v>0</v>
      </c>
      <c r="O1968">
        <v>0</v>
      </c>
      <c r="P1968" s="2">
        <v>42309</v>
      </c>
      <c r="Q1968">
        <v>0</v>
      </c>
      <c r="R1968" s="1" t="s">
        <v>61</v>
      </c>
    </row>
    <row r="1969" spans="1:18" x14ac:dyDescent="0.25">
      <c r="A1969">
        <v>2015</v>
      </c>
      <c r="B1969">
        <v>12</v>
      </c>
      <c r="C1969" s="1" t="s">
        <v>35</v>
      </c>
      <c r="D1969" s="1" t="s">
        <v>19</v>
      </c>
      <c r="E1969" s="1" t="s">
        <v>112</v>
      </c>
      <c r="F1969">
        <v>2016</v>
      </c>
      <c r="G1969">
        <v>0</v>
      </c>
      <c r="H1969" s="1" t="s">
        <v>59</v>
      </c>
      <c r="I1969">
        <v>20</v>
      </c>
      <c r="J1969">
        <v>2663</v>
      </c>
      <c r="K1969" s="1" t="s">
        <v>113</v>
      </c>
      <c r="L1969" s="1" t="s">
        <v>23</v>
      </c>
      <c r="M1969">
        <v>0</v>
      </c>
      <c r="N1969">
        <v>0</v>
      </c>
      <c r="O1969">
        <v>0</v>
      </c>
      <c r="P1969" s="2">
        <v>42339</v>
      </c>
      <c r="Q1969">
        <v>0</v>
      </c>
      <c r="R1969" s="1" t="s">
        <v>61</v>
      </c>
    </row>
    <row r="1970" spans="1:18" x14ac:dyDescent="0.25">
      <c r="A1970">
        <v>2015</v>
      </c>
      <c r="B1970">
        <v>1</v>
      </c>
      <c r="C1970" s="1" t="s">
        <v>18</v>
      </c>
      <c r="D1970" s="1" t="s">
        <v>19</v>
      </c>
      <c r="E1970" s="1" t="s">
        <v>114</v>
      </c>
      <c r="F1970">
        <v>2016</v>
      </c>
      <c r="G1970">
        <v>0</v>
      </c>
      <c r="H1970" s="1" t="s">
        <v>59</v>
      </c>
      <c r="I1970">
        <v>14</v>
      </c>
      <c r="J1970">
        <v>1746</v>
      </c>
      <c r="K1970" s="1" t="s">
        <v>115</v>
      </c>
      <c r="L1970" s="1" t="s">
        <v>23</v>
      </c>
      <c r="M1970">
        <v>0</v>
      </c>
      <c r="N1970">
        <v>0</v>
      </c>
      <c r="O1970">
        <v>0</v>
      </c>
      <c r="P1970" s="2">
        <v>42005</v>
      </c>
      <c r="Q1970">
        <v>0</v>
      </c>
      <c r="R1970" s="1" t="s">
        <v>61</v>
      </c>
    </row>
    <row r="1971" spans="1:18" x14ac:dyDescent="0.25">
      <c r="A1971">
        <v>2015</v>
      </c>
      <c r="B1971">
        <v>2</v>
      </c>
      <c r="C1971" s="1" t="s">
        <v>25</v>
      </c>
      <c r="D1971" s="1" t="s">
        <v>19</v>
      </c>
      <c r="E1971" s="1" t="s">
        <v>114</v>
      </c>
      <c r="F1971">
        <v>2016</v>
      </c>
      <c r="G1971">
        <v>0</v>
      </c>
      <c r="H1971" s="1" t="s">
        <v>59</v>
      </c>
      <c r="I1971">
        <v>14</v>
      </c>
      <c r="J1971">
        <v>1746</v>
      </c>
      <c r="K1971" s="1" t="s">
        <v>115</v>
      </c>
      <c r="L1971" s="1" t="s">
        <v>23</v>
      </c>
      <c r="M1971">
        <v>0</v>
      </c>
      <c r="N1971">
        <v>0</v>
      </c>
      <c r="O1971">
        <v>0</v>
      </c>
      <c r="P1971" s="2">
        <v>42036</v>
      </c>
      <c r="Q1971">
        <v>0</v>
      </c>
      <c r="R1971" s="1" t="s">
        <v>61</v>
      </c>
    </row>
    <row r="1972" spans="1:18" x14ac:dyDescent="0.25">
      <c r="A1972">
        <v>2015</v>
      </c>
      <c r="B1972">
        <v>3</v>
      </c>
      <c r="C1972" s="1" t="s">
        <v>26</v>
      </c>
      <c r="D1972" s="1" t="s">
        <v>19</v>
      </c>
      <c r="E1972" s="1" t="s">
        <v>114</v>
      </c>
      <c r="F1972">
        <v>2016</v>
      </c>
      <c r="G1972">
        <v>0</v>
      </c>
      <c r="H1972" s="1" t="s">
        <v>59</v>
      </c>
      <c r="I1972">
        <v>14</v>
      </c>
      <c r="J1972">
        <v>1746</v>
      </c>
      <c r="K1972" s="1" t="s">
        <v>115</v>
      </c>
      <c r="L1972" s="1" t="s">
        <v>23</v>
      </c>
      <c r="M1972">
        <v>0</v>
      </c>
      <c r="N1972">
        <v>0</v>
      </c>
      <c r="O1972">
        <v>0</v>
      </c>
      <c r="P1972" s="2">
        <v>42064</v>
      </c>
      <c r="Q1972">
        <v>0</v>
      </c>
      <c r="R1972" s="1" t="s">
        <v>61</v>
      </c>
    </row>
    <row r="1973" spans="1:18" x14ac:dyDescent="0.25">
      <c r="A1973">
        <v>2015</v>
      </c>
      <c r="B1973">
        <v>4</v>
      </c>
      <c r="C1973" s="1" t="s">
        <v>27</v>
      </c>
      <c r="D1973" s="1" t="s">
        <v>19</v>
      </c>
      <c r="E1973" s="1" t="s">
        <v>114</v>
      </c>
      <c r="F1973">
        <v>2016</v>
      </c>
      <c r="G1973">
        <v>0</v>
      </c>
      <c r="H1973" s="1" t="s">
        <v>59</v>
      </c>
      <c r="I1973">
        <v>14</v>
      </c>
      <c r="J1973">
        <v>1746</v>
      </c>
      <c r="K1973" s="1" t="s">
        <v>115</v>
      </c>
      <c r="L1973" s="1" t="s">
        <v>23</v>
      </c>
      <c r="M1973">
        <v>0</v>
      </c>
      <c r="N1973">
        <v>0</v>
      </c>
      <c r="O1973">
        <v>0</v>
      </c>
      <c r="P1973" s="2">
        <v>42095</v>
      </c>
      <c r="Q1973">
        <v>0</v>
      </c>
      <c r="R1973" s="1" t="s">
        <v>61</v>
      </c>
    </row>
    <row r="1974" spans="1:18" x14ac:dyDescent="0.25">
      <c r="A1974">
        <v>2015</v>
      </c>
      <c r="B1974">
        <v>5</v>
      </c>
      <c r="C1974" s="1" t="s">
        <v>28</v>
      </c>
      <c r="D1974" s="1" t="s">
        <v>19</v>
      </c>
      <c r="E1974" s="1" t="s">
        <v>114</v>
      </c>
      <c r="F1974">
        <v>2016</v>
      </c>
      <c r="G1974">
        <v>0</v>
      </c>
      <c r="H1974" s="1" t="s">
        <v>59</v>
      </c>
      <c r="I1974">
        <v>14</v>
      </c>
      <c r="J1974">
        <v>1746</v>
      </c>
      <c r="K1974" s="1" t="s">
        <v>115</v>
      </c>
      <c r="L1974" s="1" t="s">
        <v>23</v>
      </c>
      <c r="M1974">
        <v>0</v>
      </c>
      <c r="N1974">
        <v>0</v>
      </c>
      <c r="O1974">
        <v>0</v>
      </c>
      <c r="P1974" s="2">
        <v>42125</v>
      </c>
      <c r="Q1974">
        <v>0</v>
      </c>
      <c r="R1974" s="1" t="s">
        <v>61</v>
      </c>
    </row>
    <row r="1975" spans="1:18" x14ac:dyDescent="0.25">
      <c r="A1975">
        <v>2015</v>
      </c>
      <c r="B1975">
        <v>6</v>
      </c>
      <c r="C1975" s="1" t="s">
        <v>29</v>
      </c>
      <c r="D1975" s="1" t="s">
        <v>19</v>
      </c>
      <c r="E1975" s="1" t="s">
        <v>114</v>
      </c>
      <c r="F1975">
        <v>2016</v>
      </c>
      <c r="G1975">
        <v>0</v>
      </c>
      <c r="H1975" s="1" t="s">
        <v>59</v>
      </c>
      <c r="I1975">
        <v>14</v>
      </c>
      <c r="J1975">
        <v>1746</v>
      </c>
      <c r="K1975" s="1" t="s">
        <v>115</v>
      </c>
      <c r="L1975" s="1" t="s">
        <v>23</v>
      </c>
      <c r="M1975">
        <v>0</v>
      </c>
      <c r="N1975">
        <v>0</v>
      </c>
      <c r="O1975">
        <v>0</v>
      </c>
      <c r="P1975" s="2">
        <v>42156</v>
      </c>
      <c r="Q1975">
        <v>0</v>
      </c>
      <c r="R1975" s="1" t="s">
        <v>61</v>
      </c>
    </row>
    <row r="1976" spans="1:18" x14ac:dyDescent="0.25">
      <c r="A1976">
        <v>2015</v>
      </c>
      <c r="B1976">
        <v>7</v>
      </c>
      <c r="C1976" s="1" t="s">
        <v>30</v>
      </c>
      <c r="D1976" s="1" t="s">
        <v>19</v>
      </c>
      <c r="E1976" s="1" t="s">
        <v>114</v>
      </c>
      <c r="F1976">
        <v>2016</v>
      </c>
      <c r="G1976">
        <v>0</v>
      </c>
      <c r="H1976" s="1" t="s">
        <v>59</v>
      </c>
      <c r="I1976">
        <v>14</v>
      </c>
      <c r="J1976">
        <v>1746</v>
      </c>
      <c r="K1976" s="1" t="s">
        <v>115</v>
      </c>
      <c r="L1976" s="1" t="s">
        <v>23</v>
      </c>
      <c r="M1976">
        <v>0</v>
      </c>
      <c r="N1976">
        <v>0</v>
      </c>
      <c r="O1976">
        <v>0</v>
      </c>
      <c r="P1976" s="2">
        <v>42186</v>
      </c>
      <c r="Q1976">
        <v>0</v>
      </c>
      <c r="R1976" s="1" t="s">
        <v>61</v>
      </c>
    </row>
    <row r="1977" spans="1:18" x14ac:dyDescent="0.25">
      <c r="A1977">
        <v>2015</v>
      </c>
      <c r="B1977">
        <v>8</v>
      </c>
      <c r="C1977" s="1" t="s">
        <v>31</v>
      </c>
      <c r="D1977" s="1" t="s">
        <v>19</v>
      </c>
      <c r="E1977" s="1" t="s">
        <v>114</v>
      </c>
      <c r="F1977">
        <v>2016</v>
      </c>
      <c r="G1977">
        <v>0</v>
      </c>
      <c r="H1977" s="1" t="s">
        <v>59</v>
      </c>
      <c r="I1977">
        <v>14</v>
      </c>
      <c r="J1977">
        <v>1746</v>
      </c>
      <c r="K1977" s="1" t="s">
        <v>115</v>
      </c>
      <c r="L1977" s="1" t="s">
        <v>23</v>
      </c>
      <c r="M1977">
        <v>0</v>
      </c>
      <c r="N1977">
        <v>0</v>
      </c>
      <c r="O1977">
        <v>0</v>
      </c>
      <c r="P1977" s="2">
        <v>42217</v>
      </c>
      <c r="Q1977">
        <v>0</v>
      </c>
      <c r="R1977" s="1" t="s">
        <v>61</v>
      </c>
    </row>
    <row r="1978" spans="1:18" x14ac:dyDescent="0.25">
      <c r="A1978">
        <v>2015</v>
      </c>
      <c r="B1978">
        <v>9</v>
      </c>
      <c r="C1978" s="1" t="s">
        <v>32</v>
      </c>
      <c r="D1978" s="1" t="s">
        <v>19</v>
      </c>
      <c r="E1978" s="1" t="s">
        <v>114</v>
      </c>
      <c r="F1978">
        <v>2016</v>
      </c>
      <c r="G1978">
        <v>0</v>
      </c>
      <c r="H1978" s="1" t="s">
        <v>59</v>
      </c>
      <c r="I1978">
        <v>14</v>
      </c>
      <c r="J1978">
        <v>1746</v>
      </c>
      <c r="K1978" s="1" t="s">
        <v>115</v>
      </c>
      <c r="L1978" s="1" t="s">
        <v>23</v>
      </c>
      <c r="M1978">
        <v>0</v>
      </c>
      <c r="N1978">
        <v>0</v>
      </c>
      <c r="O1978">
        <v>0</v>
      </c>
      <c r="P1978" s="2">
        <v>42248</v>
      </c>
      <c r="Q1978">
        <v>0</v>
      </c>
      <c r="R1978" s="1" t="s">
        <v>61</v>
      </c>
    </row>
    <row r="1979" spans="1:18" x14ac:dyDescent="0.25">
      <c r="A1979">
        <v>2015</v>
      </c>
      <c r="B1979">
        <v>10</v>
      </c>
      <c r="C1979" s="1" t="s">
        <v>33</v>
      </c>
      <c r="D1979" s="1" t="s">
        <v>19</v>
      </c>
      <c r="E1979" s="1" t="s">
        <v>114</v>
      </c>
      <c r="F1979">
        <v>2016</v>
      </c>
      <c r="G1979">
        <v>0</v>
      </c>
      <c r="H1979" s="1" t="s">
        <v>59</v>
      </c>
      <c r="I1979">
        <v>14</v>
      </c>
      <c r="J1979">
        <v>1746</v>
      </c>
      <c r="K1979" s="1" t="s">
        <v>115</v>
      </c>
      <c r="L1979" s="1" t="s">
        <v>23</v>
      </c>
      <c r="M1979">
        <v>0</v>
      </c>
      <c r="N1979">
        <v>0</v>
      </c>
      <c r="O1979">
        <v>0</v>
      </c>
      <c r="P1979" s="2">
        <v>42278</v>
      </c>
      <c r="Q1979">
        <v>0</v>
      </c>
      <c r="R1979" s="1" t="s">
        <v>61</v>
      </c>
    </row>
    <row r="1980" spans="1:18" x14ac:dyDescent="0.25">
      <c r="A1980">
        <v>2015</v>
      </c>
      <c r="B1980">
        <v>11</v>
      </c>
      <c r="C1980" s="1" t="s">
        <v>34</v>
      </c>
      <c r="D1980" s="1" t="s">
        <v>19</v>
      </c>
      <c r="E1980" s="1" t="s">
        <v>114</v>
      </c>
      <c r="F1980">
        <v>2016</v>
      </c>
      <c r="G1980">
        <v>0</v>
      </c>
      <c r="H1980" s="1" t="s">
        <v>59</v>
      </c>
      <c r="I1980">
        <v>14</v>
      </c>
      <c r="J1980">
        <v>1746</v>
      </c>
      <c r="K1980" s="1" t="s">
        <v>115</v>
      </c>
      <c r="L1980" s="1" t="s">
        <v>23</v>
      </c>
      <c r="M1980">
        <v>0</v>
      </c>
      <c r="N1980">
        <v>0</v>
      </c>
      <c r="O1980">
        <v>0</v>
      </c>
      <c r="P1980" s="2">
        <v>42309</v>
      </c>
      <c r="Q1980">
        <v>0</v>
      </c>
      <c r="R1980" s="1" t="s">
        <v>61</v>
      </c>
    </row>
    <row r="1981" spans="1:18" x14ac:dyDescent="0.25">
      <c r="A1981">
        <v>2015</v>
      </c>
      <c r="B1981">
        <v>12</v>
      </c>
      <c r="C1981" s="1" t="s">
        <v>35</v>
      </c>
      <c r="D1981" s="1" t="s">
        <v>19</v>
      </c>
      <c r="E1981" s="1" t="s">
        <v>114</v>
      </c>
      <c r="F1981">
        <v>2016</v>
      </c>
      <c r="G1981">
        <v>0</v>
      </c>
      <c r="H1981" s="1" t="s">
        <v>59</v>
      </c>
      <c r="I1981">
        <v>14</v>
      </c>
      <c r="J1981">
        <v>1746</v>
      </c>
      <c r="K1981" s="1" t="s">
        <v>115</v>
      </c>
      <c r="L1981" s="1" t="s">
        <v>23</v>
      </c>
      <c r="M1981">
        <v>0</v>
      </c>
      <c r="N1981">
        <v>0</v>
      </c>
      <c r="O1981">
        <v>0</v>
      </c>
      <c r="P1981" s="2">
        <v>42339</v>
      </c>
      <c r="Q1981">
        <v>0</v>
      </c>
      <c r="R1981" s="1" t="s">
        <v>61</v>
      </c>
    </row>
    <row r="1982" spans="1:18" x14ac:dyDescent="0.25">
      <c r="A1982">
        <v>2015</v>
      </c>
      <c r="B1982">
        <v>1</v>
      </c>
      <c r="C1982" s="1" t="s">
        <v>18</v>
      </c>
      <c r="D1982" s="1" t="s">
        <v>19</v>
      </c>
      <c r="E1982" s="1" t="s">
        <v>116</v>
      </c>
      <c r="F1982">
        <v>2016</v>
      </c>
      <c r="G1982">
        <v>0</v>
      </c>
      <c r="H1982" s="1" t="s">
        <v>59</v>
      </c>
      <c r="I1982">
        <v>24</v>
      </c>
      <c r="J1982">
        <v>3377</v>
      </c>
      <c r="K1982" s="1" t="s">
        <v>103</v>
      </c>
      <c r="L1982" s="1" t="s">
        <v>23</v>
      </c>
      <c r="M1982">
        <v>0</v>
      </c>
      <c r="N1982">
        <v>0</v>
      </c>
      <c r="O1982">
        <v>0</v>
      </c>
      <c r="P1982" s="2">
        <v>42005</v>
      </c>
      <c r="Q1982">
        <v>0</v>
      </c>
      <c r="R1982" s="1" t="s">
        <v>61</v>
      </c>
    </row>
    <row r="1983" spans="1:18" x14ac:dyDescent="0.25">
      <c r="A1983">
        <v>2015</v>
      </c>
      <c r="B1983">
        <v>2</v>
      </c>
      <c r="C1983" s="1" t="s">
        <v>25</v>
      </c>
      <c r="D1983" s="1" t="s">
        <v>19</v>
      </c>
      <c r="E1983" s="1" t="s">
        <v>116</v>
      </c>
      <c r="F1983">
        <v>2016</v>
      </c>
      <c r="G1983">
        <v>0</v>
      </c>
      <c r="H1983" s="1" t="s">
        <v>59</v>
      </c>
      <c r="I1983">
        <v>24</v>
      </c>
      <c r="J1983">
        <v>3377</v>
      </c>
      <c r="K1983" s="1" t="s">
        <v>103</v>
      </c>
      <c r="L1983" s="1" t="s">
        <v>23</v>
      </c>
      <c r="M1983">
        <v>0</v>
      </c>
      <c r="N1983">
        <v>0</v>
      </c>
      <c r="O1983">
        <v>0</v>
      </c>
      <c r="P1983" s="2">
        <v>42036</v>
      </c>
      <c r="Q1983">
        <v>0</v>
      </c>
      <c r="R1983" s="1" t="s">
        <v>61</v>
      </c>
    </row>
    <row r="1984" spans="1:18" x14ac:dyDescent="0.25">
      <c r="A1984">
        <v>2015</v>
      </c>
      <c r="B1984">
        <v>3</v>
      </c>
      <c r="C1984" s="1" t="s">
        <v>26</v>
      </c>
      <c r="D1984" s="1" t="s">
        <v>19</v>
      </c>
      <c r="E1984" s="1" t="s">
        <v>116</v>
      </c>
      <c r="F1984">
        <v>2016</v>
      </c>
      <c r="G1984">
        <v>0</v>
      </c>
      <c r="H1984" s="1" t="s">
        <v>59</v>
      </c>
      <c r="I1984">
        <v>24</v>
      </c>
      <c r="J1984">
        <v>3377</v>
      </c>
      <c r="K1984" s="1" t="s">
        <v>103</v>
      </c>
      <c r="L1984" s="1" t="s">
        <v>23</v>
      </c>
      <c r="M1984">
        <v>0</v>
      </c>
      <c r="N1984">
        <v>0</v>
      </c>
      <c r="O1984">
        <v>0</v>
      </c>
      <c r="P1984" s="2">
        <v>42064</v>
      </c>
      <c r="Q1984">
        <v>0</v>
      </c>
      <c r="R1984" s="1" t="s">
        <v>61</v>
      </c>
    </row>
    <row r="1985" spans="1:18" x14ac:dyDescent="0.25">
      <c r="A1985">
        <v>2015</v>
      </c>
      <c r="B1985">
        <v>4</v>
      </c>
      <c r="C1985" s="1" t="s">
        <v>27</v>
      </c>
      <c r="D1985" s="1" t="s">
        <v>19</v>
      </c>
      <c r="E1985" s="1" t="s">
        <v>116</v>
      </c>
      <c r="F1985">
        <v>2016</v>
      </c>
      <c r="G1985">
        <v>0</v>
      </c>
      <c r="H1985" s="1" t="s">
        <v>59</v>
      </c>
      <c r="I1985">
        <v>24</v>
      </c>
      <c r="J1985">
        <v>3377</v>
      </c>
      <c r="K1985" s="1" t="s">
        <v>103</v>
      </c>
      <c r="L1985" s="1" t="s">
        <v>23</v>
      </c>
      <c r="M1985">
        <v>0</v>
      </c>
      <c r="N1985">
        <v>0</v>
      </c>
      <c r="O1985">
        <v>0</v>
      </c>
      <c r="P1985" s="2">
        <v>42095</v>
      </c>
      <c r="Q1985">
        <v>0</v>
      </c>
      <c r="R1985" s="1" t="s">
        <v>61</v>
      </c>
    </row>
    <row r="1986" spans="1:18" x14ac:dyDescent="0.25">
      <c r="A1986">
        <v>2015</v>
      </c>
      <c r="B1986">
        <v>5</v>
      </c>
      <c r="C1986" s="1" t="s">
        <v>28</v>
      </c>
      <c r="D1986" s="1" t="s">
        <v>19</v>
      </c>
      <c r="E1986" s="1" t="s">
        <v>116</v>
      </c>
      <c r="F1986">
        <v>2016</v>
      </c>
      <c r="G1986">
        <v>0</v>
      </c>
      <c r="H1986" s="1" t="s">
        <v>59</v>
      </c>
      <c r="I1986">
        <v>24</v>
      </c>
      <c r="J1986">
        <v>3377</v>
      </c>
      <c r="K1986" s="1" t="s">
        <v>103</v>
      </c>
      <c r="L1986" s="1" t="s">
        <v>23</v>
      </c>
      <c r="M1986">
        <v>0</v>
      </c>
      <c r="N1986">
        <v>0</v>
      </c>
      <c r="O1986">
        <v>0</v>
      </c>
      <c r="P1986" s="2">
        <v>42125</v>
      </c>
      <c r="Q1986">
        <v>0</v>
      </c>
      <c r="R1986" s="1" t="s">
        <v>61</v>
      </c>
    </row>
    <row r="1987" spans="1:18" x14ac:dyDescent="0.25">
      <c r="A1987">
        <v>2015</v>
      </c>
      <c r="B1987">
        <v>6</v>
      </c>
      <c r="C1987" s="1" t="s">
        <v>29</v>
      </c>
      <c r="D1987" s="1" t="s">
        <v>19</v>
      </c>
      <c r="E1987" s="1" t="s">
        <v>116</v>
      </c>
      <c r="F1987">
        <v>2016</v>
      </c>
      <c r="G1987">
        <v>0</v>
      </c>
      <c r="H1987" s="1" t="s">
        <v>59</v>
      </c>
      <c r="I1987">
        <v>24</v>
      </c>
      <c r="J1987">
        <v>3377</v>
      </c>
      <c r="K1987" s="1" t="s">
        <v>103</v>
      </c>
      <c r="L1987" s="1" t="s">
        <v>23</v>
      </c>
      <c r="M1987">
        <v>0</v>
      </c>
      <c r="N1987">
        <v>0</v>
      </c>
      <c r="O1987">
        <v>0</v>
      </c>
      <c r="P1987" s="2">
        <v>42156</v>
      </c>
      <c r="Q1987">
        <v>0</v>
      </c>
      <c r="R1987" s="1" t="s">
        <v>61</v>
      </c>
    </row>
    <row r="1988" spans="1:18" x14ac:dyDescent="0.25">
      <c r="A1988">
        <v>2015</v>
      </c>
      <c r="B1988">
        <v>7</v>
      </c>
      <c r="C1988" s="1" t="s">
        <v>30</v>
      </c>
      <c r="D1988" s="1" t="s">
        <v>19</v>
      </c>
      <c r="E1988" s="1" t="s">
        <v>116</v>
      </c>
      <c r="F1988">
        <v>2016</v>
      </c>
      <c r="G1988">
        <v>0</v>
      </c>
      <c r="H1988" s="1" t="s">
        <v>59</v>
      </c>
      <c r="I1988">
        <v>24</v>
      </c>
      <c r="J1988">
        <v>3377</v>
      </c>
      <c r="K1988" s="1" t="s">
        <v>103</v>
      </c>
      <c r="L1988" s="1" t="s">
        <v>23</v>
      </c>
      <c r="M1988">
        <v>0</v>
      </c>
      <c r="N1988">
        <v>0</v>
      </c>
      <c r="O1988">
        <v>0</v>
      </c>
      <c r="P1988" s="2">
        <v>42186</v>
      </c>
      <c r="Q1988">
        <v>0</v>
      </c>
      <c r="R1988" s="1" t="s">
        <v>61</v>
      </c>
    </row>
    <row r="1989" spans="1:18" x14ac:dyDescent="0.25">
      <c r="A1989">
        <v>2015</v>
      </c>
      <c r="B1989">
        <v>8</v>
      </c>
      <c r="C1989" s="1" t="s">
        <v>31</v>
      </c>
      <c r="D1989" s="1" t="s">
        <v>19</v>
      </c>
      <c r="E1989" s="1" t="s">
        <v>116</v>
      </c>
      <c r="F1989">
        <v>2016</v>
      </c>
      <c r="G1989">
        <v>0</v>
      </c>
      <c r="H1989" s="1" t="s">
        <v>59</v>
      </c>
      <c r="I1989">
        <v>24</v>
      </c>
      <c r="J1989">
        <v>3377</v>
      </c>
      <c r="K1989" s="1" t="s">
        <v>103</v>
      </c>
      <c r="L1989" s="1" t="s">
        <v>23</v>
      </c>
      <c r="M1989">
        <v>0</v>
      </c>
      <c r="N1989">
        <v>0</v>
      </c>
      <c r="O1989">
        <v>0</v>
      </c>
      <c r="P1989" s="2">
        <v>42217</v>
      </c>
      <c r="Q1989">
        <v>0</v>
      </c>
      <c r="R1989" s="1" t="s">
        <v>61</v>
      </c>
    </row>
    <row r="1990" spans="1:18" x14ac:dyDescent="0.25">
      <c r="A1990">
        <v>2015</v>
      </c>
      <c r="B1990">
        <v>9</v>
      </c>
      <c r="C1990" s="1" t="s">
        <v>32</v>
      </c>
      <c r="D1990" s="1" t="s">
        <v>19</v>
      </c>
      <c r="E1990" s="1" t="s">
        <v>116</v>
      </c>
      <c r="F1990">
        <v>2016</v>
      </c>
      <c r="G1990">
        <v>0</v>
      </c>
      <c r="H1990" s="1" t="s">
        <v>59</v>
      </c>
      <c r="I1990">
        <v>24</v>
      </c>
      <c r="J1990">
        <v>3377</v>
      </c>
      <c r="K1990" s="1" t="s">
        <v>103</v>
      </c>
      <c r="L1990" s="1" t="s">
        <v>23</v>
      </c>
      <c r="M1990">
        <v>0</v>
      </c>
      <c r="N1990">
        <v>0</v>
      </c>
      <c r="O1990">
        <v>0</v>
      </c>
      <c r="P1990" s="2">
        <v>42248</v>
      </c>
      <c r="Q1990">
        <v>0</v>
      </c>
      <c r="R1990" s="1" t="s">
        <v>61</v>
      </c>
    </row>
    <row r="1991" spans="1:18" x14ac:dyDescent="0.25">
      <c r="A1991">
        <v>2015</v>
      </c>
      <c r="B1991">
        <v>10</v>
      </c>
      <c r="C1991" s="1" t="s">
        <v>33</v>
      </c>
      <c r="D1991" s="1" t="s">
        <v>19</v>
      </c>
      <c r="E1991" s="1" t="s">
        <v>116</v>
      </c>
      <c r="F1991">
        <v>2016</v>
      </c>
      <c r="G1991">
        <v>0</v>
      </c>
      <c r="H1991" s="1" t="s">
        <v>59</v>
      </c>
      <c r="I1991">
        <v>24</v>
      </c>
      <c r="J1991">
        <v>3377</v>
      </c>
      <c r="K1991" s="1" t="s">
        <v>103</v>
      </c>
      <c r="L1991" s="1" t="s">
        <v>23</v>
      </c>
      <c r="M1991">
        <v>0</v>
      </c>
      <c r="N1991">
        <v>0</v>
      </c>
      <c r="O1991">
        <v>0</v>
      </c>
      <c r="P1991" s="2">
        <v>42278</v>
      </c>
      <c r="Q1991">
        <v>0</v>
      </c>
      <c r="R1991" s="1" t="s">
        <v>61</v>
      </c>
    </row>
    <row r="1992" spans="1:18" x14ac:dyDescent="0.25">
      <c r="A1992">
        <v>2015</v>
      </c>
      <c r="B1992">
        <v>11</v>
      </c>
      <c r="C1992" s="1" t="s">
        <v>34</v>
      </c>
      <c r="D1992" s="1" t="s">
        <v>19</v>
      </c>
      <c r="E1992" s="1" t="s">
        <v>116</v>
      </c>
      <c r="F1992">
        <v>2016</v>
      </c>
      <c r="G1992">
        <v>0</v>
      </c>
      <c r="H1992" s="1" t="s">
        <v>59</v>
      </c>
      <c r="I1992">
        <v>24</v>
      </c>
      <c r="J1992">
        <v>3377</v>
      </c>
      <c r="K1992" s="1" t="s">
        <v>103</v>
      </c>
      <c r="L1992" s="1" t="s">
        <v>23</v>
      </c>
      <c r="M1992">
        <v>0</v>
      </c>
      <c r="N1992">
        <v>0</v>
      </c>
      <c r="O1992">
        <v>0</v>
      </c>
      <c r="P1992" s="2">
        <v>42309</v>
      </c>
      <c r="Q1992">
        <v>0</v>
      </c>
      <c r="R1992" s="1" t="s">
        <v>61</v>
      </c>
    </row>
    <row r="1993" spans="1:18" x14ac:dyDescent="0.25">
      <c r="A1993">
        <v>2015</v>
      </c>
      <c r="B1993">
        <v>12</v>
      </c>
      <c r="C1993" s="1" t="s">
        <v>35</v>
      </c>
      <c r="D1993" s="1" t="s">
        <v>19</v>
      </c>
      <c r="E1993" s="1" t="s">
        <v>116</v>
      </c>
      <c r="F1993">
        <v>2016</v>
      </c>
      <c r="G1993">
        <v>0</v>
      </c>
      <c r="H1993" s="1" t="s">
        <v>59</v>
      </c>
      <c r="I1993">
        <v>24</v>
      </c>
      <c r="J1993">
        <v>3377</v>
      </c>
      <c r="K1993" s="1" t="s">
        <v>103</v>
      </c>
      <c r="L1993" s="1" t="s">
        <v>23</v>
      </c>
      <c r="M1993">
        <v>0</v>
      </c>
      <c r="N1993">
        <v>0</v>
      </c>
      <c r="O1993">
        <v>0</v>
      </c>
      <c r="P1993" s="2">
        <v>42339</v>
      </c>
      <c r="Q1993">
        <v>0</v>
      </c>
      <c r="R1993" s="1" t="s">
        <v>61</v>
      </c>
    </row>
    <row r="1994" spans="1:18" x14ac:dyDescent="0.25">
      <c r="A1994">
        <v>2015</v>
      </c>
      <c r="B1994">
        <v>1</v>
      </c>
      <c r="C1994" s="1" t="s">
        <v>18</v>
      </c>
      <c r="D1994" s="1" t="s">
        <v>19</v>
      </c>
      <c r="E1994" s="1" t="s">
        <v>117</v>
      </c>
      <c r="F1994">
        <v>2016</v>
      </c>
      <c r="G1994">
        <v>0</v>
      </c>
      <c r="H1994" s="1" t="s">
        <v>59</v>
      </c>
      <c r="I1994">
        <v>25</v>
      </c>
      <c r="J1994">
        <v>3431</v>
      </c>
      <c r="K1994" s="1" t="s">
        <v>118</v>
      </c>
      <c r="L1994" s="1" t="s">
        <v>23</v>
      </c>
      <c r="M1994">
        <v>0</v>
      </c>
      <c r="N1994">
        <v>0</v>
      </c>
      <c r="O1994">
        <v>0</v>
      </c>
      <c r="P1994" s="2">
        <v>42005</v>
      </c>
      <c r="Q1994">
        <v>0</v>
      </c>
      <c r="R1994" s="1" t="s">
        <v>61</v>
      </c>
    </row>
    <row r="1995" spans="1:18" x14ac:dyDescent="0.25">
      <c r="A1995">
        <v>2015</v>
      </c>
      <c r="B1995">
        <v>2</v>
      </c>
      <c r="C1995" s="1" t="s">
        <v>25</v>
      </c>
      <c r="D1995" s="1" t="s">
        <v>19</v>
      </c>
      <c r="E1995" s="1" t="s">
        <v>117</v>
      </c>
      <c r="F1995">
        <v>2016</v>
      </c>
      <c r="G1995">
        <v>0</v>
      </c>
      <c r="H1995" s="1" t="s">
        <v>59</v>
      </c>
      <c r="I1995">
        <v>25</v>
      </c>
      <c r="J1995">
        <v>3431</v>
      </c>
      <c r="K1995" s="1" t="s">
        <v>118</v>
      </c>
      <c r="L1995" s="1" t="s">
        <v>23</v>
      </c>
      <c r="M1995">
        <v>0</v>
      </c>
      <c r="N1995">
        <v>0</v>
      </c>
      <c r="O1995">
        <v>0</v>
      </c>
      <c r="P1995" s="2">
        <v>42036</v>
      </c>
      <c r="Q1995">
        <v>0</v>
      </c>
      <c r="R1995" s="1" t="s">
        <v>61</v>
      </c>
    </row>
    <row r="1996" spans="1:18" x14ac:dyDescent="0.25">
      <c r="A1996">
        <v>2015</v>
      </c>
      <c r="B1996">
        <v>3</v>
      </c>
      <c r="C1996" s="1" t="s">
        <v>26</v>
      </c>
      <c r="D1996" s="1" t="s">
        <v>19</v>
      </c>
      <c r="E1996" s="1" t="s">
        <v>117</v>
      </c>
      <c r="F1996">
        <v>2016</v>
      </c>
      <c r="G1996">
        <v>0</v>
      </c>
      <c r="H1996" s="1" t="s">
        <v>59</v>
      </c>
      <c r="I1996">
        <v>25</v>
      </c>
      <c r="J1996">
        <v>3431</v>
      </c>
      <c r="K1996" s="1" t="s">
        <v>118</v>
      </c>
      <c r="L1996" s="1" t="s">
        <v>23</v>
      </c>
      <c r="M1996">
        <v>0</v>
      </c>
      <c r="N1996">
        <v>0</v>
      </c>
      <c r="O1996">
        <v>0</v>
      </c>
      <c r="P1996" s="2">
        <v>42064</v>
      </c>
      <c r="Q1996">
        <v>0</v>
      </c>
      <c r="R1996" s="1" t="s">
        <v>61</v>
      </c>
    </row>
    <row r="1997" spans="1:18" x14ac:dyDescent="0.25">
      <c r="A1997">
        <v>2015</v>
      </c>
      <c r="B1997">
        <v>4</v>
      </c>
      <c r="C1997" s="1" t="s">
        <v>27</v>
      </c>
      <c r="D1997" s="1" t="s">
        <v>19</v>
      </c>
      <c r="E1997" s="1" t="s">
        <v>117</v>
      </c>
      <c r="F1997">
        <v>2016</v>
      </c>
      <c r="G1997">
        <v>0</v>
      </c>
      <c r="H1997" s="1" t="s">
        <v>59</v>
      </c>
      <c r="I1997">
        <v>25</v>
      </c>
      <c r="J1997">
        <v>3431</v>
      </c>
      <c r="K1997" s="1" t="s">
        <v>118</v>
      </c>
      <c r="L1997" s="1" t="s">
        <v>23</v>
      </c>
      <c r="M1997">
        <v>0</v>
      </c>
      <c r="N1997">
        <v>0</v>
      </c>
      <c r="O1997">
        <v>0</v>
      </c>
      <c r="P1997" s="2">
        <v>42095</v>
      </c>
      <c r="Q1997">
        <v>0</v>
      </c>
      <c r="R1997" s="1" t="s">
        <v>61</v>
      </c>
    </row>
    <row r="1998" spans="1:18" x14ac:dyDescent="0.25">
      <c r="A1998">
        <v>2015</v>
      </c>
      <c r="B1998">
        <v>5</v>
      </c>
      <c r="C1998" s="1" t="s">
        <v>28</v>
      </c>
      <c r="D1998" s="1" t="s">
        <v>19</v>
      </c>
      <c r="E1998" s="1" t="s">
        <v>117</v>
      </c>
      <c r="F1998">
        <v>2016</v>
      </c>
      <c r="G1998">
        <v>0</v>
      </c>
      <c r="H1998" s="1" t="s">
        <v>59</v>
      </c>
      <c r="I1998">
        <v>25</v>
      </c>
      <c r="J1998">
        <v>3431</v>
      </c>
      <c r="K1998" s="1" t="s">
        <v>118</v>
      </c>
      <c r="L1998" s="1" t="s">
        <v>23</v>
      </c>
      <c r="M1998">
        <v>0</v>
      </c>
      <c r="N1998">
        <v>0</v>
      </c>
      <c r="O1998">
        <v>0</v>
      </c>
      <c r="P1998" s="2">
        <v>42125</v>
      </c>
      <c r="Q1998">
        <v>0</v>
      </c>
      <c r="R1998" s="1" t="s">
        <v>61</v>
      </c>
    </row>
    <row r="1999" spans="1:18" x14ac:dyDescent="0.25">
      <c r="A1999">
        <v>2015</v>
      </c>
      <c r="B1999">
        <v>6</v>
      </c>
      <c r="C1999" s="1" t="s">
        <v>29</v>
      </c>
      <c r="D1999" s="1" t="s">
        <v>19</v>
      </c>
      <c r="E1999" s="1" t="s">
        <v>117</v>
      </c>
      <c r="F1999">
        <v>2016</v>
      </c>
      <c r="G1999">
        <v>0</v>
      </c>
      <c r="H1999" s="1" t="s">
        <v>59</v>
      </c>
      <c r="I1999">
        <v>25</v>
      </c>
      <c r="J1999">
        <v>3431</v>
      </c>
      <c r="K1999" s="1" t="s">
        <v>118</v>
      </c>
      <c r="L1999" s="1" t="s">
        <v>23</v>
      </c>
      <c r="M1999">
        <v>0</v>
      </c>
      <c r="N1999">
        <v>0</v>
      </c>
      <c r="O1999">
        <v>0</v>
      </c>
      <c r="P1999" s="2">
        <v>42156</v>
      </c>
      <c r="Q1999">
        <v>0</v>
      </c>
      <c r="R1999" s="1" t="s">
        <v>61</v>
      </c>
    </row>
    <row r="2000" spans="1:18" x14ac:dyDescent="0.25">
      <c r="A2000">
        <v>2015</v>
      </c>
      <c r="B2000">
        <v>7</v>
      </c>
      <c r="C2000" s="1" t="s">
        <v>30</v>
      </c>
      <c r="D2000" s="1" t="s">
        <v>19</v>
      </c>
      <c r="E2000" s="1" t="s">
        <v>117</v>
      </c>
      <c r="F2000">
        <v>2016</v>
      </c>
      <c r="G2000">
        <v>0</v>
      </c>
      <c r="H2000" s="1" t="s">
        <v>59</v>
      </c>
      <c r="I2000">
        <v>25</v>
      </c>
      <c r="J2000">
        <v>3431</v>
      </c>
      <c r="K2000" s="1" t="s">
        <v>118</v>
      </c>
      <c r="L2000" s="1" t="s">
        <v>23</v>
      </c>
      <c r="M2000">
        <v>0</v>
      </c>
      <c r="N2000">
        <v>0</v>
      </c>
      <c r="O2000">
        <v>0</v>
      </c>
      <c r="P2000" s="2">
        <v>42186</v>
      </c>
      <c r="Q2000">
        <v>0</v>
      </c>
      <c r="R2000" s="1" t="s">
        <v>61</v>
      </c>
    </row>
    <row r="2001" spans="1:18" x14ac:dyDescent="0.25">
      <c r="A2001">
        <v>2015</v>
      </c>
      <c r="B2001">
        <v>8</v>
      </c>
      <c r="C2001" s="1" t="s">
        <v>31</v>
      </c>
      <c r="D2001" s="1" t="s">
        <v>19</v>
      </c>
      <c r="E2001" s="1" t="s">
        <v>117</v>
      </c>
      <c r="F2001">
        <v>2016</v>
      </c>
      <c r="G2001">
        <v>0</v>
      </c>
      <c r="H2001" s="1" t="s">
        <v>59</v>
      </c>
      <c r="I2001">
        <v>25</v>
      </c>
      <c r="J2001">
        <v>3431</v>
      </c>
      <c r="K2001" s="1" t="s">
        <v>118</v>
      </c>
      <c r="L2001" s="1" t="s">
        <v>23</v>
      </c>
      <c r="M2001">
        <v>0</v>
      </c>
      <c r="N2001">
        <v>0</v>
      </c>
      <c r="O2001">
        <v>0</v>
      </c>
      <c r="P2001" s="2">
        <v>42217</v>
      </c>
      <c r="Q2001">
        <v>0</v>
      </c>
      <c r="R2001" s="1" t="s">
        <v>61</v>
      </c>
    </row>
    <row r="2002" spans="1:18" x14ac:dyDescent="0.25">
      <c r="A2002">
        <v>2015</v>
      </c>
      <c r="B2002">
        <v>9</v>
      </c>
      <c r="C2002" s="1" t="s">
        <v>32</v>
      </c>
      <c r="D2002" s="1" t="s">
        <v>19</v>
      </c>
      <c r="E2002" s="1" t="s">
        <v>117</v>
      </c>
      <c r="F2002">
        <v>2016</v>
      </c>
      <c r="G2002">
        <v>0</v>
      </c>
      <c r="H2002" s="1" t="s">
        <v>59</v>
      </c>
      <c r="I2002">
        <v>25</v>
      </c>
      <c r="J2002">
        <v>3431</v>
      </c>
      <c r="K2002" s="1" t="s">
        <v>118</v>
      </c>
      <c r="L2002" s="1" t="s">
        <v>23</v>
      </c>
      <c r="M2002">
        <v>0</v>
      </c>
      <c r="N2002">
        <v>0</v>
      </c>
      <c r="O2002">
        <v>0</v>
      </c>
      <c r="P2002" s="2">
        <v>42248</v>
      </c>
      <c r="Q2002">
        <v>0</v>
      </c>
      <c r="R2002" s="1" t="s">
        <v>61</v>
      </c>
    </row>
    <row r="2003" spans="1:18" x14ac:dyDescent="0.25">
      <c r="A2003">
        <v>2015</v>
      </c>
      <c r="B2003">
        <v>10</v>
      </c>
      <c r="C2003" s="1" t="s">
        <v>33</v>
      </c>
      <c r="D2003" s="1" t="s">
        <v>19</v>
      </c>
      <c r="E2003" s="1" t="s">
        <v>117</v>
      </c>
      <c r="F2003">
        <v>2016</v>
      </c>
      <c r="G2003">
        <v>0</v>
      </c>
      <c r="H2003" s="1" t="s">
        <v>59</v>
      </c>
      <c r="I2003">
        <v>25</v>
      </c>
      <c r="J2003">
        <v>3431</v>
      </c>
      <c r="K2003" s="1" t="s">
        <v>118</v>
      </c>
      <c r="L2003" s="1" t="s">
        <v>23</v>
      </c>
      <c r="M2003">
        <v>0</v>
      </c>
      <c r="N2003">
        <v>0</v>
      </c>
      <c r="O2003">
        <v>0</v>
      </c>
      <c r="P2003" s="2">
        <v>42278</v>
      </c>
      <c r="Q2003">
        <v>0</v>
      </c>
      <c r="R2003" s="1" t="s">
        <v>61</v>
      </c>
    </row>
    <row r="2004" spans="1:18" x14ac:dyDescent="0.25">
      <c r="A2004">
        <v>2015</v>
      </c>
      <c r="B2004">
        <v>11</v>
      </c>
      <c r="C2004" s="1" t="s">
        <v>34</v>
      </c>
      <c r="D2004" s="1" t="s">
        <v>19</v>
      </c>
      <c r="E2004" s="1" t="s">
        <v>117</v>
      </c>
      <c r="F2004">
        <v>2016</v>
      </c>
      <c r="G2004">
        <v>0</v>
      </c>
      <c r="H2004" s="1" t="s">
        <v>59</v>
      </c>
      <c r="I2004">
        <v>25</v>
      </c>
      <c r="J2004">
        <v>3431</v>
      </c>
      <c r="K2004" s="1" t="s">
        <v>118</v>
      </c>
      <c r="L2004" s="1" t="s">
        <v>23</v>
      </c>
      <c r="M2004">
        <v>0</v>
      </c>
      <c r="N2004">
        <v>0</v>
      </c>
      <c r="O2004">
        <v>0</v>
      </c>
      <c r="P2004" s="2">
        <v>42309</v>
      </c>
      <c r="Q2004">
        <v>0</v>
      </c>
      <c r="R2004" s="1" t="s">
        <v>61</v>
      </c>
    </row>
    <row r="2005" spans="1:18" x14ac:dyDescent="0.25">
      <c r="A2005">
        <v>2015</v>
      </c>
      <c r="B2005">
        <v>12</v>
      </c>
      <c r="C2005" s="1" t="s">
        <v>35</v>
      </c>
      <c r="D2005" s="1" t="s">
        <v>19</v>
      </c>
      <c r="E2005" s="1" t="s">
        <v>117</v>
      </c>
      <c r="F2005">
        <v>2016</v>
      </c>
      <c r="G2005">
        <v>0</v>
      </c>
      <c r="H2005" s="1" t="s">
        <v>59</v>
      </c>
      <c r="I2005">
        <v>25</v>
      </c>
      <c r="J2005">
        <v>3431</v>
      </c>
      <c r="K2005" s="1" t="s">
        <v>118</v>
      </c>
      <c r="L2005" s="1" t="s">
        <v>23</v>
      </c>
      <c r="M2005">
        <v>0</v>
      </c>
      <c r="N2005">
        <v>0</v>
      </c>
      <c r="O2005">
        <v>0</v>
      </c>
      <c r="P2005" s="2">
        <v>42339</v>
      </c>
      <c r="Q2005">
        <v>0</v>
      </c>
      <c r="R2005" s="1" t="s">
        <v>61</v>
      </c>
    </row>
    <row r="2006" spans="1:18" x14ac:dyDescent="0.25">
      <c r="A2006">
        <v>2015</v>
      </c>
      <c r="B2006">
        <v>1</v>
      </c>
      <c r="C2006" s="1" t="s">
        <v>18</v>
      </c>
      <c r="D2006" s="1" t="s">
        <v>19</v>
      </c>
      <c r="E2006" s="1" t="s">
        <v>119</v>
      </c>
      <c r="F2006">
        <v>2016</v>
      </c>
      <c r="G2006">
        <v>0</v>
      </c>
      <c r="H2006" s="1" t="s">
        <v>59</v>
      </c>
      <c r="I2006">
        <v>21</v>
      </c>
      <c r="J2006">
        <v>2901</v>
      </c>
      <c r="K2006" s="1" t="s">
        <v>120</v>
      </c>
      <c r="L2006" s="1" t="s">
        <v>23</v>
      </c>
      <c r="M2006">
        <v>0</v>
      </c>
      <c r="N2006">
        <v>0</v>
      </c>
      <c r="O2006">
        <v>0</v>
      </c>
      <c r="P2006" s="2">
        <v>42005</v>
      </c>
      <c r="Q2006">
        <v>0</v>
      </c>
      <c r="R2006" s="1" t="s">
        <v>61</v>
      </c>
    </row>
    <row r="2007" spans="1:18" x14ac:dyDescent="0.25">
      <c r="A2007">
        <v>2015</v>
      </c>
      <c r="B2007">
        <v>2</v>
      </c>
      <c r="C2007" s="1" t="s">
        <v>25</v>
      </c>
      <c r="D2007" s="1" t="s">
        <v>19</v>
      </c>
      <c r="E2007" s="1" t="s">
        <v>119</v>
      </c>
      <c r="F2007">
        <v>2016</v>
      </c>
      <c r="G2007">
        <v>0</v>
      </c>
      <c r="H2007" s="1" t="s">
        <v>59</v>
      </c>
      <c r="I2007">
        <v>21</v>
      </c>
      <c r="J2007">
        <v>2901</v>
      </c>
      <c r="K2007" s="1" t="s">
        <v>120</v>
      </c>
      <c r="L2007" s="1" t="s">
        <v>23</v>
      </c>
      <c r="M2007">
        <v>0</v>
      </c>
      <c r="N2007">
        <v>0</v>
      </c>
      <c r="O2007">
        <v>0</v>
      </c>
      <c r="P2007" s="2">
        <v>42036</v>
      </c>
      <c r="Q2007">
        <v>0</v>
      </c>
      <c r="R2007" s="1" t="s">
        <v>61</v>
      </c>
    </row>
    <row r="2008" spans="1:18" x14ac:dyDescent="0.25">
      <c r="A2008">
        <v>2015</v>
      </c>
      <c r="B2008">
        <v>3</v>
      </c>
      <c r="C2008" s="1" t="s">
        <v>26</v>
      </c>
      <c r="D2008" s="1" t="s">
        <v>19</v>
      </c>
      <c r="E2008" s="1" t="s">
        <v>119</v>
      </c>
      <c r="F2008">
        <v>2016</v>
      </c>
      <c r="G2008">
        <v>0</v>
      </c>
      <c r="H2008" s="1" t="s">
        <v>59</v>
      </c>
      <c r="I2008">
        <v>21</v>
      </c>
      <c r="J2008">
        <v>2901</v>
      </c>
      <c r="K2008" s="1" t="s">
        <v>120</v>
      </c>
      <c r="L2008" s="1" t="s">
        <v>23</v>
      </c>
      <c r="M2008">
        <v>0</v>
      </c>
      <c r="N2008">
        <v>0</v>
      </c>
      <c r="O2008">
        <v>0</v>
      </c>
      <c r="P2008" s="2">
        <v>42064</v>
      </c>
      <c r="Q2008">
        <v>0</v>
      </c>
      <c r="R2008" s="1" t="s">
        <v>61</v>
      </c>
    </row>
    <row r="2009" spans="1:18" x14ac:dyDescent="0.25">
      <c r="A2009">
        <v>2015</v>
      </c>
      <c r="B2009">
        <v>4</v>
      </c>
      <c r="C2009" s="1" t="s">
        <v>27</v>
      </c>
      <c r="D2009" s="1" t="s">
        <v>19</v>
      </c>
      <c r="E2009" s="1" t="s">
        <v>119</v>
      </c>
      <c r="F2009">
        <v>2016</v>
      </c>
      <c r="G2009">
        <v>0</v>
      </c>
      <c r="H2009" s="1" t="s">
        <v>59</v>
      </c>
      <c r="I2009">
        <v>21</v>
      </c>
      <c r="J2009">
        <v>2901</v>
      </c>
      <c r="K2009" s="1" t="s">
        <v>120</v>
      </c>
      <c r="L2009" s="1" t="s">
        <v>23</v>
      </c>
      <c r="M2009">
        <v>0</v>
      </c>
      <c r="N2009">
        <v>0</v>
      </c>
      <c r="O2009">
        <v>0</v>
      </c>
      <c r="P2009" s="2">
        <v>42095</v>
      </c>
      <c r="Q2009">
        <v>0</v>
      </c>
      <c r="R2009" s="1" t="s">
        <v>61</v>
      </c>
    </row>
    <row r="2010" spans="1:18" x14ac:dyDescent="0.25">
      <c r="A2010">
        <v>2015</v>
      </c>
      <c r="B2010">
        <v>5</v>
      </c>
      <c r="C2010" s="1" t="s">
        <v>28</v>
      </c>
      <c r="D2010" s="1" t="s">
        <v>19</v>
      </c>
      <c r="E2010" s="1" t="s">
        <v>119</v>
      </c>
      <c r="F2010">
        <v>2016</v>
      </c>
      <c r="G2010">
        <v>0</v>
      </c>
      <c r="H2010" s="1" t="s">
        <v>59</v>
      </c>
      <c r="I2010">
        <v>21</v>
      </c>
      <c r="J2010">
        <v>2901</v>
      </c>
      <c r="K2010" s="1" t="s">
        <v>120</v>
      </c>
      <c r="L2010" s="1" t="s">
        <v>23</v>
      </c>
      <c r="M2010">
        <v>0</v>
      </c>
      <c r="N2010">
        <v>0</v>
      </c>
      <c r="O2010">
        <v>0</v>
      </c>
      <c r="P2010" s="2">
        <v>42125</v>
      </c>
      <c r="Q2010">
        <v>0</v>
      </c>
      <c r="R2010" s="1" t="s">
        <v>61</v>
      </c>
    </row>
    <row r="2011" spans="1:18" x14ac:dyDescent="0.25">
      <c r="A2011">
        <v>2015</v>
      </c>
      <c r="B2011">
        <v>6</v>
      </c>
      <c r="C2011" s="1" t="s">
        <v>29</v>
      </c>
      <c r="D2011" s="1" t="s">
        <v>19</v>
      </c>
      <c r="E2011" s="1" t="s">
        <v>119</v>
      </c>
      <c r="F2011">
        <v>2016</v>
      </c>
      <c r="G2011">
        <v>0</v>
      </c>
      <c r="H2011" s="1" t="s">
        <v>59</v>
      </c>
      <c r="I2011">
        <v>21</v>
      </c>
      <c r="J2011">
        <v>2901</v>
      </c>
      <c r="K2011" s="1" t="s">
        <v>120</v>
      </c>
      <c r="L2011" s="1" t="s">
        <v>23</v>
      </c>
      <c r="M2011">
        <v>0</v>
      </c>
      <c r="N2011">
        <v>0</v>
      </c>
      <c r="O2011">
        <v>0</v>
      </c>
      <c r="P2011" s="2">
        <v>42156</v>
      </c>
      <c r="Q2011">
        <v>0</v>
      </c>
      <c r="R2011" s="1" t="s">
        <v>61</v>
      </c>
    </row>
    <row r="2012" spans="1:18" x14ac:dyDescent="0.25">
      <c r="A2012">
        <v>2015</v>
      </c>
      <c r="B2012">
        <v>7</v>
      </c>
      <c r="C2012" s="1" t="s">
        <v>30</v>
      </c>
      <c r="D2012" s="1" t="s">
        <v>19</v>
      </c>
      <c r="E2012" s="1" t="s">
        <v>119</v>
      </c>
      <c r="F2012">
        <v>2016</v>
      </c>
      <c r="G2012">
        <v>0</v>
      </c>
      <c r="H2012" s="1" t="s">
        <v>59</v>
      </c>
      <c r="I2012">
        <v>21</v>
      </c>
      <c r="J2012">
        <v>2901</v>
      </c>
      <c r="K2012" s="1" t="s">
        <v>120</v>
      </c>
      <c r="L2012" s="1" t="s">
        <v>23</v>
      </c>
      <c r="M2012">
        <v>0</v>
      </c>
      <c r="N2012">
        <v>0</v>
      </c>
      <c r="O2012">
        <v>0</v>
      </c>
      <c r="P2012" s="2">
        <v>42186</v>
      </c>
      <c r="Q2012">
        <v>0</v>
      </c>
      <c r="R2012" s="1" t="s">
        <v>61</v>
      </c>
    </row>
    <row r="2013" spans="1:18" x14ac:dyDescent="0.25">
      <c r="A2013">
        <v>2015</v>
      </c>
      <c r="B2013">
        <v>8</v>
      </c>
      <c r="C2013" s="1" t="s">
        <v>31</v>
      </c>
      <c r="D2013" s="1" t="s">
        <v>19</v>
      </c>
      <c r="E2013" s="1" t="s">
        <v>119</v>
      </c>
      <c r="F2013">
        <v>2016</v>
      </c>
      <c r="G2013">
        <v>0</v>
      </c>
      <c r="H2013" s="1" t="s">
        <v>59</v>
      </c>
      <c r="I2013">
        <v>21</v>
      </c>
      <c r="J2013">
        <v>2901</v>
      </c>
      <c r="K2013" s="1" t="s">
        <v>120</v>
      </c>
      <c r="L2013" s="1" t="s">
        <v>23</v>
      </c>
      <c r="M2013">
        <v>0</v>
      </c>
      <c r="N2013">
        <v>0</v>
      </c>
      <c r="O2013">
        <v>0</v>
      </c>
      <c r="P2013" s="2">
        <v>42217</v>
      </c>
      <c r="Q2013">
        <v>0</v>
      </c>
      <c r="R2013" s="1" t="s">
        <v>61</v>
      </c>
    </row>
    <row r="2014" spans="1:18" x14ac:dyDescent="0.25">
      <c r="A2014">
        <v>2015</v>
      </c>
      <c r="B2014">
        <v>9</v>
      </c>
      <c r="C2014" s="1" t="s">
        <v>32</v>
      </c>
      <c r="D2014" s="1" t="s">
        <v>19</v>
      </c>
      <c r="E2014" s="1" t="s">
        <v>119</v>
      </c>
      <c r="F2014">
        <v>2016</v>
      </c>
      <c r="G2014">
        <v>0</v>
      </c>
      <c r="H2014" s="1" t="s">
        <v>59</v>
      </c>
      <c r="I2014">
        <v>21</v>
      </c>
      <c r="J2014">
        <v>2901</v>
      </c>
      <c r="K2014" s="1" t="s">
        <v>120</v>
      </c>
      <c r="L2014" s="1" t="s">
        <v>23</v>
      </c>
      <c r="M2014">
        <v>0</v>
      </c>
      <c r="N2014">
        <v>0</v>
      </c>
      <c r="O2014">
        <v>0</v>
      </c>
      <c r="P2014" s="2">
        <v>42248</v>
      </c>
      <c r="Q2014">
        <v>0</v>
      </c>
      <c r="R2014" s="1" t="s">
        <v>61</v>
      </c>
    </row>
    <row r="2015" spans="1:18" x14ac:dyDescent="0.25">
      <c r="A2015">
        <v>2015</v>
      </c>
      <c r="B2015">
        <v>10</v>
      </c>
      <c r="C2015" s="1" t="s">
        <v>33</v>
      </c>
      <c r="D2015" s="1" t="s">
        <v>19</v>
      </c>
      <c r="E2015" s="1" t="s">
        <v>119</v>
      </c>
      <c r="F2015">
        <v>2016</v>
      </c>
      <c r="G2015">
        <v>0</v>
      </c>
      <c r="H2015" s="1" t="s">
        <v>59</v>
      </c>
      <c r="I2015">
        <v>21</v>
      </c>
      <c r="J2015">
        <v>2901</v>
      </c>
      <c r="K2015" s="1" t="s">
        <v>120</v>
      </c>
      <c r="L2015" s="1" t="s">
        <v>23</v>
      </c>
      <c r="M2015">
        <v>0</v>
      </c>
      <c r="N2015">
        <v>0</v>
      </c>
      <c r="O2015">
        <v>0</v>
      </c>
      <c r="P2015" s="2">
        <v>42278</v>
      </c>
      <c r="Q2015">
        <v>0</v>
      </c>
      <c r="R2015" s="1" t="s">
        <v>61</v>
      </c>
    </row>
    <row r="2016" spans="1:18" x14ac:dyDescent="0.25">
      <c r="A2016">
        <v>2015</v>
      </c>
      <c r="B2016">
        <v>11</v>
      </c>
      <c r="C2016" s="1" t="s">
        <v>34</v>
      </c>
      <c r="D2016" s="1" t="s">
        <v>19</v>
      </c>
      <c r="E2016" s="1" t="s">
        <v>119</v>
      </c>
      <c r="F2016">
        <v>2016</v>
      </c>
      <c r="G2016">
        <v>0</v>
      </c>
      <c r="H2016" s="1" t="s">
        <v>59</v>
      </c>
      <c r="I2016">
        <v>21</v>
      </c>
      <c r="J2016">
        <v>2901</v>
      </c>
      <c r="K2016" s="1" t="s">
        <v>120</v>
      </c>
      <c r="L2016" s="1" t="s">
        <v>23</v>
      </c>
      <c r="M2016">
        <v>0</v>
      </c>
      <c r="N2016">
        <v>0</v>
      </c>
      <c r="O2016">
        <v>0</v>
      </c>
      <c r="P2016" s="2">
        <v>42309</v>
      </c>
      <c r="Q2016">
        <v>0</v>
      </c>
      <c r="R2016" s="1" t="s">
        <v>61</v>
      </c>
    </row>
    <row r="2017" spans="1:18" x14ac:dyDescent="0.25">
      <c r="A2017">
        <v>2015</v>
      </c>
      <c r="B2017">
        <v>12</v>
      </c>
      <c r="C2017" s="1" t="s">
        <v>35</v>
      </c>
      <c r="D2017" s="1" t="s">
        <v>19</v>
      </c>
      <c r="E2017" s="1" t="s">
        <v>119</v>
      </c>
      <c r="F2017">
        <v>2016</v>
      </c>
      <c r="G2017">
        <v>0</v>
      </c>
      <c r="H2017" s="1" t="s">
        <v>59</v>
      </c>
      <c r="I2017">
        <v>21</v>
      </c>
      <c r="J2017">
        <v>2901</v>
      </c>
      <c r="K2017" s="1" t="s">
        <v>120</v>
      </c>
      <c r="L2017" s="1" t="s">
        <v>23</v>
      </c>
      <c r="M2017">
        <v>0</v>
      </c>
      <c r="N2017">
        <v>0</v>
      </c>
      <c r="O2017">
        <v>0</v>
      </c>
      <c r="P2017" s="2">
        <v>42339</v>
      </c>
      <c r="Q2017">
        <v>0</v>
      </c>
      <c r="R2017" s="1" t="s">
        <v>61</v>
      </c>
    </row>
    <row r="2018" spans="1:18" x14ac:dyDescent="0.25">
      <c r="A2018">
        <v>2016</v>
      </c>
      <c r="B2018">
        <v>1</v>
      </c>
      <c r="C2018" s="1" t="s">
        <v>18</v>
      </c>
      <c r="D2018" s="1" t="s">
        <v>19</v>
      </c>
      <c r="E2018" s="1" t="s">
        <v>20</v>
      </c>
      <c r="F2018">
        <v>2000</v>
      </c>
      <c r="G2018">
        <v>16</v>
      </c>
      <c r="H2018" s="1" t="s">
        <v>21</v>
      </c>
      <c r="I2018">
        <v>19</v>
      </c>
      <c r="J2018">
        <v>1490</v>
      </c>
      <c r="K2018" s="1" t="s">
        <v>22</v>
      </c>
      <c r="L2018" s="1" t="s">
        <v>23</v>
      </c>
      <c r="M2018">
        <v>0.53400000000000003</v>
      </c>
      <c r="N2018">
        <v>10145.4</v>
      </c>
      <c r="O2018">
        <v>10.145</v>
      </c>
      <c r="P2018" s="2">
        <v>42370</v>
      </c>
      <c r="Q2018">
        <v>1</v>
      </c>
      <c r="R2018" s="1" t="s">
        <v>24</v>
      </c>
    </row>
    <row r="2019" spans="1:18" x14ac:dyDescent="0.25">
      <c r="A2019">
        <v>2016</v>
      </c>
      <c r="B2019">
        <v>2</v>
      </c>
      <c r="C2019" s="1" t="s">
        <v>25</v>
      </c>
      <c r="D2019" s="1" t="s">
        <v>19</v>
      </c>
      <c r="E2019" s="1" t="s">
        <v>20</v>
      </c>
      <c r="F2019">
        <v>2000</v>
      </c>
      <c r="G2019">
        <v>16</v>
      </c>
      <c r="H2019" s="1" t="s">
        <v>21</v>
      </c>
      <c r="I2019">
        <v>19</v>
      </c>
      <c r="J2019">
        <v>1490</v>
      </c>
      <c r="K2019" s="1" t="s">
        <v>22</v>
      </c>
      <c r="L2019" s="1" t="s">
        <v>23</v>
      </c>
      <c r="M2019">
        <v>0.54500000000000004</v>
      </c>
      <c r="N2019">
        <v>10363.5</v>
      </c>
      <c r="O2019">
        <v>10.363</v>
      </c>
      <c r="P2019" s="2">
        <v>42401</v>
      </c>
      <c r="Q2019">
        <v>1</v>
      </c>
      <c r="R2019" s="1" t="s">
        <v>24</v>
      </c>
    </row>
    <row r="2020" spans="1:18" x14ac:dyDescent="0.25">
      <c r="A2020">
        <v>2016</v>
      </c>
      <c r="B2020">
        <v>3</v>
      </c>
      <c r="C2020" s="1" t="s">
        <v>26</v>
      </c>
      <c r="D2020" s="1" t="s">
        <v>19</v>
      </c>
      <c r="E2020" s="1" t="s">
        <v>20</v>
      </c>
      <c r="F2020">
        <v>2000</v>
      </c>
      <c r="G2020">
        <v>16</v>
      </c>
      <c r="H2020" s="1" t="s">
        <v>21</v>
      </c>
      <c r="I2020">
        <v>19</v>
      </c>
      <c r="J2020">
        <v>1490</v>
      </c>
      <c r="K2020" s="1" t="s">
        <v>22</v>
      </c>
      <c r="L2020" s="1" t="s">
        <v>23</v>
      </c>
      <c r="M2020">
        <v>0.66900000000000004</v>
      </c>
      <c r="N2020">
        <v>12718.1</v>
      </c>
      <c r="O2020">
        <v>12.718</v>
      </c>
      <c r="P2020" s="2">
        <v>42430</v>
      </c>
      <c r="Q2020">
        <v>1</v>
      </c>
      <c r="R2020" s="1" t="s">
        <v>24</v>
      </c>
    </row>
    <row r="2021" spans="1:18" x14ac:dyDescent="0.25">
      <c r="A2021">
        <v>2016</v>
      </c>
      <c r="B2021">
        <v>4</v>
      </c>
      <c r="C2021" s="1" t="s">
        <v>27</v>
      </c>
      <c r="D2021" s="1" t="s">
        <v>19</v>
      </c>
      <c r="E2021" s="1" t="s">
        <v>20</v>
      </c>
      <c r="F2021">
        <v>2000</v>
      </c>
      <c r="G2021">
        <v>16</v>
      </c>
      <c r="H2021" s="1" t="s">
        <v>21</v>
      </c>
      <c r="I2021">
        <v>19</v>
      </c>
      <c r="J2021">
        <v>1490</v>
      </c>
      <c r="K2021" s="1" t="s">
        <v>22</v>
      </c>
      <c r="L2021" s="1" t="s">
        <v>23</v>
      </c>
      <c r="M2021">
        <v>0.39700000000000002</v>
      </c>
      <c r="N2021">
        <v>7543.7</v>
      </c>
      <c r="O2021">
        <v>7.5439999999999996</v>
      </c>
      <c r="P2021" s="2">
        <v>42461</v>
      </c>
      <c r="Q2021">
        <v>1</v>
      </c>
      <c r="R2021" s="1" t="s">
        <v>24</v>
      </c>
    </row>
    <row r="2022" spans="1:18" x14ac:dyDescent="0.25">
      <c r="A2022">
        <v>2016</v>
      </c>
      <c r="B2022">
        <v>5</v>
      </c>
      <c r="C2022" s="1" t="s">
        <v>28</v>
      </c>
      <c r="D2022" s="1" t="s">
        <v>19</v>
      </c>
      <c r="E2022" s="1" t="s">
        <v>20</v>
      </c>
      <c r="F2022">
        <v>2000</v>
      </c>
      <c r="G2022">
        <v>16</v>
      </c>
      <c r="H2022" s="1" t="s">
        <v>21</v>
      </c>
      <c r="I2022">
        <v>19</v>
      </c>
      <c r="J2022">
        <v>1490</v>
      </c>
      <c r="K2022" s="1" t="s">
        <v>22</v>
      </c>
      <c r="L2022" s="1" t="s">
        <v>23</v>
      </c>
      <c r="M2022">
        <v>0.91700000000000004</v>
      </c>
      <c r="N2022">
        <v>17427.5</v>
      </c>
      <c r="O2022">
        <v>17.427</v>
      </c>
      <c r="P2022" s="2">
        <v>42491</v>
      </c>
      <c r="Q2022">
        <v>1</v>
      </c>
      <c r="R2022" s="1" t="s">
        <v>24</v>
      </c>
    </row>
    <row r="2023" spans="1:18" x14ac:dyDescent="0.25">
      <c r="A2023">
        <v>2016</v>
      </c>
      <c r="B2023">
        <v>6</v>
      </c>
      <c r="C2023" s="1" t="s">
        <v>29</v>
      </c>
      <c r="D2023" s="1" t="s">
        <v>19</v>
      </c>
      <c r="E2023" s="1" t="s">
        <v>20</v>
      </c>
      <c r="F2023">
        <v>2000</v>
      </c>
      <c r="G2023">
        <v>16</v>
      </c>
      <c r="H2023" s="1" t="s">
        <v>21</v>
      </c>
      <c r="I2023">
        <v>19</v>
      </c>
      <c r="J2023">
        <v>1490</v>
      </c>
      <c r="K2023" s="1" t="s">
        <v>22</v>
      </c>
      <c r="L2023" s="1" t="s">
        <v>23</v>
      </c>
      <c r="M2023">
        <v>0.95899999999999996</v>
      </c>
      <c r="N2023">
        <v>18212.400000000001</v>
      </c>
      <c r="O2023">
        <v>18.212</v>
      </c>
      <c r="P2023" s="2">
        <v>42522</v>
      </c>
      <c r="Q2023">
        <v>1</v>
      </c>
      <c r="R2023" s="1" t="s">
        <v>24</v>
      </c>
    </row>
    <row r="2024" spans="1:18" x14ac:dyDescent="0.25">
      <c r="A2024">
        <v>2016</v>
      </c>
      <c r="B2024">
        <v>7</v>
      </c>
      <c r="C2024" s="1" t="s">
        <v>30</v>
      </c>
      <c r="D2024" s="1" t="s">
        <v>19</v>
      </c>
      <c r="E2024" s="1" t="s">
        <v>20</v>
      </c>
      <c r="F2024">
        <v>2000</v>
      </c>
      <c r="G2024">
        <v>16</v>
      </c>
      <c r="H2024" s="1" t="s">
        <v>21</v>
      </c>
      <c r="I2024">
        <v>19</v>
      </c>
      <c r="J2024">
        <v>1490</v>
      </c>
      <c r="K2024" s="1" t="s">
        <v>22</v>
      </c>
      <c r="L2024" s="1" t="s">
        <v>23</v>
      </c>
      <c r="M2024">
        <v>0.71199999999999997</v>
      </c>
      <c r="N2024">
        <v>13532.1</v>
      </c>
      <c r="O2024">
        <v>13.532</v>
      </c>
      <c r="P2024" s="2">
        <v>42552</v>
      </c>
      <c r="Q2024">
        <v>1</v>
      </c>
      <c r="R2024" s="1" t="s">
        <v>24</v>
      </c>
    </row>
    <row r="2025" spans="1:18" x14ac:dyDescent="0.25">
      <c r="A2025">
        <v>2016</v>
      </c>
      <c r="B2025">
        <v>8</v>
      </c>
      <c r="C2025" s="1" t="s">
        <v>31</v>
      </c>
      <c r="D2025" s="1" t="s">
        <v>19</v>
      </c>
      <c r="E2025" s="1" t="s">
        <v>20</v>
      </c>
      <c r="F2025">
        <v>2000</v>
      </c>
      <c r="G2025">
        <v>16</v>
      </c>
      <c r="H2025" s="1" t="s">
        <v>21</v>
      </c>
      <c r="I2025">
        <v>19</v>
      </c>
      <c r="J2025">
        <v>1490</v>
      </c>
      <c r="K2025" s="1" t="s">
        <v>22</v>
      </c>
      <c r="L2025" s="1" t="s">
        <v>23</v>
      </c>
      <c r="M2025">
        <v>0.65600000000000003</v>
      </c>
      <c r="N2025">
        <v>12456.5</v>
      </c>
      <c r="O2025">
        <v>12.456</v>
      </c>
      <c r="P2025" s="2">
        <v>42583</v>
      </c>
      <c r="Q2025">
        <v>1</v>
      </c>
      <c r="R2025" s="1" t="s">
        <v>24</v>
      </c>
    </row>
    <row r="2026" spans="1:18" x14ac:dyDescent="0.25">
      <c r="A2026">
        <v>2016</v>
      </c>
      <c r="B2026">
        <v>9</v>
      </c>
      <c r="C2026" s="1" t="s">
        <v>32</v>
      </c>
      <c r="D2026" s="1" t="s">
        <v>19</v>
      </c>
      <c r="E2026" s="1" t="s">
        <v>20</v>
      </c>
      <c r="F2026">
        <v>2000</v>
      </c>
      <c r="G2026">
        <v>16</v>
      </c>
      <c r="H2026" s="1" t="s">
        <v>21</v>
      </c>
      <c r="I2026">
        <v>19</v>
      </c>
      <c r="J2026">
        <v>1490</v>
      </c>
      <c r="K2026" s="1" t="s">
        <v>22</v>
      </c>
      <c r="L2026" s="1" t="s">
        <v>23</v>
      </c>
      <c r="M2026">
        <v>0.52900000000000003</v>
      </c>
      <c r="N2026">
        <v>10058.200000000001</v>
      </c>
      <c r="O2026">
        <v>10.058</v>
      </c>
      <c r="P2026" s="2">
        <v>42614</v>
      </c>
      <c r="Q2026">
        <v>1</v>
      </c>
      <c r="R2026" s="1" t="s">
        <v>24</v>
      </c>
    </row>
    <row r="2027" spans="1:18" x14ac:dyDescent="0.25">
      <c r="A2027">
        <v>2016</v>
      </c>
      <c r="B2027">
        <v>10</v>
      </c>
      <c r="C2027" s="1" t="s">
        <v>33</v>
      </c>
      <c r="D2027" s="1" t="s">
        <v>19</v>
      </c>
      <c r="E2027" s="1" t="s">
        <v>20</v>
      </c>
      <c r="F2027">
        <v>2000</v>
      </c>
      <c r="G2027">
        <v>16</v>
      </c>
      <c r="H2027" s="1" t="s">
        <v>21</v>
      </c>
      <c r="I2027">
        <v>19</v>
      </c>
      <c r="J2027">
        <v>1490</v>
      </c>
      <c r="K2027" s="1" t="s">
        <v>22</v>
      </c>
      <c r="L2027" s="1" t="s">
        <v>23</v>
      </c>
      <c r="M2027">
        <v>0.93300000000000005</v>
      </c>
      <c r="N2027">
        <v>17732.7</v>
      </c>
      <c r="O2027">
        <v>17.733000000000001</v>
      </c>
      <c r="P2027" s="2">
        <v>42644</v>
      </c>
      <c r="Q2027">
        <v>1</v>
      </c>
      <c r="R2027" s="1" t="s">
        <v>24</v>
      </c>
    </row>
    <row r="2028" spans="1:18" x14ac:dyDescent="0.25">
      <c r="A2028">
        <v>2016</v>
      </c>
      <c r="B2028">
        <v>11</v>
      </c>
      <c r="C2028" s="1" t="s">
        <v>34</v>
      </c>
      <c r="D2028" s="1" t="s">
        <v>19</v>
      </c>
      <c r="E2028" s="1" t="s">
        <v>20</v>
      </c>
      <c r="F2028">
        <v>2000</v>
      </c>
      <c r="G2028">
        <v>16</v>
      </c>
      <c r="H2028" s="1" t="s">
        <v>21</v>
      </c>
      <c r="I2028">
        <v>19</v>
      </c>
      <c r="J2028">
        <v>1490</v>
      </c>
      <c r="K2028" s="1" t="s">
        <v>22</v>
      </c>
      <c r="L2028" s="1" t="s">
        <v>23</v>
      </c>
      <c r="M2028">
        <v>0.84199999999999997</v>
      </c>
      <c r="N2028">
        <v>15988.5</v>
      </c>
      <c r="O2028">
        <v>15.989000000000001</v>
      </c>
      <c r="P2028" s="2">
        <v>42675</v>
      </c>
      <c r="Q2028">
        <v>1</v>
      </c>
      <c r="R2028" s="1" t="s">
        <v>24</v>
      </c>
    </row>
    <row r="2029" spans="1:18" x14ac:dyDescent="0.25">
      <c r="A2029">
        <v>2016</v>
      </c>
      <c r="B2029">
        <v>12</v>
      </c>
      <c r="C2029" s="1" t="s">
        <v>35</v>
      </c>
      <c r="D2029" s="1" t="s">
        <v>19</v>
      </c>
      <c r="E2029" s="1" t="s">
        <v>20</v>
      </c>
      <c r="F2029">
        <v>2000</v>
      </c>
      <c r="G2029">
        <v>16</v>
      </c>
      <c r="H2029" s="1" t="s">
        <v>21</v>
      </c>
      <c r="I2029">
        <v>19</v>
      </c>
      <c r="J2029">
        <v>1490</v>
      </c>
      <c r="K2029" s="1" t="s">
        <v>22</v>
      </c>
      <c r="L2029" s="1" t="s">
        <v>23</v>
      </c>
      <c r="M2029">
        <v>0.82499999999999996</v>
      </c>
      <c r="N2029">
        <v>15683.3</v>
      </c>
      <c r="O2029">
        <v>15.683</v>
      </c>
      <c r="P2029" s="2">
        <v>42705</v>
      </c>
      <c r="Q2029">
        <v>1</v>
      </c>
      <c r="R2029" s="1" t="s">
        <v>24</v>
      </c>
    </row>
    <row r="2030" spans="1:18" x14ac:dyDescent="0.25">
      <c r="A2030">
        <v>2016</v>
      </c>
      <c r="B2030">
        <v>1</v>
      </c>
      <c r="C2030" s="1" t="s">
        <v>18</v>
      </c>
      <c r="D2030" s="1" t="s">
        <v>19</v>
      </c>
      <c r="E2030" s="1" t="s">
        <v>36</v>
      </c>
      <c r="F2030">
        <v>2000</v>
      </c>
      <c r="G2030">
        <v>16</v>
      </c>
      <c r="H2030" s="1" t="s">
        <v>21</v>
      </c>
      <c r="I2030">
        <v>24</v>
      </c>
      <c r="J2030">
        <v>1675</v>
      </c>
      <c r="K2030" s="1" t="s">
        <v>37</v>
      </c>
      <c r="L2030" s="1" t="s">
        <v>23</v>
      </c>
      <c r="M2030">
        <v>0.53400000000000003</v>
      </c>
      <c r="N2030">
        <v>12815.3</v>
      </c>
      <c r="O2030">
        <v>12.815</v>
      </c>
      <c r="P2030" s="2">
        <v>42370</v>
      </c>
      <c r="Q2030">
        <v>1</v>
      </c>
      <c r="R2030" s="1" t="s">
        <v>24</v>
      </c>
    </row>
    <row r="2031" spans="1:18" x14ac:dyDescent="0.25">
      <c r="A2031">
        <v>2016</v>
      </c>
      <c r="B2031">
        <v>2</v>
      </c>
      <c r="C2031" s="1" t="s">
        <v>25</v>
      </c>
      <c r="D2031" s="1" t="s">
        <v>19</v>
      </c>
      <c r="E2031" s="1" t="s">
        <v>36</v>
      </c>
      <c r="F2031">
        <v>2000</v>
      </c>
      <c r="G2031">
        <v>16</v>
      </c>
      <c r="H2031" s="1" t="s">
        <v>21</v>
      </c>
      <c r="I2031">
        <v>24</v>
      </c>
      <c r="J2031">
        <v>1675</v>
      </c>
      <c r="K2031" s="1" t="s">
        <v>37</v>
      </c>
      <c r="L2031" s="1" t="s">
        <v>23</v>
      </c>
      <c r="M2031">
        <v>0.54500000000000004</v>
      </c>
      <c r="N2031">
        <v>13090.7</v>
      </c>
      <c r="O2031">
        <v>13.090999999999999</v>
      </c>
      <c r="P2031" s="2">
        <v>42401</v>
      </c>
      <c r="Q2031">
        <v>1</v>
      </c>
      <c r="R2031" s="1" t="s">
        <v>24</v>
      </c>
    </row>
    <row r="2032" spans="1:18" x14ac:dyDescent="0.25">
      <c r="A2032">
        <v>2016</v>
      </c>
      <c r="B2032">
        <v>3</v>
      </c>
      <c r="C2032" s="1" t="s">
        <v>26</v>
      </c>
      <c r="D2032" s="1" t="s">
        <v>19</v>
      </c>
      <c r="E2032" s="1" t="s">
        <v>36</v>
      </c>
      <c r="F2032">
        <v>2000</v>
      </c>
      <c r="G2032">
        <v>16</v>
      </c>
      <c r="H2032" s="1" t="s">
        <v>21</v>
      </c>
      <c r="I2032">
        <v>24</v>
      </c>
      <c r="J2032">
        <v>1675</v>
      </c>
      <c r="K2032" s="1" t="s">
        <v>37</v>
      </c>
      <c r="L2032" s="1" t="s">
        <v>23</v>
      </c>
      <c r="M2032">
        <v>0.66900000000000004</v>
      </c>
      <c r="N2032">
        <v>16065</v>
      </c>
      <c r="O2032">
        <v>16.065000000000001</v>
      </c>
      <c r="P2032" s="2">
        <v>42430</v>
      </c>
      <c r="Q2032">
        <v>1</v>
      </c>
      <c r="R2032" s="1" t="s">
        <v>24</v>
      </c>
    </row>
    <row r="2033" spans="1:18" x14ac:dyDescent="0.25">
      <c r="A2033">
        <v>2016</v>
      </c>
      <c r="B2033">
        <v>4</v>
      </c>
      <c r="C2033" s="1" t="s">
        <v>27</v>
      </c>
      <c r="D2033" s="1" t="s">
        <v>19</v>
      </c>
      <c r="E2033" s="1" t="s">
        <v>36</v>
      </c>
      <c r="F2033">
        <v>2000</v>
      </c>
      <c r="G2033">
        <v>16</v>
      </c>
      <c r="H2033" s="1" t="s">
        <v>21</v>
      </c>
      <c r="I2033">
        <v>24</v>
      </c>
      <c r="J2033">
        <v>1675</v>
      </c>
      <c r="K2033" s="1" t="s">
        <v>37</v>
      </c>
      <c r="L2033" s="1" t="s">
        <v>23</v>
      </c>
      <c r="M2033">
        <v>0.39700000000000002</v>
      </c>
      <c r="N2033">
        <v>9528.7999999999993</v>
      </c>
      <c r="O2033">
        <v>9.5289999999999999</v>
      </c>
      <c r="P2033" s="2">
        <v>42461</v>
      </c>
      <c r="Q2033">
        <v>1</v>
      </c>
      <c r="R2033" s="1" t="s">
        <v>24</v>
      </c>
    </row>
    <row r="2034" spans="1:18" x14ac:dyDescent="0.25">
      <c r="A2034">
        <v>2016</v>
      </c>
      <c r="B2034">
        <v>5</v>
      </c>
      <c r="C2034" s="1" t="s">
        <v>28</v>
      </c>
      <c r="D2034" s="1" t="s">
        <v>19</v>
      </c>
      <c r="E2034" s="1" t="s">
        <v>36</v>
      </c>
      <c r="F2034">
        <v>2000</v>
      </c>
      <c r="G2034">
        <v>16</v>
      </c>
      <c r="H2034" s="1" t="s">
        <v>21</v>
      </c>
      <c r="I2034">
        <v>24</v>
      </c>
      <c r="J2034">
        <v>1675</v>
      </c>
      <c r="K2034" s="1" t="s">
        <v>37</v>
      </c>
      <c r="L2034" s="1" t="s">
        <v>23</v>
      </c>
      <c r="M2034">
        <v>0.91700000000000004</v>
      </c>
      <c r="N2034">
        <v>22013.599999999999</v>
      </c>
      <c r="O2034">
        <v>22.013999999999999</v>
      </c>
      <c r="P2034" s="2">
        <v>42491</v>
      </c>
      <c r="Q2034">
        <v>1</v>
      </c>
      <c r="R2034" s="1" t="s">
        <v>24</v>
      </c>
    </row>
    <row r="2035" spans="1:18" x14ac:dyDescent="0.25">
      <c r="A2035">
        <v>2016</v>
      </c>
      <c r="B2035">
        <v>6</v>
      </c>
      <c r="C2035" s="1" t="s">
        <v>29</v>
      </c>
      <c r="D2035" s="1" t="s">
        <v>19</v>
      </c>
      <c r="E2035" s="1" t="s">
        <v>36</v>
      </c>
      <c r="F2035">
        <v>2000</v>
      </c>
      <c r="G2035">
        <v>16</v>
      </c>
      <c r="H2035" s="1" t="s">
        <v>21</v>
      </c>
      <c r="I2035">
        <v>24</v>
      </c>
      <c r="J2035">
        <v>1675</v>
      </c>
      <c r="K2035" s="1" t="s">
        <v>37</v>
      </c>
      <c r="L2035" s="1" t="s">
        <v>23</v>
      </c>
      <c r="M2035">
        <v>0.95899999999999996</v>
      </c>
      <c r="N2035">
        <v>23005.1</v>
      </c>
      <c r="O2035">
        <v>23.004999999999999</v>
      </c>
      <c r="P2035" s="2">
        <v>42522</v>
      </c>
      <c r="Q2035">
        <v>1</v>
      </c>
      <c r="R2035" s="1" t="s">
        <v>24</v>
      </c>
    </row>
    <row r="2036" spans="1:18" x14ac:dyDescent="0.25">
      <c r="A2036">
        <v>2016</v>
      </c>
      <c r="B2036">
        <v>7</v>
      </c>
      <c r="C2036" s="1" t="s">
        <v>30</v>
      </c>
      <c r="D2036" s="1" t="s">
        <v>19</v>
      </c>
      <c r="E2036" s="1" t="s">
        <v>36</v>
      </c>
      <c r="F2036">
        <v>2000</v>
      </c>
      <c r="G2036">
        <v>16</v>
      </c>
      <c r="H2036" s="1" t="s">
        <v>21</v>
      </c>
      <c r="I2036">
        <v>24</v>
      </c>
      <c r="J2036">
        <v>1675</v>
      </c>
      <c r="K2036" s="1" t="s">
        <v>37</v>
      </c>
      <c r="L2036" s="1" t="s">
        <v>23</v>
      </c>
      <c r="M2036">
        <v>0.71199999999999997</v>
      </c>
      <c r="N2036">
        <v>17093.2</v>
      </c>
      <c r="O2036">
        <v>17.093</v>
      </c>
      <c r="P2036" s="2">
        <v>42552</v>
      </c>
      <c r="Q2036">
        <v>1</v>
      </c>
      <c r="R2036" s="1" t="s">
        <v>24</v>
      </c>
    </row>
    <row r="2037" spans="1:18" x14ac:dyDescent="0.25">
      <c r="A2037">
        <v>2016</v>
      </c>
      <c r="B2037">
        <v>8</v>
      </c>
      <c r="C2037" s="1" t="s">
        <v>31</v>
      </c>
      <c r="D2037" s="1" t="s">
        <v>19</v>
      </c>
      <c r="E2037" s="1" t="s">
        <v>36</v>
      </c>
      <c r="F2037">
        <v>2000</v>
      </c>
      <c r="G2037">
        <v>16</v>
      </c>
      <c r="H2037" s="1" t="s">
        <v>21</v>
      </c>
      <c r="I2037">
        <v>24</v>
      </c>
      <c r="J2037">
        <v>1675</v>
      </c>
      <c r="K2037" s="1" t="s">
        <v>37</v>
      </c>
      <c r="L2037" s="1" t="s">
        <v>23</v>
      </c>
      <c r="M2037">
        <v>0.65600000000000003</v>
      </c>
      <c r="N2037">
        <v>15734.5</v>
      </c>
      <c r="O2037">
        <v>15.734999999999999</v>
      </c>
      <c r="P2037" s="2">
        <v>42583</v>
      </c>
      <c r="Q2037">
        <v>1</v>
      </c>
      <c r="R2037" s="1" t="s">
        <v>24</v>
      </c>
    </row>
    <row r="2038" spans="1:18" x14ac:dyDescent="0.25">
      <c r="A2038">
        <v>2016</v>
      </c>
      <c r="B2038">
        <v>9</v>
      </c>
      <c r="C2038" s="1" t="s">
        <v>32</v>
      </c>
      <c r="D2038" s="1" t="s">
        <v>19</v>
      </c>
      <c r="E2038" s="1" t="s">
        <v>36</v>
      </c>
      <c r="F2038">
        <v>2000</v>
      </c>
      <c r="G2038">
        <v>16</v>
      </c>
      <c r="H2038" s="1" t="s">
        <v>21</v>
      </c>
      <c r="I2038">
        <v>24</v>
      </c>
      <c r="J2038">
        <v>1675</v>
      </c>
      <c r="K2038" s="1" t="s">
        <v>37</v>
      </c>
      <c r="L2038" s="1" t="s">
        <v>23</v>
      </c>
      <c r="M2038">
        <v>0.52900000000000003</v>
      </c>
      <c r="N2038">
        <v>12705.1</v>
      </c>
      <c r="O2038">
        <v>12.705</v>
      </c>
      <c r="P2038" s="2">
        <v>42614</v>
      </c>
      <c r="Q2038">
        <v>1</v>
      </c>
      <c r="R2038" s="1" t="s">
        <v>24</v>
      </c>
    </row>
    <row r="2039" spans="1:18" x14ac:dyDescent="0.25">
      <c r="A2039">
        <v>2016</v>
      </c>
      <c r="B2039">
        <v>10</v>
      </c>
      <c r="C2039" s="1" t="s">
        <v>33</v>
      </c>
      <c r="D2039" s="1" t="s">
        <v>19</v>
      </c>
      <c r="E2039" s="1" t="s">
        <v>36</v>
      </c>
      <c r="F2039">
        <v>2000</v>
      </c>
      <c r="G2039">
        <v>16</v>
      </c>
      <c r="H2039" s="1" t="s">
        <v>21</v>
      </c>
      <c r="I2039">
        <v>24</v>
      </c>
      <c r="J2039">
        <v>1675</v>
      </c>
      <c r="K2039" s="1" t="s">
        <v>37</v>
      </c>
      <c r="L2039" s="1" t="s">
        <v>23</v>
      </c>
      <c r="M2039">
        <v>0.93300000000000005</v>
      </c>
      <c r="N2039">
        <v>22399.200000000001</v>
      </c>
      <c r="O2039">
        <v>22.399000000000001</v>
      </c>
      <c r="P2039" s="2">
        <v>42644</v>
      </c>
      <c r="Q2039">
        <v>1</v>
      </c>
      <c r="R2039" s="1" t="s">
        <v>24</v>
      </c>
    </row>
    <row r="2040" spans="1:18" x14ac:dyDescent="0.25">
      <c r="A2040">
        <v>2016</v>
      </c>
      <c r="B2040">
        <v>11</v>
      </c>
      <c r="C2040" s="1" t="s">
        <v>34</v>
      </c>
      <c r="D2040" s="1" t="s">
        <v>19</v>
      </c>
      <c r="E2040" s="1" t="s">
        <v>36</v>
      </c>
      <c r="F2040">
        <v>2000</v>
      </c>
      <c r="G2040">
        <v>16</v>
      </c>
      <c r="H2040" s="1" t="s">
        <v>21</v>
      </c>
      <c r="I2040">
        <v>24</v>
      </c>
      <c r="J2040">
        <v>1675</v>
      </c>
      <c r="K2040" s="1" t="s">
        <v>37</v>
      </c>
      <c r="L2040" s="1" t="s">
        <v>23</v>
      </c>
      <c r="M2040">
        <v>0.84199999999999997</v>
      </c>
      <c r="N2040">
        <v>20196</v>
      </c>
      <c r="O2040">
        <v>20.196000000000002</v>
      </c>
      <c r="P2040" s="2">
        <v>42675</v>
      </c>
      <c r="Q2040">
        <v>1</v>
      </c>
      <c r="R2040" s="1" t="s">
        <v>24</v>
      </c>
    </row>
    <row r="2041" spans="1:18" x14ac:dyDescent="0.25">
      <c r="A2041">
        <v>2016</v>
      </c>
      <c r="B2041">
        <v>12</v>
      </c>
      <c r="C2041" s="1" t="s">
        <v>35</v>
      </c>
      <c r="D2041" s="1" t="s">
        <v>19</v>
      </c>
      <c r="E2041" s="1" t="s">
        <v>36</v>
      </c>
      <c r="F2041">
        <v>2000</v>
      </c>
      <c r="G2041">
        <v>16</v>
      </c>
      <c r="H2041" s="1" t="s">
        <v>21</v>
      </c>
      <c r="I2041">
        <v>24</v>
      </c>
      <c r="J2041">
        <v>1675</v>
      </c>
      <c r="K2041" s="1" t="s">
        <v>37</v>
      </c>
      <c r="L2041" s="1" t="s">
        <v>23</v>
      </c>
      <c r="M2041">
        <v>0.82499999999999996</v>
      </c>
      <c r="N2041">
        <v>19810.400000000001</v>
      </c>
      <c r="O2041">
        <v>19.809999999999999</v>
      </c>
      <c r="P2041" s="2">
        <v>42705</v>
      </c>
      <c r="Q2041">
        <v>1</v>
      </c>
      <c r="R2041" s="1" t="s">
        <v>24</v>
      </c>
    </row>
    <row r="2042" spans="1:18" x14ac:dyDescent="0.25">
      <c r="A2042">
        <v>2016</v>
      </c>
      <c r="B2042">
        <v>1</v>
      </c>
      <c r="C2042" s="1" t="s">
        <v>18</v>
      </c>
      <c r="D2042" s="1" t="s">
        <v>19</v>
      </c>
      <c r="E2042" s="1" t="s">
        <v>38</v>
      </c>
      <c r="F2042">
        <v>2005</v>
      </c>
      <c r="G2042">
        <v>11</v>
      </c>
      <c r="H2042" s="1" t="s">
        <v>21</v>
      </c>
      <c r="I2042">
        <v>18</v>
      </c>
      <c r="J2042">
        <v>1922</v>
      </c>
      <c r="K2042" s="1" t="s">
        <v>39</v>
      </c>
      <c r="L2042" s="1" t="s">
        <v>23</v>
      </c>
      <c r="M2042">
        <v>0.55900000000000005</v>
      </c>
      <c r="N2042">
        <v>10061.700000000001</v>
      </c>
      <c r="O2042">
        <v>10.061999999999999</v>
      </c>
      <c r="P2042" s="2">
        <v>42370</v>
      </c>
      <c r="Q2042">
        <v>1</v>
      </c>
      <c r="R2042" s="1" t="s">
        <v>24</v>
      </c>
    </row>
    <row r="2043" spans="1:18" x14ac:dyDescent="0.25">
      <c r="A2043">
        <v>2016</v>
      </c>
      <c r="B2043">
        <v>2</v>
      </c>
      <c r="C2043" s="1" t="s">
        <v>25</v>
      </c>
      <c r="D2043" s="1" t="s">
        <v>19</v>
      </c>
      <c r="E2043" s="1" t="s">
        <v>38</v>
      </c>
      <c r="F2043">
        <v>2005</v>
      </c>
      <c r="G2043">
        <v>11</v>
      </c>
      <c r="H2043" s="1" t="s">
        <v>21</v>
      </c>
      <c r="I2043">
        <v>18</v>
      </c>
      <c r="J2043">
        <v>1922</v>
      </c>
      <c r="K2043" s="1" t="s">
        <v>39</v>
      </c>
      <c r="L2043" s="1" t="s">
        <v>23</v>
      </c>
      <c r="M2043">
        <v>0.57099999999999995</v>
      </c>
      <c r="N2043">
        <v>10277.9</v>
      </c>
      <c r="O2043">
        <v>10.278</v>
      </c>
      <c r="P2043" s="2">
        <v>42401</v>
      </c>
      <c r="Q2043">
        <v>1</v>
      </c>
      <c r="R2043" s="1" t="s">
        <v>24</v>
      </c>
    </row>
    <row r="2044" spans="1:18" x14ac:dyDescent="0.25">
      <c r="A2044">
        <v>2016</v>
      </c>
      <c r="B2044">
        <v>3</v>
      </c>
      <c r="C2044" s="1" t="s">
        <v>26</v>
      </c>
      <c r="D2044" s="1" t="s">
        <v>19</v>
      </c>
      <c r="E2044" s="1" t="s">
        <v>38</v>
      </c>
      <c r="F2044">
        <v>2005</v>
      </c>
      <c r="G2044">
        <v>11</v>
      </c>
      <c r="H2044" s="1" t="s">
        <v>21</v>
      </c>
      <c r="I2044">
        <v>18</v>
      </c>
      <c r="J2044">
        <v>1922</v>
      </c>
      <c r="K2044" s="1" t="s">
        <v>39</v>
      </c>
      <c r="L2044" s="1" t="s">
        <v>23</v>
      </c>
      <c r="M2044">
        <v>0.70099999999999996</v>
      </c>
      <c r="N2044">
        <v>12613.1</v>
      </c>
      <c r="O2044">
        <v>12.613</v>
      </c>
      <c r="P2044" s="2">
        <v>42430</v>
      </c>
      <c r="Q2044">
        <v>1</v>
      </c>
      <c r="R2044" s="1" t="s">
        <v>24</v>
      </c>
    </row>
    <row r="2045" spans="1:18" x14ac:dyDescent="0.25">
      <c r="A2045">
        <v>2016</v>
      </c>
      <c r="B2045">
        <v>4</v>
      </c>
      <c r="C2045" s="1" t="s">
        <v>27</v>
      </c>
      <c r="D2045" s="1" t="s">
        <v>19</v>
      </c>
      <c r="E2045" s="1" t="s">
        <v>38</v>
      </c>
      <c r="F2045">
        <v>2005</v>
      </c>
      <c r="G2045">
        <v>11</v>
      </c>
      <c r="H2045" s="1" t="s">
        <v>21</v>
      </c>
      <c r="I2045">
        <v>18</v>
      </c>
      <c r="J2045">
        <v>1922</v>
      </c>
      <c r="K2045" s="1" t="s">
        <v>39</v>
      </c>
      <c r="L2045" s="1" t="s">
        <v>23</v>
      </c>
      <c r="M2045">
        <v>0.41599999999999998</v>
      </c>
      <c r="N2045">
        <v>7481.4</v>
      </c>
      <c r="O2045">
        <v>7.4809999999999999</v>
      </c>
      <c r="P2045" s="2">
        <v>42461</v>
      </c>
      <c r="Q2045">
        <v>1</v>
      </c>
      <c r="R2045" s="1" t="s">
        <v>24</v>
      </c>
    </row>
    <row r="2046" spans="1:18" x14ac:dyDescent="0.25">
      <c r="A2046">
        <v>2016</v>
      </c>
      <c r="B2046">
        <v>5</v>
      </c>
      <c r="C2046" s="1" t="s">
        <v>28</v>
      </c>
      <c r="D2046" s="1" t="s">
        <v>19</v>
      </c>
      <c r="E2046" s="1" t="s">
        <v>38</v>
      </c>
      <c r="F2046">
        <v>2005</v>
      </c>
      <c r="G2046">
        <v>11</v>
      </c>
      <c r="H2046" s="1" t="s">
        <v>21</v>
      </c>
      <c r="I2046">
        <v>18</v>
      </c>
      <c r="J2046">
        <v>1922</v>
      </c>
      <c r="K2046" s="1" t="s">
        <v>39</v>
      </c>
      <c r="L2046" s="1" t="s">
        <v>23</v>
      </c>
      <c r="M2046">
        <v>0.96</v>
      </c>
      <c r="N2046">
        <v>17283.599999999999</v>
      </c>
      <c r="O2046">
        <v>17.283999999999999</v>
      </c>
      <c r="P2046" s="2">
        <v>42491</v>
      </c>
      <c r="Q2046">
        <v>1</v>
      </c>
      <c r="R2046" s="1" t="s">
        <v>24</v>
      </c>
    </row>
    <row r="2047" spans="1:18" x14ac:dyDescent="0.25">
      <c r="A2047">
        <v>2016</v>
      </c>
      <c r="B2047">
        <v>6</v>
      </c>
      <c r="C2047" s="1" t="s">
        <v>29</v>
      </c>
      <c r="D2047" s="1" t="s">
        <v>19</v>
      </c>
      <c r="E2047" s="1" t="s">
        <v>38</v>
      </c>
      <c r="F2047">
        <v>2005</v>
      </c>
      <c r="G2047">
        <v>11</v>
      </c>
      <c r="H2047" s="1" t="s">
        <v>21</v>
      </c>
      <c r="I2047">
        <v>18</v>
      </c>
      <c r="J2047">
        <v>1922</v>
      </c>
      <c r="K2047" s="1" t="s">
        <v>39</v>
      </c>
      <c r="L2047" s="1" t="s">
        <v>23</v>
      </c>
      <c r="M2047">
        <v>1.0029999999999999</v>
      </c>
      <c r="N2047">
        <v>18062</v>
      </c>
      <c r="O2047">
        <v>18.062000000000001</v>
      </c>
      <c r="P2047" s="2">
        <v>42522</v>
      </c>
      <c r="Q2047">
        <v>1</v>
      </c>
      <c r="R2047" s="1" t="s">
        <v>24</v>
      </c>
    </row>
    <row r="2048" spans="1:18" x14ac:dyDescent="0.25">
      <c r="A2048">
        <v>2016</v>
      </c>
      <c r="B2048">
        <v>7</v>
      </c>
      <c r="C2048" s="1" t="s">
        <v>30</v>
      </c>
      <c r="D2048" s="1" t="s">
        <v>19</v>
      </c>
      <c r="E2048" s="1" t="s">
        <v>38</v>
      </c>
      <c r="F2048">
        <v>2005</v>
      </c>
      <c r="G2048">
        <v>11</v>
      </c>
      <c r="H2048" s="1" t="s">
        <v>21</v>
      </c>
      <c r="I2048">
        <v>18</v>
      </c>
      <c r="J2048">
        <v>1922</v>
      </c>
      <c r="K2048" s="1" t="s">
        <v>39</v>
      </c>
      <c r="L2048" s="1" t="s">
        <v>23</v>
      </c>
      <c r="M2048">
        <v>0.746</v>
      </c>
      <c r="N2048">
        <v>13420.4</v>
      </c>
      <c r="O2048">
        <v>13.42</v>
      </c>
      <c r="P2048" s="2">
        <v>42552</v>
      </c>
      <c r="Q2048">
        <v>1</v>
      </c>
      <c r="R2048" s="1" t="s">
        <v>24</v>
      </c>
    </row>
    <row r="2049" spans="1:18" x14ac:dyDescent="0.25">
      <c r="A2049">
        <v>2016</v>
      </c>
      <c r="B2049">
        <v>8</v>
      </c>
      <c r="C2049" s="1" t="s">
        <v>31</v>
      </c>
      <c r="D2049" s="1" t="s">
        <v>19</v>
      </c>
      <c r="E2049" s="1" t="s">
        <v>38</v>
      </c>
      <c r="F2049">
        <v>2005</v>
      </c>
      <c r="G2049">
        <v>11</v>
      </c>
      <c r="H2049" s="1" t="s">
        <v>21</v>
      </c>
      <c r="I2049">
        <v>18</v>
      </c>
      <c r="J2049">
        <v>1922</v>
      </c>
      <c r="K2049" s="1" t="s">
        <v>39</v>
      </c>
      <c r="L2049" s="1" t="s">
        <v>23</v>
      </c>
      <c r="M2049">
        <v>0.68600000000000005</v>
      </c>
      <c r="N2049">
        <v>12353.7</v>
      </c>
      <c r="O2049">
        <v>12.353999999999999</v>
      </c>
      <c r="P2049" s="2">
        <v>42583</v>
      </c>
      <c r="Q2049">
        <v>1</v>
      </c>
      <c r="R2049" s="1" t="s">
        <v>24</v>
      </c>
    </row>
    <row r="2050" spans="1:18" x14ac:dyDescent="0.25">
      <c r="A2050">
        <v>2016</v>
      </c>
      <c r="B2050">
        <v>9</v>
      </c>
      <c r="C2050" s="1" t="s">
        <v>32</v>
      </c>
      <c r="D2050" s="1" t="s">
        <v>19</v>
      </c>
      <c r="E2050" s="1" t="s">
        <v>38</v>
      </c>
      <c r="F2050">
        <v>2005</v>
      </c>
      <c r="G2050">
        <v>11</v>
      </c>
      <c r="H2050" s="1" t="s">
        <v>21</v>
      </c>
      <c r="I2050">
        <v>18</v>
      </c>
      <c r="J2050">
        <v>1922</v>
      </c>
      <c r="K2050" s="1" t="s">
        <v>39</v>
      </c>
      <c r="L2050" s="1" t="s">
        <v>23</v>
      </c>
      <c r="M2050">
        <v>0.55400000000000005</v>
      </c>
      <c r="N2050">
        <v>9975.2000000000007</v>
      </c>
      <c r="O2050">
        <v>9.9749999999999996</v>
      </c>
      <c r="P2050" s="2">
        <v>42614</v>
      </c>
      <c r="Q2050">
        <v>1</v>
      </c>
      <c r="R2050" s="1" t="s">
        <v>24</v>
      </c>
    </row>
    <row r="2051" spans="1:18" x14ac:dyDescent="0.25">
      <c r="A2051">
        <v>2016</v>
      </c>
      <c r="B2051">
        <v>10</v>
      </c>
      <c r="C2051" s="1" t="s">
        <v>33</v>
      </c>
      <c r="D2051" s="1" t="s">
        <v>19</v>
      </c>
      <c r="E2051" s="1" t="s">
        <v>38</v>
      </c>
      <c r="F2051">
        <v>2005</v>
      </c>
      <c r="G2051">
        <v>11</v>
      </c>
      <c r="H2051" s="1" t="s">
        <v>21</v>
      </c>
      <c r="I2051">
        <v>18</v>
      </c>
      <c r="J2051">
        <v>1922</v>
      </c>
      <c r="K2051" s="1" t="s">
        <v>39</v>
      </c>
      <c r="L2051" s="1" t="s">
        <v>23</v>
      </c>
      <c r="M2051">
        <v>0.97699999999999998</v>
      </c>
      <c r="N2051">
        <v>17586.3</v>
      </c>
      <c r="O2051">
        <v>17.585999999999999</v>
      </c>
      <c r="P2051" s="2">
        <v>42644</v>
      </c>
      <c r="Q2051">
        <v>1</v>
      </c>
      <c r="R2051" s="1" t="s">
        <v>24</v>
      </c>
    </row>
    <row r="2052" spans="1:18" x14ac:dyDescent="0.25">
      <c r="A2052">
        <v>2016</v>
      </c>
      <c r="B2052">
        <v>11</v>
      </c>
      <c r="C2052" s="1" t="s">
        <v>34</v>
      </c>
      <c r="D2052" s="1" t="s">
        <v>19</v>
      </c>
      <c r="E2052" s="1" t="s">
        <v>38</v>
      </c>
      <c r="F2052">
        <v>2005</v>
      </c>
      <c r="G2052">
        <v>11</v>
      </c>
      <c r="H2052" s="1" t="s">
        <v>21</v>
      </c>
      <c r="I2052">
        <v>18</v>
      </c>
      <c r="J2052">
        <v>1922</v>
      </c>
      <c r="K2052" s="1" t="s">
        <v>39</v>
      </c>
      <c r="L2052" s="1" t="s">
        <v>23</v>
      </c>
      <c r="M2052">
        <v>0.88100000000000001</v>
      </c>
      <c r="N2052">
        <v>15856.5</v>
      </c>
      <c r="O2052">
        <v>15.856999999999999</v>
      </c>
      <c r="P2052" s="2">
        <v>42675</v>
      </c>
      <c r="Q2052">
        <v>1</v>
      </c>
      <c r="R2052" s="1" t="s">
        <v>24</v>
      </c>
    </row>
    <row r="2053" spans="1:18" x14ac:dyDescent="0.25">
      <c r="A2053">
        <v>2016</v>
      </c>
      <c r="B2053">
        <v>12</v>
      </c>
      <c r="C2053" s="1" t="s">
        <v>35</v>
      </c>
      <c r="D2053" s="1" t="s">
        <v>19</v>
      </c>
      <c r="E2053" s="1" t="s">
        <v>38</v>
      </c>
      <c r="F2053">
        <v>2005</v>
      </c>
      <c r="G2053">
        <v>11</v>
      </c>
      <c r="H2053" s="1" t="s">
        <v>21</v>
      </c>
      <c r="I2053">
        <v>18</v>
      </c>
      <c r="J2053">
        <v>1922</v>
      </c>
      <c r="K2053" s="1" t="s">
        <v>39</v>
      </c>
      <c r="L2053" s="1" t="s">
        <v>23</v>
      </c>
      <c r="M2053">
        <v>0.86399999999999999</v>
      </c>
      <c r="N2053">
        <v>15553.8</v>
      </c>
      <c r="O2053">
        <v>15.554</v>
      </c>
      <c r="P2053" s="2">
        <v>42705</v>
      </c>
      <c r="Q2053">
        <v>1</v>
      </c>
      <c r="R2053" s="1" t="s">
        <v>24</v>
      </c>
    </row>
    <row r="2054" spans="1:18" x14ac:dyDescent="0.25">
      <c r="A2054">
        <v>2016</v>
      </c>
      <c r="B2054">
        <v>1</v>
      </c>
      <c r="C2054" s="1" t="s">
        <v>18</v>
      </c>
      <c r="D2054" s="1" t="s">
        <v>19</v>
      </c>
      <c r="E2054" s="1" t="s">
        <v>41</v>
      </c>
      <c r="F2054">
        <v>2005</v>
      </c>
      <c r="G2054">
        <v>11</v>
      </c>
      <c r="H2054" s="1" t="s">
        <v>21</v>
      </c>
      <c r="I2054">
        <v>26</v>
      </c>
      <c r="J2054">
        <v>2827</v>
      </c>
      <c r="K2054" s="1" t="s">
        <v>42</v>
      </c>
      <c r="L2054" s="1" t="s">
        <v>23</v>
      </c>
      <c r="M2054">
        <v>0.56899999999999995</v>
      </c>
      <c r="N2054">
        <v>14799.3</v>
      </c>
      <c r="O2054">
        <v>14.798999999999999</v>
      </c>
      <c r="P2054" s="2">
        <v>42370</v>
      </c>
      <c r="Q2054">
        <v>1</v>
      </c>
      <c r="R2054" s="1" t="s">
        <v>24</v>
      </c>
    </row>
    <row r="2055" spans="1:18" x14ac:dyDescent="0.25">
      <c r="A2055">
        <v>2016</v>
      </c>
      <c r="B2055">
        <v>2</v>
      </c>
      <c r="C2055" s="1" t="s">
        <v>25</v>
      </c>
      <c r="D2055" s="1" t="s">
        <v>19</v>
      </c>
      <c r="E2055" s="1" t="s">
        <v>41</v>
      </c>
      <c r="F2055">
        <v>2005</v>
      </c>
      <c r="G2055">
        <v>11</v>
      </c>
      <c r="H2055" s="1" t="s">
        <v>21</v>
      </c>
      <c r="I2055">
        <v>26</v>
      </c>
      <c r="J2055">
        <v>2827</v>
      </c>
      <c r="K2055" s="1" t="s">
        <v>42</v>
      </c>
      <c r="L2055" s="1" t="s">
        <v>23</v>
      </c>
      <c r="M2055">
        <v>0.58099999999999996</v>
      </c>
      <c r="N2055">
        <v>15117.4</v>
      </c>
      <c r="O2055">
        <v>15.117000000000001</v>
      </c>
      <c r="P2055" s="2">
        <v>42401</v>
      </c>
      <c r="Q2055">
        <v>1</v>
      </c>
      <c r="R2055" s="1" t="s">
        <v>24</v>
      </c>
    </row>
    <row r="2056" spans="1:18" x14ac:dyDescent="0.25">
      <c r="A2056">
        <v>2016</v>
      </c>
      <c r="B2056">
        <v>3</v>
      </c>
      <c r="C2056" s="1" t="s">
        <v>26</v>
      </c>
      <c r="D2056" s="1" t="s">
        <v>19</v>
      </c>
      <c r="E2056" s="1" t="s">
        <v>41</v>
      </c>
      <c r="F2056">
        <v>2005</v>
      </c>
      <c r="G2056">
        <v>11</v>
      </c>
      <c r="H2056" s="1" t="s">
        <v>21</v>
      </c>
      <c r="I2056">
        <v>26</v>
      </c>
      <c r="J2056">
        <v>2827</v>
      </c>
      <c r="K2056" s="1" t="s">
        <v>42</v>
      </c>
      <c r="L2056" s="1" t="s">
        <v>23</v>
      </c>
      <c r="M2056">
        <v>0.71399999999999997</v>
      </c>
      <c r="N2056">
        <v>18552.2</v>
      </c>
      <c r="O2056">
        <v>18.552</v>
      </c>
      <c r="P2056" s="2">
        <v>42430</v>
      </c>
      <c r="Q2056">
        <v>1</v>
      </c>
      <c r="R2056" s="1" t="s">
        <v>24</v>
      </c>
    </row>
    <row r="2057" spans="1:18" x14ac:dyDescent="0.25">
      <c r="A2057">
        <v>2016</v>
      </c>
      <c r="B2057">
        <v>4</v>
      </c>
      <c r="C2057" s="1" t="s">
        <v>27</v>
      </c>
      <c r="D2057" s="1" t="s">
        <v>19</v>
      </c>
      <c r="E2057" s="1" t="s">
        <v>41</v>
      </c>
      <c r="F2057">
        <v>2005</v>
      </c>
      <c r="G2057">
        <v>11</v>
      </c>
      <c r="H2057" s="1" t="s">
        <v>21</v>
      </c>
      <c r="I2057">
        <v>26</v>
      </c>
      <c r="J2057">
        <v>2827</v>
      </c>
      <c r="K2057" s="1" t="s">
        <v>42</v>
      </c>
      <c r="L2057" s="1" t="s">
        <v>23</v>
      </c>
      <c r="M2057">
        <v>0.42299999999999999</v>
      </c>
      <c r="N2057">
        <v>11004.1</v>
      </c>
      <c r="O2057">
        <v>11.004</v>
      </c>
      <c r="P2057" s="2">
        <v>42461</v>
      </c>
      <c r="Q2057">
        <v>1</v>
      </c>
      <c r="R2057" s="1" t="s">
        <v>24</v>
      </c>
    </row>
    <row r="2058" spans="1:18" x14ac:dyDescent="0.25">
      <c r="A2058">
        <v>2016</v>
      </c>
      <c r="B2058">
        <v>5</v>
      </c>
      <c r="C2058" s="1" t="s">
        <v>28</v>
      </c>
      <c r="D2058" s="1" t="s">
        <v>19</v>
      </c>
      <c r="E2058" s="1" t="s">
        <v>41</v>
      </c>
      <c r="F2058">
        <v>2005</v>
      </c>
      <c r="G2058">
        <v>11</v>
      </c>
      <c r="H2058" s="1" t="s">
        <v>21</v>
      </c>
      <c r="I2058">
        <v>26</v>
      </c>
      <c r="J2058">
        <v>2827</v>
      </c>
      <c r="K2058" s="1" t="s">
        <v>42</v>
      </c>
      <c r="L2058" s="1" t="s">
        <v>23</v>
      </c>
      <c r="M2058">
        <v>0.97799999999999998</v>
      </c>
      <c r="N2058">
        <v>25421.8</v>
      </c>
      <c r="O2058">
        <v>25.422000000000001</v>
      </c>
      <c r="P2058" s="2">
        <v>42491</v>
      </c>
      <c r="Q2058">
        <v>1</v>
      </c>
      <c r="R2058" s="1" t="s">
        <v>24</v>
      </c>
    </row>
    <row r="2059" spans="1:18" x14ac:dyDescent="0.25">
      <c r="A2059">
        <v>2016</v>
      </c>
      <c r="B2059">
        <v>6</v>
      </c>
      <c r="C2059" s="1" t="s">
        <v>29</v>
      </c>
      <c r="D2059" s="1" t="s">
        <v>19</v>
      </c>
      <c r="E2059" s="1" t="s">
        <v>41</v>
      </c>
      <c r="F2059">
        <v>2005</v>
      </c>
      <c r="G2059">
        <v>11</v>
      </c>
      <c r="H2059" s="1" t="s">
        <v>21</v>
      </c>
      <c r="I2059">
        <v>26</v>
      </c>
      <c r="J2059">
        <v>2827</v>
      </c>
      <c r="K2059" s="1" t="s">
        <v>42</v>
      </c>
      <c r="L2059" s="1" t="s">
        <v>23</v>
      </c>
      <c r="M2059">
        <v>1.022</v>
      </c>
      <c r="N2059">
        <v>26566.7</v>
      </c>
      <c r="O2059">
        <v>26.567</v>
      </c>
      <c r="P2059" s="2">
        <v>42522</v>
      </c>
      <c r="Q2059">
        <v>1</v>
      </c>
      <c r="R2059" s="1" t="s">
        <v>24</v>
      </c>
    </row>
    <row r="2060" spans="1:18" x14ac:dyDescent="0.25">
      <c r="A2060">
        <v>2016</v>
      </c>
      <c r="B2060">
        <v>7</v>
      </c>
      <c r="C2060" s="1" t="s">
        <v>30</v>
      </c>
      <c r="D2060" s="1" t="s">
        <v>19</v>
      </c>
      <c r="E2060" s="1" t="s">
        <v>41</v>
      </c>
      <c r="F2060">
        <v>2005</v>
      </c>
      <c r="G2060">
        <v>11</v>
      </c>
      <c r="H2060" s="1" t="s">
        <v>21</v>
      </c>
      <c r="I2060">
        <v>26</v>
      </c>
      <c r="J2060">
        <v>2827</v>
      </c>
      <c r="K2060" s="1" t="s">
        <v>42</v>
      </c>
      <c r="L2060" s="1" t="s">
        <v>23</v>
      </c>
      <c r="M2060">
        <v>0.75900000000000001</v>
      </c>
      <c r="N2060">
        <v>19739.5</v>
      </c>
      <c r="O2060">
        <v>19.739999999999998</v>
      </c>
      <c r="P2060" s="2">
        <v>42552</v>
      </c>
      <c r="Q2060">
        <v>1</v>
      </c>
      <c r="R2060" s="1" t="s">
        <v>24</v>
      </c>
    </row>
    <row r="2061" spans="1:18" x14ac:dyDescent="0.25">
      <c r="A2061">
        <v>2016</v>
      </c>
      <c r="B2061">
        <v>8</v>
      </c>
      <c r="C2061" s="1" t="s">
        <v>31</v>
      </c>
      <c r="D2061" s="1" t="s">
        <v>19</v>
      </c>
      <c r="E2061" s="1" t="s">
        <v>41</v>
      </c>
      <c r="F2061">
        <v>2005</v>
      </c>
      <c r="G2061">
        <v>11</v>
      </c>
      <c r="H2061" s="1" t="s">
        <v>21</v>
      </c>
      <c r="I2061">
        <v>26</v>
      </c>
      <c r="J2061">
        <v>2827</v>
      </c>
      <c r="K2061" s="1" t="s">
        <v>42</v>
      </c>
      <c r="L2061" s="1" t="s">
        <v>23</v>
      </c>
      <c r="M2061">
        <v>0.69899999999999995</v>
      </c>
      <c r="N2061">
        <v>18170.5</v>
      </c>
      <c r="O2061">
        <v>18.170999999999999</v>
      </c>
      <c r="P2061" s="2">
        <v>42583</v>
      </c>
      <c r="Q2061">
        <v>1</v>
      </c>
      <c r="R2061" s="1" t="s">
        <v>24</v>
      </c>
    </row>
    <row r="2062" spans="1:18" x14ac:dyDescent="0.25">
      <c r="A2062">
        <v>2016</v>
      </c>
      <c r="B2062">
        <v>9</v>
      </c>
      <c r="C2062" s="1" t="s">
        <v>32</v>
      </c>
      <c r="D2062" s="1" t="s">
        <v>19</v>
      </c>
      <c r="E2062" s="1" t="s">
        <v>41</v>
      </c>
      <c r="F2062">
        <v>2005</v>
      </c>
      <c r="G2062">
        <v>11</v>
      </c>
      <c r="H2062" s="1" t="s">
        <v>21</v>
      </c>
      <c r="I2062">
        <v>26</v>
      </c>
      <c r="J2062">
        <v>2827</v>
      </c>
      <c r="K2062" s="1" t="s">
        <v>42</v>
      </c>
      <c r="L2062" s="1" t="s">
        <v>23</v>
      </c>
      <c r="M2062">
        <v>0.56399999999999995</v>
      </c>
      <c r="N2062">
        <v>14672.1</v>
      </c>
      <c r="O2062">
        <v>14.672000000000001</v>
      </c>
      <c r="P2062" s="2">
        <v>42614</v>
      </c>
      <c r="Q2062">
        <v>1</v>
      </c>
      <c r="R2062" s="1" t="s">
        <v>24</v>
      </c>
    </row>
    <row r="2063" spans="1:18" x14ac:dyDescent="0.25">
      <c r="A2063">
        <v>2016</v>
      </c>
      <c r="B2063">
        <v>10</v>
      </c>
      <c r="C2063" s="1" t="s">
        <v>33</v>
      </c>
      <c r="D2063" s="1" t="s">
        <v>19</v>
      </c>
      <c r="E2063" s="1" t="s">
        <v>41</v>
      </c>
      <c r="F2063">
        <v>2005</v>
      </c>
      <c r="G2063">
        <v>11</v>
      </c>
      <c r="H2063" s="1" t="s">
        <v>21</v>
      </c>
      <c r="I2063">
        <v>26</v>
      </c>
      <c r="J2063">
        <v>2827</v>
      </c>
      <c r="K2063" s="1" t="s">
        <v>42</v>
      </c>
      <c r="L2063" s="1" t="s">
        <v>23</v>
      </c>
      <c r="M2063">
        <v>0.995</v>
      </c>
      <c r="N2063">
        <v>25867</v>
      </c>
      <c r="O2063">
        <v>25.867000000000001</v>
      </c>
      <c r="P2063" s="2">
        <v>42644</v>
      </c>
      <c r="Q2063">
        <v>1</v>
      </c>
      <c r="R2063" s="1" t="s">
        <v>24</v>
      </c>
    </row>
    <row r="2064" spans="1:18" x14ac:dyDescent="0.25">
      <c r="A2064">
        <v>2016</v>
      </c>
      <c r="B2064">
        <v>11</v>
      </c>
      <c r="C2064" s="1" t="s">
        <v>34</v>
      </c>
      <c r="D2064" s="1" t="s">
        <v>19</v>
      </c>
      <c r="E2064" s="1" t="s">
        <v>41</v>
      </c>
      <c r="F2064">
        <v>2005</v>
      </c>
      <c r="G2064">
        <v>11</v>
      </c>
      <c r="H2064" s="1" t="s">
        <v>21</v>
      </c>
      <c r="I2064">
        <v>26</v>
      </c>
      <c r="J2064">
        <v>2827</v>
      </c>
      <c r="K2064" s="1" t="s">
        <v>42</v>
      </c>
      <c r="L2064" s="1" t="s">
        <v>23</v>
      </c>
      <c r="M2064">
        <v>0.89700000000000002</v>
      </c>
      <c r="N2064">
        <v>23322.799999999999</v>
      </c>
      <c r="O2064">
        <v>23.323</v>
      </c>
      <c r="P2064" s="2">
        <v>42675</v>
      </c>
      <c r="Q2064">
        <v>1</v>
      </c>
      <c r="R2064" s="1" t="s">
        <v>24</v>
      </c>
    </row>
    <row r="2065" spans="1:18" x14ac:dyDescent="0.25">
      <c r="A2065">
        <v>2016</v>
      </c>
      <c r="B2065">
        <v>12</v>
      </c>
      <c r="C2065" s="1" t="s">
        <v>35</v>
      </c>
      <c r="D2065" s="1" t="s">
        <v>19</v>
      </c>
      <c r="E2065" s="1" t="s">
        <v>41</v>
      </c>
      <c r="F2065">
        <v>2005</v>
      </c>
      <c r="G2065">
        <v>11</v>
      </c>
      <c r="H2065" s="1" t="s">
        <v>21</v>
      </c>
      <c r="I2065">
        <v>26</v>
      </c>
      <c r="J2065">
        <v>2827</v>
      </c>
      <c r="K2065" s="1" t="s">
        <v>42</v>
      </c>
      <c r="L2065" s="1" t="s">
        <v>23</v>
      </c>
      <c r="M2065">
        <v>0.88</v>
      </c>
      <c r="N2065">
        <v>22877.5</v>
      </c>
      <c r="O2065">
        <v>22.876999999999999</v>
      </c>
      <c r="P2065" s="2">
        <v>42705</v>
      </c>
      <c r="Q2065">
        <v>1</v>
      </c>
      <c r="R2065" s="1" t="s">
        <v>24</v>
      </c>
    </row>
    <row r="2066" spans="1:18" x14ac:dyDescent="0.25">
      <c r="A2066">
        <v>2016</v>
      </c>
      <c r="B2066">
        <v>1</v>
      </c>
      <c r="C2066" s="1" t="s">
        <v>18</v>
      </c>
      <c r="D2066" s="1" t="s">
        <v>19</v>
      </c>
      <c r="E2066" s="1" t="s">
        <v>43</v>
      </c>
      <c r="F2066">
        <v>2005</v>
      </c>
      <c r="G2066">
        <v>11</v>
      </c>
      <c r="H2066" s="1" t="s">
        <v>21</v>
      </c>
      <c r="I2066">
        <v>24</v>
      </c>
      <c r="J2066">
        <v>1947</v>
      </c>
      <c r="K2066" s="1" t="s">
        <v>44</v>
      </c>
      <c r="L2066" s="1" t="s">
        <v>45</v>
      </c>
      <c r="M2066">
        <v>0.53400000000000003</v>
      </c>
      <c r="N2066">
        <v>12815.3</v>
      </c>
      <c r="O2066">
        <v>12.815</v>
      </c>
      <c r="P2066" s="2">
        <v>42370</v>
      </c>
      <c r="Q2066">
        <v>1</v>
      </c>
      <c r="R2066" s="1" t="s">
        <v>24</v>
      </c>
    </row>
    <row r="2067" spans="1:18" x14ac:dyDescent="0.25">
      <c r="A2067">
        <v>2016</v>
      </c>
      <c r="B2067">
        <v>2</v>
      </c>
      <c r="C2067" s="1" t="s">
        <v>25</v>
      </c>
      <c r="D2067" s="1" t="s">
        <v>19</v>
      </c>
      <c r="E2067" s="1" t="s">
        <v>43</v>
      </c>
      <c r="F2067">
        <v>2005</v>
      </c>
      <c r="G2067">
        <v>11</v>
      </c>
      <c r="H2067" s="1" t="s">
        <v>21</v>
      </c>
      <c r="I2067">
        <v>24</v>
      </c>
      <c r="J2067">
        <v>1947</v>
      </c>
      <c r="K2067" s="1" t="s">
        <v>44</v>
      </c>
      <c r="L2067" s="1" t="s">
        <v>45</v>
      </c>
      <c r="M2067">
        <v>0.54500000000000004</v>
      </c>
      <c r="N2067">
        <v>13090.7</v>
      </c>
      <c r="O2067">
        <v>13.090999999999999</v>
      </c>
      <c r="P2067" s="2">
        <v>42401</v>
      </c>
      <c r="Q2067">
        <v>1</v>
      </c>
      <c r="R2067" s="1" t="s">
        <v>24</v>
      </c>
    </row>
    <row r="2068" spans="1:18" x14ac:dyDescent="0.25">
      <c r="A2068">
        <v>2016</v>
      </c>
      <c r="B2068">
        <v>3</v>
      </c>
      <c r="C2068" s="1" t="s">
        <v>26</v>
      </c>
      <c r="D2068" s="1" t="s">
        <v>19</v>
      </c>
      <c r="E2068" s="1" t="s">
        <v>43</v>
      </c>
      <c r="F2068">
        <v>2005</v>
      </c>
      <c r="G2068">
        <v>11</v>
      </c>
      <c r="H2068" s="1" t="s">
        <v>21</v>
      </c>
      <c r="I2068">
        <v>24</v>
      </c>
      <c r="J2068">
        <v>1947</v>
      </c>
      <c r="K2068" s="1" t="s">
        <v>44</v>
      </c>
      <c r="L2068" s="1" t="s">
        <v>45</v>
      </c>
      <c r="M2068">
        <v>0.66900000000000004</v>
      </c>
      <c r="N2068">
        <v>16065</v>
      </c>
      <c r="O2068">
        <v>16.065000000000001</v>
      </c>
      <c r="P2068" s="2">
        <v>42430</v>
      </c>
      <c r="Q2068">
        <v>1</v>
      </c>
      <c r="R2068" s="1" t="s">
        <v>24</v>
      </c>
    </row>
    <row r="2069" spans="1:18" x14ac:dyDescent="0.25">
      <c r="A2069">
        <v>2016</v>
      </c>
      <c r="B2069">
        <v>4</v>
      </c>
      <c r="C2069" s="1" t="s">
        <v>27</v>
      </c>
      <c r="D2069" s="1" t="s">
        <v>19</v>
      </c>
      <c r="E2069" s="1" t="s">
        <v>43</v>
      </c>
      <c r="F2069">
        <v>2005</v>
      </c>
      <c r="G2069">
        <v>11</v>
      </c>
      <c r="H2069" s="1" t="s">
        <v>21</v>
      </c>
      <c r="I2069">
        <v>24</v>
      </c>
      <c r="J2069">
        <v>1947</v>
      </c>
      <c r="K2069" s="1" t="s">
        <v>44</v>
      </c>
      <c r="L2069" s="1" t="s">
        <v>45</v>
      </c>
      <c r="M2069">
        <v>0.39700000000000002</v>
      </c>
      <c r="N2069">
        <v>9528.7999999999993</v>
      </c>
      <c r="O2069">
        <v>9.5289999999999999</v>
      </c>
      <c r="P2069" s="2">
        <v>42461</v>
      </c>
      <c r="Q2069">
        <v>1</v>
      </c>
      <c r="R2069" s="1" t="s">
        <v>24</v>
      </c>
    </row>
    <row r="2070" spans="1:18" x14ac:dyDescent="0.25">
      <c r="A2070">
        <v>2016</v>
      </c>
      <c r="B2070">
        <v>5</v>
      </c>
      <c r="C2070" s="1" t="s">
        <v>28</v>
      </c>
      <c r="D2070" s="1" t="s">
        <v>19</v>
      </c>
      <c r="E2070" s="1" t="s">
        <v>43</v>
      </c>
      <c r="F2070">
        <v>2005</v>
      </c>
      <c r="G2070">
        <v>11</v>
      </c>
      <c r="H2070" s="1" t="s">
        <v>21</v>
      </c>
      <c r="I2070">
        <v>24</v>
      </c>
      <c r="J2070">
        <v>1947</v>
      </c>
      <c r="K2070" s="1" t="s">
        <v>44</v>
      </c>
      <c r="L2070" s="1" t="s">
        <v>45</v>
      </c>
      <c r="M2070">
        <v>0.91700000000000004</v>
      </c>
      <c r="N2070">
        <v>22013.599999999999</v>
      </c>
      <c r="O2070">
        <v>22.013999999999999</v>
      </c>
      <c r="P2070" s="2">
        <v>42491</v>
      </c>
      <c r="Q2070">
        <v>1</v>
      </c>
      <c r="R2070" s="1" t="s">
        <v>24</v>
      </c>
    </row>
    <row r="2071" spans="1:18" x14ac:dyDescent="0.25">
      <c r="A2071">
        <v>2016</v>
      </c>
      <c r="B2071">
        <v>6</v>
      </c>
      <c r="C2071" s="1" t="s">
        <v>29</v>
      </c>
      <c r="D2071" s="1" t="s">
        <v>19</v>
      </c>
      <c r="E2071" s="1" t="s">
        <v>43</v>
      </c>
      <c r="F2071">
        <v>2005</v>
      </c>
      <c r="G2071">
        <v>11</v>
      </c>
      <c r="H2071" s="1" t="s">
        <v>21</v>
      </c>
      <c r="I2071">
        <v>24</v>
      </c>
      <c r="J2071">
        <v>1947</v>
      </c>
      <c r="K2071" s="1" t="s">
        <v>44</v>
      </c>
      <c r="L2071" s="1" t="s">
        <v>45</v>
      </c>
      <c r="M2071">
        <v>0.95899999999999996</v>
      </c>
      <c r="N2071">
        <v>23005.1</v>
      </c>
      <c r="O2071">
        <v>23.004999999999999</v>
      </c>
      <c r="P2071" s="2">
        <v>42522</v>
      </c>
      <c r="Q2071">
        <v>1</v>
      </c>
      <c r="R2071" s="1" t="s">
        <v>24</v>
      </c>
    </row>
    <row r="2072" spans="1:18" x14ac:dyDescent="0.25">
      <c r="A2072">
        <v>2016</v>
      </c>
      <c r="B2072">
        <v>7</v>
      </c>
      <c r="C2072" s="1" t="s">
        <v>30</v>
      </c>
      <c r="D2072" s="1" t="s">
        <v>19</v>
      </c>
      <c r="E2072" s="1" t="s">
        <v>43</v>
      </c>
      <c r="F2072">
        <v>2005</v>
      </c>
      <c r="G2072">
        <v>11</v>
      </c>
      <c r="H2072" s="1" t="s">
        <v>21</v>
      </c>
      <c r="I2072">
        <v>24</v>
      </c>
      <c r="J2072">
        <v>1947</v>
      </c>
      <c r="K2072" s="1" t="s">
        <v>44</v>
      </c>
      <c r="L2072" s="1" t="s">
        <v>45</v>
      </c>
      <c r="M2072">
        <v>0.71199999999999997</v>
      </c>
      <c r="N2072">
        <v>17093.2</v>
      </c>
      <c r="O2072">
        <v>17.093</v>
      </c>
      <c r="P2072" s="2">
        <v>42552</v>
      </c>
      <c r="Q2072">
        <v>1</v>
      </c>
      <c r="R2072" s="1" t="s">
        <v>24</v>
      </c>
    </row>
    <row r="2073" spans="1:18" x14ac:dyDescent="0.25">
      <c r="A2073">
        <v>2016</v>
      </c>
      <c r="B2073">
        <v>8</v>
      </c>
      <c r="C2073" s="1" t="s">
        <v>31</v>
      </c>
      <c r="D2073" s="1" t="s">
        <v>19</v>
      </c>
      <c r="E2073" s="1" t="s">
        <v>43</v>
      </c>
      <c r="F2073">
        <v>2005</v>
      </c>
      <c r="G2073">
        <v>11</v>
      </c>
      <c r="H2073" s="1" t="s">
        <v>21</v>
      </c>
      <c r="I2073">
        <v>24</v>
      </c>
      <c r="J2073">
        <v>1947</v>
      </c>
      <c r="K2073" s="1" t="s">
        <v>44</v>
      </c>
      <c r="L2073" s="1" t="s">
        <v>45</v>
      </c>
      <c r="M2073">
        <v>0.65600000000000003</v>
      </c>
      <c r="N2073">
        <v>15734.5</v>
      </c>
      <c r="O2073">
        <v>15.734999999999999</v>
      </c>
      <c r="P2073" s="2">
        <v>42583</v>
      </c>
      <c r="Q2073">
        <v>1</v>
      </c>
      <c r="R2073" s="1" t="s">
        <v>24</v>
      </c>
    </row>
    <row r="2074" spans="1:18" x14ac:dyDescent="0.25">
      <c r="A2074">
        <v>2016</v>
      </c>
      <c r="B2074">
        <v>9</v>
      </c>
      <c r="C2074" s="1" t="s">
        <v>32</v>
      </c>
      <c r="D2074" s="1" t="s">
        <v>19</v>
      </c>
      <c r="E2074" s="1" t="s">
        <v>43</v>
      </c>
      <c r="F2074">
        <v>2005</v>
      </c>
      <c r="G2074">
        <v>11</v>
      </c>
      <c r="H2074" s="1" t="s">
        <v>21</v>
      </c>
      <c r="I2074">
        <v>24</v>
      </c>
      <c r="J2074">
        <v>1947</v>
      </c>
      <c r="K2074" s="1" t="s">
        <v>44</v>
      </c>
      <c r="L2074" s="1" t="s">
        <v>45</v>
      </c>
      <c r="M2074">
        <v>0.52900000000000003</v>
      </c>
      <c r="N2074">
        <v>12705.1</v>
      </c>
      <c r="O2074">
        <v>12.705</v>
      </c>
      <c r="P2074" s="2">
        <v>42614</v>
      </c>
      <c r="Q2074">
        <v>1</v>
      </c>
      <c r="R2074" s="1" t="s">
        <v>24</v>
      </c>
    </row>
    <row r="2075" spans="1:18" x14ac:dyDescent="0.25">
      <c r="A2075">
        <v>2016</v>
      </c>
      <c r="B2075">
        <v>10</v>
      </c>
      <c r="C2075" s="1" t="s">
        <v>33</v>
      </c>
      <c r="D2075" s="1" t="s">
        <v>19</v>
      </c>
      <c r="E2075" s="1" t="s">
        <v>43</v>
      </c>
      <c r="F2075">
        <v>2005</v>
      </c>
      <c r="G2075">
        <v>11</v>
      </c>
      <c r="H2075" s="1" t="s">
        <v>21</v>
      </c>
      <c r="I2075">
        <v>24</v>
      </c>
      <c r="J2075">
        <v>1947</v>
      </c>
      <c r="K2075" s="1" t="s">
        <v>44</v>
      </c>
      <c r="L2075" s="1" t="s">
        <v>45</v>
      </c>
      <c r="M2075">
        <v>0.93300000000000005</v>
      </c>
      <c r="N2075">
        <v>22399.200000000001</v>
      </c>
      <c r="O2075">
        <v>22.399000000000001</v>
      </c>
      <c r="P2075" s="2">
        <v>42644</v>
      </c>
      <c r="Q2075">
        <v>1</v>
      </c>
      <c r="R2075" s="1" t="s">
        <v>24</v>
      </c>
    </row>
    <row r="2076" spans="1:18" x14ac:dyDescent="0.25">
      <c r="A2076">
        <v>2016</v>
      </c>
      <c r="B2076">
        <v>11</v>
      </c>
      <c r="C2076" s="1" t="s">
        <v>34</v>
      </c>
      <c r="D2076" s="1" t="s">
        <v>19</v>
      </c>
      <c r="E2076" s="1" t="s">
        <v>43</v>
      </c>
      <c r="F2076">
        <v>2005</v>
      </c>
      <c r="G2076">
        <v>11</v>
      </c>
      <c r="H2076" s="1" t="s">
        <v>21</v>
      </c>
      <c r="I2076">
        <v>24</v>
      </c>
      <c r="J2076">
        <v>1947</v>
      </c>
      <c r="K2076" s="1" t="s">
        <v>44</v>
      </c>
      <c r="L2076" s="1" t="s">
        <v>45</v>
      </c>
      <c r="M2076">
        <v>0.84199999999999997</v>
      </c>
      <c r="N2076">
        <v>20196</v>
      </c>
      <c r="O2076">
        <v>20.196000000000002</v>
      </c>
      <c r="P2076" s="2">
        <v>42675</v>
      </c>
      <c r="Q2076">
        <v>1</v>
      </c>
      <c r="R2076" s="1" t="s">
        <v>24</v>
      </c>
    </row>
    <row r="2077" spans="1:18" x14ac:dyDescent="0.25">
      <c r="A2077">
        <v>2016</v>
      </c>
      <c r="B2077">
        <v>12</v>
      </c>
      <c r="C2077" s="1" t="s">
        <v>35</v>
      </c>
      <c r="D2077" s="1" t="s">
        <v>19</v>
      </c>
      <c r="E2077" s="1" t="s">
        <v>43</v>
      </c>
      <c r="F2077">
        <v>2005</v>
      </c>
      <c r="G2077">
        <v>11</v>
      </c>
      <c r="H2077" s="1" t="s">
        <v>21</v>
      </c>
      <c r="I2077">
        <v>24</v>
      </c>
      <c r="J2077">
        <v>1947</v>
      </c>
      <c r="K2077" s="1" t="s">
        <v>44</v>
      </c>
      <c r="L2077" s="1" t="s">
        <v>45</v>
      </c>
      <c r="M2077">
        <v>0.82499999999999996</v>
      </c>
      <c r="N2077">
        <v>19810.400000000001</v>
      </c>
      <c r="O2077">
        <v>19.809999999999999</v>
      </c>
      <c r="P2077" s="2">
        <v>42705</v>
      </c>
      <c r="Q2077">
        <v>1</v>
      </c>
      <c r="R2077" s="1" t="s">
        <v>24</v>
      </c>
    </row>
    <row r="2078" spans="1:18" x14ac:dyDescent="0.25">
      <c r="A2078">
        <v>2016</v>
      </c>
      <c r="B2078">
        <v>1</v>
      </c>
      <c r="C2078" s="1" t="s">
        <v>18</v>
      </c>
      <c r="D2078" s="1" t="s">
        <v>19</v>
      </c>
      <c r="E2078" s="1" t="s">
        <v>46</v>
      </c>
      <c r="F2078">
        <v>2006</v>
      </c>
      <c r="G2078">
        <v>10</v>
      </c>
      <c r="H2078" s="1" t="s">
        <v>21</v>
      </c>
      <c r="I2078">
        <v>25</v>
      </c>
      <c r="J2078">
        <v>2740</v>
      </c>
      <c r="K2078" s="1" t="s">
        <v>47</v>
      </c>
      <c r="L2078" s="1" t="s">
        <v>45</v>
      </c>
      <c r="M2078">
        <v>0.57399999999999995</v>
      </c>
      <c r="N2078">
        <v>14343.9</v>
      </c>
      <c r="O2078">
        <v>14.343999999999999</v>
      </c>
      <c r="P2078" s="2">
        <v>42370</v>
      </c>
      <c r="Q2078">
        <v>1</v>
      </c>
      <c r="R2078" s="1" t="s">
        <v>40</v>
      </c>
    </row>
    <row r="2079" spans="1:18" x14ac:dyDescent="0.25">
      <c r="A2079">
        <v>2016</v>
      </c>
      <c r="B2079">
        <v>2</v>
      </c>
      <c r="C2079" s="1" t="s">
        <v>25</v>
      </c>
      <c r="D2079" s="1" t="s">
        <v>19</v>
      </c>
      <c r="E2079" s="1" t="s">
        <v>46</v>
      </c>
      <c r="F2079">
        <v>2006</v>
      </c>
      <c r="G2079">
        <v>10</v>
      </c>
      <c r="H2079" s="1" t="s">
        <v>21</v>
      </c>
      <c r="I2079">
        <v>25</v>
      </c>
      <c r="J2079">
        <v>2740</v>
      </c>
      <c r="K2079" s="1" t="s">
        <v>47</v>
      </c>
      <c r="L2079" s="1" t="s">
        <v>45</v>
      </c>
      <c r="M2079">
        <v>0.58599999999999997</v>
      </c>
      <c r="N2079">
        <v>14652.1</v>
      </c>
      <c r="O2079">
        <v>14.651999999999999</v>
      </c>
      <c r="P2079" s="2">
        <v>42401</v>
      </c>
      <c r="Q2079">
        <v>1</v>
      </c>
      <c r="R2079" s="1" t="s">
        <v>40</v>
      </c>
    </row>
    <row r="2080" spans="1:18" x14ac:dyDescent="0.25">
      <c r="A2080">
        <v>2016</v>
      </c>
      <c r="B2080">
        <v>3</v>
      </c>
      <c r="C2080" s="1" t="s">
        <v>26</v>
      </c>
      <c r="D2080" s="1" t="s">
        <v>19</v>
      </c>
      <c r="E2080" s="1" t="s">
        <v>46</v>
      </c>
      <c r="F2080">
        <v>2006</v>
      </c>
      <c r="G2080">
        <v>10</v>
      </c>
      <c r="H2080" s="1" t="s">
        <v>21</v>
      </c>
      <c r="I2080">
        <v>25</v>
      </c>
      <c r="J2080">
        <v>2740</v>
      </c>
      <c r="K2080" s="1" t="s">
        <v>47</v>
      </c>
      <c r="L2080" s="1" t="s">
        <v>45</v>
      </c>
      <c r="M2080">
        <v>0.71899999999999997</v>
      </c>
      <c r="N2080">
        <v>17981.2</v>
      </c>
      <c r="O2080">
        <v>17.981000000000002</v>
      </c>
      <c r="P2080" s="2">
        <v>42430</v>
      </c>
      <c r="Q2080">
        <v>1</v>
      </c>
      <c r="R2080" s="1" t="s">
        <v>40</v>
      </c>
    </row>
    <row r="2081" spans="1:18" x14ac:dyDescent="0.25">
      <c r="A2081">
        <v>2016</v>
      </c>
      <c r="B2081">
        <v>4</v>
      </c>
      <c r="C2081" s="1" t="s">
        <v>27</v>
      </c>
      <c r="D2081" s="1" t="s">
        <v>19</v>
      </c>
      <c r="E2081" s="1" t="s">
        <v>46</v>
      </c>
      <c r="F2081">
        <v>2006</v>
      </c>
      <c r="G2081">
        <v>10</v>
      </c>
      <c r="H2081" s="1" t="s">
        <v>21</v>
      </c>
      <c r="I2081">
        <v>25</v>
      </c>
      <c r="J2081">
        <v>2740</v>
      </c>
      <c r="K2081" s="1" t="s">
        <v>47</v>
      </c>
      <c r="L2081" s="1" t="s">
        <v>45</v>
      </c>
      <c r="M2081">
        <v>0.42699999999999999</v>
      </c>
      <c r="N2081">
        <v>10665.5</v>
      </c>
      <c r="O2081">
        <v>10.664999999999999</v>
      </c>
      <c r="P2081" s="2">
        <v>42461</v>
      </c>
      <c r="Q2081">
        <v>1</v>
      </c>
      <c r="R2081" s="1" t="s">
        <v>40</v>
      </c>
    </row>
    <row r="2082" spans="1:18" x14ac:dyDescent="0.25">
      <c r="A2082">
        <v>2016</v>
      </c>
      <c r="B2082">
        <v>5</v>
      </c>
      <c r="C2082" s="1" t="s">
        <v>28</v>
      </c>
      <c r="D2082" s="1" t="s">
        <v>19</v>
      </c>
      <c r="E2082" s="1" t="s">
        <v>46</v>
      </c>
      <c r="F2082">
        <v>2006</v>
      </c>
      <c r="G2082">
        <v>10</v>
      </c>
      <c r="H2082" s="1" t="s">
        <v>21</v>
      </c>
      <c r="I2082">
        <v>25</v>
      </c>
      <c r="J2082">
        <v>2740</v>
      </c>
      <c r="K2082" s="1" t="s">
        <v>47</v>
      </c>
      <c r="L2082" s="1" t="s">
        <v>45</v>
      </c>
      <c r="M2082">
        <v>0.98599999999999999</v>
      </c>
      <c r="N2082">
        <v>24639.5</v>
      </c>
      <c r="O2082">
        <v>24.638999999999999</v>
      </c>
      <c r="P2082" s="2">
        <v>42491</v>
      </c>
      <c r="Q2082">
        <v>1</v>
      </c>
      <c r="R2082" s="1" t="s">
        <v>40</v>
      </c>
    </row>
    <row r="2083" spans="1:18" x14ac:dyDescent="0.25">
      <c r="A2083">
        <v>2016</v>
      </c>
      <c r="B2083">
        <v>6</v>
      </c>
      <c r="C2083" s="1" t="s">
        <v>29</v>
      </c>
      <c r="D2083" s="1" t="s">
        <v>19</v>
      </c>
      <c r="E2083" s="1" t="s">
        <v>46</v>
      </c>
      <c r="F2083">
        <v>2006</v>
      </c>
      <c r="G2083">
        <v>10</v>
      </c>
      <c r="H2083" s="1" t="s">
        <v>21</v>
      </c>
      <c r="I2083">
        <v>25</v>
      </c>
      <c r="J2083">
        <v>2740</v>
      </c>
      <c r="K2083" s="1" t="s">
        <v>47</v>
      </c>
      <c r="L2083" s="1" t="s">
        <v>45</v>
      </c>
      <c r="M2083">
        <v>1.03</v>
      </c>
      <c r="N2083">
        <v>25749.200000000001</v>
      </c>
      <c r="O2083">
        <v>25.748999999999999</v>
      </c>
      <c r="P2083" s="2">
        <v>42522</v>
      </c>
      <c r="Q2083">
        <v>1</v>
      </c>
      <c r="R2083" s="1" t="s">
        <v>40</v>
      </c>
    </row>
    <row r="2084" spans="1:18" x14ac:dyDescent="0.25">
      <c r="A2084">
        <v>2016</v>
      </c>
      <c r="B2084">
        <v>7</v>
      </c>
      <c r="C2084" s="1" t="s">
        <v>30</v>
      </c>
      <c r="D2084" s="1" t="s">
        <v>19</v>
      </c>
      <c r="E2084" s="1" t="s">
        <v>46</v>
      </c>
      <c r="F2084">
        <v>2006</v>
      </c>
      <c r="G2084">
        <v>10</v>
      </c>
      <c r="H2084" s="1" t="s">
        <v>21</v>
      </c>
      <c r="I2084">
        <v>25</v>
      </c>
      <c r="J2084">
        <v>2740</v>
      </c>
      <c r="K2084" s="1" t="s">
        <v>47</v>
      </c>
      <c r="L2084" s="1" t="s">
        <v>45</v>
      </c>
      <c r="M2084">
        <v>0.76500000000000001</v>
      </c>
      <c r="N2084">
        <v>19132</v>
      </c>
      <c r="O2084">
        <v>19.132000000000001</v>
      </c>
      <c r="P2084" s="2">
        <v>42552</v>
      </c>
      <c r="Q2084">
        <v>1</v>
      </c>
      <c r="R2084" s="1" t="s">
        <v>40</v>
      </c>
    </row>
    <row r="2085" spans="1:18" x14ac:dyDescent="0.25">
      <c r="A2085">
        <v>2016</v>
      </c>
      <c r="B2085">
        <v>8</v>
      </c>
      <c r="C2085" s="1" t="s">
        <v>31</v>
      </c>
      <c r="D2085" s="1" t="s">
        <v>19</v>
      </c>
      <c r="E2085" s="1" t="s">
        <v>46</v>
      </c>
      <c r="F2085">
        <v>2006</v>
      </c>
      <c r="G2085">
        <v>10</v>
      </c>
      <c r="H2085" s="1" t="s">
        <v>21</v>
      </c>
      <c r="I2085">
        <v>25</v>
      </c>
      <c r="J2085">
        <v>2740</v>
      </c>
      <c r="K2085" s="1" t="s">
        <v>47</v>
      </c>
      <c r="L2085" s="1" t="s">
        <v>45</v>
      </c>
      <c r="M2085">
        <v>0.70399999999999996</v>
      </c>
      <c r="N2085">
        <v>17611.3</v>
      </c>
      <c r="O2085">
        <v>17.611000000000001</v>
      </c>
      <c r="P2085" s="2">
        <v>42583</v>
      </c>
      <c r="Q2085">
        <v>1</v>
      </c>
      <c r="R2085" s="1" t="s">
        <v>40</v>
      </c>
    </row>
    <row r="2086" spans="1:18" x14ac:dyDescent="0.25">
      <c r="A2086">
        <v>2016</v>
      </c>
      <c r="B2086">
        <v>9</v>
      </c>
      <c r="C2086" s="1" t="s">
        <v>32</v>
      </c>
      <c r="D2086" s="1" t="s">
        <v>19</v>
      </c>
      <c r="E2086" s="1" t="s">
        <v>46</v>
      </c>
      <c r="F2086">
        <v>2006</v>
      </c>
      <c r="G2086">
        <v>10</v>
      </c>
      <c r="H2086" s="1" t="s">
        <v>21</v>
      </c>
      <c r="I2086">
        <v>25</v>
      </c>
      <c r="J2086">
        <v>2740</v>
      </c>
      <c r="K2086" s="1" t="s">
        <v>47</v>
      </c>
      <c r="L2086" s="1" t="s">
        <v>45</v>
      </c>
      <c r="M2086">
        <v>0.56899999999999995</v>
      </c>
      <c r="N2086">
        <v>14220.6</v>
      </c>
      <c r="O2086">
        <v>14.221</v>
      </c>
      <c r="P2086" s="2">
        <v>42614</v>
      </c>
      <c r="Q2086">
        <v>1</v>
      </c>
      <c r="R2086" s="1" t="s">
        <v>40</v>
      </c>
    </row>
    <row r="2087" spans="1:18" x14ac:dyDescent="0.25">
      <c r="A2087">
        <v>2016</v>
      </c>
      <c r="B2087">
        <v>10</v>
      </c>
      <c r="C2087" s="1" t="s">
        <v>33</v>
      </c>
      <c r="D2087" s="1" t="s">
        <v>19</v>
      </c>
      <c r="E2087" s="1" t="s">
        <v>46</v>
      </c>
      <c r="F2087">
        <v>2006</v>
      </c>
      <c r="G2087">
        <v>10</v>
      </c>
      <c r="H2087" s="1" t="s">
        <v>21</v>
      </c>
      <c r="I2087">
        <v>25</v>
      </c>
      <c r="J2087">
        <v>2740</v>
      </c>
      <c r="K2087" s="1" t="s">
        <v>47</v>
      </c>
      <c r="L2087" s="1" t="s">
        <v>45</v>
      </c>
      <c r="M2087">
        <v>1.0029999999999999</v>
      </c>
      <c r="N2087">
        <v>25071</v>
      </c>
      <c r="O2087">
        <v>25.071000000000002</v>
      </c>
      <c r="P2087" s="2">
        <v>42644</v>
      </c>
      <c r="Q2087">
        <v>1</v>
      </c>
      <c r="R2087" s="1" t="s">
        <v>40</v>
      </c>
    </row>
    <row r="2088" spans="1:18" x14ac:dyDescent="0.25">
      <c r="A2088">
        <v>2016</v>
      </c>
      <c r="B2088">
        <v>11</v>
      </c>
      <c r="C2088" s="1" t="s">
        <v>34</v>
      </c>
      <c r="D2088" s="1" t="s">
        <v>19</v>
      </c>
      <c r="E2088" s="1" t="s">
        <v>46</v>
      </c>
      <c r="F2088">
        <v>2006</v>
      </c>
      <c r="G2088">
        <v>10</v>
      </c>
      <c r="H2088" s="1" t="s">
        <v>21</v>
      </c>
      <c r="I2088">
        <v>25</v>
      </c>
      <c r="J2088">
        <v>2740</v>
      </c>
      <c r="K2088" s="1" t="s">
        <v>47</v>
      </c>
      <c r="L2088" s="1" t="s">
        <v>45</v>
      </c>
      <c r="M2088">
        <v>0.90400000000000003</v>
      </c>
      <c r="N2088">
        <v>22605</v>
      </c>
      <c r="O2088">
        <v>22.605</v>
      </c>
      <c r="P2088" s="2">
        <v>42675</v>
      </c>
      <c r="Q2088">
        <v>1</v>
      </c>
      <c r="R2088" s="1" t="s">
        <v>40</v>
      </c>
    </row>
    <row r="2089" spans="1:18" x14ac:dyDescent="0.25">
      <c r="A2089">
        <v>2016</v>
      </c>
      <c r="B2089">
        <v>12</v>
      </c>
      <c r="C2089" s="1" t="s">
        <v>35</v>
      </c>
      <c r="D2089" s="1" t="s">
        <v>19</v>
      </c>
      <c r="E2089" s="1" t="s">
        <v>46</v>
      </c>
      <c r="F2089">
        <v>2006</v>
      </c>
      <c r="G2089">
        <v>10</v>
      </c>
      <c r="H2089" s="1" t="s">
        <v>21</v>
      </c>
      <c r="I2089">
        <v>25</v>
      </c>
      <c r="J2089">
        <v>2740</v>
      </c>
      <c r="K2089" s="1" t="s">
        <v>47</v>
      </c>
      <c r="L2089" s="1" t="s">
        <v>45</v>
      </c>
      <c r="M2089">
        <v>0.88700000000000001</v>
      </c>
      <c r="N2089">
        <v>22173.5</v>
      </c>
      <c r="O2089">
        <v>22.172999999999998</v>
      </c>
      <c r="P2089" s="2">
        <v>42705</v>
      </c>
      <c r="Q2089">
        <v>1</v>
      </c>
      <c r="R2089" s="1" t="s">
        <v>40</v>
      </c>
    </row>
    <row r="2090" spans="1:18" x14ac:dyDescent="0.25">
      <c r="A2090">
        <v>2016</v>
      </c>
      <c r="B2090">
        <v>1</v>
      </c>
      <c r="C2090" s="1" t="s">
        <v>18</v>
      </c>
      <c r="D2090" s="1" t="s">
        <v>19</v>
      </c>
      <c r="E2090" s="1" t="s">
        <v>48</v>
      </c>
      <c r="F2090">
        <v>2006</v>
      </c>
      <c r="G2090">
        <v>10</v>
      </c>
      <c r="H2090" s="1" t="s">
        <v>21</v>
      </c>
      <c r="I2090">
        <v>24</v>
      </c>
      <c r="J2090">
        <v>3230</v>
      </c>
      <c r="K2090" s="1" t="s">
        <v>49</v>
      </c>
      <c r="L2090" s="1" t="s">
        <v>45</v>
      </c>
      <c r="M2090">
        <v>0.70499999999999996</v>
      </c>
      <c r="N2090">
        <v>16909</v>
      </c>
      <c r="O2090">
        <v>16.908999999999999</v>
      </c>
      <c r="P2090" s="2">
        <v>42370</v>
      </c>
      <c r="Q2090">
        <v>1</v>
      </c>
      <c r="R2090" s="1" t="s">
        <v>40</v>
      </c>
    </row>
    <row r="2091" spans="1:18" x14ac:dyDescent="0.25">
      <c r="A2091">
        <v>2016</v>
      </c>
      <c r="B2091">
        <v>2</v>
      </c>
      <c r="C2091" s="1" t="s">
        <v>25</v>
      </c>
      <c r="D2091" s="1" t="s">
        <v>19</v>
      </c>
      <c r="E2091" s="1" t="s">
        <v>48</v>
      </c>
      <c r="F2091">
        <v>2006</v>
      </c>
      <c r="G2091">
        <v>10</v>
      </c>
      <c r="H2091" s="1" t="s">
        <v>21</v>
      </c>
      <c r="I2091">
        <v>24</v>
      </c>
      <c r="J2091">
        <v>3230</v>
      </c>
      <c r="K2091" s="1" t="s">
        <v>49</v>
      </c>
      <c r="L2091" s="1" t="s">
        <v>45</v>
      </c>
      <c r="M2091">
        <v>0.72</v>
      </c>
      <c r="N2091">
        <v>17272.400000000001</v>
      </c>
      <c r="O2091">
        <v>17.271999999999998</v>
      </c>
      <c r="P2091" s="2">
        <v>42401</v>
      </c>
      <c r="Q2091">
        <v>1</v>
      </c>
      <c r="R2091" s="1" t="s">
        <v>40</v>
      </c>
    </row>
    <row r="2092" spans="1:18" x14ac:dyDescent="0.25">
      <c r="A2092">
        <v>2016</v>
      </c>
      <c r="B2092">
        <v>3</v>
      </c>
      <c r="C2092" s="1" t="s">
        <v>26</v>
      </c>
      <c r="D2092" s="1" t="s">
        <v>19</v>
      </c>
      <c r="E2092" s="1" t="s">
        <v>48</v>
      </c>
      <c r="F2092">
        <v>2006</v>
      </c>
      <c r="G2092">
        <v>10</v>
      </c>
      <c r="H2092" s="1" t="s">
        <v>21</v>
      </c>
      <c r="I2092">
        <v>24</v>
      </c>
      <c r="J2092">
        <v>3230</v>
      </c>
      <c r="K2092" s="1" t="s">
        <v>49</v>
      </c>
      <c r="L2092" s="1" t="s">
        <v>45</v>
      </c>
      <c r="M2092">
        <v>0.88300000000000001</v>
      </c>
      <c r="N2092">
        <v>21196.9</v>
      </c>
      <c r="O2092">
        <v>21.196999999999999</v>
      </c>
      <c r="P2092" s="2">
        <v>42430</v>
      </c>
      <c r="Q2092">
        <v>1</v>
      </c>
      <c r="R2092" s="1" t="s">
        <v>40</v>
      </c>
    </row>
    <row r="2093" spans="1:18" x14ac:dyDescent="0.25">
      <c r="A2093">
        <v>2016</v>
      </c>
      <c r="B2093">
        <v>4</v>
      </c>
      <c r="C2093" s="1" t="s">
        <v>27</v>
      </c>
      <c r="D2093" s="1" t="s">
        <v>19</v>
      </c>
      <c r="E2093" s="1" t="s">
        <v>48</v>
      </c>
      <c r="F2093">
        <v>2006</v>
      </c>
      <c r="G2093">
        <v>10</v>
      </c>
      <c r="H2093" s="1" t="s">
        <v>21</v>
      </c>
      <c r="I2093">
        <v>24</v>
      </c>
      <c r="J2093">
        <v>3230</v>
      </c>
      <c r="K2093" s="1" t="s">
        <v>49</v>
      </c>
      <c r="L2093" s="1" t="s">
        <v>45</v>
      </c>
      <c r="M2093">
        <v>0.52400000000000002</v>
      </c>
      <c r="N2093">
        <v>12572.8</v>
      </c>
      <c r="O2093">
        <v>12.573</v>
      </c>
      <c r="P2093" s="2">
        <v>42461</v>
      </c>
      <c r="Q2093">
        <v>1</v>
      </c>
      <c r="R2093" s="1" t="s">
        <v>40</v>
      </c>
    </row>
    <row r="2094" spans="1:18" x14ac:dyDescent="0.25">
      <c r="A2094">
        <v>2016</v>
      </c>
      <c r="B2094">
        <v>5</v>
      </c>
      <c r="C2094" s="1" t="s">
        <v>28</v>
      </c>
      <c r="D2094" s="1" t="s">
        <v>19</v>
      </c>
      <c r="E2094" s="1" t="s">
        <v>48</v>
      </c>
      <c r="F2094">
        <v>2006</v>
      </c>
      <c r="G2094">
        <v>10</v>
      </c>
      <c r="H2094" s="1" t="s">
        <v>21</v>
      </c>
      <c r="I2094">
        <v>24</v>
      </c>
      <c r="J2094">
        <v>3230</v>
      </c>
      <c r="K2094" s="1" t="s">
        <v>49</v>
      </c>
      <c r="L2094" s="1" t="s">
        <v>45</v>
      </c>
      <c r="M2094">
        <v>1.21</v>
      </c>
      <c r="N2094">
        <v>29045.8</v>
      </c>
      <c r="O2094">
        <v>29.045999999999999</v>
      </c>
      <c r="P2094" s="2">
        <v>42491</v>
      </c>
      <c r="Q2094">
        <v>1</v>
      </c>
      <c r="R2094" s="1" t="s">
        <v>40</v>
      </c>
    </row>
    <row r="2095" spans="1:18" x14ac:dyDescent="0.25">
      <c r="A2095">
        <v>2016</v>
      </c>
      <c r="B2095">
        <v>6</v>
      </c>
      <c r="C2095" s="1" t="s">
        <v>29</v>
      </c>
      <c r="D2095" s="1" t="s">
        <v>19</v>
      </c>
      <c r="E2095" s="1" t="s">
        <v>48</v>
      </c>
      <c r="F2095">
        <v>2006</v>
      </c>
      <c r="G2095">
        <v>10</v>
      </c>
      <c r="H2095" s="1" t="s">
        <v>21</v>
      </c>
      <c r="I2095">
        <v>24</v>
      </c>
      <c r="J2095">
        <v>3230</v>
      </c>
      <c r="K2095" s="1" t="s">
        <v>49</v>
      </c>
      <c r="L2095" s="1" t="s">
        <v>45</v>
      </c>
      <c r="M2095">
        <v>1.2649999999999999</v>
      </c>
      <c r="N2095">
        <v>30353.9</v>
      </c>
      <c r="O2095">
        <v>30.353999999999999</v>
      </c>
      <c r="P2095" s="2">
        <v>42522</v>
      </c>
      <c r="Q2095">
        <v>1</v>
      </c>
      <c r="R2095" s="1" t="s">
        <v>40</v>
      </c>
    </row>
    <row r="2096" spans="1:18" x14ac:dyDescent="0.25">
      <c r="A2096">
        <v>2016</v>
      </c>
      <c r="B2096">
        <v>7</v>
      </c>
      <c r="C2096" s="1" t="s">
        <v>30</v>
      </c>
      <c r="D2096" s="1" t="s">
        <v>19</v>
      </c>
      <c r="E2096" s="1" t="s">
        <v>48</v>
      </c>
      <c r="F2096">
        <v>2006</v>
      </c>
      <c r="G2096">
        <v>10</v>
      </c>
      <c r="H2096" s="1" t="s">
        <v>21</v>
      </c>
      <c r="I2096">
        <v>24</v>
      </c>
      <c r="J2096">
        <v>3230</v>
      </c>
      <c r="K2096" s="1" t="s">
        <v>49</v>
      </c>
      <c r="L2096" s="1" t="s">
        <v>45</v>
      </c>
      <c r="M2096">
        <v>0.94</v>
      </c>
      <c r="N2096">
        <v>22553.5</v>
      </c>
      <c r="O2096">
        <v>22.553000000000001</v>
      </c>
      <c r="P2096" s="2">
        <v>42552</v>
      </c>
      <c r="Q2096">
        <v>1</v>
      </c>
      <c r="R2096" s="1" t="s">
        <v>40</v>
      </c>
    </row>
    <row r="2097" spans="1:18" x14ac:dyDescent="0.25">
      <c r="A2097">
        <v>2016</v>
      </c>
      <c r="B2097">
        <v>8</v>
      </c>
      <c r="C2097" s="1" t="s">
        <v>31</v>
      </c>
      <c r="D2097" s="1" t="s">
        <v>19</v>
      </c>
      <c r="E2097" s="1" t="s">
        <v>48</v>
      </c>
      <c r="F2097">
        <v>2006</v>
      </c>
      <c r="G2097">
        <v>10</v>
      </c>
      <c r="H2097" s="1" t="s">
        <v>21</v>
      </c>
      <c r="I2097">
        <v>24</v>
      </c>
      <c r="J2097">
        <v>3230</v>
      </c>
      <c r="K2097" s="1" t="s">
        <v>49</v>
      </c>
      <c r="L2097" s="1" t="s">
        <v>45</v>
      </c>
      <c r="M2097">
        <v>0.86499999999999999</v>
      </c>
      <c r="N2097">
        <v>20760.8</v>
      </c>
      <c r="O2097">
        <v>20.760999999999999</v>
      </c>
      <c r="P2097" s="2">
        <v>42583</v>
      </c>
      <c r="Q2097">
        <v>1</v>
      </c>
      <c r="R2097" s="1" t="s">
        <v>40</v>
      </c>
    </row>
    <row r="2098" spans="1:18" x14ac:dyDescent="0.25">
      <c r="A2098">
        <v>2016</v>
      </c>
      <c r="B2098">
        <v>9</v>
      </c>
      <c r="C2098" s="1" t="s">
        <v>32</v>
      </c>
      <c r="D2098" s="1" t="s">
        <v>19</v>
      </c>
      <c r="E2098" s="1" t="s">
        <v>48</v>
      </c>
      <c r="F2098">
        <v>2006</v>
      </c>
      <c r="G2098">
        <v>10</v>
      </c>
      <c r="H2098" s="1" t="s">
        <v>21</v>
      </c>
      <c r="I2098">
        <v>24</v>
      </c>
      <c r="J2098">
        <v>3230</v>
      </c>
      <c r="K2098" s="1" t="s">
        <v>49</v>
      </c>
      <c r="L2098" s="1" t="s">
        <v>45</v>
      </c>
      <c r="M2098">
        <v>0.69799999999999995</v>
      </c>
      <c r="N2098">
        <v>16763.7</v>
      </c>
      <c r="O2098">
        <v>16.763999999999999</v>
      </c>
      <c r="P2098" s="2">
        <v>42614</v>
      </c>
      <c r="Q2098">
        <v>1</v>
      </c>
      <c r="R2098" s="1" t="s">
        <v>40</v>
      </c>
    </row>
    <row r="2099" spans="1:18" x14ac:dyDescent="0.25">
      <c r="A2099">
        <v>2016</v>
      </c>
      <c r="B2099">
        <v>10</v>
      </c>
      <c r="C2099" s="1" t="s">
        <v>33</v>
      </c>
      <c r="D2099" s="1" t="s">
        <v>19</v>
      </c>
      <c r="E2099" s="1" t="s">
        <v>48</v>
      </c>
      <c r="F2099">
        <v>2006</v>
      </c>
      <c r="G2099">
        <v>10</v>
      </c>
      <c r="H2099" s="1" t="s">
        <v>21</v>
      </c>
      <c r="I2099">
        <v>24</v>
      </c>
      <c r="J2099">
        <v>3230</v>
      </c>
      <c r="K2099" s="1" t="s">
        <v>49</v>
      </c>
      <c r="L2099" s="1" t="s">
        <v>45</v>
      </c>
      <c r="M2099">
        <v>1.2310000000000001</v>
      </c>
      <c r="N2099">
        <v>29554.5</v>
      </c>
      <c r="O2099">
        <v>29.555</v>
      </c>
      <c r="P2099" s="2">
        <v>42644</v>
      </c>
      <c r="Q2099">
        <v>1</v>
      </c>
      <c r="R2099" s="1" t="s">
        <v>40</v>
      </c>
    </row>
    <row r="2100" spans="1:18" x14ac:dyDescent="0.25">
      <c r="A2100">
        <v>2016</v>
      </c>
      <c r="B2100">
        <v>11</v>
      </c>
      <c r="C2100" s="1" t="s">
        <v>34</v>
      </c>
      <c r="D2100" s="1" t="s">
        <v>19</v>
      </c>
      <c r="E2100" s="1" t="s">
        <v>48</v>
      </c>
      <c r="F2100">
        <v>2006</v>
      </c>
      <c r="G2100">
        <v>10</v>
      </c>
      <c r="H2100" s="1" t="s">
        <v>21</v>
      </c>
      <c r="I2100">
        <v>24</v>
      </c>
      <c r="J2100">
        <v>3230</v>
      </c>
      <c r="K2100" s="1" t="s">
        <v>49</v>
      </c>
      <c r="L2100" s="1" t="s">
        <v>45</v>
      </c>
      <c r="M2100">
        <v>1.1100000000000001</v>
      </c>
      <c r="N2100">
        <v>26647.5</v>
      </c>
      <c r="O2100">
        <v>26.648</v>
      </c>
      <c r="P2100" s="2">
        <v>42675</v>
      </c>
      <c r="Q2100">
        <v>1</v>
      </c>
      <c r="R2100" s="1" t="s">
        <v>40</v>
      </c>
    </row>
    <row r="2101" spans="1:18" x14ac:dyDescent="0.25">
      <c r="A2101">
        <v>2016</v>
      </c>
      <c r="B2101">
        <v>12</v>
      </c>
      <c r="C2101" s="1" t="s">
        <v>35</v>
      </c>
      <c r="D2101" s="1" t="s">
        <v>19</v>
      </c>
      <c r="E2101" s="1" t="s">
        <v>48</v>
      </c>
      <c r="F2101">
        <v>2006</v>
      </c>
      <c r="G2101">
        <v>10</v>
      </c>
      <c r="H2101" s="1" t="s">
        <v>21</v>
      </c>
      <c r="I2101">
        <v>24</v>
      </c>
      <c r="J2101">
        <v>3230</v>
      </c>
      <c r="K2101" s="1" t="s">
        <v>49</v>
      </c>
      <c r="L2101" s="1" t="s">
        <v>45</v>
      </c>
      <c r="M2101">
        <v>1.089</v>
      </c>
      <c r="N2101">
        <v>26138.799999999999</v>
      </c>
      <c r="O2101">
        <v>26.138999999999999</v>
      </c>
      <c r="P2101" s="2">
        <v>42705</v>
      </c>
      <c r="Q2101">
        <v>1</v>
      </c>
      <c r="R2101" s="1" t="s">
        <v>40</v>
      </c>
    </row>
    <row r="2102" spans="1:18" x14ac:dyDescent="0.25">
      <c r="A2102">
        <v>2016</v>
      </c>
      <c r="B2102">
        <v>1</v>
      </c>
      <c r="C2102" s="1" t="s">
        <v>18</v>
      </c>
      <c r="D2102" s="1" t="s">
        <v>19</v>
      </c>
      <c r="E2102" s="1" t="s">
        <v>50</v>
      </c>
      <c r="F2102">
        <v>2006</v>
      </c>
      <c r="G2102">
        <v>10</v>
      </c>
      <c r="H2102" s="1" t="s">
        <v>21</v>
      </c>
      <c r="I2102">
        <v>22</v>
      </c>
      <c r="J2102">
        <v>2447</v>
      </c>
      <c r="K2102" s="1" t="s">
        <v>51</v>
      </c>
      <c r="L2102" s="1" t="s">
        <v>45</v>
      </c>
      <c r="M2102">
        <v>0.58199999999999996</v>
      </c>
      <c r="N2102">
        <v>12810</v>
      </c>
      <c r="O2102">
        <v>12.81</v>
      </c>
      <c r="P2102" s="2">
        <v>42370</v>
      </c>
      <c r="Q2102">
        <v>1</v>
      </c>
      <c r="R2102" s="1" t="s">
        <v>40</v>
      </c>
    </row>
    <row r="2103" spans="1:18" x14ac:dyDescent="0.25">
      <c r="A2103">
        <v>2016</v>
      </c>
      <c r="B2103">
        <v>2</v>
      </c>
      <c r="C2103" s="1" t="s">
        <v>25</v>
      </c>
      <c r="D2103" s="1" t="s">
        <v>19</v>
      </c>
      <c r="E2103" s="1" t="s">
        <v>50</v>
      </c>
      <c r="F2103">
        <v>2006</v>
      </c>
      <c r="G2103">
        <v>10</v>
      </c>
      <c r="H2103" s="1" t="s">
        <v>21</v>
      </c>
      <c r="I2103">
        <v>22</v>
      </c>
      <c r="J2103">
        <v>2447</v>
      </c>
      <c r="K2103" s="1" t="s">
        <v>51</v>
      </c>
      <c r="L2103" s="1" t="s">
        <v>45</v>
      </c>
      <c r="M2103">
        <v>0.59499999999999997</v>
      </c>
      <c r="N2103">
        <v>13085.3</v>
      </c>
      <c r="O2103">
        <v>13.085000000000001</v>
      </c>
      <c r="P2103" s="2">
        <v>42401</v>
      </c>
      <c r="Q2103">
        <v>1</v>
      </c>
      <c r="R2103" s="1" t="s">
        <v>40</v>
      </c>
    </row>
    <row r="2104" spans="1:18" x14ac:dyDescent="0.25">
      <c r="A2104">
        <v>2016</v>
      </c>
      <c r="B2104">
        <v>3</v>
      </c>
      <c r="C2104" s="1" t="s">
        <v>26</v>
      </c>
      <c r="D2104" s="1" t="s">
        <v>19</v>
      </c>
      <c r="E2104" s="1" t="s">
        <v>50</v>
      </c>
      <c r="F2104">
        <v>2006</v>
      </c>
      <c r="G2104">
        <v>10</v>
      </c>
      <c r="H2104" s="1" t="s">
        <v>21</v>
      </c>
      <c r="I2104">
        <v>22</v>
      </c>
      <c r="J2104">
        <v>2447</v>
      </c>
      <c r="K2104" s="1" t="s">
        <v>51</v>
      </c>
      <c r="L2104" s="1" t="s">
        <v>45</v>
      </c>
      <c r="M2104">
        <v>0.73</v>
      </c>
      <c r="N2104">
        <v>16058.4</v>
      </c>
      <c r="O2104">
        <v>16.058</v>
      </c>
      <c r="P2104" s="2">
        <v>42430</v>
      </c>
      <c r="Q2104">
        <v>1</v>
      </c>
      <c r="R2104" s="1" t="s">
        <v>40</v>
      </c>
    </row>
    <row r="2105" spans="1:18" x14ac:dyDescent="0.25">
      <c r="A2105">
        <v>2016</v>
      </c>
      <c r="B2105">
        <v>4</v>
      </c>
      <c r="C2105" s="1" t="s">
        <v>27</v>
      </c>
      <c r="D2105" s="1" t="s">
        <v>19</v>
      </c>
      <c r="E2105" s="1" t="s">
        <v>50</v>
      </c>
      <c r="F2105">
        <v>2006</v>
      </c>
      <c r="G2105">
        <v>10</v>
      </c>
      <c r="H2105" s="1" t="s">
        <v>21</v>
      </c>
      <c r="I2105">
        <v>22</v>
      </c>
      <c r="J2105">
        <v>2447</v>
      </c>
      <c r="K2105" s="1" t="s">
        <v>51</v>
      </c>
      <c r="L2105" s="1" t="s">
        <v>45</v>
      </c>
      <c r="M2105">
        <v>0.433</v>
      </c>
      <c r="N2105">
        <v>9524.9</v>
      </c>
      <c r="O2105">
        <v>9.5250000000000004</v>
      </c>
      <c r="P2105" s="2">
        <v>42461</v>
      </c>
      <c r="Q2105">
        <v>1</v>
      </c>
      <c r="R2105" s="1" t="s">
        <v>40</v>
      </c>
    </row>
    <row r="2106" spans="1:18" x14ac:dyDescent="0.25">
      <c r="A2106">
        <v>2016</v>
      </c>
      <c r="B2106">
        <v>5</v>
      </c>
      <c r="C2106" s="1" t="s">
        <v>28</v>
      </c>
      <c r="D2106" s="1" t="s">
        <v>19</v>
      </c>
      <c r="E2106" s="1" t="s">
        <v>50</v>
      </c>
      <c r="F2106">
        <v>2006</v>
      </c>
      <c r="G2106">
        <v>10</v>
      </c>
      <c r="H2106" s="1" t="s">
        <v>21</v>
      </c>
      <c r="I2106">
        <v>22</v>
      </c>
      <c r="J2106">
        <v>2447</v>
      </c>
      <c r="K2106" s="1" t="s">
        <v>51</v>
      </c>
      <c r="L2106" s="1" t="s">
        <v>45</v>
      </c>
      <c r="M2106">
        <v>1</v>
      </c>
      <c r="N2106">
        <v>22004.6</v>
      </c>
      <c r="O2106">
        <v>22.004999999999999</v>
      </c>
      <c r="P2106" s="2">
        <v>42491</v>
      </c>
      <c r="Q2106">
        <v>1</v>
      </c>
      <c r="R2106" s="1" t="s">
        <v>40</v>
      </c>
    </row>
    <row r="2107" spans="1:18" x14ac:dyDescent="0.25">
      <c r="A2107">
        <v>2016</v>
      </c>
      <c r="B2107">
        <v>6</v>
      </c>
      <c r="C2107" s="1" t="s">
        <v>29</v>
      </c>
      <c r="D2107" s="1" t="s">
        <v>19</v>
      </c>
      <c r="E2107" s="1" t="s">
        <v>50</v>
      </c>
      <c r="F2107">
        <v>2006</v>
      </c>
      <c r="G2107">
        <v>10</v>
      </c>
      <c r="H2107" s="1" t="s">
        <v>21</v>
      </c>
      <c r="I2107">
        <v>22</v>
      </c>
      <c r="J2107">
        <v>2447</v>
      </c>
      <c r="K2107" s="1" t="s">
        <v>51</v>
      </c>
      <c r="L2107" s="1" t="s">
        <v>45</v>
      </c>
      <c r="M2107">
        <v>1.0449999999999999</v>
      </c>
      <c r="N2107">
        <v>22995.7</v>
      </c>
      <c r="O2107">
        <v>22.995999999999999</v>
      </c>
      <c r="P2107" s="2">
        <v>42522</v>
      </c>
      <c r="Q2107">
        <v>1</v>
      </c>
      <c r="R2107" s="1" t="s">
        <v>40</v>
      </c>
    </row>
    <row r="2108" spans="1:18" x14ac:dyDescent="0.25">
      <c r="A2108">
        <v>2016</v>
      </c>
      <c r="B2108">
        <v>7</v>
      </c>
      <c r="C2108" s="1" t="s">
        <v>30</v>
      </c>
      <c r="D2108" s="1" t="s">
        <v>19</v>
      </c>
      <c r="E2108" s="1" t="s">
        <v>50</v>
      </c>
      <c r="F2108">
        <v>2006</v>
      </c>
      <c r="G2108">
        <v>10</v>
      </c>
      <c r="H2108" s="1" t="s">
        <v>21</v>
      </c>
      <c r="I2108">
        <v>22</v>
      </c>
      <c r="J2108">
        <v>2447</v>
      </c>
      <c r="K2108" s="1" t="s">
        <v>51</v>
      </c>
      <c r="L2108" s="1" t="s">
        <v>45</v>
      </c>
      <c r="M2108">
        <v>0.77700000000000002</v>
      </c>
      <c r="N2108">
        <v>17086.2</v>
      </c>
      <c r="O2108">
        <v>17.085999999999999</v>
      </c>
      <c r="P2108" s="2">
        <v>42552</v>
      </c>
      <c r="Q2108">
        <v>1</v>
      </c>
      <c r="R2108" s="1" t="s">
        <v>40</v>
      </c>
    </row>
    <row r="2109" spans="1:18" x14ac:dyDescent="0.25">
      <c r="A2109">
        <v>2016</v>
      </c>
      <c r="B2109">
        <v>8</v>
      </c>
      <c r="C2109" s="1" t="s">
        <v>31</v>
      </c>
      <c r="D2109" s="1" t="s">
        <v>19</v>
      </c>
      <c r="E2109" s="1" t="s">
        <v>50</v>
      </c>
      <c r="F2109">
        <v>2006</v>
      </c>
      <c r="G2109">
        <v>10</v>
      </c>
      <c r="H2109" s="1" t="s">
        <v>21</v>
      </c>
      <c r="I2109">
        <v>22</v>
      </c>
      <c r="J2109">
        <v>2447</v>
      </c>
      <c r="K2109" s="1" t="s">
        <v>51</v>
      </c>
      <c r="L2109" s="1" t="s">
        <v>45</v>
      </c>
      <c r="M2109">
        <v>0.71499999999999997</v>
      </c>
      <c r="N2109">
        <v>15728.1</v>
      </c>
      <c r="O2109">
        <v>15.728</v>
      </c>
      <c r="P2109" s="2">
        <v>42583</v>
      </c>
      <c r="Q2109">
        <v>1</v>
      </c>
      <c r="R2109" s="1" t="s">
        <v>40</v>
      </c>
    </row>
    <row r="2110" spans="1:18" x14ac:dyDescent="0.25">
      <c r="A2110">
        <v>2016</v>
      </c>
      <c r="B2110">
        <v>9</v>
      </c>
      <c r="C2110" s="1" t="s">
        <v>32</v>
      </c>
      <c r="D2110" s="1" t="s">
        <v>19</v>
      </c>
      <c r="E2110" s="1" t="s">
        <v>50</v>
      </c>
      <c r="F2110">
        <v>2006</v>
      </c>
      <c r="G2110">
        <v>10</v>
      </c>
      <c r="H2110" s="1" t="s">
        <v>21</v>
      </c>
      <c r="I2110">
        <v>22</v>
      </c>
      <c r="J2110">
        <v>2447</v>
      </c>
      <c r="K2110" s="1" t="s">
        <v>51</v>
      </c>
      <c r="L2110" s="1" t="s">
        <v>45</v>
      </c>
      <c r="M2110">
        <v>0.57699999999999996</v>
      </c>
      <c r="N2110">
        <v>12699.9</v>
      </c>
      <c r="O2110">
        <v>12.7</v>
      </c>
      <c r="P2110" s="2">
        <v>42614</v>
      </c>
      <c r="Q2110">
        <v>1</v>
      </c>
      <c r="R2110" s="1" t="s">
        <v>40</v>
      </c>
    </row>
    <row r="2111" spans="1:18" x14ac:dyDescent="0.25">
      <c r="A2111">
        <v>2016</v>
      </c>
      <c r="B2111">
        <v>10</v>
      </c>
      <c r="C2111" s="1" t="s">
        <v>33</v>
      </c>
      <c r="D2111" s="1" t="s">
        <v>19</v>
      </c>
      <c r="E2111" s="1" t="s">
        <v>50</v>
      </c>
      <c r="F2111">
        <v>2006</v>
      </c>
      <c r="G2111">
        <v>10</v>
      </c>
      <c r="H2111" s="1" t="s">
        <v>21</v>
      </c>
      <c r="I2111">
        <v>22</v>
      </c>
      <c r="J2111">
        <v>2447</v>
      </c>
      <c r="K2111" s="1" t="s">
        <v>51</v>
      </c>
      <c r="L2111" s="1" t="s">
        <v>45</v>
      </c>
      <c r="M2111">
        <v>1.018</v>
      </c>
      <c r="N2111">
        <v>22390</v>
      </c>
      <c r="O2111">
        <v>22.39</v>
      </c>
      <c r="P2111" s="2">
        <v>42644</v>
      </c>
      <c r="Q2111">
        <v>1</v>
      </c>
      <c r="R2111" s="1" t="s">
        <v>40</v>
      </c>
    </row>
    <row r="2112" spans="1:18" x14ac:dyDescent="0.25">
      <c r="A2112">
        <v>2016</v>
      </c>
      <c r="B2112">
        <v>11</v>
      </c>
      <c r="C2112" s="1" t="s">
        <v>34</v>
      </c>
      <c r="D2112" s="1" t="s">
        <v>19</v>
      </c>
      <c r="E2112" s="1" t="s">
        <v>50</v>
      </c>
      <c r="F2112">
        <v>2006</v>
      </c>
      <c r="G2112">
        <v>10</v>
      </c>
      <c r="H2112" s="1" t="s">
        <v>21</v>
      </c>
      <c r="I2112">
        <v>22</v>
      </c>
      <c r="J2112">
        <v>2447</v>
      </c>
      <c r="K2112" s="1" t="s">
        <v>51</v>
      </c>
      <c r="L2112" s="1" t="s">
        <v>45</v>
      </c>
      <c r="M2112">
        <v>0.91800000000000004</v>
      </c>
      <c r="N2112">
        <v>20187.8</v>
      </c>
      <c r="O2112">
        <v>20.187999999999999</v>
      </c>
      <c r="P2112" s="2">
        <v>42675</v>
      </c>
      <c r="Q2112">
        <v>1</v>
      </c>
      <c r="R2112" s="1" t="s">
        <v>40</v>
      </c>
    </row>
    <row r="2113" spans="1:18" x14ac:dyDescent="0.25">
      <c r="A2113">
        <v>2016</v>
      </c>
      <c r="B2113">
        <v>12</v>
      </c>
      <c r="C2113" s="1" t="s">
        <v>35</v>
      </c>
      <c r="D2113" s="1" t="s">
        <v>19</v>
      </c>
      <c r="E2113" s="1" t="s">
        <v>50</v>
      </c>
      <c r="F2113">
        <v>2006</v>
      </c>
      <c r="G2113">
        <v>10</v>
      </c>
      <c r="H2113" s="1" t="s">
        <v>21</v>
      </c>
      <c r="I2113">
        <v>22</v>
      </c>
      <c r="J2113">
        <v>2447</v>
      </c>
      <c r="K2113" s="1" t="s">
        <v>51</v>
      </c>
      <c r="L2113" s="1" t="s">
        <v>45</v>
      </c>
      <c r="M2113">
        <v>0.9</v>
      </c>
      <c r="N2113">
        <v>19802.3</v>
      </c>
      <c r="O2113">
        <v>19.802</v>
      </c>
      <c r="P2113" s="2">
        <v>42705</v>
      </c>
      <c r="Q2113">
        <v>1</v>
      </c>
      <c r="R2113" s="1" t="s">
        <v>40</v>
      </c>
    </row>
    <row r="2114" spans="1:18" x14ac:dyDescent="0.25">
      <c r="A2114">
        <v>2016</v>
      </c>
      <c r="B2114">
        <v>1</v>
      </c>
      <c r="C2114" s="1" t="s">
        <v>18</v>
      </c>
      <c r="D2114" s="1" t="s">
        <v>19</v>
      </c>
      <c r="E2114" s="1" t="s">
        <v>52</v>
      </c>
      <c r="F2114">
        <v>2006</v>
      </c>
      <c r="G2114">
        <v>10</v>
      </c>
      <c r="H2114" s="1" t="s">
        <v>21</v>
      </c>
      <c r="I2114">
        <v>15</v>
      </c>
      <c r="J2114">
        <v>1866</v>
      </c>
      <c r="K2114" s="1" t="s">
        <v>53</v>
      </c>
      <c r="L2114" s="1" t="s">
        <v>45</v>
      </c>
      <c r="M2114">
        <v>0.65100000000000002</v>
      </c>
      <c r="N2114">
        <v>9768.5</v>
      </c>
      <c r="O2114">
        <v>9.7690000000000001</v>
      </c>
      <c r="P2114" s="2">
        <v>42370</v>
      </c>
      <c r="Q2114">
        <v>1</v>
      </c>
      <c r="R2114" s="1" t="s">
        <v>40</v>
      </c>
    </row>
    <row r="2115" spans="1:18" x14ac:dyDescent="0.25">
      <c r="A2115">
        <v>2016</v>
      </c>
      <c r="B2115">
        <v>2</v>
      </c>
      <c r="C2115" s="1" t="s">
        <v>25</v>
      </c>
      <c r="D2115" s="1" t="s">
        <v>19</v>
      </c>
      <c r="E2115" s="1" t="s">
        <v>52</v>
      </c>
      <c r="F2115">
        <v>2006</v>
      </c>
      <c r="G2115">
        <v>10</v>
      </c>
      <c r="H2115" s="1" t="s">
        <v>21</v>
      </c>
      <c r="I2115">
        <v>15</v>
      </c>
      <c r="J2115">
        <v>1866</v>
      </c>
      <c r="K2115" s="1" t="s">
        <v>53</v>
      </c>
      <c r="L2115" s="1" t="s">
        <v>45</v>
      </c>
      <c r="M2115">
        <v>0.66500000000000004</v>
      </c>
      <c r="N2115">
        <v>9978.4</v>
      </c>
      <c r="O2115">
        <v>9.9779999999999998</v>
      </c>
      <c r="P2115" s="2">
        <v>42401</v>
      </c>
      <c r="Q2115">
        <v>1</v>
      </c>
      <c r="R2115" s="1" t="s">
        <v>40</v>
      </c>
    </row>
    <row r="2116" spans="1:18" x14ac:dyDescent="0.25">
      <c r="A2116">
        <v>2016</v>
      </c>
      <c r="B2116">
        <v>3</v>
      </c>
      <c r="C2116" s="1" t="s">
        <v>26</v>
      </c>
      <c r="D2116" s="1" t="s">
        <v>19</v>
      </c>
      <c r="E2116" s="1" t="s">
        <v>52</v>
      </c>
      <c r="F2116">
        <v>2006</v>
      </c>
      <c r="G2116">
        <v>10</v>
      </c>
      <c r="H2116" s="1" t="s">
        <v>21</v>
      </c>
      <c r="I2116">
        <v>15</v>
      </c>
      <c r="J2116">
        <v>1866</v>
      </c>
      <c r="K2116" s="1" t="s">
        <v>53</v>
      </c>
      <c r="L2116" s="1" t="s">
        <v>45</v>
      </c>
      <c r="M2116">
        <v>0.81599999999999995</v>
      </c>
      <c r="N2116">
        <v>12245.6</v>
      </c>
      <c r="O2116">
        <v>12.246</v>
      </c>
      <c r="P2116" s="2">
        <v>42430</v>
      </c>
      <c r="Q2116">
        <v>1</v>
      </c>
      <c r="R2116" s="1" t="s">
        <v>40</v>
      </c>
    </row>
    <row r="2117" spans="1:18" x14ac:dyDescent="0.25">
      <c r="A2117">
        <v>2016</v>
      </c>
      <c r="B2117">
        <v>4</v>
      </c>
      <c r="C2117" s="1" t="s">
        <v>27</v>
      </c>
      <c r="D2117" s="1" t="s">
        <v>19</v>
      </c>
      <c r="E2117" s="1" t="s">
        <v>52</v>
      </c>
      <c r="F2117">
        <v>2006</v>
      </c>
      <c r="G2117">
        <v>10</v>
      </c>
      <c r="H2117" s="1" t="s">
        <v>21</v>
      </c>
      <c r="I2117">
        <v>15</v>
      </c>
      <c r="J2117">
        <v>1866</v>
      </c>
      <c r="K2117" s="1" t="s">
        <v>53</v>
      </c>
      <c r="L2117" s="1" t="s">
        <v>45</v>
      </c>
      <c r="M2117">
        <v>0.48399999999999999</v>
      </c>
      <c r="N2117">
        <v>7263.4</v>
      </c>
      <c r="O2117">
        <v>7.2629999999999999</v>
      </c>
      <c r="P2117" s="2">
        <v>42461</v>
      </c>
      <c r="Q2117">
        <v>1</v>
      </c>
      <c r="R2117" s="1" t="s">
        <v>40</v>
      </c>
    </row>
    <row r="2118" spans="1:18" x14ac:dyDescent="0.25">
      <c r="A2118">
        <v>2016</v>
      </c>
      <c r="B2118">
        <v>5</v>
      </c>
      <c r="C2118" s="1" t="s">
        <v>28</v>
      </c>
      <c r="D2118" s="1" t="s">
        <v>19</v>
      </c>
      <c r="E2118" s="1" t="s">
        <v>52</v>
      </c>
      <c r="F2118">
        <v>2006</v>
      </c>
      <c r="G2118">
        <v>10</v>
      </c>
      <c r="H2118" s="1" t="s">
        <v>21</v>
      </c>
      <c r="I2118">
        <v>15</v>
      </c>
      <c r="J2118">
        <v>1866</v>
      </c>
      <c r="K2118" s="1" t="s">
        <v>53</v>
      </c>
      <c r="L2118" s="1" t="s">
        <v>45</v>
      </c>
      <c r="M2118">
        <v>1.119</v>
      </c>
      <c r="N2118">
        <v>16780</v>
      </c>
      <c r="O2118">
        <v>16.78</v>
      </c>
      <c r="P2118" s="2">
        <v>42491</v>
      </c>
      <c r="Q2118">
        <v>1</v>
      </c>
      <c r="R2118" s="1" t="s">
        <v>40</v>
      </c>
    </row>
    <row r="2119" spans="1:18" x14ac:dyDescent="0.25">
      <c r="A2119">
        <v>2016</v>
      </c>
      <c r="B2119">
        <v>6</v>
      </c>
      <c r="C2119" s="1" t="s">
        <v>29</v>
      </c>
      <c r="D2119" s="1" t="s">
        <v>19</v>
      </c>
      <c r="E2119" s="1" t="s">
        <v>52</v>
      </c>
      <c r="F2119">
        <v>2006</v>
      </c>
      <c r="G2119">
        <v>10</v>
      </c>
      <c r="H2119" s="1" t="s">
        <v>21</v>
      </c>
      <c r="I2119">
        <v>15</v>
      </c>
      <c r="J2119">
        <v>1866</v>
      </c>
      <c r="K2119" s="1" t="s">
        <v>53</v>
      </c>
      <c r="L2119" s="1" t="s">
        <v>45</v>
      </c>
      <c r="M2119">
        <v>1.169</v>
      </c>
      <c r="N2119">
        <v>17535.7</v>
      </c>
      <c r="O2119">
        <v>17.536000000000001</v>
      </c>
      <c r="P2119" s="2">
        <v>42522</v>
      </c>
      <c r="Q2119">
        <v>1</v>
      </c>
      <c r="R2119" s="1" t="s">
        <v>40</v>
      </c>
    </row>
    <row r="2120" spans="1:18" x14ac:dyDescent="0.25">
      <c r="A2120">
        <v>2016</v>
      </c>
      <c r="B2120">
        <v>7</v>
      </c>
      <c r="C2120" s="1" t="s">
        <v>30</v>
      </c>
      <c r="D2120" s="1" t="s">
        <v>19</v>
      </c>
      <c r="E2120" s="1" t="s">
        <v>52</v>
      </c>
      <c r="F2120">
        <v>2006</v>
      </c>
      <c r="G2120">
        <v>10</v>
      </c>
      <c r="H2120" s="1" t="s">
        <v>21</v>
      </c>
      <c r="I2120">
        <v>15</v>
      </c>
      <c r="J2120">
        <v>1866</v>
      </c>
      <c r="K2120" s="1" t="s">
        <v>53</v>
      </c>
      <c r="L2120" s="1" t="s">
        <v>45</v>
      </c>
      <c r="M2120">
        <v>0.86899999999999999</v>
      </c>
      <c r="N2120">
        <v>13029.3</v>
      </c>
      <c r="O2120">
        <v>13.029</v>
      </c>
      <c r="P2120" s="2">
        <v>42552</v>
      </c>
      <c r="Q2120">
        <v>1</v>
      </c>
      <c r="R2120" s="1" t="s">
        <v>40</v>
      </c>
    </row>
    <row r="2121" spans="1:18" x14ac:dyDescent="0.25">
      <c r="A2121">
        <v>2016</v>
      </c>
      <c r="B2121">
        <v>8</v>
      </c>
      <c r="C2121" s="1" t="s">
        <v>31</v>
      </c>
      <c r="D2121" s="1" t="s">
        <v>19</v>
      </c>
      <c r="E2121" s="1" t="s">
        <v>52</v>
      </c>
      <c r="F2121">
        <v>2006</v>
      </c>
      <c r="G2121">
        <v>10</v>
      </c>
      <c r="H2121" s="1" t="s">
        <v>21</v>
      </c>
      <c r="I2121">
        <v>15</v>
      </c>
      <c r="J2121">
        <v>1866</v>
      </c>
      <c r="K2121" s="1" t="s">
        <v>53</v>
      </c>
      <c r="L2121" s="1" t="s">
        <v>45</v>
      </c>
      <c r="M2121">
        <v>0.8</v>
      </c>
      <c r="N2121">
        <v>11993.7</v>
      </c>
      <c r="O2121">
        <v>11.994</v>
      </c>
      <c r="P2121" s="2">
        <v>42583</v>
      </c>
      <c r="Q2121">
        <v>1</v>
      </c>
      <c r="R2121" s="1" t="s">
        <v>40</v>
      </c>
    </row>
    <row r="2122" spans="1:18" x14ac:dyDescent="0.25">
      <c r="A2122">
        <v>2016</v>
      </c>
      <c r="B2122">
        <v>9</v>
      </c>
      <c r="C2122" s="1" t="s">
        <v>32</v>
      </c>
      <c r="D2122" s="1" t="s">
        <v>19</v>
      </c>
      <c r="E2122" s="1" t="s">
        <v>52</v>
      </c>
      <c r="F2122">
        <v>2006</v>
      </c>
      <c r="G2122">
        <v>10</v>
      </c>
      <c r="H2122" s="1" t="s">
        <v>21</v>
      </c>
      <c r="I2122">
        <v>15</v>
      </c>
      <c r="J2122">
        <v>1866</v>
      </c>
      <c r="K2122" s="1" t="s">
        <v>53</v>
      </c>
      <c r="L2122" s="1" t="s">
        <v>45</v>
      </c>
      <c r="M2122">
        <v>0.64600000000000002</v>
      </c>
      <c r="N2122">
        <v>9684.5</v>
      </c>
      <c r="O2122">
        <v>9.6850000000000005</v>
      </c>
      <c r="P2122" s="2">
        <v>42614</v>
      </c>
      <c r="Q2122">
        <v>1</v>
      </c>
      <c r="R2122" s="1" t="s">
        <v>40</v>
      </c>
    </row>
    <row r="2123" spans="1:18" x14ac:dyDescent="0.25">
      <c r="A2123">
        <v>2016</v>
      </c>
      <c r="B2123">
        <v>10</v>
      </c>
      <c r="C2123" s="1" t="s">
        <v>33</v>
      </c>
      <c r="D2123" s="1" t="s">
        <v>19</v>
      </c>
      <c r="E2123" s="1" t="s">
        <v>52</v>
      </c>
      <c r="F2123">
        <v>2006</v>
      </c>
      <c r="G2123">
        <v>10</v>
      </c>
      <c r="H2123" s="1" t="s">
        <v>21</v>
      </c>
      <c r="I2123">
        <v>15</v>
      </c>
      <c r="J2123">
        <v>1866</v>
      </c>
      <c r="K2123" s="1" t="s">
        <v>53</v>
      </c>
      <c r="L2123" s="1" t="s">
        <v>45</v>
      </c>
      <c r="M2123">
        <v>1.1379999999999999</v>
      </c>
      <c r="N2123">
        <v>17073.900000000001</v>
      </c>
      <c r="O2123">
        <v>17.074000000000002</v>
      </c>
      <c r="P2123" s="2">
        <v>42644</v>
      </c>
      <c r="Q2123">
        <v>1</v>
      </c>
      <c r="R2123" s="1" t="s">
        <v>40</v>
      </c>
    </row>
    <row r="2124" spans="1:18" x14ac:dyDescent="0.25">
      <c r="A2124">
        <v>2016</v>
      </c>
      <c r="B2124">
        <v>11</v>
      </c>
      <c r="C2124" s="1" t="s">
        <v>34</v>
      </c>
      <c r="D2124" s="1" t="s">
        <v>19</v>
      </c>
      <c r="E2124" s="1" t="s">
        <v>52</v>
      </c>
      <c r="F2124">
        <v>2006</v>
      </c>
      <c r="G2124">
        <v>10</v>
      </c>
      <c r="H2124" s="1" t="s">
        <v>21</v>
      </c>
      <c r="I2124">
        <v>15</v>
      </c>
      <c r="J2124">
        <v>1866</v>
      </c>
      <c r="K2124" s="1" t="s">
        <v>53</v>
      </c>
      <c r="L2124" s="1" t="s">
        <v>45</v>
      </c>
      <c r="M2124">
        <v>1.026</v>
      </c>
      <c r="N2124">
        <v>15394.5</v>
      </c>
      <c r="O2124">
        <v>15.395</v>
      </c>
      <c r="P2124" s="2">
        <v>42675</v>
      </c>
      <c r="Q2124">
        <v>1</v>
      </c>
      <c r="R2124" s="1" t="s">
        <v>40</v>
      </c>
    </row>
    <row r="2125" spans="1:18" x14ac:dyDescent="0.25">
      <c r="A2125">
        <v>2016</v>
      </c>
      <c r="B2125">
        <v>12</v>
      </c>
      <c r="C2125" s="1" t="s">
        <v>35</v>
      </c>
      <c r="D2125" s="1" t="s">
        <v>19</v>
      </c>
      <c r="E2125" s="1" t="s">
        <v>52</v>
      </c>
      <c r="F2125">
        <v>2006</v>
      </c>
      <c r="G2125">
        <v>10</v>
      </c>
      <c r="H2125" s="1" t="s">
        <v>21</v>
      </c>
      <c r="I2125">
        <v>15</v>
      </c>
      <c r="J2125">
        <v>1866</v>
      </c>
      <c r="K2125" s="1" t="s">
        <v>53</v>
      </c>
      <c r="L2125" s="1" t="s">
        <v>45</v>
      </c>
      <c r="M2125">
        <v>1.0069999999999999</v>
      </c>
      <c r="N2125">
        <v>15100.6</v>
      </c>
      <c r="O2125">
        <v>15.101000000000001</v>
      </c>
      <c r="P2125" s="2">
        <v>42705</v>
      </c>
      <c r="Q2125">
        <v>1</v>
      </c>
      <c r="R2125" s="1" t="s">
        <v>40</v>
      </c>
    </row>
    <row r="2126" spans="1:18" x14ac:dyDescent="0.25">
      <c r="A2126">
        <v>2016</v>
      </c>
      <c r="B2126">
        <v>1</v>
      </c>
      <c r="C2126" s="1" t="s">
        <v>18</v>
      </c>
      <c r="D2126" s="1" t="s">
        <v>19</v>
      </c>
      <c r="E2126" s="1" t="s">
        <v>54</v>
      </c>
      <c r="F2126">
        <v>2006</v>
      </c>
      <c r="G2126">
        <v>10</v>
      </c>
      <c r="H2126" s="1" t="s">
        <v>21</v>
      </c>
      <c r="I2126">
        <v>25</v>
      </c>
      <c r="J2126">
        <v>3154</v>
      </c>
      <c r="K2126" s="1" t="s">
        <v>55</v>
      </c>
      <c r="L2126" s="1" t="s">
        <v>45</v>
      </c>
      <c r="M2126">
        <v>0.66</v>
      </c>
      <c r="N2126">
        <v>16511.2</v>
      </c>
      <c r="O2126">
        <v>16.510999999999999</v>
      </c>
      <c r="P2126" s="2">
        <v>42370</v>
      </c>
      <c r="Q2126">
        <v>1</v>
      </c>
      <c r="R2126" s="1" t="s">
        <v>40</v>
      </c>
    </row>
    <row r="2127" spans="1:18" x14ac:dyDescent="0.25">
      <c r="A2127">
        <v>2016</v>
      </c>
      <c r="B2127">
        <v>2</v>
      </c>
      <c r="C2127" s="1" t="s">
        <v>25</v>
      </c>
      <c r="D2127" s="1" t="s">
        <v>19</v>
      </c>
      <c r="E2127" s="1" t="s">
        <v>54</v>
      </c>
      <c r="F2127">
        <v>2006</v>
      </c>
      <c r="G2127">
        <v>10</v>
      </c>
      <c r="H2127" s="1" t="s">
        <v>21</v>
      </c>
      <c r="I2127">
        <v>25</v>
      </c>
      <c r="J2127">
        <v>3154</v>
      </c>
      <c r="K2127" s="1" t="s">
        <v>55</v>
      </c>
      <c r="L2127" s="1" t="s">
        <v>45</v>
      </c>
      <c r="M2127">
        <v>0.67500000000000004</v>
      </c>
      <c r="N2127">
        <v>16866</v>
      </c>
      <c r="O2127">
        <v>16.866</v>
      </c>
      <c r="P2127" s="2">
        <v>42401</v>
      </c>
      <c r="Q2127">
        <v>1</v>
      </c>
      <c r="R2127" s="1" t="s">
        <v>40</v>
      </c>
    </row>
    <row r="2128" spans="1:18" x14ac:dyDescent="0.25">
      <c r="A2128">
        <v>2016</v>
      </c>
      <c r="B2128">
        <v>3</v>
      </c>
      <c r="C2128" s="1" t="s">
        <v>26</v>
      </c>
      <c r="D2128" s="1" t="s">
        <v>19</v>
      </c>
      <c r="E2128" s="1" t="s">
        <v>54</v>
      </c>
      <c r="F2128">
        <v>2006</v>
      </c>
      <c r="G2128">
        <v>10</v>
      </c>
      <c r="H2128" s="1" t="s">
        <v>21</v>
      </c>
      <c r="I2128">
        <v>25</v>
      </c>
      <c r="J2128">
        <v>3154</v>
      </c>
      <c r="K2128" s="1" t="s">
        <v>55</v>
      </c>
      <c r="L2128" s="1" t="s">
        <v>45</v>
      </c>
      <c r="M2128">
        <v>0.82799999999999996</v>
      </c>
      <c r="N2128">
        <v>20698.099999999999</v>
      </c>
      <c r="O2128">
        <v>20.698</v>
      </c>
      <c r="P2128" s="2">
        <v>42430</v>
      </c>
      <c r="Q2128">
        <v>1</v>
      </c>
      <c r="R2128" s="1" t="s">
        <v>40</v>
      </c>
    </row>
    <row r="2129" spans="1:18" x14ac:dyDescent="0.25">
      <c r="A2129">
        <v>2016</v>
      </c>
      <c r="B2129">
        <v>4</v>
      </c>
      <c r="C2129" s="1" t="s">
        <v>27</v>
      </c>
      <c r="D2129" s="1" t="s">
        <v>19</v>
      </c>
      <c r="E2129" s="1" t="s">
        <v>54</v>
      </c>
      <c r="F2129">
        <v>2006</v>
      </c>
      <c r="G2129">
        <v>10</v>
      </c>
      <c r="H2129" s="1" t="s">
        <v>21</v>
      </c>
      <c r="I2129">
        <v>25</v>
      </c>
      <c r="J2129">
        <v>3154</v>
      </c>
      <c r="K2129" s="1" t="s">
        <v>55</v>
      </c>
      <c r="L2129" s="1" t="s">
        <v>45</v>
      </c>
      <c r="M2129">
        <v>0.49099999999999999</v>
      </c>
      <c r="N2129">
        <v>12276.9</v>
      </c>
      <c r="O2129">
        <v>12.276999999999999</v>
      </c>
      <c r="P2129" s="2">
        <v>42461</v>
      </c>
      <c r="Q2129">
        <v>1</v>
      </c>
      <c r="R2129" s="1" t="s">
        <v>40</v>
      </c>
    </row>
    <row r="2130" spans="1:18" x14ac:dyDescent="0.25">
      <c r="A2130">
        <v>2016</v>
      </c>
      <c r="B2130">
        <v>5</v>
      </c>
      <c r="C2130" s="1" t="s">
        <v>28</v>
      </c>
      <c r="D2130" s="1" t="s">
        <v>19</v>
      </c>
      <c r="E2130" s="1" t="s">
        <v>54</v>
      </c>
      <c r="F2130">
        <v>2006</v>
      </c>
      <c r="G2130">
        <v>10</v>
      </c>
      <c r="H2130" s="1" t="s">
        <v>21</v>
      </c>
      <c r="I2130">
        <v>25</v>
      </c>
      <c r="J2130">
        <v>3154</v>
      </c>
      <c r="K2130" s="1" t="s">
        <v>55</v>
      </c>
      <c r="L2130" s="1" t="s">
        <v>45</v>
      </c>
      <c r="M2130">
        <v>1.1339999999999999</v>
      </c>
      <c r="N2130">
        <v>28362.3</v>
      </c>
      <c r="O2130">
        <v>28.361999999999998</v>
      </c>
      <c r="P2130" s="2">
        <v>42491</v>
      </c>
      <c r="Q2130">
        <v>1</v>
      </c>
      <c r="R2130" s="1" t="s">
        <v>40</v>
      </c>
    </row>
    <row r="2131" spans="1:18" x14ac:dyDescent="0.25">
      <c r="A2131">
        <v>2016</v>
      </c>
      <c r="B2131">
        <v>6</v>
      </c>
      <c r="C2131" s="1" t="s">
        <v>29</v>
      </c>
      <c r="D2131" s="1" t="s">
        <v>19</v>
      </c>
      <c r="E2131" s="1" t="s">
        <v>54</v>
      </c>
      <c r="F2131">
        <v>2006</v>
      </c>
      <c r="G2131">
        <v>10</v>
      </c>
      <c r="H2131" s="1" t="s">
        <v>21</v>
      </c>
      <c r="I2131">
        <v>25</v>
      </c>
      <c r="J2131">
        <v>3154</v>
      </c>
      <c r="K2131" s="1" t="s">
        <v>55</v>
      </c>
      <c r="L2131" s="1" t="s">
        <v>45</v>
      </c>
      <c r="M2131">
        <v>1.1859999999999999</v>
      </c>
      <c r="N2131">
        <v>29639.7</v>
      </c>
      <c r="O2131">
        <v>29.64</v>
      </c>
      <c r="P2131" s="2">
        <v>42522</v>
      </c>
      <c r="Q2131">
        <v>1</v>
      </c>
      <c r="R2131" s="1" t="s">
        <v>40</v>
      </c>
    </row>
    <row r="2132" spans="1:18" x14ac:dyDescent="0.25">
      <c r="A2132">
        <v>2016</v>
      </c>
      <c r="B2132">
        <v>7</v>
      </c>
      <c r="C2132" s="1" t="s">
        <v>30</v>
      </c>
      <c r="D2132" s="1" t="s">
        <v>19</v>
      </c>
      <c r="E2132" s="1" t="s">
        <v>54</v>
      </c>
      <c r="F2132">
        <v>2006</v>
      </c>
      <c r="G2132">
        <v>10</v>
      </c>
      <c r="H2132" s="1" t="s">
        <v>21</v>
      </c>
      <c r="I2132">
        <v>25</v>
      </c>
      <c r="J2132">
        <v>3154</v>
      </c>
      <c r="K2132" s="1" t="s">
        <v>55</v>
      </c>
      <c r="L2132" s="1" t="s">
        <v>45</v>
      </c>
      <c r="M2132">
        <v>0.88100000000000001</v>
      </c>
      <c r="N2132">
        <v>22022.799999999999</v>
      </c>
      <c r="O2132">
        <v>22.023</v>
      </c>
      <c r="P2132" s="2">
        <v>42552</v>
      </c>
      <c r="Q2132">
        <v>1</v>
      </c>
      <c r="R2132" s="1" t="s">
        <v>40</v>
      </c>
    </row>
    <row r="2133" spans="1:18" x14ac:dyDescent="0.25">
      <c r="A2133">
        <v>2016</v>
      </c>
      <c r="B2133">
        <v>8</v>
      </c>
      <c r="C2133" s="1" t="s">
        <v>31</v>
      </c>
      <c r="D2133" s="1" t="s">
        <v>19</v>
      </c>
      <c r="E2133" s="1" t="s">
        <v>54</v>
      </c>
      <c r="F2133">
        <v>2006</v>
      </c>
      <c r="G2133">
        <v>10</v>
      </c>
      <c r="H2133" s="1" t="s">
        <v>21</v>
      </c>
      <c r="I2133">
        <v>25</v>
      </c>
      <c r="J2133">
        <v>3154</v>
      </c>
      <c r="K2133" s="1" t="s">
        <v>55</v>
      </c>
      <c r="L2133" s="1" t="s">
        <v>45</v>
      </c>
      <c r="M2133">
        <v>0.81100000000000005</v>
      </c>
      <c r="N2133">
        <v>20272.3</v>
      </c>
      <c r="O2133">
        <v>20.271999999999998</v>
      </c>
      <c r="P2133" s="2">
        <v>42583</v>
      </c>
      <c r="Q2133">
        <v>1</v>
      </c>
      <c r="R2133" s="1" t="s">
        <v>40</v>
      </c>
    </row>
    <row r="2134" spans="1:18" x14ac:dyDescent="0.25">
      <c r="A2134">
        <v>2016</v>
      </c>
      <c r="B2134">
        <v>9</v>
      </c>
      <c r="C2134" s="1" t="s">
        <v>32</v>
      </c>
      <c r="D2134" s="1" t="s">
        <v>19</v>
      </c>
      <c r="E2134" s="1" t="s">
        <v>54</v>
      </c>
      <c r="F2134">
        <v>2006</v>
      </c>
      <c r="G2134">
        <v>10</v>
      </c>
      <c r="H2134" s="1" t="s">
        <v>21</v>
      </c>
      <c r="I2134">
        <v>25</v>
      </c>
      <c r="J2134">
        <v>3154</v>
      </c>
      <c r="K2134" s="1" t="s">
        <v>55</v>
      </c>
      <c r="L2134" s="1" t="s">
        <v>45</v>
      </c>
      <c r="M2134">
        <v>0.65500000000000003</v>
      </c>
      <c r="N2134">
        <v>16369.3</v>
      </c>
      <c r="O2134">
        <v>16.369</v>
      </c>
      <c r="P2134" s="2">
        <v>42614</v>
      </c>
      <c r="Q2134">
        <v>1</v>
      </c>
      <c r="R2134" s="1" t="s">
        <v>40</v>
      </c>
    </row>
    <row r="2135" spans="1:18" x14ac:dyDescent="0.25">
      <c r="A2135">
        <v>2016</v>
      </c>
      <c r="B2135">
        <v>10</v>
      </c>
      <c r="C2135" s="1" t="s">
        <v>33</v>
      </c>
      <c r="D2135" s="1" t="s">
        <v>19</v>
      </c>
      <c r="E2135" s="1" t="s">
        <v>54</v>
      </c>
      <c r="F2135">
        <v>2006</v>
      </c>
      <c r="G2135">
        <v>10</v>
      </c>
      <c r="H2135" s="1" t="s">
        <v>21</v>
      </c>
      <c r="I2135">
        <v>25</v>
      </c>
      <c r="J2135">
        <v>3154</v>
      </c>
      <c r="K2135" s="1" t="s">
        <v>55</v>
      </c>
      <c r="L2135" s="1" t="s">
        <v>45</v>
      </c>
      <c r="M2135">
        <v>1.1539999999999999</v>
      </c>
      <c r="N2135">
        <v>28859.1</v>
      </c>
      <c r="O2135">
        <v>28.859000000000002</v>
      </c>
      <c r="P2135" s="2">
        <v>42644</v>
      </c>
      <c r="Q2135">
        <v>1</v>
      </c>
      <c r="R2135" s="1" t="s">
        <v>40</v>
      </c>
    </row>
    <row r="2136" spans="1:18" x14ac:dyDescent="0.25">
      <c r="A2136">
        <v>2016</v>
      </c>
      <c r="B2136">
        <v>11</v>
      </c>
      <c r="C2136" s="1" t="s">
        <v>34</v>
      </c>
      <c r="D2136" s="1" t="s">
        <v>19</v>
      </c>
      <c r="E2136" s="1" t="s">
        <v>54</v>
      </c>
      <c r="F2136">
        <v>2006</v>
      </c>
      <c r="G2136">
        <v>10</v>
      </c>
      <c r="H2136" s="1" t="s">
        <v>21</v>
      </c>
      <c r="I2136">
        <v>25</v>
      </c>
      <c r="J2136">
        <v>3154</v>
      </c>
      <c r="K2136" s="1" t="s">
        <v>55</v>
      </c>
      <c r="L2136" s="1" t="s">
        <v>45</v>
      </c>
      <c r="M2136">
        <v>1.0409999999999999</v>
      </c>
      <c r="N2136">
        <v>26020.5</v>
      </c>
      <c r="O2136">
        <v>26.021000000000001</v>
      </c>
      <c r="P2136" s="2">
        <v>42675</v>
      </c>
      <c r="Q2136">
        <v>1</v>
      </c>
      <c r="R2136" s="1" t="s">
        <v>40</v>
      </c>
    </row>
    <row r="2137" spans="1:18" x14ac:dyDescent="0.25">
      <c r="A2137">
        <v>2016</v>
      </c>
      <c r="B2137">
        <v>12</v>
      </c>
      <c r="C2137" s="1" t="s">
        <v>35</v>
      </c>
      <c r="D2137" s="1" t="s">
        <v>19</v>
      </c>
      <c r="E2137" s="1" t="s">
        <v>54</v>
      </c>
      <c r="F2137">
        <v>2006</v>
      </c>
      <c r="G2137">
        <v>10</v>
      </c>
      <c r="H2137" s="1" t="s">
        <v>21</v>
      </c>
      <c r="I2137">
        <v>25</v>
      </c>
      <c r="J2137">
        <v>3154</v>
      </c>
      <c r="K2137" s="1" t="s">
        <v>55</v>
      </c>
      <c r="L2137" s="1" t="s">
        <v>45</v>
      </c>
      <c r="M2137">
        <v>1.0209999999999999</v>
      </c>
      <c r="N2137">
        <v>25523.7</v>
      </c>
      <c r="O2137">
        <v>25.524000000000001</v>
      </c>
      <c r="P2137" s="2">
        <v>42705</v>
      </c>
      <c r="Q2137">
        <v>1</v>
      </c>
      <c r="R2137" s="1" t="s">
        <v>40</v>
      </c>
    </row>
    <row r="2138" spans="1:18" x14ac:dyDescent="0.25">
      <c r="A2138">
        <v>2016</v>
      </c>
      <c r="B2138">
        <v>1</v>
      </c>
      <c r="C2138" s="1" t="s">
        <v>18</v>
      </c>
      <c r="D2138" s="1" t="s">
        <v>19</v>
      </c>
      <c r="E2138" s="1" t="s">
        <v>56</v>
      </c>
      <c r="F2138">
        <v>2006</v>
      </c>
      <c r="G2138">
        <v>10</v>
      </c>
      <c r="H2138" s="1" t="s">
        <v>21</v>
      </c>
      <c r="I2138">
        <v>35</v>
      </c>
      <c r="J2138">
        <v>4204</v>
      </c>
      <c r="K2138" s="1" t="s">
        <v>57</v>
      </c>
      <c r="L2138" s="1" t="s">
        <v>45</v>
      </c>
      <c r="M2138">
        <v>0.629</v>
      </c>
      <c r="N2138">
        <v>22007.9</v>
      </c>
      <c r="O2138">
        <v>22.007999999999999</v>
      </c>
      <c r="P2138" s="2">
        <v>42370</v>
      </c>
      <c r="Q2138">
        <v>1</v>
      </c>
      <c r="R2138" s="1" t="s">
        <v>40</v>
      </c>
    </row>
    <row r="2139" spans="1:18" x14ac:dyDescent="0.25">
      <c r="A2139">
        <v>2016</v>
      </c>
      <c r="B2139">
        <v>2</v>
      </c>
      <c r="C2139" s="1" t="s">
        <v>25</v>
      </c>
      <c r="D2139" s="1" t="s">
        <v>19</v>
      </c>
      <c r="E2139" s="1" t="s">
        <v>56</v>
      </c>
      <c r="F2139">
        <v>2006</v>
      </c>
      <c r="G2139">
        <v>10</v>
      </c>
      <c r="H2139" s="1" t="s">
        <v>21</v>
      </c>
      <c r="I2139">
        <v>35</v>
      </c>
      <c r="J2139">
        <v>4204</v>
      </c>
      <c r="K2139" s="1" t="s">
        <v>57</v>
      </c>
      <c r="L2139" s="1" t="s">
        <v>45</v>
      </c>
      <c r="M2139">
        <v>0.64200000000000002</v>
      </c>
      <c r="N2139">
        <v>22480.9</v>
      </c>
      <c r="O2139">
        <v>22.481000000000002</v>
      </c>
      <c r="P2139" s="2">
        <v>42401</v>
      </c>
      <c r="Q2139">
        <v>1</v>
      </c>
      <c r="R2139" s="1" t="s">
        <v>40</v>
      </c>
    </row>
    <row r="2140" spans="1:18" x14ac:dyDescent="0.25">
      <c r="A2140">
        <v>2016</v>
      </c>
      <c r="B2140">
        <v>3</v>
      </c>
      <c r="C2140" s="1" t="s">
        <v>26</v>
      </c>
      <c r="D2140" s="1" t="s">
        <v>19</v>
      </c>
      <c r="E2140" s="1" t="s">
        <v>56</v>
      </c>
      <c r="F2140">
        <v>2006</v>
      </c>
      <c r="G2140">
        <v>10</v>
      </c>
      <c r="H2140" s="1" t="s">
        <v>21</v>
      </c>
      <c r="I2140">
        <v>35</v>
      </c>
      <c r="J2140">
        <v>4204</v>
      </c>
      <c r="K2140" s="1" t="s">
        <v>57</v>
      </c>
      <c r="L2140" s="1" t="s">
        <v>45</v>
      </c>
      <c r="M2140">
        <v>0.78800000000000003</v>
      </c>
      <c r="N2140">
        <v>27588.7</v>
      </c>
      <c r="O2140">
        <v>27.588999999999999</v>
      </c>
      <c r="P2140" s="2">
        <v>42430</v>
      </c>
      <c r="Q2140">
        <v>1</v>
      </c>
      <c r="R2140" s="1" t="s">
        <v>40</v>
      </c>
    </row>
    <row r="2141" spans="1:18" x14ac:dyDescent="0.25">
      <c r="A2141">
        <v>2016</v>
      </c>
      <c r="B2141">
        <v>4</v>
      </c>
      <c r="C2141" s="1" t="s">
        <v>27</v>
      </c>
      <c r="D2141" s="1" t="s">
        <v>19</v>
      </c>
      <c r="E2141" s="1" t="s">
        <v>56</v>
      </c>
      <c r="F2141">
        <v>2006</v>
      </c>
      <c r="G2141">
        <v>10</v>
      </c>
      <c r="H2141" s="1" t="s">
        <v>21</v>
      </c>
      <c r="I2141">
        <v>35</v>
      </c>
      <c r="J2141">
        <v>4204</v>
      </c>
      <c r="K2141" s="1" t="s">
        <v>57</v>
      </c>
      <c r="L2141" s="1" t="s">
        <v>45</v>
      </c>
      <c r="M2141">
        <v>0.46800000000000003</v>
      </c>
      <c r="N2141">
        <v>16364.1</v>
      </c>
      <c r="O2141">
        <v>16.364000000000001</v>
      </c>
      <c r="P2141" s="2">
        <v>42461</v>
      </c>
      <c r="Q2141">
        <v>1</v>
      </c>
      <c r="R2141" s="1" t="s">
        <v>40</v>
      </c>
    </row>
    <row r="2142" spans="1:18" x14ac:dyDescent="0.25">
      <c r="A2142">
        <v>2016</v>
      </c>
      <c r="B2142">
        <v>5</v>
      </c>
      <c r="C2142" s="1" t="s">
        <v>28</v>
      </c>
      <c r="D2142" s="1" t="s">
        <v>19</v>
      </c>
      <c r="E2142" s="1" t="s">
        <v>56</v>
      </c>
      <c r="F2142">
        <v>2006</v>
      </c>
      <c r="G2142">
        <v>10</v>
      </c>
      <c r="H2142" s="1" t="s">
        <v>21</v>
      </c>
      <c r="I2142">
        <v>35</v>
      </c>
      <c r="J2142">
        <v>4204</v>
      </c>
      <c r="K2142" s="1" t="s">
        <v>57</v>
      </c>
      <c r="L2142" s="1" t="s">
        <v>45</v>
      </c>
      <c r="M2142">
        <v>1.08</v>
      </c>
      <c r="N2142">
        <v>37804.5</v>
      </c>
      <c r="O2142">
        <v>37.804000000000002</v>
      </c>
      <c r="P2142" s="2">
        <v>42491</v>
      </c>
      <c r="Q2142">
        <v>1</v>
      </c>
      <c r="R2142" s="1" t="s">
        <v>40</v>
      </c>
    </row>
    <row r="2143" spans="1:18" x14ac:dyDescent="0.25">
      <c r="A2143">
        <v>2016</v>
      </c>
      <c r="B2143">
        <v>6</v>
      </c>
      <c r="C2143" s="1" t="s">
        <v>29</v>
      </c>
      <c r="D2143" s="1" t="s">
        <v>19</v>
      </c>
      <c r="E2143" s="1" t="s">
        <v>56</v>
      </c>
      <c r="F2143">
        <v>2006</v>
      </c>
      <c r="G2143">
        <v>10</v>
      </c>
      <c r="H2143" s="1" t="s">
        <v>21</v>
      </c>
      <c r="I2143">
        <v>35</v>
      </c>
      <c r="J2143">
        <v>4204</v>
      </c>
      <c r="K2143" s="1" t="s">
        <v>57</v>
      </c>
      <c r="L2143" s="1" t="s">
        <v>45</v>
      </c>
      <c r="M2143">
        <v>1.129</v>
      </c>
      <c r="N2143">
        <v>39507.1</v>
      </c>
      <c r="O2143">
        <v>39.506999999999998</v>
      </c>
      <c r="P2143" s="2">
        <v>42522</v>
      </c>
      <c r="Q2143">
        <v>1</v>
      </c>
      <c r="R2143" s="1" t="s">
        <v>40</v>
      </c>
    </row>
    <row r="2144" spans="1:18" x14ac:dyDescent="0.25">
      <c r="A2144">
        <v>2016</v>
      </c>
      <c r="B2144">
        <v>7</v>
      </c>
      <c r="C2144" s="1" t="s">
        <v>30</v>
      </c>
      <c r="D2144" s="1" t="s">
        <v>19</v>
      </c>
      <c r="E2144" s="1" t="s">
        <v>56</v>
      </c>
      <c r="F2144">
        <v>2006</v>
      </c>
      <c r="G2144">
        <v>10</v>
      </c>
      <c r="H2144" s="1" t="s">
        <v>21</v>
      </c>
      <c r="I2144">
        <v>35</v>
      </c>
      <c r="J2144">
        <v>4204</v>
      </c>
      <c r="K2144" s="1" t="s">
        <v>57</v>
      </c>
      <c r="L2144" s="1" t="s">
        <v>45</v>
      </c>
      <c r="M2144">
        <v>0.83899999999999997</v>
      </c>
      <c r="N2144">
        <v>29354.400000000001</v>
      </c>
      <c r="O2144">
        <v>29.353999999999999</v>
      </c>
      <c r="P2144" s="2">
        <v>42552</v>
      </c>
      <c r="Q2144">
        <v>1</v>
      </c>
      <c r="R2144" s="1" t="s">
        <v>40</v>
      </c>
    </row>
    <row r="2145" spans="1:18" x14ac:dyDescent="0.25">
      <c r="A2145">
        <v>2016</v>
      </c>
      <c r="B2145">
        <v>8</v>
      </c>
      <c r="C2145" s="1" t="s">
        <v>31</v>
      </c>
      <c r="D2145" s="1" t="s">
        <v>19</v>
      </c>
      <c r="E2145" s="1" t="s">
        <v>56</v>
      </c>
      <c r="F2145">
        <v>2006</v>
      </c>
      <c r="G2145">
        <v>10</v>
      </c>
      <c r="H2145" s="1" t="s">
        <v>21</v>
      </c>
      <c r="I2145">
        <v>35</v>
      </c>
      <c r="J2145">
        <v>4204</v>
      </c>
      <c r="K2145" s="1" t="s">
        <v>57</v>
      </c>
      <c r="L2145" s="1" t="s">
        <v>45</v>
      </c>
      <c r="M2145">
        <v>0.77200000000000002</v>
      </c>
      <c r="N2145">
        <v>27021.200000000001</v>
      </c>
      <c r="O2145">
        <v>27.021000000000001</v>
      </c>
      <c r="P2145" s="2">
        <v>42583</v>
      </c>
      <c r="Q2145">
        <v>1</v>
      </c>
      <c r="R2145" s="1" t="s">
        <v>40</v>
      </c>
    </row>
    <row r="2146" spans="1:18" x14ac:dyDescent="0.25">
      <c r="A2146">
        <v>2016</v>
      </c>
      <c r="B2146">
        <v>9</v>
      </c>
      <c r="C2146" s="1" t="s">
        <v>32</v>
      </c>
      <c r="D2146" s="1" t="s">
        <v>19</v>
      </c>
      <c r="E2146" s="1" t="s">
        <v>56</v>
      </c>
      <c r="F2146">
        <v>2006</v>
      </c>
      <c r="G2146">
        <v>10</v>
      </c>
      <c r="H2146" s="1" t="s">
        <v>21</v>
      </c>
      <c r="I2146">
        <v>35</v>
      </c>
      <c r="J2146">
        <v>4204</v>
      </c>
      <c r="K2146" s="1" t="s">
        <v>57</v>
      </c>
      <c r="L2146" s="1" t="s">
        <v>45</v>
      </c>
      <c r="M2146">
        <v>0.623</v>
      </c>
      <c r="N2146">
        <v>21818.799999999999</v>
      </c>
      <c r="O2146">
        <v>21.818999999999999</v>
      </c>
      <c r="P2146" s="2">
        <v>42614</v>
      </c>
      <c r="Q2146">
        <v>1</v>
      </c>
      <c r="R2146" s="1" t="s">
        <v>40</v>
      </c>
    </row>
    <row r="2147" spans="1:18" x14ac:dyDescent="0.25">
      <c r="A2147">
        <v>2016</v>
      </c>
      <c r="B2147">
        <v>10</v>
      </c>
      <c r="C2147" s="1" t="s">
        <v>33</v>
      </c>
      <c r="D2147" s="1" t="s">
        <v>19</v>
      </c>
      <c r="E2147" s="1" t="s">
        <v>56</v>
      </c>
      <c r="F2147">
        <v>2006</v>
      </c>
      <c r="G2147">
        <v>10</v>
      </c>
      <c r="H2147" s="1" t="s">
        <v>21</v>
      </c>
      <c r="I2147">
        <v>35</v>
      </c>
      <c r="J2147">
        <v>4204</v>
      </c>
      <c r="K2147" s="1" t="s">
        <v>57</v>
      </c>
      <c r="L2147" s="1" t="s">
        <v>45</v>
      </c>
      <c r="M2147">
        <v>1.099</v>
      </c>
      <c r="N2147">
        <v>38466.6</v>
      </c>
      <c r="O2147">
        <v>38.466999999999999</v>
      </c>
      <c r="P2147" s="2">
        <v>42644</v>
      </c>
      <c r="Q2147">
        <v>1</v>
      </c>
      <c r="R2147" s="1" t="s">
        <v>40</v>
      </c>
    </row>
    <row r="2148" spans="1:18" x14ac:dyDescent="0.25">
      <c r="A2148">
        <v>2016</v>
      </c>
      <c r="B2148">
        <v>11</v>
      </c>
      <c r="C2148" s="1" t="s">
        <v>34</v>
      </c>
      <c r="D2148" s="1" t="s">
        <v>19</v>
      </c>
      <c r="E2148" s="1" t="s">
        <v>56</v>
      </c>
      <c r="F2148">
        <v>2006</v>
      </c>
      <c r="G2148">
        <v>10</v>
      </c>
      <c r="H2148" s="1" t="s">
        <v>21</v>
      </c>
      <c r="I2148">
        <v>35</v>
      </c>
      <c r="J2148">
        <v>4204</v>
      </c>
      <c r="K2148" s="1" t="s">
        <v>57</v>
      </c>
      <c r="L2148" s="1" t="s">
        <v>45</v>
      </c>
      <c r="M2148">
        <v>0.99099999999999999</v>
      </c>
      <c r="N2148">
        <v>34683</v>
      </c>
      <c r="O2148">
        <v>34.683</v>
      </c>
      <c r="P2148" s="2">
        <v>42675</v>
      </c>
      <c r="Q2148">
        <v>1</v>
      </c>
      <c r="R2148" s="1" t="s">
        <v>40</v>
      </c>
    </row>
    <row r="2149" spans="1:18" x14ac:dyDescent="0.25">
      <c r="A2149">
        <v>2016</v>
      </c>
      <c r="B2149">
        <v>12</v>
      </c>
      <c r="C2149" s="1" t="s">
        <v>35</v>
      </c>
      <c r="D2149" s="1" t="s">
        <v>19</v>
      </c>
      <c r="E2149" s="1" t="s">
        <v>56</v>
      </c>
      <c r="F2149">
        <v>2006</v>
      </c>
      <c r="G2149">
        <v>10</v>
      </c>
      <c r="H2149" s="1" t="s">
        <v>21</v>
      </c>
      <c r="I2149">
        <v>35</v>
      </c>
      <c r="J2149">
        <v>4204</v>
      </c>
      <c r="K2149" s="1" t="s">
        <v>57</v>
      </c>
      <c r="L2149" s="1" t="s">
        <v>45</v>
      </c>
      <c r="M2149">
        <v>0.97199999999999998</v>
      </c>
      <c r="N2149">
        <v>34020.9</v>
      </c>
      <c r="O2149">
        <v>34.021000000000001</v>
      </c>
      <c r="P2149" s="2">
        <v>42705</v>
      </c>
      <c r="Q2149">
        <v>1</v>
      </c>
      <c r="R2149" s="1" t="s">
        <v>40</v>
      </c>
    </row>
    <row r="2150" spans="1:18" x14ac:dyDescent="0.25">
      <c r="A2150">
        <v>2016</v>
      </c>
      <c r="B2150">
        <v>1</v>
      </c>
      <c r="C2150" s="1" t="s">
        <v>18</v>
      </c>
      <c r="D2150" s="1" t="s">
        <v>19</v>
      </c>
      <c r="E2150" s="1" t="s">
        <v>58</v>
      </c>
      <c r="F2150">
        <v>2012</v>
      </c>
      <c r="G2150">
        <v>4</v>
      </c>
      <c r="H2150" s="1" t="s">
        <v>123</v>
      </c>
      <c r="I2150">
        <v>10</v>
      </c>
      <c r="J2150">
        <v>1434</v>
      </c>
      <c r="K2150" s="1" t="s">
        <v>60</v>
      </c>
      <c r="L2150" s="1" t="s">
        <v>45</v>
      </c>
      <c r="M2150">
        <v>0.47499999999999998</v>
      </c>
      <c r="N2150">
        <v>4746.3999999999996</v>
      </c>
      <c r="O2150">
        <v>4.7460000000000004</v>
      </c>
      <c r="P2150" s="2">
        <v>42370</v>
      </c>
      <c r="Q2150">
        <v>1</v>
      </c>
      <c r="R2150" s="1" t="s">
        <v>122</v>
      </c>
    </row>
    <row r="2151" spans="1:18" x14ac:dyDescent="0.25">
      <c r="A2151">
        <v>2016</v>
      </c>
      <c r="B2151">
        <v>2</v>
      </c>
      <c r="C2151" s="1" t="s">
        <v>25</v>
      </c>
      <c r="D2151" s="1" t="s">
        <v>19</v>
      </c>
      <c r="E2151" s="1" t="s">
        <v>58</v>
      </c>
      <c r="F2151">
        <v>2012</v>
      </c>
      <c r="G2151">
        <v>4</v>
      </c>
      <c r="H2151" s="1" t="s">
        <v>123</v>
      </c>
      <c r="I2151">
        <v>10</v>
      </c>
      <c r="J2151">
        <v>1434</v>
      </c>
      <c r="K2151" s="1" t="s">
        <v>60</v>
      </c>
      <c r="L2151" s="1" t="s">
        <v>45</v>
      </c>
      <c r="M2151">
        <v>0.48499999999999999</v>
      </c>
      <c r="N2151">
        <v>4848.3999999999996</v>
      </c>
      <c r="O2151">
        <v>4.8479999999999999</v>
      </c>
      <c r="P2151" s="2">
        <v>42401</v>
      </c>
      <c r="Q2151">
        <v>1</v>
      </c>
      <c r="R2151" s="1" t="s">
        <v>122</v>
      </c>
    </row>
    <row r="2152" spans="1:18" x14ac:dyDescent="0.25">
      <c r="A2152">
        <v>2016</v>
      </c>
      <c r="B2152">
        <v>3</v>
      </c>
      <c r="C2152" s="1" t="s">
        <v>26</v>
      </c>
      <c r="D2152" s="1" t="s">
        <v>19</v>
      </c>
      <c r="E2152" s="1" t="s">
        <v>58</v>
      </c>
      <c r="F2152">
        <v>2012</v>
      </c>
      <c r="G2152">
        <v>4</v>
      </c>
      <c r="H2152" s="1" t="s">
        <v>123</v>
      </c>
      <c r="I2152">
        <v>10</v>
      </c>
      <c r="J2152">
        <v>1434</v>
      </c>
      <c r="K2152" s="1" t="s">
        <v>60</v>
      </c>
      <c r="L2152" s="1" t="s">
        <v>45</v>
      </c>
      <c r="M2152">
        <v>0.59499999999999997</v>
      </c>
      <c r="N2152">
        <v>5950</v>
      </c>
      <c r="O2152">
        <v>5.95</v>
      </c>
      <c r="P2152" s="2">
        <v>42430</v>
      </c>
      <c r="Q2152">
        <v>1</v>
      </c>
      <c r="R2152" s="1" t="s">
        <v>122</v>
      </c>
    </row>
    <row r="2153" spans="1:18" x14ac:dyDescent="0.25">
      <c r="A2153">
        <v>2016</v>
      </c>
      <c r="B2153">
        <v>4</v>
      </c>
      <c r="C2153" s="1" t="s">
        <v>27</v>
      </c>
      <c r="D2153" s="1" t="s">
        <v>19</v>
      </c>
      <c r="E2153" s="1" t="s">
        <v>58</v>
      </c>
      <c r="F2153">
        <v>2012</v>
      </c>
      <c r="G2153">
        <v>4</v>
      </c>
      <c r="H2153" s="1" t="s">
        <v>123</v>
      </c>
      <c r="I2153">
        <v>10</v>
      </c>
      <c r="J2153">
        <v>1434</v>
      </c>
      <c r="K2153" s="1" t="s">
        <v>60</v>
      </c>
      <c r="L2153" s="1" t="s">
        <v>45</v>
      </c>
      <c r="M2153">
        <v>0.35299999999999998</v>
      </c>
      <c r="N2153">
        <v>3529.2</v>
      </c>
      <c r="O2153">
        <v>3.5289999999999999</v>
      </c>
      <c r="P2153" s="2">
        <v>42461</v>
      </c>
      <c r="Q2153">
        <v>1</v>
      </c>
      <c r="R2153" s="1" t="s">
        <v>122</v>
      </c>
    </row>
    <row r="2154" spans="1:18" x14ac:dyDescent="0.25">
      <c r="A2154">
        <v>2016</v>
      </c>
      <c r="B2154">
        <v>5</v>
      </c>
      <c r="C2154" s="1" t="s">
        <v>28</v>
      </c>
      <c r="D2154" s="1" t="s">
        <v>19</v>
      </c>
      <c r="E2154" s="1" t="s">
        <v>58</v>
      </c>
      <c r="F2154">
        <v>2012</v>
      </c>
      <c r="G2154">
        <v>4</v>
      </c>
      <c r="H2154" s="1" t="s">
        <v>123</v>
      </c>
      <c r="I2154">
        <v>10</v>
      </c>
      <c r="J2154">
        <v>1434</v>
      </c>
      <c r="K2154" s="1" t="s">
        <v>60</v>
      </c>
      <c r="L2154" s="1" t="s">
        <v>45</v>
      </c>
      <c r="M2154">
        <v>0.81499999999999995</v>
      </c>
      <c r="N2154">
        <v>8153.2</v>
      </c>
      <c r="O2154">
        <v>8.1530000000000005</v>
      </c>
      <c r="P2154" s="2">
        <v>42491</v>
      </c>
      <c r="Q2154">
        <v>1</v>
      </c>
      <c r="R2154" s="1" t="s">
        <v>122</v>
      </c>
    </row>
    <row r="2155" spans="1:18" x14ac:dyDescent="0.25">
      <c r="A2155">
        <v>2016</v>
      </c>
      <c r="B2155">
        <v>6</v>
      </c>
      <c r="C2155" s="1" t="s">
        <v>29</v>
      </c>
      <c r="D2155" s="1" t="s">
        <v>19</v>
      </c>
      <c r="E2155" s="1" t="s">
        <v>58</v>
      </c>
      <c r="F2155">
        <v>2012</v>
      </c>
      <c r="G2155">
        <v>4</v>
      </c>
      <c r="H2155" s="1" t="s">
        <v>123</v>
      </c>
      <c r="I2155">
        <v>10</v>
      </c>
      <c r="J2155">
        <v>1434</v>
      </c>
      <c r="K2155" s="1" t="s">
        <v>60</v>
      </c>
      <c r="L2155" s="1" t="s">
        <v>45</v>
      </c>
      <c r="M2155">
        <v>0.85199999999999998</v>
      </c>
      <c r="N2155">
        <v>8520.4</v>
      </c>
      <c r="O2155">
        <v>8.52</v>
      </c>
      <c r="P2155" s="2">
        <v>42522</v>
      </c>
      <c r="Q2155">
        <v>1</v>
      </c>
      <c r="R2155" s="1" t="s">
        <v>122</v>
      </c>
    </row>
    <row r="2156" spans="1:18" x14ac:dyDescent="0.25">
      <c r="A2156">
        <v>2016</v>
      </c>
      <c r="B2156">
        <v>7</v>
      </c>
      <c r="C2156" s="1" t="s">
        <v>30</v>
      </c>
      <c r="D2156" s="1" t="s">
        <v>19</v>
      </c>
      <c r="E2156" s="1" t="s">
        <v>58</v>
      </c>
      <c r="F2156">
        <v>2012</v>
      </c>
      <c r="G2156">
        <v>4</v>
      </c>
      <c r="H2156" s="1" t="s">
        <v>123</v>
      </c>
      <c r="I2156">
        <v>10</v>
      </c>
      <c r="J2156">
        <v>1434</v>
      </c>
      <c r="K2156" s="1" t="s">
        <v>60</v>
      </c>
      <c r="L2156" s="1" t="s">
        <v>45</v>
      </c>
      <c r="M2156">
        <v>0.63300000000000001</v>
      </c>
      <c r="N2156">
        <v>6330.8</v>
      </c>
      <c r="O2156">
        <v>6.3310000000000004</v>
      </c>
      <c r="P2156" s="2">
        <v>42552</v>
      </c>
      <c r="Q2156">
        <v>1</v>
      </c>
      <c r="R2156" s="1" t="s">
        <v>122</v>
      </c>
    </row>
    <row r="2157" spans="1:18" x14ac:dyDescent="0.25">
      <c r="A2157">
        <v>2016</v>
      </c>
      <c r="B2157">
        <v>8</v>
      </c>
      <c r="C2157" s="1" t="s">
        <v>31</v>
      </c>
      <c r="D2157" s="1" t="s">
        <v>19</v>
      </c>
      <c r="E2157" s="1" t="s">
        <v>58</v>
      </c>
      <c r="F2157">
        <v>2012</v>
      </c>
      <c r="G2157">
        <v>4</v>
      </c>
      <c r="H2157" s="1" t="s">
        <v>123</v>
      </c>
      <c r="I2157">
        <v>10</v>
      </c>
      <c r="J2157">
        <v>1434</v>
      </c>
      <c r="K2157" s="1" t="s">
        <v>60</v>
      </c>
      <c r="L2157" s="1" t="s">
        <v>45</v>
      </c>
      <c r="M2157">
        <v>0.58299999999999996</v>
      </c>
      <c r="N2157">
        <v>5827.6</v>
      </c>
      <c r="O2157">
        <v>5.8280000000000003</v>
      </c>
      <c r="P2157" s="2">
        <v>42583</v>
      </c>
      <c r="Q2157">
        <v>1</v>
      </c>
      <c r="R2157" s="1" t="s">
        <v>122</v>
      </c>
    </row>
    <row r="2158" spans="1:18" x14ac:dyDescent="0.25">
      <c r="A2158">
        <v>2016</v>
      </c>
      <c r="B2158">
        <v>9</v>
      </c>
      <c r="C2158" s="1" t="s">
        <v>32</v>
      </c>
      <c r="D2158" s="1" t="s">
        <v>19</v>
      </c>
      <c r="E2158" s="1" t="s">
        <v>58</v>
      </c>
      <c r="F2158">
        <v>2012</v>
      </c>
      <c r="G2158">
        <v>4</v>
      </c>
      <c r="H2158" s="1" t="s">
        <v>123</v>
      </c>
      <c r="I2158">
        <v>10</v>
      </c>
      <c r="J2158">
        <v>1434</v>
      </c>
      <c r="K2158" s="1" t="s">
        <v>60</v>
      </c>
      <c r="L2158" s="1" t="s">
        <v>45</v>
      </c>
      <c r="M2158">
        <v>0.47099999999999997</v>
      </c>
      <c r="N2158">
        <v>4705.6000000000004</v>
      </c>
      <c r="O2158">
        <v>4.7060000000000004</v>
      </c>
      <c r="P2158" s="2">
        <v>42614</v>
      </c>
      <c r="Q2158">
        <v>1</v>
      </c>
      <c r="R2158" s="1" t="s">
        <v>122</v>
      </c>
    </row>
    <row r="2159" spans="1:18" x14ac:dyDescent="0.25">
      <c r="A2159">
        <v>2016</v>
      </c>
      <c r="B2159">
        <v>10</v>
      </c>
      <c r="C2159" s="1" t="s">
        <v>33</v>
      </c>
      <c r="D2159" s="1" t="s">
        <v>19</v>
      </c>
      <c r="E2159" s="1" t="s">
        <v>58</v>
      </c>
      <c r="F2159">
        <v>2012</v>
      </c>
      <c r="G2159">
        <v>4</v>
      </c>
      <c r="H2159" s="1" t="s">
        <v>123</v>
      </c>
      <c r="I2159">
        <v>10</v>
      </c>
      <c r="J2159">
        <v>1434</v>
      </c>
      <c r="K2159" s="1" t="s">
        <v>60</v>
      </c>
      <c r="L2159" s="1" t="s">
        <v>45</v>
      </c>
      <c r="M2159">
        <v>0.83</v>
      </c>
      <c r="N2159">
        <v>8296</v>
      </c>
      <c r="O2159">
        <v>8.2959999999999994</v>
      </c>
      <c r="P2159" s="2">
        <v>42644</v>
      </c>
      <c r="Q2159">
        <v>1</v>
      </c>
      <c r="R2159" s="1" t="s">
        <v>122</v>
      </c>
    </row>
    <row r="2160" spans="1:18" x14ac:dyDescent="0.25">
      <c r="A2160">
        <v>2016</v>
      </c>
      <c r="B2160">
        <v>11</v>
      </c>
      <c r="C2160" s="1" t="s">
        <v>34</v>
      </c>
      <c r="D2160" s="1" t="s">
        <v>19</v>
      </c>
      <c r="E2160" s="1" t="s">
        <v>58</v>
      </c>
      <c r="F2160">
        <v>2012</v>
      </c>
      <c r="G2160">
        <v>4</v>
      </c>
      <c r="H2160" s="1" t="s">
        <v>123</v>
      </c>
      <c r="I2160">
        <v>10</v>
      </c>
      <c r="J2160">
        <v>1434</v>
      </c>
      <c r="K2160" s="1" t="s">
        <v>60</v>
      </c>
      <c r="L2160" s="1" t="s">
        <v>45</v>
      </c>
      <c r="M2160">
        <v>0.748</v>
      </c>
      <c r="N2160">
        <v>7480</v>
      </c>
      <c r="O2160">
        <v>7.48</v>
      </c>
      <c r="P2160" s="2">
        <v>42675</v>
      </c>
      <c r="Q2160">
        <v>1</v>
      </c>
      <c r="R2160" s="1" t="s">
        <v>122</v>
      </c>
    </row>
    <row r="2161" spans="1:18" x14ac:dyDescent="0.25">
      <c r="A2161">
        <v>2016</v>
      </c>
      <c r="B2161">
        <v>12</v>
      </c>
      <c r="C2161" s="1" t="s">
        <v>35</v>
      </c>
      <c r="D2161" s="1" t="s">
        <v>19</v>
      </c>
      <c r="E2161" s="1" t="s">
        <v>58</v>
      </c>
      <c r="F2161">
        <v>2012</v>
      </c>
      <c r="G2161">
        <v>4</v>
      </c>
      <c r="H2161" s="1" t="s">
        <v>123</v>
      </c>
      <c r="I2161">
        <v>10</v>
      </c>
      <c r="J2161">
        <v>1434</v>
      </c>
      <c r="K2161" s="1" t="s">
        <v>60</v>
      </c>
      <c r="L2161" s="1" t="s">
        <v>45</v>
      </c>
      <c r="M2161">
        <v>0.73399999999999999</v>
      </c>
      <c r="N2161">
        <v>7337.2</v>
      </c>
      <c r="O2161">
        <v>7.3369999999999997</v>
      </c>
      <c r="P2161" s="2">
        <v>42705</v>
      </c>
      <c r="Q2161">
        <v>1</v>
      </c>
      <c r="R2161" s="1" t="s">
        <v>122</v>
      </c>
    </row>
    <row r="2162" spans="1:18" x14ac:dyDescent="0.25">
      <c r="A2162">
        <v>2016</v>
      </c>
      <c r="B2162">
        <v>1</v>
      </c>
      <c r="C2162" s="1" t="s">
        <v>18</v>
      </c>
      <c r="D2162" s="1" t="s">
        <v>19</v>
      </c>
      <c r="E2162" s="1" t="s">
        <v>62</v>
      </c>
      <c r="F2162">
        <v>2012</v>
      </c>
      <c r="G2162">
        <v>4</v>
      </c>
      <c r="H2162" s="1" t="s">
        <v>123</v>
      </c>
      <c r="I2162">
        <v>24</v>
      </c>
      <c r="J2162">
        <v>3074</v>
      </c>
      <c r="K2162" s="1" t="s">
        <v>63</v>
      </c>
      <c r="L2162" s="1" t="s">
        <v>64</v>
      </c>
      <c r="M2162">
        <v>0.47499999999999998</v>
      </c>
      <c r="N2162">
        <v>11391.4</v>
      </c>
      <c r="O2162">
        <v>11.391</v>
      </c>
      <c r="P2162" s="2">
        <v>42370</v>
      </c>
      <c r="Q2162">
        <v>1</v>
      </c>
      <c r="R2162" s="1" t="s">
        <v>122</v>
      </c>
    </row>
    <row r="2163" spans="1:18" x14ac:dyDescent="0.25">
      <c r="A2163">
        <v>2016</v>
      </c>
      <c r="B2163">
        <v>2</v>
      </c>
      <c r="C2163" s="1" t="s">
        <v>25</v>
      </c>
      <c r="D2163" s="1" t="s">
        <v>19</v>
      </c>
      <c r="E2163" s="1" t="s">
        <v>62</v>
      </c>
      <c r="F2163">
        <v>2012</v>
      </c>
      <c r="G2163">
        <v>4</v>
      </c>
      <c r="H2163" s="1" t="s">
        <v>123</v>
      </c>
      <c r="I2163">
        <v>24</v>
      </c>
      <c r="J2163">
        <v>3074</v>
      </c>
      <c r="K2163" s="1" t="s">
        <v>63</v>
      </c>
      <c r="L2163" s="1" t="s">
        <v>64</v>
      </c>
      <c r="M2163">
        <v>0.48499999999999999</v>
      </c>
      <c r="N2163">
        <v>11636.2</v>
      </c>
      <c r="O2163">
        <v>11.635999999999999</v>
      </c>
      <c r="P2163" s="2">
        <v>42401</v>
      </c>
      <c r="Q2163">
        <v>1</v>
      </c>
      <c r="R2163" s="1" t="s">
        <v>122</v>
      </c>
    </row>
    <row r="2164" spans="1:18" x14ac:dyDescent="0.25">
      <c r="A2164">
        <v>2016</v>
      </c>
      <c r="B2164">
        <v>3</v>
      </c>
      <c r="C2164" s="1" t="s">
        <v>26</v>
      </c>
      <c r="D2164" s="1" t="s">
        <v>19</v>
      </c>
      <c r="E2164" s="1" t="s">
        <v>62</v>
      </c>
      <c r="F2164">
        <v>2012</v>
      </c>
      <c r="G2164">
        <v>4</v>
      </c>
      <c r="H2164" s="1" t="s">
        <v>123</v>
      </c>
      <c r="I2164">
        <v>24</v>
      </c>
      <c r="J2164">
        <v>3074</v>
      </c>
      <c r="K2164" s="1" t="s">
        <v>63</v>
      </c>
      <c r="L2164" s="1" t="s">
        <v>64</v>
      </c>
      <c r="M2164">
        <v>0.59499999999999997</v>
      </c>
      <c r="N2164">
        <v>14280</v>
      </c>
      <c r="O2164">
        <v>14.28</v>
      </c>
      <c r="P2164" s="2">
        <v>42430</v>
      </c>
      <c r="Q2164">
        <v>1</v>
      </c>
      <c r="R2164" s="1" t="s">
        <v>122</v>
      </c>
    </row>
    <row r="2165" spans="1:18" x14ac:dyDescent="0.25">
      <c r="A2165">
        <v>2016</v>
      </c>
      <c r="B2165">
        <v>4</v>
      </c>
      <c r="C2165" s="1" t="s">
        <v>27</v>
      </c>
      <c r="D2165" s="1" t="s">
        <v>19</v>
      </c>
      <c r="E2165" s="1" t="s">
        <v>62</v>
      </c>
      <c r="F2165">
        <v>2012</v>
      </c>
      <c r="G2165">
        <v>4</v>
      </c>
      <c r="H2165" s="1" t="s">
        <v>123</v>
      </c>
      <c r="I2165">
        <v>24</v>
      </c>
      <c r="J2165">
        <v>3074</v>
      </c>
      <c r="K2165" s="1" t="s">
        <v>63</v>
      </c>
      <c r="L2165" s="1" t="s">
        <v>64</v>
      </c>
      <c r="M2165">
        <v>0.35299999999999998</v>
      </c>
      <c r="N2165">
        <v>8470.1</v>
      </c>
      <c r="O2165">
        <v>8.4700000000000006</v>
      </c>
      <c r="P2165" s="2">
        <v>42461</v>
      </c>
      <c r="Q2165">
        <v>1</v>
      </c>
      <c r="R2165" s="1" t="s">
        <v>122</v>
      </c>
    </row>
    <row r="2166" spans="1:18" x14ac:dyDescent="0.25">
      <c r="A2166">
        <v>2016</v>
      </c>
      <c r="B2166">
        <v>5</v>
      </c>
      <c r="C2166" s="1" t="s">
        <v>28</v>
      </c>
      <c r="D2166" s="1" t="s">
        <v>19</v>
      </c>
      <c r="E2166" s="1" t="s">
        <v>62</v>
      </c>
      <c r="F2166">
        <v>2012</v>
      </c>
      <c r="G2166">
        <v>4</v>
      </c>
      <c r="H2166" s="1" t="s">
        <v>123</v>
      </c>
      <c r="I2166">
        <v>24</v>
      </c>
      <c r="J2166">
        <v>3074</v>
      </c>
      <c r="K2166" s="1" t="s">
        <v>63</v>
      </c>
      <c r="L2166" s="1" t="s">
        <v>64</v>
      </c>
      <c r="M2166">
        <v>0.81499999999999995</v>
      </c>
      <c r="N2166">
        <v>19567.7</v>
      </c>
      <c r="O2166">
        <v>19.568000000000001</v>
      </c>
      <c r="P2166" s="2">
        <v>42491</v>
      </c>
      <c r="Q2166">
        <v>1</v>
      </c>
      <c r="R2166" s="1" t="s">
        <v>122</v>
      </c>
    </row>
    <row r="2167" spans="1:18" x14ac:dyDescent="0.25">
      <c r="A2167">
        <v>2016</v>
      </c>
      <c r="B2167">
        <v>6</v>
      </c>
      <c r="C2167" s="1" t="s">
        <v>29</v>
      </c>
      <c r="D2167" s="1" t="s">
        <v>19</v>
      </c>
      <c r="E2167" s="1" t="s">
        <v>62</v>
      </c>
      <c r="F2167">
        <v>2012</v>
      </c>
      <c r="G2167">
        <v>4</v>
      </c>
      <c r="H2167" s="1" t="s">
        <v>123</v>
      </c>
      <c r="I2167">
        <v>24</v>
      </c>
      <c r="J2167">
        <v>3074</v>
      </c>
      <c r="K2167" s="1" t="s">
        <v>63</v>
      </c>
      <c r="L2167" s="1" t="s">
        <v>64</v>
      </c>
      <c r="M2167">
        <v>0.85199999999999998</v>
      </c>
      <c r="N2167">
        <v>20449</v>
      </c>
      <c r="O2167">
        <v>20.449000000000002</v>
      </c>
      <c r="P2167" s="2">
        <v>42522</v>
      </c>
      <c r="Q2167">
        <v>1</v>
      </c>
      <c r="R2167" s="1" t="s">
        <v>122</v>
      </c>
    </row>
    <row r="2168" spans="1:18" x14ac:dyDescent="0.25">
      <c r="A2168">
        <v>2016</v>
      </c>
      <c r="B2168">
        <v>7</v>
      </c>
      <c r="C2168" s="1" t="s">
        <v>30</v>
      </c>
      <c r="D2168" s="1" t="s">
        <v>19</v>
      </c>
      <c r="E2168" s="1" t="s">
        <v>62</v>
      </c>
      <c r="F2168">
        <v>2012</v>
      </c>
      <c r="G2168">
        <v>4</v>
      </c>
      <c r="H2168" s="1" t="s">
        <v>123</v>
      </c>
      <c r="I2168">
        <v>24</v>
      </c>
      <c r="J2168">
        <v>3074</v>
      </c>
      <c r="K2168" s="1" t="s">
        <v>63</v>
      </c>
      <c r="L2168" s="1" t="s">
        <v>64</v>
      </c>
      <c r="M2168">
        <v>0.63300000000000001</v>
      </c>
      <c r="N2168">
        <v>15193.9</v>
      </c>
      <c r="O2168">
        <v>15.194000000000001</v>
      </c>
      <c r="P2168" s="2">
        <v>42552</v>
      </c>
      <c r="Q2168">
        <v>1</v>
      </c>
      <c r="R2168" s="1" t="s">
        <v>122</v>
      </c>
    </row>
    <row r="2169" spans="1:18" x14ac:dyDescent="0.25">
      <c r="A2169">
        <v>2016</v>
      </c>
      <c r="B2169">
        <v>8</v>
      </c>
      <c r="C2169" s="1" t="s">
        <v>31</v>
      </c>
      <c r="D2169" s="1" t="s">
        <v>19</v>
      </c>
      <c r="E2169" s="1" t="s">
        <v>62</v>
      </c>
      <c r="F2169">
        <v>2012</v>
      </c>
      <c r="G2169">
        <v>4</v>
      </c>
      <c r="H2169" s="1" t="s">
        <v>123</v>
      </c>
      <c r="I2169">
        <v>24</v>
      </c>
      <c r="J2169">
        <v>3074</v>
      </c>
      <c r="K2169" s="1" t="s">
        <v>63</v>
      </c>
      <c r="L2169" s="1" t="s">
        <v>64</v>
      </c>
      <c r="M2169">
        <v>0.58299999999999996</v>
      </c>
      <c r="N2169">
        <v>13986.2</v>
      </c>
      <c r="O2169">
        <v>13.986000000000001</v>
      </c>
      <c r="P2169" s="2">
        <v>42583</v>
      </c>
      <c r="Q2169">
        <v>1</v>
      </c>
      <c r="R2169" s="1" t="s">
        <v>122</v>
      </c>
    </row>
    <row r="2170" spans="1:18" x14ac:dyDescent="0.25">
      <c r="A2170">
        <v>2016</v>
      </c>
      <c r="B2170">
        <v>9</v>
      </c>
      <c r="C2170" s="1" t="s">
        <v>32</v>
      </c>
      <c r="D2170" s="1" t="s">
        <v>19</v>
      </c>
      <c r="E2170" s="1" t="s">
        <v>62</v>
      </c>
      <c r="F2170">
        <v>2012</v>
      </c>
      <c r="G2170">
        <v>4</v>
      </c>
      <c r="H2170" s="1" t="s">
        <v>123</v>
      </c>
      <c r="I2170">
        <v>24</v>
      </c>
      <c r="J2170">
        <v>3074</v>
      </c>
      <c r="K2170" s="1" t="s">
        <v>63</v>
      </c>
      <c r="L2170" s="1" t="s">
        <v>64</v>
      </c>
      <c r="M2170">
        <v>0.47099999999999997</v>
      </c>
      <c r="N2170">
        <v>11293.4</v>
      </c>
      <c r="O2170">
        <v>11.292999999999999</v>
      </c>
      <c r="P2170" s="2">
        <v>42614</v>
      </c>
      <c r="Q2170">
        <v>1</v>
      </c>
      <c r="R2170" s="1" t="s">
        <v>122</v>
      </c>
    </row>
    <row r="2171" spans="1:18" x14ac:dyDescent="0.25">
      <c r="A2171">
        <v>2016</v>
      </c>
      <c r="B2171">
        <v>10</v>
      </c>
      <c r="C2171" s="1" t="s">
        <v>33</v>
      </c>
      <c r="D2171" s="1" t="s">
        <v>19</v>
      </c>
      <c r="E2171" s="1" t="s">
        <v>62</v>
      </c>
      <c r="F2171">
        <v>2012</v>
      </c>
      <c r="G2171">
        <v>4</v>
      </c>
      <c r="H2171" s="1" t="s">
        <v>123</v>
      </c>
      <c r="I2171">
        <v>24</v>
      </c>
      <c r="J2171">
        <v>3074</v>
      </c>
      <c r="K2171" s="1" t="s">
        <v>63</v>
      </c>
      <c r="L2171" s="1" t="s">
        <v>64</v>
      </c>
      <c r="M2171">
        <v>0.83</v>
      </c>
      <c r="N2171">
        <v>19910.400000000001</v>
      </c>
      <c r="O2171">
        <v>19.91</v>
      </c>
      <c r="P2171" s="2">
        <v>42644</v>
      </c>
      <c r="Q2171">
        <v>1</v>
      </c>
      <c r="R2171" s="1" t="s">
        <v>122</v>
      </c>
    </row>
    <row r="2172" spans="1:18" x14ac:dyDescent="0.25">
      <c r="A2172">
        <v>2016</v>
      </c>
      <c r="B2172">
        <v>11</v>
      </c>
      <c r="C2172" s="1" t="s">
        <v>34</v>
      </c>
      <c r="D2172" s="1" t="s">
        <v>19</v>
      </c>
      <c r="E2172" s="1" t="s">
        <v>62</v>
      </c>
      <c r="F2172">
        <v>2012</v>
      </c>
      <c r="G2172">
        <v>4</v>
      </c>
      <c r="H2172" s="1" t="s">
        <v>123</v>
      </c>
      <c r="I2172">
        <v>24</v>
      </c>
      <c r="J2172">
        <v>3074</v>
      </c>
      <c r="K2172" s="1" t="s">
        <v>63</v>
      </c>
      <c r="L2172" s="1" t="s">
        <v>64</v>
      </c>
      <c r="M2172">
        <v>0.748</v>
      </c>
      <c r="N2172">
        <v>17952</v>
      </c>
      <c r="O2172">
        <v>17.952000000000002</v>
      </c>
      <c r="P2172" s="2">
        <v>42675</v>
      </c>
      <c r="Q2172">
        <v>1</v>
      </c>
      <c r="R2172" s="1" t="s">
        <v>122</v>
      </c>
    </row>
    <row r="2173" spans="1:18" x14ac:dyDescent="0.25">
      <c r="A2173">
        <v>2016</v>
      </c>
      <c r="B2173">
        <v>12</v>
      </c>
      <c r="C2173" s="1" t="s">
        <v>35</v>
      </c>
      <c r="D2173" s="1" t="s">
        <v>19</v>
      </c>
      <c r="E2173" s="1" t="s">
        <v>62</v>
      </c>
      <c r="F2173">
        <v>2012</v>
      </c>
      <c r="G2173">
        <v>4</v>
      </c>
      <c r="H2173" s="1" t="s">
        <v>123</v>
      </c>
      <c r="I2173">
        <v>24</v>
      </c>
      <c r="J2173">
        <v>3074</v>
      </c>
      <c r="K2173" s="1" t="s">
        <v>63</v>
      </c>
      <c r="L2173" s="1" t="s">
        <v>64</v>
      </c>
      <c r="M2173">
        <v>0.73399999999999999</v>
      </c>
      <c r="N2173">
        <v>17609.3</v>
      </c>
      <c r="O2173">
        <v>17.609000000000002</v>
      </c>
      <c r="P2173" s="2">
        <v>42705</v>
      </c>
      <c r="Q2173">
        <v>1</v>
      </c>
      <c r="R2173" s="1" t="s">
        <v>122</v>
      </c>
    </row>
    <row r="2174" spans="1:18" x14ac:dyDescent="0.25">
      <c r="A2174">
        <v>2016</v>
      </c>
      <c r="B2174">
        <v>1</v>
      </c>
      <c r="C2174" s="1" t="s">
        <v>18</v>
      </c>
      <c r="D2174" s="1" t="s">
        <v>19</v>
      </c>
      <c r="E2174" s="1" t="s">
        <v>65</v>
      </c>
      <c r="F2174">
        <v>2012</v>
      </c>
      <c r="G2174">
        <v>4</v>
      </c>
      <c r="H2174" s="1" t="s">
        <v>123</v>
      </c>
      <c r="I2174">
        <v>19</v>
      </c>
      <c r="J2174">
        <v>2418</v>
      </c>
      <c r="K2174" s="1" t="s">
        <v>66</v>
      </c>
      <c r="L2174" s="1" t="s">
        <v>64</v>
      </c>
      <c r="M2174">
        <v>0.47499999999999998</v>
      </c>
      <c r="N2174">
        <v>9018.2000000000007</v>
      </c>
      <c r="O2174">
        <v>9.0180000000000007</v>
      </c>
      <c r="P2174" s="2">
        <v>42370</v>
      </c>
      <c r="Q2174">
        <v>1</v>
      </c>
      <c r="R2174" s="1" t="s">
        <v>122</v>
      </c>
    </row>
    <row r="2175" spans="1:18" x14ac:dyDescent="0.25">
      <c r="A2175">
        <v>2016</v>
      </c>
      <c r="B2175">
        <v>2</v>
      </c>
      <c r="C2175" s="1" t="s">
        <v>25</v>
      </c>
      <c r="D2175" s="1" t="s">
        <v>19</v>
      </c>
      <c r="E2175" s="1" t="s">
        <v>65</v>
      </c>
      <c r="F2175">
        <v>2012</v>
      </c>
      <c r="G2175">
        <v>4</v>
      </c>
      <c r="H2175" s="1" t="s">
        <v>123</v>
      </c>
      <c r="I2175">
        <v>19</v>
      </c>
      <c r="J2175">
        <v>2418</v>
      </c>
      <c r="K2175" s="1" t="s">
        <v>66</v>
      </c>
      <c r="L2175" s="1" t="s">
        <v>64</v>
      </c>
      <c r="M2175">
        <v>0.48499999999999999</v>
      </c>
      <c r="N2175">
        <v>9212</v>
      </c>
      <c r="O2175">
        <v>9.2119999999999997</v>
      </c>
      <c r="P2175" s="2">
        <v>42401</v>
      </c>
      <c r="Q2175">
        <v>1</v>
      </c>
      <c r="R2175" s="1" t="s">
        <v>122</v>
      </c>
    </row>
    <row r="2176" spans="1:18" x14ac:dyDescent="0.25">
      <c r="A2176">
        <v>2016</v>
      </c>
      <c r="B2176">
        <v>3</v>
      </c>
      <c r="C2176" s="1" t="s">
        <v>26</v>
      </c>
      <c r="D2176" s="1" t="s">
        <v>19</v>
      </c>
      <c r="E2176" s="1" t="s">
        <v>65</v>
      </c>
      <c r="F2176">
        <v>2012</v>
      </c>
      <c r="G2176">
        <v>4</v>
      </c>
      <c r="H2176" s="1" t="s">
        <v>123</v>
      </c>
      <c r="I2176">
        <v>19</v>
      </c>
      <c r="J2176">
        <v>2418</v>
      </c>
      <c r="K2176" s="1" t="s">
        <v>66</v>
      </c>
      <c r="L2176" s="1" t="s">
        <v>64</v>
      </c>
      <c r="M2176">
        <v>0.59499999999999997</v>
      </c>
      <c r="N2176">
        <v>11305</v>
      </c>
      <c r="O2176">
        <v>11.305</v>
      </c>
      <c r="P2176" s="2">
        <v>42430</v>
      </c>
      <c r="Q2176">
        <v>1</v>
      </c>
      <c r="R2176" s="1" t="s">
        <v>122</v>
      </c>
    </row>
    <row r="2177" spans="1:18" x14ac:dyDescent="0.25">
      <c r="A2177">
        <v>2016</v>
      </c>
      <c r="B2177">
        <v>4</v>
      </c>
      <c r="C2177" s="1" t="s">
        <v>27</v>
      </c>
      <c r="D2177" s="1" t="s">
        <v>19</v>
      </c>
      <c r="E2177" s="1" t="s">
        <v>65</v>
      </c>
      <c r="F2177">
        <v>2012</v>
      </c>
      <c r="G2177">
        <v>4</v>
      </c>
      <c r="H2177" s="1" t="s">
        <v>123</v>
      </c>
      <c r="I2177">
        <v>19</v>
      </c>
      <c r="J2177">
        <v>2418</v>
      </c>
      <c r="K2177" s="1" t="s">
        <v>66</v>
      </c>
      <c r="L2177" s="1" t="s">
        <v>64</v>
      </c>
      <c r="M2177">
        <v>0.35299999999999998</v>
      </c>
      <c r="N2177">
        <v>6705.5</v>
      </c>
      <c r="O2177">
        <v>6.7050000000000001</v>
      </c>
      <c r="P2177" s="2">
        <v>42461</v>
      </c>
      <c r="Q2177">
        <v>1</v>
      </c>
      <c r="R2177" s="1" t="s">
        <v>122</v>
      </c>
    </row>
    <row r="2178" spans="1:18" x14ac:dyDescent="0.25">
      <c r="A2178">
        <v>2016</v>
      </c>
      <c r="B2178">
        <v>5</v>
      </c>
      <c r="C2178" s="1" t="s">
        <v>28</v>
      </c>
      <c r="D2178" s="1" t="s">
        <v>19</v>
      </c>
      <c r="E2178" s="1" t="s">
        <v>65</v>
      </c>
      <c r="F2178">
        <v>2012</v>
      </c>
      <c r="G2178">
        <v>4</v>
      </c>
      <c r="H2178" s="1" t="s">
        <v>123</v>
      </c>
      <c r="I2178">
        <v>19</v>
      </c>
      <c r="J2178">
        <v>2418</v>
      </c>
      <c r="K2178" s="1" t="s">
        <v>66</v>
      </c>
      <c r="L2178" s="1" t="s">
        <v>64</v>
      </c>
      <c r="M2178">
        <v>0.81499999999999995</v>
      </c>
      <c r="N2178">
        <v>15491.1</v>
      </c>
      <c r="O2178">
        <v>15.491</v>
      </c>
      <c r="P2178" s="2">
        <v>42491</v>
      </c>
      <c r="Q2178">
        <v>1</v>
      </c>
      <c r="R2178" s="1" t="s">
        <v>122</v>
      </c>
    </row>
    <row r="2179" spans="1:18" x14ac:dyDescent="0.25">
      <c r="A2179">
        <v>2016</v>
      </c>
      <c r="B2179">
        <v>6</v>
      </c>
      <c r="C2179" s="1" t="s">
        <v>29</v>
      </c>
      <c r="D2179" s="1" t="s">
        <v>19</v>
      </c>
      <c r="E2179" s="1" t="s">
        <v>65</v>
      </c>
      <c r="F2179">
        <v>2012</v>
      </c>
      <c r="G2179">
        <v>4</v>
      </c>
      <c r="H2179" s="1" t="s">
        <v>123</v>
      </c>
      <c r="I2179">
        <v>19</v>
      </c>
      <c r="J2179">
        <v>2418</v>
      </c>
      <c r="K2179" s="1" t="s">
        <v>66</v>
      </c>
      <c r="L2179" s="1" t="s">
        <v>64</v>
      </c>
      <c r="M2179">
        <v>0.85199999999999998</v>
      </c>
      <c r="N2179">
        <v>16188.8</v>
      </c>
      <c r="O2179">
        <v>16.189</v>
      </c>
      <c r="P2179" s="2">
        <v>42522</v>
      </c>
      <c r="Q2179">
        <v>1</v>
      </c>
      <c r="R2179" s="1" t="s">
        <v>122</v>
      </c>
    </row>
    <row r="2180" spans="1:18" x14ac:dyDescent="0.25">
      <c r="A2180">
        <v>2016</v>
      </c>
      <c r="B2180">
        <v>7</v>
      </c>
      <c r="C2180" s="1" t="s">
        <v>30</v>
      </c>
      <c r="D2180" s="1" t="s">
        <v>19</v>
      </c>
      <c r="E2180" s="1" t="s">
        <v>65</v>
      </c>
      <c r="F2180">
        <v>2012</v>
      </c>
      <c r="G2180">
        <v>4</v>
      </c>
      <c r="H2180" s="1" t="s">
        <v>123</v>
      </c>
      <c r="I2180">
        <v>19</v>
      </c>
      <c r="J2180">
        <v>2418</v>
      </c>
      <c r="K2180" s="1" t="s">
        <v>66</v>
      </c>
      <c r="L2180" s="1" t="s">
        <v>64</v>
      </c>
      <c r="M2180">
        <v>0.63300000000000001</v>
      </c>
      <c r="N2180">
        <v>12028.5</v>
      </c>
      <c r="O2180">
        <v>12.029</v>
      </c>
      <c r="P2180" s="2">
        <v>42552</v>
      </c>
      <c r="Q2180">
        <v>1</v>
      </c>
      <c r="R2180" s="1" t="s">
        <v>122</v>
      </c>
    </row>
    <row r="2181" spans="1:18" x14ac:dyDescent="0.25">
      <c r="A2181">
        <v>2016</v>
      </c>
      <c r="B2181">
        <v>8</v>
      </c>
      <c r="C2181" s="1" t="s">
        <v>31</v>
      </c>
      <c r="D2181" s="1" t="s">
        <v>19</v>
      </c>
      <c r="E2181" s="1" t="s">
        <v>65</v>
      </c>
      <c r="F2181">
        <v>2012</v>
      </c>
      <c r="G2181">
        <v>4</v>
      </c>
      <c r="H2181" s="1" t="s">
        <v>123</v>
      </c>
      <c r="I2181">
        <v>19</v>
      </c>
      <c r="J2181">
        <v>2418</v>
      </c>
      <c r="K2181" s="1" t="s">
        <v>66</v>
      </c>
      <c r="L2181" s="1" t="s">
        <v>64</v>
      </c>
      <c r="M2181">
        <v>0.58299999999999996</v>
      </c>
      <c r="N2181">
        <v>11072.4</v>
      </c>
      <c r="O2181">
        <v>11.071999999999999</v>
      </c>
      <c r="P2181" s="2">
        <v>42583</v>
      </c>
      <c r="Q2181">
        <v>1</v>
      </c>
      <c r="R2181" s="1" t="s">
        <v>122</v>
      </c>
    </row>
    <row r="2182" spans="1:18" x14ac:dyDescent="0.25">
      <c r="A2182">
        <v>2016</v>
      </c>
      <c r="B2182">
        <v>9</v>
      </c>
      <c r="C2182" s="1" t="s">
        <v>32</v>
      </c>
      <c r="D2182" s="1" t="s">
        <v>19</v>
      </c>
      <c r="E2182" s="1" t="s">
        <v>65</v>
      </c>
      <c r="F2182">
        <v>2012</v>
      </c>
      <c r="G2182">
        <v>4</v>
      </c>
      <c r="H2182" s="1" t="s">
        <v>123</v>
      </c>
      <c r="I2182">
        <v>19</v>
      </c>
      <c r="J2182">
        <v>2418</v>
      </c>
      <c r="K2182" s="1" t="s">
        <v>66</v>
      </c>
      <c r="L2182" s="1" t="s">
        <v>64</v>
      </c>
      <c r="M2182">
        <v>0.47099999999999997</v>
      </c>
      <c r="N2182">
        <v>8940.6</v>
      </c>
      <c r="O2182">
        <v>8.9410000000000007</v>
      </c>
      <c r="P2182" s="2">
        <v>42614</v>
      </c>
      <c r="Q2182">
        <v>1</v>
      </c>
      <c r="R2182" s="1" t="s">
        <v>122</v>
      </c>
    </row>
    <row r="2183" spans="1:18" x14ac:dyDescent="0.25">
      <c r="A2183">
        <v>2016</v>
      </c>
      <c r="B2183">
        <v>10</v>
      </c>
      <c r="C2183" s="1" t="s">
        <v>33</v>
      </c>
      <c r="D2183" s="1" t="s">
        <v>19</v>
      </c>
      <c r="E2183" s="1" t="s">
        <v>65</v>
      </c>
      <c r="F2183">
        <v>2012</v>
      </c>
      <c r="G2183">
        <v>4</v>
      </c>
      <c r="H2183" s="1" t="s">
        <v>123</v>
      </c>
      <c r="I2183">
        <v>19</v>
      </c>
      <c r="J2183">
        <v>2418</v>
      </c>
      <c r="K2183" s="1" t="s">
        <v>66</v>
      </c>
      <c r="L2183" s="1" t="s">
        <v>64</v>
      </c>
      <c r="M2183">
        <v>0.83</v>
      </c>
      <c r="N2183">
        <v>15762.4</v>
      </c>
      <c r="O2183">
        <v>15.762</v>
      </c>
      <c r="P2183" s="2">
        <v>42644</v>
      </c>
      <c r="Q2183">
        <v>1</v>
      </c>
      <c r="R2183" s="1" t="s">
        <v>122</v>
      </c>
    </row>
    <row r="2184" spans="1:18" x14ac:dyDescent="0.25">
      <c r="A2184">
        <v>2016</v>
      </c>
      <c r="B2184">
        <v>11</v>
      </c>
      <c r="C2184" s="1" t="s">
        <v>34</v>
      </c>
      <c r="D2184" s="1" t="s">
        <v>19</v>
      </c>
      <c r="E2184" s="1" t="s">
        <v>65</v>
      </c>
      <c r="F2184">
        <v>2012</v>
      </c>
      <c r="G2184">
        <v>4</v>
      </c>
      <c r="H2184" s="1" t="s">
        <v>123</v>
      </c>
      <c r="I2184">
        <v>19</v>
      </c>
      <c r="J2184">
        <v>2418</v>
      </c>
      <c r="K2184" s="1" t="s">
        <v>66</v>
      </c>
      <c r="L2184" s="1" t="s">
        <v>64</v>
      </c>
      <c r="M2184">
        <v>0.748</v>
      </c>
      <c r="N2184">
        <v>14212</v>
      </c>
      <c r="O2184">
        <v>14.212</v>
      </c>
      <c r="P2184" s="2">
        <v>42675</v>
      </c>
      <c r="Q2184">
        <v>1</v>
      </c>
      <c r="R2184" s="1" t="s">
        <v>122</v>
      </c>
    </row>
    <row r="2185" spans="1:18" x14ac:dyDescent="0.25">
      <c r="A2185">
        <v>2016</v>
      </c>
      <c r="B2185">
        <v>12</v>
      </c>
      <c r="C2185" s="1" t="s">
        <v>35</v>
      </c>
      <c r="D2185" s="1" t="s">
        <v>19</v>
      </c>
      <c r="E2185" s="1" t="s">
        <v>65</v>
      </c>
      <c r="F2185">
        <v>2012</v>
      </c>
      <c r="G2185">
        <v>4</v>
      </c>
      <c r="H2185" s="1" t="s">
        <v>123</v>
      </c>
      <c r="I2185">
        <v>19</v>
      </c>
      <c r="J2185">
        <v>2418</v>
      </c>
      <c r="K2185" s="1" t="s">
        <v>66</v>
      </c>
      <c r="L2185" s="1" t="s">
        <v>64</v>
      </c>
      <c r="M2185">
        <v>0.73399999999999999</v>
      </c>
      <c r="N2185">
        <v>13940.7</v>
      </c>
      <c r="O2185">
        <v>13.941000000000001</v>
      </c>
      <c r="P2185" s="2">
        <v>42705</v>
      </c>
      <c r="Q2185">
        <v>1</v>
      </c>
      <c r="R2185" s="1" t="s">
        <v>122</v>
      </c>
    </row>
    <row r="2186" spans="1:18" x14ac:dyDescent="0.25">
      <c r="A2186">
        <v>2016</v>
      </c>
      <c r="B2186">
        <v>1</v>
      </c>
      <c r="C2186" s="1" t="s">
        <v>18</v>
      </c>
      <c r="D2186" s="1" t="s">
        <v>19</v>
      </c>
      <c r="E2186" s="1" t="s">
        <v>67</v>
      </c>
      <c r="F2186">
        <v>2012</v>
      </c>
      <c r="G2186">
        <v>4</v>
      </c>
      <c r="H2186" s="1" t="s">
        <v>123</v>
      </c>
      <c r="I2186">
        <v>25</v>
      </c>
      <c r="J2186">
        <v>3205</v>
      </c>
      <c r="K2186" s="1" t="s">
        <v>68</v>
      </c>
      <c r="L2186" s="1" t="s">
        <v>64</v>
      </c>
      <c r="M2186">
        <v>0.47499999999999998</v>
      </c>
      <c r="N2186">
        <v>11866</v>
      </c>
      <c r="O2186">
        <v>11.866</v>
      </c>
      <c r="P2186" s="2">
        <v>42370</v>
      </c>
      <c r="Q2186">
        <v>1</v>
      </c>
      <c r="R2186" s="1" t="s">
        <v>122</v>
      </c>
    </row>
    <row r="2187" spans="1:18" x14ac:dyDescent="0.25">
      <c r="A2187">
        <v>2016</v>
      </c>
      <c r="B2187">
        <v>2</v>
      </c>
      <c r="C2187" s="1" t="s">
        <v>25</v>
      </c>
      <c r="D2187" s="1" t="s">
        <v>19</v>
      </c>
      <c r="E2187" s="1" t="s">
        <v>67</v>
      </c>
      <c r="F2187">
        <v>2012</v>
      </c>
      <c r="G2187">
        <v>4</v>
      </c>
      <c r="H2187" s="1" t="s">
        <v>123</v>
      </c>
      <c r="I2187">
        <v>25</v>
      </c>
      <c r="J2187">
        <v>3205</v>
      </c>
      <c r="K2187" s="1" t="s">
        <v>68</v>
      </c>
      <c r="L2187" s="1" t="s">
        <v>64</v>
      </c>
      <c r="M2187">
        <v>0.48499999999999999</v>
      </c>
      <c r="N2187">
        <v>12121</v>
      </c>
      <c r="O2187">
        <v>12.121</v>
      </c>
      <c r="P2187" s="2">
        <v>42401</v>
      </c>
      <c r="Q2187">
        <v>1</v>
      </c>
      <c r="R2187" s="1" t="s">
        <v>122</v>
      </c>
    </row>
    <row r="2188" spans="1:18" x14ac:dyDescent="0.25">
      <c r="A2188">
        <v>2016</v>
      </c>
      <c r="B2188">
        <v>3</v>
      </c>
      <c r="C2188" s="1" t="s">
        <v>26</v>
      </c>
      <c r="D2188" s="1" t="s">
        <v>19</v>
      </c>
      <c r="E2188" s="1" t="s">
        <v>67</v>
      </c>
      <c r="F2188">
        <v>2012</v>
      </c>
      <c r="G2188">
        <v>4</v>
      </c>
      <c r="H2188" s="1" t="s">
        <v>123</v>
      </c>
      <c r="I2188">
        <v>25</v>
      </c>
      <c r="J2188">
        <v>3205</v>
      </c>
      <c r="K2188" s="1" t="s">
        <v>68</v>
      </c>
      <c r="L2188" s="1" t="s">
        <v>64</v>
      </c>
      <c r="M2188">
        <v>0.59499999999999997</v>
      </c>
      <c r="N2188">
        <v>14875</v>
      </c>
      <c r="O2188">
        <v>14.875</v>
      </c>
      <c r="P2188" s="2">
        <v>42430</v>
      </c>
      <c r="Q2188">
        <v>1</v>
      </c>
      <c r="R2188" s="1" t="s">
        <v>122</v>
      </c>
    </row>
    <row r="2189" spans="1:18" x14ac:dyDescent="0.25">
      <c r="A2189">
        <v>2016</v>
      </c>
      <c r="B2189">
        <v>4</v>
      </c>
      <c r="C2189" s="1" t="s">
        <v>27</v>
      </c>
      <c r="D2189" s="1" t="s">
        <v>19</v>
      </c>
      <c r="E2189" s="1" t="s">
        <v>67</v>
      </c>
      <c r="F2189">
        <v>2012</v>
      </c>
      <c r="G2189">
        <v>4</v>
      </c>
      <c r="H2189" s="1" t="s">
        <v>123</v>
      </c>
      <c r="I2189">
        <v>25</v>
      </c>
      <c r="J2189">
        <v>3205</v>
      </c>
      <c r="K2189" s="1" t="s">
        <v>68</v>
      </c>
      <c r="L2189" s="1" t="s">
        <v>64</v>
      </c>
      <c r="M2189">
        <v>0.35299999999999998</v>
      </c>
      <c r="N2189">
        <v>8823</v>
      </c>
      <c r="O2189">
        <v>8.8230000000000004</v>
      </c>
      <c r="P2189" s="2">
        <v>42461</v>
      </c>
      <c r="Q2189">
        <v>1</v>
      </c>
      <c r="R2189" s="1" t="s">
        <v>122</v>
      </c>
    </row>
    <row r="2190" spans="1:18" x14ac:dyDescent="0.25">
      <c r="A2190">
        <v>2016</v>
      </c>
      <c r="B2190">
        <v>5</v>
      </c>
      <c r="C2190" s="1" t="s">
        <v>28</v>
      </c>
      <c r="D2190" s="1" t="s">
        <v>19</v>
      </c>
      <c r="E2190" s="1" t="s">
        <v>67</v>
      </c>
      <c r="F2190">
        <v>2012</v>
      </c>
      <c r="G2190">
        <v>4</v>
      </c>
      <c r="H2190" s="1" t="s">
        <v>123</v>
      </c>
      <c r="I2190">
        <v>25</v>
      </c>
      <c r="J2190">
        <v>3205</v>
      </c>
      <c r="K2190" s="1" t="s">
        <v>68</v>
      </c>
      <c r="L2190" s="1" t="s">
        <v>64</v>
      </c>
      <c r="M2190">
        <v>0.81499999999999995</v>
      </c>
      <c r="N2190">
        <v>20383</v>
      </c>
      <c r="O2190">
        <v>20.382999999999999</v>
      </c>
      <c r="P2190" s="2">
        <v>42491</v>
      </c>
      <c r="Q2190">
        <v>1</v>
      </c>
      <c r="R2190" s="1" t="s">
        <v>122</v>
      </c>
    </row>
    <row r="2191" spans="1:18" x14ac:dyDescent="0.25">
      <c r="A2191">
        <v>2016</v>
      </c>
      <c r="B2191">
        <v>6</v>
      </c>
      <c r="C2191" s="1" t="s">
        <v>29</v>
      </c>
      <c r="D2191" s="1" t="s">
        <v>19</v>
      </c>
      <c r="E2191" s="1" t="s">
        <v>67</v>
      </c>
      <c r="F2191">
        <v>2012</v>
      </c>
      <c r="G2191">
        <v>4</v>
      </c>
      <c r="H2191" s="1" t="s">
        <v>123</v>
      </c>
      <c r="I2191">
        <v>25</v>
      </c>
      <c r="J2191">
        <v>3205</v>
      </c>
      <c r="K2191" s="1" t="s">
        <v>68</v>
      </c>
      <c r="L2191" s="1" t="s">
        <v>64</v>
      </c>
      <c r="M2191">
        <v>0.85199999999999998</v>
      </c>
      <c r="N2191">
        <v>21301</v>
      </c>
      <c r="O2191">
        <v>21.300999999999998</v>
      </c>
      <c r="P2191" s="2">
        <v>42522</v>
      </c>
      <c r="Q2191">
        <v>1</v>
      </c>
      <c r="R2191" s="1" t="s">
        <v>122</v>
      </c>
    </row>
    <row r="2192" spans="1:18" x14ac:dyDescent="0.25">
      <c r="A2192">
        <v>2016</v>
      </c>
      <c r="B2192">
        <v>7</v>
      </c>
      <c r="C2192" s="1" t="s">
        <v>30</v>
      </c>
      <c r="D2192" s="1" t="s">
        <v>19</v>
      </c>
      <c r="E2192" s="1" t="s">
        <v>67</v>
      </c>
      <c r="F2192">
        <v>2012</v>
      </c>
      <c r="G2192">
        <v>4</v>
      </c>
      <c r="H2192" s="1" t="s">
        <v>123</v>
      </c>
      <c r="I2192">
        <v>25</v>
      </c>
      <c r="J2192">
        <v>3205</v>
      </c>
      <c r="K2192" s="1" t="s">
        <v>68</v>
      </c>
      <c r="L2192" s="1" t="s">
        <v>64</v>
      </c>
      <c r="M2192">
        <v>0.63300000000000001</v>
      </c>
      <c r="N2192">
        <v>15827</v>
      </c>
      <c r="O2192">
        <v>15.827</v>
      </c>
      <c r="P2192" s="2">
        <v>42552</v>
      </c>
      <c r="Q2192">
        <v>1</v>
      </c>
      <c r="R2192" s="1" t="s">
        <v>122</v>
      </c>
    </row>
    <row r="2193" spans="1:18" x14ac:dyDescent="0.25">
      <c r="A2193">
        <v>2016</v>
      </c>
      <c r="B2193">
        <v>8</v>
      </c>
      <c r="C2193" s="1" t="s">
        <v>31</v>
      </c>
      <c r="D2193" s="1" t="s">
        <v>19</v>
      </c>
      <c r="E2193" s="1" t="s">
        <v>67</v>
      </c>
      <c r="F2193">
        <v>2012</v>
      </c>
      <c r="G2193">
        <v>4</v>
      </c>
      <c r="H2193" s="1" t="s">
        <v>123</v>
      </c>
      <c r="I2193">
        <v>25</v>
      </c>
      <c r="J2193">
        <v>3205</v>
      </c>
      <c r="K2193" s="1" t="s">
        <v>68</v>
      </c>
      <c r="L2193" s="1" t="s">
        <v>64</v>
      </c>
      <c r="M2193">
        <v>0.58299999999999996</v>
      </c>
      <c r="N2193">
        <v>14569</v>
      </c>
      <c r="O2193">
        <v>14.569000000000001</v>
      </c>
      <c r="P2193" s="2">
        <v>42583</v>
      </c>
      <c r="Q2193">
        <v>1</v>
      </c>
      <c r="R2193" s="1" t="s">
        <v>122</v>
      </c>
    </row>
    <row r="2194" spans="1:18" x14ac:dyDescent="0.25">
      <c r="A2194">
        <v>2016</v>
      </c>
      <c r="B2194">
        <v>9</v>
      </c>
      <c r="C2194" s="1" t="s">
        <v>32</v>
      </c>
      <c r="D2194" s="1" t="s">
        <v>19</v>
      </c>
      <c r="E2194" s="1" t="s">
        <v>67</v>
      </c>
      <c r="F2194">
        <v>2012</v>
      </c>
      <c r="G2194">
        <v>4</v>
      </c>
      <c r="H2194" s="1" t="s">
        <v>123</v>
      </c>
      <c r="I2194">
        <v>25</v>
      </c>
      <c r="J2194">
        <v>3205</v>
      </c>
      <c r="K2194" s="1" t="s">
        <v>68</v>
      </c>
      <c r="L2194" s="1" t="s">
        <v>64</v>
      </c>
      <c r="M2194">
        <v>0.47099999999999997</v>
      </c>
      <c r="N2194">
        <v>11764</v>
      </c>
      <c r="O2194">
        <v>11.763999999999999</v>
      </c>
      <c r="P2194" s="2">
        <v>42614</v>
      </c>
      <c r="Q2194">
        <v>1</v>
      </c>
      <c r="R2194" s="1" t="s">
        <v>122</v>
      </c>
    </row>
    <row r="2195" spans="1:18" x14ac:dyDescent="0.25">
      <c r="A2195">
        <v>2016</v>
      </c>
      <c r="B2195">
        <v>10</v>
      </c>
      <c r="C2195" s="1" t="s">
        <v>33</v>
      </c>
      <c r="D2195" s="1" t="s">
        <v>19</v>
      </c>
      <c r="E2195" s="1" t="s">
        <v>67</v>
      </c>
      <c r="F2195">
        <v>2012</v>
      </c>
      <c r="G2195">
        <v>4</v>
      </c>
      <c r="H2195" s="1" t="s">
        <v>123</v>
      </c>
      <c r="I2195">
        <v>25</v>
      </c>
      <c r="J2195">
        <v>3205</v>
      </c>
      <c r="K2195" s="1" t="s">
        <v>68</v>
      </c>
      <c r="L2195" s="1" t="s">
        <v>64</v>
      </c>
      <c r="M2195">
        <v>0.83</v>
      </c>
      <c r="N2195">
        <v>20740</v>
      </c>
      <c r="O2195">
        <v>20.74</v>
      </c>
      <c r="P2195" s="2">
        <v>42644</v>
      </c>
      <c r="Q2195">
        <v>1</v>
      </c>
      <c r="R2195" s="1" t="s">
        <v>122</v>
      </c>
    </row>
    <row r="2196" spans="1:18" x14ac:dyDescent="0.25">
      <c r="A2196">
        <v>2016</v>
      </c>
      <c r="B2196">
        <v>11</v>
      </c>
      <c r="C2196" s="1" t="s">
        <v>34</v>
      </c>
      <c r="D2196" s="1" t="s">
        <v>19</v>
      </c>
      <c r="E2196" s="1" t="s">
        <v>67</v>
      </c>
      <c r="F2196">
        <v>2012</v>
      </c>
      <c r="G2196">
        <v>4</v>
      </c>
      <c r="H2196" s="1" t="s">
        <v>123</v>
      </c>
      <c r="I2196">
        <v>25</v>
      </c>
      <c r="J2196">
        <v>3205</v>
      </c>
      <c r="K2196" s="1" t="s">
        <v>68</v>
      </c>
      <c r="L2196" s="1" t="s">
        <v>64</v>
      </c>
      <c r="M2196">
        <v>0.748</v>
      </c>
      <c r="N2196">
        <v>18700</v>
      </c>
      <c r="O2196">
        <v>18.7</v>
      </c>
      <c r="P2196" s="2">
        <v>42675</v>
      </c>
      <c r="Q2196">
        <v>1</v>
      </c>
      <c r="R2196" s="1" t="s">
        <v>122</v>
      </c>
    </row>
    <row r="2197" spans="1:18" x14ac:dyDescent="0.25">
      <c r="A2197">
        <v>2016</v>
      </c>
      <c r="B2197">
        <v>12</v>
      </c>
      <c r="C2197" s="1" t="s">
        <v>35</v>
      </c>
      <c r="D2197" s="1" t="s">
        <v>19</v>
      </c>
      <c r="E2197" s="1" t="s">
        <v>67</v>
      </c>
      <c r="F2197">
        <v>2012</v>
      </c>
      <c r="G2197">
        <v>4</v>
      </c>
      <c r="H2197" s="1" t="s">
        <v>123</v>
      </c>
      <c r="I2197">
        <v>25</v>
      </c>
      <c r="J2197">
        <v>3205</v>
      </c>
      <c r="K2197" s="1" t="s">
        <v>68</v>
      </c>
      <c r="L2197" s="1" t="s">
        <v>64</v>
      </c>
      <c r="M2197">
        <v>0.73399999999999999</v>
      </c>
      <c r="N2197">
        <v>18343</v>
      </c>
      <c r="O2197">
        <v>18.343</v>
      </c>
      <c r="P2197" s="2">
        <v>42705</v>
      </c>
      <c r="Q2197">
        <v>1</v>
      </c>
      <c r="R2197" s="1" t="s">
        <v>122</v>
      </c>
    </row>
    <row r="2198" spans="1:18" x14ac:dyDescent="0.25">
      <c r="A2198">
        <v>2016</v>
      </c>
      <c r="B2198">
        <v>1</v>
      </c>
      <c r="C2198" s="1" t="s">
        <v>18</v>
      </c>
      <c r="D2198" s="1" t="s">
        <v>19</v>
      </c>
      <c r="E2198" s="1" t="s">
        <v>69</v>
      </c>
      <c r="F2198">
        <v>2012</v>
      </c>
      <c r="G2198">
        <v>4</v>
      </c>
      <c r="H2198" s="1" t="s">
        <v>123</v>
      </c>
      <c r="I2198">
        <v>19</v>
      </c>
      <c r="J2198">
        <v>2469</v>
      </c>
      <c r="K2198" s="1" t="s">
        <v>70</v>
      </c>
      <c r="L2198" s="1" t="s">
        <v>45</v>
      </c>
      <c r="M2198">
        <v>0.47499999999999998</v>
      </c>
      <c r="N2198">
        <v>9018.2000000000007</v>
      </c>
      <c r="O2198">
        <v>9.0180000000000007</v>
      </c>
      <c r="P2198" s="2">
        <v>42370</v>
      </c>
      <c r="Q2198">
        <v>1</v>
      </c>
      <c r="R2198" s="1" t="s">
        <v>122</v>
      </c>
    </row>
    <row r="2199" spans="1:18" x14ac:dyDescent="0.25">
      <c r="A2199">
        <v>2016</v>
      </c>
      <c r="B2199">
        <v>2</v>
      </c>
      <c r="C2199" s="1" t="s">
        <v>25</v>
      </c>
      <c r="D2199" s="1" t="s">
        <v>19</v>
      </c>
      <c r="E2199" s="1" t="s">
        <v>69</v>
      </c>
      <c r="F2199">
        <v>2012</v>
      </c>
      <c r="G2199">
        <v>4</v>
      </c>
      <c r="H2199" s="1" t="s">
        <v>123</v>
      </c>
      <c r="I2199">
        <v>19</v>
      </c>
      <c r="J2199">
        <v>2469</v>
      </c>
      <c r="K2199" s="1" t="s">
        <v>70</v>
      </c>
      <c r="L2199" s="1" t="s">
        <v>45</v>
      </c>
      <c r="M2199">
        <v>0.48499999999999999</v>
      </c>
      <c r="N2199">
        <v>9212</v>
      </c>
      <c r="O2199">
        <v>9.2119999999999997</v>
      </c>
      <c r="P2199" s="2">
        <v>42401</v>
      </c>
      <c r="Q2199">
        <v>1</v>
      </c>
      <c r="R2199" s="1" t="s">
        <v>122</v>
      </c>
    </row>
    <row r="2200" spans="1:18" x14ac:dyDescent="0.25">
      <c r="A2200">
        <v>2016</v>
      </c>
      <c r="B2200">
        <v>3</v>
      </c>
      <c r="C2200" s="1" t="s">
        <v>26</v>
      </c>
      <c r="D2200" s="1" t="s">
        <v>19</v>
      </c>
      <c r="E2200" s="1" t="s">
        <v>69</v>
      </c>
      <c r="F2200">
        <v>2012</v>
      </c>
      <c r="G2200">
        <v>4</v>
      </c>
      <c r="H2200" s="1" t="s">
        <v>123</v>
      </c>
      <c r="I2200">
        <v>19</v>
      </c>
      <c r="J2200">
        <v>2469</v>
      </c>
      <c r="K2200" s="1" t="s">
        <v>70</v>
      </c>
      <c r="L2200" s="1" t="s">
        <v>45</v>
      </c>
      <c r="M2200">
        <v>0.59499999999999997</v>
      </c>
      <c r="N2200">
        <v>11305</v>
      </c>
      <c r="O2200">
        <v>11.305</v>
      </c>
      <c r="P2200" s="2">
        <v>42430</v>
      </c>
      <c r="Q2200">
        <v>1</v>
      </c>
      <c r="R2200" s="1" t="s">
        <v>122</v>
      </c>
    </row>
    <row r="2201" spans="1:18" x14ac:dyDescent="0.25">
      <c r="A2201">
        <v>2016</v>
      </c>
      <c r="B2201">
        <v>4</v>
      </c>
      <c r="C2201" s="1" t="s">
        <v>27</v>
      </c>
      <c r="D2201" s="1" t="s">
        <v>19</v>
      </c>
      <c r="E2201" s="1" t="s">
        <v>69</v>
      </c>
      <c r="F2201">
        <v>2012</v>
      </c>
      <c r="G2201">
        <v>4</v>
      </c>
      <c r="H2201" s="1" t="s">
        <v>123</v>
      </c>
      <c r="I2201">
        <v>19</v>
      </c>
      <c r="J2201">
        <v>2469</v>
      </c>
      <c r="K2201" s="1" t="s">
        <v>70</v>
      </c>
      <c r="L2201" s="1" t="s">
        <v>45</v>
      </c>
      <c r="M2201">
        <v>0.35299999999999998</v>
      </c>
      <c r="N2201">
        <v>6705.5</v>
      </c>
      <c r="O2201">
        <v>6.7050000000000001</v>
      </c>
      <c r="P2201" s="2">
        <v>42461</v>
      </c>
      <c r="Q2201">
        <v>1</v>
      </c>
      <c r="R2201" s="1" t="s">
        <v>122</v>
      </c>
    </row>
    <row r="2202" spans="1:18" x14ac:dyDescent="0.25">
      <c r="A2202">
        <v>2016</v>
      </c>
      <c r="B2202">
        <v>5</v>
      </c>
      <c r="C2202" s="1" t="s">
        <v>28</v>
      </c>
      <c r="D2202" s="1" t="s">
        <v>19</v>
      </c>
      <c r="E2202" s="1" t="s">
        <v>69</v>
      </c>
      <c r="F2202">
        <v>2012</v>
      </c>
      <c r="G2202">
        <v>4</v>
      </c>
      <c r="H2202" s="1" t="s">
        <v>123</v>
      </c>
      <c r="I2202">
        <v>19</v>
      </c>
      <c r="J2202">
        <v>2469</v>
      </c>
      <c r="K2202" s="1" t="s">
        <v>70</v>
      </c>
      <c r="L2202" s="1" t="s">
        <v>45</v>
      </c>
      <c r="M2202">
        <v>0.81499999999999995</v>
      </c>
      <c r="N2202">
        <v>15491.1</v>
      </c>
      <c r="O2202">
        <v>15.491</v>
      </c>
      <c r="P2202" s="2">
        <v>42491</v>
      </c>
      <c r="Q2202">
        <v>1</v>
      </c>
      <c r="R2202" s="1" t="s">
        <v>122</v>
      </c>
    </row>
    <row r="2203" spans="1:18" x14ac:dyDescent="0.25">
      <c r="A2203">
        <v>2016</v>
      </c>
      <c r="B2203">
        <v>6</v>
      </c>
      <c r="C2203" s="1" t="s">
        <v>29</v>
      </c>
      <c r="D2203" s="1" t="s">
        <v>19</v>
      </c>
      <c r="E2203" s="1" t="s">
        <v>69</v>
      </c>
      <c r="F2203">
        <v>2012</v>
      </c>
      <c r="G2203">
        <v>4</v>
      </c>
      <c r="H2203" s="1" t="s">
        <v>123</v>
      </c>
      <c r="I2203">
        <v>19</v>
      </c>
      <c r="J2203">
        <v>2469</v>
      </c>
      <c r="K2203" s="1" t="s">
        <v>70</v>
      </c>
      <c r="L2203" s="1" t="s">
        <v>45</v>
      </c>
      <c r="M2203">
        <v>0.85199999999999998</v>
      </c>
      <c r="N2203">
        <v>16188.8</v>
      </c>
      <c r="O2203">
        <v>16.189</v>
      </c>
      <c r="P2203" s="2">
        <v>42522</v>
      </c>
      <c r="Q2203">
        <v>1</v>
      </c>
      <c r="R2203" s="1" t="s">
        <v>122</v>
      </c>
    </row>
    <row r="2204" spans="1:18" x14ac:dyDescent="0.25">
      <c r="A2204">
        <v>2016</v>
      </c>
      <c r="B2204">
        <v>7</v>
      </c>
      <c r="C2204" s="1" t="s">
        <v>30</v>
      </c>
      <c r="D2204" s="1" t="s">
        <v>19</v>
      </c>
      <c r="E2204" s="1" t="s">
        <v>69</v>
      </c>
      <c r="F2204">
        <v>2012</v>
      </c>
      <c r="G2204">
        <v>4</v>
      </c>
      <c r="H2204" s="1" t="s">
        <v>123</v>
      </c>
      <c r="I2204">
        <v>19</v>
      </c>
      <c r="J2204">
        <v>2469</v>
      </c>
      <c r="K2204" s="1" t="s">
        <v>70</v>
      </c>
      <c r="L2204" s="1" t="s">
        <v>45</v>
      </c>
      <c r="M2204">
        <v>0.63300000000000001</v>
      </c>
      <c r="N2204">
        <v>12028.5</v>
      </c>
      <c r="O2204">
        <v>12.029</v>
      </c>
      <c r="P2204" s="2">
        <v>42552</v>
      </c>
      <c r="Q2204">
        <v>1</v>
      </c>
      <c r="R2204" s="1" t="s">
        <v>122</v>
      </c>
    </row>
    <row r="2205" spans="1:18" x14ac:dyDescent="0.25">
      <c r="A2205">
        <v>2016</v>
      </c>
      <c r="B2205">
        <v>8</v>
      </c>
      <c r="C2205" s="1" t="s">
        <v>31</v>
      </c>
      <c r="D2205" s="1" t="s">
        <v>19</v>
      </c>
      <c r="E2205" s="1" t="s">
        <v>69</v>
      </c>
      <c r="F2205">
        <v>2012</v>
      </c>
      <c r="G2205">
        <v>4</v>
      </c>
      <c r="H2205" s="1" t="s">
        <v>123</v>
      </c>
      <c r="I2205">
        <v>19</v>
      </c>
      <c r="J2205">
        <v>2469</v>
      </c>
      <c r="K2205" s="1" t="s">
        <v>70</v>
      </c>
      <c r="L2205" s="1" t="s">
        <v>45</v>
      </c>
      <c r="M2205">
        <v>0.58299999999999996</v>
      </c>
      <c r="N2205">
        <v>11072.4</v>
      </c>
      <c r="O2205">
        <v>11.071999999999999</v>
      </c>
      <c r="P2205" s="2">
        <v>42583</v>
      </c>
      <c r="Q2205">
        <v>1</v>
      </c>
      <c r="R2205" s="1" t="s">
        <v>122</v>
      </c>
    </row>
    <row r="2206" spans="1:18" x14ac:dyDescent="0.25">
      <c r="A2206">
        <v>2016</v>
      </c>
      <c r="B2206">
        <v>9</v>
      </c>
      <c r="C2206" s="1" t="s">
        <v>32</v>
      </c>
      <c r="D2206" s="1" t="s">
        <v>19</v>
      </c>
      <c r="E2206" s="1" t="s">
        <v>69</v>
      </c>
      <c r="F2206">
        <v>2012</v>
      </c>
      <c r="G2206">
        <v>4</v>
      </c>
      <c r="H2206" s="1" t="s">
        <v>123</v>
      </c>
      <c r="I2206">
        <v>19</v>
      </c>
      <c r="J2206">
        <v>2469</v>
      </c>
      <c r="K2206" s="1" t="s">
        <v>70</v>
      </c>
      <c r="L2206" s="1" t="s">
        <v>45</v>
      </c>
      <c r="M2206">
        <v>0.47099999999999997</v>
      </c>
      <c r="N2206">
        <v>8940.6</v>
      </c>
      <c r="O2206">
        <v>8.9410000000000007</v>
      </c>
      <c r="P2206" s="2">
        <v>42614</v>
      </c>
      <c r="Q2206">
        <v>1</v>
      </c>
      <c r="R2206" s="1" t="s">
        <v>122</v>
      </c>
    </row>
    <row r="2207" spans="1:18" x14ac:dyDescent="0.25">
      <c r="A2207">
        <v>2016</v>
      </c>
      <c r="B2207">
        <v>10</v>
      </c>
      <c r="C2207" s="1" t="s">
        <v>33</v>
      </c>
      <c r="D2207" s="1" t="s">
        <v>19</v>
      </c>
      <c r="E2207" s="1" t="s">
        <v>69</v>
      </c>
      <c r="F2207">
        <v>2012</v>
      </c>
      <c r="G2207">
        <v>4</v>
      </c>
      <c r="H2207" s="1" t="s">
        <v>123</v>
      </c>
      <c r="I2207">
        <v>19</v>
      </c>
      <c r="J2207">
        <v>2469</v>
      </c>
      <c r="K2207" s="1" t="s">
        <v>70</v>
      </c>
      <c r="L2207" s="1" t="s">
        <v>45</v>
      </c>
      <c r="M2207">
        <v>0.83</v>
      </c>
      <c r="N2207">
        <v>15762.4</v>
      </c>
      <c r="O2207">
        <v>15.762</v>
      </c>
      <c r="P2207" s="2">
        <v>42644</v>
      </c>
      <c r="Q2207">
        <v>1</v>
      </c>
      <c r="R2207" s="1" t="s">
        <v>122</v>
      </c>
    </row>
    <row r="2208" spans="1:18" x14ac:dyDescent="0.25">
      <c r="A2208">
        <v>2016</v>
      </c>
      <c r="B2208">
        <v>11</v>
      </c>
      <c r="C2208" s="1" t="s">
        <v>34</v>
      </c>
      <c r="D2208" s="1" t="s">
        <v>19</v>
      </c>
      <c r="E2208" s="1" t="s">
        <v>69</v>
      </c>
      <c r="F2208">
        <v>2012</v>
      </c>
      <c r="G2208">
        <v>4</v>
      </c>
      <c r="H2208" s="1" t="s">
        <v>123</v>
      </c>
      <c r="I2208">
        <v>19</v>
      </c>
      <c r="J2208">
        <v>2469</v>
      </c>
      <c r="K2208" s="1" t="s">
        <v>70</v>
      </c>
      <c r="L2208" s="1" t="s">
        <v>45</v>
      </c>
      <c r="M2208">
        <v>0.748</v>
      </c>
      <c r="N2208">
        <v>14212</v>
      </c>
      <c r="O2208">
        <v>14.212</v>
      </c>
      <c r="P2208" s="2">
        <v>42675</v>
      </c>
      <c r="Q2208">
        <v>1</v>
      </c>
      <c r="R2208" s="1" t="s">
        <v>122</v>
      </c>
    </row>
    <row r="2209" spans="1:18" x14ac:dyDescent="0.25">
      <c r="A2209">
        <v>2016</v>
      </c>
      <c r="B2209">
        <v>12</v>
      </c>
      <c r="C2209" s="1" t="s">
        <v>35</v>
      </c>
      <c r="D2209" s="1" t="s">
        <v>19</v>
      </c>
      <c r="E2209" s="1" t="s">
        <v>69</v>
      </c>
      <c r="F2209">
        <v>2012</v>
      </c>
      <c r="G2209">
        <v>4</v>
      </c>
      <c r="H2209" s="1" t="s">
        <v>123</v>
      </c>
      <c r="I2209">
        <v>19</v>
      </c>
      <c r="J2209">
        <v>2469</v>
      </c>
      <c r="K2209" s="1" t="s">
        <v>70</v>
      </c>
      <c r="L2209" s="1" t="s">
        <v>45</v>
      </c>
      <c r="M2209">
        <v>0.73399999999999999</v>
      </c>
      <c r="N2209">
        <v>13940.7</v>
      </c>
      <c r="O2209">
        <v>13.941000000000001</v>
      </c>
      <c r="P2209" s="2">
        <v>42705</v>
      </c>
      <c r="Q2209">
        <v>1</v>
      </c>
      <c r="R2209" s="1" t="s">
        <v>122</v>
      </c>
    </row>
    <row r="2210" spans="1:18" x14ac:dyDescent="0.25">
      <c r="A2210">
        <v>2016</v>
      </c>
      <c r="B2210">
        <v>1</v>
      </c>
      <c r="C2210" s="1" t="s">
        <v>18</v>
      </c>
      <c r="D2210" s="1" t="s">
        <v>19</v>
      </c>
      <c r="E2210" s="1" t="s">
        <v>71</v>
      </c>
      <c r="F2210">
        <v>2012</v>
      </c>
      <c r="G2210">
        <v>4</v>
      </c>
      <c r="H2210" s="1" t="s">
        <v>123</v>
      </c>
      <c r="I2210">
        <v>20</v>
      </c>
      <c r="J2210">
        <v>2704</v>
      </c>
      <c r="K2210" s="1" t="s">
        <v>72</v>
      </c>
      <c r="L2210" s="1" t="s">
        <v>64</v>
      </c>
      <c r="M2210">
        <v>0.47499999999999998</v>
      </c>
      <c r="N2210">
        <v>9492.7999999999993</v>
      </c>
      <c r="O2210">
        <v>9.4930000000000003</v>
      </c>
      <c r="P2210" s="2">
        <v>42370</v>
      </c>
      <c r="Q2210">
        <v>1</v>
      </c>
      <c r="R2210" s="1" t="s">
        <v>122</v>
      </c>
    </row>
    <row r="2211" spans="1:18" x14ac:dyDescent="0.25">
      <c r="A2211">
        <v>2016</v>
      </c>
      <c r="B2211">
        <v>2</v>
      </c>
      <c r="C2211" s="1" t="s">
        <v>25</v>
      </c>
      <c r="D2211" s="1" t="s">
        <v>19</v>
      </c>
      <c r="E2211" s="1" t="s">
        <v>71</v>
      </c>
      <c r="F2211">
        <v>2012</v>
      </c>
      <c r="G2211">
        <v>4</v>
      </c>
      <c r="H2211" s="1" t="s">
        <v>123</v>
      </c>
      <c r="I2211">
        <v>20</v>
      </c>
      <c r="J2211">
        <v>2704</v>
      </c>
      <c r="K2211" s="1" t="s">
        <v>72</v>
      </c>
      <c r="L2211" s="1" t="s">
        <v>64</v>
      </c>
      <c r="M2211">
        <v>0.48499999999999999</v>
      </c>
      <c r="N2211">
        <v>9696.7999999999993</v>
      </c>
      <c r="O2211">
        <v>9.6969999999999992</v>
      </c>
      <c r="P2211" s="2">
        <v>42401</v>
      </c>
      <c r="Q2211">
        <v>1</v>
      </c>
      <c r="R2211" s="1" t="s">
        <v>122</v>
      </c>
    </row>
    <row r="2212" spans="1:18" x14ac:dyDescent="0.25">
      <c r="A2212">
        <v>2016</v>
      </c>
      <c r="B2212">
        <v>3</v>
      </c>
      <c r="C2212" s="1" t="s">
        <v>26</v>
      </c>
      <c r="D2212" s="1" t="s">
        <v>19</v>
      </c>
      <c r="E2212" s="1" t="s">
        <v>71</v>
      </c>
      <c r="F2212">
        <v>2012</v>
      </c>
      <c r="G2212">
        <v>4</v>
      </c>
      <c r="H2212" s="1" t="s">
        <v>123</v>
      </c>
      <c r="I2212">
        <v>20</v>
      </c>
      <c r="J2212">
        <v>2704</v>
      </c>
      <c r="K2212" s="1" t="s">
        <v>72</v>
      </c>
      <c r="L2212" s="1" t="s">
        <v>64</v>
      </c>
      <c r="M2212">
        <v>0.59499999999999997</v>
      </c>
      <c r="N2212">
        <v>11900</v>
      </c>
      <c r="O2212">
        <v>11.9</v>
      </c>
      <c r="P2212" s="2">
        <v>42430</v>
      </c>
      <c r="Q2212">
        <v>1</v>
      </c>
      <c r="R2212" s="1" t="s">
        <v>122</v>
      </c>
    </row>
    <row r="2213" spans="1:18" x14ac:dyDescent="0.25">
      <c r="A2213">
        <v>2016</v>
      </c>
      <c r="B2213">
        <v>4</v>
      </c>
      <c r="C2213" s="1" t="s">
        <v>27</v>
      </c>
      <c r="D2213" s="1" t="s">
        <v>19</v>
      </c>
      <c r="E2213" s="1" t="s">
        <v>71</v>
      </c>
      <c r="F2213">
        <v>2012</v>
      </c>
      <c r="G2213">
        <v>4</v>
      </c>
      <c r="H2213" s="1" t="s">
        <v>123</v>
      </c>
      <c r="I2213">
        <v>20</v>
      </c>
      <c r="J2213">
        <v>2704</v>
      </c>
      <c r="K2213" s="1" t="s">
        <v>72</v>
      </c>
      <c r="L2213" s="1" t="s">
        <v>64</v>
      </c>
      <c r="M2213">
        <v>0.35299999999999998</v>
      </c>
      <c r="N2213">
        <v>7058.4</v>
      </c>
      <c r="O2213">
        <v>7.0579999999999998</v>
      </c>
      <c r="P2213" s="2">
        <v>42461</v>
      </c>
      <c r="Q2213">
        <v>1</v>
      </c>
      <c r="R2213" s="1" t="s">
        <v>122</v>
      </c>
    </row>
    <row r="2214" spans="1:18" x14ac:dyDescent="0.25">
      <c r="A2214">
        <v>2016</v>
      </c>
      <c r="B2214">
        <v>5</v>
      </c>
      <c r="C2214" s="1" t="s">
        <v>28</v>
      </c>
      <c r="D2214" s="1" t="s">
        <v>19</v>
      </c>
      <c r="E2214" s="1" t="s">
        <v>71</v>
      </c>
      <c r="F2214">
        <v>2012</v>
      </c>
      <c r="G2214">
        <v>4</v>
      </c>
      <c r="H2214" s="1" t="s">
        <v>123</v>
      </c>
      <c r="I2214">
        <v>20</v>
      </c>
      <c r="J2214">
        <v>2704</v>
      </c>
      <c r="K2214" s="1" t="s">
        <v>72</v>
      </c>
      <c r="L2214" s="1" t="s">
        <v>64</v>
      </c>
      <c r="M2214">
        <v>0.81499999999999995</v>
      </c>
      <c r="N2214">
        <v>16306.4</v>
      </c>
      <c r="O2214">
        <v>16.306000000000001</v>
      </c>
      <c r="P2214" s="2">
        <v>42491</v>
      </c>
      <c r="Q2214">
        <v>1</v>
      </c>
      <c r="R2214" s="1" t="s">
        <v>122</v>
      </c>
    </row>
    <row r="2215" spans="1:18" x14ac:dyDescent="0.25">
      <c r="A2215">
        <v>2016</v>
      </c>
      <c r="B2215">
        <v>6</v>
      </c>
      <c r="C2215" s="1" t="s">
        <v>29</v>
      </c>
      <c r="D2215" s="1" t="s">
        <v>19</v>
      </c>
      <c r="E2215" s="1" t="s">
        <v>71</v>
      </c>
      <c r="F2215">
        <v>2012</v>
      </c>
      <c r="G2215">
        <v>4</v>
      </c>
      <c r="H2215" s="1" t="s">
        <v>123</v>
      </c>
      <c r="I2215">
        <v>20</v>
      </c>
      <c r="J2215">
        <v>2704</v>
      </c>
      <c r="K2215" s="1" t="s">
        <v>72</v>
      </c>
      <c r="L2215" s="1" t="s">
        <v>64</v>
      </c>
      <c r="M2215">
        <v>0.85199999999999998</v>
      </c>
      <c r="N2215">
        <v>17040.8</v>
      </c>
      <c r="O2215">
        <v>17.041</v>
      </c>
      <c r="P2215" s="2">
        <v>42522</v>
      </c>
      <c r="Q2215">
        <v>1</v>
      </c>
      <c r="R2215" s="1" t="s">
        <v>122</v>
      </c>
    </row>
    <row r="2216" spans="1:18" x14ac:dyDescent="0.25">
      <c r="A2216">
        <v>2016</v>
      </c>
      <c r="B2216">
        <v>7</v>
      </c>
      <c r="C2216" s="1" t="s">
        <v>30</v>
      </c>
      <c r="D2216" s="1" t="s">
        <v>19</v>
      </c>
      <c r="E2216" s="1" t="s">
        <v>71</v>
      </c>
      <c r="F2216">
        <v>2012</v>
      </c>
      <c r="G2216">
        <v>4</v>
      </c>
      <c r="H2216" s="1" t="s">
        <v>123</v>
      </c>
      <c r="I2216">
        <v>20</v>
      </c>
      <c r="J2216">
        <v>2704</v>
      </c>
      <c r="K2216" s="1" t="s">
        <v>72</v>
      </c>
      <c r="L2216" s="1" t="s">
        <v>64</v>
      </c>
      <c r="M2216">
        <v>0.63300000000000001</v>
      </c>
      <c r="N2216">
        <v>12661.6</v>
      </c>
      <c r="O2216">
        <v>12.662000000000001</v>
      </c>
      <c r="P2216" s="2">
        <v>42552</v>
      </c>
      <c r="Q2216">
        <v>1</v>
      </c>
      <c r="R2216" s="1" t="s">
        <v>122</v>
      </c>
    </row>
    <row r="2217" spans="1:18" x14ac:dyDescent="0.25">
      <c r="A2217">
        <v>2016</v>
      </c>
      <c r="B2217">
        <v>8</v>
      </c>
      <c r="C2217" s="1" t="s">
        <v>31</v>
      </c>
      <c r="D2217" s="1" t="s">
        <v>19</v>
      </c>
      <c r="E2217" s="1" t="s">
        <v>71</v>
      </c>
      <c r="F2217">
        <v>2012</v>
      </c>
      <c r="G2217">
        <v>4</v>
      </c>
      <c r="H2217" s="1" t="s">
        <v>123</v>
      </c>
      <c r="I2217">
        <v>20</v>
      </c>
      <c r="J2217">
        <v>2704</v>
      </c>
      <c r="K2217" s="1" t="s">
        <v>72</v>
      </c>
      <c r="L2217" s="1" t="s">
        <v>64</v>
      </c>
      <c r="M2217">
        <v>0.58299999999999996</v>
      </c>
      <c r="N2217">
        <v>11655.2</v>
      </c>
      <c r="O2217">
        <v>11.654999999999999</v>
      </c>
      <c r="P2217" s="2">
        <v>42583</v>
      </c>
      <c r="Q2217">
        <v>1</v>
      </c>
      <c r="R2217" s="1" t="s">
        <v>122</v>
      </c>
    </row>
    <row r="2218" spans="1:18" x14ac:dyDescent="0.25">
      <c r="A2218">
        <v>2016</v>
      </c>
      <c r="B2218">
        <v>9</v>
      </c>
      <c r="C2218" s="1" t="s">
        <v>32</v>
      </c>
      <c r="D2218" s="1" t="s">
        <v>19</v>
      </c>
      <c r="E2218" s="1" t="s">
        <v>71</v>
      </c>
      <c r="F2218">
        <v>2012</v>
      </c>
      <c r="G2218">
        <v>4</v>
      </c>
      <c r="H2218" s="1" t="s">
        <v>123</v>
      </c>
      <c r="I2218">
        <v>20</v>
      </c>
      <c r="J2218">
        <v>2704</v>
      </c>
      <c r="K2218" s="1" t="s">
        <v>72</v>
      </c>
      <c r="L2218" s="1" t="s">
        <v>64</v>
      </c>
      <c r="M2218">
        <v>0.47099999999999997</v>
      </c>
      <c r="N2218">
        <v>9411.2000000000007</v>
      </c>
      <c r="O2218">
        <v>9.4109999999999996</v>
      </c>
      <c r="P2218" s="2">
        <v>42614</v>
      </c>
      <c r="Q2218">
        <v>1</v>
      </c>
      <c r="R2218" s="1" t="s">
        <v>122</v>
      </c>
    </row>
    <row r="2219" spans="1:18" x14ac:dyDescent="0.25">
      <c r="A2219">
        <v>2016</v>
      </c>
      <c r="B2219">
        <v>10</v>
      </c>
      <c r="C2219" s="1" t="s">
        <v>33</v>
      </c>
      <c r="D2219" s="1" t="s">
        <v>19</v>
      </c>
      <c r="E2219" s="1" t="s">
        <v>71</v>
      </c>
      <c r="F2219">
        <v>2012</v>
      </c>
      <c r="G2219">
        <v>4</v>
      </c>
      <c r="H2219" s="1" t="s">
        <v>123</v>
      </c>
      <c r="I2219">
        <v>20</v>
      </c>
      <c r="J2219">
        <v>2704</v>
      </c>
      <c r="K2219" s="1" t="s">
        <v>72</v>
      </c>
      <c r="L2219" s="1" t="s">
        <v>64</v>
      </c>
      <c r="M2219">
        <v>0.83</v>
      </c>
      <c r="N2219">
        <v>16592</v>
      </c>
      <c r="O2219">
        <v>16.591999999999999</v>
      </c>
      <c r="P2219" s="2">
        <v>42644</v>
      </c>
      <c r="Q2219">
        <v>1</v>
      </c>
      <c r="R2219" s="1" t="s">
        <v>122</v>
      </c>
    </row>
    <row r="2220" spans="1:18" x14ac:dyDescent="0.25">
      <c r="A2220">
        <v>2016</v>
      </c>
      <c r="B2220">
        <v>11</v>
      </c>
      <c r="C2220" s="1" t="s">
        <v>34</v>
      </c>
      <c r="D2220" s="1" t="s">
        <v>19</v>
      </c>
      <c r="E2220" s="1" t="s">
        <v>71</v>
      </c>
      <c r="F2220">
        <v>2012</v>
      </c>
      <c r="G2220">
        <v>4</v>
      </c>
      <c r="H2220" s="1" t="s">
        <v>123</v>
      </c>
      <c r="I2220">
        <v>20</v>
      </c>
      <c r="J2220">
        <v>2704</v>
      </c>
      <c r="K2220" s="1" t="s">
        <v>72</v>
      </c>
      <c r="L2220" s="1" t="s">
        <v>64</v>
      </c>
      <c r="M2220">
        <v>0.748</v>
      </c>
      <c r="N2220">
        <v>14960</v>
      </c>
      <c r="O2220">
        <v>14.96</v>
      </c>
      <c r="P2220" s="2">
        <v>42675</v>
      </c>
      <c r="Q2220">
        <v>1</v>
      </c>
      <c r="R2220" s="1" t="s">
        <v>122</v>
      </c>
    </row>
    <row r="2221" spans="1:18" x14ac:dyDescent="0.25">
      <c r="A2221">
        <v>2016</v>
      </c>
      <c r="B2221">
        <v>12</v>
      </c>
      <c r="C2221" s="1" t="s">
        <v>35</v>
      </c>
      <c r="D2221" s="1" t="s">
        <v>19</v>
      </c>
      <c r="E2221" s="1" t="s">
        <v>71</v>
      </c>
      <c r="F2221">
        <v>2012</v>
      </c>
      <c r="G2221">
        <v>4</v>
      </c>
      <c r="H2221" s="1" t="s">
        <v>123</v>
      </c>
      <c r="I2221">
        <v>20</v>
      </c>
      <c r="J2221">
        <v>2704</v>
      </c>
      <c r="K2221" s="1" t="s">
        <v>72</v>
      </c>
      <c r="L2221" s="1" t="s">
        <v>64</v>
      </c>
      <c r="M2221">
        <v>0.73399999999999999</v>
      </c>
      <c r="N2221">
        <v>14674.4</v>
      </c>
      <c r="O2221">
        <v>14.673999999999999</v>
      </c>
      <c r="P2221" s="2">
        <v>42705</v>
      </c>
      <c r="Q2221">
        <v>1</v>
      </c>
      <c r="R2221" s="1" t="s">
        <v>122</v>
      </c>
    </row>
    <row r="2222" spans="1:18" x14ac:dyDescent="0.25">
      <c r="A2222">
        <v>2016</v>
      </c>
      <c r="B2222">
        <v>1</v>
      </c>
      <c r="C2222" s="1" t="s">
        <v>18</v>
      </c>
      <c r="D2222" s="1" t="s">
        <v>19</v>
      </c>
      <c r="E2222" s="1" t="s">
        <v>73</v>
      </c>
      <c r="F2222">
        <v>2012</v>
      </c>
      <c r="G2222">
        <v>4</v>
      </c>
      <c r="H2222" s="1" t="s">
        <v>123</v>
      </c>
      <c r="I2222">
        <v>14</v>
      </c>
      <c r="J2222">
        <v>1833</v>
      </c>
      <c r="K2222" s="1" t="s">
        <v>74</v>
      </c>
      <c r="L2222" s="1" t="s">
        <v>64</v>
      </c>
      <c r="M2222">
        <v>0.47499999999999998</v>
      </c>
      <c r="N2222">
        <v>6645</v>
      </c>
      <c r="O2222">
        <v>6.6449999999999996</v>
      </c>
      <c r="P2222" s="2">
        <v>42370</v>
      </c>
      <c r="Q2222">
        <v>1</v>
      </c>
      <c r="R2222" s="1" t="s">
        <v>122</v>
      </c>
    </row>
    <row r="2223" spans="1:18" x14ac:dyDescent="0.25">
      <c r="A2223">
        <v>2016</v>
      </c>
      <c r="B2223">
        <v>2</v>
      </c>
      <c r="C2223" s="1" t="s">
        <v>25</v>
      </c>
      <c r="D2223" s="1" t="s">
        <v>19</v>
      </c>
      <c r="E2223" s="1" t="s">
        <v>73</v>
      </c>
      <c r="F2223">
        <v>2012</v>
      </c>
      <c r="G2223">
        <v>4</v>
      </c>
      <c r="H2223" s="1" t="s">
        <v>123</v>
      </c>
      <c r="I2223">
        <v>14</v>
      </c>
      <c r="J2223">
        <v>1833</v>
      </c>
      <c r="K2223" s="1" t="s">
        <v>74</v>
      </c>
      <c r="L2223" s="1" t="s">
        <v>64</v>
      </c>
      <c r="M2223">
        <v>0.48499999999999999</v>
      </c>
      <c r="N2223">
        <v>6787.8</v>
      </c>
      <c r="O2223">
        <v>6.7880000000000003</v>
      </c>
      <c r="P2223" s="2">
        <v>42401</v>
      </c>
      <c r="Q2223">
        <v>1</v>
      </c>
      <c r="R2223" s="1" t="s">
        <v>122</v>
      </c>
    </row>
    <row r="2224" spans="1:18" x14ac:dyDescent="0.25">
      <c r="A2224">
        <v>2016</v>
      </c>
      <c r="B2224">
        <v>3</v>
      </c>
      <c r="C2224" s="1" t="s">
        <v>26</v>
      </c>
      <c r="D2224" s="1" t="s">
        <v>19</v>
      </c>
      <c r="E2224" s="1" t="s">
        <v>73</v>
      </c>
      <c r="F2224">
        <v>2012</v>
      </c>
      <c r="G2224">
        <v>4</v>
      </c>
      <c r="H2224" s="1" t="s">
        <v>123</v>
      </c>
      <c r="I2224">
        <v>14</v>
      </c>
      <c r="J2224">
        <v>1833</v>
      </c>
      <c r="K2224" s="1" t="s">
        <v>74</v>
      </c>
      <c r="L2224" s="1" t="s">
        <v>64</v>
      </c>
      <c r="M2224">
        <v>0.59499999999999997</v>
      </c>
      <c r="N2224">
        <v>8330</v>
      </c>
      <c r="O2224">
        <v>8.33</v>
      </c>
      <c r="P2224" s="2">
        <v>42430</v>
      </c>
      <c r="Q2224">
        <v>1</v>
      </c>
      <c r="R2224" s="1" t="s">
        <v>122</v>
      </c>
    </row>
    <row r="2225" spans="1:18" x14ac:dyDescent="0.25">
      <c r="A2225">
        <v>2016</v>
      </c>
      <c r="B2225">
        <v>4</v>
      </c>
      <c r="C2225" s="1" t="s">
        <v>27</v>
      </c>
      <c r="D2225" s="1" t="s">
        <v>19</v>
      </c>
      <c r="E2225" s="1" t="s">
        <v>73</v>
      </c>
      <c r="F2225">
        <v>2012</v>
      </c>
      <c r="G2225">
        <v>4</v>
      </c>
      <c r="H2225" s="1" t="s">
        <v>123</v>
      </c>
      <c r="I2225">
        <v>14</v>
      </c>
      <c r="J2225">
        <v>1833</v>
      </c>
      <c r="K2225" s="1" t="s">
        <v>74</v>
      </c>
      <c r="L2225" s="1" t="s">
        <v>64</v>
      </c>
      <c r="M2225">
        <v>0.35299999999999998</v>
      </c>
      <c r="N2225">
        <v>4940.8999999999996</v>
      </c>
      <c r="O2225">
        <v>4.9409999999999998</v>
      </c>
      <c r="P2225" s="2">
        <v>42461</v>
      </c>
      <c r="Q2225">
        <v>1</v>
      </c>
      <c r="R2225" s="1" t="s">
        <v>122</v>
      </c>
    </row>
    <row r="2226" spans="1:18" x14ac:dyDescent="0.25">
      <c r="A2226">
        <v>2016</v>
      </c>
      <c r="B2226">
        <v>5</v>
      </c>
      <c r="C2226" s="1" t="s">
        <v>28</v>
      </c>
      <c r="D2226" s="1" t="s">
        <v>19</v>
      </c>
      <c r="E2226" s="1" t="s">
        <v>73</v>
      </c>
      <c r="F2226">
        <v>2012</v>
      </c>
      <c r="G2226">
        <v>4</v>
      </c>
      <c r="H2226" s="1" t="s">
        <v>123</v>
      </c>
      <c r="I2226">
        <v>14</v>
      </c>
      <c r="J2226">
        <v>1833</v>
      </c>
      <c r="K2226" s="1" t="s">
        <v>74</v>
      </c>
      <c r="L2226" s="1" t="s">
        <v>64</v>
      </c>
      <c r="M2226">
        <v>0.81499999999999995</v>
      </c>
      <c r="N2226">
        <v>11414.5</v>
      </c>
      <c r="O2226">
        <v>11.414</v>
      </c>
      <c r="P2226" s="2">
        <v>42491</v>
      </c>
      <c r="Q2226">
        <v>1</v>
      </c>
      <c r="R2226" s="1" t="s">
        <v>122</v>
      </c>
    </row>
    <row r="2227" spans="1:18" x14ac:dyDescent="0.25">
      <c r="A2227">
        <v>2016</v>
      </c>
      <c r="B2227">
        <v>6</v>
      </c>
      <c r="C2227" s="1" t="s">
        <v>29</v>
      </c>
      <c r="D2227" s="1" t="s">
        <v>19</v>
      </c>
      <c r="E2227" s="1" t="s">
        <v>73</v>
      </c>
      <c r="F2227">
        <v>2012</v>
      </c>
      <c r="G2227">
        <v>4</v>
      </c>
      <c r="H2227" s="1" t="s">
        <v>123</v>
      </c>
      <c r="I2227">
        <v>14</v>
      </c>
      <c r="J2227">
        <v>1833</v>
      </c>
      <c r="K2227" s="1" t="s">
        <v>74</v>
      </c>
      <c r="L2227" s="1" t="s">
        <v>64</v>
      </c>
      <c r="M2227">
        <v>0.85199999999999998</v>
      </c>
      <c r="N2227">
        <v>11928.6</v>
      </c>
      <c r="O2227">
        <v>11.929</v>
      </c>
      <c r="P2227" s="2">
        <v>42522</v>
      </c>
      <c r="Q2227">
        <v>1</v>
      </c>
      <c r="R2227" s="1" t="s">
        <v>122</v>
      </c>
    </row>
    <row r="2228" spans="1:18" x14ac:dyDescent="0.25">
      <c r="A2228">
        <v>2016</v>
      </c>
      <c r="B2228">
        <v>7</v>
      </c>
      <c r="C2228" s="1" t="s">
        <v>30</v>
      </c>
      <c r="D2228" s="1" t="s">
        <v>19</v>
      </c>
      <c r="E2228" s="1" t="s">
        <v>73</v>
      </c>
      <c r="F2228">
        <v>2012</v>
      </c>
      <c r="G2228">
        <v>4</v>
      </c>
      <c r="H2228" s="1" t="s">
        <v>123</v>
      </c>
      <c r="I2228">
        <v>14</v>
      </c>
      <c r="J2228">
        <v>1833</v>
      </c>
      <c r="K2228" s="1" t="s">
        <v>74</v>
      </c>
      <c r="L2228" s="1" t="s">
        <v>64</v>
      </c>
      <c r="M2228">
        <v>0.63300000000000001</v>
      </c>
      <c r="N2228">
        <v>8863.1</v>
      </c>
      <c r="O2228">
        <v>8.8629999999999995</v>
      </c>
      <c r="P2228" s="2">
        <v>42552</v>
      </c>
      <c r="Q2228">
        <v>1</v>
      </c>
      <c r="R2228" s="1" t="s">
        <v>122</v>
      </c>
    </row>
    <row r="2229" spans="1:18" x14ac:dyDescent="0.25">
      <c r="A2229">
        <v>2016</v>
      </c>
      <c r="B2229">
        <v>8</v>
      </c>
      <c r="C2229" s="1" t="s">
        <v>31</v>
      </c>
      <c r="D2229" s="1" t="s">
        <v>19</v>
      </c>
      <c r="E2229" s="1" t="s">
        <v>73</v>
      </c>
      <c r="F2229">
        <v>2012</v>
      </c>
      <c r="G2229">
        <v>4</v>
      </c>
      <c r="H2229" s="1" t="s">
        <v>123</v>
      </c>
      <c r="I2229">
        <v>14</v>
      </c>
      <c r="J2229">
        <v>1833</v>
      </c>
      <c r="K2229" s="1" t="s">
        <v>74</v>
      </c>
      <c r="L2229" s="1" t="s">
        <v>64</v>
      </c>
      <c r="M2229">
        <v>0.58299999999999996</v>
      </c>
      <c r="N2229">
        <v>8158.6</v>
      </c>
      <c r="O2229">
        <v>8.1590000000000007</v>
      </c>
      <c r="P2229" s="2">
        <v>42583</v>
      </c>
      <c r="Q2229">
        <v>1</v>
      </c>
      <c r="R2229" s="1" t="s">
        <v>122</v>
      </c>
    </row>
    <row r="2230" spans="1:18" x14ac:dyDescent="0.25">
      <c r="A2230">
        <v>2016</v>
      </c>
      <c r="B2230">
        <v>9</v>
      </c>
      <c r="C2230" s="1" t="s">
        <v>32</v>
      </c>
      <c r="D2230" s="1" t="s">
        <v>19</v>
      </c>
      <c r="E2230" s="1" t="s">
        <v>73</v>
      </c>
      <c r="F2230">
        <v>2012</v>
      </c>
      <c r="G2230">
        <v>4</v>
      </c>
      <c r="H2230" s="1" t="s">
        <v>123</v>
      </c>
      <c r="I2230">
        <v>14</v>
      </c>
      <c r="J2230">
        <v>1833</v>
      </c>
      <c r="K2230" s="1" t="s">
        <v>74</v>
      </c>
      <c r="L2230" s="1" t="s">
        <v>64</v>
      </c>
      <c r="M2230">
        <v>0.47099999999999997</v>
      </c>
      <c r="N2230">
        <v>6587.8</v>
      </c>
      <c r="O2230">
        <v>6.5880000000000001</v>
      </c>
      <c r="P2230" s="2">
        <v>42614</v>
      </c>
      <c r="Q2230">
        <v>1</v>
      </c>
      <c r="R2230" s="1" t="s">
        <v>122</v>
      </c>
    </row>
    <row r="2231" spans="1:18" x14ac:dyDescent="0.25">
      <c r="A2231">
        <v>2016</v>
      </c>
      <c r="B2231">
        <v>10</v>
      </c>
      <c r="C2231" s="1" t="s">
        <v>33</v>
      </c>
      <c r="D2231" s="1" t="s">
        <v>19</v>
      </c>
      <c r="E2231" s="1" t="s">
        <v>73</v>
      </c>
      <c r="F2231">
        <v>2012</v>
      </c>
      <c r="G2231">
        <v>4</v>
      </c>
      <c r="H2231" s="1" t="s">
        <v>123</v>
      </c>
      <c r="I2231">
        <v>14</v>
      </c>
      <c r="J2231">
        <v>1833</v>
      </c>
      <c r="K2231" s="1" t="s">
        <v>74</v>
      </c>
      <c r="L2231" s="1" t="s">
        <v>64</v>
      </c>
      <c r="M2231">
        <v>0.83</v>
      </c>
      <c r="N2231">
        <v>11614.4</v>
      </c>
      <c r="O2231">
        <v>11.614000000000001</v>
      </c>
      <c r="P2231" s="2">
        <v>42644</v>
      </c>
      <c r="Q2231">
        <v>1</v>
      </c>
      <c r="R2231" s="1" t="s">
        <v>122</v>
      </c>
    </row>
    <row r="2232" spans="1:18" x14ac:dyDescent="0.25">
      <c r="A2232">
        <v>2016</v>
      </c>
      <c r="B2232">
        <v>11</v>
      </c>
      <c r="C2232" s="1" t="s">
        <v>34</v>
      </c>
      <c r="D2232" s="1" t="s">
        <v>19</v>
      </c>
      <c r="E2232" s="1" t="s">
        <v>73</v>
      </c>
      <c r="F2232">
        <v>2012</v>
      </c>
      <c r="G2232">
        <v>4</v>
      </c>
      <c r="H2232" s="1" t="s">
        <v>123</v>
      </c>
      <c r="I2232">
        <v>14</v>
      </c>
      <c r="J2232">
        <v>1833</v>
      </c>
      <c r="K2232" s="1" t="s">
        <v>74</v>
      </c>
      <c r="L2232" s="1" t="s">
        <v>64</v>
      </c>
      <c r="M2232">
        <v>0.748</v>
      </c>
      <c r="N2232">
        <v>10472</v>
      </c>
      <c r="O2232">
        <v>10.472</v>
      </c>
      <c r="P2232" s="2">
        <v>42675</v>
      </c>
      <c r="Q2232">
        <v>1</v>
      </c>
      <c r="R2232" s="1" t="s">
        <v>122</v>
      </c>
    </row>
    <row r="2233" spans="1:18" x14ac:dyDescent="0.25">
      <c r="A2233">
        <v>2016</v>
      </c>
      <c r="B2233">
        <v>12</v>
      </c>
      <c r="C2233" s="1" t="s">
        <v>35</v>
      </c>
      <c r="D2233" s="1" t="s">
        <v>19</v>
      </c>
      <c r="E2233" s="1" t="s">
        <v>73</v>
      </c>
      <c r="F2233">
        <v>2012</v>
      </c>
      <c r="G2233">
        <v>4</v>
      </c>
      <c r="H2233" s="1" t="s">
        <v>123</v>
      </c>
      <c r="I2233">
        <v>14</v>
      </c>
      <c r="J2233">
        <v>1833</v>
      </c>
      <c r="K2233" s="1" t="s">
        <v>74</v>
      </c>
      <c r="L2233" s="1" t="s">
        <v>64</v>
      </c>
      <c r="M2233">
        <v>0.73399999999999999</v>
      </c>
      <c r="N2233">
        <v>10272.1</v>
      </c>
      <c r="O2233">
        <v>10.272</v>
      </c>
      <c r="P2233" s="2">
        <v>42705</v>
      </c>
      <c r="Q2233">
        <v>1</v>
      </c>
      <c r="R2233" s="1" t="s">
        <v>122</v>
      </c>
    </row>
    <row r="2234" spans="1:18" x14ac:dyDescent="0.25">
      <c r="A2234">
        <v>2016</v>
      </c>
      <c r="B2234">
        <v>1</v>
      </c>
      <c r="C2234" s="1" t="s">
        <v>18</v>
      </c>
      <c r="D2234" s="1" t="s">
        <v>19</v>
      </c>
      <c r="E2234" s="1" t="s">
        <v>75</v>
      </c>
      <c r="F2234">
        <v>2012</v>
      </c>
      <c r="G2234">
        <v>4</v>
      </c>
      <c r="H2234" s="1" t="s">
        <v>123</v>
      </c>
      <c r="I2234">
        <v>20</v>
      </c>
      <c r="J2234">
        <v>1990</v>
      </c>
      <c r="K2234" s="1" t="s">
        <v>76</v>
      </c>
      <c r="L2234" s="1" t="s">
        <v>64</v>
      </c>
      <c r="M2234">
        <v>0.47499999999999998</v>
      </c>
      <c r="N2234">
        <v>9492.7999999999993</v>
      </c>
      <c r="O2234">
        <v>9.4930000000000003</v>
      </c>
      <c r="P2234" s="2">
        <v>42370</v>
      </c>
      <c r="Q2234">
        <v>1</v>
      </c>
      <c r="R2234" s="1" t="s">
        <v>122</v>
      </c>
    </row>
    <row r="2235" spans="1:18" x14ac:dyDescent="0.25">
      <c r="A2235">
        <v>2016</v>
      </c>
      <c r="B2235">
        <v>2</v>
      </c>
      <c r="C2235" s="1" t="s">
        <v>25</v>
      </c>
      <c r="D2235" s="1" t="s">
        <v>19</v>
      </c>
      <c r="E2235" s="1" t="s">
        <v>75</v>
      </c>
      <c r="F2235">
        <v>2012</v>
      </c>
      <c r="G2235">
        <v>4</v>
      </c>
      <c r="H2235" s="1" t="s">
        <v>123</v>
      </c>
      <c r="I2235">
        <v>20</v>
      </c>
      <c r="J2235">
        <v>1990</v>
      </c>
      <c r="K2235" s="1" t="s">
        <v>76</v>
      </c>
      <c r="L2235" s="1" t="s">
        <v>64</v>
      </c>
      <c r="M2235">
        <v>0.48499999999999999</v>
      </c>
      <c r="N2235">
        <v>9696.7999999999993</v>
      </c>
      <c r="O2235">
        <v>9.6969999999999992</v>
      </c>
      <c r="P2235" s="2">
        <v>42401</v>
      </c>
      <c r="Q2235">
        <v>1</v>
      </c>
      <c r="R2235" s="1" t="s">
        <v>122</v>
      </c>
    </row>
    <row r="2236" spans="1:18" x14ac:dyDescent="0.25">
      <c r="A2236">
        <v>2016</v>
      </c>
      <c r="B2236">
        <v>3</v>
      </c>
      <c r="C2236" s="1" t="s">
        <v>26</v>
      </c>
      <c r="D2236" s="1" t="s">
        <v>19</v>
      </c>
      <c r="E2236" s="1" t="s">
        <v>75</v>
      </c>
      <c r="F2236">
        <v>2012</v>
      </c>
      <c r="G2236">
        <v>4</v>
      </c>
      <c r="H2236" s="1" t="s">
        <v>123</v>
      </c>
      <c r="I2236">
        <v>20</v>
      </c>
      <c r="J2236">
        <v>1990</v>
      </c>
      <c r="K2236" s="1" t="s">
        <v>76</v>
      </c>
      <c r="L2236" s="1" t="s">
        <v>64</v>
      </c>
      <c r="M2236">
        <v>0.59499999999999997</v>
      </c>
      <c r="N2236">
        <v>11900</v>
      </c>
      <c r="O2236">
        <v>11.9</v>
      </c>
      <c r="P2236" s="2">
        <v>42430</v>
      </c>
      <c r="Q2236">
        <v>1</v>
      </c>
      <c r="R2236" s="1" t="s">
        <v>122</v>
      </c>
    </row>
    <row r="2237" spans="1:18" x14ac:dyDescent="0.25">
      <c r="A2237">
        <v>2016</v>
      </c>
      <c r="B2237">
        <v>4</v>
      </c>
      <c r="C2237" s="1" t="s">
        <v>27</v>
      </c>
      <c r="D2237" s="1" t="s">
        <v>19</v>
      </c>
      <c r="E2237" s="1" t="s">
        <v>75</v>
      </c>
      <c r="F2237">
        <v>2012</v>
      </c>
      <c r="G2237">
        <v>4</v>
      </c>
      <c r="H2237" s="1" t="s">
        <v>123</v>
      </c>
      <c r="I2237">
        <v>20</v>
      </c>
      <c r="J2237">
        <v>1990</v>
      </c>
      <c r="K2237" s="1" t="s">
        <v>76</v>
      </c>
      <c r="L2237" s="1" t="s">
        <v>64</v>
      </c>
      <c r="M2237">
        <v>0.35299999999999998</v>
      </c>
      <c r="N2237">
        <v>7058.4</v>
      </c>
      <c r="O2237">
        <v>7.0579999999999998</v>
      </c>
      <c r="P2237" s="2">
        <v>42461</v>
      </c>
      <c r="Q2237">
        <v>1</v>
      </c>
      <c r="R2237" s="1" t="s">
        <v>122</v>
      </c>
    </row>
    <row r="2238" spans="1:18" x14ac:dyDescent="0.25">
      <c r="A2238">
        <v>2016</v>
      </c>
      <c r="B2238">
        <v>5</v>
      </c>
      <c r="C2238" s="1" t="s">
        <v>28</v>
      </c>
      <c r="D2238" s="1" t="s">
        <v>19</v>
      </c>
      <c r="E2238" s="1" t="s">
        <v>75</v>
      </c>
      <c r="F2238">
        <v>2012</v>
      </c>
      <c r="G2238">
        <v>4</v>
      </c>
      <c r="H2238" s="1" t="s">
        <v>123</v>
      </c>
      <c r="I2238">
        <v>20</v>
      </c>
      <c r="J2238">
        <v>1990</v>
      </c>
      <c r="K2238" s="1" t="s">
        <v>76</v>
      </c>
      <c r="L2238" s="1" t="s">
        <v>64</v>
      </c>
      <c r="M2238">
        <v>0.81499999999999995</v>
      </c>
      <c r="N2238">
        <v>16306.4</v>
      </c>
      <c r="O2238">
        <v>16.306000000000001</v>
      </c>
      <c r="P2238" s="2">
        <v>42491</v>
      </c>
      <c r="Q2238">
        <v>1</v>
      </c>
      <c r="R2238" s="1" t="s">
        <v>122</v>
      </c>
    </row>
    <row r="2239" spans="1:18" x14ac:dyDescent="0.25">
      <c r="A2239">
        <v>2016</v>
      </c>
      <c r="B2239">
        <v>6</v>
      </c>
      <c r="C2239" s="1" t="s">
        <v>29</v>
      </c>
      <c r="D2239" s="1" t="s">
        <v>19</v>
      </c>
      <c r="E2239" s="1" t="s">
        <v>75</v>
      </c>
      <c r="F2239">
        <v>2012</v>
      </c>
      <c r="G2239">
        <v>4</v>
      </c>
      <c r="H2239" s="1" t="s">
        <v>123</v>
      </c>
      <c r="I2239">
        <v>20</v>
      </c>
      <c r="J2239">
        <v>1990</v>
      </c>
      <c r="K2239" s="1" t="s">
        <v>76</v>
      </c>
      <c r="L2239" s="1" t="s">
        <v>64</v>
      </c>
      <c r="M2239">
        <v>0.85199999999999998</v>
      </c>
      <c r="N2239">
        <v>17040.8</v>
      </c>
      <c r="O2239">
        <v>17.041</v>
      </c>
      <c r="P2239" s="2">
        <v>42522</v>
      </c>
      <c r="Q2239">
        <v>1</v>
      </c>
      <c r="R2239" s="1" t="s">
        <v>122</v>
      </c>
    </row>
    <row r="2240" spans="1:18" x14ac:dyDescent="0.25">
      <c r="A2240">
        <v>2016</v>
      </c>
      <c r="B2240">
        <v>7</v>
      </c>
      <c r="C2240" s="1" t="s">
        <v>30</v>
      </c>
      <c r="D2240" s="1" t="s">
        <v>19</v>
      </c>
      <c r="E2240" s="1" t="s">
        <v>75</v>
      </c>
      <c r="F2240">
        <v>2012</v>
      </c>
      <c r="G2240">
        <v>4</v>
      </c>
      <c r="H2240" s="1" t="s">
        <v>123</v>
      </c>
      <c r="I2240">
        <v>20</v>
      </c>
      <c r="J2240">
        <v>1990</v>
      </c>
      <c r="K2240" s="1" t="s">
        <v>76</v>
      </c>
      <c r="L2240" s="1" t="s">
        <v>64</v>
      </c>
      <c r="M2240">
        <v>0.63300000000000001</v>
      </c>
      <c r="N2240">
        <v>12661.6</v>
      </c>
      <c r="O2240">
        <v>12.662000000000001</v>
      </c>
      <c r="P2240" s="2">
        <v>42552</v>
      </c>
      <c r="Q2240">
        <v>1</v>
      </c>
      <c r="R2240" s="1" t="s">
        <v>122</v>
      </c>
    </row>
    <row r="2241" spans="1:18" x14ac:dyDescent="0.25">
      <c r="A2241">
        <v>2016</v>
      </c>
      <c r="B2241">
        <v>8</v>
      </c>
      <c r="C2241" s="1" t="s">
        <v>31</v>
      </c>
      <c r="D2241" s="1" t="s">
        <v>19</v>
      </c>
      <c r="E2241" s="1" t="s">
        <v>75</v>
      </c>
      <c r="F2241">
        <v>2012</v>
      </c>
      <c r="G2241">
        <v>4</v>
      </c>
      <c r="H2241" s="1" t="s">
        <v>123</v>
      </c>
      <c r="I2241">
        <v>20</v>
      </c>
      <c r="J2241">
        <v>1990</v>
      </c>
      <c r="K2241" s="1" t="s">
        <v>76</v>
      </c>
      <c r="L2241" s="1" t="s">
        <v>64</v>
      </c>
      <c r="M2241">
        <v>0.58299999999999996</v>
      </c>
      <c r="N2241">
        <v>11655.2</v>
      </c>
      <c r="O2241">
        <v>11.654999999999999</v>
      </c>
      <c r="P2241" s="2">
        <v>42583</v>
      </c>
      <c r="Q2241">
        <v>1</v>
      </c>
      <c r="R2241" s="1" t="s">
        <v>122</v>
      </c>
    </row>
    <row r="2242" spans="1:18" x14ac:dyDescent="0.25">
      <c r="A2242">
        <v>2016</v>
      </c>
      <c r="B2242">
        <v>9</v>
      </c>
      <c r="C2242" s="1" t="s">
        <v>32</v>
      </c>
      <c r="D2242" s="1" t="s">
        <v>19</v>
      </c>
      <c r="E2242" s="1" t="s">
        <v>75</v>
      </c>
      <c r="F2242">
        <v>2012</v>
      </c>
      <c r="G2242">
        <v>4</v>
      </c>
      <c r="H2242" s="1" t="s">
        <v>123</v>
      </c>
      <c r="I2242">
        <v>20</v>
      </c>
      <c r="J2242">
        <v>1990</v>
      </c>
      <c r="K2242" s="1" t="s">
        <v>76</v>
      </c>
      <c r="L2242" s="1" t="s">
        <v>64</v>
      </c>
      <c r="M2242">
        <v>0.47099999999999997</v>
      </c>
      <c r="N2242">
        <v>9411.2000000000007</v>
      </c>
      <c r="O2242">
        <v>9.4109999999999996</v>
      </c>
      <c r="P2242" s="2">
        <v>42614</v>
      </c>
      <c r="Q2242">
        <v>1</v>
      </c>
      <c r="R2242" s="1" t="s">
        <v>122</v>
      </c>
    </row>
    <row r="2243" spans="1:18" x14ac:dyDescent="0.25">
      <c r="A2243">
        <v>2016</v>
      </c>
      <c r="B2243">
        <v>10</v>
      </c>
      <c r="C2243" s="1" t="s">
        <v>33</v>
      </c>
      <c r="D2243" s="1" t="s">
        <v>19</v>
      </c>
      <c r="E2243" s="1" t="s">
        <v>75</v>
      </c>
      <c r="F2243">
        <v>2012</v>
      </c>
      <c r="G2243">
        <v>4</v>
      </c>
      <c r="H2243" s="1" t="s">
        <v>123</v>
      </c>
      <c r="I2243">
        <v>20</v>
      </c>
      <c r="J2243">
        <v>1990</v>
      </c>
      <c r="K2243" s="1" t="s">
        <v>76</v>
      </c>
      <c r="L2243" s="1" t="s">
        <v>64</v>
      </c>
      <c r="M2243">
        <v>0.83</v>
      </c>
      <c r="N2243">
        <v>16592</v>
      </c>
      <c r="O2243">
        <v>16.591999999999999</v>
      </c>
      <c r="P2243" s="2">
        <v>42644</v>
      </c>
      <c r="Q2243">
        <v>1</v>
      </c>
      <c r="R2243" s="1" t="s">
        <v>122</v>
      </c>
    </row>
    <row r="2244" spans="1:18" x14ac:dyDescent="0.25">
      <c r="A2244">
        <v>2016</v>
      </c>
      <c r="B2244">
        <v>11</v>
      </c>
      <c r="C2244" s="1" t="s">
        <v>34</v>
      </c>
      <c r="D2244" s="1" t="s">
        <v>19</v>
      </c>
      <c r="E2244" s="1" t="s">
        <v>75</v>
      </c>
      <c r="F2244">
        <v>2012</v>
      </c>
      <c r="G2244">
        <v>4</v>
      </c>
      <c r="H2244" s="1" t="s">
        <v>123</v>
      </c>
      <c r="I2244">
        <v>20</v>
      </c>
      <c r="J2244">
        <v>1990</v>
      </c>
      <c r="K2244" s="1" t="s">
        <v>76</v>
      </c>
      <c r="L2244" s="1" t="s">
        <v>64</v>
      </c>
      <c r="M2244">
        <v>0.748</v>
      </c>
      <c r="N2244">
        <v>14960</v>
      </c>
      <c r="O2244">
        <v>14.96</v>
      </c>
      <c r="P2244" s="2">
        <v>42675</v>
      </c>
      <c r="Q2244">
        <v>1</v>
      </c>
      <c r="R2244" s="1" t="s">
        <v>122</v>
      </c>
    </row>
    <row r="2245" spans="1:18" x14ac:dyDescent="0.25">
      <c r="A2245">
        <v>2016</v>
      </c>
      <c r="B2245">
        <v>12</v>
      </c>
      <c r="C2245" s="1" t="s">
        <v>35</v>
      </c>
      <c r="D2245" s="1" t="s">
        <v>19</v>
      </c>
      <c r="E2245" s="1" t="s">
        <v>75</v>
      </c>
      <c r="F2245">
        <v>2012</v>
      </c>
      <c r="G2245">
        <v>4</v>
      </c>
      <c r="H2245" s="1" t="s">
        <v>123</v>
      </c>
      <c r="I2245">
        <v>20</v>
      </c>
      <c r="J2245">
        <v>1990</v>
      </c>
      <c r="K2245" s="1" t="s">
        <v>76</v>
      </c>
      <c r="L2245" s="1" t="s">
        <v>64</v>
      </c>
      <c r="M2245">
        <v>0.73399999999999999</v>
      </c>
      <c r="N2245">
        <v>14674.4</v>
      </c>
      <c r="O2245">
        <v>14.673999999999999</v>
      </c>
      <c r="P2245" s="2">
        <v>42705</v>
      </c>
      <c r="Q2245">
        <v>1</v>
      </c>
      <c r="R2245" s="1" t="s">
        <v>122</v>
      </c>
    </row>
    <row r="2246" spans="1:18" x14ac:dyDescent="0.25">
      <c r="A2246">
        <v>2016</v>
      </c>
      <c r="B2246">
        <v>1</v>
      </c>
      <c r="C2246" s="1" t="s">
        <v>18</v>
      </c>
      <c r="D2246" s="1" t="s">
        <v>19</v>
      </c>
      <c r="E2246" s="1" t="s">
        <v>77</v>
      </c>
      <c r="F2246">
        <v>2012</v>
      </c>
      <c r="G2246">
        <v>4</v>
      </c>
      <c r="H2246" s="1" t="s">
        <v>123</v>
      </c>
      <c r="I2246">
        <v>22</v>
      </c>
      <c r="J2246">
        <v>2606</v>
      </c>
      <c r="K2246" s="1" t="s">
        <v>78</v>
      </c>
      <c r="L2246" s="1" t="s">
        <v>64</v>
      </c>
      <c r="M2246">
        <v>0.47499999999999998</v>
      </c>
      <c r="N2246">
        <v>10442.1</v>
      </c>
      <c r="O2246">
        <v>10.442</v>
      </c>
      <c r="P2246" s="2">
        <v>42370</v>
      </c>
      <c r="Q2246">
        <v>1</v>
      </c>
      <c r="R2246" s="1" t="s">
        <v>122</v>
      </c>
    </row>
    <row r="2247" spans="1:18" x14ac:dyDescent="0.25">
      <c r="A2247">
        <v>2016</v>
      </c>
      <c r="B2247">
        <v>2</v>
      </c>
      <c r="C2247" s="1" t="s">
        <v>25</v>
      </c>
      <c r="D2247" s="1" t="s">
        <v>19</v>
      </c>
      <c r="E2247" s="1" t="s">
        <v>77</v>
      </c>
      <c r="F2247">
        <v>2012</v>
      </c>
      <c r="G2247">
        <v>4</v>
      </c>
      <c r="H2247" s="1" t="s">
        <v>123</v>
      </c>
      <c r="I2247">
        <v>22</v>
      </c>
      <c r="J2247">
        <v>2606</v>
      </c>
      <c r="K2247" s="1" t="s">
        <v>78</v>
      </c>
      <c r="L2247" s="1" t="s">
        <v>64</v>
      </c>
      <c r="M2247">
        <v>0.48499999999999999</v>
      </c>
      <c r="N2247">
        <v>10666.5</v>
      </c>
      <c r="O2247">
        <v>10.666</v>
      </c>
      <c r="P2247" s="2">
        <v>42401</v>
      </c>
      <c r="Q2247">
        <v>1</v>
      </c>
      <c r="R2247" s="1" t="s">
        <v>122</v>
      </c>
    </row>
    <row r="2248" spans="1:18" x14ac:dyDescent="0.25">
      <c r="A2248">
        <v>2016</v>
      </c>
      <c r="B2248">
        <v>3</v>
      </c>
      <c r="C2248" s="1" t="s">
        <v>26</v>
      </c>
      <c r="D2248" s="1" t="s">
        <v>19</v>
      </c>
      <c r="E2248" s="1" t="s">
        <v>77</v>
      </c>
      <c r="F2248">
        <v>2012</v>
      </c>
      <c r="G2248">
        <v>4</v>
      </c>
      <c r="H2248" s="1" t="s">
        <v>123</v>
      </c>
      <c r="I2248">
        <v>22</v>
      </c>
      <c r="J2248">
        <v>2606</v>
      </c>
      <c r="K2248" s="1" t="s">
        <v>78</v>
      </c>
      <c r="L2248" s="1" t="s">
        <v>64</v>
      </c>
      <c r="M2248">
        <v>0.59499999999999997</v>
      </c>
      <c r="N2248">
        <v>13090</v>
      </c>
      <c r="O2248">
        <v>13.09</v>
      </c>
      <c r="P2248" s="2">
        <v>42430</v>
      </c>
      <c r="Q2248">
        <v>1</v>
      </c>
      <c r="R2248" s="1" t="s">
        <v>122</v>
      </c>
    </row>
    <row r="2249" spans="1:18" x14ac:dyDescent="0.25">
      <c r="A2249">
        <v>2016</v>
      </c>
      <c r="B2249">
        <v>4</v>
      </c>
      <c r="C2249" s="1" t="s">
        <v>27</v>
      </c>
      <c r="D2249" s="1" t="s">
        <v>19</v>
      </c>
      <c r="E2249" s="1" t="s">
        <v>77</v>
      </c>
      <c r="F2249">
        <v>2012</v>
      </c>
      <c r="G2249">
        <v>4</v>
      </c>
      <c r="H2249" s="1" t="s">
        <v>123</v>
      </c>
      <c r="I2249">
        <v>22</v>
      </c>
      <c r="J2249">
        <v>2606</v>
      </c>
      <c r="K2249" s="1" t="s">
        <v>78</v>
      </c>
      <c r="L2249" s="1" t="s">
        <v>64</v>
      </c>
      <c r="M2249">
        <v>0.35299999999999998</v>
      </c>
      <c r="N2249">
        <v>7764.2</v>
      </c>
      <c r="O2249">
        <v>7.7640000000000002</v>
      </c>
      <c r="P2249" s="2">
        <v>42461</v>
      </c>
      <c r="Q2249">
        <v>1</v>
      </c>
      <c r="R2249" s="1" t="s">
        <v>122</v>
      </c>
    </row>
    <row r="2250" spans="1:18" x14ac:dyDescent="0.25">
      <c r="A2250">
        <v>2016</v>
      </c>
      <c r="B2250">
        <v>5</v>
      </c>
      <c r="C2250" s="1" t="s">
        <v>28</v>
      </c>
      <c r="D2250" s="1" t="s">
        <v>19</v>
      </c>
      <c r="E2250" s="1" t="s">
        <v>77</v>
      </c>
      <c r="F2250">
        <v>2012</v>
      </c>
      <c r="G2250">
        <v>4</v>
      </c>
      <c r="H2250" s="1" t="s">
        <v>123</v>
      </c>
      <c r="I2250">
        <v>22</v>
      </c>
      <c r="J2250">
        <v>2606</v>
      </c>
      <c r="K2250" s="1" t="s">
        <v>78</v>
      </c>
      <c r="L2250" s="1" t="s">
        <v>64</v>
      </c>
      <c r="M2250">
        <v>0.81499999999999995</v>
      </c>
      <c r="N2250">
        <v>17937</v>
      </c>
      <c r="O2250">
        <v>17.937000000000001</v>
      </c>
      <c r="P2250" s="2">
        <v>42491</v>
      </c>
      <c r="Q2250">
        <v>1</v>
      </c>
      <c r="R2250" s="1" t="s">
        <v>122</v>
      </c>
    </row>
    <row r="2251" spans="1:18" x14ac:dyDescent="0.25">
      <c r="A2251">
        <v>2016</v>
      </c>
      <c r="B2251">
        <v>6</v>
      </c>
      <c r="C2251" s="1" t="s">
        <v>29</v>
      </c>
      <c r="D2251" s="1" t="s">
        <v>19</v>
      </c>
      <c r="E2251" s="1" t="s">
        <v>77</v>
      </c>
      <c r="F2251">
        <v>2012</v>
      </c>
      <c r="G2251">
        <v>4</v>
      </c>
      <c r="H2251" s="1" t="s">
        <v>123</v>
      </c>
      <c r="I2251">
        <v>22</v>
      </c>
      <c r="J2251">
        <v>2606</v>
      </c>
      <c r="K2251" s="1" t="s">
        <v>78</v>
      </c>
      <c r="L2251" s="1" t="s">
        <v>64</v>
      </c>
      <c r="M2251">
        <v>0.85199999999999998</v>
      </c>
      <c r="N2251">
        <v>18744.900000000001</v>
      </c>
      <c r="O2251">
        <v>18.745000000000001</v>
      </c>
      <c r="P2251" s="2">
        <v>42522</v>
      </c>
      <c r="Q2251">
        <v>1</v>
      </c>
      <c r="R2251" s="1" t="s">
        <v>122</v>
      </c>
    </row>
    <row r="2252" spans="1:18" x14ac:dyDescent="0.25">
      <c r="A2252">
        <v>2016</v>
      </c>
      <c r="B2252">
        <v>7</v>
      </c>
      <c r="C2252" s="1" t="s">
        <v>30</v>
      </c>
      <c r="D2252" s="1" t="s">
        <v>19</v>
      </c>
      <c r="E2252" s="1" t="s">
        <v>77</v>
      </c>
      <c r="F2252">
        <v>2012</v>
      </c>
      <c r="G2252">
        <v>4</v>
      </c>
      <c r="H2252" s="1" t="s">
        <v>123</v>
      </c>
      <c r="I2252">
        <v>22</v>
      </c>
      <c r="J2252">
        <v>2606</v>
      </c>
      <c r="K2252" s="1" t="s">
        <v>78</v>
      </c>
      <c r="L2252" s="1" t="s">
        <v>64</v>
      </c>
      <c r="M2252">
        <v>0.63300000000000001</v>
      </c>
      <c r="N2252">
        <v>13927.8</v>
      </c>
      <c r="O2252">
        <v>13.928000000000001</v>
      </c>
      <c r="P2252" s="2">
        <v>42552</v>
      </c>
      <c r="Q2252">
        <v>1</v>
      </c>
      <c r="R2252" s="1" t="s">
        <v>122</v>
      </c>
    </row>
    <row r="2253" spans="1:18" x14ac:dyDescent="0.25">
      <c r="A2253">
        <v>2016</v>
      </c>
      <c r="B2253">
        <v>8</v>
      </c>
      <c r="C2253" s="1" t="s">
        <v>31</v>
      </c>
      <c r="D2253" s="1" t="s">
        <v>19</v>
      </c>
      <c r="E2253" s="1" t="s">
        <v>77</v>
      </c>
      <c r="F2253">
        <v>2012</v>
      </c>
      <c r="G2253">
        <v>4</v>
      </c>
      <c r="H2253" s="1" t="s">
        <v>123</v>
      </c>
      <c r="I2253">
        <v>22</v>
      </c>
      <c r="J2253">
        <v>2606</v>
      </c>
      <c r="K2253" s="1" t="s">
        <v>78</v>
      </c>
      <c r="L2253" s="1" t="s">
        <v>64</v>
      </c>
      <c r="M2253">
        <v>0.58299999999999996</v>
      </c>
      <c r="N2253">
        <v>12820.7</v>
      </c>
      <c r="O2253">
        <v>12.821</v>
      </c>
      <c r="P2253" s="2">
        <v>42583</v>
      </c>
      <c r="Q2253">
        <v>1</v>
      </c>
      <c r="R2253" s="1" t="s">
        <v>122</v>
      </c>
    </row>
    <row r="2254" spans="1:18" x14ac:dyDescent="0.25">
      <c r="A2254">
        <v>2016</v>
      </c>
      <c r="B2254">
        <v>9</v>
      </c>
      <c r="C2254" s="1" t="s">
        <v>32</v>
      </c>
      <c r="D2254" s="1" t="s">
        <v>19</v>
      </c>
      <c r="E2254" s="1" t="s">
        <v>77</v>
      </c>
      <c r="F2254">
        <v>2012</v>
      </c>
      <c r="G2254">
        <v>4</v>
      </c>
      <c r="H2254" s="1" t="s">
        <v>123</v>
      </c>
      <c r="I2254">
        <v>22</v>
      </c>
      <c r="J2254">
        <v>2606</v>
      </c>
      <c r="K2254" s="1" t="s">
        <v>78</v>
      </c>
      <c r="L2254" s="1" t="s">
        <v>64</v>
      </c>
      <c r="M2254">
        <v>0.47099999999999997</v>
      </c>
      <c r="N2254">
        <v>10352.299999999999</v>
      </c>
      <c r="O2254">
        <v>10.352</v>
      </c>
      <c r="P2254" s="2">
        <v>42614</v>
      </c>
      <c r="Q2254">
        <v>1</v>
      </c>
      <c r="R2254" s="1" t="s">
        <v>122</v>
      </c>
    </row>
    <row r="2255" spans="1:18" x14ac:dyDescent="0.25">
      <c r="A2255">
        <v>2016</v>
      </c>
      <c r="B2255">
        <v>10</v>
      </c>
      <c r="C2255" s="1" t="s">
        <v>33</v>
      </c>
      <c r="D2255" s="1" t="s">
        <v>19</v>
      </c>
      <c r="E2255" s="1" t="s">
        <v>77</v>
      </c>
      <c r="F2255">
        <v>2012</v>
      </c>
      <c r="G2255">
        <v>4</v>
      </c>
      <c r="H2255" s="1" t="s">
        <v>123</v>
      </c>
      <c r="I2255">
        <v>22</v>
      </c>
      <c r="J2255">
        <v>2606</v>
      </c>
      <c r="K2255" s="1" t="s">
        <v>78</v>
      </c>
      <c r="L2255" s="1" t="s">
        <v>64</v>
      </c>
      <c r="M2255">
        <v>0.83</v>
      </c>
      <c r="N2255">
        <v>18251.2</v>
      </c>
      <c r="O2255">
        <v>18.251000000000001</v>
      </c>
      <c r="P2255" s="2">
        <v>42644</v>
      </c>
      <c r="Q2255">
        <v>1</v>
      </c>
      <c r="R2255" s="1" t="s">
        <v>122</v>
      </c>
    </row>
    <row r="2256" spans="1:18" x14ac:dyDescent="0.25">
      <c r="A2256">
        <v>2016</v>
      </c>
      <c r="B2256">
        <v>11</v>
      </c>
      <c r="C2256" s="1" t="s">
        <v>34</v>
      </c>
      <c r="D2256" s="1" t="s">
        <v>19</v>
      </c>
      <c r="E2256" s="1" t="s">
        <v>77</v>
      </c>
      <c r="F2256">
        <v>2012</v>
      </c>
      <c r="G2256">
        <v>4</v>
      </c>
      <c r="H2256" s="1" t="s">
        <v>123</v>
      </c>
      <c r="I2256">
        <v>22</v>
      </c>
      <c r="J2256">
        <v>2606</v>
      </c>
      <c r="K2256" s="1" t="s">
        <v>78</v>
      </c>
      <c r="L2256" s="1" t="s">
        <v>64</v>
      </c>
      <c r="M2256">
        <v>0.748</v>
      </c>
      <c r="N2256">
        <v>16456</v>
      </c>
      <c r="O2256">
        <v>16.456</v>
      </c>
      <c r="P2256" s="2">
        <v>42675</v>
      </c>
      <c r="Q2256">
        <v>1</v>
      </c>
      <c r="R2256" s="1" t="s">
        <v>122</v>
      </c>
    </row>
    <row r="2257" spans="1:18" x14ac:dyDescent="0.25">
      <c r="A2257">
        <v>2016</v>
      </c>
      <c r="B2257">
        <v>12</v>
      </c>
      <c r="C2257" s="1" t="s">
        <v>35</v>
      </c>
      <c r="D2257" s="1" t="s">
        <v>19</v>
      </c>
      <c r="E2257" s="1" t="s">
        <v>77</v>
      </c>
      <c r="F2257">
        <v>2012</v>
      </c>
      <c r="G2257">
        <v>4</v>
      </c>
      <c r="H2257" s="1" t="s">
        <v>123</v>
      </c>
      <c r="I2257">
        <v>22</v>
      </c>
      <c r="J2257">
        <v>2606</v>
      </c>
      <c r="K2257" s="1" t="s">
        <v>78</v>
      </c>
      <c r="L2257" s="1" t="s">
        <v>64</v>
      </c>
      <c r="M2257">
        <v>0.73399999999999999</v>
      </c>
      <c r="N2257">
        <v>16141.8</v>
      </c>
      <c r="O2257">
        <v>16.141999999999999</v>
      </c>
      <c r="P2257" s="2">
        <v>42705</v>
      </c>
      <c r="Q2257">
        <v>1</v>
      </c>
      <c r="R2257" s="1" t="s">
        <v>122</v>
      </c>
    </row>
    <row r="2258" spans="1:18" x14ac:dyDescent="0.25">
      <c r="A2258">
        <v>2016</v>
      </c>
      <c r="B2258">
        <v>1</v>
      </c>
      <c r="C2258" s="1" t="s">
        <v>18</v>
      </c>
      <c r="D2258" s="1" t="s">
        <v>19</v>
      </c>
      <c r="E2258" s="1" t="s">
        <v>79</v>
      </c>
      <c r="F2258">
        <v>2012</v>
      </c>
      <c r="G2258">
        <v>4</v>
      </c>
      <c r="H2258" s="1" t="s">
        <v>123</v>
      </c>
      <c r="I2258">
        <v>22</v>
      </c>
      <c r="J2258">
        <v>2683</v>
      </c>
      <c r="K2258" s="1" t="s">
        <v>80</v>
      </c>
      <c r="L2258" s="1" t="s">
        <v>45</v>
      </c>
      <c r="M2258">
        <v>0.47499999999999998</v>
      </c>
      <c r="N2258">
        <v>10442.1</v>
      </c>
      <c r="O2258">
        <v>10.442</v>
      </c>
      <c r="P2258" s="2">
        <v>42370</v>
      </c>
      <c r="Q2258">
        <v>1</v>
      </c>
      <c r="R2258" s="1" t="s">
        <v>122</v>
      </c>
    </row>
    <row r="2259" spans="1:18" x14ac:dyDescent="0.25">
      <c r="A2259">
        <v>2016</v>
      </c>
      <c r="B2259">
        <v>2</v>
      </c>
      <c r="C2259" s="1" t="s">
        <v>25</v>
      </c>
      <c r="D2259" s="1" t="s">
        <v>19</v>
      </c>
      <c r="E2259" s="1" t="s">
        <v>79</v>
      </c>
      <c r="F2259">
        <v>2012</v>
      </c>
      <c r="G2259">
        <v>4</v>
      </c>
      <c r="H2259" s="1" t="s">
        <v>123</v>
      </c>
      <c r="I2259">
        <v>22</v>
      </c>
      <c r="J2259">
        <v>2683</v>
      </c>
      <c r="K2259" s="1" t="s">
        <v>80</v>
      </c>
      <c r="L2259" s="1" t="s">
        <v>45</v>
      </c>
      <c r="M2259">
        <v>0.48499999999999999</v>
      </c>
      <c r="N2259">
        <v>10666.5</v>
      </c>
      <c r="O2259">
        <v>10.666</v>
      </c>
      <c r="P2259" s="2">
        <v>42401</v>
      </c>
      <c r="Q2259">
        <v>1</v>
      </c>
      <c r="R2259" s="1" t="s">
        <v>122</v>
      </c>
    </row>
    <row r="2260" spans="1:18" x14ac:dyDescent="0.25">
      <c r="A2260">
        <v>2016</v>
      </c>
      <c r="B2260">
        <v>3</v>
      </c>
      <c r="C2260" s="1" t="s">
        <v>26</v>
      </c>
      <c r="D2260" s="1" t="s">
        <v>19</v>
      </c>
      <c r="E2260" s="1" t="s">
        <v>79</v>
      </c>
      <c r="F2260">
        <v>2012</v>
      </c>
      <c r="G2260">
        <v>4</v>
      </c>
      <c r="H2260" s="1" t="s">
        <v>123</v>
      </c>
      <c r="I2260">
        <v>22</v>
      </c>
      <c r="J2260">
        <v>2683</v>
      </c>
      <c r="K2260" s="1" t="s">
        <v>80</v>
      </c>
      <c r="L2260" s="1" t="s">
        <v>45</v>
      </c>
      <c r="M2260">
        <v>0.59499999999999997</v>
      </c>
      <c r="N2260">
        <v>13090</v>
      </c>
      <c r="O2260">
        <v>13.09</v>
      </c>
      <c r="P2260" s="2">
        <v>42430</v>
      </c>
      <c r="Q2260">
        <v>1</v>
      </c>
      <c r="R2260" s="1" t="s">
        <v>122</v>
      </c>
    </row>
    <row r="2261" spans="1:18" x14ac:dyDescent="0.25">
      <c r="A2261">
        <v>2016</v>
      </c>
      <c r="B2261">
        <v>4</v>
      </c>
      <c r="C2261" s="1" t="s">
        <v>27</v>
      </c>
      <c r="D2261" s="1" t="s">
        <v>19</v>
      </c>
      <c r="E2261" s="1" t="s">
        <v>79</v>
      </c>
      <c r="F2261">
        <v>2012</v>
      </c>
      <c r="G2261">
        <v>4</v>
      </c>
      <c r="H2261" s="1" t="s">
        <v>123</v>
      </c>
      <c r="I2261">
        <v>22</v>
      </c>
      <c r="J2261">
        <v>2683</v>
      </c>
      <c r="K2261" s="1" t="s">
        <v>80</v>
      </c>
      <c r="L2261" s="1" t="s">
        <v>45</v>
      </c>
      <c r="M2261">
        <v>0.35299999999999998</v>
      </c>
      <c r="N2261">
        <v>7764.2</v>
      </c>
      <c r="O2261">
        <v>7.7640000000000002</v>
      </c>
      <c r="P2261" s="2">
        <v>42461</v>
      </c>
      <c r="Q2261">
        <v>1</v>
      </c>
      <c r="R2261" s="1" t="s">
        <v>122</v>
      </c>
    </row>
    <row r="2262" spans="1:18" x14ac:dyDescent="0.25">
      <c r="A2262">
        <v>2016</v>
      </c>
      <c r="B2262">
        <v>5</v>
      </c>
      <c r="C2262" s="1" t="s">
        <v>28</v>
      </c>
      <c r="D2262" s="1" t="s">
        <v>19</v>
      </c>
      <c r="E2262" s="1" t="s">
        <v>79</v>
      </c>
      <c r="F2262">
        <v>2012</v>
      </c>
      <c r="G2262">
        <v>4</v>
      </c>
      <c r="H2262" s="1" t="s">
        <v>123</v>
      </c>
      <c r="I2262">
        <v>22</v>
      </c>
      <c r="J2262">
        <v>2683</v>
      </c>
      <c r="K2262" s="1" t="s">
        <v>80</v>
      </c>
      <c r="L2262" s="1" t="s">
        <v>45</v>
      </c>
      <c r="M2262">
        <v>0.81499999999999995</v>
      </c>
      <c r="N2262">
        <v>17937</v>
      </c>
      <c r="O2262">
        <v>17.937000000000001</v>
      </c>
      <c r="P2262" s="2">
        <v>42491</v>
      </c>
      <c r="Q2262">
        <v>1</v>
      </c>
      <c r="R2262" s="1" t="s">
        <v>122</v>
      </c>
    </row>
    <row r="2263" spans="1:18" x14ac:dyDescent="0.25">
      <c r="A2263">
        <v>2016</v>
      </c>
      <c r="B2263">
        <v>6</v>
      </c>
      <c r="C2263" s="1" t="s">
        <v>29</v>
      </c>
      <c r="D2263" s="1" t="s">
        <v>19</v>
      </c>
      <c r="E2263" s="1" t="s">
        <v>79</v>
      </c>
      <c r="F2263">
        <v>2012</v>
      </c>
      <c r="G2263">
        <v>4</v>
      </c>
      <c r="H2263" s="1" t="s">
        <v>123</v>
      </c>
      <c r="I2263">
        <v>22</v>
      </c>
      <c r="J2263">
        <v>2683</v>
      </c>
      <c r="K2263" s="1" t="s">
        <v>80</v>
      </c>
      <c r="L2263" s="1" t="s">
        <v>45</v>
      </c>
      <c r="M2263">
        <v>0.85199999999999998</v>
      </c>
      <c r="N2263">
        <v>18744.900000000001</v>
      </c>
      <c r="O2263">
        <v>18.745000000000001</v>
      </c>
      <c r="P2263" s="2">
        <v>42522</v>
      </c>
      <c r="Q2263">
        <v>1</v>
      </c>
      <c r="R2263" s="1" t="s">
        <v>122</v>
      </c>
    </row>
    <row r="2264" spans="1:18" x14ac:dyDescent="0.25">
      <c r="A2264">
        <v>2016</v>
      </c>
      <c r="B2264">
        <v>7</v>
      </c>
      <c r="C2264" s="1" t="s">
        <v>30</v>
      </c>
      <c r="D2264" s="1" t="s">
        <v>19</v>
      </c>
      <c r="E2264" s="1" t="s">
        <v>79</v>
      </c>
      <c r="F2264">
        <v>2012</v>
      </c>
      <c r="G2264">
        <v>4</v>
      </c>
      <c r="H2264" s="1" t="s">
        <v>123</v>
      </c>
      <c r="I2264">
        <v>22</v>
      </c>
      <c r="J2264">
        <v>2683</v>
      </c>
      <c r="K2264" s="1" t="s">
        <v>80</v>
      </c>
      <c r="L2264" s="1" t="s">
        <v>45</v>
      </c>
      <c r="M2264">
        <v>0.63300000000000001</v>
      </c>
      <c r="N2264">
        <v>13927.8</v>
      </c>
      <c r="O2264">
        <v>13.928000000000001</v>
      </c>
      <c r="P2264" s="2">
        <v>42552</v>
      </c>
      <c r="Q2264">
        <v>1</v>
      </c>
      <c r="R2264" s="1" t="s">
        <v>122</v>
      </c>
    </row>
    <row r="2265" spans="1:18" x14ac:dyDescent="0.25">
      <c r="A2265">
        <v>2016</v>
      </c>
      <c r="B2265">
        <v>8</v>
      </c>
      <c r="C2265" s="1" t="s">
        <v>31</v>
      </c>
      <c r="D2265" s="1" t="s">
        <v>19</v>
      </c>
      <c r="E2265" s="1" t="s">
        <v>79</v>
      </c>
      <c r="F2265">
        <v>2012</v>
      </c>
      <c r="G2265">
        <v>4</v>
      </c>
      <c r="H2265" s="1" t="s">
        <v>123</v>
      </c>
      <c r="I2265">
        <v>22</v>
      </c>
      <c r="J2265">
        <v>2683</v>
      </c>
      <c r="K2265" s="1" t="s">
        <v>80</v>
      </c>
      <c r="L2265" s="1" t="s">
        <v>45</v>
      </c>
      <c r="M2265">
        <v>0.58299999999999996</v>
      </c>
      <c r="N2265">
        <v>12820.7</v>
      </c>
      <c r="O2265">
        <v>12.821</v>
      </c>
      <c r="P2265" s="2">
        <v>42583</v>
      </c>
      <c r="Q2265">
        <v>1</v>
      </c>
      <c r="R2265" s="1" t="s">
        <v>122</v>
      </c>
    </row>
    <row r="2266" spans="1:18" x14ac:dyDescent="0.25">
      <c r="A2266">
        <v>2016</v>
      </c>
      <c r="B2266">
        <v>9</v>
      </c>
      <c r="C2266" s="1" t="s">
        <v>32</v>
      </c>
      <c r="D2266" s="1" t="s">
        <v>19</v>
      </c>
      <c r="E2266" s="1" t="s">
        <v>79</v>
      </c>
      <c r="F2266">
        <v>2012</v>
      </c>
      <c r="G2266">
        <v>4</v>
      </c>
      <c r="H2266" s="1" t="s">
        <v>123</v>
      </c>
      <c r="I2266">
        <v>22</v>
      </c>
      <c r="J2266">
        <v>2683</v>
      </c>
      <c r="K2266" s="1" t="s">
        <v>80</v>
      </c>
      <c r="L2266" s="1" t="s">
        <v>45</v>
      </c>
      <c r="M2266">
        <v>0.47099999999999997</v>
      </c>
      <c r="N2266">
        <v>10352.299999999999</v>
      </c>
      <c r="O2266">
        <v>10.352</v>
      </c>
      <c r="P2266" s="2">
        <v>42614</v>
      </c>
      <c r="Q2266">
        <v>1</v>
      </c>
      <c r="R2266" s="1" t="s">
        <v>122</v>
      </c>
    </row>
    <row r="2267" spans="1:18" x14ac:dyDescent="0.25">
      <c r="A2267">
        <v>2016</v>
      </c>
      <c r="B2267">
        <v>10</v>
      </c>
      <c r="C2267" s="1" t="s">
        <v>33</v>
      </c>
      <c r="D2267" s="1" t="s">
        <v>19</v>
      </c>
      <c r="E2267" s="1" t="s">
        <v>79</v>
      </c>
      <c r="F2267">
        <v>2012</v>
      </c>
      <c r="G2267">
        <v>4</v>
      </c>
      <c r="H2267" s="1" t="s">
        <v>123</v>
      </c>
      <c r="I2267">
        <v>22</v>
      </c>
      <c r="J2267">
        <v>2683</v>
      </c>
      <c r="K2267" s="1" t="s">
        <v>80</v>
      </c>
      <c r="L2267" s="1" t="s">
        <v>45</v>
      </c>
      <c r="M2267">
        <v>0.83</v>
      </c>
      <c r="N2267">
        <v>18251.2</v>
      </c>
      <c r="O2267">
        <v>18.251000000000001</v>
      </c>
      <c r="P2267" s="2">
        <v>42644</v>
      </c>
      <c r="Q2267">
        <v>1</v>
      </c>
      <c r="R2267" s="1" t="s">
        <v>122</v>
      </c>
    </row>
    <row r="2268" spans="1:18" x14ac:dyDescent="0.25">
      <c r="A2268">
        <v>2016</v>
      </c>
      <c r="B2268">
        <v>11</v>
      </c>
      <c r="C2268" s="1" t="s">
        <v>34</v>
      </c>
      <c r="D2268" s="1" t="s">
        <v>19</v>
      </c>
      <c r="E2268" s="1" t="s">
        <v>79</v>
      </c>
      <c r="F2268">
        <v>2012</v>
      </c>
      <c r="G2268">
        <v>4</v>
      </c>
      <c r="H2268" s="1" t="s">
        <v>123</v>
      </c>
      <c r="I2268">
        <v>22</v>
      </c>
      <c r="J2268">
        <v>2683</v>
      </c>
      <c r="K2268" s="1" t="s">
        <v>80</v>
      </c>
      <c r="L2268" s="1" t="s">
        <v>45</v>
      </c>
      <c r="M2268">
        <v>0.748</v>
      </c>
      <c r="N2268">
        <v>16456</v>
      </c>
      <c r="O2268">
        <v>16.456</v>
      </c>
      <c r="P2268" s="2">
        <v>42675</v>
      </c>
      <c r="Q2268">
        <v>1</v>
      </c>
      <c r="R2268" s="1" t="s">
        <v>122</v>
      </c>
    </row>
    <row r="2269" spans="1:18" x14ac:dyDescent="0.25">
      <c r="A2269">
        <v>2016</v>
      </c>
      <c r="B2269">
        <v>12</v>
      </c>
      <c r="C2269" s="1" t="s">
        <v>35</v>
      </c>
      <c r="D2269" s="1" t="s">
        <v>19</v>
      </c>
      <c r="E2269" s="1" t="s">
        <v>79</v>
      </c>
      <c r="F2269">
        <v>2012</v>
      </c>
      <c r="G2269">
        <v>4</v>
      </c>
      <c r="H2269" s="1" t="s">
        <v>123</v>
      </c>
      <c r="I2269">
        <v>22</v>
      </c>
      <c r="J2269">
        <v>2683</v>
      </c>
      <c r="K2269" s="1" t="s">
        <v>80</v>
      </c>
      <c r="L2269" s="1" t="s">
        <v>45</v>
      </c>
      <c r="M2269">
        <v>0.73399999999999999</v>
      </c>
      <c r="N2269">
        <v>16141.8</v>
      </c>
      <c r="O2269">
        <v>16.141999999999999</v>
      </c>
      <c r="P2269" s="2">
        <v>42705</v>
      </c>
      <c r="Q2269">
        <v>1</v>
      </c>
      <c r="R2269" s="1" t="s">
        <v>122</v>
      </c>
    </row>
    <row r="2270" spans="1:18" x14ac:dyDescent="0.25">
      <c r="A2270">
        <v>2016</v>
      </c>
      <c r="B2270">
        <v>1</v>
      </c>
      <c r="C2270" s="1" t="s">
        <v>18</v>
      </c>
      <c r="D2270" s="1" t="s">
        <v>19</v>
      </c>
      <c r="E2270" s="1" t="s">
        <v>81</v>
      </c>
      <c r="F2270">
        <v>2012</v>
      </c>
      <c r="G2270">
        <v>4</v>
      </c>
      <c r="H2270" s="1" t="s">
        <v>123</v>
      </c>
      <c r="I2270">
        <v>28</v>
      </c>
      <c r="J2270">
        <v>3483</v>
      </c>
      <c r="K2270" s="1" t="s">
        <v>53</v>
      </c>
      <c r="L2270" s="1" t="s">
        <v>45</v>
      </c>
      <c r="M2270">
        <v>0.47499999999999998</v>
      </c>
      <c r="N2270">
        <v>13289.9</v>
      </c>
      <c r="O2270">
        <v>13.29</v>
      </c>
      <c r="P2270" s="2">
        <v>42370</v>
      </c>
      <c r="Q2270">
        <v>1</v>
      </c>
      <c r="R2270" s="1" t="s">
        <v>122</v>
      </c>
    </row>
    <row r="2271" spans="1:18" x14ac:dyDescent="0.25">
      <c r="A2271">
        <v>2016</v>
      </c>
      <c r="B2271">
        <v>2</v>
      </c>
      <c r="C2271" s="1" t="s">
        <v>25</v>
      </c>
      <c r="D2271" s="1" t="s">
        <v>19</v>
      </c>
      <c r="E2271" s="1" t="s">
        <v>81</v>
      </c>
      <c r="F2271">
        <v>2012</v>
      </c>
      <c r="G2271">
        <v>4</v>
      </c>
      <c r="H2271" s="1" t="s">
        <v>123</v>
      </c>
      <c r="I2271">
        <v>28</v>
      </c>
      <c r="J2271">
        <v>3483</v>
      </c>
      <c r="K2271" s="1" t="s">
        <v>53</v>
      </c>
      <c r="L2271" s="1" t="s">
        <v>45</v>
      </c>
      <c r="M2271">
        <v>0.48499999999999999</v>
      </c>
      <c r="N2271">
        <v>13575.5</v>
      </c>
      <c r="O2271">
        <v>13.576000000000001</v>
      </c>
      <c r="P2271" s="2">
        <v>42401</v>
      </c>
      <c r="Q2271">
        <v>1</v>
      </c>
      <c r="R2271" s="1" t="s">
        <v>122</v>
      </c>
    </row>
    <row r="2272" spans="1:18" x14ac:dyDescent="0.25">
      <c r="A2272">
        <v>2016</v>
      </c>
      <c r="B2272">
        <v>3</v>
      </c>
      <c r="C2272" s="1" t="s">
        <v>26</v>
      </c>
      <c r="D2272" s="1" t="s">
        <v>19</v>
      </c>
      <c r="E2272" s="1" t="s">
        <v>81</v>
      </c>
      <c r="F2272">
        <v>2012</v>
      </c>
      <c r="G2272">
        <v>4</v>
      </c>
      <c r="H2272" s="1" t="s">
        <v>123</v>
      </c>
      <c r="I2272">
        <v>28</v>
      </c>
      <c r="J2272">
        <v>3483</v>
      </c>
      <c r="K2272" s="1" t="s">
        <v>53</v>
      </c>
      <c r="L2272" s="1" t="s">
        <v>45</v>
      </c>
      <c r="M2272">
        <v>0.59499999999999997</v>
      </c>
      <c r="N2272">
        <v>16660</v>
      </c>
      <c r="O2272">
        <v>16.66</v>
      </c>
      <c r="P2272" s="2">
        <v>42430</v>
      </c>
      <c r="Q2272">
        <v>1</v>
      </c>
      <c r="R2272" s="1" t="s">
        <v>122</v>
      </c>
    </row>
    <row r="2273" spans="1:18" x14ac:dyDescent="0.25">
      <c r="A2273">
        <v>2016</v>
      </c>
      <c r="B2273">
        <v>4</v>
      </c>
      <c r="C2273" s="1" t="s">
        <v>27</v>
      </c>
      <c r="D2273" s="1" t="s">
        <v>19</v>
      </c>
      <c r="E2273" s="1" t="s">
        <v>81</v>
      </c>
      <c r="F2273">
        <v>2012</v>
      </c>
      <c r="G2273">
        <v>4</v>
      </c>
      <c r="H2273" s="1" t="s">
        <v>123</v>
      </c>
      <c r="I2273">
        <v>28</v>
      </c>
      <c r="J2273">
        <v>3483</v>
      </c>
      <c r="K2273" s="1" t="s">
        <v>53</v>
      </c>
      <c r="L2273" s="1" t="s">
        <v>45</v>
      </c>
      <c r="M2273">
        <v>0.35299999999999998</v>
      </c>
      <c r="N2273">
        <v>9881.7999999999993</v>
      </c>
      <c r="O2273">
        <v>9.8819999999999997</v>
      </c>
      <c r="P2273" s="2">
        <v>42461</v>
      </c>
      <c r="Q2273">
        <v>1</v>
      </c>
      <c r="R2273" s="1" t="s">
        <v>122</v>
      </c>
    </row>
    <row r="2274" spans="1:18" x14ac:dyDescent="0.25">
      <c r="A2274">
        <v>2016</v>
      </c>
      <c r="B2274">
        <v>5</v>
      </c>
      <c r="C2274" s="1" t="s">
        <v>28</v>
      </c>
      <c r="D2274" s="1" t="s">
        <v>19</v>
      </c>
      <c r="E2274" s="1" t="s">
        <v>81</v>
      </c>
      <c r="F2274">
        <v>2012</v>
      </c>
      <c r="G2274">
        <v>4</v>
      </c>
      <c r="H2274" s="1" t="s">
        <v>123</v>
      </c>
      <c r="I2274">
        <v>28</v>
      </c>
      <c r="J2274">
        <v>3483</v>
      </c>
      <c r="K2274" s="1" t="s">
        <v>53</v>
      </c>
      <c r="L2274" s="1" t="s">
        <v>45</v>
      </c>
      <c r="M2274">
        <v>0.81499999999999995</v>
      </c>
      <c r="N2274">
        <v>22829</v>
      </c>
      <c r="O2274">
        <v>22.829000000000001</v>
      </c>
      <c r="P2274" s="2">
        <v>42491</v>
      </c>
      <c r="Q2274">
        <v>1</v>
      </c>
      <c r="R2274" s="1" t="s">
        <v>122</v>
      </c>
    </row>
    <row r="2275" spans="1:18" x14ac:dyDescent="0.25">
      <c r="A2275">
        <v>2016</v>
      </c>
      <c r="B2275">
        <v>6</v>
      </c>
      <c r="C2275" s="1" t="s">
        <v>29</v>
      </c>
      <c r="D2275" s="1" t="s">
        <v>19</v>
      </c>
      <c r="E2275" s="1" t="s">
        <v>81</v>
      </c>
      <c r="F2275">
        <v>2012</v>
      </c>
      <c r="G2275">
        <v>4</v>
      </c>
      <c r="H2275" s="1" t="s">
        <v>123</v>
      </c>
      <c r="I2275">
        <v>28</v>
      </c>
      <c r="J2275">
        <v>3483</v>
      </c>
      <c r="K2275" s="1" t="s">
        <v>53</v>
      </c>
      <c r="L2275" s="1" t="s">
        <v>45</v>
      </c>
      <c r="M2275">
        <v>0.85199999999999998</v>
      </c>
      <c r="N2275">
        <v>23857.1</v>
      </c>
      <c r="O2275">
        <v>23.856999999999999</v>
      </c>
      <c r="P2275" s="2">
        <v>42522</v>
      </c>
      <c r="Q2275">
        <v>1</v>
      </c>
      <c r="R2275" s="1" t="s">
        <v>122</v>
      </c>
    </row>
    <row r="2276" spans="1:18" x14ac:dyDescent="0.25">
      <c r="A2276">
        <v>2016</v>
      </c>
      <c r="B2276">
        <v>7</v>
      </c>
      <c r="C2276" s="1" t="s">
        <v>30</v>
      </c>
      <c r="D2276" s="1" t="s">
        <v>19</v>
      </c>
      <c r="E2276" s="1" t="s">
        <v>81</v>
      </c>
      <c r="F2276">
        <v>2012</v>
      </c>
      <c r="G2276">
        <v>4</v>
      </c>
      <c r="H2276" s="1" t="s">
        <v>123</v>
      </c>
      <c r="I2276">
        <v>28</v>
      </c>
      <c r="J2276">
        <v>3483</v>
      </c>
      <c r="K2276" s="1" t="s">
        <v>53</v>
      </c>
      <c r="L2276" s="1" t="s">
        <v>45</v>
      </c>
      <c r="M2276">
        <v>0.63300000000000001</v>
      </c>
      <c r="N2276">
        <v>17726.2</v>
      </c>
      <c r="O2276">
        <v>17.725999999999999</v>
      </c>
      <c r="P2276" s="2">
        <v>42552</v>
      </c>
      <c r="Q2276">
        <v>1</v>
      </c>
      <c r="R2276" s="1" t="s">
        <v>122</v>
      </c>
    </row>
    <row r="2277" spans="1:18" x14ac:dyDescent="0.25">
      <c r="A2277">
        <v>2016</v>
      </c>
      <c r="B2277">
        <v>8</v>
      </c>
      <c r="C2277" s="1" t="s">
        <v>31</v>
      </c>
      <c r="D2277" s="1" t="s">
        <v>19</v>
      </c>
      <c r="E2277" s="1" t="s">
        <v>81</v>
      </c>
      <c r="F2277">
        <v>2012</v>
      </c>
      <c r="G2277">
        <v>4</v>
      </c>
      <c r="H2277" s="1" t="s">
        <v>123</v>
      </c>
      <c r="I2277">
        <v>28</v>
      </c>
      <c r="J2277">
        <v>3483</v>
      </c>
      <c r="K2277" s="1" t="s">
        <v>53</v>
      </c>
      <c r="L2277" s="1" t="s">
        <v>45</v>
      </c>
      <c r="M2277">
        <v>0.58299999999999996</v>
      </c>
      <c r="N2277">
        <v>16317.3</v>
      </c>
      <c r="O2277">
        <v>16.317</v>
      </c>
      <c r="P2277" s="2">
        <v>42583</v>
      </c>
      <c r="Q2277">
        <v>1</v>
      </c>
      <c r="R2277" s="1" t="s">
        <v>122</v>
      </c>
    </row>
    <row r="2278" spans="1:18" x14ac:dyDescent="0.25">
      <c r="A2278">
        <v>2016</v>
      </c>
      <c r="B2278">
        <v>9</v>
      </c>
      <c r="C2278" s="1" t="s">
        <v>32</v>
      </c>
      <c r="D2278" s="1" t="s">
        <v>19</v>
      </c>
      <c r="E2278" s="1" t="s">
        <v>81</v>
      </c>
      <c r="F2278">
        <v>2012</v>
      </c>
      <c r="G2278">
        <v>4</v>
      </c>
      <c r="H2278" s="1" t="s">
        <v>123</v>
      </c>
      <c r="I2278">
        <v>28</v>
      </c>
      <c r="J2278">
        <v>3483</v>
      </c>
      <c r="K2278" s="1" t="s">
        <v>53</v>
      </c>
      <c r="L2278" s="1" t="s">
        <v>45</v>
      </c>
      <c r="M2278">
        <v>0.47099999999999997</v>
      </c>
      <c r="N2278">
        <v>13175.7</v>
      </c>
      <c r="O2278">
        <v>13.176</v>
      </c>
      <c r="P2278" s="2">
        <v>42614</v>
      </c>
      <c r="Q2278">
        <v>1</v>
      </c>
      <c r="R2278" s="1" t="s">
        <v>122</v>
      </c>
    </row>
    <row r="2279" spans="1:18" x14ac:dyDescent="0.25">
      <c r="A2279">
        <v>2016</v>
      </c>
      <c r="B2279">
        <v>10</v>
      </c>
      <c r="C2279" s="1" t="s">
        <v>33</v>
      </c>
      <c r="D2279" s="1" t="s">
        <v>19</v>
      </c>
      <c r="E2279" s="1" t="s">
        <v>81</v>
      </c>
      <c r="F2279">
        <v>2012</v>
      </c>
      <c r="G2279">
        <v>4</v>
      </c>
      <c r="H2279" s="1" t="s">
        <v>123</v>
      </c>
      <c r="I2279">
        <v>28</v>
      </c>
      <c r="J2279">
        <v>3483</v>
      </c>
      <c r="K2279" s="1" t="s">
        <v>53</v>
      </c>
      <c r="L2279" s="1" t="s">
        <v>45</v>
      </c>
      <c r="M2279">
        <v>0.83</v>
      </c>
      <c r="N2279">
        <v>23228.799999999999</v>
      </c>
      <c r="O2279">
        <v>23.228999999999999</v>
      </c>
      <c r="P2279" s="2">
        <v>42644</v>
      </c>
      <c r="Q2279">
        <v>1</v>
      </c>
      <c r="R2279" s="1" t="s">
        <v>122</v>
      </c>
    </row>
    <row r="2280" spans="1:18" x14ac:dyDescent="0.25">
      <c r="A2280">
        <v>2016</v>
      </c>
      <c r="B2280">
        <v>11</v>
      </c>
      <c r="C2280" s="1" t="s">
        <v>34</v>
      </c>
      <c r="D2280" s="1" t="s">
        <v>19</v>
      </c>
      <c r="E2280" s="1" t="s">
        <v>81</v>
      </c>
      <c r="F2280">
        <v>2012</v>
      </c>
      <c r="G2280">
        <v>4</v>
      </c>
      <c r="H2280" s="1" t="s">
        <v>123</v>
      </c>
      <c r="I2280">
        <v>28</v>
      </c>
      <c r="J2280">
        <v>3483</v>
      </c>
      <c r="K2280" s="1" t="s">
        <v>53</v>
      </c>
      <c r="L2280" s="1" t="s">
        <v>45</v>
      </c>
      <c r="M2280">
        <v>0.748</v>
      </c>
      <c r="N2280">
        <v>20944</v>
      </c>
      <c r="O2280">
        <v>20.943999999999999</v>
      </c>
      <c r="P2280" s="2">
        <v>42675</v>
      </c>
      <c r="Q2280">
        <v>1</v>
      </c>
      <c r="R2280" s="1" t="s">
        <v>122</v>
      </c>
    </row>
    <row r="2281" spans="1:18" x14ac:dyDescent="0.25">
      <c r="A2281">
        <v>2016</v>
      </c>
      <c r="B2281">
        <v>12</v>
      </c>
      <c r="C2281" s="1" t="s">
        <v>35</v>
      </c>
      <c r="D2281" s="1" t="s">
        <v>19</v>
      </c>
      <c r="E2281" s="1" t="s">
        <v>81</v>
      </c>
      <c r="F2281">
        <v>2012</v>
      </c>
      <c r="G2281">
        <v>4</v>
      </c>
      <c r="H2281" s="1" t="s">
        <v>123</v>
      </c>
      <c r="I2281">
        <v>28</v>
      </c>
      <c r="J2281">
        <v>3483</v>
      </c>
      <c r="K2281" s="1" t="s">
        <v>53</v>
      </c>
      <c r="L2281" s="1" t="s">
        <v>45</v>
      </c>
      <c r="M2281">
        <v>0.73399999999999999</v>
      </c>
      <c r="N2281">
        <v>20544.2</v>
      </c>
      <c r="O2281">
        <v>20.544</v>
      </c>
      <c r="P2281" s="2">
        <v>42705</v>
      </c>
      <c r="Q2281">
        <v>1</v>
      </c>
      <c r="R2281" s="1" t="s">
        <v>122</v>
      </c>
    </row>
    <row r="2282" spans="1:18" x14ac:dyDescent="0.25">
      <c r="A2282">
        <v>2016</v>
      </c>
      <c r="B2282">
        <v>1</v>
      </c>
      <c r="C2282" s="1" t="s">
        <v>18</v>
      </c>
      <c r="D2282" s="1" t="s">
        <v>19</v>
      </c>
      <c r="E2282" s="1" t="s">
        <v>82</v>
      </c>
      <c r="F2282">
        <v>2013</v>
      </c>
      <c r="G2282">
        <v>3</v>
      </c>
      <c r="H2282" s="1" t="s">
        <v>121</v>
      </c>
      <c r="I2282">
        <v>24</v>
      </c>
      <c r="J2282">
        <v>2678</v>
      </c>
      <c r="K2282" s="1" t="s">
        <v>83</v>
      </c>
      <c r="L2282" s="1" t="s">
        <v>45</v>
      </c>
      <c r="M2282">
        <v>0.26500000000000001</v>
      </c>
      <c r="N2282">
        <v>6365.8</v>
      </c>
      <c r="O2282">
        <v>6.3659999999999997</v>
      </c>
      <c r="P2282" s="2">
        <v>42370</v>
      </c>
      <c r="Q2282">
        <v>1</v>
      </c>
      <c r="R2282" s="1" t="s">
        <v>122</v>
      </c>
    </row>
    <row r="2283" spans="1:18" x14ac:dyDescent="0.25">
      <c r="A2283">
        <v>2016</v>
      </c>
      <c r="B2283">
        <v>2</v>
      </c>
      <c r="C2283" s="1" t="s">
        <v>25</v>
      </c>
      <c r="D2283" s="1" t="s">
        <v>19</v>
      </c>
      <c r="E2283" s="1" t="s">
        <v>82</v>
      </c>
      <c r="F2283">
        <v>2013</v>
      </c>
      <c r="G2283">
        <v>3</v>
      </c>
      <c r="H2283" s="1" t="s">
        <v>121</v>
      </c>
      <c r="I2283">
        <v>24</v>
      </c>
      <c r="J2283">
        <v>2678</v>
      </c>
      <c r="K2283" s="1" t="s">
        <v>83</v>
      </c>
      <c r="L2283" s="1" t="s">
        <v>45</v>
      </c>
      <c r="M2283">
        <v>0.27100000000000002</v>
      </c>
      <c r="N2283">
        <v>6502.6</v>
      </c>
      <c r="O2283">
        <v>6.5030000000000001</v>
      </c>
      <c r="P2283" s="2">
        <v>42401</v>
      </c>
      <c r="Q2283">
        <v>1</v>
      </c>
      <c r="R2283" s="1" t="s">
        <v>122</v>
      </c>
    </row>
    <row r="2284" spans="1:18" x14ac:dyDescent="0.25">
      <c r="A2284">
        <v>2016</v>
      </c>
      <c r="B2284">
        <v>3</v>
      </c>
      <c r="C2284" s="1" t="s">
        <v>26</v>
      </c>
      <c r="D2284" s="1" t="s">
        <v>19</v>
      </c>
      <c r="E2284" s="1" t="s">
        <v>82</v>
      </c>
      <c r="F2284">
        <v>2013</v>
      </c>
      <c r="G2284">
        <v>3</v>
      </c>
      <c r="H2284" s="1" t="s">
        <v>121</v>
      </c>
      <c r="I2284">
        <v>24</v>
      </c>
      <c r="J2284">
        <v>2678</v>
      </c>
      <c r="K2284" s="1" t="s">
        <v>83</v>
      </c>
      <c r="L2284" s="1" t="s">
        <v>45</v>
      </c>
      <c r="M2284">
        <v>0.33300000000000002</v>
      </c>
      <c r="N2284">
        <v>7980</v>
      </c>
      <c r="O2284">
        <v>7.98</v>
      </c>
      <c r="P2284" s="2">
        <v>42430</v>
      </c>
      <c r="Q2284">
        <v>1</v>
      </c>
      <c r="R2284" s="1" t="s">
        <v>122</v>
      </c>
    </row>
    <row r="2285" spans="1:18" x14ac:dyDescent="0.25">
      <c r="A2285">
        <v>2016</v>
      </c>
      <c r="B2285">
        <v>4</v>
      </c>
      <c r="C2285" s="1" t="s">
        <v>27</v>
      </c>
      <c r="D2285" s="1" t="s">
        <v>19</v>
      </c>
      <c r="E2285" s="1" t="s">
        <v>82</v>
      </c>
      <c r="F2285">
        <v>2013</v>
      </c>
      <c r="G2285">
        <v>3</v>
      </c>
      <c r="H2285" s="1" t="s">
        <v>121</v>
      </c>
      <c r="I2285">
        <v>24</v>
      </c>
      <c r="J2285">
        <v>2678</v>
      </c>
      <c r="K2285" s="1" t="s">
        <v>83</v>
      </c>
      <c r="L2285" s="1" t="s">
        <v>45</v>
      </c>
      <c r="M2285">
        <v>0.19700000000000001</v>
      </c>
      <c r="N2285">
        <v>4733.3</v>
      </c>
      <c r="O2285">
        <v>4.7329999999999997</v>
      </c>
      <c r="P2285" s="2">
        <v>42461</v>
      </c>
      <c r="Q2285">
        <v>1</v>
      </c>
      <c r="R2285" s="1" t="s">
        <v>122</v>
      </c>
    </row>
    <row r="2286" spans="1:18" x14ac:dyDescent="0.25">
      <c r="A2286">
        <v>2016</v>
      </c>
      <c r="B2286">
        <v>5</v>
      </c>
      <c r="C2286" s="1" t="s">
        <v>28</v>
      </c>
      <c r="D2286" s="1" t="s">
        <v>19</v>
      </c>
      <c r="E2286" s="1" t="s">
        <v>82</v>
      </c>
      <c r="F2286">
        <v>2013</v>
      </c>
      <c r="G2286">
        <v>3</v>
      </c>
      <c r="H2286" s="1" t="s">
        <v>121</v>
      </c>
      <c r="I2286">
        <v>24</v>
      </c>
      <c r="J2286">
        <v>2678</v>
      </c>
      <c r="K2286" s="1" t="s">
        <v>83</v>
      </c>
      <c r="L2286" s="1" t="s">
        <v>45</v>
      </c>
      <c r="M2286">
        <v>0.45600000000000002</v>
      </c>
      <c r="N2286">
        <v>10934.9</v>
      </c>
      <c r="O2286">
        <v>10.935</v>
      </c>
      <c r="P2286" s="2">
        <v>42491</v>
      </c>
      <c r="Q2286">
        <v>1</v>
      </c>
      <c r="R2286" s="1" t="s">
        <v>122</v>
      </c>
    </row>
    <row r="2287" spans="1:18" x14ac:dyDescent="0.25">
      <c r="A2287">
        <v>2016</v>
      </c>
      <c r="B2287">
        <v>6</v>
      </c>
      <c r="C2287" s="1" t="s">
        <v>29</v>
      </c>
      <c r="D2287" s="1" t="s">
        <v>19</v>
      </c>
      <c r="E2287" s="1" t="s">
        <v>82</v>
      </c>
      <c r="F2287">
        <v>2013</v>
      </c>
      <c r="G2287">
        <v>3</v>
      </c>
      <c r="H2287" s="1" t="s">
        <v>121</v>
      </c>
      <c r="I2287">
        <v>24</v>
      </c>
      <c r="J2287">
        <v>2678</v>
      </c>
      <c r="K2287" s="1" t="s">
        <v>83</v>
      </c>
      <c r="L2287" s="1" t="s">
        <v>45</v>
      </c>
      <c r="M2287">
        <v>0.47599999999999998</v>
      </c>
      <c r="N2287">
        <v>11427.4</v>
      </c>
      <c r="O2287">
        <v>11.427</v>
      </c>
      <c r="P2287" s="2">
        <v>42522</v>
      </c>
      <c r="Q2287">
        <v>1</v>
      </c>
      <c r="R2287" s="1" t="s">
        <v>122</v>
      </c>
    </row>
    <row r="2288" spans="1:18" x14ac:dyDescent="0.25">
      <c r="A2288">
        <v>2016</v>
      </c>
      <c r="B2288">
        <v>7</v>
      </c>
      <c r="C2288" s="1" t="s">
        <v>30</v>
      </c>
      <c r="D2288" s="1" t="s">
        <v>19</v>
      </c>
      <c r="E2288" s="1" t="s">
        <v>82</v>
      </c>
      <c r="F2288">
        <v>2013</v>
      </c>
      <c r="G2288">
        <v>3</v>
      </c>
      <c r="H2288" s="1" t="s">
        <v>121</v>
      </c>
      <c r="I2288">
        <v>24</v>
      </c>
      <c r="J2288">
        <v>2678</v>
      </c>
      <c r="K2288" s="1" t="s">
        <v>83</v>
      </c>
      <c r="L2288" s="1" t="s">
        <v>45</v>
      </c>
      <c r="M2288">
        <v>0.35399999999999998</v>
      </c>
      <c r="N2288">
        <v>8490.7000000000007</v>
      </c>
      <c r="O2288">
        <v>8.4909999999999997</v>
      </c>
      <c r="P2288" s="2">
        <v>42552</v>
      </c>
      <c r="Q2288">
        <v>1</v>
      </c>
      <c r="R2288" s="1" t="s">
        <v>122</v>
      </c>
    </row>
    <row r="2289" spans="1:18" x14ac:dyDescent="0.25">
      <c r="A2289">
        <v>2016</v>
      </c>
      <c r="B2289">
        <v>8</v>
      </c>
      <c r="C2289" s="1" t="s">
        <v>31</v>
      </c>
      <c r="D2289" s="1" t="s">
        <v>19</v>
      </c>
      <c r="E2289" s="1" t="s">
        <v>82</v>
      </c>
      <c r="F2289">
        <v>2013</v>
      </c>
      <c r="G2289">
        <v>3</v>
      </c>
      <c r="H2289" s="1" t="s">
        <v>121</v>
      </c>
      <c r="I2289">
        <v>24</v>
      </c>
      <c r="J2289">
        <v>2678</v>
      </c>
      <c r="K2289" s="1" t="s">
        <v>83</v>
      </c>
      <c r="L2289" s="1" t="s">
        <v>45</v>
      </c>
      <c r="M2289">
        <v>0.32600000000000001</v>
      </c>
      <c r="N2289">
        <v>7815.8</v>
      </c>
      <c r="O2289">
        <v>7.8159999999999998</v>
      </c>
      <c r="P2289" s="2">
        <v>42583</v>
      </c>
      <c r="Q2289">
        <v>1</v>
      </c>
      <c r="R2289" s="1" t="s">
        <v>122</v>
      </c>
    </row>
    <row r="2290" spans="1:18" x14ac:dyDescent="0.25">
      <c r="A2290">
        <v>2016</v>
      </c>
      <c r="B2290">
        <v>9</v>
      </c>
      <c r="C2290" s="1" t="s">
        <v>32</v>
      </c>
      <c r="D2290" s="1" t="s">
        <v>19</v>
      </c>
      <c r="E2290" s="1" t="s">
        <v>82</v>
      </c>
      <c r="F2290">
        <v>2013</v>
      </c>
      <c r="G2290">
        <v>3</v>
      </c>
      <c r="H2290" s="1" t="s">
        <v>121</v>
      </c>
      <c r="I2290">
        <v>24</v>
      </c>
      <c r="J2290">
        <v>2678</v>
      </c>
      <c r="K2290" s="1" t="s">
        <v>83</v>
      </c>
      <c r="L2290" s="1" t="s">
        <v>45</v>
      </c>
      <c r="M2290">
        <v>0.26300000000000001</v>
      </c>
      <c r="N2290">
        <v>6311</v>
      </c>
      <c r="O2290">
        <v>6.3109999999999999</v>
      </c>
      <c r="P2290" s="2">
        <v>42614</v>
      </c>
      <c r="Q2290">
        <v>1</v>
      </c>
      <c r="R2290" s="1" t="s">
        <v>122</v>
      </c>
    </row>
    <row r="2291" spans="1:18" x14ac:dyDescent="0.25">
      <c r="A2291">
        <v>2016</v>
      </c>
      <c r="B2291">
        <v>10</v>
      </c>
      <c r="C2291" s="1" t="s">
        <v>33</v>
      </c>
      <c r="D2291" s="1" t="s">
        <v>19</v>
      </c>
      <c r="E2291" s="1" t="s">
        <v>82</v>
      </c>
      <c r="F2291">
        <v>2013</v>
      </c>
      <c r="G2291">
        <v>3</v>
      </c>
      <c r="H2291" s="1" t="s">
        <v>121</v>
      </c>
      <c r="I2291">
        <v>24</v>
      </c>
      <c r="J2291">
        <v>2678</v>
      </c>
      <c r="K2291" s="1" t="s">
        <v>83</v>
      </c>
      <c r="L2291" s="1" t="s">
        <v>45</v>
      </c>
      <c r="M2291">
        <v>0.46400000000000002</v>
      </c>
      <c r="N2291">
        <v>11126.4</v>
      </c>
      <c r="O2291">
        <v>11.125999999999999</v>
      </c>
      <c r="P2291" s="2">
        <v>42644</v>
      </c>
      <c r="Q2291">
        <v>1</v>
      </c>
      <c r="R2291" s="1" t="s">
        <v>122</v>
      </c>
    </row>
    <row r="2292" spans="1:18" x14ac:dyDescent="0.25">
      <c r="A2292">
        <v>2016</v>
      </c>
      <c r="B2292">
        <v>11</v>
      </c>
      <c r="C2292" s="1" t="s">
        <v>34</v>
      </c>
      <c r="D2292" s="1" t="s">
        <v>19</v>
      </c>
      <c r="E2292" s="1" t="s">
        <v>82</v>
      </c>
      <c r="F2292">
        <v>2013</v>
      </c>
      <c r="G2292">
        <v>3</v>
      </c>
      <c r="H2292" s="1" t="s">
        <v>121</v>
      </c>
      <c r="I2292">
        <v>24</v>
      </c>
      <c r="J2292">
        <v>2678</v>
      </c>
      <c r="K2292" s="1" t="s">
        <v>83</v>
      </c>
      <c r="L2292" s="1" t="s">
        <v>45</v>
      </c>
      <c r="M2292">
        <v>0.41799999999999998</v>
      </c>
      <c r="N2292">
        <v>10032</v>
      </c>
      <c r="O2292">
        <v>10.032</v>
      </c>
      <c r="P2292" s="2">
        <v>42675</v>
      </c>
      <c r="Q2292">
        <v>1</v>
      </c>
      <c r="R2292" s="1" t="s">
        <v>122</v>
      </c>
    </row>
    <row r="2293" spans="1:18" x14ac:dyDescent="0.25">
      <c r="A2293">
        <v>2016</v>
      </c>
      <c r="B2293">
        <v>12</v>
      </c>
      <c r="C2293" s="1" t="s">
        <v>35</v>
      </c>
      <c r="D2293" s="1" t="s">
        <v>19</v>
      </c>
      <c r="E2293" s="1" t="s">
        <v>82</v>
      </c>
      <c r="F2293">
        <v>2013</v>
      </c>
      <c r="G2293">
        <v>3</v>
      </c>
      <c r="H2293" s="1" t="s">
        <v>121</v>
      </c>
      <c r="I2293">
        <v>24</v>
      </c>
      <c r="J2293">
        <v>2678</v>
      </c>
      <c r="K2293" s="1" t="s">
        <v>83</v>
      </c>
      <c r="L2293" s="1" t="s">
        <v>45</v>
      </c>
      <c r="M2293">
        <v>0.41</v>
      </c>
      <c r="N2293">
        <v>9840.5</v>
      </c>
      <c r="O2293">
        <v>9.84</v>
      </c>
      <c r="P2293" s="2">
        <v>42705</v>
      </c>
      <c r="Q2293">
        <v>1</v>
      </c>
      <c r="R2293" s="1" t="s">
        <v>122</v>
      </c>
    </row>
    <row r="2294" spans="1:18" x14ac:dyDescent="0.25">
      <c r="A2294">
        <v>2016</v>
      </c>
      <c r="B2294">
        <v>1</v>
      </c>
      <c r="C2294" s="1" t="s">
        <v>18</v>
      </c>
      <c r="D2294" s="1" t="s">
        <v>19</v>
      </c>
      <c r="E2294" s="1" t="s">
        <v>84</v>
      </c>
      <c r="F2294">
        <v>2013</v>
      </c>
      <c r="G2294">
        <v>3</v>
      </c>
      <c r="H2294" s="1" t="s">
        <v>121</v>
      </c>
      <c r="I2294">
        <v>23</v>
      </c>
      <c r="J2294">
        <v>2683</v>
      </c>
      <c r="K2294" s="1" t="s">
        <v>85</v>
      </c>
      <c r="L2294" s="1" t="s">
        <v>45</v>
      </c>
      <c r="M2294">
        <v>0.26500000000000001</v>
      </c>
      <c r="N2294">
        <v>6100.5</v>
      </c>
      <c r="O2294">
        <v>6.101</v>
      </c>
      <c r="P2294" s="2">
        <v>42370</v>
      </c>
      <c r="Q2294">
        <v>1</v>
      </c>
      <c r="R2294" s="1" t="s">
        <v>122</v>
      </c>
    </row>
    <row r="2295" spans="1:18" x14ac:dyDescent="0.25">
      <c r="A2295">
        <v>2016</v>
      </c>
      <c r="B2295">
        <v>2</v>
      </c>
      <c r="C2295" s="1" t="s">
        <v>25</v>
      </c>
      <c r="D2295" s="1" t="s">
        <v>19</v>
      </c>
      <c r="E2295" s="1" t="s">
        <v>84</v>
      </c>
      <c r="F2295">
        <v>2013</v>
      </c>
      <c r="G2295">
        <v>3</v>
      </c>
      <c r="H2295" s="1" t="s">
        <v>121</v>
      </c>
      <c r="I2295">
        <v>23</v>
      </c>
      <c r="J2295">
        <v>2683</v>
      </c>
      <c r="K2295" s="1" t="s">
        <v>85</v>
      </c>
      <c r="L2295" s="1" t="s">
        <v>45</v>
      </c>
      <c r="M2295">
        <v>0.27100000000000002</v>
      </c>
      <c r="N2295">
        <v>6231.6</v>
      </c>
      <c r="O2295">
        <v>6.2320000000000002</v>
      </c>
      <c r="P2295" s="2">
        <v>42401</v>
      </c>
      <c r="Q2295">
        <v>1</v>
      </c>
      <c r="R2295" s="1" t="s">
        <v>122</v>
      </c>
    </row>
    <row r="2296" spans="1:18" x14ac:dyDescent="0.25">
      <c r="A2296">
        <v>2016</v>
      </c>
      <c r="B2296">
        <v>3</v>
      </c>
      <c r="C2296" s="1" t="s">
        <v>26</v>
      </c>
      <c r="D2296" s="1" t="s">
        <v>19</v>
      </c>
      <c r="E2296" s="1" t="s">
        <v>84</v>
      </c>
      <c r="F2296">
        <v>2013</v>
      </c>
      <c r="G2296">
        <v>3</v>
      </c>
      <c r="H2296" s="1" t="s">
        <v>121</v>
      </c>
      <c r="I2296">
        <v>23</v>
      </c>
      <c r="J2296">
        <v>2683</v>
      </c>
      <c r="K2296" s="1" t="s">
        <v>85</v>
      </c>
      <c r="L2296" s="1" t="s">
        <v>45</v>
      </c>
      <c r="M2296">
        <v>0.33300000000000002</v>
      </c>
      <c r="N2296">
        <v>7647.5</v>
      </c>
      <c r="O2296">
        <v>7.6479999999999997</v>
      </c>
      <c r="P2296" s="2">
        <v>42430</v>
      </c>
      <c r="Q2296">
        <v>1</v>
      </c>
      <c r="R2296" s="1" t="s">
        <v>122</v>
      </c>
    </row>
    <row r="2297" spans="1:18" x14ac:dyDescent="0.25">
      <c r="A2297">
        <v>2016</v>
      </c>
      <c r="B2297">
        <v>4</v>
      </c>
      <c r="C2297" s="1" t="s">
        <v>27</v>
      </c>
      <c r="D2297" s="1" t="s">
        <v>19</v>
      </c>
      <c r="E2297" s="1" t="s">
        <v>84</v>
      </c>
      <c r="F2297">
        <v>2013</v>
      </c>
      <c r="G2297">
        <v>3</v>
      </c>
      <c r="H2297" s="1" t="s">
        <v>121</v>
      </c>
      <c r="I2297">
        <v>23</v>
      </c>
      <c r="J2297">
        <v>2683</v>
      </c>
      <c r="K2297" s="1" t="s">
        <v>85</v>
      </c>
      <c r="L2297" s="1" t="s">
        <v>45</v>
      </c>
      <c r="M2297">
        <v>0.19700000000000001</v>
      </c>
      <c r="N2297">
        <v>4536.1000000000004</v>
      </c>
      <c r="O2297">
        <v>4.5359999999999996</v>
      </c>
      <c r="P2297" s="2">
        <v>42461</v>
      </c>
      <c r="Q2297">
        <v>1</v>
      </c>
      <c r="R2297" s="1" t="s">
        <v>122</v>
      </c>
    </row>
    <row r="2298" spans="1:18" x14ac:dyDescent="0.25">
      <c r="A2298">
        <v>2016</v>
      </c>
      <c r="B2298">
        <v>5</v>
      </c>
      <c r="C2298" s="1" t="s">
        <v>28</v>
      </c>
      <c r="D2298" s="1" t="s">
        <v>19</v>
      </c>
      <c r="E2298" s="1" t="s">
        <v>84</v>
      </c>
      <c r="F2298">
        <v>2013</v>
      </c>
      <c r="G2298">
        <v>3</v>
      </c>
      <c r="H2298" s="1" t="s">
        <v>121</v>
      </c>
      <c r="I2298">
        <v>23</v>
      </c>
      <c r="J2298">
        <v>2683</v>
      </c>
      <c r="K2298" s="1" t="s">
        <v>85</v>
      </c>
      <c r="L2298" s="1" t="s">
        <v>45</v>
      </c>
      <c r="M2298">
        <v>0.45600000000000002</v>
      </c>
      <c r="N2298">
        <v>10479.299999999999</v>
      </c>
      <c r="O2298">
        <v>10.478999999999999</v>
      </c>
      <c r="P2298" s="2">
        <v>42491</v>
      </c>
      <c r="Q2298">
        <v>1</v>
      </c>
      <c r="R2298" s="1" t="s">
        <v>122</v>
      </c>
    </row>
    <row r="2299" spans="1:18" x14ac:dyDescent="0.25">
      <c r="A2299">
        <v>2016</v>
      </c>
      <c r="B2299">
        <v>6</v>
      </c>
      <c r="C2299" s="1" t="s">
        <v>29</v>
      </c>
      <c r="D2299" s="1" t="s">
        <v>19</v>
      </c>
      <c r="E2299" s="1" t="s">
        <v>84</v>
      </c>
      <c r="F2299">
        <v>2013</v>
      </c>
      <c r="G2299">
        <v>3</v>
      </c>
      <c r="H2299" s="1" t="s">
        <v>121</v>
      </c>
      <c r="I2299">
        <v>23</v>
      </c>
      <c r="J2299">
        <v>2683</v>
      </c>
      <c r="K2299" s="1" t="s">
        <v>85</v>
      </c>
      <c r="L2299" s="1" t="s">
        <v>45</v>
      </c>
      <c r="M2299">
        <v>0.47599999999999998</v>
      </c>
      <c r="N2299">
        <v>10951.2</v>
      </c>
      <c r="O2299">
        <v>10.951000000000001</v>
      </c>
      <c r="P2299" s="2">
        <v>42522</v>
      </c>
      <c r="Q2299">
        <v>1</v>
      </c>
      <c r="R2299" s="1" t="s">
        <v>122</v>
      </c>
    </row>
    <row r="2300" spans="1:18" x14ac:dyDescent="0.25">
      <c r="A2300">
        <v>2016</v>
      </c>
      <c r="B2300">
        <v>7</v>
      </c>
      <c r="C2300" s="1" t="s">
        <v>30</v>
      </c>
      <c r="D2300" s="1" t="s">
        <v>19</v>
      </c>
      <c r="E2300" s="1" t="s">
        <v>84</v>
      </c>
      <c r="F2300">
        <v>2013</v>
      </c>
      <c r="G2300">
        <v>3</v>
      </c>
      <c r="H2300" s="1" t="s">
        <v>121</v>
      </c>
      <c r="I2300">
        <v>23</v>
      </c>
      <c r="J2300">
        <v>2683</v>
      </c>
      <c r="K2300" s="1" t="s">
        <v>85</v>
      </c>
      <c r="L2300" s="1" t="s">
        <v>45</v>
      </c>
      <c r="M2300">
        <v>0.35399999999999998</v>
      </c>
      <c r="N2300">
        <v>8136.9</v>
      </c>
      <c r="O2300">
        <v>8.1370000000000005</v>
      </c>
      <c r="P2300" s="2">
        <v>42552</v>
      </c>
      <c r="Q2300">
        <v>1</v>
      </c>
      <c r="R2300" s="1" t="s">
        <v>122</v>
      </c>
    </row>
    <row r="2301" spans="1:18" x14ac:dyDescent="0.25">
      <c r="A2301">
        <v>2016</v>
      </c>
      <c r="B2301">
        <v>8</v>
      </c>
      <c r="C2301" s="1" t="s">
        <v>31</v>
      </c>
      <c r="D2301" s="1" t="s">
        <v>19</v>
      </c>
      <c r="E2301" s="1" t="s">
        <v>84</v>
      </c>
      <c r="F2301">
        <v>2013</v>
      </c>
      <c r="G2301">
        <v>3</v>
      </c>
      <c r="H2301" s="1" t="s">
        <v>121</v>
      </c>
      <c r="I2301">
        <v>23</v>
      </c>
      <c r="J2301">
        <v>2683</v>
      </c>
      <c r="K2301" s="1" t="s">
        <v>85</v>
      </c>
      <c r="L2301" s="1" t="s">
        <v>45</v>
      </c>
      <c r="M2301">
        <v>0.32600000000000001</v>
      </c>
      <c r="N2301">
        <v>7490.2</v>
      </c>
      <c r="O2301">
        <v>7.49</v>
      </c>
      <c r="P2301" s="2">
        <v>42583</v>
      </c>
      <c r="Q2301">
        <v>1</v>
      </c>
      <c r="R2301" s="1" t="s">
        <v>122</v>
      </c>
    </row>
    <row r="2302" spans="1:18" x14ac:dyDescent="0.25">
      <c r="A2302">
        <v>2016</v>
      </c>
      <c r="B2302">
        <v>9</v>
      </c>
      <c r="C2302" s="1" t="s">
        <v>32</v>
      </c>
      <c r="D2302" s="1" t="s">
        <v>19</v>
      </c>
      <c r="E2302" s="1" t="s">
        <v>84</v>
      </c>
      <c r="F2302">
        <v>2013</v>
      </c>
      <c r="G2302">
        <v>3</v>
      </c>
      <c r="H2302" s="1" t="s">
        <v>121</v>
      </c>
      <c r="I2302">
        <v>23</v>
      </c>
      <c r="J2302">
        <v>2683</v>
      </c>
      <c r="K2302" s="1" t="s">
        <v>85</v>
      </c>
      <c r="L2302" s="1" t="s">
        <v>45</v>
      </c>
      <c r="M2302">
        <v>0.26300000000000001</v>
      </c>
      <c r="N2302">
        <v>6048.1</v>
      </c>
      <c r="O2302">
        <v>6.048</v>
      </c>
      <c r="P2302" s="2">
        <v>42614</v>
      </c>
      <c r="Q2302">
        <v>1</v>
      </c>
      <c r="R2302" s="1" t="s">
        <v>122</v>
      </c>
    </row>
    <row r="2303" spans="1:18" x14ac:dyDescent="0.25">
      <c r="A2303">
        <v>2016</v>
      </c>
      <c r="B2303">
        <v>10</v>
      </c>
      <c r="C2303" s="1" t="s">
        <v>33</v>
      </c>
      <c r="D2303" s="1" t="s">
        <v>19</v>
      </c>
      <c r="E2303" s="1" t="s">
        <v>84</v>
      </c>
      <c r="F2303">
        <v>2013</v>
      </c>
      <c r="G2303">
        <v>3</v>
      </c>
      <c r="H2303" s="1" t="s">
        <v>121</v>
      </c>
      <c r="I2303">
        <v>23</v>
      </c>
      <c r="J2303">
        <v>2683</v>
      </c>
      <c r="K2303" s="1" t="s">
        <v>85</v>
      </c>
      <c r="L2303" s="1" t="s">
        <v>45</v>
      </c>
      <c r="M2303">
        <v>0.46400000000000002</v>
      </c>
      <c r="N2303">
        <v>10662.8</v>
      </c>
      <c r="O2303">
        <v>10.663</v>
      </c>
      <c r="P2303" s="2">
        <v>42644</v>
      </c>
      <c r="Q2303">
        <v>1</v>
      </c>
      <c r="R2303" s="1" t="s">
        <v>122</v>
      </c>
    </row>
    <row r="2304" spans="1:18" x14ac:dyDescent="0.25">
      <c r="A2304">
        <v>2016</v>
      </c>
      <c r="B2304">
        <v>11</v>
      </c>
      <c r="C2304" s="1" t="s">
        <v>34</v>
      </c>
      <c r="D2304" s="1" t="s">
        <v>19</v>
      </c>
      <c r="E2304" s="1" t="s">
        <v>84</v>
      </c>
      <c r="F2304">
        <v>2013</v>
      </c>
      <c r="G2304">
        <v>3</v>
      </c>
      <c r="H2304" s="1" t="s">
        <v>121</v>
      </c>
      <c r="I2304">
        <v>23</v>
      </c>
      <c r="J2304">
        <v>2683</v>
      </c>
      <c r="K2304" s="1" t="s">
        <v>85</v>
      </c>
      <c r="L2304" s="1" t="s">
        <v>45</v>
      </c>
      <c r="M2304">
        <v>0.41799999999999998</v>
      </c>
      <c r="N2304">
        <v>9614</v>
      </c>
      <c r="O2304">
        <v>9.6140000000000008</v>
      </c>
      <c r="P2304" s="2">
        <v>42675</v>
      </c>
      <c r="Q2304">
        <v>1</v>
      </c>
      <c r="R2304" s="1" t="s">
        <v>122</v>
      </c>
    </row>
    <row r="2305" spans="1:18" x14ac:dyDescent="0.25">
      <c r="A2305">
        <v>2016</v>
      </c>
      <c r="B2305">
        <v>12</v>
      </c>
      <c r="C2305" s="1" t="s">
        <v>35</v>
      </c>
      <c r="D2305" s="1" t="s">
        <v>19</v>
      </c>
      <c r="E2305" s="1" t="s">
        <v>84</v>
      </c>
      <c r="F2305">
        <v>2013</v>
      </c>
      <c r="G2305">
        <v>3</v>
      </c>
      <c r="H2305" s="1" t="s">
        <v>121</v>
      </c>
      <c r="I2305">
        <v>23</v>
      </c>
      <c r="J2305">
        <v>2683</v>
      </c>
      <c r="K2305" s="1" t="s">
        <v>85</v>
      </c>
      <c r="L2305" s="1" t="s">
        <v>45</v>
      </c>
      <c r="M2305">
        <v>0.41</v>
      </c>
      <c r="N2305">
        <v>9430.5</v>
      </c>
      <c r="O2305">
        <v>9.43</v>
      </c>
      <c r="P2305" s="2">
        <v>42705</v>
      </c>
      <c r="Q2305">
        <v>1</v>
      </c>
      <c r="R2305" s="1" t="s">
        <v>122</v>
      </c>
    </row>
    <row r="2306" spans="1:18" x14ac:dyDescent="0.25">
      <c r="A2306">
        <v>2016</v>
      </c>
      <c r="B2306">
        <v>1</v>
      </c>
      <c r="C2306" s="1" t="s">
        <v>18</v>
      </c>
      <c r="D2306" s="1" t="s">
        <v>19</v>
      </c>
      <c r="E2306" s="1" t="s">
        <v>86</v>
      </c>
      <c r="F2306">
        <v>2013</v>
      </c>
      <c r="G2306">
        <v>3</v>
      </c>
      <c r="H2306" s="1" t="s">
        <v>121</v>
      </c>
      <c r="I2306">
        <v>24</v>
      </c>
      <c r="J2306">
        <v>3445</v>
      </c>
      <c r="K2306" s="1" t="s">
        <v>87</v>
      </c>
      <c r="L2306" s="1" t="s">
        <v>45</v>
      </c>
      <c r="M2306">
        <v>0.26500000000000001</v>
      </c>
      <c r="N2306">
        <v>6365.8</v>
      </c>
      <c r="O2306">
        <v>6.3659999999999997</v>
      </c>
      <c r="P2306" s="2">
        <v>42370</v>
      </c>
      <c r="Q2306">
        <v>1</v>
      </c>
      <c r="R2306" s="1" t="s">
        <v>122</v>
      </c>
    </row>
    <row r="2307" spans="1:18" x14ac:dyDescent="0.25">
      <c r="A2307">
        <v>2016</v>
      </c>
      <c r="B2307">
        <v>2</v>
      </c>
      <c r="C2307" s="1" t="s">
        <v>25</v>
      </c>
      <c r="D2307" s="1" t="s">
        <v>19</v>
      </c>
      <c r="E2307" s="1" t="s">
        <v>86</v>
      </c>
      <c r="F2307">
        <v>2013</v>
      </c>
      <c r="G2307">
        <v>3</v>
      </c>
      <c r="H2307" s="1" t="s">
        <v>121</v>
      </c>
      <c r="I2307">
        <v>24</v>
      </c>
      <c r="J2307">
        <v>3445</v>
      </c>
      <c r="K2307" s="1" t="s">
        <v>87</v>
      </c>
      <c r="L2307" s="1" t="s">
        <v>45</v>
      </c>
      <c r="M2307">
        <v>0.27100000000000002</v>
      </c>
      <c r="N2307">
        <v>6502.6</v>
      </c>
      <c r="O2307">
        <v>6.5030000000000001</v>
      </c>
      <c r="P2307" s="2">
        <v>42401</v>
      </c>
      <c r="Q2307">
        <v>1</v>
      </c>
      <c r="R2307" s="1" t="s">
        <v>122</v>
      </c>
    </row>
    <row r="2308" spans="1:18" x14ac:dyDescent="0.25">
      <c r="A2308">
        <v>2016</v>
      </c>
      <c r="B2308">
        <v>3</v>
      </c>
      <c r="C2308" s="1" t="s">
        <v>26</v>
      </c>
      <c r="D2308" s="1" t="s">
        <v>19</v>
      </c>
      <c r="E2308" s="1" t="s">
        <v>86</v>
      </c>
      <c r="F2308">
        <v>2013</v>
      </c>
      <c r="G2308">
        <v>3</v>
      </c>
      <c r="H2308" s="1" t="s">
        <v>121</v>
      </c>
      <c r="I2308">
        <v>24</v>
      </c>
      <c r="J2308">
        <v>3445</v>
      </c>
      <c r="K2308" s="1" t="s">
        <v>87</v>
      </c>
      <c r="L2308" s="1" t="s">
        <v>45</v>
      </c>
      <c r="M2308">
        <v>0.33300000000000002</v>
      </c>
      <c r="N2308">
        <v>7980</v>
      </c>
      <c r="O2308">
        <v>7.98</v>
      </c>
      <c r="P2308" s="2">
        <v>42430</v>
      </c>
      <c r="Q2308">
        <v>1</v>
      </c>
      <c r="R2308" s="1" t="s">
        <v>122</v>
      </c>
    </row>
    <row r="2309" spans="1:18" x14ac:dyDescent="0.25">
      <c r="A2309">
        <v>2016</v>
      </c>
      <c r="B2309">
        <v>4</v>
      </c>
      <c r="C2309" s="1" t="s">
        <v>27</v>
      </c>
      <c r="D2309" s="1" t="s">
        <v>19</v>
      </c>
      <c r="E2309" s="1" t="s">
        <v>86</v>
      </c>
      <c r="F2309">
        <v>2013</v>
      </c>
      <c r="G2309">
        <v>3</v>
      </c>
      <c r="H2309" s="1" t="s">
        <v>121</v>
      </c>
      <c r="I2309">
        <v>24</v>
      </c>
      <c r="J2309">
        <v>3445</v>
      </c>
      <c r="K2309" s="1" t="s">
        <v>87</v>
      </c>
      <c r="L2309" s="1" t="s">
        <v>45</v>
      </c>
      <c r="M2309">
        <v>0.19700000000000001</v>
      </c>
      <c r="N2309">
        <v>4733.3</v>
      </c>
      <c r="O2309">
        <v>4.7329999999999997</v>
      </c>
      <c r="P2309" s="2">
        <v>42461</v>
      </c>
      <c r="Q2309">
        <v>1</v>
      </c>
      <c r="R2309" s="1" t="s">
        <v>122</v>
      </c>
    </row>
    <row r="2310" spans="1:18" x14ac:dyDescent="0.25">
      <c r="A2310">
        <v>2016</v>
      </c>
      <c r="B2310">
        <v>5</v>
      </c>
      <c r="C2310" s="1" t="s">
        <v>28</v>
      </c>
      <c r="D2310" s="1" t="s">
        <v>19</v>
      </c>
      <c r="E2310" s="1" t="s">
        <v>86</v>
      </c>
      <c r="F2310">
        <v>2013</v>
      </c>
      <c r="G2310">
        <v>3</v>
      </c>
      <c r="H2310" s="1" t="s">
        <v>121</v>
      </c>
      <c r="I2310">
        <v>24</v>
      </c>
      <c r="J2310">
        <v>3445</v>
      </c>
      <c r="K2310" s="1" t="s">
        <v>87</v>
      </c>
      <c r="L2310" s="1" t="s">
        <v>45</v>
      </c>
      <c r="M2310">
        <v>0.45600000000000002</v>
      </c>
      <c r="N2310">
        <v>10934.9</v>
      </c>
      <c r="O2310">
        <v>10.935</v>
      </c>
      <c r="P2310" s="2">
        <v>42491</v>
      </c>
      <c r="Q2310">
        <v>1</v>
      </c>
      <c r="R2310" s="1" t="s">
        <v>122</v>
      </c>
    </row>
    <row r="2311" spans="1:18" x14ac:dyDescent="0.25">
      <c r="A2311">
        <v>2016</v>
      </c>
      <c r="B2311">
        <v>6</v>
      </c>
      <c r="C2311" s="1" t="s">
        <v>29</v>
      </c>
      <c r="D2311" s="1" t="s">
        <v>19</v>
      </c>
      <c r="E2311" s="1" t="s">
        <v>86</v>
      </c>
      <c r="F2311">
        <v>2013</v>
      </c>
      <c r="G2311">
        <v>3</v>
      </c>
      <c r="H2311" s="1" t="s">
        <v>121</v>
      </c>
      <c r="I2311">
        <v>24</v>
      </c>
      <c r="J2311">
        <v>3445</v>
      </c>
      <c r="K2311" s="1" t="s">
        <v>87</v>
      </c>
      <c r="L2311" s="1" t="s">
        <v>45</v>
      </c>
      <c r="M2311">
        <v>0.47599999999999998</v>
      </c>
      <c r="N2311">
        <v>11427.4</v>
      </c>
      <c r="O2311">
        <v>11.427</v>
      </c>
      <c r="P2311" s="2">
        <v>42522</v>
      </c>
      <c r="Q2311">
        <v>1</v>
      </c>
      <c r="R2311" s="1" t="s">
        <v>122</v>
      </c>
    </row>
    <row r="2312" spans="1:18" x14ac:dyDescent="0.25">
      <c r="A2312">
        <v>2016</v>
      </c>
      <c r="B2312">
        <v>7</v>
      </c>
      <c r="C2312" s="1" t="s">
        <v>30</v>
      </c>
      <c r="D2312" s="1" t="s">
        <v>19</v>
      </c>
      <c r="E2312" s="1" t="s">
        <v>86</v>
      </c>
      <c r="F2312">
        <v>2013</v>
      </c>
      <c r="G2312">
        <v>3</v>
      </c>
      <c r="H2312" s="1" t="s">
        <v>121</v>
      </c>
      <c r="I2312">
        <v>24</v>
      </c>
      <c r="J2312">
        <v>3445</v>
      </c>
      <c r="K2312" s="1" t="s">
        <v>87</v>
      </c>
      <c r="L2312" s="1" t="s">
        <v>45</v>
      </c>
      <c r="M2312">
        <v>0.35399999999999998</v>
      </c>
      <c r="N2312">
        <v>8490.7000000000007</v>
      </c>
      <c r="O2312">
        <v>8.4909999999999997</v>
      </c>
      <c r="P2312" s="2">
        <v>42552</v>
      </c>
      <c r="Q2312">
        <v>1</v>
      </c>
      <c r="R2312" s="1" t="s">
        <v>122</v>
      </c>
    </row>
    <row r="2313" spans="1:18" x14ac:dyDescent="0.25">
      <c r="A2313">
        <v>2016</v>
      </c>
      <c r="B2313">
        <v>8</v>
      </c>
      <c r="C2313" s="1" t="s">
        <v>31</v>
      </c>
      <c r="D2313" s="1" t="s">
        <v>19</v>
      </c>
      <c r="E2313" s="1" t="s">
        <v>86</v>
      </c>
      <c r="F2313">
        <v>2013</v>
      </c>
      <c r="G2313">
        <v>3</v>
      </c>
      <c r="H2313" s="1" t="s">
        <v>121</v>
      </c>
      <c r="I2313">
        <v>24</v>
      </c>
      <c r="J2313">
        <v>3445</v>
      </c>
      <c r="K2313" s="1" t="s">
        <v>87</v>
      </c>
      <c r="L2313" s="1" t="s">
        <v>45</v>
      </c>
      <c r="M2313">
        <v>0.32600000000000001</v>
      </c>
      <c r="N2313">
        <v>7815.8</v>
      </c>
      <c r="O2313">
        <v>7.8159999999999998</v>
      </c>
      <c r="P2313" s="2">
        <v>42583</v>
      </c>
      <c r="Q2313">
        <v>1</v>
      </c>
      <c r="R2313" s="1" t="s">
        <v>122</v>
      </c>
    </row>
    <row r="2314" spans="1:18" x14ac:dyDescent="0.25">
      <c r="A2314">
        <v>2016</v>
      </c>
      <c r="B2314">
        <v>9</v>
      </c>
      <c r="C2314" s="1" t="s">
        <v>32</v>
      </c>
      <c r="D2314" s="1" t="s">
        <v>19</v>
      </c>
      <c r="E2314" s="1" t="s">
        <v>86</v>
      </c>
      <c r="F2314">
        <v>2013</v>
      </c>
      <c r="G2314">
        <v>3</v>
      </c>
      <c r="H2314" s="1" t="s">
        <v>121</v>
      </c>
      <c r="I2314">
        <v>24</v>
      </c>
      <c r="J2314">
        <v>3445</v>
      </c>
      <c r="K2314" s="1" t="s">
        <v>87</v>
      </c>
      <c r="L2314" s="1" t="s">
        <v>45</v>
      </c>
      <c r="M2314">
        <v>0.26300000000000001</v>
      </c>
      <c r="N2314">
        <v>6311</v>
      </c>
      <c r="O2314">
        <v>6.3109999999999999</v>
      </c>
      <c r="P2314" s="2">
        <v>42614</v>
      </c>
      <c r="Q2314">
        <v>1</v>
      </c>
      <c r="R2314" s="1" t="s">
        <v>122</v>
      </c>
    </row>
    <row r="2315" spans="1:18" x14ac:dyDescent="0.25">
      <c r="A2315">
        <v>2016</v>
      </c>
      <c r="B2315">
        <v>10</v>
      </c>
      <c r="C2315" s="1" t="s">
        <v>33</v>
      </c>
      <c r="D2315" s="1" t="s">
        <v>19</v>
      </c>
      <c r="E2315" s="1" t="s">
        <v>86</v>
      </c>
      <c r="F2315">
        <v>2013</v>
      </c>
      <c r="G2315">
        <v>3</v>
      </c>
      <c r="H2315" s="1" t="s">
        <v>121</v>
      </c>
      <c r="I2315">
        <v>24</v>
      </c>
      <c r="J2315">
        <v>3445</v>
      </c>
      <c r="K2315" s="1" t="s">
        <v>87</v>
      </c>
      <c r="L2315" s="1" t="s">
        <v>45</v>
      </c>
      <c r="M2315">
        <v>0.46400000000000002</v>
      </c>
      <c r="N2315">
        <v>11126.4</v>
      </c>
      <c r="O2315">
        <v>11.125999999999999</v>
      </c>
      <c r="P2315" s="2">
        <v>42644</v>
      </c>
      <c r="Q2315">
        <v>1</v>
      </c>
      <c r="R2315" s="1" t="s">
        <v>122</v>
      </c>
    </row>
    <row r="2316" spans="1:18" x14ac:dyDescent="0.25">
      <c r="A2316">
        <v>2016</v>
      </c>
      <c r="B2316">
        <v>11</v>
      </c>
      <c r="C2316" s="1" t="s">
        <v>34</v>
      </c>
      <c r="D2316" s="1" t="s">
        <v>19</v>
      </c>
      <c r="E2316" s="1" t="s">
        <v>86</v>
      </c>
      <c r="F2316">
        <v>2013</v>
      </c>
      <c r="G2316">
        <v>3</v>
      </c>
      <c r="H2316" s="1" t="s">
        <v>121</v>
      </c>
      <c r="I2316">
        <v>24</v>
      </c>
      <c r="J2316">
        <v>3445</v>
      </c>
      <c r="K2316" s="1" t="s">
        <v>87</v>
      </c>
      <c r="L2316" s="1" t="s">
        <v>45</v>
      </c>
      <c r="M2316">
        <v>0.41799999999999998</v>
      </c>
      <c r="N2316">
        <v>10032</v>
      </c>
      <c r="O2316">
        <v>10.032</v>
      </c>
      <c r="P2316" s="2">
        <v>42675</v>
      </c>
      <c r="Q2316">
        <v>1</v>
      </c>
      <c r="R2316" s="1" t="s">
        <v>122</v>
      </c>
    </row>
    <row r="2317" spans="1:18" x14ac:dyDescent="0.25">
      <c r="A2317">
        <v>2016</v>
      </c>
      <c r="B2317">
        <v>12</v>
      </c>
      <c r="C2317" s="1" t="s">
        <v>35</v>
      </c>
      <c r="D2317" s="1" t="s">
        <v>19</v>
      </c>
      <c r="E2317" s="1" t="s">
        <v>86</v>
      </c>
      <c r="F2317">
        <v>2013</v>
      </c>
      <c r="G2317">
        <v>3</v>
      </c>
      <c r="H2317" s="1" t="s">
        <v>121</v>
      </c>
      <c r="I2317">
        <v>24</v>
      </c>
      <c r="J2317">
        <v>3445</v>
      </c>
      <c r="K2317" s="1" t="s">
        <v>87</v>
      </c>
      <c r="L2317" s="1" t="s">
        <v>45</v>
      </c>
      <c r="M2317">
        <v>0.41</v>
      </c>
      <c r="N2317">
        <v>9840.5</v>
      </c>
      <c r="O2317">
        <v>9.84</v>
      </c>
      <c r="P2317" s="2">
        <v>42705</v>
      </c>
      <c r="Q2317">
        <v>1</v>
      </c>
      <c r="R2317" s="1" t="s">
        <v>122</v>
      </c>
    </row>
    <row r="2318" spans="1:18" x14ac:dyDescent="0.25">
      <c r="A2318">
        <v>2016</v>
      </c>
      <c r="B2318">
        <v>1</v>
      </c>
      <c r="C2318" s="1" t="s">
        <v>18</v>
      </c>
      <c r="D2318" s="1" t="s">
        <v>19</v>
      </c>
      <c r="E2318" s="1" t="s">
        <v>88</v>
      </c>
      <c r="F2318">
        <v>2013</v>
      </c>
      <c r="G2318">
        <v>3</v>
      </c>
      <c r="H2318" s="1" t="s">
        <v>121</v>
      </c>
      <c r="I2318">
        <v>24</v>
      </c>
      <c r="J2318">
        <v>3271</v>
      </c>
      <c r="K2318" s="1" t="s">
        <v>89</v>
      </c>
      <c r="L2318" s="1" t="s">
        <v>45</v>
      </c>
      <c r="M2318">
        <v>0.26500000000000001</v>
      </c>
      <c r="N2318">
        <v>6365.8</v>
      </c>
      <c r="O2318">
        <v>6.3659999999999997</v>
      </c>
      <c r="P2318" s="2">
        <v>42370</v>
      </c>
      <c r="Q2318">
        <v>1</v>
      </c>
      <c r="R2318" s="1" t="s">
        <v>122</v>
      </c>
    </row>
    <row r="2319" spans="1:18" x14ac:dyDescent="0.25">
      <c r="A2319">
        <v>2016</v>
      </c>
      <c r="B2319">
        <v>2</v>
      </c>
      <c r="C2319" s="1" t="s">
        <v>25</v>
      </c>
      <c r="D2319" s="1" t="s">
        <v>19</v>
      </c>
      <c r="E2319" s="1" t="s">
        <v>88</v>
      </c>
      <c r="F2319">
        <v>2013</v>
      </c>
      <c r="G2319">
        <v>3</v>
      </c>
      <c r="H2319" s="1" t="s">
        <v>121</v>
      </c>
      <c r="I2319">
        <v>24</v>
      </c>
      <c r="J2319">
        <v>3271</v>
      </c>
      <c r="K2319" s="1" t="s">
        <v>89</v>
      </c>
      <c r="L2319" s="1" t="s">
        <v>45</v>
      </c>
      <c r="M2319">
        <v>0.27100000000000002</v>
      </c>
      <c r="N2319">
        <v>6502.6</v>
      </c>
      <c r="O2319">
        <v>6.5030000000000001</v>
      </c>
      <c r="P2319" s="2">
        <v>42401</v>
      </c>
      <c r="Q2319">
        <v>1</v>
      </c>
      <c r="R2319" s="1" t="s">
        <v>122</v>
      </c>
    </row>
    <row r="2320" spans="1:18" x14ac:dyDescent="0.25">
      <c r="A2320">
        <v>2016</v>
      </c>
      <c r="B2320">
        <v>3</v>
      </c>
      <c r="C2320" s="1" t="s">
        <v>26</v>
      </c>
      <c r="D2320" s="1" t="s">
        <v>19</v>
      </c>
      <c r="E2320" s="1" t="s">
        <v>88</v>
      </c>
      <c r="F2320">
        <v>2013</v>
      </c>
      <c r="G2320">
        <v>3</v>
      </c>
      <c r="H2320" s="1" t="s">
        <v>121</v>
      </c>
      <c r="I2320">
        <v>24</v>
      </c>
      <c r="J2320">
        <v>3271</v>
      </c>
      <c r="K2320" s="1" t="s">
        <v>89</v>
      </c>
      <c r="L2320" s="1" t="s">
        <v>45</v>
      </c>
      <c r="M2320">
        <v>0.33300000000000002</v>
      </c>
      <c r="N2320">
        <v>7980</v>
      </c>
      <c r="O2320">
        <v>7.98</v>
      </c>
      <c r="P2320" s="2">
        <v>42430</v>
      </c>
      <c r="Q2320">
        <v>1</v>
      </c>
      <c r="R2320" s="1" t="s">
        <v>122</v>
      </c>
    </row>
    <row r="2321" spans="1:18" x14ac:dyDescent="0.25">
      <c r="A2321">
        <v>2016</v>
      </c>
      <c r="B2321">
        <v>4</v>
      </c>
      <c r="C2321" s="1" t="s">
        <v>27</v>
      </c>
      <c r="D2321" s="1" t="s">
        <v>19</v>
      </c>
      <c r="E2321" s="1" t="s">
        <v>88</v>
      </c>
      <c r="F2321">
        <v>2013</v>
      </c>
      <c r="G2321">
        <v>3</v>
      </c>
      <c r="H2321" s="1" t="s">
        <v>121</v>
      </c>
      <c r="I2321">
        <v>24</v>
      </c>
      <c r="J2321">
        <v>3271</v>
      </c>
      <c r="K2321" s="1" t="s">
        <v>89</v>
      </c>
      <c r="L2321" s="1" t="s">
        <v>45</v>
      </c>
      <c r="M2321">
        <v>0.19700000000000001</v>
      </c>
      <c r="N2321">
        <v>4733.3</v>
      </c>
      <c r="O2321">
        <v>4.7329999999999997</v>
      </c>
      <c r="P2321" s="2">
        <v>42461</v>
      </c>
      <c r="Q2321">
        <v>1</v>
      </c>
      <c r="R2321" s="1" t="s">
        <v>122</v>
      </c>
    </row>
    <row r="2322" spans="1:18" x14ac:dyDescent="0.25">
      <c r="A2322">
        <v>2016</v>
      </c>
      <c r="B2322">
        <v>5</v>
      </c>
      <c r="C2322" s="1" t="s">
        <v>28</v>
      </c>
      <c r="D2322" s="1" t="s">
        <v>19</v>
      </c>
      <c r="E2322" s="1" t="s">
        <v>88</v>
      </c>
      <c r="F2322">
        <v>2013</v>
      </c>
      <c r="G2322">
        <v>3</v>
      </c>
      <c r="H2322" s="1" t="s">
        <v>121</v>
      </c>
      <c r="I2322">
        <v>24</v>
      </c>
      <c r="J2322">
        <v>3271</v>
      </c>
      <c r="K2322" s="1" t="s">
        <v>89</v>
      </c>
      <c r="L2322" s="1" t="s">
        <v>45</v>
      </c>
      <c r="M2322">
        <v>0.45600000000000002</v>
      </c>
      <c r="N2322">
        <v>10934.9</v>
      </c>
      <c r="O2322">
        <v>10.935</v>
      </c>
      <c r="P2322" s="2">
        <v>42491</v>
      </c>
      <c r="Q2322">
        <v>1</v>
      </c>
      <c r="R2322" s="1" t="s">
        <v>122</v>
      </c>
    </row>
    <row r="2323" spans="1:18" x14ac:dyDescent="0.25">
      <c r="A2323">
        <v>2016</v>
      </c>
      <c r="B2323">
        <v>6</v>
      </c>
      <c r="C2323" s="1" t="s">
        <v>29</v>
      </c>
      <c r="D2323" s="1" t="s">
        <v>19</v>
      </c>
      <c r="E2323" s="1" t="s">
        <v>88</v>
      </c>
      <c r="F2323">
        <v>2013</v>
      </c>
      <c r="G2323">
        <v>3</v>
      </c>
      <c r="H2323" s="1" t="s">
        <v>121</v>
      </c>
      <c r="I2323">
        <v>24</v>
      </c>
      <c r="J2323">
        <v>3271</v>
      </c>
      <c r="K2323" s="1" t="s">
        <v>89</v>
      </c>
      <c r="L2323" s="1" t="s">
        <v>45</v>
      </c>
      <c r="M2323">
        <v>0.47599999999999998</v>
      </c>
      <c r="N2323">
        <v>11427.4</v>
      </c>
      <c r="O2323">
        <v>11.427</v>
      </c>
      <c r="P2323" s="2">
        <v>42522</v>
      </c>
      <c r="Q2323">
        <v>1</v>
      </c>
      <c r="R2323" s="1" t="s">
        <v>122</v>
      </c>
    </row>
    <row r="2324" spans="1:18" x14ac:dyDescent="0.25">
      <c r="A2324">
        <v>2016</v>
      </c>
      <c r="B2324">
        <v>7</v>
      </c>
      <c r="C2324" s="1" t="s">
        <v>30</v>
      </c>
      <c r="D2324" s="1" t="s">
        <v>19</v>
      </c>
      <c r="E2324" s="1" t="s">
        <v>88</v>
      </c>
      <c r="F2324">
        <v>2013</v>
      </c>
      <c r="G2324">
        <v>3</v>
      </c>
      <c r="H2324" s="1" t="s">
        <v>121</v>
      </c>
      <c r="I2324">
        <v>24</v>
      </c>
      <c r="J2324">
        <v>3271</v>
      </c>
      <c r="K2324" s="1" t="s">
        <v>89</v>
      </c>
      <c r="L2324" s="1" t="s">
        <v>45</v>
      </c>
      <c r="M2324">
        <v>0.35399999999999998</v>
      </c>
      <c r="N2324">
        <v>8490.7000000000007</v>
      </c>
      <c r="O2324">
        <v>8.4909999999999997</v>
      </c>
      <c r="P2324" s="2">
        <v>42552</v>
      </c>
      <c r="Q2324">
        <v>1</v>
      </c>
      <c r="R2324" s="1" t="s">
        <v>122</v>
      </c>
    </row>
    <row r="2325" spans="1:18" x14ac:dyDescent="0.25">
      <c r="A2325">
        <v>2016</v>
      </c>
      <c r="B2325">
        <v>8</v>
      </c>
      <c r="C2325" s="1" t="s">
        <v>31</v>
      </c>
      <c r="D2325" s="1" t="s">
        <v>19</v>
      </c>
      <c r="E2325" s="1" t="s">
        <v>88</v>
      </c>
      <c r="F2325">
        <v>2013</v>
      </c>
      <c r="G2325">
        <v>3</v>
      </c>
      <c r="H2325" s="1" t="s">
        <v>121</v>
      </c>
      <c r="I2325">
        <v>24</v>
      </c>
      <c r="J2325">
        <v>3271</v>
      </c>
      <c r="K2325" s="1" t="s">
        <v>89</v>
      </c>
      <c r="L2325" s="1" t="s">
        <v>45</v>
      </c>
      <c r="M2325">
        <v>0.32600000000000001</v>
      </c>
      <c r="N2325">
        <v>7815.8</v>
      </c>
      <c r="O2325">
        <v>7.8159999999999998</v>
      </c>
      <c r="P2325" s="2">
        <v>42583</v>
      </c>
      <c r="Q2325">
        <v>1</v>
      </c>
      <c r="R2325" s="1" t="s">
        <v>122</v>
      </c>
    </row>
    <row r="2326" spans="1:18" x14ac:dyDescent="0.25">
      <c r="A2326">
        <v>2016</v>
      </c>
      <c r="B2326">
        <v>9</v>
      </c>
      <c r="C2326" s="1" t="s">
        <v>32</v>
      </c>
      <c r="D2326" s="1" t="s">
        <v>19</v>
      </c>
      <c r="E2326" s="1" t="s">
        <v>88</v>
      </c>
      <c r="F2326">
        <v>2013</v>
      </c>
      <c r="G2326">
        <v>3</v>
      </c>
      <c r="H2326" s="1" t="s">
        <v>121</v>
      </c>
      <c r="I2326">
        <v>24</v>
      </c>
      <c r="J2326">
        <v>3271</v>
      </c>
      <c r="K2326" s="1" t="s">
        <v>89</v>
      </c>
      <c r="L2326" s="1" t="s">
        <v>45</v>
      </c>
      <c r="M2326">
        <v>0.26300000000000001</v>
      </c>
      <c r="N2326">
        <v>6311</v>
      </c>
      <c r="O2326">
        <v>6.3109999999999999</v>
      </c>
      <c r="P2326" s="2">
        <v>42614</v>
      </c>
      <c r="Q2326">
        <v>1</v>
      </c>
      <c r="R2326" s="1" t="s">
        <v>122</v>
      </c>
    </row>
    <row r="2327" spans="1:18" x14ac:dyDescent="0.25">
      <c r="A2327">
        <v>2016</v>
      </c>
      <c r="B2327">
        <v>10</v>
      </c>
      <c r="C2327" s="1" t="s">
        <v>33</v>
      </c>
      <c r="D2327" s="1" t="s">
        <v>19</v>
      </c>
      <c r="E2327" s="1" t="s">
        <v>88</v>
      </c>
      <c r="F2327">
        <v>2013</v>
      </c>
      <c r="G2327">
        <v>3</v>
      </c>
      <c r="H2327" s="1" t="s">
        <v>121</v>
      </c>
      <c r="I2327">
        <v>24</v>
      </c>
      <c r="J2327">
        <v>3271</v>
      </c>
      <c r="K2327" s="1" t="s">
        <v>89</v>
      </c>
      <c r="L2327" s="1" t="s">
        <v>45</v>
      </c>
      <c r="M2327">
        <v>0.46400000000000002</v>
      </c>
      <c r="N2327">
        <v>11126.4</v>
      </c>
      <c r="O2327">
        <v>11.125999999999999</v>
      </c>
      <c r="P2327" s="2">
        <v>42644</v>
      </c>
      <c r="Q2327">
        <v>1</v>
      </c>
      <c r="R2327" s="1" t="s">
        <v>122</v>
      </c>
    </row>
    <row r="2328" spans="1:18" x14ac:dyDescent="0.25">
      <c r="A2328">
        <v>2016</v>
      </c>
      <c r="B2328">
        <v>11</v>
      </c>
      <c r="C2328" s="1" t="s">
        <v>34</v>
      </c>
      <c r="D2328" s="1" t="s">
        <v>19</v>
      </c>
      <c r="E2328" s="1" t="s">
        <v>88</v>
      </c>
      <c r="F2328">
        <v>2013</v>
      </c>
      <c r="G2328">
        <v>3</v>
      </c>
      <c r="H2328" s="1" t="s">
        <v>121</v>
      </c>
      <c r="I2328">
        <v>24</v>
      </c>
      <c r="J2328">
        <v>3271</v>
      </c>
      <c r="K2328" s="1" t="s">
        <v>89</v>
      </c>
      <c r="L2328" s="1" t="s">
        <v>45</v>
      </c>
      <c r="M2328">
        <v>0.41799999999999998</v>
      </c>
      <c r="N2328">
        <v>10032</v>
      </c>
      <c r="O2328">
        <v>10.032</v>
      </c>
      <c r="P2328" s="2">
        <v>42675</v>
      </c>
      <c r="Q2328">
        <v>1</v>
      </c>
      <c r="R2328" s="1" t="s">
        <v>122</v>
      </c>
    </row>
    <row r="2329" spans="1:18" x14ac:dyDescent="0.25">
      <c r="A2329">
        <v>2016</v>
      </c>
      <c r="B2329">
        <v>12</v>
      </c>
      <c r="C2329" s="1" t="s">
        <v>35</v>
      </c>
      <c r="D2329" s="1" t="s">
        <v>19</v>
      </c>
      <c r="E2329" s="1" t="s">
        <v>88</v>
      </c>
      <c r="F2329">
        <v>2013</v>
      </c>
      <c r="G2329">
        <v>3</v>
      </c>
      <c r="H2329" s="1" t="s">
        <v>121</v>
      </c>
      <c r="I2329">
        <v>24</v>
      </c>
      <c r="J2329">
        <v>3271</v>
      </c>
      <c r="K2329" s="1" t="s">
        <v>89</v>
      </c>
      <c r="L2329" s="1" t="s">
        <v>45</v>
      </c>
      <c r="M2329">
        <v>0.41</v>
      </c>
      <c r="N2329">
        <v>9840.5</v>
      </c>
      <c r="O2329">
        <v>9.84</v>
      </c>
      <c r="P2329" s="2">
        <v>42705</v>
      </c>
      <c r="Q2329">
        <v>1</v>
      </c>
      <c r="R2329" s="1" t="s">
        <v>122</v>
      </c>
    </row>
    <row r="2330" spans="1:18" x14ac:dyDescent="0.25">
      <c r="A2330">
        <v>2016</v>
      </c>
      <c r="B2330">
        <v>1</v>
      </c>
      <c r="C2330" s="1" t="s">
        <v>18</v>
      </c>
      <c r="D2330" s="1" t="s">
        <v>19</v>
      </c>
      <c r="E2330" s="1" t="s">
        <v>90</v>
      </c>
      <c r="F2330">
        <v>2013</v>
      </c>
      <c r="G2330">
        <v>3</v>
      </c>
      <c r="H2330" s="1" t="s">
        <v>121</v>
      </c>
      <c r="I2330">
        <v>25</v>
      </c>
      <c r="J2330">
        <v>3291</v>
      </c>
      <c r="K2330" s="1" t="s">
        <v>91</v>
      </c>
      <c r="L2330" s="1" t="s">
        <v>45</v>
      </c>
      <c r="M2330">
        <v>0.26500000000000001</v>
      </c>
      <c r="N2330">
        <v>6631</v>
      </c>
      <c r="O2330">
        <v>6.6310000000000002</v>
      </c>
      <c r="P2330" s="2">
        <v>42370</v>
      </c>
      <c r="Q2330">
        <v>1</v>
      </c>
      <c r="R2330" s="1" t="s">
        <v>122</v>
      </c>
    </row>
    <row r="2331" spans="1:18" x14ac:dyDescent="0.25">
      <c r="A2331">
        <v>2016</v>
      </c>
      <c r="B2331">
        <v>2</v>
      </c>
      <c r="C2331" s="1" t="s">
        <v>25</v>
      </c>
      <c r="D2331" s="1" t="s">
        <v>19</v>
      </c>
      <c r="E2331" s="1" t="s">
        <v>90</v>
      </c>
      <c r="F2331">
        <v>2013</v>
      </c>
      <c r="G2331">
        <v>3</v>
      </c>
      <c r="H2331" s="1" t="s">
        <v>121</v>
      </c>
      <c r="I2331">
        <v>25</v>
      </c>
      <c r="J2331">
        <v>3291</v>
      </c>
      <c r="K2331" s="1" t="s">
        <v>91</v>
      </c>
      <c r="L2331" s="1" t="s">
        <v>45</v>
      </c>
      <c r="M2331">
        <v>0.27100000000000002</v>
      </c>
      <c r="N2331">
        <v>6773.5</v>
      </c>
      <c r="O2331">
        <v>6.774</v>
      </c>
      <c r="P2331" s="2">
        <v>42401</v>
      </c>
      <c r="Q2331">
        <v>1</v>
      </c>
      <c r="R2331" s="1" t="s">
        <v>122</v>
      </c>
    </row>
    <row r="2332" spans="1:18" x14ac:dyDescent="0.25">
      <c r="A2332">
        <v>2016</v>
      </c>
      <c r="B2332">
        <v>3</v>
      </c>
      <c r="C2332" s="1" t="s">
        <v>26</v>
      </c>
      <c r="D2332" s="1" t="s">
        <v>19</v>
      </c>
      <c r="E2332" s="1" t="s">
        <v>90</v>
      </c>
      <c r="F2332">
        <v>2013</v>
      </c>
      <c r="G2332">
        <v>3</v>
      </c>
      <c r="H2332" s="1" t="s">
        <v>121</v>
      </c>
      <c r="I2332">
        <v>25</v>
      </c>
      <c r="J2332">
        <v>3291</v>
      </c>
      <c r="K2332" s="1" t="s">
        <v>91</v>
      </c>
      <c r="L2332" s="1" t="s">
        <v>45</v>
      </c>
      <c r="M2332">
        <v>0.33300000000000002</v>
      </c>
      <c r="N2332">
        <v>8312.5</v>
      </c>
      <c r="O2332">
        <v>8.3119999999999994</v>
      </c>
      <c r="P2332" s="2">
        <v>42430</v>
      </c>
      <c r="Q2332">
        <v>1</v>
      </c>
      <c r="R2332" s="1" t="s">
        <v>122</v>
      </c>
    </row>
    <row r="2333" spans="1:18" x14ac:dyDescent="0.25">
      <c r="A2333">
        <v>2016</v>
      </c>
      <c r="B2333">
        <v>4</v>
      </c>
      <c r="C2333" s="1" t="s">
        <v>27</v>
      </c>
      <c r="D2333" s="1" t="s">
        <v>19</v>
      </c>
      <c r="E2333" s="1" t="s">
        <v>90</v>
      </c>
      <c r="F2333">
        <v>2013</v>
      </c>
      <c r="G2333">
        <v>3</v>
      </c>
      <c r="H2333" s="1" t="s">
        <v>121</v>
      </c>
      <c r="I2333">
        <v>25</v>
      </c>
      <c r="J2333">
        <v>3291</v>
      </c>
      <c r="K2333" s="1" t="s">
        <v>91</v>
      </c>
      <c r="L2333" s="1" t="s">
        <v>45</v>
      </c>
      <c r="M2333">
        <v>0.19700000000000001</v>
      </c>
      <c r="N2333">
        <v>4930.5</v>
      </c>
      <c r="O2333">
        <v>4.931</v>
      </c>
      <c r="P2333" s="2">
        <v>42461</v>
      </c>
      <c r="Q2333">
        <v>1</v>
      </c>
      <c r="R2333" s="1" t="s">
        <v>122</v>
      </c>
    </row>
    <row r="2334" spans="1:18" x14ac:dyDescent="0.25">
      <c r="A2334">
        <v>2016</v>
      </c>
      <c r="B2334">
        <v>5</v>
      </c>
      <c r="C2334" s="1" t="s">
        <v>28</v>
      </c>
      <c r="D2334" s="1" t="s">
        <v>19</v>
      </c>
      <c r="E2334" s="1" t="s">
        <v>90</v>
      </c>
      <c r="F2334">
        <v>2013</v>
      </c>
      <c r="G2334">
        <v>3</v>
      </c>
      <c r="H2334" s="1" t="s">
        <v>121</v>
      </c>
      <c r="I2334">
        <v>25</v>
      </c>
      <c r="J2334">
        <v>3291</v>
      </c>
      <c r="K2334" s="1" t="s">
        <v>91</v>
      </c>
      <c r="L2334" s="1" t="s">
        <v>45</v>
      </c>
      <c r="M2334">
        <v>0.45600000000000002</v>
      </c>
      <c r="N2334">
        <v>11390.5</v>
      </c>
      <c r="O2334">
        <v>11.391</v>
      </c>
      <c r="P2334" s="2">
        <v>42491</v>
      </c>
      <c r="Q2334">
        <v>1</v>
      </c>
      <c r="R2334" s="1" t="s">
        <v>122</v>
      </c>
    </row>
    <row r="2335" spans="1:18" x14ac:dyDescent="0.25">
      <c r="A2335">
        <v>2016</v>
      </c>
      <c r="B2335">
        <v>6</v>
      </c>
      <c r="C2335" s="1" t="s">
        <v>29</v>
      </c>
      <c r="D2335" s="1" t="s">
        <v>19</v>
      </c>
      <c r="E2335" s="1" t="s">
        <v>90</v>
      </c>
      <c r="F2335">
        <v>2013</v>
      </c>
      <c r="G2335">
        <v>3</v>
      </c>
      <c r="H2335" s="1" t="s">
        <v>121</v>
      </c>
      <c r="I2335">
        <v>25</v>
      </c>
      <c r="J2335">
        <v>3291</v>
      </c>
      <c r="K2335" s="1" t="s">
        <v>91</v>
      </c>
      <c r="L2335" s="1" t="s">
        <v>45</v>
      </c>
      <c r="M2335">
        <v>0.47599999999999998</v>
      </c>
      <c r="N2335">
        <v>11903.5</v>
      </c>
      <c r="O2335">
        <v>11.903</v>
      </c>
      <c r="P2335" s="2">
        <v>42522</v>
      </c>
      <c r="Q2335">
        <v>1</v>
      </c>
      <c r="R2335" s="1" t="s">
        <v>122</v>
      </c>
    </row>
    <row r="2336" spans="1:18" x14ac:dyDescent="0.25">
      <c r="A2336">
        <v>2016</v>
      </c>
      <c r="B2336">
        <v>7</v>
      </c>
      <c r="C2336" s="1" t="s">
        <v>30</v>
      </c>
      <c r="D2336" s="1" t="s">
        <v>19</v>
      </c>
      <c r="E2336" s="1" t="s">
        <v>90</v>
      </c>
      <c r="F2336">
        <v>2013</v>
      </c>
      <c r="G2336">
        <v>3</v>
      </c>
      <c r="H2336" s="1" t="s">
        <v>121</v>
      </c>
      <c r="I2336">
        <v>25</v>
      </c>
      <c r="J2336">
        <v>3291</v>
      </c>
      <c r="K2336" s="1" t="s">
        <v>91</v>
      </c>
      <c r="L2336" s="1" t="s">
        <v>45</v>
      </c>
      <c r="M2336">
        <v>0.35399999999999998</v>
      </c>
      <c r="N2336">
        <v>8844.5</v>
      </c>
      <c r="O2336">
        <v>8.8450000000000006</v>
      </c>
      <c r="P2336" s="2">
        <v>42552</v>
      </c>
      <c r="Q2336">
        <v>1</v>
      </c>
      <c r="R2336" s="1" t="s">
        <v>122</v>
      </c>
    </row>
    <row r="2337" spans="1:18" x14ac:dyDescent="0.25">
      <c r="A2337">
        <v>2016</v>
      </c>
      <c r="B2337">
        <v>8</v>
      </c>
      <c r="C2337" s="1" t="s">
        <v>31</v>
      </c>
      <c r="D2337" s="1" t="s">
        <v>19</v>
      </c>
      <c r="E2337" s="1" t="s">
        <v>90</v>
      </c>
      <c r="F2337">
        <v>2013</v>
      </c>
      <c r="G2337">
        <v>3</v>
      </c>
      <c r="H2337" s="1" t="s">
        <v>121</v>
      </c>
      <c r="I2337">
        <v>25</v>
      </c>
      <c r="J2337">
        <v>3291</v>
      </c>
      <c r="K2337" s="1" t="s">
        <v>91</v>
      </c>
      <c r="L2337" s="1" t="s">
        <v>45</v>
      </c>
      <c r="M2337">
        <v>0.32600000000000001</v>
      </c>
      <c r="N2337">
        <v>8141.5</v>
      </c>
      <c r="O2337">
        <v>8.1419999999999995</v>
      </c>
      <c r="P2337" s="2">
        <v>42583</v>
      </c>
      <c r="Q2337">
        <v>1</v>
      </c>
      <c r="R2337" s="1" t="s">
        <v>122</v>
      </c>
    </row>
    <row r="2338" spans="1:18" x14ac:dyDescent="0.25">
      <c r="A2338">
        <v>2016</v>
      </c>
      <c r="B2338">
        <v>9</v>
      </c>
      <c r="C2338" s="1" t="s">
        <v>32</v>
      </c>
      <c r="D2338" s="1" t="s">
        <v>19</v>
      </c>
      <c r="E2338" s="1" t="s">
        <v>90</v>
      </c>
      <c r="F2338">
        <v>2013</v>
      </c>
      <c r="G2338">
        <v>3</v>
      </c>
      <c r="H2338" s="1" t="s">
        <v>121</v>
      </c>
      <c r="I2338">
        <v>25</v>
      </c>
      <c r="J2338">
        <v>3291</v>
      </c>
      <c r="K2338" s="1" t="s">
        <v>91</v>
      </c>
      <c r="L2338" s="1" t="s">
        <v>45</v>
      </c>
      <c r="M2338">
        <v>0.26300000000000001</v>
      </c>
      <c r="N2338">
        <v>6574</v>
      </c>
      <c r="O2338">
        <v>6.5739999999999998</v>
      </c>
      <c r="P2338" s="2">
        <v>42614</v>
      </c>
      <c r="Q2338">
        <v>1</v>
      </c>
      <c r="R2338" s="1" t="s">
        <v>122</v>
      </c>
    </row>
    <row r="2339" spans="1:18" x14ac:dyDescent="0.25">
      <c r="A2339">
        <v>2016</v>
      </c>
      <c r="B2339">
        <v>10</v>
      </c>
      <c r="C2339" s="1" t="s">
        <v>33</v>
      </c>
      <c r="D2339" s="1" t="s">
        <v>19</v>
      </c>
      <c r="E2339" s="1" t="s">
        <v>90</v>
      </c>
      <c r="F2339">
        <v>2013</v>
      </c>
      <c r="G2339">
        <v>3</v>
      </c>
      <c r="H2339" s="1" t="s">
        <v>121</v>
      </c>
      <c r="I2339">
        <v>25</v>
      </c>
      <c r="J2339">
        <v>3291</v>
      </c>
      <c r="K2339" s="1" t="s">
        <v>91</v>
      </c>
      <c r="L2339" s="1" t="s">
        <v>45</v>
      </c>
      <c r="M2339">
        <v>0.46400000000000002</v>
      </c>
      <c r="N2339">
        <v>11590</v>
      </c>
      <c r="O2339">
        <v>11.59</v>
      </c>
      <c r="P2339" s="2">
        <v>42644</v>
      </c>
      <c r="Q2339">
        <v>1</v>
      </c>
      <c r="R2339" s="1" t="s">
        <v>122</v>
      </c>
    </row>
    <row r="2340" spans="1:18" x14ac:dyDescent="0.25">
      <c r="A2340">
        <v>2016</v>
      </c>
      <c r="B2340">
        <v>11</v>
      </c>
      <c r="C2340" s="1" t="s">
        <v>34</v>
      </c>
      <c r="D2340" s="1" t="s">
        <v>19</v>
      </c>
      <c r="E2340" s="1" t="s">
        <v>90</v>
      </c>
      <c r="F2340">
        <v>2013</v>
      </c>
      <c r="G2340">
        <v>3</v>
      </c>
      <c r="H2340" s="1" t="s">
        <v>121</v>
      </c>
      <c r="I2340">
        <v>25</v>
      </c>
      <c r="J2340">
        <v>3291</v>
      </c>
      <c r="K2340" s="1" t="s">
        <v>91</v>
      </c>
      <c r="L2340" s="1" t="s">
        <v>45</v>
      </c>
      <c r="M2340">
        <v>0.41799999999999998</v>
      </c>
      <c r="N2340">
        <v>10450</v>
      </c>
      <c r="O2340">
        <v>10.45</v>
      </c>
      <c r="P2340" s="2">
        <v>42675</v>
      </c>
      <c r="Q2340">
        <v>1</v>
      </c>
      <c r="R2340" s="1" t="s">
        <v>122</v>
      </c>
    </row>
    <row r="2341" spans="1:18" x14ac:dyDescent="0.25">
      <c r="A2341">
        <v>2016</v>
      </c>
      <c r="B2341">
        <v>12</v>
      </c>
      <c r="C2341" s="1" t="s">
        <v>35</v>
      </c>
      <c r="D2341" s="1" t="s">
        <v>19</v>
      </c>
      <c r="E2341" s="1" t="s">
        <v>90</v>
      </c>
      <c r="F2341">
        <v>2013</v>
      </c>
      <c r="G2341">
        <v>3</v>
      </c>
      <c r="H2341" s="1" t="s">
        <v>121</v>
      </c>
      <c r="I2341">
        <v>25</v>
      </c>
      <c r="J2341">
        <v>3291</v>
      </c>
      <c r="K2341" s="1" t="s">
        <v>91</v>
      </c>
      <c r="L2341" s="1" t="s">
        <v>45</v>
      </c>
      <c r="M2341">
        <v>0.41</v>
      </c>
      <c r="N2341">
        <v>10250.5</v>
      </c>
      <c r="O2341">
        <v>10.250999999999999</v>
      </c>
      <c r="P2341" s="2">
        <v>42705</v>
      </c>
      <c r="Q2341">
        <v>1</v>
      </c>
      <c r="R2341" s="1" t="s">
        <v>122</v>
      </c>
    </row>
    <row r="2342" spans="1:18" x14ac:dyDescent="0.25">
      <c r="A2342">
        <v>2016</v>
      </c>
      <c r="B2342">
        <v>1</v>
      </c>
      <c r="C2342" s="1" t="s">
        <v>18</v>
      </c>
      <c r="D2342" s="1" t="s">
        <v>19</v>
      </c>
      <c r="E2342" s="1" t="s">
        <v>92</v>
      </c>
      <c r="F2342">
        <v>2014</v>
      </c>
      <c r="G2342">
        <v>2</v>
      </c>
      <c r="H2342" s="1" t="s">
        <v>59</v>
      </c>
      <c r="I2342">
        <v>24</v>
      </c>
      <c r="J2342">
        <v>2208</v>
      </c>
      <c r="K2342" s="1" t="s">
        <v>93</v>
      </c>
      <c r="L2342" s="1" t="s">
        <v>45</v>
      </c>
      <c r="M2342">
        <v>0</v>
      </c>
      <c r="N2342">
        <v>0</v>
      </c>
      <c r="O2342">
        <v>0</v>
      </c>
      <c r="P2342" s="2">
        <v>42370</v>
      </c>
      <c r="Q2342">
        <v>0</v>
      </c>
      <c r="R2342" s="1" t="s">
        <v>61</v>
      </c>
    </row>
    <row r="2343" spans="1:18" x14ac:dyDescent="0.25">
      <c r="A2343">
        <v>2016</v>
      </c>
      <c r="B2343">
        <v>2</v>
      </c>
      <c r="C2343" s="1" t="s">
        <v>25</v>
      </c>
      <c r="D2343" s="1" t="s">
        <v>19</v>
      </c>
      <c r="E2343" s="1" t="s">
        <v>92</v>
      </c>
      <c r="F2343">
        <v>2014</v>
      </c>
      <c r="G2343">
        <v>2</v>
      </c>
      <c r="H2343" s="1" t="s">
        <v>59</v>
      </c>
      <c r="I2343">
        <v>24</v>
      </c>
      <c r="J2343">
        <v>2208</v>
      </c>
      <c r="K2343" s="1" t="s">
        <v>93</v>
      </c>
      <c r="L2343" s="1" t="s">
        <v>45</v>
      </c>
      <c r="M2343">
        <v>0</v>
      </c>
      <c r="N2343">
        <v>0</v>
      </c>
      <c r="O2343">
        <v>0</v>
      </c>
      <c r="P2343" s="2">
        <v>42401</v>
      </c>
      <c r="Q2343">
        <v>0</v>
      </c>
      <c r="R2343" s="1" t="s">
        <v>61</v>
      </c>
    </row>
    <row r="2344" spans="1:18" x14ac:dyDescent="0.25">
      <c r="A2344">
        <v>2016</v>
      </c>
      <c r="B2344">
        <v>3</v>
      </c>
      <c r="C2344" s="1" t="s">
        <v>26</v>
      </c>
      <c r="D2344" s="1" t="s">
        <v>19</v>
      </c>
      <c r="E2344" s="1" t="s">
        <v>92</v>
      </c>
      <c r="F2344">
        <v>2014</v>
      </c>
      <c r="G2344">
        <v>2</v>
      </c>
      <c r="H2344" s="1" t="s">
        <v>59</v>
      </c>
      <c r="I2344">
        <v>24</v>
      </c>
      <c r="J2344">
        <v>2208</v>
      </c>
      <c r="K2344" s="1" t="s">
        <v>93</v>
      </c>
      <c r="L2344" s="1" t="s">
        <v>45</v>
      </c>
      <c r="M2344">
        <v>0</v>
      </c>
      <c r="N2344">
        <v>0</v>
      </c>
      <c r="O2344">
        <v>0</v>
      </c>
      <c r="P2344" s="2">
        <v>42430</v>
      </c>
      <c r="Q2344">
        <v>0</v>
      </c>
      <c r="R2344" s="1" t="s">
        <v>61</v>
      </c>
    </row>
    <row r="2345" spans="1:18" x14ac:dyDescent="0.25">
      <c r="A2345">
        <v>2016</v>
      </c>
      <c r="B2345">
        <v>4</v>
      </c>
      <c r="C2345" s="1" t="s">
        <v>27</v>
      </c>
      <c r="D2345" s="1" t="s">
        <v>19</v>
      </c>
      <c r="E2345" s="1" t="s">
        <v>92</v>
      </c>
      <c r="F2345">
        <v>2014</v>
      </c>
      <c r="G2345">
        <v>2</v>
      </c>
      <c r="H2345" s="1" t="s">
        <v>59</v>
      </c>
      <c r="I2345">
        <v>24</v>
      </c>
      <c r="J2345">
        <v>2208</v>
      </c>
      <c r="K2345" s="1" t="s">
        <v>93</v>
      </c>
      <c r="L2345" s="1" t="s">
        <v>45</v>
      </c>
      <c r="M2345">
        <v>0</v>
      </c>
      <c r="N2345">
        <v>0</v>
      </c>
      <c r="O2345">
        <v>0</v>
      </c>
      <c r="P2345" s="2">
        <v>42461</v>
      </c>
      <c r="Q2345">
        <v>0</v>
      </c>
      <c r="R2345" s="1" t="s">
        <v>61</v>
      </c>
    </row>
    <row r="2346" spans="1:18" x14ac:dyDescent="0.25">
      <c r="A2346">
        <v>2016</v>
      </c>
      <c r="B2346">
        <v>5</v>
      </c>
      <c r="C2346" s="1" t="s">
        <v>28</v>
      </c>
      <c r="D2346" s="1" t="s">
        <v>19</v>
      </c>
      <c r="E2346" s="1" t="s">
        <v>92</v>
      </c>
      <c r="F2346">
        <v>2014</v>
      </c>
      <c r="G2346">
        <v>2</v>
      </c>
      <c r="H2346" s="1" t="s">
        <v>59</v>
      </c>
      <c r="I2346">
        <v>24</v>
      </c>
      <c r="J2346">
        <v>2208</v>
      </c>
      <c r="K2346" s="1" t="s">
        <v>93</v>
      </c>
      <c r="L2346" s="1" t="s">
        <v>45</v>
      </c>
      <c r="M2346">
        <v>0</v>
      </c>
      <c r="N2346">
        <v>0</v>
      </c>
      <c r="O2346">
        <v>0</v>
      </c>
      <c r="P2346" s="2">
        <v>42491</v>
      </c>
      <c r="Q2346">
        <v>0</v>
      </c>
      <c r="R2346" s="1" t="s">
        <v>61</v>
      </c>
    </row>
    <row r="2347" spans="1:18" x14ac:dyDescent="0.25">
      <c r="A2347">
        <v>2016</v>
      </c>
      <c r="B2347">
        <v>6</v>
      </c>
      <c r="C2347" s="1" t="s">
        <v>29</v>
      </c>
      <c r="D2347" s="1" t="s">
        <v>19</v>
      </c>
      <c r="E2347" s="1" t="s">
        <v>92</v>
      </c>
      <c r="F2347">
        <v>2014</v>
      </c>
      <c r="G2347">
        <v>2</v>
      </c>
      <c r="H2347" s="1" t="s">
        <v>59</v>
      </c>
      <c r="I2347">
        <v>24</v>
      </c>
      <c r="J2347">
        <v>2208</v>
      </c>
      <c r="K2347" s="1" t="s">
        <v>93</v>
      </c>
      <c r="L2347" s="1" t="s">
        <v>45</v>
      </c>
      <c r="M2347">
        <v>0</v>
      </c>
      <c r="N2347">
        <v>0</v>
      </c>
      <c r="O2347">
        <v>0</v>
      </c>
      <c r="P2347" s="2">
        <v>42522</v>
      </c>
      <c r="Q2347">
        <v>0</v>
      </c>
      <c r="R2347" s="1" t="s">
        <v>61</v>
      </c>
    </row>
    <row r="2348" spans="1:18" x14ac:dyDescent="0.25">
      <c r="A2348">
        <v>2016</v>
      </c>
      <c r="B2348">
        <v>7</v>
      </c>
      <c r="C2348" s="1" t="s">
        <v>30</v>
      </c>
      <c r="D2348" s="1" t="s">
        <v>19</v>
      </c>
      <c r="E2348" s="1" t="s">
        <v>92</v>
      </c>
      <c r="F2348">
        <v>2014</v>
      </c>
      <c r="G2348">
        <v>2</v>
      </c>
      <c r="H2348" s="1" t="s">
        <v>59</v>
      </c>
      <c r="I2348">
        <v>24</v>
      </c>
      <c r="J2348">
        <v>2208</v>
      </c>
      <c r="K2348" s="1" t="s">
        <v>93</v>
      </c>
      <c r="L2348" s="1" t="s">
        <v>45</v>
      </c>
      <c r="M2348">
        <v>0</v>
      </c>
      <c r="N2348">
        <v>0</v>
      </c>
      <c r="O2348">
        <v>0</v>
      </c>
      <c r="P2348" s="2">
        <v>42552</v>
      </c>
      <c r="Q2348">
        <v>0</v>
      </c>
      <c r="R2348" s="1" t="s">
        <v>61</v>
      </c>
    </row>
    <row r="2349" spans="1:18" x14ac:dyDescent="0.25">
      <c r="A2349">
        <v>2016</v>
      </c>
      <c r="B2349">
        <v>8</v>
      </c>
      <c r="C2349" s="1" t="s">
        <v>31</v>
      </c>
      <c r="D2349" s="1" t="s">
        <v>19</v>
      </c>
      <c r="E2349" s="1" t="s">
        <v>92</v>
      </c>
      <c r="F2349">
        <v>2014</v>
      </c>
      <c r="G2349">
        <v>2</v>
      </c>
      <c r="H2349" s="1" t="s">
        <v>59</v>
      </c>
      <c r="I2349">
        <v>24</v>
      </c>
      <c r="J2349">
        <v>2208</v>
      </c>
      <c r="K2349" s="1" t="s">
        <v>93</v>
      </c>
      <c r="L2349" s="1" t="s">
        <v>45</v>
      </c>
      <c r="M2349">
        <v>0</v>
      </c>
      <c r="N2349">
        <v>0</v>
      </c>
      <c r="O2349">
        <v>0</v>
      </c>
      <c r="P2349" s="2">
        <v>42583</v>
      </c>
      <c r="Q2349">
        <v>0</v>
      </c>
      <c r="R2349" s="1" t="s">
        <v>61</v>
      </c>
    </row>
    <row r="2350" spans="1:18" x14ac:dyDescent="0.25">
      <c r="A2350">
        <v>2016</v>
      </c>
      <c r="B2350">
        <v>9</v>
      </c>
      <c r="C2350" s="1" t="s">
        <v>32</v>
      </c>
      <c r="D2350" s="1" t="s">
        <v>19</v>
      </c>
      <c r="E2350" s="1" t="s">
        <v>92</v>
      </c>
      <c r="F2350">
        <v>2014</v>
      </c>
      <c r="G2350">
        <v>2</v>
      </c>
      <c r="H2350" s="1" t="s">
        <v>59</v>
      </c>
      <c r="I2350">
        <v>24</v>
      </c>
      <c r="J2350">
        <v>2208</v>
      </c>
      <c r="K2350" s="1" t="s">
        <v>93</v>
      </c>
      <c r="L2350" s="1" t="s">
        <v>45</v>
      </c>
      <c r="M2350">
        <v>0</v>
      </c>
      <c r="N2350">
        <v>0</v>
      </c>
      <c r="O2350">
        <v>0</v>
      </c>
      <c r="P2350" s="2">
        <v>42614</v>
      </c>
      <c r="Q2350">
        <v>0</v>
      </c>
      <c r="R2350" s="1" t="s">
        <v>61</v>
      </c>
    </row>
    <row r="2351" spans="1:18" x14ac:dyDescent="0.25">
      <c r="A2351">
        <v>2016</v>
      </c>
      <c r="B2351">
        <v>10</v>
      </c>
      <c r="C2351" s="1" t="s">
        <v>33</v>
      </c>
      <c r="D2351" s="1" t="s">
        <v>19</v>
      </c>
      <c r="E2351" s="1" t="s">
        <v>92</v>
      </c>
      <c r="F2351">
        <v>2014</v>
      </c>
      <c r="G2351">
        <v>2</v>
      </c>
      <c r="H2351" s="1" t="s">
        <v>59</v>
      </c>
      <c r="I2351">
        <v>24</v>
      </c>
      <c r="J2351">
        <v>2208</v>
      </c>
      <c r="K2351" s="1" t="s">
        <v>93</v>
      </c>
      <c r="L2351" s="1" t="s">
        <v>45</v>
      </c>
      <c r="M2351">
        <v>0</v>
      </c>
      <c r="N2351">
        <v>0</v>
      </c>
      <c r="O2351">
        <v>0</v>
      </c>
      <c r="P2351" s="2">
        <v>42644</v>
      </c>
      <c r="Q2351">
        <v>0</v>
      </c>
      <c r="R2351" s="1" t="s">
        <v>61</v>
      </c>
    </row>
    <row r="2352" spans="1:18" x14ac:dyDescent="0.25">
      <c r="A2352">
        <v>2016</v>
      </c>
      <c r="B2352">
        <v>11</v>
      </c>
      <c r="C2352" s="1" t="s">
        <v>34</v>
      </c>
      <c r="D2352" s="1" t="s">
        <v>19</v>
      </c>
      <c r="E2352" s="1" t="s">
        <v>92</v>
      </c>
      <c r="F2352">
        <v>2014</v>
      </c>
      <c r="G2352">
        <v>2</v>
      </c>
      <c r="H2352" s="1" t="s">
        <v>59</v>
      </c>
      <c r="I2352">
        <v>24</v>
      </c>
      <c r="J2352">
        <v>2208</v>
      </c>
      <c r="K2352" s="1" t="s">
        <v>93</v>
      </c>
      <c r="L2352" s="1" t="s">
        <v>45</v>
      </c>
      <c r="M2352">
        <v>0</v>
      </c>
      <c r="N2352">
        <v>0</v>
      </c>
      <c r="O2352">
        <v>0</v>
      </c>
      <c r="P2352" s="2">
        <v>42675</v>
      </c>
      <c r="Q2352">
        <v>0</v>
      </c>
      <c r="R2352" s="1" t="s">
        <v>61</v>
      </c>
    </row>
    <row r="2353" spans="1:18" x14ac:dyDescent="0.25">
      <c r="A2353">
        <v>2016</v>
      </c>
      <c r="B2353">
        <v>12</v>
      </c>
      <c r="C2353" s="1" t="s">
        <v>35</v>
      </c>
      <c r="D2353" s="1" t="s">
        <v>19</v>
      </c>
      <c r="E2353" s="1" t="s">
        <v>92</v>
      </c>
      <c r="F2353">
        <v>2014</v>
      </c>
      <c r="G2353">
        <v>2</v>
      </c>
      <c r="H2353" s="1" t="s">
        <v>59</v>
      </c>
      <c r="I2353">
        <v>24</v>
      </c>
      <c r="J2353">
        <v>2208</v>
      </c>
      <c r="K2353" s="1" t="s">
        <v>93</v>
      </c>
      <c r="L2353" s="1" t="s">
        <v>45</v>
      </c>
      <c r="M2353">
        <v>0</v>
      </c>
      <c r="N2353">
        <v>0</v>
      </c>
      <c r="O2353">
        <v>0</v>
      </c>
      <c r="P2353" s="2">
        <v>42705</v>
      </c>
      <c r="Q2353">
        <v>0</v>
      </c>
      <c r="R2353" s="1" t="s">
        <v>61</v>
      </c>
    </row>
    <row r="2354" spans="1:18" x14ac:dyDescent="0.25">
      <c r="A2354">
        <v>2016</v>
      </c>
      <c r="B2354">
        <v>1</v>
      </c>
      <c r="C2354" s="1" t="s">
        <v>18</v>
      </c>
      <c r="D2354" s="1" t="s">
        <v>19</v>
      </c>
      <c r="E2354" s="1" t="s">
        <v>94</v>
      </c>
      <c r="F2354">
        <v>2014</v>
      </c>
      <c r="G2354">
        <v>2</v>
      </c>
      <c r="H2354" s="1" t="s">
        <v>59</v>
      </c>
      <c r="I2354">
        <v>20</v>
      </c>
      <c r="J2354">
        <v>1954</v>
      </c>
      <c r="K2354" s="1" t="s">
        <v>95</v>
      </c>
      <c r="L2354" s="1" t="s">
        <v>45</v>
      </c>
      <c r="M2354">
        <v>0</v>
      </c>
      <c r="N2354">
        <v>0</v>
      </c>
      <c r="O2354">
        <v>0</v>
      </c>
      <c r="P2354" s="2">
        <v>42370</v>
      </c>
      <c r="Q2354">
        <v>0</v>
      </c>
      <c r="R2354" s="1" t="s">
        <v>61</v>
      </c>
    </row>
    <row r="2355" spans="1:18" x14ac:dyDescent="0.25">
      <c r="A2355">
        <v>2016</v>
      </c>
      <c r="B2355">
        <v>2</v>
      </c>
      <c r="C2355" s="1" t="s">
        <v>25</v>
      </c>
      <c r="D2355" s="1" t="s">
        <v>19</v>
      </c>
      <c r="E2355" s="1" t="s">
        <v>94</v>
      </c>
      <c r="F2355">
        <v>2014</v>
      </c>
      <c r="G2355">
        <v>2</v>
      </c>
      <c r="H2355" s="1" t="s">
        <v>59</v>
      </c>
      <c r="I2355">
        <v>20</v>
      </c>
      <c r="J2355">
        <v>1954</v>
      </c>
      <c r="K2355" s="1" t="s">
        <v>95</v>
      </c>
      <c r="L2355" s="1" t="s">
        <v>45</v>
      </c>
      <c r="M2355">
        <v>0</v>
      </c>
      <c r="N2355">
        <v>0</v>
      </c>
      <c r="O2355">
        <v>0</v>
      </c>
      <c r="P2355" s="2">
        <v>42401</v>
      </c>
      <c r="Q2355">
        <v>0</v>
      </c>
      <c r="R2355" s="1" t="s">
        <v>61</v>
      </c>
    </row>
    <row r="2356" spans="1:18" x14ac:dyDescent="0.25">
      <c r="A2356">
        <v>2016</v>
      </c>
      <c r="B2356">
        <v>3</v>
      </c>
      <c r="C2356" s="1" t="s">
        <v>26</v>
      </c>
      <c r="D2356" s="1" t="s">
        <v>19</v>
      </c>
      <c r="E2356" s="1" t="s">
        <v>94</v>
      </c>
      <c r="F2356">
        <v>2014</v>
      </c>
      <c r="G2356">
        <v>2</v>
      </c>
      <c r="H2356" s="1" t="s">
        <v>59</v>
      </c>
      <c r="I2356">
        <v>20</v>
      </c>
      <c r="J2356">
        <v>1954</v>
      </c>
      <c r="K2356" s="1" t="s">
        <v>95</v>
      </c>
      <c r="L2356" s="1" t="s">
        <v>45</v>
      </c>
      <c r="M2356">
        <v>0</v>
      </c>
      <c r="N2356">
        <v>0</v>
      </c>
      <c r="O2356">
        <v>0</v>
      </c>
      <c r="P2356" s="2">
        <v>42430</v>
      </c>
      <c r="Q2356">
        <v>0</v>
      </c>
      <c r="R2356" s="1" t="s">
        <v>61</v>
      </c>
    </row>
    <row r="2357" spans="1:18" x14ac:dyDescent="0.25">
      <c r="A2357">
        <v>2016</v>
      </c>
      <c r="B2357">
        <v>4</v>
      </c>
      <c r="C2357" s="1" t="s">
        <v>27</v>
      </c>
      <c r="D2357" s="1" t="s">
        <v>19</v>
      </c>
      <c r="E2357" s="1" t="s">
        <v>94</v>
      </c>
      <c r="F2357">
        <v>2014</v>
      </c>
      <c r="G2357">
        <v>2</v>
      </c>
      <c r="H2357" s="1" t="s">
        <v>59</v>
      </c>
      <c r="I2357">
        <v>20</v>
      </c>
      <c r="J2357">
        <v>1954</v>
      </c>
      <c r="K2357" s="1" t="s">
        <v>95</v>
      </c>
      <c r="L2357" s="1" t="s">
        <v>45</v>
      </c>
      <c r="M2357">
        <v>0</v>
      </c>
      <c r="N2357">
        <v>0</v>
      </c>
      <c r="O2357">
        <v>0</v>
      </c>
      <c r="P2357" s="2">
        <v>42461</v>
      </c>
      <c r="Q2357">
        <v>0</v>
      </c>
      <c r="R2357" s="1" t="s">
        <v>61</v>
      </c>
    </row>
    <row r="2358" spans="1:18" x14ac:dyDescent="0.25">
      <c r="A2358">
        <v>2016</v>
      </c>
      <c r="B2358">
        <v>5</v>
      </c>
      <c r="C2358" s="1" t="s">
        <v>28</v>
      </c>
      <c r="D2358" s="1" t="s">
        <v>19</v>
      </c>
      <c r="E2358" s="1" t="s">
        <v>94</v>
      </c>
      <c r="F2358">
        <v>2014</v>
      </c>
      <c r="G2358">
        <v>2</v>
      </c>
      <c r="H2358" s="1" t="s">
        <v>59</v>
      </c>
      <c r="I2358">
        <v>20</v>
      </c>
      <c r="J2358">
        <v>1954</v>
      </c>
      <c r="K2358" s="1" t="s">
        <v>95</v>
      </c>
      <c r="L2358" s="1" t="s">
        <v>45</v>
      </c>
      <c r="M2358">
        <v>0</v>
      </c>
      <c r="N2358">
        <v>0</v>
      </c>
      <c r="O2358">
        <v>0</v>
      </c>
      <c r="P2358" s="2">
        <v>42491</v>
      </c>
      <c r="Q2358">
        <v>0</v>
      </c>
      <c r="R2358" s="1" t="s">
        <v>61</v>
      </c>
    </row>
    <row r="2359" spans="1:18" x14ac:dyDescent="0.25">
      <c r="A2359">
        <v>2016</v>
      </c>
      <c r="B2359">
        <v>6</v>
      </c>
      <c r="C2359" s="1" t="s">
        <v>29</v>
      </c>
      <c r="D2359" s="1" t="s">
        <v>19</v>
      </c>
      <c r="E2359" s="1" t="s">
        <v>94</v>
      </c>
      <c r="F2359">
        <v>2014</v>
      </c>
      <c r="G2359">
        <v>2</v>
      </c>
      <c r="H2359" s="1" t="s">
        <v>59</v>
      </c>
      <c r="I2359">
        <v>20</v>
      </c>
      <c r="J2359">
        <v>1954</v>
      </c>
      <c r="K2359" s="1" t="s">
        <v>95</v>
      </c>
      <c r="L2359" s="1" t="s">
        <v>45</v>
      </c>
      <c r="M2359">
        <v>0</v>
      </c>
      <c r="N2359">
        <v>0</v>
      </c>
      <c r="O2359">
        <v>0</v>
      </c>
      <c r="P2359" s="2">
        <v>42522</v>
      </c>
      <c r="Q2359">
        <v>0</v>
      </c>
      <c r="R2359" s="1" t="s">
        <v>61</v>
      </c>
    </row>
    <row r="2360" spans="1:18" x14ac:dyDescent="0.25">
      <c r="A2360">
        <v>2016</v>
      </c>
      <c r="B2360">
        <v>7</v>
      </c>
      <c r="C2360" s="1" t="s">
        <v>30</v>
      </c>
      <c r="D2360" s="1" t="s">
        <v>19</v>
      </c>
      <c r="E2360" s="1" t="s">
        <v>94</v>
      </c>
      <c r="F2360">
        <v>2014</v>
      </c>
      <c r="G2360">
        <v>2</v>
      </c>
      <c r="H2360" s="1" t="s">
        <v>59</v>
      </c>
      <c r="I2360">
        <v>20</v>
      </c>
      <c r="J2360">
        <v>1954</v>
      </c>
      <c r="K2360" s="1" t="s">
        <v>95</v>
      </c>
      <c r="L2360" s="1" t="s">
        <v>45</v>
      </c>
      <c r="M2360">
        <v>0</v>
      </c>
      <c r="N2360">
        <v>0</v>
      </c>
      <c r="O2360">
        <v>0</v>
      </c>
      <c r="P2360" s="2">
        <v>42552</v>
      </c>
      <c r="Q2360">
        <v>0</v>
      </c>
      <c r="R2360" s="1" t="s">
        <v>61</v>
      </c>
    </row>
    <row r="2361" spans="1:18" x14ac:dyDescent="0.25">
      <c r="A2361">
        <v>2016</v>
      </c>
      <c r="B2361">
        <v>8</v>
      </c>
      <c r="C2361" s="1" t="s">
        <v>31</v>
      </c>
      <c r="D2361" s="1" t="s">
        <v>19</v>
      </c>
      <c r="E2361" s="1" t="s">
        <v>94</v>
      </c>
      <c r="F2361">
        <v>2014</v>
      </c>
      <c r="G2361">
        <v>2</v>
      </c>
      <c r="H2361" s="1" t="s">
        <v>59</v>
      </c>
      <c r="I2361">
        <v>20</v>
      </c>
      <c r="J2361">
        <v>1954</v>
      </c>
      <c r="K2361" s="1" t="s">
        <v>95</v>
      </c>
      <c r="L2361" s="1" t="s">
        <v>45</v>
      </c>
      <c r="M2361">
        <v>0</v>
      </c>
      <c r="N2361">
        <v>0</v>
      </c>
      <c r="O2361">
        <v>0</v>
      </c>
      <c r="P2361" s="2">
        <v>42583</v>
      </c>
      <c r="Q2361">
        <v>0</v>
      </c>
      <c r="R2361" s="1" t="s">
        <v>61</v>
      </c>
    </row>
    <row r="2362" spans="1:18" x14ac:dyDescent="0.25">
      <c r="A2362">
        <v>2016</v>
      </c>
      <c r="B2362">
        <v>9</v>
      </c>
      <c r="C2362" s="1" t="s">
        <v>32</v>
      </c>
      <c r="D2362" s="1" t="s">
        <v>19</v>
      </c>
      <c r="E2362" s="1" t="s">
        <v>94</v>
      </c>
      <c r="F2362">
        <v>2014</v>
      </c>
      <c r="G2362">
        <v>2</v>
      </c>
      <c r="H2362" s="1" t="s">
        <v>59</v>
      </c>
      <c r="I2362">
        <v>20</v>
      </c>
      <c r="J2362">
        <v>1954</v>
      </c>
      <c r="K2362" s="1" t="s">
        <v>95</v>
      </c>
      <c r="L2362" s="1" t="s">
        <v>45</v>
      </c>
      <c r="M2362">
        <v>0</v>
      </c>
      <c r="N2362">
        <v>0</v>
      </c>
      <c r="O2362">
        <v>0</v>
      </c>
      <c r="P2362" s="2">
        <v>42614</v>
      </c>
      <c r="Q2362">
        <v>0</v>
      </c>
      <c r="R2362" s="1" t="s">
        <v>61</v>
      </c>
    </row>
    <row r="2363" spans="1:18" x14ac:dyDescent="0.25">
      <c r="A2363">
        <v>2016</v>
      </c>
      <c r="B2363">
        <v>10</v>
      </c>
      <c r="C2363" s="1" t="s">
        <v>33</v>
      </c>
      <c r="D2363" s="1" t="s">
        <v>19</v>
      </c>
      <c r="E2363" s="1" t="s">
        <v>94</v>
      </c>
      <c r="F2363">
        <v>2014</v>
      </c>
      <c r="G2363">
        <v>2</v>
      </c>
      <c r="H2363" s="1" t="s">
        <v>59</v>
      </c>
      <c r="I2363">
        <v>20</v>
      </c>
      <c r="J2363">
        <v>1954</v>
      </c>
      <c r="K2363" s="1" t="s">
        <v>95</v>
      </c>
      <c r="L2363" s="1" t="s">
        <v>45</v>
      </c>
      <c r="M2363">
        <v>0</v>
      </c>
      <c r="N2363">
        <v>0</v>
      </c>
      <c r="O2363">
        <v>0</v>
      </c>
      <c r="P2363" s="2">
        <v>42644</v>
      </c>
      <c r="Q2363">
        <v>0</v>
      </c>
      <c r="R2363" s="1" t="s">
        <v>61</v>
      </c>
    </row>
    <row r="2364" spans="1:18" x14ac:dyDescent="0.25">
      <c r="A2364">
        <v>2016</v>
      </c>
      <c r="B2364">
        <v>11</v>
      </c>
      <c r="C2364" s="1" t="s">
        <v>34</v>
      </c>
      <c r="D2364" s="1" t="s">
        <v>19</v>
      </c>
      <c r="E2364" s="1" t="s">
        <v>94</v>
      </c>
      <c r="F2364">
        <v>2014</v>
      </c>
      <c r="G2364">
        <v>2</v>
      </c>
      <c r="H2364" s="1" t="s">
        <v>59</v>
      </c>
      <c r="I2364">
        <v>20</v>
      </c>
      <c r="J2364">
        <v>1954</v>
      </c>
      <c r="K2364" s="1" t="s">
        <v>95</v>
      </c>
      <c r="L2364" s="1" t="s">
        <v>45</v>
      </c>
      <c r="M2364">
        <v>0</v>
      </c>
      <c r="N2364">
        <v>0</v>
      </c>
      <c r="O2364">
        <v>0</v>
      </c>
      <c r="P2364" s="2">
        <v>42675</v>
      </c>
      <c r="Q2364">
        <v>0</v>
      </c>
      <c r="R2364" s="1" t="s">
        <v>61</v>
      </c>
    </row>
    <row r="2365" spans="1:18" x14ac:dyDescent="0.25">
      <c r="A2365">
        <v>2016</v>
      </c>
      <c r="B2365">
        <v>12</v>
      </c>
      <c r="C2365" s="1" t="s">
        <v>35</v>
      </c>
      <c r="D2365" s="1" t="s">
        <v>19</v>
      </c>
      <c r="E2365" s="1" t="s">
        <v>94</v>
      </c>
      <c r="F2365">
        <v>2014</v>
      </c>
      <c r="G2365">
        <v>2</v>
      </c>
      <c r="H2365" s="1" t="s">
        <v>59</v>
      </c>
      <c r="I2365">
        <v>20</v>
      </c>
      <c r="J2365">
        <v>1954</v>
      </c>
      <c r="K2365" s="1" t="s">
        <v>95</v>
      </c>
      <c r="L2365" s="1" t="s">
        <v>45</v>
      </c>
      <c r="M2365">
        <v>0</v>
      </c>
      <c r="N2365">
        <v>0</v>
      </c>
      <c r="O2365">
        <v>0</v>
      </c>
      <c r="P2365" s="2">
        <v>42705</v>
      </c>
      <c r="Q2365">
        <v>0</v>
      </c>
      <c r="R2365" s="1" t="s">
        <v>61</v>
      </c>
    </row>
    <row r="2366" spans="1:18" x14ac:dyDescent="0.25">
      <c r="A2366">
        <v>2016</v>
      </c>
      <c r="B2366">
        <v>1</v>
      </c>
      <c r="C2366" s="1" t="s">
        <v>18</v>
      </c>
      <c r="D2366" s="1" t="s">
        <v>19</v>
      </c>
      <c r="E2366" s="1" t="s">
        <v>96</v>
      </c>
      <c r="F2366">
        <v>2014</v>
      </c>
      <c r="G2366">
        <v>2</v>
      </c>
      <c r="H2366" s="1" t="s">
        <v>59</v>
      </c>
      <c r="I2366">
        <v>24</v>
      </c>
      <c r="J2366">
        <v>1329</v>
      </c>
      <c r="K2366" s="1" t="s">
        <v>97</v>
      </c>
      <c r="L2366" s="1" t="s">
        <v>45</v>
      </c>
      <c r="M2366">
        <v>0</v>
      </c>
      <c r="N2366">
        <v>0</v>
      </c>
      <c r="O2366">
        <v>0</v>
      </c>
      <c r="P2366" s="2">
        <v>42370</v>
      </c>
      <c r="Q2366">
        <v>0</v>
      </c>
      <c r="R2366" s="1" t="s">
        <v>61</v>
      </c>
    </row>
    <row r="2367" spans="1:18" x14ac:dyDescent="0.25">
      <c r="A2367">
        <v>2016</v>
      </c>
      <c r="B2367">
        <v>2</v>
      </c>
      <c r="C2367" s="1" t="s">
        <v>25</v>
      </c>
      <c r="D2367" s="1" t="s">
        <v>19</v>
      </c>
      <c r="E2367" s="1" t="s">
        <v>96</v>
      </c>
      <c r="F2367">
        <v>2014</v>
      </c>
      <c r="G2367">
        <v>2</v>
      </c>
      <c r="H2367" s="1" t="s">
        <v>59</v>
      </c>
      <c r="I2367">
        <v>24</v>
      </c>
      <c r="J2367">
        <v>1329</v>
      </c>
      <c r="K2367" s="1" t="s">
        <v>97</v>
      </c>
      <c r="L2367" s="1" t="s">
        <v>45</v>
      </c>
      <c r="M2367">
        <v>0</v>
      </c>
      <c r="N2367">
        <v>0</v>
      </c>
      <c r="O2367">
        <v>0</v>
      </c>
      <c r="P2367" s="2">
        <v>42401</v>
      </c>
      <c r="Q2367">
        <v>0</v>
      </c>
      <c r="R2367" s="1" t="s">
        <v>61</v>
      </c>
    </row>
    <row r="2368" spans="1:18" x14ac:dyDescent="0.25">
      <c r="A2368">
        <v>2016</v>
      </c>
      <c r="B2368">
        <v>3</v>
      </c>
      <c r="C2368" s="1" t="s">
        <v>26</v>
      </c>
      <c r="D2368" s="1" t="s">
        <v>19</v>
      </c>
      <c r="E2368" s="1" t="s">
        <v>96</v>
      </c>
      <c r="F2368">
        <v>2014</v>
      </c>
      <c r="G2368">
        <v>2</v>
      </c>
      <c r="H2368" s="1" t="s">
        <v>59</v>
      </c>
      <c r="I2368">
        <v>24</v>
      </c>
      <c r="J2368">
        <v>1329</v>
      </c>
      <c r="K2368" s="1" t="s">
        <v>97</v>
      </c>
      <c r="L2368" s="1" t="s">
        <v>45</v>
      </c>
      <c r="M2368">
        <v>0</v>
      </c>
      <c r="N2368">
        <v>0</v>
      </c>
      <c r="O2368">
        <v>0</v>
      </c>
      <c r="P2368" s="2">
        <v>42430</v>
      </c>
      <c r="Q2368">
        <v>0</v>
      </c>
      <c r="R2368" s="1" t="s">
        <v>61</v>
      </c>
    </row>
    <row r="2369" spans="1:18" x14ac:dyDescent="0.25">
      <c r="A2369">
        <v>2016</v>
      </c>
      <c r="B2369">
        <v>4</v>
      </c>
      <c r="C2369" s="1" t="s">
        <v>27</v>
      </c>
      <c r="D2369" s="1" t="s">
        <v>19</v>
      </c>
      <c r="E2369" s="1" t="s">
        <v>96</v>
      </c>
      <c r="F2369">
        <v>2014</v>
      </c>
      <c r="G2369">
        <v>2</v>
      </c>
      <c r="H2369" s="1" t="s">
        <v>59</v>
      </c>
      <c r="I2369">
        <v>24</v>
      </c>
      <c r="J2369">
        <v>1329</v>
      </c>
      <c r="K2369" s="1" t="s">
        <v>97</v>
      </c>
      <c r="L2369" s="1" t="s">
        <v>45</v>
      </c>
      <c r="M2369">
        <v>0</v>
      </c>
      <c r="N2369">
        <v>0</v>
      </c>
      <c r="O2369">
        <v>0</v>
      </c>
      <c r="P2369" s="2">
        <v>42461</v>
      </c>
      <c r="Q2369">
        <v>0</v>
      </c>
      <c r="R2369" s="1" t="s">
        <v>61</v>
      </c>
    </row>
    <row r="2370" spans="1:18" x14ac:dyDescent="0.25">
      <c r="A2370">
        <v>2016</v>
      </c>
      <c r="B2370">
        <v>5</v>
      </c>
      <c r="C2370" s="1" t="s">
        <v>28</v>
      </c>
      <c r="D2370" s="1" t="s">
        <v>19</v>
      </c>
      <c r="E2370" s="1" t="s">
        <v>96</v>
      </c>
      <c r="F2370">
        <v>2014</v>
      </c>
      <c r="G2370">
        <v>2</v>
      </c>
      <c r="H2370" s="1" t="s">
        <v>59</v>
      </c>
      <c r="I2370">
        <v>24</v>
      </c>
      <c r="J2370">
        <v>1329</v>
      </c>
      <c r="K2370" s="1" t="s">
        <v>97</v>
      </c>
      <c r="L2370" s="1" t="s">
        <v>45</v>
      </c>
      <c r="M2370">
        <v>0</v>
      </c>
      <c r="N2370">
        <v>0</v>
      </c>
      <c r="O2370">
        <v>0</v>
      </c>
      <c r="P2370" s="2">
        <v>42491</v>
      </c>
      <c r="Q2370">
        <v>0</v>
      </c>
      <c r="R2370" s="1" t="s">
        <v>61</v>
      </c>
    </row>
    <row r="2371" spans="1:18" x14ac:dyDescent="0.25">
      <c r="A2371">
        <v>2016</v>
      </c>
      <c r="B2371">
        <v>6</v>
      </c>
      <c r="C2371" s="1" t="s">
        <v>29</v>
      </c>
      <c r="D2371" s="1" t="s">
        <v>19</v>
      </c>
      <c r="E2371" s="1" t="s">
        <v>96</v>
      </c>
      <c r="F2371">
        <v>2014</v>
      </c>
      <c r="G2371">
        <v>2</v>
      </c>
      <c r="H2371" s="1" t="s">
        <v>59</v>
      </c>
      <c r="I2371">
        <v>24</v>
      </c>
      <c r="J2371">
        <v>1329</v>
      </c>
      <c r="K2371" s="1" t="s">
        <v>97</v>
      </c>
      <c r="L2371" s="1" t="s">
        <v>45</v>
      </c>
      <c r="M2371">
        <v>0</v>
      </c>
      <c r="N2371">
        <v>0</v>
      </c>
      <c r="O2371">
        <v>0</v>
      </c>
      <c r="P2371" s="2">
        <v>42522</v>
      </c>
      <c r="Q2371">
        <v>0</v>
      </c>
      <c r="R2371" s="1" t="s">
        <v>61</v>
      </c>
    </row>
    <row r="2372" spans="1:18" x14ac:dyDescent="0.25">
      <c r="A2372">
        <v>2016</v>
      </c>
      <c r="B2372">
        <v>7</v>
      </c>
      <c r="C2372" s="1" t="s">
        <v>30</v>
      </c>
      <c r="D2372" s="1" t="s">
        <v>19</v>
      </c>
      <c r="E2372" s="1" t="s">
        <v>96</v>
      </c>
      <c r="F2372">
        <v>2014</v>
      </c>
      <c r="G2372">
        <v>2</v>
      </c>
      <c r="H2372" s="1" t="s">
        <v>59</v>
      </c>
      <c r="I2372">
        <v>24</v>
      </c>
      <c r="J2372">
        <v>1329</v>
      </c>
      <c r="K2372" s="1" t="s">
        <v>97</v>
      </c>
      <c r="L2372" s="1" t="s">
        <v>45</v>
      </c>
      <c r="M2372">
        <v>0</v>
      </c>
      <c r="N2372">
        <v>0</v>
      </c>
      <c r="O2372">
        <v>0</v>
      </c>
      <c r="P2372" s="2">
        <v>42552</v>
      </c>
      <c r="Q2372">
        <v>0</v>
      </c>
      <c r="R2372" s="1" t="s">
        <v>61</v>
      </c>
    </row>
    <row r="2373" spans="1:18" x14ac:dyDescent="0.25">
      <c r="A2373">
        <v>2016</v>
      </c>
      <c r="B2373">
        <v>8</v>
      </c>
      <c r="C2373" s="1" t="s">
        <v>31</v>
      </c>
      <c r="D2373" s="1" t="s">
        <v>19</v>
      </c>
      <c r="E2373" s="1" t="s">
        <v>96</v>
      </c>
      <c r="F2373">
        <v>2014</v>
      </c>
      <c r="G2373">
        <v>2</v>
      </c>
      <c r="H2373" s="1" t="s">
        <v>59</v>
      </c>
      <c r="I2373">
        <v>24</v>
      </c>
      <c r="J2373">
        <v>1329</v>
      </c>
      <c r="K2373" s="1" t="s">
        <v>97</v>
      </c>
      <c r="L2373" s="1" t="s">
        <v>45</v>
      </c>
      <c r="M2373">
        <v>0</v>
      </c>
      <c r="N2373">
        <v>0</v>
      </c>
      <c r="O2373">
        <v>0</v>
      </c>
      <c r="P2373" s="2">
        <v>42583</v>
      </c>
      <c r="Q2373">
        <v>0</v>
      </c>
      <c r="R2373" s="1" t="s">
        <v>61</v>
      </c>
    </row>
    <row r="2374" spans="1:18" x14ac:dyDescent="0.25">
      <c r="A2374">
        <v>2016</v>
      </c>
      <c r="B2374">
        <v>9</v>
      </c>
      <c r="C2374" s="1" t="s">
        <v>32</v>
      </c>
      <c r="D2374" s="1" t="s">
        <v>19</v>
      </c>
      <c r="E2374" s="1" t="s">
        <v>96</v>
      </c>
      <c r="F2374">
        <v>2014</v>
      </c>
      <c r="G2374">
        <v>2</v>
      </c>
      <c r="H2374" s="1" t="s">
        <v>59</v>
      </c>
      <c r="I2374">
        <v>24</v>
      </c>
      <c r="J2374">
        <v>1329</v>
      </c>
      <c r="K2374" s="1" t="s">
        <v>97</v>
      </c>
      <c r="L2374" s="1" t="s">
        <v>45</v>
      </c>
      <c r="M2374">
        <v>0</v>
      </c>
      <c r="N2374">
        <v>0</v>
      </c>
      <c r="O2374">
        <v>0</v>
      </c>
      <c r="P2374" s="2">
        <v>42614</v>
      </c>
      <c r="Q2374">
        <v>0</v>
      </c>
      <c r="R2374" s="1" t="s">
        <v>61</v>
      </c>
    </row>
    <row r="2375" spans="1:18" x14ac:dyDescent="0.25">
      <c r="A2375">
        <v>2016</v>
      </c>
      <c r="B2375">
        <v>10</v>
      </c>
      <c r="C2375" s="1" t="s">
        <v>33</v>
      </c>
      <c r="D2375" s="1" t="s">
        <v>19</v>
      </c>
      <c r="E2375" s="1" t="s">
        <v>96</v>
      </c>
      <c r="F2375">
        <v>2014</v>
      </c>
      <c r="G2375">
        <v>2</v>
      </c>
      <c r="H2375" s="1" t="s">
        <v>59</v>
      </c>
      <c r="I2375">
        <v>24</v>
      </c>
      <c r="J2375">
        <v>1329</v>
      </c>
      <c r="K2375" s="1" t="s">
        <v>97</v>
      </c>
      <c r="L2375" s="1" t="s">
        <v>45</v>
      </c>
      <c r="M2375">
        <v>0</v>
      </c>
      <c r="N2375">
        <v>0</v>
      </c>
      <c r="O2375">
        <v>0</v>
      </c>
      <c r="P2375" s="2">
        <v>42644</v>
      </c>
      <c r="Q2375">
        <v>0</v>
      </c>
      <c r="R2375" s="1" t="s">
        <v>61</v>
      </c>
    </row>
    <row r="2376" spans="1:18" x14ac:dyDescent="0.25">
      <c r="A2376">
        <v>2016</v>
      </c>
      <c r="B2376">
        <v>11</v>
      </c>
      <c r="C2376" s="1" t="s">
        <v>34</v>
      </c>
      <c r="D2376" s="1" t="s">
        <v>19</v>
      </c>
      <c r="E2376" s="1" t="s">
        <v>96</v>
      </c>
      <c r="F2376">
        <v>2014</v>
      </c>
      <c r="G2376">
        <v>2</v>
      </c>
      <c r="H2376" s="1" t="s">
        <v>59</v>
      </c>
      <c r="I2376">
        <v>24</v>
      </c>
      <c r="J2376">
        <v>1329</v>
      </c>
      <c r="K2376" s="1" t="s">
        <v>97</v>
      </c>
      <c r="L2376" s="1" t="s">
        <v>45</v>
      </c>
      <c r="M2376">
        <v>0</v>
      </c>
      <c r="N2376">
        <v>0</v>
      </c>
      <c r="O2376">
        <v>0</v>
      </c>
      <c r="P2376" s="2">
        <v>42675</v>
      </c>
      <c r="Q2376">
        <v>0</v>
      </c>
      <c r="R2376" s="1" t="s">
        <v>61</v>
      </c>
    </row>
    <row r="2377" spans="1:18" x14ac:dyDescent="0.25">
      <c r="A2377">
        <v>2016</v>
      </c>
      <c r="B2377">
        <v>12</v>
      </c>
      <c r="C2377" s="1" t="s">
        <v>35</v>
      </c>
      <c r="D2377" s="1" t="s">
        <v>19</v>
      </c>
      <c r="E2377" s="1" t="s">
        <v>96</v>
      </c>
      <c r="F2377">
        <v>2014</v>
      </c>
      <c r="G2377">
        <v>2</v>
      </c>
      <c r="H2377" s="1" t="s">
        <v>59</v>
      </c>
      <c r="I2377">
        <v>24</v>
      </c>
      <c r="J2377">
        <v>1329</v>
      </c>
      <c r="K2377" s="1" t="s">
        <v>97</v>
      </c>
      <c r="L2377" s="1" t="s">
        <v>45</v>
      </c>
      <c r="M2377">
        <v>0</v>
      </c>
      <c r="N2377">
        <v>0</v>
      </c>
      <c r="O2377">
        <v>0</v>
      </c>
      <c r="P2377" s="2">
        <v>42705</v>
      </c>
      <c r="Q2377">
        <v>0</v>
      </c>
      <c r="R2377" s="1" t="s">
        <v>61</v>
      </c>
    </row>
    <row r="2378" spans="1:18" x14ac:dyDescent="0.25">
      <c r="A2378">
        <v>2016</v>
      </c>
      <c r="B2378">
        <v>1</v>
      </c>
      <c r="C2378" s="1" t="s">
        <v>18</v>
      </c>
      <c r="D2378" s="1" t="s">
        <v>19</v>
      </c>
      <c r="E2378" s="1" t="s">
        <v>98</v>
      </c>
      <c r="F2378">
        <v>2014</v>
      </c>
      <c r="G2378">
        <v>2</v>
      </c>
      <c r="H2378" s="1" t="s">
        <v>59</v>
      </c>
      <c r="I2378">
        <v>24</v>
      </c>
      <c r="J2378">
        <v>1573</v>
      </c>
      <c r="K2378" s="1" t="s">
        <v>99</v>
      </c>
      <c r="L2378" s="1" t="s">
        <v>45</v>
      </c>
      <c r="M2378">
        <v>0</v>
      </c>
      <c r="N2378">
        <v>0</v>
      </c>
      <c r="O2378">
        <v>0</v>
      </c>
      <c r="P2378" s="2">
        <v>42370</v>
      </c>
      <c r="Q2378">
        <v>0</v>
      </c>
      <c r="R2378" s="1" t="s">
        <v>61</v>
      </c>
    </row>
    <row r="2379" spans="1:18" x14ac:dyDescent="0.25">
      <c r="A2379">
        <v>2016</v>
      </c>
      <c r="B2379">
        <v>2</v>
      </c>
      <c r="C2379" s="1" t="s">
        <v>25</v>
      </c>
      <c r="D2379" s="1" t="s">
        <v>19</v>
      </c>
      <c r="E2379" s="1" t="s">
        <v>98</v>
      </c>
      <c r="F2379">
        <v>2014</v>
      </c>
      <c r="G2379">
        <v>2</v>
      </c>
      <c r="H2379" s="1" t="s">
        <v>59</v>
      </c>
      <c r="I2379">
        <v>24</v>
      </c>
      <c r="J2379">
        <v>1573</v>
      </c>
      <c r="K2379" s="1" t="s">
        <v>99</v>
      </c>
      <c r="L2379" s="1" t="s">
        <v>45</v>
      </c>
      <c r="M2379">
        <v>0</v>
      </c>
      <c r="N2379">
        <v>0</v>
      </c>
      <c r="O2379">
        <v>0</v>
      </c>
      <c r="P2379" s="2">
        <v>42401</v>
      </c>
      <c r="Q2379">
        <v>0</v>
      </c>
      <c r="R2379" s="1" t="s">
        <v>61</v>
      </c>
    </row>
    <row r="2380" spans="1:18" x14ac:dyDescent="0.25">
      <c r="A2380">
        <v>2016</v>
      </c>
      <c r="B2380">
        <v>3</v>
      </c>
      <c r="C2380" s="1" t="s">
        <v>26</v>
      </c>
      <c r="D2380" s="1" t="s">
        <v>19</v>
      </c>
      <c r="E2380" s="1" t="s">
        <v>98</v>
      </c>
      <c r="F2380">
        <v>2014</v>
      </c>
      <c r="G2380">
        <v>2</v>
      </c>
      <c r="H2380" s="1" t="s">
        <v>59</v>
      </c>
      <c r="I2380">
        <v>24</v>
      </c>
      <c r="J2380">
        <v>1573</v>
      </c>
      <c r="K2380" s="1" t="s">
        <v>99</v>
      </c>
      <c r="L2380" s="1" t="s">
        <v>45</v>
      </c>
      <c r="M2380">
        <v>0</v>
      </c>
      <c r="N2380">
        <v>0</v>
      </c>
      <c r="O2380">
        <v>0</v>
      </c>
      <c r="P2380" s="2">
        <v>42430</v>
      </c>
      <c r="Q2380">
        <v>0</v>
      </c>
      <c r="R2380" s="1" t="s">
        <v>61</v>
      </c>
    </row>
    <row r="2381" spans="1:18" x14ac:dyDescent="0.25">
      <c r="A2381">
        <v>2016</v>
      </c>
      <c r="B2381">
        <v>4</v>
      </c>
      <c r="C2381" s="1" t="s">
        <v>27</v>
      </c>
      <c r="D2381" s="1" t="s">
        <v>19</v>
      </c>
      <c r="E2381" s="1" t="s">
        <v>98</v>
      </c>
      <c r="F2381">
        <v>2014</v>
      </c>
      <c r="G2381">
        <v>2</v>
      </c>
      <c r="H2381" s="1" t="s">
        <v>59</v>
      </c>
      <c r="I2381">
        <v>24</v>
      </c>
      <c r="J2381">
        <v>1573</v>
      </c>
      <c r="K2381" s="1" t="s">
        <v>99</v>
      </c>
      <c r="L2381" s="1" t="s">
        <v>45</v>
      </c>
      <c r="M2381">
        <v>0</v>
      </c>
      <c r="N2381">
        <v>0</v>
      </c>
      <c r="O2381">
        <v>0</v>
      </c>
      <c r="P2381" s="2">
        <v>42461</v>
      </c>
      <c r="Q2381">
        <v>0</v>
      </c>
      <c r="R2381" s="1" t="s">
        <v>61</v>
      </c>
    </row>
    <row r="2382" spans="1:18" x14ac:dyDescent="0.25">
      <c r="A2382">
        <v>2016</v>
      </c>
      <c r="B2382">
        <v>5</v>
      </c>
      <c r="C2382" s="1" t="s">
        <v>28</v>
      </c>
      <c r="D2382" s="1" t="s">
        <v>19</v>
      </c>
      <c r="E2382" s="1" t="s">
        <v>98</v>
      </c>
      <c r="F2382">
        <v>2014</v>
      </c>
      <c r="G2382">
        <v>2</v>
      </c>
      <c r="H2382" s="1" t="s">
        <v>59</v>
      </c>
      <c r="I2382">
        <v>24</v>
      </c>
      <c r="J2382">
        <v>1573</v>
      </c>
      <c r="K2382" s="1" t="s">
        <v>99</v>
      </c>
      <c r="L2382" s="1" t="s">
        <v>45</v>
      </c>
      <c r="M2382">
        <v>0</v>
      </c>
      <c r="N2382">
        <v>0</v>
      </c>
      <c r="O2382">
        <v>0</v>
      </c>
      <c r="P2382" s="2">
        <v>42491</v>
      </c>
      <c r="Q2382">
        <v>0</v>
      </c>
      <c r="R2382" s="1" t="s">
        <v>61</v>
      </c>
    </row>
    <row r="2383" spans="1:18" x14ac:dyDescent="0.25">
      <c r="A2383">
        <v>2016</v>
      </c>
      <c r="B2383">
        <v>6</v>
      </c>
      <c r="C2383" s="1" t="s">
        <v>29</v>
      </c>
      <c r="D2383" s="1" t="s">
        <v>19</v>
      </c>
      <c r="E2383" s="1" t="s">
        <v>98</v>
      </c>
      <c r="F2383">
        <v>2014</v>
      </c>
      <c r="G2383">
        <v>2</v>
      </c>
      <c r="H2383" s="1" t="s">
        <v>59</v>
      </c>
      <c r="I2383">
        <v>24</v>
      </c>
      <c r="J2383">
        <v>1573</v>
      </c>
      <c r="K2383" s="1" t="s">
        <v>99</v>
      </c>
      <c r="L2383" s="1" t="s">
        <v>45</v>
      </c>
      <c r="M2383">
        <v>0</v>
      </c>
      <c r="N2383">
        <v>0</v>
      </c>
      <c r="O2383">
        <v>0</v>
      </c>
      <c r="P2383" s="2">
        <v>42522</v>
      </c>
      <c r="Q2383">
        <v>0</v>
      </c>
      <c r="R2383" s="1" t="s">
        <v>61</v>
      </c>
    </row>
    <row r="2384" spans="1:18" x14ac:dyDescent="0.25">
      <c r="A2384">
        <v>2016</v>
      </c>
      <c r="B2384">
        <v>7</v>
      </c>
      <c r="C2384" s="1" t="s">
        <v>30</v>
      </c>
      <c r="D2384" s="1" t="s">
        <v>19</v>
      </c>
      <c r="E2384" s="1" t="s">
        <v>98</v>
      </c>
      <c r="F2384">
        <v>2014</v>
      </c>
      <c r="G2384">
        <v>2</v>
      </c>
      <c r="H2384" s="1" t="s">
        <v>59</v>
      </c>
      <c r="I2384">
        <v>24</v>
      </c>
      <c r="J2384">
        <v>1573</v>
      </c>
      <c r="K2384" s="1" t="s">
        <v>99</v>
      </c>
      <c r="L2384" s="1" t="s">
        <v>45</v>
      </c>
      <c r="M2384">
        <v>0</v>
      </c>
      <c r="N2384">
        <v>0</v>
      </c>
      <c r="O2384">
        <v>0</v>
      </c>
      <c r="P2384" s="2">
        <v>42552</v>
      </c>
      <c r="Q2384">
        <v>0</v>
      </c>
      <c r="R2384" s="1" t="s">
        <v>61</v>
      </c>
    </row>
    <row r="2385" spans="1:18" x14ac:dyDescent="0.25">
      <c r="A2385">
        <v>2016</v>
      </c>
      <c r="B2385">
        <v>8</v>
      </c>
      <c r="C2385" s="1" t="s">
        <v>31</v>
      </c>
      <c r="D2385" s="1" t="s">
        <v>19</v>
      </c>
      <c r="E2385" s="1" t="s">
        <v>98</v>
      </c>
      <c r="F2385">
        <v>2014</v>
      </c>
      <c r="G2385">
        <v>2</v>
      </c>
      <c r="H2385" s="1" t="s">
        <v>59</v>
      </c>
      <c r="I2385">
        <v>24</v>
      </c>
      <c r="J2385">
        <v>1573</v>
      </c>
      <c r="K2385" s="1" t="s">
        <v>99</v>
      </c>
      <c r="L2385" s="1" t="s">
        <v>45</v>
      </c>
      <c r="M2385">
        <v>0</v>
      </c>
      <c r="N2385">
        <v>0</v>
      </c>
      <c r="O2385">
        <v>0</v>
      </c>
      <c r="P2385" s="2">
        <v>42583</v>
      </c>
      <c r="Q2385">
        <v>0</v>
      </c>
      <c r="R2385" s="1" t="s">
        <v>61</v>
      </c>
    </row>
    <row r="2386" spans="1:18" x14ac:dyDescent="0.25">
      <c r="A2386">
        <v>2016</v>
      </c>
      <c r="B2386">
        <v>9</v>
      </c>
      <c r="C2386" s="1" t="s">
        <v>32</v>
      </c>
      <c r="D2386" s="1" t="s">
        <v>19</v>
      </c>
      <c r="E2386" s="1" t="s">
        <v>98</v>
      </c>
      <c r="F2386">
        <v>2014</v>
      </c>
      <c r="G2386">
        <v>2</v>
      </c>
      <c r="H2386" s="1" t="s">
        <v>59</v>
      </c>
      <c r="I2386">
        <v>24</v>
      </c>
      <c r="J2386">
        <v>1573</v>
      </c>
      <c r="K2386" s="1" t="s">
        <v>99</v>
      </c>
      <c r="L2386" s="1" t="s">
        <v>45</v>
      </c>
      <c r="M2386">
        <v>0</v>
      </c>
      <c r="N2386">
        <v>0</v>
      </c>
      <c r="O2386">
        <v>0</v>
      </c>
      <c r="P2386" s="2">
        <v>42614</v>
      </c>
      <c r="Q2386">
        <v>0</v>
      </c>
      <c r="R2386" s="1" t="s">
        <v>61</v>
      </c>
    </row>
    <row r="2387" spans="1:18" x14ac:dyDescent="0.25">
      <c r="A2387">
        <v>2016</v>
      </c>
      <c r="B2387">
        <v>10</v>
      </c>
      <c r="C2387" s="1" t="s">
        <v>33</v>
      </c>
      <c r="D2387" s="1" t="s">
        <v>19</v>
      </c>
      <c r="E2387" s="1" t="s">
        <v>98</v>
      </c>
      <c r="F2387">
        <v>2014</v>
      </c>
      <c r="G2387">
        <v>2</v>
      </c>
      <c r="H2387" s="1" t="s">
        <v>59</v>
      </c>
      <c r="I2387">
        <v>24</v>
      </c>
      <c r="J2387">
        <v>1573</v>
      </c>
      <c r="K2387" s="1" t="s">
        <v>99</v>
      </c>
      <c r="L2387" s="1" t="s">
        <v>45</v>
      </c>
      <c r="M2387">
        <v>0</v>
      </c>
      <c r="N2387">
        <v>0</v>
      </c>
      <c r="O2387">
        <v>0</v>
      </c>
      <c r="P2387" s="2">
        <v>42644</v>
      </c>
      <c r="Q2387">
        <v>0</v>
      </c>
      <c r="R2387" s="1" t="s">
        <v>61</v>
      </c>
    </row>
    <row r="2388" spans="1:18" x14ac:dyDescent="0.25">
      <c r="A2388">
        <v>2016</v>
      </c>
      <c r="B2388">
        <v>11</v>
      </c>
      <c r="C2388" s="1" t="s">
        <v>34</v>
      </c>
      <c r="D2388" s="1" t="s">
        <v>19</v>
      </c>
      <c r="E2388" s="1" t="s">
        <v>98</v>
      </c>
      <c r="F2388">
        <v>2014</v>
      </c>
      <c r="G2388">
        <v>2</v>
      </c>
      <c r="H2388" s="1" t="s">
        <v>59</v>
      </c>
      <c r="I2388">
        <v>24</v>
      </c>
      <c r="J2388">
        <v>1573</v>
      </c>
      <c r="K2388" s="1" t="s">
        <v>99</v>
      </c>
      <c r="L2388" s="1" t="s">
        <v>45</v>
      </c>
      <c r="M2388">
        <v>0</v>
      </c>
      <c r="N2388">
        <v>0</v>
      </c>
      <c r="O2388">
        <v>0</v>
      </c>
      <c r="P2388" s="2">
        <v>42675</v>
      </c>
      <c r="Q2388">
        <v>0</v>
      </c>
      <c r="R2388" s="1" t="s">
        <v>61</v>
      </c>
    </row>
    <row r="2389" spans="1:18" x14ac:dyDescent="0.25">
      <c r="A2389">
        <v>2016</v>
      </c>
      <c r="B2389">
        <v>12</v>
      </c>
      <c r="C2389" s="1" t="s">
        <v>35</v>
      </c>
      <c r="D2389" s="1" t="s">
        <v>19</v>
      </c>
      <c r="E2389" s="1" t="s">
        <v>98</v>
      </c>
      <c r="F2389">
        <v>2014</v>
      </c>
      <c r="G2389">
        <v>2</v>
      </c>
      <c r="H2389" s="1" t="s">
        <v>59</v>
      </c>
      <c r="I2389">
        <v>24</v>
      </c>
      <c r="J2389">
        <v>1573</v>
      </c>
      <c r="K2389" s="1" t="s">
        <v>99</v>
      </c>
      <c r="L2389" s="1" t="s">
        <v>45</v>
      </c>
      <c r="M2389">
        <v>0</v>
      </c>
      <c r="N2389">
        <v>0</v>
      </c>
      <c r="O2389">
        <v>0</v>
      </c>
      <c r="P2389" s="2">
        <v>42705</v>
      </c>
      <c r="Q2389">
        <v>0</v>
      </c>
      <c r="R2389" s="1" t="s">
        <v>61</v>
      </c>
    </row>
    <row r="2390" spans="1:18" x14ac:dyDescent="0.25">
      <c r="A2390">
        <v>2016</v>
      </c>
      <c r="B2390">
        <v>1</v>
      </c>
      <c r="C2390" s="1" t="s">
        <v>18</v>
      </c>
      <c r="D2390" s="1" t="s">
        <v>19</v>
      </c>
      <c r="E2390" s="1" t="s">
        <v>100</v>
      </c>
      <c r="F2390">
        <v>2016</v>
      </c>
      <c r="G2390">
        <v>0</v>
      </c>
      <c r="H2390" s="1" t="s">
        <v>59</v>
      </c>
      <c r="I2390">
        <v>22</v>
      </c>
      <c r="J2390">
        <v>3137</v>
      </c>
      <c r="K2390" s="1" t="s">
        <v>101</v>
      </c>
      <c r="L2390" s="1" t="s">
        <v>23</v>
      </c>
      <c r="M2390">
        <v>0</v>
      </c>
      <c r="N2390">
        <v>0</v>
      </c>
      <c r="O2390">
        <v>0</v>
      </c>
      <c r="P2390" s="2">
        <v>42370</v>
      </c>
      <c r="Q2390">
        <v>0</v>
      </c>
      <c r="R2390" s="1" t="s">
        <v>61</v>
      </c>
    </row>
    <row r="2391" spans="1:18" x14ac:dyDescent="0.25">
      <c r="A2391">
        <v>2016</v>
      </c>
      <c r="B2391">
        <v>2</v>
      </c>
      <c r="C2391" s="1" t="s">
        <v>25</v>
      </c>
      <c r="D2391" s="1" t="s">
        <v>19</v>
      </c>
      <c r="E2391" s="1" t="s">
        <v>100</v>
      </c>
      <c r="F2391">
        <v>2016</v>
      </c>
      <c r="G2391">
        <v>0</v>
      </c>
      <c r="H2391" s="1" t="s">
        <v>59</v>
      </c>
      <c r="I2391">
        <v>22</v>
      </c>
      <c r="J2391">
        <v>3137</v>
      </c>
      <c r="K2391" s="1" t="s">
        <v>101</v>
      </c>
      <c r="L2391" s="1" t="s">
        <v>23</v>
      </c>
      <c r="M2391">
        <v>0</v>
      </c>
      <c r="N2391">
        <v>0</v>
      </c>
      <c r="O2391">
        <v>0</v>
      </c>
      <c r="P2391" s="2">
        <v>42401</v>
      </c>
      <c r="Q2391">
        <v>0</v>
      </c>
      <c r="R2391" s="1" t="s">
        <v>61</v>
      </c>
    </row>
    <row r="2392" spans="1:18" x14ac:dyDescent="0.25">
      <c r="A2392">
        <v>2016</v>
      </c>
      <c r="B2392">
        <v>3</v>
      </c>
      <c r="C2392" s="1" t="s">
        <v>26</v>
      </c>
      <c r="D2392" s="1" t="s">
        <v>19</v>
      </c>
      <c r="E2392" s="1" t="s">
        <v>100</v>
      </c>
      <c r="F2392">
        <v>2016</v>
      </c>
      <c r="G2392">
        <v>0</v>
      </c>
      <c r="H2392" s="1" t="s">
        <v>59</v>
      </c>
      <c r="I2392">
        <v>22</v>
      </c>
      <c r="J2392">
        <v>3137</v>
      </c>
      <c r="K2392" s="1" t="s">
        <v>101</v>
      </c>
      <c r="L2392" s="1" t="s">
        <v>23</v>
      </c>
      <c r="M2392">
        <v>0</v>
      </c>
      <c r="N2392">
        <v>0</v>
      </c>
      <c r="O2392">
        <v>0</v>
      </c>
      <c r="P2392" s="2">
        <v>42430</v>
      </c>
      <c r="Q2392">
        <v>0</v>
      </c>
      <c r="R2392" s="1" t="s">
        <v>61</v>
      </c>
    </row>
    <row r="2393" spans="1:18" x14ac:dyDescent="0.25">
      <c r="A2393">
        <v>2016</v>
      </c>
      <c r="B2393">
        <v>4</v>
      </c>
      <c r="C2393" s="1" t="s">
        <v>27</v>
      </c>
      <c r="D2393" s="1" t="s">
        <v>19</v>
      </c>
      <c r="E2393" s="1" t="s">
        <v>100</v>
      </c>
      <c r="F2393">
        <v>2016</v>
      </c>
      <c r="G2393">
        <v>0</v>
      </c>
      <c r="H2393" s="1" t="s">
        <v>59</v>
      </c>
      <c r="I2393">
        <v>22</v>
      </c>
      <c r="J2393">
        <v>3137</v>
      </c>
      <c r="K2393" s="1" t="s">
        <v>101</v>
      </c>
      <c r="L2393" s="1" t="s">
        <v>23</v>
      </c>
      <c r="M2393">
        <v>0</v>
      </c>
      <c r="N2393">
        <v>0</v>
      </c>
      <c r="O2393">
        <v>0</v>
      </c>
      <c r="P2393" s="2">
        <v>42461</v>
      </c>
      <c r="Q2393">
        <v>0</v>
      </c>
      <c r="R2393" s="1" t="s">
        <v>61</v>
      </c>
    </row>
    <row r="2394" spans="1:18" x14ac:dyDescent="0.25">
      <c r="A2394">
        <v>2016</v>
      </c>
      <c r="B2394">
        <v>5</v>
      </c>
      <c r="C2394" s="1" t="s">
        <v>28</v>
      </c>
      <c r="D2394" s="1" t="s">
        <v>19</v>
      </c>
      <c r="E2394" s="1" t="s">
        <v>100</v>
      </c>
      <c r="F2394">
        <v>2016</v>
      </c>
      <c r="G2394">
        <v>0</v>
      </c>
      <c r="H2394" s="1" t="s">
        <v>59</v>
      </c>
      <c r="I2394">
        <v>22</v>
      </c>
      <c r="J2394">
        <v>3137</v>
      </c>
      <c r="K2394" s="1" t="s">
        <v>101</v>
      </c>
      <c r="L2394" s="1" t="s">
        <v>23</v>
      </c>
      <c r="M2394">
        <v>0</v>
      </c>
      <c r="N2394">
        <v>0</v>
      </c>
      <c r="O2394">
        <v>0</v>
      </c>
      <c r="P2394" s="2">
        <v>42491</v>
      </c>
      <c r="Q2394">
        <v>0</v>
      </c>
      <c r="R2394" s="1" t="s">
        <v>61</v>
      </c>
    </row>
    <row r="2395" spans="1:18" x14ac:dyDescent="0.25">
      <c r="A2395">
        <v>2016</v>
      </c>
      <c r="B2395">
        <v>6</v>
      </c>
      <c r="C2395" s="1" t="s">
        <v>29</v>
      </c>
      <c r="D2395" s="1" t="s">
        <v>19</v>
      </c>
      <c r="E2395" s="1" t="s">
        <v>100</v>
      </c>
      <c r="F2395">
        <v>2016</v>
      </c>
      <c r="G2395">
        <v>0</v>
      </c>
      <c r="H2395" s="1" t="s">
        <v>59</v>
      </c>
      <c r="I2395">
        <v>22</v>
      </c>
      <c r="J2395">
        <v>3137</v>
      </c>
      <c r="K2395" s="1" t="s">
        <v>101</v>
      </c>
      <c r="L2395" s="1" t="s">
        <v>23</v>
      </c>
      <c r="M2395">
        <v>0</v>
      </c>
      <c r="N2395">
        <v>0</v>
      </c>
      <c r="O2395">
        <v>0</v>
      </c>
      <c r="P2395" s="2">
        <v>42522</v>
      </c>
      <c r="Q2395">
        <v>0</v>
      </c>
      <c r="R2395" s="1" t="s">
        <v>61</v>
      </c>
    </row>
    <row r="2396" spans="1:18" x14ac:dyDescent="0.25">
      <c r="A2396">
        <v>2016</v>
      </c>
      <c r="B2396">
        <v>7</v>
      </c>
      <c r="C2396" s="1" t="s">
        <v>30</v>
      </c>
      <c r="D2396" s="1" t="s">
        <v>19</v>
      </c>
      <c r="E2396" s="1" t="s">
        <v>100</v>
      </c>
      <c r="F2396">
        <v>2016</v>
      </c>
      <c r="G2396">
        <v>0</v>
      </c>
      <c r="H2396" s="1" t="s">
        <v>59</v>
      </c>
      <c r="I2396">
        <v>22</v>
      </c>
      <c r="J2396">
        <v>3137</v>
      </c>
      <c r="K2396" s="1" t="s">
        <v>101</v>
      </c>
      <c r="L2396" s="1" t="s">
        <v>23</v>
      </c>
      <c r="M2396">
        <v>0</v>
      </c>
      <c r="N2396">
        <v>0</v>
      </c>
      <c r="O2396">
        <v>0</v>
      </c>
      <c r="P2396" s="2">
        <v>42552</v>
      </c>
      <c r="Q2396">
        <v>0</v>
      </c>
      <c r="R2396" s="1" t="s">
        <v>61</v>
      </c>
    </row>
    <row r="2397" spans="1:18" x14ac:dyDescent="0.25">
      <c r="A2397">
        <v>2016</v>
      </c>
      <c r="B2397">
        <v>8</v>
      </c>
      <c r="C2397" s="1" t="s">
        <v>31</v>
      </c>
      <c r="D2397" s="1" t="s">
        <v>19</v>
      </c>
      <c r="E2397" s="1" t="s">
        <v>100</v>
      </c>
      <c r="F2397">
        <v>2016</v>
      </c>
      <c r="G2397">
        <v>0</v>
      </c>
      <c r="H2397" s="1" t="s">
        <v>59</v>
      </c>
      <c r="I2397">
        <v>22</v>
      </c>
      <c r="J2397">
        <v>3137</v>
      </c>
      <c r="K2397" s="1" t="s">
        <v>101</v>
      </c>
      <c r="L2397" s="1" t="s">
        <v>23</v>
      </c>
      <c r="M2397">
        <v>0</v>
      </c>
      <c r="N2397">
        <v>0</v>
      </c>
      <c r="O2397">
        <v>0</v>
      </c>
      <c r="P2397" s="2">
        <v>42583</v>
      </c>
      <c r="Q2397">
        <v>0</v>
      </c>
      <c r="R2397" s="1" t="s">
        <v>61</v>
      </c>
    </row>
    <row r="2398" spans="1:18" x14ac:dyDescent="0.25">
      <c r="A2398">
        <v>2016</v>
      </c>
      <c r="B2398">
        <v>9</v>
      </c>
      <c r="C2398" s="1" t="s">
        <v>32</v>
      </c>
      <c r="D2398" s="1" t="s">
        <v>19</v>
      </c>
      <c r="E2398" s="1" t="s">
        <v>100</v>
      </c>
      <c r="F2398">
        <v>2016</v>
      </c>
      <c r="G2398">
        <v>0</v>
      </c>
      <c r="H2398" s="1" t="s">
        <v>59</v>
      </c>
      <c r="I2398">
        <v>22</v>
      </c>
      <c r="J2398">
        <v>3137</v>
      </c>
      <c r="K2398" s="1" t="s">
        <v>101</v>
      </c>
      <c r="L2398" s="1" t="s">
        <v>23</v>
      </c>
      <c r="M2398">
        <v>0</v>
      </c>
      <c r="N2398">
        <v>0</v>
      </c>
      <c r="O2398">
        <v>0</v>
      </c>
      <c r="P2398" s="2">
        <v>42614</v>
      </c>
      <c r="Q2398">
        <v>0</v>
      </c>
      <c r="R2398" s="1" t="s">
        <v>61</v>
      </c>
    </row>
    <row r="2399" spans="1:18" x14ac:dyDescent="0.25">
      <c r="A2399">
        <v>2016</v>
      </c>
      <c r="B2399">
        <v>10</v>
      </c>
      <c r="C2399" s="1" t="s">
        <v>33</v>
      </c>
      <c r="D2399" s="1" t="s">
        <v>19</v>
      </c>
      <c r="E2399" s="1" t="s">
        <v>100</v>
      </c>
      <c r="F2399">
        <v>2016</v>
      </c>
      <c r="G2399">
        <v>0</v>
      </c>
      <c r="H2399" s="1" t="s">
        <v>59</v>
      </c>
      <c r="I2399">
        <v>22</v>
      </c>
      <c r="J2399">
        <v>3137</v>
      </c>
      <c r="K2399" s="1" t="s">
        <v>101</v>
      </c>
      <c r="L2399" s="1" t="s">
        <v>23</v>
      </c>
      <c r="M2399">
        <v>0</v>
      </c>
      <c r="N2399">
        <v>0</v>
      </c>
      <c r="O2399">
        <v>0</v>
      </c>
      <c r="P2399" s="2">
        <v>42644</v>
      </c>
      <c r="Q2399">
        <v>0</v>
      </c>
      <c r="R2399" s="1" t="s">
        <v>61</v>
      </c>
    </row>
    <row r="2400" spans="1:18" x14ac:dyDescent="0.25">
      <c r="A2400">
        <v>2016</v>
      </c>
      <c r="B2400">
        <v>11</v>
      </c>
      <c r="C2400" s="1" t="s">
        <v>34</v>
      </c>
      <c r="D2400" s="1" t="s">
        <v>19</v>
      </c>
      <c r="E2400" s="1" t="s">
        <v>100</v>
      </c>
      <c r="F2400">
        <v>2016</v>
      </c>
      <c r="G2400">
        <v>0</v>
      </c>
      <c r="H2400" s="1" t="s">
        <v>59</v>
      </c>
      <c r="I2400">
        <v>22</v>
      </c>
      <c r="J2400">
        <v>3137</v>
      </c>
      <c r="K2400" s="1" t="s">
        <v>101</v>
      </c>
      <c r="L2400" s="1" t="s">
        <v>23</v>
      </c>
      <c r="M2400">
        <v>0</v>
      </c>
      <c r="N2400">
        <v>0</v>
      </c>
      <c r="O2400">
        <v>0</v>
      </c>
      <c r="P2400" s="2">
        <v>42675</v>
      </c>
      <c r="Q2400">
        <v>0</v>
      </c>
      <c r="R2400" s="1" t="s">
        <v>61</v>
      </c>
    </row>
    <row r="2401" spans="1:18" x14ac:dyDescent="0.25">
      <c r="A2401">
        <v>2016</v>
      </c>
      <c r="B2401">
        <v>12</v>
      </c>
      <c r="C2401" s="1" t="s">
        <v>35</v>
      </c>
      <c r="D2401" s="1" t="s">
        <v>19</v>
      </c>
      <c r="E2401" s="1" t="s">
        <v>100</v>
      </c>
      <c r="F2401">
        <v>2016</v>
      </c>
      <c r="G2401">
        <v>0</v>
      </c>
      <c r="H2401" s="1" t="s">
        <v>59</v>
      </c>
      <c r="I2401">
        <v>22</v>
      </c>
      <c r="J2401">
        <v>3137</v>
      </c>
      <c r="K2401" s="1" t="s">
        <v>101</v>
      </c>
      <c r="L2401" s="1" t="s">
        <v>23</v>
      </c>
      <c r="M2401">
        <v>0</v>
      </c>
      <c r="N2401">
        <v>0</v>
      </c>
      <c r="O2401">
        <v>0</v>
      </c>
      <c r="P2401" s="2">
        <v>42705</v>
      </c>
      <c r="Q2401">
        <v>0</v>
      </c>
      <c r="R2401" s="1" t="s">
        <v>61</v>
      </c>
    </row>
    <row r="2402" spans="1:18" x14ac:dyDescent="0.25">
      <c r="A2402">
        <v>2016</v>
      </c>
      <c r="B2402">
        <v>1</v>
      </c>
      <c r="C2402" s="1" t="s">
        <v>18</v>
      </c>
      <c r="D2402" s="1" t="s">
        <v>19</v>
      </c>
      <c r="E2402" s="1" t="s">
        <v>102</v>
      </c>
      <c r="F2402">
        <v>2016</v>
      </c>
      <c r="G2402">
        <v>0</v>
      </c>
      <c r="H2402" s="1" t="s">
        <v>59</v>
      </c>
      <c r="I2402">
        <v>22</v>
      </c>
      <c r="J2402">
        <v>3096</v>
      </c>
      <c r="K2402" s="1" t="s">
        <v>103</v>
      </c>
      <c r="L2402" s="1" t="s">
        <v>23</v>
      </c>
      <c r="M2402">
        <v>0</v>
      </c>
      <c r="N2402">
        <v>0</v>
      </c>
      <c r="O2402">
        <v>0</v>
      </c>
      <c r="P2402" s="2">
        <v>42370</v>
      </c>
      <c r="Q2402">
        <v>0</v>
      </c>
      <c r="R2402" s="1" t="s">
        <v>61</v>
      </c>
    </row>
    <row r="2403" spans="1:18" x14ac:dyDescent="0.25">
      <c r="A2403">
        <v>2016</v>
      </c>
      <c r="B2403">
        <v>2</v>
      </c>
      <c r="C2403" s="1" t="s">
        <v>25</v>
      </c>
      <c r="D2403" s="1" t="s">
        <v>19</v>
      </c>
      <c r="E2403" s="1" t="s">
        <v>102</v>
      </c>
      <c r="F2403">
        <v>2016</v>
      </c>
      <c r="G2403">
        <v>0</v>
      </c>
      <c r="H2403" s="1" t="s">
        <v>59</v>
      </c>
      <c r="I2403">
        <v>22</v>
      </c>
      <c r="J2403">
        <v>3096</v>
      </c>
      <c r="K2403" s="1" t="s">
        <v>103</v>
      </c>
      <c r="L2403" s="1" t="s">
        <v>23</v>
      </c>
      <c r="M2403">
        <v>0</v>
      </c>
      <c r="N2403">
        <v>0</v>
      </c>
      <c r="O2403">
        <v>0</v>
      </c>
      <c r="P2403" s="2">
        <v>42401</v>
      </c>
      <c r="Q2403">
        <v>0</v>
      </c>
      <c r="R2403" s="1" t="s">
        <v>61</v>
      </c>
    </row>
    <row r="2404" spans="1:18" x14ac:dyDescent="0.25">
      <c r="A2404">
        <v>2016</v>
      </c>
      <c r="B2404">
        <v>3</v>
      </c>
      <c r="C2404" s="1" t="s">
        <v>26</v>
      </c>
      <c r="D2404" s="1" t="s">
        <v>19</v>
      </c>
      <c r="E2404" s="1" t="s">
        <v>102</v>
      </c>
      <c r="F2404">
        <v>2016</v>
      </c>
      <c r="G2404">
        <v>0</v>
      </c>
      <c r="H2404" s="1" t="s">
        <v>59</v>
      </c>
      <c r="I2404">
        <v>22</v>
      </c>
      <c r="J2404">
        <v>3096</v>
      </c>
      <c r="K2404" s="1" t="s">
        <v>103</v>
      </c>
      <c r="L2404" s="1" t="s">
        <v>23</v>
      </c>
      <c r="M2404">
        <v>0</v>
      </c>
      <c r="N2404">
        <v>0</v>
      </c>
      <c r="O2404">
        <v>0</v>
      </c>
      <c r="P2404" s="2">
        <v>42430</v>
      </c>
      <c r="Q2404">
        <v>0</v>
      </c>
      <c r="R2404" s="1" t="s">
        <v>61</v>
      </c>
    </row>
    <row r="2405" spans="1:18" x14ac:dyDescent="0.25">
      <c r="A2405">
        <v>2016</v>
      </c>
      <c r="B2405">
        <v>4</v>
      </c>
      <c r="C2405" s="1" t="s">
        <v>27</v>
      </c>
      <c r="D2405" s="1" t="s">
        <v>19</v>
      </c>
      <c r="E2405" s="1" t="s">
        <v>102</v>
      </c>
      <c r="F2405">
        <v>2016</v>
      </c>
      <c r="G2405">
        <v>0</v>
      </c>
      <c r="H2405" s="1" t="s">
        <v>59</v>
      </c>
      <c r="I2405">
        <v>22</v>
      </c>
      <c r="J2405">
        <v>3096</v>
      </c>
      <c r="K2405" s="1" t="s">
        <v>103</v>
      </c>
      <c r="L2405" s="1" t="s">
        <v>23</v>
      </c>
      <c r="M2405">
        <v>0</v>
      </c>
      <c r="N2405">
        <v>0</v>
      </c>
      <c r="O2405">
        <v>0</v>
      </c>
      <c r="P2405" s="2">
        <v>42461</v>
      </c>
      <c r="Q2405">
        <v>0</v>
      </c>
      <c r="R2405" s="1" t="s">
        <v>61</v>
      </c>
    </row>
    <row r="2406" spans="1:18" x14ac:dyDescent="0.25">
      <c r="A2406">
        <v>2016</v>
      </c>
      <c r="B2406">
        <v>5</v>
      </c>
      <c r="C2406" s="1" t="s">
        <v>28</v>
      </c>
      <c r="D2406" s="1" t="s">
        <v>19</v>
      </c>
      <c r="E2406" s="1" t="s">
        <v>102</v>
      </c>
      <c r="F2406">
        <v>2016</v>
      </c>
      <c r="G2406">
        <v>0</v>
      </c>
      <c r="H2406" s="1" t="s">
        <v>59</v>
      </c>
      <c r="I2406">
        <v>22</v>
      </c>
      <c r="J2406">
        <v>3096</v>
      </c>
      <c r="K2406" s="1" t="s">
        <v>103</v>
      </c>
      <c r="L2406" s="1" t="s">
        <v>23</v>
      </c>
      <c r="M2406">
        <v>0</v>
      </c>
      <c r="N2406">
        <v>0</v>
      </c>
      <c r="O2406">
        <v>0</v>
      </c>
      <c r="P2406" s="2">
        <v>42491</v>
      </c>
      <c r="Q2406">
        <v>0</v>
      </c>
      <c r="R2406" s="1" t="s">
        <v>61</v>
      </c>
    </row>
    <row r="2407" spans="1:18" x14ac:dyDescent="0.25">
      <c r="A2407">
        <v>2016</v>
      </c>
      <c r="B2407">
        <v>6</v>
      </c>
      <c r="C2407" s="1" t="s">
        <v>29</v>
      </c>
      <c r="D2407" s="1" t="s">
        <v>19</v>
      </c>
      <c r="E2407" s="1" t="s">
        <v>102</v>
      </c>
      <c r="F2407">
        <v>2016</v>
      </c>
      <c r="G2407">
        <v>0</v>
      </c>
      <c r="H2407" s="1" t="s">
        <v>59</v>
      </c>
      <c r="I2407">
        <v>22</v>
      </c>
      <c r="J2407">
        <v>3096</v>
      </c>
      <c r="K2407" s="1" t="s">
        <v>103</v>
      </c>
      <c r="L2407" s="1" t="s">
        <v>23</v>
      </c>
      <c r="M2407">
        <v>0</v>
      </c>
      <c r="N2407">
        <v>0</v>
      </c>
      <c r="O2407">
        <v>0</v>
      </c>
      <c r="P2407" s="2">
        <v>42522</v>
      </c>
      <c r="Q2407">
        <v>0</v>
      </c>
      <c r="R2407" s="1" t="s">
        <v>61</v>
      </c>
    </row>
    <row r="2408" spans="1:18" x14ac:dyDescent="0.25">
      <c r="A2408">
        <v>2016</v>
      </c>
      <c r="B2408">
        <v>7</v>
      </c>
      <c r="C2408" s="1" t="s">
        <v>30</v>
      </c>
      <c r="D2408" s="1" t="s">
        <v>19</v>
      </c>
      <c r="E2408" s="1" t="s">
        <v>102</v>
      </c>
      <c r="F2408">
        <v>2016</v>
      </c>
      <c r="G2408">
        <v>0</v>
      </c>
      <c r="H2408" s="1" t="s">
        <v>59</v>
      </c>
      <c r="I2408">
        <v>22</v>
      </c>
      <c r="J2408">
        <v>3096</v>
      </c>
      <c r="K2408" s="1" t="s">
        <v>103</v>
      </c>
      <c r="L2408" s="1" t="s">
        <v>23</v>
      </c>
      <c r="M2408">
        <v>0</v>
      </c>
      <c r="N2408">
        <v>0</v>
      </c>
      <c r="O2408">
        <v>0</v>
      </c>
      <c r="P2408" s="2">
        <v>42552</v>
      </c>
      <c r="Q2408">
        <v>0</v>
      </c>
      <c r="R2408" s="1" t="s">
        <v>61</v>
      </c>
    </row>
    <row r="2409" spans="1:18" x14ac:dyDescent="0.25">
      <c r="A2409">
        <v>2016</v>
      </c>
      <c r="B2409">
        <v>8</v>
      </c>
      <c r="C2409" s="1" t="s">
        <v>31</v>
      </c>
      <c r="D2409" s="1" t="s">
        <v>19</v>
      </c>
      <c r="E2409" s="1" t="s">
        <v>102</v>
      </c>
      <c r="F2409">
        <v>2016</v>
      </c>
      <c r="G2409">
        <v>0</v>
      </c>
      <c r="H2409" s="1" t="s">
        <v>59</v>
      </c>
      <c r="I2409">
        <v>22</v>
      </c>
      <c r="J2409">
        <v>3096</v>
      </c>
      <c r="K2409" s="1" t="s">
        <v>103</v>
      </c>
      <c r="L2409" s="1" t="s">
        <v>23</v>
      </c>
      <c r="M2409">
        <v>0</v>
      </c>
      <c r="N2409">
        <v>0</v>
      </c>
      <c r="O2409">
        <v>0</v>
      </c>
      <c r="P2409" s="2">
        <v>42583</v>
      </c>
      <c r="Q2409">
        <v>0</v>
      </c>
      <c r="R2409" s="1" t="s">
        <v>61</v>
      </c>
    </row>
    <row r="2410" spans="1:18" x14ac:dyDescent="0.25">
      <c r="A2410">
        <v>2016</v>
      </c>
      <c r="B2410">
        <v>9</v>
      </c>
      <c r="C2410" s="1" t="s">
        <v>32</v>
      </c>
      <c r="D2410" s="1" t="s">
        <v>19</v>
      </c>
      <c r="E2410" s="1" t="s">
        <v>102</v>
      </c>
      <c r="F2410">
        <v>2016</v>
      </c>
      <c r="G2410">
        <v>0</v>
      </c>
      <c r="H2410" s="1" t="s">
        <v>59</v>
      </c>
      <c r="I2410">
        <v>22</v>
      </c>
      <c r="J2410">
        <v>3096</v>
      </c>
      <c r="K2410" s="1" t="s">
        <v>103</v>
      </c>
      <c r="L2410" s="1" t="s">
        <v>23</v>
      </c>
      <c r="M2410">
        <v>0</v>
      </c>
      <c r="N2410">
        <v>0</v>
      </c>
      <c r="O2410">
        <v>0</v>
      </c>
      <c r="P2410" s="2">
        <v>42614</v>
      </c>
      <c r="Q2410">
        <v>0</v>
      </c>
      <c r="R2410" s="1" t="s">
        <v>61</v>
      </c>
    </row>
    <row r="2411" spans="1:18" x14ac:dyDescent="0.25">
      <c r="A2411">
        <v>2016</v>
      </c>
      <c r="B2411">
        <v>10</v>
      </c>
      <c r="C2411" s="1" t="s">
        <v>33</v>
      </c>
      <c r="D2411" s="1" t="s">
        <v>19</v>
      </c>
      <c r="E2411" s="1" t="s">
        <v>102</v>
      </c>
      <c r="F2411">
        <v>2016</v>
      </c>
      <c r="G2411">
        <v>0</v>
      </c>
      <c r="H2411" s="1" t="s">
        <v>59</v>
      </c>
      <c r="I2411">
        <v>22</v>
      </c>
      <c r="J2411">
        <v>3096</v>
      </c>
      <c r="K2411" s="1" t="s">
        <v>103</v>
      </c>
      <c r="L2411" s="1" t="s">
        <v>23</v>
      </c>
      <c r="M2411">
        <v>0</v>
      </c>
      <c r="N2411">
        <v>0</v>
      </c>
      <c r="O2411">
        <v>0</v>
      </c>
      <c r="P2411" s="2">
        <v>42644</v>
      </c>
      <c r="Q2411">
        <v>0</v>
      </c>
      <c r="R2411" s="1" t="s">
        <v>61</v>
      </c>
    </row>
    <row r="2412" spans="1:18" x14ac:dyDescent="0.25">
      <c r="A2412">
        <v>2016</v>
      </c>
      <c r="B2412">
        <v>11</v>
      </c>
      <c r="C2412" s="1" t="s">
        <v>34</v>
      </c>
      <c r="D2412" s="1" t="s">
        <v>19</v>
      </c>
      <c r="E2412" s="1" t="s">
        <v>102</v>
      </c>
      <c r="F2412">
        <v>2016</v>
      </c>
      <c r="G2412">
        <v>0</v>
      </c>
      <c r="H2412" s="1" t="s">
        <v>59</v>
      </c>
      <c r="I2412">
        <v>22</v>
      </c>
      <c r="J2412">
        <v>3096</v>
      </c>
      <c r="K2412" s="1" t="s">
        <v>103</v>
      </c>
      <c r="L2412" s="1" t="s">
        <v>23</v>
      </c>
      <c r="M2412">
        <v>0</v>
      </c>
      <c r="N2412">
        <v>0</v>
      </c>
      <c r="O2412">
        <v>0</v>
      </c>
      <c r="P2412" s="2">
        <v>42675</v>
      </c>
      <c r="Q2412">
        <v>0</v>
      </c>
      <c r="R2412" s="1" t="s">
        <v>61</v>
      </c>
    </row>
    <row r="2413" spans="1:18" x14ac:dyDescent="0.25">
      <c r="A2413">
        <v>2016</v>
      </c>
      <c r="B2413">
        <v>12</v>
      </c>
      <c r="C2413" s="1" t="s">
        <v>35</v>
      </c>
      <c r="D2413" s="1" t="s">
        <v>19</v>
      </c>
      <c r="E2413" s="1" t="s">
        <v>102</v>
      </c>
      <c r="F2413">
        <v>2016</v>
      </c>
      <c r="G2413">
        <v>0</v>
      </c>
      <c r="H2413" s="1" t="s">
        <v>59</v>
      </c>
      <c r="I2413">
        <v>22</v>
      </c>
      <c r="J2413">
        <v>3096</v>
      </c>
      <c r="K2413" s="1" t="s">
        <v>103</v>
      </c>
      <c r="L2413" s="1" t="s">
        <v>23</v>
      </c>
      <c r="M2413">
        <v>0</v>
      </c>
      <c r="N2413">
        <v>0</v>
      </c>
      <c r="O2413">
        <v>0</v>
      </c>
      <c r="P2413" s="2">
        <v>42705</v>
      </c>
      <c r="Q2413">
        <v>0</v>
      </c>
      <c r="R2413" s="1" t="s">
        <v>61</v>
      </c>
    </row>
    <row r="2414" spans="1:18" x14ac:dyDescent="0.25">
      <c r="A2414">
        <v>2016</v>
      </c>
      <c r="B2414">
        <v>1</v>
      </c>
      <c r="C2414" s="1" t="s">
        <v>18</v>
      </c>
      <c r="D2414" s="1" t="s">
        <v>19</v>
      </c>
      <c r="E2414" s="1" t="s">
        <v>104</v>
      </c>
      <c r="F2414">
        <v>2016</v>
      </c>
      <c r="G2414">
        <v>0</v>
      </c>
      <c r="H2414" s="1" t="s">
        <v>59</v>
      </c>
      <c r="I2414">
        <v>24</v>
      </c>
      <c r="J2414">
        <v>3317</v>
      </c>
      <c r="K2414" s="1" t="s">
        <v>105</v>
      </c>
      <c r="L2414" s="1" t="s">
        <v>23</v>
      </c>
      <c r="M2414">
        <v>0</v>
      </c>
      <c r="N2414">
        <v>0</v>
      </c>
      <c r="O2414">
        <v>0</v>
      </c>
      <c r="P2414" s="2">
        <v>42370</v>
      </c>
      <c r="Q2414">
        <v>0</v>
      </c>
      <c r="R2414" s="1" t="s">
        <v>61</v>
      </c>
    </row>
    <row r="2415" spans="1:18" x14ac:dyDescent="0.25">
      <c r="A2415">
        <v>2016</v>
      </c>
      <c r="B2415">
        <v>2</v>
      </c>
      <c r="C2415" s="1" t="s">
        <v>25</v>
      </c>
      <c r="D2415" s="1" t="s">
        <v>19</v>
      </c>
      <c r="E2415" s="1" t="s">
        <v>104</v>
      </c>
      <c r="F2415">
        <v>2016</v>
      </c>
      <c r="G2415">
        <v>0</v>
      </c>
      <c r="H2415" s="1" t="s">
        <v>59</v>
      </c>
      <c r="I2415">
        <v>24</v>
      </c>
      <c r="J2415">
        <v>3317</v>
      </c>
      <c r="K2415" s="1" t="s">
        <v>105</v>
      </c>
      <c r="L2415" s="1" t="s">
        <v>23</v>
      </c>
      <c r="M2415">
        <v>0</v>
      </c>
      <c r="N2415">
        <v>0</v>
      </c>
      <c r="O2415">
        <v>0</v>
      </c>
      <c r="P2415" s="2">
        <v>42401</v>
      </c>
      <c r="Q2415">
        <v>0</v>
      </c>
      <c r="R2415" s="1" t="s">
        <v>61</v>
      </c>
    </row>
    <row r="2416" spans="1:18" x14ac:dyDescent="0.25">
      <c r="A2416">
        <v>2016</v>
      </c>
      <c r="B2416">
        <v>3</v>
      </c>
      <c r="C2416" s="1" t="s">
        <v>26</v>
      </c>
      <c r="D2416" s="1" t="s">
        <v>19</v>
      </c>
      <c r="E2416" s="1" t="s">
        <v>104</v>
      </c>
      <c r="F2416">
        <v>2016</v>
      </c>
      <c r="G2416">
        <v>0</v>
      </c>
      <c r="H2416" s="1" t="s">
        <v>59</v>
      </c>
      <c r="I2416">
        <v>24</v>
      </c>
      <c r="J2416">
        <v>3317</v>
      </c>
      <c r="K2416" s="1" t="s">
        <v>105</v>
      </c>
      <c r="L2416" s="1" t="s">
        <v>23</v>
      </c>
      <c r="M2416">
        <v>0</v>
      </c>
      <c r="N2416">
        <v>0</v>
      </c>
      <c r="O2416">
        <v>0</v>
      </c>
      <c r="P2416" s="2">
        <v>42430</v>
      </c>
      <c r="Q2416">
        <v>0</v>
      </c>
      <c r="R2416" s="1" t="s">
        <v>61</v>
      </c>
    </row>
    <row r="2417" spans="1:18" x14ac:dyDescent="0.25">
      <c r="A2417">
        <v>2016</v>
      </c>
      <c r="B2417">
        <v>4</v>
      </c>
      <c r="C2417" s="1" t="s">
        <v>27</v>
      </c>
      <c r="D2417" s="1" t="s">
        <v>19</v>
      </c>
      <c r="E2417" s="1" t="s">
        <v>104</v>
      </c>
      <c r="F2417">
        <v>2016</v>
      </c>
      <c r="G2417">
        <v>0</v>
      </c>
      <c r="H2417" s="1" t="s">
        <v>59</v>
      </c>
      <c r="I2417">
        <v>24</v>
      </c>
      <c r="J2417">
        <v>3317</v>
      </c>
      <c r="K2417" s="1" t="s">
        <v>105</v>
      </c>
      <c r="L2417" s="1" t="s">
        <v>23</v>
      </c>
      <c r="M2417">
        <v>0</v>
      </c>
      <c r="N2417">
        <v>0</v>
      </c>
      <c r="O2417">
        <v>0</v>
      </c>
      <c r="P2417" s="2">
        <v>42461</v>
      </c>
      <c r="Q2417">
        <v>0</v>
      </c>
      <c r="R2417" s="1" t="s">
        <v>61</v>
      </c>
    </row>
    <row r="2418" spans="1:18" x14ac:dyDescent="0.25">
      <c r="A2418">
        <v>2016</v>
      </c>
      <c r="B2418">
        <v>5</v>
      </c>
      <c r="C2418" s="1" t="s">
        <v>28</v>
      </c>
      <c r="D2418" s="1" t="s">
        <v>19</v>
      </c>
      <c r="E2418" s="1" t="s">
        <v>104</v>
      </c>
      <c r="F2418">
        <v>2016</v>
      </c>
      <c r="G2418">
        <v>0</v>
      </c>
      <c r="H2418" s="1" t="s">
        <v>59</v>
      </c>
      <c r="I2418">
        <v>24</v>
      </c>
      <c r="J2418">
        <v>3317</v>
      </c>
      <c r="K2418" s="1" t="s">
        <v>105</v>
      </c>
      <c r="L2418" s="1" t="s">
        <v>23</v>
      </c>
      <c r="M2418">
        <v>0</v>
      </c>
      <c r="N2418">
        <v>0</v>
      </c>
      <c r="O2418">
        <v>0</v>
      </c>
      <c r="P2418" s="2">
        <v>42491</v>
      </c>
      <c r="Q2418">
        <v>0</v>
      </c>
      <c r="R2418" s="1" t="s">
        <v>61</v>
      </c>
    </row>
    <row r="2419" spans="1:18" x14ac:dyDescent="0.25">
      <c r="A2419">
        <v>2016</v>
      </c>
      <c r="B2419">
        <v>6</v>
      </c>
      <c r="C2419" s="1" t="s">
        <v>29</v>
      </c>
      <c r="D2419" s="1" t="s">
        <v>19</v>
      </c>
      <c r="E2419" s="1" t="s">
        <v>104</v>
      </c>
      <c r="F2419">
        <v>2016</v>
      </c>
      <c r="G2419">
        <v>0</v>
      </c>
      <c r="H2419" s="1" t="s">
        <v>59</v>
      </c>
      <c r="I2419">
        <v>24</v>
      </c>
      <c r="J2419">
        <v>3317</v>
      </c>
      <c r="K2419" s="1" t="s">
        <v>105</v>
      </c>
      <c r="L2419" s="1" t="s">
        <v>23</v>
      </c>
      <c r="M2419">
        <v>0</v>
      </c>
      <c r="N2419">
        <v>0</v>
      </c>
      <c r="O2419">
        <v>0</v>
      </c>
      <c r="P2419" s="2">
        <v>42522</v>
      </c>
      <c r="Q2419">
        <v>0</v>
      </c>
      <c r="R2419" s="1" t="s">
        <v>61</v>
      </c>
    </row>
    <row r="2420" spans="1:18" x14ac:dyDescent="0.25">
      <c r="A2420">
        <v>2016</v>
      </c>
      <c r="B2420">
        <v>7</v>
      </c>
      <c r="C2420" s="1" t="s">
        <v>30</v>
      </c>
      <c r="D2420" s="1" t="s">
        <v>19</v>
      </c>
      <c r="E2420" s="1" t="s">
        <v>104</v>
      </c>
      <c r="F2420">
        <v>2016</v>
      </c>
      <c r="G2420">
        <v>0</v>
      </c>
      <c r="H2420" s="1" t="s">
        <v>59</v>
      </c>
      <c r="I2420">
        <v>24</v>
      </c>
      <c r="J2420">
        <v>3317</v>
      </c>
      <c r="K2420" s="1" t="s">
        <v>105</v>
      </c>
      <c r="L2420" s="1" t="s">
        <v>23</v>
      </c>
      <c r="M2420">
        <v>0</v>
      </c>
      <c r="N2420">
        <v>0</v>
      </c>
      <c r="O2420">
        <v>0</v>
      </c>
      <c r="P2420" s="2">
        <v>42552</v>
      </c>
      <c r="Q2420">
        <v>0</v>
      </c>
      <c r="R2420" s="1" t="s">
        <v>61</v>
      </c>
    </row>
    <row r="2421" spans="1:18" x14ac:dyDescent="0.25">
      <c r="A2421">
        <v>2016</v>
      </c>
      <c r="B2421">
        <v>8</v>
      </c>
      <c r="C2421" s="1" t="s">
        <v>31</v>
      </c>
      <c r="D2421" s="1" t="s">
        <v>19</v>
      </c>
      <c r="E2421" s="1" t="s">
        <v>104</v>
      </c>
      <c r="F2421">
        <v>2016</v>
      </c>
      <c r="G2421">
        <v>0</v>
      </c>
      <c r="H2421" s="1" t="s">
        <v>59</v>
      </c>
      <c r="I2421">
        <v>24</v>
      </c>
      <c r="J2421">
        <v>3317</v>
      </c>
      <c r="K2421" s="1" t="s">
        <v>105</v>
      </c>
      <c r="L2421" s="1" t="s">
        <v>23</v>
      </c>
      <c r="M2421">
        <v>0</v>
      </c>
      <c r="N2421">
        <v>0</v>
      </c>
      <c r="O2421">
        <v>0</v>
      </c>
      <c r="P2421" s="2">
        <v>42583</v>
      </c>
      <c r="Q2421">
        <v>0</v>
      </c>
      <c r="R2421" s="1" t="s">
        <v>61</v>
      </c>
    </row>
    <row r="2422" spans="1:18" x14ac:dyDescent="0.25">
      <c r="A2422">
        <v>2016</v>
      </c>
      <c r="B2422">
        <v>9</v>
      </c>
      <c r="C2422" s="1" t="s">
        <v>32</v>
      </c>
      <c r="D2422" s="1" t="s">
        <v>19</v>
      </c>
      <c r="E2422" s="1" t="s">
        <v>104</v>
      </c>
      <c r="F2422">
        <v>2016</v>
      </c>
      <c r="G2422">
        <v>0</v>
      </c>
      <c r="H2422" s="1" t="s">
        <v>59</v>
      </c>
      <c r="I2422">
        <v>24</v>
      </c>
      <c r="J2422">
        <v>3317</v>
      </c>
      <c r="K2422" s="1" t="s">
        <v>105</v>
      </c>
      <c r="L2422" s="1" t="s">
        <v>23</v>
      </c>
      <c r="M2422">
        <v>0</v>
      </c>
      <c r="N2422">
        <v>0</v>
      </c>
      <c r="O2422">
        <v>0</v>
      </c>
      <c r="P2422" s="2">
        <v>42614</v>
      </c>
      <c r="Q2422">
        <v>0</v>
      </c>
      <c r="R2422" s="1" t="s">
        <v>61</v>
      </c>
    </row>
    <row r="2423" spans="1:18" x14ac:dyDescent="0.25">
      <c r="A2423">
        <v>2016</v>
      </c>
      <c r="B2423">
        <v>10</v>
      </c>
      <c r="C2423" s="1" t="s">
        <v>33</v>
      </c>
      <c r="D2423" s="1" t="s">
        <v>19</v>
      </c>
      <c r="E2423" s="1" t="s">
        <v>104</v>
      </c>
      <c r="F2423">
        <v>2016</v>
      </c>
      <c r="G2423">
        <v>0</v>
      </c>
      <c r="H2423" s="1" t="s">
        <v>59</v>
      </c>
      <c r="I2423">
        <v>24</v>
      </c>
      <c r="J2423">
        <v>3317</v>
      </c>
      <c r="K2423" s="1" t="s">
        <v>105</v>
      </c>
      <c r="L2423" s="1" t="s">
        <v>23</v>
      </c>
      <c r="M2423">
        <v>0</v>
      </c>
      <c r="N2423">
        <v>0</v>
      </c>
      <c r="O2423">
        <v>0</v>
      </c>
      <c r="P2423" s="2">
        <v>42644</v>
      </c>
      <c r="Q2423">
        <v>0</v>
      </c>
      <c r="R2423" s="1" t="s">
        <v>61</v>
      </c>
    </row>
    <row r="2424" spans="1:18" x14ac:dyDescent="0.25">
      <c r="A2424">
        <v>2016</v>
      </c>
      <c r="B2424">
        <v>11</v>
      </c>
      <c r="C2424" s="1" t="s">
        <v>34</v>
      </c>
      <c r="D2424" s="1" t="s">
        <v>19</v>
      </c>
      <c r="E2424" s="1" t="s">
        <v>104</v>
      </c>
      <c r="F2424">
        <v>2016</v>
      </c>
      <c r="G2424">
        <v>0</v>
      </c>
      <c r="H2424" s="1" t="s">
        <v>59</v>
      </c>
      <c r="I2424">
        <v>24</v>
      </c>
      <c r="J2424">
        <v>3317</v>
      </c>
      <c r="K2424" s="1" t="s">
        <v>105</v>
      </c>
      <c r="L2424" s="1" t="s">
        <v>23</v>
      </c>
      <c r="M2424">
        <v>0</v>
      </c>
      <c r="N2424">
        <v>0</v>
      </c>
      <c r="O2424">
        <v>0</v>
      </c>
      <c r="P2424" s="2">
        <v>42675</v>
      </c>
      <c r="Q2424">
        <v>0</v>
      </c>
      <c r="R2424" s="1" t="s">
        <v>61</v>
      </c>
    </row>
    <row r="2425" spans="1:18" x14ac:dyDescent="0.25">
      <c r="A2425">
        <v>2016</v>
      </c>
      <c r="B2425">
        <v>12</v>
      </c>
      <c r="C2425" s="1" t="s">
        <v>35</v>
      </c>
      <c r="D2425" s="1" t="s">
        <v>19</v>
      </c>
      <c r="E2425" s="1" t="s">
        <v>104</v>
      </c>
      <c r="F2425">
        <v>2016</v>
      </c>
      <c r="G2425">
        <v>0</v>
      </c>
      <c r="H2425" s="1" t="s">
        <v>59</v>
      </c>
      <c r="I2425">
        <v>24</v>
      </c>
      <c r="J2425">
        <v>3317</v>
      </c>
      <c r="K2425" s="1" t="s">
        <v>105</v>
      </c>
      <c r="L2425" s="1" t="s">
        <v>23</v>
      </c>
      <c r="M2425">
        <v>0</v>
      </c>
      <c r="N2425">
        <v>0</v>
      </c>
      <c r="O2425">
        <v>0</v>
      </c>
      <c r="P2425" s="2">
        <v>42705</v>
      </c>
      <c r="Q2425">
        <v>0</v>
      </c>
      <c r="R2425" s="1" t="s">
        <v>61</v>
      </c>
    </row>
    <row r="2426" spans="1:18" x14ac:dyDescent="0.25">
      <c r="A2426">
        <v>2016</v>
      </c>
      <c r="B2426">
        <v>1</v>
      </c>
      <c r="C2426" s="1" t="s">
        <v>18</v>
      </c>
      <c r="D2426" s="1" t="s">
        <v>19</v>
      </c>
      <c r="E2426" s="1" t="s">
        <v>106</v>
      </c>
      <c r="F2426">
        <v>2016</v>
      </c>
      <c r="G2426">
        <v>0</v>
      </c>
      <c r="H2426" s="1" t="s">
        <v>59</v>
      </c>
      <c r="I2426">
        <v>17</v>
      </c>
      <c r="J2426">
        <v>2219</v>
      </c>
      <c r="K2426" s="1" t="s">
        <v>107</v>
      </c>
      <c r="L2426" s="1" t="s">
        <v>23</v>
      </c>
      <c r="M2426">
        <v>0</v>
      </c>
      <c r="N2426">
        <v>0</v>
      </c>
      <c r="O2426">
        <v>0</v>
      </c>
      <c r="P2426" s="2">
        <v>42370</v>
      </c>
      <c r="Q2426">
        <v>0</v>
      </c>
      <c r="R2426" s="1" t="s">
        <v>61</v>
      </c>
    </row>
    <row r="2427" spans="1:18" x14ac:dyDescent="0.25">
      <c r="A2427">
        <v>2016</v>
      </c>
      <c r="B2427">
        <v>2</v>
      </c>
      <c r="C2427" s="1" t="s">
        <v>25</v>
      </c>
      <c r="D2427" s="1" t="s">
        <v>19</v>
      </c>
      <c r="E2427" s="1" t="s">
        <v>106</v>
      </c>
      <c r="F2427">
        <v>2016</v>
      </c>
      <c r="G2427">
        <v>0</v>
      </c>
      <c r="H2427" s="1" t="s">
        <v>59</v>
      </c>
      <c r="I2427">
        <v>17</v>
      </c>
      <c r="J2427">
        <v>2219</v>
      </c>
      <c r="K2427" s="1" t="s">
        <v>107</v>
      </c>
      <c r="L2427" s="1" t="s">
        <v>23</v>
      </c>
      <c r="M2427">
        <v>0</v>
      </c>
      <c r="N2427">
        <v>0</v>
      </c>
      <c r="O2427">
        <v>0</v>
      </c>
      <c r="P2427" s="2">
        <v>42401</v>
      </c>
      <c r="Q2427">
        <v>0</v>
      </c>
      <c r="R2427" s="1" t="s">
        <v>61</v>
      </c>
    </row>
    <row r="2428" spans="1:18" x14ac:dyDescent="0.25">
      <c r="A2428">
        <v>2016</v>
      </c>
      <c r="B2428">
        <v>3</v>
      </c>
      <c r="C2428" s="1" t="s">
        <v>26</v>
      </c>
      <c r="D2428" s="1" t="s">
        <v>19</v>
      </c>
      <c r="E2428" s="1" t="s">
        <v>106</v>
      </c>
      <c r="F2428">
        <v>2016</v>
      </c>
      <c r="G2428">
        <v>0</v>
      </c>
      <c r="H2428" s="1" t="s">
        <v>59</v>
      </c>
      <c r="I2428">
        <v>17</v>
      </c>
      <c r="J2428">
        <v>2219</v>
      </c>
      <c r="K2428" s="1" t="s">
        <v>107</v>
      </c>
      <c r="L2428" s="1" t="s">
        <v>23</v>
      </c>
      <c r="M2428">
        <v>0</v>
      </c>
      <c r="N2428">
        <v>0</v>
      </c>
      <c r="O2428">
        <v>0</v>
      </c>
      <c r="P2428" s="2">
        <v>42430</v>
      </c>
      <c r="Q2428">
        <v>0</v>
      </c>
      <c r="R2428" s="1" t="s">
        <v>61</v>
      </c>
    </row>
    <row r="2429" spans="1:18" x14ac:dyDescent="0.25">
      <c r="A2429">
        <v>2016</v>
      </c>
      <c r="B2429">
        <v>4</v>
      </c>
      <c r="C2429" s="1" t="s">
        <v>27</v>
      </c>
      <c r="D2429" s="1" t="s">
        <v>19</v>
      </c>
      <c r="E2429" s="1" t="s">
        <v>106</v>
      </c>
      <c r="F2429">
        <v>2016</v>
      </c>
      <c r="G2429">
        <v>0</v>
      </c>
      <c r="H2429" s="1" t="s">
        <v>59</v>
      </c>
      <c r="I2429">
        <v>17</v>
      </c>
      <c r="J2429">
        <v>2219</v>
      </c>
      <c r="K2429" s="1" t="s">
        <v>107</v>
      </c>
      <c r="L2429" s="1" t="s">
        <v>23</v>
      </c>
      <c r="M2429">
        <v>0</v>
      </c>
      <c r="N2429">
        <v>0</v>
      </c>
      <c r="O2429">
        <v>0</v>
      </c>
      <c r="P2429" s="2">
        <v>42461</v>
      </c>
      <c r="Q2429">
        <v>0</v>
      </c>
      <c r="R2429" s="1" t="s">
        <v>61</v>
      </c>
    </row>
    <row r="2430" spans="1:18" x14ac:dyDescent="0.25">
      <c r="A2430">
        <v>2016</v>
      </c>
      <c r="B2430">
        <v>5</v>
      </c>
      <c r="C2430" s="1" t="s">
        <v>28</v>
      </c>
      <c r="D2430" s="1" t="s">
        <v>19</v>
      </c>
      <c r="E2430" s="1" t="s">
        <v>106</v>
      </c>
      <c r="F2430">
        <v>2016</v>
      </c>
      <c r="G2430">
        <v>0</v>
      </c>
      <c r="H2430" s="1" t="s">
        <v>59</v>
      </c>
      <c r="I2430">
        <v>17</v>
      </c>
      <c r="J2430">
        <v>2219</v>
      </c>
      <c r="K2430" s="1" t="s">
        <v>107</v>
      </c>
      <c r="L2430" s="1" t="s">
        <v>23</v>
      </c>
      <c r="M2430">
        <v>0</v>
      </c>
      <c r="N2430">
        <v>0</v>
      </c>
      <c r="O2430">
        <v>0</v>
      </c>
      <c r="P2430" s="2">
        <v>42491</v>
      </c>
      <c r="Q2430">
        <v>0</v>
      </c>
      <c r="R2430" s="1" t="s">
        <v>61</v>
      </c>
    </row>
    <row r="2431" spans="1:18" x14ac:dyDescent="0.25">
      <c r="A2431">
        <v>2016</v>
      </c>
      <c r="B2431">
        <v>6</v>
      </c>
      <c r="C2431" s="1" t="s">
        <v>29</v>
      </c>
      <c r="D2431" s="1" t="s">
        <v>19</v>
      </c>
      <c r="E2431" s="1" t="s">
        <v>106</v>
      </c>
      <c r="F2431">
        <v>2016</v>
      </c>
      <c r="G2431">
        <v>0</v>
      </c>
      <c r="H2431" s="1" t="s">
        <v>59</v>
      </c>
      <c r="I2431">
        <v>17</v>
      </c>
      <c r="J2431">
        <v>2219</v>
      </c>
      <c r="K2431" s="1" t="s">
        <v>107</v>
      </c>
      <c r="L2431" s="1" t="s">
        <v>23</v>
      </c>
      <c r="M2431">
        <v>0</v>
      </c>
      <c r="N2431">
        <v>0</v>
      </c>
      <c r="O2431">
        <v>0</v>
      </c>
      <c r="P2431" s="2">
        <v>42522</v>
      </c>
      <c r="Q2431">
        <v>0</v>
      </c>
      <c r="R2431" s="1" t="s">
        <v>61</v>
      </c>
    </row>
    <row r="2432" spans="1:18" x14ac:dyDescent="0.25">
      <c r="A2432">
        <v>2016</v>
      </c>
      <c r="B2432">
        <v>7</v>
      </c>
      <c r="C2432" s="1" t="s">
        <v>30</v>
      </c>
      <c r="D2432" s="1" t="s">
        <v>19</v>
      </c>
      <c r="E2432" s="1" t="s">
        <v>106</v>
      </c>
      <c r="F2432">
        <v>2016</v>
      </c>
      <c r="G2432">
        <v>0</v>
      </c>
      <c r="H2432" s="1" t="s">
        <v>59</v>
      </c>
      <c r="I2432">
        <v>17</v>
      </c>
      <c r="J2432">
        <v>2219</v>
      </c>
      <c r="K2432" s="1" t="s">
        <v>107</v>
      </c>
      <c r="L2432" s="1" t="s">
        <v>23</v>
      </c>
      <c r="M2432">
        <v>0</v>
      </c>
      <c r="N2432">
        <v>0</v>
      </c>
      <c r="O2432">
        <v>0</v>
      </c>
      <c r="P2432" s="2">
        <v>42552</v>
      </c>
      <c r="Q2432">
        <v>0</v>
      </c>
      <c r="R2432" s="1" t="s">
        <v>61</v>
      </c>
    </row>
    <row r="2433" spans="1:18" x14ac:dyDescent="0.25">
      <c r="A2433">
        <v>2016</v>
      </c>
      <c r="B2433">
        <v>8</v>
      </c>
      <c r="C2433" s="1" t="s">
        <v>31</v>
      </c>
      <c r="D2433" s="1" t="s">
        <v>19</v>
      </c>
      <c r="E2433" s="1" t="s">
        <v>106</v>
      </c>
      <c r="F2433">
        <v>2016</v>
      </c>
      <c r="G2433">
        <v>0</v>
      </c>
      <c r="H2433" s="1" t="s">
        <v>59</v>
      </c>
      <c r="I2433">
        <v>17</v>
      </c>
      <c r="J2433">
        <v>2219</v>
      </c>
      <c r="K2433" s="1" t="s">
        <v>107</v>
      </c>
      <c r="L2433" s="1" t="s">
        <v>23</v>
      </c>
      <c r="M2433">
        <v>0</v>
      </c>
      <c r="N2433">
        <v>0</v>
      </c>
      <c r="O2433">
        <v>0</v>
      </c>
      <c r="P2433" s="2">
        <v>42583</v>
      </c>
      <c r="Q2433">
        <v>0</v>
      </c>
      <c r="R2433" s="1" t="s">
        <v>61</v>
      </c>
    </row>
    <row r="2434" spans="1:18" x14ac:dyDescent="0.25">
      <c r="A2434">
        <v>2016</v>
      </c>
      <c r="B2434">
        <v>9</v>
      </c>
      <c r="C2434" s="1" t="s">
        <v>32</v>
      </c>
      <c r="D2434" s="1" t="s">
        <v>19</v>
      </c>
      <c r="E2434" s="1" t="s">
        <v>106</v>
      </c>
      <c r="F2434">
        <v>2016</v>
      </c>
      <c r="G2434">
        <v>0</v>
      </c>
      <c r="H2434" s="1" t="s">
        <v>59</v>
      </c>
      <c r="I2434">
        <v>17</v>
      </c>
      <c r="J2434">
        <v>2219</v>
      </c>
      <c r="K2434" s="1" t="s">
        <v>107</v>
      </c>
      <c r="L2434" s="1" t="s">
        <v>23</v>
      </c>
      <c r="M2434">
        <v>0</v>
      </c>
      <c r="N2434">
        <v>0</v>
      </c>
      <c r="O2434">
        <v>0</v>
      </c>
      <c r="P2434" s="2">
        <v>42614</v>
      </c>
      <c r="Q2434">
        <v>0</v>
      </c>
      <c r="R2434" s="1" t="s">
        <v>61</v>
      </c>
    </row>
    <row r="2435" spans="1:18" x14ac:dyDescent="0.25">
      <c r="A2435">
        <v>2016</v>
      </c>
      <c r="B2435">
        <v>10</v>
      </c>
      <c r="C2435" s="1" t="s">
        <v>33</v>
      </c>
      <c r="D2435" s="1" t="s">
        <v>19</v>
      </c>
      <c r="E2435" s="1" t="s">
        <v>106</v>
      </c>
      <c r="F2435">
        <v>2016</v>
      </c>
      <c r="G2435">
        <v>0</v>
      </c>
      <c r="H2435" s="1" t="s">
        <v>59</v>
      </c>
      <c r="I2435">
        <v>17</v>
      </c>
      <c r="J2435">
        <v>2219</v>
      </c>
      <c r="K2435" s="1" t="s">
        <v>107</v>
      </c>
      <c r="L2435" s="1" t="s">
        <v>23</v>
      </c>
      <c r="M2435">
        <v>0</v>
      </c>
      <c r="N2435">
        <v>0</v>
      </c>
      <c r="O2435">
        <v>0</v>
      </c>
      <c r="P2435" s="2">
        <v>42644</v>
      </c>
      <c r="Q2435">
        <v>0</v>
      </c>
      <c r="R2435" s="1" t="s">
        <v>61</v>
      </c>
    </row>
    <row r="2436" spans="1:18" x14ac:dyDescent="0.25">
      <c r="A2436">
        <v>2016</v>
      </c>
      <c r="B2436">
        <v>11</v>
      </c>
      <c r="C2436" s="1" t="s">
        <v>34</v>
      </c>
      <c r="D2436" s="1" t="s">
        <v>19</v>
      </c>
      <c r="E2436" s="1" t="s">
        <v>106</v>
      </c>
      <c r="F2436">
        <v>2016</v>
      </c>
      <c r="G2436">
        <v>0</v>
      </c>
      <c r="H2436" s="1" t="s">
        <v>59</v>
      </c>
      <c r="I2436">
        <v>17</v>
      </c>
      <c r="J2436">
        <v>2219</v>
      </c>
      <c r="K2436" s="1" t="s">
        <v>107</v>
      </c>
      <c r="L2436" s="1" t="s">
        <v>23</v>
      </c>
      <c r="M2436">
        <v>0</v>
      </c>
      <c r="N2436">
        <v>0</v>
      </c>
      <c r="O2436">
        <v>0</v>
      </c>
      <c r="P2436" s="2">
        <v>42675</v>
      </c>
      <c r="Q2436">
        <v>0</v>
      </c>
      <c r="R2436" s="1" t="s">
        <v>61</v>
      </c>
    </row>
    <row r="2437" spans="1:18" x14ac:dyDescent="0.25">
      <c r="A2437">
        <v>2016</v>
      </c>
      <c r="B2437">
        <v>12</v>
      </c>
      <c r="C2437" s="1" t="s">
        <v>35</v>
      </c>
      <c r="D2437" s="1" t="s">
        <v>19</v>
      </c>
      <c r="E2437" s="1" t="s">
        <v>106</v>
      </c>
      <c r="F2437">
        <v>2016</v>
      </c>
      <c r="G2437">
        <v>0</v>
      </c>
      <c r="H2437" s="1" t="s">
        <v>59</v>
      </c>
      <c r="I2437">
        <v>17</v>
      </c>
      <c r="J2437">
        <v>2219</v>
      </c>
      <c r="K2437" s="1" t="s">
        <v>107</v>
      </c>
      <c r="L2437" s="1" t="s">
        <v>23</v>
      </c>
      <c r="M2437">
        <v>0</v>
      </c>
      <c r="N2437">
        <v>0</v>
      </c>
      <c r="O2437">
        <v>0</v>
      </c>
      <c r="P2437" s="2">
        <v>42705</v>
      </c>
      <c r="Q2437">
        <v>0</v>
      </c>
      <c r="R2437" s="1" t="s">
        <v>61</v>
      </c>
    </row>
    <row r="2438" spans="1:18" x14ac:dyDescent="0.25">
      <c r="A2438">
        <v>2016</v>
      </c>
      <c r="B2438">
        <v>1</v>
      </c>
      <c r="C2438" s="1" t="s">
        <v>18</v>
      </c>
      <c r="D2438" s="1" t="s">
        <v>19</v>
      </c>
      <c r="E2438" s="1" t="s">
        <v>108</v>
      </c>
      <c r="F2438">
        <v>2016</v>
      </c>
      <c r="G2438">
        <v>0</v>
      </c>
      <c r="H2438" s="1" t="s">
        <v>59</v>
      </c>
      <c r="I2438">
        <v>15</v>
      </c>
      <c r="J2438">
        <v>2142</v>
      </c>
      <c r="K2438" s="1" t="s">
        <v>109</v>
      </c>
      <c r="L2438" s="1" t="s">
        <v>23</v>
      </c>
      <c r="M2438">
        <v>0</v>
      </c>
      <c r="N2438">
        <v>0</v>
      </c>
      <c r="O2438">
        <v>0</v>
      </c>
      <c r="P2438" s="2">
        <v>42370</v>
      </c>
      <c r="Q2438">
        <v>0</v>
      </c>
      <c r="R2438" s="1" t="s">
        <v>61</v>
      </c>
    </row>
    <row r="2439" spans="1:18" x14ac:dyDescent="0.25">
      <c r="A2439">
        <v>2016</v>
      </c>
      <c r="B2439">
        <v>2</v>
      </c>
      <c r="C2439" s="1" t="s">
        <v>25</v>
      </c>
      <c r="D2439" s="1" t="s">
        <v>19</v>
      </c>
      <c r="E2439" s="1" t="s">
        <v>108</v>
      </c>
      <c r="F2439">
        <v>2016</v>
      </c>
      <c r="G2439">
        <v>0</v>
      </c>
      <c r="H2439" s="1" t="s">
        <v>59</v>
      </c>
      <c r="I2439">
        <v>15</v>
      </c>
      <c r="J2439">
        <v>2142</v>
      </c>
      <c r="K2439" s="1" t="s">
        <v>109</v>
      </c>
      <c r="L2439" s="1" t="s">
        <v>23</v>
      </c>
      <c r="M2439">
        <v>0</v>
      </c>
      <c r="N2439">
        <v>0</v>
      </c>
      <c r="O2439">
        <v>0</v>
      </c>
      <c r="P2439" s="2">
        <v>42401</v>
      </c>
      <c r="Q2439">
        <v>0</v>
      </c>
      <c r="R2439" s="1" t="s">
        <v>61</v>
      </c>
    </row>
    <row r="2440" spans="1:18" x14ac:dyDescent="0.25">
      <c r="A2440">
        <v>2016</v>
      </c>
      <c r="B2440">
        <v>3</v>
      </c>
      <c r="C2440" s="1" t="s">
        <v>26</v>
      </c>
      <c r="D2440" s="1" t="s">
        <v>19</v>
      </c>
      <c r="E2440" s="1" t="s">
        <v>108</v>
      </c>
      <c r="F2440">
        <v>2016</v>
      </c>
      <c r="G2440">
        <v>0</v>
      </c>
      <c r="H2440" s="1" t="s">
        <v>59</v>
      </c>
      <c r="I2440">
        <v>15</v>
      </c>
      <c r="J2440">
        <v>2142</v>
      </c>
      <c r="K2440" s="1" t="s">
        <v>109</v>
      </c>
      <c r="L2440" s="1" t="s">
        <v>23</v>
      </c>
      <c r="M2440">
        <v>0</v>
      </c>
      <c r="N2440">
        <v>0</v>
      </c>
      <c r="O2440">
        <v>0</v>
      </c>
      <c r="P2440" s="2">
        <v>42430</v>
      </c>
      <c r="Q2440">
        <v>0</v>
      </c>
      <c r="R2440" s="1" t="s">
        <v>61</v>
      </c>
    </row>
    <row r="2441" spans="1:18" x14ac:dyDescent="0.25">
      <c r="A2441">
        <v>2016</v>
      </c>
      <c r="B2441">
        <v>4</v>
      </c>
      <c r="C2441" s="1" t="s">
        <v>27</v>
      </c>
      <c r="D2441" s="1" t="s">
        <v>19</v>
      </c>
      <c r="E2441" s="1" t="s">
        <v>108</v>
      </c>
      <c r="F2441">
        <v>2016</v>
      </c>
      <c r="G2441">
        <v>0</v>
      </c>
      <c r="H2441" s="1" t="s">
        <v>59</v>
      </c>
      <c r="I2441">
        <v>15</v>
      </c>
      <c r="J2441">
        <v>2142</v>
      </c>
      <c r="K2441" s="1" t="s">
        <v>109</v>
      </c>
      <c r="L2441" s="1" t="s">
        <v>23</v>
      </c>
      <c r="M2441">
        <v>0</v>
      </c>
      <c r="N2441">
        <v>0</v>
      </c>
      <c r="O2441">
        <v>0</v>
      </c>
      <c r="P2441" s="2">
        <v>42461</v>
      </c>
      <c r="Q2441">
        <v>0</v>
      </c>
      <c r="R2441" s="1" t="s">
        <v>61</v>
      </c>
    </row>
    <row r="2442" spans="1:18" x14ac:dyDescent="0.25">
      <c r="A2442">
        <v>2016</v>
      </c>
      <c r="B2442">
        <v>5</v>
      </c>
      <c r="C2442" s="1" t="s">
        <v>28</v>
      </c>
      <c r="D2442" s="1" t="s">
        <v>19</v>
      </c>
      <c r="E2442" s="1" t="s">
        <v>108</v>
      </c>
      <c r="F2442">
        <v>2016</v>
      </c>
      <c r="G2442">
        <v>0</v>
      </c>
      <c r="H2442" s="1" t="s">
        <v>59</v>
      </c>
      <c r="I2442">
        <v>15</v>
      </c>
      <c r="J2442">
        <v>2142</v>
      </c>
      <c r="K2442" s="1" t="s">
        <v>109</v>
      </c>
      <c r="L2442" s="1" t="s">
        <v>23</v>
      </c>
      <c r="M2442">
        <v>0</v>
      </c>
      <c r="N2442">
        <v>0</v>
      </c>
      <c r="O2442">
        <v>0</v>
      </c>
      <c r="P2442" s="2">
        <v>42491</v>
      </c>
      <c r="Q2442">
        <v>0</v>
      </c>
      <c r="R2442" s="1" t="s">
        <v>61</v>
      </c>
    </row>
    <row r="2443" spans="1:18" x14ac:dyDescent="0.25">
      <c r="A2443">
        <v>2016</v>
      </c>
      <c r="B2443">
        <v>6</v>
      </c>
      <c r="C2443" s="1" t="s">
        <v>29</v>
      </c>
      <c r="D2443" s="1" t="s">
        <v>19</v>
      </c>
      <c r="E2443" s="1" t="s">
        <v>108</v>
      </c>
      <c r="F2443">
        <v>2016</v>
      </c>
      <c r="G2443">
        <v>0</v>
      </c>
      <c r="H2443" s="1" t="s">
        <v>59</v>
      </c>
      <c r="I2443">
        <v>15</v>
      </c>
      <c r="J2443">
        <v>2142</v>
      </c>
      <c r="K2443" s="1" t="s">
        <v>109</v>
      </c>
      <c r="L2443" s="1" t="s">
        <v>23</v>
      </c>
      <c r="M2443">
        <v>0</v>
      </c>
      <c r="N2443">
        <v>0</v>
      </c>
      <c r="O2443">
        <v>0</v>
      </c>
      <c r="P2443" s="2">
        <v>42522</v>
      </c>
      <c r="Q2443">
        <v>0</v>
      </c>
      <c r="R2443" s="1" t="s">
        <v>61</v>
      </c>
    </row>
    <row r="2444" spans="1:18" x14ac:dyDescent="0.25">
      <c r="A2444">
        <v>2016</v>
      </c>
      <c r="B2444">
        <v>7</v>
      </c>
      <c r="C2444" s="1" t="s">
        <v>30</v>
      </c>
      <c r="D2444" s="1" t="s">
        <v>19</v>
      </c>
      <c r="E2444" s="1" t="s">
        <v>108</v>
      </c>
      <c r="F2444">
        <v>2016</v>
      </c>
      <c r="G2444">
        <v>0</v>
      </c>
      <c r="H2444" s="1" t="s">
        <v>59</v>
      </c>
      <c r="I2444">
        <v>15</v>
      </c>
      <c r="J2444">
        <v>2142</v>
      </c>
      <c r="K2444" s="1" t="s">
        <v>109</v>
      </c>
      <c r="L2444" s="1" t="s">
        <v>23</v>
      </c>
      <c r="M2444">
        <v>0</v>
      </c>
      <c r="N2444">
        <v>0</v>
      </c>
      <c r="O2444">
        <v>0</v>
      </c>
      <c r="P2444" s="2">
        <v>42552</v>
      </c>
      <c r="Q2444">
        <v>0</v>
      </c>
      <c r="R2444" s="1" t="s">
        <v>61</v>
      </c>
    </row>
    <row r="2445" spans="1:18" x14ac:dyDescent="0.25">
      <c r="A2445">
        <v>2016</v>
      </c>
      <c r="B2445">
        <v>8</v>
      </c>
      <c r="C2445" s="1" t="s">
        <v>31</v>
      </c>
      <c r="D2445" s="1" t="s">
        <v>19</v>
      </c>
      <c r="E2445" s="1" t="s">
        <v>108</v>
      </c>
      <c r="F2445">
        <v>2016</v>
      </c>
      <c r="G2445">
        <v>0</v>
      </c>
      <c r="H2445" s="1" t="s">
        <v>59</v>
      </c>
      <c r="I2445">
        <v>15</v>
      </c>
      <c r="J2445">
        <v>2142</v>
      </c>
      <c r="K2445" s="1" t="s">
        <v>109</v>
      </c>
      <c r="L2445" s="1" t="s">
        <v>23</v>
      </c>
      <c r="M2445">
        <v>0</v>
      </c>
      <c r="N2445">
        <v>0</v>
      </c>
      <c r="O2445">
        <v>0</v>
      </c>
      <c r="P2445" s="2">
        <v>42583</v>
      </c>
      <c r="Q2445">
        <v>0</v>
      </c>
      <c r="R2445" s="1" t="s">
        <v>61</v>
      </c>
    </row>
    <row r="2446" spans="1:18" x14ac:dyDescent="0.25">
      <c r="A2446">
        <v>2016</v>
      </c>
      <c r="B2446">
        <v>9</v>
      </c>
      <c r="C2446" s="1" t="s">
        <v>32</v>
      </c>
      <c r="D2446" s="1" t="s">
        <v>19</v>
      </c>
      <c r="E2446" s="1" t="s">
        <v>108</v>
      </c>
      <c r="F2446">
        <v>2016</v>
      </c>
      <c r="G2446">
        <v>0</v>
      </c>
      <c r="H2446" s="1" t="s">
        <v>59</v>
      </c>
      <c r="I2446">
        <v>15</v>
      </c>
      <c r="J2446">
        <v>2142</v>
      </c>
      <c r="K2446" s="1" t="s">
        <v>109</v>
      </c>
      <c r="L2446" s="1" t="s">
        <v>23</v>
      </c>
      <c r="M2446">
        <v>0</v>
      </c>
      <c r="N2446">
        <v>0</v>
      </c>
      <c r="O2446">
        <v>0</v>
      </c>
      <c r="P2446" s="2">
        <v>42614</v>
      </c>
      <c r="Q2446">
        <v>0</v>
      </c>
      <c r="R2446" s="1" t="s">
        <v>61</v>
      </c>
    </row>
    <row r="2447" spans="1:18" x14ac:dyDescent="0.25">
      <c r="A2447">
        <v>2016</v>
      </c>
      <c r="B2447">
        <v>10</v>
      </c>
      <c r="C2447" s="1" t="s">
        <v>33</v>
      </c>
      <c r="D2447" s="1" t="s">
        <v>19</v>
      </c>
      <c r="E2447" s="1" t="s">
        <v>108</v>
      </c>
      <c r="F2447">
        <v>2016</v>
      </c>
      <c r="G2447">
        <v>0</v>
      </c>
      <c r="H2447" s="1" t="s">
        <v>59</v>
      </c>
      <c r="I2447">
        <v>15</v>
      </c>
      <c r="J2447">
        <v>2142</v>
      </c>
      <c r="K2447" s="1" t="s">
        <v>109</v>
      </c>
      <c r="L2447" s="1" t="s">
        <v>23</v>
      </c>
      <c r="M2447">
        <v>0</v>
      </c>
      <c r="N2447">
        <v>0</v>
      </c>
      <c r="O2447">
        <v>0</v>
      </c>
      <c r="P2447" s="2">
        <v>42644</v>
      </c>
      <c r="Q2447">
        <v>0</v>
      </c>
      <c r="R2447" s="1" t="s">
        <v>61</v>
      </c>
    </row>
    <row r="2448" spans="1:18" x14ac:dyDescent="0.25">
      <c r="A2448">
        <v>2016</v>
      </c>
      <c r="B2448">
        <v>11</v>
      </c>
      <c r="C2448" s="1" t="s">
        <v>34</v>
      </c>
      <c r="D2448" s="1" t="s">
        <v>19</v>
      </c>
      <c r="E2448" s="1" t="s">
        <v>108</v>
      </c>
      <c r="F2448">
        <v>2016</v>
      </c>
      <c r="G2448">
        <v>0</v>
      </c>
      <c r="H2448" s="1" t="s">
        <v>59</v>
      </c>
      <c r="I2448">
        <v>15</v>
      </c>
      <c r="J2448">
        <v>2142</v>
      </c>
      <c r="K2448" s="1" t="s">
        <v>109</v>
      </c>
      <c r="L2448" s="1" t="s">
        <v>23</v>
      </c>
      <c r="M2448">
        <v>0</v>
      </c>
      <c r="N2448">
        <v>0</v>
      </c>
      <c r="O2448">
        <v>0</v>
      </c>
      <c r="P2448" s="2">
        <v>42675</v>
      </c>
      <c r="Q2448">
        <v>0</v>
      </c>
      <c r="R2448" s="1" t="s">
        <v>61</v>
      </c>
    </row>
    <row r="2449" spans="1:18" x14ac:dyDescent="0.25">
      <c r="A2449">
        <v>2016</v>
      </c>
      <c r="B2449">
        <v>12</v>
      </c>
      <c r="C2449" s="1" t="s">
        <v>35</v>
      </c>
      <c r="D2449" s="1" t="s">
        <v>19</v>
      </c>
      <c r="E2449" s="1" t="s">
        <v>108</v>
      </c>
      <c r="F2449">
        <v>2016</v>
      </c>
      <c r="G2449">
        <v>0</v>
      </c>
      <c r="H2449" s="1" t="s">
        <v>59</v>
      </c>
      <c r="I2449">
        <v>15</v>
      </c>
      <c r="J2449">
        <v>2142</v>
      </c>
      <c r="K2449" s="1" t="s">
        <v>109</v>
      </c>
      <c r="L2449" s="1" t="s">
        <v>23</v>
      </c>
      <c r="M2449">
        <v>0</v>
      </c>
      <c r="N2449">
        <v>0</v>
      </c>
      <c r="O2449">
        <v>0</v>
      </c>
      <c r="P2449" s="2">
        <v>42705</v>
      </c>
      <c r="Q2449">
        <v>0</v>
      </c>
      <c r="R2449" s="1" t="s">
        <v>61</v>
      </c>
    </row>
    <row r="2450" spans="1:18" x14ac:dyDescent="0.25">
      <c r="A2450">
        <v>2016</v>
      </c>
      <c r="B2450">
        <v>1</v>
      </c>
      <c r="C2450" s="1" t="s">
        <v>18</v>
      </c>
      <c r="D2450" s="1" t="s">
        <v>19</v>
      </c>
      <c r="E2450" s="1" t="s">
        <v>110</v>
      </c>
      <c r="F2450">
        <v>2016</v>
      </c>
      <c r="G2450">
        <v>0</v>
      </c>
      <c r="H2450" s="1" t="s">
        <v>59</v>
      </c>
      <c r="I2450">
        <v>24</v>
      </c>
      <c r="J2450">
        <v>3324</v>
      </c>
      <c r="K2450" s="1" t="s">
        <v>111</v>
      </c>
      <c r="L2450" s="1" t="s">
        <v>23</v>
      </c>
      <c r="M2450">
        <v>0</v>
      </c>
      <c r="N2450">
        <v>0</v>
      </c>
      <c r="O2450">
        <v>0</v>
      </c>
      <c r="P2450" s="2">
        <v>42370</v>
      </c>
      <c r="Q2450">
        <v>0</v>
      </c>
      <c r="R2450" s="1" t="s">
        <v>61</v>
      </c>
    </row>
    <row r="2451" spans="1:18" x14ac:dyDescent="0.25">
      <c r="A2451">
        <v>2016</v>
      </c>
      <c r="B2451">
        <v>2</v>
      </c>
      <c r="C2451" s="1" t="s">
        <v>25</v>
      </c>
      <c r="D2451" s="1" t="s">
        <v>19</v>
      </c>
      <c r="E2451" s="1" t="s">
        <v>110</v>
      </c>
      <c r="F2451">
        <v>2016</v>
      </c>
      <c r="G2451">
        <v>0</v>
      </c>
      <c r="H2451" s="1" t="s">
        <v>59</v>
      </c>
      <c r="I2451">
        <v>24</v>
      </c>
      <c r="J2451">
        <v>3324</v>
      </c>
      <c r="K2451" s="1" t="s">
        <v>111</v>
      </c>
      <c r="L2451" s="1" t="s">
        <v>23</v>
      </c>
      <c r="M2451">
        <v>0</v>
      </c>
      <c r="N2451">
        <v>0</v>
      </c>
      <c r="O2451">
        <v>0</v>
      </c>
      <c r="P2451" s="2">
        <v>42401</v>
      </c>
      <c r="Q2451">
        <v>0</v>
      </c>
      <c r="R2451" s="1" t="s">
        <v>61</v>
      </c>
    </row>
    <row r="2452" spans="1:18" x14ac:dyDescent="0.25">
      <c r="A2452">
        <v>2016</v>
      </c>
      <c r="B2452">
        <v>3</v>
      </c>
      <c r="C2452" s="1" t="s">
        <v>26</v>
      </c>
      <c r="D2452" s="1" t="s">
        <v>19</v>
      </c>
      <c r="E2452" s="1" t="s">
        <v>110</v>
      </c>
      <c r="F2452">
        <v>2016</v>
      </c>
      <c r="G2452">
        <v>0</v>
      </c>
      <c r="H2452" s="1" t="s">
        <v>59</v>
      </c>
      <c r="I2452">
        <v>24</v>
      </c>
      <c r="J2452">
        <v>3324</v>
      </c>
      <c r="K2452" s="1" t="s">
        <v>111</v>
      </c>
      <c r="L2452" s="1" t="s">
        <v>23</v>
      </c>
      <c r="M2452">
        <v>0</v>
      </c>
      <c r="N2452">
        <v>0</v>
      </c>
      <c r="O2452">
        <v>0</v>
      </c>
      <c r="P2452" s="2">
        <v>42430</v>
      </c>
      <c r="Q2452">
        <v>0</v>
      </c>
      <c r="R2452" s="1" t="s">
        <v>61</v>
      </c>
    </row>
    <row r="2453" spans="1:18" x14ac:dyDescent="0.25">
      <c r="A2453">
        <v>2016</v>
      </c>
      <c r="B2453">
        <v>4</v>
      </c>
      <c r="C2453" s="1" t="s">
        <v>27</v>
      </c>
      <c r="D2453" s="1" t="s">
        <v>19</v>
      </c>
      <c r="E2453" s="1" t="s">
        <v>110</v>
      </c>
      <c r="F2453">
        <v>2016</v>
      </c>
      <c r="G2453">
        <v>0</v>
      </c>
      <c r="H2453" s="1" t="s">
        <v>59</v>
      </c>
      <c r="I2453">
        <v>24</v>
      </c>
      <c r="J2453">
        <v>3324</v>
      </c>
      <c r="K2453" s="1" t="s">
        <v>111</v>
      </c>
      <c r="L2453" s="1" t="s">
        <v>23</v>
      </c>
      <c r="M2453">
        <v>0</v>
      </c>
      <c r="N2453">
        <v>0</v>
      </c>
      <c r="O2453">
        <v>0</v>
      </c>
      <c r="P2453" s="2">
        <v>42461</v>
      </c>
      <c r="Q2453">
        <v>0</v>
      </c>
      <c r="R2453" s="1" t="s">
        <v>61</v>
      </c>
    </row>
    <row r="2454" spans="1:18" x14ac:dyDescent="0.25">
      <c r="A2454">
        <v>2016</v>
      </c>
      <c r="B2454">
        <v>5</v>
      </c>
      <c r="C2454" s="1" t="s">
        <v>28</v>
      </c>
      <c r="D2454" s="1" t="s">
        <v>19</v>
      </c>
      <c r="E2454" s="1" t="s">
        <v>110</v>
      </c>
      <c r="F2454">
        <v>2016</v>
      </c>
      <c r="G2454">
        <v>0</v>
      </c>
      <c r="H2454" s="1" t="s">
        <v>59</v>
      </c>
      <c r="I2454">
        <v>24</v>
      </c>
      <c r="J2454">
        <v>3324</v>
      </c>
      <c r="K2454" s="1" t="s">
        <v>111</v>
      </c>
      <c r="L2454" s="1" t="s">
        <v>23</v>
      </c>
      <c r="M2454">
        <v>0</v>
      </c>
      <c r="N2454">
        <v>0</v>
      </c>
      <c r="O2454">
        <v>0</v>
      </c>
      <c r="P2454" s="2">
        <v>42491</v>
      </c>
      <c r="Q2454">
        <v>0</v>
      </c>
      <c r="R2454" s="1" t="s">
        <v>61</v>
      </c>
    </row>
    <row r="2455" spans="1:18" x14ac:dyDescent="0.25">
      <c r="A2455">
        <v>2016</v>
      </c>
      <c r="B2455">
        <v>6</v>
      </c>
      <c r="C2455" s="1" t="s">
        <v>29</v>
      </c>
      <c r="D2455" s="1" t="s">
        <v>19</v>
      </c>
      <c r="E2455" s="1" t="s">
        <v>110</v>
      </c>
      <c r="F2455">
        <v>2016</v>
      </c>
      <c r="G2455">
        <v>0</v>
      </c>
      <c r="H2455" s="1" t="s">
        <v>59</v>
      </c>
      <c r="I2455">
        <v>24</v>
      </c>
      <c r="J2455">
        <v>3324</v>
      </c>
      <c r="K2455" s="1" t="s">
        <v>111</v>
      </c>
      <c r="L2455" s="1" t="s">
        <v>23</v>
      </c>
      <c r="M2455">
        <v>0</v>
      </c>
      <c r="N2455">
        <v>0</v>
      </c>
      <c r="O2455">
        <v>0</v>
      </c>
      <c r="P2455" s="2">
        <v>42522</v>
      </c>
      <c r="Q2455">
        <v>0</v>
      </c>
      <c r="R2455" s="1" t="s">
        <v>61</v>
      </c>
    </row>
    <row r="2456" spans="1:18" x14ac:dyDescent="0.25">
      <c r="A2456">
        <v>2016</v>
      </c>
      <c r="B2456">
        <v>7</v>
      </c>
      <c r="C2456" s="1" t="s">
        <v>30</v>
      </c>
      <c r="D2456" s="1" t="s">
        <v>19</v>
      </c>
      <c r="E2456" s="1" t="s">
        <v>110</v>
      </c>
      <c r="F2456">
        <v>2016</v>
      </c>
      <c r="G2456">
        <v>0</v>
      </c>
      <c r="H2456" s="1" t="s">
        <v>59</v>
      </c>
      <c r="I2456">
        <v>24</v>
      </c>
      <c r="J2456">
        <v>3324</v>
      </c>
      <c r="K2456" s="1" t="s">
        <v>111</v>
      </c>
      <c r="L2456" s="1" t="s">
        <v>23</v>
      </c>
      <c r="M2456">
        <v>0</v>
      </c>
      <c r="N2456">
        <v>0</v>
      </c>
      <c r="O2456">
        <v>0</v>
      </c>
      <c r="P2456" s="2">
        <v>42552</v>
      </c>
      <c r="Q2456">
        <v>0</v>
      </c>
      <c r="R2456" s="1" t="s">
        <v>61</v>
      </c>
    </row>
    <row r="2457" spans="1:18" x14ac:dyDescent="0.25">
      <c r="A2457">
        <v>2016</v>
      </c>
      <c r="B2457">
        <v>8</v>
      </c>
      <c r="C2457" s="1" t="s">
        <v>31</v>
      </c>
      <c r="D2457" s="1" t="s">
        <v>19</v>
      </c>
      <c r="E2457" s="1" t="s">
        <v>110</v>
      </c>
      <c r="F2457">
        <v>2016</v>
      </c>
      <c r="G2457">
        <v>0</v>
      </c>
      <c r="H2457" s="1" t="s">
        <v>59</v>
      </c>
      <c r="I2457">
        <v>24</v>
      </c>
      <c r="J2457">
        <v>3324</v>
      </c>
      <c r="K2457" s="1" t="s">
        <v>111</v>
      </c>
      <c r="L2457" s="1" t="s">
        <v>23</v>
      </c>
      <c r="M2457">
        <v>0</v>
      </c>
      <c r="N2457">
        <v>0</v>
      </c>
      <c r="O2457">
        <v>0</v>
      </c>
      <c r="P2457" s="2">
        <v>42583</v>
      </c>
      <c r="Q2457">
        <v>0</v>
      </c>
      <c r="R2457" s="1" t="s">
        <v>61</v>
      </c>
    </row>
    <row r="2458" spans="1:18" x14ac:dyDescent="0.25">
      <c r="A2458">
        <v>2016</v>
      </c>
      <c r="B2458">
        <v>9</v>
      </c>
      <c r="C2458" s="1" t="s">
        <v>32</v>
      </c>
      <c r="D2458" s="1" t="s">
        <v>19</v>
      </c>
      <c r="E2458" s="1" t="s">
        <v>110</v>
      </c>
      <c r="F2458">
        <v>2016</v>
      </c>
      <c r="G2458">
        <v>0</v>
      </c>
      <c r="H2458" s="1" t="s">
        <v>59</v>
      </c>
      <c r="I2458">
        <v>24</v>
      </c>
      <c r="J2458">
        <v>3324</v>
      </c>
      <c r="K2458" s="1" t="s">
        <v>111</v>
      </c>
      <c r="L2458" s="1" t="s">
        <v>23</v>
      </c>
      <c r="M2458">
        <v>0</v>
      </c>
      <c r="N2458">
        <v>0</v>
      </c>
      <c r="O2458">
        <v>0</v>
      </c>
      <c r="P2458" s="2">
        <v>42614</v>
      </c>
      <c r="Q2458">
        <v>0</v>
      </c>
      <c r="R2458" s="1" t="s">
        <v>61</v>
      </c>
    </row>
    <row r="2459" spans="1:18" x14ac:dyDescent="0.25">
      <c r="A2459">
        <v>2016</v>
      </c>
      <c r="B2459">
        <v>10</v>
      </c>
      <c r="C2459" s="1" t="s">
        <v>33</v>
      </c>
      <c r="D2459" s="1" t="s">
        <v>19</v>
      </c>
      <c r="E2459" s="1" t="s">
        <v>110</v>
      </c>
      <c r="F2459">
        <v>2016</v>
      </c>
      <c r="G2459">
        <v>0</v>
      </c>
      <c r="H2459" s="1" t="s">
        <v>59</v>
      </c>
      <c r="I2459">
        <v>24</v>
      </c>
      <c r="J2459">
        <v>3324</v>
      </c>
      <c r="K2459" s="1" t="s">
        <v>111</v>
      </c>
      <c r="L2459" s="1" t="s">
        <v>23</v>
      </c>
      <c r="M2459">
        <v>0</v>
      </c>
      <c r="N2459">
        <v>0</v>
      </c>
      <c r="O2459">
        <v>0</v>
      </c>
      <c r="P2459" s="2">
        <v>42644</v>
      </c>
      <c r="Q2459">
        <v>0</v>
      </c>
      <c r="R2459" s="1" t="s">
        <v>61</v>
      </c>
    </row>
    <row r="2460" spans="1:18" x14ac:dyDescent="0.25">
      <c r="A2460">
        <v>2016</v>
      </c>
      <c r="B2460">
        <v>11</v>
      </c>
      <c r="C2460" s="1" t="s">
        <v>34</v>
      </c>
      <c r="D2460" s="1" t="s">
        <v>19</v>
      </c>
      <c r="E2460" s="1" t="s">
        <v>110</v>
      </c>
      <c r="F2460">
        <v>2016</v>
      </c>
      <c r="G2460">
        <v>0</v>
      </c>
      <c r="H2460" s="1" t="s">
        <v>59</v>
      </c>
      <c r="I2460">
        <v>24</v>
      </c>
      <c r="J2460">
        <v>3324</v>
      </c>
      <c r="K2460" s="1" t="s">
        <v>111</v>
      </c>
      <c r="L2460" s="1" t="s">
        <v>23</v>
      </c>
      <c r="M2460">
        <v>0</v>
      </c>
      <c r="N2460">
        <v>0</v>
      </c>
      <c r="O2460">
        <v>0</v>
      </c>
      <c r="P2460" s="2">
        <v>42675</v>
      </c>
      <c r="Q2460">
        <v>0</v>
      </c>
      <c r="R2460" s="1" t="s">
        <v>61</v>
      </c>
    </row>
    <row r="2461" spans="1:18" x14ac:dyDescent="0.25">
      <c r="A2461">
        <v>2016</v>
      </c>
      <c r="B2461">
        <v>12</v>
      </c>
      <c r="C2461" s="1" t="s">
        <v>35</v>
      </c>
      <c r="D2461" s="1" t="s">
        <v>19</v>
      </c>
      <c r="E2461" s="1" t="s">
        <v>110</v>
      </c>
      <c r="F2461">
        <v>2016</v>
      </c>
      <c r="G2461">
        <v>0</v>
      </c>
      <c r="H2461" s="1" t="s">
        <v>59</v>
      </c>
      <c r="I2461">
        <v>24</v>
      </c>
      <c r="J2461">
        <v>3324</v>
      </c>
      <c r="K2461" s="1" t="s">
        <v>111</v>
      </c>
      <c r="L2461" s="1" t="s">
        <v>23</v>
      </c>
      <c r="M2461">
        <v>0</v>
      </c>
      <c r="N2461">
        <v>0</v>
      </c>
      <c r="O2461">
        <v>0</v>
      </c>
      <c r="P2461" s="2">
        <v>42705</v>
      </c>
      <c r="Q2461">
        <v>0</v>
      </c>
      <c r="R2461" s="1" t="s">
        <v>61</v>
      </c>
    </row>
    <row r="2462" spans="1:18" x14ac:dyDescent="0.25">
      <c r="A2462">
        <v>2016</v>
      </c>
      <c r="B2462">
        <v>1</v>
      </c>
      <c r="C2462" s="1" t="s">
        <v>18</v>
      </c>
      <c r="D2462" s="1" t="s">
        <v>19</v>
      </c>
      <c r="E2462" s="1" t="s">
        <v>112</v>
      </c>
      <c r="F2462">
        <v>2016</v>
      </c>
      <c r="G2462">
        <v>0</v>
      </c>
      <c r="H2462" s="1" t="s">
        <v>59</v>
      </c>
      <c r="I2462">
        <v>20</v>
      </c>
      <c r="J2462">
        <v>2663</v>
      </c>
      <c r="K2462" s="1" t="s">
        <v>113</v>
      </c>
      <c r="L2462" s="1" t="s">
        <v>23</v>
      </c>
      <c r="M2462">
        <v>0</v>
      </c>
      <c r="N2462">
        <v>0</v>
      </c>
      <c r="O2462">
        <v>0</v>
      </c>
      <c r="P2462" s="2">
        <v>42370</v>
      </c>
      <c r="Q2462">
        <v>0</v>
      </c>
      <c r="R2462" s="1" t="s">
        <v>61</v>
      </c>
    </row>
    <row r="2463" spans="1:18" x14ac:dyDescent="0.25">
      <c r="A2463">
        <v>2016</v>
      </c>
      <c r="B2463">
        <v>2</v>
      </c>
      <c r="C2463" s="1" t="s">
        <v>25</v>
      </c>
      <c r="D2463" s="1" t="s">
        <v>19</v>
      </c>
      <c r="E2463" s="1" t="s">
        <v>112</v>
      </c>
      <c r="F2463">
        <v>2016</v>
      </c>
      <c r="G2463">
        <v>0</v>
      </c>
      <c r="H2463" s="1" t="s">
        <v>59</v>
      </c>
      <c r="I2463">
        <v>20</v>
      </c>
      <c r="J2463">
        <v>2663</v>
      </c>
      <c r="K2463" s="1" t="s">
        <v>113</v>
      </c>
      <c r="L2463" s="1" t="s">
        <v>23</v>
      </c>
      <c r="M2463">
        <v>0</v>
      </c>
      <c r="N2463">
        <v>0</v>
      </c>
      <c r="O2463">
        <v>0</v>
      </c>
      <c r="P2463" s="2">
        <v>42401</v>
      </c>
      <c r="Q2463">
        <v>0</v>
      </c>
      <c r="R2463" s="1" t="s">
        <v>61</v>
      </c>
    </row>
    <row r="2464" spans="1:18" x14ac:dyDescent="0.25">
      <c r="A2464">
        <v>2016</v>
      </c>
      <c r="B2464">
        <v>3</v>
      </c>
      <c r="C2464" s="1" t="s">
        <v>26</v>
      </c>
      <c r="D2464" s="1" t="s">
        <v>19</v>
      </c>
      <c r="E2464" s="1" t="s">
        <v>112</v>
      </c>
      <c r="F2464">
        <v>2016</v>
      </c>
      <c r="G2464">
        <v>0</v>
      </c>
      <c r="H2464" s="1" t="s">
        <v>59</v>
      </c>
      <c r="I2464">
        <v>20</v>
      </c>
      <c r="J2464">
        <v>2663</v>
      </c>
      <c r="K2464" s="1" t="s">
        <v>113</v>
      </c>
      <c r="L2464" s="1" t="s">
        <v>23</v>
      </c>
      <c r="M2464">
        <v>0</v>
      </c>
      <c r="N2464">
        <v>0</v>
      </c>
      <c r="O2464">
        <v>0</v>
      </c>
      <c r="P2464" s="2">
        <v>42430</v>
      </c>
      <c r="Q2464">
        <v>0</v>
      </c>
      <c r="R2464" s="1" t="s">
        <v>61</v>
      </c>
    </row>
    <row r="2465" spans="1:18" x14ac:dyDescent="0.25">
      <c r="A2465">
        <v>2016</v>
      </c>
      <c r="B2465">
        <v>4</v>
      </c>
      <c r="C2465" s="1" t="s">
        <v>27</v>
      </c>
      <c r="D2465" s="1" t="s">
        <v>19</v>
      </c>
      <c r="E2465" s="1" t="s">
        <v>112</v>
      </c>
      <c r="F2465">
        <v>2016</v>
      </c>
      <c r="G2465">
        <v>0</v>
      </c>
      <c r="H2465" s="1" t="s">
        <v>59</v>
      </c>
      <c r="I2465">
        <v>20</v>
      </c>
      <c r="J2465">
        <v>2663</v>
      </c>
      <c r="K2465" s="1" t="s">
        <v>113</v>
      </c>
      <c r="L2465" s="1" t="s">
        <v>23</v>
      </c>
      <c r="M2465">
        <v>0</v>
      </c>
      <c r="N2465">
        <v>0</v>
      </c>
      <c r="O2465">
        <v>0</v>
      </c>
      <c r="P2465" s="2">
        <v>42461</v>
      </c>
      <c r="Q2465">
        <v>0</v>
      </c>
      <c r="R2465" s="1" t="s">
        <v>61</v>
      </c>
    </row>
    <row r="2466" spans="1:18" x14ac:dyDescent="0.25">
      <c r="A2466">
        <v>2016</v>
      </c>
      <c r="B2466">
        <v>5</v>
      </c>
      <c r="C2466" s="1" t="s">
        <v>28</v>
      </c>
      <c r="D2466" s="1" t="s">
        <v>19</v>
      </c>
      <c r="E2466" s="1" t="s">
        <v>112</v>
      </c>
      <c r="F2466">
        <v>2016</v>
      </c>
      <c r="G2466">
        <v>0</v>
      </c>
      <c r="H2466" s="1" t="s">
        <v>59</v>
      </c>
      <c r="I2466">
        <v>20</v>
      </c>
      <c r="J2466">
        <v>2663</v>
      </c>
      <c r="K2466" s="1" t="s">
        <v>113</v>
      </c>
      <c r="L2466" s="1" t="s">
        <v>23</v>
      </c>
      <c r="M2466">
        <v>0</v>
      </c>
      <c r="N2466">
        <v>0</v>
      </c>
      <c r="O2466">
        <v>0</v>
      </c>
      <c r="P2466" s="2">
        <v>42491</v>
      </c>
      <c r="Q2466">
        <v>0</v>
      </c>
      <c r="R2466" s="1" t="s">
        <v>61</v>
      </c>
    </row>
    <row r="2467" spans="1:18" x14ac:dyDescent="0.25">
      <c r="A2467">
        <v>2016</v>
      </c>
      <c r="B2467">
        <v>6</v>
      </c>
      <c r="C2467" s="1" t="s">
        <v>29</v>
      </c>
      <c r="D2467" s="1" t="s">
        <v>19</v>
      </c>
      <c r="E2467" s="1" t="s">
        <v>112</v>
      </c>
      <c r="F2467">
        <v>2016</v>
      </c>
      <c r="G2467">
        <v>0</v>
      </c>
      <c r="H2467" s="1" t="s">
        <v>59</v>
      </c>
      <c r="I2467">
        <v>20</v>
      </c>
      <c r="J2467">
        <v>2663</v>
      </c>
      <c r="K2467" s="1" t="s">
        <v>113</v>
      </c>
      <c r="L2467" s="1" t="s">
        <v>23</v>
      </c>
      <c r="M2467">
        <v>0</v>
      </c>
      <c r="N2467">
        <v>0</v>
      </c>
      <c r="O2467">
        <v>0</v>
      </c>
      <c r="P2467" s="2">
        <v>42522</v>
      </c>
      <c r="Q2467">
        <v>0</v>
      </c>
      <c r="R2467" s="1" t="s">
        <v>61</v>
      </c>
    </row>
    <row r="2468" spans="1:18" x14ac:dyDescent="0.25">
      <c r="A2468">
        <v>2016</v>
      </c>
      <c r="B2468">
        <v>7</v>
      </c>
      <c r="C2468" s="1" t="s">
        <v>30</v>
      </c>
      <c r="D2468" s="1" t="s">
        <v>19</v>
      </c>
      <c r="E2468" s="1" t="s">
        <v>112</v>
      </c>
      <c r="F2468">
        <v>2016</v>
      </c>
      <c r="G2468">
        <v>0</v>
      </c>
      <c r="H2468" s="1" t="s">
        <v>59</v>
      </c>
      <c r="I2468">
        <v>20</v>
      </c>
      <c r="J2468">
        <v>2663</v>
      </c>
      <c r="K2468" s="1" t="s">
        <v>113</v>
      </c>
      <c r="L2468" s="1" t="s">
        <v>23</v>
      </c>
      <c r="M2468">
        <v>0</v>
      </c>
      <c r="N2468">
        <v>0</v>
      </c>
      <c r="O2468">
        <v>0</v>
      </c>
      <c r="P2468" s="2">
        <v>42552</v>
      </c>
      <c r="Q2468">
        <v>0</v>
      </c>
      <c r="R2468" s="1" t="s">
        <v>61</v>
      </c>
    </row>
    <row r="2469" spans="1:18" x14ac:dyDescent="0.25">
      <c r="A2469">
        <v>2016</v>
      </c>
      <c r="B2469">
        <v>8</v>
      </c>
      <c r="C2469" s="1" t="s">
        <v>31</v>
      </c>
      <c r="D2469" s="1" t="s">
        <v>19</v>
      </c>
      <c r="E2469" s="1" t="s">
        <v>112</v>
      </c>
      <c r="F2469">
        <v>2016</v>
      </c>
      <c r="G2469">
        <v>0</v>
      </c>
      <c r="H2469" s="1" t="s">
        <v>59</v>
      </c>
      <c r="I2469">
        <v>20</v>
      </c>
      <c r="J2469">
        <v>2663</v>
      </c>
      <c r="K2469" s="1" t="s">
        <v>113</v>
      </c>
      <c r="L2469" s="1" t="s">
        <v>23</v>
      </c>
      <c r="M2469">
        <v>0</v>
      </c>
      <c r="N2469">
        <v>0</v>
      </c>
      <c r="O2469">
        <v>0</v>
      </c>
      <c r="P2469" s="2">
        <v>42583</v>
      </c>
      <c r="Q2469">
        <v>0</v>
      </c>
      <c r="R2469" s="1" t="s">
        <v>61</v>
      </c>
    </row>
    <row r="2470" spans="1:18" x14ac:dyDescent="0.25">
      <c r="A2470">
        <v>2016</v>
      </c>
      <c r="B2470">
        <v>9</v>
      </c>
      <c r="C2470" s="1" t="s">
        <v>32</v>
      </c>
      <c r="D2470" s="1" t="s">
        <v>19</v>
      </c>
      <c r="E2470" s="1" t="s">
        <v>112</v>
      </c>
      <c r="F2470">
        <v>2016</v>
      </c>
      <c r="G2470">
        <v>0</v>
      </c>
      <c r="H2470" s="1" t="s">
        <v>59</v>
      </c>
      <c r="I2470">
        <v>20</v>
      </c>
      <c r="J2470">
        <v>2663</v>
      </c>
      <c r="K2470" s="1" t="s">
        <v>113</v>
      </c>
      <c r="L2470" s="1" t="s">
        <v>23</v>
      </c>
      <c r="M2470">
        <v>0</v>
      </c>
      <c r="N2470">
        <v>0</v>
      </c>
      <c r="O2470">
        <v>0</v>
      </c>
      <c r="P2470" s="2">
        <v>42614</v>
      </c>
      <c r="Q2470">
        <v>0</v>
      </c>
      <c r="R2470" s="1" t="s">
        <v>61</v>
      </c>
    </row>
    <row r="2471" spans="1:18" x14ac:dyDescent="0.25">
      <c r="A2471">
        <v>2016</v>
      </c>
      <c r="B2471">
        <v>10</v>
      </c>
      <c r="C2471" s="1" t="s">
        <v>33</v>
      </c>
      <c r="D2471" s="1" t="s">
        <v>19</v>
      </c>
      <c r="E2471" s="1" t="s">
        <v>112</v>
      </c>
      <c r="F2471">
        <v>2016</v>
      </c>
      <c r="G2471">
        <v>0</v>
      </c>
      <c r="H2471" s="1" t="s">
        <v>59</v>
      </c>
      <c r="I2471">
        <v>20</v>
      </c>
      <c r="J2471">
        <v>2663</v>
      </c>
      <c r="K2471" s="1" t="s">
        <v>113</v>
      </c>
      <c r="L2471" s="1" t="s">
        <v>23</v>
      </c>
      <c r="M2471">
        <v>0</v>
      </c>
      <c r="N2471">
        <v>0</v>
      </c>
      <c r="O2471">
        <v>0</v>
      </c>
      <c r="P2471" s="2">
        <v>42644</v>
      </c>
      <c r="Q2471">
        <v>0</v>
      </c>
      <c r="R2471" s="1" t="s">
        <v>61</v>
      </c>
    </row>
    <row r="2472" spans="1:18" x14ac:dyDescent="0.25">
      <c r="A2472">
        <v>2016</v>
      </c>
      <c r="B2472">
        <v>11</v>
      </c>
      <c r="C2472" s="1" t="s">
        <v>34</v>
      </c>
      <c r="D2472" s="1" t="s">
        <v>19</v>
      </c>
      <c r="E2472" s="1" t="s">
        <v>112</v>
      </c>
      <c r="F2472">
        <v>2016</v>
      </c>
      <c r="G2472">
        <v>0</v>
      </c>
      <c r="H2472" s="1" t="s">
        <v>59</v>
      </c>
      <c r="I2472">
        <v>20</v>
      </c>
      <c r="J2472">
        <v>2663</v>
      </c>
      <c r="K2472" s="1" t="s">
        <v>113</v>
      </c>
      <c r="L2472" s="1" t="s">
        <v>23</v>
      </c>
      <c r="M2472">
        <v>0</v>
      </c>
      <c r="N2472">
        <v>0</v>
      </c>
      <c r="O2472">
        <v>0</v>
      </c>
      <c r="P2472" s="2">
        <v>42675</v>
      </c>
      <c r="Q2472">
        <v>0</v>
      </c>
      <c r="R2472" s="1" t="s">
        <v>61</v>
      </c>
    </row>
    <row r="2473" spans="1:18" x14ac:dyDescent="0.25">
      <c r="A2473">
        <v>2016</v>
      </c>
      <c r="B2473">
        <v>12</v>
      </c>
      <c r="C2473" s="1" t="s">
        <v>35</v>
      </c>
      <c r="D2473" s="1" t="s">
        <v>19</v>
      </c>
      <c r="E2473" s="1" t="s">
        <v>112</v>
      </c>
      <c r="F2473">
        <v>2016</v>
      </c>
      <c r="G2473">
        <v>0</v>
      </c>
      <c r="H2473" s="1" t="s">
        <v>59</v>
      </c>
      <c r="I2473">
        <v>20</v>
      </c>
      <c r="J2473">
        <v>2663</v>
      </c>
      <c r="K2473" s="1" t="s">
        <v>113</v>
      </c>
      <c r="L2473" s="1" t="s">
        <v>23</v>
      </c>
      <c r="M2473">
        <v>0</v>
      </c>
      <c r="N2473">
        <v>0</v>
      </c>
      <c r="O2473">
        <v>0</v>
      </c>
      <c r="P2473" s="2">
        <v>42705</v>
      </c>
      <c r="Q2473">
        <v>0</v>
      </c>
      <c r="R2473" s="1" t="s">
        <v>61</v>
      </c>
    </row>
    <row r="2474" spans="1:18" x14ac:dyDescent="0.25">
      <c r="A2474">
        <v>2016</v>
      </c>
      <c r="B2474">
        <v>1</v>
      </c>
      <c r="C2474" s="1" t="s">
        <v>18</v>
      </c>
      <c r="D2474" s="1" t="s">
        <v>19</v>
      </c>
      <c r="E2474" s="1" t="s">
        <v>114</v>
      </c>
      <c r="F2474">
        <v>2016</v>
      </c>
      <c r="G2474">
        <v>0</v>
      </c>
      <c r="H2474" s="1" t="s">
        <v>59</v>
      </c>
      <c r="I2474">
        <v>14</v>
      </c>
      <c r="J2474">
        <v>1746</v>
      </c>
      <c r="K2474" s="1" t="s">
        <v>115</v>
      </c>
      <c r="L2474" s="1" t="s">
        <v>23</v>
      </c>
      <c r="M2474">
        <v>0</v>
      </c>
      <c r="N2474">
        <v>0</v>
      </c>
      <c r="O2474">
        <v>0</v>
      </c>
      <c r="P2474" s="2">
        <v>42370</v>
      </c>
      <c r="Q2474">
        <v>0</v>
      </c>
      <c r="R2474" s="1" t="s">
        <v>61</v>
      </c>
    </row>
    <row r="2475" spans="1:18" x14ac:dyDescent="0.25">
      <c r="A2475">
        <v>2016</v>
      </c>
      <c r="B2475">
        <v>2</v>
      </c>
      <c r="C2475" s="1" t="s">
        <v>25</v>
      </c>
      <c r="D2475" s="1" t="s">
        <v>19</v>
      </c>
      <c r="E2475" s="1" t="s">
        <v>114</v>
      </c>
      <c r="F2475">
        <v>2016</v>
      </c>
      <c r="G2475">
        <v>0</v>
      </c>
      <c r="H2475" s="1" t="s">
        <v>59</v>
      </c>
      <c r="I2475">
        <v>14</v>
      </c>
      <c r="J2475">
        <v>1746</v>
      </c>
      <c r="K2475" s="1" t="s">
        <v>115</v>
      </c>
      <c r="L2475" s="1" t="s">
        <v>23</v>
      </c>
      <c r="M2475">
        <v>0</v>
      </c>
      <c r="N2475">
        <v>0</v>
      </c>
      <c r="O2475">
        <v>0</v>
      </c>
      <c r="P2475" s="2">
        <v>42401</v>
      </c>
      <c r="Q2475">
        <v>0</v>
      </c>
      <c r="R2475" s="1" t="s">
        <v>61</v>
      </c>
    </row>
    <row r="2476" spans="1:18" x14ac:dyDescent="0.25">
      <c r="A2476">
        <v>2016</v>
      </c>
      <c r="B2476">
        <v>3</v>
      </c>
      <c r="C2476" s="1" t="s">
        <v>26</v>
      </c>
      <c r="D2476" s="1" t="s">
        <v>19</v>
      </c>
      <c r="E2476" s="1" t="s">
        <v>114</v>
      </c>
      <c r="F2476">
        <v>2016</v>
      </c>
      <c r="G2476">
        <v>0</v>
      </c>
      <c r="H2476" s="1" t="s">
        <v>59</v>
      </c>
      <c r="I2476">
        <v>14</v>
      </c>
      <c r="J2476">
        <v>1746</v>
      </c>
      <c r="K2476" s="1" t="s">
        <v>115</v>
      </c>
      <c r="L2476" s="1" t="s">
        <v>23</v>
      </c>
      <c r="M2476">
        <v>0</v>
      </c>
      <c r="N2476">
        <v>0</v>
      </c>
      <c r="O2476">
        <v>0</v>
      </c>
      <c r="P2476" s="2">
        <v>42430</v>
      </c>
      <c r="Q2476">
        <v>0</v>
      </c>
      <c r="R2476" s="1" t="s">
        <v>61</v>
      </c>
    </row>
    <row r="2477" spans="1:18" x14ac:dyDescent="0.25">
      <c r="A2477">
        <v>2016</v>
      </c>
      <c r="B2477">
        <v>4</v>
      </c>
      <c r="C2477" s="1" t="s">
        <v>27</v>
      </c>
      <c r="D2477" s="1" t="s">
        <v>19</v>
      </c>
      <c r="E2477" s="1" t="s">
        <v>114</v>
      </c>
      <c r="F2477">
        <v>2016</v>
      </c>
      <c r="G2477">
        <v>0</v>
      </c>
      <c r="H2477" s="1" t="s">
        <v>59</v>
      </c>
      <c r="I2477">
        <v>14</v>
      </c>
      <c r="J2477">
        <v>1746</v>
      </c>
      <c r="K2477" s="1" t="s">
        <v>115</v>
      </c>
      <c r="L2477" s="1" t="s">
        <v>23</v>
      </c>
      <c r="M2477">
        <v>0</v>
      </c>
      <c r="N2477">
        <v>0</v>
      </c>
      <c r="O2477">
        <v>0</v>
      </c>
      <c r="P2477" s="2">
        <v>42461</v>
      </c>
      <c r="Q2477">
        <v>0</v>
      </c>
      <c r="R2477" s="1" t="s">
        <v>61</v>
      </c>
    </row>
    <row r="2478" spans="1:18" x14ac:dyDescent="0.25">
      <c r="A2478">
        <v>2016</v>
      </c>
      <c r="B2478">
        <v>5</v>
      </c>
      <c r="C2478" s="1" t="s">
        <v>28</v>
      </c>
      <c r="D2478" s="1" t="s">
        <v>19</v>
      </c>
      <c r="E2478" s="1" t="s">
        <v>114</v>
      </c>
      <c r="F2478">
        <v>2016</v>
      </c>
      <c r="G2478">
        <v>0</v>
      </c>
      <c r="H2478" s="1" t="s">
        <v>59</v>
      </c>
      <c r="I2478">
        <v>14</v>
      </c>
      <c r="J2478">
        <v>1746</v>
      </c>
      <c r="K2478" s="1" t="s">
        <v>115</v>
      </c>
      <c r="L2478" s="1" t="s">
        <v>23</v>
      </c>
      <c r="M2478">
        <v>0</v>
      </c>
      <c r="N2478">
        <v>0</v>
      </c>
      <c r="O2478">
        <v>0</v>
      </c>
      <c r="P2478" s="2">
        <v>42491</v>
      </c>
      <c r="Q2478">
        <v>0</v>
      </c>
      <c r="R2478" s="1" t="s">
        <v>61</v>
      </c>
    </row>
    <row r="2479" spans="1:18" x14ac:dyDescent="0.25">
      <c r="A2479">
        <v>2016</v>
      </c>
      <c r="B2479">
        <v>6</v>
      </c>
      <c r="C2479" s="1" t="s">
        <v>29</v>
      </c>
      <c r="D2479" s="1" t="s">
        <v>19</v>
      </c>
      <c r="E2479" s="1" t="s">
        <v>114</v>
      </c>
      <c r="F2479">
        <v>2016</v>
      </c>
      <c r="G2479">
        <v>0</v>
      </c>
      <c r="H2479" s="1" t="s">
        <v>59</v>
      </c>
      <c r="I2479">
        <v>14</v>
      </c>
      <c r="J2479">
        <v>1746</v>
      </c>
      <c r="K2479" s="1" t="s">
        <v>115</v>
      </c>
      <c r="L2479" s="1" t="s">
        <v>23</v>
      </c>
      <c r="M2479">
        <v>0</v>
      </c>
      <c r="N2479">
        <v>0</v>
      </c>
      <c r="O2479">
        <v>0</v>
      </c>
      <c r="P2479" s="2">
        <v>42522</v>
      </c>
      <c r="Q2479">
        <v>0</v>
      </c>
      <c r="R2479" s="1" t="s">
        <v>61</v>
      </c>
    </row>
    <row r="2480" spans="1:18" x14ac:dyDescent="0.25">
      <c r="A2480">
        <v>2016</v>
      </c>
      <c r="B2480">
        <v>7</v>
      </c>
      <c r="C2480" s="1" t="s">
        <v>30</v>
      </c>
      <c r="D2480" s="1" t="s">
        <v>19</v>
      </c>
      <c r="E2480" s="1" t="s">
        <v>114</v>
      </c>
      <c r="F2480">
        <v>2016</v>
      </c>
      <c r="G2480">
        <v>0</v>
      </c>
      <c r="H2480" s="1" t="s">
        <v>59</v>
      </c>
      <c r="I2480">
        <v>14</v>
      </c>
      <c r="J2480">
        <v>1746</v>
      </c>
      <c r="K2480" s="1" t="s">
        <v>115</v>
      </c>
      <c r="L2480" s="1" t="s">
        <v>23</v>
      </c>
      <c r="M2480">
        <v>0</v>
      </c>
      <c r="N2480">
        <v>0</v>
      </c>
      <c r="O2480">
        <v>0</v>
      </c>
      <c r="P2480" s="2">
        <v>42552</v>
      </c>
      <c r="Q2480">
        <v>0</v>
      </c>
      <c r="R2480" s="1" t="s">
        <v>61</v>
      </c>
    </row>
    <row r="2481" spans="1:18" x14ac:dyDescent="0.25">
      <c r="A2481">
        <v>2016</v>
      </c>
      <c r="B2481">
        <v>8</v>
      </c>
      <c r="C2481" s="1" t="s">
        <v>31</v>
      </c>
      <c r="D2481" s="1" t="s">
        <v>19</v>
      </c>
      <c r="E2481" s="1" t="s">
        <v>114</v>
      </c>
      <c r="F2481">
        <v>2016</v>
      </c>
      <c r="G2481">
        <v>0</v>
      </c>
      <c r="H2481" s="1" t="s">
        <v>59</v>
      </c>
      <c r="I2481">
        <v>14</v>
      </c>
      <c r="J2481">
        <v>1746</v>
      </c>
      <c r="K2481" s="1" t="s">
        <v>115</v>
      </c>
      <c r="L2481" s="1" t="s">
        <v>23</v>
      </c>
      <c r="M2481">
        <v>0</v>
      </c>
      <c r="N2481">
        <v>0</v>
      </c>
      <c r="O2481">
        <v>0</v>
      </c>
      <c r="P2481" s="2">
        <v>42583</v>
      </c>
      <c r="Q2481">
        <v>0</v>
      </c>
      <c r="R2481" s="1" t="s">
        <v>61</v>
      </c>
    </row>
    <row r="2482" spans="1:18" x14ac:dyDescent="0.25">
      <c r="A2482">
        <v>2016</v>
      </c>
      <c r="B2482">
        <v>9</v>
      </c>
      <c r="C2482" s="1" t="s">
        <v>32</v>
      </c>
      <c r="D2482" s="1" t="s">
        <v>19</v>
      </c>
      <c r="E2482" s="1" t="s">
        <v>114</v>
      </c>
      <c r="F2482">
        <v>2016</v>
      </c>
      <c r="G2482">
        <v>0</v>
      </c>
      <c r="H2482" s="1" t="s">
        <v>59</v>
      </c>
      <c r="I2482">
        <v>14</v>
      </c>
      <c r="J2482">
        <v>1746</v>
      </c>
      <c r="K2482" s="1" t="s">
        <v>115</v>
      </c>
      <c r="L2482" s="1" t="s">
        <v>23</v>
      </c>
      <c r="M2482">
        <v>0</v>
      </c>
      <c r="N2482">
        <v>0</v>
      </c>
      <c r="O2482">
        <v>0</v>
      </c>
      <c r="P2482" s="2">
        <v>42614</v>
      </c>
      <c r="Q2482">
        <v>0</v>
      </c>
      <c r="R2482" s="1" t="s">
        <v>61</v>
      </c>
    </row>
    <row r="2483" spans="1:18" x14ac:dyDescent="0.25">
      <c r="A2483">
        <v>2016</v>
      </c>
      <c r="B2483">
        <v>10</v>
      </c>
      <c r="C2483" s="1" t="s">
        <v>33</v>
      </c>
      <c r="D2483" s="1" t="s">
        <v>19</v>
      </c>
      <c r="E2483" s="1" t="s">
        <v>114</v>
      </c>
      <c r="F2483">
        <v>2016</v>
      </c>
      <c r="G2483">
        <v>0</v>
      </c>
      <c r="H2483" s="1" t="s">
        <v>59</v>
      </c>
      <c r="I2483">
        <v>14</v>
      </c>
      <c r="J2483">
        <v>1746</v>
      </c>
      <c r="K2483" s="1" t="s">
        <v>115</v>
      </c>
      <c r="L2483" s="1" t="s">
        <v>23</v>
      </c>
      <c r="M2483">
        <v>0</v>
      </c>
      <c r="N2483">
        <v>0</v>
      </c>
      <c r="O2483">
        <v>0</v>
      </c>
      <c r="P2483" s="2">
        <v>42644</v>
      </c>
      <c r="Q2483">
        <v>0</v>
      </c>
      <c r="R2483" s="1" t="s">
        <v>61</v>
      </c>
    </row>
    <row r="2484" spans="1:18" x14ac:dyDescent="0.25">
      <c r="A2484">
        <v>2016</v>
      </c>
      <c r="B2484">
        <v>11</v>
      </c>
      <c r="C2484" s="1" t="s">
        <v>34</v>
      </c>
      <c r="D2484" s="1" t="s">
        <v>19</v>
      </c>
      <c r="E2484" s="1" t="s">
        <v>114</v>
      </c>
      <c r="F2484">
        <v>2016</v>
      </c>
      <c r="G2484">
        <v>0</v>
      </c>
      <c r="H2484" s="1" t="s">
        <v>59</v>
      </c>
      <c r="I2484">
        <v>14</v>
      </c>
      <c r="J2484">
        <v>1746</v>
      </c>
      <c r="K2484" s="1" t="s">
        <v>115</v>
      </c>
      <c r="L2484" s="1" t="s">
        <v>23</v>
      </c>
      <c r="M2484">
        <v>0</v>
      </c>
      <c r="N2484">
        <v>0</v>
      </c>
      <c r="O2484">
        <v>0</v>
      </c>
      <c r="P2484" s="2">
        <v>42675</v>
      </c>
      <c r="Q2484">
        <v>0</v>
      </c>
      <c r="R2484" s="1" t="s">
        <v>61</v>
      </c>
    </row>
    <row r="2485" spans="1:18" x14ac:dyDescent="0.25">
      <c r="A2485">
        <v>2016</v>
      </c>
      <c r="B2485">
        <v>12</v>
      </c>
      <c r="C2485" s="1" t="s">
        <v>35</v>
      </c>
      <c r="D2485" s="1" t="s">
        <v>19</v>
      </c>
      <c r="E2485" s="1" t="s">
        <v>114</v>
      </c>
      <c r="F2485">
        <v>2016</v>
      </c>
      <c r="G2485">
        <v>0</v>
      </c>
      <c r="H2485" s="1" t="s">
        <v>59</v>
      </c>
      <c r="I2485">
        <v>14</v>
      </c>
      <c r="J2485">
        <v>1746</v>
      </c>
      <c r="K2485" s="1" t="s">
        <v>115</v>
      </c>
      <c r="L2485" s="1" t="s">
        <v>23</v>
      </c>
      <c r="M2485">
        <v>0</v>
      </c>
      <c r="N2485">
        <v>0</v>
      </c>
      <c r="O2485">
        <v>0</v>
      </c>
      <c r="P2485" s="2">
        <v>42705</v>
      </c>
      <c r="Q2485">
        <v>0</v>
      </c>
      <c r="R2485" s="1" t="s">
        <v>61</v>
      </c>
    </row>
    <row r="2486" spans="1:18" x14ac:dyDescent="0.25">
      <c r="A2486">
        <v>2016</v>
      </c>
      <c r="B2486">
        <v>1</v>
      </c>
      <c r="C2486" s="1" t="s">
        <v>18</v>
      </c>
      <c r="D2486" s="1" t="s">
        <v>19</v>
      </c>
      <c r="E2486" s="1" t="s">
        <v>116</v>
      </c>
      <c r="F2486">
        <v>2016</v>
      </c>
      <c r="G2486">
        <v>0</v>
      </c>
      <c r="H2486" s="1" t="s">
        <v>59</v>
      </c>
      <c r="I2486">
        <v>24</v>
      </c>
      <c r="J2486">
        <v>3377</v>
      </c>
      <c r="K2486" s="1" t="s">
        <v>103</v>
      </c>
      <c r="L2486" s="1" t="s">
        <v>23</v>
      </c>
      <c r="M2486">
        <v>0</v>
      </c>
      <c r="N2486">
        <v>0</v>
      </c>
      <c r="O2486">
        <v>0</v>
      </c>
      <c r="P2486" s="2">
        <v>42370</v>
      </c>
      <c r="Q2486">
        <v>0</v>
      </c>
      <c r="R2486" s="1" t="s">
        <v>61</v>
      </c>
    </row>
    <row r="2487" spans="1:18" x14ac:dyDescent="0.25">
      <c r="A2487">
        <v>2016</v>
      </c>
      <c r="B2487">
        <v>2</v>
      </c>
      <c r="C2487" s="1" t="s">
        <v>25</v>
      </c>
      <c r="D2487" s="1" t="s">
        <v>19</v>
      </c>
      <c r="E2487" s="1" t="s">
        <v>116</v>
      </c>
      <c r="F2487">
        <v>2016</v>
      </c>
      <c r="G2487">
        <v>0</v>
      </c>
      <c r="H2487" s="1" t="s">
        <v>59</v>
      </c>
      <c r="I2487">
        <v>24</v>
      </c>
      <c r="J2487">
        <v>3377</v>
      </c>
      <c r="K2487" s="1" t="s">
        <v>103</v>
      </c>
      <c r="L2487" s="1" t="s">
        <v>23</v>
      </c>
      <c r="M2487">
        <v>0</v>
      </c>
      <c r="N2487">
        <v>0</v>
      </c>
      <c r="O2487">
        <v>0</v>
      </c>
      <c r="P2487" s="2">
        <v>42401</v>
      </c>
      <c r="Q2487">
        <v>0</v>
      </c>
      <c r="R2487" s="1" t="s">
        <v>61</v>
      </c>
    </row>
    <row r="2488" spans="1:18" x14ac:dyDescent="0.25">
      <c r="A2488">
        <v>2016</v>
      </c>
      <c r="B2488">
        <v>3</v>
      </c>
      <c r="C2488" s="1" t="s">
        <v>26</v>
      </c>
      <c r="D2488" s="1" t="s">
        <v>19</v>
      </c>
      <c r="E2488" s="1" t="s">
        <v>116</v>
      </c>
      <c r="F2488">
        <v>2016</v>
      </c>
      <c r="G2488">
        <v>0</v>
      </c>
      <c r="H2488" s="1" t="s">
        <v>59</v>
      </c>
      <c r="I2488">
        <v>24</v>
      </c>
      <c r="J2488">
        <v>3377</v>
      </c>
      <c r="K2488" s="1" t="s">
        <v>103</v>
      </c>
      <c r="L2488" s="1" t="s">
        <v>23</v>
      </c>
      <c r="M2488">
        <v>0</v>
      </c>
      <c r="N2488">
        <v>0</v>
      </c>
      <c r="O2488">
        <v>0</v>
      </c>
      <c r="P2488" s="2">
        <v>42430</v>
      </c>
      <c r="Q2488">
        <v>0</v>
      </c>
      <c r="R2488" s="1" t="s">
        <v>61</v>
      </c>
    </row>
    <row r="2489" spans="1:18" x14ac:dyDescent="0.25">
      <c r="A2489">
        <v>2016</v>
      </c>
      <c r="B2489">
        <v>4</v>
      </c>
      <c r="C2489" s="1" t="s">
        <v>27</v>
      </c>
      <c r="D2489" s="1" t="s">
        <v>19</v>
      </c>
      <c r="E2489" s="1" t="s">
        <v>116</v>
      </c>
      <c r="F2489">
        <v>2016</v>
      </c>
      <c r="G2489">
        <v>0</v>
      </c>
      <c r="H2489" s="1" t="s">
        <v>59</v>
      </c>
      <c r="I2489">
        <v>24</v>
      </c>
      <c r="J2489">
        <v>3377</v>
      </c>
      <c r="K2489" s="1" t="s">
        <v>103</v>
      </c>
      <c r="L2489" s="1" t="s">
        <v>23</v>
      </c>
      <c r="M2489">
        <v>0</v>
      </c>
      <c r="N2489">
        <v>0</v>
      </c>
      <c r="O2489">
        <v>0</v>
      </c>
      <c r="P2489" s="2">
        <v>42461</v>
      </c>
      <c r="Q2489">
        <v>0</v>
      </c>
      <c r="R2489" s="1" t="s">
        <v>61</v>
      </c>
    </row>
    <row r="2490" spans="1:18" x14ac:dyDescent="0.25">
      <c r="A2490">
        <v>2016</v>
      </c>
      <c r="B2490">
        <v>5</v>
      </c>
      <c r="C2490" s="1" t="s">
        <v>28</v>
      </c>
      <c r="D2490" s="1" t="s">
        <v>19</v>
      </c>
      <c r="E2490" s="1" t="s">
        <v>116</v>
      </c>
      <c r="F2490">
        <v>2016</v>
      </c>
      <c r="G2490">
        <v>0</v>
      </c>
      <c r="H2490" s="1" t="s">
        <v>59</v>
      </c>
      <c r="I2490">
        <v>24</v>
      </c>
      <c r="J2490">
        <v>3377</v>
      </c>
      <c r="K2490" s="1" t="s">
        <v>103</v>
      </c>
      <c r="L2490" s="1" t="s">
        <v>23</v>
      </c>
      <c r="M2490">
        <v>0</v>
      </c>
      <c r="N2490">
        <v>0</v>
      </c>
      <c r="O2490">
        <v>0</v>
      </c>
      <c r="P2490" s="2">
        <v>42491</v>
      </c>
      <c r="Q2490">
        <v>0</v>
      </c>
      <c r="R2490" s="1" t="s">
        <v>61</v>
      </c>
    </row>
    <row r="2491" spans="1:18" x14ac:dyDescent="0.25">
      <c r="A2491">
        <v>2016</v>
      </c>
      <c r="B2491">
        <v>6</v>
      </c>
      <c r="C2491" s="1" t="s">
        <v>29</v>
      </c>
      <c r="D2491" s="1" t="s">
        <v>19</v>
      </c>
      <c r="E2491" s="1" t="s">
        <v>116</v>
      </c>
      <c r="F2491">
        <v>2016</v>
      </c>
      <c r="G2491">
        <v>0</v>
      </c>
      <c r="H2491" s="1" t="s">
        <v>59</v>
      </c>
      <c r="I2491">
        <v>24</v>
      </c>
      <c r="J2491">
        <v>3377</v>
      </c>
      <c r="K2491" s="1" t="s">
        <v>103</v>
      </c>
      <c r="L2491" s="1" t="s">
        <v>23</v>
      </c>
      <c r="M2491">
        <v>0</v>
      </c>
      <c r="N2491">
        <v>0</v>
      </c>
      <c r="O2491">
        <v>0</v>
      </c>
      <c r="P2491" s="2">
        <v>42522</v>
      </c>
      <c r="Q2491">
        <v>0</v>
      </c>
      <c r="R2491" s="1" t="s">
        <v>61</v>
      </c>
    </row>
    <row r="2492" spans="1:18" x14ac:dyDescent="0.25">
      <c r="A2492">
        <v>2016</v>
      </c>
      <c r="B2492">
        <v>7</v>
      </c>
      <c r="C2492" s="1" t="s">
        <v>30</v>
      </c>
      <c r="D2492" s="1" t="s">
        <v>19</v>
      </c>
      <c r="E2492" s="1" t="s">
        <v>116</v>
      </c>
      <c r="F2492">
        <v>2016</v>
      </c>
      <c r="G2492">
        <v>0</v>
      </c>
      <c r="H2492" s="1" t="s">
        <v>59</v>
      </c>
      <c r="I2492">
        <v>24</v>
      </c>
      <c r="J2492">
        <v>3377</v>
      </c>
      <c r="K2492" s="1" t="s">
        <v>103</v>
      </c>
      <c r="L2492" s="1" t="s">
        <v>23</v>
      </c>
      <c r="M2492">
        <v>0</v>
      </c>
      <c r="N2492">
        <v>0</v>
      </c>
      <c r="O2492">
        <v>0</v>
      </c>
      <c r="P2492" s="2">
        <v>42552</v>
      </c>
      <c r="Q2492">
        <v>0</v>
      </c>
      <c r="R2492" s="1" t="s">
        <v>61</v>
      </c>
    </row>
    <row r="2493" spans="1:18" x14ac:dyDescent="0.25">
      <c r="A2493">
        <v>2016</v>
      </c>
      <c r="B2493">
        <v>8</v>
      </c>
      <c r="C2493" s="1" t="s">
        <v>31</v>
      </c>
      <c r="D2493" s="1" t="s">
        <v>19</v>
      </c>
      <c r="E2493" s="1" t="s">
        <v>116</v>
      </c>
      <c r="F2493">
        <v>2016</v>
      </c>
      <c r="G2493">
        <v>0</v>
      </c>
      <c r="H2493" s="1" t="s">
        <v>59</v>
      </c>
      <c r="I2493">
        <v>24</v>
      </c>
      <c r="J2493">
        <v>3377</v>
      </c>
      <c r="K2493" s="1" t="s">
        <v>103</v>
      </c>
      <c r="L2493" s="1" t="s">
        <v>23</v>
      </c>
      <c r="M2493">
        <v>0</v>
      </c>
      <c r="N2493">
        <v>0</v>
      </c>
      <c r="O2493">
        <v>0</v>
      </c>
      <c r="P2493" s="2">
        <v>42583</v>
      </c>
      <c r="Q2493">
        <v>0</v>
      </c>
      <c r="R2493" s="1" t="s">
        <v>61</v>
      </c>
    </row>
    <row r="2494" spans="1:18" x14ac:dyDescent="0.25">
      <c r="A2494">
        <v>2016</v>
      </c>
      <c r="B2494">
        <v>9</v>
      </c>
      <c r="C2494" s="1" t="s">
        <v>32</v>
      </c>
      <c r="D2494" s="1" t="s">
        <v>19</v>
      </c>
      <c r="E2494" s="1" t="s">
        <v>116</v>
      </c>
      <c r="F2494">
        <v>2016</v>
      </c>
      <c r="G2494">
        <v>0</v>
      </c>
      <c r="H2494" s="1" t="s">
        <v>59</v>
      </c>
      <c r="I2494">
        <v>24</v>
      </c>
      <c r="J2494">
        <v>3377</v>
      </c>
      <c r="K2494" s="1" t="s">
        <v>103</v>
      </c>
      <c r="L2494" s="1" t="s">
        <v>23</v>
      </c>
      <c r="M2494">
        <v>0</v>
      </c>
      <c r="N2494">
        <v>0</v>
      </c>
      <c r="O2494">
        <v>0</v>
      </c>
      <c r="P2494" s="2">
        <v>42614</v>
      </c>
      <c r="Q2494">
        <v>0</v>
      </c>
      <c r="R2494" s="1" t="s">
        <v>61</v>
      </c>
    </row>
    <row r="2495" spans="1:18" x14ac:dyDescent="0.25">
      <c r="A2495">
        <v>2016</v>
      </c>
      <c r="B2495">
        <v>10</v>
      </c>
      <c r="C2495" s="1" t="s">
        <v>33</v>
      </c>
      <c r="D2495" s="1" t="s">
        <v>19</v>
      </c>
      <c r="E2495" s="1" t="s">
        <v>116</v>
      </c>
      <c r="F2495">
        <v>2016</v>
      </c>
      <c r="G2495">
        <v>0</v>
      </c>
      <c r="H2495" s="1" t="s">
        <v>59</v>
      </c>
      <c r="I2495">
        <v>24</v>
      </c>
      <c r="J2495">
        <v>3377</v>
      </c>
      <c r="K2495" s="1" t="s">
        <v>103</v>
      </c>
      <c r="L2495" s="1" t="s">
        <v>23</v>
      </c>
      <c r="M2495">
        <v>0</v>
      </c>
      <c r="N2495">
        <v>0</v>
      </c>
      <c r="O2495">
        <v>0</v>
      </c>
      <c r="P2495" s="2">
        <v>42644</v>
      </c>
      <c r="Q2495">
        <v>0</v>
      </c>
      <c r="R2495" s="1" t="s">
        <v>61</v>
      </c>
    </row>
    <row r="2496" spans="1:18" x14ac:dyDescent="0.25">
      <c r="A2496">
        <v>2016</v>
      </c>
      <c r="B2496">
        <v>11</v>
      </c>
      <c r="C2496" s="1" t="s">
        <v>34</v>
      </c>
      <c r="D2496" s="1" t="s">
        <v>19</v>
      </c>
      <c r="E2496" s="1" t="s">
        <v>116</v>
      </c>
      <c r="F2496">
        <v>2016</v>
      </c>
      <c r="G2496">
        <v>0</v>
      </c>
      <c r="H2496" s="1" t="s">
        <v>59</v>
      </c>
      <c r="I2496">
        <v>24</v>
      </c>
      <c r="J2496">
        <v>3377</v>
      </c>
      <c r="K2496" s="1" t="s">
        <v>103</v>
      </c>
      <c r="L2496" s="1" t="s">
        <v>23</v>
      </c>
      <c r="M2496">
        <v>0</v>
      </c>
      <c r="N2496">
        <v>0</v>
      </c>
      <c r="O2496">
        <v>0</v>
      </c>
      <c r="P2496" s="2">
        <v>42675</v>
      </c>
      <c r="Q2496">
        <v>0</v>
      </c>
      <c r="R2496" s="1" t="s">
        <v>61</v>
      </c>
    </row>
    <row r="2497" spans="1:18" x14ac:dyDescent="0.25">
      <c r="A2497">
        <v>2016</v>
      </c>
      <c r="B2497">
        <v>12</v>
      </c>
      <c r="C2497" s="1" t="s">
        <v>35</v>
      </c>
      <c r="D2497" s="1" t="s">
        <v>19</v>
      </c>
      <c r="E2497" s="1" t="s">
        <v>116</v>
      </c>
      <c r="F2497">
        <v>2016</v>
      </c>
      <c r="G2497">
        <v>0</v>
      </c>
      <c r="H2497" s="1" t="s">
        <v>59</v>
      </c>
      <c r="I2497">
        <v>24</v>
      </c>
      <c r="J2497">
        <v>3377</v>
      </c>
      <c r="K2497" s="1" t="s">
        <v>103</v>
      </c>
      <c r="L2497" s="1" t="s">
        <v>23</v>
      </c>
      <c r="M2497">
        <v>0</v>
      </c>
      <c r="N2497">
        <v>0</v>
      </c>
      <c r="O2497">
        <v>0</v>
      </c>
      <c r="P2497" s="2">
        <v>42705</v>
      </c>
      <c r="Q2497">
        <v>0</v>
      </c>
      <c r="R2497" s="1" t="s">
        <v>61</v>
      </c>
    </row>
    <row r="2498" spans="1:18" x14ac:dyDescent="0.25">
      <c r="A2498">
        <v>2016</v>
      </c>
      <c r="B2498">
        <v>1</v>
      </c>
      <c r="C2498" s="1" t="s">
        <v>18</v>
      </c>
      <c r="D2498" s="1" t="s">
        <v>19</v>
      </c>
      <c r="E2498" s="1" t="s">
        <v>117</v>
      </c>
      <c r="F2498">
        <v>2016</v>
      </c>
      <c r="G2498">
        <v>0</v>
      </c>
      <c r="H2498" s="1" t="s">
        <v>59</v>
      </c>
      <c r="I2498">
        <v>25</v>
      </c>
      <c r="J2498">
        <v>3431</v>
      </c>
      <c r="K2498" s="1" t="s">
        <v>118</v>
      </c>
      <c r="L2498" s="1" t="s">
        <v>23</v>
      </c>
      <c r="M2498">
        <v>0</v>
      </c>
      <c r="N2498">
        <v>0</v>
      </c>
      <c r="O2498">
        <v>0</v>
      </c>
      <c r="P2498" s="2">
        <v>42370</v>
      </c>
      <c r="Q2498">
        <v>0</v>
      </c>
      <c r="R2498" s="1" t="s">
        <v>61</v>
      </c>
    </row>
    <row r="2499" spans="1:18" x14ac:dyDescent="0.25">
      <c r="A2499">
        <v>2016</v>
      </c>
      <c r="B2499">
        <v>2</v>
      </c>
      <c r="C2499" s="1" t="s">
        <v>25</v>
      </c>
      <c r="D2499" s="1" t="s">
        <v>19</v>
      </c>
      <c r="E2499" s="1" t="s">
        <v>117</v>
      </c>
      <c r="F2499">
        <v>2016</v>
      </c>
      <c r="G2499">
        <v>0</v>
      </c>
      <c r="H2499" s="1" t="s">
        <v>59</v>
      </c>
      <c r="I2499">
        <v>25</v>
      </c>
      <c r="J2499">
        <v>3431</v>
      </c>
      <c r="K2499" s="1" t="s">
        <v>118</v>
      </c>
      <c r="L2499" s="1" t="s">
        <v>23</v>
      </c>
      <c r="M2499">
        <v>0</v>
      </c>
      <c r="N2499">
        <v>0</v>
      </c>
      <c r="O2499">
        <v>0</v>
      </c>
      <c r="P2499" s="2">
        <v>42401</v>
      </c>
      <c r="Q2499">
        <v>0</v>
      </c>
      <c r="R2499" s="1" t="s">
        <v>61</v>
      </c>
    </row>
    <row r="2500" spans="1:18" x14ac:dyDescent="0.25">
      <c r="A2500">
        <v>2016</v>
      </c>
      <c r="B2500">
        <v>3</v>
      </c>
      <c r="C2500" s="1" t="s">
        <v>26</v>
      </c>
      <c r="D2500" s="1" t="s">
        <v>19</v>
      </c>
      <c r="E2500" s="1" t="s">
        <v>117</v>
      </c>
      <c r="F2500">
        <v>2016</v>
      </c>
      <c r="G2500">
        <v>0</v>
      </c>
      <c r="H2500" s="1" t="s">
        <v>59</v>
      </c>
      <c r="I2500">
        <v>25</v>
      </c>
      <c r="J2500">
        <v>3431</v>
      </c>
      <c r="K2500" s="1" t="s">
        <v>118</v>
      </c>
      <c r="L2500" s="1" t="s">
        <v>23</v>
      </c>
      <c r="M2500">
        <v>0</v>
      </c>
      <c r="N2500">
        <v>0</v>
      </c>
      <c r="O2500">
        <v>0</v>
      </c>
      <c r="P2500" s="2">
        <v>42430</v>
      </c>
      <c r="Q2500">
        <v>0</v>
      </c>
      <c r="R2500" s="1" t="s">
        <v>61</v>
      </c>
    </row>
    <row r="2501" spans="1:18" x14ac:dyDescent="0.25">
      <c r="A2501">
        <v>2016</v>
      </c>
      <c r="B2501">
        <v>4</v>
      </c>
      <c r="C2501" s="1" t="s">
        <v>27</v>
      </c>
      <c r="D2501" s="1" t="s">
        <v>19</v>
      </c>
      <c r="E2501" s="1" t="s">
        <v>117</v>
      </c>
      <c r="F2501">
        <v>2016</v>
      </c>
      <c r="G2501">
        <v>0</v>
      </c>
      <c r="H2501" s="1" t="s">
        <v>59</v>
      </c>
      <c r="I2501">
        <v>25</v>
      </c>
      <c r="J2501">
        <v>3431</v>
      </c>
      <c r="K2501" s="1" t="s">
        <v>118</v>
      </c>
      <c r="L2501" s="1" t="s">
        <v>23</v>
      </c>
      <c r="M2501">
        <v>0</v>
      </c>
      <c r="N2501">
        <v>0</v>
      </c>
      <c r="O2501">
        <v>0</v>
      </c>
      <c r="P2501" s="2">
        <v>42461</v>
      </c>
      <c r="Q2501">
        <v>0</v>
      </c>
      <c r="R2501" s="1" t="s">
        <v>61</v>
      </c>
    </row>
    <row r="2502" spans="1:18" x14ac:dyDescent="0.25">
      <c r="A2502">
        <v>2016</v>
      </c>
      <c r="B2502">
        <v>5</v>
      </c>
      <c r="C2502" s="1" t="s">
        <v>28</v>
      </c>
      <c r="D2502" s="1" t="s">
        <v>19</v>
      </c>
      <c r="E2502" s="1" t="s">
        <v>117</v>
      </c>
      <c r="F2502">
        <v>2016</v>
      </c>
      <c r="G2502">
        <v>0</v>
      </c>
      <c r="H2502" s="1" t="s">
        <v>59</v>
      </c>
      <c r="I2502">
        <v>25</v>
      </c>
      <c r="J2502">
        <v>3431</v>
      </c>
      <c r="K2502" s="1" t="s">
        <v>118</v>
      </c>
      <c r="L2502" s="1" t="s">
        <v>23</v>
      </c>
      <c r="M2502">
        <v>0</v>
      </c>
      <c r="N2502">
        <v>0</v>
      </c>
      <c r="O2502">
        <v>0</v>
      </c>
      <c r="P2502" s="2">
        <v>42491</v>
      </c>
      <c r="Q2502">
        <v>0</v>
      </c>
      <c r="R2502" s="1" t="s">
        <v>61</v>
      </c>
    </row>
    <row r="2503" spans="1:18" x14ac:dyDescent="0.25">
      <c r="A2503">
        <v>2016</v>
      </c>
      <c r="B2503">
        <v>6</v>
      </c>
      <c r="C2503" s="1" t="s">
        <v>29</v>
      </c>
      <c r="D2503" s="1" t="s">
        <v>19</v>
      </c>
      <c r="E2503" s="1" t="s">
        <v>117</v>
      </c>
      <c r="F2503">
        <v>2016</v>
      </c>
      <c r="G2503">
        <v>0</v>
      </c>
      <c r="H2503" s="1" t="s">
        <v>59</v>
      </c>
      <c r="I2503">
        <v>25</v>
      </c>
      <c r="J2503">
        <v>3431</v>
      </c>
      <c r="K2503" s="1" t="s">
        <v>118</v>
      </c>
      <c r="L2503" s="1" t="s">
        <v>23</v>
      </c>
      <c r="M2503">
        <v>0</v>
      </c>
      <c r="N2503">
        <v>0</v>
      </c>
      <c r="O2503">
        <v>0</v>
      </c>
      <c r="P2503" s="2">
        <v>42522</v>
      </c>
      <c r="Q2503">
        <v>0</v>
      </c>
      <c r="R2503" s="1" t="s">
        <v>61</v>
      </c>
    </row>
    <row r="2504" spans="1:18" x14ac:dyDescent="0.25">
      <c r="A2504">
        <v>2016</v>
      </c>
      <c r="B2504">
        <v>7</v>
      </c>
      <c r="C2504" s="1" t="s">
        <v>30</v>
      </c>
      <c r="D2504" s="1" t="s">
        <v>19</v>
      </c>
      <c r="E2504" s="1" t="s">
        <v>117</v>
      </c>
      <c r="F2504">
        <v>2016</v>
      </c>
      <c r="G2504">
        <v>0</v>
      </c>
      <c r="H2504" s="1" t="s">
        <v>59</v>
      </c>
      <c r="I2504">
        <v>25</v>
      </c>
      <c r="J2504">
        <v>3431</v>
      </c>
      <c r="K2504" s="1" t="s">
        <v>118</v>
      </c>
      <c r="L2504" s="1" t="s">
        <v>23</v>
      </c>
      <c r="M2504">
        <v>0</v>
      </c>
      <c r="N2504">
        <v>0</v>
      </c>
      <c r="O2504">
        <v>0</v>
      </c>
      <c r="P2504" s="2">
        <v>42552</v>
      </c>
      <c r="Q2504">
        <v>0</v>
      </c>
      <c r="R2504" s="1" t="s">
        <v>61</v>
      </c>
    </row>
    <row r="2505" spans="1:18" x14ac:dyDescent="0.25">
      <c r="A2505">
        <v>2016</v>
      </c>
      <c r="B2505">
        <v>8</v>
      </c>
      <c r="C2505" s="1" t="s">
        <v>31</v>
      </c>
      <c r="D2505" s="1" t="s">
        <v>19</v>
      </c>
      <c r="E2505" s="1" t="s">
        <v>117</v>
      </c>
      <c r="F2505">
        <v>2016</v>
      </c>
      <c r="G2505">
        <v>0</v>
      </c>
      <c r="H2505" s="1" t="s">
        <v>59</v>
      </c>
      <c r="I2505">
        <v>25</v>
      </c>
      <c r="J2505">
        <v>3431</v>
      </c>
      <c r="K2505" s="1" t="s">
        <v>118</v>
      </c>
      <c r="L2505" s="1" t="s">
        <v>23</v>
      </c>
      <c r="M2505">
        <v>0</v>
      </c>
      <c r="N2505">
        <v>0</v>
      </c>
      <c r="O2505">
        <v>0</v>
      </c>
      <c r="P2505" s="2">
        <v>42583</v>
      </c>
      <c r="Q2505">
        <v>0</v>
      </c>
      <c r="R2505" s="1" t="s">
        <v>61</v>
      </c>
    </row>
    <row r="2506" spans="1:18" x14ac:dyDescent="0.25">
      <c r="A2506">
        <v>2016</v>
      </c>
      <c r="B2506">
        <v>9</v>
      </c>
      <c r="C2506" s="1" t="s">
        <v>32</v>
      </c>
      <c r="D2506" s="1" t="s">
        <v>19</v>
      </c>
      <c r="E2506" s="1" t="s">
        <v>117</v>
      </c>
      <c r="F2506">
        <v>2016</v>
      </c>
      <c r="G2506">
        <v>0</v>
      </c>
      <c r="H2506" s="1" t="s">
        <v>59</v>
      </c>
      <c r="I2506">
        <v>25</v>
      </c>
      <c r="J2506">
        <v>3431</v>
      </c>
      <c r="K2506" s="1" t="s">
        <v>118</v>
      </c>
      <c r="L2506" s="1" t="s">
        <v>23</v>
      </c>
      <c r="M2506">
        <v>0</v>
      </c>
      <c r="N2506">
        <v>0</v>
      </c>
      <c r="O2506">
        <v>0</v>
      </c>
      <c r="P2506" s="2">
        <v>42614</v>
      </c>
      <c r="Q2506">
        <v>0</v>
      </c>
      <c r="R2506" s="1" t="s">
        <v>61</v>
      </c>
    </row>
    <row r="2507" spans="1:18" x14ac:dyDescent="0.25">
      <c r="A2507">
        <v>2016</v>
      </c>
      <c r="B2507">
        <v>10</v>
      </c>
      <c r="C2507" s="1" t="s">
        <v>33</v>
      </c>
      <c r="D2507" s="1" t="s">
        <v>19</v>
      </c>
      <c r="E2507" s="1" t="s">
        <v>117</v>
      </c>
      <c r="F2507">
        <v>2016</v>
      </c>
      <c r="G2507">
        <v>0</v>
      </c>
      <c r="H2507" s="1" t="s">
        <v>59</v>
      </c>
      <c r="I2507">
        <v>25</v>
      </c>
      <c r="J2507">
        <v>3431</v>
      </c>
      <c r="K2507" s="1" t="s">
        <v>118</v>
      </c>
      <c r="L2507" s="1" t="s">
        <v>23</v>
      </c>
      <c r="M2507">
        <v>0</v>
      </c>
      <c r="N2507">
        <v>0</v>
      </c>
      <c r="O2507">
        <v>0</v>
      </c>
      <c r="P2507" s="2">
        <v>42644</v>
      </c>
      <c r="Q2507">
        <v>0</v>
      </c>
      <c r="R2507" s="1" t="s">
        <v>61</v>
      </c>
    </row>
    <row r="2508" spans="1:18" x14ac:dyDescent="0.25">
      <c r="A2508">
        <v>2016</v>
      </c>
      <c r="B2508">
        <v>11</v>
      </c>
      <c r="C2508" s="1" t="s">
        <v>34</v>
      </c>
      <c r="D2508" s="1" t="s">
        <v>19</v>
      </c>
      <c r="E2508" s="1" t="s">
        <v>117</v>
      </c>
      <c r="F2508">
        <v>2016</v>
      </c>
      <c r="G2508">
        <v>0</v>
      </c>
      <c r="H2508" s="1" t="s">
        <v>59</v>
      </c>
      <c r="I2508">
        <v>25</v>
      </c>
      <c r="J2508">
        <v>3431</v>
      </c>
      <c r="K2508" s="1" t="s">
        <v>118</v>
      </c>
      <c r="L2508" s="1" t="s">
        <v>23</v>
      </c>
      <c r="M2508">
        <v>0</v>
      </c>
      <c r="N2508">
        <v>0</v>
      </c>
      <c r="O2508">
        <v>0</v>
      </c>
      <c r="P2508" s="2">
        <v>42675</v>
      </c>
      <c r="Q2508">
        <v>0</v>
      </c>
      <c r="R2508" s="1" t="s">
        <v>61</v>
      </c>
    </row>
    <row r="2509" spans="1:18" x14ac:dyDescent="0.25">
      <c r="A2509">
        <v>2016</v>
      </c>
      <c r="B2509">
        <v>12</v>
      </c>
      <c r="C2509" s="1" t="s">
        <v>35</v>
      </c>
      <c r="D2509" s="1" t="s">
        <v>19</v>
      </c>
      <c r="E2509" s="1" t="s">
        <v>117</v>
      </c>
      <c r="F2509">
        <v>2016</v>
      </c>
      <c r="G2509">
        <v>0</v>
      </c>
      <c r="H2509" s="1" t="s">
        <v>59</v>
      </c>
      <c r="I2509">
        <v>25</v>
      </c>
      <c r="J2509">
        <v>3431</v>
      </c>
      <c r="K2509" s="1" t="s">
        <v>118</v>
      </c>
      <c r="L2509" s="1" t="s">
        <v>23</v>
      </c>
      <c r="M2509">
        <v>0</v>
      </c>
      <c r="N2509">
        <v>0</v>
      </c>
      <c r="O2509">
        <v>0</v>
      </c>
      <c r="P2509" s="2">
        <v>42705</v>
      </c>
      <c r="Q2509">
        <v>0</v>
      </c>
      <c r="R2509" s="1" t="s">
        <v>61</v>
      </c>
    </row>
    <row r="2510" spans="1:18" x14ac:dyDescent="0.25">
      <c r="A2510">
        <v>2016</v>
      </c>
      <c r="B2510">
        <v>1</v>
      </c>
      <c r="C2510" s="1" t="s">
        <v>18</v>
      </c>
      <c r="D2510" s="1" t="s">
        <v>19</v>
      </c>
      <c r="E2510" s="1" t="s">
        <v>119</v>
      </c>
      <c r="F2510">
        <v>2016</v>
      </c>
      <c r="G2510">
        <v>0</v>
      </c>
      <c r="H2510" s="1" t="s">
        <v>59</v>
      </c>
      <c r="I2510">
        <v>21</v>
      </c>
      <c r="J2510">
        <v>2901</v>
      </c>
      <c r="K2510" s="1" t="s">
        <v>120</v>
      </c>
      <c r="L2510" s="1" t="s">
        <v>23</v>
      </c>
      <c r="M2510">
        <v>0</v>
      </c>
      <c r="N2510">
        <v>0</v>
      </c>
      <c r="O2510">
        <v>0</v>
      </c>
      <c r="P2510" s="2">
        <v>42370</v>
      </c>
      <c r="Q2510">
        <v>0</v>
      </c>
      <c r="R2510" s="1" t="s">
        <v>61</v>
      </c>
    </row>
    <row r="2511" spans="1:18" x14ac:dyDescent="0.25">
      <c r="A2511">
        <v>2016</v>
      </c>
      <c r="B2511">
        <v>2</v>
      </c>
      <c r="C2511" s="1" t="s">
        <v>25</v>
      </c>
      <c r="D2511" s="1" t="s">
        <v>19</v>
      </c>
      <c r="E2511" s="1" t="s">
        <v>119</v>
      </c>
      <c r="F2511">
        <v>2016</v>
      </c>
      <c r="G2511">
        <v>0</v>
      </c>
      <c r="H2511" s="1" t="s">
        <v>59</v>
      </c>
      <c r="I2511">
        <v>21</v>
      </c>
      <c r="J2511">
        <v>2901</v>
      </c>
      <c r="K2511" s="1" t="s">
        <v>120</v>
      </c>
      <c r="L2511" s="1" t="s">
        <v>23</v>
      </c>
      <c r="M2511">
        <v>0</v>
      </c>
      <c r="N2511">
        <v>0</v>
      </c>
      <c r="O2511">
        <v>0</v>
      </c>
      <c r="P2511" s="2">
        <v>42401</v>
      </c>
      <c r="Q2511">
        <v>0</v>
      </c>
      <c r="R2511" s="1" t="s">
        <v>61</v>
      </c>
    </row>
    <row r="2512" spans="1:18" x14ac:dyDescent="0.25">
      <c r="A2512">
        <v>2016</v>
      </c>
      <c r="B2512">
        <v>3</v>
      </c>
      <c r="C2512" s="1" t="s">
        <v>26</v>
      </c>
      <c r="D2512" s="1" t="s">
        <v>19</v>
      </c>
      <c r="E2512" s="1" t="s">
        <v>119</v>
      </c>
      <c r="F2512">
        <v>2016</v>
      </c>
      <c r="G2512">
        <v>0</v>
      </c>
      <c r="H2512" s="1" t="s">
        <v>59</v>
      </c>
      <c r="I2512">
        <v>21</v>
      </c>
      <c r="J2512">
        <v>2901</v>
      </c>
      <c r="K2512" s="1" t="s">
        <v>120</v>
      </c>
      <c r="L2512" s="1" t="s">
        <v>23</v>
      </c>
      <c r="M2512">
        <v>0</v>
      </c>
      <c r="N2512">
        <v>0</v>
      </c>
      <c r="O2512">
        <v>0</v>
      </c>
      <c r="P2512" s="2">
        <v>42430</v>
      </c>
      <c r="Q2512">
        <v>0</v>
      </c>
      <c r="R2512" s="1" t="s">
        <v>61</v>
      </c>
    </row>
    <row r="2513" spans="1:18" x14ac:dyDescent="0.25">
      <c r="A2513">
        <v>2016</v>
      </c>
      <c r="B2513">
        <v>4</v>
      </c>
      <c r="C2513" s="1" t="s">
        <v>27</v>
      </c>
      <c r="D2513" s="1" t="s">
        <v>19</v>
      </c>
      <c r="E2513" s="1" t="s">
        <v>119</v>
      </c>
      <c r="F2513">
        <v>2016</v>
      </c>
      <c r="G2513">
        <v>0</v>
      </c>
      <c r="H2513" s="1" t="s">
        <v>59</v>
      </c>
      <c r="I2513">
        <v>21</v>
      </c>
      <c r="J2513">
        <v>2901</v>
      </c>
      <c r="K2513" s="1" t="s">
        <v>120</v>
      </c>
      <c r="L2513" s="1" t="s">
        <v>23</v>
      </c>
      <c r="M2513">
        <v>0</v>
      </c>
      <c r="N2513">
        <v>0</v>
      </c>
      <c r="O2513">
        <v>0</v>
      </c>
      <c r="P2513" s="2">
        <v>42461</v>
      </c>
      <c r="Q2513">
        <v>0</v>
      </c>
      <c r="R2513" s="1" t="s">
        <v>61</v>
      </c>
    </row>
    <row r="2514" spans="1:18" x14ac:dyDescent="0.25">
      <c r="A2514">
        <v>2016</v>
      </c>
      <c r="B2514">
        <v>5</v>
      </c>
      <c r="C2514" s="1" t="s">
        <v>28</v>
      </c>
      <c r="D2514" s="1" t="s">
        <v>19</v>
      </c>
      <c r="E2514" s="1" t="s">
        <v>119</v>
      </c>
      <c r="F2514">
        <v>2016</v>
      </c>
      <c r="G2514">
        <v>0</v>
      </c>
      <c r="H2514" s="1" t="s">
        <v>59</v>
      </c>
      <c r="I2514">
        <v>21</v>
      </c>
      <c r="J2514">
        <v>2901</v>
      </c>
      <c r="K2514" s="1" t="s">
        <v>120</v>
      </c>
      <c r="L2514" s="1" t="s">
        <v>23</v>
      </c>
      <c r="M2514">
        <v>0</v>
      </c>
      <c r="N2514">
        <v>0</v>
      </c>
      <c r="O2514">
        <v>0</v>
      </c>
      <c r="P2514" s="2">
        <v>42491</v>
      </c>
      <c r="Q2514">
        <v>0</v>
      </c>
      <c r="R2514" s="1" t="s">
        <v>61</v>
      </c>
    </row>
    <row r="2515" spans="1:18" x14ac:dyDescent="0.25">
      <c r="A2515">
        <v>2016</v>
      </c>
      <c r="B2515">
        <v>6</v>
      </c>
      <c r="C2515" s="1" t="s">
        <v>29</v>
      </c>
      <c r="D2515" s="1" t="s">
        <v>19</v>
      </c>
      <c r="E2515" s="1" t="s">
        <v>119</v>
      </c>
      <c r="F2515">
        <v>2016</v>
      </c>
      <c r="G2515">
        <v>0</v>
      </c>
      <c r="H2515" s="1" t="s">
        <v>59</v>
      </c>
      <c r="I2515">
        <v>21</v>
      </c>
      <c r="J2515">
        <v>2901</v>
      </c>
      <c r="K2515" s="1" t="s">
        <v>120</v>
      </c>
      <c r="L2515" s="1" t="s">
        <v>23</v>
      </c>
      <c r="M2515">
        <v>0</v>
      </c>
      <c r="N2515">
        <v>0</v>
      </c>
      <c r="O2515">
        <v>0</v>
      </c>
      <c r="P2515" s="2">
        <v>42522</v>
      </c>
      <c r="Q2515">
        <v>0</v>
      </c>
      <c r="R2515" s="1" t="s">
        <v>61</v>
      </c>
    </row>
    <row r="2516" spans="1:18" x14ac:dyDescent="0.25">
      <c r="A2516">
        <v>2016</v>
      </c>
      <c r="B2516">
        <v>7</v>
      </c>
      <c r="C2516" s="1" t="s">
        <v>30</v>
      </c>
      <c r="D2516" s="1" t="s">
        <v>19</v>
      </c>
      <c r="E2516" s="1" t="s">
        <v>119</v>
      </c>
      <c r="F2516">
        <v>2016</v>
      </c>
      <c r="G2516">
        <v>0</v>
      </c>
      <c r="H2516" s="1" t="s">
        <v>59</v>
      </c>
      <c r="I2516">
        <v>21</v>
      </c>
      <c r="J2516">
        <v>2901</v>
      </c>
      <c r="K2516" s="1" t="s">
        <v>120</v>
      </c>
      <c r="L2516" s="1" t="s">
        <v>23</v>
      </c>
      <c r="M2516">
        <v>0</v>
      </c>
      <c r="N2516">
        <v>0</v>
      </c>
      <c r="O2516">
        <v>0</v>
      </c>
      <c r="P2516" s="2">
        <v>42552</v>
      </c>
      <c r="Q2516">
        <v>0</v>
      </c>
      <c r="R2516" s="1" t="s">
        <v>61</v>
      </c>
    </row>
    <row r="2517" spans="1:18" x14ac:dyDescent="0.25">
      <c r="A2517">
        <v>2016</v>
      </c>
      <c r="B2517">
        <v>8</v>
      </c>
      <c r="C2517" s="1" t="s">
        <v>31</v>
      </c>
      <c r="D2517" s="1" t="s">
        <v>19</v>
      </c>
      <c r="E2517" s="1" t="s">
        <v>119</v>
      </c>
      <c r="F2517">
        <v>2016</v>
      </c>
      <c r="G2517">
        <v>0</v>
      </c>
      <c r="H2517" s="1" t="s">
        <v>59</v>
      </c>
      <c r="I2517">
        <v>21</v>
      </c>
      <c r="J2517">
        <v>2901</v>
      </c>
      <c r="K2517" s="1" t="s">
        <v>120</v>
      </c>
      <c r="L2517" s="1" t="s">
        <v>23</v>
      </c>
      <c r="M2517">
        <v>0</v>
      </c>
      <c r="N2517">
        <v>0</v>
      </c>
      <c r="O2517">
        <v>0</v>
      </c>
      <c r="P2517" s="2">
        <v>42583</v>
      </c>
      <c r="Q2517">
        <v>0</v>
      </c>
      <c r="R2517" s="1" t="s">
        <v>61</v>
      </c>
    </row>
    <row r="2518" spans="1:18" x14ac:dyDescent="0.25">
      <c r="A2518">
        <v>2016</v>
      </c>
      <c r="B2518">
        <v>9</v>
      </c>
      <c r="C2518" s="1" t="s">
        <v>32</v>
      </c>
      <c r="D2518" s="1" t="s">
        <v>19</v>
      </c>
      <c r="E2518" s="1" t="s">
        <v>119</v>
      </c>
      <c r="F2518">
        <v>2016</v>
      </c>
      <c r="G2518">
        <v>0</v>
      </c>
      <c r="H2518" s="1" t="s">
        <v>59</v>
      </c>
      <c r="I2518">
        <v>21</v>
      </c>
      <c r="J2518">
        <v>2901</v>
      </c>
      <c r="K2518" s="1" t="s">
        <v>120</v>
      </c>
      <c r="L2518" s="1" t="s">
        <v>23</v>
      </c>
      <c r="M2518">
        <v>0</v>
      </c>
      <c r="N2518">
        <v>0</v>
      </c>
      <c r="O2518">
        <v>0</v>
      </c>
      <c r="P2518" s="2">
        <v>42614</v>
      </c>
      <c r="Q2518">
        <v>0</v>
      </c>
      <c r="R2518" s="1" t="s">
        <v>61</v>
      </c>
    </row>
    <row r="2519" spans="1:18" x14ac:dyDescent="0.25">
      <c r="A2519">
        <v>2016</v>
      </c>
      <c r="B2519">
        <v>10</v>
      </c>
      <c r="C2519" s="1" t="s">
        <v>33</v>
      </c>
      <c r="D2519" s="1" t="s">
        <v>19</v>
      </c>
      <c r="E2519" s="1" t="s">
        <v>119</v>
      </c>
      <c r="F2519">
        <v>2016</v>
      </c>
      <c r="G2519">
        <v>0</v>
      </c>
      <c r="H2519" s="1" t="s">
        <v>59</v>
      </c>
      <c r="I2519">
        <v>21</v>
      </c>
      <c r="J2519">
        <v>2901</v>
      </c>
      <c r="K2519" s="1" t="s">
        <v>120</v>
      </c>
      <c r="L2519" s="1" t="s">
        <v>23</v>
      </c>
      <c r="M2519">
        <v>0</v>
      </c>
      <c r="N2519">
        <v>0</v>
      </c>
      <c r="O2519">
        <v>0</v>
      </c>
      <c r="P2519" s="2">
        <v>42644</v>
      </c>
      <c r="Q2519">
        <v>0</v>
      </c>
      <c r="R2519" s="1" t="s">
        <v>61</v>
      </c>
    </row>
    <row r="2520" spans="1:18" x14ac:dyDescent="0.25">
      <c r="A2520">
        <v>2016</v>
      </c>
      <c r="B2520">
        <v>11</v>
      </c>
      <c r="C2520" s="1" t="s">
        <v>34</v>
      </c>
      <c r="D2520" s="1" t="s">
        <v>19</v>
      </c>
      <c r="E2520" s="1" t="s">
        <v>119</v>
      </c>
      <c r="F2520">
        <v>2016</v>
      </c>
      <c r="G2520">
        <v>0</v>
      </c>
      <c r="H2520" s="1" t="s">
        <v>59</v>
      </c>
      <c r="I2520">
        <v>21</v>
      </c>
      <c r="J2520">
        <v>2901</v>
      </c>
      <c r="K2520" s="1" t="s">
        <v>120</v>
      </c>
      <c r="L2520" s="1" t="s">
        <v>23</v>
      </c>
      <c r="M2520">
        <v>0</v>
      </c>
      <c r="N2520">
        <v>0</v>
      </c>
      <c r="O2520">
        <v>0</v>
      </c>
      <c r="P2520" s="2">
        <v>42675</v>
      </c>
      <c r="Q2520">
        <v>0</v>
      </c>
      <c r="R2520" s="1" t="s">
        <v>61</v>
      </c>
    </row>
    <row r="2521" spans="1:18" x14ac:dyDescent="0.25">
      <c r="A2521">
        <v>2016</v>
      </c>
      <c r="B2521">
        <v>12</v>
      </c>
      <c r="C2521" s="1" t="s">
        <v>35</v>
      </c>
      <c r="D2521" s="1" t="s">
        <v>19</v>
      </c>
      <c r="E2521" s="1" t="s">
        <v>119</v>
      </c>
      <c r="F2521">
        <v>2016</v>
      </c>
      <c r="G2521">
        <v>0</v>
      </c>
      <c r="H2521" s="1" t="s">
        <v>59</v>
      </c>
      <c r="I2521">
        <v>21</v>
      </c>
      <c r="J2521">
        <v>2901</v>
      </c>
      <c r="K2521" s="1" t="s">
        <v>120</v>
      </c>
      <c r="L2521" s="1" t="s">
        <v>23</v>
      </c>
      <c r="M2521">
        <v>0</v>
      </c>
      <c r="N2521">
        <v>0</v>
      </c>
      <c r="O2521">
        <v>0</v>
      </c>
      <c r="P2521" s="2">
        <v>42705</v>
      </c>
      <c r="Q2521">
        <v>0</v>
      </c>
      <c r="R2521" s="1" t="s">
        <v>61</v>
      </c>
    </row>
    <row r="2522" spans="1:18" x14ac:dyDescent="0.25">
      <c r="A2522">
        <v>2017</v>
      </c>
      <c r="B2522">
        <v>1</v>
      </c>
      <c r="C2522" s="1" t="s">
        <v>18</v>
      </c>
      <c r="D2522" s="1" t="s">
        <v>19</v>
      </c>
      <c r="E2522" s="1" t="s">
        <v>20</v>
      </c>
      <c r="F2522">
        <v>2000</v>
      </c>
      <c r="G2522">
        <v>17</v>
      </c>
      <c r="H2522" s="1" t="s">
        <v>124</v>
      </c>
      <c r="I2522">
        <v>19</v>
      </c>
      <c r="J2522">
        <v>1490</v>
      </c>
      <c r="K2522" s="1" t="s">
        <v>22</v>
      </c>
      <c r="L2522" s="1" t="s">
        <v>23</v>
      </c>
      <c r="M2522">
        <v>0.56299999999999994</v>
      </c>
      <c r="N2522">
        <v>10697.1</v>
      </c>
      <c r="O2522">
        <v>10.696999999999999</v>
      </c>
      <c r="P2522" s="2">
        <v>42736</v>
      </c>
      <c r="Q2522">
        <v>1</v>
      </c>
      <c r="R2522" s="1" t="s">
        <v>125</v>
      </c>
    </row>
    <row r="2523" spans="1:18" x14ac:dyDescent="0.25">
      <c r="A2523">
        <v>2017</v>
      </c>
      <c r="B2523">
        <v>2</v>
      </c>
      <c r="C2523" s="1" t="s">
        <v>25</v>
      </c>
      <c r="D2523" s="1" t="s">
        <v>19</v>
      </c>
      <c r="E2523" s="1" t="s">
        <v>20</v>
      </c>
      <c r="F2523">
        <v>2000</v>
      </c>
      <c r="G2523">
        <v>17</v>
      </c>
      <c r="H2523" s="1" t="s">
        <v>124</v>
      </c>
      <c r="I2523">
        <v>19</v>
      </c>
      <c r="J2523">
        <v>1490</v>
      </c>
      <c r="K2523" s="1" t="s">
        <v>22</v>
      </c>
      <c r="L2523" s="1" t="s">
        <v>23</v>
      </c>
      <c r="M2523">
        <v>0.35</v>
      </c>
      <c r="N2523">
        <v>6642.7</v>
      </c>
      <c r="O2523">
        <v>6.6429999999999998</v>
      </c>
      <c r="P2523" s="2">
        <v>42767</v>
      </c>
      <c r="Q2523">
        <v>1</v>
      </c>
      <c r="R2523" s="1" t="s">
        <v>125</v>
      </c>
    </row>
    <row r="2524" spans="1:18" x14ac:dyDescent="0.25">
      <c r="A2524">
        <v>2017</v>
      </c>
      <c r="B2524">
        <v>3</v>
      </c>
      <c r="C2524" s="1" t="s">
        <v>26</v>
      </c>
      <c r="D2524" s="1" t="s">
        <v>19</v>
      </c>
      <c r="E2524" s="1" t="s">
        <v>20</v>
      </c>
      <c r="F2524">
        <v>2000</v>
      </c>
      <c r="G2524">
        <v>17</v>
      </c>
      <c r="H2524" s="1" t="s">
        <v>124</v>
      </c>
      <c r="I2524">
        <v>19</v>
      </c>
      <c r="J2524">
        <v>1490</v>
      </c>
      <c r="K2524" s="1" t="s">
        <v>22</v>
      </c>
      <c r="L2524" s="1" t="s">
        <v>23</v>
      </c>
      <c r="M2524">
        <v>0.56699999999999995</v>
      </c>
      <c r="N2524">
        <v>10767.9</v>
      </c>
      <c r="O2524">
        <v>10.768000000000001</v>
      </c>
      <c r="P2524" s="2">
        <v>42795</v>
      </c>
      <c r="Q2524">
        <v>1</v>
      </c>
      <c r="R2524" s="1" t="s">
        <v>125</v>
      </c>
    </row>
    <row r="2525" spans="1:18" x14ac:dyDescent="0.25">
      <c r="A2525">
        <v>2017</v>
      </c>
      <c r="B2525">
        <v>4</v>
      </c>
      <c r="C2525" s="1" t="s">
        <v>27</v>
      </c>
      <c r="D2525" s="1" t="s">
        <v>19</v>
      </c>
      <c r="E2525" s="1" t="s">
        <v>20</v>
      </c>
      <c r="F2525">
        <v>2000</v>
      </c>
      <c r="G2525">
        <v>17</v>
      </c>
      <c r="H2525" s="1" t="s">
        <v>124</v>
      </c>
      <c r="I2525">
        <v>19</v>
      </c>
      <c r="J2525">
        <v>1490</v>
      </c>
      <c r="K2525" s="1" t="s">
        <v>22</v>
      </c>
      <c r="L2525" s="1" t="s">
        <v>23</v>
      </c>
      <c r="M2525">
        <v>0.76600000000000001</v>
      </c>
      <c r="N2525">
        <v>14559.4</v>
      </c>
      <c r="O2525">
        <v>14.558999999999999</v>
      </c>
      <c r="P2525" s="2">
        <v>42826</v>
      </c>
      <c r="Q2525">
        <v>1</v>
      </c>
      <c r="R2525" s="1" t="s">
        <v>125</v>
      </c>
    </row>
    <row r="2526" spans="1:18" x14ac:dyDescent="0.25">
      <c r="A2526">
        <v>2017</v>
      </c>
      <c r="B2526">
        <v>5</v>
      </c>
      <c r="C2526" s="1" t="s">
        <v>28</v>
      </c>
      <c r="D2526" s="1" t="s">
        <v>19</v>
      </c>
      <c r="E2526" s="1" t="s">
        <v>20</v>
      </c>
      <c r="F2526">
        <v>2000</v>
      </c>
      <c r="G2526">
        <v>17</v>
      </c>
      <c r="H2526" s="1" t="s">
        <v>124</v>
      </c>
      <c r="I2526">
        <v>19</v>
      </c>
      <c r="J2526">
        <v>1490</v>
      </c>
      <c r="K2526" s="1" t="s">
        <v>22</v>
      </c>
      <c r="L2526" s="1" t="s">
        <v>23</v>
      </c>
      <c r="M2526">
        <v>0.70699999999999996</v>
      </c>
      <c r="N2526">
        <v>13437.1</v>
      </c>
      <c r="O2526">
        <v>13.436999999999999</v>
      </c>
      <c r="P2526" s="2">
        <v>42856</v>
      </c>
      <c r="Q2526">
        <v>1</v>
      </c>
      <c r="R2526" s="1" t="s">
        <v>125</v>
      </c>
    </row>
    <row r="2527" spans="1:18" x14ac:dyDescent="0.25">
      <c r="A2527">
        <v>2017</v>
      </c>
      <c r="B2527">
        <v>6</v>
      </c>
      <c r="C2527" s="1" t="s">
        <v>29</v>
      </c>
      <c r="D2527" s="1" t="s">
        <v>19</v>
      </c>
      <c r="E2527" s="1" t="s">
        <v>20</v>
      </c>
      <c r="F2527">
        <v>2000</v>
      </c>
      <c r="G2527">
        <v>17</v>
      </c>
      <c r="H2527" s="1" t="s">
        <v>124</v>
      </c>
      <c r="I2527">
        <v>19</v>
      </c>
      <c r="J2527">
        <v>1490</v>
      </c>
      <c r="K2527" s="1" t="s">
        <v>22</v>
      </c>
      <c r="L2527" s="1" t="s">
        <v>23</v>
      </c>
      <c r="M2527">
        <v>0.58599999999999997</v>
      </c>
      <c r="N2527">
        <v>11142</v>
      </c>
      <c r="O2527">
        <v>11.141999999999999</v>
      </c>
      <c r="P2527" s="2">
        <v>42887</v>
      </c>
      <c r="Q2527">
        <v>1</v>
      </c>
      <c r="R2527" s="1" t="s">
        <v>125</v>
      </c>
    </row>
    <row r="2528" spans="1:18" x14ac:dyDescent="0.25">
      <c r="A2528">
        <v>2017</v>
      </c>
      <c r="B2528">
        <v>7</v>
      </c>
      <c r="C2528" s="1" t="s">
        <v>30</v>
      </c>
      <c r="D2528" s="1" t="s">
        <v>19</v>
      </c>
      <c r="E2528" s="1" t="s">
        <v>20</v>
      </c>
      <c r="F2528">
        <v>2000</v>
      </c>
      <c r="G2528">
        <v>17</v>
      </c>
      <c r="H2528" s="1" t="s">
        <v>124</v>
      </c>
      <c r="I2528">
        <v>19</v>
      </c>
      <c r="J2528">
        <v>1490</v>
      </c>
      <c r="K2528" s="1" t="s">
        <v>22</v>
      </c>
      <c r="L2528" s="1" t="s">
        <v>23</v>
      </c>
      <c r="M2528">
        <v>0.58899999999999997</v>
      </c>
      <c r="N2528">
        <v>11192.6</v>
      </c>
      <c r="O2528">
        <v>11.193</v>
      </c>
      <c r="P2528" s="2">
        <v>42917</v>
      </c>
      <c r="Q2528">
        <v>1</v>
      </c>
      <c r="R2528" s="1" t="s">
        <v>125</v>
      </c>
    </row>
    <row r="2529" spans="1:18" x14ac:dyDescent="0.25">
      <c r="A2529">
        <v>2017</v>
      </c>
      <c r="B2529">
        <v>8</v>
      </c>
      <c r="C2529" s="1" t="s">
        <v>31</v>
      </c>
      <c r="D2529" s="1" t="s">
        <v>19</v>
      </c>
      <c r="E2529" s="1" t="s">
        <v>20</v>
      </c>
      <c r="F2529">
        <v>2000</v>
      </c>
      <c r="G2529">
        <v>17</v>
      </c>
      <c r="H2529" s="1" t="s">
        <v>124</v>
      </c>
      <c r="I2529">
        <v>19</v>
      </c>
      <c r="J2529">
        <v>1490</v>
      </c>
      <c r="K2529" s="1" t="s">
        <v>22</v>
      </c>
      <c r="L2529" s="1" t="s">
        <v>23</v>
      </c>
      <c r="M2529">
        <v>0.81899999999999995</v>
      </c>
      <c r="N2529">
        <v>15560.4</v>
      </c>
      <c r="O2529">
        <v>15.56</v>
      </c>
      <c r="P2529" s="2">
        <v>42948</v>
      </c>
      <c r="Q2529">
        <v>1</v>
      </c>
      <c r="R2529" s="1" t="s">
        <v>125</v>
      </c>
    </row>
    <row r="2530" spans="1:18" x14ac:dyDescent="0.25">
      <c r="A2530">
        <v>2017</v>
      </c>
      <c r="B2530">
        <v>9</v>
      </c>
      <c r="C2530" s="1" t="s">
        <v>32</v>
      </c>
      <c r="D2530" s="1" t="s">
        <v>19</v>
      </c>
      <c r="E2530" s="1" t="s">
        <v>20</v>
      </c>
      <c r="F2530">
        <v>2000</v>
      </c>
      <c r="G2530">
        <v>17</v>
      </c>
      <c r="H2530" s="1" t="s">
        <v>124</v>
      </c>
      <c r="I2530">
        <v>19</v>
      </c>
      <c r="J2530">
        <v>1490</v>
      </c>
      <c r="K2530" s="1" t="s">
        <v>22</v>
      </c>
      <c r="L2530" s="1" t="s">
        <v>23</v>
      </c>
      <c r="M2530">
        <v>0.58599999999999997</v>
      </c>
      <c r="N2530">
        <v>11131.9</v>
      </c>
      <c r="O2530">
        <v>11.132</v>
      </c>
      <c r="P2530" s="2">
        <v>42979</v>
      </c>
      <c r="Q2530">
        <v>1</v>
      </c>
      <c r="R2530" s="1" t="s">
        <v>125</v>
      </c>
    </row>
    <row r="2531" spans="1:18" x14ac:dyDescent="0.25">
      <c r="A2531">
        <v>2017</v>
      </c>
      <c r="B2531">
        <v>10</v>
      </c>
      <c r="C2531" s="1" t="s">
        <v>33</v>
      </c>
      <c r="D2531" s="1" t="s">
        <v>19</v>
      </c>
      <c r="E2531" s="1" t="s">
        <v>20</v>
      </c>
      <c r="F2531">
        <v>2000</v>
      </c>
      <c r="G2531">
        <v>17</v>
      </c>
      <c r="H2531" s="1" t="s">
        <v>124</v>
      </c>
      <c r="I2531">
        <v>19</v>
      </c>
      <c r="J2531">
        <v>1490</v>
      </c>
      <c r="K2531" s="1" t="s">
        <v>22</v>
      </c>
      <c r="L2531" s="1" t="s">
        <v>23</v>
      </c>
      <c r="M2531">
        <v>0.56299999999999994</v>
      </c>
      <c r="N2531">
        <v>10697.1</v>
      </c>
      <c r="O2531">
        <v>10.696999999999999</v>
      </c>
      <c r="P2531" s="2">
        <v>43009</v>
      </c>
      <c r="Q2531">
        <v>1</v>
      </c>
      <c r="R2531" s="1" t="s">
        <v>125</v>
      </c>
    </row>
    <row r="2532" spans="1:18" x14ac:dyDescent="0.25">
      <c r="A2532">
        <v>2017</v>
      </c>
      <c r="B2532">
        <v>11</v>
      </c>
      <c r="C2532" s="1" t="s">
        <v>34</v>
      </c>
      <c r="D2532" s="1" t="s">
        <v>19</v>
      </c>
      <c r="E2532" s="1" t="s">
        <v>20</v>
      </c>
      <c r="F2532">
        <v>2000</v>
      </c>
      <c r="G2532">
        <v>17</v>
      </c>
      <c r="H2532" s="1" t="s">
        <v>124</v>
      </c>
      <c r="I2532">
        <v>19</v>
      </c>
      <c r="J2532">
        <v>1490</v>
      </c>
      <c r="K2532" s="1" t="s">
        <v>22</v>
      </c>
      <c r="L2532" s="1" t="s">
        <v>23</v>
      </c>
      <c r="M2532">
        <v>0.57999999999999996</v>
      </c>
      <c r="N2532">
        <v>11010.6</v>
      </c>
      <c r="O2532">
        <v>11.010999999999999</v>
      </c>
      <c r="P2532" s="2">
        <v>43040</v>
      </c>
      <c r="Q2532">
        <v>1</v>
      </c>
      <c r="R2532" s="1" t="s">
        <v>125</v>
      </c>
    </row>
    <row r="2533" spans="1:18" x14ac:dyDescent="0.25">
      <c r="A2533">
        <v>2017</v>
      </c>
      <c r="B2533">
        <v>12</v>
      </c>
      <c r="C2533" s="1" t="s">
        <v>35</v>
      </c>
      <c r="D2533" s="1" t="s">
        <v>19</v>
      </c>
      <c r="E2533" s="1" t="s">
        <v>20</v>
      </c>
      <c r="F2533">
        <v>2000</v>
      </c>
      <c r="G2533">
        <v>17</v>
      </c>
      <c r="H2533" s="1" t="s">
        <v>124</v>
      </c>
      <c r="I2533">
        <v>19</v>
      </c>
      <c r="J2533">
        <v>1490</v>
      </c>
      <c r="K2533" s="1" t="s">
        <v>22</v>
      </c>
      <c r="L2533" s="1" t="s">
        <v>23</v>
      </c>
      <c r="M2533">
        <v>0.49399999999999999</v>
      </c>
      <c r="N2533">
        <v>9382.7000000000007</v>
      </c>
      <c r="O2533">
        <v>9.3829999999999991</v>
      </c>
      <c r="P2533" s="2">
        <v>43070</v>
      </c>
      <c r="Q2533">
        <v>1</v>
      </c>
      <c r="R2533" s="1" t="s">
        <v>125</v>
      </c>
    </row>
    <row r="2534" spans="1:18" x14ac:dyDescent="0.25">
      <c r="A2534">
        <v>2017</v>
      </c>
      <c r="B2534">
        <v>1</v>
      </c>
      <c r="C2534" s="1" t="s">
        <v>18</v>
      </c>
      <c r="D2534" s="1" t="s">
        <v>19</v>
      </c>
      <c r="E2534" s="1" t="s">
        <v>36</v>
      </c>
      <c r="F2534">
        <v>2000</v>
      </c>
      <c r="G2534">
        <v>17</v>
      </c>
      <c r="H2534" s="1" t="s">
        <v>124</v>
      </c>
      <c r="I2534">
        <v>24</v>
      </c>
      <c r="J2534">
        <v>1675</v>
      </c>
      <c r="K2534" s="1" t="s">
        <v>37</v>
      </c>
      <c r="L2534" s="1" t="s">
        <v>23</v>
      </c>
      <c r="M2534">
        <v>0.501</v>
      </c>
      <c r="N2534">
        <v>12025.3</v>
      </c>
      <c r="O2534">
        <v>12.025</v>
      </c>
      <c r="P2534" s="2">
        <v>42736</v>
      </c>
      <c r="Q2534">
        <v>1</v>
      </c>
      <c r="R2534" s="1" t="s">
        <v>125</v>
      </c>
    </row>
    <row r="2535" spans="1:18" x14ac:dyDescent="0.25">
      <c r="A2535">
        <v>2017</v>
      </c>
      <c r="B2535">
        <v>2</v>
      </c>
      <c r="C2535" s="1" t="s">
        <v>25</v>
      </c>
      <c r="D2535" s="1" t="s">
        <v>19</v>
      </c>
      <c r="E2535" s="1" t="s">
        <v>36</v>
      </c>
      <c r="F2535">
        <v>2000</v>
      </c>
      <c r="G2535">
        <v>17</v>
      </c>
      <c r="H2535" s="1" t="s">
        <v>124</v>
      </c>
      <c r="I2535">
        <v>24</v>
      </c>
      <c r="J2535">
        <v>1675</v>
      </c>
      <c r="K2535" s="1" t="s">
        <v>37</v>
      </c>
      <c r="L2535" s="1" t="s">
        <v>23</v>
      </c>
      <c r="M2535">
        <v>0.311</v>
      </c>
      <c r="N2535">
        <v>7467.5</v>
      </c>
      <c r="O2535">
        <v>7.468</v>
      </c>
      <c r="P2535" s="2">
        <v>42767</v>
      </c>
      <c r="Q2535">
        <v>1</v>
      </c>
      <c r="R2535" s="1" t="s">
        <v>125</v>
      </c>
    </row>
    <row r="2536" spans="1:18" x14ac:dyDescent="0.25">
      <c r="A2536">
        <v>2017</v>
      </c>
      <c r="B2536">
        <v>3</v>
      </c>
      <c r="C2536" s="1" t="s">
        <v>26</v>
      </c>
      <c r="D2536" s="1" t="s">
        <v>19</v>
      </c>
      <c r="E2536" s="1" t="s">
        <v>36</v>
      </c>
      <c r="F2536">
        <v>2000</v>
      </c>
      <c r="G2536">
        <v>17</v>
      </c>
      <c r="H2536" s="1" t="s">
        <v>124</v>
      </c>
      <c r="I2536">
        <v>24</v>
      </c>
      <c r="J2536">
        <v>1675</v>
      </c>
      <c r="K2536" s="1" t="s">
        <v>37</v>
      </c>
      <c r="L2536" s="1" t="s">
        <v>23</v>
      </c>
      <c r="M2536">
        <v>0.504</v>
      </c>
      <c r="N2536">
        <v>12104.9</v>
      </c>
      <c r="O2536">
        <v>12.105</v>
      </c>
      <c r="P2536" s="2">
        <v>42795</v>
      </c>
      <c r="Q2536">
        <v>1</v>
      </c>
      <c r="R2536" s="1" t="s">
        <v>125</v>
      </c>
    </row>
    <row r="2537" spans="1:18" x14ac:dyDescent="0.25">
      <c r="A2537">
        <v>2017</v>
      </c>
      <c r="B2537">
        <v>4</v>
      </c>
      <c r="C2537" s="1" t="s">
        <v>27</v>
      </c>
      <c r="D2537" s="1" t="s">
        <v>19</v>
      </c>
      <c r="E2537" s="1" t="s">
        <v>36</v>
      </c>
      <c r="F2537">
        <v>2000</v>
      </c>
      <c r="G2537">
        <v>17</v>
      </c>
      <c r="H2537" s="1" t="s">
        <v>124</v>
      </c>
      <c r="I2537">
        <v>24</v>
      </c>
      <c r="J2537">
        <v>1675</v>
      </c>
      <c r="K2537" s="1" t="s">
        <v>37</v>
      </c>
      <c r="L2537" s="1" t="s">
        <v>23</v>
      </c>
      <c r="M2537">
        <v>0.68200000000000005</v>
      </c>
      <c r="N2537">
        <v>16367.1</v>
      </c>
      <c r="O2537">
        <v>16.367000000000001</v>
      </c>
      <c r="P2537" s="2">
        <v>42826</v>
      </c>
      <c r="Q2537">
        <v>1</v>
      </c>
      <c r="R2537" s="1" t="s">
        <v>125</v>
      </c>
    </row>
    <row r="2538" spans="1:18" x14ac:dyDescent="0.25">
      <c r="A2538">
        <v>2017</v>
      </c>
      <c r="B2538">
        <v>5</v>
      </c>
      <c r="C2538" s="1" t="s">
        <v>28</v>
      </c>
      <c r="D2538" s="1" t="s">
        <v>19</v>
      </c>
      <c r="E2538" s="1" t="s">
        <v>36</v>
      </c>
      <c r="F2538">
        <v>2000</v>
      </c>
      <c r="G2538">
        <v>17</v>
      </c>
      <c r="H2538" s="1" t="s">
        <v>124</v>
      </c>
      <c r="I2538">
        <v>24</v>
      </c>
      <c r="J2538">
        <v>1675</v>
      </c>
      <c r="K2538" s="1" t="s">
        <v>37</v>
      </c>
      <c r="L2538" s="1" t="s">
        <v>23</v>
      </c>
      <c r="M2538">
        <v>0.629</v>
      </c>
      <c r="N2538">
        <v>15105.5</v>
      </c>
      <c r="O2538">
        <v>15.106</v>
      </c>
      <c r="P2538" s="2">
        <v>42856</v>
      </c>
      <c r="Q2538">
        <v>1</v>
      </c>
      <c r="R2538" s="1" t="s">
        <v>125</v>
      </c>
    </row>
    <row r="2539" spans="1:18" x14ac:dyDescent="0.25">
      <c r="A2539">
        <v>2017</v>
      </c>
      <c r="B2539">
        <v>6</v>
      </c>
      <c r="C2539" s="1" t="s">
        <v>29</v>
      </c>
      <c r="D2539" s="1" t="s">
        <v>19</v>
      </c>
      <c r="E2539" s="1" t="s">
        <v>36</v>
      </c>
      <c r="F2539">
        <v>2000</v>
      </c>
      <c r="G2539">
        <v>17</v>
      </c>
      <c r="H2539" s="1" t="s">
        <v>124</v>
      </c>
      <c r="I2539">
        <v>24</v>
      </c>
      <c r="J2539">
        <v>1675</v>
      </c>
      <c r="K2539" s="1" t="s">
        <v>37</v>
      </c>
      <c r="L2539" s="1" t="s">
        <v>23</v>
      </c>
      <c r="M2539">
        <v>0.52200000000000002</v>
      </c>
      <c r="N2539">
        <v>12525.4</v>
      </c>
      <c r="O2539">
        <v>12.525</v>
      </c>
      <c r="P2539" s="2">
        <v>42887</v>
      </c>
      <c r="Q2539">
        <v>1</v>
      </c>
      <c r="R2539" s="1" t="s">
        <v>125</v>
      </c>
    </row>
    <row r="2540" spans="1:18" x14ac:dyDescent="0.25">
      <c r="A2540">
        <v>2017</v>
      </c>
      <c r="B2540">
        <v>7</v>
      </c>
      <c r="C2540" s="1" t="s">
        <v>30</v>
      </c>
      <c r="D2540" s="1" t="s">
        <v>19</v>
      </c>
      <c r="E2540" s="1" t="s">
        <v>36</v>
      </c>
      <c r="F2540">
        <v>2000</v>
      </c>
      <c r="G2540">
        <v>17</v>
      </c>
      <c r="H2540" s="1" t="s">
        <v>124</v>
      </c>
      <c r="I2540">
        <v>24</v>
      </c>
      <c r="J2540">
        <v>1675</v>
      </c>
      <c r="K2540" s="1" t="s">
        <v>37</v>
      </c>
      <c r="L2540" s="1" t="s">
        <v>23</v>
      </c>
      <c r="M2540">
        <v>0.52400000000000002</v>
      </c>
      <c r="N2540">
        <v>12582.2</v>
      </c>
      <c r="O2540">
        <v>12.582000000000001</v>
      </c>
      <c r="P2540" s="2">
        <v>42917</v>
      </c>
      <c r="Q2540">
        <v>1</v>
      </c>
      <c r="R2540" s="1" t="s">
        <v>125</v>
      </c>
    </row>
    <row r="2541" spans="1:18" x14ac:dyDescent="0.25">
      <c r="A2541">
        <v>2017</v>
      </c>
      <c r="B2541">
        <v>8</v>
      </c>
      <c r="C2541" s="1" t="s">
        <v>31</v>
      </c>
      <c r="D2541" s="1" t="s">
        <v>19</v>
      </c>
      <c r="E2541" s="1" t="s">
        <v>36</v>
      </c>
      <c r="F2541">
        <v>2000</v>
      </c>
      <c r="G2541">
        <v>17</v>
      </c>
      <c r="H2541" s="1" t="s">
        <v>124</v>
      </c>
      <c r="I2541">
        <v>24</v>
      </c>
      <c r="J2541">
        <v>1675</v>
      </c>
      <c r="K2541" s="1" t="s">
        <v>37</v>
      </c>
      <c r="L2541" s="1" t="s">
        <v>23</v>
      </c>
      <c r="M2541">
        <v>0.72899999999999998</v>
      </c>
      <c r="N2541">
        <v>17492.400000000001</v>
      </c>
      <c r="O2541">
        <v>17.492000000000001</v>
      </c>
      <c r="P2541" s="2">
        <v>42948</v>
      </c>
      <c r="Q2541">
        <v>1</v>
      </c>
      <c r="R2541" s="1" t="s">
        <v>125</v>
      </c>
    </row>
    <row r="2542" spans="1:18" x14ac:dyDescent="0.25">
      <c r="A2542">
        <v>2017</v>
      </c>
      <c r="B2542">
        <v>9</v>
      </c>
      <c r="C2542" s="1" t="s">
        <v>32</v>
      </c>
      <c r="D2542" s="1" t="s">
        <v>19</v>
      </c>
      <c r="E2542" s="1" t="s">
        <v>36</v>
      </c>
      <c r="F2542">
        <v>2000</v>
      </c>
      <c r="G2542">
        <v>17</v>
      </c>
      <c r="H2542" s="1" t="s">
        <v>124</v>
      </c>
      <c r="I2542">
        <v>24</v>
      </c>
      <c r="J2542">
        <v>1675</v>
      </c>
      <c r="K2542" s="1" t="s">
        <v>37</v>
      </c>
      <c r="L2542" s="1" t="s">
        <v>23</v>
      </c>
      <c r="M2542">
        <v>0.52100000000000002</v>
      </c>
      <c r="N2542">
        <v>12514</v>
      </c>
      <c r="O2542">
        <v>12.513999999999999</v>
      </c>
      <c r="P2542" s="2">
        <v>42979</v>
      </c>
      <c r="Q2542">
        <v>1</v>
      </c>
      <c r="R2542" s="1" t="s">
        <v>125</v>
      </c>
    </row>
    <row r="2543" spans="1:18" x14ac:dyDescent="0.25">
      <c r="A2543">
        <v>2017</v>
      </c>
      <c r="B2543">
        <v>10</v>
      </c>
      <c r="C2543" s="1" t="s">
        <v>33</v>
      </c>
      <c r="D2543" s="1" t="s">
        <v>19</v>
      </c>
      <c r="E2543" s="1" t="s">
        <v>36</v>
      </c>
      <c r="F2543">
        <v>2000</v>
      </c>
      <c r="G2543">
        <v>17</v>
      </c>
      <c r="H2543" s="1" t="s">
        <v>124</v>
      </c>
      <c r="I2543">
        <v>24</v>
      </c>
      <c r="J2543">
        <v>1675</v>
      </c>
      <c r="K2543" s="1" t="s">
        <v>37</v>
      </c>
      <c r="L2543" s="1" t="s">
        <v>23</v>
      </c>
      <c r="M2543">
        <v>0.501</v>
      </c>
      <c r="N2543">
        <v>12025.3</v>
      </c>
      <c r="O2543">
        <v>12.025</v>
      </c>
      <c r="P2543" s="2">
        <v>43009</v>
      </c>
      <c r="Q2543">
        <v>1</v>
      </c>
      <c r="R2543" s="1" t="s">
        <v>125</v>
      </c>
    </row>
    <row r="2544" spans="1:18" x14ac:dyDescent="0.25">
      <c r="A2544">
        <v>2017</v>
      </c>
      <c r="B2544">
        <v>11</v>
      </c>
      <c r="C2544" s="1" t="s">
        <v>34</v>
      </c>
      <c r="D2544" s="1" t="s">
        <v>19</v>
      </c>
      <c r="E2544" s="1" t="s">
        <v>36</v>
      </c>
      <c r="F2544">
        <v>2000</v>
      </c>
      <c r="G2544">
        <v>17</v>
      </c>
      <c r="H2544" s="1" t="s">
        <v>124</v>
      </c>
      <c r="I2544">
        <v>24</v>
      </c>
      <c r="J2544">
        <v>1675</v>
      </c>
      <c r="K2544" s="1" t="s">
        <v>37</v>
      </c>
      <c r="L2544" s="1" t="s">
        <v>23</v>
      </c>
      <c r="M2544">
        <v>0.51600000000000001</v>
      </c>
      <c r="N2544">
        <v>12377.7</v>
      </c>
      <c r="O2544">
        <v>12.378</v>
      </c>
      <c r="P2544" s="2">
        <v>43040</v>
      </c>
      <c r="Q2544">
        <v>1</v>
      </c>
      <c r="R2544" s="1" t="s">
        <v>125</v>
      </c>
    </row>
    <row r="2545" spans="1:18" x14ac:dyDescent="0.25">
      <c r="A2545">
        <v>2017</v>
      </c>
      <c r="B2545">
        <v>12</v>
      </c>
      <c r="C2545" s="1" t="s">
        <v>35</v>
      </c>
      <c r="D2545" s="1" t="s">
        <v>19</v>
      </c>
      <c r="E2545" s="1" t="s">
        <v>36</v>
      </c>
      <c r="F2545">
        <v>2000</v>
      </c>
      <c r="G2545">
        <v>17</v>
      </c>
      <c r="H2545" s="1" t="s">
        <v>124</v>
      </c>
      <c r="I2545">
        <v>24</v>
      </c>
      <c r="J2545">
        <v>1675</v>
      </c>
      <c r="K2545" s="1" t="s">
        <v>37</v>
      </c>
      <c r="L2545" s="1" t="s">
        <v>23</v>
      </c>
      <c r="M2545">
        <v>0.439</v>
      </c>
      <c r="N2545">
        <v>10547.7</v>
      </c>
      <c r="O2545">
        <v>10.548</v>
      </c>
      <c r="P2545" s="2">
        <v>43070</v>
      </c>
      <c r="Q2545">
        <v>1</v>
      </c>
      <c r="R2545" s="1" t="s">
        <v>125</v>
      </c>
    </row>
    <row r="2546" spans="1:18" x14ac:dyDescent="0.25">
      <c r="A2546">
        <v>2017</v>
      </c>
      <c r="B2546">
        <v>1</v>
      </c>
      <c r="C2546" s="1" t="s">
        <v>18</v>
      </c>
      <c r="D2546" s="1" t="s">
        <v>19</v>
      </c>
      <c r="E2546" s="1" t="s">
        <v>38</v>
      </c>
      <c r="F2546">
        <v>2005</v>
      </c>
      <c r="G2546">
        <v>12</v>
      </c>
      <c r="H2546" s="1" t="s">
        <v>21</v>
      </c>
      <c r="I2546">
        <v>18</v>
      </c>
      <c r="J2546">
        <v>1922</v>
      </c>
      <c r="K2546" s="1" t="s">
        <v>39</v>
      </c>
      <c r="L2546" s="1" t="s">
        <v>23</v>
      </c>
      <c r="M2546">
        <v>0.84699999999999998</v>
      </c>
      <c r="N2546">
        <v>15251.1</v>
      </c>
      <c r="O2546">
        <v>15.250999999999999</v>
      </c>
      <c r="P2546" s="2">
        <v>42736</v>
      </c>
      <c r="Q2546">
        <v>1</v>
      </c>
      <c r="R2546" s="1" t="s">
        <v>24</v>
      </c>
    </row>
    <row r="2547" spans="1:18" x14ac:dyDescent="0.25">
      <c r="A2547">
        <v>2017</v>
      </c>
      <c r="B2547">
        <v>2</v>
      </c>
      <c r="C2547" s="1" t="s">
        <v>25</v>
      </c>
      <c r="D2547" s="1" t="s">
        <v>19</v>
      </c>
      <c r="E2547" s="1" t="s">
        <v>38</v>
      </c>
      <c r="F2547">
        <v>2005</v>
      </c>
      <c r="G2547">
        <v>12</v>
      </c>
      <c r="H2547" s="1" t="s">
        <v>21</v>
      </c>
      <c r="I2547">
        <v>18</v>
      </c>
      <c r="J2547">
        <v>1922</v>
      </c>
      <c r="K2547" s="1" t="s">
        <v>39</v>
      </c>
      <c r="L2547" s="1" t="s">
        <v>23</v>
      </c>
      <c r="M2547">
        <v>0.52600000000000002</v>
      </c>
      <c r="N2547">
        <v>9470.7000000000007</v>
      </c>
      <c r="O2547">
        <v>9.4710000000000001</v>
      </c>
      <c r="P2547" s="2">
        <v>42767</v>
      </c>
      <c r="Q2547">
        <v>1</v>
      </c>
      <c r="R2547" s="1" t="s">
        <v>24</v>
      </c>
    </row>
    <row r="2548" spans="1:18" x14ac:dyDescent="0.25">
      <c r="A2548">
        <v>2017</v>
      </c>
      <c r="B2548">
        <v>3</v>
      </c>
      <c r="C2548" s="1" t="s">
        <v>26</v>
      </c>
      <c r="D2548" s="1" t="s">
        <v>19</v>
      </c>
      <c r="E2548" s="1" t="s">
        <v>38</v>
      </c>
      <c r="F2548">
        <v>2005</v>
      </c>
      <c r="G2548">
        <v>12</v>
      </c>
      <c r="H2548" s="1" t="s">
        <v>21</v>
      </c>
      <c r="I2548">
        <v>18</v>
      </c>
      <c r="J2548">
        <v>1922</v>
      </c>
      <c r="K2548" s="1" t="s">
        <v>39</v>
      </c>
      <c r="L2548" s="1" t="s">
        <v>23</v>
      </c>
      <c r="M2548">
        <v>0.85299999999999998</v>
      </c>
      <c r="N2548">
        <v>15352</v>
      </c>
      <c r="O2548">
        <v>15.352</v>
      </c>
      <c r="P2548" s="2">
        <v>42795</v>
      </c>
      <c r="Q2548">
        <v>1</v>
      </c>
      <c r="R2548" s="1" t="s">
        <v>24</v>
      </c>
    </row>
    <row r="2549" spans="1:18" x14ac:dyDescent="0.25">
      <c r="A2549">
        <v>2017</v>
      </c>
      <c r="B2549">
        <v>4</v>
      </c>
      <c r="C2549" s="1" t="s">
        <v>27</v>
      </c>
      <c r="D2549" s="1" t="s">
        <v>19</v>
      </c>
      <c r="E2549" s="1" t="s">
        <v>38</v>
      </c>
      <c r="F2549">
        <v>2005</v>
      </c>
      <c r="G2549">
        <v>12</v>
      </c>
      <c r="H2549" s="1" t="s">
        <v>21</v>
      </c>
      <c r="I2549">
        <v>18</v>
      </c>
      <c r="J2549">
        <v>1922</v>
      </c>
      <c r="K2549" s="1" t="s">
        <v>39</v>
      </c>
      <c r="L2549" s="1" t="s">
        <v>23</v>
      </c>
      <c r="M2549">
        <v>1.153</v>
      </c>
      <c r="N2549">
        <v>20757.599999999999</v>
      </c>
      <c r="O2549">
        <v>20.757999999999999</v>
      </c>
      <c r="P2549" s="2">
        <v>42826</v>
      </c>
      <c r="Q2549">
        <v>1</v>
      </c>
      <c r="R2549" s="1" t="s">
        <v>24</v>
      </c>
    </row>
    <row r="2550" spans="1:18" x14ac:dyDescent="0.25">
      <c r="A2550">
        <v>2017</v>
      </c>
      <c r="B2550">
        <v>5</v>
      </c>
      <c r="C2550" s="1" t="s">
        <v>28</v>
      </c>
      <c r="D2550" s="1" t="s">
        <v>19</v>
      </c>
      <c r="E2550" s="1" t="s">
        <v>38</v>
      </c>
      <c r="F2550">
        <v>2005</v>
      </c>
      <c r="G2550">
        <v>12</v>
      </c>
      <c r="H2550" s="1" t="s">
        <v>21</v>
      </c>
      <c r="I2550">
        <v>18</v>
      </c>
      <c r="J2550">
        <v>1922</v>
      </c>
      <c r="K2550" s="1" t="s">
        <v>39</v>
      </c>
      <c r="L2550" s="1" t="s">
        <v>23</v>
      </c>
      <c r="M2550">
        <v>1.0640000000000001</v>
      </c>
      <c r="N2550">
        <v>19157.5</v>
      </c>
      <c r="O2550">
        <v>19.158000000000001</v>
      </c>
      <c r="P2550" s="2">
        <v>42856</v>
      </c>
      <c r="Q2550">
        <v>1</v>
      </c>
      <c r="R2550" s="1" t="s">
        <v>24</v>
      </c>
    </row>
    <row r="2551" spans="1:18" x14ac:dyDescent="0.25">
      <c r="A2551">
        <v>2017</v>
      </c>
      <c r="B2551">
        <v>6</v>
      </c>
      <c r="C2551" s="1" t="s">
        <v>29</v>
      </c>
      <c r="D2551" s="1" t="s">
        <v>19</v>
      </c>
      <c r="E2551" s="1" t="s">
        <v>38</v>
      </c>
      <c r="F2551">
        <v>2005</v>
      </c>
      <c r="G2551">
        <v>12</v>
      </c>
      <c r="H2551" s="1" t="s">
        <v>21</v>
      </c>
      <c r="I2551">
        <v>18</v>
      </c>
      <c r="J2551">
        <v>1922</v>
      </c>
      <c r="K2551" s="1" t="s">
        <v>39</v>
      </c>
      <c r="L2551" s="1" t="s">
        <v>23</v>
      </c>
      <c r="M2551">
        <v>0.88300000000000001</v>
      </c>
      <c r="N2551">
        <v>15885.3</v>
      </c>
      <c r="O2551">
        <v>15.885</v>
      </c>
      <c r="P2551" s="2">
        <v>42887</v>
      </c>
      <c r="Q2551">
        <v>1</v>
      </c>
      <c r="R2551" s="1" t="s">
        <v>24</v>
      </c>
    </row>
    <row r="2552" spans="1:18" x14ac:dyDescent="0.25">
      <c r="A2552">
        <v>2017</v>
      </c>
      <c r="B2552">
        <v>7</v>
      </c>
      <c r="C2552" s="1" t="s">
        <v>30</v>
      </c>
      <c r="D2552" s="1" t="s">
        <v>19</v>
      </c>
      <c r="E2552" s="1" t="s">
        <v>38</v>
      </c>
      <c r="F2552">
        <v>2005</v>
      </c>
      <c r="G2552">
        <v>12</v>
      </c>
      <c r="H2552" s="1" t="s">
        <v>21</v>
      </c>
      <c r="I2552">
        <v>18</v>
      </c>
      <c r="J2552">
        <v>1922</v>
      </c>
      <c r="K2552" s="1" t="s">
        <v>39</v>
      </c>
      <c r="L2552" s="1" t="s">
        <v>23</v>
      </c>
      <c r="M2552">
        <v>0.88700000000000001</v>
      </c>
      <c r="N2552">
        <v>15957.4</v>
      </c>
      <c r="O2552">
        <v>15.957000000000001</v>
      </c>
      <c r="P2552" s="2">
        <v>42917</v>
      </c>
      <c r="Q2552">
        <v>1</v>
      </c>
      <c r="R2552" s="1" t="s">
        <v>24</v>
      </c>
    </row>
    <row r="2553" spans="1:18" x14ac:dyDescent="0.25">
      <c r="A2553">
        <v>2017</v>
      </c>
      <c r="B2553">
        <v>8</v>
      </c>
      <c r="C2553" s="1" t="s">
        <v>31</v>
      </c>
      <c r="D2553" s="1" t="s">
        <v>19</v>
      </c>
      <c r="E2553" s="1" t="s">
        <v>38</v>
      </c>
      <c r="F2553">
        <v>2005</v>
      </c>
      <c r="G2553">
        <v>12</v>
      </c>
      <c r="H2553" s="1" t="s">
        <v>21</v>
      </c>
      <c r="I2553">
        <v>18</v>
      </c>
      <c r="J2553">
        <v>1922</v>
      </c>
      <c r="K2553" s="1" t="s">
        <v>39</v>
      </c>
      <c r="L2553" s="1" t="s">
        <v>23</v>
      </c>
      <c r="M2553">
        <v>1.232</v>
      </c>
      <c r="N2553">
        <v>22184.7</v>
      </c>
      <c r="O2553">
        <v>22.184999999999999</v>
      </c>
      <c r="P2553" s="2">
        <v>42948</v>
      </c>
      <c r="Q2553">
        <v>1</v>
      </c>
      <c r="R2553" s="1" t="s">
        <v>24</v>
      </c>
    </row>
    <row r="2554" spans="1:18" x14ac:dyDescent="0.25">
      <c r="A2554">
        <v>2017</v>
      </c>
      <c r="B2554">
        <v>9</v>
      </c>
      <c r="C2554" s="1" t="s">
        <v>32</v>
      </c>
      <c r="D2554" s="1" t="s">
        <v>19</v>
      </c>
      <c r="E2554" s="1" t="s">
        <v>38</v>
      </c>
      <c r="F2554">
        <v>2005</v>
      </c>
      <c r="G2554">
        <v>12</v>
      </c>
      <c r="H2554" s="1" t="s">
        <v>21</v>
      </c>
      <c r="I2554">
        <v>18</v>
      </c>
      <c r="J2554">
        <v>1922</v>
      </c>
      <c r="K2554" s="1" t="s">
        <v>39</v>
      </c>
      <c r="L2554" s="1" t="s">
        <v>23</v>
      </c>
      <c r="M2554">
        <v>0.88200000000000001</v>
      </c>
      <c r="N2554">
        <v>15870.9</v>
      </c>
      <c r="O2554">
        <v>15.871</v>
      </c>
      <c r="P2554" s="2">
        <v>42979</v>
      </c>
      <c r="Q2554">
        <v>1</v>
      </c>
      <c r="R2554" s="1" t="s">
        <v>24</v>
      </c>
    </row>
    <row r="2555" spans="1:18" x14ac:dyDescent="0.25">
      <c r="A2555">
        <v>2017</v>
      </c>
      <c r="B2555">
        <v>10</v>
      </c>
      <c r="C2555" s="1" t="s">
        <v>33</v>
      </c>
      <c r="D2555" s="1" t="s">
        <v>19</v>
      </c>
      <c r="E2555" s="1" t="s">
        <v>38</v>
      </c>
      <c r="F2555">
        <v>2005</v>
      </c>
      <c r="G2555">
        <v>12</v>
      </c>
      <c r="H2555" s="1" t="s">
        <v>21</v>
      </c>
      <c r="I2555">
        <v>18</v>
      </c>
      <c r="J2555">
        <v>1922</v>
      </c>
      <c r="K2555" s="1" t="s">
        <v>39</v>
      </c>
      <c r="L2555" s="1" t="s">
        <v>23</v>
      </c>
      <c r="M2555">
        <v>0.84699999999999998</v>
      </c>
      <c r="N2555">
        <v>15251.1</v>
      </c>
      <c r="O2555">
        <v>15.250999999999999</v>
      </c>
      <c r="P2555" s="2">
        <v>43009</v>
      </c>
      <c r="Q2555">
        <v>1</v>
      </c>
      <c r="R2555" s="1" t="s">
        <v>24</v>
      </c>
    </row>
    <row r="2556" spans="1:18" x14ac:dyDescent="0.25">
      <c r="A2556">
        <v>2017</v>
      </c>
      <c r="B2556">
        <v>11</v>
      </c>
      <c r="C2556" s="1" t="s">
        <v>34</v>
      </c>
      <c r="D2556" s="1" t="s">
        <v>19</v>
      </c>
      <c r="E2556" s="1" t="s">
        <v>38</v>
      </c>
      <c r="F2556">
        <v>2005</v>
      </c>
      <c r="G2556">
        <v>12</v>
      </c>
      <c r="H2556" s="1" t="s">
        <v>21</v>
      </c>
      <c r="I2556">
        <v>18</v>
      </c>
      <c r="J2556">
        <v>1922</v>
      </c>
      <c r="K2556" s="1" t="s">
        <v>39</v>
      </c>
      <c r="L2556" s="1" t="s">
        <v>23</v>
      </c>
      <c r="M2556">
        <v>0.872</v>
      </c>
      <c r="N2556">
        <v>15697.9</v>
      </c>
      <c r="O2556">
        <v>15.698</v>
      </c>
      <c r="P2556" s="2">
        <v>43040</v>
      </c>
      <c r="Q2556">
        <v>1</v>
      </c>
      <c r="R2556" s="1" t="s">
        <v>24</v>
      </c>
    </row>
    <row r="2557" spans="1:18" x14ac:dyDescent="0.25">
      <c r="A2557">
        <v>2017</v>
      </c>
      <c r="B2557">
        <v>12</v>
      </c>
      <c r="C2557" s="1" t="s">
        <v>35</v>
      </c>
      <c r="D2557" s="1" t="s">
        <v>19</v>
      </c>
      <c r="E2557" s="1" t="s">
        <v>38</v>
      </c>
      <c r="F2557">
        <v>2005</v>
      </c>
      <c r="G2557">
        <v>12</v>
      </c>
      <c r="H2557" s="1" t="s">
        <v>21</v>
      </c>
      <c r="I2557">
        <v>18</v>
      </c>
      <c r="J2557">
        <v>1922</v>
      </c>
      <c r="K2557" s="1" t="s">
        <v>39</v>
      </c>
      <c r="L2557" s="1" t="s">
        <v>23</v>
      </c>
      <c r="M2557">
        <v>0.74299999999999999</v>
      </c>
      <c r="N2557">
        <v>13377.1</v>
      </c>
      <c r="O2557">
        <v>13.377000000000001</v>
      </c>
      <c r="P2557" s="2">
        <v>43070</v>
      </c>
      <c r="Q2557">
        <v>1</v>
      </c>
      <c r="R2557" s="1" t="s">
        <v>24</v>
      </c>
    </row>
    <row r="2558" spans="1:18" x14ac:dyDescent="0.25">
      <c r="A2558">
        <v>2017</v>
      </c>
      <c r="B2558">
        <v>1</v>
      </c>
      <c r="C2558" s="1" t="s">
        <v>18</v>
      </c>
      <c r="D2558" s="1" t="s">
        <v>19</v>
      </c>
      <c r="E2558" s="1" t="s">
        <v>41</v>
      </c>
      <c r="F2558">
        <v>2005</v>
      </c>
      <c r="G2558">
        <v>12</v>
      </c>
      <c r="H2558" s="1" t="s">
        <v>21</v>
      </c>
      <c r="I2558">
        <v>26</v>
      </c>
      <c r="J2558">
        <v>2827</v>
      </c>
      <c r="K2558" s="1" t="s">
        <v>42</v>
      </c>
      <c r="L2558" s="1" t="s">
        <v>23</v>
      </c>
      <c r="M2558">
        <v>0.86299999999999999</v>
      </c>
      <c r="N2558">
        <v>22432.2</v>
      </c>
      <c r="O2558">
        <v>22.431999999999999</v>
      </c>
      <c r="P2558" s="2">
        <v>42736</v>
      </c>
      <c r="Q2558">
        <v>1</v>
      </c>
      <c r="R2558" s="1" t="s">
        <v>24</v>
      </c>
    </row>
    <row r="2559" spans="1:18" x14ac:dyDescent="0.25">
      <c r="A2559">
        <v>2017</v>
      </c>
      <c r="B2559">
        <v>2</v>
      </c>
      <c r="C2559" s="1" t="s">
        <v>25</v>
      </c>
      <c r="D2559" s="1" t="s">
        <v>19</v>
      </c>
      <c r="E2559" s="1" t="s">
        <v>41</v>
      </c>
      <c r="F2559">
        <v>2005</v>
      </c>
      <c r="G2559">
        <v>12</v>
      </c>
      <c r="H2559" s="1" t="s">
        <v>21</v>
      </c>
      <c r="I2559">
        <v>26</v>
      </c>
      <c r="J2559">
        <v>2827</v>
      </c>
      <c r="K2559" s="1" t="s">
        <v>42</v>
      </c>
      <c r="L2559" s="1" t="s">
        <v>23</v>
      </c>
      <c r="M2559">
        <v>0.53600000000000003</v>
      </c>
      <c r="N2559">
        <v>13930</v>
      </c>
      <c r="O2559">
        <v>13.93</v>
      </c>
      <c r="P2559" s="2">
        <v>42767</v>
      </c>
      <c r="Q2559">
        <v>1</v>
      </c>
      <c r="R2559" s="1" t="s">
        <v>24</v>
      </c>
    </row>
    <row r="2560" spans="1:18" x14ac:dyDescent="0.25">
      <c r="A2560">
        <v>2017</v>
      </c>
      <c r="B2560">
        <v>3</v>
      </c>
      <c r="C2560" s="1" t="s">
        <v>26</v>
      </c>
      <c r="D2560" s="1" t="s">
        <v>19</v>
      </c>
      <c r="E2560" s="1" t="s">
        <v>41</v>
      </c>
      <c r="F2560">
        <v>2005</v>
      </c>
      <c r="G2560">
        <v>12</v>
      </c>
      <c r="H2560" s="1" t="s">
        <v>21</v>
      </c>
      <c r="I2560">
        <v>26</v>
      </c>
      <c r="J2560">
        <v>2827</v>
      </c>
      <c r="K2560" s="1" t="s">
        <v>42</v>
      </c>
      <c r="L2560" s="1" t="s">
        <v>23</v>
      </c>
      <c r="M2560">
        <v>0.86799999999999999</v>
      </c>
      <c r="N2560">
        <v>22580.7</v>
      </c>
      <c r="O2560">
        <v>22.581</v>
      </c>
      <c r="P2560" s="2">
        <v>42795</v>
      </c>
      <c r="Q2560">
        <v>1</v>
      </c>
      <c r="R2560" s="1" t="s">
        <v>24</v>
      </c>
    </row>
    <row r="2561" spans="1:18" x14ac:dyDescent="0.25">
      <c r="A2561">
        <v>2017</v>
      </c>
      <c r="B2561">
        <v>4</v>
      </c>
      <c r="C2561" s="1" t="s">
        <v>27</v>
      </c>
      <c r="D2561" s="1" t="s">
        <v>19</v>
      </c>
      <c r="E2561" s="1" t="s">
        <v>41</v>
      </c>
      <c r="F2561">
        <v>2005</v>
      </c>
      <c r="G2561">
        <v>12</v>
      </c>
      <c r="H2561" s="1" t="s">
        <v>21</v>
      </c>
      <c r="I2561">
        <v>26</v>
      </c>
      <c r="J2561">
        <v>2827</v>
      </c>
      <c r="K2561" s="1" t="s">
        <v>42</v>
      </c>
      <c r="L2561" s="1" t="s">
        <v>23</v>
      </c>
      <c r="M2561">
        <v>1.1739999999999999</v>
      </c>
      <c r="N2561">
        <v>30531.599999999999</v>
      </c>
      <c r="O2561">
        <v>30.532</v>
      </c>
      <c r="P2561" s="2">
        <v>42826</v>
      </c>
      <c r="Q2561">
        <v>1</v>
      </c>
      <c r="R2561" s="1" t="s">
        <v>24</v>
      </c>
    </row>
    <row r="2562" spans="1:18" x14ac:dyDescent="0.25">
      <c r="A2562">
        <v>2017</v>
      </c>
      <c r="B2562">
        <v>5</v>
      </c>
      <c r="C2562" s="1" t="s">
        <v>28</v>
      </c>
      <c r="D2562" s="1" t="s">
        <v>19</v>
      </c>
      <c r="E2562" s="1" t="s">
        <v>41</v>
      </c>
      <c r="F2562">
        <v>2005</v>
      </c>
      <c r="G2562">
        <v>12</v>
      </c>
      <c r="H2562" s="1" t="s">
        <v>21</v>
      </c>
      <c r="I2562">
        <v>26</v>
      </c>
      <c r="J2562">
        <v>2827</v>
      </c>
      <c r="K2562" s="1" t="s">
        <v>42</v>
      </c>
      <c r="L2562" s="1" t="s">
        <v>23</v>
      </c>
      <c r="M2562">
        <v>1.0840000000000001</v>
      </c>
      <c r="N2562">
        <v>28178.1</v>
      </c>
      <c r="O2562">
        <v>28.178000000000001</v>
      </c>
      <c r="P2562" s="2">
        <v>42856</v>
      </c>
      <c r="Q2562">
        <v>1</v>
      </c>
      <c r="R2562" s="1" t="s">
        <v>24</v>
      </c>
    </row>
    <row r="2563" spans="1:18" x14ac:dyDescent="0.25">
      <c r="A2563">
        <v>2017</v>
      </c>
      <c r="B2563">
        <v>6</v>
      </c>
      <c r="C2563" s="1" t="s">
        <v>29</v>
      </c>
      <c r="D2563" s="1" t="s">
        <v>19</v>
      </c>
      <c r="E2563" s="1" t="s">
        <v>41</v>
      </c>
      <c r="F2563">
        <v>2005</v>
      </c>
      <c r="G2563">
        <v>12</v>
      </c>
      <c r="H2563" s="1" t="s">
        <v>21</v>
      </c>
      <c r="I2563">
        <v>26</v>
      </c>
      <c r="J2563">
        <v>2827</v>
      </c>
      <c r="K2563" s="1" t="s">
        <v>42</v>
      </c>
      <c r="L2563" s="1" t="s">
        <v>23</v>
      </c>
      <c r="M2563">
        <v>0.89900000000000002</v>
      </c>
      <c r="N2563">
        <v>23365.200000000001</v>
      </c>
      <c r="O2563">
        <v>23.364999999999998</v>
      </c>
      <c r="P2563" s="2">
        <v>42887</v>
      </c>
      <c r="Q2563">
        <v>1</v>
      </c>
      <c r="R2563" s="1" t="s">
        <v>24</v>
      </c>
    </row>
    <row r="2564" spans="1:18" x14ac:dyDescent="0.25">
      <c r="A2564">
        <v>2017</v>
      </c>
      <c r="B2564">
        <v>7</v>
      </c>
      <c r="C2564" s="1" t="s">
        <v>30</v>
      </c>
      <c r="D2564" s="1" t="s">
        <v>19</v>
      </c>
      <c r="E2564" s="1" t="s">
        <v>41</v>
      </c>
      <c r="F2564">
        <v>2005</v>
      </c>
      <c r="G2564">
        <v>12</v>
      </c>
      <c r="H2564" s="1" t="s">
        <v>21</v>
      </c>
      <c r="I2564">
        <v>26</v>
      </c>
      <c r="J2564">
        <v>2827</v>
      </c>
      <c r="K2564" s="1" t="s">
        <v>42</v>
      </c>
      <c r="L2564" s="1" t="s">
        <v>23</v>
      </c>
      <c r="M2564">
        <v>0.90300000000000002</v>
      </c>
      <c r="N2564">
        <v>23471.200000000001</v>
      </c>
      <c r="O2564">
        <v>23.471</v>
      </c>
      <c r="P2564" s="2">
        <v>42917</v>
      </c>
      <c r="Q2564">
        <v>1</v>
      </c>
      <c r="R2564" s="1" t="s">
        <v>24</v>
      </c>
    </row>
    <row r="2565" spans="1:18" x14ac:dyDescent="0.25">
      <c r="A2565">
        <v>2017</v>
      </c>
      <c r="B2565">
        <v>8</v>
      </c>
      <c r="C2565" s="1" t="s">
        <v>31</v>
      </c>
      <c r="D2565" s="1" t="s">
        <v>19</v>
      </c>
      <c r="E2565" s="1" t="s">
        <v>41</v>
      </c>
      <c r="F2565">
        <v>2005</v>
      </c>
      <c r="G2565">
        <v>12</v>
      </c>
      <c r="H2565" s="1" t="s">
        <v>21</v>
      </c>
      <c r="I2565">
        <v>26</v>
      </c>
      <c r="J2565">
        <v>2827</v>
      </c>
      <c r="K2565" s="1" t="s">
        <v>42</v>
      </c>
      <c r="L2565" s="1" t="s">
        <v>23</v>
      </c>
      <c r="M2565">
        <v>1.2549999999999999</v>
      </c>
      <c r="N2565">
        <v>32630.6</v>
      </c>
      <c r="O2565">
        <v>32.631</v>
      </c>
      <c r="P2565" s="2">
        <v>42948</v>
      </c>
      <c r="Q2565">
        <v>1</v>
      </c>
      <c r="R2565" s="1" t="s">
        <v>24</v>
      </c>
    </row>
    <row r="2566" spans="1:18" x14ac:dyDescent="0.25">
      <c r="A2566">
        <v>2017</v>
      </c>
      <c r="B2566">
        <v>9</v>
      </c>
      <c r="C2566" s="1" t="s">
        <v>32</v>
      </c>
      <c r="D2566" s="1" t="s">
        <v>19</v>
      </c>
      <c r="E2566" s="1" t="s">
        <v>41</v>
      </c>
      <c r="F2566">
        <v>2005</v>
      </c>
      <c r="G2566">
        <v>12</v>
      </c>
      <c r="H2566" s="1" t="s">
        <v>21</v>
      </c>
      <c r="I2566">
        <v>26</v>
      </c>
      <c r="J2566">
        <v>2827</v>
      </c>
      <c r="K2566" s="1" t="s">
        <v>42</v>
      </c>
      <c r="L2566" s="1" t="s">
        <v>23</v>
      </c>
      <c r="M2566">
        <v>0.89800000000000002</v>
      </c>
      <c r="N2566">
        <v>23344</v>
      </c>
      <c r="O2566">
        <v>23.344000000000001</v>
      </c>
      <c r="P2566" s="2">
        <v>42979</v>
      </c>
      <c r="Q2566">
        <v>1</v>
      </c>
      <c r="R2566" s="1" t="s">
        <v>24</v>
      </c>
    </row>
    <row r="2567" spans="1:18" x14ac:dyDescent="0.25">
      <c r="A2567">
        <v>2017</v>
      </c>
      <c r="B2567">
        <v>10</v>
      </c>
      <c r="C2567" s="1" t="s">
        <v>33</v>
      </c>
      <c r="D2567" s="1" t="s">
        <v>19</v>
      </c>
      <c r="E2567" s="1" t="s">
        <v>41</v>
      </c>
      <c r="F2567">
        <v>2005</v>
      </c>
      <c r="G2567">
        <v>12</v>
      </c>
      <c r="H2567" s="1" t="s">
        <v>21</v>
      </c>
      <c r="I2567">
        <v>26</v>
      </c>
      <c r="J2567">
        <v>2827</v>
      </c>
      <c r="K2567" s="1" t="s">
        <v>42</v>
      </c>
      <c r="L2567" s="1" t="s">
        <v>23</v>
      </c>
      <c r="M2567">
        <v>0.86299999999999999</v>
      </c>
      <c r="N2567">
        <v>22432.2</v>
      </c>
      <c r="O2567">
        <v>22.431999999999999</v>
      </c>
      <c r="P2567" s="2">
        <v>43009</v>
      </c>
      <c r="Q2567">
        <v>1</v>
      </c>
      <c r="R2567" s="1" t="s">
        <v>24</v>
      </c>
    </row>
    <row r="2568" spans="1:18" x14ac:dyDescent="0.25">
      <c r="A2568">
        <v>2017</v>
      </c>
      <c r="B2568">
        <v>11</v>
      </c>
      <c r="C2568" s="1" t="s">
        <v>34</v>
      </c>
      <c r="D2568" s="1" t="s">
        <v>19</v>
      </c>
      <c r="E2568" s="1" t="s">
        <v>41</v>
      </c>
      <c r="F2568">
        <v>2005</v>
      </c>
      <c r="G2568">
        <v>12</v>
      </c>
      <c r="H2568" s="1" t="s">
        <v>21</v>
      </c>
      <c r="I2568">
        <v>26</v>
      </c>
      <c r="J2568">
        <v>2827</v>
      </c>
      <c r="K2568" s="1" t="s">
        <v>42</v>
      </c>
      <c r="L2568" s="1" t="s">
        <v>23</v>
      </c>
      <c r="M2568">
        <v>0.88800000000000001</v>
      </c>
      <c r="N2568">
        <v>23089.5</v>
      </c>
      <c r="O2568">
        <v>23.09</v>
      </c>
      <c r="P2568" s="2">
        <v>43040</v>
      </c>
      <c r="Q2568">
        <v>1</v>
      </c>
      <c r="R2568" s="1" t="s">
        <v>24</v>
      </c>
    </row>
    <row r="2569" spans="1:18" x14ac:dyDescent="0.25">
      <c r="A2569">
        <v>2017</v>
      </c>
      <c r="B2569">
        <v>12</v>
      </c>
      <c r="C2569" s="1" t="s">
        <v>35</v>
      </c>
      <c r="D2569" s="1" t="s">
        <v>19</v>
      </c>
      <c r="E2569" s="1" t="s">
        <v>41</v>
      </c>
      <c r="F2569">
        <v>2005</v>
      </c>
      <c r="G2569">
        <v>12</v>
      </c>
      <c r="H2569" s="1" t="s">
        <v>21</v>
      </c>
      <c r="I2569">
        <v>26</v>
      </c>
      <c r="J2569">
        <v>2827</v>
      </c>
      <c r="K2569" s="1" t="s">
        <v>42</v>
      </c>
      <c r="L2569" s="1" t="s">
        <v>23</v>
      </c>
      <c r="M2569">
        <v>0.75700000000000001</v>
      </c>
      <c r="N2569">
        <v>19675.900000000001</v>
      </c>
      <c r="O2569">
        <v>19.675999999999998</v>
      </c>
      <c r="P2569" s="2">
        <v>43070</v>
      </c>
      <c r="Q2569">
        <v>1</v>
      </c>
      <c r="R2569" s="1" t="s">
        <v>24</v>
      </c>
    </row>
    <row r="2570" spans="1:18" x14ac:dyDescent="0.25">
      <c r="A2570">
        <v>2017</v>
      </c>
      <c r="B2570">
        <v>1</v>
      </c>
      <c r="C2570" s="1" t="s">
        <v>18</v>
      </c>
      <c r="D2570" s="1" t="s">
        <v>19</v>
      </c>
      <c r="E2570" s="1" t="s">
        <v>43</v>
      </c>
      <c r="F2570">
        <v>2005</v>
      </c>
      <c r="G2570">
        <v>12</v>
      </c>
      <c r="H2570" s="1" t="s">
        <v>21</v>
      </c>
      <c r="I2570">
        <v>24</v>
      </c>
      <c r="J2570">
        <v>1947</v>
      </c>
      <c r="K2570" s="1" t="s">
        <v>44</v>
      </c>
      <c r="L2570" s="1" t="s">
        <v>45</v>
      </c>
      <c r="M2570">
        <v>0.80900000000000005</v>
      </c>
      <c r="N2570">
        <v>19424.900000000001</v>
      </c>
      <c r="O2570">
        <v>19.425000000000001</v>
      </c>
      <c r="P2570" s="2">
        <v>42736</v>
      </c>
      <c r="Q2570">
        <v>1</v>
      </c>
      <c r="R2570" s="1" t="s">
        <v>24</v>
      </c>
    </row>
    <row r="2571" spans="1:18" x14ac:dyDescent="0.25">
      <c r="A2571">
        <v>2017</v>
      </c>
      <c r="B2571">
        <v>2</v>
      </c>
      <c r="C2571" s="1" t="s">
        <v>25</v>
      </c>
      <c r="D2571" s="1" t="s">
        <v>19</v>
      </c>
      <c r="E2571" s="1" t="s">
        <v>43</v>
      </c>
      <c r="F2571">
        <v>2005</v>
      </c>
      <c r="G2571">
        <v>12</v>
      </c>
      <c r="H2571" s="1" t="s">
        <v>21</v>
      </c>
      <c r="I2571">
        <v>24</v>
      </c>
      <c r="J2571">
        <v>1947</v>
      </c>
      <c r="K2571" s="1" t="s">
        <v>44</v>
      </c>
      <c r="L2571" s="1" t="s">
        <v>45</v>
      </c>
      <c r="M2571">
        <v>0.503</v>
      </c>
      <c r="N2571">
        <v>12062.5</v>
      </c>
      <c r="O2571">
        <v>12.063000000000001</v>
      </c>
      <c r="P2571" s="2">
        <v>42767</v>
      </c>
      <c r="Q2571">
        <v>1</v>
      </c>
      <c r="R2571" s="1" t="s">
        <v>24</v>
      </c>
    </row>
    <row r="2572" spans="1:18" x14ac:dyDescent="0.25">
      <c r="A2572">
        <v>2017</v>
      </c>
      <c r="B2572">
        <v>3</v>
      </c>
      <c r="C2572" s="1" t="s">
        <v>26</v>
      </c>
      <c r="D2572" s="1" t="s">
        <v>19</v>
      </c>
      <c r="E2572" s="1" t="s">
        <v>43</v>
      </c>
      <c r="F2572">
        <v>2005</v>
      </c>
      <c r="G2572">
        <v>12</v>
      </c>
      <c r="H2572" s="1" t="s">
        <v>21</v>
      </c>
      <c r="I2572">
        <v>24</v>
      </c>
      <c r="J2572">
        <v>1947</v>
      </c>
      <c r="K2572" s="1" t="s">
        <v>44</v>
      </c>
      <c r="L2572" s="1" t="s">
        <v>45</v>
      </c>
      <c r="M2572">
        <v>0.81499999999999995</v>
      </c>
      <c r="N2572">
        <v>19553.400000000001</v>
      </c>
      <c r="O2572">
        <v>19.553000000000001</v>
      </c>
      <c r="P2572" s="2">
        <v>42795</v>
      </c>
      <c r="Q2572">
        <v>1</v>
      </c>
      <c r="R2572" s="1" t="s">
        <v>24</v>
      </c>
    </row>
    <row r="2573" spans="1:18" x14ac:dyDescent="0.25">
      <c r="A2573">
        <v>2017</v>
      </c>
      <c r="B2573">
        <v>4</v>
      </c>
      <c r="C2573" s="1" t="s">
        <v>27</v>
      </c>
      <c r="D2573" s="1" t="s">
        <v>19</v>
      </c>
      <c r="E2573" s="1" t="s">
        <v>43</v>
      </c>
      <c r="F2573">
        <v>2005</v>
      </c>
      <c r="G2573">
        <v>12</v>
      </c>
      <c r="H2573" s="1" t="s">
        <v>21</v>
      </c>
      <c r="I2573">
        <v>24</v>
      </c>
      <c r="J2573">
        <v>1947</v>
      </c>
      <c r="K2573" s="1" t="s">
        <v>44</v>
      </c>
      <c r="L2573" s="1" t="s">
        <v>45</v>
      </c>
      <c r="M2573">
        <v>1.1020000000000001</v>
      </c>
      <c r="N2573">
        <v>26438.400000000001</v>
      </c>
      <c r="O2573">
        <v>26.437999999999999</v>
      </c>
      <c r="P2573" s="2">
        <v>42826</v>
      </c>
      <c r="Q2573">
        <v>1</v>
      </c>
      <c r="R2573" s="1" t="s">
        <v>24</v>
      </c>
    </row>
    <row r="2574" spans="1:18" x14ac:dyDescent="0.25">
      <c r="A2574">
        <v>2017</v>
      </c>
      <c r="B2574">
        <v>5</v>
      </c>
      <c r="C2574" s="1" t="s">
        <v>28</v>
      </c>
      <c r="D2574" s="1" t="s">
        <v>19</v>
      </c>
      <c r="E2574" s="1" t="s">
        <v>43</v>
      </c>
      <c r="F2574">
        <v>2005</v>
      </c>
      <c r="G2574">
        <v>12</v>
      </c>
      <c r="H2574" s="1" t="s">
        <v>21</v>
      </c>
      <c r="I2574">
        <v>24</v>
      </c>
      <c r="J2574">
        <v>1947</v>
      </c>
      <c r="K2574" s="1" t="s">
        <v>44</v>
      </c>
      <c r="L2574" s="1" t="s">
        <v>45</v>
      </c>
      <c r="M2574">
        <v>1.0169999999999999</v>
      </c>
      <c r="N2574">
        <v>24400.400000000001</v>
      </c>
      <c r="O2574">
        <v>24.4</v>
      </c>
      <c r="P2574" s="2">
        <v>42856</v>
      </c>
      <c r="Q2574">
        <v>1</v>
      </c>
      <c r="R2574" s="1" t="s">
        <v>24</v>
      </c>
    </row>
    <row r="2575" spans="1:18" x14ac:dyDescent="0.25">
      <c r="A2575">
        <v>2017</v>
      </c>
      <c r="B2575">
        <v>6</v>
      </c>
      <c r="C2575" s="1" t="s">
        <v>29</v>
      </c>
      <c r="D2575" s="1" t="s">
        <v>19</v>
      </c>
      <c r="E2575" s="1" t="s">
        <v>43</v>
      </c>
      <c r="F2575">
        <v>2005</v>
      </c>
      <c r="G2575">
        <v>12</v>
      </c>
      <c r="H2575" s="1" t="s">
        <v>21</v>
      </c>
      <c r="I2575">
        <v>24</v>
      </c>
      <c r="J2575">
        <v>1947</v>
      </c>
      <c r="K2575" s="1" t="s">
        <v>44</v>
      </c>
      <c r="L2575" s="1" t="s">
        <v>45</v>
      </c>
      <c r="M2575">
        <v>0.84299999999999997</v>
      </c>
      <c r="N2575">
        <v>20232.7</v>
      </c>
      <c r="O2575">
        <v>20.233000000000001</v>
      </c>
      <c r="P2575" s="2">
        <v>42887</v>
      </c>
      <c r="Q2575">
        <v>1</v>
      </c>
      <c r="R2575" s="1" t="s">
        <v>24</v>
      </c>
    </row>
    <row r="2576" spans="1:18" x14ac:dyDescent="0.25">
      <c r="A2576">
        <v>2017</v>
      </c>
      <c r="B2576">
        <v>7</v>
      </c>
      <c r="C2576" s="1" t="s">
        <v>30</v>
      </c>
      <c r="D2576" s="1" t="s">
        <v>19</v>
      </c>
      <c r="E2576" s="1" t="s">
        <v>43</v>
      </c>
      <c r="F2576">
        <v>2005</v>
      </c>
      <c r="G2576">
        <v>12</v>
      </c>
      <c r="H2576" s="1" t="s">
        <v>21</v>
      </c>
      <c r="I2576">
        <v>24</v>
      </c>
      <c r="J2576">
        <v>1947</v>
      </c>
      <c r="K2576" s="1" t="s">
        <v>44</v>
      </c>
      <c r="L2576" s="1" t="s">
        <v>45</v>
      </c>
      <c r="M2576">
        <v>0.84699999999999998</v>
      </c>
      <c r="N2576">
        <v>20324.5</v>
      </c>
      <c r="O2576">
        <v>20.324999999999999</v>
      </c>
      <c r="P2576" s="2">
        <v>42917</v>
      </c>
      <c r="Q2576">
        <v>1</v>
      </c>
      <c r="R2576" s="1" t="s">
        <v>24</v>
      </c>
    </row>
    <row r="2577" spans="1:18" x14ac:dyDescent="0.25">
      <c r="A2577">
        <v>2017</v>
      </c>
      <c r="B2577">
        <v>8</v>
      </c>
      <c r="C2577" s="1" t="s">
        <v>31</v>
      </c>
      <c r="D2577" s="1" t="s">
        <v>19</v>
      </c>
      <c r="E2577" s="1" t="s">
        <v>43</v>
      </c>
      <c r="F2577">
        <v>2005</v>
      </c>
      <c r="G2577">
        <v>12</v>
      </c>
      <c r="H2577" s="1" t="s">
        <v>21</v>
      </c>
      <c r="I2577">
        <v>24</v>
      </c>
      <c r="J2577">
        <v>1947</v>
      </c>
      <c r="K2577" s="1" t="s">
        <v>44</v>
      </c>
      <c r="L2577" s="1" t="s">
        <v>45</v>
      </c>
      <c r="M2577">
        <v>1.177</v>
      </c>
      <c r="N2577">
        <v>28256</v>
      </c>
      <c r="O2577">
        <v>28.256</v>
      </c>
      <c r="P2577" s="2">
        <v>42948</v>
      </c>
      <c r="Q2577">
        <v>1</v>
      </c>
      <c r="R2577" s="1" t="s">
        <v>24</v>
      </c>
    </row>
    <row r="2578" spans="1:18" x14ac:dyDescent="0.25">
      <c r="A2578">
        <v>2017</v>
      </c>
      <c r="B2578">
        <v>9</v>
      </c>
      <c r="C2578" s="1" t="s">
        <v>32</v>
      </c>
      <c r="D2578" s="1" t="s">
        <v>19</v>
      </c>
      <c r="E2578" s="1" t="s">
        <v>43</v>
      </c>
      <c r="F2578">
        <v>2005</v>
      </c>
      <c r="G2578">
        <v>12</v>
      </c>
      <c r="H2578" s="1" t="s">
        <v>21</v>
      </c>
      <c r="I2578">
        <v>24</v>
      </c>
      <c r="J2578">
        <v>1947</v>
      </c>
      <c r="K2578" s="1" t="s">
        <v>44</v>
      </c>
      <c r="L2578" s="1" t="s">
        <v>45</v>
      </c>
      <c r="M2578">
        <v>0.84199999999999997</v>
      </c>
      <c r="N2578">
        <v>20214.400000000001</v>
      </c>
      <c r="O2578">
        <v>20.213999999999999</v>
      </c>
      <c r="P2578" s="2">
        <v>42979</v>
      </c>
      <c r="Q2578">
        <v>1</v>
      </c>
      <c r="R2578" s="1" t="s">
        <v>24</v>
      </c>
    </row>
    <row r="2579" spans="1:18" x14ac:dyDescent="0.25">
      <c r="A2579">
        <v>2017</v>
      </c>
      <c r="B2579">
        <v>10</v>
      </c>
      <c r="C2579" s="1" t="s">
        <v>33</v>
      </c>
      <c r="D2579" s="1" t="s">
        <v>19</v>
      </c>
      <c r="E2579" s="1" t="s">
        <v>43</v>
      </c>
      <c r="F2579">
        <v>2005</v>
      </c>
      <c r="G2579">
        <v>12</v>
      </c>
      <c r="H2579" s="1" t="s">
        <v>21</v>
      </c>
      <c r="I2579">
        <v>24</v>
      </c>
      <c r="J2579">
        <v>1947</v>
      </c>
      <c r="K2579" s="1" t="s">
        <v>44</v>
      </c>
      <c r="L2579" s="1" t="s">
        <v>45</v>
      </c>
      <c r="M2579">
        <v>0.80900000000000005</v>
      </c>
      <c r="N2579">
        <v>19424.900000000001</v>
      </c>
      <c r="O2579">
        <v>19.425000000000001</v>
      </c>
      <c r="P2579" s="2">
        <v>43009</v>
      </c>
      <c r="Q2579">
        <v>1</v>
      </c>
      <c r="R2579" s="1" t="s">
        <v>24</v>
      </c>
    </row>
    <row r="2580" spans="1:18" x14ac:dyDescent="0.25">
      <c r="A2580">
        <v>2017</v>
      </c>
      <c r="B2580">
        <v>11</v>
      </c>
      <c r="C2580" s="1" t="s">
        <v>34</v>
      </c>
      <c r="D2580" s="1" t="s">
        <v>19</v>
      </c>
      <c r="E2580" s="1" t="s">
        <v>43</v>
      </c>
      <c r="F2580">
        <v>2005</v>
      </c>
      <c r="G2580">
        <v>12</v>
      </c>
      <c r="H2580" s="1" t="s">
        <v>21</v>
      </c>
      <c r="I2580">
        <v>24</v>
      </c>
      <c r="J2580">
        <v>1947</v>
      </c>
      <c r="K2580" s="1" t="s">
        <v>44</v>
      </c>
      <c r="L2580" s="1" t="s">
        <v>45</v>
      </c>
      <c r="M2580">
        <v>0.83299999999999996</v>
      </c>
      <c r="N2580">
        <v>19994</v>
      </c>
      <c r="O2580">
        <v>19.994</v>
      </c>
      <c r="P2580" s="2">
        <v>43040</v>
      </c>
      <c r="Q2580">
        <v>1</v>
      </c>
      <c r="R2580" s="1" t="s">
        <v>24</v>
      </c>
    </row>
    <row r="2581" spans="1:18" x14ac:dyDescent="0.25">
      <c r="A2581">
        <v>2017</v>
      </c>
      <c r="B2581">
        <v>12</v>
      </c>
      <c r="C2581" s="1" t="s">
        <v>35</v>
      </c>
      <c r="D2581" s="1" t="s">
        <v>19</v>
      </c>
      <c r="E2581" s="1" t="s">
        <v>43</v>
      </c>
      <c r="F2581">
        <v>2005</v>
      </c>
      <c r="G2581">
        <v>12</v>
      </c>
      <c r="H2581" s="1" t="s">
        <v>21</v>
      </c>
      <c r="I2581">
        <v>24</v>
      </c>
      <c r="J2581">
        <v>1947</v>
      </c>
      <c r="K2581" s="1" t="s">
        <v>44</v>
      </c>
      <c r="L2581" s="1" t="s">
        <v>45</v>
      </c>
      <c r="M2581">
        <v>0.71</v>
      </c>
      <c r="N2581">
        <v>17038.099999999999</v>
      </c>
      <c r="O2581">
        <v>17.038</v>
      </c>
      <c r="P2581" s="2">
        <v>43070</v>
      </c>
      <c r="Q2581">
        <v>1</v>
      </c>
      <c r="R2581" s="1" t="s">
        <v>24</v>
      </c>
    </row>
    <row r="2582" spans="1:18" x14ac:dyDescent="0.25">
      <c r="A2582">
        <v>2017</v>
      </c>
      <c r="B2582">
        <v>1</v>
      </c>
      <c r="C2582" s="1" t="s">
        <v>18</v>
      </c>
      <c r="D2582" s="1" t="s">
        <v>19</v>
      </c>
      <c r="E2582" s="1" t="s">
        <v>46</v>
      </c>
      <c r="F2582">
        <v>2006</v>
      </c>
      <c r="G2582">
        <v>11</v>
      </c>
      <c r="H2582" s="1" t="s">
        <v>21</v>
      </c>
      <c r="I2582">
        <v>25</v>
      </c>
      <c r="J2582">
        <v>2740</v>
      </c>
      <c r="K2582" s="1" t="s">
        <v>47</v>
      </c>
      <c r="L2582" s="1" t="s">
        <v>45</v>
      </c>
      <c r="M2582">
        <v>0.87</v>
      </c>
      <c r="N2582">
        <v>21741.9</v>
      </c>
      <c r="O2582">
        <v>21.742000000000001</v>
      </c>
      <c r="P2582" s="2">
        <v>42736</v>
      </c>
      <c r="Q2582">
        <v>1</v>
      </c>
      <c r="R2582" s="1" t="s">
        <v>24</v>
      </c>
    </row>
    <row r="2583" spans="1:18" x14ac:dyDescent="0.25">
      <c r="A2583">
        <v>2017</v>
      </c>
      <c r="B2583">
        <v>2</v>
      </c>
      <c r="C2583" s="1" t="s">
        <v>25</v>
      </c>
      <c r="D2583" s="1" t="s">
        <v>19</v>
      </c>
      <c r="E2583" s="1" t="s">
        <v>46</v>
      </c>
      <c r="F2583">
        <v>2006</v>
      </c>
      <c r="G2583">
        <v>11</v>
      </c>
      <c r="H2583" s="1" t="s">
        <v>21</v>
      </c>
      <c r="I2583">
        <v>25</v>
      </c>
      <c r="J2583">
        <v>2740</v>
      </c>
      <c r="K2583" s="1" t="s">
        <v>47</v>
      </c>
      <c r="L2583" s="1" t="s">
        <v>45</v>
      </c>
      <c r="M2583">
        <v>0.54</v>
      </c>
      <c r="N2583">
        <v>13501.4</v>
      </c>
      <c r="O2583">
        <v>13.500999999999999</v>
      </c>
      <c r="P2583" s="2">
        <v>42767</v>
      </c>
      <c r="Q2583">
        <v>1</v>
      </c>
      <c r="R2583" s="1" t="s">
        <v>24</v>
      </c>
    </row>
    <row r="2584" spans="1:18" x14ac:dyDescent="0.25">
      <c r="A2584">
        <v>2017</v>
      </c>
      <c r="B2584">
        <v>3</v>
      </c>
      <c r="C2584" s="1" t="s">
        <v>26</v>
      </c>
      <c r="D2584" s="1" t="s">
        <v>19</v>
      </c>
      <c r="E2584" s="1" t="s">
        <v>46</v>
      </c>
      <c r="F2584">
        <v>2006</v>
      </c>
      <c r="G2584">
        <v>11</v>
      </c>
      <c r="H2584" s="1" t="s">
        <v>21</v>
      </c>
      <c r="I2584">
        <v>25</v>
      </c>
      <c r="J2584">
        <v>2740</v>
      </c>
      <c r="K2584" s="1" t="s">
        <v>47</v>
      </c>
      <c r="L2584" s="1" t="s">
        <v>45</v>
      </c>
      <c r="M2584">
        <v>0.875</v>
      </c>
      <c r="N2584">
        <v>21885.7</v>
      </c>
      <c r="O2584">
        <v>21.885999999999999</v>
      </c>
      <c r="P2584" s="2">
        <v>42795</v>
      </c>
      <c r="Q2584">
        <v>1</v>
      </c>
      <c r="R2584" s="1" t="s">
        <v>24</v>
      </c>
    </row>
    <row r="2585" spans="1:18" x14ac:dyDescent="0.25">
      <c r="A2585">
        <v>2017</v>
      </c>
      <c r="B2585">
        <v>4</v>
      </c>
      <c r="C2585" s="1" t="s">
        <v>27</v>
      </c>
      <c r="D2585" s="1" t="s">
        <v>19</v>
      </c>
      <c r="E2585" s="1" t="s">
        <v>46</v>
      </c>
      <c r="F2585">
        <v>2006</v>
      </c>
      <c r="G2585">
        <v>11</v>
      </c>
      <c r="H2585" s="1" t="s">
        <v>21</v>
      </c>
      <c r="I2585">
        <v>25</v>
      </c>
      <c r="J2585">
        <v>2740</v>
      </c>
      <c r="K2585" s="1" t="s">
        <v>47</v>
      </c>
      <c r="L2585" s="1" t="s">
        <v>45</v>
      </c>
      <c r="M2585">
        <v>1.1839999999999999</v>
      </c>
      <c r="N2585">
        <v>29592</v>
      </c>
      <c r="O2585">
        <v>29.591999999999999</v>
      </c>
      <c r="P2585" s="2">
        <v>42826</v>
      </c>
      <c r="Q2585">
        <v>1</v>
      </c>
      <c r="R2585" s="1" t="s">
        <v>24</v>
      </c>
    </row>
    <row r="2586" spans="1:18" x14ac:dyDescent="0.25">
      <c r="A2586">
        <v>2017</v>
      </c>
      <c r="B2586">
        <v>5</v>
      </c>
      <c r="C2586" s="1" t="s">
        <v>28</v>
      </c>
      <c r="D2586" s="1" t="s">
        <v>19</v>
      </c>
      <c r="E2586" s="1" t="s">
        <v>46</v>
      </c>
      <c r="F2586">
        <v>2006</v>
      </c>
      <c r="G2586">
        <v>11</v>
      </c>
      <c r="H2586" s="1" t="s">
        <v>21</v>
      </c>
      <c r="I2586">
        <v>25</v>
      </c>
      <c r="J2586">
        <v>2740</v>
      </c>
      <c r="K2586" s="1" t="s">
        <v>47</v>
      </c>
      <c r="L2586" s="1" t="s">
        <v>45</v>
      </c>
      <c r="M2586">
        <v>1.0920000000000001</v>
      </c>
      <c r="N2586">
        <v>27310.9</v>
      </c>
      <c r="O2586">
        <v>27.311</v>
      </c>
      <c r="P2586" s="2">
        <v>42856</v>
      </c>
      <c r="Q2586">
        <v>1</v>
      </c>
      <c r="R2586" s="1" t="s">
        <v>24</v>
      </c>
    </row>
    <row r="2587" spans="1:18" x14ac:dyDescent="0.25">
      <c r="A2587">
        <v>2017</v>
      </c>
      <c r="B2587">
        <v>6</v>
      </c>
      <c r="C2587" s="1" t="s">
        <v>29</v>
      </c>
      <c r="D2587" s="1" t="s">
        <v>19</v>
      </c>
      <c r="E2587" s="1" t="s">
        <v>46</v>
      </c>
      <c r="F2587">
        <v>2006</v>
      </c>
      <c r="G2587">
        <v>11</v>
      </c>
      <c r="H2587" s="1" t="s">
        <v>21</v>
      </c>
      <c r="I2587">
        <v>25</v>
      </c>
      <c r="J2587">
        <v>2740</v>
      </c>
      <c r="K2587" s="1" t="s">
        <v>47</v>
      </c>
      <c r="L2587" s="1" t="s">
        <v>45</v>
      </c>
      <c r="M2587">
        <v>0.90600000000000003</v>
      </c>
      <c r="N2587">
        <v>22646.1</v>
      </c>
      <c r="O2587">
        <v>22.646000000000001</v>
      </c>
      <c r="P2587" s="2">
        <v>42887</v>
      </c>
      <c r="Q2587">
        <v>1</v>
      </c>
      <c r="R2587" s="1" t="s">
        <v>24</v>
      </c>
    </row>
    <row r="2588" spans="1:18" x14ac:dyDescent="0.25">
      <c r="A2588">
        <v>2017</v>
      </c>
      <c r="B2588">
        <v>7</v>
      </c>
      <c r="C2588" s="1" t="s">
        <v>30</v>
      </c>
      <c r="D2588" s="1" t="s">
        <v>19</v>
      </c>
      <c r="E2588" s="1" t="s">
        <v>46</v>
      </c>
      <c r="F2588">
        <v>2006</v>
      </c>
      <c r="G2588">
        <v>11</v>
      </c>
      <c r="H2588" s="1" t="s">
        <v>21</v>
      </c>
      <c r="I2588">
        <v>25</v>
      </c>
      <c r="J2588">
        <v>2740</v>
      </c>
      <c r="K2588" s="1" t="s">
        <v>47</v>
      </c>
      <c r="L2588" s="1" t="s">
        <v>45</v>
      </c>
      <c r="M2588">
        <v>0.91</v>
      </c>
      <c r="N2588">
        <v>22748.799999999999</v>
      </c>
      <c r="O2588">
        <v>22.748999999999999</v>
      </c>
      <c r="P2588" s="2">
        <v>42917</v>
      </c>
      <c r="Q2588">
        <v>1</v>
      </c>
      <c r="R2588" s="1" t="s">
        <v>24</v>
      </c>
    </row>
    <row r="2589" spans="1:18" x14ac:dyDescent="0.25">
      <c r="A2589">
        <v>2017</v>
      </c>
      <c r="B2589">
        <v>8</v>
      </c>
      <c r="C2589" s="1" t="s">
        <v>31</v>
      </c>
      <c r="D2589" s="1" t="s">
        <v>19</v>
      </c>
      <c r="E2589" s="1" t="s">
        <v>46</v>
      </c>
      <c r="F2589">
        <v>2006</v>
      </c>
      <c r="G2589">
        <v>11</v>
      </c>
      <c r="H2589" s="1" t="s">
        <v>21</v>
      </c>
      <c r="I2589">
        <v>25</v>
      </c>
      <c r="J2589">
        <v>2740</v>
      </c>
      <c r="K2589" s="1" t="s">
        <v>47</v>
      </c>
      <c r="L2589" s="1" t="s">
        <v>45</v>
      </c>
      <c r="M2589">
        <v>1.2649999999999999</v>
      </c>
      <c r="N2589">
        <v>31626.400000000001</v>
      </c>
      <c r="O2589">
        <v>31.626000000000001</v>
      </c>
      <c r="P2589" s="2">
        <v>42948</v>
      </c>
      <c r="Q2589">
        <v>1</v>
      </c>
      <c r="R2589" s="1" t="s">
        <v>24</v>
      </c>
    </row>
    <row r="2590" spans="1:18" x14ac:dyDescent="0.25">
      <c r="A2590">
        <v>2017</v>
      </c>
      <c r="B2590">
        <v>9</v>
      </c>
      <c r="C2590" s="1" t="s">
        <v>32</v>
      </c>
      <c r="D2590" s="1" t="s">
        <v>19</v>
      </c>
      <c r="E2590" s="1" t="s">
        <v>46</v>
      </c>
      <c r="F2590">
        <v>2006</v>
      </c>
      <c r="G2590">
        <v>11</v>
      </c>
      <c r="H2590" s="1" t="s">
        <v>21</v>
      </c>
      <c r="I2590">
        <v>25</v>
      </c>
      <c r="J2590">
        <v>2740</v>
      </c>
      <c r="K2590" s="1" t="s">
        <v>47</v>
      </c>
      <c r="L2590" s="1" t="s">
        <v>45</v>
      </c>
      <c r="M2590">
        <v>0.90500000000000003</v>
      </c>
      <c r="N2590">
        <v>22625.5</v>
      </c>
      <c r="O2590">
        <v>22.626000000000001</v>
      </c>
      <c r="P2590" s="2">
        <v>42979</v>
      </c>
      <c r="Q2590">
        <v>1</v>
      </c>
      <c r="R2590" s="1" t="s">
        <v>24</v>
      </c>
    </row>
    <row r="2591" spans="1:18" x14ac:dyDescent="0.25">
      <c r="A2591">
        <v>2017</v>
      </c>
      <c r="B2591">
        <v>10</v>
      </c>
      <c r="C2591" s="1" t="s">
        <v>33</v>
      </c>
      <c r="D2591" s="1" t="s">
        <v>19</v>
      </c>
      <c r="E2591" s="1" t="s">
        <v>46</v>
      </c>
      <c r="F2591">
        <v>2006</v>
      </c>
      <c r="G2591">
        <v>11</v>
      </c>
      <c r="H2591" s="1" t="s">
        <v>21</v>
      </c>
      <c r="I2591">
        <v>25</v>
      </c>
      <c r="J2591">
        <v>2740</v>
      </c>
      <c r="K2591" s="1" t="s">
        <v>47</v>
      </c>
      <c r="L2591" s="1" t="s">
        <v>45</v>
      </c>
      <c r="M2591">
        <v>0.87</v>
      </c>
      <c r="N2591">
        <v>21741.9</v>
      </c>
      <c r="O2591">
        <v>21.742000000000001</v>
      </c>
      <c r="P2591" s="2">
        <v>43009</v>
      </c>
      <c r="Q2591">
        <v>1</v>
      </c>
      <c r="R2591" s="1" t="s">
        <v>24</v>
      </c>
    </row>
    <row r="2592" spans="1:18" x14ac:dyDescent="0.25">
      <c r="A2592">
        <v>2017</v>
      </c>
      <c r="B2592">
        <v>11</v>
      </c>
      <c r="C2592" s="1" t="s">
        <v>34</v>
      </c>
      <c r="D2592" s="1" t="s">
        <v>19</v>
      </c>
      <c r="E2592" s="1" t="s">
        <v>46</v>
      </c>
      <c r="F2592">
        <v>2006</v>
      </c>
      <c r="G2592">
        <v>11</v>
      </c>
      <c r="H2592" s="1" t="s">
        <v>21</v>
      </c>
      <c r="I2592">
        <v>25</v>
      </c>
      <c r="J2592">
        <v>2740</v>
      </c>
      <c r="K2592" s="1" t="s">
        <v>47</v>
      </c>
      <c r="L2592" s="1" t="s">
        <v>45</v>
      </c>
      <c r="M2592">
        <v>0.89500000000000002</v>
      </c>
      <c r="N2592">
        <v>22378.9</v>
      </c>
      <c r="O2592">
        <v>22.379000000000001</v>
      </c>
      <c r="P2592" s="2">
        <v>43040</v>
      </c>
      <c r="Q2592">
        <v>1</v>
      </c>
      <c r="R2592" s="1" t="s">
        <v>24</v>
      </c>
    </row>
    <row r="2593" spans="1:18" x14ac:dyDescent="0.25">
      <c r="A2593">
        <v>2017</v>
      </c>
      <c r="B2593">
        <v>12</v>
      </c>
      <c r="C2593" s="1" t="s">
        <v>35</v>
      </c>
      <c r="D2593" s="1" t="s">
        <v>19</v>
      </c>
      <c r="E2593" s="1" t="s">
        <v>46</v>
      </c>
      <c r="F2593">
        <v>2006</v>
      </c>
      <c r="G2593">
        <v>11</v>
      </c>
      <c r="H2593" s="1" t="s">
        <v>21</v>
      </c>
      <c r="I2593">
        <v>25</v>
      </c>
      <c r="J2593">
        <v>2740</v>
      </c>
      <c r="K2593" s="1" t="s">
        <v>47</v>
      </c>
      <c r="L2593" s="1" t="s">
        <v>45</v>
      </c>
      <c r="M2593">
        <v>0.76300000000000001</v>
      </c>
      <c r="N2593">
        <v>19070.400000000001</v>
      </c>
      <c r="O2593">
        <v>19.07</v>
      </c>
      <c r="P2593" s="2">
        <v>43070</v>
      </c>
      <c r="Q2593">
        <v>1</v>
      </c>
      <c r="R2593" s="1" t="s">
        <v>24</v>
      </c>
    </row>
    <row r="2594" spans="1:18" x14ac:dyDescent="0.25">
      <c r="A2594">
        <v>2017</v>
      </c>
      <c r="B2594">
        <v>1</v>
      </c>
      <c r="C2594" s="1" t="s">
        <v>18</v>
      </c>
      <c r="D2594" s="1" t="s">
        <v>19</v>
      </c>
      <c r="E2594" s="1" t="s">
        <v>48</v>
      </c>
      <c r="F2594">
        <v>2006</v>
      </c>
      <c r="G2594">
        <v>11</v>
      </c>
      <c r="H2594" s="1" t="s">
        <v>21</v>
      </c>
      <c r="I2594">
        <v>24</v>
      </c>
      <c r="J2594">
        <v>3230</v>
      </c>
      <c r="K2594" s="1" t="s">
        <v>49</v>
      </c>
      <c r="L2594" s="1" t="s">
        <v>45</v>
      </c>
      <c r="M2594">
        <v>1.0680000000000001</v>
      </c>
      <c r="N2594">
        <v>25630.1</v>
      </c>
      <c r="O2594">
        <v>25.63</v>
      </c>
      <c r="P2594" s="2">
        <v>42736</v>
      </c>
      <c r="Q2594">
        <v>1</v>
      </c>
      <c r="R2594" s="1" t="s">
        <v>24</v>
      </c>
    </row>
    <row r="2595" spans="1:18" x14ac:dyDescent="0.25">
      <c r="A2595">
        <v>2017</v>
      </c>
      <c r="B2595">
        <v>2</v>
      </c>
      <c r="C2595" s="1" t="s">
        <v>25</v>
      </c>
      <c r="D2595" s="1" t="s">
        <v>19</v>
      </c>
      <c r="E2595" s="1" t="s">
        <v>48</v>
      </c>
      <c r="F2595">
        <v>2006</v>
      </c>
      <c r="G2595">
        <v>11</v>
      </c>
      <c r="H2595" s="1" t="s">
        <v>21</v>
      </c>
      <c r="I2595">
        <v>24</v>
      </c>
      <c r="J2595">
        <v>3230</v>
      </c>
      <c r="K2595" s="1" t="s">
        <v>49</v>
      </c>
      <c r="L2595" s="1" t="s">
        <v>45</v>
      </c>
      <c r="M2595">
        <v>0.66300000000000003</v>
      </c>
      <c r="N2595">
        <v>15915.8</v>
      </c>
      <c r="O2595">
        <v>15.916</v>
      </c>
      <c r="P2595" s="2">
        <v>42767</v>
      </c>
      <c r="Q2595">
        <v>1</v>
      </c>
      <c r="R2595" s="1" t="s">
        <v>24</v>
      </c>
    </row>
    <row r="2596" spans="1:18" x14ac:dyDescent="0.25">
      <c r="A2596">
        <v>2017</v>
      </c>
      <c r="B2596">
        <v>3</v>
      </c>
      <c r="C2596" s="1" t="s">
        <v>26</v>
      </c>
      <c r="D2596" s="1" t="s">
        <v>19</v>
      </c>
      <c r="E2596" s="1" t="s">
        <v>48</v>
      </c>
      <c r="F2596">
        <v>2006</v>
      </c>
      <c r="G2596">
        <v>11</v>
      </c>
      <c r="H2596" s="1" t="s">
        <v>21</v>
      </c>
      <c r="I2596">
        <v>24</v>
      </c>
      <c r="J2596">
        <v>3230</v>
      </c>
      <c r="K2596" s="1" t="s">
        <v>49</v>
      </c>
      <c r="L2596" s="1" t="s">
        <v>45</v>
      </c>
      <c r="M2596">
        <v>1.075</v>
      </c>
      <c r="N2596">
        <v>25799.599999999999</v>
      </c>
      <c r="O2596">
        <v>25.8</v>
      </c>
      <c r="P2596" s="2">
        <v>42795</v>
      </c>
      <c r="Q2596">
        <v>1</v>
      </c>
      <c r="R2596" s="1" t="s">
        <v>24</v>
      </c>
    </row>
    <row r="2597" spans="1:18" x14ac:dyDescent="0.25">
      <c r="A2597">
        <v>2017</v>
      </c>
      <c r="B2597">
        <v>4</v>
      </c>
      <c r="C2597" s="1" t="s">
        <v>27</v>
      </c>
      <c r="D2597" s="1" t="s">
        <v>19</v>
      </c>
      <c r="E2597" s="1" t="s">
        <v>48</v>
      </c>
      <c r="F2597">
        <v>2006</v>
      </c>
      <c r="G2597">
        <v>11</v>
      </c>
      <c r="H2597" s="1" t="s">
        <v>21</v>
      </c>
      <c r="I2597">
        <v>24</v>
      </c>
      <c r="J2597">
        <v>3230</v>
      </c>
      <c r="K2597" s="1" t="s">
        <v>49</v>
      </c>
      <c r="L2597" s="1" t="s">
        <v>45</v>
      </c>
      <c r="M2597">
        <v>1.454</v>
      </c>
      <c r="N2597">
        <v>34884</v>
      </c>
      <c r="O2597">
        <v>34.884</v>
      </c>
      <c r="P2597" s="2">
        <v>42826</v>
      </c>
      <c r="Q2597">
        <v>1</v>
      </c>
      <c r="R2597" s="1" t="s">
        <v>24</v>
      </c>
    </row>
    <row r="2598" spans="1:18" x14ac:dyDescent="0.25">
      <c r="A2598">
        <v>2017</v>
      </c>
      <c r="B2598">
        <v>5</v>
      </c>
      <c r="C2598" s="1" t="s">
        <v>28</v>
      </c>
      <c r="D2598" s="1" t="s">
        <v>19</v>
      </c>
      <c r="E2598" s="1" t="s">
        <v>48</v>
      </c>
      <c r="F2598">
        <v>2006</v>
      </c>
      <c r="G2598">
        <v>11</v>
      </c>
      <c r="H2598" s="1" t="s">
        <v>21</v>
      </c>
      <c r="I2598">
        <v>24</v>
      </c>
      <c r="J2598">
        <v>3230</v>
      </c>
      <c r="K2598" s="1" t="s">
        <v>49</v>
      </c>
      <c r="L2598" s="1" t="s">
        <v>45</v>
      </c>
      <c r="M2598">
        <v>1.341</v>
      </c>
      <c r="N2598">
        <v>32195</v>
      </c>
      <c r="O2598">
        <v>32.195</v>
      </c>
      <c r="P2598" s="2">
        <v>42856</v>
      </c>
      <c r="Q2598">
        <v>1</v>
      </c>
      <c r="R2598" s="1" t="s">
        <v>24</v>
      </c>
    </row>
    <row r="2599" spans="1:18" x14ac:dyDescent="0.25">
      <c r="A2599">
        <v>2017</v>
      </c>
      <c r="B2599">
        <v>6</v>
      </c>
      <c r="C2599" s="1" t="s">
        <v>29</v>
      </c>
      <c r="D2599" s="1" t="s">
        <v>19</v>
      </c>
      <c r="E2599" s="1" t="s">
        <v>48</v>
      </c>
      <c r="F2599">
        <v>2006</v>
      </c>
      <c r="G2599">
        <v>11</v>
      </c>
      <c r="H2599" s="1" t="s">
        <v>21</v>
      </c>
      <c r="I2599">
        <v>24</v>
      </c>
      <c r="J2599">
        <v>3230</v>
      </c>
      <c r="K2599" s="1" t="s">
        <v>49</v>
      </c>
      <c r="L2599" s="1" t="s">
        <v>45</v>
      </c>
      <c r="M2599">
        <v>1.1120000000000001</v>
      </c>
      <c r="N2599">
        <v>26696</v>
      </c>
      <c r="O2599">
        <v>26.696000000000002</v>
      </c>
      <c r="P2599" s="2">
        <v>42887</v>
      </c>
      <c r="Q2599">
        <v>1</v>
      </c>
      <c r="R2599" s="1" t="s">
        <v>24</v>
      </c>
    </row>
    <row r="2600" spans="1:18" x14ac:dyDescent="0.25">
      <c r="A2600">
        <v>2017</v>
      </c>
      <c r="B2600">
        <v>7</v>
      </c>
      <c r="C2600" s="1" t="s">
        <v>30</v>
      </c>
      <c r="D2600" s="1" t="s">
        <v>19</v>
      </c>
      <c r="E2600" s="1" t="s">
        <v>48</v>
      </c>
      <c r="F2600">
        <v>2006</v>
      </c>
      <c r="G2600">
        <v>11</v>
      </c>
      <c r="H2600" s="1" t="s">
        <v>21</v>
      </c>
      <c r="I2600">
        <v>24</v>
      </c>
      <c r="J2600">
        <v>3230</v>
      </c>
      <c r="K2600" s="1" t="s">
        <v>49</v>
      </c>
      <c r="L2600" s="1" t="s">
        <v>45</v>
      </c>
      <c r="M2600">
        <v>1.117</v>
      </c>
      <c r="N2600">
        <v>26817.1</v>
      </c>
      <c r="O2600">
        <v>26.817</v>
      </c>
      <c r="P2600" s="2">
        <v>42917</v>
      </c>
      <c r="Q2600">
        <v>1</v>
      </c>
      <c r="R2600" s="1" t="s">
        <v>24</v>
      </c>
    </row>
    <row r="2601" spans="1:18" x14ac:dyDescent="0.25">
      <c r="A2601">
        <v>2017</v>
      </c>
      <c r="B2601">
        <v>8</v>
      </c>
      <c r="C2601" s="1" t="s">
        <v>31</v>
      </c>
      <c r="D2601" s="1" t="s">
        <v>19</v>
      </c>
      <c r="E2601" s="1" t="s">
        <v>48</v>
      </c>
      <c r="F2601">
        <v>2006</v>
      </c>
      <c r="G2601">
        <v>11</v>
      </c>
      <c r="H2601" s="1" t="s">
        <v>21</v>
      </c>
      <c r="I2601">
        <v>24</v>
      </c>
      <c r="J2601">
        <v>3230</v>
      </c>
      <c r="K2601" s="1" t="s">
        <v>49</v>
      </c>
      <c r="L2601" s="1" t="s">
        <v>45</v>
      </c>
      <c r="M2601">
        <v>1.5529999999999999</v>
      </c>
      <c r="N2601">
        <v>37282.300000000003</v>
      </c>
      <c r="O2601">
        <v>37.281999999999996</v>
      </c>
      <c r="P2601" s="2">
        <v>42948</v>
      </c>
      <c r="Q2601">
        <v>1</v>
      </c>
      <c r="R2601" s="1" t="s">
        <v>24</v>
      </c>
    </row>
    <row r="2602" spans="1:18" x14ac:dyDescent="0.25">
      <c r="A2602">
        <v>2017</v>
      </c>
      <c r="B2602">
        <v>9</v>
      </c>
      <c r="C2602" s="1" t="s">
        <v>32</v>
      </c>
      <c r="D2602" s="1" t="s">
        <v>19</v>
      </c>
      <c r="E2602" s="1" t="s">
        <v>48</v>
      </c>
      <c r="F2602">
        <v>2006</v>
      </c>
      <c r="G2602">
        <v>11</v>
      </c>
      <c r="H2602" s="1" t="s">
        <v>21</v>
      </c>
      <c r="I2602">
        <v>24</v>
      </c>
      <c r="J2602">
        <v>3230</v>
      </c>
      <c r="K2602" s="1" t="s">
        <v>49</v>
      </c>
      <c r="L2602" s="1" t="s">
        <v>45</v>
      </c>
      <c r="M2602">
        <v>1.111</v>
      </c>
      <c r="N2602">
        <v>26671.7</v>
      </c>
      <c r="O2602">
        <v>26.672000000000001</v>
      </c>
      <c r="P2602" s="2">
        <v>42979</v>
      </c>
      <c r="Q2602">
        <v>1</v>
      </c>
      <c r="R2602" s="1" t="s">
        <v>24</v>
      </c>
    </row>
    <row r="2603" spans="1:18" x14ac:dyDescent="0.25">
      <c r="A2603">
        <v>2017</v>
      </c>
      <c r="B2603">
        <v>10</v>
      </c>
      <c r="C2603" s="1" t="s">
        <v>33</v>
      </c>
      <c r="D2603" s="1" t="s">
        <v>19</v>
      </c>
      <c r="E2603" s="1" t="s">
        <v>48</v>
      </c>
      <c r="F2603">
        <v>2006</v>
      </c>
      <c r="G2603">
        <v>11</v>
      </c>
      <c r="H2603" s="1" t="s">
        <v>21</v>
      </c>
      <c r="I2603">
        <v>24</v>
      </c>
      <c r="J2603">
        <v>3230</v>
      </c>
      <c r="K2603" s="1" t="s">
        <v>49</v>
      </c>
      <c r="L2603" s="1" t="s">
        <v>45</v>
      </c>
      <c r="M2603">
        <v>1.0680000000000001</v>
      </c>
      <c r="N2603">
        <v>25630.1</v>
      </c>
      <c r="O2603">
        <v>25.63</v>
      </c>
      <c r="P2603" s="2">
        <v>43009</v>
      </c>
      <c r="Q2603">
        <v>1</v>
      </c>
      <c r="R2603" s="1" t="s">
        <v>24</v>
      </c>
    </row>
    <row r="2604" spans="1:18" x14ac:dyDescent="0.25">
      <c r="A2604">
        <v>2017</v>
      </c>
      <c r="B2604">
        <v>11</v>
      </c>
      <c r="C2604" s="1" t="s">
        <v>34</v>
      </c>
      <c r="D2604" s="1" t="s">
        <v>19</v>
      </c>
      <c r="E2604" s="1" t="s">
        <v>48</v>
      </c>
      <c r="F2604">
        <v>2006</v>
      </c>
      <c r="G2604">
        <v>11</v>
      </c>
      <c r="H2604" s="1" t="s">
        <v>21</v>
      </c>
      <c r="I2604">
        <v>24</v>
      </c>
      <c r="J2604">
        <v>3230</v>
      </c>
      <c r="K2604" s="1" t="s">
        <v>49</v>
      </c>
      <c r="L2604" s="1" t="s">
        <v>45</v>
      </c>
      <c r="M2604">
        <v>1.099</v>
      </c>
      <c r="N2604">
        <v>26381</v>
      </c>
      <c r="O2604">
        <v>26.381</v>
      </c>
      <c r="P2604" s="2">
        <v>43040</v>
      </c>
      <c r="Q2604">
        <v>1</v>
      </c>
      <c r="R2604" s="1" t="s">
        <v>24</v>
      </c>
    </row>
    <row r="2605" spans="1:18" x14ac:dyDescent="0.25">
      <c r="A2605">
        <v>2017</v>
      </c>
      <c r="B2605">
        <v>12</v>
      </c>
      <c r="C2605" s="1" t="s">
        <v>35</v>
      </c>
      <c r="D2605" s="1" t="s">
        <v>19</v>
      </c>
      <c r="E2605" s="1" t="s">
        <v>48</v>
      </c>
      <c r="F2605">
        <v>2006</v>
      </c>
      <c r="G2605">
        <v>11</v>
      </c>
      <c r="H2605" s="1" t="s">
        <v>21</v>
      </c>
      <c r="I2605">
        <v>24</v>
      </c>
      <c r="J2605">
        <v>3230</v>
      </c>
      <c r="K2605" s="1" t="s">
        <v>49</v>
      </c>
      <c r="L2605" s="1" t="s">
        <v>45</v>
      </c>
      <c r="M2605">
        <v>0.93700000000000006</v>
      </c>
      <c r="N2605">
        <v>22480.799999999999</v>
      </c>
      <c r="O2605">
        <v>22.481000000000002</v>
      </c>
      <c r="P2605" s="2">
        <v>43070</v>
      </c>
      <c r="Q2605">
        <v>1</v>
      </c>
      <c r="R2605" s="1" t="s">
        <v>24</v>
      </c>
    </row>
    <row r="2606" spans="1:18" x14ac:dyDescent="0.25">
      <c r="A2606">
        <v>2017</v>
      </c>
      <c r="B2606">
        <v>1</v>
      </c>
      <c r="C2606" s="1" t="s">
        <v>18</v>
      </c>
      <c r="D2606" s="1" t="s">
        <v>19</v>
      </c>
      <c r="E2606" s="1" t="s">
        <v>50</v>
      </c>
      <c r="F2606">
        <v>2006</v>
      </c>
      <c r="G2606">
        <v>11</v>
      </c>
      <c r="H2606" s="1" t="s">
        <v>21</v>
      </c>
      <c r="I2606">
        <v>22</v>
      </c>
      <c r="J2606">
        <v>2447</v>
      </c>
      <c r="K2606" s="1" t="s">
        <v>51</v>
      </c>
      <c r="L2606" s="1" t="s">
        <v>45</v>
      </c>
      <c r="M2606">
        <v>0.88300000000000001</v>
      </c>
      <c r="N2606">
        <v>19416.900000000001</v>
      </c>
      <c r="O2606">
        <v>19.417000000000002</v>
      </c>
      <c r="P2606" s="2">
        <v>42736</v>
      </c>
      <c r="Q2606">
        <v>1</v>
      </c>
      <c r="R2606" s="1" t="s">
        <v>24</v>
      </c>
    </row>
    <row r="2607" spans="1:18" x14ac:dyDescent="0.25">
      <c r="A2607">
        <v>2017</v>
      </c>
      <c r="B2607">
        <v>2</v>
      </c>
      <c r="C2607" s="1" t="s">
        <v>25</v>
      </c>
      <c r="D2607" s="1" t="s">
        <v>19</v>
      </c>
      <c r="E2607" s="1" t="s">
        <v>50</v>
      </c>
      <c r="F2607">
        <v>2006</v>
      </c>
      <c r="G2607">
        <v>11</v>
      </c>
      <c r="H2607" s="1" t="s">
        <v>21</v>
      </c>
      <c r="I2607">
        <v>22</v>
      </c>
      <c r="J2607">
        <v>2447</v>
      </c>
      <c r="K2607" s="1" t="s">
        <v>51</v>
      </c>
      <c r="L2607" s="1" t="s">
        <v>45</v>
      </c>
      <c r="M2607">
        <v>0.54800000000000004</v>
      </c>
      <c r="N2607">
        <v>12057.6</v>
      </c>
      <c r="O2607">
        <v>12.058</v>
      </c>
      <c r="P2607" s="2">
        <v>42767</v>
      </c>
      <c r="Q2607">
        <v>1</v>
      </c>
      <c r="R2607" s="1" t="s">
        <v>24</v>
      </c>
    </row>
    <row r="2608" spans="1:18" x14ac:dyDescent="0.25">
      <c r="A2608">
        <v>2017</v>
      </c>
      <c r="B2608">
        <v>3</v>
      </c>
      <c r="C2608" s="1" t="s">
        <v>26</v>
      </c>
      <c r="D2608" s="1" t="s">
        <v>19</v>
      </c>
      <c r="E2608" s="1" t="s">
        <v>50</v>
      </c>
      <c r="F2608">
        <v>2006</v>
      </c>
      <c r="G2608">
        <v>11</v>
      </c>
      <c r="H2608" s="1" t="s">
        <v>21</v>
      </c>
      <c r="I2608">
        <v>22</v>
      </c>
      <c r="J2608">
        <v>2447</v>
      </c>
      <c r="K2608" s="1" t="s">
        <v>51</v>
      </c>
      <c r="L2608" s="1" t="s">
        <v>45</v>
      </c>
      <c r="M2608">
        <v>0.88800000000000001</v>
      </c>
      <c r="N2608">
        <v>19545.400000000001</v>
      </c>
      <c r="O2608">
        <v>19.545000000000002</v>
      </c>
      <c r="P2608" s="2">
        <v>42795</v>
      </c>
      <c r="Q2608">
        <v>1</v>
      </c>
      <c r="R2608" s="1" t="s">
        <v>24</v>
      </c>
    </row>
    <row r="2609" spans="1:18" x14ac:dyDescent="0.25">
      <c r="A2609">
        <v>2017</v>
      </c>
      <c r="B2609">
        <v>4</v>
      </c>
      <c r="C2609" s="1" t="s">
        <v>27</v>
      </c>
      <c r="D2609" s="1" t="s">
        <v>19</v>
      </c>
      <c r="E2609" s="1" t="s">
        <v>50</v>
      </c>
      <c r="F2609">
        <v>2006</v>
      </c>
      <c r="G2609">
        <v>11</v>
      </c>
      <c r="H2609" s="1" t="s">
        <v>21</v>
      </c>
      <c r="I2609">
        <v>22</v>
      </c>
      <c r="J2609">
        <v>2447</v>
      </c>
      <c r="K2609" s="1" t="s">
        <v>51</v>
      </c>
      <c r="L2609" s="1" t="s">
        <v>45</v>
      </c>
      <c r="M2609">
        <v>1.2010000000000001</v>
      </c>
      <c r="N2609">
        <v>26427.599999999999</v>
      </c>
      <c r="O2609">
        <v>26.428000000000001</v>
      </c>
      <c r="P2609" s="2">
        <v>42826</v>
      </c>
      <c r="Q2609">
        <v>1</v>
      </c>
      <c r="R2609" s="1" t="s">
        <v>24</v>
      </c>
    </row>
    <row r="2610" spans="1:18" x14ac:dyDescent="0.25">
      <c r="A2610">
        <v>2017</v>
      </c>
      <c r="B2610">
        <v>5</v>
      </c>
      <c r="C2610" s="1" t="s">
        <v>28</v>
      </c>
      <c r="D2610" s="1" t="s">
        <v>19</v>
      </c>
      <c r="E2610" s="1" t="s">
        <v>50</v>
      </c>
      <c r="F2610">
        <v>2006</v>
      </c>
      <c r="G2610">
        <v>11</v>
      </c>
      <c r="H2610" s="1" t="s">
        <v>21</v>
      </c>
      <c r="I2610">
        <v>22</v>
      </c>
      <c r="J2610">
        <v>2447</v>
      </c>
      <c r="K2610" s="1" t="s">
        <v>51</v>
      </c>
      <c r="L2610" s="1" t="s">
        <v>45</v>
      </c>
      <c r="M2610">
        <v>1.109</v>
      </c>
      <c r="N2610">
        <v>24390.5</v>
      </c>
      <c r="O2610">
        <v>24.39</v>
      </c>
      <c r="P2610" s="2">
        <v>42856</v>
      </c>
      <c r="Q2610">
        <v>1</v>
      </c>
      <c r="R2610" s="1" t="s">
        <v>24</v>
      </c>
    </row>
    <row r="2611" spans="1:18" x14ac:dyDescent="0.25">
      <c r="A2611">
        <v>2017</v>
      </c>
      <c r="B2611">
        <v>6</v>
      </c>
      <c r="C2611" s="1" t="s">
        <v>29</v>
      </c>
      <c r="D2611" s="1" t="s">
        <v>19</v>
      </c>
      <c r="E2611" s="1" t="s">
        <v>50</v>
      </c>
      <c r="F2611">
        <v>2006</v>
      </c>
      <c r="G2611">
        <v>11</v>
      </c>
      <c r="H2611" s="1" t="s">
        <v>21</v>
      </c>
      <c r="I2611">
        <v>22</v>
      </c>
      <c r="J2611">
        <v>2447</v>
      </c>
      <c r="K2611" s="1" t="s">
        <v>51</v>
      </c>
      <c r="L2611" s="1" t="s">
        <v>45</v>
      </c>
      <c r="M2611">
        <v>0.91900000000000004</v>
      </c>
      <c r="N2611">
        <v>20224.5</v>
      </c>
      <c r="O2611">
        <v>20.224</v>
      </c>
      <c r="P2611" s="2">
        <v>42887</v>
      </c>
      <c r="Q2611">
        <v>1</v>
      </c>
      <c r="R2611" s="1" t="s">
        <v>24</v>
      </c>
    </row>
    <row r="2612" spans="1:18" x14ac:dyDescent="0.25">
      <c r="A2612">
        <v>2017</v>
      </c>
      <c r="B2612">
        <v>7</v>
      </c>
      <c r="C2612" s="1" t="s">
        <v>30</v>
      </c>
      <c r="D2612" s="1" t="s">
        <v>19</v>
      </c>
      <c r="E2612" s="1" t="s">
        <v>50</v>
      </c>
      <c r="F2612">
        <v>2006</v>
      </c>
      <c r="G2612">
        <v>11</v>
      </c>
      <c r="H2612" s="1" t="s">
        <v>21</v>
      </c>
      <c r="I2612">
        <v>22</v>
      </c>
      <c r="J2612">
        <v>2447</v>
      </c>
      <c r="K2612" s="1" t="s">
        <v>51</v>
      </c>
      <c r="L2612" s="1" t="s">
        <v>45</v>
      </c>
      <c r="M2612">
        <v>0.92300000000000004</v>
      </c>
      <c r="N2612">
        <v>20316.2</v>
      </c>
      <c r="O2612">
        <v>20.315999999999999</v>
      </c>
      <c r="P2612" s="2">
        <v>42917</v>
      </c>
      <c r="Q2612">
        <v>1</v>
      </c>
      <c r="R2612" s="1" t="s">
        <v>24</v>
      </c>
    </row>
    <row r="2613" spans="1:18" x14ac:dyDescent="0.25">
      <c r="A2613">
        <v>2017</v>
      </c>
      <c r="B2613">
        <v>8</v>
      </c>
      <c r="C2613" s="1" t="s">
        <v>31</v>
      </c>
      <c r="D2613" s="1" t="s">
        <v>19</v>
      </c>
      <c r="E2613" s="1" t="s">
        <v>50</v>
      </c>
      <c r="F2613">
        <v>2006</v>
      </c>
      <c r="G2613">
        <v>11</v>
      </c>
      <c r="H2613" s="1" t="s">
        <v>21</v>
      </c>
      <c r="I2613">
        <v>22</v>
      </c>
      <c r="J2613">
        <v>2447</v>
      </c>
      <c r="K2613" s="1" t="s">
        <v>51</v>
      </c>
      <c r="L2613" s="1" t="s">
        <v>45</v>
      </c>
      <c r="M2613">
        <v>1.284</v>
      </c>
      <c r="N2613">
        <v>28244.5</v>
      </c>
      <c r="O2613">
        <v>28.244</v>
      </c>
      <c r="P2613" s="2">
        <v>42948</v>
      </c>
      <c r="Q2613">
        <v>1</v>
      </c>
      <c r="R2613" s="1" t="s">
        <v>24</v>
      </c>
    </row>
    <row r="2614" spans="1:18" x14ac:dyDescent="0.25">
      <c r="A2614">
        <v>2017</v>
      </c>
      <c r="B2614">
        <v>9</v>
      </c>
      <c r="C2614" s="1" t="s">
        <v>32</v>
      </c>
      <c r="D2614" s="1" t="s">
        <v>19</v>
      </c>
      <c r="E2614" s="1" t="s">
        <v>50</v>
      </c>
      <c r="F2614">
        <v>2006</v>
      </c>
      <c r="G2614">
        <v>11</v>
      </c>
      <c r="H2614" s="1" t="s">
        <v>21</v>
      </c>
      <c r="I2614">
        <v>22</v>
      </c>
      <c r="J2614">
        <v>2447</v>
      </c>
      <c r="K2614" s="1" t="s">
        <v>51</v>
      </c>
      <c r="L2614" s="1" t="s">
        <v>45</v>
      </c>
      <c r="M2614">
        <v>0.91800000000000004</v>
      </c>
      <c r="N2614">
        <v>20206.099999999999</v>
      </c>
      <c r="O2614">
        <v>20.206</v>
      </c>
      <c r="P2614" s="2">
        <v>42979</v>
      </c>
      <c r="Q2614">
        <v>1</v>
      </c>
      <c r="R2614" s="1" t="s">
        <v>24</v>
      </c>
    </row>
    <row r="2615" spans="1:18" x14ac:dyDescent="0.25">
      <c r="A2615">
        <v>2017</v>
      </c>
      <c r="B2615">
        <v>10</v>
      </c>
      <c r="C2615" s="1" t="s">
        <v>33</v>
      </c>
      <c r="D2615" s="1" t="s">
        <v>19</v>
      </c>
      <c r="E2615" s="1" t="s">
        <v>50</v>
      </c>
      <c r="F2615">
        <v>2006</v>
      </c>
      <c r="G2615">
        <v>11</v>
      </c>
      <c r="H2615" s="1" t="s">
        <v>21</v>
      </c>
      <c r="I2615">
        <v>22</v>
      </c>
      <c r="J2615">
        <v>2447</v>
      </c>
      <c r="K2615" s="1" t="s">
        <v>51</v>
      </c>
      <c r="L2615" s="1" t="s">
        <v>45</v>
      </c>
      <c r="M2615">
        <v>0.88300000000000001</v>
      </c>
      <c r="N2615">
        <v>19416.900000000001</v>
      </c>
      <c r="O2615">
        <v>19.417000000000002</v>
      </c>
      <c r="P2615" s="2">
        <v>43009</v>
      </c>
      <c r="Q2615">
        <v>1</v>
      </c>
      <c r="R2615" s="1" t="s">
        <v>24</v>
      </c>
    </row>
    <row r="2616" spans="1:18" x14ac:dyDescent="0.25">
      <c r="A2616">
        <v>2017</v>
      </c>
      <c r="B2616">
        <v>11</v>
      </c>
      <c r="C2616" s="1" t="s">
        <v>34</v>
      </c>
      <c r="D2616" s="1" t="s">
        <v>19</v>
      </c>
      <c r="E2616" s="1" t="s">
        <v>50</v>
      </c>
      <c r="F2616">
        <v>2006</v>
      </c>
      <c r="G2616">
        <v>11</v>
      </c>
      <c r="H2616" s="1" t="s">
        <v>21</v>
      </c>
      <c r="I2616">
        <v>22</v>
      </c>
      <c r="J2616">
        <v>2447</v>
      </c>
      <c r="K2616" s="1" t="s">
        <v>51</v>
      </c>
      <c r="L2616" s="1" t="s">
        <v>45</v>
      </c>
      <c r="M2616">
        <v>0.90800000000000003</v>
      </c>
      <c r="N2616">
        <v>19985.900000000001</v>
      </c>
      <c r="O2616">
        <v>19.986000000000001</v>
      </c>
      <c r="P2616" s="2">
        <v>43040</v>
      </c>
      <c r="Q2616">
        <v>1</v>
      </c>
      <c r="R2616" s="1" t="s">
        <v>24</v>
      </c>
    </row>
    <row r="2617" spans="1:18" x14ac:dyDescent="0.25">
      <c r="A2617">
        <v>2017</v>
      </c>
      <c r="B2617">
        <v>12</v>
      </c>
      <c r="C2617" s="1" t="s">
        <v>35</v>
      </c>
      <c r="D2617" s="1" t="s">
        <v>19</v>
      </c>
      <c r="E2617" s="1" t="s">
        <v>50</v>
      </c>
      <c r="F2617">
        <v>2006</v>
      </c>
      <c r="G2617">
        <v>11</v>
      </c>
      <c r="H2617" s="1" t="s">
        <v>21</v>
      </c>
      <c r="I2617">
        <v>22</v>
      </c>
      <c r="J2617">
        <v>2447</v>
      </c>
      <c r="K2617" s="1" t="s">
        <v>51</v>
      </c>
      <c r="L2617" s="1" t="s">
        <v>45</v>
      </c>
      <c r="M2617">
        <v>0.77400000000000002</v>
      </c>
      <c r="N2617">
        <v>17031.099999999999</v>
      </c>
      <c r="O2617">
        <v>17.030999999999999</v>
      </c>
      <c r="P2617" s="2">
        <v>43070</v>
      </c>
      <c r="Q2617">
        <v>1</v>
      </c>
      <c r="R2617" s="1" t="s">
        <v>24</v>
      </c>
    </row>
    <row r="2618" spans="1:18" x14ac:dyDescent="0.25">
      <c r="A2618">
        <v>2017</v>
      </c>
      <c r="B2618">
        <v>1</v>
      </c>
      <c r="C2618" s="1" t="s">
        <v>18</v>
      </c>
      <c r="D2618" s="1" t="s">
        <v>19</v>
      </c>
      <c r="E2618" s="1" t="s">
        <v>52</v>
      </c>
      <c r="F2618">
        <v>2006</v>
      </c>
      <c r="G2618">
        <v>11</v>
      </c>
      <c r="H2618" s="1" t="s">
        <v>21</v>
      </c>
      <c r="I2618">
        <v>15</v>
      </c>
      <c r="J2618">
        <v>1866</v>
      </c>
      <c r="K2618" s="1" t="s">
        <v>53</v>
      </c>
      <c r="L2618" s="1" t="s">
        <v>45</v>
      </c>
      <c r="M2618">
        <v>0.98699999999999999</v>
      </c>
      <c r="N2618">
        <v>14806.7</v>
      </c>
      <c r="O2618">
        <v>14.807</v>
      </c>
      <c r="P2618" s="2">
        <v>42736</v>
      </c>
      <c r="Q2618">
        <v>1</v>
      </c>
      <c r="R2618" s="1" t="s">
        <v>24</v>
      </c>
    </row>
    <row r="2619" spans="1:18" x14ac:dyDescent="0.25">
      <c r="A2619">
        <v>2017</v>
      </c>
      <c r="B2619">
        <v>2</v>
      </c>
      <c r="C2619" s="1" t="s">
        <v>25</v>
      </c>
      <c r="D2619" s="1" t="s">
        <v>19</v>
      </c>
      <c r="E2619" s="1" t="s">
        <v>52</v>
      </c>
      <c r="F2619">
        <v>2006</v>
      </c>
      <c r="G2619">
        <v>11</v>
      </c>
      <c r="H2619" s="1" t="s">
        <v>21</v>
      </c>
      <c r="I2619">
        <v>15</v>
      </c>
      <c r="J2619">
        <v>1866</v>
      </c>
      <c r="K2619" s="1" t="s">
        <v>53</v>
      </c>
      <c r="L2619" s="1" t="s">
        <v>45</v>
      </c>
      <c r="M2619">
        <v>0.61299999999999999</v>
      </c>
      <c r="N2619">
        <v>9194.7000000000007</v>
      </c>
      <c r="O2619">
        <v>9.1950000000000003</v>
      </c>
      <c r="P2619" s="2">
        <v>42767</v>
      </c>
      <c r="Q2619">
        <v>1</v>
      </c>
      <c r="R2619" s="1" t="s">
        <v>24</v>
      </c>
    </row>
    <row r="2620" spans="1:18" x14ac:dyDescent="0.25">
      <c r="A2620">
        <v>2017</v>
      </c>
      <c r="B2620">
        <v>3</v>
      </c>
      <c r="C2620" s="1" t="s">
        <v>26</v>
      </c>
      <c r="D2620" s="1" t="s">
        <v>19</v>
      </c>
      <c r="E2620" s="1" t="s">
        <v>52</v>
      </c>
      <c r="F2620">
        <v>2006</v>
      </c>
      <c r="G2620">
        <v>11</v>
      </c>
      <c r="H2620" s="1" t="s">
        <v>21</v>
      </c>
      <c r="I2620">
        <v>15</v>
      </c>
      <c r="J2620">
        <v>1866</v>
      </c>
      <c r="K2620" s="1" t="s">
        <v>53</v>
      </c>
      <c r="L2620" s="1" t="s">
        <v>45</v>
      </c>
      <c r="M2620">
        <v>0.99399999999999999</v>
      </c>
      <c r="N2620">
        <v>14904.7</v>
      </c>
      <c r="O2620">
        <v>14.904999999999999</v>
      </c>
      <c r="P2620" s="2">
        <v>42795</v>
      </c>
      <c r="Q2620">
        <v>1</v>
      </c>
      <c r="R2620" s="1" t="s">
        <v>24</v>
      </c>
    </row>
    <row r="2621" spans="1:18" x14ac:dyDescent="0.25">
      <c r="A2621">
        <v>2017</v>
      </c>
      <c r="B2621">
        <v>4</v>
      </c>
      <c r="C2621" s="1" t="s">
        <v>27</v>
      </c>
      <c r="D2621" s="1" t="s">
        <v>19</v>
      </c>
      <c r="E2621" s="1" t="s">
        <v>52</v>
      </c>
      <c r="F2621">
        <v>2006</v>
      </c>
      <c r="G2621">
        <v>11</v>
      </c>
      <c r="H2621" s="1" t="s">
        <v>21</v>
      </c>
      <c r="I2621">
        <v>15</v>
      </c>
      <c r="J2621">
        <v>1866</v>
      </c>
      <c r="K2621" s="1" t="s">
        <v>53</v>
      </c>
      <c r="L2621" s="1" t="s">
        <v>45</v>
      </c>
      <c r="M2621">
        <v>1.3440000000000001</v>
      </c>
      <c r="N2621">
        <v>20152.8</v>
      </c>
      <c r="O2621">
        <v>20.152999999999999</v>
      </c>
      <c r="P2621" s="2">
        <v>42826</v>
      </c>
      <c r="Q2621">
        <v>1</v>
      </c>
      <c r="R2621" s="1" t="s">
        <v>24</v>
      </c>
    </row>
    <row r="2622" spans="1:18" x14ac:dyDescent="0.25">
      <c r="A2622">
        <v>2017</v>
      </c>
      <c r="B2622">
        <v>5</v>
      </c>
      <c r="C2622" s="1" t="s">
        <v>28</v>
      </c>
      <c r="D2622" s="1" t="s">
        <v>19</v>
      </c>
      <c r="E2622" s="1" t="s">
        <v>52</v>
      </c>
      <c r="F2622">
        <v>2006</v>
      </c>
      <c r="G2622">
        <v>11</v>
      </c>
      <c r="H2622" s="1" t="s">
        <v>21</v>
      </c>
      <c r="I2622">
        <v>15</v>
      </c>
      <c r="J2622">
        <v>1866</v>
      </c>
      <c r="K2622" s="1" t="s">
        <v>53</v>
      </c>
      <c r="L2622" s="1" t="s">
        <v>45</v>
      </c>
      <c r="M2622">
        <v>1.24</v>
      </c>
      <c r="N2622">
        <v>18599.400000000001</v>
      </c>
      <c r="O2622">
        <v>18.599</v>
      </c>
      <c r="P2622" s="2">
        <v>42856</v>
      </c>
      <c r="Q2622">
        <v>1</v>
      </c>
      <c r="R2622" s="1" t="s">
        <v>24</v>
      </c>
    </row>
    <row r="2623" spans="1:18" x14ac:dyDescent="0.25">
      <c r="A2623">
        <v>2017</v>
      </c>
      <c r="B2623">
        <v>6</v>
      </c>
      <c r="C2623" s="1" t="s">
        <v>29</v>
      </c>
      <c r="D2623" s="1" t="s">
        <v>19</v>
      </c>
      <c r="E2623" s="1" t="s">
        <v>52</v>
      </c>
      <c r="F2623">
        <v>2006</v>
      </c>
      <c r="G2623">
        <v>11</v>
      </c>
      <c r="H2623" s="1" t="s">
        <v>21</v>
      </c>
      <c r="I2623">
        <v>15</v>
      </c>
      <c r="J2623">
        <v>1866</v>
      </c>
      <c r="K2623" s="1" t="s">
        <v>53</v>
      </c>
      <c r="L2623" s="1" t="s">
        <v>45</v>
      </c>
      <c r="M2623">
        <v>1.028</v>
      </c>
      <c r="N2623">
        <v>15422.5</v>
      </c>
      <c r="O2623">
        <v>15.422000000000001</v>
      </c>
      <c r="P2623" s="2">
        <v>42887</v>
      </c>
      <c r="Q2623">
        <v>1</v>
      </c>
      <c r="R2623" s="1" t="s">
        <v>24</v>
      </c>
    </row>
    <row r="2624" spans="1:18" x14ac:dyDescent="0.25">
      <c r="A2624">
        <v>2017</v>
      </c>
      <c r="B2624">
        <v>7</v>
      </c>
      <c r="C2624" s="1" t="s">
        <v>30</v>
      </c>
      <c r="D2624" s="1" t="s">
        <v>19</v>
      </c>
      <c r="E2624" s="1" t="s">
        <v>52</v>
      </c>
      <c r="F2624">
        <v>2006</v>
      </c>
      <c r="G2624">
        <v>11</v>
      </c>
      <c r="H2624" s="1" t="s">
        <v>21</v>
      </c>
      <c r="I2624">
        <v>15</v>
      </c>
      <c r="J2624">
        <v>1866</v>
      </c>
      <c r="K2624" s="1" t="s">
        <v>53</v>
      </c>
      <c r="L2624" s="1" t="s">
        <v>45</v>
      </c>
      <c r="M2624">
        <v>1.0329999999999999</v>
      </c>
      <c r="N2624">
        <v>15492.5</v>
      </c>
      <c r="O2624">
        <v>15.492000000000001</v>
      </c>
      <c r="P2624" s="2">
        <v>42917</v>
      </c>
      <c r="Q2624">
        <v>1</v>
      </c>
      <c r="R2624" s="1" t="s">
        <v>24</v>
      </c>
    </row>
    <row r="2625" spans="1:18" x14ac:dyDescent="0.25">
      <c r="A2625">
        <v>2017</v>
      </c>
      <c r="B2625">
        <v>8</v>
      </c>
      <c r="C2625" s="1" t="s">
        <v>31</v>
      </c>
      <c r="D2625" s="1" t="s">
        <v>19</v>
      </c>
      <c r="E2625" s="1" t="s">
        <v>52</v>
      </c>
      <c r="F2625">
        <v>2006</v>
      </c>
      <c r="G2625">
        <v>11</v>
      </c>
      <c r="H2625" s="1" t="s">
        <v>21</v>
      </c>
      <c r="I2625">
        <v>15</v>
      </c>
      <c r="J2625">
        <v>1866</v>
      </c>
      <c r="K2625" s="1" t="s">
        <v>53</v>
      </c>
      <c r="L2625" s="1" t="s">
        <v>45</v>
      </c>
      <c r="M2625">
        <v>1.4359999999999999</v>
      </c>
      <c r="N2625">
        <v>21538.3</v>
      </c>
      <c r="O2625">
        <v>21.538</v>
      </c>
      <c r="P2625" s="2">
        <v>42948</v>
      </c>
      <c r="Q2625">
        <v>1</v>
      </c>
      <c r="R2625" s="1" t="s">
        <v>24</v>
      </c>
    </row>
    <row r="2626" spans="1:18" x14ac:dyDescent="0.25">
      <c r="A2626">
        <v>2017</v>
      </c>
      <c r="B2626">
        <v>9</v>
      </c>
      <c r="C2626" s="1" t="s">
        <v>32</v>
      </c>
      <c r="D2626" s="1" t="s">
        <v>19</v>
      </c>
      <c r="E2626" s="1" t="s">
        <v>52</v>
      </c>
      <c r="F2626">
        <v>2006</v>
      </c>
      <c r="G2626">
        <v>11</v>
      </c>
      <c r="H2626" s="1" t="s">
        <v>21</v>
      </c>
      <c r="I2626">
        <v>15</v>
      </c>
      <c r="J2626">
        <v>1866</v>
      </c>
      <c r="K2626" s="1" t="s">
        <v>53</v>
      </c>
      <c r="L2626" s="1" t="s">
        <v>45</v>
      </c>
      <c r="M2626">
        <v>1.0269999999999999</v>
      </c>
      <c r="N2626">
        <v>15408.5</v>
      </c>
      <c r="O2626">
        <v>15.407999999999999</v>
      </c>
      <c r="P2626" s="2">
        <v>42979</v>
      </c>
      <c r="Q2626">
        <v>1</v>
      </c>
      <c r="R2626" s="1" t="s">
        <v>24</v>
      </c>
    </row>
    <row r="2627" spans="1:18" x14ac:dyDescent="0.25">
      <c r="A2627">
        <v>2017</v>
      </c>
      <c r="B2627">
        <v>10</v>
      </c>
      <c r="C2627" s="1" t="s">
        <v>33</v>
      </c>
      <c r="D2627" s="1" t="s">
        <v>19</v>
      </c>
      <c r="E2627" s="1" t="s">
        <v>52</v>
      </c>
      <c r="F2627">
        <v>2006</v>
      </c>
      <c r="G2627">
        <v>11</v>
      </c>
      <c r="H2627" s="1" t="s">
        <v>21</v>
      </c>
      <c r="I2627">
        <v>15</v>
      </c>
      <c r="J2627">
        <v>1866</v>
      </c>
      <c r="K2627" s="1" t="s">
        <v>53</v>
      </c>
      <c r="L2627" s="1" t="s">
        <v>45</v>
      </c>
      <c r="M2627">
        <v>0.98699999999999999</v>
      </c>
      <c r="N2627">
        <v>14806.7</v>
      </c>
      <c r="O2627">
        <v>14.807</v>
      </c>
      <c r="P2627" s="2">
        <v>43009</v>
      </c>
      <c r="Q2627">
        <v>1</v>
      </c>
      <c r="R2627" s="1" t="s">
        <v>24</v>
      </c>
    </row>
    <row r="2628" spans="1:18" x14ac:dyDescent="0.25">
      <c r="A2628">
        <v>2017</v>
      </c>
      <c r="B2628">
        <v>11</v>
      </c>
      <c r="C2628" s="1" t="s">
        <v>34</v>
      </c>
      <c r="D2628" s="1" t="s">
        <v>19</v>
      </c>
      <c r="E2628" s="1" t="s">
        <v>52</v>
      </c>
      <c r="F2628">
        <v>2006</v>
      </c>
      <c r="G2628">
        <v>11</v>
      </c>
      <c r="H2628" s="1" t="s">
        <v>21</v>
      </c>
      <c r="I2628">
        <v>15</v>
      </c>
      <c r="J2628">
        <v>1866</v>
      </c>
      <c r="K2628" s="1" t="s">
        <v>53</v>
      </c>
      <c r="L2628" s="1" t="s">
        <v>45</v>
      </c>
      <c r="M2628">
        <v>1.016</v>
      </c>
      <c r="N2628">
        <v>15240.6</v>
      </c>
      <c r="O2628">
        <v>15.241</v>
      </c>
      <c r="P2628" s="2">
        <v>43040</v>
      </c>
      <c r="Q2628">
        <v>1</v>
      </c>
      <c r="R2628" s="1" t="s">
        <v>24</v>
      </c>
    </row>
    <row r="2629" spans="1:18" x14ac:dyDescent="0.25">
      <c r="A2629">
        <v>2017</v>
      </c>
      <c r="B2629">
        <v>12</v>
      </c>
      <c r="C2629" s="1" t="s">
        <v>35</v>
      </c>
      <c r="D2629" s="1" t="s">
        <v>19</v>
      </c>
      <c r="E2629" s="1" t="s">
        <v>52</v>
      </c>
      <c r="F2629">
        <v>2006</v>
      </c>
      <c r="G2629">
        <v>11</v>
      </c>
      <c r="H2629" s="1" t="s">
        <v>21</v>
      </c>
      <c r="I2629">
        <v>15</v>
      </c>
      <c r="J2629">
        <v>1866</v>
      </c>
      <c r="K2629" s="1" t="s">
        <v>53</v>
      </c>
      <c r="L2629" s="1" t="s">
        <v>45</v>
      </c>
      <c r="M2629">
        <v>0.86599999999999999</v>
      </c>
      <c r="N2629">
        <v>12987.4</v>
      </c>
      <c r="O2629">
        <v>12.987</v>
      </c>
      <c r="P2629" s="2">
        <v>43070</v>
      </c>
      <c r="Q2629">
        <v>1</v>
      </c>
      <c r="R2629" s="1" t="s">
        <v>24</v>
      </c>
    </row>
    <row r="2630" spans="1:18" x14ac:dyDescent="0.25">
      <c r="A2630">
        <v>2017</v>
      </c>
      <c r="B2630">
        <v>1</v>
      </c>
      <c r="C2630" s="1" t="s">
        <v>18</v>
      </c>
      <c r="D2630" s="1" t="s">
        <v>19</v>
      </c>
      <c r="E2630" s="1" t="s">
        <v>54</v>
      </c>
      <c r="F2630">
        <v>2006</v>
      </c>
      <c r="G2630">
        <v>11</v>
      </c>
      <c r="H2630" s="1" t="s">
        <v>21</v>
      </c>
      <c r="I2630">
        <v>25</v>
      </c>
      <c r="J2630">
        <v>3154</v>
      </c>
      <c r="K2630" s="1" t="s">
        <v>55</v>
      </c>
      <c r="L2630" s="1" t="s">
        <v>45</v>
      </c>
      <c r="M2630">
        <v>1.0009999999999999</v>
      </c>
      <c r="N2630">
        <v>25027</v>
      </c>
      <c r="O2630">
        <v>25.027000000000001</v>
      </c>
      <c r="P2630" s="2">
        <v>42736</v>
      </c>
      <c r="Q2630">
        <v>1</v>
      </c>
      <c r="R2630" s="1" t="s">
        <v>24</v>
      </c>
    </row>
    <row r="2631" spans="1:18" x14ac:dyDescent="0.25">
      <c r="A2631">
        <v>2017</v>
      </c>
      <c r="B2631">
        <v>2</v>
      </c>
      <c r="C2631" s="1" t="s">
        <v>25</v>
      </c>
      <c r="D2631" s="1" t="s">
        <v>19</v>
      </c>
      <c r="E2631" s="1" t="s">
        <v>54</v>
      </c>
      <c r="F2631">
        <v>2006</v>
      </c>
      <c r="G2631">
        <v>11</v>
      </c>
      <c r="H2631" s="1" t="s">
        <v>21</v>
      </c>
      <c r="I2631">
        <v>25</v>
      </c>
      <c r="J2631">
        <v>3154</v>
      </c>
      <c r="K2631" s="1" t="s">
        <v>55</v>
      </c>
      <c r="L2631" s="1" t="s">
        <v>45</v>
      </c>
      <c r="M2631">
        <v>0.622</v>
      </c>
      <c r="N2631">
        <v>15541.3</v>
      </c>
      <c r="O2631">
        <v>15.541</v>
      </c>
      <c r="P2631" s="2">
        <v>42767</v>
      </c>
      <c r="Q2631">
        <v>1</v>
      </c>
      <c r="R2631" s="1" t="s">
        <v>24</v>
      </c>
    </row>
    <row r="2632" spans="1:18" x14ac:dyDescent="0.25">
      <c r="A2632">
        <v>2017</v>
      </c>
      <c r="B2632">
        <v>3</v>
      </c>
      <c r="C2632" s="1" t="s">
        <v>26</v>
      </c>
      <c r="D2632" s="1" t="s">
        <v>19</v>
      </c>
      <c r="E2632" s="1" t="s">
        <v>54</v>
      </c>
      <c r="F2632">
        <v>2006</v>
      </c>
      <c r="G2632">
        <v>11</v>
      </c>
      <c r="H2632" s="1" t="s">
        <v>21</v>
      </c>
      <c r="I2632">
        <v>25</v>
      </c>
      <c r="J2632">
        <v>3154</v>
      </c>
      <c r="K2632" s="1" t="s">
        <v>55</v>
      </c>
      <c r="L2632" s="1" t="s">
        <v>45</v>
      </c>
      <c r="M2632">
        <v>1.008</v>
      </c>
      <c r="N2632">
        <v>25192.6</v>
      </c>
      <c r="O2632">
        <v>25.193000000000001</v>
      </c>
      <c r="P2632" s="2">
        <v>42795</v>
      </c>
      <c r="Q2632">
        <v>1</v>
      </c>
      <c r="R2632" s="1" t="s">
        <v>24</v>
      </c>
    </row>
    <row r="2633" spans="1:18" x14ac:dyDescent="0.25">
      <c r="A2633">
        <v>2017</v>
      </c>
      <c r="B2633">
        <v>4</v>
      </c>
      <c r="C2633" s="1" t="s">
        <v>27</v>
      </c>
      <c r="D2633" s="1" t="s">
        <v>19</v>
      </c>
      <c r="E2633" s="1" t="s">
        <v>54</v>
      </c>
      <c r="F2633">
        <v>2006</v>
      </c>
      <c r="G2633">
        <v>11</v>
      </c>
      <c r="H2633" s="1" t="s">
        <v>21</v>
      </c>
      <c r="I2633">
        <v>25</v>
      </c>
      <c r="J2633">
        <v>3154</v>
      </c>
      <c r="K2633" s="1" t="s">
        <v>55</v>
      </c>
      <c r="L2633" s="1" t="s">
        <v>45</v>
      </c>
      <c r="M2633">
        <v>1.363</v>
      </c>
      <c r="N2633">
        <v>34063.199999999997</v>
      </c>
      <c r="O2633">
        <v>34.063000000000002</v>
      </c>
      <c r="P2633" s="2">
        <v>42826</v>
      </c>
      <c r="Q2633">
        <v>1</v>
      </c>
      <c r="R2633" s="1" t="s">
        <v>24</v>
      </c>
    </row>
    <row r="2634" spans="1:18" x14ac:dyDescent="0.25">
      <c r="A2634">
        <v>2017</v>
      </c>
      <c r="B2634">
        <v>5</v>
      </c>
      <c r="C2634" s="1" t="s">
        <v>28</v>
      </c>
      <c r="D2634" s="1" t="s">
        <v>19</v>
      </c>
      <c r="E2634" s="1" t="s">
        <v>54</v>
      </c>
      <c r="F2634">
        <v>2006</v>
      </c>
      <c r="G2634">
        <v>11</v>
      </c>
      <c r="H2634" s="1" t="s">
        <v>21</v>
      </c>
      <c r="I2634">
        <v>25</v>
      </c>
      <c r="J2634">
        <v>3154</v>
      </c>
      <c r="K2634" s="1" t="s">
        <v>55</v>
      </c>
      <c r="L2634" s="1" t="s">
        <v>45</v>
      </c>
      <c r="M2634">
        <v>1.2569999999999999</v>
      </c>
      <c r="N2634">
        <v>31437.5</v>
      </c>
      <c r="O2634">
        <v>31.437000000000001</v>
      </c>
      <c r="P2634" s="2">
        <v>42856</v>
      </c>
      <c r="Q2634">
        <v>1</v>
      </c>
      <c r="R2634" s="1" t="s">
        <v>24</v>
      </c>
    </row>
    <row r="2635" spans="1:18" x14ac:dyDescent="0.25">
      <c r="A2635">
        <v>2017</v>
      </c>
      <c r="B2635">
        <v>6</v>
      </c>
      <c r="C2635" s="1" t="s">
        <v>29</v>
      </c>
      <c r="D2635" s="1" t="s">
        <v>19</v>
      </c>
      <c r="E2635" s="1" t="s">
        <v>54</v>
      </c>
      <c r="F2635">
        <v>2006</v>
      </c>
      <c r="G2635">
        <v>11</v>
      </c>
      <c r="H2635" s="1" t="s">
        <v>21</v>
      </c>
      <c r="I2635">
        <v>25</v>
      </c>
      <c r="J2635">
        <v>3154</v>
      </c>
      <c r="K2635" s="1" t="s">
        <v>55</v>
      </c>
      <c r="L2635" s="1" t="s">
        <v>45</v>
      </c>
      <c r="M2635">
        <v>1.0429999999999999</v>
      </c>
      <c r="N2635">
        <v>26067.8</v>
      </c>
      <c r="O2635">
        <v>26.068000000000001</v>
      </c>
      <c r="P2635" s="2">
        <v>42887</v>
      </c>
      <c r="Q2635">
        <v>1</v>
      </c>
      <c r="R2635" s="1" t="s">
        <v>24</v>
      </c>
    </row>
    <row r="2636" spans="1:18" x14ac:dyDescent="0.25">
      <c r="A2636">
        <v>2017</v>
      </c>
      <c r="B2636">
        <v>7</v>
      </c>
      <c r="C2636" s="1" t="s">
        <v>30</v>
      </c>
      <c r="D2636" s="1" t="s">
        <v>19</v>
      </c>
      <c r="E2636" s="1" t="s">
        <v>54</v>
      </c>
      <c r="F2636">
        <v>2006</v>
      </c>
      <c r="G2636">
        <v>11</v>
      </c>
      <c r="H2636" s="1" t="s">
        <v>21</v>
      </c>
      <c r="I2636">
        <v>25</v>
      </c>
      <c r="J2636">
        <v>3154</v>
      </c>
      <c r="K2636" s="1" t="s">
        <v>55</v>
      </c>
      <c r="L2636" s="1" t="s">
        <v>45</v>
      </c>
      <c r="M2636">
        <v>1.0469999999999999</v>
      </c>
      <c r="N2636">
        <v>26186.1</v>
      </c>
      <c r="O2636">
        <v>26.186</v>
      </c>
      <c r="P2636" s="2">
        <v>42917</v>
      </c>
      <c r="Q2636">
        <v>1</v>
      </c>
      <c r="R2636" s="1" t="s">
        <v>24</v>
      </c>
    </row>
    <row r="2637" spans="1:18" x14ac:dyDescent="0.25">
      <c r="A2637">
        <v>2017</v>
      </c>
      <c r="B2637">
        <v>8</v>
      </c>
      <c r="C2637" s="1" t="s">
        <v>31</v>
      </c>
      <c r="D2637" s="1" t="s">
        <v>19</v>
      </c>
      <c r="E2637" s="1" t="s">
        <v>54</v>
      </c>
      <c r="F2637">
        <v>2006</v>
      </c>
      <c r="G2637">
        <v>11</v>
      </c>
      <c r="H2637" s="1" t="s">
        <v>21</v>
      </c>
      <c r="I2637">
        <v>25</v>
      </c>
      <c r="J2637">
        <v>3154</v>
      </c>
      <c r="K2637" s="1" t="s">
        <v>55</v>
      </c>
      <c r="L2637" s="1" t="s">
        <v>45</v>
      </c>
      <c r="M2637">
        <v>1.456</v>
      </c>
      <c r="N2637">
        <v>36405</v>
      </c>
      <c r="O2637">
        <v>36.405000000000001</v>
      </c>
      <c r="P2637" s="2">
        <v>42948</v>
      </c>
      <c r="Q2637">
        <v>1</v>
      </c>
      <c r="R2637" s="1" t="s">
        <v>24</v>
      </c>
    </row>
    <row r="2638" spans="1:18" x14ac:dyDescent="0.25">
      <c r="A2638">
        <v>2017</v>
      </c>
      <c r="B2638">
        <v>9</v>
      </c>
      <c r="C2638" s="1" t="s">
        <v>32</v>
      </c>
      <c r="D2638" s="1" t="s">
        <v>19</v>
      </c>
      <c r="E2638" s="1" t="s">
        <v>54</v>
      </c>
      <c r="F2638">
        <v>2006</v>
      </c>
      <c r="G2638">
        <v>11</v>
      </c>
      <c r="H2638" s="1" t="s">
        <v>21</v>
      </c>
      <c r="I2638">
        <v>25</v>
      </c>
      <c r="J2638">
        <v>3154</v>
      </c>
      <c r="K2638" s="1" t="s">
        <v>55</v>
      </c>
      <c r="L2638" s="1" t="s">
        <v>45</v>
      </c>
      <c r="M2638">
        <v>1.042</v>
      </c>
      <c r="N2638">
        <v>26044.2</v>
      </c>
      <c r="O2638">
        <v>26.044</v>
      </c>
      <c r="P2638" s="2">
        <v>42979</v>
      </c>
      <c r="Q2638">
        <v>1</v>
      </c>
      <c r="R2638" s="1" t="s">
        <v>24</v>
      </c>
    </row>
    <row r="2639" spans="1:18" x14ac:dyDescent="0.25">
      <c r="A2639">
        <v>2017</v>
      </c>
      <c r="B2639">
        <v>10</v>
      </c>
      <c r="C2639" s="1" t="s">
        <v>33</v>
      </c>
      <c r="D2639" s="1" t="s">
        <v>19</v>
      </c>
      <c r="E2639" s="1" t="s">
        <v>54</v>
      </c>
      <c r="F2639">
        <v>2006</v>
      </c>
      <c r="G2639">
        <v>11</v>
      </c>
      <c r="H2639" s="1" t="s">
        <v>21</v>
      </c>
      <c r="I2639">
        <v>25</v>
      </c>
      <c r="J2639">
        <v>3154</v>
      </c>
      <c r="K2639" s="1" t="s">
        <v>55</v>
      </c>
      <c r="L2639" s="1" t="s">
        <v>45</v>
      </c>
      <c r="M2639">
        <v>1.0009999999999999</v>
      </c>
      <c r="N2639">
        <v>25027</v>
      </c>
      <c r="O2639">
        <v>25.027000000000001</v>
      </c>
      <c r="P2639" s="2">
        <v>43009</v>
      </c>
      <c r="Q2639">
        <v>1</v>
      </c>
      <c r="R2639" s="1" t="s">
        <v>24</v>
      </c>
    </row>
    <row r="2640" spans="1:18" x14ac:dyDescent="0.25">
      <c r="A2640">
        <v>2017</v>
      </c>
      <c r="B2640">
        <v>11</v>
      </c>
      <c r="C2640" s="1" t="s">
        <v>34</v>
      </c>
      <c r="D2640" s="1" t="s">
        <v>19</v>
      </c>
      <c r="E2640" s="1" t="s">
        <v>54</v>
      </c>
      <c r="F2640">
        <v>2006</v>
      </c>
      <c r="G2640">
        <v>11</v>
      </c>
      <c r="H2640" s="1" t="s">
        <v>21</v>
      </c>
      <c r="I2640">
        <v>25</v>
      </c>
      <c r="J2640">
        <v>3154</v>
      </c>
      <c r="K2640" s="1" t="s">
        <v>55</v>
      </c>
      <c r="L2640" s="1" t="s">
        <v>45</v>
      </c>
      <c r="M2640">
        <v>1.03</v>
      </c>
      <c r="N2640">
        <v>25760.3</v>
      </c>
      <c r="O2640">
        <v>25.76</v>
      </c>
      <c r="P2640" s="2">
        <v>43040</v>
      </c>
      <c r="Q2640">
        <v>1</v>
      </c>
      <c r="R2640" s="1" t="s">
        <v>24</v>
      </c>
    </row>
    <row r="2641" spans="1:18" x14ac:dyDescent="0.25">
      <c r="A2641">
        <v>2017</v>
      </c>
      <c r="B2641">
        <v>12</v>
      </c>
      <c r="C2641" s="1" t="s">
        <v>35</v>
      </c>
      <c r="D2641" s="1" t="s">
        <v>19</v>
      </c>
      <c r="E2641" s="1" t="s">
        <v>54</v>
      </c>
      <c r="F2641">
        <v>2006</v>
      </c>
      <c r="G2641">
        <v>11</v>
      </c>
      <c r="H2641" s="1" t="s">
        <v>21</v>
      </c>
      <c r="I2641">
        <v>25</v>
      </c>
      <c r="J2641">
        <v>3154</v>
      </c>
      <c r="K2641" s="1" t="s">
        <v>55</v>
      </c>
      <c r="L2641" s="1" t="s">
        <v>45</v>
      </c>
      <c r="M2641">
        <v>0.878</v>
      </c>
      <c r="N2641">
        <v>21951.8</v>
      </c>
      <c r="O2641">
        <v>21.952000000000002</v>
      </c>
      <c r="P2641" s="2">
        <v>43070</v>
      </c>
      <c r="Q2641">
        <v>1</v>
      </c>
      <c r="R2641" s="1" t="s">
        <v>24</v>
      </c>
    </row>
    <row r="2642" spans="1:18" x14ac:dyDescent="0.25">
      <c r="A2642">
        <v>2017</v>
      </c>
      <c r="B2642">
        <v>1</v>
      </c>
      <c r="C2642" s="1" t="s">
        <v>18</v>
      </c>
      <c r="D2642" s="1" t="s">
        <v>19</v>
      </c>
      <c r="E2642" s="1" t="s">
        <v>56</v>
      </c>
      <c r="F2642">
        <v>2006</v>
      </c>
      <c r="G2642">
        <v>11</v>
      </c>
      <c r="H2642" s="1" t="s">
        <v>21</v>
      </c>
      <c r="I2642">
        <v>35</v>
      </c>
      <c r="J2642">
        <v>4204</v>
      </c>
      <c r="K2642" s="1" t="s">
        <v>57</v>
      </c>
      <c r="L2642" s="1" t="s">
        <v>45</v>
      </c>
      <c r="M2642">
        <v>0.95299999999999996</v>
      </c>
      <c r="N2642">
        <v>33358.699999999997</v>
      </c>
      <c r="O2642">
        <v>33.359000000000002</v>
      </c>
      <c r="P2642" s="2">
        <v>42736</v>
      </c>
      <c r="Q2642">
        <v>1</v>
      </c>
      <c r="R2642" s="1" t="s">
        <v>24</v>
      </c>
    </row>
    <row r="2643" spans="1:18" x14ac:dyDescent="0.25">
      <c r="A2643">
        <v>2017</v>
      </c>
      <c r="B2643">
        <v>2</v>
      </c>
      <c r="C2643" s="1" t="s">
        <v>25</v>
      </c>
      <c r="D2643" s="1" t="s">
        <v>19</v>
      </c>
      <c r="E2643" s="1" t="s">
        <v>56</v>
      </c>
      <c r="F2643">
        <v>2006</v>
      </c>
      <c r="G2643">
        <v>11</v>
      </c>
      <c r="H2643" s="1" t="s">
        <v>21</v>
      </c>
      <c r="I2643">
        <v>35</v>
      </c>
      <c r="J2643">
        <v>4204</v>
      </c>
      <c r="K2643" s="1" t="s">
        <v>57</v>
      </c>
      <c r="L2643" s="1" t="s">
        <v>45</v>
      </c>
      <c r="M2643">
        <v>0.59199999999999997</v>
      </c>
      <c r="N2643">
        <v>20715.2</v>
      </c>
      <c r="O2643">
        <v>20.715</v>
      </c>
      <c r="P2643" s="2">
        <v>42767</v>
      </c>
      <c r="Q2643">
        <v>1</v>
      </c>
      <c r="R2643" s="1" t="s">
        <v>24</v>
      </c>
    </row>
    <row r="2644" spans="1:18" x14ac:dyDescent="0.25">
      <c r="A2644">
        <v>2017</v>
      </c>
      <c r="B2644">
        <v>3</v>
      </c>
      <c r="C2644" s="1" t="s">
        <v>26</v>
      </c>
      <c r="D2644" s="1" t="s">
        <v>19</v>
      </c>
      <c r="E2644" s="1" t="s">
        <v>56</v>
      </c>
      <c r="F2644">
        <v>2006</v>
      </c>
      <c r="G2644">
        <v>11</v>
      </c>
      <c r="H2644" s="1" t="s">
        <v>21</v>
      </c>
      <c r="I2644">
        <v>35</v>
      </c>
      <c r="J2644">
        <v>4204</v>
      </c>
      <c r="K2644" s="1" t="s">
        <v>57</v>
      </c>
      <c r="L2644" s="1" t="s">
        <v>45</v>
      </c>
      <c r="M2644">
        <v>0.95899999999999996</v>
      </c>
      <c r="N2644">
        <v>33579.4</v>
      </c>
      <c r="O2644">
        <v>33.579000000000001</v>
      </c>
      <c r="P2644" s="2">
        <v>42795</v>
      </c>
      <c r="Q2644">
        <v>1</v>
      </c>
      <c r="R2644" s="1" t="s">
        <v>24</v>
      </c>
    </row>
    <row r="2645" spans="1:18" x14ac:dyDescent="0.25">
      <c r="A2645">
        <v>2017</v>
      </c>
      <c r="B2645">
        <v>4</v>
      </c>
      <c r="C2645" s="1" t="s">
        <v>27</v>
      </c>
      <c r="D2645" s="1" t="s">
        <v>19</v>
      </c>
      <c r="E2645" s="1" t="s">
        <v>56</v>
      </c>
      <c r="F2645">
        <v>2006</v>
      </c>
      <c r="G2645">
        <v>11</v>
      </c>
      <c r="H2645" s="1" t="s">
        <v>21</v>
      </c>
      <c r="I2645">
        <v>35</v>
      </c>
      <c r="J2645">
        <v>4204</v>
      </c>
      <c r="K2645" s="1" t="s">
        <v>57</v>
      </c>
      <c r="L2645" s="1" t="s">
        <v>45</v>
      </c>
      <c r="M2645">
        <v>1.2969999999999999</v>
      </c>
      <c r="N2645">
        <v>45403.199999999997</v>
      </c>
      <c r="O2645">
        <v>45.402999999999999</v>
      </c>
      <c r="P2645" s="2">
        <v>42826</v>
      </c>
      <c r="Q2645">
        <v>1</v>
      </c>
      <c r="R2645" s="1" t="s">
        <v>24</v>
      </c>
    </row>
    <row r="2646" spans="1:18" x14ac:dyDescent="0.25">
      <c r="A2646">
        <v>2017</v>
      </c>
      <c r="B2646">
        <v>5</v>
      </c>
      <c r="C2646" s="1" t="s">
        <v>28</v>
      </c>
      <c r="D2646" s="1" t="s">
        <v>19</v>
      </c>
      <c r="E2646" s="1" t="s">
        <v>56</v>
      </c>
      <c r="F2646">
        <v>2006</v>
      </c>
      <c r="G2646">
        <v>11</v>
      </c>
      <c r="H2646" s="1" t="s">
        <v>21</v>
      </c>
      <c r="I2646">
        <v>35</v>
      </c>
      <c r="J2646">
        <v>4204</v>
      </c>
      <c r="K2646" s="1" t="s">
        <v>57</v>
      </c>
      <c r="L2646" s="1" t="s">
        <v>45</v>
      </c>
      <c r="M2646">
        <v>1.1970000000000001</v>
      </c>
      <c r="N2646">
        <v>41903.4</v>
      </c>
      <c r="O2646">
        <v>41.902999999999999</v>
      </c>
      <c r="P2646" s="2">
        <v>42856</v>
      </c>
      <c r="Q2646">
        <v>1</v>
      </c>
      <c r="R2646" s="1" t="s">
        <v>24</v>
      </c>
    </row>
    <row r="2647" spans="1:18" x14ac:dyDescent="0.25">
      <c r="A2647">
        <v>2017</v>
      </c>
      <c r="B2647">
        <v>6</v>
      </c>
      <c r="C2647" s="1" t="s">
        <v>29</v>
      </c>
      <c r="D2647" s="1" t="s">
        <v>19</v>
      </c>
      <c r="E2647" s="1" t="s">
        <v>56</v>
      </c>
      <c r="F2647">
        <v>2006</v>
      </c>
      <c r="G2647">
        <v>11</v>
      </c>
      <c r="H2647" s="1" t="s">
        <v>21</v>
      </c>
      <c r="I2647">
        <v>35</v>
      </c>
      <c r="J2647">
        <v>4204</v>
      </c>
      <c r="K2647" s="1" t="s">
        <v>57</v>
      </c>
      <c r="L2647" s="1" t="s">
        <v>45</v>
      </c>
      <c r="M2647">
        <v>0.99299999999999999</v>
      </c>
      <c r="N2647">
        <v>34746.1</v>
      </c>
      <c r="O2647">
        <v>34.746000000000002</v>
      </c>
      <c r="P2647" s="2">
        <v>42887</v>
      </c>
      <c r="Q2647">
        <v>1</v>
      </c>
      <c r="R2647" s="1" t="s">
        <v>24</v>
      </c>
    </row>
    <row r="2648" spans="1:18" x14ac:dyDescent="0.25">
      <c r="A2648">
        <v>2017</v>
      </c>
      <c r="B2648">
        <v>7</v>
      </c>
      <c r="C2648" s="1" t="s">
        <v>30</v>
      </c>
      <c r="D2648" s="1" t="s">
        <v>19</v>
      </c>
      <c r="E2648" s="1" t="s">
        <v>56</v>
      </c>
      <c r="F2648">
        <v>2006</v>
      </c>
      <c r="G2648">
        <v>11</v>
      </c>
      <c r="H2648" s="1" t="s">
        <v>21</v>
      </c>
      <c r="I2648">
        <v>35</v>
      </c>
      <c r="J2648">
        <v>4204</v>
      </c>
      <c r="K2648" s="1" t="s">
        <v>57</v>
      </c>
      <c r="L2648" s="1" t="s">
        <v>45</v>
      </c>
      <c r="M2648">
        <v>0.997</v>
      </c>
      <c r="N2648">
        <v>34903.699999999997</v>
      </c>
      <c r="O2648">
        <v>34.904000000000003</v>
      </c>
      <c r="P2648" s="2">
        <v>42917</v>
      </c>
      <c r="Q2648">
        <v>1</v>
      </c>
      <c r="R2648" s="1" t="s">
        <v>24</v>
      </c>
    </row>
    <row r="2649" spans="1:18" x14ac:dyDescent="0.25">
      <c r="A2649">
        <v>2017</v>
      </c>
      <c r="B2649">
        <v>8</v>
      </c>
      <c r="C2649" s="1" t="s">
        <v>31</v>
      </c>
      <c r="D2649" s="1" t="s">
        <v>19</v>
      </c>
      <c r="E2649" s="1" t="s">
        <v>56</v>
      </c>
      <c r="F2649">
        <v>2006</v>
      </c>
      <c r="G2649">
        <v>11</v>
      </c>
      <c r="H2649" s="1" t="s">
        <v>21</v>
      </c>
      <c r="I2649">
        <v>35</v>
      </c>
      <c r="J2649">
        <v>4204</v>
      </c>
      <c r="K2649" s="1" t="s">
        <v>57</v>
      </c>
      <c r="L2649" s="1" t="s">
        <v>45</v>
      </c>
      <c r="M2649">
        <v>1.3859999999999999</v>
      </c>
      <c r="N2649">
        <v>48524.7</v>
      </c>
      <c r="O2649">
        <v>48.524999999999999</v>
      </c>
      <c r="P2649" s="2">
        <v>42948</v>
      </c>
      <c r="Q2649">
        <v>1</v>
      </c>
      <c r="R2649" s="1" t="s">
        <v>24</v>
      </c>
    </row>
    <row r="2650" spans="1:18" x14ac:dyDescent="0.25">
      <c r="A2650">
        <v>2017</v>
      </c>
      <c r="B2650">
        <v>9</v>
      </c>
      <c r="C2650" s="1" t="s">
        <v>32</v>
      </c>
      <c r="D2650" s="1" t="s">
        <v>19</v>
      </c>
      <c r="E2650" s="1" t="s">
        <v>56</v>
      </c>
      <c r="F2650">
        <v>2006</v>
      </c>
      <c r="G2650">
        <v>11</v>
      </c>
      <c r="H2650" s="1" t="s">
        <v>21</v>
      </c>
      <c r="I2650">
        <v>35</v>
      </c>
      <c r="J2650">
        <v>4204</v>
      </c>
      <c r="K2650" s="1" t="s">
        <v>57</v>
      </c>
      <c r="L2650" s="1" t="s">
        <v>45</v>
      </c>
      <c r="M2650">
        <v>0.99199999999999999</v>
      </c>
      <c r="N2650">
        <v>34714.5</v>
      </c>
      <c r="O2650">
        <v>34.715000000000003</v>
      </c>
      <c r="P2650" s="2">
        <v>42979</v>
      </c>
      <c r="Q2650">
        <v>1</v>
      </c>
      <c r="R2650" s="1" t="s">
        <v>24</v>
      </c>
    </row>
    <row r="2651" spans="1:18" x14ac:dyDescent="0.25">
      <c r="A2651">
        <v>2017</v>
      </c>
      <c r="B2651">
        <v>10</v>
      </c>
      <c r="C2651" s="1" t="s">
        <v>33</v>
      </c>
      <c r="D2651" s="1" t="s">
        <v>19</v>
      </c>
      <c r="E2651" s="1" t="s">
        <v>56</v>
      </c>
      <c r="F2651">
        <v>2006</v>
      </c>
      <c r="G2651">
        <v>11</v>
      </c>
      <c r="H2651" s="1" t="s">
        <v>21</v>
      </c>
      <c r="I2651">
        <v>35</v>
      </c>
      <c r="J2651">
        <v>4204</v>
      </c>
      <c r="K2651" s="1" t="s">
        <v>57</v>
      </c>
      <c r="L2651" s="1" t="s">
        <v>45</v>
      </c>
      <c r="M2651">
        <v>0.95299999999999996</v>
      </c>
      <c r="N2651">
        <v>33358.699999999997</v>
      </c>
      <c r="O2651">
        <v>33.359000000000002</v>
      </c>
      <c r="P2651" s="2">
        <v>43009</v>
      </c>
      <c r="Q2651">
        <v>1</v>
      </c>
      <c r="R2651" s="1" t="s">
        <v>24</v>
      </c>
    </row>
    <row r="2652" spans="1:18" x14ac:dyDescent="0.25">
      <c r="A2652">
        <v>2017</v>
      </c>
      <c r="B2652">
        <v>11</v>
      </c>
      <c r="C2652" s="1" t="s">
        <v>34</v>
      </c>
      <c r="D2652" s="1" t="s">
        <v>19</v>
      </c>
      <c r="E2652" s="1" t="s">
        <v>56</v>
      </c>
      <c r="F2652">
        <v>2006</v>
      </c>
      <c r="G2652">
        <v>11</v>
      </c>
      <c r="H2652" s="1" t="s">
        <v>21</v>
      </c>
      <c r="I2652">
        <v>35</v>
      </c>
      <c r="J2652">
        <v>4204</v>
      </c>
      <c r="K2652" s="1" t="s">
        <v>57</v>
      </c>
      <c r="L2652" s="1" t="s">
        <v>45</v>
      </c>
      <c r="M2652">
        <v>0.98099999999999998</v>
      </c>
      <c r="N2652">
        <v>34336.199999999997</v>
      </c>
      <c r="O2652">
        <v>34.335999999999999</v>
      </c>
      <c r="P2652" s="2">
        <v>43040</v>
      </c>
      <c r="Q2652">
        <v>1</v>
      </c>
      <c r="R2652" s="1" t="s">
        <v>24</v>
      </c>
    </row>
    <row r="2653" spans="1:18" x14ac:dyDescent="0.25">
      <c r="A2653">
        <v>2017</v>
      </c>
      <c r="B2653">
        <v>12</v>
      </c>
      <c r="C2653" s="1" t="s">
        <v>35</v>
      </c>
      <c r="D2653" s="1" t="s">
        <v>19</v>
      </c>
      <c r="E2653" s="1" t="s">
        <v>56</v>
      </c>
      <c r="F2653">
        <v>2006</v>
      </c>
      <c r="G2653">
        <v>11</v>
      </c>
      <c r="H2653" s="1" t="s">
        <v>21</v>
      </c>
      <c r="I2653">
        <v>35</v>
      </c>
      <c r="J2653">
        <v>4204</v>
      </c>
      <c r="K2653" s="1" t="s">
        <v>57</v>
      </c>
      <c r="L2653" s="1" t="s">
        <v>45</v>
      </c>
      <c r="M2653">
        <v>0.83599999999999997</v>
      </c>
      <c r="N2653">
        <v>29259.8</v>
      </c>
      <c r="O2653">
        <v>29.26</v>
      </c>
      <c r="P2653" s="2">
        <v>43070</v>
      </c>
      <c r="Q2653">
        <v>1</v>
      </c>
      <c r="R2653" s="1" t="s">
        <v>24</v>
      </c>
    </row>
    <row r="2654" spans="1:18" x14ac:dyDescent="0.25">
      <c r="A2654">
        <v>2017</v>
      </c>
      <c r="B2654">
        <v>1</v>
      </c>
      <c r="C2654" s="1" t="s">
        <v>18</v>
      </c>
      <c r="D2654" s="1" t="s">
        <v>19</v>
      </c>
      <c r="E2654" s="1" t="s">
        <v>58</v>
      </c>
      <c r="F2654">
        <v>2012</v>
      </c>
      <c r="G2654">
        <v>5</v>
      </c>
      <c r="H2654" s="1" t="s">
        <v>126</v>
      </c>
      <c r="I2654">
        <v>10</v>
      </c>
      <c r="J2654">
        <v>1434</v>
      </c>
      <c r="K2654" s="1" t="s">
        <v>60</v>
      </c>
      <c r="L2654" s="1" t="s">
        <v>45</v>
      </c>
      <c r="M2654">
        <v>0.93100000000000005</v>
      </c>
      <c r="N2654">
        <v>9310.4</v>
      </c>
      <c r="O2654">
        <v>9.31</v>
      </c>
      <c r="P2654" s="2">
        <v>42736</v>
      </c>
      <c r="Q2654">
        <v>1</v>
      </c>
      <c r="R2654" s="1" t="s">
        <v>122</v>
      </c>
    </row>
    <row r="2655" spans="1:18" x14ac:dyDescent="0.25">
      <c r="A2655">
        <v>2017</v>
      </c>
      <c r="B2655">
        <v>2</v>
      </c>
      <c r="C2655" s="1" t="s">
        <v>25</v>
      </c>
      <c r="D2655" s="1" t="s">
        <v>19</v>
      </c>
      <c r="E2655" s="1" t="s">
        <v>58</v>
      </c>
      <c r="F2655">
        <v>2012</v>
      </c>
      <c r="G2655">
        <v>5</v>
      </c>
      <c r="H2655" s="1" t="s">
        <v>126</v>
      </c>
      <c r="I2655">
        <v>10</v>
      </c>
      <c r="J2655">
        <v>1434</v>
      </c>
      <c r="K2655" s="1" t="s">
        <v>60</v>
      </c>
      <c r="L2655" s="1" t="s">
        <v>45</v>
      </c>
      <c r="M2655">
        <v>0.57799999999999996</v>
      </c>
      <c r="N2655">
        <v>5781.6</v>
      </c>
      <c r="O2655">
        <v>5.782</v>
      </c>
      <c r="P2655" s="2">
        <v>42767</v>
      </c>
      <c r="Q2655">
        <v>1</v>
      </c>
      <c r="R2655" s="1" t="s">
        <v>122</v>
      </c>
    </row>
    <row r="2656" spans="1:18" x14ac:dyDescent="0.25">
      <c r="A2656">
        <v>2017</v>
      </c>
      <c r="B2656">
        <v>3</v>
      </c>
      <c r="C2656" s="1" t="s">
        <v>26</v>
      </c>
      <c r="D2656" s="1" t="s">
        <v>19</v>
      </c>
      <c r="E2656" s="1" t="s">
        <v>58</v>
      </c>
      <c r="F2656">
        <v>2012</v>
      </c>
      <c r="G2656">
        <v>5</v>
      </c>
      <c r="H2656" s="1" t="s">
        <v>126</v>
      </c>
      <c r="I2656">
        <v>10</v>
      </c>
      <c r="J2656">
        <v>1434</v>
      </c>
      <c r="K2656" s="1" t="s">
        <v>60</v>
      </c>
      <c r="L2656" s="1" t="s">
        <v>45</v>
      </c>
      <c r="M2656">
        <v>0.93700000000000006</v>
      </c>
      <c r="N2656">
        <v>9372</v>
      </c>
      <c r="O2656">
        <v>9.3719999999999999</v>
      </c>
      <c r="P2656" s="2">
        <v>42795</v>
      </c>
      <c r="Q2656">
        <v>1</v>
      </c>
      <c r="R2656" s="1" t="s">
        <v>122</v>
      </c>
    </row>
    <row r="2657" spans="1:18" x14ac:dyDescent="0.25">
      <c r="A2657">
        <v>2017</v>
      </c>
      <c r="B2657">
        <v>4</v>
      </c>
      <c r="C2657" s="1" t="s">
        <v>27</v>
      </c>
      <c r="D2657" s="1" t="s">
        <v>19</v>
      </c>
      <c r="E2657" s="1" t="s">
        <v>58</v>
      </c>
      <c r="F2657">
        <v>2012</v>
      </c>
      <c r="G2657">
        <v>5</v>
      </c>
      <c r="H2657" s="1" t="s">
        <v>126</v>
      </c>
      <c r="I2657">
        <v>10</v>
      </c>
      <c r="J2657">
        <v>1434</v>
      </c>
      <c r="K2657" s="1" t="s">
        <v>60</v>
      </c>
      <c r="L2657" s="1" t="s">
        <v>45</v>
      </c>
      <c r="M2657">
        <v>1.2669999999999999</v>
      </c>
      <c r="N2657">
        <v>12672</v>
      </c>
      <c r="O2657">
        <v>12.672000000000001</v>
      </c>
      <c r="P2657" s="2">
        <v>42826</v>
      </c>
      <c r="Q2657">
        <v>1</v>
      </c>
      <c r="R2657" s="1" t="s">
        <v>122</v>
      </c>
    </row>
    <row r="2658" spans="1:18" x14ac:dyDescent="0.25">
      <c r="A2658">
        <v>2017</v>
      </c>
      <c r="B2658">
        <v>5</v>
      </c>
      <c r="C2658" s="1" t="s">
        <v>28</v>
      </c>
      <c r="D2658" s="1" t="s">
        <v>19</v>
      </c>
      <c r="E2658" s="1" t="s">
        <v>58</v>
      </c>
      <c r="F2658">
        <v>2012</v>
      </c>
      <c r="G2658">
        <v>5</v>
      </c>
      <c r="H2658" s="1" t="s">
        <v>126</v>
      </c>
      <c r="I2658">
        <v>10</v>
      </c>
      <c r="J2658">
        <v>1434</v>
      </c>
      <c r="K2658" s="1" t="s">
        <v>60</v>
      </c>
      <c r="L2658" s="1" t="s">
        <v>45</v>
      </c>
      <c r="M2658">
        <v>1.17</v>
      </c>
      <c r="N2658">
        <v>11695.2</v>
      </c>
      <c r="O2658">
        <v>11.695</v>
      </c>
      <c r="P2658" s="2">
        <v>42856</v>
      </c>
      <c r="Q2658">
        <v>1</v>
      </c>
      <c r="R2658" s="1" t="s">
        <v>122</v>
      </c>
    </row>
    <row r="2659" spans="1:18" x14ac:dyDescent="0.25">
      <c r="A2659">
        <v>2017</v>
      </c>
      <c r="B2659">
        <v>6</v>
      </c>
      <c r="C2659" s="1" t="s">
        <v>29</v>
      </c>
      <c r="D2659" s="1" t="s">
        <v>19</v>
      </c>
      <c r="E2659" s="1" t="s">
        <v>58</v>
      </c>
      <c r="F2659">
        <v>2012</v>
      </c>
      <c r="G2659">
        <v>5</v>
      </c>
      <c r="H2659" s="1" t="s">
        <v>126</v>
      </c>
      <c r="I2659">
        <v>10</v>
      </c>
      <c r="J2659">
        <v>1434</v>
      </c>
      <c r="K2659" s="1" t="s">
        <v>60</v>
      </c>
      <c r="L2659" s="1" t="s">
        <v>45</v>
      </c>
      <c r="M2659">
        <v>0.97</v>
      </c>
      <c r="N2659">
        <v>9697.6</v>
      </c>
      <c r="O2659">
        <v>9.6980000000000004</v>
      </c>
      <c r="P2659" s="2">
        <v>42887</v>
      </c>
      <c r="Q2659">
        <v>1</v>
      </c>
      <c r="R2659" s="1" t="s">
        <v>122</v>
      </c>
    </row>
    <row r="2660" spans="1:18" x14ac:dyDescent="0.25">
      <c r="A2660">
        <v>2017</v>
      </c>
      <c r="B2660">
        <v>7</v>
      </c>
      <c r="C2660" s="1" t="s">
        <v>30</v>
      </c>
      <c r="D2660" s="1" t="s">
        <v>19</v>
      </c>
      <c r="E2660" s="1" t="s">
        <v>58</v>
      </c>
      <c r="F2660">
        <v>2012</v>
      </c>
      <c r="G2660">
        <v>5</v>
      </c>
      <c r="H2660" s="1" t="s">
        <v>126</v>
      </c>
      <c r="I2660">
        <v>10</v>
      </c>
      <c r="J2660">
        <v>1434</v>
      </c>
      <c r="K2660" s="1" t="s">
        <v>60</v>
      </c>
      <c r="L2660" s="1" t="s">
        <v>45</v>
      </c>
      <c r="M2660">
        <v>0.97399999999999998</v>
      </c>
      <c r="N2660">
        <v>9741.6</v>
      </c>
      <c r="O2660">
        <v>9.7420000000000009</v>
      </c>
      <c r="P2660" s="2">
        <v>42917</v>
      </c>
      <c r="Q2660">
        <v>1</v>
      </c>
      <c r="R2660" s="1" t="s">
        <v>122</v>
      </c>
    </row>
    <row r="2661" spans="1:18" x14ac:dyDescent="0.25">
      <c r="A2661">
        <v>2017</v>
      </c>
      <c r="B2661">
        <v>8</v>
      </c>
      <c r="C2661" s="1" t="s">
        <v>31</v>
      </c>
      <c r="D2661" s="1" t="s">
        <v>19</v>
      </c>
      <c r="E2661" s="1" t="s">
        <v>58</v>
      </c>
      <c r="F2661">
        <v>2012</v>
      </c>
      <c r="G2661">
        <v>5</v>
      </c>
      <c r="H2661" s="1" t="s">
        <v>126</v>
      </c>
      <c r="I2661">
        <v>10</v>
      </c>
      <c r="J2661">
        <v>1434</v>
      </c>
      <c r="K2661" s="1" t="s">
        <v>60</v>
      </c>
      <c r="L2661" s="1" t="s">
        <v>45</v>
      </c>
      <c r="M2661">
        <v>1.3540000000000001</v>
      </c>
      <c r="N2661">
        <v>13543.2</v>
      </c>
      <c r="O2661">
        <v>13.542999999999999</v>
      </c>
      <c r="P2661" s="2">
        <v>42948</v>
      </c>
      <c r="Q2661">
        <v>1</v>
      </c>
      <c r="R2661" s="1" t="s">
        <v>122</v>
      </c>
    </row>
    <row r="2662" spans="1:18" x14ac:dyDescent="0.25">
      <c r="A2662">
        <v>2017</v>
      </c>
      <c r="B2662">
        <v>9</v>
      </c>
      <c r="C2662" s="1" t="s">
        <v>32</v>
      </c>
      <c r="D2662" s="1" t="s">
        <v>19</v>
      </c>
      <c r="E2662" s="1" t="s">
        <v>58</v>
      </c>
      <c r="F2662">
        <v>2012</v>
      </c>
      <c r="G2662">
        <v>5</v>
      </c>
      <c r="H2662" s="1" t="s">
        <v>126</v>
      </c>
      <c r="I2662">
        <v>10</v>
      </c>
      <c r="J2662">
        <v>1434</v>
      </c>
      <c r="K2662" s="1" t="s">
        <v>60</v>
      </c>
      <c r="L2662" s="1" t="s">
        <v>45</v>
      </c>
      <c r="M2662">
        <v>0.96899999999999997</v>
      </c>
      <c r="N2662">
        <v>9688.7999999999993</v>
      </c>
      <c r="O2662">
        <v>9.6890000000000001</v>
      </c>
      <c r="P2662" s="2">
        <v>42979</v>
      </c>
      <c r="Q2662">
        <v>1</v>
      </c>
      <c r="R2662" s="1" t="s">
        <v>122</v>
      </c>
    </row>
    <row r="2663" spans="1:18" x14ac:dyDescent="0.25">
      <c r="A2663">
        <v>2017</v>
      </c>
      <c r="B2663">
        <v>10</v>
      </c>
      <c r="C2663" s="1" t="s">
        <v>33</v>
      </c>
      <c r="D2663" s="1" t="s">
        <v>19</v>
      </c>
      <c r="E2663" s="1" t="s">
        <v>58</v>
      </c>
      <c r="F2663">
        <v>2012</v>
      </c>
      <c r="G2663">
        <v>5</v>
      </c>
      <c r="H2663" s="1" t="s">
        <v>126</v>
      </c>
      <c r="I2663">
        <v>10</v>
      </c>
      <c r="J2663">
        <v>1434</v>
      </c>
      <c r="K2663" s="1" t="s">
        <v>60</v>
      </c>
      <c r="L2663" s="1" t="s">
        <v>45</v>
      </c>
      <c r="M2663">
        <v>0.93100000000000005</v>
      </c>
      <c r="N2663">
        <v>9310.4</v>
      </c>
      <c r="O2663">
        <v>9.31</v>
      </c>
      <c r="P2663" s="2">
        <v>43009</v>
      </c>
      <c r="Q2663">
        <v>1</v>
      </c>
      <c r="R2663" s="1" t="s">
        <v>122</v>
      </c>
    </row>
    <row r="2664" spans="1:18" x14ac:dyDescent="0.25">
      <c r="A2664">
        <v>2017</v>
      </c>
      <c r="B2664">
        <v>11</v>
      </c>
      <c r="C2664" s="1" t="s">
        <v>34</v>
      </c>
      <c r="D2664" s="1" t="s">
        <v>19</v>
      </c>
      <c r="E2664" s="1" t="s">
        <v>58</v>
      </c>
      <c r="F2664">
        <v>2012</v>
      </c>
      <c r="G2664">
        <v>5</v>
      </c>
      <c r="H2664" s="1" t="s">
        <v>126</v>
      </c>
      <c r="I2664">
        <v>10</v>
      </c>
      <c r="J2664">
        <v>1434</v>
      </c>
      <c r="K2664" s="1" t="s">
        <v>60</v>
      </c>
      <c r="L2664" s="1" t="s">
        <v>45</v>
      </c>
      <c r="M2664">
        <v>0.95799999999999996</v>
      </c>
      <c r="N2664">
        <v>9583.2000000000007</v>
      </c>
      <c r="O2664">
        <v>9.5830000000000002</v>
      </c>
      <c r="P2664" s="2">
        <v>43040</v>
      </c>
      <c r="Q2664">
        <v>1</v>
      </c>
      <c r="R2664" s="1" t="s">
        <v>122</v>
      </c>
    </row>
    <row r="2665" spans="1:18" x14ac:dyDescent="0.25">
      <c r="A2665">
        <v>2017</v>
      </c>
      <c r="B2665">
        <v>12</v>
      </c>
      <c r="C2665" s="1" t="s">
        <v>35</v>
      </c>
      <c r="D2665" s="1" t="s">
        <v>19</v>
      </c>
      <c r="E2665" s="1" t="s">
        <v>58</v>
      </c>
      <c r="F2665">
        <v>2012</v>
      </c>
      <c r="G2665">
        <v>5</v>
      </c>
      <c r="H2665" s="1" t="s">
        <v>126</v>
      </c>
      <c r="I2665">
        <v>10</v>
      </c>
      <c r="J2665">
        <v>1434</v>
      </c>
      <c r="K2665" s="1" t="s">
        <v>60</v>
      </c>
      <c r="L2665" s="1" t="s">
        <v>45</v>
      </c>
      <c r="M2665">
        <v>0.81699999999999995</v>
      </c>
      <c r="N2665">
        <v>8166.4</v>
      </c>
      <c r="O2665">
        <v>8.1660000000000004</v>
      </c>
      <c r="P2665" s="2">
        <v>43070</v>
      </c>
      <c r="Q2665">
        <v>1</v>
      </c>
      <c r="R2665" s="1" t="s">
        <v>122</v>
      </c>
    </row>
    <row r="2666" spans="1:18" x14ac:dyDescent="0.25">
      <c r="A2666">
        <v>2017</v>
      </c>
      <c r="B2666">
        <v>1</v>
      </c>
      <c r="C2666" s="1" t="s">
        <v>18</v>
      </c>
      <c r="D2666" s="1" t="s">
        <v>19</v>
      </c>
      <c r="E2666" s="1" t="s">
        <v>62</v>
      </c>
      <c r="F2666">
        <v>2012</v>
      </c>
      <c r="G2666">
        <v>5</v>
      </c>
      <c r="H2666" s="1" t="s">
        <v>126</v>
      </c>
      <c r="I2666">
        <v>24</v>
      </c>
      <c r="J2666">
        <v>3074</v>
      </c>
      <c r="K2666" s="1" t="s">
        <v>63</v>
      </c>
      <c r="L2666" s="1" t="s">
        <v>64</v>
      </c>
      <c r="M2666">
        <v>0.93100000000000005</v>
      </c>
      <c r="N2666">
        <v>22345</v>
      </c>
      <c r="O2666">
        <v>22.344999999999999</v>
      </c>
      <c r="P2666" s="2">
        <v>42736</v>
      </c>
      <c r="Q2666">
        <v>1</v>
      </c>
      <c r="R2666" s="1" t="s">
        <v>122</v>
      </c>
    </row>
    <row r="2667" spans="1:18" x14ac:dyDescent="0.25">
      <c r="A2667">
        <v>2017</v>
      </c>
      <c r="B2667">
        <v>2</v>
      </c>
      <c r="C2667" s="1" t="s">
        <v>25</v>
      </c>
      <c r="D2667" s="1" t="s">
        <v>19</v>
      </c>
      <c r="E2667" s="1" t="s">
        <v>62</v>
      </c>
      <c r="F2667">
        <v>2012</v>
      </c>
      <c r="G2667">
        <v>5</v>
      </c>
      <c r="H2667" s="1" t="s">
        <v>126</v>
      </c>
      <c r="I2667">
        <v>24</v>
      </c>
      <c r="J2667">
        <v>3074</v>
      </c>
      <c r="K2667" s="1" t="s">
        <v>63</v>
      </c>
      <c r="L2667" s="1" t="s">
        <v>64</v>
      </c>
      <c r="M2667">
        <v>0.57799999999999996</v>
      </c>
      <c r="N2667">
        <v>13875.8</v>
      </c>
      <c r="O2667">
        <v>13.875999999999999</v>
      </c>
      <c r="P2667" s="2">
        <v>42767</v>
      </c>
      <c r="Q2667">
        <v>1</v>
      </c>
      <c r="R2667" s="1" t="s">
        <v>122</v>
      </c>
    </row>
    <row r="2668" spans="1:18" x14ac:dyDescent="0.25">
      <c r="A2668">
        <v>2017</v>
      </c>
      <c r="B2668">
        <v>3</v>
      </c>
      <c r="C2668" s="1" t="s">
        <v>26</v>
      </c>
      <c r="D2668" s="1" t="s">
        <v>19</v>
      </c>
      <c r="E2668" s="1" t="s">
        <v>62</v>
      </c>
      <c r="F2668">
        <v>2012</v>
      </c>
      <c r="G2668">
        <v>5</v>
      </c>
      <c r="H2668" s="1" t="s">
        <v>126</v>
      </c>
      <c r="I2668">
        <v>24</v>
      </c>
      <c r="J2668">
        <v>3074</v>
      </c>
      <c r="K2668" s="1" t="s">
        <v>63</v>
      </c>
      <c r="L2668" s="1" t="s">
        <v>64</v>
      </c>
      <c r="M2668">
        <v>0.93700000000000006</v>
      </c>
      <c r="N2668">
        <v>22492.799999999999</v>
      </c>
      <c r="O2668">
        <v>22.492999999999999</v>
      </c>
      <c r="P2668" s="2">
        <v>42795</v>
      </c>
      <c r="Q2668">
        <v>1</v>
      </c>
      <c r="R2668" s="1" t="s">
        <v>122</v>
      </c>
    </row>
    <row r="2669" spans="1:18" x14ac:dyDescent="0.25">
      <c r="A2669">
        <v>2017</v>
      </c>
      <c r="B2669">
        <v>4</v>
      </c>
      <c r="C2669" s="1" t="s">
        <v>27</v>
      </c>
      <c r="D2669" s="1" t="s">
        <v>19</v>
      </c>
      <c r="E2669" s="1" t="s">
        <v>62</v>
      </c>
      <c r="F2669">
        <v>2012</v>
      </c>
      <c r="G2669">
        <v>5</v>
      </c>
      <c r="H2669" s="1" t="s">
        <v>126</v>
      </c>
      <c r="I2669">
        <v>24</v>
      </c>
      <c r="J2669">
        <v>3074</v>
      </c>
      <c r="K2669" s="1" t="s">
        <v>63</v>
      </c>
      <c r="L2669" s="1" t="s">
        <v>64</v>
      </c>
      <c r="M2669">
        <v>1.2669999999999999</v>
      </c>
      <c r="N2669">
        <v>30412.799999999999</v>
      </c>
      <c r="O2669">
        <v>30.413</v>
      </c>
      <c r="P2669" s="2">
        <v>42826</v>
      </c>
      <c r="Q2669">
        <v>1</v>
      </c>
      <c r="R2669" s="1" t="s">
        <v>122</v>
      </c>
    </row>
    <row r="2670" spans="1:18" x14ac:dyDescent="0.25">
      <c r="A2670">
        <v>2017</v>
      </c>
      <c r="B2670">
        <v>5</v>
      </c>
      <c r="C2670" s="1" t="s">
        <v>28</v>
      </c>
      <c r="D2670" s="1" t="s">
        <v>19</v>
      </c>
      <c r="E2670" s="1" t="s">
        <v>62</v>
      </c>
      <c r="F2670">
        <v>2012</v>
      </c>
      <c r="G2670">
        <v>5</v>
      </c>
      <c r="H2670" s="1" t="s">
        <v>126</v>
      </c>
      <c r="I2670">
        <v>24</v>
      </c>
      <c r="J2670">
        <v>3074</v>
      </c>
      <c r="K2670" s="1" t="s">
        <v>63</v>
      </c>
      <c r="L2670" s="1" t="s">
        <v>64</v>
      </c>
      <c r="M2670">
        <v>1.17</v>
      </c>
      <c r="N2670">
        <v>28068.5</v>
      </c>
      <c r="O2670">
        <v>28.068000000000001</v>
      </c>
      <c r="P2670" s="2">
        <v>42856</v>
      </c>
      <c r="Q2670">
        <v>1</v>
      </c>
      <c r="R2670" s="1" t="s">
        <v>122</v>
      </c>
    </row>
    <row r="2671" spans="1:18" x14ac:dyDescent="0.25">
      <c r="A2671">
        <v>2017</v>
      </c>
      <c r="B2671">
        <v>6</v>
      </c>
      <c r="C2671" s="1" t="s">
        <v>29</v>
      </c>
      <c r="D2671" s="1" t="s">
        <v>19</v>
      </c>
      <c r="E2671" s="1" t="s">
        <v>62</v>
      </c>
      <c r="F2671">
        <v>2012</v>
      </c>
      <c r="G2671">
        <v>5</v>
      </c>
      <c r="H2671" s="1" t="s">
        <v>126</v>
      </c>
      <c r="I2671">
        <v>24</v>
      </c>
      <c r="J2671">
        <v>3074</v>
      </c>
      <c r="K2671" s="1" t="s">
        <v>63</v>
      </c>
      <c r="L2671" s="1" t="s">
        <v>64</v>
      </c>
      <c r="M2671">
        <v>0.97</v>
      </c>
      <c r="N2671">
        <v>23274.2</v>
      </c>
      <c r="O2671">
        <v>23.274000000000001</v>
      </c>
      <c r="P2671" s="2">
        <v>42887</v>
      </c>
      <c r="Q2671">
        <v>1</v>
      </c>
      <c r="R2671" s="1" t="s">
        <v>122</v>
      </c>
    </row>
    <row r="2672" spans="1:18" x14ac:dyDescent="0.25">
      <c r="A2672">
        <v>2017</v>
      </c>
      <c r="B2672">
        <v>7</v>
      </c>
      <c r="C2672" s="1" t="s">
        <v>30</v>
      </c>
      <c r="D2672" s="1" t="s">
        <v>19</v>
      </c>
      <c r="E2672" s="1" t="s">
        <v>62</v>
      </c>
      <c r="F2672">
        <v>2012</v>
      </c>
      <c r="G2672">
        <v>5</v>
      </c>
      <c r="H2672" s="1" t="s">
        <v>126</v>
      </c>
      <c r="I2672">
        <v>24</v>
      </c>
      <c r="J2672">
        <v>3074</v>
      </c>
      <c r="K2672" s="1" t="s">
        <v>63</v>
      </c>
      <c r="L2672" s="1" t="s">
        <v>64</v>
      </c>
      <c r="M2672">
        <v>0.97399999999999998</v>
      </c>
      <c r="N2672">
        <v>23379.8</v>
      </c>
      <c r="O2672">
        <v>23.38</v>
      </c>
      <c r="P2672" s="2">
        <v>42917</v>
      </c>
      <c r="Q2672">
        <v>1</v>
      </c>
      <c r="R2672" s="1" t="s">
        <v>122</v>
      </c>
    </row>
    <row r="2673" spans="1:18" x14ac:dyDescent="0.25">
      <c r="A2673">
        <v>2017</v>
      </c>
      <c r="B2673">
        <v>8</v>
      </c>
      <c r="C2673" s="1" t="s">
        <v>31</v>
      </c>
      <c r="D2673" s="1" t="s">
        <v>19</v>
      </c>
      <c r="E2673" s="1" t="s">
        <v>62</v>
      </c>
      <c r="F2673">
        <v>2012</v>
      </c>
      <c r="G2673">
        <v>5</v>
      </c>
      <c r="H2673" s="1" t="s">
        <v>126</v>
      </c>
      <c r="I2673">
        <v>24</v>
      </c>
      <c r="J2673">
        <v>3074</v>
      </c>
      <c r="K2673" s="1" t="s">
        <v>63</v>
      </c>
      <c r="L2673" s="1" t="s">
        <v>64</v>
      </c>
      <c r="M2673">
        <v>1.3540000000000001</v>
      </c>
      <c r="N2673">
        <v>32503.7</v>
      </c>
      <c r="O2673">
        <v>32.503999999999998</v>
      </c>
      <c r="P2673" s="2">
        <v>42948</v>
      </c>
      <c r="Q2673">
        <v>1</v>
      </c>
      <c r="R2673" s="1" t="s">
        <v>122</v>
      </c>
    </row>
    <row r="2674" spans="1:18" x14ac:dyDescent="0.25">
      <c r="A2674">
        <v>2017</v>
      </c>
      <c r="B2674">
        <v>9</v>
      </c>
      <c r="C2674" s="1" t="s">
        <v>32</v>
      </c>
      <c r="D2674" s="1" t="s">
        <v>19</v>
      </c>
      <c r="E2674" s="1" t="s">
        <v>62</v>
      </c>
      <c r="F2674">
        <v>2012</v>
      </c>
      <c r="G2674">
        <v>5</v>
      </c>
      <c r="H2674" s="1" t="s">
        <v>126</v>
      </c>
      <c r="I2674">
        <v>24</v>
      </c>
      <c r="J2674">
        <v>3074</v>
      </c>
      <c r="K2674" s="1" t="s">
        <v>63</v>
      </c>
      <c r="L2674" s="1" t="s">
        <v>64</v>
      </c>
      <c r="M2674">
        <v>0.96899999999999997</v>
      </c>
      <c r="N2674">
        <v>23253.1</v>
      </c>
      <c r="O2674">
        <v>23.253</v>
      </c>
      <c r="P2674" s="2">
        <v>42979</v>
      </c>
      <c r="Q2674">
        <v>1</v>
      </c>
      <c r="R2674" s="1" t="s">
        <v>122</v>
      </c>
    </row>
    <row r="2675" spans="1:18" x14ac:dyDescent="0.25">
      <c r="A2675">
        <v>2017</v>
      </c>
      <c r="B2675">
        <v>10</v>
      </c>
      <c r="C2675" s="1" t="s">
        <v>33</v>
      </c>
      <c r="D2675" s="1" t="s">
        <v>19</v>
      </c>
      <c r="E2675" s="1" t="s">
        <v>62</v>
      </c>
      <c r="F2675">
        <v>2012</v>
      </c>
      <c r="G2675">
        <v>5</v>
      </c>
      <c r="H2675" s="1" t="s">
        <v>126</v>
      </c>
      <c r="I2675">
        <v>24</v>
      </c>
      <c r="J2675">
        <v>3074</v>
      </c>
      <c r="K2675" s="1" t="s">
        <v>63</v>
      </c>
      <c r="L2675" s="1" t="s">
        <v>64</v>
      </c>
      <c r="M2675">
        <v>0.93100000000000005</v>
      </c>
      <c r="N2675">
        <v>22345</v>
      </c>
      <c r="O2675">
        <v>22.344999999999999</v>
      </c>
      <c r="P2675" s="2">
        <v>43009</v>
      </c>
      <c r="Q2675">
        <v>1</v>
      </c>
      <c r="R2675" s="1" t="s">
        <v>122</v>
      </c>
    </row>
    <row r="2676" spans="1:18" x14ac:dyDescent="0.25">
      <c r="A2676">
        <v>2017</v>
      </c>
      <c r="B2676">
        <v>11</v>
      </c>
      <c r="C2676" s="1" t="s">
        <v>34</v>
      </c>
      <c r="D2676" s="1" t="s">
        <v>19</v>
      </c>
      <c r="E2676" s="1" t="s">
        <v>62</v>
      </c>
      <c r="F2676">
        <v>2012</v>
      </c>
      <c r="G2676">
        <v>5</v>
      </c>
      <c r="H2676" s="1" t="s">
        <v>126</v>
      </c>
      <c r="I2676">
        <v>24</v>
      </c>
      <c r="J2676">
        <v>3074</v>
      </c>
      <c r="K2676" s="1" t="s">
        <v>63</v>
      </c>
      <c r="L2676" s="1" t="s">
        <v>64</v>
      </c>
      <c r="M2676">
        <v>0.95799999999999996</v>
      </c>
      <c r="N2676">
        <v>22999.7</v>
      </c>
      <c r="O2676">
        <v>23</v>
      </c>
      <c r="P2676" s="2">
        <v>43040</v>
      </c>
      <c r="Q2676">
        <v>1</v>
      </c>
      <c r="R2676" s="1" t="s">
        <v>122</v>
      </c>
    </row>
    <row r="2677" spans="1:18" x14ac:dyDescent="0.25">
      <c r="A2677">
        <v>2017</v>
      </c>
      <c r="B2677">
        <v>12</v>
      </c>
      <c r="C2677" s="1" t="s">
        <v>35</v>
      </c>
      <c r="D2677" s="1" t="s">
        <v>19</v>
      </c>
      <c r="E2677" s="1" t="s">
        <v>62</v>
      </c>
      <c r="F2677">
        <v>2012</v>
      </c>
      <c r="G2677">
        <v>5</v>
      </c>
      <c r="H2677" s="1" t="s">
        <v>126</v>
      </c>
      <c r="I2677">
        <v>24</v>
      </c>
      <c r="J2677">
        <v>3074</v>
      </c>
      <c r="K2677" s="1" t="s">
        <v>63</v>
      </c>
      <c r="L2677" s="1" t="s">
        <v>64</v>
      </c>
      <c r="M2677">
        <v>0.81699999999999995</v>
      </c>
      <c r="N2677">
        <v>19599.400000000001</v>
      </c>
      <c r="O2677">
        <v>19.599</v>
      </c>
      <c r="P2677" s="2">
        <v>43070</v>
      </c>
      <c r="Q2677">
        <v>1</v>
      </c>
      <c r="R2677" s="1" t="s">
        <v>122</v>
      </c>
    </row>
    <row r="2678" spans="1:18" x14ac:dyDescent="0.25">
      <c r="A2678">
        <v>2017</v>
      </c>
      <c r="B2678">
        <v>1</v>
      </c>
      <c r="C2678" s="1" t="s">
        <v>18</v>
      </c>
      <c r="D2678" s="1" t="s">
        <v>19</v>
      </c>
      <c r="E2678" s="1" t="s">
        <v>65</v>
      </c>
      <c r="F2678">
        <v>2012</v>
      </c>
      <c r="G2678">
        <v>5</v>
      </c>
      <c r="H2678" s="1" t="s">
        <v>126</v>
      </c>
      <c r="I2678">
        <v>19</v>
      </c>
      <c r="J2678">
        <v>2418</v>
      </c>
      <c r="K2678" s="1" t="s">
        <v>66</v>
      </c>
      <c r="L2678" s="1" t="s">
        <v>64</v>
      </c>
      <c r="M2678">
        <v>0.93100000000000005</v>
      </c>
      <c r="N2678">
        <v>17689.8</v>
      </c>
      <c r="O2678">
        <v>17.690000000000001</v>
      </c>
      <c r="P2678" s="2">
        <v>42736</v>
      </c>
      <c r="Q2678">
        <v>1</v>
      </c>
      <c r="R2678" s="1" t="s">
        <v>122</v>
      </c>
    </row>
    <row r="2679" spans="1:18" x14ac:dyDescent="0.25">
      <c r="A2679">
        <v>2017</v>
      </c>
      <c r="B2679">
        <v>2</v>
      </c>
      <c r="C2679" s="1" t="s">
        <v>25</v>
      </c>
      <c r="D2679" s="1" t="s">
        <v>19</v>
      </c>
      <c r="E2679" s="1" t="s">
        <v>65</v>
      </c>
      <c r="F2679">
        <v>2012</v>
      </c>
      <c r="G2679">
        <v>5</v>
      </c>
      <c r="H2679" s="1" t="s">
        <v>126</v>
      </c>
      <c r="I2679">
        <v>19</v>
      </c>
      <c r="J2679">
        <v>2418</v>
      </c>
      <c r="K2679" s="1" t="s">
        <v>66</v>
      </c>
      <c r="L2679" s="1" t="s">
        <v>64</v>
      </c>
      <c r="M2679">
        <v>0.57799999999999996</v>
      </c>
      <c r="N2679">
        <v>10985</v>
      </c>
      <c r="O2679">
        <v>10.984999999999999</v>
      </c>
      <c r="P2679" s="2">
        <v>42767</v>
      </c>
      <c r="Q2679">
        <v>1</v>
      </c>
      <c r="R2679" s="1" t="s">
        <v>122</v>
      </c>
    </row>
    <row r="2680" spans="1:18" x14ac:dyDescent="0.25">
      <c r="A2680">
        <v>2017</v>
      </c>
      <c r="B2680">
        <v>3</v>
      </c>
      <c r="C2680" s="1" t="s">
        <v>26</v>
      </c>
      <c r="D2680" s="1" t="s">
        <v>19</v>
      </c>
      <c r="E2680" s="1" t="s">
        <v>65</v>
      </c>
      <c r="F2680">
        <v>2012</v>
      </c>
      <c r="G2680">
        <v>5</v>
      </c>
      <c r="H2680" s="1" t="s">
        <v>126</v>
      </c>
      <c r="I2680">
        <v>19</v>
      </c>
      <c r="J2680">
        <v>2418</v>
      </c>
      <c r="K2680" s="1" t="s">
        <v>66</v>
      </c>
      <c r="L2680" s="1" t="s">
        <v>64</v>
      </c>
      <c r="M2680">
        <v>0.93700000000000006</v>
      </c>
      <c r="N2680">
        <v>17806.8</v>
      </c>
      <c r="O2680">
        <v>17.806999999999999</v>
      </c>
      <c r="P2680" s="2">
        <v>42795</v>
      </c>
      <c r="Q2680">
        <v>1</v>
      </c>
      <c r="R2680" s="1" t="s">
        <v>122</v>
      </c>
    </row>
    <row r="2681" spans="1:18" x14ac:dyDescent="0.25">
      <c r="A2681">
        <v>2017</v>
      </c>
      <c r="B2681">
        <v>4</v>
      </c>
      <c r="C2681" s="1" t="s">
        <v>27</v>
      </c>
      <c r="D2681" s="1" t="s">
        <v>19</v>
      </c>
      <c r="E2681" s="1" t="s">
        <v>65</v>
      </c>
      <c r="F2681">
        <v>2012</v>
      </c>
      <c r="G2681">
        <v>5</v>
      </c>
      <c r="H2681" s="1" t="s">
        <v>126</v>
      </c>
      <c r="I2681">
        <v>19</v>
      </c>
      <c r="J2681">
        <v>2418</v>
      </c>
      <c r="K2681" s="1" t="s">
        <v>66</v>
      </c>
      <c r="L2681" s="1" t="s">
        <v>64</v>
      </c>
      <c r="M2681">
        <v>1.2669999999999999</v>
      </c>
      <c r="N2681">
        <v>24076.799999999999</v>
      </c>
      <c r="O2681">
        <v>24.077000000000002</v>
      </c>
      <c r="P2681" s="2">
        <v>42826</v>
      </c>
      <c r="Q2681">
        <v>1</v>
      </c>
      <c r="R2681" s="1" t="s">
        <v>122</v>
      </c>
    </row>
    <row r="2682" spans="1:18" x14ac:dyDescent="0.25">
      <c r="A2682">
        <v>2017</v>
      </c>
      <c r="B2682">
        <v>5</v>
      </c>
      <c r="C2682" s="1" t="s">
        <v>28</v>
      </c>
      <c r="D2682" s="1" t="s">
        <v>19</v>
      </c>
      <c r="E2682" s="1" t="s">
        <v>65</v>
      </c>
      <c r="F2682">
        <v>2012</v>
      </c>
      <c r="G2682">
        <v>5</v>
      </c>
      <c r="H2682" s="1" t="s">
        <v>126</v>
      </c>
      <c r="I2682">
        <v>19</v>
      </c>
      <c r="J2682">
        <v>2418</v>
      </c>
      <c r="K2682" s="1" t="s">
        <v>66</v>
      </c>
      <c r="L2682" s="1" t="s">
        <v>64</v>
      </c>
      <c r="M2682">
        <v>1.17</v>
      </c>
      <c r="N2682">
        <v>22220.9</v>
      </c>
      <c r="O2682">
        <v>22.221</v>
      </c>
      <c r="P2682" s="2">
        <v>42856</v>
      </c>
      <c r="Q2682">
        <v>1</v>
      </c>
      <c r="R2682" s="1" t="s">
        <v>122</v>
      </c>
    </row>
    <row r="2683" spans="1:18" x14ac:dyDescent="0.25">
      <c r="A2683">
        <v>2017</v>
      </c>
      <c r="B2683">
        <v>6</v>
      </c>
      <c r="C2683" s="1" t="s">
        <v>29</v>
      </c>
      <c r="D2683" s="1" t="s">
        <v>19</v>
      </c>
      <c r="E2683" s="1" t="s">
        <v>65</v>
      </c>
      <c r="F2683">
        <v>2012</v>
      </c>
      <c r="G2683">
        <v>5</v>
      </c>
      <c r="H2683" s="1" t="s">
        <v>126</v>
      </c>
      <c r="I2683">
        <v>19</v>
      </c>
      <c r="J2683">
        <v>2418</v>
      </c>
      <c r="K2683" s="1" t="s">
        <v>66</v>
      </c>
      <c r="L2683" s="1" t="s">
        <v>64</v>
      </c>
      <c r="M2683">
        <v>0.97</v>
      </c>
      <c r="N2683">
        <v>18425.400000000001</v>
      </c>
      <c r="O2683">
        <v>18.425000000000001</v>
      </c>
      <c r="P2683" s="2">
        <v>42887</v>
      </c>
      <c r="Q2683">
        <v>1</v>
      </c>
      <c r="R2683" s="1" t="s">
        <v>122</v>
      </c>
    </row>
    <row r="2684" spans="1:18" x14ac:dyDescent="0.25">
      <c r="A2684">
        <v>2017</v>
      </c>
      <c r="B2684">
        <v>7</v>
      </c>
      <c r="C2684" s="1" t="s">
        <v>30</v>
      </c>
      <c r="D2684" s="1" t="s">
        <v>19</v>
      </c>
      <c r="E2684" s="1" t="s">
        <v>65</v>
      </c>
      <c r="F2684">
        <v>2012</v>
      </c>
      <c r="G2684">
        <v>5</v>
      </c>
      <c r="H2684" s="1" t="s">
        <v>126</v>
      </c>
      <c r="I2684">
        <v>19</v>
      </c>
      <c r="J2684">
        <v>2418</v>
      </c>
      <c r="K2684" s="1" t="s">
        <v>66</v>
      </c>
      <c r="L2684" s="1" t="s">
        <v>64</v>
      </c>
      <c r="M2684">
        <v>0.97399999999999998</v>
      </c>
      <c r="N2684">
        <v>18509</v>
      </c>
      <c r="O2684">
        <v>18.509</v>
      </c>
      <c r="P2684" s="2">
        <v>42917</v>
      </c>
      <c r="Q2684">
        <v>1</v>
      </c>
      <c r="R2684" s="1" t="s">
        <v>122</v>
      </c>
    </row>
    <row r="2685" spans="1:18" x14ac:dyDescent="0.25">
      <c r="A2685">
        <v>2017</v>
      </c>
      <c r="B2685">
        <v>8</v>
      </c>
      <c r="C2685" s="1" t="s">
        <v>31</v>
      </c>
      <c r="D2685" s="1" t="s">
        <v>19</v>
      </c>
      <c r="E2685" s="1" t="s">
        <v>65</v>
      </c>
      <c r="F2685">
        <v>2012</v>
      </c>
      <c r="G2685">
        <v>5</v>
      </c>
      <c r="H2685" s="1" t="s">
        <v>126</v>
      </c>
      <c r="I2685">
        <v>19</v>
      </c>
      <c r="J2685">
        <v>2418</v>
      </c>
      <c r="K2685" s="1" t="s">
        <v>66</v>
      </c>
      <c r="L2685" s="1" t="s">
        <v>64</v>
      </c>
      <c r="M2685">
        <v>1.3540000000000001</v>
      </c>
      <c r="N2685">
        <v>25732.1</v>
      </c>
      <c r="O2685">
        <v>25.731999999999999</v>
      </c>
      <c r="P2685" s="2">
        <v>42948</v>
      </c>
      <c r="Q2685">
        <v>1</v>
      </c>
      <c r="R2685" s="1" t="s">
        <v>122</v>
      </c>
    </row>
    <row r="2686" spans="1:18" x14ac:dyDescent="0.25">
      <c r="A2686">
        <v>2017</v>
      </c>
      <c r="B2686">
        <v>9</v>
      </c>
      <c r="C2686" s="1" t="s">
        <v>32</v>
      </c>
      <c r="D2686" s="1" t="s">
        <v>19</v>
      </c>
      <c r="E2686" s="1" t="s">
        <v>65</v>
      </c>
      <c r="F2686">
        <v>2012</v>
      </c>
      <c r="G2686">
        <v>5</v>
      </c>
      <c r="H2686" s="1" t="s">
        <v>126</v>
      </c>
      <c r="I2686">
        <v>19</v>
      </c>
      <c r="J2686">
        <v>2418</v>
      </c>
      <c r="K2686" s="1" t="s">
        <v>66</v>
      </c>
      <c r="L2686" s="1" t="s">
        <v>64</v>
      </c>
      <c r="M2686">
        <v>0.96899999999999997</v>
      </c>
      <c r="N2686">
        <v>18408.7</v>
      </c>
      <c r="O2686">
        <v>18.408999999999999</v>
      </c>
      <c r="P2686" s="2">
        <v>42979</v>
      </c>
      <c r="Q2686">
        <v>1</v>
      </c>
      <c r="R2686" s="1" t="s">
        <v>122</v>
      </c>
    </row>
    <row r="2687" spans="1:18" x14ac:dyDescent="0.25">
      <c r="A2687">
        <v>2017</v>
      </c>
      <c r="B2687">
        <v>10</v>
      </c>
      <c r="C2687" s="1" t="s">
        <v>33</v>
      </c>
      <c r="D2687" s="1" t="s">
        <v>19</v>
      </c>
      <c r="E2687" s="1" t="s">
        <v>65</v>
      </c>
      <c r="F2687">
        <v>2012</v>
      </c>
      <c r="G2687">
        <v>5</v>
      </c>
      <c r="H2687" s="1" t="s">
        <v>126</v>
      </c>
      <c r="I2687">
        <v>19</v>
      </c>
      <c r="J2687">
        <v>2418</v>
      </c>
      <c r="K2687" s="1" t="s">
        <v>66</v>
      </c>
      <c r="L2687" s="1" t="s">
        <v>64</v>
      </c>
      <c r="M2687">
        <v>0.93100000000000005</v>
      </c>
      <c r="N2687">
        <v>17689.8</v>
      </c>
      <c r="O2687">
        <v>17.690000000000001</v>
      </c>
      <c r="P2687" s="2">
        <v>43009</v>
      </c>
      <c r="Q2687">
        <v>1</v>
      </c>
      <c r="R2687" s="1" t="s">
        <v>122</v>
      </c>
    </row>
    <row r="2688" spans="1:18" x14ac:dyDescent="0.25">
      <c r="A2688">
        <v>2017</v>
      </c>
      <c r="B2688">
        <v>11</v>
      </c>
      <c r="C2688" s="1" t="s">
        <v>34</v>
      </c>
      <c r="D2688" s="1" t="s">
        <v>19</v>
      </c>
      <c r="E2688" s="1" t="s">
        <v>65</v>
      </c>
      <c r="F2688">
        <v>2012</v>
      </c>
      <c r="G2688">
        <v>5</v>
      </c>
      <c r="H2688" s="1" t="s">
        <v>126</v>
      </c>
      <c r="I2688">
        <v>19</v>
      </c>
      <c r="J2688">
        <v>2418</v>
      </c>
      <c r="K2688" s="1" t="s">
        <v>66</v>
      </c>
      <c r="L2688" s="1" t="s">
        <v>64</v>
      </c>
      <c r="M2688">
        <v>0.95799999999999996</v>
      </c>
      <c r="N2688">
        <v>18208.099999999999</v>
      </c>
      <c r="O2688">
        <v>18.207999999999998</v>
      </c>
      <c r="P2688" s="2">
        <v>43040</v>
      </c>
      <c r="Q2688">
        <v>1</v>
      </c>
      <c r="R2688" s="1" t="s">
        <v>122</v>
      </c>
    </row>
    <row r="2689" spans="1:18" x14ac:dyDescent="0.25">
      <c r="A2689">
        <v>2017</v>
      </c>
      <c r="B2689">
        <v>12</v>
      </c>
      <c r="C2689" s="1" t="s">
        <v>35</v>
      </c>
      <c r="D2689" s="1" t="s">
        <v>19</v>
      </c>
      <c r="E2689" s="1" t="s">
        <v>65</v>
      </c>
      <c r="F2689">
        <v>2012</v>
      </c>
      <c r="G2689">
        <v>5</v>
      </c>
      <c r="H2689" s="1" t="s">
        <v>126</v>
      </c>
      <c r="I2689">
        <v>19</v>
      </c>
      <c r="J2689">
        <v>2418</v>
      </c>
      <c r="K2689" s="1" t="s">
        <v>66</v>
      </c>
      <c r="L2689" s="1" t="s">
        <v>64</v>
      </c>
      <c r="M2689">
        <v>0.81699999999999995</v>
      </c>
      <c r="N2689">
        <v>15516.2</v>
      </c>
      <c r="O2689">
        <v>15.516</v>
      </c>
      <c r="P2689" s="2">
        <v>43070</v>
      </c>
      <c r="Q2689">
        <v>1</v>
      </c>
      <c r="R2689" s="1" t="s">
        <v>122</v>
      </c>
    </row>
    <row r="2690" spans="1:18" x14ac:dyDescent="0.25">
      <c r="A2690">
        <v>2017</v>
      </c>
      <c r="B2690">
        <v>1</v>
      </c>
      <c r="C2690" s="1" t="s">
        <v>18</v>
      </c>
      <c r="D2690" s="1" t="s">
        <v>19</v>
      </c>
      <c r="E2690" s="1" t="s">
        <v>67</v>
      </c>
      <c r="F2690">
        <v>2012</v>
      </c>
      <c r="G2690">
        <v>5</v>
      </c>
      <c r="H2690" s="1" t="s">
        <v>126</v>
      </c>
      <c r="I2690">
        <v>25</v>
      </c>
      <c r="J2690">
        <v>3205</v>
      </c>
      <c r="K2690" s="1" t="s">
        <v>68</v>
      </c>
      <c r="L2690" s="1" t="s">
        <v>64</v>
      </c>
      <c r="M2690">
        <v>0.93100000000000005</v>
      </c>
      <c r="N2690">
        <v>23276</v>
      </c>
      <c r="O2690">
        <v>23.276</v>
      </c>
      <c r="P2690" s="2">
        <v>42736</v>
      </c>
      <c r="Q2690">
        <v>1</v>
      </c>
      <c r="R2690" s="1" t="s">
        <v>122</v>
      </c>
    </row>
    <row r="2691" spans="1:18" x14ac:dyDescent="0.25">
      <c r="A2691">
        <v>2017</v>
      </c>
      <c r="B2691">
        <v>2</v>
      </c>
      <c r="C2691" s="1" t="s">
        <v>25</v>
      </c>
      <c r="D2691" s="1" t="s">
        <v>19</v>
      </c>
      <c r="E2691" s="1" t="s">
        <v>67</v>
      </c>
      <c r="F2691">
        <v>2012</v>
      </c>
      <c r="G2691">
        <v>5</v>
      </c>
      <c r="H2691" s="1" t="s">
        <v>126</v>
      </c>
      <c r="I2691">
        <v>25</v>
      </c>
      <c r="J2691">
        <v>3205</v>
      </c>
      <c r="K2691" s="1" t="s">
        <v>68</v>
      </c>
      <c r="L2691" s="1" t="s">
        <v>64</v>
      </c>
      <c r="M2691">
        <v>0.57799999999999996</v>
      </c>
      <c r="N2691">
        <v>14454</v>
      </c>
      <c r="O2691">
        <v>14.454000000000001</v>
      </c>
      <c r="P2691" s="2">
        <v>42767</v>
      </c>
      <c r="Q2691">
        <v>1</v>
      </c>
      <c r="R2691" s="1" t="s">
        <v>122</v>
      </c>
    </row>
    <row r="2692" spans="1:18" x14ac:dyDescent="0.25">
      <c r="A2692">
        <v>2017</v>
      </c>
      <c r="B2692">
        <v>3</v>
      </c>
      <c r="C2692" s="1" t="s">
        <v>26</v>
      </c>
      <c r="D2692" s="1" t="s">
        <v>19</v>
      </c>
      <c r="E2692" s="1" t="s">
        <v>67</v>
      </c>
      <c r="F2692">
        <v>2012</v>
      </c>
      <c r="G2692">
        <v>5</v>
      </c>
      <c r="H2692" s="1" t="s">
        <v>126</v>
      </c>
      <c r="I2692">
        <v>25</v>
      </c>
      <c r="J2692">
        <v>3205</v>
      </c>
      <c r="K2692" s="1" t="s">
        <v>68</v>
      </c>
      <c r="L2692" s="1" t="s">
        <v>64</v>
      </c>
      <c r="M2692">
        <v>0.93700000000000006</v>
      </c>
      <c r="N2692">
        <v>23430</v>
      </c>
      <c r="O2692">
        <v>23.43</v>
      </c>
      <c r="P2692" s="2">
        <v>42795</v>
      </c>
      <c r="Q2692">
        <v>1</v>
      </c>
      <c r="R2692" s="1" t="s">
        <v>122</v>
      </c>
    </row>
    <row r="2693" spans="1:18" x14ac:dyDescent="0.25">
      <c r="A2693">
        <v>2017</v>
      </c>
      <c r="B2693">
        <v>4</v>
      </c>
      <c r="C2693" s="1" t="s">
        <v>27</v>
      </c>
      <c r="D2693" s="1" t="s">
        <v>19</v>
      </c>
      <c r="E2693" s="1" t="s">
        <v>67</v>
      </c>
      <c r="F2693">
        <v>2012</v>
      </c>
      <c r="G2693">
        <v>5</v>
      </c>
      <c r="H2693" s="1" t="s">
        <v>126</v>
      </c>
      <c r="I2693">
        <v>25</v>
      </c>
      <c r="J2693">
        <v>3205</v>
      </c>
      <c r="K2693" s="1" t="s">
        <v>68</v>
      </c>
      <c r="L2693" s="1" t="s">
        <v>64</v>
      </c>
      <c r="M2693">
        <v>1.2669999999999999</v>
      </c>
      <c r="N2693">
        <v>31680</v>
      </c>
      <c r="O2693">
        <v>31.68</v>
      </c>
      <c r="P2693" s="2">
        <v>42826</v>
      </c>
      <c r="Q2693">
        <v>1</v>
      </c>
      <c r="R2693" s="1" t="s">
        <v>122</v>
      </c>
    </row>
    <row r="2694" spans="1:18" x14ac:dyDescent="0.25">
      <c r="A2694">
        <v>2017</v>
      </c>
      <c r="B2694">
        <v>5</v>
      </c>
      <c r="C2694" s="1" t="s">
        <v>28</v>
      </c>
      <c r="D2694" s="1" t="s">
        <v>19</v>
      </c>
      <c r="E2694" s="1" t="s">
        <v>67</v>
      </c>
      <c r="F2694">
        <v>2012</v>
      </c>
      <c r="G2694">
        <v>5</v>
      </c>
      <c r="H2694" s="1" t="s">
        <v>126</v>
      </c>
      <c r="I2694">
        <v>25</v>
      </c>
      <c r="J2694">
        <v>3205</v>
      </c>
      <c r="K2694" s="1" t="s">
        <v>68</v>
      </c>
      <c r="L2694" s="1" t="s">
        <v>64</v>
      </c>
      <c r="M2694">
        <v>1.17</v>
      </c>
      <c r="N2694">
        <v>29238</v>
      </c>
      <c r="O2694">
        <v>29.238</v>
      </c>
      <c r="P2694" s="2">
        <v>42856</v>
      </c>
      <c r="Q2694">
        <v>1</v>
      </c>
      <c r="R2694" s="1" t="s">
        <v>122</v>
      </c>
    </row>
    <row r="2695" spans="1:18" x14ac:dyDescent="0.25">
      <c r="A2695">
        <v>2017</v>
      </c>
      <c r="B2695">
        <v>6</v>
      </c>
      <c r="C2695" s="1" t="s">
        <v>29</v>
      </c>
      <c r="D2695" s="1" t="s">
        <v>19</v>
      </c>
      <c r="E2695" s="1" t="s">
        <v>67</v>
      </c>
      <c r="F2695">
        <v>2012</v>
      </c>
      <c r="G2695">
        <v>5</v>
      </c>
      <c r="H2695" s="1" t="s">
        <v>126</v>
      </c>
      <c r="I2695">
        <v>25</v>
      </c>
      <c r="J2695">
        <v>3205</v>
      </c>
      <c r="K2695" s="1" t="s">
        <v>68</v>
      </c>
      <c r="L2695" s="1" t="s">
        <v>64</v>
      </c>
      <c r="M2695">
        <v>0.97</v>
      </c>
      <c r="N2695">
        <v>24244</v>
      </c>
      <c r="O2695">
        <v>24.244</v>
      </c>
      <c r="P2695" s="2">
        <v>42887</v>
      </c>
      <c r="Q2695">
        <v>1</v>
      </c>
      <c r="R2695" s="1" t="s">
        <v>122</v>
      </c>
    </row>
    <row r="2696" spans="1:18" x14ac:dyDescent="0.25">
      <c r="A2696">
        <v>2017</v>
      </c>
      <c r="B2696">
        <v>7</v>
      </c>
      <c r="C2696" s="1" t="s">
        <v>30</v>
      </c>
      <c r="D2696" s="1" t="s">
        <v>19</v>
      </c>
      <c r="E2696" s="1" t="s">
        <v>67</v>
      </c>
      <c r="F2696">
        <v>2012</v>
      </c>
      <c r="G2696">
        <v>5</v>
      </c>
      <c r="H2696" s="1" t="s">
        <v>126</v>
      </c>
      <c r="I2696">
        <v>25</v>
      </c>
      <c r="J2696">
        <v>3205</v>
      </c>
      <c r="K2696" s="1" t="s">
        <v>68</v>
      </c>
      <c r="L2696" s="1" t="s">
        <v>64</v>
      </c>
      <c r="M2696">
        <v>0.97399999999999998</v>
      </c>
      <c r="N2696">
        <v>24354</v>
      </c>
      <c r="O2696">
        <v>24.353999999999999</v>
      </c>
      <c r="P2696" s="2">
        <v>42917</v>
      </c>
      <c r="Q2696">
        <v>1</v>
      </c>
      <c r="R2696" s="1" t="s">
        <v>122</v>
      </c>
    </row>
    <row r="2697" spans="1:18" x14ac:dyDescent="0.25">
      <c r="A2697">
        <v>2017</v>
      </c>
      <c r="B2697">
        <v>8</v>
      </c>
      <c r="C2697" s="1" t="s">
        <v>31</v>
      </c>
      <c r="D2697" s="1" t="s">
        <v>19</v>
      </c>
      <c r="E2697" s="1" t="s">
        <v>67</v>
      </c>
      <c r="F2697">
        <v>2012</v>
      </c>
      <c r="G2697">
        <v>5</v>
      </c>
      <c r="H2697" s="1" t="s">
        <v>126</v>
      </c>
      <c r="I2697">
        <v>25</v>
      </c>
      <c r="J2697">
        <v>3205</v>
      </c>
      <c r="K2697" s="1" t="s">
        <v>68</v>
      </c>
      <c r="L2697" s="1" t="s">
        <v>64</v>
      </c>
      <c r="M2697">
        <v>1.3540000000000001</v>
      </c>
      <c r="N2697">
        <v>33858</v>
      </c>
      <c r="O2697">
        <v>33.857999999999997</v>
      </c>
      <c r="P2697" s="2">
        <v>42948</v>
      </c>
      <c r="Q2697">
        <v>1</v>
      </c>
      <c r="R2697" s="1" t="s">
        <v>122</v>
      </c>
    </row>
    <row r="2698" spans="1:18" x14ac:dyDescent="0.25">
      <c r="A2698">
        <v>2017</v>
      </c>
      <c r="B2698">
        <v>9</v>
      </c>
      <c r="C2698" s="1" t="s">
        <v>32</v>
      </c>
      <c r="D2698" s="1" t="s">
        <v>19</v>
      </c>
      <c r="E2698" s="1" t="s">
        <v>67</v>
      </c>
      <c r="F2698">
        <v>2012</v>
      </c>
      <c r="G2698">
        <v>5</v>
      </c>
      <c r="H2698" s="1" t="s">
        <v>126</v>
      </c>
      <c r="I2698">
        <v>25</v>
      </c>
      <c r="J2698">
        <v>3205</v>
      </c>
      <c r="K2698" s="1" t="s">
        <v>68</v>
      </c>
      <c r="L2698" s="1" t="s">
        <v>64</v>
      </c>
      <c r="M2698">
        <v>0.96899999999999997</v>
      </c>
      <c r="N2698">
        <v>24222</v>
      </c>
      <c r="O2698">
        <v>24.222000000000001</v>
      </c>
      <c r="P2698" s="2">
        <v>42979</v>
      </c>
      <c r="Q2698">
        <v>1</v>
      </c>
      <c r="R2698" s="1" t="s">
        <v>122</v>
      </c>
    </row>
    <row r="2699" spans="1:18" x14ac:dyDescent="0.25">
      <c r="A2699">
        <v>2017</v>
      </c>
      <c r="B2699">
        <v>10</v>
      </c>
      <c r="C2699" s="1" t="s">
        <v>33</v>
      </c>
      <c r="D2699" s="1" t="s">
        <v>19</v>
      </c>
      <c r="E2699" s="1" t="s">
        <v>67</v>
      </c>
      <c r="F2699">
        <v>2012</v>
      </c>
      <c r="G2699">
        <v>5</v>
      </c>
      <c r="H2699" s="1" t="s">
        <v>126</v>
      </c>
      <c r="I2699">
        <v>25</v>
      </c>
      <c r="J2699">
        <v>3205</v>
      </c>
      <c r="K2699" s="1" t="s">
        <v>68</v>
      </c>
      <c r="L2699" s="1" t="s">
        <v>64</v>
      </c>
      <c r="M2699">
        <v>0.93100000000000005</v>
      </c>
      <c r="N2699">
        <v>23276</v>
      </c>
      <c r="O2699">
        <v>23.276</v>
      </c>
      <c r="P2699" s="2">
        <v>43009</v>
      </c>
      <c r="Q2699">
        <v>1</v>
      </c>
      <c r="R2699" s="1" t="s">
        <v>122</v>
      </c>
    </row>
    <row r="2700" spans="1:18" x14ac:dyDescent="0.25">
      <c r="A2700">
        <v>2017</v>
      </c>
      <c r="B2700">
        <v>11</v>
      </c>
      <c r="C2700" s="1" t="s">
        <v>34</v>
      </c>
      <c r="D2700" s="1" t="s">
        <v>19</v>
      </c>
      <c r="E2700" s="1" t="s">
        <v>67</v>
      </c>
      <c r="F2700">
        <v>2012</v>
      </c>
      <c r="G2700">
        <v>5</v>
      </c>
      <c r="H2700" s="1" t="s">
        <v>126</v>
      </c>
      <c r="I2700">
        <v>25</v>
      </c>
      <c r="J2700">
        <v>3205</v>
      </c>
      <c r="K2700" s="1" t="s">
        <v>68</v>
      </c>
      <c r="L2700" s="1" t="s">
        <v>64</v>
      </c>
      <c r="M2700">
        <v>0.95799999999999996</v>
      </c>
      <c r="N2700">
        <v>23958</v>
      </c>
      <c r="O2700">
        <v>23.957999999999998</v>
      </c>
      <c r="P2700" s="2">
        <v>43040</v>
      </c>
      <c r="Q2700">
        <v>1</v>
      </c>
      <c r="R2700" s="1" t="s">
        <v>122</v>
      </c>
    </row>
    <row r="2701" spans="1:18" x14ac:dyDescent="0.25">
      <c r="A2701">
        <v>2017</v>
      </c>
      <c r="B2701">
        <v>12</v>
      </c>
      <c r="C2701" s="1" t="s">
        <v>35</v>
      </c>
      <c r="D2701" s="1" t="s">
        <v>19</v>
      </c>
      <c r="E2701" s="1" t="s">
        <v>67</v>
      </c>
      <c r="F2701">
        <v>2012</v>
      </c>
      <c r="G2701">
        <v>5</v>
      </c>
      <c r="H2701" s="1" t="s">
        <v>126</v>
      </c>
      <c r="I2701">
        <v>25</v>
      </c>
      <c r="J2701">
        <v>3205</v>
      </c>
      <c r="K2701" s="1" t="s">
        <v>68</v>
      </c>
      <c r="L2701" s="1" t="s">
        <v>64</v>
      </c>
      <c r="M2701">
        <v>0.81699999999999995</v>
      </c>
      <c r="N2701">
        <v>20416</v>
      </c>
      <c r="O2701">
        <v>20.416</v>
      </c>
      <c r="P2701" s="2">
        <v>43070</v>
      </c>
      <c r="Q2701">
        <v>1</v>
      </c>
      <c r="R2701" s="1" t="s">
        <v>122</v>
      </c>
    </row>
    <row r="2702" spans="1:18" x14ac:dyDescent="0.25">
      <c r="A2702">
        <v>2017</v>
      </c>
      <c r="B2702">
        <v>1</v>
      </c>
      <c r="C2702" s="1" t="s">
        <v>18</v>
      </c>
      <c r="D2702" s="1" t="s">
        <v>19</v>
      </c>
      <c r="E2702" s="1" t="s">
        <v>69</v>
      </c>
      <c r="F2702">
        <v>2012</v>
      </c>
      <c r="G2702">
        <v>5</v>
      </c>
      <c r="H2702" s="1" t="s">
        <v>126</v>
      </c>
      <c r="I2702">
        <v>19</v>
      </c>
      <c r="J2702">
        <v>2469</v>
      </c>
      <c r="K2702" s="1" t="s">
        <v>70</v>
      </c>
      <c r="L2702" s="1" t="s">
        <v>45</v>
      </c>
      <c r="M2702">
        <v>0.93100000000000005</v>
      </c>
      <c r="N2702">
        <v>17689.8</v>
      </c>
      <c r="O2702">
        <v>17.690000000000001</v>
      </c>
      <c r="P2702" s="2">
        <v>42736</v>
      </c>
      <c r="Q2702">
        <v>1</v>
      </c>
      <c r="R2702" s="1" t="s">
        <v>122</v>
      </c>
    </row>
    <row r="2703" spans="1:18" x14ac:dyDescent="0.25">
      <c r="A2703">
        <v>2017</v>
      </c>
      <c r="B2703">
        <v>2</v>
      </c>
      <c r="C2703" s="1" t="s">
        <v>25</v>
      </c>
      <c r="D2703" s="1" t="s">
        <v>19</v>
      </c>
      <c r="E2703" s="1" t="s">
        <v>69</v>
      </c>
      <c r="F2703">
        <v>2012</v>
      </c>
      <c r="G2703">
        <v>5</v>
      </c>
      <c r="H2703" s="1" t="s">
        <v>126</v>
      </c>
      <c r="I2703">
        <v>19</v>
      </c>
      <c r="J2703">
        <v>2469</v>
      </c>
      <c r="K2703" s="1" t="s">
        <v>70</v>
      </c>
      <c r="L2703" s="1" t="s">
        <v>45</v>
      </c>
      <c r="M2703">
        <v>0.57799999999999996</v>
      </c>
      <c r="N2703">
        <v>10985</v>
      </c>
      <c r="O2703">
        <v>10.984999999999999</v>
      </c>
      <c r="P2703" s="2">
        <v>42767</v>
      </c>
      <c r="Q2703">
        <v>1</v>
      </c>
      <c r="R2703" s="1" t="s">
        <v>122</v>
      </c>
    </row>
    <row r="2704" spans="1:18" x14ac:dyDescent="0.25">
      <c r="A2704">
        <v>2017</v>
      </c>
      <c r="B2704">
        <v>3</v>
      </c>
      <c r="C2704" s="1" t="s">
        <v>26</v>
      </c>
      <c r="D2704" s="1" t="s">
        <v>19</v>
      </c>
      <c r="E2704" s="1" t="s">
        <v>69</v>
      </c>
      <c r="F2704">
        <v>2012</v>
      </c>
      <c r="G2704">
        <v>5</v>
      </c>
      <c r="H2704" s="1" t="s">
        <v>126</v>
      </c>
      <c r="I2704">
        <v>19</v>
      </c>
      <c r="J2704">
        <v>2469</v>
      </c>
      <c r="K2704" s="1" t="s">
        <v>70</v>
      </c>
      <c r="L2704" s="1" t="s">
        <v>45</v>
      </c>
      <c r="M2704">
        <v>0.93700000000000006</v>
      </c>
      <c r="N2704">
        <v>17806.8</v>
      </c>
      <c r="O2704">
        <v>17.806999999999999</v>
      </c>
      <c r="P2704" s="2">
        <v>42795</v>
      </c>
      <c r="Q2704">
        <v>1</v>
      </c>
      <c r="R2704" s="1" t="s">
        <v>122</v>
      </c>
    </row>
    <row r="2705" spans="1:18" x14ac:dyDescent="0.25">
      <c r="A2705">
        <v>2017</v>
      </c>
      <c r="B2705">
        <v>4</v>
      </c>
      <c r="C2705" s="1" t="s">
        <v>27</v>
      </c>
      <c r="D2705" s="1" t="s">
        <v>19</v>
      </c>
      <c r="E2705" s="1" t="s">
        <v>69</v>
      </c>
      <c r="F2705">
        <v>2012</v>
      </c>
      <c r="G2705">
        <v>5</v>
      </c>
      <c r="H2705" s="1" t="s">
        <v>126</v>
      </c>
      <c r="I2705">
        <v>19</v>
      </c>
      <c r="J2705">
        <v>2469</v>
      </c>
      <c r="K2705" s="1" t="s">
        <v>70</v>
      </c>
      <c r="L2705" s="1" t="s">
        <v>45</v>
      </c>
      <c r="M2705">
        <v>1.2669999999999999</v>
      </c>
      <c r="N2705">
        <v>24076.799999999999</v>
      </c>
      <c r="O2705">
        <v>24.077000000000002</v>
      </c>
      <c r="P2705" s="2">
        <v>42826</v>
      </c>
      <c r="Q2705">
        <v>1</v>
      </c>
      <c r="R2705" s="1" t="s">
        <v>122</v>
      </c>
    </row>
    <row r="2706" spans="1:18" x14ac:dyDescent="0.25">
      <c r="A2706">
        <v>2017</v>
      </c>
      <c r="B2706">
        <v>5</v>
      </c>
      <c r="C2706" s="1" t="s">
        <v>28</v>
      </c>
      <c r="D2706" s="1" t="s">
        <v>19</v>
      </c>
      <c r="E2706" s="1" t="s">
        <v>69</v>
      </c>
      <c r="F2706">
        <v>2012</v>
      </c>
      <c r="G2706">
        <v>5</v>
      </c>
      <c r="H2706" s="1" t="s">
        <v>126</v>
      </c>
      <c r="I2706">
        <v>19</v>
      </c>
      <c r="J2706">
        <v>2469</v>
      </c>
      <c r="K2706" s="1" t="s">
        <v>70</v>
      </c>
      <c r="L2706" s="1" t="s">
        <v>45</v>
      </c>
      <c r="M2706">
        <v>1.17</v>
      </c>
      <c r="N2706">
        <v>22220.9</v>
      </c>
      <c r="O2706">
        <v>22.221</v>
      </c>
      <c r="P2706" s="2">
        <v>42856</v>
      </c>
      <c r="Q2706">
        <v>1</v>
      </c>
      <c r="R2706" s="1" t="s">
        <v>122</v>
      </c>
    </row>
    <row r="2707" spans="1:18" x14ac:dyDescent="0.25">
      <c r="A2707">
        <v>2017</v>
      </c>
      <c r="B2707">
        <v>6</v>
      </c>
      <c r="C2707" s="1" t="s">
        <v>29</v>
      </c>
      <c r="D2707" s="1" t="s">
        <v>19</v>
      </c>
      <c r="E2707" s="1" t="s">
        <v>69</v>
      </c>
      <c r="F2707">
        <v>2012</v>
      </c>
      <c r="G2707">
        <v>5</v>
      </c>
      <c r="H2707" s="1" t="s">
        <v>126</v>
      </c>
      <c r="I2707">
        <v>19</v>
      </c>
      <c r="J2707">
        <v>2469</v>
      </c>
      <c r="K2707" s="1" t="s">
        <v>70</v>
      </c>
      <c r="L2707" s="1" t="s">
        <v>45</v>
      </c>
      <c r="M2707">
        <v>0.97</v>
      </c>
      <c r="N2707">
        <v>18425.400000000001</v>
      </c>
      <c r="O2707">
        <v>18.425000000000001</v>
      </c>
      <c r="P2707" s="2">
        <v>42887</v>
      </c>
      <c r="Q2707">
        <v>1</v>
      </c>
      <c r="R2707" s="1" t="s">
        <v>122</v>
      </c>
    </row>
    <row r="2708" spans="1:18" x14ac:dyDescent="0.25">
      <c r="A2708">
        <v>2017</v>
      </c>
      <c r="B2708">
        <v>7</v>
      </c>
      <c r="C2708" s="1" t="s">
        <v>30</v>
      </c>
      <c r="D2708" s="1" t="s">
        <v>19</v>
      </c>
      <c r="E2708" s="1" t="s">
        <v>69</v>
      </c>
      <c r="F2708">
        <v>2012</v>
      </c>
      <c r="G2708">
        <v>5</v>
      </c>
      <c r="H2708" s="1" t="s">
        <v>126</v>
      </c>
      <c r="I2708">
        <v>19</v>
      </c>
      <c r="J2708">
        <v>2469</v>
      </c>
      <c r="K2708" s="1" t="s">
        <v>70</v>
      </c>
      <c r="L2708" s="1" t="s">
        <v>45</v>
      </c>
      <c r="M2708">
        <v>0.97399999999999998</v>
      </c>
      <c r="N2708">
        <v>18509</v>
      </c>
      <c r="O2708">
        <v>18.509</v>
      </c>
      <c r="P2708" s="2">
        <v>42917</v>
      </c>
      <c r="Q2708">
        <v>1</v>
      </c>
      <c r="R2708" s="1" t="s">
        <v>122</v>
      </c>
    </row>
    <row r="2709" spans="1:18" x14ac:dyDescent="0.25">
      <c r="A2709">
        <v>2017</v>
      </c>
      <c r="B2709">
        <v>8</v>
      </c>
      <c r="C2709" s="1" t="s">
        <v>31</v>
      </c>
      <c r="D2709" s="1" t="s">
        <v>19</v>
      </c>
      <c r="E2709" s="1" t="s">
        <v>69</v>
      </c>
      <c r="F2709">
        <v>2012</v>
      </c>
      <c r="G2709">
        <v>5</v>
      </c>
      <c r="H2709" s="1" t="s">
        <v>126</v>
      </c>
      <c r="I2709">
        <v>19</v>
      </c>
      <c r="J2709">
        <v>2469</v>
      </c>
      <c r="K2709" s="1" t="s">
        <v>70</v>
      </c>
      <c r="L2709" s="1" t="s">
        <v>45</v>
      </c>
      <c r="M2709">
        <v>1.3540000000000001</v>
      </c>
      <c r="N2709">
        <v>25732.1</v>
      </c>
      <c r="O2709">
        <v>25.731999999999999</v>
      </c>
      <c r="P2709" s="2">
        <v>42948</v>
      </c>
      <c r="Q2709">
        <v>1</v>
      </c>
      <c r="R2709" s="1" t="s">
        <v>122</v>
      </c>
    </row>
    <row r="2710" spans="1:18" x14ac:dyDescent="0.25">
      <c r="A2710">
        <v>2017</v>
      </c>
      <c r="B2710">
        <v>9</v>
      </c>
      <c r="C2710" s="1" t="s">
        <v>32</v>
      </c>
      <c r="D2710" s="1" t="s">
        <v>19</v>
      </c>
      <c r="E2710" s="1" t="s">
        <v>69</v>
      </c>
      <c r="F2710">
        <v>2012</v>
      </c>
      <c r="G2710">
        <v>5</v>
      </c>
      <c r="H2710" s="1" t="s">
        <v>126</v>
      </c>
      <c r="I2710">
        <v>19</v>
      </c>
      <c r="J2710">
        <v>2469</v>
      </c>
      <c r="K2710" s="1" t="s">
        <v>70</v>
      </c>
      <c r="L2710" s="1" t="s">
        <v>45</v>
      </c>
      <c r="M2710">
        <v>0.96899999999999997</v>
      </c>
      <c r="N2710">
        <v>18408.7</v>
      </c>
      <c r="O2710">
        <v>18.408999999999999</v>
      </c>
      <c r="P2710" s="2">
        <v>42979</v>
      </c>
      <c r="Q2710">
        <v>1</v>
      </c>
      <c r="R2710" s="1" t="s">
        <v>122</v>
      </c>
    </row>
    <row r="2711" spans="1:18" x14ac:dyDescent="0.25">
      <c r="A2711">
        <v>2017</v>
      </c>
      <c r="B2711">
        <v>10</v>
      </c>
      <c r="C2711" s="1" t="s">
        <v>33</v>
      </c>
      <c r="D2711" s="1" t="s">
        <v>19</v>
      </c>
      <c r="E2711" s="1" t="s">
        <v>69</v>
      </c>
      <c r="F2711">
        <v>2012</v>
      </c>
      <c r="G2711">
        <v>5</v>
      </c>
      <c r="H2711" s="1" t="s">
        <v>126</v>
      </c>
      <c r="I2711">
        <v>19</v>
      </c>
      <c r="J2711">
        <v>2469</v>
      </c>
      <c r="K2711" s="1" t="s">
        <v>70</v>
      </c>
      <c r="L2711" s="1" t="s">
        <v>45</v>
      </c>
      <c r="M2711">
        <v>0.93100000000000005</v>
      </c>
      <c r="N2711">
        <v>17689.8</v>
      </c>
      <c r="O2711">
        <v>17.690000000000001</v>
      </c>
      <c r="P2711" s="2">
        <v>43009</v>
      </c>
      <c r="Q2711">
        <v>1</v>
      </c>
      <c r="R2711" s="1" t="s">
        <v>122</v>
      </c>
    </row>
    <row r="2712" spans="1:18" x14ac:dyDescent="0.25">
      <c r="A2712">
        <v>2017</v>
      </c>
      <c r="B2712">
        <v>11</v>
      </c>
      <c r="C2712" s="1" t="s">
        <v>34</v>
      </c>
      <c r="D2712" s="1" t="s">
        <v>19</v>
      </c>
      <c r="E2712" s="1" t="s">
        <v>69</v>
      </c>
      <c r="F2712">
        <v>2012</v>
      </c>
      <c r="G2712">
        <v>5</v>
      </c>
      <c r="H2712" s="1" t="s">
        <v>126</v>
      </c>
      <c r="I2712">
        <v>19</v>
      </c>
      <c r="J2712">
        <v>2469</v>
      </c>
      <c r="K2712" s="1" t="s">
        <v>70</v>
      </c>
      <c r="L2712" s="1" t="s">
        <v>45</v>
      </c>
      <c r="M2712">
        <v>0.95799999999999996</v>
      </c>
      <c r="N2712">
        <v>18208.099999999999</v>
      </c>
      <c r="O2712">
        <v>18.207999999999998</v>
      </c>
      <c r="P2712" s="2">
        <v>43040</v>
      </c>
      <c r="Q2712">
        <v>1</v>
      </c>
      <c r="R2712" s="1" t="s">
        <v>122</v>
      </c>
    </row>
    <row r="2713" spans="1:18" x14ac:dyDescent="0.25">
      <c r="A2713">
        <v>2017</v>
      </c>
      <c r="B2713">
        <v>12</v>
      </c>
      <c r="C2713" s="1" t="s">
        <v>35</v>
      </c>
      <c r="D2713" s="1" t="s">
        <v>19</v>
      </c>
      <c r="E2713" s="1" t="s">
        <v>69</v>
      </c>
      <c r="F2713">
        <v>2012</v>
      </c>
      <c r="G2713">
        <v>5</v>
      </c>
      <c r="H2713" s="1" t="s">
        <v>126</v>
      </c>
      <c r="I2713">
        <v>19</v>
      </c>
      <c r="J2713">
        <v>2469</v>
      </c>
      <c r="K2713" s="1" t="s">
        <v>70</v>
      </c>
      <c r="L2713" s="1" t="s">
        <v>45</v>
      </c>
      <c r="M2713">
        <v>0.81699999999999995</v>
      </c>
      <c r="N2713">
        <v>15516.2</v>
      </c>
      <c r="O2713">
        <v>15.516</v>
      </c>
      <c r="P2713" s="2">
        <v>43070</v>
      </c>
      <c r="Q2713">
        <v>1</v>
      </c>
      <c r="R2713" s="1" t="s">
        <v>122</v>
      </c>
    </row>
    <row r="2714" spans="1:18" x14ac:dyDescent="0.25">
      <c r="A2714">
        <v>2017</v>
      </c>
      <c r="B2714">
        <v>1</v>
      </c>
      <c r="C2714" s="1" t="s">
        <v>18</v>
      </c>
      <c r="D2714" s="1" t="s">
        <v>19</v>
      </c>
      <c r="E2714" s="1" t="s">
        <v>71</v>
      </c>
      <c r="F2714">
        <v>2012</v>
      </c>
      <c r="G2714">
        <v>5</v>
      </c>
      <c r="H2714" s="1" t="s">
        <v>126</v>
      </c>
      <c r="I2714">
        <v>20</v>
      </c>
      <c r="J2714">
        <v>2704</v>
      </c>
      <c r="K2714" s="1" t="s">
        <v>72</v>
      </c>
      <c r="L2714" s="1" t="s">
        <v>64</v>
      </c>
      <c r="M2714">
        <v>0.93100000000000005</v>
      </c>
      <c r="N2714">
        <v>18620.8</v>
      </c>
      <c r="O2714">
        <v>18.620999999999999</v>
      </c>
      <c r="P2714" s="2">
        <v>42736</v>
      </c>
      <c r="Q2714">
        <v>1</v>
      </c>
      <c r="R2714" s="1" t="s">
        <v>122</v>
      </c>
    </row>
    <row r="2715" spans="1:18" x14ac:dyDescent="0.25">
      <c r="A2715">
        <v>2017</v>
      </c>
      <c r="B2715">
        <v>2</v>
      </c>
      <c r="C2715" s="1" t="s">
        <v>25</v>
      </c>
      <c r="D2715" s="1" t="s">
        <v>19</v>
      </c>
      <c r="E2715" s="1" t="s">
        <v>71</v>
      </c>
      <c r="F2715">
        <v>2012</v>
      </c>
      <c r="G2715">
        <v>5</v>
      </c>
      <c r="H2715" s="1" t="s">
        <v>126</v>
      </c>
      <c r="I2715">
        <v>20</v>
      </c>
      <c r="J2715">
        <v>2704</v>
      </c>
      <c r="K2715" s="1" t="s">
        <v>72</v>
      </c>
      <c r="L2715" s="1" t="s">
        <v>64</v>
      </c>
      <c r="M2715">
        <v>0.57799999999999996</v>
      </c>
      <c r="N2715">
        <v>11563.2</v>
      </c>
      <c r="O2715">
        <v>11.563000000000001</v>
      </c>
      <c r="P2715" s="2">
        <v>42767</v>
      </c>
      <c r="Q2715">
        <v>1</v>
      </c>
      <c r="R2715" s="1" t="s">
        <v>122</v>
      </c>
    </row>
    <row r="2716" spans="1:18" x14ac:dyDescent="0.25">
      <c r="A2716">
        <v>2017</v>
      </c>
      <c r="B2716">
        <v>3</v>
      </c>
      <c r="C2716" s="1" t="s">
        <v>26</v>
      </c>
      <c r="D2716" s="1" t="s">
        <v>19</v>
      </c>
      <c r="E2716" s="1" t="s">
        <v>71</v>
      </c>
      <c r="F2716">
        <v>2012</v>
      </c>
      <c r="G2716">
        <v>5</v>
      </c>
      <c r="H2716" s="1" t="s">
        <v>126</v>
      </c>
      <c r="I2716">
        <v>20</v>
      </c>
      <c r="J2716">
        <v>2704</v>
      </c>
      <c r="K2716" s="1" t="s">
        <v>72</v>
      </c>
      <c r="L2716" s="1" t="s">
        <v>64</v>
      </c>
      <c r="M2716">
        <v>0.93700000000000006</v>
      </c>
      <c r="N2716">
        <v>18744</v>
      </c>
      <c r="O2716">
        <v>18.744</v>
      </c>
      <c r="P2716" s="2">
        <v>42795</v>
      </c>
      <c r="Q2716">
        <v>1</v>
      </c>
      <c r="R2716" s="1" t="s">
        <v>122</v>
      </c>
    </row>
    <row r="2717" spans="1:18" x14ac:dyDescent="0.25">
      <c r="A2717">
        <v>2017</v>
      </c>
      <c r="B2717">
        <v>4</v>
      </c>
      <c r="C2717" s="1" t="s">
        <v>27</v>
      </c>
      <c r="D2717" s="1" t="s">
        <v>19</v>
      </c>
      <c r="E2717" s="1" t="s">
        <v>71</v>
      </c>
      <c r="F2717">
        <v>2012</v>
      </c>
      <c r="G2717">
        <v>5</v>
      </c>
      <c r="H2717" s="1" t="s">
        <v>126</v>
      </c>
      <c r="I2717">
        <v>20</v>
      </c>
      <c r="J2717">
        <v>2704</v>
      </c>
      <c r="K2717" s="1" t="s">
        <v>72</v>
      </c>
      <c r="L2717" s="1" t="s">
        <v>64</v>
      </c>
      <c r="M2717">
        <v>1.2669999999999999</v>
      </c>
      <c r="N2717">
        <v>25344</v>
      </c>
      <c r="O2717">
        <v>25.344000000000001</v>
      </c>
      <c r="P2717" s="2">
        <v>42826</v>
      </c>
      <c r="Q2717">
        <v>1</v>
      </c>
      <c r="R2717" s="1" t="s">
        <v>122</v>
      </c>
    </row>
    <row r="2718" spans="1:18" x14ac:dyDescent="0.25">
      <c r="A2718">
        <v>2017</v>
      </c>
      <c r="B2718">
        <v>5</v>
      </c>
      <c r="C2718" s="1" t="s">
        <v>28</v>
      </c>
      <c r="D2718" s="1" t="s">
        <v>19</v>
      </c>
      <c r="E2718" s="1" t="s">
        <v>71</v>
      </c>
      <c r="F2718">
        <v>2012</v>
      </c>
      <c r="G2718">
        <v>5</v>
      </c>
      <c r="H2718" s="1" t="s">
        <v>126</v>
      </c>
      <c r="I2718">
        <v>20</v>
      </c>
      <c r="J2718">
        <v>2704</v>
      </c>
      <c r="K2718" s="1" t="s">
        <v>72</v>
      </c>
      <c r="L2718" s="1" t="s">
        <v>64</v>
      </c>
      <c r="M2718">
        <v>1.17</v>
      </c>
      <c r="N2718">
        <v>23390.400000000001</v>
      </c>
      <c r="O2718">
        <v>23.39</v>
      </c>
      <c r="P2718" s="2">
        <v>42856</v>
      </c>
      <c r="Q2718">
        <v>1</v>
      </c>
      <c r="R2718" s="1" t="s">
        <v>122</v>
      </c>
    </row>
    <row r="2719" spans="1:18" x14ac:dyDescent="0.25">
      <c r="A2719">
        <v>2017</v>
      </c>
      <c r="B2719">
        <v>6</v>
      </c>
      <c r="C2719" s="1" t="s">
        <v>29</v>
      </c>
      <c r="D2719" s="1" t="s">
        <v>19</v>
      </c>
      <c r="E2719" s="1" t="s">
        <v>71</v>
      </c>
      <c r="F2719">
        <v>2012</v>
      </c>
      <c r="G2719">
        <v>5</v>
      </c>
      <c r="H2719" s="1" t="s">
        <v>126</v>
      </c>
      <c r="I2719">
        <v>20</v>
      </c>
      <c r="J2719">
        <v>2704</v>
      </c>
      <c r="K2719" s="1" t="s">
        <v>72</v>
      </c>
      <c r="L2719" s="1" t="s">
        <v>64</v>
      </c>
      <c r="M2719">
        <v>0.97</v>
      </c>
      <c r="N2719">
        <v>19395.2</v>
      </c>
      <c r="O2719">
        <v>19.395</v>
      </c>
      <c r="P2719" s="2">
        <v>42887</v>
      </c>
      <c r="Q2719">
        <v>1</v>
      </c>
      <c r="R2719" s="1" t="s">
        <v>122</v>
      </c>
    </row>
    <row r="2720" spans="1:18" x14ac:dyDescent="0.25">
      <c r="A2720">
        <v>2017</v>
      </c>
      <c r="B2720">
        <v>7</v>
      </c>
      <c r="C2720" s="1" t="s">
        <v>30</v>
      </c>
      <c r="D2720" s="1" t="s">
        <v>19</v>
      </c>
      <c r="E2720" s="1" t="s">
        <v>71</v>
      </c>
      <c r="F2720">
        <v>2012</v>
      </c>
      <c r="G2720">
        <v>5</v>
      </c>
      <c r="H2720" s="1" t="s">
        <v>126</v>
      </c>
      <c r="I2720">
        <v>20</v>
      </c>
      <c r="J2720">
        <v>2704</v>
      </c>
      <c r="K2720" s="1" t="s">
        <v>72</v>
      </c>
      <c r="L2720" s="1" t="s">
        <v>64</v>
      </c>
      <c r="M2720">
        <v>0.97399999999999998</v>
      </c>
      <c r="N2720">
        <v>19483.2</v>
      </c>
      <c r="O2720">
        <v>19.483000000000001</v>
      </c>
      <c r="P2720" s="2">
        <v>42917</v>
      </c>
      <c r="Q2720">
        <v>1</v>
      </c>
      <c r="R2720" s="1" t="s">
        <v>122</v>
      </c>
    </row>
    <row r="2721" spans="1:18" x14ac:dyDescent="0.25">
      <c r="A2721">
        <v>2017</v>
      </c>
      <c r="B2721">
        <v>8</v>
      </c>
      <c r="C2721" s="1" t="s">
        <v>31</v>
      </c>
      <c r="D2721" s="1" t="s">
        <v>19</v>
      </c>
      <c r="E2721" s="1" t="s">
        <v>71</v>
      </c>
      <c r="F2721">
        <v>2012</v>
      </c>
      <c r="G2721">
        <v>5</v>
      </c>
      <c r="H2721" s="1" t="s">
        <v>126</v>
      </c>
      <c r="I2721">
        <v>20</v>
      </c>
      <c r="J2721">
        <v>2704</v>
      </c>
      <c r="K2721" s="1" t="s">
        <v>72</v>
      </c>
      <c r="L2721" s="1" t="s">
        <v>64</v>
      </c>
      <c r="M2721">
        <v>1.3540000000000001</v>
      </c>
      <c r="N2721">
        <v>27086.400000000001</v>
      </c>
      <c r="O2721">
        <v>27.085999999999999</v>
      </c>
      <c r="P2721" s="2">
        <v>42948</v>
      </c>
      <c r="Q2721">
        <v>1</v>
      </c>
      <c r="R2721" s="1" t="s">
        <v>122</v>
      </c>
    </row>
    <row r="2722" spans="1:18" x14ac:dyDescent="0.25">
      <c r="A2722">
        <v>2017</v>
      </c>
      <c r="B2722">
        <v>9</v>
      </c>
      <c r="C2722" s="1" t="s">
        <v>32</v>
      </c>
      <c r="D2722" s="1" t="s">
        <v>19</v>
      </c>
      <c r="E2722" s="1" t="s">
        <v>71</v>
      </c>
      <c r="F2722">
        <v>2012</v>
      </c>
      <c r="G2722">
        <v>5</v>
      </c>
      <c r="H2722" s="1" t="s">
        <v>126</v>
      </c>
      <c r="I2722">
        <v>20</v>
      </c>
      <c r="J2722">
        <v>2704</v>
      </c>
      <c r="K2722" s="1" t="s">
        <v>72</v>
      </c>
      <c r="L2722" s="1" t="s">
        <v>64</v>
      </c>
      <c r="M2722">
        <v>0.96899999999999997</v>
      </c>
      <c r="N2722">
        <v>19377.599999999999</v>
      </c>
      <c r="O2722">
        <v>19.378</v>
      </c>
      <c r="P2722" s="2">
        <v>42979</v>
      </c>
      <c r="Q2722">
        <v>1</v>
      </c>
      <c r="R2722" s="1" t="s">
        <v>122</v>
      </c>
    </row>
    <row r="2723" spans="1:18" x14ac:dyDescent="0.25">
      <c r="A2723">
        <v>2017</v>
      </c>
      <c r="B2723">
        <v>10</v>
      </c>
      <c r="C2723" s="1" t="s">
        <v>33</v>
      </c>
      <c r="D2723" s="1" t="s">
        <v>19</v>
      </c>
      <c r="E2723" s="1" t="s">
        <v>71</v>
      </c>
      <c r="F2723">
        <v>2012</v>
      </c>
      <c r="G2723">
        <v>5</v>
      </c>
      <c r="H2723" s="1" t="s">
        <v>126</v>
      </c>
      <c r="I2723">
        <v>20</v>
      </c>
      <c r="J2723">
        <v>2704</v>
      </c>
      <c r="K2723" s="1" t="s">
        <v>72</v>
      </c>
      <c r="L2723" s="1" t="s">
        <v>64</v>
      </c>
      <c r="M2723">
        <v>0.93100000000000005</v>
      </c>
      <c r="N2723">
        <v>18620.8</v>
      </c>
      <c r="O2723">
        <v>18.620999999999999</v>
      </c>
      <c r="P2723" s="2">
        <v>43009</v>
      </c>
      <c r="Q2723">
        <v>1</v>
      </c>
      <c r="R2723" s="1" t="s">
        <v>122</v>
      </c>
    </row>
    <row r="2724" spans="1:18" x14ac:dyDescent="0.25">
      <c r="A2724">
        <v>2017</v>
      </c>
      <c r="B2724">
        <v>11</v>
      </c>
      <c r="C2724" s="1" t="s">
        <v>34</v>
      </c>
      <c r="D2724" s="1" t="s">
        <v>19</v>
      </c>
      <c r="E2724" s="1" t="s">
        <v>71</v>
      </c>
      <c r="F2724">
        <v>2012</v>
      </c>
      <c r="G2724">
        <v>5</v>
      </c>
      <c r="H2724" s="1" t="s">
        <v>126</v>
      </c>
      <c r="I2724">
        <v>20</v>
      </c>
      <c r="J2724">
        <v>2704</v>
      </c>
      <c r="K2724" s="1" t="s">
        <v>72</v>
      </c>
      <c r="L2724" s="1" t="s">
        <v>64</v>
      </c>
      <c r="M2724">
        <v>0.95799999999999996</v>
      </c>
      <c r="N2724">
        <v>19166.400000000001</v>
      </c>
      <c r="O2724">
        <v>19.166</v>
      </c>
      <c r="P2724" s="2">
        <v>43040</v>
      </c>
      <c r="Q2724">
        <v>1</v>
      </c>
      <c r="R2724" s="1" t="s">
        <v>122</v>
      </c>
    </row>
    <row r="2725" spans="1:18" x14ac:dyDescent="0.25">
      <c r="A2725">
        <v>2017</v>
      </c>
      <c r="B2725">
        <v>12</v>
      </c>
      <c r="C2725" s="1" t="s">
        <v>35</v>
      </c>
      <c r="D2725" s="1" t="s">
        <v>19</v>
      </c>
      <c r="E2725" s="1" t="s">
        <v>71</v>
      </c>
      <c r="F2725">
        <v>2012</v>
      </c>
      <c r="G2725">
        <v>5</v>
      </c>
      <c r="H2725" s="1" t="s">
        <v>126</v>
      </c>
      <c r="I2725">
        <v>20</v>
      </c>
      <c r="J2725">
        <v>2704</v>
      </c>
      <c r="K2725" s="1" t="s">
        <v>72</v>
      </c>
      <c r="L2725" s="1" t="s">
        <v>64</v>
      </c>
      <c r="M2725">
        <v>0.81699999999999995</v>
      </c>
      <c r="N2725">
        <v>16332.8</v>
      </c>
      <c r="O2725">
        <v>16.332999999999998</v>
      </c>
      <c r="P2725" s="2">
        <v>43070</v>
      </c>
      <c r="Q2725">
        <v>1</v>
      </c>
      <c r="R2725" s="1" t="s">
        <v>122</v>
      </c>
    </row>
    <row r="2726" spans="1:18" x14ac:dyDescent="0.25">
      <c r="A2726">
        <v>2017</v>
      </c>
      <c r="B2726">
        <v>1</v>
      </c>
      <c r="C2726" s="1" t="s">
        <v>18</v>
      </c>
      <c r="D2726" s="1" t="s">
        <v>19</v>
      </c>
      <c r="E2726" s="1" t="s">
        <v>73</v>
      </c>
      <c r="F2726">
        <v>2012</v>
      </c>
      <c r="G2726">
        <v>5</v>
      </c>
      <c r="H2726" s="1" t="s">
        <v>126</v>
      </c>
      <c r="I2726">
        <v>14</v>
      </c>
      <c r="J2726">
        <v>1833</v>
      </c>
      <c r="K2726" s="1" t="s">
        <v>74</v>
      </c>
      <c r="L2726" s="1" t="s">
        <v>64</v>
      </c>
      <c r="M2726">
        <v>0.93100000000000005</v>
      </c>
      <c r="N2726">
        <v>13034.6</v>
      </c>
      <c r="O2726">
        <v>13.035</v>
      </c>
      <c r="P2726" s="2">
        <v>42736</v>
      </c>
      <c r="Q2726">
        <v>1</v>
      </c>
      <c r="R2726" s="1" t="s">
        <v>122</v>
      </c>
    </row>
    <row r="2727" spans="1:18" x14ac:dyDescent="0.25">
      <c r="A2727">
        <v>2017</v>
      </c>
      <c r="B2727">
        <v>2</v>
      </c>
      <c r="C2727" s="1" t="s">
        <v>25</v>
      </c>
      <c r="D2727" s="1" t="s">
        <v>19</v>
      </c>
      <c r="E2727" s="1" t="s">
        <v>73</v>
      </c>
      <c r="F2727">
        <v>2012</v>
      </c>
      <c r="G2727">
        <v>5</v>
      </c>
      <c r="H2727" s="1" t="s">
        <v>126</v>
      </c>
      <c r="I2727">
        <v>14</v>
      </c>
      <c r="J2727">
        <v>1833</v>
      </c>
      <c r="K2727" s="1" t="s">
        <v>74</v>
      </c>
      <c r="L2727" s="1" t="s">
        <v>64</v>
      </c>
      <c r="M2727">
        <v>0.57799999999999996</v>
      </c>
      <c r="N2727">
        <v>8094.2</v>
      </c>
      <c r="O2727">
        <v>8.0939999999999994</v>
      </c>
      <c r="P2727" s="2">
        <v>42767</v>
      </c>
      <c r="Q2727">
        <v>1</v>
      </c>
      <c r="R2727" s="1" t="s">
        <v>122</v>
      </c>
    </row>
    <row r="2728" spans="1:18" x14ac:dyDescent="0.25">
      <c r="A2728">
        <v>2017</v>
      </c>
      <c r="B2728">
        <v>3</v>
      </c>
      <c r="C2728" s="1" t="s">
        <v>26</v>
      </c>
      <c r="D2728" s="1" t="s">
        <v>19</v>
      </c>
      <c r="E2728" s="1" t="s">
        <v>73</v>
      </c>
      <c r="F2728">
        <v>2012</v>
      </c>
      <c r="G2728">
        <v>5</v>
      </c>
      <c r="H2728" s="1" t="s">
        <v>126</v>
      </c>
      <c r="I2728">
        <v>14</v>
      </c>
      <c r="J2728">
        <v>1833</v>
      </c>
      <c r="K2728" s="1" t="s">
        <v>74</v>
      </c>
      <c r="L2728" s="1" t="s">
        <v>64</v>
      </c>
      <c r="M2728">
        <v>0.93700000000000006</v>
      </c>
      <c r="N2728">
        <v>13120.8</v>
      </c>
      <c r="O2728">
        <v>13.121</v>
      </c>
      <c r="P2728" s="2">
        <v>42795</v>
      </c>
      <c r="Q2728">
        <v>1</v>
      </c>
      <c r="R2728" s="1" t="s">
        <v>122</v>
      </c>
    </row>
    <row r="2729" spans="1:18" x14ac:dyDescent="0.25">
      <c r="A2729">
        <v>2017</v>
      </c>
      <c r="B2729">
        <v>4</v>
      </c>
      <c r="C2729" s="1" t="s">
        <v>27</v>
      </c>
      <c r="D2729" s="1" t="s">
        <v>19</v>
      </c>
      <c r="E2729" s="1" t="s">
        <v>73</v>
      </c>
      <c r="F2729">
        <v>2012</v>
      </c>
      <c r="G2729">
        <v>5</v>
      </c>
      <c r="H2729" s="1" t="s">
        <v>126</v>
      </c>
      <c r="I2729">
        <v>14</v>
      </c>
      <c r="J2729">
        <v>1833</v>
      </c>
      <c r="K2729" s="1" t="s">
        <v>74</v>
      </c>
      <c r="L2729" s="1" t="s">
        <v>64</v>
      </c>
      <c r="M2729">
        <v>1.2669999999999999</v>
      </c>
      <c r="N2729">
        <v>17740.8</v>
      </c>
      <c r="O2729">
        <v>17.741</v>
      </c>
      <c r="P2729" s="2">
        <v>42826</v>
      </c>
      <c r="Q2729">
        <v>1</v>
      </c>
      <c r="R2729" s="1" t="s">
        <v>122</v>
      </c>
    </row>
    <row r="2730" spans="1:18" x14ac:dyDescent="0.25">
      <c r="A2730">
        <v>2017</v>
      </c>
      <c r="B2730">
        <v>5</v>
      </c>
      <c r="C2730" s="1" t="s">
        <v>28</v>
      </c>
      <c r="D2730" s="1" t="s">
        <v>19</v>
      </c>
      <c r="E2730" s="1" t="s">
        <v>73</v>
      </c>
      <c r="F2730">
        <v>2012</v>
      </c>
      <c r="G2730">
        <v>5</v>
      </c>
      <c r="H2730" s="1" t="s">
        <v>126</v>
      </c>
      <c r="I2730">
        <v>14</v>
      </c>
      <c r="J2730">
        <v>1833</v>
      </c>
      <c r="K2730" s="1" t="s">
        <v>74</v>
      </c>
      <c r="L2730" s="1" t="s">
        <v>64</v>
      </c>
      <c r="M2730">
        <v>1.17</v>
      </c>
      <c r="N2730">
        <v>16373.3</v>
      </c>
      <c r="O2730">
        <v>16.373000000000001</v>
      </c>
      <c r="P2730" s="2">
        <v>42856</v>
      </c>
      <c r="Q2730">
        <v>1</v>
      </c>
      <c r="R2730" s="1" t="s">
        <v>122</v>
      </c>
    </row>
    <row r="2731" spans="1:18" x14ac:dyDescent="0.25">
      <c r="A2731">
        <v>2017</v>
      </c>
      <c r="B2731">
        <v>6</v>
      </c>
      <c r="C2731" s="1" t="s">
        <v>29</v>
      </c>
      <c r="D2731" s="1" t="s">
        <v>19</v>
      </c>
      <c r="E2731" s="1" t="s">
        <v>73</v>
      </c>
      <c r="F2731">
        <v>2012</v>
      </c>
      <c r="G2731">
        <v>5</v>
      </c>
      <c r="H2731" s="1" t="s">
        <v>126</v>
      </c>
      <c r="I2731">
        <v>14</v>
      </c>
      <c r="J2731">
        <v>1833</v>
      </c>
      <c r="K2731" s="1" t="s">
        <v>74</v>
      </c>
      <c r="L2731" s="1" t="s">
        <v>64</v>
      </c>
      <c r="M2731">
        <v>0.97</v>
      </c>
      <c r="N2731">
        <v>13576.6</v>
      </c>
      <c r="O2731">
        <v>13.577</v>
      </c>
      <c r="P2731" s="2">
        <v>42887</v>
      </c>
      <c r="Q2731">
        <v>1</v>
      </c>
      <c r="R2731" s="1" t="s">
        <v>122</v>
      </c>
    </row>
    <row r="2732" spans="1:18" x14ac:dyDescent="0.25">
      <c r="A2732">
        <v>2017</v>
      </c>
      <c r="B2732">
        <v>7</v>
      </c>
      <c r="C2732" s="1" t="s">
        <v>30</v>
      </c>
      <c r="D2732" s="1" t="s">
        <v>19</v>
      </c>
      <c r="E2732" s="1" t="s">
        <v>73</v>
      </c>
      <c r="F2732">
        <v>2012</v>
      </c>
      <c r="G2732">
        <v>5</v>
      </c>
      <c r="H2732" s="1" t="s">
        <v>126</v>
      </c>
      <c r="I2732">
        <v>14</v>
      </c>
      <c r="J2732">
        <v>1833</v>
      </c>
      <c r="K2732" s="1" t="s">
        <v>74</v>
      </c>
      <c r="L2732" s="1" t="s">
        <v>64</v>
      </c>
      <c r="M2732">
        <v>0.97399999999999998</v>
      </c>
      <c r="N2732">
        <v>13638.2</v>
      </c>
      <c r="O2732">
        <v>13.638</v>
      </c>
      <c r="P2732" s="2">
        <v>42917</v>
      </c>
      <c r="Q2732">
        <v>1</v>
      </c>
      <c r="R2732" s="1" t="s">
        <v>122</v>
      </c>
    </row>
    <row r="2733" spans="1:18" x14ac:dyDescent="0.25">
      <c r="A2733">
        <v>2017</v>
      </c>
      <c r="B2733">
        <v>8</v>
      </c>
      <c r="C2733" s="1" t="s">
        <v>31</v>
      </c>
      <c r="D2733" s="1" t="s">
        <v>19</v>
      </c>
      <c r="E2733" s="1" t="s">
        <v>73</v>
      </c>
      <c r="F2733">
        <v>2012</v>
      </c>
      <c r="G2733">
        <v>5</v>
      </c>
      <c r="H2733" s="1" t="s">
        <v>126</v>
      </c>
      <c r="I2733">
        <v>14</v>
      </c>
      <c r="J2733">
        <v>1833</v>
      </c>
      <c r="K2733" s="1" t="s">
        <v>74</v>
      </c>
      <c r="L2733" s="1" t="s">
        <v>64</v>
      </c>
      <c r="M2733">
        <v>1.3540000000000001</v>
      </c>
      <c r="N2733">
        <v>18960.5</v>
      </c>
      <c r="O2733">
        <v>18.96</v>
      </c>
      <c r="P2733" s="2">
        <v>42948</v>
      </c>
      <c r="Q2733">
        <v>1</v>
      </c>
      <c r="R2733" s="1" t="s">
        <v>122</v>
      </c>
    </row>
    <row r="2734" spans="1:18" x14ac:dyDescent="0.25">
      <c r="A2734">
        <v>2017</v>
      </c>
      <c r="B2734">
        <v>9</v>
      </c>
      <c r="C2734" s="1" t="s">
        <v>32</v>
      </c>
      <c r="D2734" s="1" t="s">
        <v>19</v>
      </c>
      <c r="E2734" s="1" t="s">
        <v>73</v>
      </c>
      <c r="F2734">
        <v>2012</v>
      </c>
      <c r="G2734">
        <v>5</v>
      </c>
      <c r="H2734" s="1" t="s">
        <v>126</v>
      </c>
      <c r="I2734">
        <v>14</v>
      </c>
      <c r="J2734">
        <v>1833</v>
      </c>
      <c r="K2734" s="1" t="s">
        <v>74</v>
      </c>
      <c r="L2734" s="1" t="s">
        <v>64</v>
      </c>
      <c r="M2734">
        <v>0.96899999999999997</v>
      </c>
      <c r="N2734">
        <v>13564.3</v>
      </c>
      <c r="O2734">
        <v>13.564</v>
      </c>
      <c r="P2734" s="2">
        <v>42979</v>
      </c>
      <c r="Q2734">
        <v>1</v>
      </c>
      <c r="R2734" s="1" t="s">
        <v>122</v>
      </c>
    </row>
    <row r="2735" spans="1:18" x14ac:dyDescent="0.25">
      <c r="A2735">
        <v>2017</v>
      </c>
      <c r="B2735">
        <v>10</v>
      </c>
      <c r="C2735" s="1" t="s">
        <v>33</v>
      </c>
      <c r="D2735" s="1" t="s">
        <v>19</v>
      </c>
      <c r="E2735" s="1" t="s">
        <v>73</v>
      </c>
      <c r="F2735">
        <v>2012</v>
      </c>
      <c r="G2735">
        <v>5</v>
      </c>
      <c r="H2735" s="1" t="s">
        <v>126</v>
      </c>
      <c r="I2735">
        <v>14</v>
      </c>
      <c r="J2735">
        <v>1833</v>
      </c>
      <c r="K2735" s="1" t="s">
        <v>74</v>
      </c>
      <c r="L2735" s="1" t="s">
        <v>64</v>
      </c>
      <c r="M2735">
        <v>0.93100000000000005</v>
      </c>
      <c r="N2735">
        <v>13034.6</v>
      </c>
      <c r="O2735">
        <v>13.035</v>
      </c>
      <c r="P2735" s="2">
        <v>43009</v>
      </c>
      <c r="Q2735">
        <v>1</v>
      </c>
      <c r="R2735" s="1" t="s">
        <v>122</v>
      </c>
    </row>
    <row r="2736" spans="1:18" x14ac:dyDescent="0.25">
      <c r="A2736">
        <v>2017</v>
      </c>
      <c r="B2736">
        <v>11</v>
      </c>
      <c r="C2736" s="1" t="s">
        <v>34</v>
      </c>
      <c r="D2736" s="1" t="s">
        <v>19</v>
      </c>
      <c r="E2736" s="1" t="s">
        <v>73</v>
      </c>
      <c r="F2736">
        <v>2012</v>
      </c>
      <c r="G2736">
        <v>5</v>
      </c>
      <c r="H2736" s="1" t="s">
        <v>126</v>
      </c>
      <c r="I2736">
        <v>14</v>
      </c>
      <c r="J2736">
        <v>1833</v>
      </c>
      <c r="K2736" s="1" t="s">
        <v>74</v>
      </c>
      <c r="L2736" s="1" t="s">
        <v>64</v>
      </c>
      <c r="M2736">
        <v>0.95799999999999996</v>
      </c>
      <c r="N2736">
        <v>13416.5</v>
      </c>
      <c r="O2736">
        <v>13.416</v>
      </c>
      <c r="P2736" s="2">
        <v>43040</v>
      </c>
      <c r="Q2736">
        <v>1</v>
      </c>
      <c r="R2736" s="1" t="s">
        <v>122</v>
      </c>
    </row>
    <row r="2737" spans="1:18" x14ac:dyDescent="0.25">
      <c r="A2737">
        <v>2017</v>
      </c>
      <c r="B2737">
        <v>12</v>
      </c>
      <c r="C2737" s="1" t="s">
        <v>35</v>
      </c>
      <c r="D2737" s="1" t="s">
        <v>19</v>
      </c>
      <c r="E2737" s="1" t="s">
        <v>73</v>
      </c>
      <c r="F2737">
        <v>2012</v>
      </c>
      <c r="G2737">
        <v>5</v>
      </c>
      <c r="H2737" s="1" t="s">
        <v>126</v>
      </c>
      <c r="I2737">
        <v>14</v>
      </c>
      <c r="J2737">
        <v>1833</v>
      </c>
      <c r="K2737" s="1" t="s">
        <v>74</v>
      </c>
      <c r="L2737" s="1" t="s">
        <v>64</v>
      </c>
      <c r="M2737">
        <v>0.81699999999999995</v>
      </c>
      <c r="N2737">
        <v>11433</v>
      </c>
      <c r="O2737">
        <v>11.433</v>
      </c>
      <c r="P2737" s="2">
        <v>43070</v>
      </c>
      <c r="Q2737">
        <v>1</v>
      </c>
      <c r="R2737" s="1" t="s">
        <v>122</v>
      </c>
    </row>
    <row r="2738" spans="1:18" x14ac:dyDescent="0.25">
      <c r="A2738">
        <v>2017</v>
      </c>
      <c r="B2738">
        <v>1</v>
      </c>
      <c r="C2738" s="1" t="s">
        <v>18</v>
      </c>
      <c r="D2738" s="1" t="s">
        <v>19</v>
      </c>
      <c r="E2738" s="1" t="s">
        <v>75</v>
      </c>
      <c r="F2738">
        <v>2012</v>
      </c>
      <c r="G2738">
        <v>5</v>
      </c>
      <c r="H2738" s="1" t="s">
        <v>126</v>
      </c>
      <c r="I2738">
        <v>20</v>
      </c>
      <c r="J2738">
        <v>1990</v>
      </c>
      <c r="K2738" s="1" t="s">
        <v>76</v>
      </c>
      <c r="L2738" s="1" t="s">
        <v>64</v>
      </c>
      <c r="M2738">
        <v>0.93100000000000005</v>
      </c>
      <c r="N2738">
        <v>18620.8</v>
      </c>
      <c r="O2738">
        <v>18.620999999999999</v>
      </c>
      <c r="P2738" s="2">
        <v>42736</v>
      </c>
      <c r="Q2738">
        <v>1</v>
      </c>
      <c r="R2738" s="1" t="s">
        <v>122</v>
      </c>
    </row>
    <row r="2739" spans="1:18" x14ac:dyDescent="0.25">
      <c r="A2739">
        <v>2017</v>
      </c>
      <c r="B2739">
        <v>2</v>
      </c>
      <c r="C2739" s="1" t="s">
        <v>25</v>
      </c>
      <c r="D2739" s="1" t="s">
        <v>19</v>
      </c>
      <c r="E2739" s="1" t="s">
        <v>75</v>
      </c>
      <c r="F2739">
        <v>2012</v>
      </c>
      <c r="G2739">
        <v>5</v>
      </c>
      <c r="H2739" s="1" t="s">
        <v>126</v>
      </c>
      <c r="I2739">
        <v>20</v>
      </c>
      <c r="J2739">
        <v>1990</v>
      </c>
      <c r="K2739" s="1" t="s">
        <v>76</v>
      </c>
      <c r="L2739" s="1" t="s">
        <v>64</v>
      </c>
      <c r="M2739">
        <v>0.57799999999999996</v>
      </c>
      <c r="N2739">
        <v>11563.2</v>
      </c>
      <c r="O2739">
        <v>11.563000000000001</v>
      </c>
      <c r="P2739" s="2">
        <v>42767</v>
      </c>
      <c r="Q2739">
        <v>1</v>
      </c>
      <c r="R2739" s="1" t="s">
        <v>122</v>
      </c>
    </row>
    <row r="2740" spans="1:18" x14ac:dyDescent="0.25">
      <c r="A2740">
        <v>2017</v>
      </c>
      <c r="B2740">
        <v>3</v>
      </c>
      <c r="C2740" s="1" t="s">
        <v>26</v>
      </c>
      <c r="D2740" s="1" t="s">
        <v>19</v>
      </c>
      <c r="E2740" s="1" t="s">
        <v>75</v>
      </c>
      <c r="F2740">
        <v>2012</v>
      </c>
      <c r="G2740">
        <v>5</v>
      </c>
      <c r="H2740" s="1" t="s">
        <v>126</v>
      </c>
      <c r="I2740">
        <v>20</v>
      </c>
      <c r="J2740">
        <v>1990</v>
      </c>
      <c r="K2740" s="1" t="s">
        <v>76</v>
      </c>
      <c r="L2740" s="1" t="s">
        <v>64</v>
      </c>
      <c r="M2740">
        <v>0.93700000000000006</v>
      </c>
      <c r="N2740">
        <v>18744</v>
      </c>
      <c r="O2740">
        <v>18.744</v>
      </c>
      <c r="P2740" s="2">
        <v>42795</v>
      </c>
      <c r="Q2740">
        <v>1</v>
      </c>
      <c r="R2740" s="1" t="s">
        <v>122</v>
      </c>
    </row>
    <row r="2741" spans="1:18" x14ac:dyDescent="0.25">
      <c r="A2741">
        <v>2017</v>
      </c>
      <c r="B2741">
        <v>4</v>
      </c>
      <c r="C2741" s="1" t="s">
        <v>27</v>
      </c>
      <c r="D2741" s="1" t="s">
        <v>19</v>
      </c>
      <c r="E2741" s="1" t="s">
        <v>75</v>
      </c>
      <c r="F2741">
        <v>2012</v>
      </c>
      <c r="G2741">
        <v>5</v>
      </c>
      <c r="H2741" s="1" t="s">
        <v>126</v>
      </c>
      <c r="I2741">
        <v>20</v>
      </c>
      <c r="J2741">
        <v>1990</v>
      </c>
      <c r="K2741" s="1" t="s">
        <v>76</v>
      </c>
      <c r="L2741" s="1" t="s">
        <v>64</v>
      </c>
      <c r="M2741">
        <v>1.2669999999999999</v>
      </c>
      <c r="N2741">
        <v>25344</v>
      </c>
      <c r="O2741">
        <v>25.344000000000001</v>
      </c>
      <c r="P2741" s="2">
        <v>42826</v>
      </c>
      <c r="Q2741">
        <v>1</v>
      </c>
      <c r="R2741" s="1" t="s">
        <v>122</v>
      </c>
    </row>
    <row r="2742" spans="1:18" x14ac:dyDescent="0.25">
      <c r="A2742">
        <v>2017</v>
      </c>
      <c r="B2742">
        <v>5</v>
      </c>
      <c r="C2742" s="1" t="s">
        <v>28</v>
      </c>
      <c r="D2742" s="1" t="s">
        <v>19</v>
      </c>
      <c r="E2742" s="1" t="s">
        <v>75</v>
      </c>
      <c r="F2742">
        <v>2012</v>
      </c>
      <c r="G2742">
        <v>5</v>
      </c>
      <c r="H2742" s="1" t="s">
        <v>126</v>
      </c>
      <c r="I2742">
        <v>20</v>
      </c>
      <c r="J2742">
        <v>1990</v>
      </c>
      <c r="K2742" s="1" t="s">
        <v>76</v>
      </c>
      <c r="L2742" s="1" t="s">
        <v>64</v>
      </c>
      <c r="M2742">
        <v>1.17</v>
      </c>
      <c r="N2742">
        <v>23390.400000000001</v>
      </c>
      <c r="O2742">
        <v>23.39</v>
      </c>
      <c r="P2742" s="2">
        <v>42856</v>
      </c>
      <c r="Q2742">
        <v>1</v>
      </c>
      <c r="R2742" s="1" t="s">
        <v>122</v>
      </c>
    </row>
    <row r="2743" spans="1:18" x14ac:dyDescent="0.25">
      <c r="A2743">
        <v>2017</v>
      </c>
      <c r="B2743">
        <v>6</v>
      </c>
      <c r="C2743" s="1" t="s">
        <v>29</v>
      </c>
      <c r="D2743" s="1" t="s">
        <v>19</v>
      </c>
      <c r="E2743" s="1" t="s">
        <v>75</v>
      </c>
      <c r="F2743">
        <v>2012</v>
      </c>
      <c r="G2743">
        <v>5</v>
      </c>
      <c r="H2743" s="1" t="s">
        <v>126</v>
      </c>
      <c r="I2743">
        <v>20</v>
      </c>
      <c r="J2743">
        <v>1990</v>
      </c>
      <c r="K2743" s="1" t="s">
        <v>76</v>
      </c>
      <c r="L2743" s="1" t="s">
        <v>64</v>
      </c>
      <c r="M2743">
        <v>0.97</v>
      </c>
      <c r="N2743">
        <v>19395.2</v>
      </c>
      <c r="O2743">
        <v>19.395</v>
      </c>
      <c r="P2743" s="2">
        <v>42887</v>
      </c>
      <c r="Q2743">
        <v>1</v>
      </c>
      <c r="R2743" s="1" t="s">
        <v>122</v>
      </c>
    </row>
    <row r="2744" spans="1:18" x14ac:dyDescent="0.25">
      <c r="A2744">
        <v>2017</v>
      </c>
      <c r="B2744">
        <v>7</v>
      </c>
      <c r="C2744" s="1" t="s">
        <v>30</v>
      </c>
      <c r="D2744" s="1" t="s">
        <v>19</v>
      </c>
      <c r="E2744" s="1" t="s">
        <v>75</v>
      </c>
      <c r="F2744">
        <v>2012</v>
      </c>
      <c r="G2744">
        <v>5</v>
      </c>
      <c r="H2744" s="1" t="s">
        <v>126</v>
      </c>
      <c r="I2744">
        <v>20</v>
      </c>
      <c r="J2744">
        <v>1990</v>
      </c>
      <c r="K2744" s="1" t="s">
        <v>76</v>
      </c>
      <c r="L2744" s="1" t="s">
        <v>64</v>
      </c>
      <c r="M2744">
        <v>0.97399999999999998</v>
      </c>
      <c r="N2744">
        <v>19483.2</v>
      </c>
      <c r="O2744">
        <v>19.483000000000001</v>
      </c>
      <c r="P2744" s="2">
        <v>42917</v>
      </c>
      <c r="Q2744">
        <v>1</v>
      </c>
      <c r="R2744" s="1" t="s">
        <v>122</v>
      </c>
    </row>
    <row r="2745" spans="1:18" x14ac:dyDescent="0.25">
      <c r="A2745">
        <v>2017</v>
      </c>
      <c r="B2745">
        <v>8</v>
      </c>
      <c r="C2745" s="1" t="s">
        <v>31</v>
      </c>
      <c r="D2745" s="1" t="s">
        <v>19</v>
      </c>
      <c r="E2745" s="1" t="s">
        <v>75</v>
      </c>
      <c r="F2745">
        <v>2012</v>
      </c>
      <c r="G2745">
        <v>5</v>
      </c>
      <c r="H2745" s="1" t="s">
        <v>126</v>
      </c>
      <c r="I2745">
        <v>20</v>
      </c>
      <c r="J2745">
        <v>1990</v>
      </c>
      <c r="K2745" s="1" t="s">
        <v>76</v>
      </c>
      <c r="L2745" s="1" t="s">
        <v>64</v>
      </c>
      <c r="M2745">
        <v>1.3540000000000001</v>
      </c>
      <c r="N2745">
        <v>27086.400000000001</v>
      </c>
      <c r="O2745">
        <v>27.085999999999999</v>
      </c>
      <c r="P2745" s="2">
        <v>42948</v>
      </c>
      <c r="Q2745">
        <v>1</v>
      </c>
      <c r="R2745" s="1" t="s">
        <v>122</v>
      </c>
    </row>
    <row r="2746" spans="1:18" x14ac:dyDescent="0.25">
      <c r="A2746">
        <v>2017</v>
      </c>
      <c r="B2746">
        <v>9</v>
      </c>
      <c r="C2746" s="1" t="s">
        <v>32</v>
      </c>
      <c r="D2746" s="1" t="s">
        <v>19</v>
      </c>
      <c r="E2746" s="1" t="s">
        <v>75</v>
      </c>
      <c r="F2746">
        <v>2012</v>
      </c>
      <c r="G2746">
        <v>5</v>
      </c>
      <c r="H2746" s="1" t="s">
        <v>126</v>
      </c>
      <c r="I2746">
        <v>20</v>
      </c>
      <c r="J2746">
        <v>1990</v>
      </c>
      <c r="K2746" s="1" t="s">
        <v>76</v>
      </c>
      <c r="L2746" s="1" t="s">
        <v>64</v>
      </c>
      <c r="M2746">
        <v>0.96899999999999997</v>
      </c>
      <c r="N2746">
        <v>19377.599999999999</v>
      </c>
      <c r="O2746">
        <v>19.378</v>
      </c>
      <c r="P2746" s="2">
        <v>42979</v>
      </c>
      <c r="Q2746">
        <v>1</v>
      </c>
      <c r="R2746" s="1" t="s">
        <v>122</v>
      </c>
    </row>
    <row r="2747" spans="1:18" x14ac:dyDescent="0.25">
      <c r="A2747">
        <v>2017</v>
      </c>
      <c r="B2747">
        <v>10</v>
      </c>
      <c r="C2747" s="1" t="s">
        <v>33</v>
      </c>
      <c r="D2747" s="1" t="s">
        <v>19</v>
      </c>
      <c r="E2747" s="1" t="s">
        <v>75</v>
      </c>
      <c r="F2747">
        <v>2012</v>
      </c>
      <c r="G2747">
        <v>5</v>
      </c>
      <c r="H2747" s="1" t="s">
        <v>126</v>
      </c>
      <c r="I2747">
        <v>20</v>
      </c>
      <c r="J2747">
        <v>1990</v>
      </c>
      <c r="K2747" s="1" t="s">
        <v>76</v>
      </c>
      <c r="L2747" s="1" t="s">
        <v>64</v>
      </c>
      <c r="M2747">
        <v>0.93100000000000005</v>
      </c>
      <c r="N2747">
        <v>18620.8</v>
      </c>
      <c r="O2747">
        <v>18.620999999999999</v>
      </c>
      <c r="P2747" s="2">
        <v>43009</v>
      </c>
      <c r="Q2747">
        <v>1</v>
      </c>
      <c r="R2747" s="1" t="s">
        <v>122</v>
      </c>
    </row>
    <row r="2748" spans="1:18" x14ac:dyDescent="0.25">
      <c r="A2748">
        <v>2017</v>
      </c>
      <c r="B2748">
        <v>11</v>
      </c>
      <c r="C2748" s="1" t="s">
        <v>34</v>
      </c>
      <c r="D2748" s="1" t="s">
        <v>19</v>
      </c>
      <c r="E2748" s="1" t="s">
        <v>75</v>
      </c>
      <c r="F2748">
        <v>2012</v>
      </c>
      <c r="G2748">
        <v>5</v>
      </c>
      <c r="H2748" s="1" t="s">
        <v>126</v>
      </c>
      <c r="I2748">
        <v>20</v>
      </c>
      <c r="J2748">
        <v>1990</v>
      </c>
      <c r="K2748" s="1" t="s">
        <v>76</v>
      </c>
      <c r="L2748" s="1" t="s">
        <v>64</v>
      </c>
      <c r="M2748">
        <v>0.95799999999999996</v>
      </c>
      <c r="N2748">
        <v>19166.400000000001</v>
      </c>
      <c r="O2748">
        <v>19.166</v>
      </c>
      <c r="P2748" s="2">
        <v>43040</v>
      </c>
      <c r="Q2748">
        <v>1</v>
      </c>
      <c r="R2748" s="1" t="s">
        <v>122</v>
      </c>
    </row>
    <row r="2749" spans="1:18" x14ac:dyDescent="0.25">
      <c r="A2749">
        <v>2017</v>
      </c>
      <c r="B2749">
        <v>12</v>
      </c>
      <c r="C2749" s="1" t="s">
        <v>35</v>
      </c>
      <c r="D2749" s="1" t="s">
        <v>19</v>
      </c>
      <c r="E2749" s="1" t="s">
        <v>75</v>
      </c>
      <c r="F2749">
        <v>2012</v>
      </c>
      <c r="G2749">
        <v>5</v>
      </c>
      <c r="H2749" s="1" t="s">
        <v>126</v>
      </c>
      <c r="I2749">
        <v>20</v>
      </c>
      <c r="J2749">
        <v>1990</v>
      </c>
      <c r="K2749" s="1" t="s">
        <v>76</v>
      </c>
      <c r="L2749" s="1" t="s">
        <v>64</v>
      </c>
      <c r="M2749">
        <v>0.81699999999999995</v>
      </c>
      <c r="N2749">
        <v>16332.8</v>
      </c>
      <c r="O2749">
        <v>16.332999999999998</v>
      </c>
      <c r="P2749" s="2">
        <v>43070</v>
      </c>
      <c r="Q2749">
        <v>1</v>
      </c>
      <c r="R2749" s="1" t="s">
        <v>122</v>
      </c>
    </row>
    <row r="2750" spans="1:18" x14ac:dyDescent="0.25">
      <c r="A2750">
        <v>2017</v>
      </c>
      <c r="B2750">
        <v>1</v>
      </c>
      <c r="C2750" s="1" t="s">
        <v>18</v>
      </c>
      <c r="D2750" s="1" t="s">
        <v>19</v>
      </c>
      <c r="E2750" s="1" t="s">
        <v>77</v>
      </c>
      <c r="F2750">
        <v>2012</v>
      </c>
      <c r="G2750">
        <v>5</v>
      </c>
      <c r="H2750" s="1" t="s">
        <v>126</v>
      </c>
      <c r="I2750">
        <v>22</v>
      </c>
      <c r="J2750">
        <v>2606</v>
      </c>
      <c r="K2750" s="1" t="s">
        <v>78</v>
      </c>
      <c r="L2750" s="1" t="s">
        <v>64</v>
      </c>
      <c r="M2750">
        <v>0.93100000000000005</v>
      </c>
      <c r="N2750">
        <v>20482.900000000001</v>
      </c>
      <c r="O2750">
        <v>20.483000000000001</v>
      </c>
      <c r="P2750" s="2">
        <v>42736</v>
      </c>
      <c r="Q2750">
        <v>1</v>
      </c>
      <c r="R2750" s="1" t="s">
        <v>122</v>
      </c>
    </row>
    <row r="2751" spans="1:18" x14ac:dyDescent="0.25">
      <c r="A2751">
        <v>2017</v>
      </c>
      <c r="B2751">
        <v>2</v>
      </c>
      <c r="C2751" s="1" t="s">
        <v>25</v>
      </c>
      <c r="D2751" s="1" t="s">
        <v>19</v>
      </c>
      <c r="E2751" s="1" t="s">
        <v>77</v>
      </c>
      <c r="F2751">
        <v>2012</v>
      </c>
      <c r="G2751">
        <v>5</v>
      </c>
      <c r="H2751" s="1" t="s">
        <v>126</v>
      </c>
      <c r="I2751">
        <v>22</v>
      </c>
      <c r="J2751">
        <v>2606</v>
      </c>
      <c r="K2751" s="1" t="s">
        <v>78</v>
      </c>
      <c r="L2751" s="1" t="s">
        <v>64</v>
      </c>
      <c r="M2751">
        <v>0.57799999999999996</v>
      </c>
      <c r="N2751">
        <v>12719.5</v>
      </c>
      <c r="O2751">
        <v>12.72</v>
      </c>
      <c r="P2751" s="2">
        <v>42767</v>
      </c>
      <c r="Q2751">
        <v>1</v>
      </c>
      <c r="R2751" s="1" t="s">
        <v>122</v>
      </c>
    </row>
    <row r="2752" spans="1:18" x14ac:dyDescent="0.25">
      <c r="A2752">
        <v>2017</v>
      </c>
      <c r="B2752">
        <v>3</v>
      </c>
      <c r="C2752" s="1" t="s">
        <v>26</v>
      </c>
      <c r="D2752" s="1" t="s">
        <v>19</v>
      </c>
      <c r="E2752" s="1" t="s">
        <v>77</v>
      </c>
      <c r="F2752">
        <v>2012</v>
      </c>
      <c r="G2752">
        <v>5</v>
      </c>
      <c r="H2752" s="1" t="s">
        <v>126</v>
      </c>
      <c r="I2752">
        <v>22</v>
      </c>
      <c r="J2752">
        <v>2606</v>
      </c>
      <c r="K2752" s="1" t="s">
        <v>78</v>
      </c>
      <c r="L2752" s="1" t="s">
        <v>64</v>
      </c>
      <c r="M2752">
        <v>0.93700000000000006</v>
      </c>
      <c r="N2752">
        <v>20618.400000000001</v>
      </c>
      <c r="O2752">
        <v>20.617999999999999</v>
      </c>
      <c r="P2752" s="2">
        <v>42795</v>
      </c>
      <c r="Q2752">
        <v>1</v>
      </c>
      <c r="R2752" s="1" t="s">
        <v>122</v>
      </c>
    </row>
    <row r="2753" spans="1:18" x14ac:dyDescent="0.25">
      <c r="A2753">
        <v>2017</v>
      </c>
      <c r="B2753">
        <v>4</v>
      </c>
      <c r="C2753" s="1" t="s">
        <v>27</v>
      </c>
      <c r="D2753" s="1" t="s">
        <v>19</v>
      </c>
      <c r="E2753" s="1" t="s">
        <v>77</v>
      </c>
      <c r="F2753">
        <v>2012</v>
      </c>
      <c r="G2753">
        <v>5</v>
      </c>
      <c r="H2753" s="1" t="s">
        <v>126</v>
      </c>
      <c r="I2753">
        <v>22</v>
      </c>
      <c r="J2753">
        <v>2606</v>
      </c>
      <c r="K2753" s="1" t="s">
        <v>78</v>
      </c>
      <c r="L2753" s="1" t="s">
        <v>64</v>
      </c>
      <c r="M2753">
        <v>1.2669999999999999</v>
      </c>
      <c r="N2753">
        <v>27878.400000000001</v>
      </c>
      <c r="O2753">
        <v>27.878</v>
      </c>
      <c r="P2753" s="2">
        <v>42826</v>
      </c>
      <c r="Q2753">
        <v>1</v>
      </c>
      <c r="R2753" s="1" t="s">
        <v>122</v>
      </c>
    </row>
    <row r="2754" spans="1:18" x14ac:dyDescent="0.25">
      <c r="A2754">
        <v>2017</v>
      </c>
      <c r="B2754">
        <v>5</v>
      </c>
      <c r="C2754" s="1" t="s">
        <v>28</v>
      </c>
      <c r="D2754" s="1" t="s">
        <v>19</v>
      </c>
      <c r="E2754" s="1" t="s">
        <v>77</v>
      </c>
      <c r="F2754">
        <v>2012</v>
      </c>
      <c r="G2754">
        <v>5</v>
      </c>
      <c r="H2754" s="1" t="s">
        <v>126</v>
      </c>
      <c r="I2754">
        <v>22</v>
      </c>
      <c r="J2754">
        <v>2606</v>
      </c>
      <c r="K2754" s="1" t="s">
        <v>78</v>
      </c>
      <c r="L2754" s="1" t="s">
        <v>64</v>
      </c>
      <c r="M2754">
        <v>1.17</v>
      </c>
      <c r="N2754">
        <v>25729.4</v>
      </c>
      <c r="O2754">
        <v>25.728999999999999</v>
      </c>
      <c r="P2754" s="2">
        <v>42856</v>
      </c>
      <c r="Q2754">
        <v>1</v>
      </c>
      <c r="R2754" s="1" t="s">
        <v>122</v>
      </c>
    </row>
    <row r="2755" spans="1:18" x14ac:dyDescent="0.25">
      <c r="A2755">
        <v>2017</v>
      </c>
      <c r="B2755">
        <v>6</v>
      </c>
      <c r="C2755" s="1" t="s">
        <v>29</v>
      </c>
      <c r="D2755" s="1" t="s">
        <v>19</v>
      </c>
      <c r="E2755" s="1" t="s">
        <v>77</v>
      </c>
      <c r="F2755">
        <v>2012</v>
      </c>
      <c r="G2755">
        <v>5</v>
      </c>
      <c r="H2755" s="1" t="s">
        <v>126</v>
      </c>
      <c r="I2755">
        <v>22</v>
      </c>
      <c r="J2755">
        <v>2606</v>
      </c>
      <c r="K2755" s="1" t="s">
        <v>78</v>
      </c>
      <c r="L2755" s="1" t="s">
        <v>64</v>
      </c>
      <c r="M2755">
        <v>0.97</v>
      </c>
      <c r="N2755">
        <v>21334.7</v>
      </c>
      <c r="O2755">
        <v>21.335000000000001</v>
      </c>
      <c r="P2755" s="2">
        <v>42887</v>
      </c>
      <c r="Q2755">
        <v>1</v>
      </c>
      <c r="R2755" s="1" t="s">
        <v>122</v>
      </c>
    </row>
    <row r="2756" spans="1:18" x14ac:dyDescent="0.25">
      <c r="A2756">
        <v>2017</v>
      </c>
      <c r="B2756">
        <v>7</v>
      </c>
      <c r="C2756" s="1" t="s">
        <v>30</v>
      </c>
      <c r="D2756" s="1" t="s">
        <v>19</v>
      </c>
      <c r="E2756" s="1" t="s">
        <v>77</v>
      </c>
      <c r="F2756">
        <v>2012</v>
      </c>
      <c r="G2756">
        <v>5</v>
      </c>
      <c r="H2756" s="1" t="s">
        <v>126</v>
      </c>
      <c r="I2756">
        <v>22</v>
      </c>
      <c r="J2756">
        <v>2606</v>
      </c>
      <c r="K2756" s="1" t="s">
        <v>78</v>
      </c>
      <c r="L2756" s="1" t="s">
        <v>64</v>
      </c>
      <c r="M2756">
        <v>0.97399999999999998</v>
      </c>
      <c r="N2756">
        <v>21431.5</v>
      </c>
      <c r="O2756">
        <v>21.431999999999999</v>
      </c>
      <c r="P2756" s="2">
        <v>42917</v>
      </c>
      <c r="Q2756">
        <v>1</v>
      </c>
      <c r="R2756" s="1" t="s">
        <v>122</v>
      </c>
    </row>
    <row r="2757" spans="1:18" x14ac:dyDescent="0.25">
      <c r="A2757">
        <v>2017</v>
      </c>
      <c r="B2757">
        <v>8</v>
      </c>
      <c r="C2757" s="1" t="s">
        <v>31</v>
      </c>
      <c r="D2757" s="1" t="s">
        <v>19</v>
      </c>
      <c r="E2757" s="1" t="s">
        <v>77</v>
      </c>
      <c r="F2757">
        <v>2012</v>
      </c>
      <c r="G2757">
        <v>5</v>
      </c>
      <c r="H2757" s="1" t="s">
        <v>126</v>
      </c>
      <c r="I2757">
        <v>22</v>
      </c>
      <c r="J2757">
        <v>2606</v>
      </c>
      <c r="K2757" s="1" t="s">
        <v>78</v>
      </c>
      <c r="L2757" s="1" t="s">
        <v>64</v>
      </c>
      <c r="M2757">
        <v>1.3540000000000001</v>
      </c>
      <c r="N2757">
        <v>29795</v>
      </c>
      <c r="O2757">
        <v>29.795000000000002</v>
      </c>
      <c r="P2757" s="2">
        <v>42948</v>
      </c>
      <c r="Q2757">
        <v>1</v>
      </c>
      <c r="R2757" s="1" t="s">
        <v>122</v>
      </c>
    </row>
    <row r="2758" spans="1:18" x14ac:dyDescent="0.25">
      <c r="A2758">
        <v>2017</v>
      </c>
      <c r="B2758">
        <v>9</v>
      </c>
      <c r="C2758" s="1" t="s">
        <v>32</v>
      </c>
      <c r="D2758" s="1" t="s">
        <v>19</v>
      </c>
      <c r="E2758" s="1" t="s">
        <v>77</v>
      </c>
      <c r="F2758">
        <v>2012</v>
      </c>
      <c r="G2758">
        <v>5</v>
      </c>
      <c r="H2758" s="1" t="s">
        <v>126</v>
      </c>
      <c r="I2758">
        <v>22</v>
      </c>
      <c r="J2758">
        <v>2606</v>
      </c>
      <c r="K2758" s="1" t="s">
        <v>78</v>
      </c>
      <c r="L2758" s="1" t="s">
        <v>64</v>
      </c>
      <c r="M2758">
        <v>0.96899999999999997</v>
      </c>
      <c r="N2758">
        <v>21315.4</v>
      </c>
      <c r="O2758">
        <v>21.315000000000001</v>
      </c>
      <c r="P2758" s="2">
        <v>42979</v>
      </c>
      <c r="Q2758">
        <v>1</v>
      </c>
      <c r="R2758" s="1" t="s">
        <v>122</v>
      </c>
    </row>
    <row r="2759" spans="1:18" x14ac:dyDescent="0.25">
      <c r="A2759">
        <v>2017</v>
      </c>
      <c r="B2759">
        <v>10</v>
      </c>
      <c r="C2759" s="1" t="s">
        <v>33</v>
      </c>
      <c r="D2759" s="1" t="s">
        <v>19</v>
      </c>
      <c r="E2759" s="1" t="s">
        <v>77</v>
      </c>
      <c r="F2759">
        <v>2012</v>
      </c>
      <c r="G2759">
        <v>5</v>
      </c>
      <c r="H2759" s="1" t="s">
        <v>126</v>
      </c>
      <c r="I2759">
        <v>22</v>
      </c>
      <c r="J2759">
        <v>2606</v>
      </c>
      <c r="K2759" s="1" t="s">
        <v>78</v>
      </c>
      <c r="L2759" s="1" t="s">
        <v>64</v>
      </c>
      <c r="M2759">
        <v>0.93100000000000005</v>
      </c>
      <c r="N2759">
        <v>20482.900000000001</v>
      </c>
      <c r="O2759">
        <v>20.483000000000001</v>
      </c>
      <c r="P2759" s="2">
        <v>43009</v>
      </c>
      <c r="Q2759">
        <v>1</v>
      </c>
      <c r="R2759" s="1" t="s">
        <v>122</v>
      </c>
    </row>
    <row r="2760" spans="1:18" x14ac:dyDescent="0.25">
      <c r="A2760">
        <v>2017</v>
      </c>
      <c r="B2760">
        <v>11</v>
      </c>
      <c r="C2760" s="1" t="s">
        <v>34</v>
      </c>
      <c r="D2760" s="1" t="s">
        <v>19</v>
      </c>
      <c r="E2760" s="1" t="s">
        <v>77</v>
      </c>
      <c r="F2760">
        <v>2012</v>
      </c>
      <c r="G2760">
        <v>5</v>
      </c>
      <c r="H2760" s="1" t="s">
        <v>126</v>
      </c>
      <c r="I2760">
        <v>22</v>
      </c>
      <c r="J2760">
        <v>2606</v>
      </c>
      <c r="K2760" s="1" t="s">
        <v>78</v>
      </c>
      <c r="L2760" s="1" t="s">
        <v>64</v>
      </c>
      <c r="M2760">
        <v>0.95799999999999996</v>
      </c>
      <c r="N2760">
        <v>21083</v>
      </c>
      <c r="O2760">
        <v>21.082999999999998</v>
      </c>
      <c r="P2760" s="2">
        <v>43040</v>
      </c>
      <c r="Q2760">
        <v>1</v>
      </c>
      <c r="R2760" s="1" t="s">
        <v>122</v>
      </c>
    </row>
    <row r="2761" spans="1:18" x14ac:dyDescent="0.25">
      <c r="A2761">
        <v>2017</v>
      </c>
      <c r="B2761">
        <v>12</v>
      </c>
      <c r="C2761" s="1" t="s">
        <v>35</v>
      </c>
      <c r="D2761" s="1" t="s">
        <v>19</v>
      </c>
      <c r="E2761" s="1" t="s">
        <v>77</v>
      </c>
      <c r="F2761">
        <v>2012</v>
      </c>
      <c r="G2761">
        <v>5</v>
      </c>
      <c r="H2761" s="1" t="s">
        <v>126</v>
      </c>
      <c r="I2761">
        <v>22</v>
      </c>
      <c r="J2761">
        <v>2606</v>
      </c>
      <c r="K2761" s="1" t="s">
        <v>78</v>
      </c>
      <c r="L2761" s="1" t="s">
        <v>64</v>
      </c>
      <c r="M2761">
        <v>0.81699999999999995</v>
      </c>
      <c r="N2761">
        <v>17966.099999999999</v>
      </c>
      <c r="O2761">
        <v>17.966000000000001</v>
      </c>
      <c r="P2761" s="2">
        <v>43070</v>
      </c>
      <c r="Q2761">
        <v>1</v>
      </c>
      <c r="R2761" s="1" t="s">
        <v>122</v>
      </c>
    </row>
    <row r="2762" spans="1:18" x14ac:dyDescent="0.25">
      <c r="A2762">
        <v>2017</v>
      </c>
      <c r="B2762">
        <v>1</v>
      </c>
      <c r="C2762" s="1" t="s">
        <v>18</v>
      </c>
      <c r="D2762" s="1" t="s">
        <v>19</v>
      </c>
      <c r="E2762" s="1" t="s">
        <v>79</v>
      </c>
      <c r="F2762">
        <v>2012</v>
      </c>
      <c r="G2762">
        <v>5</v>
      </c>
      <c r="H2762" s="1" t="s">
        <v>126</v>
      </c>
      <c r="I2762">
        <v>22</v>
      </c>
      <c r="J2762">
        <v>2683</v>
      </c>
      <c r="K2762" s="1" t="s">
        <v>80</v>
      </c>
      <c r="L2762" s="1" t="s">
        <v>45</v>
      </c>
      <c r="M2762">
        <v>0.93100000000000005</v>
      </c>
      <c r="N2762">
        <v>20482.900000000001</v>
      </c>
      <c r="O2762">
        <v>20.483000000000001</v>
      </c>
      <c r="P2762" s="2">
        <v>42736</v>
      </c>
      <c r="Q2762">
        <v>1</v>
      </c>
      <c r="R2762" s="1" t="s">
        <v>122</v>
      </c>
    </row>
    <row r="2763" spans="1:18" x14ac:dyDescent="0.25">
      <c r="A2763">
        <v>2017</v>
      </c>
      <c r="B2763">
        <v>2</v>
      </c>
      <c r="C2763" s="1" t="s">
        <v>25</v>
      </c>
      <c r="D2763" s="1" t="s">
        <v>19</v>
      </c>
      <c r="E2763" s="1" t="s">
        <v>79</v>
      </c>
      <c r="F2763">
        <v>2012</v>
      </c>
      <c r="G2763">
        <v>5</v>
      </c>
      <c r="H2763" s="1" t="s">
        <v>126</v>
      </c>
      <c r="I2763">
        <v>22</v>
      </c>
      <c r="J2763">
        <v>2683</v>
      </c>
      <c r="K2763" s="1" t="s">
        <v>80</v>
      </c>
      <c r="L2763" s="1" t="s">
        <v>45</v>
      </c>
      <c r="M2763">
        <v>0.57799999999999996</v>
      </c>
      <c r="N2763">
        <v>12719.5</v>
      </c>
      <c r="O2763">
        <v>12.72</v>
      </c>
      <c r="P2763" s="2">
        <v>42767</v>
      </c>
      <c r="Q2763">
        <v>1</v>
      </c>
      <c r="R2763" s="1" t="s">
        <v>122</v>
      </c>
    </row>
    <row r="2764" spans="1:18" x14ac:dyDescent="0.25">
      <c r="A2764">
        <v>2017</v>
      </c>
      <c r="B2764">
        <v>3</v>
      </c>
      <c r="C2764" s="1" t="s">
        <v>26</v>
      </c>
      <c r="D2764" s="1" t="s">
        <v>19</v>
      </c>
      <c r="E2764" s="1" t="s">
        <v>79</v>
      </c>
      <c r="F2764">
        <v>2012</v>
      </c>
      <c r="G2764">
        <v>5</v>
      </c>
      <c r="H2764" s="1" t="s">
        <v>126</v>
      </c>
      <c r="I2764">
        <v>22</v>
      </c>
      <c r="J2764">
        <v>2683</v>
      </c>
      <c r="K2764" s="1" t="s">
        <v>80</v>
      </c>
      <c r="L2764" s="1" t="s">
        <v>45</v>
      </c>
      <c r="M2764">
        <v>0.93700000000000006</v>
      </c>
      <c r="N2764">
        <v>20618.400000000001</v>
      </c>
      <c r="O2764">
        <v>20.617999999999999</v>
      </c>
      <c r="P2764" s="2">
        <v>42795</v>
      </c>
      <c r="Q2764">
        <v>1</v>
      </c>
      <c r="R2764" s="1" t="s">
        <v>122</v>
      </c>
    </row>
    <row r="2765" spans="1:18" x14ac:dyDescent="0.25">
      <c r="A2765">
        <v>2017</v>
      </c>
      <c r="B2765">
        <v>4</v>
      </c>
      <c r="C2765" s="1" t="s">
        <v>27</v>
      </c>
      <c r="D2765" s="1" t="s">
        <v>19</v>
      </c>
      <c r="E2765" s="1" t="s">
        <v>79</v>
      </c>
      <c r="F2765">
        <v>2012</v>
      </c>
      <c r="G2765">
        <v>5</v>
      </c>
      <c r="H2765" s="1" t="s">
        <v>126</v>
      </c>
      <c r="I2765">
        <v>22</v>
      </c>
      <c r="J2765">
        <v>2683</v>
      </c>
      <c r="K2765" s="1" t="s">
        <v>80</v>
      </c>
      <c r="L2765" s="1" t="s">
        <v>45</v>
      </c>
      <c r="M2765">
        <v>1.2669999999999999</v>
      </c>
      <c r="N2765">
        <v>27878.400000000001</v>
      </c>
      <c r="O2765">
        <v>27.878</v>
      </c>
      <c r="P2765" s="2">
        <v>42826</v>
      </c>
      <c r="Q2765">
        <v>1</v>
      </c>
      <c r="R2765" s="1" t="s">
        <v>122</v>
      </c>
    </row>
    <row r="2766" spans="1:18" x14ac:dyDescent="0.25">
      <c r="A2766">
        <v>2017</v>
      </c>
      <c r="B2766">
        <v>5</v>
      </c>
      <c r="C2766" s="1" t="s">
        <v>28</v>
      </c>
      <c r="D2766" s="1" t="s">
        <v>19</v>
      </c>
      <c r="E2766" s="1" t="s">
        <v>79</v>
      </c>
      <c r="F2766">
        <v>2012</v>
      </c>
      <c r="G2766">
        <v>5</v>
      </c>
      <c r="H2766" s="1" t="s">
        <v>126</v>
      </c>
      <c r="I2766">
        <v>22</v>
      </c>
      <c r="J2766">
        <v>2683</v>
      </c>
      <c r="K2766" s="1" t="s">
        <v>80</v>
      </c>
      <c r="L2766" s="1" t="s">
        <v>45</v>
      </c>
      <c r="M2766">
        <v>1.17</v>
      </c>
      <c r="N2766">
        <v>25729.4</v>
      </c>
      <c r="O2766">
        <v>25.728999999999999</v>
      </c>
      <c r="P2766" s="2">
        <v>42856</v>
      </c>
      <c r="Q2766">
        <v>1</v>
      </c>
      <c r="R2766" s="1" t="s">
        <v>122</v>
      </c>
    </row>
    <row r="2767" spans="1:18" x14ac:dyDescent="0.25">
      <c r="A2767">
        <v>2017</v>
      </c>
      <c r="B2767">
        <v>6</v>
      </c>
      <c r="C2767" s="1" t="s">
        <v>29</v>
      </c>
      <c r="D2767" s="1" t="s">
        <v>19</v>
      </c>
      <c r="E2767" s="1" t="s">
        <v>79</v>
      </c>
      <c r="F2767">
        <v>2012</v>
      </c>
      <c r="G2767">
        <v>5</v>
      </c>
      <c r="H2767" s="1" t="s">
        <v>126</v>
      </c>
      <c r="I2767">
        <v>22</v>
      </c>
      <c r="J2767">
        <v>2683</v>
      </c>
      <c r="K2767" s="1" t="s">
        <v>80</v>
      </c>
      <c r="L2767" s="1" t="s">
        <v>45</v>
      </c>
      <c r="M2767">
        <v>0.97</v>
      </c>
      <c r="N2767">
        <v>21334.7</v>
      </c>
      <c r="O2767">
        <v>21.335000000000001</v>
      </c>
      <c r="P2767" s="2">
        <v>42887</v>
      </c>
      <c r="Q2767">
        <v>1</v>
      </c>
      <c r="R2767" s="1" t="s">
        <v>122</v>
      </c>
    </row>
    <row r="2768" spans="1:18" x14ac:dyDescent="0.25">
      <c r="A2768">
        <v>2017</v>
      </c>
      <c r="B2768">
        <v>7</v>
      </c>
      <c r="C2768" s="1" t="s">
        <v>30</v>
      </c>
      <c r="D2768" s="1" t="s">
        <v>19</v>
      </c>
      <c r="E2768" s="1" t="s">
        <v>79</v>
      </c>
      <c r="F2768">
        <v>2012</v>
      </c>
      <c r="G2768">
        <v>5</v>
      </c>
      <c r="H2768" s="1" t="s">
        <v>126</v>
      </c>
      <c r="I2768">
        <v>22</v>
      </c>
      <c r="J2768">
        <v>2683</v>
      </c>
      <c r="K2768" s="1" t="s">
        <v>80</v>
      </c>
      <c r="L2768" s="1" t="s">
        <v>45</v>
      </c>
      <c r="M2768">
        <v>0.97399999999999998</v>
      </c>
      <c r="N2768">
        <v>21431.5</v>
      </c>
      <c r="O2768">
        <v>21.431999999999999</v>
      </c>
      <c r="P2768" s="2">
        <v>42917</v>
      </c>
      <c r="Q2768">
        <v>1</v>
      </c>
      <c r="R2768" s="1" t="s">
        <v>122</v>
      </c>
    </row>
    <row r="2769" spans="1:18" x14ac:dyDescent="0.25">
      <c r="A2769">
        <v>2017</v>
      </c>
      <c r="B2769">
        <v>8</v>
      </c>
      <c r="C2769" s="1" t="s">
        <v>31</v>
      </c>
      <c r="D2769" s="1" t="s">
        <v>19</v>
      </c>
      <c r="E2769" s="1" t="s">
        <v>79</v>
      </c>
      <c r="F2769">
        <v>2012</v>
      </c>
      <c r="G2769">
        <v>5</v>
      </c>
      <c r="H2769" s="1" t="s">
        <v>126</v>
      </c>
      <c r="I2769">
        <v>22</v>
      </c>
      <c r="J2769">
        <v>2683</v>
      </c>
      <c r="K2769" s="1" t="s">
        <v>80</v>
      </c>
      <c r="L2769" s="1" t="s">
        <v>45</v>
      </c>
      <c r="M2769">
        <v>1.3540000000000001</v>
      </c>
      <c r="N2769">
        <v>29795</v>
      </c>
      <c r="O2769">
        <v>29.795000000000002</v>
      </c>
      <c r="P2769" s="2">
        <v>42948</v>
      </c>
      <c r="Q2769">
        <v>1</v>
      </c>
      <c r="R2769" s="1" t="s">
        <v>122</v>
      </c>
    </row>
    <row r="2770" spans="1:18" x14ac:dyDescent="0.25">
      <c r="A2770">
        <v>2017</v>
      </c>
      <c r="B2770">
        <v>9</v>
      </c>
      <c r="C2770" s="1" t="s">
        <v>32</v>
      </c>
      <c r="D2770" s="1" t="s">
        <v>19</v>
      </c>
      <c r="E2770" s="1" t="s">
        <v>79</v>
      </c>
      <c r="F2770">
        <v>2012</v>
      </c>
      <c r="G2770">
        <v>5</v>
      </c>
      <c r="H2770" s="1" t="s">
        <v>126</v>
      </c>
      <c r="I2770">
        <v>22</v>
      </c>
      <c r="J2770">
        <v>2683</v>
      </c>
      <c r="K2770" s="1" t="s">
        <v>80</v>
      </c>
      <c r="L2770" s="1" t="s">
        <v>45</v>
      </c>
      <c r="M2770">
        <v>0.96899999999999997</v>
      </c>
      <c r="N2770">
        <v>21315.4</v>
      </c>
      <c r="O2770">
        <v>21.315000000000001</v>
      </c>
      <c r="P2770" s="2">
        <v>42979</v>
      </c>
      <c r="Q2770">
        <v>1</v>
      </c>
      <c r="R2770" s="1" t="s">
        <v>122</v>
      </c>
    </row>
    <row r="2771" spans="1:18" x14ac:dyDescent="0.25">
      <c r="A2771">
        <v>2017</v>
      </c>
      <c r="B2771">
        <v>10</v>
      </c>
      <c r="C2771" s="1" t="s">
        <v>33</v>
      </c>
      <c r="D2771" s="1" t="s">
        <v>19</v>
      </c>
      <c r="E2771" s="1" t="s">
        <v>79</v>
      </c>
      <c r="F2771">
        <v>2012</v>
      </c>
      <c r="G2771">
        <v>5</v>
      </c>
      <c r="H2771" s="1" t="s">
        <v>126</v>
      </c>
      <c r="I2771">
        <v>22</v>
      </c>
      <c r="J2771">
        <v>2683</v>
      </c>
      <c r="K2771" s="1" t="s">
        <v>80</v>
      </c>
      <c r="L2771" s="1" t="s">
        <v>45</v>
      </c>
      <c r="M2771">
        <v>0.93100000000000005</v>
      </c>
      <c r="N2771">
        <v>20482.900000000001</v>
      </c>
      <c r="O2771">
        <v>20.483000000000001</v>
      </c>
      <c r="P2771" s="2">
        <v>43009</v>
      </c>
      <c r="Q2771">
        <v>1</v>
      </c>
      <c r="R2771" s="1" t="s">
        <v>122</v>
      </c>
    </row>
    <row r="2772" spans="1:18" x14ac:dyDescent="0.25">
      <c r="A2772">
        <v>2017</v>
      </c>
      <c r="B2772">
        <v>11</v>
      </c>
      <c r="C2772" s="1" t="s">
        <v>34</v>
      </c>
      <c r="D2772" s="1" t="s">
        <v>19</v>
      </c>
      <c r="E2772" s="1" t="s">
        <v>79</v>
      </c>
      <c r="F2772">
        <v>2012</v>
      </c>
      <c r="G2772">
        <v>5</v>
      </c>
      <c r="H2772" s="1" t="s">
        <v>126</v>
      </c>
      <c r="I2772">
        <v>22</v>
      </c>
      <c r="J2772">
        <v>2683</v>
      </c>
      <c r="K2772" s="1" t="s">
        <v>80</v>
      </c>
      <c r="L2772" s="1" t="s">
        <v>45</v>
      </c>
      <c r="M2772">
        <v>0.95799999999999996</v>
      </c>
      <c r="N2772">
        <v>21083</v>
      </c>
      <c r="O2772">
        <v>21.082999999999998</v>
      </c>
      <c r="P2772" s="2">
        <v>43040</v>
      </c>
      <c r="Q2772">
        <v>1</v>
      </c>
      <c r="R2772" s="1" t="s">
        <v>122</v>
      </c>
    </row>
    <row r="2773" spans="1:18" x14ac:dyDescent="0.25">
      <c r="A2773">
        <v>2017</v>
      </c>
      <c r="B2773">
        <v>12</v>
      </c>
      <c r="C2773" s="1" t="s">
        <v>35</v>
      </c>
      <c r="D2773" s="1" t="s">
        <v>19</v>
      </c>
      <c r="E2773" s="1" t="s">
        <v>79</v>
      </c>
      <c r="F2773">
        <v>2012</v>
      </c>
      <c r="G2773">
        <v>5</v>
      </c>
      <c r="H2773" s="1" t="s">
        <v>126</v>
      </c>
      <c r="I2773">
        <v>22</v>
      </c>
      <c r="J2773">
        <v>2683</v>
      </c>
      <c r="K2773" s="1" t="s">
        <v>80</v>
      </c>
      <c r="L2773" s="1" t="s">
        <v>45</v>
      </c>
      <c r="M2773">
        <v>0.81699999999999995</v>
      </c>
      <c r="N2773">
        <v>17966.099999999999</v>
      </c>
      <c r="O2773">
        <v>17.966000000000001</v>
      </c>
      <c r="P2773" s="2">
        <v>43070</v>
      </c>
      <c r="Q2773">
        <v>1</v>
      </c>
      <c r="R2773" s="1" t="s">
        <v>122</v>
      </c>
    </row>
    <row r="2774" spans="1:18" x14ac:dyDescent="0.25">
      <c r="A2774">
        <v>2017</v>
      </c>
      <c r="B2774">
        <v>1</v>
      </c>
      <c r="C2774" s="1" t="s">
        <v>18</v>
      </c>
      <c r="D2774" s="1" t="s">
        <v>19</v>
      </c>
      <c r="E2774" s="1" t="s">
        <v>81</v>
      </c>
      <c r="F2774">
        <v>2012</v>
      </c>
      <c r="G2774">
        <v>5</v>
      </c>
      <c r="H2774" s="1" t="s">
        <v>126</v>
      </c>
      <c r="I2774">
        <v>28</v>
      </c>
      <c r="J2774">
        <v>3483</v>
      </c>
      <c r="K2774" s="1" t="s">
        <v>53</v>
      </c>
      <c r="L2774" s="1" t="s">
        <v>45</v>
      </c>
      <c r="M2774">
        <v>0.93100000000000005</v>
      </c>
      <c r="N2774">
        <v>26069.1</v>
      </c>
      <c r="O2774">
        <v>26.068999999999999</v>
      </c>
      <c r="P2774" s="2">
        <v>42736</v>
      </c>
      <c r="Q2774">
        <v>1</v>
      </c>
      <c r="R2774" s="1" t="s">
        <v>122</v>
      </c>
    </row>
    <row r="2775" spans="1:18" x14ac:dyDescent="0.25">
      <c r="A2775">
        <v>2017</v>
      </c>
      <c r="B2775">
        <v>2</v>
      </c>
      <c r="C2775" s="1" t="s">
        <v>25</v>
      </c>
      <c r="D2775" s="1" t="s">
        <v>19</v>
      </c>
      <c r="E2775" s="1" t="s">
        <v>81</v>
      </c>
      <c r="F2775">
        <v>2012</v>
      </c>
      <c r="G2775">
        <v>5</v>
      </c>
      <c r="H2775" s="1" t="s">
        <v>126</v>
      </c>
      <c r="I2775">
        <v>28</v>
      </c>
      <c r="J2775">
        <v>3483</v>
      </c>
      <c r="K2775" s="1" t="s">
        <v>53</v>
      </c>
      <c r="L2775" s="1" t="s">
        <v>45</v>
      </c>
      <c r="M2775">
        <v>0.57799999999999996</v>
      </c>
      <c r="N2775">
        <v>16188.5</v>
      </c>
      <c r="O2775">
        <v>16.187999999999999</v>
      </c>
      <c r="P2775" s="2">
        <v>42767</v>
      </c>
      <c r="Q2775">
        <v>1</v>
      </c>
      <c r="R2775" s="1" t="s">
        <v>122</v>
      </c>
    </row>
    <row r="2776" spans="1:18" x14ac:dyDescent="0.25">
      <c r="A2776">
        <v>2017</v>
      </c>
      <c r="B2776">
        <v>3</v>
      </c>
      <c r="C2776" s="1" t="s">
        <v>26</v>
      </c>
      <c r="D2776" s="1" t="s">
        <v>19</v>
      </c>
      <c r="E2776" s="1" t="s">
        <v>81</v>
      </c>
      <c r="F2776">
        <v>2012</v>
      </c>
      <c r="G2776">
        <v>5</v>
      </c>
      <c r="H2776" s="1" t="s">
        <v>126</v>
      </c>
      <c r="I2776">
        <v>28</v>
      </c>
      <c r="J2776">
        <v>3483</v>
      </c>
      <c r="K2776" s="1" t="s">
        <v>53</v>
      </c>
      <c r="L2776" s="1" t="s">
        <v>45</v>
      </c>
      <c r="M2776">
        <v>0.93700000000000006</v>
      </c>
      <c r="N2776">
        <v>26241.599999999999</v>
      </c>
      <c r="O2776">
        <v>26.242000000000001</v>
      </c>
      <c r="P2776" s="2">
        <v>42795</v>
      </c>
      <c r="Q2776">
        <v>1</v>
      </c>
      <c r="R2776" s="1" t="s">
        <v>122</v>
      </c>
    </row>
    <row r="2777" spans="1:18" x14ac:dyDescent="0.25">
      <c r="A2777">
        <v>2017</v>
      </c>
      <c r="B2777">
        <v>4</v>
      </c>
      <c r="C2777" s="1" t="s">
        <v>27</v>
      </c>
      <c r="D2777" s="1" t="s">
        <v>19</v>
      </c>
      <c r="E2777" s="1" t="s">
        <v>81</v>
      </c>
      <c r="F2777">
        <v>2012</v>
      </c>
      <c r="G2777">
        <v>5</v>
      </c>
      <c r="H2777" s="1" t="s">
        <v>126</v>
      </c>
      <c r="I2777">
        <v>28</v>
      </c>
      <c r="J2777">
        <v>3483</v>
      </c>
      <c r="K2777" s="1" t="s">
        <v>53</v>
      </c>
      <c r="L2777" s="1" t="s">
        <v>45</v>
      </c>
      <c r="M2777">
        <v>1.2669999999999999</v>
      </c>
      <c r="N2777">
        <v>35481.599999999999</v>
      </c>
      <c r="O2777">
        <v>35.481999999999999</v>
      </c>
      <c r="P2777" s="2">
        <v>42826</v>
      </c>
      <c r="Q2777">
        <v>1</v>
      </c>
      <c r="R2777" s="1" t="s">
        <v>122</v>
      </c>
    </row>
    <row r="2778" spans="1:18" x14ac:dyDescent="0.25">
      <c r="A2778">
        <v>2017</v>
      </c>
      <c r="B2778">
        <v>5</v>
      </c>
      <c r="C2778" s="1" t="s">
        <v>28</v>
      </c>
      <c r="D2778" s="1" t="s">
        <v>19</v>
      </c>
      <c r="E2778" s="1" t="s">
        <v>81</v>
      </c>
      <c r="F2778">
        <v>2012</v>
      </c>
      <c r="G2778">
        <v>5</v>
      </c>
      <c r="H2778" s="1" t="s">
        <v>126</v>
      </c>
      <c r="I2778">
        <v>28</v>
      </c>
      <c r="J2778">
        <v>3483</v>
      </c>
      <c r="K2778" s="1" t="s">
        <v>53</v>
      </c>
      <c r="L2778" s="1" t="s">
        <v>45</v>
      </c>
      <c r="M2778">
        <v>1.17</v>
      </c>
      <c r="N2778">
        <v>32746.6</v>
      </c>
      <c r="O2778">
        <v>32.747</v>
      </c>
      <c r="P2778" s="2">
        <v>42856</v>
      </c>
      <c r="Q2778">
        <v>1</v>
      </c>
      <c r="R2778" s="1" t="s">
        <v>122</v>
      </c>
    </row>
    <row r="2779" spans="1:18" x14ac:dyDescent="0.25">
      <c r="A2779">
        <v>2017</v>
      </c>
      <c r="B2779">
        <v>6</v>
      </c>
      <c r="C2779" s="1" t="s">
        <v>29</v>
      </c>
      <c r="D2779" s="1" t="s">
        <v>19</v>
      </c>
      <c r="E2779" s="1" t="s">
        <v>81</v>
      </c>
      <c r="F2779">
        <v>2012</v>
      </c>
      <c r="G2779">
        <v>5</v>
      </c>
      <c r="H2779" s="1" t="s">
        <v>126</v>
      </c>
      <c r="I2779">
        <v>28</v>
      </c>
      <c r="J2779">
        <v>3483</v>
      </c>
      <c r="K2779" s="1" t="s">
        <v>53</v>
      </c>
      <c r="L2779" s="1" t="s">
        <v>45</v>
      </c>
      <c r="M2779">
        <v>0.97</v>
      </c>
      <c r="N2779">
        <v>27153.3</v>
      </c>
      <c r="O2779">
        <v>27.152999999999999</v>
      </c>
      <c r="P2779" s="2">
        <v>42887</v>
      </c>
      <c r="Q2779">
        <v>1</v>
      </c>
      <c r="R2779" s="1" t="s">
        <v>122</v>
      </c>
    </row>
    <row r="2780" spans="1:18" x14ac:dyDescent="0.25">
      <c r="A2780">
        <v>2017</v>
      </c>
      <c r="B2780">
        <v>7</v>
      </c>
      <c r="C2780" s="1" t="s">
        <v>30</v>
      </c>
      <c r="D2780" s="1" t="s">
        <v>19</v>
      </c>
      <c r="E2780" s="1" t="s">
        <v>81</v>
      </c>
      <c r="F2780">
        <v>2012</v>
      </c>
      <c r="G2780">
        <v>5</v>
      </c>
      <c r="H2780" s="1" t="s">
        <v>126</v>
      </c>
      <c r="I2780">
        <v>28</v>
      </c>
      <c r="J2780">
        <v>3483</v>
      </c>
      <c r="K2780" s="1" t="s">
        <v>53</v>
      </c>
      <c r="L2780" s="1" t="s">
        <v>45</v>
      </c>
      <c r="M2780">
        <v>0.97399999999999998</v>
      </c>
      <c r="N2780">
        <v>27276.5</v>
      </c>
      <c r="O2780">
        <v>27.276</v>
      </c>
      <c r="P2780" s="2">
        <v>42917</v>
      </c>
      <c r="Q2780">
        <v>1</v>
      </c>
      <c r="R2780" s="1" t="s">
        <v>122</v>
      </c>
    </row>
    <row r="2781" spans="1:18" x14ac:dyDescent="0.25">
      <c r="A2781">
        <v>2017</v>
      </c>
      <c r="B2781">
        <v>8</v>
      </c>
      <c r="C2781" s="1" t="s">
        <v>31</v>
      </c>
      <c r="D2781" s="1" t="s">
        <v>19</v>
      </c>
      <c r="E2781" s="1" t="s">
        <v>81</v>
      </c>
      <c r="F2781">
        <v>2012</v>
      </c>
      <c r="G2781">
        <v>5</v>
      </c>
      <c r="H2781" s="1" t="s">
        <v>126</v>
      </c>
      <c r="I2781">
        <v>28</v>
      </c>
      <c r="J2781">
        <v>3483</v>
      </c>
      <c r="K2781" s="1" t="s">
        <v>53</v>
      </c>
      <c r="L2781" s="1" t="s">
        <v>45</v>
      </c>
      <c r="M2781">
        <v>1.3540000000000001</v>
      </c>
      <c r="N2781">
        <v>37921</v>
      </c>
      <c r="O2781">
        <v>37.920999999999999</v>
      </c>
      <c r="P2781" s="2">
        <v>42948</v>
      </c>
      <c r="Q2781">
        <v>1</v>
      </c>
      <c r="R2781" s="1" t="s">
        <v>122</v>
      </c>
    </row>
    <row r="2782" spans="1:18" x14ac:dyDescent="0.25">
      <c r="A2782">
        <v>2017</v>
      </c>
      <c r="B2782">
        <v>9</v>
      </c>
      <c r="C2782" s="1" t="s">
        <v>32</v>
      </c>
      <c r="D2782" s="1" t="s">
        <v>19</v>
      </c>
      <c r="E2782" s="1" t="s">
        <v>81</v>
      </c>
      <c r="F2782">
        <v>2012</v>
      </c>
      <c r="G2782">
        <v>5</v>
      </c>
      <c r="H2782" s="1" t="s">
        <v>126</v>
      </c>
      <c r="I2782">
        <v>28</v>
      </c>
      <c r="J2782">
        <v>3483</v>
      </c>
      <c r="K2782" s="1" t="s">
        <v>53</v>
      </c>
      <c r="L2782" s="1" t="s">
        <v>45</v>
      </c>
      <c r="M2782">
        <v>0.96899999999999997</v>
      </c>
      <c r="N2782">
        <v>27128.6</v>
      </c>
      <c r="O2782">
        <v>27.129000000000001</v>
      </c>
      <c r="P2782" s="2">
        <v>42979</v>
      </c>
      <c r="Q2782">
        <v>1</v>
      </c>
      <c r="R2782" s="1" t="s">
        <v>122</v>
      </c>
    </row>
    <row r="2783" spans="1:18" x14ac:dyDescent="0.25">
      <c r="A2783">
        <v>2017</v>
      </c>
      <c r="B2783">
        <v>10</v>
      </c>
      <c r="C2783" s="1" t="s">
        <v>33</v>
      </c>
      <c r="D2783" s="1" t="s">
        <v>19</v>
      </c>
      <c r="E2783" s="1" t="s">
        <v>81</v>
      </c>
      <c r="F2783">
        <v>2012</v>
      </c>
      <c r="G2783">
        <v>5</v>
      </c>
      <c r="H2783" s="1" t="s">
        <v>126</v>
      </c>
      <c r="I2783">
        <v>28</v>
      </c>
      <c r="J2783">
        <v>3483</v>
      </c>
      <c r="K2783" s="1" t="s">
        <v>53</v>
      </c>
      <c r="L2783" s="1" t="s">
        <v>45</v>
      </c>
      <c r="M2783">
        <v>0.93100000000000005</v>
      </c>
      <c r="N2783">
        <v>26069.1</v>
      </c>
      <c r="O2783">
        <v>26.068999999999999</v>
      </c>
      <c r="P2783" s="2">
        <v>43009</v>
      </c>
      <c r="Q2783">
        <v>1</v>
      </c>
      <c r="R2783" s="1" t="s">
        <v>122</v>
      </c>
    </row>
    <row r="2784" spans="1:18" x14ac:dyDescent="0.25">
      <c r="A2784">
        <v>2017</v>
      </c>
      <c r="B2784">
        <v>11</v>
      </c>
      <c r="C2784" s="1" t="s">
        <v>34</v>
      </c>
      <c r="D2784" s="1" t="s">
        <v>19</v>
      </c>
      <c r="E2784" s="1" t="s">
        <v>81</v>
      </c>
      <c r="F2784">
        <v>2012</v>
      </c>
      <c r="G2784">
        <v>5</v>
      </c>
      <c r="H2784" s="1" t="s">
        <v>126</v>
      </c>
      <c r="I2784">
        <v>28</v>
      </c>
      <c r="J2784">
        <v>3483</v>
      </c>
      <c r="K2784" s="1" t="s">
        <v>53</v>
      </c>
      <c r="L2784" s="1" t="s">
        <v>45</v>
      </c>
      <c r="M2784">
        <v>0.95799999999999996</v>
      </c>
      <c r="N2784">
        <v>26833</v>
      </c>
      <c r="O2784">
        <v>26.832999999999998</v>
      </c>
      <c r="P2784" s="2">
        <v>43040</v>
      </c>
      <c r="Q2784">
        <v>1</v>
      </c>
      <c r="R2784" s="1" t="s">
        <v>122</v>
      </c>
    </row>
    <row r="2785" spans="1:18" x14ac:dyDescent="0.25">
      <c r="A2785">
        <v>2017</v>
      </c>
      <c r="B2785">
        <v>12</v>
      </c>
      <c r="C2785" s="1" t="s">
        <v>35</v>
      </c>
      <c r="D2785" s="1" t="s">
        <v>19</v>
      </c>
      <c r="E2785" s="1" t="s">
        <v>81</v>
      </c>
      <c r="F2785">
        <v>2012</v>
      </c>
      <c r="G2785">
        <v>5</v>
      </c>
      <c r="H2785" s="1" t="s">
        <v>126</v>
      </c>
      <c r="I2785">
        <v>28</v>
      </c>
      <c r="J2785">
        <v>3483</v>
      </c>
      <c r="K2785" s="1" t="s">
        <v>53</v>
      </c>
      <c r="L2785" s="1" t="s">
        <v>45</v>
      </c>
      <c r="M2785">
        <v>0.81699999999999995</v>
      </c>
      <c r="N2785">
        <v>22865.9</v>
      </c>
      <c r="O2785">
        <v>22.866</v>
      </c>
      <c r="P2785" s="2">
        <v>43070</v>
      </c>
      <c r="Q2785">
        <v>1</v>
      </c>
      <c r="R2785" s="1" t="s">
        <v>122</v>
      </c>
    </row>
    <row r="2786" spans="1:18" x14ac:dyDescent="0.25">
      <c r="A2786">
        <v>2017</v>
      </c>
      <c r="B2786">
        <v>1</v>
      </c>
      <c r="C2786" s="1" t="s">
        <v>18</v>
      </c>
      <c r="D2786" s="1" t="s">
        <v>19</v>
      </c>
      <c r="E2786" s="1" t="s">
        <v>82</v>
      </c>
      <c r="F2786">
        <v>2013</v>
      </c>
      <c r="G2786">
        <v>4</v>
      </c>
      <c r="H2786" s="1" t="s">
        <v>123</v>
      </c>
      <c r="I2786">
        <v>24</v>
      </c>
      <c r="J2786">
        <v>2678</v>
      </c>
      <c r="K2786" s="1" t="s">
        <v>83</v>
      </c>
      <c r="L2786" s="1" t="s">
        <v>45</v>
      </c>
      <c r="M2786">
        <v>0.71899999999999997</v>
      </c>
      <c r="N2786">
        <v>17266.599999999999</v>
      </c>
      <c r="O2786">
        <v>17.266999999999999</v>
      </c>
      <c r="P2786" s="2">
        <v>42736</v>
      </c>
      <c r="Q2786">
        <v>1</v>
      </c>
      <c r="R2786" s="1" t="s">
        <v>122</v>
      </c>
    </row>
    <row r="2787" spans="1:18" x14ac:dyDescent="0.25">
      <c r="A2787">
        <v>2017</v>
      </c>
      <c r="B2787">
        <v>2</v>
      </c>
      <c r="C2787" s="1" t="s">
        <v>25</v>
      </c>
      <c r="D2787" s="1" t="s">
        <v>19</v>
      </c>
      <c r="E2787" s="1" t="s">
        <v>82</v>
      </c>
      <c r="F2787">
        <v>2013</v>
      </c>
      <c r="G2787">
        <v>4</v>
      </c>
      <c r="H2787" s="1" t="s">
        <v>123</v>
      </c>
      <c r="I2787">
        <v>24</v>
      </c>
      <c r="J2787">
        <v>2678</v>
      </c>
      <c r="K2787" s="1" t="s">
        <v>83</v>
      </c>
      <c r="L2787" s="1" t="s">
        <v>45</v>
      </c>
      <c r="M2787">
        <v>0.44700000000000001</v>
      </c>
      <c r="N2787">
        <v>10722.2</v>
      </c>
      <c r="O2787">
        <v>10.722</v>
      </c>
      <c r="P2787" s="2">
        <v>42767</v>
      </c>
      <c r="Q2787">
        <v>1</v>
      </c>
      <c r="R2787" s="1" t="s">
        <v>122</v>
      </c>
    </row>
    <row r="2788" spans="1:18" x14ac:dyDescent="0.25">
      <c r="A2788">
        <v>2017</v>
      </c>
      <c r="B2788">
        <v>3</v>
      </c>
      <c r="C2788" s="1" t="s">
        <v>26</v>
      </c>
      <c r="D2788" s="1" t="s">
        <v>19</v>
      </c>
      <c r="E2788" s="1" t="s">
        <v>82</v>
      </c>
      <c r="F2788">
        <v>2013</v>
      </c>
      <c r="G2788">
        <v>4</v>
      </c>
      <c r="H2788" s="1" t="s">
        <v>123</v>
      </c>
      <c r="I2788">
        <v>24</v>
      </c>
      <c r="J2788">
        <v>2678</v>
      </c>
      <c r="K2788" s="1" t="s">
        <v>83</v>
      </c>
      <c r="L2788" s="1" t="s">
        <v>45</v>
      </c>
      <c r="M2788">
        <v>0.72399999999999998</v>
      </c>
      <c r="N2788">
        <v>17380.8</v>
      </c>
      <c r="O2788">
        <v>17.381</v>
      </c>
      <c r="P2788" s="2">
        <v>42795</v>
      </c>
      <c r="Q2788">
        <v>1</v>
      </c>
      <c r="R2788" s="1" t="s">
        <v>122</v>
      </c>
    </row>
    <row r="2789" spans="1:18" x14ac:dyDescent="0.25">
      <c r="A2789">
        <v>2017</v>
      </c>
      <c r="B2789">
        <v>4</v>
      </c>
      <c r="C2789" s="1" t="s">
        <v>27</v>
      </c>
      <c r="D2789" s="1" t="s">
        <v>19</v>
      </c>
      <c r="E2789" s="1" t="s">
        <v>82</v>
      </c>
      <c r="F2789">
        <v>2013</v>
      </c>
      <c r="G2789">
        <v>4</v>
      </c>
      <c r="H2789" s="1" t="s">
        <v>123</v>
      </c>
      <c r="I2789">
        <v>24</v>
      </c>
      <c r="J2789">
        <v>2678</v>
      </c>
      <c r="K2789" s="1" t="s">
        <v>83</v>
      </c>
      <c r="L2789" s="1" t="s">
        <v>45</v>
      </c>
      <c r="M2789">
        <v>0.97899999999999998</v>
      </c>
      <c r="N2789">
        <v>23500.799999999999</v>
      </c>
      <c r="O2789">
        <v>23.501000000000001</v>
      </c>
      <c r="P2789" s="2">
        <v>42826</v>
      </c>
      <c r="Q2789">
        <v>1</v>
      </c>
      <c r="R2789" s="1" t="s">
        <v>122</v>
      </c>
    </row>
    <row r="2790" spans="1:18" x14ac:dyDescent="0.25">
      <c r="A2790">
        <v>2017</v>
      </c>
      <c r="B2790">
        <v>5</v>
      </c>
      <c r="C2790" s="1" t="s">
        <v>28</v>
      </c>
      <c r="D2790" s="1" t="s">
        <v>19</v>
      </c>
      <c r="E2790" s="1" t="s">
        <v>82</v>
      </c>
      <c r="F2790">
        <v>2013</v>
      </c>
      <c r="G2790">
        <v>4</v>
      </c>
      <c r="H2790" s="1" t="s">
        <v>123</v>
      </c>
      <c r="I2790">
        <v>24</v>
      </c>
      <c r="J2790">
        <v>2678</v>
      </c>
      <c r="K2790" s="1" t="s">
        <v>83</v>
      </c>
      <c r="L2790" s="1" t="s">
        <v>45</v>
      </c>
      <c r="M2790">
        <v>0.90400000000000003</v>
      </c>
      <c r="N2790">
        <v>21689.3</v>
      </c>
      <c r="O2790">
        <v>21.689</v>
      </c>
      <c r="P2790" s="2">
        <v>42856</v>
      </c>
      <c r="Q2790">
        <v>1</v>
      </c>
      <c r="R2790" s="1" t="s">
        <v>122</v>
      </c>
    </row>
    <row r="2791" spans="1:18" x14ac:dyDescent="0.25">
      <c r="A2791">
        <v>2017</v>
      </c>
      <c r="B2791">
        <v>6</v>
      </c>
      <c r="C2791" s="1" t="s">
        <v>29</v>
      </c>
      <c r="D2791" s="1" t="s">
        <v>19</v>
      </c>
      <c r="E2791" s="1" t="s">
        <v>82</v>
      </c>
      <c r="F2791">
        <v>2013</v>
      </c>
      <c r="G2791">
        <v>4</v>
      </c>
      <c r="H2791" s="1" t="s">
        <v>123</v>
      </c>
      <c r="I2791">
        <v>24</v>
      </c>
      <c r="J2791">
        <v>2678</v>
      </c>
      <c r="K2791" s="1" t="s">
        <v>83</v>
      </c>
      <c r="L2791" s="1" t="s">
        <v>45</v>
      </c>
      <c r="M2791">
        <v>0.749</v>
      </c>
      <c r="N2791">
        <v>17984.599999999999</v>
      </c>
      <c r="O2791">
        <v>17.984999999999999</v>
      </c>
      <c r="P2791" s="2">
        <v>42887</v>
      </c>
      <c r="Q2791">
        <v>1</v>
      </c>
      <c r="R2791" s="1" t="s">
        <v>122</v>
      </c>
    </row>
    <row r="2792" spans="1:18" x14ac:dyDescent="0.25">
      <c r="A2792">
        <v>2017</v>
      </c>
      <c r="B2792">
        <v>7</v>
      </c>
      <c r="C2792" s="1" t="s">
        <v>30</v>
      </c>
      <c r="D2792" s="1" t="s">
        <v>19</v>
      </c>
      <c r="E2792" s="1" t="s">
        <v>82</v>
      </c>
      <c r="F2792">
        <v>2013</v>
      </c>
      <c r="G2792">
        <v>4</v>
      </c>
      <c r="H2792" s="1" t="s">
        <v>123</v>
      </c>
      <c r="I2792">
        <v>24</v>
      </c>
      <c r="J2792">
        <v>2678</v>
      </c>
      <c r="K2792" s="1" t="s">
        <v>83</v>
      </c>
      <c r="L2792" s="1" t="s">
        <v>45</v>
      </c>
      <c r="M2792">
        <v>0.753</v>
      </c>
      <c r="N2792">
        <v>18066.2</v>
      </c>
      <c r="O2792">
        <v>18.065999999999999</v>
      </c>
      <c r="P2792" s="2">
        <v>42917</v>
      </c>
      <c r="Q2792">
        <v>1</v>
      </c>
      <c r="R2792" s="1" t="s">
        <v>122</v>
      </c>
    </row>
    <row r="2793" spans="1:18" x14ac:dyDescent="0.25">
      <c r="A2793">
        <v>2017</v>
      </c>
      <c r="B2793">
        <v>8</v>
      </c>
      <c r="C2793" s="1" t="s">
        <v>31</v>
      </c>
      <c r="D2793" s="1" t="s">
        <v>19</v>
      </c>
      <c r="E2793" s="1" t="s">
        <v>82</v>
      </c>
      <c r="F2793">
        <v>2013</v>
      </c>
      <c r="G2793">
        <v>4</v>
      </c>
      <c r="H2793" s="1" t="s">
        <v>123</v>
      </c>
      <c r="I2793">
        <v>24</v>
      </c>
      <c r="J2793">
        <v>2678</v>
      </c>
      <c r="K2793" s="1" t="s">
        <v>83</v>
      </c>
      <c r="L2793" s="1" t="s">
        <v>45</v>
      </c>
      <c r="M2793">
        <v>1.0469999999999999</v>
      </c>
      <c r="N2793">
        <v>25116.5</v>
      </c>
      <c r="O2793">
        <v>25.116</v>
      </c>
      <c r="P2793" s="2">
        <v>42948</v>
      </c>
      <c r="Q2793">
        <v>1</v>
      </c>
      <c r="R2793" s="1" t="s">
        <v>122</v>
      </c>
    </row>
    <row r="2794" spans="1:18" x14ac:dyDescent="0.25">
      <c r="A2794">
        <v>2017</v>
      </c>
      <c r="B2794">
        <v>9</v>
      </c>
      <c r="C2794" s="1" t="s">
        <v>32</v>
      </c>
      <c r="D2794" s="1" t="s">
        <v>19</v>
      </c>
      <c r="E2794" s="1" t="s">
        <v>82</v>
      </c>
      <c r="F2794">
        <v>2013</v>
      </c>
      <c r="G2794">
        <v>4</v>
      </c>
      <c r="H2794" s="1" t="s">
        <v>123</v>
      </c>
      <c r="I2794">
        <v>24</v>
      </c>
      <c r="J2794">
        <v>2678</v>
      </c>
      <c r="K2794" s="1" t="s">
        <v>83</v>
      </c>
      <c r="L2794" s="1" t="s">
        <v>45</v>
      </c>
      <c r="M2794">
        <v>0.749</v>
      </c>
      <c r="N2794">
        <v>17968.3</v>
      </c>
      <c r="O2794">
        <v>17.968</v>
      </c>
      <c r="P2794" s="2">
        <v>42979</v>
      </c>
      <c r="Q2794">
        <v>1</v>
      </c>
      <c r="R2794" s="1" t="s">
        <v>122</v>
      </c>
    </row>
    <row r="2795" spans="1:18" x14ac:dyDescent="0.25">
      <c r="A2795">
        <v>2017</v>
      </c>
      <c r="B2795">
        <v>10</v>
      </c>
      <c r="C2795" s="1" t="s">
        <v>33</v>
      </c>
      <c r="D2795" s="1" t="s">
        <v>19</v>
      </c>
      <c r="E2795" s="1" t="s">
        <v>82</v>
      </c>
      <c r="F2795">
        <v>2013</v>
      </c>
      <c r="G2795">
        <v>4</v>
      </c>
      <c r="H2795" s="1" t="s">
        <v>123</v>
      </c>
      <c r="I2795">
        <v>24</v>
      </c>
      <c r="J2795">
        <v>2678</v>
      </c>
      <c r="K2795" s="1" t="s">
        <v>83</v>
      </c>
      <c r="L2795" s="1" t="s">
        <v>45</v>
      </c>
      <c r="M2795">
        <v>0.71899999999999997</v>
      </c>
      <c r="N2795">
        <v>17266.599999999999</v>
      </c>
      <c r="O2795">
        <v>17.266999999999999</v>
      </c>
      <c r="P2795" s="2">
        <v>43009</v>
      </c>
      <c r="Q2795">
        <v>1</v>
      </c>
      <c r="R2795" s="1" t="s">
        <v>122</v>
      </c>
    </row>
    <row r="2796" spans="1:18" x14ac:dyDescent="0.25">
      <c r="A2796">
        <v>2017</v>
      </c>
      <c r="B2796">
        <v>11</v>
      </c>
      <c r="C2796" s="1" t="s">
        <v>34</v>
      </c>
      <c r="D2796" s="1" t="s">
        <v>19</v>
      </c>
      <c r="E2796" s="1" t="s">
        <v>82</v>
      </c>
      <c r="F2796">
        <v>2013</v>
      </c>
      <c r="G2796">
        <v>4</v>
      </c>
      <c r="H2796" s="1" t="s">
        <v>123</v>
      </c>
      <c r="I2796">
        <v>24</v>
      </c>
      <c r="J2796">
        <v>2678</v>
      </c>
      <c r="K2796" s="1" t="s">
        <v>83</v>
      </c>
      <c r="L2796" s="1" t="s">
        <v>45</v>
      </c>
      <c r="M2796">
        <v>0.74099999999999999</v>
      </c>
      <c r="N2796">
        <v>17772.5</v>
      </c>
      <c r="O2796">
        <v>17.771999999999998</v>
      </c>
      <c r="P2796" s="2">
        <v>43040</v>
      </c>
      <c r="Q2796">
        <v>1</v>
      </c>
      <c r="R2796" s="1" t="s">
        <v>122</v>
      </c>
    </row>
    <row r="2797" spans="1:18" x14ac:dyDescent="0.25">
      <c r="A2797">
        <v>2017</v>
      </c>
      <c r="B2797">
        <v>12</v>
      </c>
      <c r="C2797" s="1" t="s">
        <v>35</v>
      </c>
      <c r="D2797" s="1" t="s">
        <v>19</v>
      </c>
      <c r="E2797" s="1" t="s">
        <v>82</v>
      </c>
      <c r="F2797">
        <v>2013</v>
      </c>
      <c r="G2797">
        <v>4</v>
      </c>
      <c r="H2797" s="1" t="s">
        <v>123</v>
      </c>
      <c r="I2797">
        <v>24</v>
      </c>
      <c r="J2797">
        <v>2678</v>
      </c>
      <c r="K2797" s="1" t="s">
        <v>83</v>
      </c>
      <c r="L2797" s="1" t="s">
        <v>45</v>
      </c>
      <c r="M2797">
        <v>0.63100000000000001</v>
      </c>
      <c r="N2797">
        <v>15145</v>
      </c>
      <c r="O2797">
        <v>15.145</v>
      </c>
      <c r="P2797" s="2">
        <v>43070</v>
      </c>
      <c r="Q2797">
        <v>1</v>
      </c>
      <c r="R2797" s="1" t="s">
        <v>122</v>
      </c>
    </row>
    <row r="2798" spans="1:18" x14ac:dyDescent="0.25">
      <c r="A2798">
        <v>2017</v>
      </c>
      <c r="B2798">
        <v>1</v>
      </c>
      <c r="C2798" s="1" t="s">
        <v>18</v>
      </c>
      <c r="D2798" s="1" t="s">
        <v>19</v>
      </c>
      <c r="E2798" s="1" t="s">
        <v>84</v>
      </c>
      <c r="F2798">
        <v>2013</v>
      </c>
      <c r="G2798">
        <v>4</v>
      </c>
      <c r="H2798" s="1" t="s">
        <v>123</v>
      </c>
      <c r="I2798">
        <v>23</v>
      </c>
      <c r="J2798">
        <v>2683</v>
      </c>
      <c r="K2798" s="1" t="s">
        <v>85</v>
      </c>
      <c r="L2798" s="1" t="s">
        <v>45</v>
      </c>
      <c r="M2798">
        <v>0.71899999999999997</v>
      </c>
      <c r="N2798">
        <v>16547.099999999999</v>
      </c>
      <c r="O2798">
        <v>16.547000000000001</v>
      </c>
      <c r="P2798" s="2">
        <v>42736</v>
      </c>
      <c r="Q2798">
        <v>1</v>
      </c>
      <c r="R2798" s="1" t="s">
        <v>122</v>
      </c>
    </row>
    <row r="2799" spans="1:18" x14ac:dyDescent="0.25">
      <c r="A2799">
        <v>2017</v>
      </c>
      <c r="B2799">
        <v>2</v>
      </c>
      <c r="C2799" s="1" t="s">
        <v>25</v>
      </c>
      <c r="D2799" s="1" t="s">
        <v>19</v>
      </c>
      <c r="E2799" s="1" t="s">
        <v>84</v>
      </c>
      <c r="F2799">
        <v>2013</v>
      </c>
      <c r="G2799">
        <v>4</v>
      </c>
      <c r="H2799" s="1" t="s">
        <v>123</v>
      </c>
      <c r="I2799">
        <v>23</v>
      </c>
      <c r="J2799">
        <v>2683</v>
      </c>
      <c r="K2799" s="1" t="s">
        <v>85</v>
      </c>
      <c r="L2799" s="1" t="s">
        <v>45</v>
      </c>
      <c r="M2799">
        <v>0.44700000000000001</v>
      </c>
      <c r="N2799">
        <v>10275.5</v>
      </c>
      <c r="O2799">
        <v>10.275</v>
      </c>
      <c r="P2799" s="2">
        <v>42767</v>
      </c>
      <c r="Q2799">
        <v>1</v>
      </c>
      <c r="R2799" s="1" t="s">
        <v>122</v>
      </c>
    </row>
    <row r="2800" spans="1:18" x14ac:dyDescent="0.25">
      <c r="A2800">
        <v>2017</v>
      </c>
      <c r="B2800">
        <v>3</v>
      </c>
      <c r="C2800" s="1" t="s">
        <v>26</v>
      </c>
      <c r="D2800" s="1" t="s">
        <v>19</v>
      </c>
      <c r="E2800" s="1" t="s">
        <v>84</v>
      </c>
      <c r="F2800">
        <v>2013</v>
      </c>
      <c r="G2800">
        <v>4</v>
      </c>
      <c r="H2800" s="1" t="s">
        <v>123</v>
      </c>
      <c r="I2800">
        <v>23</v>
      </c>
      <c r="J2800">
        <v>2683</v>
      </c>
      <c r="K2800" s="1" t="s">
        <v>85</v>
      </c>
      <c r="L2800" s="1" t="s">
        <v>45</v>
      </c>
      <c r="M2800">
        <v>0.72399999999999998</v>
      </c>
      <c r="N2800">
        <v>16656.599999999999</v>
      </c>
      <c r="O2800">
        <v>16.657</v>
      </c>
      <c r="P2800" s="2">
        <v>42795</v>
      </c>
      <c r="Q2800">
        <v>1</v>
      </c>
      <c r="R2800" s="1" t="s">
        <v>122</v>
      </c>
    </row>
    <row r="2801" spans="1:18" x14ac:dyDescent="0.25">
      <c r="A2801">
        <v>2017</v>
      </c>
      <c r="B2801">
        <v>4</v>
      </c>
      <c r="C2801" s="1" t="s">
        <v>27</v>
      </c>
      <c r="D2801" s="1" t="s">
        <v>19</v>
      </c>
      <c r="E2801" s="1" t="s">
        <v>84</v>
      </c>
      <c r="F2801">
        <v>2013</v>
      </c>
      <c r="G2801">
        <v>4</v>
      </c>
      <c r="H2801" s="1" t="s">
        <v>123</v>
      </c>
      <c r="I2801">
        <v>23</v>
      </c>
      <c r="J2801">
        <v>2683</v>
      </c>
      <c r="K2801" s="1" t="s">
        <v>85</v>
      </c>
      <c r="L2801" s="1" t="s">
        <v>45</v>
      </c>
      <c r="M2801">
        <v>0.97899999999999998</v>
      </c>
      <c r="N2801">
        <v>22521.599999999999</v>
      </c>
      <c r="O2801">
        <v>22.521999999999998</v>
      </c>
      <c r="P2801" s="2">
        <v>42826</v>
      </c>
      <c r="Q2801">
        <v>1</v>
      </c>
      <c r="R2801" s="1" t="s">
        <v>122</v>
      </c>
    </row>
    <row r="2802" spans="1:18" x14ac:dyDescent="0.25">
      <c r="A2802">
        <v>2017</v>
      </c>
      <c r="B2802">
        <v>5</v>
      </c>
      <c r="C2802" s="1" t="s">
        <v>28</v>
      </c>
      <c r="D2802" s="1" t="s">
        <v>19</v>
      </c>
      <c r="E2802" s="1" t="s">
        <v>84</v>
      </c>
      <c r="F2802">
        <v>2013</v>
      </c>
      <c r="G2802">
        <v>4</v>
      </c>
      <c r="H2802" s="1" t="s">
        <v>123</v>
      </c>
      <c r="I2802">
        <v>23</v>
      </c>
      <c r="J2802">
        <v>2683</v>
      </c>
      <c r="K2802" s="1" t="s">
        <v>85</v>
      </c>
      <c r="L2802" s="1" t="s">
        <v>45</v>
      </c>
      <c r="M2802">
        <v>0.90400000000000003</v>
      </c>
      <c r="N2802">
        <v>20785.599999999999</v>
      </c>
      <c r="O2802">
        <v>20.786000000000001</v>
      </c>
      <c r="P2802" s="2">
        <v>42856</v>
      </c>
      <c r="Q2802">
        <v>1</v>
      </c>
      <c r="R2802" s="1" t="s">
        <v>122</v>
      </c>
    </row>
    <row r="2803" spans="1:18" x14ac:dyDescent="0.25">
      <c r="A2803">
        <v>2017</v>
      </c>
      <c r="B2803">
        <v>6</v>
      </c>
      <c r="C2803" s="1" t="s">
        <v>29</v>
      </c>
      <c r="D2803" s="1" t="s">
        <v>19</v>
      </c>
      <c r="E2803" s="1" t="s">
        <v>84</v>
      </c>
      <c r="F2803">
        <v>2013</v>
      </c>
      <c r="G2803">
        <v>4</v>
      </c>
      <c r="H2803" s="1" t="s">
        <v>123</v>
      </c>
      <c r="I2803">
        <v>23</v>
      </c>
      <c r="J2803">
        <v>2683</v>
      </c>
      <c r="K2803" s="1" t="s">
        <v>85</v>
      </c>
      <c r="L2803" s="1" t="s">
        <v>45</v>
      </c>
      <c r="M2803">
        <v>0.749</v>
      </c>
      <c r="N2803">
        <v>17235.3</v>
      </c>
      <c r="O2803">
        <v>17.234999999999999</v>
      </c>
      <c r="P2803" s="2">
        <v>42887</v>
      </c>
      <c r="Q2803">
        <v>1</v>
      </c>
      <c r="R2803" s="1" t="s">
        <v>122</v>
      </c>
    </row>
    <row r="2804" spans="1:18" x14ac:dyDescent="0.25">
      <c r="A2804">
        <v>2017</v>
      </c>
      <c r="B2804">
        <v>7</v>
      </c>
      <c r="C2804" s="1" t="s">
        <v>30</v>
      </c>
      <c r="D2804" s="1" t="s">
        <v>19</v>
      </c>
      <c r="E2804" s="1" t="s">
        <v>84</v>
      </c>
      <c r="F2804">
        <v>2013</v>
      </c>
      <c r="G2804">
        <v>4</v>
      </c>
      <c r="H2804" s="1" t="s">
        <v>123</v>
      </c>
      <c r="I2804">
        <v>23</v>
      </c>
      <c r="J2804">
        <v>2683</v>
      </c>
      <c r="K2804" s="1" t="s">
        <v>85</v>
      </c>
      <c r="L2804" s="1" t="s">
        <v>45</v>
      </c>
      <c r="M2804">
        <v>0.753</v>
      </c>
      <c r="N2804">
        <v>17313.5</v>
      </c>
      <c r="O2804">
        <v>17.312999999999999</v>
      </c>
      <c r="P2804" s="2">
        <v>42917</v>
      </c>
      <c r="Q2804">
        <v>1</v>
      </c>
      <c r="R2804" s="1" t="s">
        <v>122</v>
      </c>
    </row>
    <row r="2805" spans="1:18" x14ac:dyDescent="0.25">
      <c r="A2805">
        <v>2017</v>
      </c>
      <c r="B2805">
        <v>8</v>
      </c>
      <c r="C2805" s="1" t="s">
        <v>31</v>
      </c>
      <c r="D2805" s="1" t="s">
        <v>19</v>
      </c>
      <c r="E2805" s="1" t="s">
        <v>84</v>
      </c>
      <c r="F2805">
        <v>2013</v>
      </c>
      <c r="G2805">
        <v>4</v>
      </c>
      <c r="H2805" s="1" t="s">
        <v>123</v>
      </c>
      <c r="I2805">
        <v>23</v>
      </c>
      <c r="J2805">
        <v>2683</v>
      </c>
      <c r="K2805" s="1" t="s">
        <v>85</v>
      </c>
      <c r="L2805" s="1" t="s">
        <v>45</v>
      </c>
      <c r="M2805">
        <v>1.0469999999999999</v>
      </c>
      <c r="N2805">
        <v>24070</v>
      </c>
      <c r="O2805">
        <v>24.07</v>
      </c>
      <c r="P2805" s="2">
        <v>42948</v>
      </c>
      <c r="Q2805">
        <v>1</v>
      </c>
      <c r="R2805" s="1" t="s">
        <v>122</v>
      </c>
    </row>
    <row r="2806" spans="1:18" x14ac:dyDescent="0.25">
      <c r="A2806">
        <v>2017</v>
      </c>
      <c r="B2806">
        <v>9</v>
      </c>
      <c r="C2806" s="1" t="s">
        <v>32</v>
      </c>
      <c r="D2806" s="1" t="s">
        <v>19</v>
      </c>
      <c r="E2806" s="1" t="s">
        <v>84</v>
      </c>
      <c r="F2806">
        <v>2013</v>
      </c>
      <c r="G2806">
        <v>4</v>
      </c>
      <c r="H2806" s="1" t="s">
        <v>123</v>
      </c>
      <c r="I2806">
        <v>23</v>
      </c>
      <c r="J2806">
        <v>2683</v>
      </c>
      <c r="K2806" s="1" t="s">
        <v>85</v>
      </c>
      <c r="L2806" s="1" t="s">
        <v>45</v>
      </c>
      <c r="M2806">
        <v>0.749</v>
      </c>
      <c r="N2806">
        <v>17219.599999999999</v>
      </c>
      <c r="O2806">
        <v>17.22</v>
      </c>
      <c r="P2806" s="2">
        <v>42979</v>
      </c>
      <c r="Q2806">
        <v>1</v>
      </c>
      <c r="R2806" s="1" t="s">
        <v>122</v>
      </c>
    </row>
    <row r="2807" spans="1:18" x14ac:dyDescent="0.25">
      <c r="A2807">
        <v>2017</v>
      </c>
      <c r="B2807">
        <v>10</v>
      </c>
      <c r="C2807" s="1" t="s">
        <v>33</v>
      </c>
      <c r="D2807" s="1" t="s">
        <v>19</v>
      </c>
      <c r="E2807" s="1" t="s">
        <v>84</v>
      </c>
      <c r="F2807">
        <v>2013</v>
      </c>
      <c r="G2807">
        <v>4</v>
      </c>
      <c r="H2807" s="1" t="s">
        <v>123</v>
      </c>
      <c r="I2807">
        <v>23</v>
      </c>
      <c r="J2807">
        <v>2683</v>
      </c>
      <c r="K2807" s="1" t="s">
        <v>85</v>
      </c>
      <c r="L2807" s="1" t="s">
        <v>45</v>
      </c>
      <c r="M2807">
        <v>0.71899999999999997</v>
      </c>
      <c r="N2807">
        <v>16547.099999999999</v>
      </c>
      <c r="O2807">
        <v>16.547000000000001</v>
      </c>
      <c r="P2807" s="2">
        <v>43009</v>
      </c>
      <c r="Q2807">
        <v>1</v>
      </c>
      <c r="R2807" s="1" t="s">
        <v>122</v>
      </c>
    </row>
    <row r="2808" spans="1:18" x14ac:dyDescent="0.25">
      <c r="A2808">
        <v>2017</v>
      </c>
      <c r="B2808">
        <v>11</v>
      </c>
      <c r="C2808" s="1" t="s">
        <v>34</v>
      </c>
      <c r="D2808" s="1" t="s">
        <v>19</v>
      </c>
      <c r="E2808" s="1" t="s">
        <v>84</v>
      </c>
      <c r="F2808">
        <v>2013</v>
      </c>
      <c r="G2808">
        <v>4</v>
      </c>
      <c r="H2808" s="1" t="s">
        <v>123</v>
      </c>
      <c r="I2808">
        <v>23</v>
      </c>
      <c r="J2808">
        <v>2683</v>
      </c>
      <c r="K2808" s="1" t="s">
        <v>85</v>
      </c>
      <c r="L2808" s="1" t="s">
        <v>45</v>
      </c>
      <c r="M2808">
        <v>0.74099999999999999</v>
      </c>
      <c r="N2808">
        <v>17032</v>
      </c>
      <c r="O2808">
        <v>17.032</v>
      </c>
      <c r="P2808" s="2">
        <v>43040</v>
      </c>
      <c r="Q2808">
        <v>1</v>
      </c>
      <c r="R2808" s="1" t="s">
        <v>122</v>
      </c>
    </row>
    <row r="2809" spans="1:18" x14ac:dyDescent="0.25">
      <c r="A2809">
        <v>2017</v>
      </c>
      <c r="B2809">
        <v>12</v>
      </c>
      <c r="C2809" s="1" t="s">
        <v>35</v>
      </c>
      <c r="D2809" s="1" t="s">
        <v>19</v>
      </c>
      <c r="E2809" s="1" t="s">
        <v>84</v>
      </c>
      <c r="F2809">
        <v>2013</v>
      </c>
      <c r="G2809">
        <v>4</v>
      </c>
      <c r="H2809" s="1" t="s">
        <v>123</v>
      </c>
      <c r="I2809">
        <v>23</v>
      </c>
      <c r="J2809">
        <v>2683</v>
      </c>
      <c r="K2809" s="1" t="s">
        <v>85</v>
      </c>
      <c r="L2809" s="1" t="s">
        <v>45</v>
      </c>
      <c r="M2809">
        <v>0.63100000000000001</v>
      </c>
      <c r="N2809">
        <v>14513.9</v>
      </c>
      <c r="O2809">
        <v>14.513999999999999</v>
      </c>
      <c r="P2809" s="2">
        <v>43070</v>
      </c>
      <c r="Q2809">
        <v>1</v>
      </c>
      <c r="R2809" s="1" t="s">
        <v>122</v>
      </c>
    </row>
    <row r="2810" spans="1:18" x14ac:dyDescent="0.25">
      <c r="A2810">
        <v>2017</v>
      </c>
      <c r="B2810">
        <v>1</v>
      </c>
      <c r="C2810" s="1" t="s">
        <v>18</v>
      </c>
      <c r="D2810" s="1" t="s">
        <v>19</v>
      </c>
      <c r="E2810" s="1" t="s">
        <v>86</v>
      </c>
      <c r="F2810">
        <v>2013</v>
      </c>
      <c r="G2810">
        <v>4</v>
      </c>
      <c r="H2810" s="1" t="s">
        <v>123</v>
      </c>
      <c r="I2810">
        <v>24</v>
      </c>
      <c r="J2810">
        <v>3445</v>
      </c>
      <c r="K2810" s="1" t="s">
        <v>87</v>
      </c>
      <c r="L2810" s="1" t="s">
        <v>45</v>
      </c>
      <c r="M2810">
        <v>0.71899999999999997</v>
      </c>
      <c r="N2810">
        <v>17266.599999999999</v>
      </c>
      <c r="O2810">
        <v>17.266999999999999</v>
      </c>
      <c r="P2810" s="2">
        <v>42736</v>
      </c>
      <c r="Q2810">
        <v>1</v>
      </c>
      <c r="R2810" s="1" t="s">
        <v>122</v>
      </c>
    </row>
    <row r="2811" spans="1:18" x14ac:dyDescent="0.25">
      <c r="A2811">
        <v>2017</v>
      </c>
      <c r="B2811">
        <v>2</v>
      </c>
      <c r="C2811" s="1" t="s">
        <v>25</v>
      </c>
      <c r="D2811" s="1" t="s">
        <v>19</v>
      </c>
      <c r="E2811" s="1" t="s">
        <v>86</v>
      </c>
      <c r="F2811">
        <v>2013</v>
      </c>
      <c r="G2811">
        <v>4</v>
      </c>
      <c r="H2811" s="1" t="s">
        <v>123</v>
      </c>
      <c r="I2811">
        <v>24</v>
      </c>
      <c r="J2811">
        <v>3445</v>
      </c>
      <c r="K2811" s="1" t="s">
        <v>87</v>
      </c>
      <c r="L2811" s="1" t="s">
        <v>45</v>
      </c>
      <c r="M2811">
        <v>0.44700000000000001</v>
      </c>
      <c r="N2811">
        <v>10722.2</v>
      </c>
      <c r="O2811">
        <v>10.722</v>
      </c>
      <c r="P2811" s="2">
        <v>42767</v>
      </c>
      <c r="Q2811">
        <v>1</v>
      </c>
      <c r="R2811" s="1" t="s">
        <v>122</v>
      </c>
    </row>
    <row r="2812" spans="1:18" x14ac:dyDescent="0.25">
      <c r="A2812">
        <v>2017</v>
      </c>
      <c r="B2812">
        <v>3</v>
      </c>
      <c r="C2812" s="1" t="s">
        <v>26</v>
      </c>
      <c r="D2812" s="1" t="s">
        <v>19</v>
      </c>
      <c r="E2812" s="1" t="s">
        <v>86</v>
      </c>
      <c r="F2812">
        <v>2013</v>
      </c>
      <c r="G2812">
        <v>4</v>
      </c>
      <c r="H2812" s="1" t="s">
        <v>123</v>
      </c>
      <c r="I2812">
        <v>24</v>
      </c>
      <c r="J2812">
        <v>3445</v>
      </c>
      <c r="K2812" s="1" t="s">
        <v>87</v>
      </c>
      <c r="L2812" s="1" t="s">
        <v>45</v>
      </c>
      <c r="M2812">
        <v>0.72399999999999998</v>
      </c>
      <c r="N2812">
        <v>17380.8</v>
      </c>
      <c r="O2812">
        <v>17.381</v>
      </c>
      <c r="P2812" s="2">
        <v>42795</v>
      </c>
      <c r="Q2812">
        <v>1</v>
      </c>
      <c r="R2812" s="1" t="s">
        <v>122</v>
      </c>
    </row>
    <row r="2813" spans="1:18" x14ac:dyDescent="0.25">
      <c r="A2813">
        <v>2017</v>
      </c>
      <c r="B2813">
        <v>4</v>
      </c>
      <c r="C2813" s="1" t="s">
        <v>27</v>
      </c>
      <c r="D2813" s="1" t="s">
        <v>19</v>
      </c>
      <c r="E2813" s="1" t="s">
        <v>86</v>
      </c>
      <c r="F2813">
        <v>2013</v>
      </c>
      <c r="G2813">
        <v>4</v>
      </c>
      <c r="H2813" s="1" t="s">
        <v>123</v>
      </c>
      <c r="I2813">
        <v>24</v>
      </c>
      <c r="J2813">
        <v>3445</v>
      </c>
      <c r="K2813" s="1" t="s">
        <v>87</v>
      </c>
      <c r="L2813" s="1" t="s">
        <v>45</v>
      </c>
      <c r="M2813">
        <v>0.97899999999999998</v>
      </c>
      <c r="N2813">
        <v>23500.799999999999</v>
      </c>
      <c r="O2813">
        <v>23.501000000000001</v>
      </c>
      <c r="P2813" s="2">
        <v>42826</v>
      </c>
      <c r="Q2813">
        <v>1</v>
      </c>
      <c r="R2813" s="1" t="s">
        <v>122</v>
      </c>
    </row>
    <row r="2814" spans="1:18" x14ac:dyDescent="0.25">
      <c r="A2814">
        <v>2017</v>
      </c>
      <c r="B2814">
        <v>5</v>
      </c>
      <c r="C2814" s="1" t="s">
        <v>28</v>
      </c>
      <c r="D2814" s="1" t="s">
        <v>19</v>
      </c>
      <c r="E2814" s="1" t="s">
        <v>86</v>
      </c>
      <c r="F2814">
        <v>2013</v>
      </c>
      <c r="G2814">
        <v>4</v>
      </c>
      <c r="H2814" s="1" t="s">
        <v>123</v>
      </c>
      <c r="I2814">
        <v>24</v>
      </c>
      <c r="J2814">
        <v>3445</v>
      </c>
      <c r="K2814" s="1" t="s">
        <v>87</v>
      </c>
      <c r="L2814" s="1" t="s">
        <v>45</v>
      </c>
      <c r="M2814">
        <v>0.90400000000000003</v>
      </c>
      <c r="N2814">
        <v>21689.3</v>
      </c>
      <c r="O2814">
        <v>21.689</v>
      </c>
      <c r="P2814" s="2">
        <v>42856</v>
      </c>
      <c r="Q2814">
        <v>1</v>
      </c>
      <c r="R2814" s="1" t="s">
        <v>122</v>
      </c>
    </row>
    <row r="2815" spans="1:18" x14ac:dyDescent="0.25">
      <c r="A2815">
        <v>2017</v>
      </c>
      <c r="B2815">
        <v>6</v>
      </c>
      <c r="C2815" s="1" t="s">
        <v>29</v>
      </c>
      <c r="D2815" s="1" t="s">
        <v>19</v>
      </c>
      <c r="E2815" s="1" t="s">
        <v>86</v>
      </c>
      <c r="F2815">
        <v>2013</v>
      </c>
      <c r="G2815">
        <v>4</v>
      </c>
      <c r="H2815" s="1" t="s">
        <v>123</v>
      </c>
      <c r="I2815">
        <v>24</v>
      </c>
      <c r="J2815">
        <v>3445</v>
      </c>
      <c r="K2815" s="1" t="s">
        <v>87</v>
      </c>
      <c r="L2815" s="1" t="s">
        <v>45</v>
      </c>
      <c r="M2815">
        <v>0.749</v>
      </c>
      <c r="N2815">
        <v>17984.599999999999</v>
      </c>
      <c r="O2815">
        <v>17.984999999999999</v>
      </c>
      <c r="P2815" s="2">
        <v>42887</v>
      </c>
      <c r="Q2815">
        <v>1</v>
      </c>
      <c r="R2815" s="1" t="s">
        <v>122</v>
      </c>
    </row>
    <row r="2816" spans="1:18" x14ac:dyDescent="0.25">
      <c r="A2816">
        <v>2017</v>
      </c>
      <c r="B2816">
        <v>7</v>
      </c>
      <c r="C2816" s="1" t="s">
        <v>30</v>
      </c>
      <c r="D2816" s="1" t="s">
        <v>19</v>
      </c>
      <c r="E2816" s="1" t="s">
        <v>86</v>
      </c>
      <c r="F2816">
        <v>2013</v>
      </c>
      <c r="G2816">
        <v>4</v>
      </c>
      <c r="H2816" s="1" t="s">
        <v>123</v>
      </c>
      <c r="I2816">
        <v>24</v>
      </c>
      <c r="J2816">
        <v>3445</v>
      </c>
      <c r="K2816" s="1" t="s">
        <v>87</v>
      </c>
      <c r="L2816" s="1" t="s">
        <v>45</v>
      </c>
      <c r="M2816">
        <v>0.753</v>
      </c>
      <c r="N2816">
        <v>18066.2</v>
      </c>
      <c r="O2816">
        <v>18.065999999999999</v>
      </c>
      <c r="P2816" s="2">
        <v>42917</v>
      </c>
      <c r="Q2816">
        <v>1</v>
      </c>
      <c r="R2816" s="1" t="s">
        <v>122</v>
      </c>
    </row>
    <row r="2817" spans="1:18" x14ac:dyDescent="0.25">
      <c r="A2817">
        <v>2017</v>
      </c>
      <c r="B2817">
        <v>8</v>
      </c>
      <c r="C2817" s="1" t="s">
        <v>31</v>
      </c>
      <c r="D2817" s="1" t="s">
        <v>19</v>
      </c>
      <c r="E2817" s="1" t="s">
        <v>86</v>
      </c>
      <c r="F2817">
        <v>2013</v>
      </c>
      <c r="G2817">
        <v>4</v>
      </c>
      <c r="H2817" s="1" t="s">
        <v>123</v>
      </c>
      <c r="I2817">
        <v>24</v>
      </c>
      <c r="J2817">
        <v>3445</v>
      </c>
      <c r="K2817" s="1" t="s">
        <v>87</v>
      </c>
      <c r="L2817" s="1" t="s">
        <v>45</v>
      </c>
      <c r="M2817">
        <v>1.0469999999999999</v>
      </c>
      <c r="N2817">
        <v>25116.5</v>
      </c>
      <c r="O2817">
        <v>25.116</v>
      </c>
      <c r="P2817" s="2">
        <v>42948</v>
      </c>
      <c r="Q2817">
        <v>1</v>
      </c>
      <c r="R2817" s="1" t="s">
        <v>122</v>
      </c>
    </row>
    <row r="2818" spans="1:18" x14ac:dyDescent="0.25">
      <c r="A2818">
        <v>2017</v>
      </c>
      <c r="B2818">
        <v>9</v>
      </c>
      <c r="C2818" s="1" t="s">
        <v>32</v>
      </c>
      <c r="D2818" s="1" t="s">
        <v>19</v>
      </c>
      <c r="E2818" s="1" t="s">
        <v>86</v>
      </c>
      <c r="F2818">
        <v>2013</v>
      </c>
      <c r="G2818">
        <v>4</v>
      </c>
      <c r="H2818" s="1" t="s">
        <v>123</v>
      </c>
      <c r="I2818">
        <v>24</v>
      </c>
      <c r="J2818">
        <v>3445</v>
      </c>
      <c r="K2818" s="1" t="s">
        <v>87</v>
      </c>
      <c r="L2818" s="1" t="s">
        <v>45</v>
      </c>
      <c r="M2818">
        <v>0.749</v>
      </c>
      <c r="N2818">
        <v>17968.3</v>
      </c>
      <c r="O2818">
        <v>17.968</v>
      </c>
      <c r="P2818" s="2">
        <v>42979</v>
      </c>
      <c r="Q2818">
        <v>1</v>
      </c>
      <c r="R2818" s="1" t="s">
        <v>122</v>
      </c>
    </row>
    <row r="2819" spans="1:18" x14ac:dyDescent="0.25">
      <c r="A2819">
        <v>2017</v>
      </c>
      <c r="B2819">
        <v>10</v>
      </c>
      <c r="C2819" s="1" t="s">
        <v>33</v>
      </c>
      <c r="D2819" s="1" t="s">
        <v>19</v>
      </c>
      <c r="E2819" s="1" t="s">
        <v>86</v>
      </c>
      <c r="F2819">
        <v>2013</v>
      </c>
      <c r="G2819">
        <v>4</v>
      </c>
      <c r="H2819" s="1" t="s">
        <v>123</v>
      </c>
      <c r="I2819">
        <v>24</v>
      </c>
      <c r="J2819">
        <v>3445</v>
      </c>
      <c r="K2819" s="1" t="s">
        <v>87</v>
      </c>
      <c r="L2819" s="1" t="s">
        <v>45</v>
      </c>
      <c r="M2819">
        <v>0.71899999999999997</v>
      </c>
      <c r="N2819">
        <v>17266.599999999999</v>
      </c>
      <c r="O2819">
        <v>17.266999999999999</v>
      </c>
      <c r="P2819" s="2">
        <v>43009</v>
      </c>
      <c r="Q2819">
        <v>1</v>
      </c>
      <c r="R2819" s="1" t="s">
        <v>122</v>
      </c>
    </row>
    <row r="2820" spans="1:18" x14ac:dyDescent="0.25">
      <c r="A2820">
        <v>2017</v>
      </c>
      <c r="B2820">
        <v>11</v>
      </c>
      <c r="C2820" s="1" t="s">
        <v>34</v>
      </c>
      <c r="D2820" s="1" t="s">
        <v>19</v>
      </c>
      <c r="E2820" s="1" t="s">
        <v>86</v>
      </c>
      <c r="F2820">
        <v>2013</v>
      </c>
      <c r="G2820">
        <v>4</v>
      </c>
      <c r="H2820" s="1" t="s">
        <v>123</v>
      </c>
      <c r="I2820">
        <v>24</v>
      </c>
      <c r="J2820">
        <v>3445</v>
      </c>
      <c r="K2820" s="1" t="s">
        <v>87</v>
      </c>
      <c r="L2820" s="1" t="s">
        <v>45</v>
      </c>
      <c r="M2820">
        <v>0.74099999999999999</v>
      </c>
      <c r="N2820">
        <v>17772.5</v>
      </c>
      <c r="O2820">
        <v>17.771999999999998</v>
      </c>
      <c r="P2820" s="2">
        <v>43040</v>
      </c>
      <c r="Q2820">
        <v>1</v>
      </c>
      <c r="R2820" s="1" t="s">
        <v>122</v>
      </c>
    </row>
    <row r="2821" spans="1:18" x14ac:dyDescent="0.25">
      <c r="A2821">
        <v>2017</v>
      </c>
      <c r="B2821">
        <v>12</v>
      </c>
      <c r="C2821" s="1" t="s">
        <v>35</v>
      </c>
      <c r="D2821" s="1" t="s">
        <v>19</v>
      </c>
      <c r="E2821" s="1" t="s">
        <v>86</v>
      </c>
      <c r="F2821">
        <v>2013</v>
      </c>
      <c r="G2821">
        <v>4</v>
      </c>
      <c r="H2821" s="1" t="s">
        <v>123</v>
      </c>
      <c r="I2821">
        <v>24</v>
      </c>
      <c r="J2821">
        <v>3445</v>
      </c>
      <c r="K2821" s="1" t="s">
        <v>87</v>
      </c>
      <c r="L2821" s="1" t="s">
        <v>45</v>
      </c>
      <c r="M2821">
        <v>0.63100000000000001</v>
      </c>
      <c r="N2821">
        <v>15145</v>
      </c>
      <c r="O2821">
        <v>15.145</v>
      </c>
      <c r="P2821" s="2">
        <v>43070</v>
      </c>
      <c r="Q2821">
        <v>1</v>
      </c>
      <c r="R2821" s="1" t="s">
        <v>122</v>
      </c>
    </row>
    <row r="2822" spans="1:18" x14ac:dyDescent="0.25">
      <c r="A2822">
        <v>2017</v>
      </c>
      <c r="B2822">
        <v>1</v>
      </c>
      <c r="C2822" s="1" t="s">
        <v>18</v>
      </c>
      <c r="D2822" s="1" t="s">
        <v>19</v>
      </c>
      <c r="E2822" s="1" t="s">
        <v>88</v>
      </c>
      <c r="F2822">
        <v>2013</v>
      </c>
      <c r="G2822">
        <v>4</v>
      </c>
      <c r="H2822" s="1" t="s">
        <v>123</v>
      </c>
      <c r="I2822">
        <v>24</v>
      </c>
      <c r="J2822">
        <v>3271</v>
      </c>
      <c r="K2822" s="1" t="s">
        <v>89</v>
      </c>
      <c r="L2822" s="1" t="s">
        <v>45</v>
      </c>
      <c r="M2822">
        <v>0.71899999999999997</v>
      </c>
      <c r="N2822">
        <v>17266.599999999999</v>
      </c>
      <c r="O2822">
        <v>17.266999999999999</v>
      </c>
      <c r="P2822" s="2">
        <v>42736</v>
      </c>
      <c r="Q2822">
        <v>1</v>
      </c>
      <c r="R2822" s="1" t="s">
        <v>122</v>
      </c>
    </row>
    <row r="2823" spans="1:18" x14ac:dyDescent="0.25">
      <c r="A2823">
        <v>2017</v>
      </c>
      <c r="B2823">
        <v>2</v>
      </c>
      <c r="C2823" s="1" t="s">
        <v>25</v>
      </c>
      <c r="D2823" s="1" t="s">
        <v>19</v>
      </c>
      <c r="E2823" s="1" t="s">
        <v>88</v>
      </c>
      <c r="F2823">
        <v>2013</v>
      </c>
      <c r="G2823">
        <v>4</v>
      </c>
      <c r="H2823" s="1" t="s">
        <v>123</v>
      </c>
      <c r="I2823">
        <v>24</v>
      </c>
      <c r="J2823">
        <v>3271</v>
      </c>
      <c r="K2823" s="1" t="s">
        <v>89</v>
      </c>
      <c r="L2823" s="1" t="s">
        <v>45</v>
      </c>
      <c r="M2823">
        <v>0.44700000000000001</v>
      </c>
      <c r="N2823">
        <v>10722.2</v>
      </c>
      <c r="O2823">
        <v>10.722</v>
      </c>
      <c r="P2823" s="2">
        <v>42767</v>
      </c>
      <c r="Q2823">
        <v>1</v>
      </c>
      <c r="R2823" s="1" t="s">
        <v>122</v>
      </c>
    </row>
    <row r="2824" spans="1:18" x14ac:dyDescent="0.25">
      <c r="A2824">
        <v>2017</v>
      </c>
      <c r="B2824">
        <v>3</v>
      </c>
      <c r="C2824" s="1" t="s">
        <v>26</v>
      </c>
      <c r="D2824" s="1" t="s">
        <v>19</v>
      </c>
      <c r="E2824" s="1" t="s">
        <v>88</v>
      </c>
      <c r="F2824">
        <v>2013</v>
      </c>
      <c r="G2824">
        <v>4</v>
      </c>
      <c r="H2824" s="1" t="s">
        <v>123</v>
      </c>
      <c r="I2824">
        <v>24</v>
      </c>
      <c r="J2824">
        <v>3271</v>
      </c>
      <c r="K2824" s="1" t="s">
        <v>89</v>
      </c>
      <c r="L2824" s="1" t="s">
        <v>45</v>
      </c>
      <c r="M2824">
        <v>0.72399999999999998</v>
      </c>
      <c r="N2824">
        <v>17380.8</v>
      </c>
      <c r="O2824">
        <v>17.381</v>
      </c>
      <c r="P2824" s="2">
        <v>42795</v>
      </c>
      <c r="Q2824">
        <v>1</v>
      </c>
      <c r="R2824" s="1" t="s">
        <v>122</v>
      </c>
    </row>
    <row r="2825" spans="1:18" x14ac:dyDescent="0.25">
      <c r="A2825">
        <v>2017</v>
      </c>
      <c r="B2825">
        <v>4</v>
      </c>
      <c r="C2825" s="1" t="s">
        <v>27</v>
      </c>
      <c r="D2825" s="1" t="s">
        <v>19</v>
      </c>
      <c r="E2825" s="1" t="s">
        <v>88</v>
      </c>
      <c r="F2825">
        <v>2013</v>
      </c>
      <c r="G2825">
        <v>4</v>
      </c>
      <c r="H2825" s="1" t="s">
        <v>123</v>
      </c>
      <c r="I2825">
        <v>24</v>
      </c>
      <c r="J2825">
        <v>3271</v>
      </c>
      <c r="K2825" s="1" t="s">
        <v>89</v>
      </c>
      <c r="L2825" s="1" t="s">
        <v>45</v>
      </c>
      <c r="M2825">
        <v>0.97899999999999998</v>
      </c>
      <c r="N2825">
        <v>23500.799999999999</v>
      </c>
      <c r="O2825">
        <v>23.501000000000001</v>
      </c>
      <c r="P2825" s="2">
        <v>42826</v>
      </c>
      <c r="Q2825">
        <v>1</v>
      </c>
      <c r="R2825" s="1" t="s">
        <v>122</v>
      </c>
    </row>
    <row r="2826" spans="1:18" x14ac:dyDescent="0.25">
      <c r="A2826">
        <v>2017</v>
      </c>
      <c r="B2826">
        <v>5</v>
      </c>
      <c r="C2826" s="1" t="s">
        <v>28</v>
      </c>
      <c r="D2826" s="1" t="s">
        <v>19</v>
      </c>
      <c r="E2826" s="1" t="s">
        <v>88</v>
      </c>
      <c r="F2826">
        <v>2013</v>
      </c>
      <c r="G2826">
        <v>4</v>
      </c>
      <c r="H2826" s="1" t="s">
        <v>123</v>
      </c>
      <c r="I2826">
        <v>24</v>
      </c>
      <c r="J2826">
        <v>3271</v>
      </c>
      <c r="K2826" s="1" t="s">
        <v>89</v>
      </c>
      <c r="L2826" s="1" t="s">
        <v>45</v>
      </c>
      <c r="M2826">
        <v>0.90400000000000003</v>
      </c>
      <c r="N2826">
        <v>21689.3</v>
      </c>
      <c r="O2826">
        <v>21.689</v>
      </c>
      <c r="P2826" s="2">
        <v>42856</v>
      </c>
      <c r="Q2826">
        <v>1</v>
      </c>
      <c r="R2826" s="1" t="s">
        <v>122</v>
      </c>
    </row>
    <row r="2827" spans="1:18" x14ac:dyDescent="0.25">
      <c r="A2827">
        <v>2017</v>
      </c>
      <c r="B2827">
        <v>6</v>
      </c>
      <c r="C2827" s="1" t="s">
        <v>29</v>
      </c>
      <c r="D2827" s="1" t="s">
        <v>19</v>
      </c>
      <c r="E2827" s="1" t="s">
        <v>88</v>
      </c>
      <c r="F2827">
        <v>2013</v>
      </c>
      <c r="G2827">
        <v>4</v>
      </c>
      <c r="H2827" s="1" t="s">
        <v>123</v>
      </c>
      <c r="I2827">
        <v>24</v>
      </c>
      <c r="J2827">
        <v>3271</v>
      </c>
      <c r="K2827" s="1" t="s">
        <v>89</v>
      </c>
      <c r="L2827" s="1" t="s">
        <v>45</v>
      </c>
      <c r="M2827">
        <v>0.749</v>
      </c>
      <c r="N2827">
        <v>17984.599999999999</v>
      </c>
      <c r="O2827">
        <v>17.984999999999999</v>
      </c>
      <c r="P2827" s="2">
        <v>42887</v>
      </c>
      <c r="Q2827">
        <v>1</v>
      </c>
      <c r="R2827" s="1" t="s">
        <v>122</v>
      </c>
    </row>
    <row r="2828" spans="1:18" x14ac:dyDescent="0.25">
      <c r="A2828">
        <v>2017</v>
      </c>
      <c r="B2828">
        <v>7</v>
      </c>
      <c r="C2828" s="1" t="s">
        <v>30</v>
      </c>
      <c r="D2828" s="1" t="s">
        <v>19</v>
      </c>
      <c r="E2828" s="1" t="s">
        <v>88</v>
      </c>
      <c r="F2828">
        <v>2013</v>
      </c>
      <c r="G2828">
        <v>4</v>
      </c>
      <c r="H2828" s="1" t="s">
        <v>123</v>
      </c>
      <c r="I2828">
        <v>24</v>
      </c>
      <c r="J2828">
        <v>3271</v>
      </c>
      <c r="K2828" s="1" t="s">
        <v>89</v>
      </c>
      <c r="L2828" s="1" t="s">
        <v>45</v>
      </c>
      <c r="M2828">
        <v>0.753</v>
      </c>
      <c r="N2828">
        <v>18066.2</v>
      </c>
      <c r="O2828">
        <v>18.065999999999999</v>
      </c>
      <c r="P2828" s="2">
        <v>42917</v>
      </c>
      <c r="Q2828">
        <v>1</v>
      </c>
      <c r="R2828" s="1" t="s">
        <v>122</v>
      </c>
    </row>
    <row r="2829" spans="1:18" x14ac:dyDescent="0.25">
      <c r="A2829">
        <v>2017</v>
      </c>
      <c r="B2829">
        <v>8</v>
      </c>
      <c r="C2829" s="1" t="s">
        <v>31</v>
      </c>
      <c r="D2829" s="1" t="s">
        <v>19</v>
      </c>
      <c r="E2829" s="1" t="s">
        <v>88</v>
      </c>
      <c r="F2829">
        <v>2013</v>
      </c>
      <c r="G2829">
        <v>4</v>
      </c>
      <c r="H2829" s="1" t="s">
        <v>123</v>
      </c>
      <c r="I2829">
        <v>24</v>
      </c>
      <c r="J2829">
        <v>3271</v>
      </c>
      <c r="K2829" s="1" t="s">
        <v>89</v>
      </c>
      <c r="L2829" s="1" t="s">
        <v>45</v>
      </c>
      <c r="M2829">
        <v>1.0469999999999999</v>
      </c>
      <c r="N2829">
        <v>25116.5</v>
      </c>
      <c r="O2829">
        <v>25.116</v>
      </c>
      <c r="P2829" s="2">
        <v>42948</v>
      </c>
      <c r="Q2829">
        <v>1</v>
      </c>
      <c r="R2829" s="1" t="s">
        <v>122</v>
      </c>
    </row>
    <row r="2830" spans="1:18" x14ac:dyDescent="0.25">
      <c r="A2830">
        <v>2017</v>
      </c>
      <c r="B2830">
        <v>9</v>
      </c>
      <c r="C2830" s="1" t="s">
        <v>32</v>
      </c>
      <c r="D2830" s="1" t="s">
        <v>19</v>
      </c>
      <c r="E2830" s="1" t="s">
        <v>88</v>
      </c>
      <c r="F2830">
        <v>2013</v>
      </c>
      <c r="G2830">
        <v>4</v>
      </c>
      <c r="H2830" s="1" t="s">
        <v>123</v>
      </c>
      <c r="I2830">
        <v>24</v>
      </c>
      <c r="J2830">
        <v>3271</v>
      </c>
      <c r="K2830" s="1" t="s">
        <v>89</v>
      </c>
      <c r="L2830" s="1" t="s">
        <v>45</v>
      </c>
      <c r="M2830">
        <v>0.749</v>
      </c>
      <c r="N2830">
        <v>17968.3</v>
      </c>
      <c r="O2830">
        <v>17.968</v>
      </c>
      <c r="P2830" s="2">
        <v>42979</v>
      </c>
      <c r="Q2830">
        <v>1</v>
      </c>
      <c r="R2830" s="1" t="s">
        <v>122</v>
      </c>
    </row>
    <row r="2831" spans="1:18" x14ac:dyDescent="0.25">
      <c r="A2831">
        <v>2017</v>
      </c>
      <c r="B2831">
        <v>10</v>
      </c>
      <c r="C2831" s="1" t="s">
        <v>33</v>
      </c>
      <c r="D2831" s="1" t="s">
        <v>19</v>
      </c>
      <c r="E2831" s="1" t="s">
        <v>88</v>
      </c>
      <c r="F2831">
        <v>2013</v>
      </c>
      <c r="G2831">
        <v>4</v>
      </c>
      <c r="H2831" s="1" t="s">
        <v>123</v>
      </c>
      <c r="I2831">
        <v>24</v>
      </c>
      <c r="J2831">
        <v>3271</v>
      </c>
      <c r="K2831" s="1" t="s">
        <v>89</v>
      </c>
      <c r="L2831" s="1" t="s">
        <v>45</v>
      </c>
      <c r="M2831">
        <v>0.71899999999999997</v>
      </c>
      <c r="N2831">
        <v>17266.599999999999</v>
      </c>
      <c r="O2831">
        <v>17.266999999999999</v>
      </c>
      <c r="P2831" s="2">
        <v>43009</v>
      </c>
      <c r="Q2831">
        <v>1</v>
      </c>
      <c r="R2831" s="1" t="s">
        <v>122</v>
      </c>
    </row>
    <row r="2832" spans="1:18" x14ac:dyDescent="0.25">
      <c r="A2832">
        <v>2017</v>
      </c>
      <c r="B2832">
        <v>11</v>
      </c>
      <c r="C2832" s="1" t="s">
        <v>34</v>
      </c>
      <c r="D2832" s="1" t="s">
        <v>19</v>
      </c>
      <c r="E2832" s="1" t="s">
        <v>88</v>
      </c>
      <c r="F2832">
        <v>2013</v>
      </c>
      <c r="G2832">
        <v>4</v>
      </c>
      <c r="H2832" s="1" t="s">
        <v>123</v>
      </c>
      <c r="I2832">
        <v>24</v>
      </c>
      <c r="J2832">
        <v>3271</v>
      </c>
      <c r="K2832" s="1" t="s">
        <v>89</v>
      </c>
      <c r="L2832" s="1" t="s">
        <v>45</v>
      </c>
      <c r="M2832">
        <v>0.74099999999999999</v>
      </c>
      <c r="N2832">
        <v>17772.5</v>
      </c>
      <c r="O2832">
        <v>17.771999999999998</v>
      </c>
      <c r="P2832" s="2">
        <v>43040</v>
      </c>
      <c r="Q2832">
        <v>1</v>
      </c>
      <c r="R2832" s="1" t="s">
        <v>122</v>
      </c>
    </row>
    <row r="2833" spans="1:18" x14ac:dyDescent="0.25">
      <c r="A2833">
        <v>2017</v>
      </c>
      <c r="B2833">
        <v>12</v>
      </c>
      <c r="C2833" s="1" t="s">
        <v>35</v>
      </c>
      <c r="D2833" s="1" t="s">
        <v>19</v>
      </c>
      <c r="E2833" s="1" t="s">
        <v>88</v>
      </c>
      <c r="F2833">
        <v>2013</v>
      </c>
      <c r="G2833">
        <v>4</v>
      </c>
      <c r="H2833" s="1" t="s">
        <v>123</v>
      </c>
      <c r="I2833">
        <v>24</v>
      </c>
      <c r="J2833">
        <v>3271</v>
      </c>
      <c r="K2833" s="1" t="s">
        <v>89</v>
      </c>
      <c r="L2833" s="1" t="s">
        <v>45</v>
      </c>
      <c r="M2833">
        <v>0.63100000000000001</v>
      </c>
      <c r="N2833">
        <v>15145</v>
      </c>
      <c r="O2833">
        <v>15.145</v>
      </c>
      <c r="P2833" s="2">
        <v>43070</v>
      </c>
      <c r="Q2833">
        <v>1</v>
      </c>
      <c r="R2833" s="1" t="s">
        <v>122</v>
      </c>
    </row>
    <row r="2834" spans="1:18" x14ac:dyDescent="0.25">
      <c r="A2834">
        <v>2017</v>
      </c>
      <c r="B2834">
        <v>1</v>
      </c>
      <c r="C2834" s="1" t="s">
        <v>18</v>
      </c>
      <c r="D2834" s="1" t="s">
        <v>19</v>
      </c>
      <c r="E2834" s="1" t="s">
        <v>90</v>
      </c>
      <c r="F2834">
        <v>2013</v>
      </c>
      <c r="G2834">
        <v>4</v>
      </c>
      <c r="H2834" s="1" t="s">
        <v>123</v>
      </c>
      <c r="I2834">
        <v>25</v>
      </c>
      <c r="J2834">
        <v>3291</v>
      </c>
      <c r="K2834" s="1" t="s">
        <v>91</v>
      </c>
      <c r="L2834" s="1" t="s">
        <v>45</v>
      </c>
      <c r="M2834">
        <v>0.71899999999999997</v>
      </c>
      <c r="N2834">
        <v>17986</v>
      </c>
      <c r="O2834">
        <v>17.986000000000001</v>
      </c>
      <c r="P2834" s="2">
        <v>42736</v>
      </c>
      <c r="Q2834">
        <v>1</v>
      </c>
      <c r="R2834" s="1" t="s">
        <v>122</v>
      </c>
    </row>
    <row r="2835" spans="1:18" x14ac:dyDescent="0.25">
      <c r="A2835">
        <v>2017</v>
      </c>
      <c r="B2835">
        <v>2</v>
      </c>
      <c r="C2835" s="1" t="s">
        <v>25</v>
      </c>
      <c r="D2835" s="1" t="s">
        <v>19</v>
      </c>
      <c r="E2835" s="1" t="s">
        <v>90</v>
      </c>
      <c r="F2835">
        <v>2013</v>
      </c>
      <c r="G2835">
        <v>4</v>
      </c>
      <c r="H2835" s="1" t="s">
        <v>123</v>
      </c>
      <c r="I2835">
        <v>25</v>
      </c>
      <c r="J2835">
        <v>3291</v>
      </c>
      <c r="K2835" s="1" t="s">
        <v>91</v>
      </c>
      <c r="L2835" s="1" t="s">
        <v>45</v>
      </c>
      <c r="M2835">
        <v>0.44700000000000001</v>
      </c>
      <c r="N2835">
        <v>11169</v>
      </c>
      <c r="O2835">
        <v>11.169</v>
      </c>
      <c r="P2835" s="2">
        <v>42767</v>
      </c>
      <c r="Q2835">
        <v>1</v>
      </c>
      <c r="R2835" s="1" t="s">
        <v>122</v>
      </c>
    </row>
    <row r="2836" spans="1:18" x14ac:dyDescent="0.25">
      <c r="A2836">
        <v>2017</v>
      </c>
      <c r="B2836">
        <v>3</v>
      </c>
      <c r="C2836" s="1" t="s">
        <v>26</v>
      </c>
      <c r="D2836" s="1" t="s">
        <v>19</v>
      </c>
      <c r="E2836" s="1" t="s">
        <v>90</v>
      </c>
      <c r="F2836">
        <v>2013</v>
      </c>
      <c r="G2836">
        <v>4</v>
      </c>
      <c r="H2836" s="1" t="s">
        <v>123</v>
      </c>
      <c r="I2836">
        <v>25</v>
      </c>
      <c r="J2836">
        <v>3291</v>
      </c>
      <c r="K2836" s="1" t="s">
        <v>91</v>
      </c>
      <c r="L2836" s="1" t="s">
        <v>45</v>
      </c>
      <c r="M2836">
        <v>0.72399999999999998</v>
      </c>
      <c r="N2836">
        <v>18105</v>
      </c>
      <c r="O2836">
        <v>18.105</v>
      </c>
      <c r="P2836" s="2">
        <v>42795</v>
      </c>
      <c r="Q2836">
        <v>1</v>
      </c>
      <c r="R2836" s="1" t="s">
        <v>122</v>
      </c>
    </row>
    <row r="2837" spans="1:18" x14ac:dyDescent="0.25">
      <c r="A2837">
        <v>2017</v>
      </c>
      <c r="B2837">
        <v>4</v>
      </c>
      <c r="C2837" s="1" t="s">
        <v>27</v>
      </c>
      <c r="D2837" s="1" t="s">
        <v>19</v>
      </c>
      <c r="E2837" s="1" t="s">
        <v>90</v>
      </c>
      <c r="F2837">
        <v>2013</v>
      </c>
      <c r="G2837">
        <v>4</v>
      </c>
      <c r="H2837" s="1" t="s">
        <v>123</v>
      </c>
      <c r="I2837">
        <v>25</v>
      </c>
      <c r="J2837">
        <v>3291</v>
      </c>
      <c r="K2837" s="1" t="s">
        <v>91</v>
      </c>
      <c r="L2837" s="1" t="s">
        <v>45</v>
      </c>
      <c r="M2837">
        <v>0.97899999999999998</v>
      </c>
      <c r="N2837">
        <v>24480</v>
      </c>
      <c r="O2837">
        <v>24.48</v>
      </c>
      <c r="P2837" s="2">
        <v>42826</v>
      </c>
      <c r="Q2837">
        <v>1</v>
      </c>
      <c r="R2837" s="1" t="s">
        <v>122</v>
      </c>
    </row>
    <row r="2838" spans="1:18" x14ac:dyDescent="0.25">
      <c r="A2838">
        <v>2017</v>
      </c>
      <c r="B2838">
        <v>5</v>
      </c>
      <c r="C2838" s="1" t="s">
        <v>28</v>
      </c>
      <c r="D2838" s="1" t="s">
        <v>19</v>
      </c>
      <c r="E2838" s="1" t="s">
        <v>90</v>
      </c>
      <c r="F2838">
        <v>2013</v>
      </c>
      <c r="G2838">
        <v>4</v>
      </c>
      <c r="H2838" s="1" t="s">
        <v>123</v>
      </c>
      <c r="I2838">
        <v>25</v>
      </c>
      <c r="J2838">
        <v>3291</v>
      </c>
      <c r="K2838" s="1" t="s">
        <v>91</v>
      </c>
      <c r="L2838" s="1" t="s">
        <v>45</v>
      </c>
      <c r="M2838">
        <v>0.90400000000000003</v>
      </c>
      <c r="N2838">
        <v>22593</v>
      </c>
      <c r="O2838">
        <v>22.593</v>
      </c>
      <c r="P2838" s="2">
        <v>42856</v>
      </c>
      <c r="Q2838">
        <v>1</v>
      </c>
      <c r="R2838" s="1" t="s">
        <v>122</v>
      </c>
    </row>
    <row r="2839" spans="1:18" x14ac:dyDescent="0.25">
      <c r="A2839">
        <v>2017</v>
      </c>
      <c r="B2839">
        <v>6</v>
      </c>
      <c r="C2839" s="1" t="s">
        <v>29</v>
      </c>
      <c r="D2839" s="1" t="s">
        <v>19</v>
      </c>
      <c r="E2839" s="1" t="s">
        <v>90</v>
      </c>
      <c r="F2839">
        <v>2013</v>
      </c>
      <c r="G2839">
        <v>4</v>
      </c>
      <c r="H2839" s="1" t="s">
        <v>123</v>
      </c>
      <c r="I2839">
        <v>25</v>
      </c>
      <c r="J2839">
        <v>3291</v>
      </c>
      <c r="K2839" s="1" t="s">
        <v>91</v>
      </c>
      <c r="L2839" s="1" t="s">
        <v>45</v>
      </c>
      <c r="M2839">
        <v>0.749</v>
      </c>
      <c r="N2839">
        <v>18734</v>
      </c>
      <c r="O2839">
        <v>18.734000000000002</v>
      </c>
      <c r="P2839" s="2">
        <v>42887</v>
      </c>
      <c r="Q2839">
        <v>1</v>
      </c>
      <c r="R2839" s="1" t="s">
        <v>122</v>
      </c>
    </row>
    <row r="2840" spans="1:18" x14ac:dyDescent="0.25">
      <c r="A2840">
        <v>2017</v>
      </c>
      <c r="B2840">
        <v>7</v>
      </c>
      <c r="C2840" s="1" t="s">
        <v>30</v>
      </c>
      <c r="D2840" s="1" t="s">
        <v>19</v>
      </c>
      <c r="E2840" s="1" t="s">
        <v>90</v>
      </c>
      <c r="F2840">
        <v>2013</v>
      </c>
      <c r="G2840">
        <v>4</v>
      </c>
      <c r="H2840" s="1" t="s">
        <v>123</v>
      </c>
      <c r="I2840">
        <v>25</v>
      </c>
      <c r="J2840">
        <v>3291</v>
      </c>
      <c r="K2840" s="1" t="s">
        <v>91</v>
      </c>
      <c r="L2840" s="1" t="s">
        <v>45</v>
      </c>
      <c r="M2840">
        <v>0.753</v>
      </c>
      <c r="N2840">
        <v>18819</v>
      </c>
      <c r="O2840">
        <v>18.818999999999999</v>
      </c>
      <c r="P2840" s="2">
        <v>42917</v>
      </c>
      <c r="Q2840">
        <v>1</v>
      </c>
      <c r="R2840" s="1" t="s">
        <v>122</v>
      </c>
    </row>
    <row r="2841" spans="1:18" x14ac:dyDescent="0.25">
      <c r="A2841">
        <v>2017</v>
      </c>
      <c r="B2841">
        <v>8</v>
      </c>
      <c r="C2841" s="1" t="s">
        <v>31</v>
      </c>
      <c r="D2841" s="1" t="s">
        <v>19</v>
      </c>
      <c r="E2841" s="1" t="s">
        <v>90</v>
      </c>
      <c r="F2841">
        <v>2013</v>
      </c>
      <c r="G2841">
        <v>4</v>
      </c>
      <c r="H2841" s="1" t="s">
        <v>123</v>
      </c>
      <c r="I2841">
        <v>25</v>
      </c>
      <c r="J2841">
        <v>3291</v>
      </c>
      <c r="K2841" s="1" t="s">
        <v>91</v>
      </c>
      <c r="L2841" s="1" t="s">
        <v>45</v>
      </c>
      <c r="M2841">
        <v>1.0469999999999999</v>
      </c>
      <c r="N2841">
        <v>26163</v>
      </c>
      <c r="O2841">
        <v>26.163</v>
      </c>
      <c r="P2841" s="2">
        <v>42948</v>
      </c>
      <c r="Q2841">
        <v>1</v>
      </c>
      <c r="R2841" s="1" t="s">
        <v>122</v>
      </c>
    </row>
    <row r="2842" spans="1:18" x14ac:dyDescent="0.25">
      <c r="A2842">
        <v>2017</v>
      </c>
      <c r="B2842">
        <v>9</v>
      </c>
      <c r="C2842" s="1" t="s">
        <v>32</v>
      </c>
      <c r="D2842" s="1" t="s">
        <v>19</v>
      </c>
      <c r="E2842" s="1" t="s">
        <v>90</v>
      </c>
      <c r="F2842">
        <v>2013</v>
      </c>
      <c r="G2842">
        <v>4</v>
      </c>
      <c r="H2842" s="1" t="s">
        <v>123</v>
      </c>
      <c r="I2842">
        <v>25</v>
      </c>
      <c r="J2842">
        <v>3291</v>
      </c>
      <c r="K2842" s="1" t="s">
        <v>91</v>
      </c>
      <c r="L2842" s="1" t="s">
        <v>45</v>
      </c>
      <c r="M2842">
        <v>0.749</v>
      </c>
      <c r="N2842">
        <v>18717</v>
      </c>
      <c r="O2842">
        <v>18.716999999999999</v>
      </c>
      <c r="P2842" s="2">
        <v>42979</v>
      </c>
      <c r="Q2842">
        <v>1</v>
      </c>
      <c r="R2842" s="1" t="s">
        <v>122</v>
      </c>
    </row>
    <row r="2843" spans="1:18" x14ac:dyDescent="0.25">
      <c r="A2843">
        <v>2017</v>
      </c>
      <c r="B2843">
        <v>10</v>
      </c>
      <c r="C2843" s="1" t="s">
        <v>33</v>
      </c>
      <c r="D2843" s="1" t="s">
        <v>19</v>
      </c>
      <c r="E2843" s="1" t="s">
        <v>90</v>
      </c>
      <c r="F2843">
        <v>2013</v>
      </c>
      <c r="G2843">
        <v>4</v>
      </c>
      <c r="H2843" s="1" t="s">
        <v>123</v>
      </c>
      <c r="I2843">
        <v>25</v>
      </c>
      <c r="J2843">
        <v>3291</v>
      </c>
      <c r="K2843" s="1" t="s">
        <v>91</v>
      </c>
      <c r="L2843" s="1" t="s">
        <v>45</v>
      </c>
      <c r="M2843">
        <v>0.71899999999999997</v>
      </c>
      <c r="N2843">
        <v>17986</v>
      </c>
      <c r="O2843">
        <v>17.986000000000001</v>
      </c>
      <c r="P2843" s="2">
        <v>43009</v>
      </c>
      <c r="Q2843">
        <v>1</v>
      </c>
      <c r="R2843" s="1" t="s">
        <v>122</v>
      </c>
    </row>
    <row r="2844" spans="1:18" x14ac:dyDescent="0.25">
      <c r="A2844">
        <v>2017</v>
      </c>
      <c r="B2844">
        <v>11</v>
      </c>
      <c r="C2844" s="1" t="s">
        <v>34</v>
      </c>
      <c r="D2844" s="1" t="s">
        <v>19</v>
      </c>
      <c r="E2844" s="1" t="s">
        <v>90</v>
      </c>
      <c r="F2844">
        <v>2013</v>
      </c>
      <c r="G2844">
        <v>4</v>
      </c>
      <c r="H2844" s="1" t="s">
        <v>123</v>
      </c>
      <c r="I2844">
        <v>25</v>
      </c>
      <c r="J2844">
        <v>3291</v>
      </c>
      <c r="K2844" s="1" t="s">
        <v>91</v>
      </c>
      <c r="L2844" s="1" t="s">
        <v>45</v>
      </c>
      <c r="M2844">
        <v>0.74099999999999999</v>
      </c>
      <c r="N2844">
        <v>18513</v>
      </c>
      <c r="O2844">
        <v>18.513000000000002</v>
      </c>
      <c r="P2844" s="2">
        <v>43040</v>
      </c>
      <c r="Q2844">
        <v>1</v>
      </c>
      <c r="R2844" s="1" t="s">
        <v>122</v>
      </c>
    </row>
    <row r="2845" spans="1:18" x14ac:dyDescent="0.25">
      <c r="A2845">
        <v>2017</v>
      </c>
      <c r="B2845">
        <v>12</v>
      </c>
      <c r="C2845" s="1" t="s">
        <v>35</v>
      </c>
      <c r="D2845" s="1" t="s">
        <v>19</v>
      </c>
      <c r="E2845" s="1" t="s">
        <v>90</v>
      </c>
      <c r="F2845">
        <v>2013</v>
      </c>
      <c r="G2845">
        <v>4</v>
      </c>
      <c r="H2845" s="1" t="s">
        <v>123</v>
      </c>
      <c r="I2845">
        <v>25</v>
      </c>
      <c r="J2845">
        <v>3291</v>
      </c>
      <c r="K2845" s="1" t="s">
        <v>91</v>
      </c>
      <c r="L2845" s="1" t="s">
        <v>45</v>
      </c>
      <c r="M2845">
        <v>0.63100000000000001</v>
      </c>
      <c r="N2845">
        <v>15776</v>
      </c>
      <c r="O2845">
        <v>15.776</v>
      </c>
      <c r="P2845" s="2">
        <v>43070</v>
      </c>
      <c r="Q2845">
        <v>1</v>
      </c>
      <c r="R2845" s="1" t="s">
        <v>122</v>
      </c>
    </row>
    <row r="2846" spans="1:18" x14ac:dyDescent="0.25">
      <c r="A2846">
        <v>2017</v>
      </c>
      <c r="B2846">
        <v>1</v>
      </c>
      <c r="C2846" s="1" t="s">
        <v>18</v>
      </c>
      <c r="D2846" s="1" t="s">
        <v>19</v>
      </c>
      <c r="E2846" s="1" t="s">
        <v>92</v>
      </c>
      <c r="F2846">
        <v>2014</v>
      </c>
      <c r="G2846">
        <v>3</v>
      </c>
      <c r="H2846" s="1" t="s">
        <v>121</v>
      </c>
      <c r="I2846">
        <v>24</v>
      </c>
      <c r="J2846">
        <v>2208</v>
      </c>
      <c r="K2846" s="1" t="s">
        <v>93</v>
      </c>
      <c r="L2846" s="1" t="s">
        <v>45</v>
      </c>
      <c r="M2846">
        <v>0.40200000000000002</v>
      </c>
      <c r="N2846">
        <v>9649</v>
      </c>
      <c r="O2846">
        <v>9.6489999999999991</v>
      </c>
      <c r="P2846" s="2">
        <v>42736</v>
      </c>
      <c r="Q2846">
        <v>1</v>
      </c>
      <c r="R2846" s="1" t="s">
        <v>122</v>
      </c>
    </row>
    <row r="2847" spans="1:18" x14ac:dyDescent="0.25">
      <c r="A2847">
        <v>2017</v>
      </c>
      <c r="B2847">
        <v>2</v>
      </c>
      <c r="C2847" s="1" t="s">
        <v>25</v>
      </c>
      <c r="D2847" s="1" t="s">
        <v>19</v>
      </c>
      <c r="E2847" s="1" t="s">
        <v>92</v>
      </c>
      <c r="F2847">
        <v>2014</v>
      </c>
      <c r="G2847">
        <v>3</v>
      </c>
      <c r="H2847" s="1" t="s">
        <v>121</v>
      </c>
      <c r="I2847">
        <v>24</v>
      </c>
      <c r="J2847">
        <v>2208</v>
      </c>
      <c r="K2847" s="1" t="s">
        <v>93</v>
      </c>
      <c r="L2847" s="1" t="s">
        <v>45</v>
      </c>
      <c r="M2847">
        <v>0.25</v>
      </c>
      <c r="N2847">
        <v>5991.8</v>
      </c>
      <c r="O2847">
        <v>5.992</v>
      </c>
      <c r="P2847" s="2">
        <v>42767</v>
      </c>
      <c r="Q2847">
        <v>1</v>
      </c>
      <c r="R2847" s="1" t="s">
        <v>122</v>
      </c>
    </row>
    <row r="2848" spans="1:18" x14ac:dyDescent="0.25">
      <c r="A2848">
        <v>2017</v>
      </c>
      <c r="B2848">
        <v>3</v>
      </c>
      <c r="C2848" s="1" t="s">
        <v>26</v>
      </c>
      <c r="D2848" s="1" t="s">
        <v>19</v>
      </c>
      <c r="E2848" s="1" t="s">
        <v>92</v>
      </c>
      <c r="F2848">
        <v>2014</v>
      </c>
      <c r="G2848">
        <v>3</v>
      </c>
      <c r="H2848" s="1" t="s">
        <v>121</v>
      </c>
      <c r="I2848">
        <v>24</v>
      </c>
      <c r="J2848">
        <v>2208</v>
      </c>
      <c r="K2848" s="1" t="s">
        <v>93</v>
      </c>
      <c r="L2848" s="1" t="s">
        <v>45</v>
      </c>
      <c r="M2848">
        <v>0.40500000000000003</v>
      </c>
      <c r="N2848">
        <v>9712.7999999999993</v>
      </c>
      <c r="O2848">
        <v>9.7129999999999992</v>
      </c>
      <c r="P2848" s="2">
        <v>42795</v>
      </c>
      <c r="Q2848">
        <v>1</v>
      </c>
      <c r="R2848" s="1" t="s">
        <v>122</v>
      </c>
    </row>
    <row r="2849" spans="1:18" x14ac:dyDescent="0.25">
      <c r="A2849">
        <v>2017</v>
      </c>
      <c r="B2849">
        <v>4</v>
      </c>
      <c r="C2849" s="1" t="s">
        <v>27</v>
      </c>
      <c r="D2849" s="1" t="s">
        <v>19</v>
      </c>
      <c r="E2849" s="1" t="s">
        <v>92</v>
      </c>
      <c r="F2849">
        <v>2014</v>
      </c>
      <c r="G2849">
        <v>3</v>
      </c>
      <c r="H2849" s="1" t="s">
        <v>121</v>
      </c>
      <c r="I2849">
        <v>24</v>
      </c>
      <c r="J2849">
        <v>2208</v>
      </c>
      <c r="K2849" s="1" t="s">
        <v>93</v>
      </c>
      <c r="L2849" s="1" t="s">
        <v>45</v>
      </c>
      <c r="M2849">
        <v>0.54700000000000004</v>
      </c>
      <c r="N2849">
        <v>13132.8</v>
      </c>
      <c r="O2849">
        <v>13.132999999999999</v>
      </c>
      <c r="P2849" s="2">
        <v>42826</v>
      </c>
      <c r="Q2849">
        <v>1</v>
      </c>
      <c r="R2849" s="1" t="s">
        <v>122</v>
      </c>
    </row>
    <row r="2850" spans="1:18" x14ac:dyDescent="0.25">
      <c r="A2850">
        <v>2017</v>
      </c>
      <c r="B2850">
        <v>5</v>
      </c>
      <c r="C2850" s="1" t="s">
        <v>28</v>
      </c>
      <c r="D2850" s="1" t="s">
        <v>19</v>
      </c>
      <c r="E2850" s="1" t="s">
        <v>92</v>
      </c>
      <c r="F2850">
        <v>2014</v>
      </c>
      <c r="G2850">
        <v>3</v>
      </c>
      <c r="H2850" s="1" t="s">
        <v>121</v>
      </c>
      <c r="I2850">
        <v>24</v>
      </c>
      <c r="J2850">
        <v>2208</v>
      </c>
      <c r="K2850" s="1" t="s">
        <v>93</v>
      </c>
      <c r="L2850" s="1" t="s">
        <v>45</v>
      </c>
      <c r="M2850">
        <v>0.505</v>
      </c>
      <c r="N2850">
        <v>12120.5</v>
      </c>
      <c r="O2850">
        <v>12.12</v>
      </c>
      <c r="P2850" s="2">
        <v>42856</v>
      </c>
      <c r="Q2850">
        <v>1</v>
      </c>
      <c r="R2850" s="1" t="s">
        <v>122</v>
      </c>
    </row>
    <row r="2851" spans="1:18" x14ac:dyDescent="0.25">
      <c r="A2851">
        <v>2017</v>
      </c>
      <c r="B2851">
        <v>6</v>
      </c>
      <c r="C2851" s="1" t="s">
        <v>29</v>
      </c>
      <c r="D2851" s="1" t="s">
        <v>19</v>
      </c>
      <c r="E2851" s="1" t="s">
        <v>92</v>
      </c>
      <c r="F2851">
        <v>2014</v>
      </c>
      <c r="G2851">
        <v>3</v>
      </c>
      <c r="H2851" s="1" t="s">
        <v>121</v>
      </c>
      <c r="I2851">
        <v>24</v>
      </c>
      <c r="J2851">
        <v>2208</v>
      </c>
      <c r="K2851" s="1" t="s">
        <v>93</v>
      </c>
      <c r="L2851" s="1" t="s">
        <v>45</v>
      </c>
      <c r="M2851">
        <v>0.41899999999999998</v>
      </c>
      <c r="N2851">
        <v>10050.200000000001</v>
      </c>
      <c r="O2851">
        <v>10.050000000000001</v>
      </c>
      <c r="P2851" s="2">
        <v>42887</v>
      </c>
      <c r="Q2851">
        <v>1</v>
      </c>
      <c r="R2851" s="1" t="s">
        <v>122</v>
      </c>
    </row>
    <row r="2852" spans="1:18" x14ac:dyDescent="0.25">
      <c r="A2852">
        <v>2017</v>
      </c>
      <c r="B2852">
        <v>7</v>
      </c>
      <c r="C2852" s="1" t="s">
        <v>30</v>
      </c>
      <c r="D2852" s="1" t="s">
        <v>19</v>
      </c>
      <c r="E2852" s="1" t="s">
        <v>92</v>
      </c>
      <c r="F2852">
        <v>2014</v>
      </c>
      <c r="G2852">
        <v>3</v>
      </c>
      <c r="H2852" s="1" t="s">
        <v>121</v>
      </c>
      <c r="I2852">
        <v>24</v>
      </c>
      <c r="J2852">
        <v>2208</v>
      </c>
      <c r="K2852" s="1" t="s">
        <v>93</v>
      </c>
      <c r="L2852" s="1" t="s">
        <v>45</v>
      </c>
      <c r="M2852">
        <v>0.42099999999999999</v>
      </c>
      <c r="N2852">
        <v>10095.799999999999</v>
      </c>
      <c r="O2852">
        <v>10.096</v>
      </c>
      <c r="P2852" s="2">
        <v>42917</v>
      </c>
      <c r="Q2852">
        <v>1</v>
      </c>
      <c r="R2852" s="1" t="s">
        <v>122</v>
      </c>
    </row>
    <row r="2853" spans="1:18" x14ac:dyDescent="0.25">
      <c r="A2853">
        <v>2017</v>
      </c>
      <c r="B2853">
        <v>8</v>
      </c>
      <c r="C2853" s="1" t="s">
        <v>31</v>
      </c>
      <c r="D2853" s="1" t="s">
        <v>19</v>
      </c>
      <c r="E2853" s="1" t="s">
        <v>92</v>
      </c>
      <c r="F2853">
        <v>2014</v>
      </c>
      <c r="G2853">
        <v>3</v>
      </c>
      <c r="H2853" s="1" t="s">
        <v>121</v>
      </c>
      <c r="I2853">
        <v>24</v>
      </c>
      <c r="J2853">
        <v>2208</v>
      </c>
      <c r="K2853" s="1" t="s">
        <v>93</v>
      </c>
      <c r="L2853" s="1" t="s">
        <v>45</v>
      </c>
      <c r="M2853">
        <v>0.58499999999999996</v>
      </c>
      <c r="N2853">
        <v>14035.7</v>
      </c>
      <c r="O2853">
        <v>14.036</v>
      </c>
      <c r="P2853" s="2">
        <v>42948</v>
      </c>
      <c r="Q2853">
        <v>1</v>
      </c>
      <c r="R2853" s="1" t="s">
        <v>122</v>
      </c>
    </row>
    <row r="2854" spans="1:18" x14ac:dyDescent="0.25">
      <c r="A2854">
        <v>2017</v>
      </c>
      <c r="B2854">
        <v>9</v>
      </c>
      <c r="C2854" s="1" t="s">
        <v>32</v>
      </c>
      <c r="D2854" s="1" t="s">
        <v>19</v>
      </c>
      <c r="E2854" s="1" t="s">
        <v>92</v>
      </c>
      <c r="F2854">
        <v>2014</v>
      </c>
      <c r="G2854">
        <v>3</v>
      </c>
      <c r="H2854" s="1" t="s">
        <v>121</v>
      </c>
      <c r="I2854">
        <v>24</v>
      </c>
      <c r="J2854">
        <v>2208</v>
      </c>
      <c r="K2854" s="1" t="s">
        <v>93</v>
      </c>
      <c r="L2854" s="1" t="s">
        <v>45</v>
      </c>
      <c r="M2854">
        <v>0.41799999999999998</v>
      </c>
      <c r="N2854">
        <v>10041.1</v>
      </c>
      <c r="O2854">
        <v>10.041</v>
      </c>
      <c r="P2854" s="2">
        <v>42979</v>
      </c>
      <c r="Q2854">
        <v>1</v>
      </c>
      <c r="R2854" s="1" t="s">
        <v>122</v>
      </c>
    </row>
    <row r="2855" spans="1:18" x14ac:dyDescent="0.25">
      <c r="A2855">
        <v>2017</v>
      </c>
      <c r="B2855">
        <v>10</v>
      </c>
      <c r="C2855" s="1" t="s">
        <v>33</v>
      </c>
      <c r="D2855" s="1" t="s">
        <v>19</v>
      </c>
      <c r="E2855" s="1" t="s">
        <v>92</v>
      </c>
      <c r="F2855">
        <v>2014</v>
      </c>
      <c r="G2855">
        <v>3</v>
      </c>
      <c r="H2855" s="1" t="s">
        <v>121</v>
      </c>
      <c r="I2855">
        <v>24</v>
      </c>
      <c r="J2855">
        <v>2208</v>
      </c>
      <c r="K2855" s="1" t="s">
        <v>93</v>
      </c>
      <c r="L2855" s="1" t="s">
        <v>45</v>
      </c>
      <c r="M2855">
        <v>0.40200000000000002</v>
      </c>
      <c r="N2855">
        <v>9649</v>
      </c>
      <c r="O2855">
        <v>9.6489999999999991</v>
      </c>
      <c r="P2855" s="2">
        <v>43009</v>
      </c>
      <c r="Q2855">
        <v>1</v>
      </c>
      <c r="R2855" s="1" t="s">
        <v>122</v>
      </c>
    </row>
    <row r="2856" spans="1:18" x14ac:dyDescent="0.25">
      <c r="A2856">
        <v>2017</v>
      </c>
      <c r="B2856">
        <v>11</v>
      </c>
      <c r="C2856" s="1" t="s">
        <v>34</v>
      </c>
      <c r="D2856" s="1" t="s">
        <v>19</v>
      </c>
      <c r="E2856" s="1" t="s">
        <v>92</v>
      </c>
      <c r="F2856">
        <v>2014</v>
      </c>
      <c r="G2856">
        <v>3</v>
      </c>
      <c r="H2856" s="1" t="s">
        <v>121</v>
      </c>
      <c r="I2856">
        <v>24</v>
      </c>
      <c r="J2856">
        <v>2208</v>
      </c>
      <c r="K2856" s="1" t="s">
        <v>93</v>
      </c>
      <c r="L2856" s="1" t="s">
        <v>45</v>
      </c>
      <c r="M2856">
        <v>0.41399999999999998</v>
      </c>
      <c r="N2856">
        <v>9931.7000000000007</v>
      </c>
      <c r="O2856">
        <v>9.9320000000000004</v>
      </c>
      <c r="P2856" s="2">
        <v>43040</v>
      </c>
      <c r="Q2856">
        <v>1</v>
      </c>
      <c r="R2856" s="1" t="s">
        <v>122</v>
      </c>
    </row>
    <row r="2857" spans="1:18" x14ac:dyDescent="0.25">
      <c r="A2857">
        <v>2017</v>
      </c>
      <c r="B2857">
        <v>12</v>
      </c>
      <c r="C2857" s="1" t="s">
        <v>35</v>
      </c>
      <c r="D2857" s="1" t="s">
        <v>19</v>
      </c>
      <c r="E2857" s="1" t="s">
        <v>92</v>
      </c>
      <c r="F2857">
        <v>2014</v>
      </c>
      <c r="G2857">
        <v>3</v>
      </c>
      <c r="H2857" s="1" t="s">
        <v>121</v>
      </c>
      <c r="I2857">
        <v>24</v>
      </c>
      <c r="J2857">
        <v>2208</v>
      </c>
      <c r="K2857" s="1" t="s">
        <v>93</v>
      </c>
      <c r="L2857" s="1" t="s">
        <v>45</v>
      </c>
      <c r="M2857">
        <v>0.35299999999999998</v>
      </c>
      <c r="N2857">
        <v>8463.4</v>
      </c>
      <c r="O2857">
        <v>8.4629999999999992</v>
      </c>
      <c r="P2857" s="2">
        <v>43070</v>
      </c>
      <c r="Q2857">
        <v>1</v>
      </c>
      <c r="R2857" s="1" t="s">
        <v>122</v>
      </c>
    </row>
    <row r="2858" spans="1:18" x14ac:dyDescent="0.25">
      <c r="A2858">
        <v>2017</v>
      </c>
      <c r="B2858">
        <v>1</v>
      </c>
      <c r="C2858" s="1" t="s">
        <v>18</v>
      </c>
      <c r="D2858" s="1" t="s">
        <v>19</v>
      </c>
      <c r="E2858" s="1" t="s">
        <v>94</v>
      </c>
      <c r="F2858">
        <v>2014</v>
      </c>
      <c r="G2858">
        <v>3</v>
      </c>
      <c r="H2858" s="1" t="s">
        <v>121</v>
      </c>
      <c r="I2858">
        <v>20</v>
      </c>
      <c r="J2858">
        <v>1954</v>
      </c>
      <c r="K2858" s="1" t="s">
        <v>95</v>
      </c>
      <c r="L2858" s="1" t="s">
        <v>45</v>
      </c>
      <c r="M2858">
        <v>0.40200000000000002</v>
      </c>
      <c r="N2858">
        <v>8040.8</v>
      </c>
      <c r="O2858">
        <v>8.0410000000000004</v>
      </c>
      <c r="P2858" s="2">
        <v>42736</v>
      </c>
      <c r="Q2858">
        <v>1</v>
      </c>
      <c r="R2858" s="1" t="s">
        <v>122</v>
      </c>
    </row>
    <row r="2859" spans="1:18" x14ac:dyDescent="0.25">
      <c r="A2859">
        <v>2017</v>
      </c>
      <c r="B2859">
        <v>2</v>
      </c>
      <c r="C2859" s="1" t="s">
        <v>25</v>
      </c>
      <c r="D2859" s="1" t="s">
        <v>19</v>
      </c>
      <c r="E2859" s="1" t="s">
        <v>94</v>
      </c>
      <c r="F2859">
        <v>2014</v>
      </c>
      <c r="G2859">
        <v>3</v>
      </c>
      <c r="H2859" s="1" t="s">
        <v>121</v>
      </c>
      <c r="I2859">
        <v>20</v>
      </c>
      <c r="J2859">
        <v>1954</v>
      </c>
      <c r="K2859" s="1" t="s">
        <v>95</v>
      </c>
      <c r="L2859" s="1" t="s">
        <v>45</v>
      </c>
      <c r="M2859">
        <v>0.25</v>
      </c>
      <c r="N2859">
        <v>4993.2</v>
      </c>
      <c r="O2859">
        <v>4.9930000000000003</v>
      </c>
      <c r="P2859" s="2">
        <v>42767</v>
      </c>
      <c r="Q2859">
        <v>1</v>
      </c>
      <c r="R2859" s="1" t="s">
        <v>122</v>
      </c>
    </row>
    <row r="2860" spans="1:18" x14ac:dyDescent="0.25">
      <c r="A2860">
        <v>2017</v>
      </c>
      <c r="B2860">
        <v>3</v>
      </c>
      <c r="C2860" s="1" t="s">
        <v>26</v>
      </c>
      <c r="D2860" s="1" t="s">
        <v>19</v>
      </c>
      <c r="E2860" s="1" t="s">
        <v>94</v>
      </c>
      <c r="F2860">
        <v>2014</v>
      </c>
      <c r="G2860">
        <v>3</v>
      </c>
      <c r="H2860" s="1" t="s">
        <v>121</v>
      </c>
      <c r="I2860">
        <v>20</v>
      </c>
      <c r="J2860">
        <v>1954</v>
      </c>
      <c r="K2860" s="1" t="s">
        <v>95</v>
      </c>
      <c r="L2860" s="1" t="s">
        <v>45</v>
      </c>
      <c r="M2860">
        <v>0.40500000000000003</v>
      </c>
      <c r="N2860">
        <v>8094</v>
      </c>
      <c r="O2860">
        <v>8.0939999999999994</v>
      </c>
      <c r="P2860" s="2">
        <v>42795</v>
      </c>
      <c r="Q2860">
        <v>1</v>
      </c>
      <c r="R2860" s="1" t="s">
        <v>122</v>
      </c>
    </row>
    <row r="2861" spans="1:18" x14ac:dyDescent="0.25">
      <c r="A2861">
        <v>2017</v>
      </c>
      <c r="B2861">
        <v>4</v>
      </c>
      <c r="C2861" s="1" t="s">
        <v>27</v>
      </c>
      <c r="D2861" s="1" t="s">
        <v>19</v>
      </c>
      <c r="E2861" s="1" t="s">
        <v>94</v>
      </c>
      <c r="F2861">
        <v>2014</v>
      </c>
      <c r="G2861">
        <v>3</v>
      </c>
      <c r="H2861" s="1" t="s">
        <v>121</v>
      </c>
      <c r="I2861">
        <v>20</v>
      </c>
      <c r="J2861">
        <v>1954</v>
      </c>
      <c r="K2861" s="1" t="s">
        <v>95</v>
      </c>
      <c r="L2861" s="1" t="s">
        <v>45</v>
      </c>
      <c r="M2861">
        <v>0.54700000000000004</v>
      </c>
      <c r="N2861">
        <v>10944</v>
      </c>
      <c r="O2861">
        <v>10.944000000000001</v>
      </c>
      <c r="P2861" s="2">
        <v>42826</v>
      </c>
      <c r="Q2861">
        <v>1</v>
      </c>
      <c r="R2861" s="1" t="s">
        <v>122</v>
      </c>
    </row>
    <row r="2862" spans="1:18" x14ac:dyDescent="0.25">
      <c r="A2862">
        <v>2017</v>
      </c>
      <c r="B2862">
        <v>5</v>
      </c>
      <c r="C2862" s="1" t="s">
        <v>28</v>
      </c>
      <c r="D2862" s="1" t="s">
        <v>19</v>
      </c>
      <c r="E2862" s="1" t="s">
        <v>94</v>
      </c>
      <c r="F2862">
        <v>2014</v>
      </c>
      <c r="G2862">
        <v>3</v>
      </c>
      <c r="H2862" s="1" t="s">
        <v>121</v>
      </c>
      <c r="I2862">
        <v>20</v>
      </c>
      <c r="J2862">
        <v>1954</v>
      </c>
      <c r="K2862" s="1" t="s">
        <v>95</v>
      </c>
      <c r="L2862" s="1" t="s">
        <v>45</v>
      </c>
      <c r="M2862">
        <v>0.505</v>
      </c>
      <c r="N2862">
        <v>10100.4</v>
      </c>
      <c r="O2862">
        <v>10.1</v>
      </c>
      <c r="P2862" s="2">
        <v>42856</v>
      </c>
      <c r="Q2862">
        <v>1</v>
      </c>
      <c r="R2862" s="1" t="s">
        <v>122</v>
      </c>
    </row>
    <row r="2863" spans="1:18" x14ac:dyDescent="0.25">
      <c r="A2863">
        <v>2017</v>
      </c>
      <c r="B2863">
        <v>6</v>
      </c>
      <c r="C2863" s="1" t="s">
        <v>29</v>
      </c>
      <c r="D2863" s="1" t="s">
        <v>19</v>
      </c>
      <c r="E2863" s="1" t="s">
        <v>94</v>
      </c>
      <c r="F2863">
        <v>2014</v>
      </c>
      <c r="G2863">
        <v>3</v>
      </c>
      <c r="H2863" s="1" t="s">
        <v>121</v>
      </c>
      <c r="I2863">
        <v>20</v>
      </c>
      <c r="J2863">
        <v>1954</v>
      </c>
      <c r="K2863" s="1" t="s">
        <v>95</v>
      </c>
      <c r="L2863" s="1" t="s">
        <v>45</v>
      </c>
      <c r="M2863">
        <v>0.41899999999999998</v>
      </c>
      <c r="N2863">
        <v>8375.2000000000007</v>
      </c>
      <c r="O2863">
        <v>8.375</v>
      </c>
      <c r="P2863" s="2">
        <v>42887</v>
      </c>
      <c r="Q2863">
        <v>1</v>
      </c>
      <c r="R2863" s="1" t="s">
        <v>122</v>
      </c>
    </row>
    <row r="2864" spans="1:18" x14ac:dyDescent="0.25">
      <c r="A2864">
        <v>2017</v>
      </c>
      <c r="B2864">
        <v>7</v>
      </c>
      <c r="C2864" s="1" t="s">
        <v>30</v>
      </c>
      <c r="D2864" s="1" t="s">
        <v>19</v>
      </c>
      <c r="E2864" s="1" t="s">
        <v>94</v>
      </c>
      <c r="F2864">
        <v>2014</v>
      </c>
      <c r="G2864">
        <v>3</v>
      </c>
      <c r="H2864" s="1" t="s">
        <v>121</v>
      </c>
      <c r="I2864">
        <v>20</v>
      </c>
      <c r="J2864">
        <v>1954</v>
      </c>
      <c r="K2864" s="1" t="s">
        <v>95</v>
      </c>
      <c r="L2864" s="1" t="s">
        <v>45</v>
      </c>
      <c r="M2864">
        <v>0.42099999999999999</v>
      </c>
      <c r="N2864">
        <v>8413.2000000000007</v>
      </c>
      <c r="O2864">
        <v>8.4130000000000003</v>
      </c>
      <c r="P2864" s="2">
        <v>42917</v>
      </c>
      <c r="Q2864">
        <v>1</v>
      </c>
      <c r="R2864" s="1" t="s">
        <v>122</v>
      </c>
    </row>
    <row r="2865" spans="1:18" x14ac:dyDescent="0.25">
      <c r="A2865">
        <v>2017</v>
      </c>
      <c r="B2865">
        <v>8</v>
      </c>
      <c r="C2865" s="1" t="s">
        <v>31</v>
      </c>
      <c r="D2865" s="1" t="s">
        <v>19</v>
      </c>
      <c r="E2865" s="1" t="s">
        <v>94</v>
      </c>
      <c r="F2865">
        <v>2014</v>
      </c>
      <c r="G2865">
        <v>3</v>
      </c>
      <c r="H2865" s="1" t="s">
        <v>121</v>
      </c>
      <c r="I2865">
        <v>20</v>
      </c>
      <c r="J2865">
        <v>1954</v>
      </c>
      <c r="K2865" s="1" t="s">
        <v>95</v>
      </c>
      <c r="L2865" s="1" t="s">
        <v>45</v>
      </c>
      <c r="M2865">
        <v>0.58499999999999996</v>
      </c>
      <c r="N2865">
        <v>11696.4</v>
      </c>
      <c r="O2865">
        <v>11.696</v>
      </c>
      <c r="P2865" s="2">
        <v>42948</v>
      </c>
      <c r="Q2865">
        <v>1</v>
      </c>
      <c r="R2865" s="1" t="s">
        <v>122</v>
      </c>
    </row>
    <row r="2866" spans="1:18" x14ac:dyDescent="0.25">
      <c r="A2866">
        <v>2017</v>
      </c>
      <c r="B2866">
        <v>9</v>
      </c>
      <c r="C2866" s="1" t="s">
        <v>32</v>
      </c>
      <c r="D2866" s="1" t="s">
        <v>19</v>
      </c>
      <c r="E2866" s="1" t="s">
        <v>94</v>
      </c>
      <c r="F2866">
        <v>2014</v>
      </c>
      <c r="G2866">
        <v>3</v>
      </c>
      <c r="H2866" s="1" t="s">
        <v>121</v>
      </c>
      <c r="I2866">
        <v>20</v>
      </c>
      <c r="J2866">
        <v>1954</v>
      </c>
      <c r="K2866" s="1" t="s">
        <v>95</v>
      </c>
      <c r="L2866" s="1" t="s">
        <v>45</v>
      </c>
      <c r="M2866">
        <v>0.41799999999999998</v>
      </c>
      <c r="N2866">
        <v>8367.6</v>
      </c>
      <c r="O2866">
        <v>8.3680000000000003</v>
      </c>
      <c r="P2866" s="2">
        <v>42979</v>
      </c>
      <c r="Q2866">
        <v>1</v>
      </c>
      <c r="R2866" s="1" t="s">
        <v>122</v>
      </c>
    </row>
    <row r="2867" spans="1:18" x14ac:dyDescent="0.25">
      <c r="A2867">
        <v>2017</v>
      </c>
      <c r="B2867">
        <v>10</v>
      </c>
      <c r="C2867" s="1" t="s">
        <v>33</v>
      </c>
      <c r="D2867" s="1" t="s">
        <v>19</v>
      </c>
      <c r="E2867" s="1" t="s">
        <v>94</v>
      </c>
      <c r="F2867">
        <v>2014</v>
      </c>
      <c r="G2867">
        <v>3</v>
      </c>
      <c r="H2867" s="1" t="s">
        <v>121</v>
      </c>
      <c r="I2867">
        <v>20</v>
      </c>
      <c r="J2867">
        <v>1954</v>
      </c>
      <c r="K2867" s="1" t="s">
        <v>95</v>
      </c>
      <c r="L2867" s="1" t="s">
        <v>45</v>
      </c>
      <c r="M2867">
        <v>0.40200000000000002</v>
      </c>
      <c r="N2867">
        <v>8040.8</v>
      </c>
      <c r="O2867">
        <v>8.0410000000000004</v>
      </c>
      <c r="P2867" s="2">
        <v>43009</v>
      </c>
      <c r="Q2867">
        <v>1</v>
      </c>
      <c r="R2867" s="1" t="s">
        <v>122</v>
      </c>
    </row>
    <row r="2868" spans="1:18" x14ac:dyDescent="0.25">
      <c r="A2868">
        <v>2017</v>
      </c>
      <c r="B2868">
        <v>11</v>
      </c>
      <c r="C2868" s="1" t="s">
        <v>34</v>
      </c>
      <c r="D2868" s="1" t="s">
        <v>19</v>
      </c>
      <c r="E2868" s="1" t="s">
        <v>94</v>
      </c>
      <c r="F2868">
        <v>2014</v>
      </c>
      <c r="G2868">
        <v>3</v>
      </c>
      <c r="H2868" s="1" t="s">
        <v>121</v>
      </c>
      <c r="I2868">
        <v>20</v>
      </c>
      <c r="J2868">
        <v>1954</v>
      </c>
      <c r="K2868" s="1" t="s">
        <v>95</v>
      </c>
      <c r="L2868" s="1" t="s">
        <v>45</v>
      </c>
      <c r="M2868">
        <v>0.41399999999999998</v>
      </c>
      <c r="N2868">
        <v>8276.4</v>
      </c>
      <c r="O2868">
        <v>8.2759999999999998</v>
      </c>
      <c r="P2868" s="2">
        <v>43040</v>
      </c>
      <c r="Q2868">
        <v>1</v>
      </c>
      <c r="R2868" s="1" t="s">
        <v>122</v>
      </c>
    </row>
    <row r="2869" spans="1:18" x14ac:dyDescent="0.25">
      <c r="A2869">
        <v>2017</v>
      </c>
      <c r="B2869">
        <v>12</v>
      </c>
      <c r="C2869" s="1" t="s">
        <v>35</v>
      </c>
      <c r="D2869" s="1" t="s">
        <v>19</v>
      </c>
      <c r="E2869" s="1" t="s">
        <v>94</v>
      </c>
      <c r="F2869">
        <v>2014</v>
      </c>
      <c r="G2869">
        <v>3</v>
      </c>
      <c r="H2869" s="1" t="s">
        <v>121</v>
      </c>
      <c r="I2869">
        <v>20</v>
      </c>
      <c r="J2869">
        <v>1954</v>
      </c>
      <c r="K2869" s="1" t="s">
        <v>95</v>
      </c>
      <c r="L2869" s="1" t="s">
        <v>45</v>
      </c>
      <c r="M2869">
        <v>0.35299999999999998</v>
      </c>
      <c r="N2869">
        <v>7052.8</v>
      </c>
      <c r="O2869">
        <v>7.0529999999999999</v>
      </c>
      <c r="P2869" s="2">
        <v>43070</v>
      </c>
      <c r="Q2869">
        <v>1</v>
      </c>
      <c r="R2869" s="1" t="s">
        <v>122</v>
      </c>
    </row>
    <row r="2870" spans="1:18" x14ac:dyDescent="0.25">
      <c r="A2870">
        <v>2017</v>
      </c>
      <c r="B2870">
        <v>1</v>
      </c>
      <c r="C2870" s="1" t="s">
        <v>18</v>
      </c>
      <c r="D2870" s="1" t="s">
        <v>19</v>
      </c>
      <c r="E2870" s="1" t="s">
        <v>96</v>
      </c>
      <c r="F2870">
        <v>2014</v>
      </c>
      <c r="G2870">
        <v>3</v>
      </c>
      <c r="H2870" s="1" t="s">
        <v>121</v>
      </c>
      <c r="I2870">
        <v>24</v>
      </c>
      <c r="J2870">
        <v>1329</v>
      </c>
      <c r="K2870" s="1" t="s">
        <v>97</v>
      </c>
      <c r="L2870" s="1" t="s">
        <v>45</v>
      </c>
      <c r="M2870">
        <v>0.40200000000000002</v>
      </c>
      <c r="N2870">
        <v>9649</v>
      </c>
      <c r="O2870">
        <v>9.6489999999999991</v>
      </c>
      <c r="P2870" s="2">
        <v>42736</v>
      </c>
      <c r="Q2870">
        <v>1</v>
      </c>
      <c r="R2870" s="1" t="s">
        <v>122</v>
      </c>
    </row>
    <row r="2871" spans="1:18" x14ac:dyDescent="0.25">
      <c r="A2871">
        <v>2017</v>
      </c>
      <c r="B2871">
        <v>2</v>
      </c>
      <c r="C2871" s="1" t="s">
        <v>25</v>
      </c>
      <c r="D2871" s="1" t="s">
        <v>19</v>
      </c>
      <c r="E2871" s="1" t="s">
        <v>96</v>
      </c>
      <c r="F2871">
        <v>2014</v>
      </c>
      <c r="G2871">
        <v>3</v>
      </c>
      <c r="H2871" s="1" t="s">
        <v>121</v>
      </c>
      <c r="I2871">
        <v>24</v>
      </c>
      <c r="J2871">
        <v>1329</v>
      </c>
      <c r="K2871" s="1" t="s">
        <v>97</v>
      </c>
      <c r="L2871" s="1" t="s">
        <v>45</v>
      </c>
      <c r="M2871">
        <v>0.25</v>
      </c>
      <c r="N2871">
        <v>5991.8</v>
      </c>
      <c r="O2871">
        <v>5.992</v>
      </c>
      <c r="P2871" s="2">
        <v>42767</v>
      </c>
      <c r="Q2871">
        <v>1</v>
      </c>
      <c r="R2871" s="1" t="s">
        <v>122</v>
      </c>
    </row>
    <row r="2872" spans="1:18" x14ac:dyDescent="0.25">
      <c r="A2872">
        <v>2017</v>
      </c>
      <c r="B2872">
        <v>3</v>
      </c>
      <c r="C2872" s="1" t="s">
        <v>26</v>
      </c>
      <c r="D2872" s="1" t="s">
        <v>19</v>
      </c>
      <c r="E2872" s="1" t="s">
        <v>96</v>
      </c>
      <c r="F2872">
        <v>2014</v>
      </c>
      <c r="G2872">
        <v>3</v>
      </c>
      <c r="H2872" s="1" t="s">
        <v>121</v>
      </c>
      <c r="I2872">
        <v>24</v>
      </c>
      <c r="J2872">
        <v>1329</v>
      </c>
      <c r="K2872" s="1" t="s">
        <v>97</v>
      </c>
      <c r="L2872" s="1" t="s">
        <v>45</v>
      </c>
      <c r="M2872">
        <v>0.40500000000000003</v>
      </c>
      <c r="N2872">
        <v>9712.7999999999993</v>
      </c>
      <c r="O2872">
        <v>9.7129999999999992</v>
      </c>
      <c r="P2872" s="2">
        <v>42795</v>
      </c>
      <c r="Q2872">
        <v>1</v>
      </c>
      <c r="R2872" s="1" t="s">
        <v>122</v>
      </c>
    </row>
    <row r="2873" spans="1:18" x14ac:dyDescent="0.25">
      <c r="A2873">
        <v>2017</v>
      </c>
      <c r="B2873">
        <v>4</v>
      </c>
      <c r="C2873" s="1" t="s">
        <v>27</v>
      </c>
      <c r="D2873" s="1" t="s">
        <v>19</v>
      </c>
      <c r="E2873" s="1" t="s">
        <v>96</v>
      </c>
      <c r="F2873">
        <v>2014</v>
      </c>
      <c r="G2873">
        <v>3</v>
      </c>
      <c r="H2873" s="1" t="s">
        <v>121</v>
      </c>
      <c r="I2873">
        <v>24</v>
      </c>
      <c r="J2873">
        <v>1329</v>
      </c>
      <c r="K2873" s="1" t="s">
        <v>97</v>
      </c>
      <c r="L2873" s="1" t="s">
        <v>45</v>
      </c>
      <c r="M2873">
        <v>0.54700000000000004</v>
      </c>
      <c r="N2873">
        <v>13132.8</v>
      </c>
      <c r="O2873">
        <v>13.132999999999999</v>
      </c>
      <c r="P2873" s="2">
        <v>42826</v>
      </c>
      <c r="Q2873">
        <v>1</v>
      </c>
      <c r="R2873" s="1" t="s">
        <v>122</v>
      </c>
    </row>
    <row r="2874" spans="1:18" x14ac:dyDescent="0.25">
      <c r="A2874">
        <v>2017</v>
      </c>
      <c r="B2874">
        <v>5</v>
      </c>
      <c r="C2874" s="1" t="s">
        <v>28</v>
      </c>
      <c r="D2874" s="1" t="s">
        <v>19</v>
      </c>
      <c r="E2874" s="1" t="s">
        <v>96</v>
      </c>
      <c r="F2874">
        <v>2014</v>
      </c>
      <c r="G2874">
        <v>3</v>
      </c>
      <c r="H2874" s="1" t="s">
        <v>121</v>
      </c>
      <c r="I2874">
        <v>24</v>
      </c>
      <c r="J2874">
        <v>1329</v>
      </c>
      <c r="K2874" s="1" t="s">
        <v>97</v>
      </c>
      <c r="L2874" s="1" t="s">
        <v>45</v>
      </c>
      <c r="M2874">
        <v>0.505</v>
      </c>
      <c r="N2874">
        <v>12120.5</v>
      </c>
      <c r="O2874">
        <v>12.12</v>
      </c>
      <c r="P2874" s="2">
        <v>42856</v>
      </c>
      <c r="Q2874">
        <v>1</v>
      </c>
      <c r="R2874" s="1" t="s">
        <v>122</v>
      </c>
    </row>
    <row r="2875" spans="1:18" x14ac:dyDescent="0.25">
      <c r="A2875">
        <v>2017</v>
      </c>
      <c r="B2875">
        <v>6</v>
      </c>
      <c r="C2875" s="1" t="s">
        <v>29</v>
      </c>
      <c r="D2875" s="1" t="s">
        <v>19</v>
      </c>
      <c r="E2875" s="1" t="s">
        <v>96</v>
      </c>
      <c r="F2875">
        <v>2014</v>
      </c>
      <c r="G2875">
        <v>3</v>
      </c>
      <c r="H2875" s="1" t="s">
        <v>121</v>
      </c>
      <c r="I2875">
        <v>24</v>
      </c>
      <c r="J2875">
        <v>1329</v>
      </c>
      <c r="K2875" s="1" t="s">
        <v>97</v>
      </c>
      <c r="L2875" s="1" t="s">
        <v>45</v>
      </c>
      <c r="M2875">
        <v>0.41899999999999998</v>
      </c>
      <c r="N2875">
        <v>10050.200000000001</v>
      </c>
      <c r="O2875">
        <v>10.050000000000001</v>
      </c>
      <c r="P2875" s="2">
        <v>42887</v>
      </c>
      <c r="Q2875">
        <v>1</v>
      </c>
      <c r="R2875" s="1" t="s">
        <v>122</v>
      </c>
    </row>
    <row r="2876" spans="1:18" x14ac:dyDescent="0.25">
      <c r="A2876">
        <v>2017</v>
      </c>
      <c r="B2876">
        <v>7</v>
      </c>
      <c r="C2876" s="1" t="s">
        <v>30</v>
      </c>
      <c r="D2876" s="1" t="s">
        <v>19</v>
      </c>
      <c r="E2876" s="1" t="s">
        <v>96</v>
      </c>
      <c r="F2876">
        <v>2014</v>
      </c>
      <c r="G2876">
        <v>3</v>
      </c>
      <c r="H2876" s="1" t="s">
        <v>121</v>
      </c>
      <c r="I2876">
        <v>24</v>
      </c>
      <c r="J2876">
        <v>1329</v>
      </c>
      <c r="K2876" s="1" t="s">
        <v>97</v>
      </c>
      <c r="L2876" s="1" t="s">
        <v>45</v>
      </c>
      <c r="M2876">
        <v>0.42099999999999999</v>
      </c>
      <c r="N2876">
        <v>10095.799999999999</v>
      </c>
      <c r="O2876">
        <v>10.096</v>
      </c>
      <c r="P2876" s="2">
        <v>42917</v>
      </c>
      <c r="Q2876">
        <v>1</v>
      </c>
      <c r="R2876" s="1" t="s">
        <v>122</v>
      </c>
    </row>
    <row r="2877" spans="1:18" x14ac:dyDescent="0.25">
      <c r="A2877">
        <v>2017</v>
      </c>
      <c r="B2877">
        <v>8</v>
      </c>
      <c r="C2877" s="1" t="s">
        <v>31</v>
      </c>
      <c r="D2877" s="1" t="s">
        <v>19</v>
      </c>
      <c r="E2877" s="1" t="s">
        <v>96</v>
      </c>
      <c r="F2877">
        <v>2014</v>
      </c>
      <c r="G2877">
        <v>3</v>
      </c>
      <c r="H2877" s="1" t="s">
        <v>121</v>
      </c>
      <c r="I2877">
        <v>24</v>
      </c>
      <c r="J2877">
        <v>1329</v>
      </c>
      <c r="K2877" s="1" t="s">
        <v>97</v>
      </c>
      <c r="L2877" s="1" t="s">
        <v>45</v>
      </c>
      <c r="M2877">
        <v>0.58499999999999996</v>
      </c>
      <c r="N2877">
        <v>14035.7</v>
      </c>
      <c r="O2877">
        <v>14.036</v>
      </c>
      <c r="P2877" s="2">
        <v>42948</v>
      </c>
      <c r="Q2877">
        <v>1</v>
      </c>
      <c r="R2877" s="1" t="s">
        <v>122</v>
      </c>
    </row>
    <row r="2878" spans="1:18" x14ac:dyDescent="0.25">
      <c r="A2878">
        <v>2017</v>
      </c>
      <c r="B2878">
        <v>9</v>
      </c>
      <c r="C2878" s="1" t="s">
        <v>32</v>
      </c>
      <c r="D2878" s="1" t="s">
        <v>19</v>
      </c>
      <c r="E2878" s="1" t="s">
        <v>96</v>
      </c>
      <c r="F2878">
        <v>2014</v>
      </c>
      <c r="G2878">
        <v>3</v>
      </c>
      <c r="H2878" s="1" t="s">
        <v>121</v>
      </c>
      <c r="I2878">
        <v>24</v>
      </c>
      <c r="J2878">
        <v>1329</v>
      </c>
      <c r="K2878" s="1" t="s">
        <v>97</v>
      </c>
      <c r="L2878" s="1" t="s">
        <v>45</v>
      </c>
      <c r="M2878">
        <v>0.41799999999999998</v>
      </c>
      <c r="N2878">
        <v>10041.1</v>
      </c>
      <c r="O2878">
        <v>10.041</v>
      </c>
      <c r="P2878" s="2">
        <v>42979</v>
      </c>
      <c r="Q2878">
        <v>1</v>
      </c>
      <c r="R2878" s="1" t="s">
        <v>122</v>
      </c>
    </row>
    <row r="2879" spans="1:18" x14ac:dyDescent="0.25">
      <c r="A2879">
        <v>2017</v>
      </c>
      <c r="B2879">
        <v>10</v>
      </c>
      <c r="C2879" s="1" t="s">
        <v>33</v>
      </c>
      <c r="D2879" s="1" t="s">
        <v>19</v>
      </c>
      <c r="E2879" s="1" t="s">
        <v>96</v>
      </c>
      <c r="F2879">
        <v>2014</v>
      </c>
      <c r="G2879">
        <v>3</v>
      </c>
      <c r="H2879" s="1" t="s">
        <v>121</v>
      </c>
      <c r="I2879">
        <v>24</v>
      </c>
      <c r="J2879">
        <v>1329</v>
      </c>
      <c r="K2879" s="1" t="s">
        <v>97</v>
      </c>
      <c r="L2879" s="1" t="s">
        <v>45</v>
      </c>
      <c r="M2879">
        <v>0.40200000000000002</v>
      </c>
      <c r="N2879">
        <v>9649</v>
      </c>
      <c r="O2879">
        <v>9.6489999999999991</v>
      </c>
      <c r="P2879" s="2">
        <v>43009</v>
      </c>
      <c r="Q2879">
        <v>1</v>
      </c>
      <c r="R2879" s="1" t="s">
        <v>122</v>
      </c>
    </row>
    <row r="2880" spans="1:18" x14ac:dyDescent="0.25">
      <c r="A2880">
        <v>2017</v>
      </c>
      <c r="B2880">
        <v>11</v>
      </c>
      <c r="C2880" s="1" t="s">
        <v>34</v>
      </c>
      <c r="D2880" s="1" t="s">
        <v>19</v>
      </c>
      <c r="E2880" s="1" t="s">
        <v>96</v>
      </c>
      <c r="F2880">
        <v>2014</v>
      </c>
      <c r="G2880">
        <v>3</v>
      </c>
      <c r="H2880" s="1" t="s">
        <v>121</v>
      </c>
      <c r="I2880">
        <v>24</v>
      </c>
      <c r="J2880">
        <v>1329</v>
      </c>
      <c r="K2880" s="1" t="s">
        <v>97</v>
      </c>
      <c r="L2880" s="1" t="s">
        <v>45</v>
      </c>
      <c r="M2880">
        <v>0.41399999999999998</v>
      </c>
      <c r="N2880">
        <v>9931.7000000000007</v>
      </c>
      <c r="O2880">
        <v>9.9320000000000004</v>
      </c>
      <c r="P2880" s="2">
        <v>43040</v>
      </c>
      <c r="Q2880">
        <v>1</v>
      </c>
      <c r="R2880" s="1" t="s">
        <v>122</v>
      </c>
    </row>
    <row r="2881" spans="1:18" x14ac:dyDescent="0.25">
      <c r="A2881">
        <v>2017</v>
      </c>
      <c r="B2881">
        <v>12</v>
      </c>
      <c r="C2881" s="1" t="s">
        <v>35</v>
      </c>
      <c r="D2881" s="1" t="s">
        <v>19</v>
      </c>
      <c r="E2881" s="1" t="s">
        <v>96</v>
      </c>
      <c r="F2881">
        <v>2014</v>
      </c>
      <c r="G2881">
        <v>3</v>
      </c>
      <c r="H2881" s="1" t="s">
        <v>121</v>
      </c>
      <c r="I2881">
        <v>24</v>
      </c>
      <c r="J2881">
        <v>1329</v>
      </c>
      <c r="K2881" s="1" t="s">
        <v>97</v>
      </c>
      <c r="L2881" s="1" t="s">
        <v>45</v>
      </c>
      <c r="M2881">
        <v>0.35299999999999998</v>
      </c>
      <c r="N2881">
        <v>8463.4</v>
      </c>
      <c r="O2881">
        <v>8.4629999999999992</v>
      </c>
      <c r="P2881" s="2">
        <v>43070</v>
      </c>
      <c r="Q2881">
        <v>1</v>
      </c>
      <c r="R2881" s="1" t="s">
        <v>122</v>
      </c>
    </row>
    <row r="2882" spans="1:18" x14ac:dyDescent="0.25">
      <c r="A2882">
        <v>2017</v>
      </c>
      <c r="B2882">
        <v>1</v>
      </c>
      <c r="C2882" s="1" t="s">
        <v>18</v>
      </c>
      <c r="D2882" s="1" t="s">
        <v>19</v>
      </c>
      <c r="E2882" s="1" t="s">
        <v>98</v>
      </c>
      <c r="F2882">
        <v>2014</v>
      </c>
      <c r="G2882">
        <v>3</v>
      </c>
      <c r="H2882" s="1" t="s">
        <v>121</v>
      </c>
      <c r="I2882">
        <v>24</v>
      </c>
      <c r="J2882">
        <v>1573</v>
      </c>
      <c r="K2882" s="1" t="s">
        <v>99</v>
      </c>
      <c r="L2882" s="1" t="s">
        <v>45</v>
      </c>
      <c r="M2882">
        <v>0.40200000000000002</v>
      </c>
      <c r="N2882">
        <v>9649</v>
      </c>
      <c r="O2882">
        <v>9.6489999999999991</v>
      </c>
      <c r="P2882" s="2">
        <v>42736</v>
      </c>
      <c r="Q2882">
        <v>1</v>
      </c>
      <c r="R2882" s="1" t="s">
        <v>122</v>
      </c>
    </row>
    <row r="2883" spans="1:18" x14ac:dyDescent="0.25">
      <c r="A2883">
        <v>2017</v>
      </c>
      <c r="B2883">
        <v>2</v>
      </c>
      <c r="C2883" s="1" t="s">
        <v>25</v>
      </c>
      <c r="D2883" s="1" t="s">
        <v>19</v>
      </c>
      <c r="E2883" s="1" t="s">
        <v>98</v>
      </c>
      <c r="F2883">
        <v>2014</v>
      </c>
      <c r="G2883">
        <v>3</v>
      </c>
      <c r="H2883" s="1" t="s">
        <v>121</v>
      </c>
      <c r="I2883">
        <v>24</v>
      </c>
      <c r="J2883">
        <v>1573</v>
      </c>
      <c r="K2883" s="1" t="s">
        <v>99</v>
      </c>
      <c r="L2883" s="1" t="s">
        <v>45</v>
      </c>
      <c r="M2883">
        <v>0.25</v>
      </c>
      <c r="N2883">
        <v>5991.8</v>
      </c>
      <c r="O2883">
        <v>5.992</v>
      </c>
      <c r="P2883" s="2">
        <v>42767</v>
      </c>
      <c r="Q2883">
        <v>1</v>
      </c>
      <c r="R2883" s="1" t="s">
        <v>122</v>
      </c>
    </row>
    <row r="2884" spans="1:18" x14ac:dyDescent="0.25">
      <c r="A2884">
        <v>2017</v>
      </c>
      <c r="B2884">
        <v>3</v>
      </c>
      <c r="C2884" s="1" t="s">
        <v>26</v>
      </c>
      <c r="D2884" s="1" t="s">
        <v>19</v>
      </c>
      <c r="E2884" s="1" t="s">
        <v>98</v>
      </c>
      <c r="F2884">
        <v>2014</v>
      </c>
      <c r="G2884">
        <v>3</v>
      </c>
      <c r="H2884" s="1" t="s">
        <v>121</v>
      </c>
      <c r="I2884">
        <v>24</v>
      </c>
      <c r="J2884">
        <v>1573</v>
      </c>
      <c r="K2884" s="1" t="s">
        <v>99</v>
      </c>
      <c r="L2884" s="1" t="s">
        <v>45</v>
      </c>
      <c r="M2884">
        <v>0.40500000000000003</v>
      </c>
      <c r="N2884">
        <v>9712.7999999999993</v>
      </c>
      <c r="O2884">
        <v>9.7129999999999992</v>
      </c>
      <c r="P2884" s="2">
        <v>42795</v>
      </c>
      <c r="Q2884">
        <v>1</v>
      </c>
      <c r="R2884" s="1" t="s">
        <v>122</v>
      </c>
    </row>
    <row r="2885" spans="1:18" x14ac:dyDescent="0.25">
      <c r="A2885">
        <v>2017</v>
      </c>
      <c r="B2885">
        <v>4</v>
      </c>
      <c r="C2885" s="1" t="s">
        <v>27</v>
      </c>
      <c r="D2885" s="1" t="s">
        <v>19</v>
      </c>
      <c r="E2885" s="1" t="s">
        <v>98</v>
      </c>
      <c r="F2885">
        <v>2014</v>
      </c>
      <c r="G2885">
        <v>3</v>
      </c>
      <c r="H2885" s="1" t="s">
        <v>121</v>
      </c>
      <c r="I2885">
        <v>24</v>
      </c>
      <c r="J2885">
        <v>1573</v>
      </c>
      <c r="K2885" s="1" t="s">
        <v>99</v>
      </c>
      <c r="L2885" s="1" t="s">
        <v>45</v>
      </c>
      <c r="M2885">
        <v>0.54700000000000004</v>
      </c>
      <c r="N2885">
        <v>13132.8</v>
      </c>
      <c r="O2885">
        <v>13.132999999999999</v>
      </c>
      <c r="P2885" s="2">
        <v>42826</v>
      </c>
      <c r="Q2885">
        <v>1</v>
      </c>
      <c r="R2885" s="1" t="s">
        <v>122</v>
      </c>
    </row>
    <row r="2886" spans="1:18" x14ac:dyDescent="0.25">
      <c r="A2886">
        <v>2017</v>
      </c>
      <c r="B2886">
        <v>5</v>
      </c>
      <c r="C2886" s="1" t="s">
        <v>28</v>
      </c>
      <c r="D2886" s="1" t="s">
        <v>19</v>
      </c>
      <c r="E2886" s="1" t="s">
        <v>98</v>
      </c>
      <c r="F2886">
        <v>2014</v>
      </c>
      <c r="G2886">
        <v>3</v>
      </c>
      <c r="H2886" s="1" t="s">
        <v>121</v>
      </c>
      <c r="I2886">
        <v>24</v>
      </c>
      <c r="J2886">
        <v>1573</v>
      </c>
      <c r="K2886" s="1" t="s">
        <v>99</v>
      </c>
      <c r="L2886" s="1" t="s">
        <v>45</v>
      </c>
      <c r="M2886">
        <v>0.505</v>
      </c>
      <c r="N2886">
        <v>12120.5</v>
      </c>
      <c r="O2886">
        <v>12.12</v>
      </c>
      <c r="P2886" s="2">
        <v>42856</v>
      </c>
      <c r="Q2886">
        <v>1</v>
      </c>
      <c r="R2886" s="1" t="s">
        <v>122</v>
      </c>
    </row>
    <row r="2887" spans="1:18" x14ac:dyDescent="0.25">
      <c r="A2887">
        <v>2017</v>
      </c>
      <c r="B2887">
        <v>6</v>
      </c>
      <c r="C2887" s="1" t="s">
        <v>29</v>
      </c>
      <c r="D2887" s="1" t="s">
        <v>19</v>
      </c>
      <c r="E2887" s="1" t="s">
        <v>98</v>
      </c>
      <c r="F2887">
        <v>2014</v>
      </c>
      <c r="G2887">
        <v>3</v>
      </c>
      <c r="H2887" s="1" t="s">
        <v>121</v>
      </c>
      <c r="I2887">
        <v>24</v>
      </c>
      <c r="J2887">
        <v>1573</v>
      </c>
      <c r="K2887" s="1" t="s">
        <v>99</v>
      </c>
      <c r="L2887" s="1" t="s">
        <v>45</v>
      </c>
      <c r="M2887">
        <v>0.41899999999999998</v>
      </c>
      <c r="N2887">
        <v>10050.200000000001</v>
      </c>
      <c r="O2887">
        <v>10.050000000000001</v>
      </c>
      <c r="P2887" s="2">
        <v>42887</v>
      </c>
      <c r="Q2887">
        <v>1</v>
      </c>
      <c r="R2887" s="1" t="s">
        <v>122</v>
      </c>
    </row>
    <row r="2888" spans="1:18" x14ac:dyDescent="0.25">
      <c r="A2888">
        <v>2017</v>
      </c>
      <c r="B2888">
        <v>7</v>
      </c>
      <c r="C2888" s="1" t="s">
        <v>30</v>
      </c>
      <c r="D2888" s="1" t="s">
        <v>19</v>
      </c>
      <c r="E2888" s="1" t="s">
        <v>98</v>
      </c>
      <c r="F2888">
        <v>2014</v>
      </c>
      <c r="G2888">
        <v>3</v>
      </c>
      <c r="H2888" s="1" t="s">
        <v>121</v>
      </c>
      <c r="I2888">
        <v>24</v>
      </c>
      <c r="J2888">
        <v>1573</v>
      </c>
      <c r="K2888" s="1" t="s">
        <v>99</v>
      </c>
      <c r="L2888" s="1" t="s">
        <v>45</v>
      </c>
      <c r="M2888">
        <v>0.42099999999999999</v>
      </c>
      <c r="N2888">
        <v>10095.799999999999</v>
      </c>
      <c r="O2888">
        <v>10.096</v>
      </c>
      <c r="P2888" s="2">
        <v>42917</v>
      </c>
      <c r="Q2888">
        <v>1</v>
      </c>
      <c r="R2888" s="1" t="s">
        <v>122</v>
      </c>
    </row>
    <row r="2889" spans="1:18" x14ac:dyDescent="0.25">
      <c r="A2889">
        <v>2017</v>
      </c>
      <c r="B2889">
        <v>8</v>
      </c>
      <c r="C2889" s="1" t="s">
        <v>31</v>
      </c>
      <c r="D2889" s="1" t="s">
        <v>19</v>
      </c>
      <c r="E2889" s="1" t="s">
        <v>98</v>
      </c>
      <c r="F2889">
        <v>2014</v>
      </c>
      <c r="G2889">
        <v>3</v>
      </c>
      <c r="H2889" s="1" t="s">
        <v>121</v>
      </c>
      <c r="I2889">
        <v>24</v>
      </c>
      <c r="J2889">
        <v>1573</v>
      </c>
      <c r="K2889" s="1" t="s">
        <v>99</v>
      </c>
      <c r="L2889" s="1" t="s">
        <v>45</v>
      </c>
      <c r="M2889">
        <v>0.58499999999999996</v>
      </c>
      <c r="N2889">
        <v>14035.7</v>
      </c>
      <c r="O2889">
        <v>14.036</v>
      </c>
      <c r="P2889" s="2">
        <v>42948</v>
      </c>
      <c r="Q2889">
        <v>1</v>
      </c>
      <c r="R2889" s="1" t="s">
        <v>122</v>
      </c>
    </row>
    <row r="2890" spans="1:18" x14ac:dyDescent="0.25">
      <c r="A2890">
        <v>2017</v>
      </c>
      <c r="B2890">
        <v>9</v>
      </c>
      <c r="C2890" s="1" t="s">
        <v>32</v>
      </c>
      <c r="D2890" s="1" t="s">
        <v>19</v>
      </c>
      <c r="E2890" s="1" t="s">
        <v>98</v>
      </c>
      <c r="F2890">
        <v>2014</v>
      </c>
      <c r="G2890">
        <v>3</v>
      </c>
      <c r="H2890" s="1" t="s">
        <v>121</v>
      </c>
      <c r="I2890">
        <v>24</v>
      </c>
      <c r="J2890">
        <v>1573</v>
      </c>
      <c r="K2890" s="1" t="s">
        <v>99</v>
      </c>
      <c r="L2890" s="1" t="s">
        <v>45</v>
      </c>
      <c r="M2890">
        <v>0.41799999999999998</v>
      </c>
      <c r="N2890">
        <v>10041.1</v>
      </c>
      <c r="O2890">
        <v>10.041</v>
      </c>
      <c r="P2890" s="2">
        <v>42979</v>
      </c>
      <c r="Q2890">
        <v>1</v>
      </c>
      <c r="R2890" s="1" t="s">
        <v>122</v>
      </c>
    </row>
    <row r="2891" spans="1:18" x14ac:dyDescent="0.25">
      <c r="A2891">
        <v>2017</v>
      </c>
      <c r="B2891">
        <v>10</v>
      </c>
      <c r="C2891" s="1" t="s">
        <v>33</v>
      </c>
      <c r="D2891" s="1" t="s">
        <v>19</v>
      </c>
      <c r="E2891" s="1" t="s">
        <v>98</v>
      </c>
      <c r="F2891">
        <v>2014</v>
      </c>
      <c r="G2891">
        <v>3</v>
      </c>
      <c r="H2891" s="1" t="s">
        <v>121</v>
      </c>
      <c r="I2891">
        <v>24</v>
      </c>
      <c r="J2891">
        <v>1573</v>
      </c>
      <c r="K2891" s="1" t="s">
        <v>99</v>
      </c>
      <c r="L2891" s="1" t="s">
        <v>45</v>
      </c>
      <c r="M2891">
        <v>0.40200000000000002</v>
      </c>
      <c r="N2891">
        <v>9649</v>
      </c>
      <c r="O2891">
        <v>9.6489999999999991</v>
      </c>
      <c r="P2891" s="2">
        <v>43009</v>
      </c>
      <c r="Q2891">
        <v>1</v>
      </c>
      <c r="R2891" s="1" t="s">
        <v>122</v>
      </c>
    </row>
    <row r="2892" spans="1:18" x14ac:dyDescent="0.25">
      <c r="A2892">
        <v>2017</v>
      </c>
      <c r="B2892">
        <v>11</v>
      </c>
      <c r="C2892" s="1" t="s">
        <v>34</v>
      </c>
      <c r="D2892" s="1" t="s">
        <v>19</v>
      </c>
      <c r="E2892" s="1" t="s">
        <v>98</v>
      </c>
      <c r="F2892">
        <v>2014</v>
      </c>
      <c r="G2892">
        <v>3</v>
      </c>
      <c r="H2892" s="1" t="s">
        <v>121</v>
      </c>
      <c r="I2892">
        <v>24</v>
      </c>
      <c r="J2892">
        <v>1573</v>
      </c>
      <c r="K2892" s="1" t="s">
        <v>99</v>
      </c>
      <c r="L2892" s="1" t="s">
        <v>45</v>
      </c>
      <c r="M2892">
        <v>0.41399999999999998</v>
      </c>
      <c r="N2892">
        <v>9931.7000000000007</v>
      </c>
      <c r="O2892">
        <v>9.9320000000000004</v>
      </c>
      <c r="P2892" s="2">
        <v>43040</v>
      </c>
      <c r="Q2892">
        <v>1</v>
      </c>
      <c r="R2892" s="1" t="s">
        <v>122</v>
      </c>
    </row>
    <row r="2893" spans="1:18" x14ac:dyDescent="0.25">
      <c r="A2893">
        <v>2017</v>
      </c>
      <c r="B2893">
        <v>12</v>
      </c>
      <c r="C2893" s="1" t="s">
        <v>35</v>
      </c>
      <c r="D2893" s="1" t="s">
        <v>19</v>
      </c>
      <c r="E2893" s="1" t="s">
        <v>98</v>
      </c>
      <c r="F2893">
        <v>2014</v>
      </c>
      <c r="G2893">
        <v>3</v>
      </c>
      <c r="H2893" s="1" t="s">
        <v>121</v>
      </c>
      <c r="I2893">
        <v>24</v>
      </c>
      <c r="J2893">
        <v>1573</v>
      </c>
      <c r="K2893" s="1" t="s">
        <v>99</v>
      </c>
      <c r="L2893" s="1" t="s">
        <v>45</v>
      </c>
      <c r="M2893">
        <v>0.35299999999999998</v>
      </c>
      <c r="N2893">
        <v>8463.4</v>
      </c>
      <c r="O2893">
        <v>8.4629999999999992</v>
      </c>
      <c r="P2893" s="2">
        <v>43070</v>
      </c>
      <c r="Q2893">
        <v>1</v>
      </c>
      <c r="R2893" s="1" t="s">
        <v>122</v>
      </c>
    </row>
    <row r="2894" spans="1:18" x14ac:dyDescent="0.25">
      <c r="A2894">
        <v>2017</v>
      </c>
      <c r="B2894">
        <v>1</v>
      </c>
      <c r="C2894" s="1" t="s">
        <v>18</v>
      </c>
      <c r="D2894" s="1" t="s">
        <v>19</v>
      </c>
      <c r="E2894" s="1" t="s">
        <v>100</v>
      </c>
      <c r="F2894">
        <v>2016</v>
      </c>
      <c r="G2894">
        <v>1</v>
      </c>
      <c r="H2894" s="1" t="s">
        <v>59</v>
      </c>
      <c r="I2894">
        <v>22</v>
      </c>
      <c r="J2894">
        <v>3137</v>
      </c>
      <c r="K2894" s="1" t="s">
        <v>101</v>
      </c>
      <c r="L2894" s="1" t="s">
        <v>23</v>
      </c>
      <c r="M2894">
        <v>0</v>
      </c>
      <c r="N2894">
        <v>0</v>
      </c>
      <c r="O2894">
        <v>0</v>
      </c>
      <c r="P2894" s="2">
        <v>42736</v>
      </c>
      <c r="Q2894">
        <v>0</v>
      </c>
      <c r="R2894" s="1" t="s">
        <v>61</v>
      </c>
    </row>
    <row r="2895" spans="1:18" x14ac:dyDescent="0.25">
      <c r="A2895">
        <v>2017</v>
      </c>
      <c r="B2895">
        <v>2</v>
      </c>
      <c r="C2895" s="1" t="s">
        <v>25</v>
      </c>
      <c r="D2895" s="1" t="s">
        <v>19</v>
      </c>
      <c r="E2895" s="1" t="s">
        <v>100</v>
      </c>
      <c r="F2895">
        <v>2016</v>
      </c>
      <c r="G2895">
        <v>1</v>
      </c>
      <c r="H2895" s="1" t="s">
        <v>59</v>
      </c>
      <c r="I2895">
        <v>22</v>
      </c>
      <c r="J2895">
        <v>3137</v>
      </c>
      <c r="K2895" s="1" t="s">
        <v>101</v>
      </c>
      <c r="L2895" s="1" t="s">
        <v>23</v>
      </c>
      <c r="M2895">
        <v>0</v>
      </c>
      <c r="N2895">
        <v>0</v>
      </c>
      <c r="O2895">
        <v>0</v>
      </c>
      <c r="P2895" s="2">
        <v>42767</v>
      </c>
      <c r="Q2895">
        <v>0</v>
      </c>
      <c r="R2895" s="1" t="s">
        <v>61</v>
      </c>
    </row>
    <row r="2896" spans="1:18" x14ac:dyDescent="0.25">
      <c r="A2896">
        <v>2017</v>
      </c>
      <c r="B2896">
        <v>3</v>
      </c>
      <c r="C2896" s="1" t="s">
        <v>26</v>
      </c>
      <c r="D2896" s="1" t="s">
        <v>19</v>
      </c>
      <c r="E2896" s="1" t="s">
        <v>100</v>
      </c>
      <c r="F2896">
        <v>2016</v>
      </c>
      <c r="G2896">
        <v>1</v>
      </c>
      <c r="H2896" s="1" t="s">
        <v>59</v>
      </c>
      <c r="I2896">
        <v>22</v>
      </c>
      <c r="J2896">
        <v>3137</v>
      </c>
      <c r="K2896" s="1" t="s">
        <v>101</v>
      </c>
      <c r="L2896" s="1" t="s">
        <v>23</v>
      </c>
      <c r="M2896">
        <v>0</v>
      </c>
      <c r="N2896">
        <v>0</v>
      </c>
      <c r="O2896">
        <v>0</v>
      </c>
      <c r="P2896" s="2">
        <v>42795</v>
      </c>
      <c r="Q2896">
        <v>0</v>
      </c>
      <c r="R2896" s="1" t="s">
        <v>61</v>
      </c>
    </row>
    <row r="2897" spans="1:18" x14ac:dyDescent="0.25">
      <c r="A2897">
        <v>2017</v>
      </c>
      <c r="B2897">
        <v>4</v>
      </c>
      <c r="C2897" s="1" t="s">
        <v>27</v>
      </c>
      <c r="D2897" s="1" t="s">
        <v>19</v>
      </c>
      <c r="E2897" s="1" t="s">
        <v>100</v>
      </c>
      <c r="F2897">
        <v>2016</v>
      </c>
      <c r="G2897">
        <v>1</v>
      </c>
      <c r="H2897" s="1" t="s">
        <v>59</v>
      </c>
      <c r="I2897">
        <v>22</v>
      </c>
      <c r="J2897">
        <v>3137</v>
      </c>
      <c r="K2897" s="1" t="s">
        <v>101</v>
      </c>
      <c r="L2897" s="1" t="s">
        <v>23</v>
      </c>
      <c r="M2897">
        <v>0</v>
      </c>
      <c r="N2897">
        <v>0</v>
      </c>
      <c r="O2897">
        <v>0</v>
      </c>
      <c r="P2897" s="2">
        <v>42826</v>
      </c>
      <c r="Q2897">
        <v>0</v>
      </c>
      <c r="R2897" s="1" t="s">
        <v>61</v>
      </c>
    </row>
    <row r="2898" spans="1:18" x14ac:dyDescent="0.25">
      <c r="A2898">
        <v>2017</v>
      </c>
      <c r="B2898">
        <v>5</v>
      </c>
      <c r="C2898" s="1" t="s">
        <v>28</v>
      </c>
      <c r="D2898" s="1" t="s">
        <v>19</v>
      </c>
      <c r="E2898" s="1" t="s">
        <v>100</v>
      </c>
      <c r="F2898">
        <v>2016</v>
      </c>
      <c r="G2898">
        <v>1</v>
      </c>
      <c r="H2898" s="1" t="s">
        <v>59</v>
      </c>
      <c r="I2898">
        <v>22</v>
      </c>
      <c r="J2898">
        <v>3137</v>
      </c>
      <c r="K2898" s="1" t="s">
        <v>101</v>
      </c>
      <c r="L2898" s="1" t="s">
        <v>23</v>
      </c>
      <c r="M2898">
        <v>0</v>
      </c>
      <c r="N2898">
        <v>0</v>
      </c>
      <c r="O2898">
        <v>0</v>
      </c>
      <c r="P2898" s="2">
        <v>42856</v>
      </c>
      <c r="Q2898">
        <v>0</v>
      </c>
      <c r="R2898" s="1" t="s">
        <v>61</v>
      </c>
    </row>
    <row r="2899" spans="1:18" x14ac:dyDescent="0.25">
      <c r="A2899">
        <v>2017</v>
      </c>
      <c r="B2899">
        <v>6</v>
      </c>
      <c r="C2899" s="1" t="s">
        <v>29</v>
      </c>
      <c r="D2899" s="1" t="s">
        <v>19</v>
      </c>
      <c r="E2899" s="1" t="s">
        <v>100</v>
      </c>
      <c r="F2899">
        <v>2016</v>
      </c>
      <c r="G2899">
        <v>1</v>
      </c>
      <c r="H2899" s="1" t="s">
        <v>59</v>
      </c>
      <c r="I2899">
        <v>22</v>
      </c>
      <c r="J2899">
        <v>3137</v>
      </c>
      <c r="K2899" s="1" t="s">
        <v>101</v>
      </c>
      <c r="L2899" s="1" t="s">
        <v>23</v>
      </c>
      <c r="M2899">
        <v>0</v>
      </c>
      <c r="N2899">
        <v>0</v>
      </c>
      <c r="O2899">
        <v>0</v>
      </c>
      <c r="P2899" s="2">
        <v>42887</v>
      </c>
      <c r="Q2899">
        <v>0</v>
      </c>
      <c r="R2899" s="1" t="s">
        <v>61</v>
      </c>
    </row>
    <row r="2900" spans="1:18" x14ac:dyDescent="0.25">
      <c r="A2900">
        <v>2017</v>
      </c>
      <c r="B2900">
        <v>7</v>
      </c>
      <c r="C2900" s="1" t="s">
        <v>30</v>
      </c>
      <c r="D2900" s="1" t="s">
        <v>19</v>
      </c>
      <c r="E2900" s="1" t="s">
        <v>100</v>
      </c>
      <c r="F2900">
        <v>2016</v>
      </c>
      <c r="G2900">
        <v>1</v>
      </c>
      <c r="H2900" s="1" t="s">
        <v>59</v>
      </c>
      <c r="I2900">
        <v>22</v>
      </c>
      <c r="J2900">
        <v>3137</v>
      </c>
      <c r="K2900" s="1" t="s">
        <v>101</v>
      </c>
      <c r="L2900" s="1" t="s">
        <v>23</v>
      </c>
      <c r="M2900">
        <v>0</v>
      </c>
      <c r="N2900">
        <v>0</v>
      </c>
      <c r="O2900">
        <v>0</v>
      </c>
      <c r="P2900" s="2">
        <v>42917</v>
      </c>
      <c r="Q2900">
        <v>0</v>
      </c>
      <c r="R2900" s="1" t="s">
        <v>61</v>
      </c>
    </row>
    <row r="2901" spans="1:18" x14ac:dyDescent="0.25">
      <c r="A2901">
        <v>2017</v>
      </c>
      <c r="B2901">
        <v>8</v>
      </c>
      <c r="C2901" s="1" t="s">
        <v>31</v>
      </c>
      <c r="D2901" s="1" t="s">
        <v>19</v>
      </c>
      <c r="E2901" s="1" t="s">
        <v>100</v>
      </c>
      <c r="F2901">
        <v>2016</v>
      </c>
      <c r="G2901">
        <v>1</v>
      </c>
      <c r="H2901" s="1" t="s">
        <v>59</v>
      </c>
      <c r="I2901">
        <v>22</v>
      </c>
      <c r="J2901">
        <v>3137</v>
      </c>
      <c r="K2901" s="1" t="s">
        <v>101</v>
      </c>
      <c r="L2901" s="1" t="s">
        <v>23</v>
      </c>
      <c r="M2901">
        <v>0</v>
      </c>
      <c r="N2901">
        <v>0</v>
      </c>
      <c r="O2901">
        <v>0</v>
      </c>
      <c r="P2901" s="2">
        <v>42948</v>
      </c>
      <c r="Q2901">
        <v>0</v>
      </c>
      <c r="R2901" s="1" t="s">
        <v>61</v>
      </c>
    </row>
    <row r="2902" spans="1:18" x14ac:dyDescent="0.25">
      <c r="A2902">
        <v>2017</v>
      </c>
      <c r="B2902">
        <v>9</v>
      </c>
      <c r="C2902" s="1" t="s">
        <v>32</v>
      </c>
      <c r="D2902" s="1" t="s">
        <v>19</v>
      </c>
      <c r="E2902" s="1" t="s">
        <v>100</v>
      </c>
      <c r="F2902">
        <v>2016</v>
      </c>
      <c r="G2902">
        <v>1</v>
      </c>
      <c r="H2902" s="1" t="s">
        <v>59</v>
      </c>
      <c r="I2902">
        <v>22</v>
      </c>
      <c r="J2902">
        <v>3137</v>
      </c>
      <c r="K2902" s="1" t="s">
        <v>101</v>
      </c>
      <c r="L2902" s="1" t="s">
        <v>23</v>
      </c>
      <c r="M2902">
        <v>0</v>
      </c>
      <c r="N2902">
        <v>0</v>
      </c>
      <c r="O2902">
        <v>0</v>
      </c>
      <c r="P2902" s="2">
        <v>42979</v>
      </c>
      <c r="Q2902">
        <v>0</v>
      </c>
      <c r="R2902" s="1" t="s">
        <v>61</v>
      </c>
    </row>
    <row r="2903" spans="1:18" x14ac:dyDescent="0.25">
      <c r="A2903">
        <v>2017</v>
      </c>
      <c r="B2903">
        <v>10</v>
      </c>
      <c r="C2903" s="1" t="s">
        <v>33</v>
      </c>
      <c r="D2903" s="1" t="s">
        <v>19</v>
      </c>
      <c r="E2903" s="1" t="s">
        <v>100</v>
      </c>
      <c r="F2903">
        <v>2016</v>
      </c>
      <c r="G2903">
        <v>1</v>
      </c>
      <c r="H2903" s="1" t="s">
        <v>59</v>
      </c>
      <c r="I2903">
        <v>22</v>
      </c>
      <c r="J2903">
        <v>3137</v>
      </c>
      <c r="K2903" s="1" t="s">
        <v>101</v>
      </c>
      <c r="L2903" s="1" t="s">
        <v>23</v>
      </c>
      <c r="M2903">
        <v>0</v>
      </c>
      <c r="N2903">
        <v>0</v>
      </c>
      <c r="O2903">
        <v>0</v>
      </c>
      <c r="P2903" s="2">
        <v>43009</v>
      </c>
      <c r="Q2903">
        <v>0</v>
      </c>
      <c r="R2903" s="1" t="s">
        <v>61</v>
      </c>
    </row>
    <row r="2904" spans="1:18" x14ac:dyDescent="0.25">
      <c r="A2904">
        <v>2017</v>
      </c>
      <c r="B2904">
        <v>11</v>
      </c>
      <c r="C2904" s="1" t="s">
        <v>34</v>
      </c>
      <c r="D2904" s="1" t="s">
        <v>19</v>
      </c>
      <c r="E2904" s="1" t="s">
        <v>100</v>
      </c>
      <c r="F2904">
        <v>2016</v>
      </c>
      <c r="G2904">
        <v>1</v>
      </c>
      <c r="H2904" s="1" t="s">
        <v>59</v>
      </c>
      <c r="I2904">
        <v>22</v>
      </c>
      <c r="J2904">
        <v>3137</v>
      </c>
      <c r="K2904" s="1" t="s">
        <v>101</v>
      </c>
      <c r="L2904" s="1" t="s">
        <v>23</v>
      </c>
      <c r="M2904">
        <v>0</v>
      </c>
      <c r="N2904">
        <v>0</v>
      </c>
      <c r="O2904">
        <v>0</v>
      </c>
      <c r="P2904" s="2">
        <v>43040</v>
      </c>
      <c r="Q2904">
        <v>0</v>
      </c>
      <c r="R2904" s="1" t="s">
        <v>61</v>
      </c>
    </row>
    <row r="2905" spans="1:18" x14ac:dyDescent="0.25">
      <c r="A2905">
        <v>2017</v>
      </c>
      <c r="B2905">
        <v>12</v>
      </c>
      <c r="C2905" s="1" t="s">
        <v>35</v>
      </c>
      <c r="D2905" s="1" t="s">
        <v>19</v>
      </c>
      <c r="E2905" s="1" t="s">
        <v>100</v>
      </c>
      <c r="F2905">
        <v>2016</v>
      </c>
      <c r="G2905">
        <v>1</v>
      </c>
      <c r="H2905" s="1" t="s">
        <v>59</v>
      </c>
      <c r="I2905">
        <v>22</v>
      </c>
      <c r="J2905">
        <v>3137</v>
      </c>
      <c r="K2905" s="1" t="s">
        <v>101</v>
      </c>
      <c r="L2905" s="1" t="s">
        <v>23</v>
      </c>
      <c r="M2905">
        <v>0</v>
      </c>
      <c r="N2905">
        <v>0</v>
      </c>
      <c r="O2905">
        <v>0</v>
      </c>
      <c r="P2905" s="2">
        <v>43070</v>
      </c>
      <c r="Q2905">
        <v>0</v>
      </c>
      <c r="R2905" s="1" t="s">
        <v>61</v>
      </c>
    </row>
    <row r="2906" spans="1:18" x14ac:dyDescent="0.25">
      <c r="A2906">
        <v>2017</v>
      </c>
      <c r="B2906">
        <v>1</v>
      </c>
      <c r="C2906" s="1" t="s">
        <v>18</v>
      </c>
      <c r="D2906" s="1" t="s">
        <v>19</v>
      </c>
      <c r="E2906" s="1" t="s">
        <v>102</v>
      </c>
      <c r="F2906">
        <v>2016</v>
      </c>
      <c r="G2906">
        <v>1</v>
      </c>
      <c r="H2906" s="1" t="s">
        <v>59</v>
      </c>
      <c r="I2906">
        <v>22</v>
      </c>
      <c r="J2906">
        <v>3096</v>
      </c>
      <c r="K2906" s="1" t="s">
        <v>103</v>
      </c>
      <c r="L2906" s="1" t="s">
        <v>23</v>
      </c>
      <c r="M2906">
        <v>0</v>
      </c>
      <c r="N2906">
        <v>0</v>
      </c>
      <c r="O2906">
        <v>0</v>
      </c>
      <c r="P2906" s="2">
        <v>42736</v>
      </c>
      <c r="Q2906">
        <v>0</v>
      </c>
      <c r="R2906" s="1" t="s">
        <v>61</v>
      </c>
    </row>
    <row r="2907" spans="1:18" x14ac:dyDescent="0.25">
      <c r="A2907">
        <v>2017</v>
      </c>
      <c r="B2907">
        <v>2</v>
      </c>
      <c r="C2907" s="1" t="s">
        <v>25</v>
      </c>
      <c r="D2907" s="1" t="s">
        <v>19</v>
      </c>
      <c r="E2907" s="1" t="s">
        <v>102</v>
      </c>
      <c r="F2907">
        <v>2016</v>
      </c>
      <c r="G2907">
        <v>1</v>
      </c>
      <c r="H2907" s="1" t="s">
        <v>59</v>
      </c>
      <c r="I2907">
        <v>22</v>
      </c>
      <c r="J2907">
        <v>3096</v>
      </c>
      <c r="K2907" s="1" t="s">
        <v>103</v>
      </c>
      <c r="L2907" s="1" t="s">
        <v>23</v>
      </c>
      <c r="M2907">
        <v>0</v>
      </c>
      <c r="N2907">
        <v>0</v>
      </c>
      <c r="O2907">
        <v>0</v>
      </c>
      <c r="P2907" s="2">
        <v>42767</v>
      </c>
      <c r="Q2907">
        <v>0</v>
      </c>
      <c r="R2907" s="1" t="s">
        <v>61</v>
      </c>
    </row>
    <row r="2908" spans="1:18" x14ac:dyDescent="0.25">
      <c r="A2908">
        <v>2017</v>
      </c>
      <c r="B2908">
        <v>3</v>
      </c>
      <c r="C2908" s="1" t="s">
        <v>26</v>
      </c>
      <c r="D2908" s="1" t="s">
        <v>19</v>
      </c>
      <c r="E2908" s="1" t="s">
        <v>102</v>
      </c>
      <c r="F2908">
        <v>2016</v>
      </c>
      <c r="G2908">
        <v>1</v>
      </c>
      <c r="H2908" s="1" t="s">
        <v>59</v>
      </c>
      <c r="I2908">
        <v>22</v>
      </c>
      <c r="J2908">
        <v>3096</v>
      </c>
      <c r="K2908" s="1" t="s">
        <v>103</v>
      </c>
      <c r="L2908" s="1" t="s">
        <v>23</v>
      </c>
      <c r="M2908">
        <v>0</v>
      </c>
      <c r="N2908">
        <v>0</v>
      </c>
      <c r="O2908">
        <v>0</v>
      </c>
      <c r="P2908" s="2">
        <v>42795</v>
      </c>
      <c r="Q2908">
        <v>0</v>
      </c>
      <c r="R2908" s="1" t="s">
        <v>61</v>
      </c>
    </row>
    <row r="2909" spans="1:18" x14ac:dyDescent="0.25">
      <c r="A2909">
        <v>2017</v>
      </c>
      <c r="B2909">
        <v>4</v>
      </c>
      <c r="C2909" s="1" t="s">
        <v>27</v>
      </c>
      <c r="D2909" s="1" t="s">
        <v>19</v>
      </c>
      <c r="E2909" s="1" t="s">
        <v>102</v>
      </c>
      <c r="F2909">
        <v>2016</v>
      </c>
      <c r="G2909">
        <v>1</v>
      </c>
      <c r="H2909" s="1" t="s">
        <v>59</v>
      </c>
      <c r="I2909">
        <v>22</v>
      </c>
      <c r="J2909">
        <v>3096</v>
      </c>
      <c r="K2909" s="1" t="s">
        <v>103</v>
      </c>
      <c r="L2909" s="1" t="s">
        <v>23</v>
      </c>
      <c r="M2909">
        <v>0</v>
      </c>
      <c r="N2909">
        <v>0</v>
      </c>
      <c r="O2909">
        <v>0</v>
      </c>
      <c r="P2909" s="2">
        <v>42826</v>
      </c>
      <c r="Q2909">
        <v>0</v>
      </c>
      <c r="R2909" s="1" t="s">
        <v>61</v>
      </c>
    </row>
    <row r="2910" spans="1:18" x14ac:dyDescent="0.25">
      <c r="A2910">
        <v>2017</v>
      </c>
      <c r="B2910">
        <v>5</v>
      </c>
      <c r="C2910" s="1" t="s">
        <v>28</v>
      </c>
      <c r="D2910" s="1" t="s">
        <v>19</v>
      </c>
      <c r="E2910" s="1" t="s">
        <v>102</v>
      </c>
      <c r="F2910">
        <v>2016</v>
      </c>
      <c r="G2910">
        <v>1</v>
      </c>
      <c r="H2910" s="1" t="s">
        <v>59</v>
      </c>
      <c r="I2910">
        <v>22</v>
      </c>
      <c r="J2910">
        <v>3096</v>
      </c>
      <c r="K2910" s="1" t="s">
        <v>103</v>
      </c>
      <c r="L2910" s="1" t="s">
        <v>23</v>
      </c>
      <c r="M2910">
        <v>0</v>
      </c>
      <c r="N2910">
        <v>0</v>
      </c>
      <c r="O2910">
        <v>0</v>
      </c>
      <c r="P2910" s="2">
        <v>42856</v>
      </c>
      <c r="Q2910">
        <v>0</v>
      </c>
      <c r="R2910" s="1" t="s">
        <v>61</v>
      </c>
    </row>
    <row r="2911" spans="1:18" x14ac:dyDescent="0.25">
      <c r="A2911">
        <v>2017</v>
      </c>
      <c r="B2911">
        <v>6</v>
      </c>
      <c r="C2911" s="1" t="s">
        <v>29</v>
      </c>
      <c r="D2911" s="1" t="s">
        <v>19</v>
      </c>
      <c r="E2911" s="1" t="s">
        <v>102</v>
      </c>
      <c r="F2911">
        <v>2016</v>
      </c>
      <c r="G2911">
        <v>1</v>
      </c>
      <c r="H2911" s="1" t="s">
        <v>59</v>
      </c>
      <c r="I2911">
        <v>22</v>
      </c>
      <c r="J2911">
        <v>3096</v>
      </c>
      <c r="K2911" s="1" t="s">
        <v>103</v>
      </c>
      <c r="L2911" s="1" t="s">
        <v>23</v>
      </c>
      <c r="M2911">
        <v>0</v>
      </c>
      <c r="N2911">
        <v>0</v>
      </c>
      <c r="O2911">
        <v>0</v>
      </c>
      <c r="P2911" s="2">
        <v>42887</v>
      </c>
      <c r="Q2911">
        <v>0</v>
      </c>
      <c r="R2911" s="1" t="s">
        <v>61</v>
      </c>
    </row>
    <row r="2912" spans="1:18" x14ac:dyDescent="0.25">
      <c r="A2912">
        <v>2017</v>
      </c>
      <c r="B2912">
        <v>7</v>
      </c>
      <c r="C2912" s="1" t="s">
        <v>30</v>
      </c>
      <c r="D2912" s="1" t="s">
        <v>19</v>
      </c>
      <c r="E2912" s="1" t="s">
        <v>102</v>
      </c>
      <c r="F2912">
        <v>2016</v>
      </c>
      <c r="G2912">
        <v>1</v>
      </c>
      <c r="H2912" s="1" t="s">
        <v>59</v>
      </c>
      <c r="I2912">
        <v>22</v>
      </c>
      <c r="J2912">
        <v>3096</v>
      </c>
      <c r="K2912" s="1" t="s">
        <v>103</v>
      </c>
      <c r="L2912" s="1" t="s">
        <v>23</v>
      </c>
      <c r="M2912">
        <v>0</v>
      </c>
      <c r="N2912">
        <v>0</v>
      </c>
      <c r="O2912">
        <v>0</v>
      </c>
      <c r="P2912" s="2">
        <v>42917</v>
      </c>
      <c r="Q2912">
        <v>0</v>
      </c>
      <c r="R2912" s="1" t="s">
        <v>61</v>
      </c>
    </row>
    <row r="2913" spans="1:18" x14ac:dyDescent="0.25">
      <c r="A2913">
        <v>2017</v>
      </c>
      <c r="B2913">
        <v>8</v>
      </c>
      <c r="C2913" s="1" t="s">
        <v>31</v>
      </c>
      <c r="D2913" s="1" t="s">
        <v>19</v>
      </c>
      <c r="E2913" s="1" t="s">
        <v>102</v>
      </c>
      <c r="F2913">
        <v>2016</v>
      </c>
      <c r="G2913">
        <v>1</v>
      </c>
      <c r="H2913" s="1" t="s">
        <v>59</v>
      </c>
      <c r="I2913">
        <v>22</v>
      </c>
      <c r="J2913">
        <v>3096</v>
      </c>
      <c r="K2913" s="1" t="s">
        <v>103</v>
      </c>
      <c r="L2913" s="1" t="s">
        <v>23</v>
      </c>
      <c r="M2913">
        <v>0</v>
      </c>
      <c r="N2913">
        <v>0</v>
      </c>
      <c r="O2913">
        <v>0</v>
      </c>
      <c r="P2913" s="2">
        <v>42948</v>
      </c>
      <c r="Q2913">
        <v>0</v>
      </c>
      <c r="R2913" s="1" t="s">
        <v>61</v>
      </c>
    </row>
    <row r="2914" spans="1:18" x14ac:dyDescent="0.25">
      <c r="A2914">
        <v>2017</v>
      </c>
      <c r="B2914">
        <v>9</v>
      </c>
      <c r="C2914" s="1" t="s">
        <v>32</v>
      </c>
      <c r="D2914" s="1" t="s">
        <v>19</v>
      </c>
      <c r="E2914" s="1" t="s">
        <v>102</v>
      </c>
      <c r="F2914">
        <v>2016</v>
      </c>
      <c r="G2914">
        <v>1</v>
      </c>
      <c r="H2914" s="1" t="s">
        <v>59</v>
      </c>
      <c r="I2914">
        <v>22</v>
      </c>
      <c r="J2914">
        <v>3096</v>
      </c>
      <c r="K2914" s="1" t="s">
        <v>103</v>
      </c>
      <c r="L2914" s="1" t="s">
        <v>23</v>
      </c>
      <c r="M2914">
        <v>0</v>
      </c>
      <c r="N2914">
        <v>0</v>
      </c>
      <c r="O2914">
        <v>0</v>
      </c>
      <c r="P2914" s="2">
        <v>42979</v>
      </c>
      <c r="Q2914">
        <v>0</v>
      </c>
      <c r="R2914" s="1" t="s">
        <v>61</v>
      </c>
    </row>
    <row r="2915" spans="1:18" x14ac:dyDescent="0.25">
      <c r="A2915">
        <v>2017</v>
      </c>
      <c r="B2915">
        <v>10</v>
      </c>
      <c r="C2915" s="1" t="s">
        <v>33</v>
      </c>
      <c r="D2915" s="1" t="s">
        <v>19</v>
      </c>
      <c r="E2915" s="1" t="s">
        <v>102</v>
      </c>
      <c r="F2915">
        <v>2016</v>
      </c>
      <c r="G2915">
        <v>1</v>
      </c>
      <c r="H2915" s="1" t="s">
        <v>59</v>
      </c>
      <c r="I2915">
        <v>22</v>
      </c>
      <c r="J2915">
        <v>3096</v>
      </c>
      <c r="K2915" s="1" t="s">
        <v>103</v>
      </c>
      <c r="L2915" s="1" t="s">
        <v>23</v>
      </c>
      <c r="M2915">
        <v>0</v>
      </c>
      <c r="N2915">
        <v>0</v>
      </c>
      <c r="O2915">
        <v>0</v>
      </c>
      <c r="P2915" s="2">
        <v>43009</v>
      </c>
      <c r="Q2915">
        <v>0</v>
      </c>
      <c r="R2915" s="1" t="s">
        <v>61</v>
      </c>
    </row>
    <row r="2916" spans="1:18" x14ac:dyDescent="0.25">
      <c r="A2916">
        <v>2017</v>
      </c>
      <c r="B2916">
        <v>11</v>
      </c>
      <c r="C2916" s="1" t="s">
        <v>34</v>
      </c>
      <c r="D2916" s="1" t="s">
        <v>19</v>
      </c>
      <c r="E2916" s="1" t="s">
        <v>102</v>
      </c>
      <c r="F2916">
        <v>2016</v>
      </c>
      <c r="G2916">
        <v>1</v>
      </c>
      <c r="H2916" s="1" t="s">
        <v>59</v>
      </c>
      <c r="I2916">
        <v>22</v>
      </c>
      <c r="J2916">
        <v>3096</v>
      </c>
      <c r="K2916" s="1" t="s">
        <v>103</v>
      </c>
      <c r="L2916" s="1" t="s">
        <v>23</v>
      </c>
      <c r="M2916">
        <v>0</v>
      </c>
      <c r="N2916">
        <v>0</v>
      </c>
      <c r="O2916">
        <v>0</v>
      </c>
      <c r="P2916" s="2">
        <v>43040</v>
      </c>
      <c r="Q2916">
        <v>0</v>
      </c>
      <c r="R2916" s="1" t="s">
        <v>61</v>
      </c>
    </row>
    <row r="2917" spans="1:18" x14ac:dyDescent="0.25">
      <c r="A2917">
        <v>2017</v>
      </c>
      <c r="B2917">
        <v>12</v>
      </c>
      <c r="C2917" s="1" t="s">
        <v>35</v>
      </c>
      <c r="D2917" s="1" t="s">
        <v>19</v>
      </c>
      <c r="E2917" s="1" t="s">
        <v>102</v>
      </c>
      <c r="F2917">
        <v>2016</v>
      </c>
      <c r="G2917">
        <v>1</v>
      </c>
      <c r="H2917" s="1" t="s">
        <v>59</v>
      </c>
      <c r="I2917">
        <v>22</v>
      </c>
      <c r="J2917">
        <v>3096</v>
      </c>
      <c r="K2917" s="1" t="s">
        <v>103</v>
      </c>
      <c r="L2917" s="1" t="s">
        <v>23</v>
      </c>
      <c r="M2917">
        <v>0</v>
      </c>
      <c r="N2917">
        <v>0</v>
      </c>
      <c r="O2917">
        <v>0</v>
      </c>
      <c r="P2917" s="2">
        <v>43070</v>
      </c>
      <c r="Q2917">
        <v>0</v>
      </c>
      <c r="R2917" s="1" t="s">
        <v>61</v>
      </c>
    </row>
    <row r="2918" spans="1:18" x14ac:dyDescent="0.25">
      <c r="A2918">
        <v>2017</v>
      </c>
      <c r="B2918">
        <v>1</v>
      </c>
      <c r="C2918" s="1" t="s">
        <v>18</v>
      </c>
      <c r="D2918" s="1" t="s">
        <v>19</v>
      </c>
      <c r="E2918" s="1" t="s">
        <v>104</v>
      </c>
      <c r="F2918">
        <v>2016</v>
      </c>
      <c r="G2918">
        <v>1</v>
      </c>
      <c r="H2918" s="1" t="s">
        <v>59</v>
      </c>
      <c r="I2918">
        <v>24</v>
      </c>
      <c r="J2918">
        <v>3317</v>
      </c>
      <c r="K2918" s="1" t="s">
        <v>105</v>
      </c>
      <c r="L2918" s="1" t="s">
        <v>23</v>
      </c>
      <c r="M2918">
        <v>0</v>
      </c>
      <c r="N2918">
        <v>0</v>
      </c>
      <c r="O2918">
        <v>0</v>
      </c>
      <c r="P2918" s="2">
        <v>42736</v>
      </c>
      <c r="Q2918">
        <v>0</v>
      </c>
      <c r="R2918" s="1" t="s">
        <v>61</v>
      </c>
    </row>
    <row r="2919" spans="1:18" x14ac:dyDescent="0.25">
      <c r="A2919">
        <v>2017</v>
      </c>
      <c r="B2919">
        <v>2</v>
      </c>
      <c r="C2919" s="1" t="s">
        <v>25</v>
      </c>
      <c r="D2919" s="1" t="s">
        <v>19</v>
      </c>
      <c r="E2919" s="1" t="s">
        <v>104</v>
      </c>
      <c r="F2919">
        <v>2016</v>
      </c>
      <c r="G2919">
        <v>1</v>
      </c>
      <c r="H2919" s="1" t="s">
        <v>59</v>
      </c>
      <c r="I2919">
        <v>24</v>
      </c>
      <c r="J2919">
        <v>3317</v>
      </c>
      <c r="K2919" s="1" t="s">
        <v>105</v>
      </c>
      <c r="L2919" s="1" t="s">
        <v>23</v>
      </c>
      <c r="M2919">
        <v>0</v>
      </c>
      <c r="N2919">
        <v>0</v>
      </c>
      <c r="O2919">
        <v>0</v>
      </c>
      <c r="P2919" s="2">
        <v>42767</v>
      </c>
      <c r="Q2919">
        <v>0</v>
      </c>
      <c r="R2919" s="1" t="s">
        <v>61</v>
      </c>
    </row>
    <row r="2920" spans="1:18" x14ac:dyDescent="0.25">
      <c r="A2920">
        <v>2017</v>
      </c>
      <c r="B2920">
        <v>3</v>
      </c>
      <c r="C2920" s="1" t="s">
        <v>26</v>
      </c>
      <c r="D2920" s="1" t="s">
        <v>19</v>
      </c>
      <c r="E2920" s="1" t="s">
        <v>104</v>
      </c>
      <c r="F2920">
        <v>2016</v>
      </c>
      <c r="G2920">
        <v>1</v>
      </c>
      <c r="H2920" s="1" t="s">
        <v>59</v>
      </c>
      <c r="I2920">
        <v>24</v>
      </c>
      <c r="J2920">
        <v>3317</v>
      </c>
      <c r="K2920" s="1" t="s">
        <v>105</v>
      </c>
      <c r="L2920" s="1" t="s">
        <v>23</v>
      </c>
      <c r="M2920">
        <v>0</v>
      </c>
      <c r="N2920">
        <v>0</v>
      </c>
      <c r="O2920">
        <v>0</v>
      </c>
      <c r="P2920" s="2">
        <v>42795</v>
      </c>
      <c r="Q2920">
        <v>0</v>
      </c>
      <c r="R2920" s="1" t="s">
        <v>61</v>
      </c>
    </row>
    <row r="2921" spans="1:18" x14ac:dyDescent="0.25">
      <c r="A2921">
        <v>2017</v>
      </c>
      <c r="B2921">
        <v>4</v>
      </c>
      <c r="C2921" s="1" t="s">
        <v>27</v>
      </c>
      <c r="D2921" s="1" t="s">
        <v>19</v>
      </c>
      <c r="E2921" s="1" t="s">
        <v>104</v>
      </c>
      <c r="F2921">
        <v>2016</v>
      </c>
      <c r="G2921">
        <v>1</v>
      </c>
      <c r="H2921" s="1" t="s">
        <v>59</v>
      </c>
      <c r="I2921">
        <v>24</v>
      </c>
      <c r="J2921">
        <v>3317</v>
      </c>
      <c r="K2921" s="1" t="s">
        <v>105</v>
      </c>
      <c r="L2921" s="1" t="s">
        <v>23</v>
      </c>
      <c r="M2921">
        <v>0</v>
      </c>
      <c r="N2921">
        <v>0</v>
      </c>
      <c r="O2921">
        <v>0</v>
      </c>
      <c r="P2921" s="2">
        <v>42826</v>
      </c>
      <c r="Q2921">
        <v>0</v>
      </c>
      <c r="R2921" s="1" t="s">
        <v>61</v>
      </c>
    </row>
    <row r="2922" spans="1:18" x14ac:dyDescent="0.25">
      <c r="A2922">
        <v>2017</v>
      </c>
      <c r="B2922">
        <v>5</v>
      </c>
      <c r="C2922" s="1" t="s">
        <v>28</v>
      </c>
      <c r="D2922" s="1" t="s">
        <v>19</v>
      </c>
      <c r="E2922" s="1" t="s">
        <v>104</v>
      </c>
      <c r="F2922">
        <v>2016</v>
      </c>
      <c r="G2922">
        <v>1</v>
      </c>
      <c r="H2922" s="1" t="s">
        <v>59</v>
      </c>
      <c r="I2922">
        <v>24</v>
      </c>
      <c r="J2922">
        <v>3317</v>
      </c>
      <c r="K2922" s="1" t="s">
        <v>105</v>
      </c>
      <c r="L2922" s="1" t="s">
        <v>23</v>
      </c>
      <c r="M2922">
        <v>0</v>
      </c>
      <c r="N2922">
        <v>0</v>
      </c>
      <c r="O2922">
        <v>0</v>
      </c>
      <c r="P2922" s="2">
        <v>42856</v>
      </c>
      <c r="Q2922">
        <v>0</v>
      </c>
      <c r="R2922" s="1" t="s">
        <v>61</v>
      </c>
    </row>
    <row r="2923" spans="1:18" x14ac:dyDescent="0.25">
      <c r="A2923">
        <v>2017</v>
      </c>
      <c r="B2923">
        <v>6</v>
      </c>
      <c r="C2923" s="1" t="s">
        <v>29</v>
      </c>
      <c r="D2923" s="1" t="s">
        <v>19</v>
      </c>
      <c r="E2923" s="1" t="s">
        <v>104</v>
      </c>
      <c r="F2923">
        <v>2016</v>
      </c>
      <c r="G2923">
        <v>1</v>
      </c>
      <c r="H2923" s="1" t="s">
        <v>59</v>
      </c>
      <c r="I2923">
        <v>24</v>
      </c>
      <c r="J2923">
        <v>3317</v>
      </c>
      <c r="K2923" s="1" t="s">
        <v>105</v>
      </c>
      <c r="L2923" s="1" t="s">
        <v>23</v>
      </c>
      <c r="M2923">
        <v>0</v>
      </c>
      <c r="N2923">
        <v>0</v>
      </c>
      <c r="O2923">
        <v>0</v>
      </c>
      <c r="P2923" s="2">
        <v>42887</v>
      </c>
      <c r="Q2923">
        <v>0</v>
      </c>
      <c r="R2923" s="1" t="s">
        <v>61</v>
      </c>
    </row>
    <row r="2924" spans="1:18" x14ac:dyDescent="0.25">
      <c r="A2924">
        <v>2017</v>
      </c>
      <c r="B2924">
        <v>7</v>
      </c>
      <c r="C2924" s="1" t="s">
        <v>30</v>
      </c>
      <c r="D2924" s="1" t="s">
        <v>19</v>
      </c>
      <c r="E2924" s="1" t="s">
        <v>104</v>
      </c>
      <c r="F2924">
        <v>2016</v>
      </c>
      <c r="G2924">
        <v>1</v>
      </c>
      <c r="H2924" s="1" t="s">
        <v>59</v>
      </c>
      <c r="I2924">
        <v>24</v>
      </c>
      <c r="J2924">
        <v>3317</v>
      </c>
      <c r="K2924" s="1" t="s">
        <v>105</v>
      </c>
      <c r="L2924" s="1" t="s">
        <v>23</v>
      </c>
      <c r="M2924">
        <v>0</v>
      </c>
      <c r="N2924">
        <v>0</v>
      </c>
      <c r="O2924">
        <v>0</v>
      </c>
      <c r="P2924" s="2">
        <v>42917</v>
      </c>
      <c r="Q2924">
        <v>0</v>
      </c>
      <c r="R2924" s="1" t="s">
        <v>61</v>
      </c>
    </row>
    <row r="2925" spans="1:18" x14ac:dyDescent="0.25">
      <c r="A2925">
        <v>2017</v>
      </c>
      <c r="B2925">
        <v>8</v>
      </c>
      <c r="C2925" s="1" t="s">
        <v>31</v>
      </c>
      <c r="D2925" s="1" t="s">
        <v>19</v>
      </c>
      <c r="E2925" s="1" t="s">
        <v>104</v>
      </c>
      <c r="F2925">
        <v>2016</v>
      </c>
      <c r="G2925">
        <v>1</v>
      </c>
      <c r="H2925" s="1" t="s">
        <v>59</v>
      </c>
      <c r="I2925">
        <v>24</v>
      </c>
      <c r="J2925">
        <v>3317</v>
      </c>
      <c r="K2925" s="1" t="s">
        <v>105</v>
      </c>
      <c r="L2925" s="1" t="s">
        <v>23</v>
      </c>
      <c r="M2925">
        <v>0</v>
      </c>
      <c r="N2925">
        <v>0</v>
      </c>
      <c r="O2925">
        <v>0</v>
      </c>
      <c r="P2925" s="2">
        <v>42948</v>
      </c>
      <c r="Q2925">
        <v>0</v>
      </c>
      <c r="R2925" s="1" t="s">
        <v>61</v>
      </c>
    </row>
    <row r="2926" spans="1:18" x14ac:dyDescent="0.25">
      <c r="A2926">
        <v>2017</v>
      </c>
      <c r="B2926">
        <v>9</v>
      </c>
      <c r="C2926" s="1" t="s">
        <v>32</v>
      </c>
      <c r="D2926" s="1" t="s">
        <v>19</v>
      </c>
      <c r="E2926" s="1" t="s">
        <v>104</v>
      </c>
      <c r="F2926">
        <v>2016</v>
      </c>
      <c r="G2926">
        <v>1</v>
      </c>
      <c r="H2926" s="1" t="s">
        <v>59</v>
      </c>
      <c r="I2926">
        <v>24</v>
      </c>
      <c r="J2926">
        <v>3317</v>
      </c>
      <c r="K2926" s="1" t="s">
        <v>105</v>
      </c>
      <c r="L2926" s="1" t="s">
        <v>23</v>
      </c>
      <c r="M2926">
        <v>0</v>
      </c>
      <c r="N2926">
        <v>0</v>
      </c>
      <c r="O2926">
        <v>0</v>
      </c>
      <c r="P2926" s="2">
        <v>42979</v>
      </c>
      <c r="Q2926">
        <v>0</v>
      </c>
      <c r="R2926" s="1" t="s">
        <v>61</v>
      </c>
    </row>
    <row r="2927" spans="1:18" x14ac:dyDescent="0.25">
      <c r="A2927">
        <v>2017</v>
      </c>
      <c r="B2927">
        <v>10</v>
      </c>
      <c r="C2927" s="1" t="s">
        <v>33</v>
      </c>
      <c r="D2927" s="1" t="s">
        <v>19</v>
      </c>
      <c r="E2927" s="1" t="s">
        <v>104</v>
      </c>
      <c r="F2927">
        <v>2016</v>
      </c>
      <c r="G2927">
        <v>1</v>
      </c>
      <c r="H2927" s="1" t="s">
        <v>59</v>
      </c>
      <c r="I2927">
        <v>24</v>
      </c>
      <c r="J2927">
        <v>3317</v>
      </c>
      <c r="K2927" s="1" t="s">
        <v>105</v>
      </c>
      <c r="L2927" s="1" t="s">
        <v>23</v>
      </c>
      <c r="M2927">
        <v>0</v>
      </c>
      <c r="N2927">
        <v>0</v>
      </c>
      <c r="O2927">
        <v>0</v>
      </c>
      <c r="P2927" s="2">
        <v>43009</v>
      </c>
      <c r="Q2927">
        <v>0</v>
      </c>
      <c r="R2927" s="1" t="s">
        <v>61</v>
      </c>
    </row>
    <row r="2928" spans="1:18" x14ac:dyDescent="0.25">
      <c r="A2928">
        <v>2017</v>
      </c>
      <c r="B2928">
        <v>11</v>
      </c>
      <c r="C2928" s="1" t="s">
        <v>34</v>
      </c>
      <c r="D2928" s="1" t="s">
        <v>19</v>
      </c>
      <c r="E2928" s="1" t="s">
        <v>104</v>
      </c>
      <c r="F2928">
        <v>2016</v>
      </c>
      <c r="G2928">
        <v>1</v>
      </c>
      <c r="H2928" s="1" t="s">
        <v>59</v>
      </c>
      <c r="I2928">
        <v>24</v>
      </c>
      <c r="J2928">
        <v>3317</v>
      </c>
      <c r="K2928" s="1" t="s">
        <v>105</v>
      </c>
      <c r="L2928" s="1" t="s">
        <v>23</v>
      </c>
      <c r="M2928">
        <v>0</v>
      </c>
      <c r="N2928">
        <v>0</v>
      </c>
      <c r="O2928">
        <v>0</v>
      </c>
      <c r="P2928" s="2">
        <v>43040</v>
      </c>
      <c r="Q2928">
        <v>0</v>
      </c>
      <c r="R2928" s="1" t="s">
        <v>61</v>
      </c>
    </row>
    <row r="2929" spans="1:18" x14ac:dyDescent="0.25">
      <c r="A2929">
        <v>2017</v>
      </c>
      <c r="B2929">
        <v>12</v>
      </c>
      <c r="C2929" s="1" t="s">
        <v>35</v>
      </c>
      <c r="D2929" s="1" t="s">
        <v>19</v>
      </c>
      <c r="E2929" s="1" t="s">
        <v>104</v>
      </c>
      <c r="F2929">
        <v>2016</v>
      </c>
      <c r="G2929">
        <v>1</v>
      </c>
      <c r="H2929" s="1" t="s">
        <v>59</v>
      </c>
      <c r="I2929">
        <v>24</v>
      </c>
      <c r="J2929">
        <v>3317</v>
      </c>
      <c r="K2929" s="1" t="s">
        <v>105</v>
      </c>
      <c r="L2929" s="1" t="s">
        <v>23</v>
      </c>
      <c r="M2929">
        <v>0</v>
      </c>
      <c r="N2929">
        <v>0</v>
      </c>
      <c r="O2929">
        <v>0</v>
      </c>
      <c r="P2929" s="2">
        <v>43070</v>
      </c>
      <c r="Q2929">
        <v>0</v>
      </c>
      <c r="R2929" s="1" t="s">
        <v>61</v>
      </c>
    </row>
    <row r="2930" spans="1:18" x14ac:dyDescent="0.25">
      <c r="A2930">
        <v>2017</v>
      </c>
      <c r="B2930">
        <v>1</v>
      </c>
      <c r="C2930" s="1" t="s">
        <v>18</v>
      </c>
      <c r="D2930" s="1" t="s">
        <v>19</v>
      </c>
      <c r="E2930" s="1" t="s">
        <v>106</v>
      </c>
      <c r="F2930">
        <v>2016</v>
      </c>
      <c r="G2930">
        <v>1</v>
      </c>
      <c r="H2930" s="1" t="s">
        <v>59</v>
      </c>
      <c r="I2930">
        <v>17</v>
      </c>
      <c r="J2930">
        <v>2219</v>
      </c>
      <c r="K2930" s="1" t="s">
        <v>107</v>
      </c>
      <c r="L2930" s="1" t="s">
        <v>23</v>
      </c>
      <c r="M2930">
        <v>0</v>
      </c>
      <c r="N2930">
        <v>0</v>
      </c>
      <c r="O2930">
        <v>0</v>
      </c>
      <c r="P2930" s="2">
        <v>42736</v>
      </c>
      <c r="Q2930">
        <v>0</v>
      </c>
      <c r="R2930" s="1" t="s">
        <v>61</v>
      </c>
    </row>
    <row r="2931" spans="1:18" x14ac:dyDescent="0.25">
      <c r="A2931">
        <v>2017</v>
      </c>
      <c r="B2931">
        <v>2</v>
      </c>
      <c r="C2931" s="1" t="s">
        <v>25</v>
      </c>
      <c r="D2931" s="1" t="s">
        <v>19</v>
      </c>
      <c r="E2931" s="1" t="s">
        <v>106</v>
      </c>
      <c r="F2931">
        <v>2016</v>
      </c>
      <c r="G2931">
        <v>1</v>
      </c>
      <c r="H2931" s="1" t="s">
        <v>59</v>
      </c>
      <c r="I2931">
        <v>17</v>
      </c>
      <c r="J2931">
        <v>2219</v>
      </c>
      <c r="K2931" s="1" t="s">
        <v>107</v>
      </c>
      <c r="L2931" s="1" t="s">
        <v>23</v>
      </c>
      <c r="M2931">
        <v>0</v>
      </c>
      <c r="N2931">
        <v>0</v>
      </c>
      <c r="O2931">
        <v>0</v>
      </c>
      <c r="P2931" s="2">
        <v>42767</v>
      </c>
      <c r="Q2931">
        <v>0</v>
      </c>
      <c r="R2931" s="1" t="s">
        <v>61</v>
      </c>
    </row>
    <row r="2932" spans="1:18" x14ac:dyDescent="0.25">
      <c r="A2932">
        <v>2017</v>
      </c>
      <c r="B2932">
        <v>3</v>
      </c>
      <c r="C2932" s="1" t="s">
        <v>26</v>
      </c>
      <c r="D2932" s="1" t="s">
        <v>19</v>
      </c>
      <c r="E2932" s="1" t="s">
        <v>106</v>
      </c>
      <c r="F2932">
        <v>2016</v>
      </c>
      <c r="G2932">
        <v>1</v>
      </c>
      <c r="H2932" s="1" t="s">
        <v>59</v>
      </c>
      <c r="I2932">
        <v>17</v>
      </c>
      <c r="J2932">
        <v>2219</v>
      </c>
      <c r="K2932" s="1" t="s">
        <v>107</v>
      </c>
      <c r="L2932" s="1" t="s">
        <v>23</v>
      </c>
      <c r="M2932">
        <v>0</v>
      </c>
      <c r="N2932">
        <v>0</v>
      </c>
      <c r="O2932">
        <v>0</v>
      </c>
      <c r="P2932" s="2">
        <v>42795</v>
      </c>
      <c r="Q2932">
        <v>0</v>
      </c>
      <c r="R2932" s="1" t="s">
        <v>61</v>
      </c>
    </row>
    <row r="2933" spans="1:18" x14ac:dyDescent="0.25">
      <c r="A2933">
        <v>2017</v>
      </c>
      <c r="B2933">
        <v>4</v>
      </c>
      <c r="C2933" s="1" t="s">
        <v>27</v>
      </c>
      <c r="D2933" s="1" t="s">
        <v>19</v>
      </c>
      <c r="E2933" s="1" t="s">
        <v>106</v>
      </c>
      <c r="F2933">
        <v>2016</v>
      </c>
      <c r="G2933">
        <v>1</v>
      </c>
      <c r="H2933" s="1" t="s">
        <v>59</v>
      </c>
      <c r="I2933">
        <v>17</v>
      </c>
      <c r="J2933">
        <v>2219</v>
      </c>
      <c r="K2933" s="1" t="s">
        <v>107</v>
      </c>
      <c r="L2933" s="1" t="s">
        <v>23</v>
      </c>
      <c r="M2933">
        <v>0</v>
      </c>
      <c r="N2933">
        <v>0</v>
      </c>
      <c r="O2933">
        <v>0</v>
      </c>
      <c r="P2933" s="2">
        <v>42826</v>
      </c>
      <c r="Q2933">
        <v>0</v>
      </c>
      <c r="R2933" s="1" t="s">
        <v>61</v>
      </c>
    </row>
    <row r="2934" spans="1:18" x14ac:dyDescent="0.25">
      <c r="A2934">
        <v>2017</v>
      </c>
      <c r="B2934">
        <v>5</v>
      </c>
      <c r="C2934" s="1" t="s">
        <v>28</v>
      </c>
      <c r="D2934" s="1" t="s">
        <v>19</v>
      </c>
      <c r="E2934" s="1" t="s">
        <v>106</v>
      </c>
      <c r="F2934">
        <v>2016</v>
      </c>
      <c r="G2934">
        <v>1</v>
      </c>
      <c r="H2934" s="1" t="s">
        <v>59</v>
      </c>
      <c r="I2934">
        <v>17</v>
      </c>
      <c r="J2934">
        <v>2219</v>
      </c>
      <c r="K2934" s="1" t="s">
        <v>107</v>
      </c>
      <c r="L2934" s="1" t="s">
        <v>23</v>
      </c>
      <c r="M2934">
        <v>0</v>
      </c>
      <c r="N2934">
        <v>0</v>
      </c>
      <c r="O2934">
        <v>0</v>
      </c>
      <c r="P2934" s="2">
        <v>42856</v>
      </c>
      <c r="Q2934">
        <v>0</v>
      </c>
      <c r="R2934" s="1" t="s">
        <v>61</v>
      </c>
    </row>
    <row r="2935" spans="1:18" x14ac:dyDescent="0.25">
      <c r="A2935">
        <v>2017</v>
      </c>
      <c r="B2935">
        <v>6</v>
      </c>
      <c r="C2935" s="1" t="s">
        <v>29</v>
      </c>
      <c r="D2935" s="1" t="s">
        <v>19</v>
      </c>
      <c r="E2935" s="1" t="s">
        <v>106</v>
      </c>
      <c r="F2935">
        <v>2016</v>
      </c>
      <c r="G2935">
        <v>1</v>
      </c>
      <c r="H2935" s="1" t="s">
        <v>59</v>
      </c>
      <c r="I2935">
        <v>17</v>
      </c>
      <c r="J2935">
        <v>2219</v>
      </c>
      <c r="K2935" s="1" t="s">
        <v>107</v>
      </c>
      <c r="L2935" s="1" t="s">
        <v>23</v>
      </c>
      <c r="M2935">
        <v>0</v>
      </c>
      <c r="N2935">
        <v>0</v>
      </c>
      <c r="O2935">
        <v>0</v>
      </c>
      <c r="P2935" s="2">
        <v>42887</v>
      </c>
      <c r="Q2935">
        <v>0</v>
      </c>
      <c r="R2935" s="1" t="s">
        <v>61</v>
      </c>
    </row>
    <row r="2936" spans="1:18" x14ac:dyDescent="0.25">
      <c r="A2936">
        <v>2017</v>
      </c>
      <c r="B2936">
        <v>7</v>
      </c>
      <c r="C2936" s="1" t="s">
        <v>30</v>
      </c>
      <c r="D2936" s="1" t="s">
        <v>19</v>
      </c>
      <c r="E2936" s="1" t="s">
        <v>106</v>
      </c>
      <c r="F2936">
        <v>2016</v>
      </c>
      <c r="G2936">
        <v>1</v>
      </c>
      <c r="H2936" s="1" t="s">
        <v>59</v>
      </c>
      <c r="I2936">
        <v>17</v>
      </c>
      <c r="J2936">
        <v>2219</v>
      </c>
      <c r="K2936" s="1" t="s">
        <v>107</v>
      </c>
      <c r="L2936" s="1" t="s">
        <v>23</v>
      </c>
      <c r="M2936">
        <v>0</v>
      </c>
      <c r="N2936">
        <v>0</v>
      </c>
      <c r="O2936">
        <v>0</v>
      </c>
      <c r="P2936" s="2">
        <v>42917</v>
      </c>
      <c r="Q2936">
        <v>0</v>
      </c>
      <c r="R2936" s="1" t="s">
        <v>61</v>
      </c>
    </row>
    <row r="2937" spans="1:18" x14ac:dyDescent="0.25">
      <c r="A2937">
        <v>2017</v>
      </c>
      <c r="B2937">
        <v>8</v>
      </c>
      <c r="C2937" s="1" t="s">
        <v>31</v>
      </c>
      <c r="D2937" s="1" t="s">
        <v>19</v>
      </c>
      <c r="E2937" s="1" t="s">
        <v>106</v>
      </c>
      <c r="F2937">
        <v>2016</v>
      </c>
      <c r="G2937">
        <v>1</v>
      </c>
      <c r="H2937" s="1" t="s">
        <v>59</v>
      </c>
      <c r="I2937">
        <v>17</v>
      </c>
      <c r="J2937">
        <v>2219</v>
      </c>
      <c r="K2937" s="1" t="s">
        <v>107</v>
      </c>
      <c r="L2937" s="1" t="s">
        <v>23</v>
      </c>
      <c r="M2937">
        <v>0</v>
      </c>
      <c r="N2937">
        <v>0</v>
      </c>
      <c r="O2937">
        <v>0</v>
      </c>
      <c r="P2937" s="2">
        <v>42948</v>
      </c>
      <c r="Q2937">
        <v>0</v>
      </c>
      <c r="R2937" s="1" t="s">
        <v>61</v>
      </c>
    </row>
    <row r="2938" spans="1:18" x14ac:dyDescent="0.25">
      <c r="A2938">
        <v>2017</v>
      </c>
      <c r="B2938">
        <v>9</v>
      </c>
      <c r="C2938" s="1" t="s">
        <v>32</v>
      </c>
      <c r="D2938" s="1" t="s">
        <v>19</v>
      </c>
      <c r="E2938" s="1" t="s">
        <v>106</v>
      </c>
      <c r="F2938">
        <v>2016</v>
      </c>
      <c r="G2938">
        <v>1</v>
      </c>
      <c r="H2938" s="1" t="s">
        <v>59</v>
      </c>
      <c r="I2938">
        <v>17</v>
      </c>
      <c r="J2938">
        <v>2219</v>
      </c>
      <c r="K2938" s="1" t="s">
        <v>107</v>
      </c>
      <c r="L2938" s="1" t="s">
        <v>23</v>
      </c>
      <c r="M2938">
        <v>0</v>
      </c>
      <c r="N2938">
        <v>0</v>
      </c>
      <c r="O2938">
        <v>0</v>
      </c>
      <c r="P2938" s="2">
        <v>42979</v>
      </c>
      <c r="Q2938">
        <v>0</v>
      </c>
      <c r="R2938" s="1" t="s">
        <v>61</v>
      </c>
    </row>
    <row r="2939" spans="1:18" x14ac:dyDescent="0.25">
      <c r="A2939">
        <v>2017</v>
      </c>
      <c r="B2939">
        <v>10</v>
      </c>
      <c r="C2939" s="1" t="s">
        <v>33</v>
      </c>
      <c r="D2939" s="1" t="s">
        <v>19</v>
      </c>
      <c r="E2939" s="1" t="s">
        <v>106</v>
      </c>
      <c r="F2939">
        <v>2016</v>
      </c>
      <c r="G2939">
        <v>1</v>
      </c>
      <c r="H2939" s="1" t="s">
        <v>59</v>
      </c>
      <c r="I2939">
        <v>17</v>
      </c>
      <c r="J2939">
        <v>2219</v>
      </c>
      <c r="K2939" s="1" t="s">
        <v>107</v>
      </c>
      <c r="L2939" s="1" t="s">
        <v>23</v>
      </c>
      <c r="M2939">
        <v>0</v>
      </c>
      <c r="N2939">
        <v>0</v>
      </c>
      <c r="O2939">
        <v>0</v>
      </c>
      <c r="P2939" s="2">
        <v>43009</v>
      </c>
      <c r="Q2939">
        <v>0</v>
      </c>
      <c r="R2939" s="1" t="s">
        <v>61</v>
      </c>
    </row>
    <row r="2940" spans="1:18" x14ac:dyDescent="0.25">
      <c r="A2940">
        <v>2017</v>
      </c>
      <c r="B2940">
        <v>11</v>
      </c>
      <c r="C2940" s="1" t="s">
        <v>34</v>
      </c>
      <c r="D2940" s="1" t="s">
        <v>19</v>
      </c>
      <c r="E2940" s="1" t="s">
        <v>106</v>
      </c>
      <c r="F2940">
        <v>2016</v>
      </c>
      <c r="G2940">
        <v>1</v>
      </c>
      <c r="H2940" s="1" t="s">
        <v>59</v>
      </c>
      <c r="I2940">
        <v>17</v>
      </c>
      <c r="J2940">
        <v>2219</v>
      </c>
      <c r="K2940" s="1" t="s">
        <v>107</v>
      </c>
      <c r="L2940" s="1" t="s">
        <v>23</v>
      </c>
      <c r="M2940">
        <v>0</v>
      </c>
      <c r="N2940">
        <v>0</v>
      </c>
      <c r="O2940">
        <v>0</v>
      </c>
      <c r="P2940" s="2">
        <v>43040</v>
      </c>
      <c r="Q2940">
        <v>0</v>
      </c>
      <c r="R2940" s="1" t="s">
        <v>61</v>
      </c>
    </row>
    <row r="2941" spans="1:18" x14ac:dyDescent="0.25">
      <c r="A2941">
        <v>2017</v>
      </c>
      <c r="B2941">
        <v>12</v>
      </c>
      <c r="C2941" s="1" t="s">
        <v>35</v>
      </c>
      <c r="D2941" s="1" t="s">
        <v>19</v>
      </c>
      <c r="E2941" s="1" t="s">
        <v>106</v>
      </c>
      <c r="F2941">
        <v>2016</v>
      </c>
      <c r="G2941">
        <v>1</v>
      </c>
      <c r="H2941" s="1" t="s">
        <v>59</v>
      </c>
      <c r="I2941">
        <v>17</v>
      </c>
      <c r="J2941">
        <v>2219</v>
      </c>
      <c r="K2941" s="1" t="s">
        <v>107</v>
      </c>
      <c r="L2941" s="1" t="s">
        <v>23</v>
      </c>
      <c r="M2941">
        <v>0</v>
      </c>
      <c r="N2941">
        <v>0</v>
      </c>
      <c r="O2941">
        <v>0</v>
      </c>
      <c r="P2941" s="2">
        <v>43070</v>
      </c>
      <c r="Q2941">
        <v>0</v>
      </c>
      <c r="R2941" s="1" t="s">
        <v>61</v>
      </c>
    </row>
    <row r="2942" spans="1:18" x14ac:dyDescent="0.25">
      <c r="A2942">
        <v>2017</v>
      </c>
      <c r="B2942">
        <v>1</v>
      </c>
      <c r="C2942" s="1" t="s">
        <v>18</v>
      </c>
      <c r="D2942" s="1" t="s">
        <v>19</v>
      </c>
      <c r="E2942" s="1" t="s">
        <v>108</v>
      </c>
      <c r="F2942">
        <v>2016</v>
      </c>
      <c r="G2942">
        <v>1</v>
      </c>
      <c r="H2942" s="1" t="s">
        <v>59</v>
      </c>
      <c r="I2942">
        <v>15</v>
      </c>
      <c r="J2942">
        <v>2142</v>
      </c>
      <c r="K2942" s="1" t="s">
        <v>109</v>
      </c>
      <c r="L2942" s="1" t="s">
        <v>23</v>
      </c>
      <c r="M2942">
        <v>0</v>
      </c>
      <c r="N2942">
        <v>0</v>
      </c>
      <c r="O2942">
        <v>0</v>
      </c>
      <c r="P2942" s="2">
        <v>42736</v>
      </c>
      <c r="Q2942">
        <v>0</v>
      </c>
      <c r="R2942" s="1" t="s">
        <v>61</v>
      </c>
    </row>
    <row r="2943" spans="1:18" x14ac:dyDescent="0.25">
      <c r="A2943">
        <v>2017</v>
      </c>
      <c r="B2943">
        <v>2</v>
      </c>
      <c r="C2943" s="1" t="s">
        <v>25</v>
      </c>
      <c r="D2943" s="1" t="s">
        <v>19</v>
      </c>
      <c r="E2943" s="1" t="s">
        <v>108</v>
      </c>
      <c r="F2943">
        <v>2016</v>
      </c>
      <c r="G2943">
        <v>1</v>
      </c>
      <c r="H2943" s="1" t="s">
        <v>59</v>
      </c>
      <c r="I2943">
        <v>15</v>
      </c>
      <c r="J2943">
        <v>2142</v>
      </c>
      <c r="K2943" s="1" t="s">
        <v>109</v>
      </c>
      <c r="L2943" s="1" t="s">
        <v>23</v>
      </c>
      <c r="M2943">
        <v>0</v>
      </c>
      <c r="N2943">
        <v>0</v>
      </c>
      <c r="O2943">
        <v>0</v>
      </c>
      <c r="P2943" s="2">
        <v>42767</v>
      </c>
      <c r="Q2943">
        <v>0</v>
      </c>
      <c r="R2943" s="1" t="s">
        <v>61</v>
      </c>
    </row>
    <row r="2944" spans="1:18" x14ac:dyDescent="0.25">
      <c r="A2944">
        <v>2017</v>
      </c>
      <c r="B2944">
        <v>3</v>
      </c>
      <c r="C2944" s="1" t="s">
        <v>26</v>
      </c>
      <c r="D2944" s="1" t="s">
        <v>19</v>
      </c>
      <c r="E2944" s="1" t="s">
        <v>108</v>
      </c>
      <c r="F2944">
        <v>2016</v>
      </c>
      <c r="G2944">
        <v>1</v>
      </c>
      <c r="H2944" s="1" t="s">
        <v>59</v>
      </c>
      <c r="I2944">
        <v>15</v>
      </c>
      <c r="J2944">
        <v>2142</v>
      </c>
      <c r="K2944" s="1" t="s">
        <v>109</v>
      </c>
      <c r="L2944" s="1" t="s">
        <v>23</v>
      </c>
      <c r="M2944">
        <v>0</v>
      </c>
      <c r="N2944">
        <v>0</v>
      </c>
      <c r="O2944">
        <v>0</v>
      </c>
      <c r="P2944" s="2">
        <v>42795</v>
      </c>
      <c r="Q2944">
        <v>0</v>
      </c>
      <c r="R2944" s="1" t="s">
        <v>61</v>
      </c>
    </row>
    <row r="2945" spans="1:18" x14ac:dyDescent="0.25">
      <c r="A2945">
        <v>2017</v>
      </c>
      <c r="B2945">
        <v>4</v>
      </c>
      <c r="C2945" s="1" t="s">
        <v>27</v>
      </c>
      <c r="D2945" s="1" t="s">
        <v>19</v>
      </c>
      <c r="E2945" s="1" t="s">
        <v>108</v>
      </c>
      <c r="F2945">
        <v>2016</v>
      </c>
      <c r="G2945">
        <v>1</v>
      </c>
      <c r="H2945" s="1" t="s">
        <v>59</v>
      </c>
      <c r="I2945">
        <v>15</v>
      </c>
      <c r="J2945">
        <v>2142</v>
      </c>
      <c r="K2945" s="1" t="s">
        <v>109</v>
      </c>
      <c r="L2945" s="1" t="s">
        <v>23</v>
      </c>
      <c r="M2945">
        <v>0</v>
      </c>
      <c r="N2945">
        <v>0</v>
      </c>
      <c r="O2945">
        <v>0</v>
      </c>
      <c r="P2945" s="2">
        <v>42826</v>
      </c>
      <c r="Q2945">
        <v>0</v>
      </c>
      <c r="R2945" s="1" t="s">
        <v>61</v>
      </c>
    </row>
    <row r="2946" spans="1:18" x14ac:dyDescent="0.25">
      <c r="A2946">
        <v>2017</v>
      </c>
      <c r="B2946">
        <v>5</v>
      </c>
      <c r="C2946" s="1" t="s">
        <v>28</v>
      </c>
      <c r="D2946" s="1" t="s">
        <v>19</v>
      </c>
      <c r="E2946" s="1" t="s">
        <v>108</v>
      </c>
      <c r="F2946">
        <v>2016</v>
      </c>
      <c r="G2946">
        <v>1</v>
      </c>
      <c r="H2946" s="1" t="s">
        <v>59</v>
      </c>
      <c r="I2946">
        <v>15</v>
      </c>
      <c r="J2946">
        <v>2142</v>
      </c>
      <c r="K2946" s="1" t="s">
        <v>109</v>
      </c>
      <c r="L2946" s="1" t="s">
        <v>23</v>
      </c>
      <c r="M2946">
        <v>0</v>
      </c>
      <c r="N2946">
        <v>0</v>
      </c>
      <c r="O2946">
        <v>0</v>
      </c>
      <c r="P2946" s="2">
        <v>42856</v>
      </c>
      <c r="Q2946">
        <v>0</v>
      </c>
      <c r="R2946" s="1" t="s">
        <v>61</v>
      </c>
    </row>
    <row r="2947" spans="1:18" x14ac:dyDescent="0.25">
      <c r="A2947">
        <v>2017</v>
      </c>
      <c r="B2947">
        <v>6</v>
      </c>
      <c r="C2947" s="1" t="s">
        <v>29</v>
      </c>
      <c r="D2947" s="1" t="s">
        <v>19</v>
      </c>
      <c r="E2947" s="1" t="s">
        <v>108</v>
      </c>
      <c r="F2947">
        <v>2016</v>
      </c>
      <c r="G2947">
        <v>1</v>
      </c>
      <c r="H2947" s="1" t="s">
        <v>59</v>
      </c>
      <c r="I2947">
        <v>15</v>
      </c>
      <c r="J2947">
        <v>2142</v>
      </c>
      <c r="K2947" s="1" t="s">
        <v>109</v>
      </c>
      <c r="L2947" s="1" t="s">
        <v>23</v>
      </c>
      <c r="M2947">
        <v>0</v>
      </c>
      <c r="N2947">
        <v>0</v>
      </c>
      <c r="O2947">
        <v>0</v>
      </c>
      <c r="P2947" s="2">
        <v>42887</v>
      </c>
      <c r="Q2947">
        <v>0</v>
      </c>
      <c r="R2947" s="1" t="s">
        <v>61</v>
      </c>
    </row>
    <row r="2948" spans="1:18" x14ac:dyDescent="0.25">
      <c r="A2948">
        <v>2017</v>
      </c>
      <c r="B2948">
        <v>7</v>
      </c>
      <c r="C2948" s="1" t="s">
        <v>30</v>
      </c>
      <c r="D2948" s="1" t="s">
        <v>19</v>
      </c>
      <c r="E2948" s="1" t="s">
        <v>108</v>
      </c>
      <c r="F2948">
        <v>2016</v>
      </c>
      <c r="G2948">
        <v>1</v>
      </c>
      <c r="H2948" s="1" t="s">
        <v>59</v>
      </c>
      <c r="I2948">
        <v>15</v>
      </c>
      <c r="J2948">
        <v>2142</v>
      </c>
      <c r="K2948" s="1" t="s">
        <v>109</v>
      </c>
      <c r="L2948" s="1" t="s">
        <v>23</v>
      </c>
      <c r="M2948">
        <v>0</v>
      </c>
      <c r="N2948">
        <v>0</v>
      </c>
      <c r="O2948">
        <v>0</v>
      </c>
      <c r="P2948" s="2">
        <v>42917</v>
      </c>
      <c r="Q2948">
        <v>0</v>
      </c>
      <c r="R2948" s="1" t="s">
        <v>61</v>
      </c>
    </row>
    <row r="2949" spans="1:18" x14ac:dyDescent="0.25">
      <c r="A2949">
        <v>2017</v>
      </c>
      <c r="B2949">
        <v>8</v>
      </c>
      <c r="C2949" s="1" t="s">
        <v>31</v>
      </c>
      <c r="D2949" s="1" t="s">
        <v>19</v>
      </c>
      <c r="E2949" s="1" t="s">
        <v>108</v>
      </c>
      <c r="F2949">
        <v>2016</v>
      </c>
      <c r="G2949">
        <v>1</v>
      </c>
      <c r="H2949" s="1" t="s">
        <v>59</v>
      </c>
      <c r="I2949">
        <v>15</v>
      </c>
      <c r="J2949">
        <v>2142</v>
      </c>
      <c r="K2949" s="1" t="s">
        <v>109</v>
      </c>
      <c r="L2949" s="1" t="s">
        <v>23</v>
      </c>
      <c r="M2949">
        <v>0</v>
      </c>
      <c r="N2949">
        <v>0</v>
      </c>
      <c r="O2949">
        <v>0</v>
      </c>
      <c r="P2949" s="2">
        <v>42948</v>
      </c>
      <c r="Q2949">
        <v>0</v>
      </c>
      <c r="R2949" s="1" t="s">
        <v>61</v>
      </c>
    </row>
    <row r="2950" spans="1:18" x14ac:dyDescent="0.25">
      <c r="A2950">
        <v>2017</v>
      </c>
      <c r="B2950">
        <v>9</v>
      </c>
      <c r="C2950" s="1" t="s">
        <v>32</v>
      </c>
      <c r="D2950" s="1" t="s">
        <v>19</v>
      </c>
      <c r="E2950" s="1" t="s">
        <v>108</v>
      </c>
      <c r="F2950">
        <v>2016</v>
      </c>
      <c r="G2950">
        <v>1</v>
      </c>
      <c r="H2950" s="1" t="s">
        <v>59</v>
      </c>
      <c r="I2950">
        <v>15</v>
      </c>
      <c r="J2950">
        <v>2142</v>
      </c>
      <c r="K2950" s="1" t="s">
        <v>109</v>
      </c>
      <c r="L2950" s="1" t="s">
        <v>23</v>
      </c>
      <c r="M2950">
        <v>0</v>
      </c>
      <c r="N2950">
        <v>0</v>
      </c>
      <c r="O2950">
        <v>0</v>
      </c>
      <c r="P2950" s="2">
        <v>42979</v>
      </c>
      <c r="Q2950">
        <v>0</v>
      </c>
      <c r="R2950" s="1" t="s">
        <v>61</v>
      </c>
    </row>
    <row r="2951" spans="1:18" x14ac:dyDescent="0.25">
      <c r="A2951">
        <v>2017</v>
      </c>
      <c r="B2951">
        <v>10</v>
      </c>
      <c r="C2951" s="1" t="s">
        <v>33</v>
      </c>
      <c r="D2951" s="1" t="s">
        <v>19</v>
      </c>
      <c r="E2951" s="1" t="s">
        <v>108</v>
      </c>
      <c r="F2951">
        <v>2016</v>
      </c>
      <c r="G2951">
        <v>1</v>
      </c>
      <c r="H2951" s="1" t="s">
        <v>59</v>
      </c>
      <c r="I2951">
        <v>15</v>
      </c>
      <c r="J2951">
        <v>2142</v>
      </c>
      <c r="K2951" s="1" t="s">
        <v>109</v>
      </c>
      <c r="L2951" s="1" t="s">
        <v>23</v>
      </c>
      <c r="M2951">
        <v>0</v>
      </c>
      <c r="N2951">
        <v>0</v>
      </c>
      <c r="O2951">
        <v>0</v>
      </c>
      <c r="P2951" s="2">
        <v>43009</v>
      </c>
      <c r="Q2951">
        <v>0</v>
      </c>
      <c r="R2951" s="1" t="s">
        <v>61</v>
      </c>
    </row>
    <row r="2952" spans="1:18" x14ac:dyDescent="0.25">
      <c r="A2952">
        <v>2017</v>
      </c>
      <c r="B2952">
        <v>11</v>
      </c>
      <c r="C2952" s="1" t="s">
        <v>34</v>
      </c>
      <c r="D2952" s="1" t="s">
        <v>19</v>
      </c>
      <c r="E2952" s="1" t="s">
        <v>108</v>
      </c>
      <c r="F2952">
        <v>2016</v>
      </c>
      <c r="G2952">
        <v>1</v>
      </c>
      <c r="H2952" s="1" t="s">
        <v>59</v>
      </c>
      <c r="I2952">
        <v>15</v>
      </c>
      <c r="J2952">
        <v>2142</v>
      </c>
      <c r="K2952" s="1" t="s">
        <v>109</v>
      </c>
      <c r="L2952" s="1" t="s">
        <v>23</v>
      </c>
      <c r="M2952">
        <v>0</v>
      </c>
      <c r="N2952">
        <v>0</v>
      </c>
      <c r="O2952">
        <v>0</v>
      </c>
      <c r="P2952" s="2">
        <v>43040</v>
      </c>
      <c r="Q2952">
        <v>0</v>
      </c>
      <c r="R2952" s="1" t="s">
        <v>61</v>
      </c>
    </row>
    <row r="2953" spans="1:18" x14ac:dyDescent="0.25">
      <c r="A2953">
        <v>2017</v>
      </c>
      <c r="B2953">
        <v>12</v>
      </c>
      <c r="C2953" s="1" t="s">
        <v>35</v>
      </c>
      <c r="D2953" s="1" t="s">
        <v>19</v>
      </c>
      <c r="E2953" s="1" t="s">
        <v>108</v>
      </c>
      <c r="F2953">
        <v>2016</v>
      </c>
      <c r="G2953">
        <v>1</v>
      </c>
      <c r="H2953" s="1" t="s">
        <v>59</v>
      </c>
      <c r="I2953">
        <v>15</v>
      </c>
      <c r="J2953">
        <v>2142</v>
      </c>
      <c r="K2953" s="1" t="s">
        <v>109</v>
      </c>
      <c r="L2953" s="1" t="s">
        <v>23</v>
      </c>
      <c r="M2953">
        <v>0</v>
      </c>
      <c r="N2953">
        <v>0</v>
      </c>
      <c r="O2953">
        <v>0</v>
      </c>
      <c r="P2953" s="2">
        <v>43070</v>
      </c>
      <c r="Q2953">
        <v>0</v>
      </c>
      <c r="R2953" s="1" t="s">
        <v>61</v>
      </c>
    </row>
    <row r="2954" spans="1:18" x14ac:dyDescent="0.25">
      <c r="A2954">
        <v>2017</v>
      </c>
      <c r="B2954">
        <v>1</v>
      </c>
      <c r="C2954" s="1" t="s">
        <v>18</v>
      </c>
      <c r="D2954" s="1" t="s">
        <v>19</v>
      </c>
      <c r="E2954" s="1" t="s">
        <v>110</v>
      </c>
      <c r="F2954">
        <v>2016</v>
      </c>
      <c r="G2954">
        <v>1</v>
      </c>
      <c r="H2954" s="1" t="s">
        <v>59</v>
      </c>
      <c r="I2954">
        <v>24</v>
      </c>
      <c r="J2954">
        <v>3324</v>
      </c>
      <c r="K2954" s="1" t="s">
        <v>111</v>
      </c>
      <c r="L2954" s="1" t="s">
        <v>23</v>
      </c>
      <c r="M2954">
        <v>0</v>
      </c>
      <c r="N2954">
        <v>0</v>
      </c>
      <c r="O2954">
        <v>0</v>
      </c>
      <c r="P2954" s="2">
        <v>42736</v>
      </c>
      <c r="Q2954">
        <v>0</v>
      </c>
      <c r="R2954" s="1" t="s">
        <v>61</v>
      </c>
    </row>
    <row r="2955" spans="1:18" x14ac:dyDescent="0.25">
      <c r="A2955">
        <v>2017</v>
      </c>
      <c r="B2955">
        <v>2</v>
      </c>
      <c r="C2955" s="1" t="s">
        <v>25</v>
      </c>
      <c r="D2955" s="1" t="s">
        <v>19</v>
      </c>
      <c r="E2955" s="1" t="s">
        <v>110</v>
      </c>
      <c r="F2955">
        <v>2016</v>
      </c>
      <c r="G2955">
        <v>1</v>
      </c>
      <c r="H2955" s="1" t="s">
        <v>59</v>
      </c>
      <c r="I2955">
        <v>24</v>
      </c>
      <c r="J2955">
        <v>3324</v>
      </c>
      <c r="K2955" s="1" t="s">
        <v>111</v>
      </c>
      <c r="L2955" s="1" t="s">
        <v>23</v>
      </c>
      <c r="M2955">
        <v>0</v>
      </c>
      <c r="N2955">
        <v>0</v>
      </c>
      <c r="O2955">
        <v>0</v>
      </c>
      <c r="P2955" s="2">
        <v>42767</v>
      </c>
      <c r="Q2955">
        <v>0</v>
      </c>
      <c r="R2955" s="1" t="s">
        <v>61</v>
      </c>
    </row>
    <row r="2956" spans="1:18" x14ac:dyDescent="0.25">
      <c r="A2956">
        <v>2017</v>
      </c>
      <c r="B2956">
        <v>3</v>
      </c>
      <c r="C2956" s="1" t="s">
        <v>26</v>
      </c>
      <c r="D2956" s="1" t="s">
        <v>19</v>
      </c>
      <c r="E2956" s="1" t="s">
        <v>110</v>
      </c>
      <c r="F2956">
        <v>2016</v>
      </c>
      <c r="G2956">
        <v>1</v>
      </c>
      <c r="H2956" s="1" t="s">
        <v>59</v>
      </c>
      <c r="I2956">
        <v>24</v>
      </c>
      <c r="J2956">
        <v>3324</v>
      </c>
      <c r="K2956" s="1" t="s">
        <v>111</v>
      </c>
      <c r="L2956" s="1" t="s">
        <v>23</v>
      </c>
      <c r="M2956">
        <v>0</v>
      </c>
      <c r="N2956">
        <v>0</v>
      </c>
      <c r="O2956">
        <v>0</v>
      </c>
      <c r="P2956" s="2">
        <v>42795</v>
      </c>
      <c r="Q2956">
        <v>0</v>
      </c>
      <c r="R2956" s="1" t="s">
        <v>61</v>
      </c>
    </row>
    <row r="2957" spans="1:18" x14ac:dyDescent="0.25">
      <c r="A2957">
        <v>2017</v>
      </c>
      <c r="B2957">
        <v>4</v>
      </c>
      <c r="C2957" s="1" t="s">
        <v>27</v>
      </c>
      <c r="D2957" s="1" t="s">
        <v>19</v>
      </c>
      <c r="E2957" s="1" t="s">
        <v>110</v>
      </c>
      <c r="F2957">
        <v>2016</v>
      </c>
      <c r="G2957">
        <v>1</v>
      </c>
      <c r="H2957" s="1" t="s">
        <v>59</v>
      </c>
      <c r="I2957">
        <v>24</v>
      </c>
      <c r="J2957">
        <v>3324</v>
      </c>
      <c r="K2957" s="1" t="s">
        <v>111</v>
      </c>
      <c r="L2957" s="1" t="s">
        <v>23</v>
      </c>
      <c r="M2957">
        <v>0</v>
      </c>
      <c r="N2957">
        <v>0</v>
      </c>
      <c r="O2957">
        <v>0</v>
      </c>
      <c r="P2957" s="2">
        <v>42826</v>
      </c>
      <c r="Q2957">
        <v>0</v>
      </c>
      <c r="R2957" s="1" t="s">
        <v>61</v>
      </c>
    </row>
    <row r="2958" spans="1:18" x14ac:dyDescent="0.25">
      <c r="A2958">
        <v>2017</v>
      </c>
      <c r="B2958">
        <v>5</v>
      </c>
      <c r="C2958" s="1" t="s">
        <v>28</v>
      </c>
      <c r="D2958" s="1" t="s">
        <v>19</v>
      </c>
      <c r="E2958" s="1" t="s">
        <v>110</v>
      </c>
      <c r="F2958">
        <v>2016</v>
      </c>
      <c r="G2958">
        <v>1</v>
      </c>
      <c r="H2958" s="1" t="s">
        <v>59</v>
      </c>
      <c r="I2958">
        <v>24</v>
      </c>
      <c r="J2958">
        <v>3324</v>
      </c>
      <c r="K2958" s="1" t="s">
        <v>111</v>
      </c>
      <c r="L2958" s="1" t="s">
        <v>23</v>
      </c>
      <c r="M2958">
        <v>0</v>
      </c>
      <c r="N2958">
        <v>0</v>
      </c>
      <c r="O2958">
        <v>0</v>
      </c>
      <c r="P2958" s="2">
        <v>42856</v>
      </c>
      <c r="Q2958">
        <v>0</v>
      </c>
      <c r="R2958" s="1" t="s">
        <v>61</v>
      </c>
    </row>
    <row r="2959" spans="1:18" x14ac:dyDescent="0.25">
      <c r="A2959">
        <v>2017</v>
      </c>
      <c r="B2959">
        <v>6</v>
      </c>
      <c r="C2959" s="1" t="s">
        <v>29</v>
      </c>
      <c r="D2959" s="1" t="s">
        <v>19</v>
      </c>
      <c r="E2959" s="1" t="s">
        <v>110</v>
      </c>
      <c r="F2959">
        <v>2016</v>
      </c>
      <c r="G2959">
        <v>1</v>
      </c>
      <c r="H2959" s="1" t="s">
        <v>59</v>
      </c>
      <c r="I2959">
        <v>24</v>
      </c>
      <c r="J2959">
        <v>3324</v>
      </c>
      <c r="K2959" s="1" t="s">
        <v>111</v>
      </c>
      <c r="L2959" s="1" t="s">
        <v>23</v>
      </c>
      <c r="M2959">
        <v>0</v>
      </c>
      <c r="N2959">
        <v>0</v>
      </c>
      <c r="O2959">
        <v>0</v>
      </c>
      <c r="P2959" s="2">
        <v>42887</v>
      </c>
      <c r="Q2959">
        <v>0</v>
      </c>
      <c r="R2959" s="1" t="s">
        <v>61</v>
      </c>
    </row>
    <row r="2960" spans="1:18" x14ac:dyDescent="0.25">
      <c r="A2960">
        <v>2017</v>
      </c>
      <c r="B2960">
        <v>7</v>
      </c>
      <c r="C2960" s="1" t="s">
        <v>30</v>
      </c>
      <c r="D2960" s="1" t="s">
        <v>19</v>
      </c>
      <c r="E2960" s="1" t="s">
        <v>110</v>
      </c>
      <c r="F2960">
        <v>2016</v>
      </c>
      <c r="G2960">
        <v>1</v>
      </c>
      <c r="H2960" s="1" t="s">
        <v>59</v>
      </c>
      <c r="I2960">
        <v>24</v>
      </c>
      <c r="J2960">
        <v>3324</v>
      </c>
      <c r="K2960" s="1" t="s">
        <v>111</v>
      </c>
      <c r="L2960" s="1" t="s">
        <v>23</v>
      </c>
      <c r="M2960">
        <v>0</v>
      </c>
      <c r="N2960">
        <v>0</v>
      </c>
      <c r="O2960">
        <v>0</v>
      </c>
      <c r="P2960" s="2">
        <v>42917</v>
      </c>
      <c r="Q2960">
        <v>0</v>
      </c>
      <c r="R2960" s="1" t="s">
        <v>61</v>
      </c>
    </row>
    <row r="2961" spans="1:18" x14ac:dyDescent="0.25">
      <c r="A2961">
        <v>2017</v>
      </c>
      <c r="B2961">
        <v>8</v>
      </c>
      <c r="C2961" s="1" t="s">
        <v>31</v>
      </c>
      <c r="D2961" s="1" t="s">
        <v>19</v>
      </c>
      <c r="E2961" s="1" t="s">
        <v>110</v>
      </c>
      <c r="F2961">
        <v>2016</v>
      </c>
      <c r="G2961">
        <v>1</v>
      </c>
      <c r="H2961" s="1" t="s">
        <v>59</v>
      </c>
      <c r="I2961">
        <v>24</v>
      </c>
      <c r="J2961">
        <v>3324</v>
      </c>
      <c r="K2961" s="1" t="s">
        <v>111</v>
      </c>
      <c r="L2961" s="1" t="s">
        <v>23</v>
      </c>
      <c r="M2961">
        <v>0</v>
      </c>
      <c r="N2961">
        <v>0</v>
      </c>
      <c r="O2961">
        <v>0</v>
      </c>
      <c r="P2961" s="2">
        <v>42948</v>
      </c>
      <c r="Q2961">
        <v>0</v>
      </c>
      <c r="R2961" s="1" t="s">
        <v>61</v>
      </c>
    </row>
    <row r="2962" spans="1:18" x14ac:dyDescent="0.25">
      <c r="A2962">
        <v>2017</v>
      </c>
      <c r="B2962">
        <v>9</v>
      </c>
      <c r="C2962" s="1" t="s">
        <v>32</v>
      </c>
      <c r="D2962" s="1" t="s">
        <v>19</v>
      </c>
      <c r="E2962" s="1" t="s">
        <v>110</v>
      </c>
      <c r="F2962">
        <v>2016</v>
      </c>
      <c r="G2962">
        <v>1</v>
      </c>
      <c r="H2962" s="1" t="s">
        <v>59</v>
      </c>
      <c r="I2962">
        <v>24</v>
      </c>
      <c r="J2962">
        <v>3324</v>
      </c>
      <c r="K2962" s="1" t="s">
        <v>111</v>
      </c>
      <c r="L2962" s="1" t="s">
        <v>23</v>
      </c>
      <c r="M2962">
        <v>0</v>
      </c>
      <c r="N2962">
        <v>0</v>
      </c>
      <c r="O2962">
        <v>0</v>
      </c>
      <c r="P2962" s="2">
        <v>42979</v>
      </c>
      <c r="Q2962">
        <v>0</v>
      </c>
      <c r="R2962" s="1" t="s">
        <v>61</v>
      </c>
    </row>
    <row r="2963" spans="1:18" x14ac:dyDescent="0.25">
      <c r="A2963">
        <v>2017</v>
      </c>
      <c r="B2963">
        <v>10</v>
      </c>
      <c r="C2963" s="1" t="s">
        <v>33</v>
      </c>
      <c r="D2963" s="1" t="s">
        <v>19</v>
      </c>
      <c r="E2963" s="1" t="s">
        <v>110</v>
      </c>
      <c r="F2963">
        <v>2016</v>
      </c>
      <c r="G2963">
        <v>1</v>
      </c>
      <c r="H2963" s="1" t="s">
        <v>59</v>
      </c>
      <c r="I2963">
        <v>24</v>
      </c>
      <c r="J2963">
        <v>3324</v>
      </c>
      <c r="K2963" s="1" t="s">
        <v>111</v>
      </c>
      <c r="L2963" s="1" t="s">
        <v>23</v>
      </c>
      <c r="M2963">
        <v>0</v>
      </c>
      <c r="N2963">
        <v>0</v>
      </c>
      <c r="O2963">
        <v>0</v>
      </c>
      <c r="P2963" s="2">
        <v>43009</v>
      </c>
      <c r="Q2963">
        <v>0</v>
      </c>
      <c r="R2963" s="1" t="s">
        <v>61</v>
      </c>
    </row>
    <row r="2964" spans="1:18" x14ac:dyDescent="0.25">
      <c r="A2964">
        <v>2017</v>
      </c>
      <c r="B2964">
        <v>11</v>
      </c>
      <c r="C2964" s="1" t="s">
        <v>34</v>
      </c>
      <c r="D2964" s="1" t="s">
        <v>19</v>
      </c>
      <c r="E2964" s="1" t="s">
        <v>110</v>
      </c>
      <c r="F2964">
        <v>2016</v>
      </c>
      <c r="G2964">
        <v>1</v>
      </c>
      <c r="H2964" s="1" t="s">
        <v>59</v>
      </c>
      <c r="I2964">
        <v>24</v>
      </c>
      <c r="J2964">
        <v>3324</v>
      </c>
      <c r="K2964" s="1" t="s">
        <v>111</v>
      </c>
      <c r="L2964" s="1" t="s">
        <v>23</v>
      </c>
      <c r="M2964">
        <v>0</v>
      </c>
      <c r="N2964">
        <v>0</v>
      </c>
      <c r="O2964">
        <v>0</v>
      </c>
      <c r="P2964" s="2">
        <v>43040</v>
      </c>
      <c r="Q2964">
        <v>0</v>
      </c>
      <c r="R2964" s="1" t="s">
        <v>61</v>
      </c>
    </row>
    <row r="2965" spans="1:18" x14ac:dyDescent="0.25">
      <c r="A2965">
        <v>2017</v>
      </c>
      <c r="B2965">
        <v>12</v>
      </c>
      <c r="C2965" s="1" t="s">
        <v>35</v>
      </c>
      <c r="D2965" s="1" t="s">
        <v>19</v>
      </c>
      <c r="E2965" s="1" t="s">
        <v>110</v>
      </c>
      <c r="F2965">
        <v>2016</v>
      </c>
      <c r="G2965">
        <v>1</v>
      </c>
      <c r="H2965" s="1" t="s">
        <v>59</v>
      </c>
      <c r="I2965">
        <v>24</v>
      </c>
      <c r="J2965">
        <v>3324</v>
      </c>
      <c r="K2965" s="1" t="s">
        <v>111</v>
      </c>
      <c r="L2965" s="1" t="s">
        <v>23</v>
      </c>
      <c r="M2965">
        <v>0</v>
      </c>
      <c r="N2965">
        <v>0</v>
      </c>
      <c r="O2965">
        <v>0</v>
      </c>
      <c r="P2965" s="2">
        <v>43070</v>
      </c>
      <c r="Q2965">
        <v>0</v>
      </c>
      <c r="R2965" s="1" t="s">
        <v>61</v>
      </c>
    </row>
    <row r="2966" spans="1:18" x14ac:dyDescent="0.25">
      <c r="A2966">
        <v>2017</v>
      </c>
      <c r="B2966">
        <v>1</v>
      </c>
      <c r="C2966" s="1" t="s">
        <v>18</v>
      </c>
      <c r="D2966" s="1" t="s">
        <v>19</v>
      </c>
      <c r="E2966" s="1" t="s">
        <v>112</v>
      </c>
      <c r="F2966">
        <v>2016</v>
      </c>
      <c r="G2966">
        <v>1</v>
      </c>
      <c r="H2966" s="1" t="s">
        <v>59</v>
      </c>
      <c r="I2966">
        <v>20</v>
      </c>
      <c r="J2966">
        <v>2663</v>
      </c>
      <c r="K2966" s="1" t="s">
        <v>113</v>
      </c>
      <c r="L2966" s="1" t="s">
        <v>23</v>
      </c>
      <c r="M2966">
        <v>0</v>
      </c>
      <c r="N2966">
        <v>0</v>
      </c>
      <c r="O2966">
        <v>0</v>
      </c>
      <c r="P2966" s="2">
        <v>42736</v>
      </c>
      <c r="Q2966">
        <v>0</v>
      </c>
      <c r="R2966" s="1" t="s">
        <v>61</v>
      </c>
    </row>
    <row r="2967" spans="1:18" x14ac:dyDescent="0.25">
      <c r="A2967">
        <v>2017</v>
      </c>
      <c r="B2967">
        <v>2</v>
      </c>
      <c r="C2967" s="1" t="s">
        <v>25</v>
      </c>
      <c r="D2967" s="1" t="s">
        <v>19</v>
      </c>
      <c r="E2967" s="1" t="s">
        <v>112</v>
      </c>
      <c r="F2967">
        <v>2016</v>
      </c>
      <c r="G2967">
        <v>1</v>
      </c>
      <c r="H2967" s="1" t="s">
        <v>59</v>
      </c>
      <c r="I2967">
        <v>20</v>
      </c>
      <c r="J2967">
        <v>2663</v>
      </c>
      <c r="K2967" s="1" t="s">
        <v>113</v>
      </c>
      <c r="L2967" s="1" t="s">
        <v>23</v>
      </c>
      <c r="M2967">
        <v>0</v>
      </c>
      <c r="N2967">
        <v>0</v>
      </c>
      <c r="O2967">
        <v>0</v>
      </c>
      <c r="P2967" s="2">
        <v>42767</v>
      </c>
      <c r="Q2967">
        <v>0</v>
      </c>
      <c r="R2967" s="1" t="s">
        <v>61</v>
      </c>
    </row>
    <row r="2968" spans="1:18" x14ac:dyDescent="0.25">
      <c r="A2968">
        <v>2017</v>
      </c>
      <c r="B2968">
        <v>3</v>
      </c>
      <c r="C2968" s="1" t="s">
        <v>26</v>
      </c>
      <c r="D2968" s="1" t="s">
        <v>19</v>
      </c>
      <c r="E2968" s="1" t="s">
        <v>112</v>
      </c>
      <c r="F2968">
        <v>2016</v>
      </c>
      <c r="G2968">
        <v>1</v>
      </c>
      <c r="H2968" s="1" t="s">
        <v>59</v>
      </c>
      <c r="I2968">
        <v>20</v>
      </c>
      <c r="J2968">
        <v>2663</v>
      </c>
      <c r="K2968" s="1" t="s">
        <v>113</v>
      </c>
      <c r="L2968" s="1" t="s">
        <v>23</v>
      </c>
      <c r="M2968">
        <v>0</v>
      </c>
      <c r="N2968">
        <v>0</v>
      </c>
      <c r="O2968">
        <v>0</v>
      </c>
      <c r="P2968" s="2">
        <v>42795</v>
      </c>
      <c r="Q2968">
        <v>0</v>
      </c>
      <c r="R2968" s="1" t="s">
        <v>61</v>
      </c>
    </row>
    <row r="2969" spans="1:18" x14ac:dyDescent="0.25">
      <c r="A2969">
        <v>2017</v>
      </c>
      <c r="B2969">
        <v>4</v>
      </c>
      <c r="C2969" s="1" t="s">
        <v>27</v>
      </c>
      <c r="D2969" s="1" t="s">
        <v>19</v>
      </c>
      <c r="E2969" s="1" t="s">
        <v>112</v>
      </c>
      <c r="F2969">
        <v>2016</v>
      </c>
      <c r="G2969">
        <v>1</v>
      </c>
      <c r="H2969" s="1" t="s">
        <v>59</v>
      </c>
      <c r="I2969">
        <v>20</v>
      </c>
      <c r="J2969">
        <v>2663</v>
      </c>
      <c r="K2969" s="1" t="s">
        <v>113</v>
      </c>
      <c r="L2969" s="1" t="s">
        <v>23</v>
      </c>
      <c r="M2969">
        <v>0</v>
      </c>
      <c r="N2969">
        <v>0</v>
      </c>
      <c r="O2969">
        <v>0</v>
      </c>
      <c r="P2969" s="2">
        <v>42826</v>
      </c>
      <c r="Q2969">
        <v>0</v>
      </c>
      <c r="R2969" s="1" t="s">
        <v>61</v>
      </c>
    </row>
    <row r="2970" spans="1:18" x14ac:dyDescent="0.25">
      <c r="A2970">
        <v>2017</v>
      </c>
      <c r="B2970">
        <v>5</v>
      </c>
      <c r="C2970" s="1" t="s">
        <v>28</v>
      </c>
      <c r="D2970" s="1" t="s">
        <v>19</v>
      </c>
      <c r="E2970" s="1" t="s">
        <v>112</v>
      </c>
      <c r="F2970">
        <v>2016</v>
      </c>
      <c r="G2970">
        <v>1</v>
      </c>
      <c r="H2970" s="1" t="s">
        <v>59</v>
      </c>
      <c r="I2970">
        <v>20</v>
      </c>
      <c r="J2970">
        <v>2663</v>
      </c>
      <c r="K2970" s="1" t="s">
        <v>113</v>
      </c>
      <c r="L2970" s="1" t="s">
        <v>23</v>
      </c>
      <c r="M2970">
        <v>0</v>
      </c>
      <c r="N2970">
        <v>0</v>
      </c>
      <c r="O2970">
        <v>0</v>
      </c>
      <c r="P2970" s="2">
        <v>42856</v>
      </c>
      <c r="Q2970">
        <v>0</v>
      </c>
      <c r="R2970" s="1" t="s">
        <v>61</v>
      </c>
    </row>
    <row r="2971" spans="1:18" x14ac:dyDescent="0.25">
      <c r="A2971">
        <v>2017</v>
      </c>
      <c r="B2971">
        <v>6</v>
      </c>
      <c r="C2971" s="1" t="s">
        <v>29</v>
      </c>
      <c r="D2971" s="1" t="s">
        <v>19</v>
      </c>
      <c r="E2971" s="1" t="s">
        <v>112</v>
      </c>
      <c r="F2971">
        <v>2016</v>
      </c>
      <c r="G2971">
        <v>1</v>
      </c>
      <c r="H2971" s="1" t="s">
        <v>59</v>
      </c>
      <c r="I2971">
        <v>20</v>
      </c>
      <c r="J2971">
        <v>2663</v>
      </c>
      <c r="K2971" s="1" t="s">
        <v>113</v>
      </c>
      <c r="L2971" s="1" t="s">
        <v>23</v>
      </c>
      <c r="M2971">
        <v>0</v>
      </c>
      <c r="N2971">
        <v>0</v>
      </c>
      <c r="O2971">
        <v>0</v>
      </c>
      <c r="P2971" s="2">
        <v>42887</v>
      </c>
      <c r="Q2971">
        <v>0</v>
      </c>
      <c r="R2971" s="1" t="s">
        <v>61</v>
      </c>
    </row>
    <row r="2972" spans="1:18" x14ac:dyDescent="0.25">
      <c r="A2972">
        <v>2017</v>
      </c>
      <c r="B2972">
        <v>7</v>
      </c>
      <c r="C2972" s="1" t="s">
        <v>30</v>
      </c>
      <c r="D2972" s="1" t="s">
        <v>19</v>
      </c>
      <c r="E2972" s="1" t="s">
        <v>112</v>
      </c>
      <c r="F2972">
        <v>2016</v>
      </c>
      <c r="G2972">
        <v>1</v>
      </c>
      <c r="H2972" s="1" t="s">
        <v>59</v>
      </c>
      <c r="I2972">
        <v>20</v>
      </c>
      <c r="J2972">
        <v>2663</v>
      </c>
      <c r="K2972" s="1" t="s">
        <v>113</v>
      </c>
      <c r="L2972" s="1" t="s">
        <v>23</v>
      </c>
      <c r="M2972">
        <v>0</v>
      </c>
      <c r="N2972">
        <v>0</v>
      </c>
      <c r="O2972">
        <v>0</v>
      </c>
      <c r="P2972" s="2">
        <v>42917</v>
      </c>
      <c r="Q2972">
        <v>0</v>
      </c>
      <c r="R2972" s="1" t="s">
        <v>61</v>
      </c>
    </row>
    <row r="2973" spans="1:18" x14ac:dyDescent="0.25">
      <c r="A2973">
        <v>2017</v>
      </c>
      <c r="B2973">
        <v>8</v>
      </c>
      <c r="C2973" s="1" t="s">
        <v>31</v>
      </c>
      <c r="D2973" s="1" t="s">
        <v>19</v>
      </c>
      <c r="E2973" s="1" t="s">
        <v>112</v>
      </c>
      <c r="F2973">
        <v>2016</v>
      </c>
      <c r="G2973">
        <v>1</v>
      </c>
      <c r="H2973" s="1" t="s">
        <v>59</v>
      </c>
      <c r="I2973">
        <v>20</v>
      </c>
      <c r="J2973">
        <v>2663</v>
      </c>
      <c r="K2973" s="1" t="s">
        <v>113</v>
      </c>
      <c r="L2973" s="1" t="s">
        <v>23</v>
      </c>
      <c r="M2973">
        <v>0</v>
      </c>
      <c r="N2973">
        <v>0</v>
      </c>
      <c r="O2973">
        <v>0</v>
      </c>
      <c r="P2973" s="2">
        <v>42948</v>
      </c>
      <c r="Q2973">
        <v>0</v>
      </c>
      <c r="R2973" s="1" t="s">
        <v>61</v>
      </c>
    </row>
    <row r="2974" spans="1:18" x14ac:dyDescent="0.25">
      <c r="A2974">
        <v>2017</v>
      </c>
      <c r="B2974">
        <v>9</v>
      </c>
      <c r="C2974" s="1" t="s">
        <v>32</v>
      </c>
      <c r="D2974" s="1" t="s">
        <v>19</v>
      </c>
      <c r="E2974" s="1" t="s">
        <v>112</v>
      </c>
      <c r="F2974">
        <v>2016</v>
      </c>
      <c r="G2974">
        <v>1</v>
      </c>
      <c r="H2974" s="1" t="s">
        <v>59</v>
      </c>
      <c r="I2974">
        <v>20</v>
      </c>
      <c r="J2974">
        <v>2663</v>
      </c>
      <c r="K2974" s="1" t="s">
        <v>113</v>
      </c>
      <c r="L2974" s="1" t="s">
        <v>23</v>
      </c>
      <c r="M2974">
        <v>0</v>
      </c>
      <c r="N2974">
        <v>0</v>
      </c>
      <c r="O2974">
        <v>0</v>
      </c>
      <c r="P2974" s="2">
        <v>42979</v>
      </c>
      <c r="Q2974">
        <v>0</v>
      </c>
      <c r="R2974" s="1" t="s">
        <v>61</v>
      </c>
    </row>
    <row r="2975" spans="1:18" x14ac:dyDescent="0.25">
      <c r="A2975">
        <v>2017</v>
      </c>
      <c r="B2975">
        <v>10</v>
      </c>
      <c r="C2975" s="1" t="s">
        <v>33</v>
      </c>
      <c r="D2975" s="1" t="s">
        <v>19</v>
      </c>
      <c r="E2975" s="1" t="s">
        <v>112</v>
      </c>
      <c r="F2975">
        <v>2016</v>
      </c>
      <c r="G2975">
        <v>1</v>
      </c>
      <c r="H2975" s="1" t="s">
        <v>59</v>
      </c>
      <c r="I2975">
        <v>20</v>
      </c>
      <c r="J2975">
        <v>2663</v>
      </c>
      <c r="K2975" s="1" t="s">
        <v>113</v>
      </c>
      <c r="L2975" s="1" t="s">
        <v>23</v>
      </c>
      <c r="M2975">
        <v>0</v>
      </c>
      <c r="N2975">
        <v>0</v>
      </c>
      <c r="O2975">
        <v>0</v>
      </c>
      <c r="P2975" s="2">
        <v>43009</v>
      </c>
      <c r="Q2975">
        <v>0</v>
      </c>
      <c r="R2975" s="1" t="s">
        <v>61</v>
      </c>
    </row>
    <row r="2976" spans="1:18" x14ac:dyDescent="0.25">
      <c r="A2976">
        <v>2017</v>
      </c>
      <c r="B2976">
        <v>11</v>
      </c>
      <c r="C2976" s="1" t="s">
        <v>34</v>
      </c>
      <c r="D2976" s="1" t="s">
        <v>19</v>
      </c>
      <c r="E2976" s="1" t="s">
        <v>112</v>
      </c>
      <c r="F2976">
        <v>2016</v>
      </c>
      <c r="G2976">
        <v>1</v>
      </c>
      <c r="H2976" s="1" t="s">
        <v>59</v>
      </c>
      <c r="I2976">
        <v>20</v>
      </c>
      <c r="J2976">
        <v>2663</v>
      </c>
      <c r="K2976" s="1" t="s">
        <v>113</v>
      </c>
      <c r="L2976" s="1" t="s">
        <v>23</v>
      </c>
      <c r="M2976">
        <v>0</v>
      </c>
      <c r="N2976">
        <v>0</v>
      </c>
      <c r="O2976">
        <v>0</v>
      </c>
      <c r="P2976" s="2">
        <v>43040</v>
      </c>
      <c r="Q2976">
        <v>0</v>
      </c>
      <c r="R2976" s="1" t="s">
        <v>61</v>
      </c>
    </row>
    <row r="2977" spans="1:18" x14ac:dyDescent="0.25">
      <c r="A2977">
        <v>2017</v>
      </c>
      <c r="B2977">
        <v>12</v>
      </c>
      <c r="C2977" s="1" t="s">
        <v>35</v>
      </c>
      <c r="D2977" s="1" t="s">
        <v>19</v>
      </c>
      <c r="E2977" s="1" t="s">
        <v>112</v>
      </c>
      <c r="F2977">
        <v>2016</v>
      </c>
      <c r="G2977">
        <v>1</v>
      </c>
      <c r="H2977" s="1" t="s">
        <v>59</v>
      </c>
      <c r="I2977">
        <v>20</v>
      </c>
      <c r="J2977">
        <v>2663</v>
      </c>
      <c r="K2977" s="1" t="s">
        <v>113</v>
      </c>
      <c r="L2977" s="1" t="s">
        <v>23</v>
      </c>
      <c r="M2977">
        <v>0</v>
      </c>
      <c r="N2977">
        <v>0</v>
      </c>
      <c r="O2977">
        <v>0</v>
      </c>
      <c r="P2977" s="2">
        <v>43070</v>
      </c>
      <c r="Q2977">
        <v>0</v>
      </c>
      <c r="R2977" s="1" t="s">
        <v>61</v>
      </c>
    </row>
    <row r="2978" spans="1:18" x14ac:dyDescent="0.25">
      <c r="A2978">
        <v>2017</v>
      </c>
      <c r="B2978">
        <v>1</v>
      </c>
      <c r="C2978" s="1" t="s">
        <v>18</v>
      </c>
      <c r="D2978" s="1" t="s">
        <v>19</v>
      </c>
      <c r="E2978" s="1" t="s">
        <v>114</v>
      </c>
      <c r="F2978">
        <v>2016</v>
      </c>
      <c r="G2978">
        <v>1</v>
      </c>
      <c r="H2978" s="1" t="s">
        <v>59</v>
      </c>
      <c r="I2978">
        <v>14</v>
      </c>
      <c r="J2978">
        <v>1746</v>
      </c>
      <c r="K2978" s="1" t="s">
        <v>115</v>
      </c>
      <c r="L2978" s="1" t="s">
        <v>23</v>
      </c>
      <c r="M2978">
        <v>0</v>
      </c>
      <c r="N2978">
        <v>0</v>
      </c>
      <c r="O2978">
        <v>0</v>
      </c>
      <c r="P2978" s="2">
        <v>42736</v>
      </c>
      <c r="Q2978">
        <v>0</v>
      </c>
      <c r="R2978" s="1" t="s">
        <v>61</v>
      </c>
    </row>
    <row r="2979" spans="1:18" x14ac:dyDescent="0.25">
      <c r="A2979">
        <v>2017</v>
      </c>
      <c r="B2979">
        <v>2</v>
      </c>
      <c r="C2979" s="1" t="s">
        <v>25</v>
      </c>
      <c r="D2979" s="1" t="s">
        <v>19</v>
      </c>
      <c r="E2979" s="1" t="s">
        <v>114</v>
      </c>
      <c r="F2979">
        <v>2016</v>
      </c>
      <c r="G2979">
        <v>1</v>
      </c>
      <c r="H2979" s="1" t="s">
        <v>59</v>
      </c>
      <c r="I2979">
        <v>14</v>
      </c>
      <c r="J2979">
        <v>1746</v>
      </c>
      <c r="K2979" s="1" t="s">
        <v>115</v>
      </c>
      <c r="L2979" s="1" t="s">
        <v>23</v>
      </c>
      <c r="M2979">
        <v>0</v>
      </c>
      <c r="N2979">
        <v>0</v>
      </c>
      <c r="O2979">
        <v>0</v>
      </c>
      <c r="P2979" s="2">
        <v>42767</v>
      </c>
      <c r="Q2979">
        <v>0</v>
      </c>
      <c r="R2979" s="1" t="s">
        <v>61</v>
      </c>
    </row>
    <row r="2980" spans="1:18" x14ac:dyDescent="0.25">
      <c r="A2980">
        <v>2017</v>
      </c>
      <c r="B2980">
        <v>3</v>
      </c>
      <c r="C2980" s="1" t="s">
        <v>26</v>
      </c>
      <c r="D2980" s="1" t="s">
        <v>19</v>
      </c>
      <c r="E2980" s="1" t="s">
        <v>114</v>
      </c>
      <c r="F2980">
        <v>2016</v>
      </c>
      <c r="G2980">
        <v>1</v>
      </c>
      <c r="H2980" s="1" t="s">
        <v>59</v>
      </c>
      <c r="I2980">
        <v>14</v>
      </c>
      <c r="J2980">
        <v>1746</v>
      </c>
      <c r="K2980" s="1" t="s">
        <v>115</v>
      </c>
      <c r="L2980" s="1" t="s">
        <v>23</v>
      </c>
      <c r="M2980">
        <v>0</v>
      </c>
      <c r="N2980">
        <v>0</v>
      </c>
      <c r="O2980">
        <v>0</v>
      </c>
      <c r="P2980" s="2">
        <v>42795</v>
      </c>
      <c r="Q2980">
        <v>0</v>
      </c>
      <c r="R2980" s="1" t="s">
        <v>61</v>
      </c>
    </row>
    <row r="2981" spans="1:18" x14ac:dyDescent="0.25">
      <c r="A2981">
        <v>2017</v>
      </c>
      <c r="B2981">
        <v>4</v>
      </c>
      <c r="C2981" s="1" t="s">
        <v>27</v>
      </c>
      <c r="D2981" s="1" t="s">
        <v>19</v>
      </c>
      <c r="E2981" s="1" t="s">
        <v>114</v>
      </c>
      <c r="F2981">
        <v>2016</v>
      </c>
      <c r="G2981">
        <v>1</v>
      </c>
      <c r="H2981" s="1" t="s">
        <v>59</v>
      </c>
      <c r="I2981">
        <v>14</v>
      </c>
      <c r="J2981">
        <v>1746</v>
      </c>
      <c r="K2981" s="1" t="s">
        <v>115</v>
      </c>
      <c r="L2981" s="1" t="s">
        <v>23</v>
      </c>
      <c r="M2981">
        <v>0</v>
      </c>
      <c r="N2981">
        <v>0</v>
      </c>
      <c r="O2981">
        <v>0</v>
      </c>
      <c r="P2981" s="2">
        <v>42826</v>
      </c>
      <c r="Q2981">
        <v>0</v>
      </c>
      <c r="R2981" s="1" t="s">
        <v>61</v>
      </c>
    </row>
    <row r="2982" spans="1:18" x14ac:dyDescent="0.25">
      <c r="A2982">
        <v>2017</v>
      </c>
      <c r="B2982">
        <v>5</v>
      </c>
      <c r="C2982" s="1" t="s">
        <v>28</v>
      </c>
      <c r="D2982" s="1" t="s">
        <v>19</v>
      </c>
      <c r="E2982" s="1" t="s">
        <v>114</v>
      </c>
      <c r="F2982">
        <v>2016</v>
      </c>
      <c r="G2982">
        <v>1</v>
      </c>
      <c r="H2982" s="1" t="s">
        <v>59</v>
      </c>
      <c r="I2982">
        <v>14</v>
      </c>
      <c r="J2982">
        <v>1746</v>
      </c>
      <c r="K2982" s="1" t="s">
        <v>115</v>
      </c>
      <c r="L2982" s="1" t="s">
        <v>23</v>
      </c>
      <c r="M2982">
        <v>0</v>
      </c>
      <c r="N2982">
        <v>0</v>
      </c>
      <c r="O2982">
        <v>0</v>
      </c>
      <c r="P2982" s="2">
        <v>42856</v>
      </c>
      <c r="Q2982">
        <v>0</v>
      </c>
      <c r="R2982" s="1" t="s">
        <v>61</v>
      </c>
    </row>
    <row r="2983" spans="1:18" x14ac:dyDescent="0.25">
      <c r="A2983">
        <v>2017</v>
      </c>
      <c r="B2983">
        <v>6</v>
      </c>
      <c r="C2983" s="1" t="s">
        <v>29</v>
      </c>
      <c r="D2983" s="1" t="s">
        <v>19</v>
      </c>
      <c r="E2983" s="1" t="s">
        <v>114</v>
      </c>
      <c r="F2983">
        <v>2016</v>
      </c>
      <c r="G2983">
        <v>1</v>
      </c>
      <c r="H2983" s="1" t="s">
        <v>59</v>
      </c>
      <c r="I2983">
        <v>14</v>
      </c>
      <c r="J2983">
        <v>1746</v>
      </c>
      <c r="K2983" s="1" t="s">
        <v>115</v>
      </c>
      <c r="L2983" s="1" t="s">
        <v>23</v>
      </c>
      <c r="M2983">
        <v>0</v>
      </c>
      <c r="N2983">
        <v>0</v>
      </c>
      <c r="O2983">
        <v>0</v>
      </c>
      <c r="P2983" s="2">
        <v>42887</v>
      </c>
      <c r="Q2983">
        <v>0</v>
      </c>
      <c r="R2983" s="1" t="s">
        <v>61</v>
      </c>
    </row>
    <row r="2984" spans="1:18" x14ac:dyDescent="0.25">
      <c r="A2984">
        <v>2017</v>
      </c>
      <c r="B2984">
        <v>7</v>
      </c>
      <c r="C2984" s="1" t="s">
        <v>30</v>
      </c>
      <c r="D2984" s="1" t="s">
        <v>19</v>
      </c>
      <c r="E2984" s="1" t="s">
        <v>114</v>
      </c>
      <c r="F2984">
        <v>2016</v>
      </c>
      <c r="G2984">
        <v>1</v>
      </c>
      <c r="H2984" s="1" t="s">
        <v>59</v>
      </c>
      <c r="I2984">
        <v>14</v>
      </c>
      <c r="J2984">
        <v>1746</v>
      </c>
      <c r="K2984" s="1" t="s">
        <v>115</v>
      </c>
      <c r="L2984" s="1" t="s">
        <v>23</v>
      </c>
      <c r="M2984">
        <v>0</v>
      </c>
      <c r="N2984">
        <v>0</v>
      </c>
      <c r="O2984">
        <v>0</v>
      </c>
      <c r="P2984" s="2">
        <v>42917</v>
      </c>
      <c r="Q2984">
        <v>0</v>
      </c>
      <c r="R2984" s="1" t="s">
        <v>61</v>
      </c>
    </row>
    <row r="2985" spans="1:18" x14ac:dyDescent="0.25">
      <c r="A2985">
        <v>2017</v>
      </c>
      <c r="B2985">
        <v>8</v>
      </c>
      <c r="C2985" s="1" t="s">
        <v>31</v>
      </c>
      <c r="D2985" s="1" t="s">
        <v>19</v>
      </c>
      <c r="E2985" s="1" t="s">
        <v>114</v>
      </c>
      <c r="F2985">
        <v>2016</v>
      </c>
      <c r="G2985">
        <v>1</v>
      </c>
      <c r="H2985" s="1" t="s">
        <v>59</v>
      </c>
      <c r="I2985">
        <v>14</v>
      </c>
      <c r="J2985">
        <v>1746</v>
      </c>
      <c r="K2985" s="1" t="s">
        <v>115</v>
      </c>
      <c r="L2985" s="1" t="s">
        <v>23</v>
      </c>
      <c r="M2985">
        <v>0</v>
      </c>
      <c r="N2985">
        <v>0</v>
      </c>
      <c r="O2985">
        <v>0</v>
      </c>
      <c r="P2985" s="2">
        <v>42948</v>
      </c>
      <c r="Q2985">
        <v>0</v>
      </c>
      <c r="R2985" s="1" t="s">
        <v>61</v>
      </c>
    </row>
    <row r="2986" spans="1:18" x14ac:dyDescent="0.25">
      <c r="A2986">
        <v>2017</v>
      </c>
      <c r="B2986">
        <v>9</v>
      </c>
      <c r="C2986" s="1" t="s">
        <v>32</v>
      </c>
      <c r="D2986" s="1" t="s">
        <v>19</v>
      </c>
      <c r="E2986" s="1" t="s">
        <v>114</v>
      </c>
      <c r="F2986">
        <v>2016</v>
      </c>
      <c r="G2986">
        <v>1</v>
      </c>
      <c r="H2986" s="1" t="s">
        <v>59</v>
      </c>
      <c r="I2986">
        <v>14</v>
      </c>
      <c r="J2986">
        <v>1746</v>
      </c>
      <c r="K2986" s="1" t="s">
        <v>115</v>
      </c>
      <c r="L2986" s="1" t="s">
        <v>23</v>
      </c>
      <c r="M2986">
        <v>0</v>
      </c>
      <c r="N2986">
        <v>0</v>
      </c>
      <c r="O2986">
        <v>0</v>
      </c>
      <c r="P2986" s="2">
        <v>42979</v>
      </c>
      <c r="Q2986">
        <v>0</v>
      </c>
      <c r="R2986" s="1" t="s">
        <v>61</v>
      </c>
    </row>
    <row r="2987" spans="1:18" x14ac:dyDescent="0.25">
      <c r="A2987">
        <v>2017</v>
      </c>
      <c r="B2987">
        <v>10</v>
      </c>
      <c r="C2987" s="1" t="s">
        <v>33</v>
      </c>
      <c r="D2987" s="1" t="s">
        <v>19</v>
      </c>
      <c r="E2987" s="1" t="s">
        <v>114</v>
      </c>
      <c r="F2987">
        <v>2016</v>
      </c>
      <c r="G2987">
        <v>1</v>
      </c>
      <c r="H2987" s="1" t="s">
        <v>59</v>
      </c>
      <c r="I2987">
        <v>14</v>
      </c>
      <c r="J2987">
        <v>1746</v>
      </c>
      <c r="K2987" s="1" t="s">
        <v>115</v>
      </c>
      <c r="L2987" s="1" t="s">
        <v>23</v>
      </c>
      <c r="M2987">
        <v>0</v>
      </c>
      <c r="N2987">
        <v>0</v>
      </c>
      <c r="O2987">
        <v>0</v>
      </c>
      <c r="P2987" s="2">
        <v>43009</v>
      </c>
      <c r="Q2987">
        <v>0</v>
      </c>
      <c r="R2987" s="1" t="s">
        <v>61</v>
      </c>
    </row>
    <row r="2988" spans="1:18" x14ac:dyDescent="0.25">
      <c r="A2988">
        <v>2017</v>
      </c>
      <c r="B2988">
        <v>11</v>
      </c>
      <c r="C2988" s="1" t="s">
        <v>34</v>
      </c>
      <c r="D2988" s="1" t="s">
        <v>19</v>
      </c>
      <c r="E2988" s="1" t="s">
        <v>114</v>
      </c>
      <c r="F2988">
        <v>2016</v>
      </c>
      <c r="G2988">
        <v>1</v>
      </c>
      <c r="H2988" s="1" t="s">
        <v>59</v>
      </c>
      <c r="I2988">
        <v>14</v>
      </c>
      <c r="J2988">
        <v>1746</v>
      </c>
      <c r="K2988" s="1" t="s">
        <v>115</v>
      </c>
      <c r="L2988" s="1" t="s">
        <v>23</v>
      </c>
      <c r="M2988">
        <v>0</v>
      </c>
      <c r="N2988">
        <v>0</v>
      </c>
      <c r="O2988">
        <v>0</v>
      </c>
      <c r="P2988" s="2">
        <v>43040</v>
      </c>
      <c r="Q2988">
        <v>0</v>
      </c>
      <c r="R2988" s="1" t="s">
        <v>61</v>
      </c>
    </row>
    <row r="2989" spans="1:18" x14ac:dyDescent="0.25">
      <c r="A2989">
        <v>2017</v>
      </c>
      <c r="B2989">
        <v>12</v>
      </c>
      <c r="C2989" s="1" t="s">
        <v>35</v>
      </c>
      <c r="D2989" s="1" t="s">
        <v>19</v>
      </c>
      <c r="E2989" s="1" t="s">
        <v>114</v>
      </c>
      <c r="F2989">
        <v>2016</v>
      </c>
      <c r="G2989">
        <v>1</v>
      </c>
      <c r="H2989" s="1" t="s">
        <v>59</v>
      </c>
      <c r="I2989">
        <v>14</v>
      </c>
      <c r="J2989">
        <v>1746</v>
      </c>
      <c r="K2989" s="1" t="s">
        <v>115</v>
      </c>
      <c r="L2989" s="1" t="s">
        <v>23</v>
      </c>
      <c r="M2989">
        <v>0</v>
      </c>
      <c r="N2989">
        <v>0</v>
      </c>
      <c r="O2989">
        <v>0</v>
      </c>
      <c r="P2989" s="2">
        <v>43070</v>
      </c>
      <c r="Q2989">
        <v>0</v>
      </c>
      <c r="R2989" s="1" t="s">
        <v>61</v>
      </c>
    </row>
    <row r="2990" spans="1:18" x14ac:dyDescent="0.25">
      <c r="A2990">
        <v>2017</v>
      </c>
      <c r="B2990">
        <v>1</v>
      </c>
      <c r="C2990" s="1" t="s">
        <v>18</v>
      </c>
      <c r="D2990" s="1" t="s">
        <v>19</v>
      </c>
      <c r="E2990" s="1" t="s">
        <v>116</v>
      </c>
      <c r="F2990">
        <v>2016</v>
      </c>
      <c r="G2990">
        <v>1</v>
      </c>
      <c r="H2990" s="1" t="s">
        <v>59</v>
      </c>
      <c r="I2990">
        <v>24</v>
      </c>
      <c r="J2990">
        <v>3377</v>
      </c>
      <c r="K2990" s="1" t="s">
        <v>103</v>
      </c>
      <c r="L2990" s="1" t="s">
        <v>23</v>
      </c>
      <c r="M2990">
        <v>0</v>
      </c>
      <c r="N2990">
        <v>0</v>
      </c>
      <c r="O2990">
        <v>0</v>
      </c>
      <c r="P2990" s="2">
        <v>42736</v>
      </c>
      <c r="Q2990">
        <v>0</v>
      </c>
      <c r="R2990" s="1" t="s">
        <v>61</v>
      </c>
    </row>
    <row r="2991" spans="1:18" x14ac:dyDescent="0.25">
      <c r="A2991">
        <v>2017</v>
      </c>
      <c r="B2991">
        <v>2</v>
      </c>
      <c r="C2991" s="1" t="s">
        <v>25</v>
      </c>
      <c r="D2991" s="1" t="s">
        <v>19</v>
      </c>
      <c r="E2991" s="1" t="s">
        <v>116</v>
      </c>
      <c r="F2991">
        <v>2016</v>
      </c>
      <c r="G2991">
        <v>1</v>
      </c>
      <c r="H2991" s="1" t="s">
        <v>59</v>
      </c>
      <c r="I2991">
        <v>24</v>
      </c>
      <c r="J2991">
        <v>3377</v>
      </c>
      <c r="K2991" s="1" t="s">
        <v>103</v>
      </c>
      <c r="L2991" s="1" t="s">
        <v>23</v>
      </c>
      <c r="M2991">
        <v>0</v>
      </c>
      <c r="N2991">
        <v>0</v>
      </c>
      <c r="O2991">
        <v>0</v>
      </c>
      <c r="P2991" s="2">
        <v>42767</v>
      </c>
      <c r="Q2991">
        <v>0</v>
      </c>
      <c r="R2991" s="1" t="s">
        <v>61</v>
      </c>
    </row>
    <row r="2992" spans="1:18" x14ac:dyDescent="0.25">
      <c r="A2992">
        <v>2017</v>
      </c>
      <c r="B2992">
        <v>3</v>
      </c>
      <c r="C2992" s="1" t="s">
        <v>26</v>
      </c>
      <c r="D2992" s="1" t="s">
        <v>19</v>
      </c>
      <c r="E2992" s="1" t="s">
        <v>116</v>
      </c>
      <c r="F2992">
        <v>2016</v>
      </c>
      <c r="G2992">
        <v>1</v>
      </c>
      <c r="H2992" s="1" t="s">
        <v>59</v>
      </c>
      <c r="I2992">
        <v>24</v>
      </c>
      <c r="J2992">
        <v>3377</v>
      </c>
      <c r="K2992" s="1" t="s">
        <v>103</v>
      </c>
      <c r="L2992" s="1" t="s">
        <v>23</v>
      </c>
      <c r="M2992">
        <v>0</v>
      </c>
      <c r="N2992">
        <v>0</v>
      </c>
      <c r="O2992">
        <v>0</v>
      </c>
      <c r="P2992" s="2">
        <v>42795</v>
      </c>
      <c r="Q2992">
        <v>0</v>
      </c>
      <c r="R2992" s="1" t="s">
        <v>61</v>
      </c>
    </row>
    <row r="2993" spans="1:18" x14ac:dyDescent="0.25">
      <c r="A2993">
        <v>2017</v>
      </c>
      <c r="B2993">
        <v>4</v>
      </c>
      <c r="C2993" s="1" t="s">
        <v>27</v>
      </c>
      <c r="D2993" s="1" t="s">
        <v>19</v>
      </c>
      <c r="E2993" s="1" t="s">
        <v>116</v>
      </c>
      <c r="F2993">
        <v>2016</v>
      </c>
      <c r="G2993">
        <v>1</v>
      </c>
      <c r="H2993" s="1" t="s">
        <v>59</v>
      </c>
      <c r="I2993">
        <v>24</v>
      </c>
      <c r="J2993">
        <v>3377</v>
      </c>
      <c r="K2993" s="1" t="s">
        <v>103</v>
      </c>
      <c r="L2993" s="1" t="s">
        <v>23</v>
      </c>
      <c r="M2993">
        <v>0</v>
      </c>
      <c r="N2993">
        <v>0</v>
      </c>
      <c r="O2993">
        <v>0</v>
      </c>
      <c r="P2993" s="2">
        <v>42826</v>
      </c>
      <c r="Q2993">
        <v>0</v>
      </c>
      <c r="R2993" s="1" t="s">
        <v>61</v>
      </c>
    </row>
    <row r="2994" spans="1:18" x14ac:dyDescent="0.25">
      <c r="A2994">
        <v>2017</v>
      </c>
      <c r="B2994">
        <v>5</v>
      </c>
      <c r="C2994" s="1" t="s">
        <v>28</v>
      </c>
      <c r="D2994" s="1" t="s">
        <v>19</v>
      </c>
      <c r="E2994" s="1" t="s">
        <v>116</v>
      </c>
      <c r="F2994">
        <v>2016</v>
      </c>
      <c r="G2994">
        <v>1</v>
      </c>
      <c r="H2994" s="1" t="s">
        <v>59</v>
      </c>
      <c r="I2994">
        <v>24</v>
      </c>
      <c r="J2994">
        <v>3377</v>
      </c>
      <c r="K2994" s="1" t="s">
        <v>103</v>
      </c>
      <c r="L2994" s="1" t="s">
        <v>23</v>
      </c>
      <c r="M2994">
        <v>0</v>
      </c>
      <c r="N2994">
        <v>0</v>
      </c>
      <c r="O2994">
        <v>0</v>
      </c>
      <c r="P2994" s="2">
        <v>42856</v>
      </c>
      <c r="Q2994">
        <v>0</v>
      </c>
      <c r="R2994" s="1" t="s">
        <v>61</v>
      </c>
    </row>
    <row r="2995" spans="1:18" x14ac:dyDescent="0.25">
      <c r="A2995">
        <v>2017</v>
      </c>
      <c r="B2995">
        <v>6</v>
      </c>
      <c r="C2995" s="1" t="s">
        <v>29</v>
      </c>
      <c r="D2995" s="1" t="s">
        <v>19</v>
      </c>
      <c r="E2995" s="1" t="s">
        <v>116</v>
      </c>
      <c r="F2995">
        <v>2016</v>
      </c>
      <c r="G2995">
        <v>1</v>
      </c>
      <c r="H2995" s="1" t="s">
        <v>59</v>
      </c>
      <c r="I2995">
        <v>24</v>
      </c>
      <c r="J2995">
        <v>3377</v>
      </c>
      <c r="K2995" s="1" t="s">
        <v>103</v>
      </c>
      <c r="L2995" s="1" t="s">
        <v>23</v>
      </c>
      <c r="M2995">
        <v>0</v>
      </c>
      <c r="N2995">
        <v>0</v>
      </c>
      <c r="O2995">
        <v>0</v>
      </c>
      <c r="P2995" s="2">
        <v>42887</v>
      </c>
      <c r="Q2995">
        <v>0</v>
      </c>
      <c r="R2995" s="1" t="s">
        <v>61</v>
      </c>
    </row>
    <row r="2996" spans="1:18" x14ac:dyDescent="0.25">
      <c r="A2996">
        <v>2017</v>
      </c>
      <c r="B2996">
        <v>7</v>
      </c>
      <c r="C2996" s="1" t="s">
        <v>30</v>
      </c>
      <c r="D2996" s="1" t="s">
        <v>19</v>
      </c>
      <c r="E2996" s="1" t="s">
        <v>116</v>
      </c>
      <c r="F2996">
        <v>2016</v>
      </c>
      <c r="G2996">
        <v>1</v>
      </c>
      <c r="H2996" s="1" t="s">
        <v>59</v>
      </c>
      <c r="I2996">
        <v>24</v>
      </c>
      <c r="J2996">
        <v>3377</v>
      </c>
      <c r="K2996" s="1" t="s">
        <v>103</v>
      </c>
      <c r="L2996" s="1" t="s">
        <v>23</v>
      </c>
      <c r="M2996">
        <v>0</v>
      </c>
      <c r="N2996">
        <v>0</v>
      </c>
      <c r="O2996">
        <v>0</v>
      </c>
      <c r="P2996" s="2">
        <v>42917</v>
      </c>
      <c r="Q2996">
        <v>0</v>
      </c>
      <c r="R2996" s="1" t="s">
        <v>61</v>
      </c>
    </row>
    <row r="2997" spans="1:18" x14ac:dyDescent="0.25">
      <c r="A2997">
        <v>2017</v>
      </c>
      <c r="B2997">
        <v>8</v>
      </c>
      <c r="C2997" s="1" t="s">
        <v>31</v>
      </c>
      <c r="D2997" s="1" t="s">
        <v>19</v>
      </c>
      <c r="E2997" s="1" t="s">
        <v>116</v>
      </c>
      <c r="F2997">
        <v>2016</v>
      </c>
      <c r="G2997">
        <v>1</v>
      </c>
      <c r="H2997" s="1" t="s">
        <v>59</v>
      </c>
      <c r="I2997">
        <v>24</v>
      </c>
      <c r="J2997">
        <v>3377</v>
      </c>
      <c r="K2997" s="1" t="s">
        <v>103</v>
      </c>
      <c r="L2997" s="1" t="s">
        <v>23</v>
      </c>
      <c r="M2997">
        <v>0</v>
      </c>
      <c r="N2997">
        <v>0</v>
      </c>
      <c r="O2997">
        <v>0</v>
      </c>
      <c r="P2997" s="2">
        <v>42948</v>
      </c>
      <c r="Q2997">
        <v>0</v>
      </c>
      <c r="R2997" s="1" t="s">
        <v>61</v>
      </c>
    </row>
    <row r="2998" spans="1:18" x14ac:dyDescent="0.25">
      <c r="A2998">
        <v>2017</v>
      </c>
      <c r="B2998">
        <v>9</v>
      </c>
      <c r="C2998" s="1" t="s">
        <v>32</v>
      </c>
      <c r="D2998" s="1" t="s">
        <v>19</v>
      </c>
      <c r="E2998" s="1" t="s">
        <v>116</v>
      </c>
      <c r="F2998">
        <v>2016</v>
      </c>
      <c r="G2998">
        <v>1</v>
      </c>
      <c r="H2998" s="1" t="s">
        <v>59</v>
      </c>
      <c r="I2998">
        <v>24</v>
      </c>
      <c r="J2998">
        <v>3377</v>
      </c>
      <c r="K2998" s="1" t="s">
        <v>103</v>
      </c>
      <c r="L2998" s="1" t="s">
        <v>23</v>
      </c>
      <c r="M2998">
        <v>0</v>
      </c>
      <c r="N2998">
        <v>0</v>
      </c>
      <c r="O2998">
        <v>0</v>
      </c>
      <c r="P2998" s="2">
        <v>42979</v>
      </c>
      <c r="Q2998">
        <v>0</v>
      </c>
      <c r="R2998" s="1" t="s">
        <v>61</v>
      </c>
    </row>
    <row r="2999" spans="1:18" x14ac:dyDescent="0.25">
      <c r="A2999">
        <v>2017</v>
      </c>
      <c r="B2999">
        <v>10</v>
      </c>
      <c r="C2999" s="1" t="s">
        <v>33</v>
      </c>
      <c r="D2999" s="1" t="s">
        <v>19</v>
      </c>
      <c r="E2999" s="1" t="s">
        <v>116</v>
      </c>
      <c r="F2999">
        <v>2016</v>
      </c>
      <c r="G2999">
        <v>1</v>
      </c>
      <c r="H2999" s="1" t="s">
        <v>59</v>
      </c>
      <c r="I2999">
        <v>24</v>
      </c>
      <c r="J2999">
        <v>3377</v>
      </c>
      <c r="K2999" s="1" t="s">
        <v>103</v>
      </c>
      <c r="L2999" s="1" t="s">
        <v>23</v>
      </c>
      <c r="M2999">
        <v>0</v>
      </c>
      <c r="N2999">
        <v>0</v>
      </c>
      <c r="O2999">
        <v>0</v>
      </c>
      <c r="P2999" s="2">
        <v>43009</v>
      </c>
      <c r="Q2999">
        <v>0</v>
      </c>
      <c r="R2999" s="1" t="s">
        <v>61</v>
      </c>
    </row>
    <row r="3000" spans="1:18" x14ac:dyDescent="0.25">
      <c r="A3000">
        <v>2017</v>
      </c>
      <c r="B3000">
        <v>11</v>
      </c>
      <c r="C3000" s="1" t="s">
        <v>34</v>
      </c>
      <c r="D3000" s="1" t="s">
        <v>19</v>
      </c>
      <c r="E3000" s="1" t="s">
        <v>116</v>
      </c>
      <c r="F3000">
        <v>2016</v>
      </c>
      <c r="G3000">
        <v>1</v>
      </c>
      <c r="H3000" s="1" t="s">
        <v>59</v>
      </c>
      <c r="I3000">
        <v>24</v>
      </c>
      <c r="J3000">
        <v>3377</v>
      </c>
      <c r="K3000" s="1" t="s">
        <v>103</v>
      </c>
      <c r="L3000" s="1" t="s">
        <v>23</v>
      </c>
      <c r="M3000">
        <v>0</v>
      </c>
      <c r="N3000">
        <v>0</v>
      </c>
      <c r="O3000">
        <v>0</v>
      </c>
      <c r="P3000" s="2">
        <v>43040</v>
      </c>
      <c r="Q3000">
        <v>0</v>
      </c>
      <c r="R3000" s="1" t="s">
        <v>61</v>
      </c>
    </row>
    <row r="3001" spans="1:18" x14ac:dyDescent="0.25">
      <c r="A3001">
        <v>2017</v>
      </c>
      <c r="B3001">
        <v>12</v>
      </c>
      <c r="C3001" s="1" t="s">
        <v>35</v>
      </c>
      <c r="D3001" s="1" t="s">
        <v>19</v>
      </c>
      <c r="E3001" s="1" t="s">
        <v>116</v>
      </c>
      <c r="F3001">
        <v>2016</v>
      </c>
      <c r="G3001">
        <v>1</v>
      </c>
      <c r="H3001" s="1" t="s">
        <v>59</v>
      </c>
      <c r="I3001">
        <v>24</v>
      </c>
      <c r="J3001">
        <v>3377</v>
      </c>
      <c r="K3001" s="1" t="s">
        <v>103</v>
      </c>
      <c r="L3001" s="1" t="s">
        <v>23</v>
      </c>
      <c r="M3001">
        <v>0</v>
      </c>
      <c r="N3001">
        <v>0</v>
      </c>
      <c r="O3001">
        <v>0</v>
      </c>
      <c r="P3001" s="2">
        <v>43070</v>
      </c>
      <c r="Q3001">
        <v>0</v>
      </c>
      <c r="R3001" s="1" t="s">
        <v>61</v>
      </c>
    </row>
    <row r="3002" spans="1:18" x14ac:dyDescent="0.25">
      <c r="A3002">
        <v>2017</v>
      </c>
      <c r="B3002">
        <v>1</v>
      </c>
      <c r="C3002" s="1" t="s">
        <v>18</v>
      </c>
      <c r="D3002" s="1" t="s">
        <v>19</v>
      </c>
      <c r="E3002" s="1" t="s">
        <v>117</v>
      </c>
      <c r="F3002">
        <v>2016</v>
      </c>
      <c r="G3002">
        <v>1</v>
      </c>
      <c r="H3002" s="1" t="s">
        <v>59</v>
      </c>
      <c r="I3002">
        <v>25</v>
      </c>
      <c r="J3002">
        <v>3431</v>
      </c>
      <c r="K3002" s="1" t="s">
        <v>118</v>
      </c>
      <c r="L3002" s="1" t="s">
        <v>23</v>
      </c>
      <c r="M3002">
        <v>0</v>
      </c>
      <c r="N3002">
        <v>0</v>
      </c>
      <c r="O3002">
        <v>0</v>
      </c>
      <c r="P3002" s="2">
        <v>42736</v>
      </c>
      <c r="Q3002">
        <v>0</v>
      </c>
      <c r="R3002" s="1" t="s">
        <v>61</v>
      </c>
    </row>
    <row r="3003" spans="1:18" x14ac:dyDescent="0.25">
      <c r="A3003">
        <v>2017</v>
      </c>
      <c r="B3003">
        <v>2</v>
      </c>
      <c r="C3003" s="1" t="s">
        <v>25</v>
      </c>
      <c r="D3003" s="1" t="s">
        <v>19</v>
      </c>
      <c r="E3003" s="1" t="s">
        <v>117</v>
      </c>
      <c r="F3003">
        <v>2016</v>
      </c>
      <c r="G3003">
        <v>1</v>
      </c>
      <c r="H3003" s="1" t="s">
        <v>59</v>
      </c>
      <c r="I3003">
        <v>25</v>
      </c>
      <c r="J3003">
        <v>3431</v>
      </c>
      <c r="K3003" s="1" t="s">
        <v>118</v>
      </c>
      <c r="L3003" s="1" t="s">
        <v>23</v>
      </c>
      <c r="M3003">
        <v>0</v>
      </c>
      <c r="N3003">
        <v>0</v>
      </c>
      <c r="O3003">
        <v>0</v>
      </c>
      <c r="P3003" s="2">
        <v>42767</v>
      </c>
      <c r="Q3003">
        <v>0</v>
      </c>
      <c r="R3003" s="1" t="s">
        <v>61</v>
      </c>
    </row>
    <row r="3004" spans="1:18" x14ac:dyDescent="0.25">
      <c r="A3004">
        <v>2017</v>
      </c>
      <c r="B3004">
        <v>3</v>
      </c>
      <c r="C3004" s="1" t="s">
        <v>26</v>
      </c>
      <c r="D3004" s="1" t="s">
        <v>19</v>
      </c>
      <c r="E3004" s="1" t="s">
        <v>117</v>
      </c>
      <c r="F3004">
        <v>2016</v>
      </c>
      <c r="G3004">
        <v>1</v>
      </c>
      <c r="H3004" s="1" t="s">
        <v>59</v>
      </c>
      <c r="I3004">
        <v>25</v>
      </c>
      <c r="J3004">
        <v>3431</v>
      </c>
      <c r="K3004" s="1" t="s">
        <v>118</v>
      </c>
      <c r="L3004" s="1" t="s">
        <v>23</v>
      </c>
      <c r="M3004">
        <v>0</v>
      </c>
      <c r="N3004">
        <v>0</v>
      </c>
      <c r="O3004">
        <v>0</v>
      </c>
      <c r="P3004" s="2">
        <v>42795</v>
      </c>
      <c r="Q3004">
        <v>0</v>
      </c>
      <c r="R3004" s="1" t="s">
        <v>61</v>
      </c>
    </row>
    <row r="3005" spans="1:18" x14ac:dyDescent="0.25">
      <c r="A3005">
        <v>2017</v>
      </c>
      <c r="B3005">
        <v>4</v>
      </c>
      <c r="C3005" s="1" t="s">
        <v>27</v>
      </c>
      <c r="D3005" s="1" t="s">
        <v>19</v>
      </c>
      <c r="E3005" s="1" t="s">
        <v>117</v>
      </c>
      <c r="F3005">
        <v>2016</v>
      </c>
      <c r="G3005">
        <v>1</v>
      </c>
      <c r="H3005" s="1" t="s">
        <v>59</v>
      </c>
      <c r="I3005">
        <v>25</v>
      </c>
      <c r="J3005">
        <v>3431</v>
      </c>
      <c r="K3005" s="1" t="s">
        <v>118</v>
      </c>
      <c r="L3005" s="1" t="s">
        <v>23</v>
      </c>
      <c r="M3005">
        <v>0</v>
      </c>
      <c r="N3005">
        <v>0</v>
      </c>
      <c r="O3005">
        <v>0</v>
      </c>
      <c r="P3005" s="2">
        <v>42826</v>
      </c>
      <c r="Q3005">
        <v>0</v>
      </c>
      <c r="R3005" s="1" t="s">
        <v>61</v>
      </c>
    </row>
    <row r="3006" spans="1:18" x14ac:dyDescent="0.25">
      <c r="A3006">
        <v>2017</v>
      </c>
      <c r="B3006">
        <v>5</v>
      </c>
      <c r="C3006" s="1" t="s">
        <v>28</v>
      </c>
      <c r="D3006" s="1" t="s">
        <v>19</v>
      </c>
      <c r="E3006" s="1" t="s">
        <v>117</v>
      </c>
      <c r="F3006">
        <v>2016</v>
      </c>
      <c r="G3006">
        <v>1</v>
      </c>
      <c r="H3006" s="1" t="s">
        <v>59</v>
      </c>
      <c r="I3006">
        <v>25</v>
      </c>
      <c r="J3006">
        <v>3431</v>
      </c>
      <c r="K3006" s="1" t="s">
        <v>118</v>
      </c>
      <c r="L3006" s="1" t="s">
        <v>23</v>
      </c>
      <c r="M3006">
        <v>0</v>
      </c>
      <c r="N3006">
        <v>0</v>
      </c>
      <c r="O3006">
        <v>0</v>
      </c>
      <c r="P3006" s="2">
        <v>42856</v>
      </c>
      <c r="Q3006">
        <v>0</v>
      </c>
      <c r="R3006" s="1" t="s">
        <v>61</v>
      </c>
    </row>
    <row r="3007" spans="1:18" x14ac:dyDescent="0.25">
      <c r="A3007">
        <v>2017</v>
      </c>
      <c r="B3007">
        <v>6</v>
      </c>
      <c r="C3007" s="1" t="s">
        <v>29</v>
      </c>
      <c r="D3007" s="1" t="s">
        <v>19</v>
      </c>
      <c r="E3007" s="1" t="s">
        <v>117</v>
      </c>
      <c r="F3007">
        <v>2016</v>
      </c>
      <c r="G3007">
        <v>1</v>
      </c>
      <c r="H3007" s="1" t="s">
        <v>59</v>
      </c>
      <c r="I3007">
        <v>25</v>
      </c>
      <c r="J3007">
        <v>3431</v>
      </c>
      <c r="K3007" s="1" t="s">
        <v>118</v>
      </c>
      <c r="L3007" s="1" t="s">
        <v>23</v>
      </c>
      <c r="M3007">
        <v>0</v>
      </c>
      <c r="N3007">
        <v>0</v>
      </c>
      <c r="O3007">
        <v>0</v>
      </c>
      <c r="P3007" s="2">
        <v>42887</v>
      </c>
      <c r="Q3007">
        <v>0</v>
      </c>
      <c r="R3007" s="1" t="s">
        <v>61</v>
      </c>
    </row>
    <row r="3008" spans="1:18" x14ac:dyDescent="0.25">
      <c r="A3008">
        <v>2017</v>
      </c>
      <c r="B3008">
        <v>7</v>
      </c>
      <c r="C3008" s="1" t="s">
        <v>30</v>
      </c>
      <c r="D3008" s="1" t="s">
        <v>19</v>
      </c>
      <c r="E3008" s="1" t="s">
        <v>117</v>
      </c>
      <c r="F3008">
        <v>2016</v>
      </c>
      <c r="G3008">
        <v>1</v>
      </c>
      <c r="H3008" s="1" t="s">
        <v>59</v>
      </c>
      <c r="I3008">
        <v>25</v>
      </c>
      <c r="J3008">
        <v>3431</v>
      </c>
      <c r="K3008" s="1" t="s">
        <v>118</v>
      </c>
      <c r="L3008" s="1" t="s">
        <v>23</v>
      </c>
      <c r="M3008">
        <v>0</v>
      </c>
      <c r="N3008">
        <v>0</v>
      </c>
      <c r="O3008">
        <v>0</v>
      </c>
      <c r="P3008" s="2">
        <v>42917</v>
      </c>
      <c r="Q3008">
        <v>0</v>
      </c>
      <c r="R3008" s="1" t="s">
        <v>61</v>
      </c>
    </row>
    <row r="3009" spans="1:18" x14ac:dyDescent="0.25">
      <c r="A3009">
        <v>2017</v>
      </c>
      <c r="B3009">
        <v>8</v>
      </c>
      <c r="C3009" s="1" t="s">
        <v>31</v>
      </c>
      <c r="D3009" s="1" t="s">
        <v>19</v>
      </c>
      <c r="E3009" s="1" t="s">
        <v>117</v>
      </c>
      <c r="F3009">
        <v>2016</v>
      </c>
      <c r="G3009">
        <v>1</v>
      </c>
      <c r="H3009" s="1" t="s">
        <v>59</v>
      </c>
      <c r="I3009">
        <v>25</v>
      </c>
      <c r="J3009">
        <v>3431</v>
      </c>
      <c r="K3009" s="1" t="s">
        <v>118</v>
      </c>
      <c r="L3009" s="1" t="s">
        <v>23</v>
      </c>
      <c r="M3009">
        <v>0</v>
      </c>
      <c r="N3009">
        <v>0</v>
      </c>
      <c r="O3009">
        <v>0</v>
      </c>
      <c r="P3009" s="2">
        <v>42948</v>
      </c>
      <c r="Q3009">
        <v>0</v>
      </c>
      <c r="R3009" s="1" t="s">
        <v>61</v>
      </c>
    </row>
    <row r="3010" spans="1:18" x14ac:dyDescent="0.25">
      <c r="A3010">
        <v>2017</v>
      </c>
      <c r="B3010">
        <v>9</v>
      </c>
      <c r="C3010" s="1" t="s">
        <v>32</v>
      </c>
      <c r="D3010" s="1" t="s">
        <v>19</v>
      </c>
      <c r="E3010" s="1" t="s">
        <v>117</v>
      </c>
      <c r="F3010">
        <v>2016</v>
      </c>
      <c r="G3010">
        <v>1</v>
      </c>
      <c r="H3010" s="1" t="s">
        <v>59</v>
      </c>
      <c r="I3010">
        <v>25</v>
      </c>
      <c r="J3010">
        <v>3431</v>
      </c>
      <c r="K3010" s="1" t="s">
        <v>118</v>
      </c>
      <c r="L3010" s="1" t="s">
        <v>23</v>
      </c>
      <c r="M3010">
        <v>0</v>
      </c>
      <c r="N3010">
        <v>0</v>
      </c>
      <c r="O3010">
        <v>0</v>
      </c>
      <c r="P3010" s="2">
        <v>42979</v>
      </c>
      <c r="Q3010">
        <v>0</v>
      </c>
      <c r="R3010" s="1" t="s">
        <v>61</v>
      </c>
    </row>
    <row r="3011" spans="1:18" x14ac:dyDescent="0.25">
      <c r="A3011">
        <v>2017</v>
      </c>
      <c r="B3011">
        <v>10</v>
      </c>
      <c r="C3011" s="1" t="s">
        <v>33</v>
      </c>
      <c r="D3011" s="1" t="s">
        <v>19</v>
      </c>
      <c r="E3011" s="1" t="s">
        <v>117</v>
      </c>
      <c r="F3011">
        <v>2016</v>
      </c>
      <c r="G3011">
        <v>1</v>
      </c>
      <c r="H3011" s="1" t="s">
        <v>59</v>
      </c>
      <c r="I3011">
        <v>25</v>
      </c>
      <c r="J3011">
        <v>3431</v>
      </c>
      <c r="K3011" s="1" t="s">
        <v>118</v>
      </c>
      <c r="L3011" s="1" t="s">
        <v>23</v>
      </c>
      <c r="M3011">
        <v>0</v>
      </c>
      <c r="N3011">
        <v>0</v>
      </c>
      <c r="O3011">
        <v>0</v>
      </c>
      <c r="P3011" s="2">
        <v>43009</v>
      </c>
      <c r="Q3011">
        <v>0</v>
      </c>
      <c r="R3011" s="1" t="s">
        <v>61</v>
      </c>
    </row>
    <row r="3012" spans="1:18" x14ac:dyDescent="0.25">
      <c r="A3012">
        <v>2017</v>
      </c>
      <c r="B3012">
        <v>11</v>
      </c>
      <c r="C3012" s="1" t="s">
        <v>34</v>
      </c>
      <c r="D3012" s="1" t="s">
        <v>19</v>
      </c>
      <c r="E3012" s="1" t="s">
        <v>117</v>
      </c>
      <c r="F3012">
        <v>2016</v>
      </c>
      <c r="G3012">
        <v>1</v>
      </c>
      <c r="H3012" s="1" t="s">
        <v>59</v>
      </c>
      <c r="I3012">
        <v>25</v>
      </c>
      <c r="J3012">
        <v>3431</v>
      </c>
      <c r="K3012" s="1" t="s">
        <v>118</v>
      </c>
      <c r="L3012" s="1" t="s">
        <v>23</v>
      </c>
      <c r="M3012">
        <v>0</v>
      </c>
      <c r="N3012">
        <v>0</v>
      </c>
      <c r="O3012">
        <v>0</v>
      </c>
      <c r="P3012" s="2">
        <v>43040</v>
      </c>
      <c r="Q3012">
        <v>0</v>
      </c>
      <c r="R3012" s="1" t="s">
        <v>61</v>
      </c>
    </row>
    <row r="3013" spans="1:18" x14ac:dyDescent="0.25">
      <c r="A3013">
        <v>2017</v>
      </c>
      <c r="B3013">
        <v>12</v>
      </c>
      <c r="C3013" s="1" t="s">
        <v>35</v>
      </c>
      <c r="D3013" s="1" t="s">
        <v>19</v>
      </c>
      <c r="E3013" s="1" t="s">
        <v>117</v>
      </c>
      <c r="F3013">
        <v>2016</v>
      </c>
      <c r="G3013">
        <v>1</v>
      </c>
      <c r="H3013" s="1" t="s">
        <v>59</v>
      </c>
      <c r="I3013">
        <v>25</v>
      </c>
      <c r="J3013">
        <v>3431</v>
      </c>
      <c r="K3013" s="1" t="s">
        <v>118</v>
      </c>
      <c r="L3013" s="1" t="s">
        <v>23</v>
      </c>
      <c r="M3013">
        <v>0</v>
      </c>
      <c r="N3013">
        <v>0</v>
      </c>
      <c r="O3013">
        <v>0</v>
      </c>
      <c r="P3013" s="2">
        <v>43070</v>
      </c>
      <c r="Q3013">
        <v>0</v>
      </c>
      <c r="R3013" s="1" t="s">
        <v>61</v>
      </c>
    </row>
    <row r="3014" spans="1:18" x14ac:dyDescent="0.25">
      <c r="A3014">
        <v>2017</v>
      </c>
      <c r="B3014">
        <v>1</v>
      </c>
      <c r="C3014" s="1" t="s">
        <v>18</v>
      </c>
      <c r="D3014" s="1" t="s">
        <v>19</v>
      </c>
      <c r="E3014" s="1" t="s">
        <v>119</v>
      </c>
      <c r="F3014">
        <v>2016</v>
      </c>
      <c r="G3014">
        <v>1</v>
      </c>
      <c r="H3014" s="1" t="s">
        <v>59</v>
      </c>
      <c r="I3014">
        <v>21</v>
      </c>
      <c r="J3014">
        <v>2901</v>
      </c>
      <c r="K3014" s="1" t="s">
        <v>120</v>
      </c>
      <c r="L3014" s="1" t="s">
        <v>23</v>
      </c>
      <c r="M3014">
        <v>0</v>
      </c>
      <c r="N3014">
        <v>0</v>
      </c>
      <c r="O3014">
        <v>0</v>
      </c>
      <c r="P3014" s="2">
        <v>42736</v>
      </c>
      <c r="Q3014">
        <v>0</v>
      </c>
      <c r="R3014" s="1" t="s">
        <v>61</v>
      </c>
    </row>
    <row r="3015" spans="1:18" x14ac:dyDescent="0.25">
      <c r="A3015">
        <v>2017</v>
      </c>
      <c r="B3015">
        <v>2</v>
      </c>
      <c r="C3015" s="1" t="s">
        <v>25</v>
      </c>
      <c r="D3015" s="1" t="s">
        <v>19</v>
      </c>
      <c r="E3015" s="1" t="s">
        <v>119</v>
      </c>
      <c r="F3015">
        <v>2016</v>
      </c>
      <c r="G3015">
        <v>1</v>
      </c>
      <c r="H3015" s="1" t="s">
        <v>59</v>
      </c>
      <c r="I3015">
        <v>21</v>
      </c>
      <c r="J3015">
        <v>2901</v>
      </c>
      <c r="K3015" s="1" t="s">
        <v>120</v>
      </c>
      <c r="L3015" s="1" t="s">
        <v>23</v>
      </c>
      <c r="M3015">
        <v>0</v>
      </c>
      <c r="N3015">
        <v>0</v>
      </c>
      <c r="O3015">
        <v>0</v>
      </c>
      <c r="P3015" s="2">
        <v>42767</v>
      </c>
      <c r="Q3015">
        <v>0</v>
      </c>
      <c r="R3015" s="1" t="s">
        <v>61</v>
      </c>
    </row>
    <row r="3016" spans="1:18" x14ac:dyDescent="0.25">
      <c r="A3016">
        <v>2017</v>
      </c>
      <c r="B3016">
        <v>3</v>
      </c>
      <c r="C3016" s="1" t="s">
        <v>26</v>
      </c>
      <c r="D3016" s="1" t="s">
        <v>19</v>
      </c>
      <c r="E3016" s="1" t="s">
        <v>119</v>
      </c>
      <c r="F3016">
        <v>2016</v>
      </c>
      <c r="G3016">
        <v>1</v>
      </c>
      <c r="H3016" s="1" t="s">
        <v>59</v>
      </c>
      <c r="I3016">
        <v>21</v>
      </c>
      <c r="J3016">
        <v>2901</v>
      </c>
      <c r="K3016" s="1" t="s">
        <v>120</v>
      </c>
      <c r="L3016" s="1" t="s">
        <v>23</v>
      </c>
      <c r="M3016">
        <v>0</v>
      </c>
      <c r="N3016">
        <v>0</v>
      </c>
      <c r="O3016">
        <v>0</v>
      </c>
      <c r="P3016" s="2">
        <v>42795</v>
      </c>
      <c r="Q3016">
        <v>0</v>
      </c>
      <c r="R3016" s="1" t="s">
        <v>61</v>
      </c>
    </row>
    <row r="3017" spans="1:18" x14ac:dyDescent="0.25">
      <c r="A3017">
        <v>2017</v>
      </c>
      <c r="B3017">
        <v>4</v>
      </c>
      <c r="C3017" s="1" t="s">
        <v>27</v>
      </c>
      <c r="D3017" s="1" t="s">
        <v>19</v>
      </c>
      <c r="E3017" s="1" t="s">
        <v>119</v>
      </c>
      <c r="F3017">
        <v>2016</v>
      </c>
      <c r="G3017">
        <v>1</v>
      </c>
      <c r="H3017" s="1" t="s">
        <v>59</v>
      </c>
      <c r="I3017">
        <v>21</v>
      </c>
      <c r="J3017">
        <v>2901</v>
      </c>
      <c r="K3017" s="1" t="s">
        <v>120</v>
      </c>
      <c r="L3017" s="1" t="s">
        <v>23</v>
      </c>
      <c r="M3017">
        <v>0</v>
      </c>
      <c r="N3017">
        <v>0</v>
      </c>
      <c r="O3017">
        <v>0</v>
      </c>
      <c r="P3017" s="2">
        <v>42826</v>
      </c>
      <c r="Q3017">
        <v>0</v>
      </c>
      <c r="R3017" s="1" t="s">
        <v>61</v>
      </c>
    </row>
    <row r="3018" spans="1:18" x14ac:dyDescent="0.25">
      <c r="A3018">
        <v>2017</v>
      </c>
      <c r="B3018">
        <v>5</v>
      </c>
      <c r="C3018" s="1" t="s">
        <v>28</v>
      </c>
      <c r="D3018" s="1" t="s">
        <v>19</v>
      </c>
      <c r="E3018" s="1" t="s">
        <v>119</v>
      </c>
      <c r="F3018">
        <v>2016</v>
      </c>
      <c r="G3018">
        <v>1</v>
      </c>
      <c r="H3018" s="1" t="s">
        <v>59</v>
      </c>
      <c r="I3018">
        <v>21</v>
      </c>
      <c r="J3018">
        <v>2901</v>
      </c>
      <c r="K3018" s="1" t="s">
        <v>120</v>
      </c>
      <c r="L3018" s="1" t="s">
        <v>23</v>
      </c>
      <c r="M3018">
        <v>0</v>
      </c>
      <c r="N3018">
        <v>0</v>
      </c>
      <c r="O3018">
        <v>0</v>
      </c>
      <c r="P3018" s="2">
        <v>42856</v>
      </c>
      <c r="Q3018">
        <v>0</v>
      </c>
      <c r="R3018" s="1" t="s">
        <v>61</v>
      </c>
    </row>
    <row r="3019" spans="1:18" x14ac:dyDescent="0.25">
      <c r="A3019">
        <v>2017</v>
      </c>
      <c r="B3019">
        <v>6</v>
      </c>
      <c r="C3019" s="1" t="s">
        <v>29</v>
      </c>
      <c r="D3019" s="1" t="s">
        <v>19</v>
      </c>
      <c r="E3019" s="1" t="s">
        <v>119</v>
      </c>
      <c r="F3019">
        <v>2016</v>
      </c>
      <c r="G3019">
        <v>1</v>
      </c>
      <c r="H3019" s="1" t="s">
        <v>59</v>
      </c>
      <c r="I3019">
        <v>21</v>
      </c>
      <c r="J3019">
        <v>2901</v>
      </c>
      <c r="K3019" s="1" t="s">
        <v>120</v>
      </c>
      <c r="L3019" s="1" t="s">
        <v>23</v>
      </c>
      <c r="M3019">
        <v>0</v>
      </c>
      <c r="N3019">
        <v>0</v>
      </c>
      <c r="O3019">
        <v>0</v>
      </c>
      <c r="P3019" s="2">
        <v>42887</v>
      </c>
      <c r="Q3019">
        <v>0</v>
      </c>
      <c r="R3019" s="1" t="s">
        <v>61</v>
      </c>
    </row>
    <row r="3020" spans="1:18" x14ac:dyDescent="0.25">
      <c r="A3020">
        <v>2017</v>
      </c>
      <c r="B3020">
        <v>7</v>
      </c>
      <c r="C3020" s="1" t="s">
        <v>30</v>
      </c>
      <c r="D3020" s="1" t="s">
        <v>19</v>
      </c>
      <c r="E3020" s="1" t="s">
        <v>119</v>
      </c>
      <c r="F3020">
        <v>2016</v>
      </c>
      <c r="G3020">
        <v>1</v>
      </c>
      <c r="H3020" s="1" t="s">
        <v>59</v>
      </c>
      <c r="I3020">
        <v>21</v>
      </c>
      <c r="J3020">
        <v>2901</v>
      </c>
      <c r="K3020" s="1" t="s">
        <v>120</v>
      </c>
      <c r="L3020" s="1" t="s">
        <v>23</v>
      </c>
      <c r="M3020">
        <v>0</v>
      </c>
      <c r="N3020">
        <v>0</v>
      </c>
      <c r="O3020">
        <v>0</v>
      </c>
      <c r="P3020" s="2">
        <v>42917</v>
      </c>
      <c r="Q3020">
        <v>0</v>
      </c>
      <c r="R3020" s="1" t="s">
        <v>61</v>
      </c>
    </row>
    <row r="3021" spans="1:18" x14ac:dyDescent="0.25">
      <c r="A3021">
        <v>2017</v>
      </c>
      <c r="B3021">
        <v>8</v>
      </c>
      <c r="C3021" s="1" t="s">
        <v>31</v>
      </c>
      <c r="D3021" s="1" t="s">
        <v>19</v>
      </c>
      <c r="E3021" s="1" t="s">
        <v>119</v>
      </c>
      <c r="F3021">
        <v>2016</v>
      </c>
      <c r="G3021">
        <v>1</v>
      </c>
      <c r="H3021" s="1" t="s">
        <v>59</v>
      </c>
      <c r="I3021">
        <v>21</v>
      </c>
      <c r="J3021">
        <v>2901</v>
      </c>
      <c r="K3021" s="1" t="s">
        <v>120</v>
      </c>
      <c r="L3021" s="1" t="s">
        <v>23</v>
      </c>
      <c r="M3021">
        <v>0</v>
      </c>
      <c r="N3021">
        <v>0</v>
      </c>
      <c r="O3021">
        <v>0</v>
      </c>
      <c r="P3021" s="2">
        <v>42948</v>
      </c>
      <c r="Q3021">
        <v>0</v>
      </c>
      <c r="R3021" s="1" t="s">
        <v>61</v>
      </c>
    </row>
    <row r="3022" spans="1:18" x14ac:dyDescent="0.25">
      <c r="A3022">
        <v>2017</v>
      </c>
      <c r="B3022">
        <v>9</v>
      </c>
      <c r="C3022" s="1" t="s">
        <v>32</v>
      </c>
      <c r="D3022" s="1" t="s">
        <v>19</v>
      </c>
      <c r="E3022" s="1" t="s">
        <v>119</v>
      </c>
      <c r="F3022">
        <v>2016</v>
      </c>
      <c r="G3022">
        <v>1</v>
      </c>
      <c r="H3022" s="1" t="s">
        <v>59</v>
      </c>
      <c r="I3022">
        <v>21</v>
      </c>
      <c r="J3022">
        <v>2901</v>
      </c>
      <c r="K3022" s="1" t="s">
        <v>120</v>
      </c>
      <c r="L3022" s="1" t="s">
        <v>23</v>
      </c>
      <c r="M3022">
        <v>0</v>
      </c>
      <c r="N3022">
        <v>0</v>
      </c>
      <c r="O3022">
        <v>0</v>
      </c>
      <c r="P3022" s="2">
        <v>42979</v>
      </c>
      <c r="Q3022">
        <v>0</v>
      </c>
      <c r="R3022" s="1" t="s">
        <v>61</v>
      </c>
    </row>
    <row r="3023" spans="1:18" x14ac:dyDescent="0.25">
      <c r="A3023">
        <v>2017</v>
      </c>
      <c r="B3023">
        <v>10</v>
      </c>
      <c r="C3023" s="1" t="s">
        <v>33</v>
      </c>
      <c r="D3023" s="1" t="s">
        <v>19</v>
      </c>
      <c r="E3023" s="1" t="s">
        <v>119</v>
      </c>
      <c r="F3023">
        <v>2016</v>
      </c>
      <c r="G3023">
        <v>1</v>
      </c>
      <c r="H3023" s="1" t="s">
        <v>59</v>
      </c>
      <c r="I3023">
        <v>21</v>
      </c>
      <c r="J3023">
        <v>2901</v>
      </c>
      <c r="K3023" s="1" t="s">
        <v>120</v>
      </c>
      <c r="L3023" s="1" t="s">
        <v>23</v>
      </c>
      <c r="M3023">
        <v>0</v>
      </c>
      <c r="N3023">
        <v>0</v>
      </c>
      <c r="O3023">
        <v>0</v>
      </c>
      <c r="P3023" s="2">
        <v>43009</v>
      </c>
      <c r="Q3023">
        <v>0</v>
      </c>
      <c r="R3023" s="1" t="s">
        <v>61</v>
      </c>
    </row>
    <row r="3024" spans="1:18" x14ac:dyDescent="0.25">
      <c r="A3024">
        <v>2017</v>
      </c>
      <c r="B3024">
        <v>11</v>
      </c>
      <c r="C3024" s="1" t="s">
        <v>34</v>
      </c>
      <c r="D3024" s="1" t="s">
        <v>19</v>
      </c>
      <c r="E3024" s="1" t="s">
        <v>119</v>
      </c>
      <c r="F3024">
        <v>2016</v>
      </c>
      <c r="G3024">
        <v>1</v>
      </c>
      <c r="H3024" s="1" t="s">
        <v>59</v>
      </c>
      <c r="I3024">
        <v>21</v>
      </c>
      <c r="J3024">
        <v>2901</v>
      </c>
      <c r="K3024" s="1" t="s">
        <v>120</v>
      </c>
      <c r="L3024" s="1" t="s">
        <v>23</v>
      </c>
      <c r="M3024">
        <v>0</v>
      </c>
      <c r="N3024">
        <v>0</v>
      </c>
      <c r="O3024">
        <v>0</v>
      </c>
      <c r="P3024" s="2">
        <v>43040</v>
      </c>
      <c r="Q3024">
        <v>0</v>
      </c>
      <c r="R3024" s="1" t="s">
        <v>61</v>
      </c>
    </row>
    <row r="3025" spans="1:18" x14ac:dyDescent="0.25">
      <c r="A3025">
        <v>2017</v>
      </c>
      <c r="B3025">
        <v>12</v>
      </c>
      <c r="C3025" s="1" t="s">
        <v>35</v>
      </c>
      <c r="D3025" s="1" t="s">
        <v>19</v>
      </c>
      <c r="E3025" s="1" t="s">
        <v>119</v>
      </c>
      <c r="F3025">
        <v>2016</v>
      </c>
      <c r="G3025">
        <v>1</v>
      </c>
      <c r="H3025" s="1" t="s">
        <v>59</v>
      </c>
      <c r="I3025">
        <v>21</v>
      </c>
      <c r="J3025">
        <v>2901</v>
      </c>
      <c r="K3025" s="1" t="s">
        <v>120</v>
      </c>
      <c r="L3025" s="1" t="s">
        <v>23</v>
      </c>
      <c r="M3025">
        <v>0</v>
      </c>
      <c r="N3025">
        <v>0</v>
      </c>
      <c r="O3025">
        <v>0</v>
      </c>
      <c r="P3025" s="2">
        <v>43070</v>
      </c>
      <c r="Q3025">
        <v>0</v>
      </c>
      <c r="R3025" s="1" t="s">
        <v>61</v>
      </c>
    </row>
    <row r="3026" spans="1:18" x14ac:dyDescent="0.25">
      <c r="A3026">
        <v>2018</v>
      </c>
      <c r="B3026">
        <v>1</v>
      </c>
      <c r="C3026" s="1" t="s">
        <v>18</v>
      </c>
      <c r="D3026" s="1" t="s">
        <v>19</v>
      </c>
      <c r="E3026" s="1" t="s">
        <v>20</v>
      </c>
      <c r="F3026">
        <v>2000</v>
      </c>
      <c r="G3026">
        <v>18</v>
      </c>
      <c r="H3026" s="1" t="s">
        <v>124</v>
      </c>
      <c r="I3026">
        <v>19</v>
      </c>
      <c r="J3026">
        <v>1490</v>
      </c>
      <c r="K3026" s="1" t="s">
        <v>22</v>
      </c>
      <c r="L3026" s="1" t="s">
        <v>23</v>
      </c>
      <c r="M3026">
        <v>0.53600000000000003</v>
      </c>
      <c r="N3026">
        <v>10191.6</v>
      </c>
      <c r="O3026">
        <v>10.192</v>
      </c>
      <c r="P3026" s="2">
        <v>43101</v>
      </c>
      <c r="Q3026">
        <v>1</v>
      </c>
      <c r="R3026" s="1" t="s">
        <v>125</v>
      </c>
    </row>
    <row r="3027" spans="1:18" x14ac:dyDescent="0.25">
      <c r="A3027">
        <v>2018</v>
      </c>
      <c r="B3027">
        <v>2</v>
      </c>
      <c r="C3027" s="1" t="s">
        <v>25</v>
      </c>
      <c r="D3027" s="1" t="s">
        <v>19</v>
      </c>
      <c r="E3027" s="1" t="s">
        <v>20</v>
      </c>
      <c r="F3027">
        <v>2000</v>
      </c>
      <c r="G3027">
        <v>18</v>
      </c>
      <c r="H3027" s="1" t="s">
        <v>124</v>
      </c>
      <c r="I3027">
        <v>19</v>
      </c>
      <c r="J3027">
        <v>1490</v>
      </c>
      <c r="K3027" s="1" t="s">
        <v>22</v>
      </c>
      <c r="L3027" s="1" t="s">
        <v>23</v>
      </c>
      <c r="M3027">
        <v>0.503</v>
      </c>
      <c r="N3027">
        <v>9564.7000000000007</v>
      </c>
      <c r="O3027">
        <v>9.5649999999999995</v>
      </c>
      <c r="P3027" s="2">
        <v>43132</v>
      </c>
      <c r="Q3027">
        <v>1</v>
      </c>
      <c r="R3027" s="1" t="s">
        <v>125</v>
      </c>
    </row>
    <row r="3028" spans="1:18" x14ac:dyDescent="0.25">
      <c r="A3028">
        <v>2018</v>
      </c>
      <c r="B3028">
        <v>3</v>
      </c>
      <c r="C3028" s="1" t="s">
        <v>26</v>
      </c>
      <c r="D3028" s="1" t="s">
        <v>19</v>
      </c>
      <c r="E3028" s="1" t="s">
        <v>20</v>
      </c>
      <c r="F3028">
        <v>2000</v>
      </c>
      <c r="G3028">
        <v>18</v>
      </c>
      <c r="H3028" s="1" t="s">
        <v>124</v>
      </c>
      <c r="I3028">
        <v>19</v>
      </c>
      <c r="J3028">
        <v>1490</v>
      </c>
      <c r="K3028" s="1" t="s">
        <v>22</v>
      </c>
      <c r="L3028" s="1" t="s">
        <v>23</v>
      </c>
      <c r="M3028">
        <v>0.70099999999999996</v>
      </c>
      <c r="N3028">
        <v>13315.8</v>
      </c>
      <c r="O3028">
        <v>13.316000000000001</v>
      </c>
      <c r="P3028" s="2">
        <v>43160</v>
      </c>
      <c r="Q3028">
        <v>1</v>
      </c>
      <c r="R3028" s="1" t="s">
        <v>125</v>
      </c>
    </row>
    <row r="3029" spans="1:18" x14ac:dyDescent="0.25">
      <c r="A3029">
        <v>2018</v>
      </c>
      <c r="B3029">
        <v>4</v>
      </c>
      <c r="C3029" s="1" t="s">
        <v>27</v>
      </c>
      <c r="D3029" s="1" t="s">
        <v>19</v>
      </c>
      <c r="E3029" s="1" t="s">
        <v>20</v>
      </c>
      <c r="F3029">
        <v>2000</v>
      </c>
      <c r="G3029">
        <v>18</v>
      </c>
      <c r="H3029" s="1" t="s">
        <v>124</v>
      </c>
      <c r="I3029">
        <v>19</v>
      </c>
      <c r="J3029">
        <v>1490</v>
      </c>
      <c r="K3029" s="1" t="s">
        <v>22</v>
      </c>
      <c r="L3029" s="1" t="s">
        <v>23</v>
      </c>
      <c r="M3029">
        <v>0.622</v>
      </c>
      <c r="N3029">
        <v>11809.3</v>
      </c>
      <c r="O3029">
        <v>11.808999999999999</v>
      </c>
      <c r="P3029" s="2">
        <v>43191</v>
      </c>
      <c r="Q3029">
        <v>1</v>
      </c>
      <c r="R3029" s="1" t="s">
        <v>125</v>
      </c>
    </row>
    <row r="3030" spans="1:18" x14ac:dyDescent="0.25">
      <c r="A3030">
        <v>2018</v>
      </c>
      <c r="B3030">
        <v>5</v>
      </c>
      <c r="C3030" s="1" t="s">
        <v>28</v>
      </c>
      <c r="D3030" s="1" t="s">
        <v>19</v>
      </c>
      <c r="E3030" s="1" t="s">
        <v>20</v>
      </c>
      <c r="F3030">
        <v>2000</v>
      </c>
      <c r="G3030">
        <v>18</v>
      </c>
      <c r="H3030" s="1" t="s">
        <v>124</v>
      </c>
      <c r="I3030">
        <v>19</v>
      </c>
      <c r="J3030">
        <v>1490</v>
      </c>
      <c r="K3030" s="1" t="s">
        <v>22</v>
      </c>
      <c r="L3030" s="1" t="s">
        <v>23</v>
      </c>
      <c r="M3030">
        <v>0.79800000000000004</v>
      </c>
      <c r="N3030">
        <v>15156</v>
      </c>
      <c r="O3030">
        <v>15.156000000000001</v>
      </c>
      <c r="P3030" s="2">
        <v>43221</v>
      </c>
      <c r="Q3030">
        <v>1</v>
      </c>
      <c r="R3030" s="1" t="s">
        <v>125</v>
      </c>
    </row>
    <row r="3031" spans="1:18" x14ac:dyDescent="0.25">
      <c r="A3031">
        <v>2018</v>
      </c>
      <c r="B3031">
        <v>6</v>
      </c>
      <c r="C3031" s="1" t="s">
        <v>29</v>
      </c>
      <c r="D3031" s="1" t="s">
        <v>19</v>
      </c>
      <c r="E3031" s="1" t="s">
        <v>20</v>
      </c>
      <c r="F3031">
        <v>2000</v>
      </c>
      <c r="G3031">
        <v>18</v>
      </c>
      <c r="H3031" s="1" t="s">
        <v>124</v>
      </c>
      <c r="I3031">
        <v>19</v>
      </c>
      <c r="J3031">
        <v>1490</v>
      </c>
      <c r="K3031" s="1" t="s">
        <v>22</v>
      </c>
      <c r="L3031" s="1" t="s">
        <v>23</v>
      </c>
      <c r="M3031">
        <v>0.53900000000000003</v>
      </c>
      <c r="N3031">
        <v>10242.200000000001</v>
      </c>
      <c r="O3031">
        <v>10.242000000000001</v>
      </c>
      <c r="P3031" s="2">
        <v>43252</v>
      </c>
      <c r="Q3031">
        <v>1</v>
      </c>
      <c r="R3031" s="1" t="s">
        <v>125</v>
      </c>
    </row>
    <row r="3032" spans="1:18" x14ac:dyDescent="0.25">
      <c r="A3032">
        <v>2018</v>
      </c>
      <c r="B3032">
        <v>7</v>
      </c>
      <c r="C3032" s="1" t="s">
        <v>30</v>
      </c>
      <c r="D3032" s="1" t="s">
        <v>19</v>
      </c>
      <c r="E3032" s="1" t="s">
        <v>20</v>
      </c>
      <c r="F3032">
        <v>2000</v>
      </c>
      <c r="G3032">
        <v>18</v>
      </c>
      <c r="H3032" s="1" t="s">
        <v>124</v>
      </c>
      <c r="I3032">
        <v>19</v>
      </c>
      <c r="J3032">
        <v>1490</v>
      </c>
      <c r="K3032" s="1" t="s">
        <v>22</v>
      </c>
      <c r="L3032" s="1" t="s">
        <v>23</v>
      </c>
      <c r="M3032">
        <v>0.749</v>
      </c>
      <c r="N3032">
        <v>14225.8</v>
      </c>
      <c r="O3032">
        <v>14.226000000000001</v>
      </c>
      <c r="P3032" s="2">
        <v>43282</v>
      </c>
      <c r="Q3032">
        <v>1</v>
      </c>
      <c r="R3032" s="1" t="s">
        <v>125</v>
      </c>
    </row>
    <row r="3033" spans="1:18" x14ac:dyDescent="0.25">
      <c r="A3033">
        <v>2018</v>
      </c>
      <c r="B3033">
        <v>8</v>
      </c>
      <c r="C3033" s="1" t="s">
        <v>31</v>
      </c>
      <c r="D3033" s="1" t="s">
        <v>19</v>
      </c>
      <c r="E3033" s="1" t="s">
        <v>20</v>
      </c>
      <c r="F3033">
        <v>2000</v>
      </c>
      <c r="G3033">
        <v>18</v>
      </c>
      <c r="H3033" s="1" t="s">
        <v>124</v>
      </c>
      <c r="I3033">
        <v>19</v>
      </c>
      <c r="J3033">
        <v>1490</v>
      </c>
      <c r="K3033" s="1" t="s">
        <v>22</v>
      </c>
      <c r="L3033" s="1" t="s">
        <v>23</v>
      </c>
      <c r="M3033">
        <v>0.84899999999999998</v>
      </c>
      <c r="N3033">
        <v>16126.6</v>
      </c>
      <c r="O3033">
        <v>16.126999999999999</v>
      </c>
      <c r="P3033" s="2">
        <v>43313</v>
      </c>
      <c r="Q3033">
        <v>1</v>
      </c>
      <c r="R3033" s="1" t="s">
        <v>125</v>
      </c>
    </row>
    <row r="3034" spans="1:18" x14ac:dyDescent="0.25">
      <c r="A3034">
        <v>2018</v>
      </c>
      <c r="B3034">
        <v>9</v>
      </c>
      <c r="C3034" s="1" t="s">
        <v>32</v>
      </c>
      <c r="D3034" s="1" t="s">
        <v>19</v>
      </c>
      <c r="E3034" s="1" t="s">
        <v>20</v>
      </c>
      <c r="F3034">
        <v>2000</v>
      </c>
      <c r="G3034">
        <v>18</v>
      </c>
      <c r="H3034" s="1" t="s">
        <v>124</v>
      </c>
      <c r="I3034">
        <v>19</v>
      </c>
      <c r="J3034">
        <v>1490</v>
      </c>
      <c r="K3034" s="1" t="s">
        <v>22</v>
      </c>
      <c r="L3034" s="1" t="s">
        <v>23</v>
      </c>
      <c r="M3034">
        <v>0.63200000000000001</v>
      </c>
      <c r="N3034">
        <v>12011.5</v>
      </c>
      <c r="O3034">
        <v>12.012</v>
      </c>
      <c r="P3034" s="2">
        <v>43344</v>
      </c>
      <c r="Q3034">
        <v>1</v>
      </c>
      <c r="R3034" s="1" t="s">
        <v>125</v>
      </c>
    </row>
    <row r="3035" spans="1:18" x14ac:dyDescent="0.25">
      <c r="A3035">
        <v>2018</v>
      </c>
      <c r="B3035">
        <v>10</v>
      </c>
      <c r="C3035" s="1" t="s">
        <v>33</v>
      </c>
      <c r="D3035" s="1" t="s">
        <v>19</v>
      </c>
      <c r="E3035" s="1" t="s">
        <v>20</v>
      </c>
      <c r="F3035">
        <v>2000</v>
      </c>
      <c r="G3035">
        <v>18</v>
      </c>
      <c r="H3035" s="1" t="s">
        <v>124</v>
      </c>
      <c r="I3035">
        <v>19</v>
      </c>
      <c r="J3035">
        <v>1490</v>
      </c>
      <c r="K3035" s="1" t="s">
        <v>22</v>
      </c>
      <c r="L3035" s="1" t="s">
        <v>23</v>
      </c>
      <c r="M3035">
        <v>0.879</v>
      </c>
      <c r="N3035">
        <v>16702.900000000001</v>
      </c>
      <c r="O3035">
        <v>16.702999999999999</v>
      </c>
      <c r="P3035" s="2">
        <v>43374</v>
      </c>
      <c r="Q3035">
        <v>1</v>
      </c>
      <c r="R3035" s="1" t="s">
        <v>125</v>
      </c>
    </row>
    <row r="3036" spans="1:18" x14ac:dyDescent="0.25">
      <c r="A3036">
        <v>2018</v>
      </c>
      <c r="B3036">
        <v>11</v>
      </c>
      <c r="C3036" s="1" t="s">
        <v>34</v>
      </c>
      <c r="D3036" s="1" t="s">
        <v>19</v>
      </c>
      <c r="E3036" s="1" t="s">
        <v>20</v>
      </c>
      <c r="F3036">
        <v>2000</v>
      </c>
      <c r="G3036">
        <v>18</v>
      </c>
      <c r="H3036" s="1" t="s">
        <v>124</v>
      </c>
      <c r="I3036">
        <v>19</v>
      </c>
      <c r="J3036">
        <v>1490</v>
      </c>
      <c r="K3036" s="1" t="s">
        <v>22</v>
      </c>
      <c r="L3036" s="1" t="s">
        <v>23</v>
      </c>
      <c r="M3036">
        <v>0.58699999999999997</v>
      </c>
      <c r="N3036">
        <v>11162.2</v>
      </c>
      <c r="O3036">
        <v>11.162000000000001</v>
      </c>
      <c r="P3036" s="2">
        <v>43405</v>
      </c>
      <c r="Q3036">
        <v>1</v>
      </c>
      <c r="R3036" s="1" t="s">
        <v>125</v>
      </c>
    </row>
    <row r="3037" spans="1:18" x14ac:dyDescent="0.25">
      <c r="A3037">
        <v>2018</v>
      </c>
      <c r="B3037">
        <v>12</v>
      </c>
      <c r="C3037" s="1" t="s">
        <v>35</v>
      </c>
      <c r="D3037" s="1" t="s">
        <v>19</v>
      </c>
      <c r="E3037" s="1" t="s">
        <v>20</v>
      </c>
      <c r="F3037">
        <v>2000</v>
      </c>
      <c r="G3037">
        <v>18</v>
      </c>
      <c r="H3037" s="1" t="s">
        <v>124</v>
      </c>
      <c r="I3037">
        <v>19</v>
      </c>
      <c r="J3037">
        <v>1490</v>
      </c>
      <c r="K3037" s="1" t="s">
        <v>22</v>
      </c>
      <c r="L3037" s="1" t="s">
        <v>23</v>
      </c>
      <c r="M3037">
        <v>0.86299999999999999</v>
      </c>
      <c r="N3037">
        <v>16399.599999999999</v>
      </c>
      <c r="O3037">
        <v>16.399999999999999</v>
      </c>
      <c r="P3037" s="2">
        <v>43435</v>
      </c>
      <c r="Q3037">
        <v>1</v>
      </c>
      <c r="R3037" s="1" t="s">
        <v>125</v>
      </c>
    </row>
    <row r="3038" spans="1:18" x14ac:dyDescent="0.25">
      <c r="A3038">
        <v>2018</v>
      </c>
      <c r="B3038">
        <v>1</v>
      </c>
      <c r="C3038" s="1" t="s">
        <v>18</v>
      </c>
      <c r="D3038" s="1" t="s">
        <v>19</v>
      </c>
      <c r="E3038" s="1" t="s">
        <v>36</v>
      </c>
      <c r="F3038">
        <v>2000</v>
      </c>
      <c r="G3038">
        <v>18</v>
      </c>
      <c r="H3038" s="1" t="s">
        <v>124</v>
      </c>
      <c r="I3038">
        <v>24</v>
      </c>
      <c r="J3038">
        <v>1675</v>
      </c>
      <c r="K3038" s="1" t="s">
        <v>37</v>
      </c>
      <c r="L3038" s="1" t="s">
        <v>23</v>
      </c>
      <c r="M3038">
        <v>0.47699999999999998</v>
      </c>
      <c r="N3038">
        <v>11457</v>
      </c>
      <c r="O3038">
        <v>11.457000000000001</v>
      </c>
      <c r="P3038" s="2">
        <v>43101</v>
      </c>
      <c r="Q3038">
        <v>1</v>
      </c>
      <c r="R3038" s="1" t="s">
        <v>125</v>
      </c>
    </row>
    <row r="3039" spans="1:18" x14ac:dyDescent="0.25">
      <c r="A3039">
        <v>2018</v>
      </c>
      <c r="B3039">
        <v>2</v>
      </c>
      <c r="C3039" s="1" t="s">
        <v>25</v>
      </c>
      <c r="D3039" s="1" t="s">
        <v>19</v>
      </c>
      <c r="E3039" s="1" t="s">
        <v>36</v>
      </c>
      <c r="F3039">
        <v>2000</v>
      </c>
      <c r="G3039">
        <v>18</v>
      </c>
      <c r="H3039" s="1" t="s">
        <v>124</v>
      </c>
      <c r="I3039">
        <v>24</v>
      </c>
      <c r="J3039">
        <v>1675</v>
      </c>
      <c r="K3039" s="1" t="s">
        <v>37</v>
      </c>
      <c r="L3039" s="1" t="s">
        <v>23</v>
      </c>
      <c r="M3039">
        <v>0.44800000000000001</v>
      </c>
      <c r="N3039">
        <v>10752.3</v>
      </c>
      <c r="O3039">
        <v>10.752000000000001</v>
      </c>
      <c r="P3039" s="2">
        <v>43132</v>
      </c>
      <c r="Q3039">
        <v>1</v>
      </c>
      <c r="R3039" s="1" t="s">
        <v>125</v>
      </c>
    </row>
    <row r="3040" spans="1:18" x14ac:dyDescent="0.25">
      <c r="A3040">
        <v>2018</v>
      </c>
      <c r="B3040">
        <v>3</v>
      </c>
      <c r="C3040" s="1" t="s">
        <v>26</v>
      </c>
      <c r="D3040" s="1" t="s">
        <v>19</v>
      </c>
      <c r="E3040" s="1" t="s">
        <v>36</v>
      </c>
      <c r="F3040">
        <v>2000</v>
      </c>
      <c r="G3040">
        <v>18</v>
      </c>
      <c r="H3040" s="1" t="s">
        <v>124</v>
      </c>
      <c r="I3040">
        <v>24</v>
      </c>
      <c r="J3040">
        <v>1675</v>
      </c>
      <c r="K3040" s="1" t="s">
        <v>37</v>
      </c>
      <c r="L3040" s="1" t="s">
        <v>23</v>
      </c>
      <c r="M3040">
        <v>0.624</v>
      </c>
      <c r="N3040">
        <v>14969.1</v>
      </c>
      <c r="O3040">
        <v>14.968999999999999</v>
      </c>
      <c r="P3040" s="2">
        <v>43160</v>
      </c>
      <c r="Q3040">
        <v>1</v>
      </c>
      <c r="R3040" s="1" t="s">
        <v>125</v>
      </c>
    </row>
    <row r="3041" spans="1:18" x14ac:dyDescent="0.25">
      <c r="A3041">
        <v>2018</v>
      </c>
      <c r="B3041">
        <v>4</v>
      </c>
      <c r="C3041" s="1" t="s">
        <v>27</v>
      </c>
      <c r="D3041" s="1" t="s">
        <v>19</v>
      </c>
      <c r="E3041" s="1" t="s">
        <v>36</v>
      </c>
      <c r="F3041">
        <v>2000</v>
      </c>
      <c r="G3041">
        <v>18</v>
      </c>
      <c r="H3041" s="1" t="s">
        <v>124</v>
      </c>
      <c r="I3041">
        <v>24</v>
      </c>
      <c r="J3041">
        <v>1675</v>
      </c>
      <c r="K3041" s="1" t="s">
        <v>37</v>
      </c>
      <c r="L3041" s="1" t="s">
        <v>23</v>
      </c>
      <c r="M3041">
        <v>0.55300000000000005</v>
      </c>
      <c r="N3041">
        <v>13275.6</v>
      </c>
      <c r="O3041">
        <v>13.276</v>
      </c>
      <c r="P3041" s="2">
        <v>43191</v>
      </c>
      <c r="Q3041">
        <v>1</v>
      </c>
      <c r="R3041" s="1" t="s">
        <v>125</v>
      </c>
    </row>
    <row r="3042" spans="1:18" x14ac:dyDescent="0.25">
      <c r="A3042">
        <v>2018</v>
      </c>
      <c r="B3042">
        <v>5</v>
      </c>
      <c r="C3042" s="1" t="s">
        <v>28</v>
      </c>
      <c r="D3042" s="1" t="s">
        <v>19</v>
      </c>
      <c r="E3042" s="1" t="s">
        <v>36</v>
      </c>
      <c r="F3042">
        <v>2000</v>
      </c>
      <c r="G3042">
        <v>18</v>
      </c>
      <c r="H3042" s="1" t="s">
        <v>124</v>
      </c>
      <c r="I3042">
        <v>24</v>
      </c>
      <c r="J3042">
        <v>1675</v>
      </c>
      <c r="K3042" s="1" t="s">
        <v>37</v>
      </c>
      <c r="L3042" s="1" t="s">
        <v>23</v>
      </c>
      <c r="M3042">
        <v>0.71</v>
      </c>
      <c r="N3042">
        <v>17037.7</v>
      </c>
      <c r="O3042">
        <v>17.038</v>
      </c>
      <c r="P3042" s="2">
        <v>43221</v>
      </c>
      <c r="Q3042">
        <v>1</v>
      </c>
      <c r="R3042" s="1" t="s">
        <v>125</v>
      </c>
    </row>
    <row r="3043" spans="1:18" x14ac:dyDescent="0.25">
      <c r="A3043">
        <v>2018</v>
      </c>
      <c r="B3043">
        <v>6</v>
      </c>
      <c r="C3043" s="1" t="s">
        <v>29</v>
      </c>
      <c r="D3043" s="1" t="s">
        <v>19</v>
      </c>
      <c r="E3043" s="1" t="s">
        <v>36</v>
      </c>
      <c r="F3043">
        <v>2000</v>
      </c>
      <c r="G3043">
        <v>18</v>
      </c>
      <c r="H3043" s="1" t="s">
        <v>124</v>
      </c>
      <c r="I3043">
        <v>24</v>
      </c>
      <c r="J3043">
        <v>1675</v>
      </c>
      <c r="K3043" s="1" t="s">
        <v>37</v>
      </c>
      <c r="L3043" s="1" t="s">
        <v>23</v>
      </c>
      <c r="M3043">
        <v>0.48</v>
      </c>
      <c r="N3043">
        <v>11513.8</v>
      </c>
      <c r="O3043">
        <v>11.513999999999999</v>
      </c>
      <c r="P3043" s="2">
        <v>43252</v>
      </c>
      <c r="Q3043">
        <v>1</v>
      </c>
      <c r="R3043" s="1" t="s">
        <v>125</v>
      </c>
    </row>
    <row r="3044" spans="1:18" x14ac:dyDescent="0.25">
      <c r="A3044">
        <v>2018</v>
      </c>
      <c r="B3044">
        <v>7</v>
      </c>
      <c r="C3044" s="1" t="s">
        <v>30</v>
      </c>
      <c r="D3044" s="1" t="s">
        <v>19</v>
      </c>
      <c r="E3044" s="1" t="s">
        <v>36</v>
      </c>
      <c r="F3044">
        <v>2000</v>
      </c>
      <c r="G3044">
        <v>18</v>
      </c>
      <c r="H3044" s="1" t="s">
        <v>124</v>
      </c>
      <c r="I3044">
        <v>24</v>
      </c>
      <c r="J3044">
        <v>1675</v>
      </c>
      <c r="K3044" s="1" t="s">
        <v>37</v>
      </c>
      <c r="L3044" s="1" t="s">
        <v>23</v>
      </c>
      <c r="M3044">
        <v>0.66600000000000004</v>
      </c>
      <c r="N3044">
        <v>15992.1</v>
      </c>
      <c r="O3044">
        <v>15.992000000000001</v>
      </c>
      <c r="P3044" s="2">
        <v>43282</v>
      </c>
      <c r="Q3044">
        <v>1</v>
      </c>
      <c r="R3044" s="1" t="s">
        <v>125</v>
      </c>
    </row>
    <row r="3045" spans="1:18" x14ac:dyDescent="0.25">
      <c r="A3045">
        <v>2018</v>
      </c>
      <c r="B3045">
        <v>8</v>
      </c>
      <c r="C3045" s="1" t="s">
        <v>31</v>
      </c>
      <c r="D3045" s="1" t="s">
        <v>19</v>
      </c>
      <c r="E3045" s="1" t="s">
        <v>36</v>
      </c>
      <c r="F3045">
        <v>2000</v>
      </c>
      <c r="G3045">
        <v>18</v>
      </c>
      <c r="H3045" s="1" t="s">
        <v>124</v>
      </c>
      <c r="I3045">
        <v>24</v>
      </c>
      <c r="J3045">
        <v>1675</v>
      </c>
      <c r="K3045" s="1" t="s">
        <v>37</v>
      </c>
      <c r="L3045" s="1" t="s">
        <v>23</v>
      </c>
      <c r="M3045">
        <v>0.755</v>
      </c>
      <c r="N3045">
        <v>18128.900000000001</v>
      </c>
      <c r="O3045">
        <v>18.129000000000001</v>
      </c>
      <c r="P3045" s="2">
        <v>43313</v>
      </c>
      <c r="Q3045">
        <v>1</v>
      </c>
      <c r="R3045" s="1" t="s">
        <v>125</v>
      </c>
    </row>
    <row r="3046" spans="1:18" x14ac:dyDescent="0.25">
      <c r="A3046">
        <v>2018</v>
      </c>
      <c r="B3046">
        <v>9</v>
      </c>
      <c r="C3046" s="1" t="s">
        <v>32</v>
      </c>
      <c r="D3046" s="1" t="s">
        <v>19</v>
      </c>
      <c r="E3046" s="1" t="s">
        <v>36</v>
      </c>
      <c r="F3046">
        <v>2000</v>
      </c>
      <c r="G3046">
        <v>18</v>
      </c>
      <c r="H3046" s="1" t="s">
        <v>124</v>
      </c>
      <c r="I3046">
        <v>24</v>
      </c>
      <c r="J3046">
        <v>1675</v>
      </c>
      <c r="K3046" s="1" t="s">
        <v>37</v>
      </c>
      <c r="L3046" s="1" t="s">
        <v>23</v>
      </c>
      <c r="M3046">
        <v>0.56299999999999994</v>
      </c>
      <c r="N3046">
        <v>13502.9</v>
      </c>
      <c r="O3046">
        <v>13.503</v>
      </c>
      <c r="P3046" s="2">
        <v>43344</v>
      </c>
      <c r="Q3046">
        <v>1</v>
      </c>
      <c r="R3046" s="1" t="s">
        <v>125</v>
      </c>
    </row>
    <row r="3047" spans="1:18" x14ac:dyDescent="0.25">
      <c r="A3047">
        <v>2018</v>
      </c>
      <c r="B3047">
        <v>10</v>
      </c>
      <c r="C3047" s="1" t="s">
        <v>33</v>
      </c>
      <c r="D3047" s="1" t="s">
        <v>19</v>
      </c>
      <c r="E3047" s="1" t="s">
        <v>36</v>
      </c>
      <c r="F3047">
        <v>2000</v>
      </c>
      <c r="G3047">
        <v>18</v>
      </c>
      <c r="H3047" s="1" t="s">
        <v>124</v>
      </c>
      <c r="I3047">
        <v>24</v>
      </c>
      <c r="J3047">
        <v>1675</v>
      </c>
      <c r="K3047" s="1" t="s">
        <v>37</v>
      </c>
      <c r="L3047" s="1" t="s">
        <v>23</v>
      </c>
      <c r="M3047">
        <v>0.78200000000000003</v>
      </c>
      <c r="N3047">
        <v>18776.8</v>
      </c>
      <c r="O3047">
        <v>18.777000000000001</v>
      </c>
      <c r="P3047" s="2">
        <v>43374</v>
      </c>
      <c r="Q3047">
        <v>1</v>
      </c>
      <c r="R3047" s="1" t="s">
        <v>125</v>
      </c>
    </row>
    <row r="3048" spans="1:18" x14ac:dyDescent="0.25">
      <c r="A3048">
        <v>2018</v>
      </c>
      <c r="B3048">
        <v>11</v>
      </c>
      <c r="C3048" s="1" t="s">
        <v>34</v>
      </c>
      <c r="D3048" s="1" t="s">
        <v>19</v>
      </c>
      <c r="E3048" s="1" t="s">
        <v>36</v>
      </c>
      <c r="F3048">
        <v>2000</v>
      </c>
      <c r="G3048">
        <v>18</v>
      </c>
      <c r="H3048" s="1" t="s">
        <v>124</v>
      </c>
      <c r="I3048">
        <v>24</v>
      </c>
      <c r="J3048">
        <v>1675</v>
      </c>
      <c r="K3048" s="1" t="s">
        <v>37</v>
      </c>
      <c r="L3048" s="1" t="s">
        <v>23</v>
      </c>
      <c r="M3048">
        <v>0.52300000000000002</v>
      </c>
      <c r="N3048">
        <v>12548.1</v>
      </c>
      <c r="O3048">
        <v>12.548</v>
      </c>
      <c r="P3048" s="2">
        <v>43405</v>
      </c>
      <c r="Q3048">
        <v>1</v>
      </c>
      <c r="R3048" s="1" t="s">
        <v>125</v>
      </c>
    </row>
    <row r="3049" spans="1:18" x14ac:dyDescent="0.25">
      <c r="A3049">
        <v>2018</v>
      </c>
      <c r="B3049">
        <v>12</v>
      </c>
      <c r="C3049" s="1" t="s">
        <v>35</v>
      </c>
      <c r="D3049" s="1" t="s">
        <v>19</v>
      </c>
      <c r="E3049" s="1" t="s">
        <v>36</v>
      </c>
      <c r="F3049">
        <v>2000</v>
      </c>
      <c r="G3049">
        <v>18</v>
      </c>
      <c r="H3049" s="1" t="s">
        <v>124</v>
      </c>
      <c r="I3049">
        <v>24</v>
      </c>
      <c r="J3049">
        <v>1675</v>
      </c>
      <c r="K3049" s="1" t="s">
        <v>37</v>
      </c>
      <c r="L3049" s="1" t="s">
        <v>23</v>
      </c>
      <c r="M3049">
        <v>0.76800000000000002</v>
      </c>
      <c r="N3049">
        <v>18435.8</v>
      </c>
      <c r="O3049">
        <v>18.436</v>
      </c>
      <c r="P3049" s="2">
        <v>43435</v>
      </c>
      <c r="Q3049">
        <v>1</v>
      </c>
      <c r="R3049" s="1" t="s">
        <v>125</v>
      </c>
    </row>
    <row r="3050" spans="1:18" x14ac:dyDescent="0.25">
      <c r="A3050">
        <v>2018</v>
      </c>
      <c r="B3050">
        <v>1</v>
      </c>
      <c r="C3050" s="1" t="s">
        <v>18</v>
      </c>
      <c r="D3050" s="1" t="s">
        <v>19</v>
      </c>
      <c r="E3050" s="1" t="s">
        <v>38</v>
      </c>
      <c r="F3050">
        <v>2005</v>
      </c>
      <c r="G3050">
        <v>13</v>
      </c>
      <c r="H3050" s="1" t="s">
        <v>21</v>
      </c>
      <c r="I3050">
        <v>18</v>
      </c>
      <c r="J3050">
        <v>1922</v>
      </c>
      <c r="K3050" s="1" t="s">
        <v>39</v>
      </c>
      <c r="L3050" s="1" t="s">
        <v>23</v>
      </c>
      <c r="M3050">
        <v>0.80700000000000005</v>
      </c>
      <c r="N3050">
        <v>14530.3</v>
      </c>
      <c r="O3050">
        <v>14.53</v>
      </c>
      <c r="P3050" s="2">
        <v>43101</v>
      </c>
      <c r="Q3050">
        <v>1</v>
      </c>
      <c r="R3050" s="1" t="s">
        <v>24</v>
      </c>
    </row>
    <row r="3051" spans="1:18" x14ac:dyDescent="0.25">
      <c r="A3051">
        <v>2018</v>
      </c>
      <c r="B3051">
        <v>2</v>
      </c>
      <c r="C3051" s="1" t="s">
        <v>25</v>
      </c>
      <c r="D3051" s="1" t="s">
        <v>19</v>
      </c>
      <c r="E3051" s="1" t="s">
        <v>38</v>
      </c>
      <c r="F3051">
        <v>2005</v>
      </c>
      <c r="G3051">
        <v>13</v>
      </c>
      <c r="H3051" s="1" t="s">
        <v>21</v>
      </c>
      <c r="I3051">
        <v>18</v>
      </c>
      <c r="J3051">
        <v>1922</v>
      </c>
      <c r="K3051" s="1" t="s">
        <v>39</v>
      </c>
      <c r="L3051" s="1" t="s">
        <v>23</v>
      </c>
      <c r="M3051">
        <v>0.75800000000000001</v>
      </c>
      <c r="N3051">
        <v>13636.6</v>
      </c>
      <c r="O3051">
        <v>13.637</v>
      </c>
      <c r="P3051" s="2">
        <v>43132</v>
      </c>
      <c r="Q3051">
        <v>1</v>
      </c>
      <c r="R3051" s="1" t="s">
        <v>24</v>
      </c>
    </row>
    <row r="3052" spans="1:18" x14ac:dyDescent="0.25">
      <c r="A3052">
        <v>2018</v>
      </c>
      <c r="B3052">
        <v>3</v>
      </c>
      <c r="C3052" s="1" t="s">
        <v>26</v>
      </c>
      <c r="D3052" s="1" t="s">
        <v>19</v>
      </c>
      <c r="E3052" s="1" t="s">
        <v>38</v>
      </c>
      <c r="F3052">
        <v>2005</v>
      </c>
      <c r="G3052">
        <v>13</v>
      </c>
      <c r="H3052" s="1" t="s">
        <v>21</v>
      </c>
      <c r="I3052">
        <v>18</v>
      </c>
      <c r="J3052">
        <v>1922</v>
      </c>
      <c r="K3052" s="1" t="s">
        <v>39</v>
      </c>
      <c r="L3052" s="1" t="s">
        <v>23</v>
      </c>
      <c r="M3052">
        <v>1.0549999999999999</v>
      </c>
      <c r="N3052">
        <v>18984.599999999999</v>
      </c>
      <c r="O3052">
        <v>18.984999999999999</v>
      </c>
      <c r="P3052" s="2">
        <v>43160</v>
      </c>
      <c r="Q3052">
        <v>1</v>
      </c>
      <c r="R3052" s="1" t="s">
        <v>24</v>
      </c>
    </row>
    <row r="3053" spans="1:18" x14ac:dyDescent="0.25">
      <c r="A3053">
        <v>2018</v>
      </c>
      <c r="B3053">
        <v>4</v>
      </c>
      <c r="C3053" s="1" t="s">
        <v>27</v>
      </c>
      <c r="D3053" s="1" t="s">
        <v>19</v>
      </c>
      <c r="E3053" s="1" t="s">
        <v>38</v>
      </c>
      <c r="F3053">
        <v>2005</v>
      </c>
      <c r="G3053">
        <v>13</v>
      </c>
      <c r="H3053" s="1" t="s">
        <v>21</v>
      </c>
      <c r="I3053">
        <v>18</v>
      </c>
      <c r="J3053">
        <v>1922</v>
      </c>
      <c r="K3053" s="1" t="s">
        <v>39</v>
      </c>
      <c r="L3053" s="1" t="s">
        <v>23</v>
      </c>
      <c r="M3053">
        <v>0.93500000000000005</v>
      </c>
      <c r="N3053">
        <v>16836.7</v>
      </c>
      <c r="O3053">
        <v>16.837</v>
      </c>
      <c r="P3053" s="2">
        <v>43191</v>
      </c>
      <c r="Q3053">
        <v>1</v>
      </c>
      <c r="R3053" s="1" t="s">
        <v>24</v>
      </c>
    </row>
    <row r="3054" spans="1:18" x14ac:dyDescent="0.25">
      <c r="A3054">
        <v>2018</v>
      </c>
      <c r="B3054">
        <v>5</v>
      </c>
      <c r="C3054" s="1" t="s">
        <v>28</v>
      </c>
      <c r="D3054" s="1" t="s">
        <v>19</v>
      </c>
      <c r="E3054" s="1" t="s">
        <v>38</v>
      </c>
      <c r="F3054">
        <v>2005</v>
      </c>
      <c r="G3054">
        <v>13</v>
      </c>
      <c r="H3054" s="1" t="s">
        <v>21</v>
      </c>
      <c r="I3054">
        <v>18</v>
      </c>
      <c r="J3054">
        <v>1922</v>
      </c>
      <c r="K3054" s="1" t="s">
        <v>39</v>
      </c>
      <c r="L3054" s="1" t="s">
        <v>23</v>
      </c>
      <c r="M3054">
        <v>1.2</v>
      </c>
      <c r="N3054">
        <v>21608.1</v>
      </c>
      <c r="O3054">
        <v>21.608000000000001</v>
      </c>
      <c r="P3054" s="2">
        <v>43221</v>
      </c>
      <c r="Q3054">
        <v>1</v>
      </c>
      <c r="R3054" s="1" t="s">
        <v>24</v>
      </c>
    </row>
    <row r="3055" spans="1:18" x14ac:dyDescent="0.25">
      <c r="A3055">
        <v>2018</v>
      </c>
      <c r="B3055">
        <v>6</v>
      </c>
      <c r="C3055" s="1" t="s">
        <v>29</v>
      </c>
      <c r="D3055" s="1" t="s">
        <v>19</v>
      </c>
      <c r="E3055" s="1" t="s">
        <v>38</v>
      </c>
      <c r="F3055">
        <v>2005</v>
      </c>
      <c r="G3055">
        <v>13</v>
      </c>
      <c r="H3055" s="1" t="s">
        <v>21</v>
      </c>
      <c r="I3055">
        <v>18</v>
      </c>
      <c r="J3055">
        <v>1922</v>
      </c>
      <c r="K3055" s="1" t="s">
        <v>39</v>
      </c>
      <c r="L3055" s="1" t="s">
        <v>23</v>
      </c>
      <c r="M3055">
        <v>0.81100000000000005</v>
      </c>
      <c r="N3055">
        <v>14602.4</v>
      </c>
      <c r="O3055">
        <v>14.602</v>
      </c>
      <c r="P3055" s="2">
        <v>43252</v>
      </c>
      <c r="Q3055">
        <v>1</v>
      </c>
      <c r="R3055" s="1" t="s">
        <v>24</v>
      </c>
    </row>
    <row r="3056" spans="1:18" x14ac:dyDescent="0.25">
      <c r="A3056">
        <v>2018</v>
      </c>
      <c r="B3056">
        <v>7</v>
      </c>
      <c r="C3056" s="1" t="s">
        <v>30</v>
      </c>
      <c r="D3056" s="1" t="s">
        <v>19</v>
      </c>
      <c r="E3056" s="1" t="s">
        <v>38</v>
      </c>
      <c r="F3056">
        <v>2005</v>
      </c>
      <c r="G3056">
        <v>13</v>
      </c>
      <c r="H3056" s="1" t="s">
        <v>21</v>
      </c>
      <c r="I3056">
        <v>18</v>
      </c>
      <c r="J3056">
        <v>1922</v>
      </c>
      <c r="K3056" s="1" t="s">
        <v>39</v>
      </c>
      <c r="L3056" s="1" t="s">
        <v>23</v>
      </c>
      <c r="M3056">
        <v>1.127</v>
      </c>
      <c r="N3056">
        <v>20281.900000000001</v>
      </c>
      <c r="O3056">
        <v>20.282</v>
      </c>
      <c r="P3056" s="2">
        <v>43282</v>
      </c>
      <c r="Q3056">
        <v>1</v>
      </c>
      <c r="R3056" s="1" t="s">
        <v>24</v>
      </c>
    </row>
    <row r="3057" spans="1:18" x14ac:dyDescent="0.25">
      <c r="A3057">
        <v>2018</v>
      </c>
      <c r="B3057">
        <v>8</v>
      </c>
      <c r="C3057" s="1" t="s">
        <v>31</v>
      </c>
      <c r="D3057" s="1" t="s">
        <v>19</v>
      </c>
      <c r="E3057" s="1" t="s">
        <v>38</v>
      </c>
      <c r="F3057">
        <v>2005</v>
      </c>
      <c r="G3057">
        <v>13</v>
      </c>
      <c r="H3057" s="1" t="s">
        <v>21</v>
      </c>
      <c r="I3057">
        <v>18</v>
      </c>
      <c r="J3057">
        <v>1922</v>
      </c>
      <c r="K3057" s="1" t="s">
        <v>39</v>
      </c>
      <c r="L3057" s="1" t="s">
        <v>23</v>
      </c>
      <c r="M3057">
        <v>1.2769999999999999</v>
      </c>
      <c r="N3057">
        <v>22991.9</v>
      </c>
      <c r="O3057">
        <v>22.992000000000001</v>
      </c>
      <c r="P3057" s="2">
        <v>43313</v>
      </c>
      <c r="Q3057">
        <v>1</v>
      </c>
      <c r="R3057" s="1" t="s">
        <v>24</v>
      </c>
    </row>
    <row r="3058" spans="1:18" x14ac:dyDescent="0.25">
      <c r="A3058">
        <v>2018</v>
      </c>
      <c r="B3058">
        <v>9</v>
      </c>
      <c r="C3058" s="1" t="s">
        <v>32</v>
      </c>
      <c r="D3058" s="1" t="s">
        <v>19</v>
      </c>
      <c r="E3058" s="1" t="s">
        <v>38</v>
      </c>
      <c r="F3058">
        <v>2005</v>
      </c>
      <c r="G3058">
        <v>13</v>
      </c>
      <c r="H3058" s="1" t="s">
        <v>21</v>
      </c>
      <c r="I3058">
        <v>18</v>
      </c>
      <c r="J3058">
        <v>1922</v>
      </c>
      <c r="K3058" s="1" t="s">
        <v>39</v>
      </c>
      <c r="L3058" s="1" t="s">
        <v>23</v>
      </c>
      <c r="M3058">
        <v>0.95099999999999996</v>
      </c>
      <c r="N3058">
        <v>17125</v>
      </c>
      <c r="O3058">
        <v>17.125</v>
      </c>
      <c r="P3058" s="2">
        <v>43344</v>
      </c>
      <c r="Q3058">
        <v>1</v>
      </c>
      <c r="R3058" s="1" t="s">
        <v>24</v>
      </c>
    </row>
    <row r="3059" spans="1:18" x14ac:dyDescent="0.25">
      <c r="A3059">
        <v>2018</v>
      </c>
      <c r="B3059">
        <v>10</v>
      </c>
      <c r="C3059" s="1" t="s">
        <v>33</v>
      </c>
      <c r="D3059" s="1" t="s">
        <v>19</v>
      </c>
      <c r="E3059" s="1" t="s">
        <v>38</v>
      </c>
      <c r="F3059">
        <v>2005</v>
      </c>
      <c r="G3059">
        <v>13</v>
      </c>
      <c r="H3059" s="1" t="s">
        <v>21</v>
      </c>
      <c r="I3059">
        <v>18</v>
      </c>
      <c r="J3059">
        <v>1922</v>
      </c>
      <c r="K3059" s="1" t="s">
        <v>39</v>
      </c>
      <c r="L3059" s="1" t="s">
        <v>23</v>
      </c>
      <c r="M3059">
        <v>1.323</v>
      </c>
      <c r="N3059">
        <v>23813.599999999999</v>
      </c>
      <c r="O3059">
        <v>23.814</v>
      </c>
      <c r="P3059" s="2">
        <v>43374</v>
      </c>
      <c r="Q3059">
        <v>1</v>
      </c>
      <c r="R3059" s="1" t="s">
        <v>24</v>
      </c>
    </row>
    <row r="3060" spans="1:18" x14ac:dyDescent="0.25">
      <c r="A3060">
        <v>2018</v>
      </c>
      <c r="B3060">
        <v>11</v>
      </c>
      <c r="C3060" s="1" t="s">
        <v>34</v>
      </c>
      <c r="D3060" s="1" t="s">
        <v>19</v>
      </c>
      <c r="E3060" s="1" t="s">
        <v>38</v>
      </c>
      <c r="F3060">
        <v>2005</v>
      </c>
      <c r="G3060">
        <v>13</v>
      </c>
      <c r="H3060" s="1" t="s">
        <v>21</v>
      </c>
      <c r="I3060">
        <v>18</v>
      </c>
      <c r="J3060">
        <v>1922</v>
      </c>
      <c r="K3060" s="1" t="s">
        <v>39</v>
      </c>
      <c r="L3060" s="1" t="s">
        <v>23</v>
      </c>
      <c r="M3060">
        <v>0.88400000000000001</v>
      </c>
      <c r="N3060">
        <v>15914.2</v>
      </c>
      <c r="O3060">
        <v>15.914</v>
      </c>
      <c r="P3060" s="2">
        <v>43405</v>
      </c>
      <c r="Q3060">
        <v>1</v>
      </c>
      <c r="R3060" s="1" t="s">
        <v>24</v>
      </c>
    </row>
    <row r="3061" spans="1:18" x14ac:dyDescent="0.25">
      <c r="A3061">
        <v>2018</v>
      </c>
      <c r="B3061">
        <v>12</v>
      </c>
      <c r="C3061" s="1" t="s">
        <v>35</v>
      </c>
      <c r="D3061" s="1" t="s">
        <v>19</v>
      </c>
      <c r="E3061" s="1" t="s">
        <v>38</v>
      </c>
      <c r="F3061">
        <v>2005</v>
      </c>
      <c r="G3061">
        <v>13</v>
      </c>
      <c r="H3061" s="1" t="s">
        <v>21</v>
      </c>
      <c r="I3061">
        <v>18</v>
      </c>
      <c r="J3061">
        <v>1922</v>
      </c>
      <c r="K3061" s="1" t="s">
        <v>39</v>
      </c>
      <c r="L3061" s="1" t="s">
        <v>23</v>
      </c>
      <c r="M3061">
        <v>1.2989999999999999</v>
      </c>
      <c r="N3061">
        <v>23381.1</v>
      </c>
      <c r="O3061">
        <v>23.381</v>
      </c>
      <c r="P3061" s="2">
        <v>43435</v>
      </c>
      <c r="Q3061">
        <v>1</v>
      </c>
      <c r="R3061" s="1" t="s">
        <v>24</v>
      </c>
    </row>
    <row r="3062" spans="1:18" x14ac:dyDescent="0.25">
      <c r="A3062">
        <v>2018</v>
      </c>
      <c r="B3062">
        <v>1</v>
      </c>
      <c r="C3062" s="1" t="s">
        <v>18</v>
      </c>
      <c r="D3062" s="1" t="s">
        <v>19</v>
      </c>
      <c r="E3062" s="1" t="s">
        <v>41</v>
      </c>
      <c r="F3062">
        <v>2005</v>
      </c>
      <c r="G3062">
        <v>13</v>
      </c>
      <c r="H3062" s="1" t="s">
        <v>21</v>
      </c>
      <c r="I3062">
        <v>26</v>
      </c>
      <c r="J3062">
        <v>2827</v>
      </c>
      <c r="K3062" s="1" t="s">
        <v>42</v>
      </c>
      <c r="L3062" s="1" t="s">
        <v>23</v>
      </c>
      <c r="M3062">
        <v>0.82199999999999995</v>
      </c>
      <c r="N3062">
        <v>21372.1</v>
      </c>
      <c r="O3062">
        <v>21.372</v>
      </c>
      <c r="P3062" s="2">
        <v>43101</v>
      </c>
      <c r="Q3062">
        <v>1</v>
      </c>
      <c r="R3062" s="1" t="s">
        <v>24</v>
      </c>
    </row>
    <row r="3063" spans="1:18" x14ac:dyDescent="0.25">
      <c r="A3063">
        <v>2018</v>
      </c>
      <c r="B3063">
        <v>2</v>
      </c>
      <c r="C3063" s="1" t="s">
        <v>25</v>
      </c>
      <c r="D3063" s="1" t="s">
        <v>19</v>
      </c>
      <c r="E3063" s="1" t="s">
        <v>41</v>
      </c>
      <c r="F3063">
        <v>2005</v>
      </c>
      <c r="G3063">
        <v>13</v>
      </c>
      <c r="H3063" s="1" t="s">
        <v>21</v>
      </c>
      <c r="I3063">
        <v>26</v>
      </c>
      <c r="J3063">
        <v>2827</v>
      </c>
      <c r="K3063" s="1" t="s">
        <v>42</v>
      </c>
      <c r="L3063" s="1" t="s">
        <v>23</v>
      </c>
      <c r="M3063">
        <v>0.77100000000000002</v>
      </c>
      <c r="N3063">
        <v>20057.599999999999</v>
      </c>
      <c r="O3063">
        <v>20.058</v>
      </c>
      <c r="P3063" s="2">
        <v>43132</v>
      </c>
      <c r="Q3063">
        <v>1</v>
      </c>
      <c r="R3063" s="1" t="s">
        <v>24</v>
      </c>
    </row>
    <row r="3064" spans="1:18" x14ac:dyDescent="0.25">
      <c r="A3064">
        <v>2018</v>
      </c>
      <c r="B3064">
        <v>3</v>
      </c>
      <c r="C3064" s="1" t="s">
        <v>26</v>
      </c>
      <c r="D3064" s="1" t="s">
        <v>19</v>
      </c>
      <c r="E3064" s="1" t="s">
        <v>41</v>
      </c>
      <c r="F3064">
        <v>2005</v>
      </c>
      <c r="G3064">
        <v>13</v>
      </c>
      <c r="H3064" s="1" t="s">
        <v>21</v>
      </c>
      <c r="I3064">
        <v>26</v>
      </c>
      <c r="J3064">
        <v>2827</v>
      </c>
      <c r="K3064" s="1" t="s">
        <v>42</v>
      </c>
      <c r="L3064" s="1" t="s">
        <v>23</v>
      </c>
      <c r="M3064">
        <v>1.0740000000000001</v>
      </c>
      <c r="N3064">
        <v>27923.7</v>
      </c>
      <c r="O3064">
        <v>27.923999999999999</v>
      </c>
      <c r="P3064" s="2">
        <v>43160</v>
      </c>
      <c r="Q3064">
        <v>1</v>
      </c>
      <c r="R3064" s="1" t="s">
        <v>24</v>
      </c>
    </row>
    <row r="3065" spans="1:18" x14ac:dyDescent="0.25">
      <c r="A3065">
        <v>2018</v>
      </c>
      <c r="B3065">
        <v>4</v>
      </c>
      <c r="C3065" s="1" t="s">
        <v>27</v>
      </c>
      <c r="D3065" s="1" t="s">
        <v>19</v>
      </c>
      <c r="E3065" s="1" t="s">
        <v>41</v>
      </c>
      <c r="F3065">
        <v>2005</v>
      </c>
      <c r="G3065">
        <v>13</v>
      </c>
      <c r="H3065" s="1" t="s">
        <v>21</v>
      </c>
      <c r="I3065">
        <v>26</v>
      </c>
      <c r="J3065">
        <v>2827</v>
      </c>
      <c r="K3065" s="1" t="s">
        <v>42</v>
      </c>
      <c r="L3065" s="1" t="s">
        <v>23</v>
      </c>
      <c r="M3065">
        <v>0.95199999999999996</v>
      </c>
      <c r="N3065">
        <v>24764.5</v>
      </c>
      <c r="O3065">
        <v>24.765000000000001</v>
      </c>
      <c r="P3065" s="2">
        <v>43191</v>
      </c>
      <c r="Q3065">
        <v>1</v>
      </c>
      <c r="R3065" s="1" t="s">
        <v>24</v>
      </c>
    </row>
    <row r="3066" spans="1:18" x14ac:dyDescent="0.25">
      <c r="A3066">
        <v>2018</v>
      </c>
      <c r="B3066">
        <v>5</v>
      </c>
      <c r="C3066" s="1" t="s">
        <v>28</v>
      </c>
      <c r="D3066" s="1" t="s">
        <v>19</v>
      </c>
      <c r="E3066" s="1" t="s">
        <v>41</v>
      </c>
      <c r="F3066">
        <v>2005</v>
      </c>
      <c r="G3066">
        <v>13</v>
      </c>
      <c r="H3066" s="1" t="s">
        <v>21</v>
      </c>
      <c r="I3066">
        <v>26</v>
      </c>
      <c r="J3066">
        <v>2827</v>
      </c>
      <c r="K3066" s="1" t="s">
        <v>42</v>
      </c>
      <c r="L3066" s="1" t="s">
        <v>23</v>
      </c>
      <c r="M3066">
        <v>1.222</v>
      </c>
      <c r="N3066">
        <v>31782.5</v>
      </c>
      <c r="O3066">
        <v>31.783000000000001</v>
      </c>
      <c r="P3066" s="2">
        <v>43221</v>
      </c>
      <c r="Q3066">
        <v>1</v>
      </c>
      <c r="R3066" s="1" t="s">
        <v>24</v>
      </c>
    </row>
    <row r="3067" spans="1:18" x14ac:dyDescent="0.25">
      <c r="A3067">
        <v>2018</v>
      </c>
      <c r="B3067">
        <v>6</v>
      </c>
      <c r="C3067" s="1" t="s">
        <v>29</v>
      </c>
      <c r="D3067" s="1" t="s">
        <v>19</v>
      </c>
      <c r="E3067" s="1" t="s">
        <v>41</v>
      </c>
      <c r="F3067">
        <v>2005</v>
      </c>
      <c r="G3067">
        <v>13</v>
      </c>
      <c r="H3067" s="1" t="s">
        <v>21</v>
      </c>
      <c r="I3067">
        <v>26</v>
      </c>
      <c r="J3067">
        <v>2827</v>
      </c>
      <c r="K3067" s="1" t="s">
        <v>42</v>
      </c>
      <c r="L3067" s="1" t="s">
        <v>23</v>
      </c>
      <c r="M3067">
        <v>0.82599999999999996</v>
      </c>
      <c r="N3067">
        <v>21478.1</v>
      </c>
      <c r="O3067">
        <v>21.478000000000002</v>
      </c>
      <c r="P3067" s="2">
        <v>43252</v>
      </c>
      <c r="Q3067">
        <v>1</v>
      </c>
      <c r="R3067" s="1" t="s">
        <v>24</v>
      </c>
    </row>
    <row r="3068" spans="1:18" x14ac:dyDescent="0.25">
      <c r="A3068">
        <v>2018</v>
      </c>
      <c r="B3068">
        <v>7</v>
      </c>
      <c r="C3068" s="1" t="s">
        <v>30</v>
      </c>
      <c r="D3068" s="1" t="s">
        <v>19</v>
      </c>
      <c r="E3068" s="1" t="s">
        <v>41</v>
      </c>
      <c r="F3068">
        <v>2005</v>
      </c>
      <c r="G3068">
        <v>13</v>
      </c>
      <c r="H3068" s="1" t="s">
        <v>21</v>
      </c>
      <c r="I3068">
        <v>26</v>
      </c>
      <c r="J3068">
        <v>2827</v>
      </c>
      <c r="K3068" s="1" t="s">
        <v>42</v>
      </c>
      <c r="L3068" s="1" t="s">
        <v>23</v>
      </c>
      <c r="M3068">
        <v>1.147</v>
      </c>
      <c r="N3068">
        <v>29831.9</v>
      </c>
      <c r="O3068">
        <v>29.832000000000001</v>
      </c>
      <c r="P3068" s="2">
        <v>43282</v>
      </c>
      <c r="Q3068">
        <v>1</v>
      </c>
      <c r="R3068" s="1" t="s">
        <v>24</v>
      </c>
    </row>
    <row r="3069" spans="1:18" x14ac:dyDescent="0.25">
      <c r="A3069">
        <v>2018</v>
      </c>
      <c r="B3069">
        <v>8</v>
      </c>
      <c r="C3069" s="1" t="s">
        <v>31</v>
      </c>
      <c r="D3069" s="1" t="s">
        <v>19</v>
      </c>
      <c r="E3069" s="1" t="s">
        <v>41</v>
      </c>
      <c r="F3069">
        <v>2005</v>
      </c>
      <c r="G3069">
        <v>13</v>
      </c>
      <c r="H3069" s="1" t="s">
        <v>21</v>
      </c>
      <c r="I3069">
        <v>26</v>
      </c>
      <c r="J3069">
        <v>2827</v>
      </c>
      <c r="K3069" s="1" t="s">
        <v>42</v>
      </c>
      <c r="L3069" s="1" t="s">
        <v>23</v>
      </c>
      <c r="M3069">
        <v>1.3009999999999999</v>
      </c>
      <c r="N3069">
        <v>33818</v>
      </c>
      <c r="O3069">
        <v>33.817999999999998</v>
      </c>
      <c r="P3069" s="2">
        <v>43313</v>
      </c>
      <c r="Q3069">
        <v>1</v>
      </c>
      <c r="R3069" s="1" t="s">
        <v>24</v>
      </c>
    </row>
    <row r="3070" spans="1:18" x14ac:dyDescent="0.25">
      <c r="A3070">
        <v>2018</v>
      </c>
      <c r="B3070">
        <v>9</v>
      </c>
      <c r="C3070" s="1" t="s">
        <v>32</v>
      </c>
      <c r="D3070" s="1" t="s">
        <v>19</v>
      </c>
      <c r="E3070" s="1" t="s">
        <v>41</v>
      </c>
      <c r="F3070">
        <v>2005</v>
      </c>
      <c r="G3070">
        <v>13</v>
      </c>
      <c r="H3070" s="1" t="s">
        <v>21</v>
      </c>
      <c r="I3070">
        <v>26</v>
      </c>
      <c r="J3070">
        <v>2827</v>
      </c>
      <c r="K3070" s="1" t="s">
        <v>42</v>
      </c>
      <c r="L3070" s="1" t="s">
        <v>23</v>
      </c>
      <c r="M3070">
        <v>0.96899999999999997</v>
      </c>
      <c r="N3070">
        <v>25188.6</v>
      </c>
      <c r="O3070">
        <v>25.189</v>
      </c>
      <c r="P3070" s="2">
        <v>43344</v>
      </c>
      <c r="Q3070">
        <v>1</v>
      </c>
      <c r="R3070" s="1" t="s">
        <v>24</v>
      </c>
    </row>
    <row r="3071" spans="1:18" x14ac:dyDescent="0.25">
      <c r="A3071">
        <v>2018</v>
      </c>
      <c r="B3071">
        <v>10</v>
      </c>
      <c r="C3071" s="1" t="s">
        <v>33</v>
      </c>
      <c r="D3071" s="1" t="s">
        <v>19</v>
      </c>
      <c r="E3071" s="1" t="s">
        <v>41</v>
      </c>
      <c r="F3071">
        <v>2005</v>
      </c>
      <c r="G3071">
        <v>13</v>
      </c>
      <c r="H3071" s="1" t="s">
        <v>21</v>
      </c>
      <c r="I3071">
        <v>26</v>
      </c>
      <c r="J3071">
        <v>2827</v>
      </c>
      <c r="K3071" s="1" t="s">
        <v>42</v>
      </c>
      <c r="L3071" s="1" t="s">
        <v>23</v>
      </c>
      <c r="M3071">
        <v>1.347</v>
      </c>
      <c r="N3071">
        <v>35026.5</v>
      </c>
      <c r="O3071">
        <v>35.027000000000001</v>
      </c>
      <c r="P3071" s="2">
        <v>43374</v>
      </c>
      <c r="Q3071">
        <v>1</v>
      </c>
      <c r="R3071" s="1" t="s">
        <v>24</v>
      </c>
    </row>
    <row r="3072" spans="1:18" x14ac:dyDescent="0.25">
      <c r="A3072">
        <v>2018</v>
      </c>
      <c r="B3072">
        <v>11</v>
      </c>
      <c r="C3072" s="1" t="s">
        <v>34</v>
      </c>
      <c r="D3072" s="1" t="s">
        <v>19</v>
      </c>
      <c r="E3072" s="1" t="s">
        <v>41</v>
      </c>
      <c r="F3072">
        <v>2005</v>
      </c>
      <c r="G3072">
        <v>13</v>
      </c>
      <c r="H3072" s="1" t="s">
        <v>21</v>
      </c>
      <c r="I3072">
        <v>26</v>
      </c>
      <c r="J3072">
        <v>2827</v>
      </c>
      <c r="K3072" s="1" t="s">
        <v>42</v>
      </c>
      <c r="L3072" s="1" t="s">
        <v>23</v>
      </c>
      <c r="M3072">
        <v>0.9</v>
      </c>
      <c r="N3072">
        <v>23407.599999999999</v>
      </c>
      <c r="O3072">
        <v>23.408000000000001</v>
      </c>
      <c r="P3072" s="2">
        <v>43405</v>
      </c>
      <c r="Q3072">
        <v>1</v>
      </c>
      <c r="R3072" s="1" t="s">
        <v>24</v>
      </c>
    </row>
    <row r="3073" spans="1:18" x14ac:dyDescent="0.25">
      <c r="A3073">
        <v>2018</v>
      </c>
      <c r="B3073">
        <v>12</v>
      </c>
      <c r="C3073" s="1" t="s">
        <v>35</v>
      </c>
      <c r="D3073" s="1" t="s">
        <v>19</v>
      </c>
      <c r="E3073" s="1" t="s">
        <v>41</v>
      </c>
      <c r="F3073">
        <v>2005</v>
      </c>
      <c r="G3073">
        <v>13</v>
      </c>
      <c r="H3073" s="1" t="s">
        <v>21</v>
      </c>
      <c r="I3073">
        <v>26</v>
      </c>
      <c r="J3073">
        <v>2827</v>
      </c>
      <c r="K3073" s="1" t="s">
        <v>42</v>
      </c>
      <c r="L3073" s="1" t="s">
        <v>23</v>
      </c>
      <c r="M3073">
        <v>1.323</v>
      </c>
      <c r="N3073">
        <v>34390.5</v>
      </c>
      <c r="O3073">
        <v>34.39</v>
      </c>
      <c r="P3073" s="2">
        <v>43435</v>
      </c>
      <c r="Q3073">
        <v>1</v>
      </c>
      <c r="R3073" s="1" t="s">
        <v>24</v>
      </c>
    </row>
    <row r="3074" spans="1:18" x14ac:dyDescent="0.25">
      <c r="A3074">
        <v>2018</v>
      </c>
      <c r="B3074">
        <v>1</v>
      </c>
      <c r="C3074" s="1" t="s">
        <v>18</v>
      </c>
      <c r="D3074" s="1" t="s">
        <v>19</v>
      </c>
      <c r="E3074" s="1" t="s">
        <v>43</v>
      </c>
      <c r="F3074">
        <v>2005</v>
      </c>
      <c r="G3074">
        <v>13</v>
      </c>
      <c r="H3074" s="1" t="s">
        <v>21</v>
      </c>
      <c r="I3074">
        <v>24</v>
      </c>
      <c r="J3074">
        <v>1947</v>
      </c>
      <c r="K3074" s="1" t="s">
        <v>44</v>
      </c>
      <c r="L3074" s="1" t="s">
        <v>45</v>
      </c>
      <c r="M3074">
        <v>0.77100000000000002</v>
      </c>
      <c r="N3074">
        <v>18506.900000000001</v>
      </c>
      <c r="O3074">
        <v>18.507000000000001</v>
      </c>
      <c r="P3074" s="2">
        <v>43101</v>
      </c>
      <c r="Q3074">
        <v>1</v>
      </c>
      <c r="R3074" s="1" t="s">
        <v>24</v>
      </c>
    </row>
    <row r="3075" spans="1:18" x14ac:dyDescent="0.25">
      <c r="A3075">
        <v>2018</v>
      </c>
      <c r="B3075">
        <v>2</v>
      </c>
      <c r="C3075" s="1" t="s">
        <v>25</v>
      </c>
      <c r="D3075" s="1" t="s">
        <v>19</v>
      </c>
      <c r="E3075" s="1" t="s">
        <v>43</v>
      </c>
      <c r="F3075">
        <v>2005</v>
      </c>
      <c r="G3075">
        <v>13</v>
      </c>
      <c r="H3075" s="1" t="s">
        <v>21</v>
      </c>
      <c r="I3075">
        <v>24</v>
      </c>
      <c r="J3075">
        <v>1947</v>
      </c>
      <c r="K3075" s="1" t="s">
        <v>44</v>
      </c>
      <c r="L3075" s="1" t="s">
        <v>45</v>
      </c>
      <c r="M3075">
        <v>0.72399999999999998</v>
      </c>
      <c r="N3075">
        <v>17368.599999999999</v>
      </c>
      <c r="O3075">
        <v>17.369</v>
      </c>
      <c r="P3075" s="2">
        <v>43132</v>
      </c>
      <c r="Q3075">
        <v>1</v>
      </c>
      <c r="R3075" s="1" t="s">
        <v>24</v>
      </c>
    </row>
    <row r="3076" spans="1:18" x14ac:dyDescent="0.25">
      <c r="A3076">
        <v>2018</v>
      </c>
      <c r="B3076">
        <v>3</v>
      </c>
      <c r="C3076" s="1" t="s">
        <v>26</v>
      </c>
      <c r="D3076" s="1" t="s">
        <v>19</v>
      </c>
      <c r="E3076" s="1" t="s">
        <v>43</v>
      </c>
      <c r="F3076">
        <v>2005</v>
      </c>
      <c r="G3076">
        <v>13</v>
      </c>
      <c r="H3076" s="1" t="s">
        <v>21</v>
      </c>
      <c r="I3076">
        <v>24</v>
      </c>
      <c r="J3076">
        <v>1947</v>
      </c>
      <c r="K3076" s="1" t="s">
        <v>44</v>
      </c>
      <c r="L3076" s="1" t="s">
        <v>45</v>
      </c>
      <c r="M3076">
        <v>1.008</v>
      </c>
      <c r="N3076">
        <v>24180.1</v>
      </c>
      <c r="O3076">
        <v>24.18</v>
      </c>
      <c r="P3076" s="2">
        <v>43160</v>
      </c>
      <c r="Q3076">
        <v>1</v>
      </c>
      <c r="R3076" s="1" t="s">
        <v>24</v>
      </c>
    </row>
    <row r="3077" spans="1:18" x14ac:dyDescent="0.25">
      <c r="A3077">
        <v>2018</v>
      </c>
      <c r="B3077">
        <v>4</v>
      </c>
      <c r="C3077" s="1" t="s">
        <v>27</v>
      </c>
      <c r="D3077" s="1" t="s">
        <v>19</v>
      </c>
      <c r="E3077" s="1" t="s">
        <v>43</v>
      </c>
      <c r="F3077">
        <v>2005</v>
      </c>
      <c r="G3077">
        <v>13</v>
      </c>
      <c r="H3077" s="1" t="s">
        <v>21</v>
      </c>
      <c r="I3077">
        <v>24</v>
      </c>
      <c r="J3077">
        <v>1947</v>
      </c>
      <c r="K3077" s="1" t="s">
        <v>44</v>
      </c>
      <c r="L3077" s="1" t="s">
        <v>45</v>
      </c>
      <c r="M3077">
        <v>0.89400000000000002</v>
      </c>
      <c r="N3077">
        <v>21444.5</v>
      </c>
      <c r="O3077">
        <v>21.443999999999999</v>
      </c>
      <c r="P3077" s="2">
        <v>43191</v>
      </c>
      <c r="Q3077">
        <v>1</v>
      </c>
      <c r="R3077" s="1" t="s">
        <v>24</v>
      </c>
    </row>
    <row r="3078" spans="1:18" x14ac:dyDescent="0.25">
      <c r="A3078">
        <v>2018</v>
      </c>
      <c r="B3078">
        <v>5</v>
      </c>
      <c r="C3078" s="1" t="s">
        <v>28</v>
      </c>
      <c r="D3078" s="1" t="s">
        <v>19</v>
      </c>
      <c r="E3078" s="1" t="s">
        <v>43</v>
      </c>
      <c r="F3078">
        <v>2005</v>
      </c>
      <c r="G3078">
        <v>13</v>
      </c>
      <c r="H3078" s="1" t="s">
        <v>21</v>
      </c>
      <c r="I3078">
        <v>24</v>
      </c>
      <c r="J3078">
        <v>1947</v>
      </c>
      <c r="K3078" s="1" t="s">
        <v>44</v>
      </c>
      <c r="L3078" s="1" t="s">
        <v>45</v>
      </c>
      <c r="M3078">
        <v>1.147</v>
      </c>
      <c r="N3078">
        <v>27521.599999999999</v>
      </c>
      <c r="O3078">
        <v>27.521999999999998</v>
      </c>
      <c r="P3078" s="2">
        <v>43221</v>
      </c>
      <c r="Q3078">
        <v>1</v>
      </c>
      <c r="R3078" s="1" t="s">
        <v>24</v>
      </c>
    </row>
    <row r="3079" spans="1:18" x14ac:dyDescent="0.25">
      <c r="A3079">
        <v>2018</v>
      </c>
      <c r="B3079">
        <v>6</v>
      </c>
      <c r="C3079" s="1" t="s">
        <v>29</v>
      </c>
      <c r="D3079" s="1" t="s">
        <v>19</v>
      </c>
      <c r="E3079" s="1" t="s">
        <v>43</v>
      </c>
      <c r="F3079">
        <v>2005</v>
      </c>
      <c r="G3079">
        <v>13</v>
      </c>
      <c r="H3079" s="1" t="s">
        <v>21</v>
      </c>
      <c r="I3079">
        <v>24</v>
      </c>
      <c r="J3079">
        <v>1947</v>
      </c>
      <c r="K3079" s="1" t="s">
        <v>44</v>
      </c>
      <c r="L3079" s="1" t="s">
        <v>45</v>
      </c>
      <c r="M3079">
        <v>0.77500000000000002</v>
      </c>
      <c r="N3079">
        <v>18598.7</v>
      </c>
      <c r="O3079">
        <v>18.599</v>
      </c>
      <c r="P3079" s="2">
        <v>43252</v>
      </c>
      <c r="Q3079">
        <v>1</v>
      </c>
      <c r="R3079" s="1" t="s">
        <v>24</v>
      </c>
    </row>
    <row r="3080" spans="1:18" x14ac:dyDescent="0.25">
      <c r="A3080">
        <v>2018</v>
      </c>
      <c r="B3080">
        <v>7</v>
      </c>
      <c r="C3080" s="1" t="s">
        <v>30</v>
      </c>
      <c r="D3080" s="1" t="s">
        <v>19</v>
      </c>
      <c r="E3080" s="1" t="s">
        <v>43</v>
      </c>
      <c r="F3080">
        <v>2005</v>
      </c>
      <c r="G3080">
        <v>13</v>
      </c>
      <c r="H3080" s="1" t="s">
        <v>21</v>
      </c>
      <c r="I3080">
        <v>24</v>
      </c>
      <c r="J3080">
        <v>1947</v>
      </c>
      <c r="K3080" s="1" t="s">
        <v>44</v>
      </c>
      <c r="L3080" s="1" t="s">
        <v>45</v>
      </c>
      <c r="M3080">
        <v>1.0760000000000001</v>
      </c>
      <c r="N3080">
        <v>25832.5</v>
      </c>
      <c r="O3080">
        <v>25.832999999999998</v>
      </c>
      <c r="P3080" s="2">
        <v>43282</v>
      </c>
      <c r="Q3080">
        <v>1</v>
      </c>
      <c r="R3080" s="1" t="s">
        <v>24</v>
      </c>
    </row>
    <row r="3081" spans="1:18" x14ac:dyDescent="0.25">
      <c r="A3081">
        <v>2018</v>
      </c>
      <c r="B3081">
        <v>8</v>
      </c>
      <c r="C3081" s="1" t="s">
        <v>31</v>
      </c>
      <c r="D3081" s="1" t="s">
        <v>19</v>
      </c>
      <c r="E3081" s="1" t="s">
        <v>43</v>
      </c>
      <c r="F3081">
        <v>2005</v>
      </c>
      <c r="G3081">
        <v>13</v>
      </c>
      <c r="H3081" s="1" t="s">
        <v>21</v>
      </c>
      <c r="I3081">
        <v>24</v>
      </c>
      <c r="J3081">
        <v>1947</v>
      </c>
      <c r="K3081" s="1" t="s">
        <v>44</v>
      </c>
      <c r="L3081" s="1" t="s">
        <v>45</v>
      </c>
      <c r="M3081">
        <v>1.22</v>
      </c>
      <c r="N3081">
        <v>29284.2</v>
      </c>
      <c r="O3081">
        <v>29.283999999999999</v>
      </c>
      <c r="P3081" s="2">
        <v>43313</v>
      </c>
      <c r="Q3081">
        <v>1</v>
      </c>
      <c r="R3081" s="1" t="s">
        <v>24</v>
      </c>
    </row>
    <row r="3082" spans="1:18" x14ac:dyDescent="0.25">
      <c r="A3082">
        <v>2018</v>
      </c>
      <c r="B3082">
        <v>9</v>
      </c>
      <c r="C3082" s="1" t="s">
        <v>32</v>
      </c>
      <c r="D3082" s="1" t="s">
        <v>19</v>
      </c>
      <c r="E3082" s="1" t="s">
        <v>43</v>
      </c>
      <c r="F3082">
        <v>2005</v>
      </c>
      <c r="G3082">
        <v>13</v>
      </c>
      <c r="H3082" s="1" t="s">
        <v>21</v>
      </c>
      <c r="I3082">
        <v>24</v>
      </c>
      <c r="J3082">
        <v>1947</v>
      </c>
      <c r="K3082" s="1" t="s">
        <v>44</v>
      </c>
      <c r="L3082" s="1" t="s">
        <v>45</v>
      </c>
      <c r="M3082">
        <v>0.90900000000000003</v>
      </c>
      <c r="N3082">
        <v>21811.7</v>
      </c>
      <c r="O3082">
        <v>21.812000000000001</v>
      </c>
      <c r="P3082" s="2">
        <v>43344</v>
      </c>
      <c r="Q3082">
        <v>1</v>
      </c>
      <c r="R3082" s="1" t="s">
        <v>24</v>
      </c>
    </row>
    <row r="3083" spans="1:18" x14ac:dyDescent="0.25">
      <c r="A3083">
        <v>2018</v>
      </c>
      <c r="B3083">
        <v>10</v>
      </c>
      <c r="C3083" s="1" t="s">
        <v>33</v>
      </c>
      <c r="D3083" s="1" t="s">
        <v>19</v>
      </c>
      <c r="E3083" s="1" t="s">
        <v>43</v>
      </c>
      <c r="F3083">
        <v>2005</v>
      </c>
      <c r="G3083">
        <v>13</v>
      </c>
      <c r="H3083" s="1" t="s">
        <v>21</v>
      </c>
      <c r="I3083">
        <v>24</v>
      </c>
      <c r="J3083">
        <v>1947</v>
      </c>
      <c r="K3083" s="1" t="s">
        <v>44</v>
      </c>
      <c r="L3083" s="1" t="s">
        <v>45</v>
      </c>
      <c r="M3083">
        <v>1.264</v>
      </c>
      <c r="N3083">
        <v>30330.7</v>
      </c>
      <c r="O3083">
        <v>30.331</v>
      </c>
      <c r="P3083" s="2">
        <v>43374</v>
      </c>
      <c r="Q3083">
        <v>1</v>
      </c>
      <c r="R3083" s="1" t="s">
        <v>24</v>
      </c>
    </row>
    <row r="3084" spans="1:18" x14ac:dyDescent="0.25">
      <c r="A3084">
        <v>2018</v>
      </c>
      <c r="B3084">
        <v>11</v>
      </c>
      <c r="C3084" s="1" t="s">
        <v>34</v>
      </c>
      <c r="D3084" s="1" t="s">
        <v>19</v>
      </c>
      <c r="E3084" s="1" t="s">
        <v>43</v>
      </c>
      <c r="F3084">
        <v>2005</v>
      </c>
      <c r="G3084">
        <v>13</v>
      </c>
      <c r="H3084" s="1" t="s">
        <v>21</v>
      </c>
      <c r="I3084">
        <v>24</v>
      </c>
      <c r="J3084">
        <v>1947</v>
      </c>
      <c r="K3084" s="1" t="s">
        <v>44</v>
      </c>
      <c r="L3084" s="1" t="s">
        <v>45</v>
      </c>
      <c r="M3084">
        <v>0.84499999999999997</v>
      </c>
      <c r="N3084">
        <v>20269.400000000001</v>
      </c>
      <c r="O3084">
        <v>20.268999999999998</v>
      </c>
      <c r="P3084" s="2">
        <v>43405</v>
      </c>
      <c r="Q3084">
        <v>1</v>
      </c>
      <c r="R3084" s="1" t="s">
        <v>24</v>
      </c>
    </row>
    <row r="3085" spans="1:18" x14ac:dyDescent="0.25">
      <c r="A3085">
        <v>2018</v>
      </c>
      <c r="B3085">
        <v>12</v>
      </c>
      <c r="C3085" s="1" t="s">
        <v>35</v>
      </c>
      <c r="D3085" s="1" t="s">
        <v>19</v>
      </c>
      <c r="E3085" s="1" t="s">
        <v>43</v>
      </c>
      <c r="F3085">
        <v>2005</v>
      </c>
      <c r="G3085">
        <v>13</v>
      </c>
      <c r="H3085" s="1" t="s">
        <v>21</v>
      </c>
      <c r="I3085">
        <v>24</v>
      </c>
      <c r="J3085">
        <v>1947</v>
      </c>
      <c r="K3085" s="1" t="s">
        <v>44</v>
      </c>
      <c r="L3085" s="1" t="s">
        <v>45</v>
      </c>
      <c r="M3085">
        <v>1.2410000000000001</v>
      </c>
      <c r="N3085">
        <v>29779.9</v>
      </c>
      <c r="O3085">
        <v>29.78</v>
      </c>
      <c r="P3085" s="2">
        <v>43435</v>
      </c>
      <c r="Q3085">
        <v>1</v>
      </c>
      <c r="R3085" s="1" t="s">
        <v>24</v>
      </c>
    </row>
    <row r="3086" spans="1:18" x14ac:dyDescent="0.25">
      <c r="A3086">
        <v>2018</v>
      </c>
      <c r="B3086">
        <v>1</v>
      </c>
      <c r="C3086" s="1" t="s">
        <v>18</v>
      </c>
      <c r="D3086" s="1" t="s">
        <v>19</v>
      </c>
      <c r="E3086" s="1" t="s">
        <v>46</v>
      </c>
      <c r="F3086">
        <v>2006</v>
      </c>
      <c r="G3086">
        <v>12</v>
      </c>
      <c r="H3086" s="1" t="s">
        <v>21</v>
      </c>
      <c r="I3086">
        <v>25</v>
      </c>
      <c r="J3086">
        <v>2740</v>
      </c>
      <c r="K3086" s="1" t="s">
        <v>47</v>
      </c>
      <c r="L3086" s="1" t="s">
        <v>45</v>
      </c>
      <c r="M3086">
        <v>0.82899999999999996</v>
      </c>
      <c r="N3086">
        <v>20714.400000000001</v>
      </c>
      <c r="O3086">
        <v>20.713999999999999</v>
      </c>
      <c r="P3086" s="2">
        <v>43101</v>
      </c>
      <c r="Q3086">
        <v>1</v>
      </c>
      <c r="R3086" s="1" t="s">
        <v>24</v>
      </c>
    </row>
    <row r="3087" spans="1:18" x14ac:dyDescent="0.25">
      <c r="A3087">
        <v>2018</v>
      </c>
      <c r="B3087">
        <v>2</v>
      </c>
      <c r="C3087" s="1" t="s">
        <v>25</v>
      </c>
      <c r="D3087" s="1" t="s">
        <v>19</v>
      </c>
      <c r="E3087" s="1" t="s">
        <v>46</v>
      </c>
      <c r="F3087">
        <v>2006</v>
      </c>
      <c r="G3087">
        <v>12</v>
      </c>
      <c r="H3087" s="1" t="s">
        <v>21</v>
      </c>
      <c r="I3087">
        <v>25</v>
      </c>
      <c r="J3087">
        <v>2740</v>
      </c>
      <c r="K3087" s="1" t="s">
        <v>47</v>
      </c>
      <c r="L3087" s="1" t="s">
        <v>45</v>
      </c>
      <c r="M3087">
        <v>0.77800000000000002</v>
      </c>
      <c r="N3087">
        <v>19440.3</v>
      </c>
      <c r="O3087">
        <v>19.440000000000001</v>
      </c>
      <c r="P3087" s="2">
        <v>43132</v>
      </c>
      <c r="Q3087">
        <v>1</v>
      </c>
      <c r="R3087" s="1" t="s">
        <v>24</v>
      </c>
    </row>
    <row r="3088" spans="1:18" x14ac:dyDescent="0.25">
      <c r="A3088">
        <v>2018</v>
      </c>
      <c r="B3088">
        <v>3</v>
      </c>
      <c r="C3088" s="1" t="s">
        <v>26</v>
      </c>
      <c r="D3088" s="1" t="s">
        <v>19</v>
      </c>
      <c r="E3088" s="1" t="s">
        <v>46</v>
      </c>
      <c r="F3088">
        <v>2006</v>
      </c>
      <c r="G3088">
        <v>12</v>
      </c>
      <c r="H3088" s="1" t="s">
        <v>21</v>
      </c>
      <c r="I3088">
        <v>25</v>
      </c>
      <c r="J3088">
        <v>2740</v>
      </c>
      <c r="K3088" s="1" t="s">
        <v>47</v>
      </c>
      <c r="L3088" s="1" t="s">
        <v>45</v>
      </c>
      <c r="M3088">
        <v>1.083</v>
      </c>
      <c r="N3088">
        <v>27064.3</v>
      </c>
      <c r="O3088">
        <v>27.064</v>
      </c>
      <c r="P3088" s="2">
        <v>43160</v>
      </c>
      <c r="Q3088">
        <v>1</v>
      </c>
      <c r="R3088" s="1" t="s">
        <v>24</v>
      </c>
    </row>
    <row r="3089" spans="1:18" x14ac:dyDescent="0.25">
      <c r="A3089">
        <v>2018</v>
      </c>
      <c r="B3089">
        <v>4</v>
      </c>
      <c r="C3089" s="1" t="s">
        <v>27</v>
      </c>
      <c r="D3089" s="1" t="s">
        <v>19</v>
      </c>
      <c r="E3089" s="1" t="s">
        <v>46</v>
      </c>
      <c r="F3089">
        <v>2006</v>
      </c>
      <c r="G3089">
        <v>12</v>
      </c>
      <c r="H3089" s="1" t="s">
        <v>21</v>
      </c>
      <c r="I3089">
        <v>25</v>
      </c>
      <c r="J3089">
        <v>2740</v>
      </c>
      <c r="K3089" s="1" t="s">
        <v>47</v>
      </c>
      <c r="L3089" s="1" t="s">
        <v>45</v>
      </c>
      <c r="M3089">
        <v>0.96</v>
      </c>
      <c r="N3089">
        <v>24002.400000000001</v>
      </c>
      <c r="O3089">
        <v>24.001999999999999</v>
      </c>
      <c r="P3089" s="2">
        <v>43191</v>
      </c>
      <c r="Q3089">
        <v>1</v>
      </c>
      <c r="R3089" s="1" t="s">
        <v>24</v>
      </c>
    </row>
    <row r="3090" spans="1:18" x14ac:dyDescent="0.25">
      <c r="A3090">
        <v>2018</v>
      </c>
      <c r="B3090">
        <v>5</v>
      </c>
      <c r="C3090" s="1" t="s">
        <v>28</v>
      </c>
      <c r="D3090" s="1" t="s">
        <v>19</v>
      </c>
      <c r="E3090" s="1" t="s">
        <v>46</v>
      </c>
      <c r="F3090">
        <v>2006</v>
      </c>
      <c r="G3090">
        <v>12</v>
      </c>
      <c r="H3090" s="1" t="s">
        <v>21</v>
      </c>
      <c r="I3090">
        <v>25</v>
      </c>
      <c r="J3090">
        <v>2740</v>
      </c>
      <c r="K3090" s="1" t="s">
        <v>47</v>
      </c>
      <c r="L3090" s="1" t="s">
        <v>45</v>
      </c>
      <c r="M3090">
        <v>1.232</v>
      </c>
      <c r="N3090">
        <v>30804.5</v>
      </c>
      <c r="O3090">
        <v>30.803999999999998</v>
      </c>
      <c r="P3090" s="2">
        <v>43221</v>
      </c>
      <c r="Q3090">
        <v>1</v>
      </c>
      <c r="R3090" s="1" t="s">
        <v>24</v>
      </c>
    </row>
    <row r="3091" spans="1:18" x14ac:dyDescent="0.25">
      <c r="A3091">
        <v>2018</v>
      </c>
      <c r="B3091">
        <v>6</v>
      </c>
      <c r="C3091" s="1" t="s">
        <v>29</v>
      </c>
      <c r="D3091" s="1" t="s">
        <v>19</v>
      </c>
      <c r="E3091" s="1" t="s">
        <v>46</v>
      </c>
      <c r="F3091">
        <v>2006</v>
      </c>
      <c r="G3091">
        <v>12</v>
      </c>
      <c r="H3091" s="1" t="s">
        <v>21</v>
      </c>
      <c r="I3091">
        <v>25</v>
      </c>
      <c r="J3091">
        <v>2740</v>
      </c>
      <c r="K3091" s="1" t="s">
        <v>47</v>
      </c>
      <c r="L3091" s="1" t="s">
        <v>45</v>
      </c>
      <c r="M3091">
        <v>0.83299999999999996</v>
      </c>
      <c r="N3091">
        <v>20817.099999999999</v>
      </c>
      <c r="O3091">
        <v>20.817</v>
      </c>
      <c r="P3091" s="2">
        <v>43252</v>
      </c>
      <c r="Q3091">
        <v>1</v>
      </c>
      <c r="R3091" s="1" t="s">
        <v>24</v>
      </c>
    </row>
    <row r="3092" spans="1:18" x14ac:dyDescent="0.25">
      <c r="A3092">
        <v>2018</v>
      </c>
      <c r="B3092">
        <v>7</v>
      </c>
      <c r="C3092" s="1" t="s">
        <v>30</v>
      </c>
      <c r="D3092" s="1" t="s">
        <v>19</v>
      </c>
      <c r="E3092" s="1" t="s">
        <v>46</v>
      </c>
      <c r="F3092">
        <v>2006</v>
      </c>
      <c r="G3092">
        <v>12</v>
      </c>
      <c r="H3092" s="1" t="s">
        <v>21</v>
      </c>
      <c r="I3092">
        <v>25</v>
      </c>
      <c r="J3092">
        <v>2740</v>
      </c>
      <c r="K3092" s="1" t="s">
        <v>47</v>
      </c>
      <c r="L3092" s="1" t="s">
        <v>45</v>
      </c>
      <c r="M3092">
        <v>1.157</v>
      </c>
      <c r="N3092">
        <v>28913.8</v>
      </c>
      <c r="O3092">
        <v>28.914000000000001</v>
      </c>
      <c r="P3092" s="2">
        <v>43282</v>
      </c>
      <c r="Q3092">
        <v>1</v>
      </c>
      <c r="R3092" s="1" t="s">
        <v>24</v>
      </c>
    </row>
    <row r="3093" spans="1:18" x14ac:dyDescent="0.25">
      <c r="A3093">
        <v>2018</v>
      </c>
      <c r="B3093">
        <v>8</v>
      </c>
      <c r="C3093" s="1" t="s">
        <v>31</v>
      </c>
      <c r="D3093" s="1" t="s">
        <v>19</v>
      </c>
      <c r="E3093" s="1" t="s">
        <v>46</v>
      </c>
      <c r="F3093">
        <v>2006</v>
      </c>
      <c r="G3093">
        <v>12</v>
      </c>
      <c r="H3093" s="1" t="s">
        <v>21</v>
      </c>
      <c r="I3093">
        <v>25</v>
      </c>
      <c r="J3093">
        <v>2740</v>
      </c>
      <c r="K3093" s="1" t="s">
        <v>47</v>
      </c>
      <c r="L3093" s="1" t="s">
        <v>45</v>
      </c>
      <c r="M3093">
        <v>1.3109999999999999</v>
      </c>
      <c r="N3093">
        <v>32777.199999999997</v>
      </c>
      <c r="O3093">
        <v>32.777000000000001</v>
      </c>
      <c r="P3093" s="2">
        <v>43313</v>
      </c>
      <c r="Q3093">
        <v>1</v>
      </c>
      <c r="R3093" s="1" t="s">
        <v>24</v>
      </c>
    </row>
    <row r="3094" spans="1:18" x14ac:dyDescent="0.25">
      <c r="A3094">
        <v>2018</v>
      </c>
      <c r="B3094">
        <v>9</v>
      </c>
      <c r="C3094" s="1" t="s">
        <v>32</v>
      </c>
      <c r="D3094" s="1" t="s">
        <v>19</v>
      </c>
      <c r="E3094" s="1" t="s">
        <v>46</v>
      </c>
      <c r="F3094">
        <v>2006</v>
      </c>
      <c r="G3094">
        <v>12</v>
      </c>
      <c r="H3094" s="1" t="s">
        <v>21</v>
      </c>
      <c r="I3094">
        <v>25</v>
      </c>
      <c r="J3094">
        <v>2740</v>
      </c>
      <c r="K3094" s="1" t="s">
        <v>47</v>
      </c>
      <c r="L3094" s="1" t="s">
        <v>45</v>
      </c>
      <c r="M3094">
        <v>0.97699999999999998</v>
      </c>
      <c r="N3094">
        <v>24413.4</v>
      </c>
      <c r="O3094">
        <v>24.413</v>
      </c>
      <c r="P3094" s="2">
        <v>43344</v>
      </c>
      <c r="Q3094">
        <v>1</v>
      </c>
      <c r="R3094" s="1" t="s">
        <v>24</v>
      </c>
    </row>
    <row r="3095" spans="1:18" x14ac:dyDescent="0.25">
      <c r="A3095">
        <v>2018</v>
      </c>
      <c r="B3095">
        <v>10</v>
      </c>
      <c r="C3095" s="1" t="s">
        <v>33</v>
      </c>
      <c r="D3095" s="1" t="s">
        <v>19</v>
      </c>
      <c r="E3095" s="1" t="s">
        <v>46</v>
      </c>
      <c r="F3095">
        <v>2006</v>
      </c>
      <c r="G3095">
        <v>12</v>
      </c>
      <c r="H3095" s="1" t="s">
        <v>21</v>
      </c>
      <c r="I3095">
        <v>25</v>
      </c>
      <c r="J3095">
        <v>2740</v>
      </c>
      <c r="K3095" s="1" t="s">
        <v>47</v>
      </c>
      <c r="L3095" s="1" t="s">
        <v>45</v>
      </c>
      <c r="M3095">
        <v>1.3580000000000001</v>
      </c>
      <c r="N3095">
        <v>33948.6</v>
      </c>
      <c r="O3095">
        <v>33.948999999999998</v>
      </c>
      <c r="P3095" s="2">
        <v>43374</v>
      </c>
      <c r="Q3095">
        <v>1</v>
      </c>
      <c r="R3095" s="1" t="s">
        <v>24</v>
      </c>
    </row>
    <row r="3096" spans="1:18" x14ac:dyDescent="0.25">
      <c r="A3096">
        <v>2018</v>
      </c>
      <c r="B3096">
        <v>11</v>
      </c>
      <c r="C3096" s="1" t="s">
        <v>34</v>
      </c>
      <c r="D3096" s="1" t="s">
        <v>19</v>
      </c>
      <c r="E3096" s="1" t="s">
        <v>46</v>
      </c>
      <c r="F3096">
        <v>2006</v>
      </c>
      <c r="G3096">
        <v>12</v>
      </c>
      <c r="H3096" s="1" t="s">
        <v>21</v>
      </c>
      <c r="I3096">
        <v>25</v>
      </c>
      <c r="J3096">
        <v>2740</v>
      </c>
      <c r="K3096" s="1" t="s">
        <v>47</v>
      </c>
      <c r="L3096" s="1" t="s">
        <v>45</v>
      </c>
      <c r="M3096">
        <v>0.90700000000000003</v>
      </c>
      <c r="N3096">
        <v>22687.200000000001</v>
      </c>
      <c r="O3096">
        <v>22.687000000000001</v>
      </c>
      <c r="P3096" s="2">
        <v>43405</v>
      </c>
      <c r="Q3096">
        <v>1</v>
      </c>
      <c r="R3096" s="1" t="s">
        <v>24</v>
      </c>
    </row>
    <row r="3097" spans="1:18" x14ac:dyDescent="0.25">
      <c r="A3097">
        <v>2018</v>
      </c>
      <c r="B3097">
        <v>12</v>
      </c>
      <c r="C3097" s="1" t="s">
        <v>35</v>
      </c>
      <c r="D3097" s="1" t="s">
        <v>19</v>
      </c>
      <c r="E3097" s="1" t="s">
        <v>46</v>
      </c>
      <c r="F3097">
        <v>2006</v>
      </c>
      <c r="G3097">
        <v>12</v>
      </c>
      <c r="H3097" s="1" t="s">
        <v>21</v>
      </c>
      <c r="I3097">
        <v>25</v>
      </c>
      <c r="J3097">
        <v>2740</v>
      </c>
      <c r="K3097" s="1" t="s">
        <v>47</v>
      </c>
      <c r="L3097" s="1" t="s">
        <v>45</v>
      </c>
      <c r="M3097">
        <v>1.333</v>
      </c>
      <c r="N3097">
        <v>33332.1</v>
      </c>
      <c r="O3097">
        <v>33.332000000000001</v>
      </c>
      <c r="P3097" s="2">
        <v>43435</v>
      </c>
      <c r="Q3097">
        <v>1</v>
      </c>
      <c r="R3097" s="1" t="s">
        <v>24</v>
      </c>
    </row>
    <row r="3098" spans="1:18" x14ac:dyDescent="0.25">
      <c r="A3098">
        <v>2018</v>
      </c>
      <c r="B3098">
        <v>1</v>
      </c>
      <c r="C3098" s="1" t="s">
        <v>18</v>
      </c>
      <c r="D3098" s="1" t="s">
        <v>19</v>
      </c>
      <c r="E3098" s="1" t="s">
        <v>48</v>
      </c>
      <c r="F3098">
        <v>2006</v>
      </c>
      <c r="G3098">
        <v>12</v>
      </c>
      <c r="H3098" s="1" t="s">
        <v>21</v>
      </c>
      <c r="I3098">
        <v>24</v>
      </c>
      <c r="J3098">
        <v>3230</v>
      </c>
      <c r="K3098" s="1" t="s">
        <v>49</v>
      </c>
      <c r="L3098" s="1" t="s">
        <v>45</v>
      </c>
      <c r="M3098">
        <v>1.0169999999999999</v>
      </c>
      <c r="N3098">
        <v>24418.799999999999</v>
      </c>
      <c r="O3098">
        <v>24.419</v>
      </c>
      <c r="P3098" s="2">
        <v>43101</v>
      </c>
      <c r="Q3098">
        <v>1</v>
      </c>
      <c r="R3098" s="1" t="s">
        <v>24</v>
      </c>
    </row>
    <row r="3099" spans="1:18" x14ac:dyDescent="0.25">
      <c r="A3099">
        <v>2018</v>
      </c>
      <c r="B3099">
        <v>2</v>
      </c>
      <c r="C3099" s="1" t="s">
        <v>25</v>
      </c>
      <c r="D3099" s="1" t="s">
        <v>19</v>
      </c>
      <c r="E3099" s="1" t="s">
        <v>48</v>
      </c>
      <c r="F3099">
        <v>2006</v>
      </c>
      <c r="G3099">
        <v>12</v>
      </c>
      <c r="H3099" s="1" t="s">
        <v>21</v>
      </c>
      <c r="I3099">
        <v>24</v>
      </c>
      <c r="J3099">
        <v>3230</v>
      </c>
      <c r="K3099" s="1" t="s">
        <v>49</v>
      </c>
      <c r="L3099" s="1" t="s">
        <v>45</v>
      </c>
      <c r="M3099">
        <v>0.95499999999999996</v>
      </c>
      <c r="N3099">
        <v>22916.799999999999</v>
      </c>
      <c r="O3099">
        <v>22.917000000000002</v>
      </c>
      <c r="P3099" s="2">
        <v>43132</v>
      </c>
      <c r="Q3099">
        <v>1</v>
      </c>
      <c r="R3099" s="1" t="s">
        <v>24</v>
      </c>
    </row>
    <row r="3100" spans="1:18" x14ac:dyDescent="0.25">
      <c r="A3100">
        <v>2018</v>
      </c>
      <c r="B3100">
        <v>3</v>
      </c>
      <c r="C3100" s="1" t="s">
        <v>26</v>
      </c>
      <c r="D3100" s="1" t="s">
        <v>19</v>
      </c>
      <c r="E3100" s="1" t="s">
        <v>48</v>
      </c>
      <c r="F3100">
        <v>2006</v>
      </c>
      <c r="G3100">
        <v>12</v>
      </c>
      <c r="H3100" s="1" t="s">
        <v>21</v>
      </c>
      <c r="I3100">
        <v>24</v>
      </c>
      <c r="J3100">
        <v>3230</v>
      </c>
      <c r="K3100" s="1" t="s">
        <v>49</v>
      </c>
      <c r="L3100" s="1" t="s">
        <v>45</v>
      </c>
      <c r="M3100">
        <v>1.329</v>
      </c>
      <c r="N3100">
        <v>31904.3</v>
      </c>
      <c r="O3100">
        <v>31.904</v>
      </c>
      <c r="P3100" s="2">
        <v>43160</v>
      </c>
      <c r="Q3100">
        <v>1</v>
      </c>
      <c r="R3100" s="1" t="s">
        <v>24</v>
      </c>
    </row>
    <row r="3101" spans="1:18" x14ac:dyDescent="0.25">
      <c r="A3101">
        <v>2018</v>
      </c>
      <c r="B3101">
        <v>4</v>
      </c>
      <c r="C3101" s="1" t="s">
        <v>27</v>
      </c>
      <c r="D3101" s="1" t="s">
        <v>19</v>
      </c>
      <c r="E3101" s="1" t="s">
        <v>48</v>
      </c>
      <c r="F3101">
        <v>2006</v>
      </c>
      <c r="G3101">
        <v>12</v>
      </c>
      <c r="H3101" s="1" t="s">
        <v>21</v>
      </c>
      <c r="I3101">
        <v>24</v>
      </c>
      <c r="J3101">
        <v>3230</v>
      </c>
      <c r="K3101" s="1" t="s">
        <v>49</v>
      </c>
      <c r="L3101" s="1" t="s">
        <v>45</v>
      </c>
      <c r="M3101">
        <v>1.179</v>
      </c>
      <c r="N3101">
        <v>28294.799999999999</v>
      </c>
      <c r="O3101">
        <v>28.295000000000002</v>
      </c>
      <c r="P3101" s="2">
        <v>43191</v>
      </c>
      <c r="Q3101">
        <v>1</v>
      </c>
      <c r="R3101" s="1" t="s">
        <v>24</v>
      </c>
    </row>
    <row r="3102" spans="1:18" x14ac:dyDescent="0.25">
      <c r="A3102">
        <v>2018</v>
      </c>
      <c r="B3102">
        <v>5</v>
      </c>
      <c r="C3102" s="1" t="s">
        <v>28</v>
      </c>
      <c r="D3102" s="1" t="s">
        <v>19</v>
      </c>
      <c r="E3102" s="1" t="s">
        <v>48</v>
      </c>
      <c r="F3102">
        <v>2006</v>
      </c>
      <c r="G3102">
        <v>12</v>
      </c>
      <c r="H3102" s="1" t="s">
        <v>21</v>
      </c>
      <c r="I3102">
        <v>24</v>
      </c>
      <c r="J3102">
        <v>3230</v>
      </c>
      <c r="K3102" s="1" t="s">
        <v>49</v>
      </c>
      <c r="L3102" s="1" t="s">
        <v>45</v>
      </c>
      <c r="M3102">
        <v>1.5129999999999999</v>
      </c>
      <c r="N3102">
        <v>36313.300000000003</v>
      </c>
      <c r="O3102">
        <v>36.313000000000002</v>
      </c>
      <c r="P3102" s="2">
        <v>43221</v>
      </c>
      <c r="Q3102">
        <v>1</v>
      </c>
      <c r="R3102" s="1" t="s">
        <v>24</v>
      </c>
    </row>
    <row r="3103" spans="1:18" x14ac:dyDescent="0.25">
      <c r="A3103">
        <v>2018</v>
      </c>
      <c r="B3103">
        <v>6</v>
      </c>
      <c r="C3103" s="1" t="s">
        <v>29</v>
      </c>
      <c r="D3103" s="1" t="s">
        <v>19</v>
      </c>
      <c r="E3103" s="1" t="s">
        <v>48</v>
      </c>
      <c r="F3103">
        <v>2006</v>
      </c>
      <c r="G3103">
        <v>12</v>
      </c>
      <c r="H3103" s="1" t="s">
        <v>21</v>
      </c>
      <c r="I3103">
        <v>24</v>
      </c>
      <c r="J3103">
        <v>3230</v>
      </c>
      <c r="K3103" s="1" t="s">
        <v>49</v>
      </c>
      <c r="L3103" s="1" t="s">
        <v>45</v>
      </c>
      <c r="M3103">
        <v>1.022</v>
      </c>
      <c r="N3103">
        <v>24539.9</v>
      </c>
      <c r="O3103">
        <v>24.54</v>
      </c>
      <c r="P3103" s="2">
        <v>43252</v>
      </c>
      <c r="Q3103">
        <v>1</v>
      </c>
      <c r="R3103" s="1" t="s">
        <v>24</v>
      </c>
    </row>
    <row r="3104" spans="1:18" x14ac:dyDescent="0.25">
      <c r="A3104">
        <v>2018</v>
      </c>
      <c r="B3104">
        <v>7</v>
      </c>
      <c r="C3104" s="1" t="s">
        <v>30</v>
      </c>
      <c r="D3104" s="1" t="s">
        <v>19</v>
      </c>
      <c r="E3104" s="1" t="s">
        <v>48</v>
      </c>
      <c r="F3104">
        <v>2006</v>
      </c>
      <c r="G3104">
        <v>12</v>
      </c>
      <c r="H3104" s="1" t="s">
        <v>21</v>
      </c>
      <c r="I3104">
        <v>24</v>
      </c>
      <c r="J3104">
        <v>3230</v>
      </c>
      <c r="K3104" s="1" t="s">
        <v>49</v>
      </c>
      <c r="L3104" s="1" t="s">
        <v>45</v>
      </c>
      <c r="M3104">
        <v>1.42</v>
      </c>
      <c r="N3104">
        <v>34084.6</v>
      </c>
      <c r="O3104">
        <v>34.085000000000001</v>
      </c>
      <c r="P3104" s="2">
        <v>43282</v>
      </c>
      <c r="Q3104">
        <v>1</v>
      </c>
      <c r="R3104" s="1" t="s">
        <v>24</v>
      </c>
    </row>
    <row r="3105" spans="1:18" x14ac:dyDescent="0.25">
      <c r="A3105">
        <v>2018</v>
      </c>
      <c r="B3105">
        <v>8</v>
      </c>
      <c r="C3105" s="1" t="s">
        <v>31</v>
      </c>
      <c r="D3105" s="1" t="s">
        <v>19</v>
      </c>
      <c r="E3105" s="1" t="s">
        <v>48</v>
      </c>
      <c r="F3105">
        <v>2006</v>
      </c>
      <c r="G3105">
        <v>12</v>
      </c>
      <c r="H3105" s="1" t="s">
        <v>21</v>
      </c>
      <c r="I3105">
        <v>24</v>
      </c>
      <c r="J3105">
        <v>3230</v>
      </c>
      <c r="K3105" s="1" t="s">
        <v>49</v>
      </c>
      <c r="L3105" s="1" t="s">
        <v>45</v>
      </c>
      <c r="M3105">
        <v>1.61</v>
      </c>
      <c r="N3105">
        <v>38638.9</v>
      </c>
      <c r="O3105">
        <v>38.639000000000003</v>
      </c>
      <c r="P3105" s="2">
        <v>43313</v>
      </c>
      <c r="Q3105">
        <v>1</v>
      </c>
      <c r="R3105" s="1" t="s">
        <v>24</v>
      </c>
    </row>
    <row r="3106" spans="1:18" x14ac:dyDescent="0.25">
      <c r="A3106">
        <v>2018</v>
      </c>
      <c r="B3106">
        <v>9</v>
      </c>
      <c r="C3106" s="1" t="s">
        <v>32</v>
      </c>
      <c r="D3106" s="1" t="s">
        <v>19</v>
      </c>
      <c r="E3106" s="1" t="s">
        <v>48</v>
      </c>
      <c r="F3106">
        <v>2006</v>
      </c>
      <c r="G3106">
        <v>12</v>
      </c>
      <c r="H3106" s="1" t="s">
        <v>21</v>
      </c>
      <c r="I3106">
        <v>24</v>
      </c>
      <c r="J3106">
        <v>3230</v>
      </c>
      <c r="K3106" s="1" t="s">
        <v>49</v>
      </c>
      <c r="L3106" s="1" t="s">
        <v>45</v>
      </c>
      <c r="M3106">
        <v>1.1990000000000001</v>
      </c>
      <c r="N3106">
        <v>28779.3</v>
      </c>
      <c r="O3106">
        <v>28.779</v>
      </c>
      <c r="P3106" s="2">
        <v>43344</v>
      </c>
      <c r="Q3106">
        <v>1</v>
      </c>
      <c r="R3106" s="1" t="s">
        <v>24</v>
      </c>
    </row>
    <row r="3107" spans="1:18" x14ac:dyDescent="0.25">
      <c r="A3107">
        <v>2018</v>
      </c>
      <c r="B3107">
        <v>10</v>
      </c>
      <c r="C3107" s="1" t="s">
        <v>33</v>
      </c>
      <c r="D3107" s="1" t="s">
        <v>19</v>
      </c>
      <c r="E3107" s="1" t="s">
        <v>48</v>
      </c>
      <c r="F3107">
        <v>2006</v>
      </c>
      <c r="G3107">
        <v>12</v>
      </c>
      <c r="H3107" s="1" t="s">
        <v>21</v>
      </c>
      <c r="I3107">
        <v>24</v>
      </c>
      <c r="J3107">
        <v>3230</v>
      </c>
      <c r="K3107" s="1" t="s">
        <v>49</v>
      </c>
      <c r="L3107" s="1" t="s">
        <v>45</v>
      </c>
      <c r="M3107">
        <v>1.667</v>
      </c>
      <c r="N3107">
        <v>40019.699999999997</v>
      </c>
      <c r="O3107">
        <v>40.020000000000003</v>
      </c>
      <c r="P3107" s="2">
        <v>43374</v>
      </c>
      <c r="Q3107">
        <v>1</v>
      </c>
      <c r="R3107" s="1" t="s">
        <v>24</v>
      </c>
    </row>
    <row r="3108" spans="1:18" x14ac:dyDescent="0.25">
      <c r="A3108">
        <v>2018</v>
      </c>
      <c r="B3108">
        <v>11</v>
      </c>
      <c r="C3108" s="1" t="s">
        <v>34</v>
      </c>
      <c r="D3108" s="1" t="s">
        <v>19</v>
      </c>
      <c r="E3108" s="1" t="s">
        <v>48</v>
      </c>
      <c r="F3108">
        <v>2006</v>
      </c>
      <c r="G3108">
        <v>12</v>
      </c>
      <c r="H3108" s="1" t="s">
        <v>21</v>
      </c>
      <c r="I3108">
        <v>24</v>
      </c>
      <c r="J3108">
        <v>3230</v>
      </c>
      <c r="K3108" s="1" t="s">
        <v>49</v>
      </c>
      <c r="L3108" s="1" t="s">
        <v>45</v>
      </c>
      <c r="M3108">
        <v>1.1140000000000001</v>
      </c>
      <c r="N3108">
        <v>26744.400000000001</v>
      </c>
      <c r="O3108">
        <v>26.744</v>
      </c>
      <c r="P3108" s="2">
        <v>43405</v>
      </c>
      <c r="Q3108">
        <v>1</v>
      </c>
      <c r="R3108" s="1" t="s">
        <v>24</v>
      </c>
    </row>
    <row r="3109" spans="1:18" x14ac:dyDescent="0.25">
      <c r="A3109">
        <v>2018</v>
      </c>
      <c r="B3109">
        <v>12</v>
      </c>
      <c r="C3109" s="1" t="s">
        <v>35</v>
      </c>
      <c r="D3109" s="1" t="s">
        <v>19</v>
      </c>
      <c r="E3109" s="1" t="s">
        <v>48</v>
      </c>
      <c r="F3109">
        <v>2006</v>
      </c>
      <c r="G3109">
        <v>12</v>
      </c>
      <c r="H3109" s="1" t="s">
        <v>21</v>
      </c>
      <c r="I3109">
        <v>24</v>
      </c>
      <c r="J3109">
        <v>3230</v>
      </c>
      <c r="K3109" s="1" t="s">
        <v>49</v>
      </c>
      <c r="L3109" s="1" t="s">
        <v>45</v>
      </c>
      <c r="M3109">
        <v>1.637</v>
      </c>
      <c r="N3109">
        <v>39293</v>
      </c>
      <c r="O3109">
        <v>39.292999999999999</v>
      </c>
      <c r="P3109" s="2">
        <v>43435</v>
      </c>
      <c r="Q3109">
        <v>1</v>
      </c>
      <c r="R3109" s="1" t="s">
        <v>24</v>
      </c>
    </row>
    <row r="3110" spans="1:18" x14ac:dyDescent="0.25">
      <c r="A3110">
        <v>2018</v>
      </c>
      <c r="B3110">
        <v>1</v>
      </c>
      <c r="C3110" s="1" t="s">
        <v>18</v>
      </c>
      <c r="D3110" s="1" t="s">
        <v>19</v>
      </c>
      <c r="E3110" s="1" t="s">
        <v>50</v>
      </c>
      <c r="F3110">
        <v>2006</v>
      </c>
      <c r="G3110">
        <v>12</v>
      </c>
      <c r="H3110" s="1" t="s">
        <v>21</v>
      </c>
      <c r="I3110">
        <v>22</v>
      </c>
      <c r="J3110">
        <v>2447</v>
      </c>
      <c r="K3110" s="1" t="s">
        <v>51</v>
      </c>
      <c r="L3110" s="1" t="s">
        <v>45</v>
      </c>
      <c r="M3110">
        <v>0.84099999999999997</v>
      </c>
      <c r="N3110">
        <v>18499.3</v>
      </c>
      <c r="O3110">
        <v>18.498999999999999</v>
      </c>
      <c r="P3110" s="2">
        <v>43101</v>
      </c>
      <c r="Q3110">
        <v>1</v>
      </c>
      <c r="R3110" s="1" t="s">
        <v>24</v>
      </c>
    </row>
    <row r="3111" spans="1:18" x14ac:dyDescent="0.25">
      <c r="A3111">
        <v>2018</v>
      </c>
      <c r="B3111">
        <v>2</v>
      </c>
      <c r="C3111" s="1" t="s">
        <v>25</v>
      </c>
      <c r="D3111" s="1" t="s">
        <v>19</v>
      </c>
      <c r="E3111" s="1" t="s">
        <v>50</v>
      </c>
      <c r="F3111">
        <v>2006</v>
      </c>
      <c r="G3111">
        <v>12</v>
      </c>
      <c r="H3111" s="1" t="s">
        <v>21</v>
      </c>
      <c r="I3111">
        <v>22</v>
      </c>
      <c r="J3111">
        <v>2447</v>
      </c>
      <c r="K3111" s="1" t="s">
        <v>51</v>
      </c>
      <c r="L3111" s="1" t="s">
        <v>45</v>
      </c>
      <c r="M3111">
        <v>0.78900000000000003</v>
      </c>
      <c r="N3111">
        <v>17361.5</v>
      </c>
      <c r="O3111">
        <v>17.361000000000001</v>
      </c>
      <c r="P3111" s="2">
        <v>43132</v>
      </c>
      <c r="Q3111">
        <v>1</v>
      </c>
      <c r="R3111" s="1" t="s">
        <v>24</v>
      </c>
    </row>
    <row r="3112" spans="1:18" x14ac:dyDescent="0.25">
      <c r="A3112">
        <v>2018</v>
      </c>
      <c r="B3112">
        <v>3</v>
      </c>
      <c r="C3112" s="1" t="s">
        <v>26</v>
      </c>
      <c r="D3112" s="1" t="s">
        <v>19</v>
      </c>
      <c r="E3112" s="1" t="s">
        <v>50</v>
      </c>
      <c r="F3112">
        <v>2006</v>
      </c>
      <c r="G3112">
        <v>12</v>
      </c>
      <c r="H3112" s="1" t="s">
        <v>21</v>
      </c>
      <c r="I3112">
        <v>22</v>
      </c>
      <c r="J3112">
        <v>2447</v>
      </c>
      <c r="K3112" s="1" t="s">
        <v>51</v>
      </c>
      <c r="L3112" s="1" t="s">
        <v>45</v>
      </c>
      <c r="M3112">
        <v>1.099</v>
      </c>
      <c r="N3112">
        <v>24170.2</v>
      </c>
      <c r="O3112">
        <v>24.17</v>
      </c>
      <c r="P3112" s="2">
        <v>43160</v>
      </c>
      <c r="Q3112">
        <v>1</v>
      </c>
      <c r="R3112" s="1" t="s">
        <v>24</v>
      </c>
    </row>
    <row r="3113" spans="1:18" x14ac:dyDescent="0.25">
      <c r="A3113">
        <v>2018</v>
      </c>
      <c r="B3113">
        <v>4</v>
      </c>
      <c r="C3113" s="1" t="s">
        <v>27</v>
      </c>
      <c r="D3113" s="1" t="s">
        <v>19</v>
      </c>
      <c r="E3113" s="1" t="s">
        <v>50</v>
      </c>
      <c r="F3113">
        <v>2006</v>
      </c>
      <c r="G3113">
        <v>12</v>
      </c>
      <c r="H3113" s="1" t="s">
        <v>21</v>
      </c>
      <c r="I3113">
        <v>22</v>
      </c>
      <c r="J3113">
        <v>2447</v>
      </c>
      <c r="K3113" s="1" t="s">
        <v>51</v>
      </c>
      <c r="L3113" s="1" t="s">
        <v>45</v>
      </c>
      <c r="M3113">
        <v>0.97399999999999998</v>
      </c>
      <c r="N3113">
        <v>21435.7</v>
      </c>
      <c r="O3113">
        <v>21.436</v>
      </c>
      <c r="P3113" s="2">
        <v>43191</v>
      </c>
      <c r="Q3113">
        <v>1</v>
      </c>
      <c r="R3113" s="1" t="s">
        <v>24</v>
      </c>
    </row>
    <row r="3114" spans="1:18" x14ac:dyDescent="0.25">
      <c r="A3114">
        <v>2018</v>
      </c>
      <c r="B3114">
        <v>5</v>
      </c>
      <c r="C3114" s="1" t="s">
        <v>28</v>
      </c>
      <c r="D3114" s="1" t="s">
        <v>19</v>
      </c>
      <c r="E3114" s="1" t="s">
        <v>50</v>
      </c>
      <c r="F3114">
        <v>2006</v>
      </c>
      <c r="G3114">
        <v>12</v>
      </c>
      <c r="H3114" s="1" t="s">
        <v>21</v>
      </c>
      <c r="I3114">
        <v>22</v>
      </c>
      <c r="J3114">
        <v>2447</v>
      </c>
      <c r="K3114" s="1" t="s">
        <v>51</v>
      </c>
      <c r="L3114" s="1" t="s">
        <v>45</v>
      </c>
      <c r="M3114">
        <v>1.25</v>
      </c>
      <c r="N3114">
        <v>27510.400000000001</v>
      </c>
      <c r="O3114">
        <v>27.51</v>
      </c>
      <c r="P3114" s="2">
        <v>43221</v>
      </c>
      <c r="Q3114">
        <v>1</v>
      </c>
      <c r="R3114" s="1" t="s">
        <v>24</v>
      </c>
    </row>
    <row r="3115" spans="1:18" x14ac:dyDescent="0.25">
      <c r="A3115">
        <v>2018</v>
      </c>
      <c r="B3115">
        <v>6</v>
      </c>
      <c r="C3115" s="1" t="s">
        <v>29</v>
      </c>
      <c r="D3115" s="1" t="s">
        <v>19</v>
      </c>
      <c r="E3115" s="1" t="s">
        <v>50</v>
      </c>
      <c r="F3115">
        <v>2006</v>
      </c>
      <c r="G3115">
        <v>12</v>
      </c>
      <c r="H3115" s="1" t="s">
        <v>21</v>
      </c>
      <c r="I3115">
        <v>22</v>
      </c>
      <c r="J3115">
        <v>2447</v>
      </c>
      <c r="K3115" s="1" t="s">
        <v>51</v>
      </c>
      <c r="L3115" s="1" t="s">
        <v>45</v>
      </c>
      <c r="M3115">
        <v>0.84499999999999997</v>
      </c>
      <c r="N3115">
        <v>18591.099999999999</v>
      </c>
      <c r="O3115">
        <v>18.591000000000001</v>
      </c>
      <c r="P3115" s="2">
        <v>43252</v>
      </c>
      <c r="Q3115">
        <v>1</v>
      </c>
      <c r="R3115" s="1" t="s">
        <v>24</v>
      </c>
    </row>
    <row r="3116" spans="1:18" x14ac:dyDescent="0.25">
      <c r="A3116">
        <v>2018</v>
      </c>
      <c r="B3116">
        <v>7</v>
      </c>
      <c r="C3116" s="1" t="s">
        <v>30</v>
      </c>
      <c r="D3116" s="1" t="s">
        <v>19</v>
      </c>
      <c r="E3116" s="1" t="s">
        <v>50</v>
      </c>
      <c r="F3116">
        <v>2006</v>
      </c>
      <c r="G3116">
        <v>12</v>
      </c>
      <c r="H3116" s="1" t="s">
        <v>21</v>
      </c>
      <c r="I3116">
        <v>22</v>
      </c>
      <c r="J3116">
        <v>2447</v>
      </c>
      <c r="K3116" s="1" t="s">
        <v>51</v>
      </c>
      <c r="L3116" s="1" t="s">
        <v>45</v>
      </c>
      <c r="M3116">
        <v>1.1739999999999999</v>
      </c>
      <c r="N3116">
        <v>25822</v>
      </c>
      <c r="O3116">
        <v>25.821999999999999</v>
      </c>
      <c r="P3116" s="2">
        <v>43282</v>
      </c>
      <c r="Q3116">
        <v>1</v>
      </c>
      <c r="R3116" s="1" t="s">
        <v>24</v>
      </c>
    </row>
    <row r="3117" spans="1:18" x14ac:dyDescent="0.25">
      <c r="A3117">
        <v>2018</v>
      </c>
      <c r="B3117">
        <v>8</v>
      </c>
      <c r="C3117" s="1" t="s">
        <v>31</v>
      </c>
      <c r="D3117" s="1" t="s">
        <v>19</v>
      </c>
      <c r="E3117" s="1" t="s">
        <v>50</v>
      </c>
      <c r="F3117">
        <v>2006</v>
      </c>
      <c r="G3117">
        <v>12</v>
      </c>
      <c r="H3117" s="1" t="s">
        <v>21</v>
      </c>
      <c r="I3117">
        <v>22</v>
      </c>
      <c r="J3117">
        <v>2447</v>
      </c>
      <c r="K3117" s="1" t="s">
        <v>51</v>
      </c>
      <c r="L3117" s="1" t="s">
        <v>45</v>
      </c>
      <c r="M3117">
        <v>1.331</v>
      </c>
      <c r="N3117">
        <v>29272.2</v>
      </c>
      <c r="O3117">
        <v>29.271999999999998</v>
      </c>
      <c r="P3117" s="2">
        <v>43313</v>
      </c>
      <c r="Q3117">
        <v>1</v>
      </c>
      <c r="R3117" s="1" t="s">
        <v>24</v>
      </c>
    </row>
    <row r="3118" spans="1:18" x14ac:dyDescent="0.25">
      <c r="A3118">
        <v>2018</v>
      </c>
      <c r="B3118">
        <v>9</v>
      </c>
      <c r="C3118" s="1" t="s">
        <v>32</v>
      </c>
      <c r="D3118" s="1" t="s">
        <v>19</v>
      </c>
      <c r="E3118" s="1" t="s">
        <v>50</v>
      </c>
      <c r="F3118">
        <v>2006</v>
      </c>
      <c r="G3118">
        <v>12</v>
      </c>
      <c r="H3118" s="1" t="s">
        <v>21</v>
      </c>
      <c r="I3118">
        <v>22</v>
      </c>
      <c r="J3118">
        <v>2447</v>
      </c>
      <c r="K3118" s="1" t="s">
        <v>51</v>
      </c>
      <c r="L3118" s="1" t="s">
        <v>45</v>
      </c>
      <c r="M3118">
        <v>0.99099999999999999</v>
      </c>
      <c r="N3118">
        <v>21802.799999999999</v>
      </c>
      <c r="O3118">
        <v>21.803000000000001</v>
      </c>
      <c r="P3118" s="2">
        <v>43344</v>
      </c>
      <c r="Q3118">
        <v>1</v>
      </c>
      <c r="R3118" s="1" t="s">
        <v>24</v>
      </c>
    </row>
    <row r="3119" spans="1:18" x14ac:dyDescent="0.25">
      <c r="A3119">
        <v>2018</v>
      </c>
      <c r="B3119">
        <v>10</v>
      </c>
      <c r="C3119" s="1" t="s">
        <v>33</v>
      </c>
      <c r="D3119" s="1" t="s">
        <v>19</v>
      </c>
      <c r="E3119" s="1" t="s">
        <v>50</v>
      </c>
      <c r="F3119">
        <v>2006</v>
      </c>
      <c r="G3119">
        <v>12</v>
      </c>
      <c r="H3119" s="1" t="s">
        <v>21</v>
      </c>
      <c r="I3119">
        <v>22</v>
      </c>
      <c r="J3119">
        <v>2447</v>
      </c>
      <c r="K3119" s="1" t="s">
        <v>51</v>
      </c>
      <c r="L3119" s="1" t="s">
        <v>45</v>
      </c>
      <c r="M3119">
        <v>1.3779999999999999</v>
      </c>
      <c r="N3119">
        <v>30318.3</v>
      </c>
      <c r="O3119">
        <v>30.318000000000001</v>
      </c>
      <c r="P3119" s="2">
        <v>43374</v>
      </c>
      <c r="Q3119">
        <v>1</v>
      </c>
      <c r="R3119" s="1" t="s">
        <v>24</v>
      </c>
    </row>
    <row r="3120" spans="1:18" x14ac:dyDescent="0.25">
      <c r="A3120">
        <v>2018</v>
      </c>
      <c r="B3120">
        <v>11</v>
      </c>
      <c r="C3120" s="1" t="s">
        <v>34</v>
      </c>
      <c r="D3120" s="1" t="s">
        <v>19</v>
      </c>
      <c r="E3120" s="1" t="s">
        <v>50</v>
      </c>
      <c r="F3120">
        <v>2006</v>
      </c>
      <c r="G3120">
        <v>12</v>
      </c>
      <c r="H3120" s="1" t="s">
        <v>21</v>
      </c>
      <c r="I3120">
        <v>22</v>
      </c>
      <c r="J3120">
        <v>2447</v>
      </c>
      <c r="K3120" s="1" t="s">
        <v>51</v>
      </c>
      <c r="L3120" s="1" t="s">
        <v>45</v>
      </c>
      <c r="M3120">
        <v>0.92100000000000004</v>
      </c>
      <c r="N3120">
        <v>20261.2</v>
      </c>
      <c r="O3120">
        <v>20.260999999999999</v>
      </c>
      <c r="P3120" s="2">
        <v>43405</v>
      </c>
      <c r="Q3120">
        <v>1</v>
      </c>
      <c r="R3120" s="1" t="s">
        <v>24</v>
      </c>
    </row>
    <row r="3121" spans="1:18" x14ac:dyDescent="0.25">
      <c r="A3121">
        <v>2018</v>
      </c>
      <c r="B3121">
        <v>12</v>
      </c>
      <c r="C3121" s="1" t="s">
        <v>35</v>
      </c>
      <c r="D3121" s="1" t="s">
        <v>19</v>
      </c>
      <c r="E3121" s="1" t="s">
        <v>50</v>
      </c>
      <c r="F3121">
        <v>2006</v>
      </c>
      <c r="G3121">
        <v>12</v>
      </c>
      <c r="H3121" s="1" t="s">
        <v>21</v>
      </c>
      <c r="I3121">
        <v>22</v>
      </c>
      <c r="J3121">
        <v>2447</v>
      </c>
      <c r="K3121" s="1" t="s">
        <v>51</v>
      </c>
      <c r="L3121" s="1" t="s">
        <v>45</v>
      </c>
      <c r="M3121">
        <v>1.353</v>
      </c>
      <c r="N3121">
        <v>29767.8</v>
      </c>
      <c r="O3121">
        <v>29.768000000000001</v>
      </c>
      <c r="P3121" s="2">
        <v>43435</v>
      </c>
      <c r="Q3121">
        <v>1</v>
      </c>
      <c r="R3121" s="1" t="s">
        <v>24</v>
      </c>
    </row>
    <row r="3122" spans="1:18" x14ac:dyDescent="0.25">
      <c r="A3122">
        <v>2018</v>
      </c>
      <c r="B3122">
        <v>1</v>
      </c>
      <c r="C3122" s="1" t="s">
        <v>18</v>
      </c>
      <c r="D3122" s="1" t="s">
        <v>19</v>
      </c>
      <c r="E3122" s="1" t="s">
        <v>52</v>
      </c>
      <c r="F3122">
        <v>2006</v>
      </c>
      <c r="G3122">
        <v>12</v>
      </c>
      <c r="H3122" s="1" t="s">
        <v>21</v>
      </c>
      <c r="I3122">
        <v>15</v>
      </c>
      <c r="J3122">
        <v>1866</v>
      </c>
      <c r="K3122" s="1" t="s">
        <v>53</v>
      </c>
      <c r="L3122" s="1" t="s">
        <v>45</v>
      </c>
      <c r="M3122">
        <v>0.94</v>
      </c>
      <c r="N3122">
        <v>14107</v>
      </c>
      <c r="O3122">
        <v>14.106999999999999</v>
      </c>
      <c r="P3122" s="2">
        <v>43101</v>
      </c>
      <c r="Q3122">
        <v>1</v>
      </c>
      <c r="R3122" s="1" t="s">
        <v>24</v>
      </c>
    </row>
    <row r="3123" spans="1:18" x14ac:dyDescent="0.25">
      <c r="A3123">
        <v>2018</v>
      </c>
      <c r="B3123">
        <v>2</v>
      </c>
      <c r="C3123" s="1" t="s">
        <v>25</v>
      </c>
      <c r="D3123" s="1" t="s">
        <v>19</v>
      </c>
      <c r="E3123" s="1" t="s">
        <v>52</v>
      </c>
      <c r="F3123">
        <v>2006</v>
      </c>
      <c r="G3123">
        <v>12</v>
      </c>
      <c r="H3123" s="1" t="s">
        <v>21</v>
      </c>
      <c r="I3123">
        <v>15</v>
      </c>
      <c r="J3123">
        <v>1866</v>
      </c>
      <c r="K3123" s="1" t="s">
        <v>53</v>
      </c>
      <c r="L3123" s="1" t="s">
        <v>45</v>
      </c>
      <c r="M3123">
        <v>0.88300000000000001</v>
      </c>
      <c r="N3123">
        <v>13239.3</v>
      </c>
      <c r="O3123">
        <v>13.239000000000001</v>
      </c>
      <c r="P3123" s="2">
        <v>43132</v>
      </c>
      <c r="Q3123">
        <v>1</v>
      </c>
      <c r="R3123" s="1" t="s">
        <v>24</v>
      </c>
    </row>
    <row r="3124" spans="1:18" x14ac:dyDescent="0.25">
      <c r="A3124">
        <v>2018</v>
      </c>
      <c r="B3124">
        <v>3</v>
      </c>
      <c r="C3124" s="1" t="s">
        <v>26</v>
      </c>
      <c r="D3124" s="1" t="s">
        <v>19</v>
      </c>
      <c r="E3124" s="1" t="s">
        <v>52</v>
      </c>
      <c r="F3124">
        <v>2006</v>
      </c>
      <c r="G3124">
        <v>12</v>
      </c>
      <c r="H3124" s="1" t="s">
        <v>21</v>
      </c>
      <c r="I3124">
        <v>15</v>
      </c>
      <c r="J3124">
        <v>1866</v>
      </c>
      <c r="K3124" s="1" t="s">
        <v>53</v>
      </c>
      <c r="L3124" s="1" t="s">
        <v>45</v>
      </c>
      <c r="M3124">
        <v>1.2290000000000001</v>
      </c>
      <c r="N3124">
        <v>18431.400000000001</v>
      </c>
      <c r="O3124">
        <v>18.431000000000001</v>
      </c>
      <c r="P3124" s="2">
        <v>43160</v>
      </c>
      <c r="Q3124">
        <v>1</v>
      </c>
      <c r="R3124" s="1" t="s">
        <v>24</v>
      </c>
    </row>
    <row r="3125" spans="1:18" x14ac:dyDescent="0.25">
      <c r="A3125">
        <v>2018</v>
      </c>
      <c r="B3125">
        <v>4</v>
      </c>
      <c r="C3125" s="1" t="s">
        <v>27</v>
      </c>
      <c r="D3125" s="1" t="s">
        <v>19</v>
      </c>
      <c r="E3125" s="1" t="s">
        <v>52</v>
      </c>
      <c r="F3125">
        <v>2006</v>
      </c>
      <c r="G3125">
        <v>12</v>
      </c>
      <c r="H3125" s="1" t="s">
        <v>21</v>
      </c>
      <c r="I3125">
        <v>15</v>
      </c>
      <c r="J3125">
        <v>1866</v>
      </c>
      <c r="K3125" s="1" t="s">
        <v>53</v>
      </c>
      <c r="L3125" s="1" t="s">
        <v>45</v>
      </c>
      <c r="M3125">
        <v>1.0900000000000001</v>
      </c>
      <c r="N3125">
        <v>16346.2</v>
      </c>
      <c r="O3125">
        <v>16.346</v>
      </c>
      <c r="P3125" s="2">
        <v>43191</v>
      </c>
      <c r="Q3125">
        <v>1</v>
      </c>
      <c r="R3125" s="1" t="s">
        <v>24</v>
      </c>
    </row>
    <row r="3126" spans="1:18" x14ac:dyDescent="0.25">
      <c r="A3126">
        <v>2018</v>
      </c>
      <c r="B3126">
        <v>5</v>
      </c>
      <c r="C3126" s="1" t="s">
        <v>28</v>
      </c>
      <c r="D3126" s="1" t="s">
        <v>19</v>
      </c>
      <c r="E3126" s="1" t="s">
        <v>52</v>
      </c>
      <c r="F3126">
        <v>2006</v>
      </c>
      <c r="G3126">
        <v>12</v>
      </c>
      <c r="H3126" s="1" t="s">
        <v>21</v>
      </c>
      <c r="I3126">
        <v>15</v>
      </c>
      <c r="J3126">
        <v>1866</v>
      </c>
      <c r="K3126" s="1" t="s">
        <v>53</v>
      </c>
      <c r="L3126" s="1" t="s">
        <v>45</v>
      </c>
      <c r="M3126">
        <v>1.399</v>
      </c>
      <c r="N3126">
        <v>20978.5</v>
      </c>
      <c r="O3126">
        <v>20.978999999999999</v>
      </c>
      <c r="P3126" s="2">
        <v>43221</v>
      </c>
      <c r="Q3126">
        <v>1</v>
      </c>
      <c r="R3126" s="1" t="s">
        <v>24</v>
      </c>
    </row>
    <row r="3127" spans="1:18" x14ac:dyDescent="0.25">
      <c r="A3127">
        <v>2018</v>
      </c>
      <c r="B3127">
        <v>6</v>
      </c>
      <c r="C3127" s="1" t="s">
        <v>29</v>
      </c>
      <c r="D3127" s="1" t="s">
        <v>19</v>
      </c>
      <c r="E3127" s="1" t="s">
        <v>52</v>
      </c>
      <c r="F3127">
        <v>2006</v>
      </c>
      <c r="G3127">
        <v>12</v>
      </c>
      <c r="H3127" s="1" t="s">
        <v>21</v>
      </c>
      <c r="I3127">
        <v>15</v>
      </c>
      <c r="J3127">
        <v>1866</v>
      </c>
      <c r="K3127" s="1" t="s">
        <v>53</v>
      </c>
      <c r="L3127" s="1" t="s">
        <v>45</v>
      </c>
      <c r="M3127">
        <v>0.94499999999999995</v>
      </c>
      <c r="N3127">
        <v>14176.9</v>
      </c>
      <c r="O3127">
        <v>14.177</v>
      </c>
      <c r="P3127" s="2">
        <v>43252</v>
      </c>
      <c r="Q3127">
        <v>1</v>
      </c>
      <c r="R3127" s="1" t="s">
        <v>24</v>
      </c>
    </row>
    <row r="3128" spans="1:18" x14ac:dyDescent="0.25">
      <c r="A3128">
        <v>2018</v>
      </c>
      <c r="B3128">
        <v>7</v>
      </c>
      <c r="C3128" s="1" t="s">
        <v>30</v>
      </c>
      <c r="D3128" s="1" t="s">
        <v>19</v>
      </c>
      <c r="E3128" s="1" t="s">
        <v>52</v>
      </c>
      <c r="F3128">
        <v>2006</v>
      </c>
      <c r="G3128">
        <v>12</v>
      </c>
      <c r="H3128" s="1" t="s">
        <v>21</v>
      </c>
      <c r="I3128">
        <v>15</v>
      </c>
      <c r="J3128">
        <v>1866</v>
      </c>
      <c r="K3128" s="1" t="s">
        <v>53</v>
      </c>
      <c r="L3128" s="1" t="s">
        <v>45</v>
      </c>
      <c r="M3128">
        <v>1.3129999999999999</v>
      </c>
      <c r="N3128">
        <v>19691</v>
      </c>
      <c r="O3128">
        <v>19.690999999999999</v>
      </c>
      <c r="P3128" s="2">
        <v>43282</v>
      </c>
      <c r="Q3128">
        <v>1</v>
      </c>
      <c r="R3128" s="1" t="s">
        <v>24</v>
      </c>
    </row>
    <row r="3129" spans="1:18" x14ac:dyDescent="0.25">
      <c r="A3129">
        <v>2018</v>
      </c>
      <c r="B3129">
        <v>8</v>
      </c>
      <c r="C3129" s="1" t="s">
        <v>31</v>
      </c>
      <c r="D3129" s="1" t="s">
        <v>19</v>
      </c>
      <c r="E3129" s="1" t="s">
        <v>52</v>
      </c>
      <c r="F3129">
        <v>2006</v>
      </c>
      <c r="G3129">
        <v>12</v>
      </c>
      <c r="H3129" s="1" t="s">
        <v>21</v>
      </c>
      <c r="I3129">
        <v>15</v>
      </c>
      <c r="J3129">
        <v>1866</v>
      </c>
      <c r="K3129" s="1" t="s">
        <v>53</v>
      </c>
      <c r="L3129" s="1" t="s">
        <v>45</v>
      </c>
      <c r="M3129">
        <v>1.488</v>
      </c>
      <c r="N3129">
        <v>22322</v>
      </c>
      <c r="O3129">
        <v>22.321999999999999</v>
      </c>
      <c r="P3129" s="2">
        <v>43313</v>
      </c>
      <c r="Q3129">
        <v>1</v>
      </c>
      <c r="R3129" s="1" t="s">
        <v>24</v>
      </c>
    </row>
    <row r="3130" spans="1:18" x14ac:dyDescent="0.25">
      <c r="A3130">
        <v>2018</v>
      </c>
      <c r="B3130">
        <v>9</v>
      </c>
      <c r="C3130" s="1" t="s">
        <v>32</v>
      </c>
      <c r="D3130" s="1" t="s">
        <v>19</v>
      </c>
      <c r="E3130" s="1" t="s">
        <v>52</v>
      </c>
      <c r="F3130">
        <v>2006</v>
      </c>
      <c r="G3130">
        <v>12</v>
      </c>
      <c r="H3130" s="1" t="s">
        <v>21</v>
      </c>
      <c r="I3130">
        <v>15</v>
      </c>
      <c r="J3130">
        <v>1866</v>
      </c>
      <c r="K3130" s="1" t="s">
        <v>53</v>
      </c>
      <c r="L3130" s="1" t="s">
        <v>45</v>
      </c>
      <c r="M3130">
        <v>1.1080000000000001</v>
      </c>
      <c r="N3130">
        <v>16626.099999999999</v>
      </c>
      <c r="O3130">
        <v>16.626000000000001</v>
      </c>
      <c r="P3130" s="2">
        <v>43344</v>
      </c>
      <c r="Q3130">
        <v>1</v>
      </c>
      <c r="R3130" s="1" t="s">
        <v>24</v>
      </c>
    </row>
    <row r="3131" spans="1:18" x14ac:dyDescent="0.25">
      <c r="A3131">
        <v>2018</v>
      </c>
      <c r="B3131">
        <v>10</v>
      </c>
      <c r="C3131" s="1" t="s">
        <v>33</v>
      </c>
      <c r="D3131" s="1" t="s">
        <v>19</v>
      </c>
      <c r="E3131" s="1" t="s">
        <v>52</v>
      </c>
      <c r="F3131">
        <v>2006</v>
      </c>
      <c r="G3131">
        <v>12</v>
      </c>
      <c r="H3131" s="1" t="s">
        <v>21</v>
      </c>
      <c r="I3131">
        <v>15</v>
      </c>
      <c r="J3131">
        <v>1866</v>
      </c>
      <c r="K3131" s="1" t="s">
        <v>53</v>
      </c>
      <c r="L3131" s="1" t="s">
        <v>45</v>
      </c>
      <c r="M3131">
        <v>1.5409999999999999</v>
      </c>
      <c r="N3131">
        <v>23119.7</v>
      </c>
      <c r="O3131">
        <v>23.12</v>
      </c>
      <c r="P3131" s="2">
        <v>43374</v>
      </c>
      <c r="Q3131">
        <v>1</v>
      </c>
      <c r="R3131" s="1" t="s">
        <v>24</v>
      </c>
    </row>
    <row r="3132" spans="1:18" x14ac:dyDescent="0.25">
      <c r="A3132">
        <v>2018</v>
      </c>
      <c r="B3132">
        <v>11</v>
      </c>
      <c r="C3132" s="1" t="s">
        <v>34</v>
      </c>
      <c r="D3132" s="1" t="s">
        <v>19</v>
      </c>
      <c r="E3132" s="1" t="s">
        <v>52</v>
      </c>
      <c r="F3132">
        <v>2006</v>
      </c>
      <c r="G3132">
        <v>12</v>
      </c>
      <c r="H3132" s="1" t="s">
        <v>21</v>
      </c>
      <c r="I3132">
        <v>15</v>
      </c>
      <c r="J3132">
        <v>1866</v>
      </c>
      <c r="K3132" s="1" t="s">
        <v>53</v>
      </c>
      <c r="L3132" s="1" t="s">
        <v>45</v>
      </c>
      <c r="M3132">
        <v>1.03</v>
      </c>
      <c r="N3132">
        <v>15450.5</v>
      </c>
      <c r="O3132">
        <v>15.45</v>
      </c>
      <c r="P3132" s="2">
        <v>43405</v>
      </c>
      <c r="Q3132">
        <v>1</v>
      </c>
      <c r="R3132" s="1" t="s">
        <v>24</v>
      </c>
    </row>
    <row r="3133" spans="1:18" x14ac:dyDescent="0.25">
      <c r="A3133">
        <v>2018</v>
      </c>
      <c r="B3133">
        <v>12</v>
      </c>
      <c r="C3133" s="1" t="s">
        <v>35</v>
      </c>
      <c r="D3133" s="1" t="s">
        <v>19</v>
      </c>
      <c r="E3133" s="1" t="s">
        <v>52</v>
      </c>
      <c r="F3133">
        <v>2006</v>
      </c>
      <c r="G3133">
        <v>12</v>
      </c>
      <c r="H3133" s="1" t="s">
        <v>21</v>
      </c>
      <c r="I3133">
        <v>15</v>
      </c>
      <c r="J3133">
        <v>1866</v>
      </c>
      <c r="K3133" s="1" t="s">
        <v>53</v>
      </c>
      <c r="L3133" s="1" t="s">
        <v>45</v>
      </c>
      <c r="M3133">
        <v>1.5129999999999999</v>
      </c>
      <c r="N3133">
        <v>22699.9</v>
      </c>
      <c r="O3133">
        <v>22.7</v>
      </c>
      <c r="P3133" s="2">
        <v>43435</v>
      </c>
      <c r="Q3133">
        <v>1</v>
      </c>
      <c r="R3133" s="1" t="s">
        <v>24</v>
      </c>
    </row>
    <row r="3134" spans="1:18" x14ac:dyDescent="0.25">
      <c r="A3134">
        <v>2018</v>
      </c>
      <c r="B3134">
        <v>1</v>
      </c>
      <c r="C3134" s="1" t="s">
        <v>18</v>
      </c>
      <c r="D3134" s="1" t="s">
        <v>19</v>
      </c>
      <c r="E3134" s="1" t="s">
        <v>54</v>
      </c>
      <c r="F3134">
        <v>2006</v>
      </c>
      <c r="G3134">
        <v>12</v>
      </c>
      <c r="H3134" s="1" t="s">
        <v>21</v>
      </c>
      <c r="I3134">
        <v>25</v>
      </c>
      <c r="J3134">
        <v>3154</v>
      </c>
      <c r="K3134" s="1" t="s">
        <v>55</v>
      </c>
      <c r="L3134" s="1" t="s">
        <v>45</v>
      </c>
      <c r="M3134">
        <v>0.95399999999999996</v>
      </c>
      <c r="N3134">
        <v>23844.2</v>
      </c>
      <c r="O3134">
        <v>23.844000000000001</v>
      </c>
      <c r="P3134" s="2">
        <v>43101</v>
      </c>
      <c r="Q3134">
        <v>1</v>
      </c>
      <c r="R3134" s="1" t="s">
        <v>24</v>
      </c>
    </row>
    <row r="3135" spans="1:18" x14ac:dyDescent="0.25">
      <c r="A3135">
        <v>2018</v>
      </c>
      <c r="B3135">
        <v>2</v>
      </c>
      <c r="C3135" s="1" t="s">
        <v>25</v>
      </c>
      <c r="D3135" s="1" t="s">
        <v>19</v>
      </c>
      <c r="E3135" s="1" t="s">
        <v>54</v>
      </c>
      <c r="F3135">
        <v>2006</v>
      </c>
      <c r="G3135">
        <v>12</v>
      </c>
      <c r="H3135" s="1" t="s">
        <v>21</v>
      </c>
      <c r="I3135">
        <v>25</v>
      </c>
      <c r="J3135">
        <v>3154</v>
      </c>
      <c r="K3135" s="1" t="s">
        <v>55</v>
      </c>
      <c r="L3135" s="1" t="s">
        <v>45</v>
      </c>
      <c r="M3135">
        <v>0.89500000000000002</v>
      </c>
      <c r="N3135">
        <v>22377.599999999999</v>
      </c>
      <c r="O3135">
        <v>22.378</v>
      </c>
      <c r="P3135" s="2">
        <v>43132</v>
      </c>
      <c r="Q3135">
        <v>1</v>
      </c>
      <c r="R3135" s="1" t="s">
        <v>24</v>
      </c>
    </row>
    <row r="3136" spans="1:18" x14ac:dyDescent="0.25">
      <c r="A3136">
        <v>2018</v>
      </c>
      <c r="B3136">
        <v>3</v>
      </c>
      <c r="C3136" s="1" t="s">
        <v>26</v>
      </c>
      <c r="D3136" s="1" t="s">
        <v>19</v>
      </c>
      <c r="E3136" s="1" t="s">
        <v>54</v>
      </c>
      <c r="F3136">
        <v>2006</v>
      </c>
      <c r="G3136">
        <v>12</v>
      </c>
      <c r="H3136" s="1" t="s">
        <v>21</v>
      </c>
      <c r="I3136">
        <v>25</v>
      </c>
      <c r="J3136">
        <v>3154</v>
      </c>
      <c r="K3136" s="1" t="s">
        <v>55</v>
      </c>
      <c r="L3136" s="1" t="s">
        <v>45</v>
      </c>
      <c r="M3136">
        <v>1.246</v>
      </c>
      <c r="N3136">
        <v>31153.599999999999</v>
      </c>
      <c r="O3136">
        <v>31.154</v>
      </c>
      <c r="P3136" s="2">
        <v>43160</v>
      </c>
      <c r="Q3136">
        <v>1</v>
      </c>
      <c r="R3136" s="1" t="s">
        <v>24</v>
      </c>
    </row>
    <row r="3137" spans="1:18" x14ac:dyDescent="0.25">
      <c r="A3137">
        <v>2018</v>
      </c>
      <c r="B3137">
        <v>4</v>
      </c>
      <c r="C3137" s="1" t="s">
        <v>27</v>
      </c>
      <c r="D3137" s="1" t="s">
        <v>19</v>
      </c>
      <c r="E3137" s="1" t="s">
        <v>54</v>
      </c>
      <c r="F3137">
        <v>2006</v>
      </c>
      <c r="G3137">
        <v>12</v>
      </c>
      <c r="H3137" s="1" t="s">
        <v>21</v>
      </c>
      <c r="I3137">
        <v>25</v>
      </c>
      <c r="J3137">
        <v>3154</v>
      </c>
      <c r="K3137" s="1" t="s">
        <v>55</v>
      </c>
      <c r="L3137" s="1" t="s">
        <v>45</v>
      </c>
      <c r="M3137">
        <v>1.105</v>
      </c>
      <c r="N3137">
        <v>27629</v>
      </c>
      <c r="O3137">
        <v>27.629000000000001</v>
      </c>
      <c r="P3137" s="2">
        <v>43191</v>
      </c>
      <c r="Q3137">
        <v>1</v>
      </c>
      <c r="R3137" s="1" t="s">
        <v>24</v>
      </c>
    </row>
    <row r="3138" spans="1:18" x14ac:dyDescent="0.25">
      <c r="A3138">
        <v>2018</v>
      </c>
      <c r="B3138">
        <v>5</v>
      </c>
      <c r="C3138" s="1" t="s">
        <v>28</v>
      </c>
      <c r="D3138" s="1" t="s">
        <v>19</v>
      </c>
      <c r="E3138" s="1" t="s">
        <v>54</v>
      </c>
      <c r="F3138">
        <v>2006</v>
      </c>
      <c r="G3138">
        <v>12</v>
      </c>
      <c r="H3138" s="1" t="s">
        <v>21</v>
      </c>
      <c r="I3138">
        <v>25</v>
      </c>
      <c r="J3138">
        <v>3154</v>
      </c>
      <c r="K3138" s="1" t="s">
        <v>55</v>
      </c>
      <c r="L3138" s="1" t="s">
        <v>45</v>
      </c>
      <c r="M3138">
        <v>1.4179999999999999</v>
      </c>
      <c r="N3138">
        <v>35458.800000000003</v>
      </c>
      <c r="O3138">
        <v>35.459000000000003</v>
      </c>
      <c r="P3138" s="2">
        <v>43221</v>
      </c>
      <c r="Q3138">
        <v>1</v>
      </c>
      <c r="R3138" s="1" t="s">
        <v>24</v>
      </c>
    </row>
    <row r="3139" spans="1:18" x14ac:dyDescent="0.25">
      <c r="A3139">
        <v>2018</v>
      </c>
      <c r="B3139">
        <v>6</v>
      </c>
      <c r="C3139" s="1" t="s">
        <v>29</v>
      </c>
      <c r="D3139" s="1" t="s">
        <v>19</v>
      </c>
      <c r="E3139" s="1" t="s">
        <v>54</v>
      </c>
      <c r="F3139">
        <v>2006</v>
      </c>
      <c r="G3139">
        <v>12</v>
      </c>
      <c r="H3139" s="1" t="s">
        <v>21</v>
      </c>
      <c r="I3139">
        <v>25</v>
      </c>
      <c r="J3139">
        <v>3154</v>
      </c>
      <c r="K3139" s="1" t="s">
        <v>55</v>
      </c>
      <c r="L3139" s="1" t="s">
        <v>45</v>
      </c>
      <c r="M3139">
        <v>0.95899999999999996</v>
      </c>
      <c r="N3139">
        <v>23962.5</v>
      </c>
      <c r="O3139">
        <v>23.963000000000001</v>
      </c>
      <c r="P3139" s="2">
        <v>43252</v>
      </c>
      <c r="Q3139">
        <v>1</v>
      </c>
      <c r="R3139" s="1" t="s">
        <v>24</v>
      </c>
    </row>
    <row r="3140" spans="1:18" x14ac:dyDescent="0.25">
      <c r="A3140">
        <v>2018</v>
      </c>
      <c r="B3140">
        <v>7</v>
      </c>
      <c r="C3140" s="1" t="s">
        <v>30</v>
      </c>
      <c r="D3140" s="1" t="s">
        <v>19</v>
      </c>
      <c r="E3140" s="1" t="s">
        <v>54</v>
      </c>
      <c r="F3140">
        <v>2006</v>
      </c>
      <c r="G3140">
        <v>12</v>
      </c>
      <c r="H3140" s="1" t="s">
        <v>21</v>
      </c>
      <c r="I3140">
        <v>25</v>
      </c>
      <c r="J3140">
        <v>3154</v>
      </c>
      <c r="K3140" s="1" t="s">
        <v>55</v>
      </c>
      <c r="L3140" s="1" t="s">
        <v>45</v>
      </c>
      <c r="M3140">
        <v>1.331</v>
      </c>
      <c r="N3140">
        <v>33282.6</v>
      </c>
      <c r="O3140">
        <v>33.283000000000001</v>
      </c>
      <c r="P3140" s="2">
        <v>43282</v>
      </c>
      <c r="Q3140">
        <v>1</v>
      </c>
      <c r="R3140" s="1" t="s">
        <v>24</v>
      </c>
    </row>
    <row r="3141" spans="1:18" x14ac:dyDescent="0.25">
      <c r="A3141">
        <v>2018</v>
      </c>
      <c r="B3141">
        <v>8</v>
      </c>
      <c r="C3141" s="1" t="s">
        <v>31</v>
      </c>
      <c r="D3141" s="1" t="s">
        <v>19</v>
      </c>
      <c r="E3141" s="1" t="s">
        <v>54</v>
      </c>
      <c r="F3141">
        <v>2006</v>
      </c>
      <c r="G3141">
        <v>12</v>
      </c>
      <c r="H3141" s="1" t="s">
        <v>21</v>
      </c>
      <c r="I3141">
        <v>25</v>
      </c>
      <c r="J3141">
        <v>3154</v>
      </c>
      <c r="K3141" s="1" t="s">
        <v>55</v>
      </c>
      <c r="L3141" s="1" t="s">
        <v>45</v>
      </c>
      <c r="M3141">
        <v>1.5089999999999999</v>
      </c>
      <c r="N3141">
        <v>37729.699999999997</v>
      </c>
      <c r="O3141">
        <v>37.729999999999997</v>
      </c>
      <c r="P3141" s="2">
        <v>43313</v>
      </c>
      <c r="Q3141">
        <v>1</v>
      </c>
      <c r="R3141" s="1" t="s">
        <v>24</v>
      </c>
    </row>
    <row r="3142" spans="1:18" x14ac:dyDescent="0.25">
      <c r="A3142">
        <v>2018</v>
      </c>
      <c r="B3142">
        <v>9</v>
      </c>
      <c r="C3142" s="1" t="s">
        <v>32</v>
      </c>
      <c r="D3142" s="1" t="s">
        <v>19</v>
      </c>
      <c r="E3142" s="1" t="s">
        <v>54</v>
      </c>
      <c r="F3142">
        <v>2006</v>
      </c>
      <c r="G3142">
        <v>12</v>
      </c>
      <c r="H3142" s="1" t="s">
        <v>21</v>
      </c>
      <c r="I3142">
        <v>25</v>
      </c>
      <c r="J3142">
        <v>3154</v>
      </c>
      <c r="K3142" s="1" t="s">
        <v>55</v>
      </c>
      <c r="L3142" s="1" t="s">
        <v>45</v>
      </c>
      <c r="M3142">
        <v>1.1240000000000001</v>
      </c>
      <c r="N3142">
        <v>28102.1</v>
      </c>
      <c r="O3142">
        <v>28.102</v>
      </c>
      <c r="P3142" s="2">
        <v>43344</v>
      </c>
      <c r="Q3142">
        <v>1</v>
      </c>
      <c r="R3142" s="1" t="s">
        <v>24</v>
      </c>
    </row>
    <row r="3143" spans="1:18" x14ac:dyDescent="0.25">
      <c r="A3143">
        <v>2018</v>
      </c>
      <c r="B3143">
        <v>10</v>
      </c>
      <c r="C3143" s="1" t="s">
        <v>33</v>
      </c>
      <c r="D3143" s="1" t="s">
        <v>19</v>
      </c>
      <c r="E3143" s="1" t="s">
        <v>54</v>
      </c>
      <c r="F3143">
        <v>2006</v>
      </c>
      <c r="G3143">
        <v>12</v>
      </c>
      <c r="H3143" s="1" t="s">
        <v>21</v>
      </c>
      <c r="I3143">
        <v>25</v>
      </c>
      <c r="J3143">
        <v>3154</v>
      </c>
      <c r="K3143" s="1" t="s">
        <v>55</v>
      </c>
      <c r="L3143" s="1" t="s">
        <v>45</v>
      </c>
      <c r="M3143">
        <v>1.5629999999999999</v>
      </c>
      <c r="N3143">
        <v>39078.1</v>
      </c>
      <c r="O3143">
        <v>39.078000000000003</v>
      </c>
      <c r="P3143" s="2">
        <v>43374</v>
      </c>
      <c r="Q3143">
        <v>1</v>
      </c>
      <c r="R3143" s="1" t="s">
        <v>24</v>
      </c>
    </row>
    <row r="3144" spans="1:18" x14ac:dyDescent="0.25">
      <c r="A3144">
        <v>2018</v>
      </c>
      <c r="B3144">
        <v>11</v>
      </c>
      <c r="C3144" s="1" t="s">
        <v>34</v>
      </c>
      <c r="D3144" s="1" t="s">
        <v>19</v>
      </c>
      <c r="E3144" s="1" t="s">
        <v>54</v>
      </c>
      <c r="F3144">
        <v>2006</v>
      </c>
      <c r="G3144">
        <v>12</v>
      </c>
      <c r="H3144" s="1" t="s">
        <v>21</v>
      </c>
      <c r="I3144">
        <v>25</v>
      </c>
      <c r="J3144">
        <v>3154</v>
      </c>
      <c r="K3144" s="1" t="s">
        <v>55</v>
      </c>
      <c r="L3144" s="1" t="s">
        <v>45</v>
      </c>
      <c r="M3144">
        <v>1.0449999999999999</v>
      </c>
      <c r="N3144">
        <v>26115.1</v>
      </c>
      <c r="O3144">
        <v>26.114999999999998</v>
      </c>
      <c r="P3144" s="2">
        <v>43405</v>
      </c>
      <c r="Q3144">
        <v>1</v>
      </c>
      <c r="R3144" s="1" t="s">
        <v>24</v>
      </c>
    </row>
    <row r="3145" spans="1:18" x14ac:dyDescent="0.25">
      <c r="A3145">
        <v>2018</v>
      </c>
      <c r="B3145">
        <v>12</v>
      </c>
      <c r="C3145" s="1" t="s">
        <v>35</v>
      </c>
      <c r="D3145" s="1" t="s">
        <v>19</v>
      </c>
      <c r="E3145" s="1" t="s">
        <v>54</v>
      </c>
      <c r="F3145">
        <v>2006</v>
      </c>
      <c r="G3145">
        <v>12</v>
      </c>
      <c r="H3145" s="1" t="s">
        <v>21</v>
      </c>
      <c r="I3145">
        <v>25</v>
      </c>
      <c r="J3145">
        <v>3154</v>
      </c>
      <c r="K3145" s="1" t="s">
        <v>55</v>
      </c>
      <c r="L3145" s="1" t="s">
        <v>45</v>
      </c>
      <c r="M3145">
        <v>1.5349999999999999</v>
      </c>
      <c r="N3145">
        <v>38368.400000000001</v>
      </c>
      <c r="O3145">
        <v>38.368000000000002</v>
      </c>
      <c r="P3145" s="2">
        <v>43435</v>
      </c>
      <c r="Q3145">
        <v>1</v>
      </c>
      <c r="R3145" s="1" t="s">
        <v>24</v>
      </c>
    </row>
    <row r="3146" spans="1:18" x14ac:dyDescent="0.25">
      <c r="A3146">
        <v>2018</v>
      </c>
      <c r="B3146">
        <v>1</v>
      </c>
      <c r="C3146" s="1" t="s">
        <v>18</v>
      </c>
      <c r="D3146" s="1" t="s">
        <v>19</v>
      </c>
      <c r="E3146" s="1" t="s">
        <v>56</v>
      </c>
      <c r="F3146">
        <v>2006</v>
      </c>
      <c r="G3146">
        <v>12</v>
      </c>
      <c r="H3146" s="1" t="s">
        <v>21</v>
      </c>
      <c r="I3146">
        <v>35</v>
      </c>
      <c r="J3146">
        <v>4204</v>
      </c>
      <c r="K3146" s="1" t="s">
        <v>57</v>
      </c>
      <c r="L3146" s="1" t="s">
        <v>45</v>
      </c>
      <c r="M3146">
        <v>0.90800000000000003</v>
      </c>
      <c r="N3146">
        <v>31782.2</v>
      </c>
      <c r="O3146">
        <v>31.782</v>
      </c>
      <c r="P3146" s="2">
        <v>43101</v>
      </c>
      <c r="Q3146">
        <v>1</v>
      </c>
      <c r="R3146" s="1" t="s">
        <v>24</v>
      </c>
    </row>
    <row r="3147" spans="1:18" x14ac:dyDescent="0.25">
      <c r="A3147">
        <v>2018</v>
      </c>
      <c r="B3147">
        <v>2</v>
      </c>
      <c r="C3147" s="1" t="s">
        <v>25</v>
      </c>
      <c r="D3147" s="1" t="s">
        <v>19</v>
      </c>
      <c r="E3147" s="1" t="s">
        <v>56</v>
      </c>
      <c r="F3147">
        <v>2006</v>
      </c>
      <c r="G3147">
        <v>12</v>
      </c>
      <c r="H3147" s="1" t="s">
        <v>21</v>
      </c>
      <c r="I3147">
        <v>35</v>
      </c>
      <c r="J3147">
        <v>4204</v>
      </c>
      <c r="K3147" s="1" t="s">
        <v>57</v>
      </c>
      <c r="L3147" s="1" t="s">
        <v>45</v>
      </c>
      <c r="M3147">
        <v>0.85199999999999998</v>
      </c>
      <c r="N3147">
        <v>29827.4</v>
      </c>
      <c r="O3147">
        <v>29.827000000000002</v>
      </c>
      <c r="P3147" s="2">
        <v>43132</v>
      </c>
      <c r="Q3147">
        <v>1</v>
      </c>
      <c r="R3147" s="1" t="s">
        <v>24</v>
      </c>
    </row>
    <row r="3148" spans="1:18" x14ac:dyDescent="0.25">
      <c r="A3148">
        <v>2018</v>
      </c>
      <c r="B3148">
        <v>3</v>
      </c>
      <c r="C3148" s="1" t="s">
        <v>26</v>
      </c>
      <c r="D3148" s="1" t="s">
        <v>19</v>
      </c>
      <c r="E3148" s="1" t="s">
        <v>56</v>
      </c>
      <c r="F3148">
        <v>2006</v>
      </c>
      <c r="G3148">
        <v>12</v>
      </c>
      <c r="H3148" s="1" t="s">
        <v>21</v>
      </c>
      <c r="I3148">
        <v>35</v>
      </c>
      <c r="J3148">
        <v>4204</v>
      </c>
      <c r="K3148" s="1" t="s">
        <v>57</v>
      </c>
      <c r="L3148" s="1" t="s">
        <v>45</v>
      </c>
      <c r="M3148">
        <v>1.1859999999999999</v>
      </c>
      <c r="N3148">
        <v>41525</v>
      </c>
      <c r="O3148">
        <v>41.524999999999999</v>
      </c>
      <c r="P3148" s="2">
        <v>43160</v>
      </c>
      <c r="Q3148">
        <v>1</v>
      </c>
      <c r="R3148" s="1" t="s">
        <v>24</v>
      </c>
    </row>
    <row r="3149" spans="1:18" x14ac:dyDescent="0.25">
      <c r="A3149">
        <v>2018</v>
      </c>
      <c r="B3149">
        <v>4</v>
      </c>
      <c r="C3149" s="1" t="s">
        <v>27</v>
      </c>
      <c r="D3149" s="1" t="s">
        <v>19</v>
      </c>
      <c r="E3149" s="1" t="s">
        <v>56</v>
      </c>
      <c r="F3149">
        <v>2006</v>
      </c>
      <c r="G3149">
        <v>12</v>
      </c>
      <c r="H3149" s="1" t="s">
        <v>21</v>
      </c>
      <c r="I3149">
        <v>35</v>
      </c>
      <c r="J3149">
        <v>4204</v>
      </c>
      <c r="K3149" s="1" t="s">
        <v>57</v>
      </c>
      <c r="L3149" s="1" t="s">
        <v>45</v>
      </c>
      <c r="M3149">
        <v>1.052</v>
      </c>
      <c r="N3149">
        <v>36827</v>
      </c>
      <c r="O3149">
        <v>36.826999999999998</v>
      </c>
      <c r="P3149" s="2">
        <v>43191</v>
      </c>
      <c r="Q3149">
        <v>1</v>
      </c>
      <c r="R3149" s="1" t="s">
        <v>24</v>
      </c>
    </row>
    <row r="3150" spans="1:18" x14ac:dyDescent="0.25">
      <c r="A3150">
        <v>2018</v>
      </c>
      <c r="B3150">
        <v>5</v>
      </c>
      <c r="C3150" s="1" t="s">
        <v>28</v>
      </c>
      <c r="D3150" s="1" t="s">
        <v>19</v>
      </c>
      <c r="E3150" s="1" t="s">
        <v>56</v>
      </c>
      <c r="F3150">
        <v>2006</v>
      </c>
      <c r="G3150">
        <v>12</v>
      </c>
      <c r="H3150" s="1" t="s">
        <v>21</v>
      </c>
      <c r="I3150">
        <v>35</v>
      </c>
      <c r="J3150">
        <v>4204</v>
      </c>
      <c r="K3150" s="1" t="s">
        <v>57</v>
      </c>
      <c r="L3150" s="1" t="s">
        <v>45</v>
      </c>
      <c r="M3150">
        <v>1.35</v>
      </c>
      <c r="N3150">
        <v>47263.5</v>
      </c>
      <c r="O3150">
        <v>47.262999999999998</v>
      </c>
      <c r="P3150" s="2">
        <v>43221</v>
      </c>
      <c r="Q3150">
        <v>1</v>
      </c>
      <c r="R3150" s="1" t="s">
        <v>24</v>
      </c>
    </row>
    <row r="3151" spans="1:18" x14ac:dyDescent="0.25">
      <c r="A3151">
        <v>2018</v>
      </c>
      <c r="B3151">
        <v>6</v>
      </c>
      <c r="C3151" s="1" t="s">
        <v>29</v>
      </c>
      <c r="D3151" s="1" t="s">
        <v>19</v>
      </c>
      <c r="E3151" s="1" t="s">
        <v>56</v>
      </c>
      <c r="F3151">
        <v>2006</v>
      </c>
      <c r="G3151">
        <v>12</v>
      </c>
      <c r="H3151" s="1" t="s">
        <v>21</v>
      </c>
      <c r="I3151">
        <v>35</v>
      </c>
      <c r="J3151">
        <v>4204</v>
      </c>
      <c r="K3151" s="1" t="s">
        <v>57</v>
      </c>
      <c r="L3151" s="1" t="s">
        <v>45</v>
      </c>
      <c r="M3151">
        <v>0.91300000000000003</v>
      </c>
      <c r="N3151">
        <v>31939.9</v>
      </c>
      <c r="O3151">
        <v>31.94</v>
      </c>
      <c r="P3151" s="2">
        <v>43252</v>
      </c>
      <c r="Q3151">
        <v>1</v>
      </c>
      <c r="R3151" s="1" t="s">
        <v>24</v>
      </c>
    </row>
    <row r="3152" spans="1:18" x14ac:dyDescent="0.25">
      <c r="A3152">
        <v>2018</v>
      </c>
      <c r="B3152">
        <v>7</v>
      </c>
      <c r="C3152" s="1" t="s">
        <v>30</v>
      </c>
      <c r="D3152" s="1" t="s">
        <v>19</v>
      </c>
      <c r="E3152" s="1" t="s">
        <v>56</v>
      </c>
      <c r="F3152">
        <v>2006</v>
      </c>
      <c r="G3152">
        <v>12</v>
      </c>
      <c r="H3152" s="1" t="s">
        <v>21</v>
      </c>
      <c r="I3152">
        <v>35</v>
      </c>
      <c r="J3152">
        <v>4204</v>
      </c>
      <c r="K3152" s="1" t="s">
        <v>57</v>
      </c>
      <c r="L3152" s="1" t="s">
        <v>45</v>
      </c>
      <c r="M3152">
        <v>1.268</v>
      </c>
      <c r="N3152">
        <v>44362.7</v>
      </c>
      <c r="O3152">
        <v>44.363</v>
      </c>
      <c r="P3152" s="2">
        <v>43282</v>
      </c>
      <c r="Q3152">
        <v>1</v>
      </c>
      <c r="R3152" s="1" t="s">
        <v>24</v>
      </c>
    </row>
    <row r="3153" spans="1:18" x14ac:dyDescent="0.25">
      <c r="A3153">
        <v>2018</v>
      </c>
      <c r="B3153">
        <v>8</v>
      </c>
      <c r="C3153" s="1" t="s">
        <v>31</v>
      </c>
      <c r="D3153" s="1" t="s">
        <v>19</v>
      </c>
      <c r="E3153" s="1" t="s">
        <v>56</v>
      </c>
      <c r="F3153">
        <v>2006</v>
      </c>
      <c r="G3153">
        <v>12</v>
      </c>
      <c r="H3153" s="1" t="s">
        <v>21</v>
      </c>
      <c r="I3153">
        <v>35</v>
      </c>
      <c r="J3153">
        <v>4204</v>
      </c>
      <c r="K3153" s="1" t="s">
        <v>57</v>
      </c>
      <c r="L3153" s="1" t="s">
        <v>45</v>
      </c>
      <c r="M3153">
        <v>1.4370000000000001</v>
      </c>
      <c r="N3153">
        <v>50290.3</v>
      </c>
      <c r="O3153">
        <v>50.29</v>
      </c>
      <c r="P3153" s="2">
        <v>43313</v>
      </c>
      <c r="Q3153">
        <v>1</v>
      </c>
      <c r="R3153" s="1" t="s">
        <v>24</v>
      </c>
    </row>
    <row r="3154" spans="1:18" x14ac:dyDescent="0.25">
      <c r="A3154">
        <v>2018</v>
      </c>
      <c r="B3154">
        <v>9</v>
      </c>
      <c r="C3154" s="1" t="s">
        <v>32</v>
      </c>
      <c r="D3154" s="1" t="s">
        <v>19</v>
      </c>
      <c r="E3154" s="1" t="s">
        <v>56</v>
      </c>
      <c r="F3154">
        <v>2006</v>
      </c>
      <c r="G3154">
        <v>12</v>
      </c>
      <c r="H3154" s="1" t="s">
        <v>21</v>
      </c>
      <c r="I3154">
        <v>35</v>
      </c>
      <c r="J3154">
        <v>4204</v>
      </c>
      <c r="K3154" s="1" t="s">
        <v>57</v>
      </c>
      <c r="L3154" s="1" t="s">
        <v>45</v>
      </c>
      <c r="M3154">
        <v>1.07</v>
      </c>
      <c r="N3154">
        <v>37457.599999999999</v>
      </c>
      <c r="O3154">
        <v>37.457999999999998</v>
      </c>
      <c r="P3154" s="2">
        <v>43344</v>
      </c>
      <c r="Q3154">
        <v>1</v>
      </c>
      <c r="R3154" s="1" t="s">
        <v>24</v>
      </c>
    </row>
    <row r="3155" spans="1:18" x14ac:dyDescent="0.25">
      <c r="A3155">
        <v>2018</v>
      </c>
      <c r="B3155">
        <v>10</v>
      </c>
      <c r="C3155" s="1" t="s">
        <v>33</v>
      </c>
      <c r="D3155" s="1" t="s">
        <v>19</v>
      </c>
      <c r="E3155" s="1" t="s">
        <v>56</v>
      </c>
      <c r="F3155">
        <v>2006</v>
      </c>
      <c r="G3155">
        <v>12</v>
      </c>
      <c r="H3155" s="1" t="s">
        <v>21</v>
      </c>
      <c r="I3155">
        <v>35</v>
      </c>
      <c r="J3155">
        <v>4204</v>
      </c>
      <c r="K3155" s="1" t="s">
        <v>57</v>
      </c>
      <c r="L3155" s="1" t="s">
        <v>45</v>
      </c>
      <c r="M3155">
        <v>1.488</v>
      </c>
      <c r="N3155">
        <v>52087.6</v>
      </c>
      <c r="O3155">
        <v>52.088000000000001</v>
      </c>
      <c r="P3155" s="2">
        <v>43374</v>
      </c>
      <c r="Q3155">
        <v>1</v>
      </c>
      <c r="R3155" s="1" t="s">
        <v>24</v>
      </c>
    </row>
    <row r="3156" spans="1:18" x14ac:dyDescent="0.25">
      <c r="A3156">
        <v>2018</v>
      </c>
      <c r="B3156">
        <v>11</v>
      </c>
      <c r="C3156" s="1" t="s">
        <v>34</v>
      </c>
      <c r="D3156" s="1" t="s">
        <v>19</v>
      </c>
      <c r="E3156" s="1" t="s">
        <v>56</v>
      </c>
      <c r="F3156">
        <v>2006</v>
      </c>
      <c r="G3156">
        <v>12</v>
      </c>
      <c r="H3156" s="1" t="s">
        <v>21</v>
      </c>
      <c r="I3156">
        <v>35</v>
      </c>
      <c r="J3156">
        <v>4204</v>
      </c>
      <c r="K3156" s="1" t="s">
        <v>57</v>
      </c>
      <c r="L3156" s="1" t="s">
        <v>45</v>
      </c>
      <c r="M3156">
        <v>0.995</v>
      </c>
      <c r="N3156">
        <v>34809.1</v>
      </c>
      <c r="O3156">
        <v>34.808999999999997</v>
      </c>
      <c r="P3156" s="2">
        <v>43405</v>
      </c>
      <c r="Q3156">
        <v>1</v>
      </c>
      <c r="R3156" s="1" t="s">
        <v>24</v>
      </c>
    </row>
    <row r="3157" spans="1:18" x14ac:dyDescent="0.25">
      <c r="A3157">
        <v>2018</v>
      </c>
      <c r="B3157">
        <v>12</v>
      </c>
      <c r="C3157" s="1" t="s">
        <v>35</v>
      </c>
      <c r="D3157" s="1" t="s">
        <v>19</v>
      </c>
      <c r="E3157" s="1" t="s">
        <v>56</v>
      </c>
      <c r="F3157">
        <v>2006</v>
      </c>
      <c r="G3157">
        <v>12</v>
      </c>
      <c r="H3157" s="1" t="s">
        <v>21</v>
      </c>
      <c r="I3157">
        <v>35</v>
      </c>
      <c r="J3157">
        <v>4204</v>
      </c>
      <c r="K3157" s="1" t="s">
        <v>57</v>
      </c>
      <c r="L3157" s="1" t="s">
        <v>45</v>
      </c>
      <c r="M3157">
        <v>1.4610000000000001</v>
      </c>
      <c r="N3157">
        <v>51141.7</v>
      </c>
      <c r="O3157">
        <v>51.142000000000003</v>
      </c>
      <c r="P3157" s="2">
        <v>43435</v>
      </c>
      <c r="Q3157">
        <v>1</v>
      </c>
      <c r="R3157" s="1" t="s">
        <v>24</v>
      </c>
    </row>
    <row r="3158" spans="1:18" x14ac:dyDescent="0.25">
      <c r="A3158">
        <v>2018</v>
      </c>
      <c r="B3158">
        <v>1</v>
      </c>
      <c r="C3158" s="1" t="s">
        <v>18</v>
      </c>
      <c r="D3158" s="1" t="s">
        <v>19</v>
      </c>
      <c r="E3158" s="1" t="s">
        <v>58</v>
      </c>
      <c r="F3158">
        <v>2012</v>
      </c>
      <c r="G3158">
        <v>6</v>
      </c>
      <c r="H3158" s="1" t="s">
        <v>21</v>
      </c>
      <c r="I3158">
        <v>10</v>
      </c>
      <c r="J3158">
        <v>1434</v>
      </c>
      <c r="K3158" s="1" t="s">
        <v>60</v>
      </c>
      <c r="L3158" s="1" t="s">
        <v>45</v>
      </c>
      <c r="M3158">
        <v>1.0840000000000001</v>
      </c>
      <c r="N3158">
        <v>10841</v>
      </c>
      <c r="O3158">
        <v>10.840999999999999</v>
      </c>
      <c r="P3158" s="2">
        <v>43101</v>
      </c>
      <c r="Q3158">
        <v>1</v>
      </c>
      <c r="R3158" s="1" t="s">
        <v>40</v>
      </c>
    </row>
    <row r="3159" spans="1:18" x14ac:dyDescent="0.25">
      <c r="A3159">
        <v>2018</v>
      </c>
      <c r="B3159">
        <v>2</v>
      </c>
      <c r="C3159" s="1" t="s">
        <v>25</v>
      </c>
      <c r="D3159" s="1" t="s">
        <v>19</v>
      </c>
      <c r="E3159" s="1" t="s">
        <v>58</v>
      </c>
      <c r="F3159">
        <v>2012</v>
      </c>
      <c r="G3159">
        <v>6</v>
      </c>
      <c r="H3159" s="1" t="s">
        <v>21</v>
      </c>
      <c r="I3159">
        <v>10</v>
      </c>
      <c r="J3159">
        <v>1434</v>
      </c>
      <c r="K3159" s="1" t="s">
        <v>60</v>
      </c>
      <c r="L3159" s="1" t="s">
        <v>45</v>
      </c>
      <c r="M3159">
        <v>1.0169999999999999</v>
      </c>
      <c r="N3159">
        <v>10174.200000000001</v>
      </c>
      <c r="O3159">
        <v>10.173999999999999</v>
      </c>
      <c r="P3159" s="2">
        <v>43132</v>
      </c>
      <c r="Q3159">
        <v>1</v>
      </c>
      <c r="R3159" s="1" t="s">
        <v>40</v>
      </c>
    </row>
    <row r="3160" spans="1:18" x14ac:dyDescent="0.25">
      <c r="A3160">
        <v>2018</v>
      </c>
      <c r="B3160">
        <v>3</v>
      </c>
      <c r="C3160" s="1" t="s">
        <v>26</v>
      </c>
      <c r="D3160" s="1" t="s">
        <v>19</v>
      </c>
      <c r="E3160" s="1" t="s">
        <v>58</v>
      </c>
      <c r="F3160">
        <v>2012</v>
      </c>
      <c r="G3160">
        <v>6</v>
      </c>
      <c r="H3160" s="1" t="s">
        <v>21</v>
      </c>
      <c r="I3160">
        <v>10</v>
      </c>
      <c r="J3160">
        <v>1434</v>
      </c>
      <c r="K3160" s="1" t="s">
        <v>60</v>
      </c>
      <c r="L3160" s="1" t="s">
        <v>45</v>
      </c>
      <c r="M3160">
        <v>1.4159999999999999</v>
      </c>
      <c r="N3160">
        <v>14164.3</v>
      </c>
      <c r="O3160">
        <v>14.164</v>
      </c>
      <c r="P3160" s="2">
        <v>43160</v>
      </c>
      <c r="Q3160">
        <v>1</v>
      </c>
      <c r="R3160" s="1" t="s">
        <v>40</v>
      </c>
    </row>
    <row r="3161" spans="1:18" x14ac:dyDescent="0.25">
      <c r="A3161">
        <v>2018</v>
      </c>
      <c r="B3161">
        <v>4</v>
      </c>
      <c r="C3161" s="1" t="s">
        <v>27</v>
      </c>
      <c r="D3161" s="1" t="s">
        <v>19</v>
      </c>
      <c r="E3161" s="1" t="s">
        <v>58</v>
      </c>
      <c r="F3161">
        <v>2012</v>
      </c>
      <c r="G3161">
        <v>6</v>
      </c>
      <c r="H3161" s="1" t="s">
        <v>21</v>
      </c>
      <c r="I3161">
        <v>10</v>
      </c>
      <c r="J3161">
        <v>1434</v>
      </c>
      <c r="K3161" s="1" t="s">
        <v>60</v>
      </c>
      <c r="L3161" s="1" t="s">
        <v>45</v>
      </c>
      <c r="M3161">
        <v>1.256</v>
      </c>
      <c r="N3161">
        <v>12561.8</v>
      </c>
      <c r="O3161">
        <v>12.561999999999999</v>
      </c>
      <c r="P3161" s="2">
        <v>43191</v>
      </c>
      <c r="Q3161">
        <v>1</v>
      </c>
      <c r="R3161" s="1" t="s">
        <v>40</v>
      </c>
    </row>
    <row r="3162" spans="1:18" x14ac:dyDescent="0.25">
      <c r="A3162">
        <v>2018</v>
      </c>
      <c r="B3162">
        <v>5</v>
      </c>
      <c r="C3162" s="1" t="s">
        <v>28</v>
      </c>
      <c r="D3162" s="1" t="s">
        <v>19</v>
      </c>
      <c r="E3162" s="1" t="s">
        <v>58</v>
      </c>
      <c r="F3162">
        <v>2012</v>
      </c>
      <c r="G3162">
        <v>6</v>
      </c>
      <c r="H3162" s="1" t="s">
        <v>21</v>
      </c>
      <c r="I3162">
        <v>10</v>
      </c>
      <c r="J3162">
        <v>1434</v>
      </c>
      <c r="K3162" s="1" t="s">
        <v>60</v>
      </c>
      <c r="L3162" s="1" t="s">
        <v>45</v>
      </c>
      <c r="M3162">
        <v>1.6120000000000001</v>
      </c>
      <c r="N3162">
        <v>16121.7</v>
      </c>
      <c r="O3162">
        <v>16.122</v>
      </c>
      <c r="P3162" s="2">
        <v>43221</v>
      </c>
      <c r="Q3162">
        <v>1</v>
      </c>
      <c r="R3162" s="1" t="s">
        <v>40</v>
      </c>
    </row>
    <row r="3163" spans="1:18" x14ac:dyDescent="0.25">
      <c r="A3163">
        <v>2018</v>
      </c>
      <c r="B3163">
        <v>6</v>
      </c>
      <c r="C3163" s="1" t="s">
        <v>29</v>
      </c>
      <c r="D3163" s="1" t="s">
        <v>19</v>
      </c>
      <c r="E3163" s="1" t="s">
        <v>58</v>
      </c>
      <c r="F3163">
        <v>2012</v>
      </c>
      <c r="G3163">
        <v>6</v>
      </c>
      <c r="H3163" s="1" t="s">
        <v>21</v>
      </c>
      <c r="I3163">
        <v>10</v>
      </c>
      <c r="J3163">
        <v>1434</v>
      </c>
      <c r="K3163" s="1" t="s">
        <v>60</v>
      </c>
      <c r="L3163" s="1" t="s">
        <v>45</v>
      </c>
      <c r="M3163">
        <v>1.089</v>
      </c>
      <c r="N3163">
        <v>10894.8</v>
      </c>
      <c r="O3163">
        <v>10.895</v>
      </c>
      <c r="P3163" s="2">
        <v>43252</v>
      </c>
      <c r="Q3163">
        <v>1</v>
      </c>
      <c r="R3163" s="1" t="s">
        <v>40</v>
      </c>
    </row>
    <row r="3164" spans="1:18" x14ac:dyDescent="0.25">
      <c r="A3164">
        <v>2018</v>
      </c>
      <c r="B3164">
        <v>7</v>
      </c>
      <c r="C3164" s="1" t="s">
        <v>30</v>
      </c>
      <c r="D3164" s="1" t="s">
        <v>19</v>
      </c>
      <c r="E3164" s="1" t="s">
        <v>58</v>
      </c>
      <c r="F3164">
        <v>2012</v>
      </c>
      <c r="G3164">
        <v>6</v>
      </c>
      <c r="H3164" s="1" t="s">
        <v>21</v>
      </c>
      <c r="I3164">
        <v>10</v>
      </c>
      <c r="J3164">
        <v>1434</v>
      </c>
      <c r="K3164" s="1" t="s">
        <v>60</v>
      </c>
      <c r="L3164" s="1" t="s">
        <v>45</v>
      </c>
      <c r="M3164">
        <v>1.5129999999999999</v>
      </c>
      <c r="N3164">
        <v>15132.3</v>
      </c>
      <c r="O3164">
        <v>15.132</v>
      </c>
      <c r="P3164" s="2">
        <v>43282</v>
      </c>
      <c r="Q3164">
        <v>1</v>
      </c>
      <c r="R3164" s="1" t="s">
        <v>40</v>
      </c>
    </row>
    <row r="3165" spans="1:18" x14ac:dyDescent="0.25">
      <c r="A3165">
        <v>2018</v>
      </c>
      <c r="B3165">
        <v>8</v>
      </c>
      <c r="C3165" s="1" t="s">
        <v>31</v>
      </c>
      <c r="D3165" s="1" t="s">
        <v>19</v>
      </c>
      <c r="E3165" s="1" t="s">
        <v>58</v>
      </c>
      <c r="F3165">
        <v>2012</v>
      </c>
      <c r="G3165">
        <v>6</v>
      </c>
      <c r="H3165" s="1" t="s">
        <v>21</v>
      </c>
      <c r="I3165">
        <v>10</v>
      </c>
      <c r="J3165">
        <v>1434</v>
      </c>
      <c r="K3165" s="1" t="s">
        <v>60</v>
      </c>
      <c r="L3165" s="1" t="s">
        <v>45</v>
      </c>
      <c r="M3165">
        <v>1.7150000000000001</v>
      </c>
      <c r="N3165">
        <v>17154.2</v>
      </c>
      <c r="O3165">
        <v>17.154</v>
      </c>
      <c r="P3165" s="2">
        <v>43313</v>
      </c>
      <c r="Q3165">
        <v>1</v>
      </c>
      <c r="R3165" s="1" t="s">
        <v>40</v>
      </c>
    </row>
    <row r="3166" spans="1:18" x14ac:dyDescent="0.25">
      <c r="A3166">
        <v>2018</v>
      </c>
      <c r="B3166">
        <v>9</v>
      </c>
      <c r="C3166" s="1" t="s">
        <v>32</v>
      </c>
      <c r="D3166" s="1" t="s">
        <v>19</v>
      </c>
      <c r="E3166" s="1" t="s">
        <v>58</v>
      </c>
      <c r="F3166">
        <v>2012</v>
      </c>
      <c r="G3166">
        <v>6</v>
      </c>
      <c r="H3166" s="1" t="s">
        <v>21</v>
      </c>
      <c r="I3166">
        <v>10</v>
      </c>
      <c r="J3166">
        <v>1434</v>
      </c>
      <c r="K3166" s="1" t="s">
        <v>60</v>
      </c>
      <c r="L3166" s="1" t="s">
        <v>45</v>
      </c>
      <c r="M3166">
        <v>1.278</v>
      </c>
      <c r="N3166">
        <v>12776.9</v>
      </c>
      <c r="O3166">
        <v>12.776999999999999</v>
      </c>
      <c r="P3166" s="2">
        <v>43344</v>
      </c>
      <c r="Q3166">
        <v>1</v>
      </c>
      <c r="R3166" s="1" t="s">
        <v>40</v>
      </c>
    </row>
    <row r="3167" spans="1:18" x14ac:dyDescent="0.25">
      <c r="A3167">
        <v>2018</v>
      </c>
      <c r="B3167">
        <v>10</v>
      </c>
      <c r="C3167" s="1" t="s">
        <v>33</v>
      </c>
      <c r="D3167" s="1" t="s">
        <v>19</v>
      </c>
      <c r="E3167" s="1" t="s">
        <v>58</v>
      </c>
      <c r="F3167">
        <v>2012</v>
      </c>
      <c r="G3167">
        <v>6</v>
      </c>
      <c r="H3167" s="1" t="s">
        <v>21</v>
      </c>
      <c r="I3167">
        <v>10</v>
      </c>
      <c r="J3167">
        <v>1434</v>
      </c>
      <c r="K3167" s="1" t="s">
        <v>60</v>
      </c>
      <c r="L3167" s="1" t="s">
        <v>45</v>
      </c>
      <c r="M3167">
        <v>1.7769999999999999</v>
      </c>
      <c r="N3167">
        <v>17767.3</v>
      </c>
      <c r="O3167">
        <v>17.766999999999999</v>
      </c>
      <c r="P3167" s="2">
        <v>43374</v>
      </c>
      <c r="Q3167">
        <v>1</v>
      </c>
      <c r="R3167" s="1" t="s">
        <v>40</v>
      </c>
    </row>
    <row r="3168" spans="1:18" x14ac:dyDescent="0.25">
      <c r="A3168">
        <v>2018</v>
      </c>
      <c r="B3168">
        <v>11</v>
      </c>
      <c r="C3168" s="1" t="s">
        <v>34</v>
      </c>
      <c r="D3168" s="1" t="s">
        <v>19</v>
      </c>
      <c r="E3168" s="1" t="s">
        <v>58</v>
      </c>
      <c r="F3168">
        <v>2012</v>
      </c>
      <c r="G3168">
        <v>6</v>
      </c>
      <c r="H3168" s="1" t="s">
        <v>21</v>
      </c>
      <c r="I3168">
        <v>10</v>
      </c>
      <c r="J3168">
        <v>1434</v>
      </c>
      <c r="K3168" s="1" t="s">
        <v>60</v>
      </c>
      <c r="L3168" s="1" t="s">
        <v>45</v>
      </c>
      <c r="M3168">
        <v>1.1870000000000001</v>
      </c>
      <c r="N3168">
        <v>11873.5</v>
      </c>
      <c r="O3168">
        <v>11.874000000000001</v>
      </c>
      <c r="P3168" s="2">
        <v>43405</v>
      </c>
      <c r="Q3168">
        <v>1</v>
      </c>
      <c r="R3168" s="1" t="s">
        <v>40</v>
      </c>
    </row>
    <row r="3169" spans="1:18" x14ac:dyDescent="0.25">
      <c r="A3169">
        <v>2018</v>
      </c>
      <c r="B3169">
        <v>12</v>
      </c>
      <c r="C3169" s="1" t="s">
        <v>35</v>
      </c>
      <c r="D3169" s="1" t="s">
        <v>19</v>
      </c>
      <c r="E3169" s="1" t="s">
        <v>58</v>
      </c>
      <c r="F3169">
        <v>2012</v>
      </c>
      <c r="G3169">
        <v>6</v>
      </c>
      <c r="H3169" s="1" t="s">
        <v>21</v>
      </c>
      <c r="I3169">
        <v>10</v>
      </c>
      <c r="J3169">
        <v>1434</v>
      </c>
      <c r="K3169" s="1" t="s">
        <v>60</v>
      </c>
      <c r="L3169" s="1" t="s">
        <v>45</v>
      </c>
      <c r="M3169">
        <v>1.744</v>
      </c>
      <c r="N3169">
        <v>17444.599999999999</v>
      </c>
      <c r="O3169">
        <v>17.445</v>
      </c>
      <c r="P3169" s="2">
        <v>43435</v>
      </c>
      <c r="Q3169">
        <v>1</v>
      </c>
      <c r="R3169" s="1" t="s">
        <v>40</v>
      </c>
    </row>
    <row r="3170" spans="1:18" x14ac:dyDescent="0.25">
      <c r="A3170">
        <v>2018</v>
      </c>
      <c r="B3170">
        <v>1</v>
      </c>
      <c r="C3170" s="1" t="s">
        <v>18</v>
      </c>
      <c r="D3170" s="1" t="s">
        <v>19</v>
      </c>
      <c r="E3170" s="1" t="s">
        <v>62</v>
      </c>
      <c r="F3170">
        <v>2012</v>
      </c>
      <c r="G3170">
        <v>6</v>
      </c>
      <c r="H3170" s="1" t="s">
        <v>21</v>
      </c>
      <c r="I3170">
        <v>24</v>
      </c>
      <c r="J3170">
        <v>3074</v>
      </c>
      <c r="K3170" s="1" t="s">
        <v>63</v>
      </c>
      <c r="L3170" s="1" t="s">
        <v>64</v>
      </c>
      <c r="M3170">
        <v>0.96799999999999997</v>
      </c>
      <c r="N3170">
        <v>23239.4</v>
      </c>
      <c r="O3170">
        <v>23.239000000000001</v>
      </c>
      <c r="P3170" s="2">
        <v>43101</v>
      </c>
      <c r="Q3170">
        <v>1</v>
      </c>
      <c r="R3170" s="1" t="s">
        <v>40</v>
      </c>
    </row>
    <row r="3171" spans="1:18" x14ac:dyDescent="0.25">
      <c r="A3171">
        <v>2018</v>
      </c>
      <c r="B3171">
        <v>2</v>
      </c>
      <c r="C3171" s="1" t="s">
        <v>25</v>
      </c>
      <c r="D3171" s="1" t="s">
        <v>19</v>
      </c>
      <c r="E3171" s="1" t="s">
        <v>62</v>
      </c>
      <c r="F3171">
        <v>2012</v>
      </c>
      <c r="G3171">
        <v>6</v>
      </c>
      <c r="H3171" s="1" t="s">
        <v>21</v>
      </c>
      <c r="I3171">
        <v>24</v>
      </c>
      <c r="J3171">
        <v>3074</v>
      </c>
      <c r="K3171" s="1" t="s">
        <v>63</v>
      </c>
      <c r="L3171" s="1" t="s">
        <v>64</v>
      </c>
      <c r="M3171">
        <v>0.90900000000000003</v>
      </c>
      <c r="N3171">
        <v>21810</v>
      </c>
      <c r="O3171">
        <v>21.81</v>
      </c>
      <c r="P3171" s="2">
        <v>43132</v>
      </c>
      <c r="Q3171">
        <v>1</v>
      </c>
      <c r="R3171" s="1" t="s">
        <v>40</v>
      </c>
    </row>
    <row r="3172" spans="1:18" x14ac:dyDescent="0.25">
      <c r="A3172">
        <v>2018</v>
      </c>
      <c r="B3172">
        <v>3</v>
      </c>
      <c r="C3172" s="1" t="s">
        <v>26</v>
      </c>
      <c r="D3172" s="1" t="s">
        <v>19</v>
      </c>
      <c r="E3172" s="1" t="s">
        <v>62</v>
      </c>
      <c r="F3172">
        <v>2012</v>
      </c>
      <c r="G3172">
        <v>6</v>
      </c>
      <c r="H3172" s="1" t="s">
        <v>21</v>
      </c>
      <c r="I3172">
        <v>24</v>
      </c>
      <c r="J3172">
        <v>3074</v>
      </c>
      <c r="K3172" s="1" t="s">
        <v>63</v>
      </c>
      <c r="L3172" s="1" t="s">
        <v>64</v>
      </c>
      <c r="M3172">
        <v>1.2649999999999999</v>
      </c>
      <c r="N3172">
        <v>30363.4</v>
      </c>
      <c r="O3172">
        <v>30.363</v>
      </c>
      <c r="P3172" s="2">
        <v>43160</v>
      </c>
      <c r="Q3172">
        <v>1</v>
      </c>
      <c r="R3172" s="1" t="s">
        <v>40</v>
      </c>
    </row>
    <row r="3173" spans="1:18" x14ac:dyDescent="0.25">
      <c r="A3173">
        <v>2018</v>
      </c>
      <c r="B3173">
        <v>4</v>
      </c>
      <c r="C3173" s="1" t="s">
        <v>27</v>
      </c>
      <c r="D3173" s="1" t="s">
        <v>19</v>
      </c>
      <c r="E3173" s="1" t="s">
        <v>62</v>
      </c>
      <c r="F3173">
        <v>2012</v>
      </c>
      <c r="G3173">
        <v>6</v>
      </c>
      <c r="H3173" s="1" t="s">
        <v>21</v>
      </c>
      <c r="I3173">
        <v>24</v>
      </c>
      <c r="J3173">
        <v>3074</v>
      </c>
      <c r="K3173" s="1" t="s">
        <v>63</v>
      </c>
      <c r="L3173" s="1" t="s">
        <v>64</v>
      </c>
      <c r="M3173">
        <v>1.1220000000000001</v>
      </c>
      <c r="N3173">
        <v>26928.2</v>
      </c>
      <c r="O3173">
        <v>26.928000000000001</v>
      </c>
      <c r="P3173" s="2">
        <v>43191</v>
      </c>
      <c r="Q3173">
        <v>1</v>
      </c>
      <c r="R3173" s="1" t="s">
        <v>40</v>
      </c>
    </row>
    <row r="3174" spans="1:18" x14ac:dyDescent="0.25">
      <c r="A3174">
        <v>2018</v>
      </c>
      <c r="B3174">
        <v>5</v>
      </c>
      <c r="C3174" s="1" t="s">
        <v>28</v>
      </c>
      <c r="D3174" s="1" t="s">
        <v>19</v>
      </c>
      <c r="E3174" s="1" t="s">
        <v>62</v>
      </c>
      <c r="F3174">
        <v>2012</v>
      </c>
      <c r="G3174">
        <v>6</v>
      </c>
      <c r="H3174" s="1" t="s">
        <v>21</v>
      </c>
      <c r="I3174">
        <v>24</v>
      </c>
      <c r="J3174">
        <v>3074</v>
      </c>
      <c r="K3174" s="1" t="s">
        <v>63</v>
      </c>
      <c r="L3174" s="1" t="s">
        <v>64</v>
      </c>
      <c r="M3174">
        <v>1.44</v>
      </c>
      <c r="N3174">
        <v>34559.4</v>
      </c>
      <c r="O3174">
        <v>34.558999999999997</v>
      </c>
      <c r="P3174" s="2">
        <v>43221</v>
      </c>
      <c r="Q3174">
        <v>1</v>
      </c>
      <c r="R3174" s="1" t="s">
        <v>40</v>
      </c>
    </row>
    <row r="3175" spans="1:18" x14ac:dyDescent="0.25">
      <c r="A3175">
        <v>2018</v>
      </c>
      <c r="B3175">
        <v>6</v>
      </c>
      <c r="C3175" s="1" t="s">
        <v>29</v>
      </c>
      <c r="D3175" s="1" t="s">
        <v>19</v>
      </c>
      <c r="E3175" s="1" t="s">
        <v>62</v>
      </c>
      <c r="F3175">
        <v>2012</v>
      </c>
      <c r="G3175">
        <v>6</v>
      </c>
      <c r="H3175" s="1" t="s">
        <v>21</v>
      </c>
      <c r="I3175">
        <v>24</v>
      </c>
      <c r="J3175">
        <v>3074</v>
      </c>
      <c r="K3175" s="1" t="s">
        <v>63</v>
      </c>
      <c r="L3175" s="1" t="s">
        <v>64</v>
      </c>
      <c r="M3175">
        <v>0.97299999999999998</v>
      </c>
      <c r="N3175">
        <v>23354.7</v>
      </c>
      <c r="O3175">
        <v>23.355</v>
      </c>
      <c r="P3175" s="2">
        <v>43252</v>
      </c>
      <c r="Q3175">
        <v>1</v>
      </c>
      <c r="R3175" s="1" t="s">
        <v>40</v>
      </c>
    </row>
    <row r="3176" spans="1:18" x14ac:dyDescent="0.25">
      <c r="A3176">
        <v>2018</v>
      </c>
      <c r="B3176">
        <v>7</v>
      </c>
      <c r="C3176" s="1" t="s">
        <v>30</v>
      </c>
      <c r="D3176" s="1" t="s">
        <v>19</v>
      </c>
      <c r="E3176" s="1" t="s">
        <v>62</v>
      </c>
      <c r="F3176">
        <v>2012</v>
      </c>
      <c r="G3176">
        <v>6</v>
      </c>
      <c r="H3176" s="1" t="s">
        <v>21</v>
      </c>
      <c r="I3176">
        <v>24</v>
      </c>
      <c r="J3176">
        <v>3074</v>
      </c>
      <c r="K3176" s="1" t="s">
        <v>63</v>
      </c>
      <c r="L3176" s="1" t="s">
        <v>64</v>
      </c>
      <c r="M3176">
        <v>1.3520000000000001</v>
      </c>
      <c r="N3176">
        <v>32438.400000000001</v>
      </c>
      <c r="O3176">
        <v>32.438000000000002</v>
      </c>
      <c r="P3176" s="2">
        <v>43282</v>
      </c>
      <c r="Q3176">
        <v>1</v>
      </c>
      <c r="R3176" s="1" t="s">
        <v>40</v>
      </c>
    </row>
    <row r="3177" spans="1:18" x14ac:dyDescent="0.25">
      <c r="A3177">
        <v>2018</v>
      </c>
      <c r="B3177">
        <v>8</v>
      </c>
      <c r="C3177" s="1" t="s">
        <v>31</v>
      </c>
      <c r="D3177" s="1" t="s">
        <v>19</v>
      </c>
      <c r="E3177" s="1" t="s">
        <v>62</v>
      </c>
      <c r="F3177">
        <v>2012</v>
      </c>
      <c r="G3177">
        <v>6</v>
      </c>
      <c r="H3177" s="1" t="s">
        <v>21</v>
      </c>
      <c r="I3177">
        <v>24</v>
      </c>
      <c r="J3177">
        <v>3074</v>
      </c>
      <c r="K3177" s="1" t="s">
        <v>63</v>
      </c>
      <c r="L3177" s="1" t="s">
        <v>64</v>
      </c>
      <c r="M3177">
        <v>1.532</v>
      </c>
      <c r="N3177">
        <v>36772.699999999997</v>
      </c>
      <c r="O3177">
        <v>36.773000000000003</v>
      </c>
      <c r="P3177" s="2">
        <v>43313</v>
      </c>
      <c r="Q3177">
        <v>1</v>
      </c>
      <c r="R3177" s="1" t="s">
        <v>40</v>
      </c>
    </row>
    <row r="3178" spans="1:18" x14ac:dyDescent="0.25">
      <c r="A3178">
        <v>2018</v>
      </c>
      <c r="B3178">
        <v>9</v>
      </c>
      <c r="C3178" s="1" t="s">
        <v>32</v>
      </c>
      <c r="D3178" s="1" t="s">
        <v>19</v>
      </c>
      <c r="E3178" s="1" t="s">
        <v>62</v>
      </c>
      <c r="F3178">
        <v>2012</v>
      </c>
      <c r="G3178">
        <v>6</v>
      </c>
      <c r="H3178" s="1" t="s">
        <v>21</v>
      </c>
      <c r="I3178">
        <v>24</v>
      </c>
      <c r="J3178">
        <v>3074</v>
      </c>
      <c r="K3178" s="1" t="s">
        <v>63</v>
      </c>
      <c r="L3178" s="1" t="s">
        <v>64</v>
      </c>
      <c r="M3178">
        <v>1.141</v>
      </c>
      <c r="N3178">
        <v>27389.3</v>
      </c>
      <c r="O3178">
        <v>27.388999999999999</v>
      </c>
      <c r="P3178" s="2">
        <v>43344</v>
      </c>
      <c r="Q3178">
        <v>1</v>
      </c>
      <c r="R3178" s="1" t="s">
        <v>40</v>
      </c>
    </row>
    <row r="3179" spans="1:18" x14ac:dyDescent="0.25">
      <c r="A3179">
        <v>2018</v>
      </c>
      <c r="B3179">
        <v>10</v>
      </c>
      <c r="C3179" s="1" t="s">
        <v>33</v>
      </c>
      <c r="D3179" s="1" t="s">
        <v>19</v>
      </c>
      <c r="E3179" s="1" t="s">
        <v>62</v>
      </c>
      <c r="F3179">
        <v>2012</v>
      </c>
      <c r="G3179">
        <v>6</v>
      </c>
      <c r="H3179" s="1" t="s">
        <v>21</v>
      </c>
      <c r="I3179">
        <v>24</v>
      </c>
      <c r="J3179">
        <v>3074</v>
      </c>
      <c r="K3179" s="1" t="s">
        <v>63</v>
      </c>
      <c r="L3179" s="1" t="s">
        <v>64</v>
      </c>
      <c r="M3179">
        <v>1.587</v>
      </c>
      <c r="N3179">
        <v>38086.9</v>
      </c>
      <c r="O3179">
        <v>38.087000000000003</v>
      </c>
      <c r="P3179" s="2">
        <v>43374</v>
      </c>
      <c r="Q3179">
        <v>1</v>
      </c>
      <c r="R3179" s="1" t="s">
        <v>40</v>
      </c>
    </row>
    <row r="3180" spans="1:18" x14ac:dyDescent="0.25">
      <c r="A3180">
        <v>2018</v>
      </c>
      <c r="B3180">
        <v>11</v>
      </c>
      <c r="C3180" s="1" t="s">
        <v>34</v>
      </c>
      <c r="D3180" s="1" t="s">
        <v>19</v>
      </c>
      <c r="E3180" s="1" t="s">
        <v>62</v>
      </c>
      <c r="F3180">
        <v>2012</v>
      </c>
      <c r="G3180">
        <v>6</v>
      </c>
      <c r="H3180" s="1" t="s">
        <v>21</v>
      </c>
      <c r="I3180">
        <v>24</v>
      </c>
      <c r="J3180">
        <v>3074</v>
      </c>
      <c r="K3180" s="1" t="s">
        <v>63</v>
      </c>
      <c r="L3180" s="1" t="s">
        <v>64</v>
      </c>
      <c r="M3180">
        <v>1.0609999999999999</v>
      </c>
      <c r="N3180">
        <v>25452.7</v>
      </c>
      <c r="O3180">
        <v>25.452999999999999</v>
      </c>
      <c r="P3180" s="2">
        <v>43405</v>
      </c>
      <c r="Q3180">
        <v>1</v>
      </c>
      <c r="R3180" s="1" t="s">
        <v>40</v>
      </c>
    </row>
    <row r="3181" spans="1:18" x14ac:dyDescent="0.25">
      <c r="A3181">
        <v>2018</v>
      </c>
      <c r="B3181">
        <v>12</v>
      </c>
      <c r="C3181" s="1" t="s">
        <v>35</v>
      </c>
      <c r="D3181" s="1" t="s">
        <v>19</v>
      </c>
      <c r="E3181" s="1" t="s">
        <v>62</v>
      </c>
      <c r="F3181">
        <v>2012</v>
      </c>
      <c r="G3181">
        <v>6</v>
      </c>
      <c r="H3181" s="1" t="s">
        <v>21</v>
      </c>
      <c r="I3181">
        <v>24</v>
      </c>
      <c r="J3181">
        <v>3074</v>
      </c>
      <c r="K3181" s="1" t="s">
        <v>63</v>
      </c>
      <c r="L3181" s="1" t="s">
        <v>64</v>
      </c>
      <c r="M3181">
        <v>1.5580000000000001</v>
      </c>
      <c r="N3181">
        <v>37395.199999999997</v>
      </c>
      <c r="O3181">
        <v>37.395000000000003</v>
      </c>
      <c r="P3181" s="2">
        <v>43435</v>
      </c>
      <c r="Q3181">
        <v>1</v>
      </c>
      <c r="R3181" s="1" t="s">
        <v>40</v>
      </c>
    </row>
    <row r="3182" spans="1:18" x14ac:dyDescent="0.25">
      <c r="A3182">
        <v>2018</v>
      </c>
      <c r="B3182">
        <v>1</v>
      </c>
      <c r="C3182" s="1" t="s">
        <v>18</v>
      </c>
      <c r="D3182" s="1" t="s">
        <v>19</v>
      </c>
      <c r="E3182" s="1" t="s">
        <v>65</v>
      </c>
      <c r="F3182">
        <v>2012</v>
      </c>
      <c r="G3182">
        <v>6</v>
      </c>
      <c r="H3182" s="1" t="s">
        <v>21</v>
      </c>
      <c r="I3182">
        <v>19</v>
      </c>
      <c r="J3182">
        <v>2418</v>
      </c>
      <c r="K3182" s="1" t="s">
        <v>66</v>
      </c>
      <c r="L3182" s="1" t="s">
        <v>64</v>
      </c>
      <c r="M3182">
        <v>0.96199999999999997</v>
      </c>
      <c r="N3182">
        <v>18280.099999999999</v>
      </c>
      <c r="O3182">
        <v>18.28</v>
      </c>
      <c r="P3182" s="2">
        <v>43101</v>
      </c>
      <c r="Q3182">
        <v>1</v>
      </c>
      <c r="R3182" s="1" t="s">
        <v>40</v>
      </c>
    </row>
    <row r="3183" spans="1:18" x14ac:dyDescent="0.25">
      <c r="A3183">
        <v>2018</v>
      </c>
      <c r="B3183">
        <v>2</v>
      </c>
      <c r="C3183" s="1" t="s">
        <v>25</v>
      </c>
      <c r="D3183" s="1" t="s">
        <v>19</v>
      </c>
      <c r="E3183" s="1" t="s">
        <v>65</v>
      </c>
      <c r="F3183">
        <v>2012</v>
      </c>
      <c r="G3183">
        <v>6</v>
      </c>
      <c r="H3183" s="1" t="s">
        <v>21</v>
      </c>
      <c r="I3183">
        <v>19</v>
      </c>
      <c r="J3183">
        <v>2418</v>
      </c>
      <c r="K3183" s="1" t="s">
        <v>66</v>
      </c>
      <c r="L3183" s="1" t="s">
        <v>64</v>
      </c>
      <c r="M3183">
        <v>0.90300000000000002</v>
      </c>
      <c r="N3183">
        <v>17155.7</v>
      </c>
      <c r="O3183">
        <v>17.155999999999999</v>
      </c>
      <c r="P3183" s="2">
        <v>43132</v>
      </c>
      <c r="Q3183">
        <v>1</v>
      </c>
      <c r="R3183" s="1" t="s">
        <v>40</v>
      </c>
    </row>
    <row r="3184" spans="1:18" x14ac:dyDescent="0.25">
      <c r="A3184">
        <v>2018</v>
      </c>
      <c r="B3184">
        <v>3</v>
      </c>
      <c r="C3184" s="1" t="s">
        <v>26</v>
      </c>
      <c r="D3184" s="1" t="s">
        <v>19</v>
      </c>
      <c r="E3184" s="1" t="s">
        <v>65</v>
      </c>
      <c r="F3184">
        <v>2012</v>
      </c>
      <c r="G3184">
        <v>6</v>
      </c>
      <c r="H3184" s="1" t="s">
        <v>21</v>
      </c>
      <c r="I3184">
        <v>19</v>
      </c>
      <c r="J3184">
        <v>2418</v>
      </c>
      <c r="K3184" s="1" t="s">
        <v>66</v>
      </c>
      <c r="L3184" s="1" t="s">
        <v>64</v>
      </c>
      <c r="M3184">
        <v>1.2569999999999999</v>
      </c>
      <c r="N3184">
        <v>23883.8</v>
      </c>
      <c r="O3184">
        <v>23.884</v>
      </c>
      <c r="P3184" s="2">
        <v>43160</v>
      </c>
      <c r="Q3184">
        <v>1</v>
      </c>
      <c r="R3184" s="1" t="s">
        <v>40</v>
      </c>
    </row>
    <row r="3185" spans="1:18" x14ac:dyDescent="0.25">
      <c r="A3185">
        <v>2018</v>
      </c>
      <c r="B3185">
        <v>4</v>
      </c>
      <c r="C3185" s="1" t="s">
        <v>27</v>
      </c>
      <c r="D3185" s="1" t="s">
        <v>19</v>
      </c>
      <c r="E3185" s="1" t="s">
        <v>65</v>
      </c>
      <c r="F3185">
        <v>2012</v>
      </c>
      <c r="G3185">
        <v>6</v>
      </c>
      <c r="H3185" s="1" t="s">
        <v>21</v>
      </c>
      <c r="I3185">
        <v>19</v>
      </c>
      <c r="J3185">
        <v>2418</v>
      </c>
      <c r="K3185" s="1" t="s">
        <v>66</v>
      </c>
      <c r="L3185" s="1" t="s">
        <v>64</v>
      </c>
      <c r="M3185">
        <v>1.115</v>
      </c>
      <c r="N3185">
        <v>21181.7</v>
      </c>
      <c r="O3185">
        <v>21.181999999999999</v>
      </c>
      <c r="P3185" s="2">
        <v>43191</v>
      </c>
      <c r="Q3185">
        <v>1</v>
      </c>
      <c r="R3185" s="1" t="s">
        <v>40</v>
      </c>
    </row>
    <row r="3186" spans="1:18" x14ac:dyDescent="0.25">
      <c r="A3186">
        <v>2018</v>
      </c>
      <c r="B3186">
        <v>5</v>
      </c>
      <c r="C3186" s="1" t="s">
        <v>28</v>
      </c>
      <c r="D3186" s="1" t="s">
        <v>19</v>
      </c>
      <c r="E3186" s="1" t="s">
        <v>65</v>
      </c>
      <c r="F3186">
        <v>2012</v>
      </c>
      <c r="G3186">
        <v>6</v>
      </c>
      <c r="H3186" s="1" t="s">
        <v>21</v>
      </c>
      <c r="I3186">
        <v>19</v>
      </c>
      <c r="J3186">
        <v>2418</v>
      </c>
      <c r="K3186" s="1" t="s">
        <v>66</v>
      </c>
      <c r="L3186" s="1" t="s">
        <v>64</v>
      </c>
      <c r="M3186">
        <v>1.431</v>
      </c>
      <c r="N3186">
        <v>27184.400000000001</v>
      </c>
      <c r="O3186">
        <v>27.184000000000001</v>
      </c>
      <c r="P3186" s="2">
        <v>43221</v>
      </c>
      <c r="Q3186">
        <v>1</v>
      </c>
      <c r="R3186" s="1" t="s">
        <v>40</v>
      </c>
    </row>
    <row r="3187" spans="1:18" x14ac:dyDescent="0.25">
      <c r="A3187">
        <v>2018</v>
      </c>
      <c r="B3187">
        <v>6</v>
      </c>
      <c r="C3187" s="1" t="s">
        <v>29</v>
      </c>
      <c r="D3187" s="1" t="s">
        <v>19</v>
      </c>
      <c r="E3187" s="1" t="s">
        <v>65</v>
      </c>
      <c r="F3187">
        <v>2012</v>
      </c>
      <c r="G3187">
        <v>6</v>
      </c>
      <c r="H3187" s="1" t="s">
        <v>21</v>
      </c>
      <c r="I3187">
        <v>19</v>
      </c>
      <c r="J3187">
        <v>2418</v>
      </c>
      <c r="K3187" s="1" t="s">
        <v>66</v>
      </c>
      <c r="L3187" s="1" t="s">
        <v>64</v>
      </c>
      <c r="M3187">
        <v>0.96699999999999997</v>
      </c>
      <c r="N3187">
        <v>18370.8</v>
      </c>
      <c r="O3187">
        <v>18.370999999999999</v>
      </c>
      <c r="P3187" s="2">
        <v>43252</v>
      </c>
      <c r="Q3187">
        <v>1</v>
      </c>
      <c r="R3187" s="1" t="s">
        <v>40</v>
      </c>
    </row>
    <row r="3188" spans="1:18" x14ac:dyDescent="0.25">
      <c r="A3188">
        <v>2018</v>
      </c>
      <c r="B3188">
        <v>7</v>
      </c>
      <c r="C3188" s="1" t="s">
        <v>30</v>
      </c>
      <c r="D3188" s="1" t="s">
        <v>19</v>
      </c>
      <c r="E3188" s="1" t="s">
        <v>65</v>
      </c>
      <c r="F3188">
        <v>2012</v>
      </c>
      <c r="G3188">
        <v>6</v>
      </c>
      <c r="H3188" s="1" t="s">
        <v>21</v>
      </c>
      <c r="I3188">
        <v>19</v>
      </c>
      <c r="J3188">
        <v>2418</v>
      </c>
      <c r="K3188" s="1" t="s">
        <v>66</v>
      </c>
      <c r="L3188" s="1" t="s">
        <v>64</v>
      </c>
      <c r="M3188">
        <v>1.343</v>
      </c>
      <c r="N3188">
        <v>25515.9</v>
      </c>
      <c r="O3188">
        <v>25.515999999999998</v>
      </c>
      <c r="P3188" s="2">
        <v>43282</v>
      </c>
      <c r="Q3188">
        <v>1</v>
      </c>
      <c r="R3188" s="1" t="s">
        <v>40</v>
      </c>
    </row>
    <row r="3189" spans="1:18" x14ac:dyDescent="0.25">
      <c r="A3189">
        <v>2018</v>
      </c>
      <c r="B3189">
        <v>8</v>
      </c>
      <c r="C3189" s="1" t="s">
        <v>31</v>
      </c>
      <c r="D3189" s="1" t="s">
        <v>19</v>
      </c>
      <c r="E3189" s="1" t="s">
        <v>65</v>
      </c>
      <c r="F3189">
        <v>2012</v>
      </c>
      <c r="G3189">
        <v>6</v>
      </c>
      <c r="H3189" s="1" t="s">
        <v>21</v>
      </c>
      <c r="I3189">
        <v>19</v>
      </c>
      <c r="J3189">
        <v>2418</v>
      </c>
      <c r="K3189" s="1" t="s">
        <v>66</v>
      </c>
      <c r="L3189" s="1" t="s">
        <v>64</v>
      </c>
      <c r="M3189">
        <v>1.522</v>
      </c>
      <c r="N3189">
        <v>28925.3</v>
      </c>
      <c r="O3189">
        <v>28.925000000000001</v>
      </c>
      <c r="P3189" s="2">
        <v>43313</v>
      </c>
      <c r="Q3189">
        <v>1</v>
      </c>
      <c r="R3189" s="1" t="s">
        <v>40</v>
      </c>
    </row>
    <row r="3190" spans="1:18" x14ac:dyDescent="0.25">
      <c r="A3190">
        <v>2018</v>
      </c>
      <c r="B3190">
        <v>9</v>
      </c>
      <c r="C3190" s="1" t="s">
        <v>32</v>
      </c>
      <c r="D3190" s="1" t="s">
        <v>19</v>
      </c>
      <c r="E3190" s="1" t="s">
        <v>65</v>
      </c>
      <c r="F3190">
        <v>2012</v>
      </c>
      <c r="G3190">
        <v>6</v>
      </c>
      <c r="H3190" s="1" t="s">
        <v>21</v>
      </c>
      <c r="I3190">
        <v>19</v>
      </c>
      <c r="J3190">
        <v>2418</v>
      </c>
      <c r="K3190" s="1" t="s">
        <v>66</v>
      </c>
      <c r="L3190" s="1" t="s">
        <v>64</v>
      </c>
      <c r="M3190">
        <v>1.1339999999999999</v>
      </c>
      <c r="N3190">
        <v>21544.400000000001</v>
      </c>
      <c r="O3190">
        <v>21.544</v>
      </c>
      <c r="P3190" s="2">
        <v>43344</v>
      </c>
      <c r="Q3190">
        <v>1</v>
      </c>
      <c r="R3190" s="1" t="s">
        <v>40</v>
      </c>
    </row>
    <row r="3191" spans="1:18" x14ac:dyDescent="0.25">
      <c r="A3191">
        <v>2018</v>
      </c>
      <c r="B3191">
        <v>10</v>
      </c>
      <c r="C3191" s="1" t="s">
        <v>33</v>
      </c>
      <c r="D3191" s="1" t="s">
        <v>19</v>
      </c>
      <c r="E3191" s="1" t="s">
        <v>65</v>
      </c>
      <c r="F3191">
        <v>2012</v>
      </c>
      <c r="G3191">
        <v>6</v>
      </c>
      <c r="H3191" s="1" t="s">
        <v>21</v>
      </c>
      <c r="I3191">
        <v>19</v>
      </c>
      <c r="J3191">
        <v>2418</v>
      </c>
      <c r="K3191" s="1" t="s">
        <v>66</v>
      </c>
      <c r="L3191" s="1" t="s">
        <v>64</v>
      </c>
      <c r="M3191">
        <v>1.577</v>
      </c>
      <c r="N3191">
        <v>29959</v>
      </c>
      <c r="O3191">
        <v>29.959</v>
      </c>
      <c r="P3191" s="2">
        <v>43374</v>
      </c>
      <c r="Q3191">
        <v>1</v>
      </c>
      <c r="R3191" s="1" t="s">
        <v>40</v>
      </c>
    </row>
    <row r="3192" spans="1:18" x14ac:dyDescent="0.25">
      <c r="A3192">
        <v>2018</v>
      </c>
      <c r="B3192">
        <v>11</v>
      </c>
      <c r="C3192" s="1" t="s">
        <v>34</v>
      </c>
      <c r="D3192" s="1" t="s">
        <v>19</v>
      </c>
      <c r="E3192" s="1" t="s">
        <v>65</v>
      </c>
      <c r="F3192">
        <v>2012</v>
      </c>
      <c r="G3192">
        <v>6</v>
      </c>
      <c r="H3192" s="1" t="s">
        <v>21</v>
      </c>
      <c r="I3192">
        <v>19</v>
      </c>
      <c r="J3192">
        <v>2418</v>
      </c>
      <c r="K3192" s="1" t="s">
        <v>66</v>
      </c>
      <c r="L3192" s="1" t="s">
        <v>64</v>
      </c>
      <c r="M3192">
        <v>1.054</v>
      </c>
      <c r="N3192">
        <v>20021</v>
      </c>
      <c r="O3192">
        <v>20.021000000000001</v>
      </c>
      <c r="P3192" s="2">
        <v>43405</v>
      </c>
      <c r="Q3192">
        <v>1</v>
      </c>
      <c r="R3192" s="1" t="s">
        <v>40</v>
      </c>
    </row>
    <row r="3193" spans="1:18" x14ac:dyDescent="0.25">
      <c r="A3193">
        <v>2018</v>
      </c>
      <c r="B3193">
        <v>12</v>
      </c>
      <c r="C3193" s="1" t="s">
        <v>35</v>
      </c>
      <c r="D3193" s="1" t="s">
        <v>19</v>
      </c>
      <c r="E3193" s="1" t="s">
        <v>65</v>
      </c>
      <c r="F3193">
        <v>2012</v>
      </c>
      <c r="G3193">
        <v>6</v>
      </c>
      <c r="H3193" s="1" t="s">
        <v>21</v>
      </c>
      <c r="I3193">
        <v>19</v>
      </c>
      <c r="J3193">
        <v>2418</v>
      </c>
      <c r="K3193" s="1" t="s">
        <v>66</v>
      </c>
      <c r="L3193" s="1" t="s">
        <v>64</v>
      </c>
      <c r="M3193">
        <v>1.548</v>
      </c>
      <c r="N3193">
        <v>29415</v>
      </c>
      <c r="O3193">
        <v>29.414999999999999</v>
      </c>
      <c r="P3193" s="2">
        <v>43435</v>
      </c>
      <c r="Q3193">
        <v>1</v>
      </c>
      <c r="R3193" s="1" t="s">
        <v>40</v>
      </c>
    </row>
    <row r="3194" spans="1:18" x14ac:dyDescent="0.25">
      <c r="A3194">
        <v>2018</v>
      </c>
      <c r="B3194">
        <v>1</v>
      </c>
      <c r="C3194" s="1" t="s">
        <v>18</v>
      </c>
      <c r="D3194" s="1" t="s">
        <v>19</v>
      </c>
      <c r="E3194" s="1" t="s">
        <v>67</v>
      </c>
      <c r="F3194">
        <v>2012</v>
      </c>
      <c r="G3194">
        <v>6</v>
      </c>
      <c r="H3194" s="1" t="s">
        <v>21</v>
      </c>
      <c r="I3194">
        <v>25</v>
      </c>
      <c r="J3194">
        <v>3205</v>
      </c>
      <c r="K3194" s="1" t="s">
        <v>68</v>
      </c>
      <c r="L3194" s="1" t="s">
        <v>64</v>
      </c>
      <c r="M3194">
        <v>0.96899999999999997</v>
      </c>
      <c r="N3194">
        <v>24229.8</v>
      </c>
      <c r="O3194">
        <v>24.23</v>
      </c>
      <c r="P3194" s="2">
        <v>43101</v>
      </c>
      <c r="Q3194">
        <v>1</v>
      </c>
      <c r="R3194" s="1" t="s">
        <v>40</v>
      </c>
    </row>
    <row r="3195" spans="1:18" x14ac:dyDescent="0.25">
      <c r="A3195">
        <v>2018</v>
      </c>
      <c r="B3195">
        <v>2</v>
      </c>
      <c r="C3195" s="1" t="s">
        <v>25</v>
      </c>
      <c r="D3195" s="1" t="s">
        <v>19</v>
      </c>
      <c r="E3195" s="1" t="s">
        <v>67</v>
      </c>
      <c r="F3195">
        <v>2012</v>
      </c>
      <c r="G3195">
        <v>6</v>
      </c>
      <c r="H3195" s="1" t="s">
        <v>21</v>
      </c>
      <c r="I3195">
        <v>25</v>
      </c>
      <c r="J3195">
        <v>3205</v>
      </c>
      <c r="K3195" s="1" t="s">
        <v>68</v>
      </c>
      <c r="L3195" s="1" t="s">
        <v>64</v>
      </c>
      <c r="M3195">
        <v>0.91</v>
      </c>
      <c r="N3195">
        <v>22739.5</v>
      </c>
      <c r="O3195">
        <v>22.739000000000001</v>
      </c>
      <c r="P3195" s="2">
        <v>43132</v>
      </c>
      <c r="Q3195">
        <v>1</v>
      </c>
      <c r="R3195" s="1" t="s">
        <v>40</v>
      </c>
    </row>
    <row r="3196" spans="1:18" x14ac:dyDescent="0.25">
      <c r="A3196">
        <v>2018</v>
      </c>
      <c r="B3196">
        <v>3</v>
      </c>
      <c r="C3196" s="1" t="s">
        <v>26</v>
      </c>
      <c r="D3196" s="1" t="s">
        <v>19</v>
      </c>
      <c r="E3196" s="1" t="s">
        <v>67</v>
      </c>
      <c r="F3196">
        <v>2012</v>
      </c>
      <c r="G3196">
        <v>6</v>
      </c>
      <c r="H3196" s="1" t="s">
        <v>21</v>
      </c>
      <c r="I3196">
        <v>25</v>
      </c>
      <c r="J3196">
        <v>3205</v>
      </c>
      <c r="K3196" s="1" t="s">
        <v>68</v>
      </c>
      <c r="L3196" s="1" t="s">
        <v>64</v>
      </c>
      <c r="M3196">
        <v>1.266</v>
      </c>
      <c r="N3196">
        <v>31657.4</v>
      </c>
      <c r="O3196">
        <v>31.657</v>
      </c>
      <c r="P3196" s="2">
        <v>43160</v>
      </c>
      <c r="Q3196">
        <v>1</v>
      </c>
      <c r="R3196" s="1" t="s">
        <v>40</v>
      </c>
    </row>
    <row r="3197" spans="1:18" x14ac:dyDescent="0.25">
      <c r="A3197">
        <v>2018</v>
      </c>
      <c r="B3197">
        <v>4</v>
      </c>
      <c r="C3197" s="1" t="s">
        <v>27</v>
      </c>
      <c r="D3197" s="1" t="s">
        <v>19</v>
      </c>
      <c r="E3197" s="1" t="s">
        <v>67</v>
      </c>
      <c r="F3197">
        <v>2012</v>
      </c>
      <c r="G3197">
        <v>6</v>
      </c>
      <c r="H3197" s="1" t="s">
        <v>21</v>
      </c>
      <c r="I3197">
        <v>25</v>
      </c>
      <c r="J3197">
        <v>3205</v>
      </c>
      <c r="K3197" s="1" t="s">
        <v>68</v>
      </c>
      <c r="L3197" s="1" t="s">
        <v>64</v>
      </c>
      <c r="M3197">
        <v>1.123</v>
      </c>
      <c r="N3197">
        <v>28075.8</v>
      </c>
      <c r="O3197">
        <v>28.076000000000001</v>
      </c>
      <c r="P3197" s="2">
        <v>43191</v>
      </c>
      <c r="Q3197">
        <v>1</v>
      </c>
      <c r="R3197" s="1" t="s">
        <v>40</v>
      </c>
    </row>
    <row r="3198" spans="1:18" x14ac:dyDescent="0.25">
      <c r="A3198">
        <v>2018</v>
      </c>
      <c r="B3198">
        <v>5</v>
      </c>
      <c r="C3198" s="1" t="s">
        <v>28</v>
      </c>
      <c r="D3198" s="1" t="s">
        <v>19</v>
      </c>
      <c r="E3198" s="1" t="s">
        <v>67</v>
      </c>
      <c r="F3198">
        <v>2012</v>
      </c>
      <c r="G3198">
        <v>6</v>
      </c>
      <c r="H3198" s="1" t="s">
        <v>21</v>
      </c>
      <c r="I3198">
        <v>25</v>
      </c>
      <c r="J3198">
        <v>3205</v>
      </c>
      <c r="K3198" s="1" t="s">
        <v>68</v>
      </c>
      <c r="L3198" s="1" t="s">
        <v>64</v>
      </c>
      <c r="M3198">
        <v>1.4410000000000001</v>
      </c>
      <c r="N3198">
        <v>36032.199999999997</v>
      </c>
      <c r="O3198">
        <v>36.031999999999996</v>
      </c>
      <c r="P3198" s="2">
        <v>43221</v>
      </c>
      <c r="Q3198">
        <v>1</v>
      </c>
      <c r="R3198" s="1" t="s">
        <v>40</v>
      </c>
    </row>
    <row r="3199" spans="1:18" x14ac:dyDescent="0.25">
      <c r="A3199">
        <v>2018</v>
      </c>
      <c r="B3199">
        <v>6</v>
      </c>
      <c r="C3199" s="1" t="s">
        <v>29</v>
      </c>
      <c r="D3199" s="1" t="s">
        <v>19</v>
      </c>
      <c r="E3199" s="1" t="s">
        <v>67</v>
      </c>
      <c r="F3199">
        <v>2012</v>
      </c>
      <c r="G3199">
        <v>6</v>
      </c>
      <c r="H3199" s="1" t="s">
        <v>21</v>
      </c>
      <c r="I3199">
        <v>25</v>
      </c>
      <c r="J3199">
        <v>3205</v>
      </c>
      <c r="K3199" s="1" t="s">
        <v>68</v>
      </c>
      <c r="L3199" s="1" t="s">
        <v>64</v>
      </c>
      <c r="M3199">
        <v>0.97399999999999998</v>
      </c>
      <c r="N3199">
        <v>24350</v>
      </c>
      <c r="O3199">
        <v>24.35</v>
      </c>
      <c r="P3199" s="2">
        <v>43252</v>
      </c>
      <c r="Q3199">
        <v>1</v>
      </c>
      <c r="R3199" s="1" t="s">
        <v>40</v>
      </c>
    </row>
    <row r="3200" spans="1:18" x14ac:dyDescent="0.25">
      <c r="A3200">
        <v>2018</v>
      </c>
      <c r="B3200">
        <v>7</v>
      </c>
      <c r="C3200" s="1" t="s">
        <v>30</v>
      </c>
      <c r="D3200" s="1" t="s">
        <v>19</v>
      </c>
      <c r="E3200" s="1" t="s">
        <v>67</v>
      </c>
      <c r="F3200">
        <v>2012</v>
      </c>
      <c r="G3200">
        <v>6</v>
      </c>
      <c r="H3200" s="1" t="s">
        <v>21</v>
      </c>
      <c r="I3200">
        <v>25</v>
      </c>
      <c r="J3200">
        <v>3205</v>
      </c>
      <c r="K3200" s="1" t="s">
        <v>68</v>
      </c>
      <c r="L3200" s="1" t="s">
        <v>64</v>
      </c>
      <c r="M3200">
        <v>1.353</v>
      </c>
      <c r="N3200">
        <v>33820.800000000003</v>
      </c>
      <c r="O3200">
        <v>33.820999999999998</v>
      </c>
      <c r="P3200" s="2">
        <v>43282</v>
      </c>
      <c r="Q3200">
        <v>1</v>
      </c>
      <c r="R3200" s="1" t="s">
        <v>40</v>
      </c>
    </row>
    <row r="3201" spans="1:18" x14ac:dyDescent="0.25">
      <c r="A3201">
        <v>2018</v>
      </c>
      <c r="B3201">
        <v>8</v>
      </c>
      <c r="C3201" s="1" t="s">
        <v>31</v>
      </c>
      <c r="D3201" s="1" t="s">
        <v>19</v>
      </c>
      <c r="E3201" s="1" t="s">
        <v>67</v>
      </c>
      <c r="F3201">
        <v>2012</v>
      </c>
      <c r="G3201">
        <v>6</v>
      </c>
      <c r="H3201" s="1" t="s">
        <v>21</v>
      </c>
      <c r="I3201">
        <v>25</v>
      </c>
      <c r="J3201">
        <v>3205</v>
      </c>
      <c r="K3201" s="1" t="s">
        <v>68</v>
      </c>
      <c r="L3201" s="1" t="s">
        <v>64</v>
      </c>
      <c r="M3201">
        <v>1.534</v>
      </c>
      <c r="N3201">
        <v>38339.800000000003</v>
      </c>
      <c r="O3201">
        <v>38.340000000000003</v>
      </c>
      <c r="P3201" s="2">
        <v>43313</v>
      </c>
      <c r="Q3201">
        <v>1</v>
      </c>
      <c r="R3201" s="1" t="s">
        <v>40</v>
      </c>
    </row>
    <row r="3202" spans="1:18" x14ac:dyDescent="0.25">
      <c r="A3202">
        <v>2018</v>
      </c>
      <c r="B3202">
        <v>9</v>
      </c>
      <c r="C3202" s="1" t="s">
        <v>32</v>
      </c>
      <c r="D3202" s="1" t="s">
        <v>19</v>
      </c>
      <c r="E3202" s="1" t="s">
        <v>67</v>
      </c>
      <c r="F3202">
        <v>2012</v>
      </c>
      <c r="G3202">
        <v>6</v>
      </c>
      <c r="H3202" s="1" t="s">
        <v>21</v>
      </c>
      <c r="I3202">
        <v>25</v>
      </c>
      <c r="J3202">
        <v>3205</v>
      </c>
      <c r="K3202" s="1" t="s">
        <v>68</v>
      </c>
      <c r="L3202" s="1" t="s">
        <v>64</v>
      </c>
      <c r="M3202">
        <v>1.1419999999999999</v>
      </c>
      <c r="N3202">
        <v>28556.5</v>
      </c>
      <c r="O3202">
        <v>28.556999999999999</v>
      </c>
      <c r="P3202" s="2">
        <v>43344</v>
      </c>
      <c r="Q3202">
        <v>1</v>
      </c>
      <c r="R3202" s="1" t="s">
        <v>40</v>
      </c>
    </row>
    <row r="3203" spans="1:18" x14ac:dyDescent="0.25">
      <c r="A3203">
        <v>2018</v>
      </c>
      <c r="B3203">
        <v>10</v>
      </c>
      <c r="C3203" s="1" t="s">
        <v>33</v>
      </c>
      <c r="D3203" s="1" t="s">
        <v>19</v>
      </c>
      <c r="E3203" s="1" t="s">
        <v>67</v>
      </c>
      <c r="F3203">
        <v>2012</v>
      </c>
      <c r="G3203">
        <v>6</v>
      </c>
      <c r="H3203" s="1" t="s">
        <v>21</v>
      </c>
      <c r="I3203">
        <v>25</v>
      </c>
      <c r="J3203">
        <v>3205</v>
      </c>
      <c r="K3203" s="1" t="s">
        <v>68</v>
      </c>
      <c r="L3203" s="1" t="s">
        <v>64</v>
      </c>
      <c r="M3203">
        <v>1.5880000000000001</v>
      </c>
      <c r="N3203">
        <v>39709.9</v>
      </c>
      <c r="O3203">
        <v>39.71</v>
      </c>
      <c r="P3203" s="2">
        <v>43374</v>
      </c>
      <c r="Q3203">
        <v>1</v>
      </c>
      <c r="R3203" s="1" t="s">
        <v>40</v>
      </c>
    </row>
    <row r="3204" spans="1:18" x14ac:dyDescent="0.25">
      <c r="A3204">
        <v>2018</v>
      </c>
      <c r="B3204">
        <v>11</v>
      </c>
      <c r="C3204" s="1" t="s">
        <v>34</v>
      </c>
      <c r="D3204" s="1" t="s">
        <v>19</v>
      </c>
      <c r="E3204" s="1" t="s">
        <v>67</v>
      </c>
      <c r="F3204">
        <v>2012</v>
      </c>
      <c r="G3204">
        <v>6</v>
      </c>
      <c r="H3204" s="1" t="s">
        <v>21</v>
      </c>
      <c r="I3204">
        <v>25</v>
      </c>
      <c r="J3204">
        <v>3205</v>
      </c>
      <c r="K3204" s="1" t="s">
        <v>68</v>
      </c>
      <c r="L3204" s="1" t="s">
        <v>64</v>
      </c>
      <c r="M3204">
        <v>1.0609999999999999</v>
      </c>
      <c r="N3204">
        <v>26537.4</v>
      </c>
      <c r="O3204">
        <v>26.536999999999999</v>
      </c>
      <c r="P3204" s="2">
        <v>43405</v>
      </c>
      <c r="Q3204">
        <v>1</v>
      </c>
      <c r="R3204" s="1" t="s">
        <v>40</v>
      </c>
    </row>
    <row r="3205" spans="1:18" x14ac:dyDescent="0.25">
      <c r="A3205">
        <v>2018</v>
      </c>
      <c r="B3205">
        <v>12</v>
      </c>
      <c r="C3205" s="1" t="s">
        <v>35</v>
      </c>
      <c r="D3205" s="1" t="s">
        <v>19</v>
      </c>
      <c r="E3205" s="1" t="s">
        <v>67</v>
      </c>
      <c r="F3205">
        <v>2012</v>
      </c>
      <c r="G3205">
        <v>6</v>
      </c>
      <c r="H3205" s="1" t="s">
        <v>21</v>
      </c>
      <c r="I3205">
        <v>25</v>
      </c>
      <c r="J3205">
        <v>3205</v>
      </c>
      <c r="K3205" s="1" t="s">
        <v>68</v>
      </c>
      <c r="L3205" s="1" t="s">
        <v>64</v>
      </c>
      <c r="M3205">
        <v>1.56</v>
      </c>
      <c r="N3205">
        <v>38988.800000000003</v>
      </c>
      <c r="O3205">
        <v>38.988999999999997</v>
      </c>
      <c r="P3205" s="2">
        <v>43435</v>
      </c>
      <c r="Q3205">
        <v>1</v>
      </c>
      <c r="R3205" s="1" t="s">
        <v>40</v>
      </c>
    </row>
    <row r="3206" spans="1:18" x14ac:dyDescent="0.25">
      <c r="A3206">
        <v>2018</v>
      </c>
      <c r="B3206">
        <v>1</v>
      </c>
      <c r="C3206" s="1" t="s">
        <v>18</v>
      </c>
      <c r="D3206" s="1" t="s">
        <v>19</v>
      </c>
      <c r="E3206" s="1" t="s">
        <v>69</v>
      </c>
      <c r="F3206">
        <v>2012</v>
      </c>
      <c r="G3206">
        <v>6</v>
      </c>
      <c r="H3206" s="1" t="s">
        <v>21</v>
      </c>
      <c r="I3206">
        <v>19</v>
      </c>
      <c r="J3206">
        <v>2469</v>
      </c>
      <c r="K3206" s="1" t="s">
        <v>70</v>
      </c>
      <c r="L3206" s="1" t="s">
        <v>45</v>
      </c>
      <c r="M3206">
        <v>0.98199999999999998</v>
      </c>
      <c r="N3206">
        <v>18665.599999999999</v>
      </c>
      <c r="O3206">
        <v>18.666</v>
      </c>
      <c r="P3206" s="2">
        <v>43101</v>
      </c>
      <c r="Q3206">
        <v>1</v>
      </c>
      <c r="R3206" s="1" t="s">
        <v>40</v>
      </c>
    </row>
    <row r="3207" spans="1:18" x14ac:dyDescent="0.25">
      <c r="A3207">
        <v>2018</v>
      </c>
      <c r="B3207">
        <v>2</v>
      </c>
      <c r="C3207" s="1" t="s">
        <v>25</v>
      </c>
      <c r="D3207" s="1" t="s">
        <v>19</v>
      </c>
      <c r="E3207" s="1" t="s">
        <v>69</v>
      </c>
      <c r="F3207">
        <v>2012</v>
      </c>
      <c r="G3207">
        <v>6</v>
      </c>
      <c r="H3207" s="1" t="s">
        <v>21</v>
      </c>
      <c r="I3207">
        <v>19</v>
      </c>
      <c r="J3207">
        <v>2469</v>
      </c>
      <c r="K3207" s="1" t="s">
        <v>70</v>
      </c>
      <c r="L3207" s="1" t="s">
        <v>45</v>
      </c>
      <c r="M3207">
        <v>0.92200000000000004</v>
      </c>
      <c r="N3207">
        <v>17517.599999999999</v>
      </c>
      <c r="O3207">
        <v>17.518000000000001</v>
      </c>
      <c r="P3207" s="2">
        <v>43132</v>
      </c>
      <c r="Q3207">
        <v>1</v>
      </c>
      <c r="R3207" s="1" t="s">
        <v>40</v>
      </c>
    </row>
    <row r="3208" spans="1:18" x14ac:dyDescent="0.25">
      <c r="A3208">
        <v>2018</v>
      </c>
      <c r="B3208">
        <v>3</v>
      </c>
      <c r="C3208" s="1" t="s">
        <v>26</v>
      </c>
      <c r="D3208" s="1" t="s">
        <v>19</v>
      </c>
      <c r="E3208" s="1" t="s">
        <v>69</v>
      </c>
      <c r="F3208">
        <v>2012</v>
      </c>
      <c r="G3208">
        <v>6</v>
      </c>
      <c r="H3208" s="1" t="s">
        <v>21</v>
      </c>
      <c r="I3208">
        <v>19</v>
      </c>
      <c r="J3208">
        <v>2469</v>
      </c>
      <c r="K3208" s="1" t="s">
        <v>70</v>
      </c>
      <c r="L3208" s="1" t="s">
        <v>45</v>
      </c>
      <c r="M3208">
        <v>1.284</v>
      </c>
      <c r="N3208">
        <v>24387.5</v>
      </c>
      <c r="O3208">
        <v>24.388000000000002</v>
      </c>
      <c r="P3208" s="2">
        <v>43160</v>
      </c>
      <c r="Q3208">
        <v>1</v>
      </c>
      <c r="R3208" s="1" t="s">
        <v>40</v>
      </c>
    </row>
    <row r="3209" spans="1:18" x14ac:dyDescent="0.25">
      <c r="A3209">
        <v>2018</v>
      </c>
      <c r="B3209">
        <v>4</v>
      </c>
      <c r="C3209" s="1" t="s">
        <v>27</v>
      </c>
      <c r="D3209" s="1" t="s">
        <v>19</v>
      </c>
      <c r="E3209" s="1" t="s">
        <v>69</v>
      </c>
      <c r="F3209">
        <v>2012</v>
      </c>
      <c r="G3209">
        <v>6</v>
      </c>
      <c r="H3209" s="1" t="s">
        <v>21</v>
      </c>
      <c r="I3209">
        <v>19</v>
      </c>
      <c r="J3209">
        <v>2469</v>
      </c>
      <c r="K3209" s="1" t="s">
        <v>70</v>
      </c>
      <c r="L3209" s="1" t="s">
        <v>45</v>
      </c>
      <c r="M3209">
        <v>1.1379999999999999</v>
      </c>
      <c r="N3209">
        <v>21628.400000000001</v>
      </c>
      <c r="O3209">
        <v>21.628</v>
      </c>
      <c r="P3209" s="2">
        <v>43191</v>
      </c>
      <c r="Q3209">
        <v>1</v>
      </c>
      <c r="R3209" s="1" t="s">
        <v>40</v>
      </c>
    </row>
    <row r="3210" spans="1:18" x14ac:dyDescent="0.25">
      <c r="A3210">
        <v>2018</v>
      </c>
      <c r="B3210">
        <v>5</v>
      </c>
      <c r="C3210" s="1" t="s">
        <v>28</v>
      </c>
      <c r="D3210" s="1" t="s">
        <v>19</v>
      </c>
      <c r="E3210" s="1" t="s">
        <v>69</v>
      </c>
      <c r="F3210">
        <v>2012</v>
      </c>
      <c r="G3210">
        <v>6</v>
      </c>
      <c r="H3210" s="1" t="s">
        <v>21</v>
      </c>
      <c r="I3210">
        <v>19</v>
      </c>
      <c r="J3210">
        <v>2469</v>
      </c>
      <c r="K3210" s="1" t="s">
        <v>70</v>
      </c>
      <c r="L3210" s="1" t="s">
        <v>45</v>
      </c>
      <c r="M3210">
        <v>1.4610000000000001</v>
      </c>
      <c r="N3210">
        <v>27757.7</v>
      </c>
      <c r="O3210">
        <v>27.757999999999999</v>
      </c>
      <c r="P3210" s="2">
        <v>43221</v>
      </c>
      <c r="Q3210">
        <v>1</v>
      </c>
      <c r="R3210" s="1" t="s">
        <v>40</v>
      </c>
    </row>
    <row r="3211" spans="1:18" x14ac:dyDescent="0.25">
      <c r="A3211">
        <v>2018</v>
      </c>
      <c r="B3211">
        <v>6</v>
      </c>
      <c r="C3211" s="1" t="s">
        <v>29</v>
      </c>
      <c r="D3211" s="1" t="s">
        <v>19</v>
      </c>
      <c r="E3211" s="1" t="s">
        <v>69</v>
      </c>
      <c r="F3211">
        <v>2012</v>
      </c>
      <c r="G3211">
        <v>6</v>
      </c>
      <c r="H3211" s="1" t="s">
        <v>21</v>
      </c>
      <c r="I3211">
        <v>19</v>
      </c>
      <c r="J3211">
        <v>2469</v>
      </c>
      <c r="K3211" s="1" t="s">
        <v>70</v>
      </c>
      <c r="L3211" s="1" t="s">
        <v>45</v>
      </c>
      <c r="M3211">
        <v>0.98699999999999999</v>
      </c>
      <c r="N3211">
        <v>18758.2</v>
      </c>
      <c r="O3211">
        <v>18.757999999999999</v>
      </c>
      <c r="P3211" s="2">
        <v>43252</v>
      </c>
      <c r="Q3211">
        <v>1</v>
      </c>
      <c r="R3211" s="1" t="s">
        <v>40</v>
      </c>
    </row>
    <row r="3212" spans="1:18" x14ac:dyDescent="0.25">
      <c r="A3212">
        <v>2018</v>
      </c>
      <c r="B3212">
        <v>7</v>
      </c>
      <c r="C3212" s="1" t="s">
        <v>30</v>
      </c>
      <c r="D3212" s="1" t="s">
        <v>19</v>
      </c>
      <c r="E3212" s="1" t="s">
        <v>69</v>
      </c>
      <c r="F3212">
        <v>2012</v>
      </c>
      <c r="G3212">
        <v>6</v>
      </c>
      <c r="H3212" s="1" t="s">
        <v>21</v>
      </c>
      <c r="I3212">
        <v>19</v>
      </c>
      <c r="J3212">
        <v>2469</v>
      </c>
      <c r="K3212" s="1" t="s">
        <v>70</v>
      </c>
      <c r="L3212" s="1" t="s">
        <v>45</v>
      </c>
      <c r="M3212">
        <v>1.371</v>
      </c>
      <c r="N3212">
        <v>26054.1</v>
      </c>
      <c r="O3212">
        <v>26.053999999999998</v>
      </c>
      <c r="P3212" s="2">
        <v>43282</v>
      </c>
      <c r="Q3212">
        <v>1</v>
      </c>
      <c r="R3212" s="1" t="s">
        <v>40</v>
      </c>
    </row>
    <row r="3213" spans="1:18" x14ac:dyDescent="0.25">
      <c r="A3213">
        <v>2018</v>
      </c>
      <c r="B3213">
        <v>8</v>
      </c>
      <c r="C3213" s="1" t="s">
        <v>31</v>
      </c>
      <c r="D3213" s="1" t="s">
        <v>19</v>
      </c>
      <c r="E3213" s="1" t="s">
        <v>69</v>
      </c>
      <c r="F3213">
        <v>2012</v>
      </c>
      <c r="G3213">
        <v>6</v>
      </c>
      <c r="H3213" s="1" t="s">
        <v>21</v>
      </c>
      <c r="I3213">
        <v>19</v>
      </c>
      <c r="J3213">
        <v>2469</v>
      </c>
      <c r="K3213" s="1" t="s">
        <v>70</v>
      </c>
      <c r="L3213" s="1" t="s">
        <v>45</v>
      </c>
      <c r="M3213">
        <v>1.554</v>
      </c>
      <c r="N3213">
        <v>29535.4</v>
      </c>
      <c r="O3213">
        <v>29.535</v>
      </c>
      <c r="P3213" s="2">
        <v>43313</v>
      </c>
      <c r="Q3213">
        <v>1</v>
      </c>
      <c r="R3213" s="1" t="s">
        <v>40</v>
      </c>
    </row>
    <row r="3214" spans="1:18" x14ac:dyDescent="0.25">
      <c r="A3214">
        <v>2018</v>
      </c>
      <c r="B3214">
        <v>9</v>
      </c>
      <c r="C3214" s="1" t="s">
        <v>32</v>
      </c>
      <c r="D3214" s="1" t="s">
        <v>19</v>
      </c>
      <c r="E3214" s="1" t="s">
        <v>69</v>
      </c>
      <c r="F3214">
        <v>2012</v>
      </c>
      <c r="G3214">
        <v>6</v>
      </c>
      <c r="H3214" s="1" t="s">
        <v>21</v>
      </c>
      <c r="I3214">
        <v>19</v>
      </c>
      <c r="J3214">
        <v>2469</v>
      </c>
      <c r="K3214" s="1" t="s">
        <v>70</v>
      </c>
      <c r="L3214" s="1" t="s">
        <v>45</v>
      </c>
      <c r="M3214">
        <v>1.1579999999999999</v>
      </c>
      <c r="N3214">
        <v>21998.799999999999</v>
      </c>
      <c r="O3214">
        <v>21.998999999999999</v>
      </c>
      <c r="P3214" s="2">
        <v>43344</v>
      </c>
      <c r="Q3214">
        <v>1</v>
      </c>
      <c r="R3214" s="1" t="s">
        <v>40</v>
      </c>
    </row>
    <row r="3215" spans="1:18" x14ac:dyDescent="0.25">
      <c r="A3215">
        <v>2018</v>
      </c>
      <c r="B3215">
        <v>10</v>
      </c>
      <c r="C3215" s="1" t="s">
        <v>33</v>
      </c>
      <c r="D3215" s="1" t="s">
        <v>19</v>
      </c>
      <c r="E3215" s="1" t="s">
        <v>69</v>
      </c>
      <c r="F3215">
        <v>2012</v>
      </c>
      <c r="G3215">
        <v>6</v>
      </c>
      <c r="H3215" s="1" t="s">
        <v>21</v>
      </c>
      <c r="I3215">
        <v>19</v>
      </c>
      <c r="J3215">
        <v>2469</v>
      </c>
      <c r="K3215" s="1" t="s">
        <v>70</v>
      </c>
      <c r="L3215" s="1" t="s">
        <v>45</v>
      </c>
      <c r="M3215">
        <v>1.61</v>
      </c>
      <c r="N3215">
        <v>30590.9</v>
      </c>
      <c r="O3215">
        <v>30.591000000000001</v>
      </c>
      <c r="P3215" s="2">
        <v>43374</v>
      </c>
      <c r="Q3215">
        <v>1</v>
      </c>
      <c r="R3215" s="1" t="s">
        <v>40</v>
      </c>
    </row>
    <row r="3216" spans="1:18" x14ac:dyDescent="0.25">
      <c r="A3216">
        <v>2018</v>
      </c>
      <c r="B3216">
        <v>11</v>
      </c>
      <c r="C3216" s="1" t="s">
        <v>34</v>
      </c>
      <c r="D3216" s="1" t="s">
        <v>19</v>
      </c>
      <c r="E3216" s="1" t="s">
        <v>69</v>
      </c>
      <c r="F3216">
        <v>2012</v>
      </c>
      <c r="G3216">
        <v>6</v>
      </c>
      <c r="H3216" s="1" t="s">
        <v>21</v>
      </c>
      <c r="I3216">
        <v>19</v>
      </c>
      <c r="J3216">
        <v>2469</v>
      </c>
      <c r="K3216" s="1" t="s">
        <v>70</v>
      </c>
      <c r="L3216" s="1" t="s">
        <v>45</v>
      </c>
      <c r="M3216">
        <v>1.0760000000000001</v>
      </c>
      <c r="N3216">
        <v>20443.3</v>
      </c>
      <c r="O3216">
        <v>20.443000000000001</v>
      </c>
      <c r="P3216" s="2">
        <v>43405</v>
      </c>
      <c r="Q3216">
        <v>1</v>
      </c>
      <c r="R3216" s="1" t="s">
        <v>40</v>
      </c>
    </row>
    <row r="3217" spans="1:18" x14ac:dyDescent="0.25">
      <c r="A3217">
        <v>2018</v>
      </c>
      <c r="B3217">
        <v>12</v>
      </c>
      <c r="C3217" s="1" t="s">
        <v>35</v>
      </c>
      <c r="D3217" s="1" t="s">
        <v>19</v>
      </c>
      <c r="E3217" s="1" t="s">
        <v>69</v>
      </c>
      <c r="F3217">
        <v>2012</v>
      </c>
      <c r="G3217">
        <v>6</v>
      </c>
      <c r="H3217" s="1" t="s">
        <v>21</v>
      </c>
      <c r="I3217">
        <v>19</v>
      </c>
      <c r="J3217">
        <v>2469</v>
      </c>
      <c r="K3217" s="1" t="s">
        <v>70</v>
      </c>
      <c r="L3217" s="1" t="s">
        <v>45</v>
      </c>
      <c r="M3217">
        <v>1.581</v>
      </c>
      <c r="N3217">
        <v>30035.4</v>
      </c>
      <c r="O3217">
        <v>30.035</v>
      </c>
      <c r="P3217" s="2">
        <v>43435</v>
      </c>
      <c r="Q3217">
        <v>1</v>
      </c>
      <c r="R3217" s="1" t="s">
        <v>40</v>
      </c>
    </row>
    <row r="3218" spans="1:18" x14ac:dyDescent="0.25">
      <c r="A3218">
        <v>2018</v>
      </c>
      <c r="B3218">
        <v>1</v>
      </c>
      <c r="C3218" s="1" t="s">
        <v>18</v>
      </c>
      <c r="D3218" s="1" t="s">
        <v>19</v>
      </c>
      <c r="E3218" s="1" t="s">
        <v>71</v>
      </c>
      <c r="F3218">
        <v>2012</v>
      </c>
      <c r="G3218">
        <v>6</v>
      </c>
      <c r="H3218" s="1" t="s">
        <v>21</v>
      </c>
      <c r="I3218">
        <v>20</v>
      </c>
      <c r="J3218">
        <v>2704</v>
      </c>
      <c r="K3218" s="1" t="s">
        <v>72</v>
      </c>
      <c r="L3218" s="1" t="s">
        <v>64</v>
      </c>
      <c r="M3218">
        <v>1.022</v>
      </c>
      <c r="N3218">
        <v>20442.2</v>
      </c>
      <c r="O3218">
        <v>20.442</v>
      </c>
      <c r="P3218" s="2">
        <v>43101</v>
      </c>
      <c r="Q3218">
        <v>1</v>
      </c>
      <c r="R3218" s="1" t="s">
        <v>40</v>
      </c>
    </row>
    <row r="3219" spans="1:18" x14ac:dyDescent="0.25">
      <c r="A3219">
        <v>2018</v>
      </c>
      <c r="B3219">
        <v>2</v>
      </c>
      <c r="C3219" s="1" t="s">
        <v>25</v>
      </c>
      <c r="D3219" s="1" t="s">
        <v>19</v>
      </c>
      <c r="E3219" s="1" t="s">
        <v>71</v>
      </c>
      <c r="F3219">
        <v>2012</v>
      </c>
      <c r="G3219">
        <v>6</v>
      </c>
      <c r="H3219" s="1" t="s">
        <v>21</v>
      </c>
      <c r="I3219">
        <v>20</v>
      </c>
      <c r="J3219">
        <v>2704</v>
      </c>
      <c r="K3219" s="1" t="s">
        <v>72</v>
      </c>
      <c r="L3219" s="1" t="s">
        <v>64</v>
      </c>
      <c r="M3219">
        <v>0.95899999999999996</v>
      </c>
      <c r="N3219">
        <v>19184.900000000001</v>
      </c>
      <c r="O3219">
        <v>19.184999999999999</v>
      </c>
      <c r="P3219" s="2">
        <v>43132</v>
      </c>
      <c r="Q3219">
        <v>1</v>
      </c>
      <c r="R3219" s="1" t="s">
        <v>40</v>
      </c>
    </row>
    <row r="3220" spans="1:18" x14ac:dyDescent="0.25">
      <c r="A3220">
        <v>2018</v>
      </c>
      <c r="B3220">
        <v>3</v>
      </c>
      <c r="C3220" s="1" t="s">
        <v>26</v>
      </c>
      <c r="D3220" s="1" t="s">
        <v>19</v>
      </c>
      <c r="E3220" s="1" t="s">
        <v>71</v>
      </c>
      <c r="F3220">
        <v>2012</v>
      </c>
      <c r="G3220">
        <v>6</v>
      </c>
      <c r="H3220" s="1" t="s">
        <v>21</v>
      </c>
      <c r="I3220">
        <v>20</v>
      </c>
      <c r="J3220">
        <v>2704</v>
      </c>
      <c r="K3220" s="1" t="s">
        <v>72</v>
      </c>
      <c r="L3220" s="1" t="s">
        <v>64</v>
      </c>
      <c r="M3220">
        <v>1.335</v>
      </c>
      <c r="N3220">
        <v>26708.799999999999</v>
      </c>
      <c r="O3220">
        <v>26.709</v>
      </c>
      <c r="P3220" s="2">
        <v>43160</v>
      </c>
      <c r="Q3220">
        <v>1</v>
      </c>
      <c r="R3220" s="1" t="s">
        <v>40</v>
      </c>
    </row>
    <row r="3221" spans="1:18" x14ac:dyDescent="0.25">
      <c r="A3221">
        <v>2018</v>
      </c>
      <c r="B3221">
        <v>4</v>
      </c>
      <c r="C3221" s="1" t="s">
        <v>27</v>
      </c>
      <c r="D3221" s="1" t="s">
        <v>19</v>
      </c>
      <c r="E3221" s="1" t="s">
        <v>71</v>
      </c>
      <c r="F3221">
        <v>2012</v>
      </c>
      <c r="G3221">
        <v>6</v>
      </c>
      <c r="H3221" s="1" t="s">
        <v>21</v>
      </c>
      <c r="I3221">
        <v>20</v>
      </c>
      <c r="J3221">
        <v>2704</v>
      </c>
      <c r="K3221" s="1" t="s">
        <v>72</v>
      </c>
      <c r="L3221" s="1" t="s">
        <v>64</v>
      </c>
      <c r="M3221">
        <v>1.1839999999999999</v>
      </c>
      <c r="N3221">
        <v>23687</v>
      </c>
      <c r="O3221">
        <v>23.687000000000001</v>
      </c>
      <c r="P3221" s="2">
        <v>43191</v>
      </c>
      <c r="Q3221">
        <v>1</v>
      </c>
      <c r="R3221" s="1" t="s">
        <v>40</v>
      </c>
    </row>
    <row r="3222" spans="1:18" x14ac:dyDescent="0.25">
      <c r="A3222">
        <v>2018</v>
      </c>
      <c r="B3222">
        <v>5</v>
      </c>
      <c r="C3222" s="1" t="s">
        <v>28</v>
      </c>
      <c r="D3222" s="1" t="s">
        <v>19</v>
      </c>
      <c r="E3222" s="1" t="s">
        <v>71</v>
      </c>
      <c r="F3222">
        <v>2012</v>
      </c>
      <c r="G3222">
        <v>6</v>
      </c>
      <c r="H3222" s="1" t="s">
        <v>21</v>
      </c>
      <c r="I3222">
        <v>20</v>
      </c>
      <c r="J3222">
        <v>2704</v>
      </c>
      <c r="K3222" s="1" t="s">
        <v>72</v>
      </c>
      <c r="L3222" s="1" t="s">
        <v>64</v>
      </c>
      <c r="M3222">
        <v>1.52</v>
      </c>
      <c r="N3222">
        <v>30399.7</v>
      </c>
      <c r="O3222">
        <v>30.4</v>
      </c>
      <c r="P3222" s="2">
        <v>43221</v>
      </c>
      <c r="Q3222">
        <v>1</v>
      </c>
      <c r="R3222" s="1" t="s">
        <v>40</v>
      </c>
    </row>
    <row r="3223" spans="1:18" x14ac:dyDescent="0.25">
      <c r="A3223">
        <v>2018</v>
      </c>
      <c r="B3223">
        <v>6</v>
      </c>
      <c r="C3223" s="1" t="s">
        <v>29</v>
      </c>
      <c r="D3223" s="1" t="s">
        <v>19</v>
      </c>
      <c r="E3223" s="1" t="s">
        <v>71</v>
      </c>
      <c r="F3223">
        <v>2012</v>
      </c>
      <c r="G3223">
        <v>6</v>
      </c>
      <c r="H3223" s="1" t="s">
        <v>21</v>
      </c>
      <c r="I3223">
        <v>20</v>
      </c>
      <c r="J3223">
        <v>2704</v>
      </c>
      <c r="K3223" s="1" t="s">
        <v>72</v>
      </c>
      <c r="L3223" s="1" t="s">
        <v>64</v>
      </c>
      <c r="M3223">
        <v>1.0269999999999999</v>
      </c>
      <c r="N3223">
        <v>20543.599999999999</v>
      </c>
      <c r="O3223">
        <v>20.544</v>
      </c>
      <c r="P3223" s="2">
        <v>43252</v>
      </c>
      <c r="Q3223">
        <v>1</v>
      </c>
      <c r="R3223" s="1" t="s">
        <v>40</v>
      </c>
    </row>
    <row r="3224" spans="1:18" x14ac:dyDescent="0.25">
      <c r="A3224">
        <v>2018</v>
      </c>
      <c r="B3224">
        <v>7</v>
      </c>
      <c r="C3224" s="1" t="s">
        <v>30</v>
      </c>
      <c r="D3224" s="1" t="s">
        <v>19</v>
      </c>
      <c r="E3224" s="1" t="s">
        <v>71</v>
      </c>
      <c r="F3224">
        <v>2012</v>
      </c>
      <c r="G3224">
        <v>6</v>
      </c>
      <c r="H3224" s="1" t="s">
        <v>21</v>
      </c>
      <c r="I3224">
        <v>20</v>
      </c>
      <c r="J3224">
        <v>2704</v>
      </c>
      <c r="K3224" s="1" t="s">
        <v>72</v>
      </c>
      <c r="L3224" s="1" t="s">
        <v>64</v>
      </c>
      <c r="M3224">
        <v>1.427</v>
      </c>
      <c r="N3224">
        <v>28534</v>
      </c>
      <c r="O3224">
        <v>28.533999999999999</v>
      </c>
      <c r="P3224" s="2">
        <v>43282</v>
      </c>
      <c r="Q3224">
        <v>1</v>
      </c>
      <c r="R3224" s="1" t="s">
        <v>40</v>
      </c>
    </row>
    <row r="3225" spans="1:18" x14ac:dyDescent="0.25">
      <c r="A3225">
        <v>2018</v>
      </c>
      <c r="B3225">
        <v>8</v>
      </c>
      <c r="C3225" s="1" t="s">
        <v>31</v>
      </c>
      <c r="D3225" s="1" t="s">
        <v>19</v>
      </c>
      <c r="E3225" s="1" t="s">
        <v>71</v>
      </c>
      <c r="F3225">
        <v>2012</v>
      </c>
      <c r="G3225">
        <v>6</v>
      </c>
      <c r="H3225" s="1" t="s">
        <v>21</v>
      </c>
      <c r="I3225">
        <v>20</v>
      </c>
      <c r="J3225">
        <v>2704</v>
      </c>
      <c r="K3225" s="1" t="s">
        <v>72</v>
      </c>
      <c r="L3225" s="1" t="s">
        <v>64</v>
      </c>
      <c r="M3225">
        <v>1.617</v>
      </c>
      <c r="N3225">
        <v>32346.6</v>
      </c>
      <c r="O3225">
        <v>32.347000000000001</v>
      </c>
      <c r="P3225" s="2">
        <v>43313</v>
      </c>
      <c r="Q3225">
        <v>1</v>
      </c>
      <c r="R3225" s="1" t="s">
        <v>40</v>
      </c>
    </row>
    <row r="3226" spans="1:18" x14ac:dyDescent="0.25">
      <c r="A3226">
        <v>2018</v>
      </c>
      <c r="B3226">
        <v>9</v>
      </c>
      <c r="C3226" s="1" t="s">
        <v>32</v>
      </c>
      <c r="D3226" s="1" t="s">
        <v>19</v>
      </c>
      <c r="E3226" s="1" t="s">
        <v>71</v>
      </c>
      <c r="F3226">
        <v>2012</v>
      </c>
      <c r="G3226">
        <v>6</v>
      </c>
      <c r="H3226" s="1" t="s">
        <v>21</v>
      </c>
      <c r="I3226">
        <v>20</v>
      </c>
      <c r="J3226">
        <v>2704</v>
      </c>
      <c r="K3226" s="1" t="s">
        <v>72</v>
      </c>
      <c r="L3226" s="1" t="s">
        <v>64</v>
      </c>
      <c r="M3226">
        <v>1.2050000000000001</v>
      </c>
      <c r="N3226">
        <v>24092.6</v>
      </c>
      <c r="O3226">
        <v>24.093</v>
      </c>
      <c r="P3226" s="2">
        <v>43344</v>
      </c>
      <c r="Q3226">
        <v>1</v>
      </c>
      <c r="R3226" s="1" t="s">
        <v>40</v>
      </c>
    </row>
    <row r="3227" spans="1:18" x14ac:dyDescent="0.25">
      <c r="A3227">
        <v>2018</v>
      </c>
      <c r="B3227">
        <v>10</v>
      </c>
      <c r="C3227" s="1" t="s">
        <v>33</v>
      </c>
      <c r="D3227" s="1" t="s">
        <v>19</v>
      </c>
      <c r="E3227" s="1" t="s">
        <v>71</v>
      </c>
      <c r="F3227">
        <v>2012</v>
      </c>
      <c r="G3227">
        <v>6</v>
      </c>
      <c r="H3227" s="1" t="s">
        <v>21</v>
      </c>
      <c r="I3227">
        <v>20</v>
      </c>
      <c r="J3227">
        <v>2704</v>
      </c>
      <c r="K3227" s="1" t="s">
        <v>72</v>
      </c>
      <c r="L3227" s="1" t="s">
        <v>64</v>
      </c>
      <c r="M3227">
        <v>1.675</v>
      </c>
      <c r="N3227">
        <v>33502.6</v>
      </c>
      <c r="O3227">
        <v>33.503</v>
      </c>
      <c r="P3227" s="2">
        <v>43374</v>
      </c>
      <c r="Q3227">
        <v>1</v>
      </c>
      <c r="R3227" s="1" t="s">
        <v>40</v>
      </c>
    </row>
    <row r="3228" spans="1:18" x14ac:dyDescent="0.25">
      <c r="A3228">
        <v>2018</v>
      </c>
      <c r="B3228">
        <v>11</v>
      </c>
      <c r="C3228" s="1" t="s">
        <v>34</v>
      </c>
      <c r="D3228" s="1" t="s">
        <v>19</v>
      </c>
      <c r="E3228" s="1" t="s">
        <v>71</v>
      </c>
      <c r="F3228">
        <v>2012</v>
      </c>
      <c r="G3228">
        <v>6</v>
      </c>
      <c r="H3228" s="1" t="s">
        <v>21</v>
      </c>
      <c r="I3228">
        <v>20</v>
      </c>
      <c r="J3228">
        <v>2704</v>
      </c>
      <c r="K3228" s="1" t="s">
        <v>72</v>
      </c>
      <c r="L3228" s="1" t="s">
        <v>64</v>
      </c>
      <c r="M3228">
        <v>1.119</v>
      </c>
      <c r="N3228">
        <v>22389.1</v>
      </c>
      <c r="O3228">
        <v>22.388999999999999</v>
      </c>
      <c r="P3228" s="2">
        <v>43405</v>
      </c>
      <c r="Q3228">
        <v>1</v>
      </c>
      <c r="R3228" s="1" t="s">
        <v>40</v>
      </c>
    </row>
    <row r="3229" spans="1:18" x14ac:dyDescent="0.25">
      <c r="A3229">
        <v>2018</v>
      </c>
      <c r="B3229">
        <v>12</v>
      </c>
      <c r="C3229" s="1" t="s">
        <v>35</v>
      </c>
      <c r="D3229" s="1" t="s">
        <v>19</v>
      </c>
      <c r="E3229" s="1" t="s">
        <v>71</v>
      </c>
      <c r="F3229">
        <v>2012</v>
      </c>
      <c r="G3229">
        <v>6</v>
      </c>
      <c r="H3229" s="1" t="s">
        <v>21</v>
      </c>
      <c r="I3229">
        <v>20</v>
      </c>
      <c r="J3229">
        <v>2704</v>
      </c>
      <c r="K3229" s="1" t="s">
        <v>72</v>
      </c>
      <c r="L3229" s="1" t="s">
        <v>64</v>
      </c>
      <c r="M3229">
        <v>1.645</v>
      </c>
      <c r="N3229">
        <v>32894.199999999997</v>
      </c>
      <c r="O3229">
        <v>32.893999999999998</v>
      </c>
      <c r="P3229" s="2">
        <v>43435</v>
      </c>
      <c r="Q3229">
        <v>1</v>
      </c>
      <c r="R3229" s="1" t="s">
        <v>40</v>
      </c>
    </row>
    <row r="3230" spans="1:18" x14ac:dyDescent="0.25">
      <c r="A3230">
        <v>2018</v>
      </c>
      <c r="B3230">
        <v>1</v>
      </c>
      <c r="C3230" s="1" t="s">
        <v>18</v>
      </c>
      <c r="D3230" s="1" t="s">
        <v>19</v>
      </c>
      <c r="E3230" s="1" t="s">
        <v>73</v>
      </c>
      <c r="F3230">
        <v>2012</v>
      </c>
      <c r="G3230">
        <v>6</v>
      </c>
      <c r="H3230" s="1" t="s">
        <v>21</v>
      </c>
      <c r="I3230">
        <v>14</v>
      </c>
      <c r="J3230">
        <v>1833</v>
      </c>
      <c r="K3230" s="1" t="s">
        <v>74</v>
      </c>
      <c r="L3230" s="1" t="s">
        <v>64</v>
      </c>
      <c r="M3230">
        <v>0.99</v>
      </c>
      <c r="N3230">
        <v>13857.5</v>
      </c>
      <c r="O3230">
        <v>13.856999999999999</v>
      </c>
      <c r="P3230" s="2">
        <v>43101</v>
      </c>
      <c r="Q3230">
        <v>1</v>
      </c>
      <c r="R3230" s="1" t="s">
        <v>40</v>
      </c>
    </row>
    <row r="3231" spans="1:18" x14ac:dyDescent="0.25">
      <c r="A3231">
        <v>2018</v>
      </c>
      <c r="B3231">
        <v>2</v>
      </c>
      <c r="C3231" s="1" t="s">
        <v>25</v>
      </c>
      <c r="D3231" s="1" t="s">
        <v>19</v>
      </c>
      <c r="E3231" s="1" t="s">
        <v>73</v>
      </c>
      <c r="F3231">
        <v>2012</v>
      </c>
      <c r="G3231">
        <v>6</v>
      </c>
      <c r="H3231" s="1" t="s">
        <v>21</v>
      </c>
      <c r="I3231">
        <v>14</v>
      </c>
      <c r="J3231">
        <v>1833</v>
      </c>
      <c r="K3231" s="1" t="s">
        <v>74</v>
      </c>
      <c r="L3231" s="1" t="s">
        <v>64</v>
      </c>
      <c r="M3231">
        <v>0.92900000000000005</v>
      </c>
      <c r="N3231">
        <v>13005.1</v>
      </c>
      <c r="O3231">
        <v>13.005000000000001</v>
      </c>
      <c r="P3231" s="2">
        <v>43132</v>
      </c>
      <c r="Q3231">
        <v>1</v>
      </c>
      <c r="R3231" s="1" t="s">
        <v>40</v>
      </c>
    </row>
    <row r="3232" spans="1:18" x14ac:dyDescent="0.25">
      <c r="A3232">
        <v>2018</v>
      </c>
      <c r="B3232">
        <v>3</v>
      </c>
      <c r="C3232" s="1" t="s">
        <v>26</v>
      </c>
      <c r="D3232" s="1" t="s">
        <v>19</v>
      </c>
      <c r="E3232" s="1" t="s">
        <v>73</v>
      </c>
      <c r="F3232">
        <v>2012</v>
      </c>
      <c r="G3232">
        <v>6</v>
      </c>
      <c r="H3232" s="1" t="s">
        <v>21</v>
      </c>
      <c r="I3232">
        <v>14</v>
      </c>
      <c r="J3232">
        <v>1833</v>
      </c>
      <c r="K3232" s="1" t="s">
        <v>74</v>
      </c>
      <c r="L3232" s="1" t="s">
        <v>64</v>
      </c>
      <c r="M3232">
        <v>1.2929999999999999</v>
      </c>
      <c r="N3232">
        <v>18105.5</v>
      </c>
      <c r="O3232">
        <v>18.105</v>
      </c>
      <c r="P3232" s="2">
        <v>43160</v>
      </c>
      <c r="Q3232">
        <v>1</v>
      </c>
      <c r="R3232" s="1" t="s">
        <v>40</v>
      </c>
    </row>
    <row r="3233" spans="1:18" x14ac:dyDescent="0.25">
      <c r="A3233">
        <v>2018</v>
      </c>
      <c r="B3233">
        <v>4</v>
      </c>
      <c r="C3233" s="1" t="s">
        <v>27</v>
      </c>
      <c r="D3233" s="1" t="s">
        <v>19</v>
      </c>
      <c r="E3233" s="1" t="s">
        <v>73</v>
      </c>
      <c r="F3233">
        <v>2012</v>
      </c>
      <c r="G3233">
        <v>6</v>
      </c>
      <c r="H3233" s="1" t="s">
        <v>21</v>
      </c>
      <c r="I3233">
        <v>14</v>
      </c>
      <c r="J3233">
        <v>1833</v>
      </c>
      <c r="K3233" s="1" t="s">
        <v>74</v>
      </c>
      <c r="L3233" s="1" t="s">
        <v>64</v>
      </c>
      <c r="M3233">
        <v>1.147</v>
      </c>
      <c r="N3233">
        <v>16057.1</v>
      </c>
      <c r="O3233">
        <v>16.056999999999999</v>
      </c>
      <c r="P3233" s="2">
        <v>43191</v>
      </c>
      <c r="Q3233">
        <v>1</v>
      </c>
      <c r="R3233" s="1" t="s">
        <v>40</v>
      </c>
    </row>
    <row r="3234" spans="1:18" x14ac:dyDescent="0.25">
      <c r="A3234">
        <v>2018</v>
      </c>
      <c r="B3234">
        <v>5</v>
      </c>
      <c r="C3234" s="1" t="s">
        <v>28</v>
      </c>
      <c r="D3234" s="1" t="s">
        <v>19</v>
      </c>
      <c r="E3234" s="1" t="s">
        <v>73</v>
      </c>
      <c r="F3234">
        <v>2012</v>
      </c>
      <c r="G3234">
        <v>6</v>
      </c>
      <c r="H3234" s="1" t="s">
        <v>21</v>
      </c>
      <c r="I3234">
        <v>14</v>
      </c>
      <c r="J3234">
        <v>1833</v>
      </c>
      <c r="K3234" s="1" t="s">
        <v>74</v>
      </c>
      <c r="L3234" s="1" t="s">
        <v>64</v>
      </c>
      <c r="M3234">
        <v>1.472</v>
      </c>
      <c r="N3234">
        <v>20607.5</v>
      </c>
      <c r="O3234">
        <v>20.608000000000001</v>
      </c>
      <c r="P3234" s="2">
        <v>43221</v>
      </c>
      <c r="Q3234">
        <v>1</v>
      </c>
      <c r="R3234" s="1" t="s">
        <v>40</v>
      </c>
    </row>
    <row r="3235" spans="1:18" x14ac:dyDescent="0.25">
      <c r="A3235">
        <v>2018</v>
      </c>
      <c r="B3235">
        <v>6</v>
      </c>
      <c r="C3235" s="1" t="s">
        <v>29</v>
      </c>
      <c r="D3235" s="1" t="s">
        <v>19</v>
      </c>
      <c r="E3235" s="1" t="s">
        <v>73</v>
      </c>
      <c r="F3235">
        <v>2012</v>
      </c>
      <c r="G3235">
        <v>6</v>
      </c>
      <c r="H3235" s="1" t="s">
        <v>21</v>
      </c>
      <c r="I3235">
        <v>14</v>
      </c>
      <c r="J3235">
        <v>1833</v>
      </c>
      <c r="K3235" s="1" t="s">
        <v>74</v>
      </c>
      <c r="L3235" s="1" t="s">
        <v>64</v>
      </c>
      <c r="M3235">
        <v>0.995</v>
      </c>
      <c r="N3235">
        <v>13926.2</v>
      </c>
      <c r="O3235">
        <v>13.926</v>
      </c>
      <c r="P3235" s="2">
        <v>43252</v>
      </c>
      <c r="Q3235">
        <v>1</v>
      </c>
      <c r="R3235" s="1" t="s">
        <v>40</v>
      </c>
    </row>
    <row r="3236" spans="1:18" x14ac:dyDescent="0.25">
      <c r="A3236">
        <v>2018</v>
      </c>
      <c r="B3236">
        <v>7</v>
      </c>
      <c r="C3236" s="1" t="s">
        <v>30</v>
      </c>
      <c r="D3236" s="1" t="s">
        <v>19</v>
      </c>
      <c r="E3236" s="1" t="s">
        <v>73</v>
      </c>
      <c r="F3236">
        <v>2012</v>
      </c>
      <c r="G3236">
        <v>6</v>
      </c>
      <c r="H3236" s="1" t="s">
        <v>21</v>
      </c>
      <c r="I3236">
        <v>14</v>
      </c>
      <c r="J3236">
        <v>1833</v>
      </c>
      <c r="K3236" s="1" t="s">
        <v>74</v>
      </c>
      <c r="L3236" s="1" t="s">
        <v>64</v>
      </c>
      <c r="M3236">
        <v>1.3819999999999999</v>
      </c>
      <c r="N3236">
        <v>19342.7</v>
      </c>
      <c r="O3236">
        <v>19.343</v>
      </c>
      <c r="P3236" s="2">
        <v>43282</v>
      </c>
      <c r="Q3236">
        <v>1</v>
      </c>
      <c r="R3236" s="1" t="s">
        <v>40</v>
      </c>
    </row>
    <row r="3237" spans="1:18" x14ac:dyDescent="0.25">
      <c r="A3237">
        <v>2018</v>
      </c>
      <c r="B3237">
        <v>8</v>
      </c>
      <c r="C3237" s="1" t="s">
        <v>31</v>
      </c>
      <c r="D3237" s="1" t="s">
        <v>19</v>
      </c>
      <c r="E3237" s="1" t="s">
        <v>73</v>
      </c>
      <c r="F3237">
        <v>2012</v>
      </c>
      <c r="G3237">
        <v>6</v>
      </c>
      <c r="H3237" s="1" t="s">
        <v>21</v>
      </c>
      <c r="I3237">
        <v>14</v>
      </c>
      <c r="J3237">
        <v>1833</v>
      </c>
      <c r="K3237" s="1" t="s">
        <v>74</v>
      </c>
      <c r="L3237" s="1" t="s">
        <v>64</v>
      </c>
      <c r="M3237">
        <v>1.5660000000000001</v>
      </c>
      <c r="N3237">
        <v>21927.3</v>
      </c>
      <c r="O3237">
        <v>21.927</v>
      </c>
      <c r="P3237" s="2">
        <v>43313</v>
      </c>
      <c r="Q3237">
        <v>1</v>
      </c>
      <c r="R3237" s="1" t="s">
        <v>40</v>
      </c>
    </row>
    <row r="3238" spans="1:18" x14ac:dyDescent="0.25">
      <c r="A3238">
        <v>2018</v>
      </c>
      <c r="B3238">
        <v>9</v>
      </c>
      <c r="C3238" s="1" t="s">
        <v>32</v>
      </c>
      <c r="D3238" s="1" t="s">
        <v>19</v>
      </c>
      <c r="E3238" s="1" t="s">
        <v>73</v>
      </c>
      <c r="F3238">
        <v>2012</v>
      </c>
      <c r="G3238">
        <v>6</v>
      </c>
      <c r="H3238" s="1" t="s">
        <v>21</v>
      </c>
      <c r="I3238">
        <v>14</v>
      </c>
      <c r="J3238">
        <v>1833</v>
      </c>
      <c r="K3238" s="1" t="s">
        <v>74</v>
      </c>
      <c r="L3238" s="1" t="s">
        <v>64</v>
      </c>
      <c r="M3238">
        <v>1.167</v>
      </c>
      <c r="N3238">
        <v>16332</v>
      </c>
      <c r="O3238">
        <v>16.332000000000001</v>
      </c>
      <c r="P3238" s="2">
        <v>43344</v>
      </c>
      <c r="Q3238">
        <v>1</v>
      </c>
      <c r="R3238" s="1" t="s">
        <v>40</v>
      </c>
    </row>
    <row r="3239" spans="1:18" x14ac:dyDescent="0.25">
      <c r="A3239">
        <v>2018</v>
      </c>
      <c r="B3239">
        <v>10</v>
      </c>
      <c r="C3239" s="1" t="s">
        <v>33</v>
      </c>
      <c r="D3239" s="1" t="s">
        <v>19</v>
      </c>
      <c r="E3239" s="1" t="s">
        <v>73</v>
      </c>
      <c r="F3239">
        <v>2012</v>
      </c>
      <c r="G3239">
        <v>6</v>
      </c>
      <c r="H3239" s="1" t="s">
        <v>21</v>
      </c>
      <c r="I3239">
        <v>14</v>
      </c>
      <c r="J3239">
        <v>1833</v>
      </c>
      <c r="K3239" s="1" t="s">
        <v>74</v>
      </c>
      <c r="L3239" s="1" t="s">
        <v>64</v>
      </c>
      <c r="M3239">
        <v>1.6220000000000001</v>
      </c>
      <c r="N3239">
        <v>22710.9</v>
      </c>
      <c r="O3239">
        <v>22.710999999999999</v>
      </c>
      <c r="P3239" s="2">
        <v>43374</v>
      </c>
      <c r="Q3239">
        <v>1</v>
      </c>
      <c r="R3239" s="1" t="s">
        <v>40</v>
      </c>
    </row>
    <row r="3240" spans="1:18" x14ac:dyDescent="0.25">
      <c r="A3240">
        <v>2018</v>
      </c>
      <c r="B3240">
        <v>11</v>
      </c>
      <c r="C3240" s="1" t="s">
        <v>34</v>
      </c>
      <c r="D3240" s="1" t="s">
        <v>19</v>
      </c>
      <c r="E3240" s="1" t="s">
        <v>73</v>
      </c>
      <c r="F3240">
        <v>2012</v>
      </c>
      <c r="G3240">
        <v>6</v>
      </c>
      <c r="H3240" s="1" t="s">
        <v>21</v>
      </c>
      <c r="I3240">
        <v>14</v>
      </c>
      <c r="J3240">
        <v>1833</v>
      </c>
      <c r="K3240" s="1" t="s">
        <v>74</v>
      </c>
      <c r="L3240" s="1" t="s">
        <v>64</v>
      </c>
      <c r="M3240">
        <v>1.0840000000000001</v>
      </c>
      <c r="N3240">
        <v>15177.2</v>
      </c>
      <c r="O3240">
        <v>15.177</v>
      </c>
      <c r="P3240" s="2">
        <v>43405</v>
      </c>
      <c r="Q3240">
        <v>1</v>
      </c>
      <c r="R3240" s="1" t="s">
        <v>40</v>
      </c>
    </row>
    <row r="3241" spans="1:18" x14ac:dyDescent="0.25">
      <c r="A3241">
        <v>2018</v>
      </c>
      <c r="B3241">
        <v>12</v>
      </c>
      <c r="C3241" s="1" t="s">
        <v>35</v>
      </c>
      <c r="D3241" s="1" t="s">
        <v>19</v>
      </c>
      <c r="E3241" s="1" t="s">
        <v>73</v>
      </c>
      <c r="F3241">
        <v>2012</v>
      </c>
      <c r="G3241">
        <v>6</v>
      </c>
      <c r="H3241" s="1" t="s">
        <v>21</v>
      </c>
      <c r="I3241">
        <v>14</v>
      </c>
      <c r="J3241">
        <v>1833</v>
      </c>
      <c r="K3241" s="1" t="s">
        <v>74</v>
      </c>
      <c r="L3241" s="1" t="s">
        <v>64</v>
      </c>
      <c r="M3241">
        <v>1.593</v>
      </c>
      <c r="N3241">
        <v>22298.400000000001</v>
      </c>
      <c r="O3241">
        <v>22.297999999999998</v>
      </c>
      <c r="P3241" s="2">
        <v>43435</v>
      </c>
      <c r="Q3241">
        <v>1</v>
      </c>
      <c r="R3241" s="1" t="s">
        <v>40</v>
      </c>
    </row>
    <row r="3242" spans="1:18" x14ac:dyDescent="0.25">
      <c r="A3242">
        <v>2018</v>
      </c>
      <c r="B3242">
        <v>1</v>
      </c>
      <c r="C3242" s="1" t="s">
        <v>18</v>
      </c>
      <c r="D3242" s="1" t="s">
        <v>19</v>
      </c>
      <c r="E3242" s="1" t="s">
        <v>75</v>
      </c>
      <c r="F3242">
        <v>2012</v>
      </c>
      <c r="G3242">
        <v>6</v>
      </c>
      <c r="H3242" s="1" t="s">
        <v>21</v>
      </c>
      <c r="I3242">
        <v>20</v>
      </c>
      <c r="J3242">
        <v>1990</v>
      </c>
      <c r="K3242" s="1" t="s">
        <v>76</v>
      </c>
      <c r="L3242" s="1" t="s">
        <v>64</v>
      </c>
      <c r="M3242">
        <v>0.77100000000000002</v>
      </c>
      <c r="N3242">
        <v>15422.4</v>
      </c>
      <c r="O3242">
        <v>15.422000000000001</v>
      </c>
      <c r="P3242" s="2">
        <v>43101</v>
      </c>
      <c r="Q3242">
        <v>1</v>
      </c>
      <c r="R3242" s="1" t="s">
        <v>40</v>
      </c>
    </row>
    <row r="3243" spans="1:18" x14ac:dyDescent="0.25">
      <c r="A3243">
        <v>2018</v>
      </c>
      <c r="B3243">
        <v>2</v>
      </c>
      <c r="C3243" s="1" t="s">
        <v>25</v>
      </c>
      <c r="D3243" s="1" t="s">
        <v>19</v>
      </c>
      <c r="E3243" s="1" t="s">
        <v>75</v>
      </c>
      <c r="F3243">
        <v>2012</v>
      </c>
      <c r="G3243">
        <v>6</v>
      </c>
      <c r="H3243" s="1" t="s">
        <v>21</v>
      </c>
      <c r="I3243">
        <v>20</v>
      </c>
      <c r="J3243">
        <v>1990</v>
      </c>
      <c r="K3243" s="1" t="s">
        <v>76</v>
      </c>
      <c r="L3243" s="1" t="s">
        <v>64</v>
      </c>
      <c r="M3243">
        <v>0.72399999999999998</v>
      </c>
      <c r="N3243">
        <v>14473.8</v>
      </c>
      <c r="O3243">
        <v>14.474</v>
      </c>
      <c r="P3243" s="2">
        <v>43132</v>
      </c>
      <c r="Q3243">
        <v>1</v>
      </c>
      <c r="R3243" s="1" t="s">
        <v>40</v>
      </c>
    </row>
    <row r="3244" spans="1:18" x14ac:dyDescent="0.25">
      <c r="A3244">
        <v>2018</v>
      </c>
      <c r="B3244">
        <v>3</v>
      </c>
      <c r="C3244" s="1" t="s">
        <v>26</v>
      </c>
      <c r="D3244" s="1" t="s">
        <v>19</v>
      </c>
      <c r="E3244" s="1" t="s">
        <v>75</v>
      </c>
      <c r="F3244">
        <v>2012</v>
      </c>
      <c r="G3244">
        <v>6</v>
      </c>
      <c r="H3244" s="1" t="s">
        <v>21</v>
      </c>
      <c r="I3244">
        <v>20</v>
      </c>
      <c r="J3244">
        <v>1990</v>
      </c>
      <c r="K3244" s="1" t="s">
        <v>76</v>
      </c>
      <c r="L3244" s="1" t="s">
        <v>64</v>
      </c>
      <c r="M3244">
        <v>1.008</v>
      </c>
      <c r="N3244">
        <v>20150.099999999999</v>
      </c>
      <c r="O3244">
        <v>20.149999999999999</v>
      </c>
      <c r="P3244" s="2">
        <v>43160</v>
      </c>
      <c r="Q3244">
        <v>1</v>
      </c>
      <c r="R3244" s="1" t="s">
        <v>40</v>
      </c>
    </row>
    <row r="3245" spans="1:18" x14ac:dyDescent="0.25">
      <c r="A3245">
        <v>2018</v>
      </c>
      <c r="B3245">
        <v>4</v>
      </c>
      <c r="C3245" s="1" t="s">
        <v>27</v>
      </c>
      <c r="D3245" s="1" t="s">
        <v>19</v>
      </c>
      <c r="E3245" s="1" t="s">
        <v>75</v>
      </c>
      <c r="F3245">
        <v>2012</v>
      </c>
      <c r="G3245">
        <v>6</v>
      </c>
      <c r="H3245" s="1" t="s">
        <v>21</v>
      </c>
      <c r="I3245">
        <v>20</v>
      </c>
      <c r="J3245">
        <v>1990</v>
      </c>
      <c r="K3245" s="1" t="s">
        <v>76</v>
      </c>
      <c r="L3245" s="1" t="s">
        <v>64</v>
      </c>
      <c r="M3245">
        <v>0.89400000000000002</v>
      </c>
      <c r="N3245">
        <v>17870.400000000001</v>
      </c>
      <c r="O3245">
        <v>17.87</v>
      </c>
      <c r="P3245" s="2">
        <v>43191</v>
      </c>
      <c r="Q3245">
        <v>1</v>
      </c>
      <c r="R3245" s="1" t="s">
        <v>40</v>
      </c>
    </row>
    <row r="3246" spans="1:18" x14ac:dyDescent="0.25">
      <c r="A3246">
        <v>2018</v>
      </c>
      <c r="B3246">
        <v>5</v>
      </c>
      <c r="C3246" s="1" t="s">
        <v>28</v>
      </c>
      <c r="D3246" s="1" t="s">
        <v>19</v>
      </c>
      <c r="E3246" s="1" t="s">
        <v>75</v>
      </c>
      <c r="F3246">
        <v>2012</v>
      </c>
      <c r="G3246">
        <v>6</v>
      </c>
      <c r="H3246" s="1" t="s">
        <v>21</v>
      </c>
      <c r="I3246">
        <v>20</v>
      </c>
      <c r="J3246">
        <v>1990</v>
      </c>
      <c r="K3246" s="1" t="s">
        <v>76</v>
      </c>
      <c r="L3246" s="1" t="s">
        <v>64</v>
      </c>
      <c r="M3246">
        <v>1.147</v>
      </c>
      <c r="N3246">
        <v>22934.7</v>
      </c>
      <c r="O3246">
        <v>22.934999999999999</v>
      </c>
      <c r="P3246" s="2">
        <v>43221</v>
      </c>
      <c r="Q3246">
        <v>1</v>
      </c>
      <c r="R3246" s="1" t="s">
        <v>40</v>
      </c>
    </row>
    <row r="3247" spans="1:18" x14ac:dyDescent="0.25">
      <c r="A3247">
        <v>2018</v>
      </c>
      <c r="B3247">
        <v>6</v>
      </c>
      <c r="C3247" s="1" t="s">
        <v>29</v>
      </c>
      <c r="D3247" s="1" t="s">
        <v>19</v>
      </c>
      <c r="E3247" s="1" t="s">
        <v>75</v>
      </c>
      <c r="F3247">
        <v>2012</v>
      </c>
      <c r="G3247">
        <v>6</v>
      </c>
      <c r="H3247" s="1" t="s">
        <v>21</v>
      </c>
      <c r="I3247">
        <v>20</v>
      </c>
      <c r="J3247">
        <v>1990</v>
      </c>
      <c r="K3247" s="1" t="s">
        <v>76</v>
      </c>
      <c r="L3247" s="1" t="s">
        <v>64</v>
      </c>
      <c r="M3247">
        <v>0.77500000000000002</v>
      </c>
      <c r="N3247">
        <v>15498.9</v>
      </c>
      <c r="O3247">
        <v>15.499000000000001</v>
      </c>
      <c r="P3247" s="2">
        <v>43252</v>
      </c>
      <c r="Q3247">
        <v>1</v>
      </c>
      <c r="R3247" s="1" t="s">
        <v>40</v>
      </c>
    </row>
    <row r="3248" spans="1:18" x14ac:dyDescent="0.25">
      <c r="A3248">
        <v>2018</v>
      </c>
      <c r="B3248">
        <v>7</v>
      </c>
      <c r="C3248" s="1" t="s">
        <v>30</v>
      </c>
      <c r="D3248" s="1" t="s">
        <v>19</v>
      </c>
      <c r="E3248" s="1" t="s">
        <v>75</v>
      </c>
      <c r="F3248">
        <v>2012</v>
      </c>
      <c r="G3248">
        <v>6</v>
      </c>
      <c r="H3248" s="1" t="s">
        <v>21</v>
      </c>
      <c r="I3248">
        <v>20</v>
      </c>
      <c r="J3248">
        <v>1990</v>
      </c>
      <c r="K3248" s="1" t="s">
        <v>76</v>
      </c>
      <c r="L3248" s="1" t="s">
        <v>64</v>
      </c>
      <c r="M3248">
        <v>1.0760000000000001</v>
      </c>
      <c r="N3248">
        <v>21527.1</v>
      </c>
      <c r="O3248">
        <v>21.527000000000001</v>
      </c>
      <c r="P3248" s="2">
        <v>43282</v>
      </c>
      <c r="Q3248">
        <v>1</v>
      </c>
      <c r="R3248" s="1" t="s">
        <v>40</v>
      </c>
    </row>
    <row r="3249" spans="1:18" x14ac:dyDescent="0.25">
      <c r="A3249">
        <v>2018</v>
      </c>
      <c r="B3249">
        <v>8</v>
      </c>
      <c r="C3249" s="1" t="s">
        <v>31</v>
      </c>
      <c r="D3249" s="1" t="s">
        <v>19</v>
      </c>
      <c r="E3249" s="1" t="s">
        <v>75</v>
      </c>
      <c r="F3249">
        <v>2012</v>
      </c>
      <c r="G3249">
        <v>6</v>
      </c>
      <c r="H3249" s="1" t="s">
        <v>21</v>
      </c>
      <c r="I3249">
        <v>20</v>
      </c>
      <c r="J3249">
        <v>1990</v>
      </c>
      <c r="K3249" s="1" t="s">
        <v>76</v>
      </c>
      <c r="L3249" s="1" t="s">
        <v>64</v>
      </c>
      <c r="M3249">
        <v>1.22</v>
      </c>
      <c r="N3249">
        <v>24403.5</v>
      </c>
      <c r="O3249">
        <v>24.404</v>
      </c>
      <c r="P3249" s="2">
        <v>43313</v>
      </c>
      <c r="Q3249">
        <v>1</v>
      </c>
      <c r="R3249" s="1" t="s">
        <v>40</v>
      </c>
    </row>
    <row r="3250" spans="1:18" x14ac:dyDescent="0.25">
      <c r="A3250">
        <v>2018</v>
      </c>
      <c r="B3250">
        <v>9</v>
      </c>
      <c r="C3250" s="1" t="s">
        <v>32</v>
      </c>
      <c r="D3250" s="1" t="s">
        <v>19</v>
      </c>
      <c r="E3250" s="1" t="s">
        <v>75</v>
      </c>
      <c r="F3250">
        <v>2012</v>
      </c>
      <c r="G3250">
        <v>6</v>
      </c>
      <c r="H3250" s="1" t="s">
        <v>21</v>
      </c>
      <c r="I3250">
        <v>20</v>
      </c>
      <c r="J3250">
        <v>1990</v>
      </c>
      <c r="K3250" s="1" t="s">
        <v>76</v>
      </c>
      <c r="L3250" s="1" t="s">
        <v>64</v>
      </c>
      <c r="M3250">
        <v>0.90900000000000003</v>
      </c>
      <c r="N3250">
        <v>18176.400000000001</v>
      </c>
      <c r="O3250">
        <v>18.175999999999998</v>
      </c>
      <c r="P3250" s="2">
        <v>43344</v>
      </c>
      <c r="Q3250">
        <v>1</v>
      </c>
      <c r="R3250" s="1" t="s">
        <v>40</v>
      </c>
    </row>
    <row r="3251" spans="1:18" x14ac:dyDescent="0.25">
      <c r="A3251">
        <v>2018</v>
      </c>
      <c r="B3251">
        <v>10</v>
      </c>
      <c r="C3251" s="1" t="s">
        <v>33</v>
      </c>
      <c r="D3251" s="1" t="s">
        <v>19</v>
      </c>
      <c r="E3251" s="1" t="s">
        <v>75</v>
      </c>
      <c r="F3251">
        <v>2012</v>
      </c>
      <c r="G3251">
        <v>6</v>
      </c>
      <c r="H3251" s="1" t="s">
        <v>21</v>
      </c>
      <c r="I3251">
        <v>20</v>
      </c>
      <c r="J3251">
        <v>1990</v>
      </c>
      <c r="K3251" s="1" t="s">
        <v>76</v>
      </c>
      <c r="L3251" s="1" t="s">
        <v>64</v>
      </c>
      <c r="M3251">
        <v>1.264</v>
      </c>
      <c r="N3251">
        <v>25275.599999999999</v>
      </c>
      <c r="O3251">
        <v>25.276</v>
      </c>
      <c r="P3251" s="2">
        <v>43374</v>
      </c>
      <c r="Q3251">
        <v>1</v>
      </c>
      <c r="R3251" s="1" t="s">
        <v>40</v>
      </c>
    </row>
    <row r="3252" spans="1:18" x14ac:dyDescent="0.25">
      <c r="A3252">
        <v>2018</v>
      </c>
      <c r="B3252">
        <v>11</v>
      </c>
      <c r="C3252" s="1" t="s">
        <v>34</v>
      </c>
      <c r="D3252" s="1" t="s">
        <v>19</v>
      </c>
      <c r="E3252" s="1" t="s">
        <v>75</v>
      </c>
      <c r="F3252">
        <v>2012</v>
      </c>
      <c r="G3252">
        <v>6</v>
      </c>
      <c r="H3252" s="1" t="s">
        <v>21</v>
      </c>
      <c r="I3252">
        <v>20</v>
      </c>
      <c r="J3252">
        <v>1990</v>
      </c>
      <c r="K3252" s="1" t="s">
        <v>76</v>
      </c>
      <c r="L3252" s="1" t="s">
        <v>64</v>
      </c>
      <c r="M3252">
        <v>0.84499999999999997</v>
      </c>
      <c r="N3252">
        <v>16891.2</v>
      </c>
      <c r="O3252">
        <v>16.890999999999998</v>
      </c>
      <c r="P3252" s="2">
        <v>43405</v>
      </c>
      <c r="Q3252">
        <v>1</v>
      </c>
      <c r="R3252" s="1" t="s">
        <v>40</v>
      </c>
    </row>
    <row r="3253" spans="1:18" x14ac:dyDescent="0.25">
      <c r="A3253">
        <v>2018</v>
      </c>
      <c r="B3253">
        <v>12</v>
      </c>
      <c r="C3253" s="1" t="s">
        <v>35</v>
      </c>
      <c r="D3253" s="1" t="s">
        <v>19</v>
      </c>
      <c r="E3253" s="1" t="s">
        <v>75</v>
      </c>
      <c r="F3253">
        <v>2012</v>
      </c>
      <c r="G3253">
        <v>6</v>
      </c>
      <c r="H3253" s="1" t="s">
        <v>21</v>
      </c>
      <c r="I3253">
        <v>20</v>
      </c>
      <c r="J3253">
        <v>1990</v>
      </c>
      <c r="K3253" s="1" t="s">
        <v>76</v>
      </c>
      <c r="L3253" s="1" t="s">
        <v>64</v>
      </c>
      <c r="M3253">
        <v>1.2410000000000001</v>
      </c>
      <c r="N3253">
        <v>24816.6</v>
      </c>
      <c r="O3253">
        <v>24.817</v>
      </c>
      <c r="P3253" s="2">
        <v>43435</v>
      </c>
      <c r="Q3253">
        <v>1</v>
      </c>
      <c r="R3253" s="1" t="s">
        <v>40</v>
      </c>
    </row>
    <row r="3254" spans="1:18" x14ac:dyDescent="0.25">
      <c r="A3254">
        <v>2018</v>
      </c>
      <c r="B3254">
        <v>1</v>
      </c>
      <c r="C3254" s="1" t="s">
        <v>18</v>
      </c>
      <c r="D3254" s="1" t="s">
        <v>19</v>
      </c>
      <c r="E3254" s="1" t="s">
        <v>77</v>
      </c>
      <c r="F3254">
        <v>2012</v>
      </c>
      <c r="G3254">
        <v>6</v>
      </c>
      <c r="H3254" s="1" t="s">
        <v>21</v>
      </c>
      <c r="I3254">
        <v>22</v>
      </c>
      <c r="J3254">
        <v>2606</v>
      </c>
      <c r="K3254" s="1" t="s">
        <v>78</v>
      </c>
      <c r="L3254" s="1" t="s">
        <v>64</v>
      </c>
      <c r="M3254">
        <v>0.89600000000000002</v>
      </c>
      <c r="N3254">
        <v>19701.400000000001</v>
      </c>
      <c r="O3254">
        <v>19.701000000000001</v>
      </c>
      <c r="P3254" s="2">
        <v>43101</v>
      </c>
      <c r="Q3254">
        <v>1</v>
      </c>
      <c r="R3254" s="1" t="s">
        <v>40</v>
      </c>
    </row>
    <row r="3255" spans="1:18" x14ac:dyDescent="0.25">
      <c r="A3255">
        <v>2018</v>
      </c>
      <c r="B3255">
        <v>2</v>
      </c>
      <c r="C3255" s="1" t="s">
        <v>25</v>
      </c>
      <c r="D3255" s="1" t="s">
        <v>19</v>
      </c>
      <c r="E3255" s="1" t="s">
        <v>77</v>
      </c>
      <c r="F3255">
        <v>2012</v>
      </c>
      <c r="G3255">
        <v>6</v>
      </c>
      <c r="H3255" s="1" t="s">
        <v>21</v>
      </c>
      <c r="I3255">
        <v>22</v>
      </c>
      <c r="J3255">
        <v>2606</v>
      </c>
      <c r="K3255" s="1" t="s">
        <v>78</v>
      </c>
      <c r="L3255" s="1" t="s">
        <v>64</v>
      </c>
      <c r="M3255">
        <v>0.84</v>
      </c>
      <c r="N3255">
        <v>18489.599999999999</v>
      </c>
      <c r="O3255">
        <v>18.489999999999998</v>
      </c>
      <c r="P3255" s="2">
        <v>43132</v>
      </c>
      <c r="Q3255">
        <v>1</v>
      </c>
      <c r="R3255" s="1" t="s">
        <v>40</v>
      </c>
    </row>
    <row r="3256" spans="1:18" x14ac:dyDescent="0.25">
      <c r="A3256">
        <v>2018</v>
      </c>
      <c r="B3256">
        <v>3</v>
      </c>
      <c r="C3256" s="1" t="s">
        <v>26</v>
      </c>
      <c r="D3256" s="1" t="s">
        <v>19</v>
      </c>
      <c r="E3256" s="1" t="s">
        <v>77</v>
      </c>
      <c r="F3256">
        <v>2012</v>
      </c>
      <c r="G3256">
        <v>6</v>
      </c>
      <c r="H3256" s="1" t="s">
        <v>21</v>
      </c>
      <c r="I3256">
        <v>22</v>
      </c>
      <c r="J3256">
        <v>2606</v>
      </c>
      <c r="K3256" s="1" t="s">
        <v>78</v>
      </c>
      <c r="L3256" s="1" t="s">
        <v>64</v>
      </c>
      <c r="M3256">
        <v>1.17</v>
      </c>
      <c r="N3256">
        <v>25740.799999999999</v>
      </c>
      <c r="O3256">
        <v>25.741</v>
      </c>
      <c r="P3256" s="2">
        <v>43160</v>
      </c>
      <c r="Q3256">
        <v>1</v>
      </c>
      <c r="R3256" s="1" t="s">
        <v>40</v>
      </c>
    </row>
    <row r="3257" spans="1:18" x14ac:dyDescent="0.25">
      <c r="A3257">
        <v>2018</v>
      </c>
      <c r="B3257">
        <v>4</v>
      </c>
      <c r="C3257" s="1" t="s">
        <v>27</v>
      </c>
      <c r="D3257" s="1" t="s">
        <v>19</v>
      </c>
      <c r="E3257" s="1" t="s">
        <v>77</v>
      </c>
      <c r="F3257">
        <v>2012</v>
      </c>
      <c r="G3257">
        <v>6</v>
      </c>
      <c r="H3257" s="1" t="s">
        <v>21</v>
      </c>
      <c r="I3257">
        <v>22</v>
      </c>
      <c r="J3257">
        <v>2606</v>
      </c>
      <c r="K3257" s="1" t="s">
        <v>78</v>
      </c>
      <c r="L3257" s="1" t="s">
        <v>64</v>
      </c>
      <c r="M3257">
        <v>1.038</v>
      </c>
      <c r="N3257">
        <v>22828.6</v>
      </c>
      <c r="O3257">
        <v>22.829000000000001</v>
      </c>
      <c r="P3257" s="2">
        <v>43191</v>
      </c>
      <c r="Q3257">
        <v>1</v>
      </c>
      <c r="R3257" s="1" t="s">
        <v>40</v>
      </c>
    </row>
    <row r="3258" spans="1:18" x14ac:dyDescent="0.25">
      <c r="A3258">
        <v>2018</v>
      </c>
      <c r="B3258">
        <v>5</v>
      </c>
      <c r="C3258" s="1" t="s">
        <v>28</v>
      </c>
      <c r="D3258" s="1" t="s">
        <v>19</v>
      </c>
      <c r="E3258" s="1" t="s">
        <v>77</v>
      </c>
      <c r="F3258">
        <v>2012</v>
      </c>
      <c r="G3258">
        <v>6</v>
      </c>
      <c r="H3258" s="1" t="s">
        <v>21</v>
      </c>
      <c r="I3258">
        <v>22</v>
      </c>
      <c r="J3258">
        <v>2606</v>
      </c>
      <c r="K3258" s="1" t="s">
        <v>78</v>
      </c>
      <c r="L3258" s="1" t="s">
        <v>64</v>
      </c>
      <c r="M3258">
        <v>1.3320000000000001</v>
      </c>
      <c r="N3258">
        <v>29298</v>
      </c>
      <c r="O3258">
        <v>29.297999999999998</v>
      </c>
      <c r="P3258" s="2">
        <v>43221</v>
      </c>
      <c r="Q3258">
        <v>1</v>
      </c>
      <c r="R3258" s="1" t="s">
        <v>40</v>
      </c>
    </row>
    <row r="3259" spans="1:18" x14ac:dyDescent="0.25">
      <c r="A3259">
        <v>2018</v>
      </c>
      <c r="B3259">
        <v>6</v>
      </c>
      <c r="C3259" s="1" t="s">
        <v>29</v>
      </c>
      <c r="D3259" s="1" t="s">
        <v>19</v>
      </c>
      <c r="E3259" s="1" t="s">
        <v>77</v>
      </c>
      <c r="F3259">
        <v>2012</v>
      </c>
      <c r="G3259">
        <v>6</v>
      </c>
      <c r="H3259" s="1" t="s">
        <v>21</v>
      </c>
      <c r="I3259">
        <v>22</v>
      </c>
      <c r="J3259">
        <v>2606</v>
      </c>
      <c r="K3259" s="1" t="s">
        <v>78</v>
      </c>
      <c r="L3259" s="1" t="s">
        <v>64</v>
      </c>
      <c r="M3259">
        <v>0.9</v>
      </c>
      <c r="N3259">
        <v>19799.099999999999</v>
      </c>
      <c r="O3259">
        <v>19.798999999999999</v>
      </c>
      <c r="P3259" s="2">
        <v>43252</v>
      </c>
      <c r="Q3259">
        <v>1</v>
      </c>
      <c r="R3259" s="1" t="s">
        <v>40</v>
      </c>
    </row>
    <row r="3260" spans="1:18" x14ac:dyDescent="0.25">
      <c r="A3260">
        <v>2018</v>
      </c>
      <c r="B3260">
        <v>7</v>
      </c>
      <c r="C3260" s="1" t="s">
        <v>30</v>
      </c>
      <c r="D3260" s="1" t="s">
        <v>19</v>
      </c>
      <c r="E3260" s="1" t="s">
        <v>77</v>
      </c>
      <c r="F3260">
        <v>2012</v>
      </c>
      <c r="G3260">
        <v>6</v>
      </c>
      <c r="H3260" s="1" t="s">
        <v>21</v>
      </c>
      <c r="I3260">
        <v>22</v>
      </c>
      <c r="J3260">
        <v>2606</v>
      </c>
      <c r="K3260" s="1" t="s">
        <v>78</v>
      </c>
      <c r="L3260" s="1" t="s">
        <v>64</v>
      </c>
      <c r="M3260">
        <v>1.25</v>
      </c>
      <c r="N3260">
        <v>27499.8</v>
      </c>
      <c r="O3260">
        <v>27.5</v>
      </c>
      <c r="P3260" s="2">
        <v>43282</v>
      </c>
      <c r="Q3260">
        <v>1</v>
      </c>
      <c r="R3260" s="1" t="s">
        <v>40</v>
      </c>
    </row>
    <row r="3261" spans="1:18" x14ac:dyDescent="0.25">
      <c r="A3261">
        <v>2018</v>
      </c>
      <c r="B3261">
        <v>8</v>
      </c>
      <c r="C3261" s="1" t="s">
        <v>31</v>
      </c>
      <c r="D3261" s="1" t="s">
        <v>19</v>
      </c>
      <c r="E3261" s="1" t="s">
        <v>77</v>
      </c>
      <c r="F3261">
        <v>2012</v>
      </c>
      <c r="G3261">
        <v>6</v>
      </c>
      <c r="H3261" s="1" t="s">
        <v>21</v>
      </c>
      <c r="I3261">
        <v>22</v>
      </c>
      <c r="J3261">
        <v>2606</v>
      </c>
      <c r="K3261" s="1" t="s">
        <v>78</v>
      </c>
      <c r="L3261" s="1" t="s">
        <v>64</v>
      </c>
      <c r="M3261">
        <v>1.417</v>
      </c>
      <c r="N3261">
        <v>31174.3</v>
      </c>
      <c r="O3261">
        <v>31.173999999999999</v>
      </c>
      <c r="P3261" s="2">
        <v>43313</v>
      </c>
      <c r="Q3261">
        <v>1</v>
      </c>
      <c r="R3261" s="1" t="s">
        <v>40</v>
      </c>
    </row>
    <row r="3262" spans="1:18" x14ac:dyDescent="0.25">
      <c r="A3262">
        <v>2018</v>
      </c>
      <c r="B3262">
        <v>9</v>
      </c>
      <c r="C3262" s="1" t="s">
        <v>32</v>
      </c>
      <c r="D3262" s="1" t="s">
        <v>19</v>
      </c>
      <c r="E3262" s="1" t="s">
        <v>77</v>
      </c>
      <c r="F3262">
        <v>2012</v>
      </c>
      <c r="G3262">
        <v>6</v>
      </c>
      <c r="H3262" s="1" t="s">
        <v>21</v>
      </c>
      <c r="I3262">
        <v>22</v>
      </c>
      <c r="J3262">
        <v>2606</v>
      </c>
      <c r="K3262" s="1" t="s">
        <v>78</v>
      </c>
      <c r="L3262" s="1" t="s">
        <v>64</v>
      </c>
      <c r="M3262">
        <v>1.0549999999999999</v>
      </c>
      <c r="N3262">
        <v>23219.5</v>
      </c>
      <c r="O3262">
        <v>23.219000000000001</v>
      </c>
      <c r="P3262" s="2">
        <v>43344</v>
      </c>
      <c r="Q3262">
        <v>1</v>
      </c>
      <c r="R3262" s="1" t="s">
        <v>40</v>
      </c>
    </row>
    <row r="3263" spans="1:18" x14ac:dyDescent="0.25">
      <c r="A3263">
        <v>2018</v>
      </c>
      <c r="B3263">
        <v>10</v>
      </c>
      <c r="C3263" s="1" t="s">
        <v>33</v>
      </c>
      <c r="D3263" s="1" t="s">
        <v>19</v>
      </c>
      <c r="E3263" s="1" t="s">
        <v>77</v>
      </c>
      <c r="F3263">
        <v>2012</v>
      </c>
      <c r="G3263">
        <v>6</v>
      </c>
      <c r="H3263" s="1" t="s">
        <v>21</v>
      </c>
      <c r="I3263">
        <v>22</v>
      </c>
      <c r="J3263">
        <v>2606</v>
      </c>
      <c r="K3263" s="1" t="s">
        <v>78</v>
      </c>
      <c r="L3263" s="1" t="s">
        <v>64</v>
      </c>
      <c r="M3263">
        <v>1.468</v>
      </c>
      <c r="N3263">
        <v>32288.3</v>
      </c>
      <c r="O3263">
        <v>32.287999999999997</v>
      </c>
      <c r="P3263" s="2">
        <v>43374</v>
      </c>
      <c r="Q3263">
        <v>1</v>
      </c>
      <c r="R3263" s="1" t="s">
        <v>40</v>
      </c>
    </row>
    <row r="3264" spans="1:18" x14ac:dyDescent="0.25">
      <c r="A3264">
        <v>2018</v>
      </c>
      <c r="B3264">
        <v>11</v>
      </c>
      <c r="C3264" s="1" t="s">
        <v>34</v>
      </c>
      <c r="D3264" s="1" t="s">
        <v>19</v>
      </c>
      <c r="E3264" s="1" t="s">
        <v>77</v>
      </c>
      <c r="F3264">
        <v>2012</v>
      </c>
      <c r="G3264">
        <v>6</v>
      </c>
      <c r="H3264" s="1" t="s">
        <v>21</v>
      </c>
      <c r="I3264">
        <v>22</v>
      </c>
      <c r="J3264">
        <v>2606</v>
      </c>
      <c r="K3264" s="1" t="s">
        <v>78</v>
      </c>
      <c r="L3264" s="1" t="s">
        <v>64</v>
      </c>
      <c r="M3264">
        <v>0.98099999999999998</v>
      </c>
      <c r="N3264">
        <v>21577.7</v>
      </c>
      <c r="O3264">
        <v>21.577999999999999</v>
      </c>
      <c r="P3264" s="2">
        <v>43405</v>
      </c>
      <c r="Q3264">
        <v>1</v>
      </c>
      <c r="R3264" s="1" t="s">
        <v>40</v>
      </c>
    </row>
    <row r="3265" spans="1:18" x14ac:dyDescent="0.25">
      <c r="A3265">
        <v>2018</v>
      </c>
      <c r="B3265">
        <v>12</v>
      </c>
      <c r="C3265" s="1" t="s">
        <v>35</v>
      </c>
      <c r="D3265" s="1" t="s">
        <v>19</v>
      </c>
      <c r="E3265" s="1" t="s">
        <v>77</v>
      </c>
      <c r="F3265">
        <v>2012</v>
      </c>
      <c r="G3265">
        <v>6</v>
      </c>
      <c r="H3265" s="1" t="s">
        <v>21</v>
      </c>
      <c r="I3265">
        <v>22</v>
      </c>
      <c r="J3265">
        <v>2606</v>
      </c>
      <c r="K3265" s="1" t="s">
        <v>78</v>
      </c>
      <c r="L3265" s="1" t="s">
        <v>64</v>
      </c>
      <c r="M3265">
        <v>1.4410000000000001</v>
      </c>
      <c r="N3265">
        <v>31702</v>
      </c>
      <c r="O3265">
        <v>31.702000000000002</v>
      </c>
      <c r="P3265" s="2">
        <v>43435</v>
      </c>
      <c r="Q3265">
        <v>1</v>
      </c>
      <c r="R3265" s="1" t="s">
        <v>40</v>
      </c>
    </row>
    <row r="3266" spans="1:18" x14ac:dyDescent="0.25">
      <c r="A3266">
        <v>2018</v>
      </c>
      <c r="B3266">
        <v>1</v>
      </c>
      <c r="C3266" s="1" t="s">
        <v>18</v>
      </c>
      <c r="D3266" s="1" t="s">
        <v>19</v>
      </c>
      <c r="E3266" s="1" t="s">
        <v>79</v>
      </c>
      <c r="F3266">
        <v>2012</v>
      </c>
      <c r="G3266">
        <v>6</v>
      </c>
      <c r="H3266" s="1" t="s">
        <v>21</v>
      </c>
      <c r="I3266">
        <v>22</v>
      </c>
      <c r="J3266">
        <v>2683</v>
      </c>
      <c r="K3266" s="1" t="s">
        <v>80</v>
      </c>
      <c r="L3266" s="1" t="s">
        <v>45</v>
      </c>
      <c r="M3266">
        <v>0.92200000000000004</v>
      </c>
      <c r="N3266">
        <v>20283.5</v>
      </c>
      <c r="O3266">
        <v>20.283000000000001</v>
      </c>
      <c r="P3266" s="2">
        <v>43101</v>
      </c>
      <c r="Q3266">
        <v>1</v>
      </c>
      <c r="R3266" s="1" t="s">
        <v>40</v>
      </c>
    </row>
    <row r="3267" spans="1:18" x14ac:dyDescent="0.25">
      <c r="A3267">
        <v>2018</v>
      </c>
      <c r="B3267">
        <v>2</v>
      </c>
      <c r="C3267" s="1" t="s">
        <v>25</v>
      </c>
      <c r="D3267" s="1" t="s">
        <v>19</v>
      </c>
      <c r="E3267" s="1" t="s">
        <v>79</v>
      </c>
      <c r="F3267">
        <v>2012</v>
      </c>
      <c r="G3267">
        <v>6</v>
      </c>
      <c r="H3267" s="1" t="s">
        <v>21</v>
      </c>
      <c r="I3267">
        <v>22</v>
      </c>
      <c r="J3267">
        <v>2683</v>
      </c>
      <c r="K3267" s="1" t="s">
        <v>80</v>
      </c>
      <c r="L3267" s="1" t="s">
        <v>45</v>
      </c>
      <c r="M3267">
        <v>0.86499999999999999</v>
      </c>
      <c r="N3267">
        <v>19035.900000000001</v>
      </c>
      <c r="O3267">
        <v>19.036000000000001</v>
      </c>
      <c r="P3267" s="2">
        <v>43132</v>
      </c>
      <c r="Q3267">
        <v>1</v>
      </c>
      <c r="R3267" s="1" t="s">
        <v>40</v>
      </c>
    </row>
    <row r="3268" spans="1:18" x14ac:dyDescent="0.25">
      <c r="A3268">
        <v>2018</v>
      </c>
      <c r="B3268">
        <v>3</v>
      </c>
      <c r="C3268" s="1" t="s">
        <v>26</v>
      </c>
      <c r="D3268" s="1" t="s">
        <v>19</v>
      </c>
      <c r="E3268" s="1" t="s">
        <v>79</v>
      </c>
      <c r="F3268">
        <v>2012</v>
      </c>
      <c r="G3268">
        <v>6</v>
      </c>
      <c r="H3268" s="1" t="s">
        <v>21</v>
      </c>
      <c r="I3268">
        <v>22</v>
      </c>
      <c r="J3268">
        <v>2683</v>
      </c>
      <c r="K3268" s="1" t="s">
        <v>80</v>
      </c>
      <c r="L3268" s="1" t="s">
        <v>45</v>
      </c>
      <c r="M3268">
        <v>1.2050000000000001</v>
      </c>
      <c r="N3268">
        <v>26501.3</v>
      </c>
      <c r="O3268">
        <v>26.501000000000001</v>
      </c>
      <c r="P3268" s="2">
        <v>43160</v>
      </c>
      <c r="Q3268">
        <v>1</v>
      </c>
      <c r="R3268" s="1" t="s">
        <v>40</v>
      </c>
    </row>
    <row r="3269" spans="1:18" x14ac:dyDescent="0.25">
      <c r="A3269">
        <v>2018</v>
      </c>
      <c r="B3269">
        <v>4</v>
      </c>
      <c r="C3269" s="1" t="s">
        <v>27</v>
      </c>
      <c r="D3269" s="1" t="s">
        <v>19</v>
      </c>
      <c r="E3269" s="1" t="s">
        <v>79</v>
      </c>
      <c r="F3269">
        <v>2012</v>
      </c>
      <c r="G3269">
        <v>6</v>
      </c>
      <c r="H3269" s="1" t="s">
        <v>21</v>
      </c>
      <c r="I3269">
        <v>22</v>
      </c>
      <c r="J3269">
        <v>2683</v>
      </c>
      <c r="K3269" s="1" t="s">
        <v>80</v>
      </c>
      <c r="L3269" s="1" t="s">
        <v>45</v>
      </c>
      <c r="M3269">
        <v>1.0680000000000001</v>
      </c>
      <c r="N3269">
        <v>23503.1</v>
      </c>
      <c r="O3269">
        <v>23.503</v>
      </c>
      <c r="P3269" s="2">
        <v>43191</v>
      </c>
      <c r="Q3269">
        <v>1</v>
      </c>
      <c r="R3269" s="1" t="s">
        <v>40</v>
      </c>
    </row>
    <row r="3270" spans="1:18" x14ac:dyDescent="0.25">
      <c r="A3270">
        <v>2018</v>
      </c>
      <c r="B3270">
        <v>5</v>
      </c>
      <c r="C3270" s="1" t="s">
        <v>28</v>
      </c>
      <c r="D3270" s="1" t="s">
        <v>19</v>
      </c>
      <c r="E3270" s="1" t="s">
        <v>79</v>
      </c>
      <c r="F3270">
        <v>2012</v>
      </c>
      <c r="G3270">
        <v>6</v>
      </c>
      <c r="H3270" s="1" t="s">
        <v>21</v>
      </c>
      <c r="I3270">
        <v>22</v>
      </c>
      <c r="J3270">
        <v>2683</v>
      </c>
      <c r="K3270" s="1" t="s">
        <v>80</v>
      </c>
      <c r="L3270" s="1" t="s">
        <v>45</v>
      </c>
      <c r="M3270">
        <v>1.371</v>
      </c>
      <c r="N3270">
        <v>30163.599999999999</v>
      </c>
      <c r="O3270">
        <v>30.164000000000001</v>
      </c>
      <c r="P3270" s="2">
        <v>43221</v>
      </c>
      <c r="Q3270">
        <v>1</v>
      </c>
      <c r="R3270" s="1" t="s">
        <v>40</v>
      </c>
    </row>
    <row r="3271" spans="1:18" x14ac:dyDescent="0.25">
      <c r="A3271">
        <v>2018</v>
      </c>
      <c r="B3271">
        <v>6</v>
      </c>
      <c r="C3271" s="1" t="s">
        <v>29</v>
      </c>
      <c r="D3271" s="1" t="s">
        <v>19</v>
      </c>
      <c r="E3271" s="1" t="s">
        <v>79</v>
      </c>
      <c r="F3271">
        <v>2012</v>
      </c>
      <c r="G3271">
        <v>6</v>
      </c>
      <c r="H3271" s="1" t="s">
        <v>21</v>
      </c>
      <c r="I3271">
        <v>22</v>
      </c>
      <c r="J3271">
        <v>2683</v>
      </c>
      <c r="K3271" s="1" t="s">
        <v>80</v>
      </c>
      <c r="L3271" s="1" t="s">
        <v>45</v>
      </c>
      <c r="M3271">
        <v>0.92700000000000005</v>
      </c>
      <c r="N3271">
        <v>20384.099999999999</v>
      </c>
      <c r="O3271">
        <v>20.384</v>
      </c>
      <c r="P3271" s="2">
        <v>43252</v>
      </c>
      <c r="Q3271">
        <v>1</v>
      </c>
      <c r="R3271" s="1" t="s">
        <v>40</v>
      </c>
    </row>
    <row r="3272" spans="1:18" x14ac:dyDescent="0.25">
      <c r="A3272">
        <v>2018</v>
      </c>
      <c r="B3272">
        <v>7</v>
      </c>
      <c r="C3272" s="1" t="s">
        <v>30</v>
      </c>
      <c r="D3272" s="1" t="s">
        <v>19</v>
      </c>
      <c r="E3272" s="1" t="s">
        <v>79</v>
      </c>
      <c r="F3272">
        <v>2012</v>
      </c>
      <c r="G3272">
        <v>6</v>
      </c>
      <c r="H3272" s="1" t="s">
        <v>21</v>
      </c>
      <c r="I3272">
        <v>22</v>
      </c>
      <c r="J3272">
        <v>2683</v>
      </c>
      <c r="K3272" s="1" t="s">
        <v>80</v>
      </c>
      <c r="L3272" s="1" t="s">
        <v>45</v>
      </c>
      <c r="M3272">
        <v>1.2869999999999999</v>
      </c>
      <c r="N3272">
        <v>28312.400000000001</v>
      </c>
      <c r="O3272">
        <v>28.312000000000001</v>
      </c>
      <c r="P3272" s="2">
        <v>43282</v>
      </c>
      <c r="Q3272">
        <v>1</v>
      </c>
      <c r="R3272" s="1" t="s">
        <v>40</v>
      </c>
    </row>
    <row r="3273" spans="1:18" x14ac:dyDescent="0.25">
      <c r="A3273">
        <v>2018</v>
      </c>
      <c r="B3273">
        <v>8</v>
      </c>
      <c r="C3273" s="1" t="s">
        <v>31</v>
      </c>
      <c r="D3273" s="1" t="s">
        <v>19</v>
      </c>
      <c r="E3273" s="1" t="s">
        <v>79</v>
      </c>
      <c r="F3273">
        <v>2012</v>
      </c>
      <c r="G3273">
        <v>6</v>
      </c>
      <c r="H3273" s="1" t="s">
        <v>21</v>
      </c>
      <c r="I3273">
        <v>22</v>
      </c>
      <c r="J3273">
        <v>2683</v>
      </c>
      <c r="K3273" s="1" t="s">
        <v>80</v>
      </c>
      <c r="L3273" s="1" t="s">
        <v>45</v>
      </c>
      <c r="M3273">
        <v>1.4590000000000001</v>
      </c>
      <c r="N3273">
        <v>32095.4</v>
      </c>
      <c r="O3273">
        <v>32.094999999999999</v>
      </c>
      <c r="P3273" s="2">
        <v>43313</v>
      </c>
      <c r="Q3273">
        <v>1</v>
      </c>
      <c r="R3273" s="1" t="s">
        <v>40</v>
      </c>
    </row>
    <row r="3274" spans="1:18" x14ac:dyDescent="0.25">
      <c r="A3274">
        <v>2018</v>
      </c>
      <c r="B3274">
        <v>9</v>
      </c>
      <c r="C3274" s="1" t="s">
        <v>32</v>
      </c>
      <c r="D3274" s="1" t="s">
        <v>19</v>
      </c>
      <c r="E3274" s="1" t="s">
        <v>79</v>
      </c>
      <c r="F3274">
        <v>2012</v>
      </c>
      <c r="G3274">
        <v>6</v>
      </c>
      <c r="H3274" s="1" t="s">
        <v>21</v>
      </c>
      <c r="I3274">
        <v>22</v>
      </c>
      <c r="J3274">
        <v>2683</v>
      </c>
      <c r="K3274" s="1" t="s">
        <v>80</v>
      </c>
      <c r="L3274" s="1" t="s">
        <v>45</v>
      </c>
      <c r="M3274">
        <v>1.087</v>
      </c>
      <c r="N3274">
        <v>23905.5</v>
      </c>
      <c r="O3274">
        <v>23.905999999999999</v>
      </c>
      <c r="P3274" s="2">
        <v>43344</v>
      </c>
      <c r="Q3274">
        <v>1</v>
      </c>
      <c r="R3274" s="1" t="s">
        <v>40</v>
      </c>
    </row>
    <row r="3275" spans="1:18" x14ac:dyDescent="0.25">
      <c r="A3275">
        <v>2018</v>
      </c>
      <c r="B3275">
        <v>10</v>
      </c>
      <c r="C3275" s="1" t="s">
        <v>33</v>
      </c>
      <c r="D3275" s="1" t="s">
        <v>19</v>
      </c>
      <c r="E3275" s="1" t="s">
        <v>79</v>
      </c>
      <c r="F3275">
        <v>2012</v>
      </c>
      <c r="G3275">
        <v>6</v>
      </c>
      <c r="H3275" s="1" t="s">
        <v>21</v>
      </c>
      <c r="I3275">
        <v>22</v>
      </c>
      <c r="J3275">
        <v>2683</v>
      </c>
      <c r="K3275" s="1" t="s">
        <v>80</v>
      </c>
      <c r="L3275" s="1" t="s">
        <v>45</v>
      </c>
      <c r="M3275">
        <v>1.5109999999999999</v>
      </c>
      <c r="N3275">
        <v>33242.400000000001</v>
      </c>
      <c r="O3275">
        <v>33.241999999999997</v>
      </c>
      <c r="P3275" s="2">
        <v>43374</v>
      </c>
      <c r="Q3275">
        <v>1</v>
      </c>
      <c r="R3275" s="1" t="s">
        <v>40</v>
      </c>
    </row>
    <row r="3276" spans="1:18" x14ac:dyDescent="0.25">
      <c r="A3276">
        <v>2018</v>
      </c>
      <c r="B3276">
        <v>11</v>
      </c>
      <c r="C3276" s="1" t="s">
        <v>34</v>
      </c>
      <c r="D3276" s="1" t="s">
        <v>19</v>
      </c>
      <c r="E3276" s="1" t="s">
        <v>79</v>
      </c>
      <c r="F3276">
        <v>2012</v>
      </c>
      <c r="G3276">
        <v>6</v>
      </c>
      <c r="H3276" s="1" t="s">
        <v>21</v>
      </c>
      <c r="I3276">
        <v>22</v>
      </c>
      <c r="J3276">
        <v>2683</v>
      </c>
      <c r="K3276" s="1" t="s">
        <v>80</v>
      </c>
      <c r="L3276" s="1" t="s">
        <v>45</v>
      </c>
      <c r="M3276">
        <v>1.01</v>
      </c>
      <c r="N3276">
        <v>22215.200000000001</v>
      </c>
      <c r="O3276">
        <v>22.215</v>
      </c>
      <c r="P3276" s="2">
        <v>43405</v>
      </c>
      <c r="Q3276">
        <v>1</v>
      </c>
      <c r="R3276" s="1" t="s">
        <v>40</v>
      </c>
    </row>
    <row r="3277" spans="1:18" x14ac:dyDescent="0.25">
      <c r="A3277">
        <v>2018</v>
      </c>
      <c r="B3277">
        <v>12</v>
      </c>
      <c r="C3277" s="1" t="s">
        <v>35</v>
      </c>
      <c r="D3277" s="1" t="s">
        <v>19</v>
      </c>
      <c r="E3277" s="1" t="s">
        <v>79</v>
      </c>
      <c r="F3277">
        <v>2012</v>
      </c>
      <c r="G3277">
        <v>6</v>
      </c>
      <c r="H3277" s="1" t="s">
        <v>21</v>
      </c>
      <c r="I3277">
        <v>22</v>
      </c>
      <c r="J3277">
        <v>2683</v>
      </c>
      <c r="K3277" s="1" t="s">
        <v>80</v>
      </c>
      <c r="L3277" s="1" t="s">
        <v>45</v>
      </c>
      <c r="M3277">
        <v>1.484</v>
      </c>
      <c r="N3277">
        <v>32638.7</v>
      </c>
      <c r="O3277">
        <v>32.639000000000003</v>
      </c>
      <c r="P3277" s="2">
        <v>43435</v>
      </c>
      <c r="Q3277">
        <v>1</v>
      </c>
      <c r="R3277" s="1" t="s">
        <v>40</v>
      </c>
    </row>
    <row r="3278" spans="1:18" x14ac:dyDescent="0.25">
      <c r="A3278">
        <v>2018</v>
      </c>
      <c r="B3278">
        <v>1</v>
      </c>
      <c r="C3278" s="1" t="s">
        <v>18</v>
      </c>
      <c r="D3278" s="1" t="s">
        <v>19</v>
      </c>
      <c r="E3278" s="1" t="s">
        <v>81</v>
      </c>
      <c r="F3278">
        <v>2012</v>
      </c>
      <c r="G3278">
        <v>6</v>
      </c>
      <c r="H3278" s="1" t="s">
        <v>21</v>
      </c>
      <c r="I3278">
        <v>28</v>
      </c>
      <c r="J3278">
        <v>3483</v>
      </c>
      <c r="K3278" s="1" t="s">
        <v>53</v>
      </c>
      <c r="L3278" s="1" t="s">
        <v>45</v>
      </c>
      <c r="M3278">
        <v>0.94</v>
      </c>
      <c r="N3278">
        <v>26331.5</v>
      </c>
      <c r="O3278">
        <v>26.331</v>
      </c>
      <c r="P3278" s="2">
        <v>43101</v>
      </c>
      <c r="Q3278">
        <v>1</v>
      </c>
      <c r="R3278" s="1" t="s">
        <v>40</v>
      </c>
    </row>
    <row r="3279" spans="1:18" x14ac:dyDescent="0.25">
      <c r="A3279">
        <v>2018</v>
      </c>
      <c r="B3279">
        <v>2</v>
      </c>
      <c r="C3279" s="1" t="s">
        <v>25</v>
      </c>
      <c r="D3279" s="1" t="s">
        <v>19</v>
      </c>
      <c r="E3279" s="1" t="s">
        <v>81</v>
      </c>
      <c r="F3279">
        <v>2012</v>
      </c>
      <c r="G3279">
        <v>6</v>
      </c>
      <c r="H3279" s="1" t="s">
        <v>21</v>
      </c>
      <c r="I3279">
        <v>28</v>
      </c>
      <c r="J3279">
        <v>3483</v>
      </c>
      <c r="K3279" s="1" t="s">
        <v>53</v>
      </c>
      <c r="L3279" s="1" t="s">
        <v>45</v>
      </c>
      <c r="M3279">
        <v>0.88300000000000001</v>
      </c>
      <c r="N3279">
        <v>24711.9</v>
      </c>
      <c r="O3279">
        <v>24.712</v>
      </c>
      <c r="P3279" s="2">
        <v>43132</v>
      </c>
      <c r="Q3279">
        <v>1</v>
      </c>
      <c r="R3279" s="1" t="s">
        <v>40</v>
      </c>
    </row>
    <row r="3280" spans="1:18" x14ac:dyDescent="0.25">
      <c r="A3280">
        <v>2018</v>
      </c>
      <c r="B3280">
        <v>3</v>
      </c>
      <c r="C3280" s="1" t="s">
        <v>26</v>
      </c>
      <c r="D3280" s="1" t="s">
        <v>19</v>
      </c>
      <c r="E3280" s="1" t="s">
        <v>81</v>
      </c>
      <c r="F3280">
        <v>2012</v>
      </c>
      <c r="G3280">
        <v>6</v>
      </c>
      <c r="H3280" s="1" t="s">
        <v>21</v>
      </c>
      <c r="I3280">
        <v>28</v>
      </c>
      <c r="J3280">
        <v>3483</v>
      </c>
      <c r="K3280" s="1" t="s">
        <v>53</v>
      </c>
      <c r="L3280" s="1" t="s">
        <v>45</v>
      </c>
      <c r="M3280">
        <v>1.2290000000000001</v>
      </c>
      <c r="N3280">
        <v>34403.300000000003</v>
      </c>
      <c r="O3280">
        <v>34.402999999999999</v>
      </c>
      <c r="P3280" s="2">
        <v>43160</v>
      </c>
      <c r="Q3280">
        <v>1</v>
      </c>
      <c r="R3280" s="1" t="s">
        <v>40</v>
      </c>
    </row>
    <row r="3281" spans="1:18" x14ac:dyDescent="0.25">
      <c r="A3281">
        <v>2018</v>
      </c>
      <c r="B3281">
        <v>4</v>
      </c>
      <c r="C3281" s="1" t="s">
        <v>27</v>
      </c>
      <c r="D3281" s="1" t="s">
        <v>19</v>
      </c>
      <c r="E3281" s="1" t="s">
        <v>81</v>
      </c>
      <c r="F3281">
        <v>2012</v>
      </c>
      <c r="G3281">
        <v>6</v>
      </c>
      <c r="H3281" s="1" t="s">
        <v>21</v>
      </c>
      <c r="I3281">
        <v>28</v>
      </c>
      <c r="J3281">
        <v>3483</v>
      </c>
      <c r="K3281" s="1" t="s">
        <v>53</v>
      </c>
      <c r="L3281" s="1" t="s">
        <v>45</v>
      </c>
      <c r="M3281">
        <v>1.0900000000000001</v>
      </c>
      <c r="N3281">
        <v>30511.1</v>
      </c>
      <c r="O3281">
        <v>30.510999999999999</v>
      </c>
      <c r="P3281" s="2">
        <v>43191</v>
      </c>
      <c r="Q3281">
        <v>1</v>
      </c>
      <c r="R3281" s="1" t="s">
        <v>40</v>
      </c>
    </row>
    <row r="3282" spans="1:18" x14ac:dyDescent="0.25">
      <c r="A3282">
        <v>2018</v>
      </c>
      <c r="B3282">
        <v>5</v>
      </c>
      <c r="C3282" s="1" t="s">
        <v>28</v>
      </c>
      <c r="D3282" s="1" t="s">
        <v>19</v>
      </c>
      <c r="E3282" s="1" t="s">
        <v>81</v>
      </c>
      <c r="F3282">
        <v>2012</v>
      </c>
      <c r="G3282">
        <v>6</v>
      </c>
      <c r="H3282" s="1" t="s">
        <v>21</v>
      </c>
      <c r="I3282">
        <v>28</v>
      </c>
      <c r="J3282">
        <v>3483</v>
      </c>
      <c r="K3282" s="1" t="s">
        <v>53</v>
      </c>
      <c r="L3282" s="1" t="s">
        <v>45</v>
      </c>
      <c r="M3282">
        <v>1.3979999999999999</v>
      </c>
      <c r="N3282">
        <v>39157.599999999999</v>
      </c>
      <c r="O3282">
        <v>39.158000000000001</v>
      </c>
      <c r="P3282" s="2">
        <v>43221</v>
      </c>
      <c r="Q3282">
        <v>1</v>
      </c>
      <c r="R3282" s="1" t="s">
        <v>40</v>
      </c>
    </row>
    <row r="3283" spans="1:18" x14ac:dyDescent="0.25">
      <c r="A3283">
        <v>2018</v>
      </c>
      <c r="B3283">
        <v>6</v>
      </c>
      <c r="C3283" s="1" t="s">
        <v>29</v>
      </c>
      <c r="D3283" s="1" t="s">
        <v>19</v>
      </c>
      <c r="E3283" s="1" t="s">
        <v>81</v>
      </c>
      <c r="F3283">
        <v>2012</v>
      </c>
      <c r="G3283">
        <v>6</v>
      </c>
      <c r="H3283" s="1" t="s">
        <v>21</v>
      </c>
      <c r="I3283">
        <v>28</v>
      </c>
      <c r="J3283">
        <v>3483</v>
      </c>
      <c r="K3283" s="1" t="s">
        <v>53</v>
      </c>
      <c r="L3283" s="1" t="s">
        <v>45</v>
      </c>
      <c r="M3283">
        <v>0.94499999999999995</v>
      </c>
      <c r="N3283">
        <v>26462.1</v>
      </c>
      <c r="O3283">
        <v>26.462</v>
      </c>
      <c r="P3283" s="2">
        <v>43252</v>
      </c>
      <c r="Q3283">
        <v>1</v>
      </c>
      <c r="R3283" s="1" t="s">
        <v>40</v>
      </c>
    </row>
    <row r="3284" spans="1:18" x14ac:dyDescent="0.25">
      <c r="A3284">
        <v>2018</v>
      </c>
      <c r="B3284">
        <v>7</v>
      </c>
      <c r="C3284" s="1" t="s">
        <v>30</v>
      </c>
      <c r="D3284" s="1" t="s">
        <v>19</v>
      </c>
      <c r="E3284" s="1" t="s">
        <v>81</v>
      </c>
      <c r="F3284">
        <v>2012</v>
      </c>
      <c r="G3284">
        <v>6</v>
      </c>
      <c r="H3284" s="1" t="s">
        <v>21</v>
      </c>
      <c r="I3284">
        <v>28</v>
      </c>
      <c r="J3284">
        <v>3483</v>
      </c>
      <c r="K3284" s="1" t="s">
        <v>53</v>
      </c>
      <c r="L3284" s="1" t="s">
        <v>45</v>
      </c>
      <c r="M3284">
        <v>1.3129999999999999</v>
      </c>
      <c r="N3284">
        <v>36754.400000000001</v>
      </c>
      <c r="O3284">
        <v>36.753999999999998</v>
      </c>
      <c r="P3284" s="2">
        <v>43282</v>
      </c>
      <c r="Q3284">
        <v>1</v>
      </c>
      <c r="R3284" s="1" t="s">
        <v>40</v>
      </c>
    </row>
    <row r="3285" spans="1:18" x14ac:dyDescent="0.25">
      <c r="A3285">
        <v>2018</v>
      </c>
      <c r="B3285">
        <v>8</v>
      </c>
      <c r="C3285" s="1" t="s">
        <v>31</v>
      </c>
      <c r="D3285" s="1" t="s">
        <v>19</v>
      </c>
      <c r="E3285" s="1" t="s">
        <v>81</v>
      </c>
      <c r="F3285">
        <v>2012</v>
      </c>
      <c r="G3285">
        <v>6</v>
      </c>
      <c r="H3285" s="1" t="s">
        <v>21</v>
      </c>
      <c r="I3285">
        <v>28</v>
      </c>
      <c r="J3285">
        <v>3483</v>
      </c>
      <c r="K3285" s="1" t="s">
        <v>53</v>
      </c>
      <c r="L3285" s="1" t="s">
        <v>45</v>
      </c>
      <c r="M3285">
        <v>1.488</v>
      </c>
      <c r="N3285">
        <v>41665.4</v>
      </c>
      <c r="O3285">
        <v>41.664999999999999</v>
      </c>
      <c r="P3285" s="2">
        <v>43313</v>
      </c>
      <c r="Q3285">
        <v>1</v>
      </c>
      <c r="R3285" s="1" t="s">
        <v>40</v>
      </c>
    </row>
    <row r="3286" spans="1:18" x14ac:dyDescent="0.25">
      <c r="A3286">
        <v>2018</v>
      </c>
      <c r="B3286">
        <v>9</v>
      </c>
      <c r="C3286" s="1" t="s">
        <v>32</v>
      </c>
      <c r="D3286" s="1" t="s">
        <v>19</v>
      </c>
      <c r="E3286" s="1" t="s">
        <v>81</v>
      </c>
      <c r="F3286">
        <v>2012</v>
      </c>
      <c r="G3286">
        <v>6</v>
      </c>
      <c r="H3286" s="1" t="s">
        <v>21</v>
      </c>
      <c r="I3286">
        <v>28</v>
      </c>
      <c r="J3286">
        <v>3483</v>
      </c>
      <c r="K3286" s="1" t="s">
        <v>53</v>
      </c>
      <c r="L3286" s="1" t="s">
        <v>45</v>
      </c>
      <c r="M3286">
        <v>1.1080000000000001</v>
      </c>
      <c r="N3286">
        <v>31033.5</v>
      </c>
      <c r="O3286">
        <v>31.033999999999999</v>
      </c>
      <c r="P3286" s="2">
        <v>43344</v>
      </c>
      <c r="Q3286">
        <v>1</v>
      </c>
      <c r="R3286" s="1" t="s">
        <v>40</v>
      </c>
    </row>
    <row r="3287" spans="1:18" x14ac:dyDescent="0.25">
      <c r="A3287">
        <v>2018</v>
      </c>
      <c r="B3287">
        <v>10</v>
      </c>
      <c r="C3287" s="1" t="s">
        <v>33</v>
      </c>
      <c r="D3287" s="1" t="s">
        <v>19</v>
      </c>
      <c r="E3287" s="1" t="s">
        <v>81</v>
      </c>
      <c r="F3287">
        <v>2012</v>
      </c>
      <c r="G3287">
        <v>6</v>
      </c>
      <c r="H3287" s="1" t="s">
        <v>21</v>
      </c>
      <c r="I3287">
        <v>28</v>
      </c>
      <c r="J3287">
        <v>3483</v>
      </c>
      <c r="K3287" s="1" t="s">
        <v>53</v>
      </c>
      <c r="L3287" s="1" t="s">
        <v>45</v>
      </c>
      <c r="M3287">
        <v>1.5409999999999999</v>
      </c>
      <c r="N3287">
        <v>43154.400000000001</v>
      </c>
      <c r="O3287">
        <v>43.154000000000003</v>
      </c>
      <c r="P3287" s="2">
        <v>43374</v>
      </c>
      <c r="Q3287">
        <v>1</v>
      </c>
      <c r="R3287" s="1" t="s">
        <v>40</v>
      </c>
    </row>
    <row r="3288" spans="1:18" x14ac:dyDescent="0.25">
      <c r="A3288">
        <v>2018</v>
      </c>
      <c r="B3288">
        <v>11</v>
      </c>
      <c r="C3288" s="1" t="s">
        <v>34</v>
      </c>
      <c r="D3288" s="1" t="s">
        <v>19</v>
      </c>
      <c r="E3288" s="1" t="s">
        <v>81</v>
      </c>
      <c r="F3288">
        <v>2012</v>
      </c>
      <c r="G3288">
        <v>6</v>
      </c>
      <c r="H3288" s="1" t="s">
        <v>21</v>
      </c>
      <c r="I3288">
        <v>28</v>
      </c>
      <c r="J3288">
        <v>3483</v>
      </c>
      <c r="K3288" s="1" t="s">
        <v>53</v>
      </c>
      <c r="L3288" s="1" t="s">
        <v>45</v>
      </c>
      <c r="M3288">
        <v>1.03</v>
      </c>
      <c r="N3288">
        <v>28839.200000000001</v>
      </c>
      <c r="O3288">
        <v>28.838999999999999</v>
      </c>
      <c r="P3288" s="2">
        <v>43405</v>
      </c>
      <c r="Q3288">
        <v>1</v>
      </c>
      <c r="R3288" s="1" t="s">
        <v>40</v>
      </c>
    </row>
    <row r="3289" spans="1:18" x14ac:dyDescent="0.25">
      <c r="A3289">
        <v>2018</v>
      </c>
      <c r="B3289">
        <v>12</v>
      </c>
      <c r="C3289" s="1" t="s">
        <v>35</v>
      </c>
      <c r="D3289" s="1" t="s">
        <v>19</v>
      </c>
      <c r="E3289" s="1" t="s">
        <v>81</v>
      </c>
      <c r="F3289">
        <v>2012</v>
      </c>
      <c r="G3289">
        <v>6</v>
      </c>
      <c r="H3289" s="1" t="s">
        <v>21</v>
      </c>
      <c r="I3289">
        <v>28</v>
      </c>
      <c r="J3289">
        <v>3483</v>
      </c>
      <c r="K3289" s="1" t="s">
        <v>53</v>
      </c>
      <c r="L3289" s="1" t="s">
        <v>45</v>
      </c>
      <c r="M3289">
        <v>1.5129999999999999</v>
      </c>
      <c r="N3289">
        <v>42370.7</v>
      </c>
      <c r="O3289">
        <v>42.371000000000002</v>
      </c>
      <c r="P3289" s="2">
        <v>43435</v>
      </c>
      <c r="Q3289">
        <v>1</v>
      </c>
      <c r="R3289" s="1" t="s">
        <v>40</v>
      </c>
    </row>
    <row r="3290" spans="1:18" x14ac:dyDescent="0.25">
      <c r="A3290">
        <v>2018</v>
      </c>
      <c r="B3290">
        <v>1</v>
      </c>
      <c r="C3290" s="1" t="s">
        <v>18</v>
      </c>
      <c r="D3290" s="1" t="s">
        <v>19</v>
      </c>
      <c r="E3290" s="1" t="s">
        <v>82</v>
      </c>
      <c r="F3290">
        <v>2013</v>
      </c>
      <c r="G3290">
        <v>5</v>
      </c>
      <c r="H3290" s="1" t="s">
        <v>126</v>
      </c>
      <c r="I3290">
        <v>24</v>
      </c>
      <c r="J3290">
        <v>2678</v>
      </c>
      <c r="K3290" s="1" t="s">
        <v>83</v>
      </c>
      <c r="L3290" s="1" t="s">
        <v>45</v>
      </c>
      <c r="M3290">
        <v>0.88700000000000001</v>
      </c>
      <c r="N3290">
        <v>21289</v>
      </c>
      <c r="O3290">
        <v>21.289000000000001</v>
      </c>
      <c r="P3290" s="2">
        <v>43101</v>
      </c>
      <c r="Q3290">
        <v>1</v>
      </c>
      <c r="R3290" s="1" t="s">
        <v>122</v>
      </c>
    </row>
    <row r="3291" spans="1:18" x14ac:dyDescent="0.25">
      <c r="A3291">
        <v>2018</v>
      </c>
      <c r="B3291">
        <v>2</v>
      </c>
      <c r="C3291" s="1" t="s">
        <v>25</v>
      </c>
      <c r="D3291" s="1" t="s">
        <v>19</v>
      </c>
      <c r="E3291" s="1" t="s">
        <v>82</v>
      </c>
      <c r="F3291">
        <v>2013</v>
      </c>
      <c r="G3291">
        <v>5</v>
      </c>
      <c r="H3291" s="1" t="s">
        <v>126</v>
      </c>
      <c r="I3291">
        <v>24</v>
      </c>
      <c r="J3291">
        <v>2678</v>
      </c>
      <c r="K3291" s="1" t="s">
        <v>83</v>
      </c>
      <c r="L3291" s="1" t="s">
        <v>45</v>
      </c>
      <c r="M3291">
        <v>0.83199999999999996</v>
      </c>
      <c r="N3291">
        <v>19979.5</v>
      </c>
      <c r="O3291">
        <v>19.98</v>
      </c>
      <c r="P3291" s="2">
        <v>43132</v>
      </c>
      <c r="Q3291">
        <v>1</v>
      </c>
      <c r="R3291" s="1" t="s">
        <v>122</v>
      </c>
    </row>
    <row r="3292" spans="1:18" x14ac:dyDescent="0.25">
      <c r="A3292">
        <v>2018</v>
      </c>
      <c r="B3292">
        <v>3</v>
      </c>
      <c r="C3292" s="1" t="s">
        <v>26</v>
      </c>
      <c r="D3292" s="1" t="s">
        <v>19</v>
      </c>
      <c r="E3292" s="1" t="s">
        <v>82</v>
      </c>
      <c r="F3292">
        <v>2013</v>
      </c>
      <c r="G3292">
        <v>5</v>
      </c>
      <c r="H3292" s="1" t="s">
        <v>126</v>
      </c>
      <c r="I3292">
        <v>24</v>
      </c>
      <c r="J3292">
        <v>2678</v>
      </c>
      <c r="K3292" s="1" t="s">
        <v>83</v>
      </c>
      <c r="L3292" s="1" t="s">
        <v>45</v>
      </c>
      <c r="M3292">
        <v>1.159</v>
      </c>
      <c r="N3292">
        <v>27815</v>
      </c>
      <c r="O3292">
        <v>27.815000000000001</v>
      </c>
      <c r="P3292" s="2">
        <v>43160</v>
      </c>
      <c r="Q3292">
        <v>1</v>
      </c>
      <c r="R3292" s="1" t="s">
        <v>122</v>
      </c>
    </row>
    <row r="3293" spans="1:18" x14ac:dyDescent="0.25">
      <c r="A3293">
        <v>2018</v>
      </c>
      <c r="B3293">
        <v>4</v>
      </c>
      <c r="C3293" s="1" t="s">
        <v>27</v>
      </c>
      <c r="D3293" s="1" t="s">
        <v>19</v>
      </c>
      <c r="E3293" s="1" t="s">
        <v>82</v>
      </c>
      <c r="F3293">
        <v>2013</v>
      </c>
      <c r="G3293">
        <v>5</v>
      </c>
      <c r="H3293" s="1" t="s">
        <v>126</v>
      </c>
      <c r="I3293">
        <v>24</v>
      </c>
      <c r="J3293">
        <v>2678</v>
      </c>
      <c r="K3293" s="1" t="s">
        <v>83</v>
      </c>
      <c r="L3293" s="1" t="s">
        <v>45</v>
      </c>
      <c r="M3293">
        <v>1.028</v>
      </c>
      <c r="N3293">
        <v>24668.2</v>
      </c>
      <c r="O3293">
        <v>24.667999999999999</v>
      </c>
      <c r="P3293" s="2">
        <v>43191</v>
      </c>
      <c r="Q3293">
        <v>1</v>
      </c>
      <c r="R3293" s="1" t="s">
        <v>122</v>
      </c>
    </row>
    <row r="3294" spans="1:18" x14ac:dyDescent="0.25">
      <c r="A3294">
        <v>2018</v>
      </c>
      <c r="B3294">
        <v>5</v>
      </c>
      <c r="C3294" s="1" t="s">
        <v>28</v>
      </c>
      <c r="D3294" s="1" t="s">
        <v>19</v>
      </c>
      <c r="E3294" s="1" t="s">
        <v>82</v>
      </c>
      <c r="F3294">
        <v>2013</v>
      </c>
      <c r="G3294">
        <v>5</v>
      </c>
      <c r="H3294" s="1" t="s">
        <v>126</v>
      </c>
      <c r="I3294">
        <v>24</v>
      </c>
      <c r="J3294">
        <v>2678</v>
      </c>
      <c r="K3294" s="1" t="s">
        <v>83</v>
      </c>
      <c r="L3294" s="1" t="s">
        <v>45</v>
      </c>
      <c r="M3294">
        <v>1.319</v>
      </c>
      <c r="N3294">
        <v>31658.9</v>
      </c>
      <c r="O3294">
        <v>31.658999999999999</v>
      </c>
      <c r="P3294" s="2">
        <v>43221</v>
      </c>
      <c r="Q3294">
        <v>1</v>
      </c>
      <c r="R3294" s="1" t="s">
        <v>122</v>
      </c>
    </row>
    <row r="3295" spans="1:18" x14ac:dyDescent="0.25">
      <c r="A3295">
        <v>2018</v>
      </c>
      <c r="B3295">
        <v>6</v>
      </c>
      <c r="C3295" s="1" t="s">
        <v>29</v>
      </c>
      <c r="D3295" s="1" t="s">
        <v>19</v>
      </c>
      <c r="E3295" s="1" t="s">
        <v>82</v>
      </c>
      <c r="F3295">
        <v>2013</v>
      </c>
      <c r="G3295">
        <v>5</v>
      </c>
      <c r="H3295" s="1" t="s">
        <v>126</v>
      </c>
      <c r="I3295">
        <v>24</v>
      </c>
      <c r="J3295">
        <v>2678</v>
      </c>
      <c r="K3295" s="1" t="s">
        <v>83</v>
      </c>
      <c r="L3295" s="1" t="s">
        <v>45</v>
      </c>
      <c r="M3295">
        <v>0.89100000000000001</v>
      </c>
      <c r="N3295">
        <v>21394.6</v>
      </c>
      <c r="O3295">
        <v>21.395</v>
      </c>
      <c r="P3295" s="2">
        <v>43252</v>
      </c>
      <c r="Q3295">
        <v>1</v>
      </c>
      <c r="R3295" s="1" t="s">
        <v>122</v>
      </c>
    </row>
    <row r="3296" spans="1:18" x14ac:dyDescent="0.25">
      <c r="A3296">
        <v>2018</v>
      </c>
      <c r="B3296">
        <v>7</v>
      </c>
      <c r="C3296" s="1" t="s">
        <v>30</v>
      </c>
      <c r="D3296" s="1" t="s">
        <v>19</v>
      </c>
      <c r="E3296" s="1" t="s">
        <v>82</v>
      </c>
      <c r="F3296">
        <v>2013</v>
      </c>
      <c r="G3296">
        <v>5</v>
      </c>
      <c r="H3296" s="1" t="s">
        <v>126</v>
      </c>
      <c r="I3296">
        <v>24</v>
      </c>
      <c r="J3296">
        <v>2678</v>
      </c>
      <c r="K3296" s="1" t="s">
        <v>83</v>
      </c>
      <c r="L3296" s="1" t="s">
        <v>45</v>
      </c>
      <c r="M3296">
        <v>1.238</v>
      </c>
      <c r="N3296">
        <v>29715.8</v>
      </c>
      <c r="O3296">
        <v>29.716000000000001</v>
      </c>
      <c r="P3296" s="2">
        <v>43282</v>
      </c>
      <c r="Q3296">
        <v>1</v>
      </c>
      <c r="R3296" s="1" t="s">
        <v>122</v>
      </c>
    </row>
    <row r="3297" spans="1:18" x14ac:dyDescent="0.25">
      <c r="A3297">
        <v>2018</v>
      </c>
      <c r="B3297">
        <v>8</v>
      </c>
      <c r="C3297" s="1" t="s">
        <v>31</v>
      </c>
      <c r="D3297" s="1" t="s">
        <v>19</v>
      </c>
      <c r="E3297" s="1" t="s">
        <v>82</v>
      </c>
      <c r="F3297">
        <v>2013</v>
      </c>
      <c r="G3297">
        <v>5</v>
      </c>
      <c r="H3297" s="1" t="s">
        <v>126</v>
      </c>
      <c r="I3297">
        <v>24</v>
      </c>
      <c r="J3297">
        <v>2678</v>
      </c>
      <c r="K3297" s="1" t="s">
        <v>83</v>
      </c>
      <c r="L3297" s="1" t="s">
        <v>45</v>
      </c>
      <c r="M3297">
        <v>1.4039999999999999</v>
      </c>
      <c r="N3297">
        <v>33686.400000000001</v>
      </c>
      <c r="O3297">
        <v>33.686</v>
      </c>
      <c r="P3297" s="2">
        <v>43313</v>
      </c>
      <c r="Q3297">
        <v>1</v>
      </c>
      <c r="R3297" s="1" t="s">
        <v>122</v>
      </c>
    </row>
    <row r="3298" spans="1:18" x14ac:dyDescent="0.25">
      <c r="A3298">
        <v>2018</v>
      </c>
      <c r="B3298">
        <v>9</v>
      </c>
      <c r="C3298" s="1" t="s">
        <v>32</v>
      </c>
      <c r="D3298" s="1" t="s">
        <v>19</v>
      </c>
      <c r="E3298" s="1" t="s">
        <v>82</v>
      </c>
      <c r="F3298">
        <v>2013</v>
      </c>
      <c r="G3298">
        <v>5</v>
      </c>
      <c r="H3298" s="1" t="s">
        <v>126</v>
      </c>
      <c r="I3298">
        <v>24</v>
      </c>
      <c r="J3298">
        <v>2678</v>
      </c>
      <c r="K3298" s="1" t="s">
        <v>83</v>
      </c>
      <c r="L3298" s="1" t="s">
        <v>45</v>
      </c>
      <c r="M3298">
        <v>1.0449999999999999</v>
      </c>
      <c r="N3298">
        <v>25090.6</v>
      </c>
      <c r="O3298">
        <v>25.091000000000001</v>
      </c>
      <c r="P3298" s="2">
        <v>43344</v>
      </c>
      <c r="Q3298">
        <v>1</v>
      </c>
      <c r="R3298" s="1" t="s">
        <v>122</v>
      </c>
    </row>
    <row r="3299" spans="1:18" x14ac:dyDescent="0.25">
      <c r="A3299">
        <v>2018</v>
      </c>
      <c r="B3299">
        <v>10</v>
      </c>
      <c r="C3299" s="1" t="s">
        <v>33</v>
      </c>
      <c r="D3299" s="1" t="s">
        <v>19</v>
      </c>
      <c r="E3299" s="1" t="s">
        <v>82</v>
      </c>
      <c r="F3299">
        <v>2013</v>
      </c>
      <c r="G3299">
        <v>5</v>
      </c>
      <c r="H3299" s="1" t="s">
        <v>126</v>
      </c>
      <c r="I3299">
        <v>24</v>
      </c>
      <c r="J3299">
        <v>2678</v>
      </c>
      <c r="K3299" s="1" t="s">
        <v>83</v>
      </c>
      <c r="L3299" s="1" t="s">
        <v>45</v>
      </c>
      <c r="M3299">
        <v>1.454</v>
      </c>
      <c r="N3299">
        <v>34890.199999999997</v>
      </c>
      <c r="O3299">
        <v>34.89</v>
      </c>
      <c r="P3299" s="2">
        <v>43374</v>
      </c>
      <c r="Q3299">
        <v>1</v>
      </c>
      <c r="R3299" s="1" t="s">
        <v>122</v>
      </c>
    </row>
    <row r="3300" spans="1:18" x14ac:dyDescent="0.25">
      <c r="A3300">
        <v>2018</v>
      </c>
      <c r="B3300">
        <v>11</v>
      </c>
      <c r="C3300" s="1" t="s">
        <v>34</v>
      </c>
      <c r="D3300" s="1" t="s">
        <v>19</v>
      </c>
      <c r="E3300" s="1" t="s">
        <v>82</v>
      </c>
      <c r="F3300">
        <v>2013</v>
      </c>
      <c r="G3300">
        <v>5</v>
      </c>
      <c r="H3300" s="1" t="s">
        <v>126</v>
      </c>
      <c r="I3300">
        <v>24</v>
      </c>
      <c r="J3300">
        <v>2678</v>
      </c>
      <c r="K3300" s="1" t="s">
        <v>83</v>
      </c>
      <c r="L3300" s="1" t="s">
        <v>45</v>
      </c>
      <c r="M3300">
        <v>0.97199999999999998</v>
      </c>
      <c r="N3300">
        <v>23316.5</v>
      </c>
      <c r="O3300">
        <v>23.315999999999999</v>
      </c>
      <c r="P3300" s="2">
        <v>43405</v>
      </c>
      <c r="Q3300">
        <v>1</v>
      </c>
      <c r="R3300" s="1" t="s">
        <v>122</v>
      </c>
    </row>
    <row r="3301" spans="1:18" x14ac:dyDescent="0.25">
      <c r="A3301">
        <v>2018</v>
      </c>
      <c r="B3301">
        <v>12</v>
      </c>
      <c r="C3301" s="1" t="s">
        <v>35</v>
      </c>
      <c r="D3301" s="1" t="s">
        <v>19</v>
      </c>
      <c r="E3301" s="1" t="s">
        <v>82</v>
      </c>
      <c r="F3301">
        <v>2013</v>
      </c>
      <c r="G3301">
        <v>5</v>
      </c>
      <c r="H3301" s="1" t="s">
        <v>126</v>
      </c>
      <c r="I3301">
        <v>24</v>
      </c>
      <c r="J3301">
        <v>2678</v>
      </c>
      <c r="K3301" s="1" t="s">
        <v>83</v>
      </c>
      <c r="L3301" s="1" t="s">
        <v>45</v>
      </c>
      <c r="M3301">
        <v>1.427</v>
      </c>
      <c r="N3301">
        <v>34256.6</v>
      </c>
      <c r="O3301">
        <v>34.256999999999998</v>
      </c>
      <c r="P3301" s="2">
        <v>43435</v>
      </c>
      <c r="Q3301">
        <v>1</v>
      </c>
      <c r="R3301" s="1" t="s">
        <v>122</v>
      </c>
    </row>
    <row r="3302" spans="1:18" x14ac:dyDescent="0.25">
      <c r="A3302">
        <v>2018</v>
      </c>
      <c r="B3302">
        <v>1</v>
      </c>
      <c r="C3302" s="1" t="s">
        <v>18</v>
      </c>
      <c r="D3302" s="1" t="s">
        <v>19</v>
      </c>
      <c r="E3302" s="1" t="s">
        <v>84</v>
      </c>
      <c r="F3302">
        <v>2013</v>
      </c>
      <c r="G3302">
        <v>5</v>
      </c>
      <c r="H3302" s="1" t="s">
        <v>126</v>
      </c>
      <c r="I3302">
        <v>23</v>
      </c>
      <c r="J3302">
        <v>2683</v>
      </c>
      <c r="K3302" s="1" t="s">
        <v>85</v>
      </c>
      <c r="L3302" s="1" t="s">
        <v>45</v>
      </c>
      <c r="M3302">
        <v>0.88700000000000001</v>
      </c>
      <c r="N3302">
        <v>20401.900000000001</v>
      </c>
      <c r="O3302">
        <v>20.402000000000001</v>
      </c>
      <c r="P3302" s="2">
        <v>43101</v>
      </c>
      <c r="Q3302">
        <v>1</v>
      </c>
      <c r="R3302" s="1" t="s">
        <v>122</v>
      </c>
    </row>
    <row r="3303" spans="1:18" x14ac:dyDescent="0.25">
      <c r="A3303">
        <v>2018</v>
      </c>
      <c r="B3303">
        <v>2</v>
      </c>
      <c r="C3303" s="1" t="s">
        <v>25</v>
      </c>
      <c r="D3303" s="1" t="s">
        <v>19</v>
      </c>
      <c r="E3303" s="1" t="s">
        <v>84</v>
      </c>
      <c r="F3303">
        <v>2013</v>
      </c>
      <c r="G3303">
        <v>5</v>
      </c>
      <c r="H3303" s="1" t="s">
        <v>126</v>
      </c>
      <c r="I3303">
        <v>23</v>
      </c>
      <c r="J3303">
        <v>2683</v>
      </c>
      <c r="K3303" s="1" t="s">
        <v>85</v>
      </c>
      <c r="L3303" s="1" t="s">
        <v>45</v>
      </c>
      <c r="M3303">
        <v>0.83199999999999996</v>
      </c>
      <c r="N3303">
        <v>19147</v>
      </c>
      <c r="O3303">
        <v>19.146999999999998</v>
      </c>
      <c r="P3303" s="2">
        <v>43132</v>
      </c>
      <c r="Q3303">
        <v>1</v>
      </c>
      <c r="R3303" s="1" t="s">
        <v>122</v>
      </c>
    </row>
    <row r="3304" spans="1:18" x14ac:dyDescent="0.25">
      <c r="A3304">
        <v>2018</v>
      </c>
      <c r="B3304">
        <v>3</v>
      </c>
      <c r="C3304" s="1" t="s">
        <v>26</v>
      </c>
      <c r="D3304" s="1" t="s">
        <v>19</v>
      </c>
      <c r="E3304" s="1" t="s">
        <v>84</v>
      </c>
      <c r="F3304">
        <v>2013</v>
      </c>
      <c r="G3304">
        <v>5</v>
      </c>
      <c r="H3304" s="1" t="s">
        <v>126</v>
      </c>
      <c r="I3304">
        <v>23</v>
      </c>
      <c r="J3304">
        <v>2683</v>
      </c>
      <c r="K3304" s="1" t="s">
        <v>85</v>
      </c>
      <c r="L3304" s="1" t="s">
        <v>45</v>
      </c>
      <c r="M3304">
        <v>1.159</v>
      </c>
      <c r="N3304">
        <v>26656.1</v>
      </c>
      <c r="O3304">
        <v>26.655999999999999</v>
      </c>
      <c r="P3304" s="2">
        <v>43160</v>
      </c>
      <c r="Q3304">
        <v>1</v>
      </c>
      <c r="R3304" s="1" t="s">
        <v>122</v>
      </c>
    </row>
    <row r="3305" spans="1:18" x14ac:dyDescent="0.25">
      <c r="A3305">
        <v>2018</v>
      </c>
      <c r="B3305">
        <v>4</v>
      </c>
      <c r="C3305" s="1" t="s">
        <v>27</v>
      </c>
      <c r="D3305" s="1" t="s">
        <v>19</v>
      </c>
      <c r="E3305" s="1" t="s">
        <v>84</v>
      </c>
      <c r="F3305">
        <v>2013</v>
      </c>
      <c r="G3305">
        <v>5</v>
      </c>
      <c r="H3305" s="1" t="s">
        <v>126</v>
      </c>
      <c r="I3305">
        <v>23</v>
      </c>
      <c r="J3305">
        <v>2683</v>
      </c>
      <c r="K3305" s="1" t="s">
        <v>85</v>
      </c>
      <c r="L3305" s="1" t="s">
        <v>45</v>
      </c>
      <c r="M3305">
        <v>1.028</v>
      </c>
      <c r="N3305">
        <v>23640.3</v>
      </c>
      <c r="O3305">
        <v>23.64</v>
      </c>
      <c r="P3305" s="2">
        <v>43191</v>
      </c>
      <c r="Q3305">
        <v>1</v>
      </c>
      <c r="R3305" s="1" t="s">
        <v>122</v>
      </c>
    </row>
    <row r="3306" spans="1:18" x14ac:dyDescent="0.25">
      <c r="A3306">
        <v>2018</v>
      </c>
      <c r="B3306">
        <v>5</v>
      </c>
      <c r="C3306" s="1" t="s">
        <v>28</v>
      </c>
      <c r="D3306" s="1" t="s">
        <v>19</v>
      </c>
      <c r="E3306" s="1" t="s">
        <v>84</v>
      </c>
      <c r="F3306">
        <v>2013</v>
      </c>
      <c r="G3306">
        <v>5</v>
      </c>
      <c r="H3306" s="1" t="s">
        <v>126</v>
      </c>
      <c r="I3306">
        <v>23</v>
      </c>
      <c r="J3306">
        <v>2683</v>
      </c>
      <c r="K3306" s="1" t="s">
        <v>85</v>
      </c>
      <c r="L3306" s="1" t="s">
        <v>45</v>
      </c>
      <c r="M3306">
        <v>1.319</v>
      </c>
      <c r="N3306">
        <v>30339.8</v>
      </c>
      <c r="O3306">
        <v>30.34</v>
      </c>
      <c r="P3306" s="2">
        <v>43221</v>
      </c>
      <c r="Q3306">
        <v>1</v>
      </c>
      <c r="R3306" s="1" t="s">
        <v>122</v>
      </c>
    </row>
    <row r="3307" spans="1:18" x14ac:dyDescent="0.25">
      <c r="A3307">
        <v>2018</v>
      </c>
      <c r="B3307">
        <v>6</v>
      </c>
      <c r="C3307" s="1" t="s">
        <v>29</v>
      </c>
      <c r="D3307" s="1" t="s">
        <v>19</v>
      </c>
      <c r="E3307" s="1" t="s">
        <v>84</v>
      </c>
      <c r="F3307">
        <v>2013</v>
      </c>
      <c r="G3307">
        <v>5</v>
      </c>
      <c r="H3307" s="1" t="s">
        <v>126</v>
      </c>
      <c r="I3307">
        <v>23</v>
      </c>
      <c r="J3307">
        <v>2683</v>
      </c>
      <c r="K3307" s="1" t="s">
        <v>85</v>
      </c>
      <c r="L3307" s="1" t="s">
        <v>45</v>
      </c>
      <c r="M3307">
        <v>0.89100000000000001</v>
      </c>
      <c r="N3307">
        <v>20503.099999999999</v>
      </c>
      <c r="O3307">
        <v>20.503</v>
      </c>
      <c r="P3307" s="2">
        <v>43252</v>
      </c>
      <c r="Q3307">
        <v>1</v>
      </c>
      <c r="R3307" s="1" t="s">
        <v>122</v>
      </c>
    </row>
    <row r="3308" spans="1:18" x14ac:dyDescent="0.25">
      <c r="A3308">
        <v>2018</v>
      </c>
      <c r="B3308">
        <v>7</v>
      </c>
      <c r="C3308" s="1" t="s">
        <v>30</v>
      </c>
      <c r="D3308" s="1" t="s">
        <v>19</v>
      </c>
      <c r="E3308" s="1" t="s">
        <v>84</v>
      </c>
      <c r="F3308">
        <v>2013</v>
      </c>
      <c r="G3308">
        <v>5</v>
      </c>
      <c r="H3308" s="1" t="s">
        <v>126</v>
      </c>
      <c r="I3308">
        <v>23</v>
      </c>
      <c r="J3308">
        <v>2683</v>
      </c>
      <c r="K3308" s="1" t="s">
        <v>85</v>
      </c>
      <c r="L3308" s="1" t="s">
        <v>45</v>
      </c>
      <c r="M3308">
        <v>1.238</v>
      </c>
      <c r="N3308">
        <v>28477.7</v>
      </c>
      <c r="O3308">
        <v>28.478000000000002</v>
      </c>
      <c r="P3308" s="2">
        <v>43282</v>
      </c>
      <c r="Q3308">
        <v>1</v>
      </c>
      <c r="R3308" s="1" t="s">
        <v>122</v>
      </c>
    </row>
    <row r="3309" spans="1:18" x14ac:dyDescent="0.25">
      <c r="A3309">
        <v>2018</v>
      </c>
      <c r="B3309">
        <v>8</v>
      </c>
      <c r="C3309" s="1" t="s">
        <v>31</v>
      </c>
      <c r="D3309" s="1" t="s">
        <v>19</v>
      </c>
      <c r="E3309" s="1" t="s">
        <v>84</v>
      </c>
      <c r="F3309">
        <v>2013</v>
      </c>
      <c r="G3309">
        <v>5</v>
      </c>
      <c r="H3309" s="1" t="s">
        <v>126</v>
      </c>
      <c r="I3309">
        <v>23</v>
      </c>
      <c r="J3309">
        <v>2683</v>
      </c>
      <c r="K3309" s="1" t="s">
        <v>85</v>
      </c>
      <c r="L3309" s="1" t="s">
        <v>45</v>
      </c>
      <c r="M3309">
        <v>1.4039999999999999</v>
      </c>
      <c r="N3309">
        <v>32282.799999999999</v>
      </c>
      <c r="O3309">
        <v>32.283000000000001</v>
      </c>
      <c r="P3309" s="2">
        <v>43313</v>
      </c>
      <c r="Q3309">
        <v>1</v>
      </c>
      <c r="R3309" s="1" t="s">
        <v>122</v>
      </c>
    </row>
    <row r="3310" spans="1:18" x14ac:dyDescent="0.25">
      <c r="A3310">
        <v>2018</v>
      </c>
      <c r="B3310">
        <v>9</v>
      </c>
      <c r="C3310" s="1" t="s">
        <v>32</v>
      </c>
      <c r="D3310" s="1" t="s">
        <v>19</v>
      </c>
      <c r="E3310" s="1" t="s">
        <v>84</v>
      </c>
      <c r="F3310">
        <v>2013</v>
      </c>
      <c r="G3310">
        <v>5</v>
      </c>
      <c r="H3310" s="1" t="s">
        <v>126</v>
      </c>
      <c r="I3310">
        <v>23</v>
      </c>
      <c r="J3310">
        <v>2683</v>
      </c>
      <c r="K3310" s="1" t="s">
        <v>85</v>
      </c>
      <c r="L3310" s="1" t="s">
        <v>45</v>
      </c>
      <c r="M3310">
        <v>1.0449999999999999</v>
      </c>
      <c r="N3310">
        <v>24045.1</v>
      </c>
      <c r="O3310">
        <v>24.045000000000002</v>
      </c>
      <c r="P3310" s="2">
        <v>43344</v>
      </c>
      <c r="Q3310">
        <v>1</v>
      </c>
      <c r="R3310" s="1" t="s">
        <v>122</v>
      </c>
    </row>
    <row r="3311" spans="1:18" x14ac:dyDescent="0.25">
      <c r="A3311">
        <v>2018</v>
      </c>
      <c r="B3311">
        <v>10</v>
      </c>
      <c r="C3311" s="1" t="s">
        <v>33</v>
      </c>
      <c r="D3311" s="1" t="s">
        <v>19</v>
      </c>
      <c r="E3311" s="1" t="s">
        <v>84</v>
      </c>
      <c r="F3311">
        <v>2013</v>
      </c>
      <c r="G3311">
        <v>5</v>
      </c>
      <c r="H3311" s="1" t="s">
        <v>126</v>
      </c>
      <c r="I3311">
        <v>23</v>
      </c>
      <c r="J3311">
        <v>2683</v>
      </c>
      <c r="K3311" s="1" t="s">
        <v>85</v>
      </c>
      <c r="L3311" s="1" t="s">
        <v>45</v>
      </c>
      <c r="M3311">
        <v>1.454</v>
      </c>
      <c r="N3311">
        <v>33436.5</v>
      </c>
      <c r="O3311">
        <v>33.436</v>
      </c>
      <c r="P3311" s="2">
        <v>43374</v>
      </c>
      <c r="Q3311">
        <v>1</v>
      </c>
      <c r="R3311" s="1" t="s">
        <v>122</v>
      </c>
    </row>
    <row r="3312" spans="1:18" x14ac:dyDescent="0.25">
      <c r="A3312">
        <v>2018</v>
      </c>
      <c r="B3312">
        <v>11</v>
      </c>
      <c r="C3312" s="1" t="s">
        <v>34</v>
      </c>
      <c r="D3312" s="1" t="s">
        <v>19</v>
      </c>
      <c r="E3312" s="1" t="s">
        <v>84</v>
      </c>
      <c r="F3312">
        <v>2013</v>
      </c>
      <c r="G3312">
        <v>5</v>
      </c>
      <c r="H3312" s="1" t="s">
        <v>126</v>
      </c>
      <c r="I3312">
        <v>23</v>
      </c>
      <c r="J3312">
        <v>2683</v>
      </c>
      <c r="K3312" s="1" t="s">
        <v>85</v>
      </c>
      <c r="L3312" s="1" t="s">
        <v>45</v>
      </c>
      <c r="M3312">
        <v>0.97199999999999998</v>
      </c>
      <c r="N3312">
        <v>22345</v>
      </c>
      <c r="O3312">
        <v>22.344999999999999</v>
      </c>
      <c r="P3312" s="2">
        <v>43405</v>
      </c>
      <c r="Q3312">
        <v>1</v>
      </c>
      <c r="R3312" s="1" t="s">
        <v>122</v>
      </c>
    </row>
    <row r="3313" spans="1:18" x14ac:dyDescent="0.25">
      <c r="A3313">
        <v>2018</v>
      </c>
      <c r="B3313">
        <v>12</v>
      </c>
      <c r="C3313" s="1" t="s">
        <v>35</v>
      </c>
      <c r="D3313" s="1" t="s">
        <v>19</v>
      </c>
      <c r="E3313" s="1" t="s">
        <v>84</v>
      </c>
      <c r="F3313">
        <v>2013</v>
      </c>
      <c r="G3313">
        <v>5</v>
      </c>
      <c r="H3313" s="1" t="s">
        <v>126</v>
      </c>
      <c r="I3313">
        <v>23</v>
      </c>
      <c r="J3313">
        <v>2683</v>
      </c>
      <c r="K3313" s="1" t="s">
        <v>85</v>
      </c>
      <c r="L3313" s="1" t="s">
        <v>45</v>
      </c>
      <c r="M3313">
        <v>1.427</v>
      </c>
      <c r="N3313">
        <v>32829.300000000003</v>
      </c>
      <c r="O3313">
        <v>32.829000000000001</v>
      </c>
      <c r="P3313" s="2">
        <v>43435</v>
      </c>
      <c r="Q3313">
        <v>1</v>
      </c>
      <c r="R3313" s="1" t="s">
        <v>122</v>
      </c>
    </row>
    <row r="3314" spans="1:18" x14ac:dyDescent="0.25">
      <c r="A3314">
        <v>2018</v>
      </c>
      <c r="B3314">
        <v>1</v>
      </c>
      <c r="C3314" s="1" t="s">
        <v>18</v>
      </c>
      <c r="D3314" s="1" t="s">
        <v>19</v>
      </c>
      <c r="E3314" s="1" t="s">
        <v>86</v>
      </c>
      <c r="F3314">
        <v>2013</v>
      </c>
      <c r="G3314">
        <v>5</v>
      </c>
      <c r="H3314" s="1" t="s">
        <v>126</v>
      </c>
      <c r="I3314">
        <v>24</v>
      </c>
      <c r="J3314">
        <v>3445</v>
      </c>
      <c r="K3314" s="1" t="s">
        <v>87</v>
      </c>
      <c r="L3314" s="1" t="s">
        <v>45</v>
      </c>
      <c r="M3314">
        <v>0.88700000000000001</v>
      </c>
      <c r="N3314">
        <v>21289</v>
      </c>
      <c r="O3314">
        <v>21.289000000000001</v>
      </c>
      <c r="P3314" s="2">
        <v>43101</v>
      </c>
      <c r="Q3314">
        <v>1</v>
      </c>
      <c r="R3314" s="1" t="s">
        <v>122</v>
      </c>
    </row>
    <row r="3315" spans="1:18" x14ac:dyDescent="0.25">
      <c r="A3315">
        <v>2018</v>
      </c>
      <c r="B3315">
        <v>2</v>
      </c>
      <c r="C3315" s="1" t="s">
        <v>25</v>
      </c>
      <c r="D3315" s="1" t="s">
        <v>19</v>
      </c>
      <c r="E3315" s="1" t="s">
        <v>86</v>
      </c>
      <c r="F3315">
        <v>2013</v>
      </c>
      <c r="G3315">
        <v>5</v>
      </c>
      <c r="H3315" s="1" t="s">
        <v>126</v>
      </c>
      <c r="I3315">
        <v>24</v>
      </c>
      <c r="J3315">
        <v>3445</v>
      </c>
      <c r="K3315" s="1" t="s">
        <v>87</v>
      </c>
      <c r="L3315" s="1" t="s">
        <v>45</v>
      </c>
      <c r="M3315">
        <v>0.83199999999999996</v>
      </c>
      <c r="N3315">
        <v>19979.5</v>
      </c>
      <c r="O3315">
        <v>19.98</v>
      </c>
      <c r="P3315" s="2">
        <v>43132</v>
      </c>
      <c r="Q3315">
        <v>1</v>
      </c>
      <c r="R3315" s="1" t="s">
        <v>122</v>
      </c>
    </row>
    <row r="3316" spans="1:18" x14ac:dyDescent="0.25">
      <c r="A3316">
        <v>2018</v>
      </c>
      <c r="B3316">
        <v>3</v>
      </c>
      <c r="C3316" s="1" t="s">
        <v>26</v>
      </c>
      <c r="D3316" s="1" t="s">
        <v>19</v>
      </c>
      <c r="E3316" s="1" t="s">
        <v>86</v>
      </c>
      <c r="F3316">
        <v>2013</v>
      </c>
      <c r="G3316">
        <v>5</v>
      </c>
      <c r="H3316" s="1" t="s">
        <v>126</v>
      </c>
      <c r="I3316">
        <v>24</v>
      </c>
      <c r="J3316">
        <v>3445</v>
      </c>
      <c r="K3316" s="1" t="s">
        <v>87</v>
      </c>
      <c r="L3316" s="1" t="s">
        <v>45</v>
      </c>
      <c r="M3316">
        <v>1.159</v>
      </c>
      <c r="N3316">
        <v>27815</v>
      </c>
      <c r="O3316">
        <v>27.815000000000001</v>
      </c>
      <c r="P3316" s="2">
        <v>43160</v>
      </c>
      <c r="Q3316">
        <v>1</v>
      </c>
      <c r="R3316" s="1" t="s">
        <v>122</v>
      </c>
    </row>
    <row r="3317" spans="1:18" x14ac:dyDescent="0.25">
      <c r="A3317">
        <v>2018</v>
      </c>
      <c r="B3317">
        <v>4</v>
      </c>
      <c r="C3317" s="1" t="s">
        <v>27</v>
      </c>
      <c r="D3317" s="1" t="s">
        <v>19</v>
      </c>
      <c r="E3317" s="1" t="s">
        <v>86</v>
      </c>
      <c r="F3317">
        <v>2013</v>
      </c>
      <c r="G3317">
        <v>5</v>
      </c>
      <c r="H3317" s="1" t="s">
        <v>126</v>
      </c>
      <c r="I3317">
        <v>24</v>
      </c>
      <c r="J3317">
        <v>3445</v>
      </c>
      <c r="K3317" s="1" t="s">
        <v>87</v>
      </c>
      <c r="L3317" s="1" t="s">
        <v>45</v>
      </c>
      <c r="M3317">
        <v>1.028</v>
      </c>
      <c r="N3317">
        <v>24668.2</v>
      </c>
      <c r="O3317">
        <v>24.667999999999999</v>
      </c>
      <c r="P3317" s="2">
        <v>43191</v>
      </c>
      <c r="Q3317">
        <v>1</v>
      </c>
      <c r="R3317" s="1" t="s">
        <v>122</v>
      </c>
    </row>
    <row r="3318" spans="1:18" x14ac:dyDescent="0.25">
      <c r="A3318">
        <v>2018</v>
      </c>
      <c r="B3318">
        <v>5</v>
      </c>
      <c r="C3318" s="1" t="s">
        <v>28</v>
      </c>
      <c r="D3318" s="1" t="s">
        <v>19</v>
      </c>
      <c r="E3318" s="1" t="s">
        <v>86</v>
      </c>
      <c r="F3318">
        <v>2013</v>
      </c>
      <c r="G3318">
        <v>5</v>
      </c>
      <c r="H3318" s="1" t="s">
        <v>126</v>
      </c>
      <c r="I3318">
        <v>24</v>
      </c>
      <c r="J3318">
        <v>3445</v>
      </c>
      <c r="K3318" s="1" t="s">
        <v>87</v>
      </c>
      <c r="L3318" s="1" t="s">
        <v>45</v>
      </c>
      <c r="M3318">
        <v>1.319</v>
      </c>
      <c r="N3318">
        <v>31658.9</v>
      </c>
      <c r="O3318">
        <v>31.658999999999999</v>
      </c>
      <c r="P3318" s="2">
        <v>43221</v>
      </c>
      <c r="Q3318">
        <v>1</v>
      </c>
      <c r="R3318" s="1" t="s">
        <v>122</v>
      </c>
    </row>
    <row r="3319" spans="1:18" x14ac:dyDescent="0.25">
      <c r="A3319">
        <v>2018</v>
      </c>
      <c r="B3319">
        <v>6</v>
      </c>
      <c r="C3319" s="1" t="s">
        <v>29</v>
      </c>
      <c r="D3319" s="1" t="s">
        <v>19</v>
      </c>
      <c r="E3319" s="1" t="s">
        <v>86</v>
      </c>
      <c r="F3319">
        <v>2013</v>
      </c>
      <c r="G3319">
        <v>5</v>
      </c>
      <c r="H3319" s="1" t="s">
        <v>126</v>
      </c>
      <c r="I3319">
        <v>24</v>
      </c>
      <c r="J3319">
        <v>3445</v>
      </c>
      <c r="K3319" s="1" t="s">
        <v>87</v>
      </c>
      <c r="L3319" s="1" t="s">
        <v>45</v>
      </c>
      <c r="M3319">
        <v>0.89100000000000001</v>
      </c>
      <c r="N3319">
        <v>21394.6</v>
      </c>
      <c r="O3319">
        <v>21.395</v>
      </c>
      <c r="P3319" s="2">
        <v>43252</v>
      </c>
      <c r="Q3319">
        <v>1</v>
      </c>
      <c r="R3319" s="1" t="s">
        <v>122</v>
      </c>
    </row>
    <row r="3320" spans="1:18" x14ac:dyDescent="0.25">
      <c r="A3320">
        <v>2018</v>
      </c>
      <c r="B3320">
        <v>7</v>
      </c>
      <c r="C3320" s="1" t="s">
        <v>30</v>
      </c>
      <c r="D3320" s="1" t="s">
        <v>19</v>
      </c>
      <c r="E3320" s="1" t="s">
        <v>86</v>
      </c>
      <c r="F3320">
        <v>2013</v>
      </c>
      <c r="G3320">
        <v>5</v>
      </c>
      <c r="H3320" s="1" t="s">
        <v>126</v>
      </c>
      <c r="I3320">
        <v>24</v>
      </c>
      <c r="J3320">
        <v>3445</v>
      </c>
      <c r="K3320" s="1" t="s">
        <v>87</v>
      </c>
      <c r="L3320" s="1" t="s">
        <v>45</v>
      </c>
      <c r="M3320">
        <v>1.238</v>
      </c>
      <c r="N3320">
        <v>29715.8</v>
      </c>
      <c r="O3320">
        <v>29.716000000000001</v>
      </c>
      <c r="P3320" s="2">
        <v>43282</v>
      </c>
      <c r="Q3320">
        <v>1</v>
      </c>
      <c r="R3320" s="1" t="s">
        <v>122</v>
      </c>
    </row>
    <row r="3321" spans="1:18" x14ac:dyDescent="0.25">
      <c r="A3321">
        <v>2018</v>
      </c>
      <c r="B3321">
        <v>8</v>
      </c>
      <c r="C3321" s="1" t="s">
        <v>31</v>
      </c>
      <c r="D3321" s="1" t="s">
        <v>19</v>
      </c>
      <c r="E3321" s="1" t="s">
        <v>86</v>
      </c>
      <c r="F3321">
        <v>2013</v>
      </c>
      <c r="G3321">
        <v>5</v>
      </c>
      <c r="H3321" s="1" t="s">
        <v>126</v>
      </c>
      <c r="I3321">
        <v>24</v>
      </c>
      <c r="J3321">
        <v>3445</v>
      </c>
      <c r="K3321" s="1" t="s">
        <v>87</v>
      </c>
      <c r="L3321" s="1" t="s">
        <v>45</v>
      </c>
      <c r="M3321">
        <v>1.4039999999999999</v>
      </c>
      <c r="N3321">
        <v>33686.400000000001</v>
      </c>
      <c r="O3321">
        <v>33.686</v>
      </c>
      <c r="P3321" s="2">
        <v>43313</v>
      </c>
      <c r="Q3321">
        <v>1</v>
      </c>
      <c r="R3321" s="1" t="s">
        <v>122</v>
      </c>
    </row>
    <row r="3322" spans="1:18" x14ac:dyDescent="0.25">
      <c r="A3322">
        <v>2018</v>
      </c>
      <c r="B3322">
        <v>9</v>
      </c>
      <c r="C3322" s="1" t="s">
        <v>32</v>
      </c>
      <c r="D3322" s="1" t="s">
        <v>19</v>
      </c>
      <c r="E3322" s="1" t="s">
        <v>86</v>
      </c>
      <c r="F3322">
        <v>2013</v>
      </c>
      <c r="G3322">
        <v>5</v>
      </c>
      <c r="H3322" s="1" t="s">
        <v>126</v>
      </c>
      <c r="I3322">
        <v>24</v>
      </c>
      <c r="J3322">
        <v>3445</v>
      </c>
      <c r="K3322" s="1" t="s">
        <v>87</v>
      </c>
      <c r="L3322" s="1" t="s">
        <v>45</v>
      </c>
      <c r="M3322">
        <v>1.0449999999999999</v>
      </c>
      <c r="N3322">
        <v>25090.6</v>
      </c>
      <c r="O3322">
        <v>25.091000000000001</v>
      </c>
      <c r="P3322" s="2">
        <v>43344</v>
      </c>
      <c r="Q3322">
        <v>1</v>
      </c>
      <c r="R3322" s="1" t="s">
        <v>122</v>
      </c>
    </row>
    <row r="3323" spans="1:18" x14ac:dyDescent="0.25">
      <c r="A3323">
        <v>2018</v>
      </c>
      <c r="B3323">
        <v>10</v>
      </c>
      <c r="C3323" s="1" t="s">
        <v>33</v>
      </c>
      <c r="D3323" s="1" t="s">
        <v>19</v>
      </c>
      <c r="E3323" s="1" t="s">
        <v>86</v>
      </c>
      <c r="F3323">
        <v>2013</v>
      </c>
      <c r="G3323">
        <v>5</v>
      </c>
      <c r="H3323" s="1" t="s">
        <v>126</v>
      </c>
      <c r="I3323">
        <v>24</v>
      </c>
      <c r="J3323">
        <v>3445</v>
      </c>
      <c r="K3323" s="1" t="s">
        <v>87</v>
      </c>
      <c r="L3323" s="1" t="s">
        <v>45</v>
      </c>
      <c r="M3323">
        <v>1.454</v>
      </c>
      <c r="N3323">
        <v>34890.199999999997</v>
      </c>
      <c r="O3323">
        <v>34.89</v>
      </c>
      <c r="P3323" s="2">
        <v>43374</v>
      </c>
      <c r="Q3323">
        <v>1</v>
      </c>
      <c r="R3323" s="1" t="s">
        <v>122</v>
      </c>
    </row>
    <row r="3324" spans="1:18" x14ac:dyDescent="0.25">
      <c r="A3324">
        <v>2018</v>
      </c>
      <c r="B3324">
        <v>11</v>
      </c>
      <c r="C3324" s="1" t="s">
        <v>34</v>
      </c>
      <c r="D3324" s="1" t="s">
        <v>19</v>
      </c>
      <c r="E3324" s="1" t="s">
        <v>86</v>
      </c>
      <c r="F3324">
        <v>2013</v>
      </c>
      <c r="G3324">
        <v>5</v>
      </c>
      <c r="H3324" s="1" t="s">
        <v>126</v>
      </c>
      <c r="I3324">
        <v>24</v>
      </c>
      <c r="J3324">
        <v>3445</v>
      </c>
      <c r="K3324" s="1" t="s">
        <v>87</v>
      </c>
      <c r="L3324" s="1" t="s">
        <v>45</v>
      </c>
      <c r="M3324">
        <v>0.97199999999999998</v>
      </c>
      <c r="N3324">
        <v>23316.5</v>
      </c>
      <c r="O3324">
        <v>23.315999999999999</v>
      </c>
      <c r="P3324" s="2">
        <v>43405</v>
      </c>
      <c r="Q3324">
        <v>1</v>
      </c>
      <c r="R3324" s="1" t="s">
        <v>122</v>
      </c>
    </row>
    <row r="3325" spans="1:18" x14ac:dyDescent="0.25">
      <c r="A3325">
        <v>2018</v>
      </c>
      <c r="B3325">
        <v>12</v>
      </c>
      <c r="C3325" s="1" t="s">
        <v>35</v>
      </c>
      <c r="D3325" s="1" t="s">
        <v>19</v>
      </c>
      <c r="E3325" s="1" t="s">
        <v>86</v>
      </c>
      <c r="F3325">
        <v>2013</v>
      </c>
      <c r="G3325">
        <v>5</v>
      </c>
      <c r="H3325" s="1" t="s">
        <v>126</v>
      </c>
      <c r="I3325">
        <v>24</v>
      </c>
      <c r="J3325">
        <v>3445</v>
      </c>
      <c r="K3325" s="1" t="s">
        <v>87</v>
      </c>
      <c r="L3325" s="1" t="s">
        <v>45</v>
      </c>
      <c r="M3325">
        <v>1.427</v>
      </c>
      <c r="N3325">
        <v>34256.6</v>
      </c>
      <c r="O3325">
        <v>34.256999999999998</v>
      </c>
      <c r="P3325" s="2">
        <v>43435</v>
      </c>
      <c r="Q3325">
        <v>1</v>
      </c>
      <c r="R3325" s="1" t="s">
        <v>122</v>
      </c>
    </row>
    <row r="3326" spans="1:18" x14ac:dyDescent="0.25">
      <c r="A3326">
        <v>2018</v>
      </c>
      <c r="B3326">
        <v>1</v>
      </c>
      <c r="C3326" s="1" t="s">
        <v>18</v>
      </c>
      <c r="D3326" s="1" t="s">
        <v>19</v>
      </c>
      <c r="E3326" s="1" t="s">
        <v>88</v>
      </c>
      <c r="F3326">
        <v>2013</v>
      </c>
      <c r="G3326">
        <v>5</v>
      </c>
      <c r="H3326" s="1" t="s">
        <v>126</v>
      </c>
      <c r="I3326">
        <v>24</v>
      </c>
      <c r="J3326">
        <v>3271</v>
      </c>
      <c r="K3326" s="1" t="s">
        <v>89</v>
      </c>
      <c r="L3326" s="1" t="s">
        <v>45</v>
      </c>
      <c r="M3326">
        <v>0.88700000000000001</v>
      </c>
      <c r="N3326">
        <v>21289</v>
      </c>
      <c r="O3326">
        <v>21.289000000000001</v>
      </c>
      <c r="P3326" s="2">
        <v>43101</v>
      </c>
      <c r="Q3326">
        <v>1</v>
      </c>
      <c r="R3326" s="1" t="s">
        <v>122</v>
      </c>
    </row>
    <row r="3327" spans="1:18" x14ac:dyDescent="0.25">
      <c r="A3327">
        <v>2018</v>
      </c>
      <c r="B3327">
        <v>2</v>
      </c>
      <c r="C3327" s="1" t="s">
        <v>25</v>
      </c>
      <c r="D3327" s="1" t="s">
        <v>19</v>
      </c>
      <c r="E3327" s="1" t="s">
        <v>88</v>
      </c>
      <c r="F3327">
        <v>2013</v>
      </c>
      <c r="G3327">
        <v>5</v>
      </c>
      <c r="H3327" s="1" t="s">
        <v>126</v>
      </c>
      <c r="I3327">
        <v>24</v>
      </c>
      <c r="J3327">
        <v>3271</v>
      </c>
      <c r="K3327" s="1" t="s">
        <v>89</v>
      </c>
      <c r="L3327" s="1" t="s">
        <v>45</v>
      </c>
      <c r="M3327">
        <v>0.83199999999999996</v>
      </c>
      <c r="N3327">
        <v>19979.5</v>
      </c>
      <c r="O3327">
        <v>19.98</v>
      </c>
      <c r="P3327" s="2">
        <v>43132</v>
      </c>
      <c r="Q3327">
        <v>1</v>
      </c>
      <c r="R3327" s="1" t="s">
        <v>122</v>
      </c>
    </row>
    <row r="3328" spans="1:18" x14ac:dyDescent="0.25">
      <c r="A3328">
        <v>2018</v>
      </c>
      <c r="B3328">
        <v>3</v>
      </c>
      <c r="C3328" s="1" t="s">
        <v>26</v>
      </c>
      <c r="D3328" s="1" t="s">
        <v>19</v>
      </c>
      <c r="E3328" s="1" t="s">
        <v>88</v>
      </c>
      <c r="F3328">
        <v>2013</v>
      </c>
      <c r="G3328">
        <v>5</v>
      </c>
      <c r="H3328" s="1" t="s">
        <v>126</v>
      </c>
      <c r="I3328">
        <v>24</v>
      </c>
      <c r="J3328">
        <v>3271</v>
      </c>
      <c r="K3328" s="1" t="s">
        <v>89</v>
      </c>
      <c r="L3328" s="1" t="s">
        <v>45</v>
      </c>
      <c r="M3328">
        <v>1.159</v>
      </c>
      <c r="N3328">
        <v>27815</v>
      </c>
      <c r="O3328">
        <v>27.815000000000001</v>
      </c>
      <c r="P3328" s="2">
        <v>43160</v>
      </c>
      <c r="Q3328">
        <v>1</v>
      </c>
      <c r="R3328" s="1" t="s">
        <v>122</v>
      </c>
    </row>
    <row r="3329" spans="1:18" x14ac:dyDescent="0.25">
      <c r="A3329">
        <v>2018</v>
      </c>
      <c r="B3329">
        <v>4</v>
      </c>
      <c r="C3329" s="1" t="s">
        <v>27</v>
      </c>
      <c r="D3329" s="1" t="s">
        <v>19</v>
      </c>
      <c r="E3329" s="1" t="s">
        <v>88</v>
      </c>
      <c r="F3329">
        <v>2013</v>
      </c>
      <c r="G3329">
        <v>5</v>
      </c>
      <c r="H3329" s="1" t="s">
        <v>126</v>
      </c>
      <c r="I3329">
        <v>24</v>
      </c>
      <c r="J3329">
        <v>3271</v>
      </c>
      <c r="K3329" s="1" t="s">
        <v>89</v>
      </c>
      <c r="L3329" s="1" t="s">
        <v>45</v>
      </c>
      <c r="M3329">
        <v>1.028</v>
      </c>
      <c r="N3329">
        <v>24668.2</v>
      </c>
      <c r="O3329">
        <v>24.667999999999999</v>
      </c>
      <c r="P3329" s="2">
        <v>43191</v>
      </c>
      <c r="Q3329">
        <v>1</v>
      </c>
      <c r="R3329" s="1" t="s">
        <v>122</v>
      </c>
    </row>
    <row r="3330" spans="1:18" x14ac:dyDescent="0.25">
      <c r="A3330">
        <v>2018</v>
      </c>
      <c r="B3330">
        <v>5</v>
      </c>
      <c r="C3330" s="1" t="s">
        <v>28</v>
      </c>
      <c r="D3330" s="1" t="s">
        <v>19</v>
      </c>
      <c r="E3330" s="1" t="s">
        <v>88</v>
      </c>
      <c r="F3330">
        <v>2013</v>
      </c>
      <c r="G3330">
        <v>5</v>
      </c>
      <c r="H3330" s="1" t="s">
        <v>126</v>
      </c>
      <c r="I3330">
        <v>24</v>
      </c>
      <c r="J3330">
        <v>3271</v>
      </c>
      <c r="K3330" s="1" t="s">
        <v>89</v>
      </c>
      <c r="L3330" s="1" t="s">
        <v>45</v>
      </c>
      <c r="M3330">
        <v>1.319</v>
      </c>
      <c r="N3330">
        <v>31658.9</v>
      </c>
      <c r="O3330">
        <v>31.658999999999999</v>
      </c>
      <c r="P3330" s="2">
        <v>43221</v>
      </c>
      <c r="Q3330">
        <v>1</v>
      </c>
      <c r="R3330" s="1" t="s">
        <v>122</v>
      </c>
    </row>
    <row r="3331" spans="1:18" x14ac:dyDescent="0.25">
      <c r="A3331">
        <v>2018</v>
      </c>
      <c r="B3331">
        <v>6</v>
      </c>
      <c r="C3331" s="1" t="s">
        <v>29</v>
      </c>
      <c r="D3331" s="1" t="s">
        <v>19</v>
      </c>
      <c r="E3331" s="1" t="s">
        <v>88</v>
      </c>
      <c r="F3331">
        <v>2013</v>
      </c>
      <c r="G3331">
        <v>5</v>
      </c>
      <c r="H3331" s="1" t="s">
        <v>126</v>
      </c>
      <c r="I3331">
        <v>24</v>
      </c>
      <c r="J3331">
        <v>3271</v>
      </c>
      <c r="K3331" s="1" t="s">
        <v>89</v>
      </c>
      <c r="L3331" s="1" t="s">
        <v>45</v>
      </c>
      <c r="M3331">
        <v>0.89100000000000001</v>
      </c>
      <c r="N3331">
        <v>21394.6</v>
      </c>
      <c r="O3331">
        <v>21.395</v>
      </c>
      <c r="P3331" s="2">
        <v>43252</v>
      </c>
      <c r="Q3331">
        <v>1</v>
      </c>
      <c r="R3331" s="1" t="s">
        <v>122</v>
      </c>
    </row>
    <row r="3332" spans="1:18" x14ac:dyDescent="0.25">
      <c r="A3332">
        <v>2018</v>
      </c>
      <c r="B3332">
        <v>7</v>
      </c>
      <c r="C3332" s="1" t="s">
        <v>30</v>
      </c>
      <c r="D3332" s="1" t="s">
        <v>19</v>
      </c>
      <c r="E3332" s="1" t="s">
        <v>88</v>
      </c>
      <c r="F3332">
        <v>2013</v>
      </c>
      <c r="G3332">
        <v>5</v>
      </c>
      <c r="H3332" s="1" t="s">
        <v>126</v>
      </c>
      <c r="I3332">
        <v>24</v>
      </c>
      <c r="J3332">
        <v>3271</v>
      </c>
      <c r="K3332" s="1" t="s">
        <v>89</v>
      </c>
      <c r="L3332" s="1" t="s">
        <v>45</v>
      </c>
      <c r="M3332">
        <v>1.238</v>
      </c>
      <c r="N3332">
        <v>29715.8</v>
      </c>
      <c r="O3332">
        <v>29.716000000000001</v>
      </c>
      <c r="P3332" s="2">
        <v>43282</v>
      </c>
      <c r="Q3332">
        <v>1</v>
      </c>
      <c r="R3332" s="1" t="s">
        <v>122</v>
      </c>
    </row>
    <row r="3333" spans="1:18" x14ac:dyDescent="0.25">
      <c r="A3333">
        <v>2018</v>
      </c>
      <c r="B3333">
        <v>8</v>
      </c>
      <c r="C3333" s="1" t="s">
        <v>31</v>
      </c>
      <c r="D3333" s="1" t="s">
        <v>19</v>
      </c>
      <c r="E3333" s="1" t="s">
        <v>88</v>
      </c>
      <c r="F3333">
        <v>2013</v>
      </c>
      <c r="G3333">
        <v>5</v>
      </c>
      <c r="H3333" s="1" t="s">
        <v>126</v>
      </c>
      <c r="I3333">
        <v>24</v>
      </c>
      <c r="J3333">
        <v>3271</v>
      </c>
      <c r="K3333" s="1" t="s">
        <v>89</v>
      </c>
      <c r="L3333" s="1" t="s">
        <v>45</v>
      </c>
      <c r="M3333">
        <v>1.4039999999999999</v>
      </c>
      <c r="N3333">
        <v>33686.400000000001</v>
      </c>
      <c r="O3333">
        <v>33.686</v>
      </c>
      <c r="P3333" s="2">
        <v>43313</v>
      </c>
      <c r="Q3333">
        <v>1</v>
      </c>
      <c r="R3333" s="1" t="s">
        <v>122</v>
      </c>
    </row>
    <row r="3334" spans="1:18" x14ac:dyDescent="0.25">
      <c r="A3334">
        <v>2018</v>
      </c>
      <c r="B3334">
        <v>9</v>
      </c>
      <c r="C3334" s="1" t="s">
        <v>32</v>
      </c>
      <c r="D3334" s="1" t="s">
        <v>19</v>
      </c>
      <c r="E3334" s="1" t="s">
        <v>88</v>
      </c>
      <c r="F3334">
        <v>2013</v>
      </c>
      <c r="G3334">
        <v>5</v>
      </c>
      <c r="H3334" s="1" t="s">
        <v>126</v>
      </c>
      <c r="I3334">
        <v>24</v>
      </c>
      <c r="J3334">
        <v>3271</v>
      </c>
      <c r="K3334" s="1" t="s">
        <v>89</v>
      </c>
      <c r="L3334" s="1" t="s">
        <v>45</v>
      </c>
      <c r="M3334">
        <v>1.0449999999999999</v>
      </c>
      <c r="N3334">
        <v>25090.6</v>
      </c>
      <c r="O3334">
        <v>25.091000000000001</v>
      </c>
      <c r="P3334" s="2">
        <v>43344</v>
      </c>
      <c r="Q3334">
        <v>1</v>
      </c>
      <c r="R3334" s="1" t="s">
        <v>122</v>
      </c>
    </row>
    <row r="3335" spans="1:18" x14ac:dyDescent="0.25">
      <c r="A3335">
        <v>2018</v>
      </c>
      <c r="B3335">
        <v>10</v>
      </c>
      <c r="C3335" s="1" t="s">
        <v>33</v>
      </c>
      <c r="D3335" s="1" t="s">
        <v>19</v>
      </c>
      <c r="E3335" s="1" t="s">
        <v>88</v>
      </c>
      <c r="F3335">
        <v>2013</v>
      </c>
      <c r="G3335">
        <v>5</v>
      </c>
      <c r="H3335" s="1" t="s">
        <v>126</v>
      </c>
      <c r="I3335">
        <v>24</v>
      </c>
      <c r="J3335">
        <v>3271</v>
      </c>
      <c r="K3335" s="1" t="s">
        <v>89</v>
      </c>
      <c r="L3335" s="1" t="s">
        <v>45</v>
      </c>
      <c r="M3335">
        <v>1.454</v>
      </c>
      <c r="N3335">
        <v>34890.199999999997</v>
      </c>
      <c r="O3335">
        <v>34.89</v>
      </c>
      <c r="P3335" s="2">
        <v>43374</v>
      </c>
      <c r="Q3335">
        <v>1</v>
      </c>
      <c r="R3335" s="1" t="s">
        <v>122</v>
      </c>
    </row>
    <row r="3336" spans="1:18" x14ac:dyDescent="0.25">
      <c r="A3336">
        <v>2018</v>
      </c>
      <c r="B3336">
        <v>11</v>
      </c>
      <c r="C3336" s="1" t="s">
        <v>34</v>
      </c>
      <c r="D3336" s="1" t="s">
        <v>19</v>
      </c>
      <c r="E3336" s="1" t="s">
        <v>88</v>
      </c>
      <c r="F3336">
        <v>2013</v>
      </c>
      <c r="G3336">
        <v>5</v>
      </c>
      <c r="H3336" s="1" t="s">
        <v>126</v>
      </c>
      <c r="I3336">
        <v>24</v>
      </c>
      <c r="J3336">
        <v>3271</v>
      </c>
      <c r="K3336" s="1" t="s">
        <v>89</v>
      </c>
      <c r="L3336" s="1" t="s">
        <v>45</v>
      </c>
      <c r="M3336">
        <v>0.97199999999999998</v>
      </c>
      <c r="N3336">
        <v>23316.5</v>
      </c>
      <c r="O3336">
        <v>23.315999999999999</v>
      </c>
      <c r="P3336" s="2">
        <v>43405</v>
      </c>
      <c r="Q3336">
        <v>1</v>
      </c>
      <c r="R3336" s="1" t="s">
        <v>122</v>
      </c>
    </row>
    <row r="3337" spans="1:18" x14ac:dyDescent="0.25">
      <c r="A3337">
        <v>2018</v>
      </c>
      <c r="B3337">
        <v>12</v>
      </c>
      <c r="C3337" s="1" t="s">
        <v>35</v>
      </c>
      <c r="D3337" s="1" t="s">
        <v>19</v>
      </c>
      <c r="E3337" s="1" t="s">
        <v>88</v>
      </c>
      <c r="F3337">
        <v>2013</v>
      </c>
      <c r="G3337">
        <v>5</v>
      </c>
      <c r="H3337" s="1" t="s">
        <v>126</v>
      </c>
      <c r="I3337">
        <v>24</v>
      </c>
      <c r="J3337">
        <v>3271</v>
      </c>
      <c r="K3337" s="1" t="s">
        <v>89</v>
      </c>
      <c r="L3337" s="1" t="s">
        <v>45</v>
      </c>
      <c r="M3337">
        <v>1.427</v>
      </c>
      <c r="N3337">
        <v>34256.6</v>
      </c>
      <c r="O3337">
        <v>34.256999999999998</v>
      </c>
      <c r="P3337" s="2">
        <v>43435</v>
      </c>
      <c r="Q3337">
        <v>1</v>
      </c>
      <c r="R3337" s="1" t="s">
        <v>122</v>
      </c>
    </row>
    <row r="3338" spans="1:18" x14ac:dyDescent="0.25">
      <c r="A3338">
        <v>2018</v>
      </c>
      <c r="B3338">
        <v>1</v>
      </c>
      <c r="C3338" s="1" t="s">
        <v>18</v>
      </c>
      <c r="D3338" s="1" t="s">
        <v>19</v>
      </c>
      <c r="E3338" s="1" t="s">
        <v>90</v>
      </c>
      <c r="F3338">
        <v>2013</v>
      </c>
      <c r="G3338">
        <v>5</v>
      </c>
      <c r="H3338" s="1" t="s">
        <v>126</v>
      </c>
      <c r="I3338">
        <v>25</v>
      </c>
      <c r="J3338">
        <v>3291</v>
      </c>
      <c r="K3338" s="1" t="s">
        <v>91</v>
      </c>
      <c r="L3338" s="1" t="s">
        <v>45</v>
      </c>
      <c r="M3338">
        <v>0.88700000000000001</v>
      </c>
      <c r="N3338">
        <v>22176</v>
      </c>
      <c r="O3338">
        <v>22.175999999999998</v>
      </c>
      <c r="P3338" s="2">
        <v>43101</v>
      </c>
      <c r="Q3338">
        <v>1</v>
      </c>
      <c r="R3338" s="1" t="s">
        <v>122</v>
      </c>
    </row>
    <row r="3339" spans="1:18" x14ac:dyDescent="0.25">
      <c r="A3339">
        <v>2018</v>
      </c>
      <c r="B3339">
        <v>2</v>
      </c>
      <c r="C3339" s="1" t="s">
        <v>25</v>
      </c>
      <c r="D3339" s="1" t="s">
        <v>19</v>
      </c>
      <c r="E3339" s="1" t="s">
        <v>90</v>
      </c>
      <c r="F3339">
        <v>2013</v>
      </c>
      <c r="G3339">
        <v>5</v>
      </c>
      <c r="H3339" s="1" t="s">
        <v>126</v>
      </c>
      <c r="I3339">
        <v>25</v>
      </c>
      <c r="J3339">
        <v>3291</v>
      </c>
      <c r="K3339" s="1" t="s">
        <v>91</v>
      </c>
      <c r="L3339" s="1" t="s">
        <v>45</v>
      </c>
      <c r="M3339">
        <v>0.83199999999999996</v>
      </c>
      <c r="N3339">
        <v>20812</v>
      </c>
      <c r="O3339">
        <v>20.812000000000001</v>
      </c>
      <c r="P3339" s="2">
        <v>43132</v>
      </c>
      <c r="Q3339">
        <v>1</v>
      </c>
      <c r="R3339" s="1" t="s">
        <v>122</v>
      </c>
    </row>
    <row r="3340" spans="1:18" x14ac:dyDescent="0.25">
      <c r="A3340">
        <v>2018</v>
      </c>
      <c r="B3340">
        <v>3</v>
      </c>
      <c r="C3340" s="1" t="s">
        <v>26</v>
      </c>
      <c r="D3340" s="1" t="s">
        <v>19</v>
      </c>
      <c r="E3340" s="1" t="s">
        <v>90</v>
      </c>
      <c r="F3340">
        <v>2013</v>
      </c>
      <c r="G3340">
        <v>5</v>
      </c>
      <c r="H3340" s="1" t="s">
        <v>126</v>
      </c>
      <c r="I3340">
        <v>25</v>
      </c>
      <c r="J3340">
        <v>3291</v>
      </c>
      <c r="K3340" s="1" t="s">
        <v>91</v>
      </c>
      <c r="L3340" s="1" t="s">
        <v>45</v>
      </c>
      <c r="M3340">
        <v>1.159</v>
      </c>
      <c r="N3340">
        <v>28974</v>
      </c>
      <c r="O3340">
        <v>28.974</v>
      </c>
      <c r="P3340" s="2">
        <v>43160</v>
      </c>
      <c r="Q3340">
        <v>1</v>
      </c>
      <c r="R3340" s="1" t="s">
        <v>122</v>
      </c>
    </row>
    <row r="3341" spans="1:18" x14ac:dyDescent="0.25">
      <c r="A3341">
        <v>2018</v>
      </c>
      <c r="B3341">
        <v>4</v>
      </c>
      <c r="C3341" s="1" t="s">
        <v>27</v>
      </c>
      <c r="D3341" s="1" t="s">
        <v>19</v>
      </c>
      <c r="E3341" s="1" t="s">
        <v>90</v>
      </c>
      <c r="F3341">
        <v>2013</v>
      </c>
      <c r="G3341">
        <v>5</v>
      </c>
      <c r="H3341" s="1" t="s">
        <v>126</v>
      </c>
      <c r="I3341">
        <v>25</v>
      </c>
      <c r="J3341">
        <v>3291</v>
      </c>
      <c r="K3341" s="1" t="s">
        <v>91</v>
      </c>
      <c r="L3341" s="1" t="s">
        <v>45</v>
      </c>
      <c r="M3341">
        <v>1.028</v>
      </c>
      <c r="N3341">
        <v>25696</v>
      </c>
      <c r="O3341">
        <v>25.696000000000002</v>
      </c>
      <c r="P3341" s="2">
        <v>43191</v>
      </c>
      <c r="Q3341">
        <v>1</v>
      </c>
      <c r="R3341" s="1" t="s">
        <v>122</v>
      </c>
    </row>
    <row r="3342" spans="1:18" x14ac:dyDescent="0.25">
      <c r="A3342">
        <v>2018</v>
      </c>
      <c r="B3342">
        <v>5</v>
      </c>
      <c r="C3342" s="1" t="s">
        <v>28</v>
      </c>
      <c r="D3342" s="1" t="s">
        <v>19</v>
      </c>
      <c r="E3342" s="1" t="s">
        <v>90</v>
      </c>
      <c r="F3342">
        <v>2013</v>
      </c>
      <c r="G3342">
        <v>5</v>
      </c>
      <c r="H3342" s="1" t="s">
        <v>126</v>
      </c>
      <c r="I3342">
        <v>25</v>
      </c>
      <c r="J3342">
        <v>3291</v>
      </c>
      <c r="K3342" s="1" t="s">
        <v>91</v>
      </c>
      <c r="L3342" s="1" t="s">
        <v>45</v>
      </c>
      <c r="M3342">
        <v>1.319</v>
      </c>
      <c r="N3342">
        <v>32978</v>
      </c>
      <c r="O3342">
        <v>32.978000000000002</v>
      </c>
      <c r="P3342" s="2">
        <v>43221</v>
      </c>
      <c r="Q3342">
        <v>1</v>
      </c>
      <c r="R3342" s="1" t="s">
        <v>122</v>
      </c>
    </row>
    <row r="3343" spans="1:18" x14ac:dyDescent="0.25">
      <c r="A3343">
        <v>2018</v>
      </c>
      <c r="B3343">
        <v>6</v>
      </c>
      <c r="C3343" s="1" t="s">
        <v>29</v>
      </c>
      <c r="D3343" s="1" t="s">
        <v>19</v>
      </c>
      <c r="E3343" s="1" t="s">
        <v>90</v>
      </c>
      <c r="F3343">
        <v>2013</v>
      </c>
      <c r="G3343">
        <v>5</v>
      </c>
      <c r="H3343" s="1" t="s">
        <v>126</v>
      </c>
      <c r="I3343">
        <v>25</v>
      </c>
      <c r="J3343">
        <v>3291</v>
      </c>
      <c r="K3343" s="1" t="s">
        <v>91</v>
      </c>
      <c r="L3343" s="1" t="s">
        <v>45</v>
      </c>
      <c r="M3343">
        <v>0.89100000000000001</v>
      </c>
      <c r="N3343">
        <v>22286</v>
      </c>
      <c r="O3343">
        <v>22.286000000000001</v>
      </c>
      <c r="P3343" s="2">
        <v>43252</v>
      </c>
      <c r="Q3343">
        <v>1</v>
      </c>
      <c r="R3343" s="1" t="s">
        <v>122</v>
      </c>
    </row>
    <row r="3344" spans="1:18" x14ac:dyDescent="0.25">
      <c r="A3344">
        <v>2018</v>
      </c>
      <c r="B3344">
        <v>7</v>
      </c>
      <c r="C3344" s="1" t="s">
        <v>30</v>
      </c>
      <c r="D3344" s="1" t="s">
        <v>19</v>
      </c>
      <c r="E3344" s="1" t="s">
        <v>90</v>
      </c>
      <c r="F3344">
        <v>2013</v>
      </c>
      <c r="G3344">
        <v>5</v>
      </c>
      <c r="H3344" s="1" t="s">
        <v>126</v>
      </c>
      <c r="I3344">
        <v>25</v>
      </c>
      <c r="J3344">
        <v>3291</v>
      </c>
      <c r="K3344" s="1" t="s">
        <v>91</v>
      </c>
      <c r="L3344" s="1" t="s">
        <v>45</v>
      </c>
      <c r="M3344">
        <v>1.238</v>
      </c>
      <c r="N3344">
        <v>30954</v>
      </c>
      <c r="O3344">
        <v>30.954000000000001</v>
      </c>
      <c r="P3344" s="2">
        <v>43282</v>
      </c>
      <c r="Q3344">
        <v>1</v>
      </c>
      <c r="R3344" s="1" t="s">
        <v>122</v>
      </c>
    </row>
    <row r="3345" spans="1:18" x14ac:dyDescent="0.25">
      <c r="A3345">
        <v>2018</v>
      </c>
      <c r="B3345">
        <v>8</v>
      </c>
      <c r="C3345" s="1" t="s">
        <v>31</v>
      </c>
      <c r="D3345" s="1" t="s">
        <v>19</v>
      </c>
      <c r="E3345" s="1" t="s">
        <v>90</v>
      </c>
      <c r="F3345">
        <v>2013</v>
      </c>
      <c r="G3345">
        <v>5</v>
      </c>
      <c r="H3345" s="1" t="s">
        <v>126</v>
      </c>
      <c r="I3345">
        <v>25</v>
      </c>
      <c r="J3345">
        <v>3291</v>
      </c>
      <c r="K3345" s="1" t="s">
        <v>91</v>
      </c>
      <c r="L3345" s="1" t="s">
        <v>45</v>
      </c>
      <c r="M3345">
        <v>1.4039999999999999</v>
      </c>
      <c r="N3345">
        <v>35090</v>
      </c>
      <c r="O3345">
        <v>35.090000000000003</v>
      </c>
      <c r="P3345" s="2">
        <v>43313</v>
      </c>
      <c r="Q3345">
        <v>1</v>
      </c>
      <c r="R3345" s="1" t="s">
        <v>122</v>
      </c>
    </row>
    <row r="3346" spans="1:18" x14ac:dyDescent="0.25">
      <c r="A3346">
        <v>2018</v>
      </c>
      <c r="B3346">
        <v>9</v>
      </c>
      <c r="C3346" s="1" t="s">
        <v>32</v>
      </c>
      <c r="D3346" s="1" t="s">
        <v>19</v>
      </c>
      <c r="E3346" s="1" t="s">
        <v>90</v>
      </c>
      <c r="F3346">
        <v>2013</v>
      </c>
      <c r="G3346">
        <v>5</v>
      </c>
      <c r="H3346" s="1" t="s">
        <v>126</v>
      </c>
      <c r="I3346">
        <v>25</v>
      </c>
      <c r="J3346">
        <v>3291</v>
      </c>
      <c r="K3346" s="1" t="s">
        <v>91</v>
      </c>
      <c r="L3346" s="1" t="s">
        <v>45</v>
      </c>
      <c r="M3346">
        <v>1.0449999999999999</v>
      </c>
      <c r="N3346">
        <v>26136</v>
      </c>
      <c r="O3346">
        <v>26.135999999999999</v>
      </c>
      <c r="P3346" s="2">
        <v>43344</v>
      </c>
      <c r="Q3346">
        <v>1</v>
      </c>
      <c r="R3346" s="1" t="s">
        <v>122</v>
      </c>
    </row>
    <row r="3347" spans="1:18" x14ac:dyDescent="0.25">
      <c r="A3347">
        <v>2018</v>
      </c>
      <c r="B3347">
        <v>10</v>
      </c>
      <c r="C3347" s="1" t="s">
        <v>33</v>
      </c>
      <c r="D3347" s="1" t="s">
        <v>19</v>
      </c>
      <c r="E3347" s="1" t="s">
        <v>90</v>
      </c>
      <c r="F3347">
        <v>2013</v>
      </c>
      <c r="G3347">
        <v>5</v>
      </c>
      <c r="H3347" s="1" t="s">
        <v>126</v>
      </c>
      <c r="I3347">
        <v>25</v>
      </c>
      <c r="J3347">
        <v>3291</v>
      </c>
      <c r="K3347" s="1" t="s">
        <v>91</v>
      </c>
      <c r="L3347" s="1" t="s">
        <v>45</v>
      </c>
      <c r="M3347">
        <v>1.454</v>
      </c>
      <c r="N3347">
        <v>36344</v>
      </c>
      <c r="O3347">
        <v>36.344000000000001</v>
      </c>
      <c r="P3347" s="2">
        <v>43374</v>
      </c>
      <c r="Q3347">
        <v>1</v>
      </c>
      <c r="R3347" s="1" t="s">
        <v>122</v>
      </c>
    </row>
    <row r="3348" spans="1:18" x14ac:dyDescent="0.25">
      <c r="A3348">
        <v>2018</v>
      </c>
      <c r="B3348">
        <v>11</v>
      </c>
      <c r="C3348" s="1" t="s">
        <v>34</v>
      </c>
      <c r="D3348" s="1" t="s">
        <v>19</v>
      </c>
      <c r="E3348" s="1" t="s">
        <v>90</v>
      </c>
      <c r="F3348">
        <v>2013</v>
      </c>
      <c r="G3348">
        <v>5</v>
      </c>
      <c r="H3348" s="1" t="s">
        <v>126</v>
      </c>
      <c r="I3348">
        <v>25</v>
      </c>
      <c r="J3348">
        <v>3291</v>
      </c>
      <c r="K3348" s="1" t="s">
        <v>91</v>
      </c>
      <c r="L3348" s="1" t="s">
        <v>45</v>
      </c>
      <c r="M3348">
        <v>0.97199999999999998</v>
      </c>
      <c r="N3348">
        <v>24288</v>
      </c>
      <c r="O3348">
        <v>24.288</v>
      </c>
      <c r="P3348" s="2">
        <v>43405</v>
      </c>
      <c r="Q3348">
        <v>1</v>
      </c>
      <c r="R3348" s="1" t="s">
        <v>122</v>
      </c>
    </row>
    <row r="3349" spans="1:18" x14ac:dyDescent="0.25">
      <c r="A3349">
        <v>2018</v>
      </c>
      <c r="B3349">
        <v>12</v>
      </c>
      <c r="C3349" s="1" t="s">
        <v>35</v>
      </c>
      <c r="D3349" s="1" t="s">
        <v>19</v>
      </c>
      <c r="E3349" s="1" t="s">
        <v>90</v>
      </c>
      <c r="F3349">
        <v>2013</v>
      </c>
      <c r="G3349">
        <v>5</v>
      </c>
      <c r="H3349" s="1" t="s">
        <v>126</v>
      </c>
      <c r="I3349">
        <v>25</v>
      </c>
      <c r="J3349">
        <v>3291</v>
      </c>
      <c r="K3349" s="1" t="s">
        <v>91</v>
      </c>
      <c r="L3349" s="1" t="s">
        <v>45</v>
      </c>
      <c r="M3349">
        <v>1.427</v>
      </c>
      <c r="N3349">
        <v>35684</v>
      </c>
      <c r="O3349">
        <v>35.683999999999997</v>
      </c>
      <c r="P3349" s="2">
        <v>43435</v>
      </c>
      <c r="Q3349">
        <v>1</v>
      </c>
      <c r="R3349" s="1" t="s">
        <v>122</v>
      </c>
    </row>
    <row r="3350" spans="1:18" x14ac:dyDescent="0.25">
      <c r="A3350">
        <v>2018</v>
      </c>
      <c r="B3350">
        <v>1</v>
      </c>
      <c r="C3350" s="1" t="s">
        <v>18</v>
      </c>
      <c r="D3350" s="1" t="s">
        <v>19</v>
      </c>
      <c r="E3350" s="1" t="s">
        <v>92</v>
      </c>
      <c r="F3350">
        <v>2014</v>
      </c>
      <c r="G3350">
        <v>4</v>
      </c>
      <c r="H3350" s="1" t="s">
        <v>123</v>
      </c>
      <c r="I3350">
        <v>24</v>
      </c>
      <c r="J3350">
        <v>2208</v>
      </c>
      <c r="K3350" s="1" t="s">
        <v>93</v>
      </c>
      <c r="L3350" s="1" t="s">
        <v>45</v>
      </c>
      <c r="M3350">
        <v>0.68500000000000005</v>
      </c>
      <c r="N3350">
        <v>16450.599999999999</v>
      </c>
      <c r="O3350">
        <v>16.451000000000001</v>
      </c>
      <c r="P3350" s="2">
        <v>43101</v>
      </c>
      <c r="Q3350">
        <v>1</v>
      </c>
      <c r="R3350" s="1" t="s">
        <v>122</v>
      </c>
    </row>
    <row r="3351" spans="1:18" x14ac:dyDescent="0.25">
      <c r="A3351">
        <v>2018</v>
      </c>
      <c r="B3351">
        <v>2</v>
      </c>
      <c r="C3351" s="1" t="s">
        <v>25</v>
      </c>
      <c r="D3351" s="1" t="s">
        <v>19</v>
      </c>
      <c r="E3351" s="1" t="s">
        <v>92</v>
      </c>
      <c r="F3351">
        <v>2014</v>
      </c>
      <c r="G3351">
        <v>4</v>
      </c>
      <c r="H3351" s="1" t="s">
        <v>123</v>
      </c>
      <c r="I3351">
        <v>24</v>
      </c>
      <c r="J3351">
        <v>2208</v>
      </c>
      <c r="K3351" s="1" t="s">
        <v>93</v>
      </c>
      <c r="L3351" s="1" t="s">
        <v>45</v>
      </c>
      <c r="M3351">
        <v>0.64300000000000002</v>
      </c>
      <c r="N3351">
        <v>15438.7</v>
      </c>
      <c r="O3351">
        <v>15.439</v>
      </c>
      <c r="P3351" s="2">
        <v>43132</v>
      </c>
      <c r="Q3351">
        <v>1</v>
      </c>
      <c r="R3351" s="1" t="s">
        <v>122</v>
      </c>
    </row>
    <row r="3352" spans="1:18" x14ac:dyDescent="0.25">
      <c r="A3352">
        <v>2018</v>
      </c>
      <c r="B3352">
        <v>3</v>
      </c>
      <c r="C3352" s="1" t="s">
        <v>26</v>
      </c>
      <c r="D3352" s="1" t="s">
        <v>19</v>
      </c>
      <c r="E3352" s="1" t="s">
        <v>92</v>
      </c>
      <c r="F3352">
        <v>2014</v>
      </c>
      <c r="G3352">
        <v>4</v>
      </c>
      <c r="H3352" s="1" t="s">
        <v>123</v>
      </c>
      <c r="I3352">
        <v>24</v>
      </c>
      <c r="J3352">
        <v>2208</v>
      </c>
      <c r="K3352" s="1" t="s">
        <v>93</v>
      </c>
      <c r="L3352" s="1" t="s">
        <v>45</v>
      </c>
      <c r="M3352">
        <v>0.89600000000000002</v>
      </c>
      <c r="N3352">
        <v>21493.4</v>
      </c>
      <c r="O3352">
        <v>21.492999999999999</v>
      </c>
      <c r="P3352" s="2">
        <v>43160</v>
      </c>
      <c r="Q3352">
        <v>1</v>
      </c>
      <c r="R3352" s="1" t="s">
        <v>122</v>
      </c>
    </row>
    <row r="3353" spans="1:18" x14ac:dyDescent="0.25">
      <c r="A3353">
        <v>2018</v>
      </c>
      <c r="B3353">
        <v>4</v>
      </c>
      <c r="C3353" s="1" t="s">
        <v>27</v>
      </c>
      <c r="D3353" s="1" t="s">
        <v>19</v>
      </c>
      <c r="E3353" s="1" t="s">
        <v>92</v>
      </c>
      <c r="F3353">
        <v>2014</v>
      </c>
      <c r="G3353">
        <v>4</v>
      </c>
      <c r="H3353" s="1" t="s">
        <v>123</v>
      </c>
      <c r="I3353">
        <v>24</v>
      </c>
      <c r="J3353">
        <v>2208</v>
      </c>
      <c r="K3353" s="1" t="s">
        <v>93</v>
      </c>
      <c r="L3353" s="1" t="s">
        <v>45</v>
      </c>
      <c r="M3353">
        <v>0.79400000000000004</v>
      </c>
      <c r="N3353">
        <v>19061.8</v>
      </c>
      <c r="O3353">
        <v>19.062000000000001</v>
      </c>
      <c r="P3353" s="2">
        <v>43191</v>
      </c>
      <c r="Q3353">
        <v>1</v>
      </c>
      <c r="R3353" s="1" t="s">
        <v>122</v>
      </c>
    </row>
    <row r="3354" spans="1:18" x14ac:dyDescent="0.25">
      <c r="A3354">
        <v>2018</v>
      </c>
      <c r="B3354">
        <v>5</v>
      </c>
      <c r="C3354" s="1" t="s">
        <v>28</v>
      </c>
      <c r="D3354" s="1" t="s">
        <v>19</v>
      </c>
      <c r="E3354" s="1" t="s">
        <v>92</v>
      </c>
      <c r="F3354">
        <v>2014</v>
      </c>
      <c r="G3354">
        <v>4</v>
      </c>
      <c r="H3354" s="1" t="s">
        <v>123</v>
      </c>
      <c r="I3354">
        <v>24</v>
      </c>
      <c r="J3354">
        <v>2208</v>
      </c>
      <c r="K3354" s="1" t="s">
        <v>93</v>
      </c>
      <c r="L3354" s="1" t="s">
        <v>45</v>
      </c>
      <c r="M3354">
        <v>1.0189999999999999</v>
      </c>
      <c r="N3354">
        <v>24463.7</v>
      </c>
      <c r="O3354">
        <v>24.463999999999999</v>
      </c>
      <c r="P3354" s="2">
        <v>43221</v>
      </c>
      <c r="Q3354">
        <v>1</v>
      </c>
      <c r="R3354" s="1" t="s">
        <v>122</v>
      </c>
    </row>
    <row r="3355" spans="1:18" x14ac:dyDescent="0.25">
      <c r="A3355">
        <v>2018</v>
      </c>
      <c r="B3355">
        <v>6</v>
      </c>
      <c r="C3355" s="1" t="s">
        <v>29</v>
      </c>
      <c r="D3355" s="1" t="s">
        <v>19</v>
      </c>
      <c r="E3355" s="1" t="s">
        <v>92</v>
      </c>
      <c r="F3355">
        <v>2014</v>
      </c>
      <c r="G3355">
        <v>4</v>
      </c>
      <c r="H3355" s="1" t="s">
        <v>123</v>
      </c>
      <c r="I3355">
        <v>24</v>
      </c>
      <c r="J3355">
        <v>2208</v>
      </c>
      <c r="K3355" s="1" t="s">
        <v>93</v>
      </c>
      <c r="L3355" s="1" t="s">
        <v>45</v>
      </c>
      <c r="M3355">
        <v>0.68899999999999995</v>
      </c>
      <c r="N3355">
        <v>16532.2</v>
      </c>
      <c r="O3355">
        <v>16.532</v>
      </c>
      <c r="P3355" s="2">
        <v>43252</v>
      </c>
      <c r="Q3355">
        <v>1</v>
      </c>
      <c r="R3355" s="1" t="s">
        <v>122</v>
      </c>
    </row>
    <row r="3356" spans="1:18" x14ac:dyDescent="0.25">
      <c r="A3356">
        <v>2018</v>
      </c>
      <c r="B3356">
        <v>7</v>
      </c>
      <c r="C3356" s="1" t="s">
        <v>30</v>
      </c>
      <c r="D3356" s="1" t="s">
        <v>19</v>
      </c>
      <c r="E3356" s="1" t="s">
        <v>92</v>
      </c>
      <c r="F3356">
        <v>2014</v>
      </c>
      <c r="G3356">
        <v>4</v>
      </c>
      <c r="H3356" s="1" t="s">
        <v>123</v>
      </c>
      <c r="I3356">
        <v>24</v>
      </c>
      <c r="J3356">
        <v>2208</v>
      </c>
      <c r="K3356" s="1" t="s">
        <v>93</v>
      </c>
      <c r="L3356" s="1" t="s">
        <v>45</v>
      </c>
      <c r="M3356">
        <v>0.95699999999999996</v>
      </c>
      <c r="N3356">
        <v>22962.2</v>
      </c>
      <c r="O3356">
        <v>22.962</v>
      </c>
      <c r="P3356" s="2">
        <v>43282</v>
      </c>
      <c r="Q3356">
        <v>1</v>
      </c>
      <c r="R3356" s="1" t="s">
        <v>122</v>
      </c>
    </row>
    <row r="3357" spans="1:18" x14ac:dyDescent="0.25">
      <c r="A3357">
        <v>2018</v>
      </c>
      <c r="B3357">
        <v>8</v>
      </c>
      <c r="C3357" s="1" t="s">
        <v>31</v>
      </c>
      <c r="D3357" s="1" t="s">
        <v>19</v>
      </c>
      <c r="E3357" s="1" t="s">
        <v>92</v>
      </c>
      <c r="F3357">
        <v>2014</v>
      </c>
      <c r="G3357">
        <v>4</v>
      </c>
      <c r="H3357" s="1" t="s">
        <v>123</v>
      </c>
      <c r="I3357">
        <v>24</v>
      </c>
      <c r="J3357">
        <v>2208</v>
      </c>
      <c r="K3357" s="1" t="s">
        <v>93</v>
      </c>
      <c r="L3357" s="1" t="s">
        <v>45</v>
      </c>
      <c r="M3357">
        <v>1.085</v>
      </c>
      <c r="N3357">
        <v>26030.400000000001</v>
      </c>
      <c r="O3357">
        <v>26.03</v>
      </c>
      <c r="P3357" s="2">
        <v>43313</v>
      </c>
      <c r="Q3357">
        <v>1</v>
      </c>
      <c r="R3357" s="1" t="s">
        <v>122</v>
      </c>
    </row>
    <row r="3358" spans="1:18" x14ac:dyDescent="0.25">
      <c r="A3358">
        <v>2018</v>
      </c>
      <c r="B3358">
        <v>9</v>
      </c>
      <c r="C3358" s="1" t="s">
        <v>32</v>
      </c>
      <c r="D3358" s="1" t="s">
        <v>19</v>
      </c>
      <c r="E3358" s="1" t="s">
        <v>92</v>
      </c>
      <c r="F3358">
        <v>2014</v>
      </c>
      <c r="G3358">
        <v>4</v>
      </c>
      <c r="H3358" s="1" t="s">
        <v>123</v>
      </c>
      <c r="I3358">
        <v>24</v>
      </c>
      <c r="J3358">
        <v>2208</v>
      </c>
      <c r="K3358" s="1" t="s">
        <v>93</v>
      </c>
      <c r="L3358" s="1" t="s">
        <v>45</v>
      </c>
      <c r="M3358">
        <v>0.80800000000000005</v>
      </c>
      <c r="N3358">
        <v>19388.2</v>
      </c>
      <c r="O3358">
        <v>19.388000000000002</v>
      </c>
      <c r="P3358" s="2">
        <v>43344</v>
      </c>
      <c r="Q3358">
        <v>1</v>
      </c>
      <c r="R3358" s="1" t="s">
        <v>122</v>
      </c>
    </row>
    <row r="3359" spans="1:18" x14ac:dyDescent="0.25">
      <c r="A3359">
        <v>2018</v>
      </c>
      <c r="B3359">
        <v>10</v>
      </c>
      <c r="C3359" s="1" t="s">
        <v>33</v>
      </c>
      <c r="D3359" s="1" t="s">
        <v>19</v>
      </c>
      <c r="E3359" s="1" t="s">
        <v>92</v>
      </c>
      <c r="F3359">
        <v>2014</v>
      </c>
      <c r="G3359">
        <v>4</v>
      </c>
      <c r="H3359" s="1" t="s">
        <v>123</v>
      </c>
      <c r="I3359">
        <v>24</v>
      </c>
      <c r="J3359">
        <v>2208</v>
      </c>
      <c r="K3359" s="1" t="s">
        <v>93</v>
      </c>
      <c r="L3359" s="1" t="s">
        <v>45</v>
      </c>
      <c r="M3359">
        <v>1.123</v>
      </c>
      <c r="N3359">
        <v>26960.6</v>
      </c>
      <c r="O3359">
        <v>26.960999999999999</v>
      </c>
      <c r="P3359" s="2">
        <v>43374</v>
      </c>
      <c r="Q3359">
        <v>1</v>
      </c>
      <c r="R3359" s="1" t="s">
        <v>122</v>
      </c>
    </row>
    <row r="3360" spans="1:18" x14ac:dyDescent="0.25">
      <c r="A3360">
        <v>2018</v>
      </c>
      <c r="B3360">
        <v>11</v>
      </c>
      <c r="C3360" s="1" t="s">
        <v>34</v>
      </c>
      <c r="D3360" s="1" t="s">
        <v>19</v>
      </c>
      <c r="E3360" s="1" t="s">
        <v>92</v>
      </c>
      <c r="F3360">
        <v>2014</v>
      </c>
      <c r="G3360">
        <v>4</v>
      </c>
      <c r="H3360" s="1" t="s">
        <v>123</v>
      </c>
      <c r="I3360">
        <v>24</v>
      </c>
      <c r="J3360">
        <v>2208</v>
      </c>
      <c r="K3360" s="1" t="s">
        <v>93</v>
      </c>
      <c r="L3360" s="1" t="s">
        <v>45</v>
      </c>
      <c r="M3360">
        <v>0.751</v>
      </c>
      <c r="N3360">
        <v>18017.3</v>
      </c>
      <c r="O3360">
        <v>18.016999999999999</v>
      </c>
      <c r="P3360" s="2">
        <v>43405</v>
      </c>
      <c r="Q3360">
        <v>1</v>
      </c>
      <c r="R3360" s="1" t="s">
        <v>122</v>
      </c>
    </row>
    <row r="3361" spans="1:18" x14ac:dyDescent="0.25">
      <c r="A3361">
        <v>2018</v>
      </c>
      <c r="B3361">
        <v>12</v>
      </c>
      <c r="C3361" s="1" t="s">
        <v>35</v>
      </c>
      <c r="D3361" s="1" t="s">
        <v>19</v>
      </c>
      <c r="E3361" s="1" t="s">
        <v>92</v>
      </c>
      <c r="F3361">
        <v>2014</v>
      </c>
      <c r="G3361">
        <v>4</v>
      </c>
      <c r="H3361" s="1" t="s">
        <v>123</v>
      </c>
      <c r="I3361">
        <v>24</v>
      </c>
      <c r="J3361">
        <v>2208</v>
      </c>
      <c r="K3361" s="1" t="s">
        <v>93</v>
      </c>
      <c r="L3361" s="1" t="s">
        <v>45</v>
      </c>
      <c r="M3361">
        <v>1.103</v>
      </c>
      <c r="N3361">
        <v>26471</v>
      </c>
      <c r="O3361">
        <v>26.471</v>
      </c>
      <c r="P3361" s="2">
        <v>43435</v>
      </c>
      <c r="Q3361">
        <v>1</v>
      </c>
      <c r="R3361" s="1" t="s">
        <v>122</v>
      </c>
    </row>
    <row r="3362" spans="1:18" x14ac:dyDescent="0.25">
      <c r="A3362">
        <v>2018</v>
      </c>
      <c r="B3362">
        <v>1</v>
      </c>
      <c r="C3362" s="1" t="s">
        <v>18</v>
      </c>
      <c r="D3362" s="1" t="s">
        <v>19</v>
      </c>
      <c r="E3362" s="1" t="s">
        <v>94</v>
      </c>
      <c r="F3362">
        <v>2014</v>
      </c>
      <c r="G3362">
        <v>4</v>
      </c>
      <c r="H3362" s="1" t="s">
        <v>123</v>
      </c>
      <c r="I3362">
        <v>20</v>
      </c>
      <c r="J3362">
        <v>1954</v>
      </c>
      <c r="K3362" s="1" t="s">
        <v>95</v>
      </c>
      <c r="L3362" s="1" t="s">
        <v>45</v>
      </c>
      <c r="M3362">
        <v>0.68500000000000005</v>
      </c>
      <c r="N3362">
        <v>13708.8</v>
      </c>
      <c r="O3362">
        <v>13.709</v>
      </c>
      <c r="P3362" s="2">
        <v>43101</v>
      </c>
      <c r="Q3362">
        <v>1</v>
      </c>
      <c r="R3362" s="1" t="s">
        <v>122</v>
      </c>
    </row>
    <row r="3363" spans="1:18" x14ac:dyDescent="0.25">
      <c r="A3363">
        <v>2018</v>
      </c>
      <c r="B3363">
        <v>2</v>
      </c>
      <c r="C3363" s="1" t="s">
        <v>25</v>
      </c>
      <c r="D3363" s="1" t="s">
        <v>19</v>
      </c>
      <c r="E3363" s="1" t="s">
        <v>94</v>
      </c>
      <c r="F3363">
        <v>2014</v>
      </c>
      <c r="G3363">
        <v>4</v>
      </c>
      <c r="H3363" s="1" t="s">
        <v>123</v>
      </c>
      <c r="I3363">
        <v>20</v>
      </c>
      <c r="J3363">
        <v>1954</v>
      </c>
      <c r="K3363" s="1" t="s">
        <v>95</v>
      </c>
      <c r="L3363" s="1" t="s">
        <v>45</v>
      </c>
      <c r="M3363">
        <v>0.64300000000000002</v>
      </c>
      <c r="N3363">
        <v>12865.6</v>
      </c>
      <c r="O3363">
        <v>12.866</v>
      </c>
      <c r="P3363" s="2">
        <v>43132</v>
      </c>
      <c r="Q3363">
        <v>1</v>
      </c>
      <c r="R3363" s="1" t="s">
        <v>122</v>
      </c>
    </row>
    <row r="3364" spans="1:18" x14ac:dyDescent="0.25">
      <c r="A3364">
        <v>2018</v>
      </c>
      <c r="B3364">
        <v>3</v>
      </c>
      <c r="C3364" s="1" t="s">
        <v>26</v>
      </c>
      <c r="D3364" s="1" t="s">
        <v>19</v>
      </c>
      <c r="E3364" s="1" t="s">
        <v>94</v>
      </c>
      <c r="F3364">
        <v>2014</v>
      </c>
      <c r="G3364">
        <v>4</v>
      </c>
      <c r="H3364" s="1" t="s">
        <v>123</v>
      </c>
      <c r="I3364">
        <v>20</v>
      </c>
      <c r="J3364">
        <v>1954</v>
      </c>
      <c r="K3364" s="1" t="s">
        <v>95</v>
      </c>
      <c r="L3364" s="1" t="s">
        <v>45</v>
      </c>
      <c r="M3364">
        <v>0.89600000000000002</v>
      </c>
      <c r="N3364">
        <v>17911.2</v>
      </c>
      <c r="O3364">
        <v>17.911000000000001</v>
      </c>
      <c r="P3364" s="2">
        <v>43160</v>
      </c>
      <c r="Q3364">
        <v>1</v>
      </c>
      <c r="R3364" s="1" t="s">
        <v>122</v>
      </c>
    </row>
    <row r="3365" spans="1:18" x14ac:dyDescent="0.25">
      <c r="A3365">
        <v>2018</v>
      </c>
      <c r="B3365">
        <v>4</v>
      </c>
      <c r="C3365" s="1" t="s">
        <v>27</v>
      </c>
      <c r="D3365" s="1" t="s">
        <v>19</v>
      </c>
      <c r="E3365" s="1" t="s">
        <v>94</v>
      </c>
      <c r="F3365">
        <v>2014</v>
      </c>
      <c r="G3365">
        <v>4</v>
      </c>
      <c r="H3365" s="1" t="s">
        <v>123</v>
      </c>
      <c r="I3365">
        <v>20</v>
      </c>
      <c r="J3365">
        <v>1954</v>
      </c>
      <c r="K3365" s="1" t="s">
        <v>95</v>
      </c>
      <c r="L3365" s="1" t="s">
        <v>45</v>
      </c>
      <c r="M3365">
        <v>0.79400000000000004</v>
      </c>
      <c r="N3365">
        <v>15884.8</v>
      </c>
      <c r="O3365">
        <v>15.885</v>
      </c>
      <c r="P3365" s="2">
        <v>43191</v>
      </c>
      <c r="Q3365">
        <v>1</v>
      </c>
      <c r="R3365" s="1" t="s">
        <v>122</v>
      </c>
    </row>
    <row r="3366" spans="1:18" x14ac:dyDescent="0.25">
      <c r="A3366">
        <v>2018</v>
      </c>
      <c r="B3366">
        <v>5</v>
      </c>
      <c r="C3366" s="1" t="s">
        <v>28</v>
      </c>
      <c r="D3366" s="1" t="s">
        <v>19</v>
      </c>
      <c r="E3366" s="1" t="s">
        <v>94</v>
      </c>
      <c r="F3366">
        <v>2014</v>
      </c>
      <c r="G3366">
        <v>4</v>
      </c>
      <c r="H3366" s="1" t="s">
        <v>123</v>
      </c>
      <c r="I3366">
        <v>20</v>
      </c>
      <c r="J3366">
        <v>1954</v>
      </c>
      <c r="K3366" s="1" t="s">
        <v>95</v>
      </c>
      <c r="L3366" s="1" t="s">
        <v>45</v>
      </c>
      <c r="M3366">
        <v>1.0189999999999999</v>
      </c>
      <c r="N3366">
        <v>20386.400000000001</v>
      </c>
      <c r="O3366">
        <v>20.385999999999999</v>
      </c>
      <c r="P3366" s="2">
        <v>43221</v>
      </c>
      <c r="Q3366">
        <v>1</v>
      </c>
      <c r="R3366" s="1" t="s">
        <v>122</v>
      </c>
    </row>
    <row r="3367" spans="1:18" x14ac:dyDescent="0.25">
      <c r="A3367">
        <v>2018</v>
      </c>
      <c r="B3367">
        <v>6</v>
      </c>
      <c r="C3367" s="1" t="s">
        <v>29</v>
      </c>
      <c r="D3367" s="1" t="s">
        <v>19</v>
      </c>
      <c r="E3367" s="1" t="s">
        <v>94</v>
      </c>
      <c r="F3367">
        <v>2014</v>
      </c>
      <c r="G3367">
        <v>4</v>
      </c>
      <c r="H3367" s="1" t="s">
        <v>123</v>
      </c>
      <c r="I3367">
        <v>20</v>
      </c>
      <c r="J3367">
        <v>1954</v>
      </c>
      <c r="K3367" s="1" t="s">
        <v>95</v>
      </c>
      <c r="L3367" s="1" t="s">
        <v>45</v>
      </c>
      <c r="M3367">
        <v>0.68899999999999995</v>
      </c>
      <c r="N3367">
        <v>13776.8</v>
      </c>
      <c r="O3367">
        <v>13.776999999999999</v>
      </c>
      <c r="P3367" s="2">
        <v>43252</v>
      </c>
      <c r="Q3367">
        <v>1</v>
      </c>
      <c r="R3367" s="1" t="s">
        <v>122</v>
      </c>
    </row>
    <row r="3368" spans="1:18" x14ac:dyDescent="0.25">
      <c r="A3368">
        <v>2018</v>
      </c>
      <c r="B3368">
        <v>7</v>
      </c>
      <c r="C3368" s="1" t="s">
        <v>30</v>
      </c>
      <c r="D3368" s="1" t="s">
        <v>19</v>
      </c>
      <c r="E3368" s="1" t="s">
        <v>94</v>
      </c>
      <c r="F3368">
        <v>2014</v>
      </c>
      <c r="G3368">
        <v>4</v>
      </c>
      <c r="H3368" s="1" t="s">
        <v>123</v>
      </c>
      <c r="I3368">
        <v>20</v>
      </c>
      <c r="J3368">
        <v>1954</v>
      </c>
      <c r="K3368" s="1" t="s">
        <v>95</v>
      </c>
      <c r="L3368" s="1" t="s">
        <v>45</v>
      </c>
      <c r="M3368">
        <v>0.95699999999999996</v>
      </c>
      <c r="N3368">
        <v>19135.2</v>
      </c>
      <c r="O3368">
        <v>19.135000000000002</v>
      </c>
      <c r="P3368" s="2">
        <v>43282</v>
      </c>
      <c r="Q3368">
        <v>1</v>
      </c>
      <c r="R3368" s="1" t="s">
        <v>122</v>
      </c>
    </row>
    <row r="3369" spans="1:18" x14ac:dyDescent="0.25">
      <c r="A3369">
        <v>2018</v>
      </c>
      <c r="B3369">
        <v>8</v>
      </c>
      <c r="C3369" s="1" t="s">
        <v>31</v>
      </c>
      <c r="D3369" s="1" t="s">
        <v>19</v>
      </c>
      <c r="E3369" s="1" t="s">
        <v>94</v>
      </c>
      <c r="F3369">
        <v>2014</v>
      </c>
      <c r="G3369">
        <v>4</v>
      </c>
      <c r="H3369" s="1" t="s">
        <v>123</v>
      </c>
      <c r="I3369">
        <v>20</v>
      </c>
      <c r="J3369">
        <v>1954</v>
      </c>
      <c r="K3369" s="1" t="s">
        <v>95</v>
      </c>
      <c r="L3369" s="1" t="s">
        <v>45</v>
      </c>
      <c r="M3369">
        <v>1.085</v>
      </c>
      <c r="N3369">
        <v>21692</v>
      </c>
      <c r="O3369">
        <v>21.692</v>
      </c>
      <c r="P3369" s="2">
        <v>43313</v>
      </c>
      <c r="Q3369">
        <v>1</v>
      </c>
      <c r="R3369" s="1" t="s">
        <v>122</v>
      </c>
    </row>
    <row r="3370" spans="1:18" x14ac:dyDescent="0.25">
      <c r="A3370">
        <v>2018</v>
      </c>
      <c r="B3370">
        <v>9</v>
      </c>
      <c r="C3370" s="1" t="s">
        <v>32</v>
      </c>
      <c r="D3370" s="1" t="s">
        <v>19</v>
      </c>
      <c r="E3370" s="1" t="s">
        <v>94</v>
      </c>
      <c r="F3370">
        <v>2014</v>
      </c>
      <c r="G3370">
        <v>4</v>
      </c>
      <c r="H3370" s="1" t="s">
        <v>123</v>
      </c>
      <c r="I3370">
        <v>20</v>
      </c>
      <c r="J3370">
        <v>1954</v>
      </c>
      <c r="K3370" s="1" t="s">
        <v>95</v>
      </c>
      <c r="L3370" s="1" t="s">
        <v>45</v>
      </c>
      <c r="M3370">
        <v>0.80800000000000005</v>
      </c>
      <c r="N3370">
        <v>16156.8</v>
      </c>
      <c r="O3370">
        <v>16.157</v>
      </c>
      <c r="P3370" s="2">
        <v>43344</v>
      </c>
      <c r="Q3370">
        <v>1</v>
      </c>
      <c r="R3370" s="1" t="s">
        <v>122</v>
      </c>
    </row>
    <row r="3371" spans="1:18" x14ac:dyDescent="0.25">
      <c r="A3371">
        <v>2018</v>
      </c>
      <c r="B3371">
        <v>10</v>
      </c>
      <c r="C3371" s="1" t="s">
        <v>33</v>
      </c>
      <c r="D3371" s="1" t="s">
        <v>19</v>
      </c>
      <c r="E3371" s="1" t="s">
        <v>94</v>
      </c>
      <c r="F3371">
        <v>2014</v>
      </c>
      <c r="G3371">
        <v>4</v>
      </c>
      <c r="H3371" s="1" t="s">
        <v>123</v>
      </c>
      <c r="I3371">
        <v>20</v>
      </c>
      <c r="J3371">
        <v>1954</v>
      </c>
      <c r="K3371" s="1" t="s">
        <v>95</v>
      </c>
      <c r="L3371" s="1" t="s">
        <v>45</v>
      </c>
      <c r="M3371">
        <v>1.123</v>
      </c>
      <c r="N3371">
        <v>22467.200000000001</v>
      </c>
      <c r="O3371">
        <v>22.466999999999999</v>
      </c>
      <c r="P3371" s="2">
        <v>43374</v>
      </c>
      <c r="Q3371">
        <v>1</v>
      </c>
      <c r="R3371" s="1" t="s">
        <v>122</v>
      </c>
    </row>
    <row r="3372" spans="1:18" x14ac:dyDescent="0.25">
      <c r="A3372">
        <v>2018</v>
      </c>
      <c r="B3372">
        <v>11</v>
      </c>
      <c r="C3372" s="1" t="s">
        <v>34</v>
      </c>
      <c r="D3372" s="1" t="s">
        <v>19</v>
      </c>
      <c r="E3372" s="1" t="s">
        <v>94</v>
      </c>
      <c r="F3372">
        <v>2014</v>
      </c>
      <c r="G3372">
        <v>4</v>
      </c>
      <c r="H3372" s="1" t="s">
        <v>123</v>
      </c>
      <c r="I3372">
        <v>20</v>
      </c>
      <c r="J3372">
        <v>1954</v>
      </c>
      <c r="K3372" s="1" t="s">
        <v>95</v>
      </c>
      <c r="L3372" s="1" t="s">
        <v>45</v>
      </c>
      <c r="M3372">
        <v>0.751</v>
      </c>
      <c r="N3372">
        <v>15014.4</v>
      </c>
      <c r="O3372">
        <v>15.013999999999999</v>
      </c>
      <c r="P3372" s="2">
        <v>43405</v>
      </c>
      <c r="Q3372">
        <v>1</v>
      </c>
      <c r="R3372" s="1" t="s">
        <v>122</v>
      </c>
    </row>
    <row r="3373" spans="1:18" x14ac:dyDescent="0.25">
      <c r="A3373">
        <v>2018</v>
      </c>
      <c r="B3373">
        <v>12</v>
      </c>
      <c r="C3373" s="1" t="s">
        <v>35</v>
      </c>
      <c r="D3373" s="1" t="s">
        <v>19</v>
      </c>
      <c r="E3373" s="1" t="s">
        <v>94</v>
      </c>
      <c r="F3373">
        <v>2014</v>
      </c>
      <c r="G3373">
        <v>4</v>
      </c>
      <c r="H3373" s="1" t="s">
        <v>123</v>
      </c>
      <c r="I3373">
        <v>20</v>
      </c>
      <c r="J3373">
        <v>1954</v>
      </c>
      <c r="K3373" s="1" t="s">
        <v>95</v>
      </c>
      <c r="L3373" s="1" t="s">
        <v>45</v>
      </c>
      <c r="M3373">
        <v>1.103</v>
      </c>
      <c r="N3373">
        <v>22059.200000000001</v>
      </c>
      <c r="O3373">
        <v>22.059000000000001</v>
      </c>
      <c r="P3373" s="2">
        <v>43435</v>
      </c>
      <c r="Q3373">
        <v>1</v>
      </c>
      <c r="R3373" s="1" t="s">
        <v>122</v>
      </c>
    </row>
    <row r="3374" spans="1:18" x14ac:dyDescent="0.25">
      <c r="A3374">
        <v>2018</v>
      </c>
      <c r="B3374">
        <v>1</v>
      </c>
      <c r="C3374" s="1" t="s">
        <v>18</v>
      </c>
      <c r="D3374" s="1" t="s">
        <v>19</v>
      </c>
      <c r="E3374" s="1" t="s">
        <v>96</v>
      </c>
      <c r="F3374">
        <v>2014</v>
      </c>
      <c r="G3374">
        <v>4</v>
      </c>
      <c r="H3374" s="1" t="s">
        <v>123</v>
      </c>
      <c r="I3374">
        <v>24</v>
      </c>
      <c r="J3374">
        <v>1329</v>
      </c>
      <c r="K3374" s="1" t="s">
        <v>97</v>
      </c>
      <c r="L3374" s="1" t="s">
        <v>45</v>
      </c>
      <c r="M3374">
        <v>0.68500000000000005</v>
      </c>
      <c r="N3374">
        <v>16450.599999999999</v>
      </c>
      <c r="O3374">
        <v>16.451000000000001</v>
      </c>
      <c r="P3374" s="2">
        <v>43101</v>
      </c>
      <c r="Q3374">
        <v>1</v>
      </c>
      <c r="R3374" s="1" t="s">
        <v>122</v>
      </c>
    </row>
    <row r="3375" spans="1:18" x14ac:dyDescent="0.25">
      <c r="A3375">
        <v>2018</v>
      </c>
      <c r="B3375">
        <v>2</v>
      </c>
      <c r="C3375" s="1" t="s">
        <v>25</v>
      </c>
      <c r="D3375" s="1" t="s">
        <v>19</v>
      </c>
      <c r="E3375" s="1" t="s">
        <v>96</v>
      </c>
      <c r="F3375">
        <v>2014</v>
      </c>
      <c r="G3375">
        <v>4</v>
      </c>
      <c r="H3375" s="1" t="s">
        <v>123</v>
      </c>
      <c r="I3375">
        <v>24</v>
      </c>
      <c r="J3375">
        <v>1329</v>
      </c>
      <c r="K3375" s="1" t="s">
        <v>97</v>
      </c>
      <c r="L3375" s="1" t="s">
        <v>45</v>
      </c>
      <c r="M3375">
        <v>0.64300000000000002</v>
      </c>
      <c r="N3375">
        <v>15438.7</v>
      </c>
      <c r="O3375">
        <v>15.439</v>
      </c>
      <c r="P3375" s="2">
        <v>43132</v>
      </c>
      <c r="Q3375">
        <v>1</v>
      </c>
      <c r="R3375" s="1" t="s">
        <v>122</v>
      </c>
    </row>
    <row r="3376" spans="1:18" x14ac:dyDescent="0.25">
      <c r="A3376">
        <v>2018</v>
      </c>
      <c r="B3376">
        <v>3</v>
      </c>
      <c r="C3376" s="1" t="s">
        <v>26</v>
      </c>
      <c r="D3376" s="1" t="s">
        <v>19</v>
      </c>
      <c r="E3376" s="1" t="s">
        <v>96</v>
      </c>
      <c r="F3376">
        <v>2014</v>
      </c>
      <c r="G3376">
        <v>4</v>
      </c>
      <c r="H3376" s="1" t="s">
        <v>123</v>
      </c>
      <c r="I3376">
        <v>24</v>
      </c>
      <c r="J3376">
        <v>1329</v>
      </c>
      <c r="K3376" s="1" t="s">
        <v>97</v>
      </c>
      <c r="L3376" s="1" t="s">
        <v>45</v>
      </c>
      <c r="M3376">
        <v>0.89600000000000002</v>
      </c>
      <c r="N3376">
        <v>21493.4</v>
      </c>
      <c r="O3376">
        <v>21.492999999999999</v>
      </c>
      <c r="P3376" s="2">
        <v>43160</v>
      </c>
      <c r="Q3376">
        <v>1</v>
      </c>
      <c r="R3376" s="1" t="s">
        <v>122</v>
      </c>
    </row>
    <row r="3377" spans="1:18" x14ac:dyDescent="0.25">
      <c r="A3377">
        <v>2018</v>
      </c>
      <c r="B3377">
        <v>4</v>
      </c>
      <c r="C3377" s="1" t="s">
        <v>27</v>
      </c>
      <c r="D3377" s="1" t="s">
        <v>19</v>
      </c>
      <c r="E3377" s="1" t="s">
        <v>96</v>
      </c>
      <c r="F3377">
        <v>2014</v>
      </c>
      <c r="G3377">
        <v>4</v>
      </c>
      <c r="H3377" s="1" t="s">
        <v>123</v>
      </c>
      <c r="I3377">
        <v>24</v>
      </c>
      <c r="J3377">
        <v>1329</v>
      </c>
      <c r="K3377" s="1" t="s">
        <v>97</v>
      </c>
      <c r="L3377" s="1" t="s">
        <v>45</v>
      </c>
      <c r="M3377">
        <v>0.79400000000000004</v>
      </c>
      <c r="N3377">
        <v>19061.8</v>
      </c>
      <c r="O3377">
        <v>19.062000000000001</v>
      </c>
      <c r="P3377" s="2">
        <v>43191</v>
      </c>
      <c r="Q3377">
        <v>1</v>
      </c>
      <c r="R3377" s="1" t="s">
        <v>122</v>
      </c>
    </row>
    <row r="3378" spans="1:18" x14ac:dyDescent="0.25">
      <c r="A3378">
        <v>2018</v>
      </c>
      <c r="B3378">
        <v>5</v>
      </c>
      <c r="C3378" s="1" t="s">
        <v>28</v>
      </c>
      <c r="D3378" s="1" t="s">
        <v>19</v>
      </c>
      <c r="E3378" s="1" t="s">
        <v>96</v>
      </c>
      <c r="F3378">
        <v>2014</v>
      </c>
      <c r="G3378">
        <v>4</v>
      </c>
      <c r="H3378" s="1" t="s">
        <v>123</v>
      </c>
      <c r="I3378">
        <v>24</v>
      </c>
      <c r="J3378">
        <v>1329</v>
      </c>
      <c r="K3378" s="1" t="s">
        <v>97</v>
      </c>
      <c r="L3378" s="1" t="s">
        <v>45</v>
      </c>
      <c r="M3378">
        <v>1.0189999999999999</v>
      </c>
      <c r="N3378">
        <v>24463.7</v>
      </c>
      <c r="O3378">
        <v>24.463999999999999</v>
      </c>
      <c r="P3378" s="2">
        <v>43221</v>
      </c>
      <c r="Q3378">
        <v>1</v>
      </c>
      <c r="R3378" s="1" t="s">
        <v>122</v>
      </c>
    </row>
    <row r="3379" spans="1:18" x14ac:dyDescent="0.25">
      <c r="A3379">
        <v>2018</v>
      </c>
      <c r="B3379">
        <v>6</v>
      </c>
      <c r="C3379" s="1" t="s">
        <v>29</v>
      </c>
      <c r="D3379" s="1" t="s">
        <v>19</v>
      </c>
      <c r="E3379" s="1" t="s">
        <v>96</v>
      </c>
      <c r="F3379">
        <v>2014</v>
      </c>
      <c r="G3379">
        <v>4</v>
      </c>
      <c r="H3379" s="1" t="s">
        <v>123</v>
      </c>
      <c r="I3379">
        <v>24</v>
      </c>
      <c r="J3379">
        <v>1329</v>
      </c>
      <c r="K3379" s="1" t="s">
        <v>97</v>
      </c>
      <c r="L3379" s="1" t="s">
        <v>45</v>
      </c>
      <c r="M3379">
        <v>0.68899999999999995</v>
      </c>
      <c r="N3379">
        <v>16532.2</v>
      </c>
      <c r="O3379">
        <v>16.532</v>
      </c>
      <c r="P3379" s="2">
        <v>43252</v>
      </c>
      <c r="Q3379">
        <v>1</v>
      </c>
      <c r="R3379" s="1" t="s">
        <v>122</v>
      </c>
    </row>
    <row r="3380" spans="1:18" x14ac:dyDescent="0.25">
      <c r="A3380">
        <v>2018</v>
      </c>
      <c r="B3380">
        <v>7</v>
      </c>
      <c r="C3380" s="1" t="s">
        <v>30</v>
      </c>
      <c r="D3380" s="1" t="s">
        <v>19</v>
      </c>
      <c r="E3380" s="1" t="s">
        <v>96</v>
      </c>
      <c r="F3380">
        <v>2014</v>
      </c>
      <c r="G3380">
        <v>4</v>
      </c>
      <c r="H3380" s="1" t="s">
        <v>123</v>
      </c>
      <c r="I3380">
        <v>24</v>
      </c>
      <c r="J3380">
        <v>1329</v>
      </c>
      <c r="K3380" s="1" t="s">
        <v>97</v>
      </c>
      <c r="L3380" s="1" t="s">
        <v>45</v>
      </c>
      <c r="M3380">
        <v>0.95699999999999996</v>
      </c>
      <c r="N3380">
        <v>22962.2</v>
      </c>
      <c r="O3380">
        <v>22.962</v>
      </c>
      <c r="P3380" s="2">
        <v>43282</v>
      </c>
      <c r="Q3380">
        <v>1</v>
      </c>
      <c r="R3380" s="1" t="s">
        <v>122</v>
      </c>
    </row>
    <row r="3381" spans="1:18" x14ac:dyDescent="0.25">
      <c r="A3381">
        <v>2018</v>
      </c>
      <c r="B3381">
        <v>8</v>
      </c>
      <c r="C3381" s="1" t="s">
        <v>31</v>
      </c>
      <c r="D3381" s="1" t="s">
        <v>19</v>
      </c>
      <c r="E3381" s="1" t="s">
        <v>96</v>
      </c>
      <c r="F3381">
        <v>2014</v>
      </c>
      <c r="G3381">
        <v>4</v>
      </c>
      <c r="H3381" s="1" t="s">
        <v>123</v>
      </c>
      <c r="I3381">
        <v>24</v>
      </c>
      <c r="J3381">
        <v>1329</v>
      </c>
      <c r="K3381" s="1" t="s">
        <v>97</v>
      </c>
      <c r="L3381" s="1" t="s">
        <v>45</v>
      </c>
      <c r="M3381">
        <v>1.085</v>
      </c>
      <c r="N3381">
        <v>26030.400000000001</v>
      </c>
      <c r="O3381">
        <v>26.03</v>
      </c>
      <c r="P3381" s="2">
        <v>43313</v>
      </c>
      <c r="Q3381">
        <v>1</v>
      </c>
      <c r="R3381" s="1" t="s">
        <v>122</v>
      </c>
    </row>
    <row r="3382" spans="1:18" x14ac:dyDescent="0.25">
      <c r="A3382">
        <v>2018</v>
      </c>
      <c r="B3382">
        <v>9</v>
      </c>
      <c r="C3382" s="1" t="s">
        <v>32</v>
      </c>
      <c r="D3382" s="1" t="s">
        <v>19</v>
      </c>
      <c r="E3382" s="1" t="s">
        <v>96</v>
      </c>
      <c r="F3382">
        <v>2014</v>
      </c>
      <c r="G3382">
        <v>4</v>
      </c>
      <c r="H3382" s="1" t="s">
        <v>123</v>
      </c>
      <c r="I3382">
        <v>24</v>
      </c>
      <c r="J3382">
        <v>1329</v>
      </c>
      <c r="K3382" s="1" t="s">
        <v>97</v>
      </c>
      <c r="L3382" s="1" t="s">
        <v>45</v>
      </c>
      <c r="M3382">
        <v>0.80800000000000005</v>
      </c>
      <c r="N3382">
        <v>19388.2</v>
      </c>
      <c r="O3382">
        <v>19.388000000000002</v>
      </c>
      <c r="P3382" s="2">
        <v>43344</v>
      </c>
      <c r="Q3382">
        <v>1</v>
      </c>
      <c r="R3382" s="1" t="s">
        <v>122</v>
      </c>
    </row>
    <row r="3383" spans="1:18" x14ac:dyDescent="0.25">
      <c r="A3383">
        <v>2018</v>
      </c>
      <c r="B3383">
        <v>10</v>
      </c>
      <c r="C3383" s="1" t="s">
        <v>33</v>
      </c>
      <c r="D3383" s="1" t="s">
        <v>19</v>
      </c>
      <c r="E3383" s="1" t="s">
        <v>96</v>
      </c>
      <c r="F3383">
        <v>2014</v>
      </c>
      <c r="G3383">
        <v>4</v>
      </c>
      <c r="H3383" s="1" t="s">
        <v>123</v>
      </c>
      <c r="I3383">
        <v>24</v>
      </c>
      <c r="J3383">
        <v>1329</v>
      </c>
      <c r="K3383" s="1" t="s">
        <v>97</v>
      </c>
      <c r="L3383" s="1" t="s">
        <v>45</v>
      </c>
      <c r="M3383">
        <v>1.123</v>
      </c>
      <c r="N3383">
        <v>26960.6</v>
      </c>
      <c r="O3383">
        <v>26.960999999999999</v>
      </c>
      <c r="P3383" s="2">
        <v>43374</v>
      </c>
      <c r="Q3383">
        <v>1</v>
      </c>
      <c r="R3383" s="1" t="s">
        <v>122</v>
      </c>
    </row>
    <row r="3384" spans="1:18" x14ac:dyDescent="0.25">
      <c r="A3384">
        <v>2018</v>
      </c>
      <c r="B3384">
        <v>11</v>
      </c>
      <c r="C3384" s="1" t="s">
        <v>34</v>
      </c>
      <c r="D3384" s="1" t="s">
        <v>19</v>
      </c>
      <c r="E3384" s="1" t="s">
        <v>96</v>
      </c>
      <c r="F3384">
        <v>2014</v>
      </c>
      <c r="G3384">
        <v>4</v>
      </c>
      <c r="H3384" s="1" t="s">
        <v>123</v>
      </c>
      <c r="I3384">
        <v>24</v>
      </c>
      <c r="J3384">
        <v>1329</v>
      </c>
      <c r="K3384" s="1" t="s">
        <v>97</v>
      </c>
      <c r="L3384" s="1" t="s">
        <v>45</v>
      </c>
      <c r="M3384">
        <v>0.751</v>
      </c>
      <c r="N3384">
        <v>18017.3</v>
      </c>
      <c r="O3384">
        <v>18.016999999999999</v>
      </c>
      <c r="P3384" s="2">
        <v>43405</v>
      </c>
      <c r="Q3384">
        <v>1</v>
      </c>
      <c r="R3384" s="1" t="s">
        <v>122</v>
      </c>
    </row>
    <row r="3385" spans="1:18" x14ac:dyDescent="0.25">
      <c r="A3385">
        <v>2018</v>
      </c>
      <c r="B3385">
        <v>12</v>
      </c>
      <c r="C3385" s="1" t="s">
        <v>35</v>
      </c>
      <c r="D3385" s="1" t="s">
        <v>19</v>
      </c>
      <c r="E3385" s="1" t="s">
        <v>96</v>
      </c>
      <c r="F3385">
        <v>2014</v>
      </c>
      <c r="G3385">
        <v>4</v>
      </c>
      <c r="H3385" s="1" t="s">
        <v>123</v>
      </c>
      <c r="I3385">
        <v>24</v>
      </c>
      <c r="J3385">
        <v>1329</v>
      </c>
      <c r="K3385" s="1" t="s">
        <v>97</v>
      </c>
      <c r="L3385" s="1" t="s">
        <v>45</v>
      </c>
      <c r="M3385">
        <v>1.103</v>
      </c>
      <c r="N3385">
        <v>26471</v>
      </c>
      <c r="O3385">
        <v>26.471</v>
      </c>
      <c r="P3385" s="2">
        <v>43435</v>
      </c>
      <c r="Q3385">
        <v>1</v>
      </c>
      <c r="R3385" s="1" t="s">
        <v>122</v>
      </c>
    </row>
    <row r="3386" spans="1:18" x14ac:dyDescent="0.25">
      <c r="A3386">
        <v>2018</v>
      </c>
      <c r="B3386">
        <v>1</v>
      </c>
      <c r="C3386" s="1" t="s">
        <v>18</v>
      </c>
      <c r="D3386" s="1" t="s">
        <v>19</v>
      </c>
      <c r="E3386" s="1" t="s">
        <v>98</v>
      </c>
      <c r="F3386">
        <v>2014</v>
      </c>
      <c r="G3386">
        <v>4</v>
      </c>
      <c r="H3386" s="1" t="s">
        <v>123</v>
      </c>
      <c r="I3386">
        <v>24</v>
      </c>
      <c r="J3386">
        <v>1573</v>
      </c>
      <c r="K3386" s="1" t="s">
        <v>99</v>
      </c>
      <c r="L3386" s="1" t="s">
        <v>45</v>
      </c>
      <c r="M3386">
        <v>0.68500000000000005</v>
      </c>
      <c r="N3386">
        <v>16450.599999999999</v>
      </c>
      <c r="O3386">
        <v>16.451000000000001</v>
      </c>
      <c r="P3386" s="2">
        <v>43101</v>
      </c>
      <c r="Q3386">
        <v>1</v>
      </c>
      <c r="R3386" s="1" t="s">
        <v>122</v>
      </c>
    </row>
    <row r="3387" spans="1:18" x14ac:dyDescent="0.25">
      <c r="A3387">
        <v>2018</v>
      </c>
      <c r="B3387">
        <v>2</v>
      </c>
      <c r="C3387" s="1" t="s">
        <v>25</v>
      </c>
      <c r="D3387" s="1" t="s">
        <v>19</v>
      </c>
      <c r="E3387" s="1" t="s">
        <v>98</v>
      </c>
      <c r="F3387">
        <v>2014</v>
      </c>
      <c r="G3387">
        <v>4</v>
      </c>
      <c r="H3387" s="1" t="s">
        <v>123</v>
      </c>
      <c r="I3387">
        <v>24</v>
      </c>
      <c r="J3387">
        <v>1573</v>
      </c>
      <c r="K3387" s="1" t="s">
        <v>99</v>
      </c>
      <c r="L3387" s="1" t="s">
        <v>45</v>
      </c>
      <c r="M3387">
        <v>0.64300000000000002</v>
      </c>
      <c r="N3387">
        <v>15438.7</v>
      </c>
      <c r="O3387">
        <v>15.439</v>
      </c>
      <c r="P3387" s="2">
        <v>43132</v>
      </c>
      <c r="Q3387">
        <v>1</v>
      </c>
      <c r="R3387" s="1" t="s">
        <v>122</v>
      </c>
    </row>
    <row r="3388" spans="1:18" x14ac:dyDescent="0.25">
      <c r="A3388">
        <v>2018</v>
      </c>
      <c r="B3388">
        <v>3</v>
      </c>
      <c r="C3388" s="1" t="s">
        <v>26</v>
      </c>
      <c r="D3388" s="1" t="s">
        <v>19</v>
      </c>
      <c r="E3388" s="1" t="s">
        <v>98</v>
      </c>
      <c r="F3388">
        <v>2014</v>
      </c>
      <c r="G3388">
        <v>4</v>
      </c>
      <c r="H3388" s="1" t="s">
        <v>123</v>
      </c>
      <c r="I3388">
        <v>24</v>
      </c>
      <c r="J3388">
        <v>1573</v>
      </c>
      <c r="K3388" s="1" t="s">
        <v>99</v>
      </c>
      <c r="L3388" s="1" t="s">
        <v>45</v>
      </c>
      <c r="M3388">
        <v>0.89600000000000002</v>
      </c>
      <c r="N3388">
        <v>21493.4</v>
      </c>
      <c r="O3388">
        <v>21.492999999999999</v>
      </c>
      <c r="P3388" s="2">
        <v>43160</v>
      </c>
      <c r="Q3388">
        <v>1</v>
      </c>
      <c r="R3388" s="1" t="s">
        <v>122</v>
      </c>
    </row>
    <row r="3389" spans="1:18" x14ac:dyDescent="0.25">
      <c r="A3389">
        <v>2018</v>
      </c>
      <c r="B3389">
        <v>4</v>
      </c>
      <c r="C3389" s="1" t="s">
        <v>27</v>
      </c>
      <c r="D3389" s="1" t="s">
        <v>19</v>
      </c>
      <c r="E3389" s="1" t="s">
        <v>98</v>
      </c>
      <c r="F3389">
        <v>2014</v>
      </c>
      <c r="G3389">
        <v>4</v>
      </c>
      <c r="H3389" s="1" t="s">
        <v>123</v>
      </c>
      <c r="I3389">
        <v>24</v>
      </c>
      <c r="J3389">
        <v>1573</v>
      </c>
      <c r="K3389" s="1" t="s">
        <v>99</v>
      </c>
      <c r="L3389" s="1" t="s">
        <v>45</v>
      </c>
      <c r="M3389">
        <v>0.79400000000000004</v>
      </c>
      <c r="N3389">
        <v>19061.8</v>
      </c>
      <c r="O3389">
        <v>19.062000000000001</v>
      </c>
      <c r="P3389" s="2">
        <v>43191</v>
      </c>
      <c r="Q3389">
        <v>1</v>
      </c>
      <c r="R3389" s="1" t="s">
        <v>122</v>
      </c>
    </row>
    <row r="3390" spans="1:18" x14ac:dyDescent="0.25">
      <c r="A3390">
        <v>2018</v>
      </c>
      <c r="B3390">
        <v>5</v>
      </c>
      <c r="C3390" s="1" t="s">
        <v>28</v>
      </c>
      <c r="D3390" s="1" t="s">
        <v>19</v>
      </c>
      <c r="E3390" s="1" t="s">
        <v>98</v>
      </c>
      <c r="F3390">
        <v>2014</v>
      </c>
      <c r="G3390">
        <v>4</v>
      </c>
      <c r="H3390" s="1" t="s">
        <v>123</v>
      </c>
      <c r="I3390">
        <v>24</v>
      </c>
      <c r="J3390">
        <v>1573</v>
      </c>
      <c r="K3390" s="1" t="s">
        <v>99</v>
      </c>
      <c r="L3390" s="1" t="s">
        <v>45</v>
      </c>
      <c r="M3390">
        <v>1.0189999999999999</v>
      </c>
      <c r="N3390">
        <v>24463.7</v>
      </c>
      <c r="O3390">
        <v>24.463999999999999</v>
      </c>
      <c r="P3390" s="2">
        <v>43221</v>
      </c>
      <c r="Q3390">
        <v>1</v>
      </c>
      <c r="R3390" s="1" t="s">
        <v>122</v>
      </c>
    </row>
    <row r="3391" spans="1:18" x14ac:dyDescent="0.25">
      <c r="A3391">
        <v>2018</v>
      </c>
      <c r="B3391">
        <v>6</v>
      </c>
      <c r="C3391" s="1" t="s">
        <v>29</v>
      </c>
      <c r="D3391" s="1" t="s">
        <v>19</v>
      </c>
      <c r="E3391" s="1" t="s">
        <v>98</v>
      </c>
      <c r="F3391">
        <v>2014</v>
      </c>
      <c r="G3391">
        <v>4</v>
      </c>
      <c r="H3391" s="1" t="s">
        <v>123</v>
      </c>
      <c r="I3391">
        <v>24</v>
      </c>
      <c r="J3391">
        <v>1573</v>
      </c>
      <c r="K3391" s="1" t="s">
        <v>99</v>
      </c>
      <c r="L3391" s="1" t="s">
        <v>45</v>
      </c>
      <c r="M3391">
        <v>0.68899999999999995</v>
      </c>
      <c r="N3391">
        <v>16532.2</v>
      </c>
      <c r="O3391">
        <v>16.532</v>
      </c>
      <c r="P3391" s="2">
        <v>43252</v>
      </c>
      <c r="Q3391">
        <v>1</v>
      </c>
      <c r="R3391" s="1" t="s">
        <v>122</v>
      </c>
    </row>
    <row r="3392" spans="1:18" x14ac:dyDescent="0.25">
      <c r="A3392">
        <v>2018</v>
      </c>
      <c r="B3392">
        <v>7</v>
      </c>
      <c r="C3392" s="1" t="s">
        <v>30</v>
      </c>
      <c r="D3392" s="1" t="s">
        <v>19</v>
      </c>
      <c r="E3392" s="1" t="s">
        <v>98</v>
      </c>
      <c r="F3392">
        <v>2014</v>
      </c>
      <c r="G3392">
        <v>4</v>
      </c>
      <c r="H3392" s="1" t="s">
        <v>123</v>
      </c>
      <c r="I3392">
        <v>24</v>
      </c>
      <c r="J3392">
        <v>1573</v>
      </c>
      <c r="K3392" s="1" t="s">
        <v>99</v>
      </c>
      <c r="L3392" s="1" t="s">
        <v>45</v>
      </c>
      <c r="M3392">
        <v>0.95699999999999996</v>
      </c>
      <c r="N3392">
        <v>22962.2</v>
      </c>
      <c r="O3392">
        <v>22.962</v>
      </c>
      <c r="P3392" s="2">
        <v>43282</v>
      </c>
      <c r="Q3392">
        <v>1</v>
      </c>
      <c r="R3392" s="1" t="s">
        <v>122</v>
      </c>
    </row>
    <row r="3393" spans="1:18" x14ac:dyDescent="0.25">
      <c r="A3393">
        <v>2018</v>
      </c>
      <c r="B3393">
        <v>8</v>
      </c>
      <c r="C3393" s="1" t="s">
        <v>31</v>
      </c>
      <c r="D3393" s="1" t="s">
        <v>19</v>
      </c>
      <c r="E3393" s="1" t="s">
        <v>98</v>
      </c>
      <c r="F3393">
        <v>2014</v>
      </c>
      <c r="G3393">
        <v>4</v>
      </c>
      <c r="H3393" s="1" t="s">
        <v>123</v>
      </c>
      <c r="I3393">
        <v>24</v>
      </c>
      <c r="J3393">
        <v>1573</v>
      </c>
      <c r="K3393" s="1" t="s">
        <v>99</v>
      </c>
      <c r="L3393" s="1" t="s">
        <v>45</v>
      </c>
      <c r="M3393">
        <v>1.085</v>
      </c>
      <c r="N3393">
        <v>26030.400000000001</v>
      </c>
      <c r="O3393">
        <v>26.03</v>
      </c>
      <c r="P3393" s="2">
        <v>43313</v>
      </c>
      <c r="Q3393">
        <v>1</v>
      </c>
      <c r="R3393" s="1" t="s">
        <v>122</v>
      </c>
    </row>
    <row r="3394" spans="1:18" x14ac:dyDescent="0.25">
      <c r="A3394">
        <v>2018</v>
      </c>
      <c r="B3394">
        <v>9</v>
      </c>
      <c r="C3394" s="1" t="s">
        <v>32</v>
      </c>
      <c r="D3394" s="1" t="s">
        <v>19</v>
      </c>
      <c r="E3394" s="1" t="s">
        <v>98</v>
      </c>
      <c r="F3394">
        <v>2014</v>
      </c>
      <c r="G3394">
        <v>4</v>
      </c>
      <c r="H3394" s="1" t="s">
        <v>123</v>
      </c>
      <c r="I3394">
        <v>24</v>
      </c>
      <c r="J3394">
        <v>1573</v>
      </c>
      <c r="K3394" s="1" t="s">
        <v>99</v>
      </c>
      <c r="L3394" s="1" t="s">
        <v>45</v>
      </c>
      <c r="M3394">
        <v>0.80800000000000005</v>
      </c>
      <c r="N3394">
        <v>19388.2</v>
      </c>
      <c r="O3394">
        <v>19.388000000000002</v>
      </c>
      <c r="P3394" s="2">
        <v>43344</v>
      </c>
      <c r="Q3394">
        <v>1</v>
      </c>
      <c r="R3394" s="1" t="s">
        <v>122</v>
      </c>
    </row>
    <row r="3395" spans="1:18" x14ac:dyDescent="0.25">
      <c r="A3395">
        <v>2018</v>
      </c>
      <c r="B3395">
        <v>10</v>
      </c>
      <c r="C3395" s="1" t="s">
        <v>33</v>
      </c>
      <c r="D3395" s="1" t="s">
        <v>19</v>
      </c>
      <c r="E3395" s="1" t="s">
        <v>98</v>
      </c>
      <c r="F3395">
        <v>2014</v>
      </c>
      <c r="G3395">
        <v>4</v>
      </c>
      <c r="H3395" s="1" t="s">
        <v>123</v>
      </c>
      <c r="I3395">
        <v>24</v>
      </c>
      <c r="J3395">
        <v>1573</v>
      </c>
      <c r="K3395" s="1" t="s">
        <v>99</v>
      </c>
      <c r="L3395" s="1" t="s">
        <v>45</v>
      </c>
      <c r="M3395">
        <v>1.123</v>
      </c>
      <c r="N3395">
        <v>26960.6</v>
      </c>
      <c r="O3395">
        <v>26.960999999999999</v>
      </c>
      <c r="P3395" s="2">
        <v>43374</v>
      </c>
      <c r="Q3395">
        <v>1</v>
      </c>
      <c r="R3395" s="1" t="s">
        <v>122</v>
      </c>
    </row>
    <row r="3396" spans="1:18" x14ac:dyDescent="0.25">
      <c r="A3396">
        <v>2018</v>
      </c>
      <c r="B3396">
        <v>11</v>
      </c>
      <c r="C3396" s="1" t="s">
        <v>34</v>
      </c>
      <c r="D3396" s="1" t="s">
        <v>19</v>
      </c>
      <c r="E3396" s="1" t="s">
        <v>98</v>
      </c>
      <c r="F3396">
        <v>2014</v>
      </c>
      <c r="G3396">
        <v>4</v>
      </c>
      <c r="H3396" s="1" t="s">
        <v>123</v>
      </c>
      <c r="I3396">
        <v>24</v>
      </c>
      <c r="J3396">
        <v>1573</v>
      </c>
      <c r="K3396" s="1" t="s">
        <v>99</v>
      </c>
      <c r="L3396" s="1" t="s">
        <v>45</v>
      </c>
      <c r="M3396">
        <v>0.751</v>
      </c>
      <c r="N3396">
        <v>18017.3</v>
      </c>
      <c r="O3396">
        <v>18.016999999999999</v>
      </c>
      <c r="P3396" s="2">
        <v>43405</v>
      </c>
      <c r="Q3396">
        <v>1</v>
      </c>
      <c r="R3396" s="1" t="s">
        <v>122</v>
      </c>
    </row>
    <row r="3397" spans="1:18" x14ac:dyDescent="0.25">
      <c r="A3397">
        <v>2018</v>
      </c>
      <c r="B3397">
        <v>12</v>
      </c>
      <c r="C3397" s="1" t="s">
        <v>35</v>
      </c>
      <c r="D3397" s="1" t="s">
        <v>19</v>
      </c>
      <c r="E3397" s="1" t="s">
        <v>98</v>
      </c>
      <c r="F3397">
        <v>2014</v>
      </c>
      <c r="G3397">
        <v>4</v>
      </c>
      <c r="H3397" s="1" t="s">
        <v>123</v>
      </c>
      <c r="I3397">
        <v>24</v>
      </c>
      <c r="J3397">
        <v>1573</v>
      </c>
      <c r="K3397" s="1" t="s">
        <v>99</v>
      </c>
      <c r="L3397" s="1" t="s">
        <v>45</v>
      </c>
      <c r="M3397">
        <v>1.103</v>
      </c>
      <c r="N3397">
        <v>26471</v>
      </c>
      <c r="O3397">
        <v>26.471</v>
      </c>
      <c r="P3397" s="2">
        <v>43435</v>
      </c>
      <c r="Q3397">
        <v>1</v>
      </c>
      <c r="R3397" s="1" t="s">
        <v>122</v>
      </c>
    </row>
    <row r="3398" spans="1:18" x14ac:dyDescent="0.25">
      <c r="A3398">
        <v>2018</v>
      </c>
      <c r="B3398">
        <v>1</v>
      </c>
      <c r="C3398" s="1" t="s">
        <v>18</v>
      </c>
      <c r="D3398" s="1" t="s">
        <v>19</v>
      </c>
      <c r="E3398" s="1" t="s">
        <v>100</v>
      </c>
      <c r="F3398">
        <v>2016</v>
      </c>
      <c r="G3398">
        <v>2</v>
      </c>
      <c r="H3398" s="1" t="s">
        <v>59</v>
      </c>
      <c r="I3398">
        <v>22</v>
      </c>
      <c r="J3398">
        <v>3137</v>
      </c>
      <c r="K3398" s="1" t="s">
        <v>101</v>
      </c>
      <c r="L3398" s="1" t="s">
        <v>23</v>
      </c>
      <c r="M3398">
        <v>0</v>
      </c>
      <c r="N3398">
        <v>0</v>
      </c>
      <c r="O3398">
        <v>0</v>
      </c>
      <c r="P3398" s="2">
        <v>43101</v>
      </c>
      <c r="Q3398">
        <v>0</v>
      </c>
      <c r="R3398" s="1" t="s">
        <v>61</v>
      </c>
    </row>
    <row r="3399" spans="1:18" x14ac:dyDescent="0.25">
      <c r="A3399">
        <v>2018</v>
      </c>
      <c r="B3399">
        <v>2</v>
      </c>
      <c r="C3399" s="1" t="s">
        <v>25</v>
      </c>
      <c r="D3399" s="1" t="s">
        <v>19</v>
      </c>
      <c r="E3399" s="1" t="s">
        <v>100</v>
      </c>
      <c r="F3399">
        <v>2016</v>
      </c>
      <c r="G3399">
        <v>2</v>
      </c>
      <c r="H3399" s="1" t="s">
        <v>59</v>
      </c>
      <c r="I3399">
        <v>22</v>
      </c>
      <c r="J3399">
        <v>3137</v>
      </c>
      <c r="K3399" s="1" t="s">
        <v>101</v>
      </c>
      <c r="L3399" s="1" t="s">
        <v>23</v>
      </c>
      <c r="M3399">
        <v>0</v>
      </c>
      <c r="N3399">
        <v>0</v>
      </c>
      <c r="O3399">
        <v>0</v>
      </c>
      <c r="P3399" s="2">
        <v>43132</v>
      </c>
      <c r="Q3399">
        <v>0</v>
      </c>
      <c r="R3399" s="1" t="s">
        <v>61</v>
      </c>
    </row>
    <row r="3400" spans="1:18" x14ac:dyDescent="0.25">
      <c r="A3400">
        <v>2018</v>
      </c>
      <c r="B3400">
        <v>3</v>
      </c>
      <c r="C3400" s="1" t="s">
        <v>26</v>
      </c>
      <c r="D3400" s="1" t="s">
        <v>19</v>
      </c>
      <c r="E3400" s="1" t="s">
        <v>100</v>
      </c>
      <c r="F3400">
        <v>2016</v>
      </c>
      <c r="G3400">
        <v>2</v>
      </c>
      <c r="H3400" s="1" t="s">
        <v>59</v>
      </c>
      <c r="I3400">
        <v>22</v>
      </c>
      <c r="J3400">
        <v>3137</v>
      </c>
      <c r="K3400" s="1" t="s">
        <v>101</v>
      </c>
      <c r="L3400" s="1" t="s">
        <v>23</v>
      </c>
      <c r="M3400">
        <v>0</v>
      </c>
      <c r="N3400">
        <v>0</v>
      </c>
      <c r="O3400">
        <v>0</v>
      </c>
      <c r="P3400" s="2">
        <v>43160</v>
      </c>
      <c r="Q3400">
        <v>0</v>
      </c>
      <c r="R3400" s="1" t="s">
        <v>61</v>
      </c>
    </row>
    <row r="3401" spans="1:18" x14ac:dyDescent="0.25">
      <c r="A3401">
        <v>2018</v>
      </c>
      <c r="B3401">
        <v>4</v>
      </c>
      <c r="C3401" s="1" t="s">
        <v>27</v>
      </c>
      <c r="D3401" s="1" t="s">
        <v>19</v>
      </c>
      <c r="E3401" s="1" t="s">
        <v>100</v>
      </c>
      <c r="F3401">
        <v>2016</v>
      </c>
      <c r="G3401">
        <v>2</v>
      </c>
      <c r="H3401" s="1" t="s">
        <v>59</v>
      </c>
      <c r="I3401">
        <v>22</v>
      </c>
      <c r="J3401">
        <v>3137</v>
      </c>
      <c r="K3401" s="1" t="s">
        <v>101</v>
      </c>
      <c r="L3401" s="1" t="s">
        <v>23</v>
      </c>
      <c r="M3401">
        <v>0</v>
      </c>
      <c r="N3401">
        <v>0</v>
      </c>
      <c r="O3401">
        <v>0</v>
      </c>
      <c r="P3401" s="2">
        <v>43191</v>
      </c>
      <c r="Q3401">
        <v>0</v>
      </c>
      <c r="R3401" s="1" t="s">
        <v>61</v>
      </c>
    </row>
    <row r="3402" spans="1:18" x14ac:dyDescent="0.25">
      <c r="A3402">
        <v>2018</v>
      </c>
      <c r="B3402">
        <v>5</v>
      </c>
      <c r="C3402" s="1" t="s">
        <v>28</v>
      </c>
      <c r="D3402" s="1" t="s">
        <v>19</v>
      </c>
      <c r="E3402" s="1" t="s">
        <v>100</v>
      </c>
      <c r="F3402">
        <v>2016</v>
      </c>
      <c r="G3402">
        <v>2</v>
      </c>
      <c r="H3402" s="1" t="s">
        <v>59</v>
      </c>
      <c r="I3402">
        <v>22</v>
      </c>
      <c r="J3402">
        <v>3137</v>
      </c>
      <c r="K3402" s="1" t="s">
        <v>101</v>
      </c>
      <c r="L3402" s="1" t="s">
        <v>23</v>
      </c>
      <c r="M3402">
        <v>0</v>
      </c>
      <c r="N3402">
        <v>0</v>
      </c>
      <c r="O3402">
        <v>0</v>
      </c>
      <c r="P3402" s="2">
        <v>43221</v>
      </c>
      <c r="Q3402">
        <v>0</v>
      </c>
      <c r="R3402" s="1" t="s">
        <v>61</v>
      </c>
    </row>
    <row r="3403" spans="1:18" x14ac:dyDescent="0.25">
      <c r="A3403">
        <v>2018</v>
      </c>
      <c r="B3403">
        <v>6</v>
      </c>
      <c r="C3403" s="1" t="s">
        <v>29</v>
      </c>
      <c r="D3403" s="1" t="s">
        <v>19</v>
      </c>
      <c r="E3403" s="1" t="s">
        <v>100</v>
      </c>
      <c r="F3403">
        <v>2016</v>
      </c>
      <c r="G3403">
        <v>2</v>
      </c>
      <c r="H3403" s="1" t="s">
        <v>59</v>
      </c>
      <c r="I3403">
        <v>22</v>
      </c>
      <c r="J3403">
        <v>3137</v>
      </c>
      <c r="K3403" s="1" t="s">
        <v>101</v>
      </c>
      <c r="L3403" s="1" t="s">
        <v>23</v>
      </c>
      <c r="M3403">
        <v>0</v>
      </c>
      <c r="N3403">
        <v>0</v>
      </c>
      <c r="O3403">
        <v>0</v>
      </c>
      <c r="P3403" s="2">
        <v>43252</v>
      </c>
      <c r="Q3403">
        <v>0</v>
      </c>
      <c r="R3403" s="1" t="s">
        <v>61</v>
      </c>
    </row>
    <row r="3404" spans="1:18" x14ac:dyDescent="0.25">
      <c r="A3404">
        <v>2018</v>
      </c>
      <c r="B3404">
        <v>7</v>
      </c>
      <c r="C3404" s="1" t="s">
        <v>30</v>
      </c>
      <c r="D3404" s="1" t="s">
        <v>19</v>
      </c>
      <c r="E3404" s="1" t="s">
        <v>100</v>
      </c>
      <c r="F3404">
        <v>2016</v>
      </c>
      <c r="G3404">
        <v>2</v>
      </c>
      <c r="H3404" s="1" t="s">
        <v>59</v>
      </c>
      <c r="I3404">
        <v>22</v>
      </c>
      <c r="J3404">
        <v>3137</v>
      </c>
      <c r="K3404" s="1" t="s">
        <v>101</v>
      </c>
      <c r="L3404" s="1" t="s">
        <v>23</v>
      </c>
      <c r="M3404">
        <v>0</v>
      </c>
      <c r="N3404">
        <v>0</v>
      </c>
      <c r="O3404">
        <v>0</v>
      </c>
      <c r="P3404" s="2">
        <v>43282</v>
      </c>
      <c r="Q3404">
        <v>0</v>
      </c>
      <c r="R3404" s="1" t="s">
        <v>61</v>
      </c>
    </row>
    <row r="3405" spans="1:18" x14ac:dyDescent="0.25">
      <c r="A3405">
        <v>2018</v>
      </c>
      <c r="B3405">
        <v>8</v>
      </c>
      <c r="C3405" s="1" t="s">
        <v>31</v>
      </c>
      <c r="D3405" s="1" t="s">
        <v>19</v>
      </c>
      <c r="E3405" s="1" t="s">
        <v>100</v>
      </c>
      <c r="F3405">
        <v>2016</v>
      </c>
      <c r="G3405">
        <v>2</v>
      </c>
      <c r="H3405" s="1" t="s">
        <v>59</v>
      </c>
      <c r="I3405">
        <v>22</v>
      </c>
      <c r="J3405">
        <v>3137</v>
      </c>
      <c r="K3405" s="1" t="s">
        <v>101</v>
      </c>
      <c r="L3405" s="1" t="s">
        <v>23</v>
      </c>
      <c r="M3405">
        <v>0</v>
      </c>
      <c r="N3405">
        <v>0</v>
      </c>
      <c r="O3405">
        <v>0</v>
      </c>
      <c r="P3405" s="2">
        <v>43313</v>
      </c>
      <c r="Q3405">
        <v>0</v>
      </c>
      <c r="R3405" s="1" t="s">
        <v>61</v>
      </c>
    </row>
    <row r="3406" spans="1:18" x14ac:dyDescent="0.25">
      <c r="A3406">
        <v>2018</v>
      </c>
      <c r="B3406">
        <v>9</v>
      </c>
      <c r="C3406" s="1" t="s">
        <v>32</v>
      </c>
      <c r="D3406" s="1" t="s">
        <v>19</v>
      </c>
      <c r="E3406" s="1" t="s">
        <v>100</v>
      </c>
      <c r="F3406">
        <v>2016</v>
      </c>
      <c r="G3406">
        <v>2</v>
      </c>
      <c r="H3406" s="1" t="s">
        <v>59</v>
      </c>
      <c r="I3406">
        <v>22</v>
      </c>
      <c r="J3406">
        <v>3137</v>
      </c>
      <c r="K3406" s="1" t="s">
        <v>101</v>
      </c>
      <c r="L3406" s="1" t="s">
        <v>23</v>
      </c>
      <c r="M3406">
        <v>0</v>
      </c>
      <c r="N3406">
        <v>0</v>
      </c>
      <c r="O3406">
        <v>0</v>
      </c>
      <c r="P3406" s="2">
        <v>43344</v>
      </c>
      <c r="Q3406">
        <v>0</v>
      </c>
      <c r="R3406" s="1" t="s">
        <v>61</v>
      </c>
    </row>
    <row r="3407" spans="1:18" x14ac:dyDescent="0.25">
      <c r="A3407">
        <v>2018</v>
      </c>
      <c r="B3407">
        <v>10</v>
      </c>
      <c r="C3407" s="1" t="s">
        <v>33</v>
      </c>
      <c r="D3407" s="1" t="s">
        <v>19</v>
      </c>
      <c r="E3407" s="1" t="s">
        <v>100</v>
      </c>
      <c r="F3407">
        <v>2016</v>
      </c>
      <c r="G3407">
        <v>2</v>
      </c>
      <c r="H3407" s="1" t="s">
        <v>59</v>
      </c>
      <c r="I3407">
        <v>22</v>
      </c>
      <c r="J3407">
        <v>3137</v>
      </c>
      <c r="K3407" s="1" t="s">
        <v>101</v>
      </c>
      <c r="L3407" s="1" t="s">
        <v>23</v>
      </c>
      <c r="M3407">
        <v>0</v>
      </c>
      <c r="N3407">
        <v>0</v>
      </c>
      <c r="O3407">
        <v>0</v>
      </c>
      <c r="P3407" s="2">
        <v>43374</v>
      </c>
      <c r="Q3407">
        <v>0</v>
      </c>
      <c r="R3407" s="1" t="s">
        <v>61</v>
      </c>
    </row>
    <row r="3408" spans="1:18" x14ac:dyDescent="0.25">
      <c r="A3408">
        <v>2018</v>
      </c>
      <c r="B3408">
        <v>11</v>
      </c>
      <c r="C3408" s="1" t="s">
        <v>34</v>
      </c>
      <c r="D3408" s="1" t="s">
        <v>19</v>
      </c>
      <c r="E3408" s="1" t="s">
        <v>100</v>
      </c>
      <c r="F3408">
        <v>2016</v>
      </c>
      <c r="G3408">
        <v>2</v>
      </c>
      <c r="H3408" s="1" t="s">
        <v>59</v>
      </c>
      <c r="I3408">
        <v>22</v>
      </c>
      <c r="J3408">
        <v>3137</v>
      </c>
      <c r="K3408" s="1" t="s">
        <v>101</v>
      </c>
      <c r="L3408" s="1" t="s">
        <v>23</v>
      </c>
      <c r="M3408">
        <v>0</v>
      </c>
      <c r="N3408">
        <v>0</v>
      </c>
      <c r="O3408">
        <v>0</v>
      </c>
      <c r="P3408" s="2">
        <v>43405</v>
      </c>
      <c r="Q3408">
        <v>0</v>
      </c>
      <c r="R3408" s="1" t="s">
        <v>61</v>
      </c>
    </row>
    <row r="3409" spans="1:18" x14ac:dyDescent="0.25">
      <c r="A3409">
        <v>2018</v>
      </c>
      <c r="B3409">
        <v>12</v>
      </c>
      <c r="C3409" s="1" t="s">
        <v>35</v>
      </c>
      <c r="D3409" s="1" t="s">
        <v>19</v>
      </c>
      <c r="E3409" s="1" t="s">
        <v>100</v>
      </c>
      <c r="F3409">
        <v>2016</v>
      </c>
      <c r="G3409">
        <v>2</v>
      </c>
      <c r="H3409" s="1" t="s">
        <v>59</v>
      </c>
      <c r="I3409">
        <v>22</v>
      </c>
      <c r="J3409">
        <v>3137</v>
      </c>
      <c r="K3409" s="1" t="s">
        <v>101</v>
      </c>
      <c r="L3409" s="1" t="s">
        <v>23</v>
      </c>
      <c r="M3409">
        <v>0</v>
      </c>
      <c r="N3409">
        <v>0</v>
      </c>
      <c r="O3409">
        <v>0</v>
      </c>
      <c r="P3409" s="2">
        <v>43435</v>
      </c>
      <c r="Q3409">
        <v>0</v>
      </c>
      <c r="R3409" s="1" t="s">
        <v>61</v>
      </c>
    </row>
    <row r="3410" spans="1:18" x14ac:dyDescent="0.25">
      <c r="A3410">
        <v>2018</v>
      </c>
      <c r="B3410">
        <v>1</v>
      </c>
      <c r="C3410" s="1" t="s">
        <v>18</v>
      </c>
      <c r="D3410" s="1" t="s">
        <v>19</v>
      </c>
      <c r="E3410" s="1" t="s">
        <v>102</v>
      </c>
      <c r="F3410">
        <v>2016</v>
      </c>
      <c r="G3410">
        <v>2</v>
      </c>
      <c r="H3410" s="1" t="s">
        <v>59</v>
      </c>
      <c r="I3410">
        <v>22</v>
      </c>
      <c r="J3410">
        <v>3096</v>
      </c>
      <c r="K3410" s="1" t="s">
        <v>103</v>
      </c>
      <c r="L3410" s="1" t="s">
        <v>23</v>
      </c>
      <c r="M3410">
        <v>0</v>
      </c>
      <c r="N3410">
        <v>0</v>
      </c>
      <c r="O3410">
        <v>0</v>
      </c>
      <c r="P3410" s="2">
        <v>43101</v>
      </c>
      <c r="Q3410">
        <v>0</v>
      </c>
      <c r="R3410" s="1" t="s">
        <v>61</v>
      </c>
    </row>
    <row r="3411" spans="1:18" x14ac:dyDescent="0.25">
      <c r="A3411">
        <v>2018</v>
      </c>
      <c r="B3411">
        <v>2</v>
      </c>
      <c r="C3411" s="1" t="s">
        <v>25</v>
      </c>
      <c r="D3411" s="1" t="s">
        <v>19</v>
      </c>
      <c r="E3411" s="1" t="s">
        <v>102</v>
      </c>
      <c r="F3411">
        <v>2016</v>
      </c>
      <c r="G3411">
        <v>2</v>
      </c>
      <c r="H3411" s="1" t="s">
        <v>59</v>
      </c>
      <c r="I3411">
        <v>22</v>
      </c>
      <c r="J3411">
        <v>3096</v>
      </c>
      <c r="K3411" s="1" t="s">
        <v>103</v>
      </c>
      <c r="L3411" s="1" t="s">
        <v>23</v>
      </c>
      <c r="M3411">
        <v>0</v>
      </c>
      <c r="N3411">
        <v>0</v>
      </c>
      <c r="O3411">
        <v>0</v>
      </c>
      <c r="P3411" s="2">
        <v>43132</v>
      </c>
      <c r="Q3411">
        <v>0</v>
      </c>
      <c r="R3411" s="1" t="s">
        <v>61</v>
      </c>
    </row>
    <row r="3412" spans="1:18" x14ac:dyDescent="0.25">
      <c r="A3412">
        <v>2018</v>
      </c>
      <c r="B3412">
        <v>3</v>
      </c>
      <c r="C3412" s="1" t="s">
        <v>26</v>
      </c>
      <c r="D3412" s="1" t="s">
        <v>19</v>
      </c>
      <c r="E3412" s="1" t="s">
        <v>102</v>
      </c>
      <c r="F3412">
        <v>2016</v>
      </c>
      <c r="G3412">
        <v>2</v>
      </c>
      <c r="H3412" s="1" t="s">
        <v>59</v>
      </c>
      <c r="I3412">
        <v>22</v>
      </c>
      <c r="J3412">
        <v>3096</v>
      </c>
      <c r="K3412" s="1" t="s">
        <v>103</v>
      </c>
      <c r="L3412" s="1" t="s">
        <v>23</v>
      </c>
      <c r="M3412">
        <v>0</v>
      </c>
      <c r="N3412">
        <v>0</v>
      </c>
      <c r="O3412">
        <v>0</v>
      </c>
      <c r="P3412" s="2">
        <v>43160</v>
      </c>
      <c r="Q3412">
        <v>0</v>
      </c>
      <c r="R3412" s="1" t="s">
        <v>61</v>
      </c>
    </row>
    <row r="3413" spans="1:18" x14ac:dyDescent="0.25">
      <c r="A3413">
        <v>2018</v>
      </c>
      <c r="B3413">
        <v>4</v>
      </c>
      <c r="C3413" s="1" t="s">
        <v>27</v>
      </c>
      <c r="D3413" s="1" t="s">
        <v>19</v>
      </c>
      <c r="E3413" s="1" t="s">
        <v>102</v>
      </c>
      <c r="F3413">
        <v>2016</v>
      </c>
      <c r="G3413">
        <v>2</v>
      </c>
      <c r="H3413" s="1" t="s">
        <v>59</v>
      </c>
      <c r="I3413">
        <v>22</v>
      </c>
      <c r="J3413">
        <v>3096</v>
      </c>
      <c r="K3413" s="1" t="s">
        <v>103</v>
      </c>
      <c r="L3413" s="1" t="s">
        <v>23</v>
      </c>
      <c r="M3413">
        <v>0</v>
      </c>
      <c r="N3413">
        <v>0</v>
      </c>
      <c r="O3413">
        <v>0</v>
      </c>
      <c r="P3413" s="2">
        <v>43191</v>
      </c>
      <c r="Q3413">
        <v>0</v>
      </c>
      <c r="R3413" s="1" t="s">
        <v>61</v>
      </c>
    </row>
    <row r="3414" spans="1:18" x14ac:dyDescent="0.25">
      <c r="A3414">
        <v>2018</v>
      </c>
      <c r="B3414">
        <v>5</v>
      </c>
      <c r="C3414" s="1" t="s">
        <v>28</v>
      </c>
      <c r="D3414" s="1" t="s">
        <v>19</v>
      </c>
      <c r="E3414" s="1" t="s">
        <v>102</v>
      </c>
      <c r="F3414">
        <v>2016</v>
      </c>
      <c r="G3414">
        <v>2</v>
      </c>
      <c r="H3414" s="1" t="s">
        <v>59</v>
      </c>
      <c r="I3414">
        <v>22</v>
      </c>
      <c r="J3414">
        <v>3096</v>
      </c>
      <c r="K3414" s="1" t="s">
        <v>103</v>
      </c>
      <c r="L3414" s="1" t="s">
        <v>23</v>
      </c>
      <c r="M3414">
        <v>0</v>
      </c>
      <c r="N3414">
        <v>0</v>
      </c>
      <c r="O3414">
        <v>0</v>
      </c>
      <c r="P3414" s="2">
        <v>43221</v>
      </c>
      <c r="Q3414">
        <v>0</v>
      </c>
      <c r="R3414" s="1" t="s">
        <v>61</v>
      </c>
    </row>
    <row r="3415" spans="1:18" x14ac:dyDescent="0.25">
      <c r="A3415">
        <v>2018</v>
      </c>
      <c r="B3415">
        <v>6</v>
      </c>
      <c r="C3415" s="1" t="s">
        <v>29</v>
      </c>
      <c r="D3415" s="1" t="s">
        <v>19</v>
      </c>
      <c r="E3415" s="1" t="s">
        <v>102</v>
      </c>
      <c r="F3415">
        <v>2016</v>
      </c>
      <c r="G3415">
        <v>2</v>
      </c>
      <c r="H3415" s="1" t="s">
        <v>59</v>
      </c>
      <c r="I3415">
        <v>22</v>
      </c>
      <c r="J3415">
        <v>3096</v>
      </c>
      <c r="K3415" s="1" t="s">
        <v>103</v>
      </c>
      <c r="L3415" s="1" t="s">
        <v>23</v>
      </c>
      <c r="M3415">
        <v>0</v>
      </c>
      <c r="N3415">
        <v>0</v>
      </c>
      <c r="O3415">
        <v>0</v>
      </c>
      <c r="P3415" s="2">
        <v>43252</v>
      </c>
      <c r="Q3415">
        <v>0</v>
      </c>
      <c r="R3415" s="1" t="s">
        <v>61</v>
      </c>
    </row>
    <row r="3416" spans="1:18" x14ac:dyDescent="0.25">
      <c r="A3416">
        <v>2018</v>
      </c>
      <c r="B3416">
        <v>7</v>
      </c>
      <c r="C3416" s="1" t="s">
        <v>30</v>
      </c>
      <c r="D3416" s="1" t="s">
        <v>19</v>
      </c>
      <c r="E3416" s="1" t="s">
        <v>102</v>
      </c>
      <c r="F3416">
        <v>2016</v>
      </c>
      <c r="G3416">
        <v>2</v>
      </c>
      <c r="H3416" s="1" t="s">
        <v>59</v>
      </c>
      <c r="I3416">
        <v>22</v>
      </c>
      <c r="J3416">
        <v>3096</v>
      </c>
      <c r="K3416" s="1" t="s">
        <v>103</v>
      </c>
      <c r="L3416" s="1" t="s">
        <v>23</v>
      </c>
      <c r="M3416">
        <v>0</v>
      </c>
      <c r="N3416">
        <v>0</v>
      </c>
      <c r="O3416">
        <v>0</v>
      </c>
      <c r="P3416" s="2">
        <v>43282</v>
      </c>
      <c r="Q3416">
        <v>0</v>
      </c>
      <c r="R3416" s="1" t="s">
        <v>61</v>
      </c>
    </row>
    <row r="3417" spans="1:18" x14ac:dyDescent="0.25">
      <c r="A3417">
        <v>2018</v>
      </c>
      <c r="B3417">
        <v>8</v>
      </c>
      <c r="C3417" s="1" t="s">
        <v>31</v>
      </c>
      <c r="D3417" s="1" t="s">
        <v>19</v>
      </c>
      <c r="E3417" s="1" t="s">
        <v>102</v>
      </c>
      <c r="F3417">
        <v>2016</v>
      </c>
      <c r="G3417">
        <v>2</v>
      </c>
      <c r="H3417" s="1" t="s">
        <v>59</v>
      </c>
      <c r="I3417">
        <v>22</v>
      </c>
      <c r="J3417">
        <v>3096</v>
      </c>
      <c r="K3417" s="1" t="s">
        <v>103</v>
      </c>
      <c r="L3417" s="1" t="s">
        <v>23</v>
      </c>
      <c r="M3417">
        <v>0</v>
      </c>
      <c r="N3417">
        <v>0</v>
      </c>
      <c r="O3417">
        <v>0</v>
      </c>
      <c r="P3417" s="2">
        <v>43313</v>
      </c>
      <c r="Q3417">
        <v>0</v>
      </c>
      <c r="R3417" s="1" t="s">
        <v>61</v>
      </c>
    </row>
    <row r="3418" spans="1:18" x14ac:dyDescent="0.25">
      <c r="A3418">
        <v>2018</v>
      </c>
      <c r="B3418">
        <v>9</v>
      </c>
      <c r="C3418" s="1" t="s">
        <v>32</v>
      </c>
      <c r="D3418" s="1" t="s">
        <v>19</v>
      </c>
      <c r="E3418" s="1" t="s">
        <v>102</v>
      </c>
      <c r="F3418">
        <v>2016</v>
      </c>
      <c r="G3418">
        <v>2</v>
      </c>
      <c r="H3418" s="1" t="s">
        <v>59</v>
      </c>
      <c r="I3418">
        <v>22</v>
      </c>
      <c r="J3418">
        <v>3096</v>
      </c>
      <c r="K3418" s="1" t="s">
        <v>103</v>
      </c>
      <c r="L3418" s="1" t="s">
        <v>23</v>
      </c>
      <c r="M3418">
        <v>0</v>
      </c>
      <c r="N3418">
        <v>0</v>
      </c>
      <c r="O3418">
        <v>0</v>
      </c>
      <c r="P3418" s="2">
        <v>43344</v>
      </c>
      <c r="Q3418">
        <v>0</v>
      </c>
      <c r="R3418" s="1" t="s">
        <v>61</v>
      </c>
    </row>
    <row r="3419" spans="1:18" x14ac:dyDescent="0.25">
      <c r="A3419">
        <v>2018</v>
      </c>
      <c r="B3419">
        <v>10</v>
      </c>
      <c r="C3419" s="1" t="s">
        <v>33</v>
      </c>
      <c r="D3419" s="1" t="s">
        <v>19</v>
      </c>
      <c r="E3419" s="1" t="s">
        <v>102</v>
      </c>
      <c r="F3419">
        <v>2016</v>
      </c>
      <c r="G3419">
        <v>2</v>
      </c>
      <c r="H3419" s="1" t="s">
        <v>59</v>
      </c>
      <c r="I3419">
        <v>22</v>
      </c>
      <c r="J3419">
        <v>3096</v>
      </c>
      <c r="K3419" s="1" t="s">
        <v>103</v>
      </c>
      <c r="L3419" s="1" t="s">
        <v>23</v>
      </c>
      <c r="M3419">
        <v>0</v>
      </c>
      <c r="N3419">
        <v>0</v>
      </c>
      <c r="O3419">
        <v>0</v>
      </c>
      <c r="P3419" s="2">
        <v>43374</v>
      </c>
      <c r="Q3419">
        <v>0</v>
      </c>
      <c r="R3419" s="1" t="s">
        <v>61</v>
      </c>
    </row>
    <row r="3420" spans="1:18" x14ac:dyDescent="0.25">
      <c r="A3420">
        <v>2018</v>
      </c>
      <c r="B3420">
        <v>11</v>
      </c>
      <c r="C3420" s="1" t="s">
        <v>34</v>
      </c>
      <c r="D3420" s="1" t="s">
        <v>19</v>
      </c>
      <c r="E3420" s="1" t="s">
        <v>102</v>
      </c>
      <c r="F3420">
        <v>2016</v>
      </c>
      <c r="G3420">
        <v>2</v>
      </c>
      <c r="H3420" s="1" t="s">
        <v>59</v>
      </c>
      <c r="I3420">
        <v>22</v>
      </c>
      <c r="J3420">
        <v>3096</v>
      </c>
      <c r="K3420" s="1" t="s">
        <v>103</v>
      </c>
      <c r="L3420" s="1" t="s">
        <v>23</v>
      </c>
      <c r="M3420">
        <v>0</v>
      </c>
      <c r="N3420">
        <v>0</v>
      </c>
      <c r="O3420">
        <v>0</v>
      </c>
      <c r="P3420" s="2">
        <v>43405</v>
      </c>
      <c r="Q3420">
        <v>0</v>
      </c>
      <c r="R3420" s="1" t="s">
        <v>61</v>
      </c>
    </row>
    <row r="3421" spans="1:18" x14ac:dyDescent="0.25">
      <c r="A3421">
        <v>2018</v>
      </c>
      <c r="B3421">
        <v>12</v>
      </c>
      <c r="C3421" s="1" t="s">
        <v>35</v>
      </c>
      <c r="D3421" s="1" t="s">
        <v>19</v>
      </c>
      <c r="E3421" s="1" t="s">
        <v>102</v>
      </c>
      <c r="F3421">
        <v>2016</v>
      </c>
      <c r="G3421">
        <v>2</v>
      </c>
      <c r="H3421" s="1" t="s">
        <v>59</v>
      </c>
      <c r="I3421">
        <v>22</v>
      </c>
      <c r="J3421">
        <v>3096</v>
      </c>
      <c r="K3421" s="1" t="s">
        <v>103</v>
      </c>
      <c r="L3421" s="1" t="s">
        <v>23</v>
      </c>
      <c r="M3421">
        <v>0</v>
      </c>
      <c r="N3421">
        <v>0</v>
      </c>
      <c r="O3421">
        <v>0</v>
      </c>
      <c r="P3421" s="2">
        <v>43435</v>
      </c>
      <c r="Q3421">
        <v>0</v>
      </c>
      <c r="R3421" s="1" t="s">
        <v>61</v>
      </c>
    </row>
    <row r="3422" spans="1:18" x14ac:dyDescent="0.25">
      <c r="A3422">
        <v>2018</v>
      </c>
      <c r="B3422">
        <v>1</v>
      </c>
      <c r="C3422" s="1" t="s">
        <v>18</v>
      </c>
      <c r="D3422" s="1" t="s">
        <v>19</v>
      </c>
      <c r="E3422" s="1" t="s">
        <v>104</v>
      </c>
      <c r="F3422">
        <v>2016</v>
      </c>
      <c r="G3422">
        <v>2</v>
      </c>
      <c r="H3422" s="1" t="s">
        <v>59</v>
      </c>
      <c r="I3422">
        <v>24</v>
      </c>
      <c r="J3422">
        <v>3317</v>
      </c>
      <c r="K3422" s="1" t="s">
        <v>105</v>
      </c>
      <c r="L3422" s="1" t="s">
        <v>23</v>
      </c>
      <c r="M3422">
        <v>0</v>
      </c>
      <c r="N3422">
        <v>0</v>
      </c>
      <c r="O3422">
        <v>0</v>
      </c>
      <c r="P3422" s="2">
        <v>43101</v>
      </c>
      <c r="Q3422">
        <v>0</v>
      </c>
      <c r="R3422" s="1" t="s">
        <v>61</v>
      </c>
    </row>
    <row r="3423" spans="1:18" x14ac:dyDescent="0.25">
      <c r="A3423">
        <v>2018</v>
      </c>
      <c r="B3423">
        <v>2</v>
      </c>
      <c r="C3423" s="1" t="s">
        <v>25</v>
      </c>
      <c r="D3423" s="1" t="s">
        <v>19</v>
      </c>
      <c r="E3423" s="1" t="s">
        <v>104</v>
      </c>
      <c r="F3423">
        <v>2016</v>
      </c>
      <c r="G3423">
        <v>2</v>
      </c>
      <c r="H3423" s="1" t="s">
        <v>59</v>
      </c>
      <c r="I3423">
        <v>24</v>
      </c>
      <c r="J3423">
        <v>3317</v>
      </c>
      <c r="K3423" s="1" t="s">
        <v>105</v>
      </c>
      <c r="L3423" s="1" t="s">
        <v>23</v>
      </c>
      <c r="M3423">
        <v>0</v>
      </c>
      <c r="N3423">
        <v>0</v>
      </c>
      <c r="O3423">
        <v>0</v>
      </c>
      <c r="P3423" s="2">
        <v>43132</v>
      </c>
      <c r="Q3423">
        <v>0</v>
      </c>
      <c r="R3423" s="1" t="s">
        <v>61</v>
      </c>
    </row>
    <row r="3424" spans="1:18" x14ac:dyDescent="0.25">
      <c r="A3424">
        <v>2018</v>
      </c>
      <c r="B3424">
        <v>3</v>
      </c>
      <c r="C3424" s="1" t="s">
        <v>26</v>
      </c>
      <c r="D3424" s="1" t="s">
        <v>19</v>
      </c>
      <c r="E3424" s="1" t="s">
        <v>104</v>
      </c>
      <c r="F3424">
        <v>2016</v>
      </c>
      <c r="G3424">
        <v>2</v>
      </c>
      <c r="H3424" s="1" t="s">
        <v>59</v>
      </c>
      <c r="I3424">
        <v>24</v>
      </c>
      <c r="J3424">
        <v>3317</v>
      </c>
      <c r="K3424" s="1" t="s">
        <v>105</v>
      </c>
      <c r="L3424" s="1" t="s">
        <v>23</v>
      </c>
      <c r="M3424">
        <v>0</v>
      </c>
      <c r="N3424">
        <v>0</v>
      </c>
      <c r="O3424">
        <v>0</v>
      </c>
      <c r="P3424" s="2">
        <v>43160</v>
      </c>
      <c r="Q3424">
        <v>0</v>
      </c>
      <c r="R3424" s="1" t="s">
        <v>61</v>
      </c>
    </row>
    <row r="3425" spans="1:18" x14ac:dyDescent="0.25">
      <c r="A3425">
        <v>2018</v>
      </c>
      <c r="B3425">
        <v>4</v>
      </c>
      <c r="C3425" s="1" t="s">
        <v>27</v>
      </c>
      <c r="D3425" s="1" t="s">
        <v>19</v>
      </c>
      <c r="E3425" s="1" t="s">
        <v>104</v>
      </c>
      <c r="F3425">
        <v>2016</v>
      </c>
      <c r="G3425">
        <v>2</v>
      </c>
      <c r="H3425" s="1" t="s">
        <v>59</v>
      </c>
      <c r="I3425">
        <v>24</v>
      </c>
      <c r="J3425">
        <v>3317</v>
      </c>
      <c r="K3425" s="1" t="s">
        <v>105</v>
      </c>
      <c r="L3425" s="1" t="s">
        <v>23</v>
      </c>
      <c r="M3425">
        <v>0</v>
      </c>
      <c r="N3425">
        <v>0</v>
      </c>
      <c r="O3425">
        <v>0</v>
      </c>
      <c r="P3425" s="2">
        <v>43191</v>
      </c>
      <c r="Q3425">
        <v>0</v>
      </c>
      <c r="R3425" s="1" t="s">
        <v>61</v>
      </c>
    </row>
    <row r="3426" spans="1:18" x14ac:dyDescent="0.25">
      <c r="A3426">
        <v>2018</v>
      </c>
      <c r="B3426">
        <v>5</v>
      </c>
      <c r="C3426" s="1" t="s">
        <v>28</v>
      </c>
      <c r="D3426" s="1" t="s">
        <v>19</v>
      </c>
      <c r="E3426" s="1" t="s">
        <v>104</v>
      </c>
      <c r="F3426">
        <v>2016</v>
      </c>
      <c r="G3426">
        <v>2</v>
      </c>
      <c r="H3426" s="1" t="s">
        <v>59</v>
      </c>
      <c r="I3426">
        <v>24</v>
      </c>
      <c r="J3426">
        <v>3317</v>
      </c>
      <c r="K3426" s="1" t="s">
        <v>105</v>
      </c>
      <c r="L3426" s="1" t="s">
        <v>23</v>
      </c>
      <c r="M3426">
        <v>0</v>
      </c>
      <c r="N3426">
        <v>0</v>
      </c>
      <c r="O3426">
        <v>0</v>
      </c>
      <c r="P3426" s="2">
        <v>43221</v>
      </c>
      <c r="Q3426">
        <v>0</v>
      </c>
      <c r="R3426" s="1" t="s">
        <v>61</v>
      </c>
    </row>
    <row r="3427" spans="1:18" x14ac:dyDescent="0.25">
      <c r="A3427">
        <v>2018</v>
      </c>
      <c r="B3427">
        <v>6</v>
      </c>
      <c r="C3427" s="1" t="s">
        <v>29</v>
      </c>
      <c r="D3427" s="1" t="s">
        <v>19</v>
      </c>
      <c r="E3427" s="1" t="s">
        <v>104</v>
      </c>
      <c r="F3427">
        <v>2016</v>
      </c>
      <c r="G3427">
        <v>2</v>
      </c>
      <c r="H3427" s="1" t="s">
        <v>59</v>
      </c>
      <c r="I3427">
        <v>24</v>
      </c>
      <c r="J3427">
        <v>3317</v>
      </c>
      <c r="K3427" s="1" t="s">
        <v>105</v>
      </c>
      <c r="L3427" s="1" t="s">
        <v>23</v>
      </c>
      <c r="M3427">
        <v>0</v>
      </c>
      <c r="N3427">
        <v>0</v>
      </c>
      <c r="O3427">
        <v>0</v>
      </c>
      <c r="P3427" s="2">
        <v>43252</v>
      </c>
      <c r="Q3427">
        <v>0</v>
      </c>
      <c r="R3427" s="1" t="s">
        <v>61</v>
      </c>
    </row>
    <row r="3428" spans="1:18" x14ac:dyDescent="0.25">
      <c r="A3428">
        <v>2018</v>
      </c>
      <c r="B3428">
        <v>7</v>
      </c>
      <c r="C3428" s="1" t="s">
        <v>30</v>
      </c>
      <c r="D3428" s="1" t="s">
        <v>19</v>
      </c>
      <c r="E3428" s="1" t="s">
        <v>104</v>
      </c>
      <c r="F3428">
        <v>2016</v>
      </c>
      <c r="G3428">
        <v>2</v>
      </c>
      <c r="H3428" s="1" t="s">
        <v>59</v>
      </c>
      <c r="I3428">
        <v>24</v>
      </c>
      <c r="J3428">
        <v>3317</v>
      </c>
      <c r="K3428" s="1" t="s">
        <v>105</v>
      </c>
      <c r="L3428" s="1" t="s">
        <v>23</v>
      </c>
      <c r="M3428">
        <v>0</v>
      </c>
      <c r="N3428">
        <v>0</v>
      </c>
      <c r="O3428">
        <v>0</v>
      </c>
      <c r="P3428" s="2">
        <v>43282</v>
      </c>
      <c r="Q3428">
        <v>0</v>
      </c>
      <c r="R3428" s="1" t="s">
        <v>61</v>
      </c>
    </row>
    <row r="3429" spans="1:18" x14ac:dyDescent="0.25">
      <c r="A3429">
        <v>2018</v>
      </c>
      <c r="B3429">
        <v>8</v>
      </c>
      <c r="C3429" s="1" t="s">
        <v>31</v>
      </c>
      <c r="D3429" s="1" t="s">
        <v>19</v>
      </c>
      <c r="E3429" s="1" t="s">
        <v>104</v>
      </c>
      <c r="F3429">
        <v>2016</v>
      </c>
      <c r="G3429">
        <v>2</v>
      </c>
      <c r="H3429" s="1" t="s">
        <v>59</v>
      </c>
      <c r="I3429">
        <v>24</v>
      </c>
      <c r="J3429">
        <v>3317</v>
      </c>
      <c r="K3429" s="1" t="s">
        <v>105</v>
      </c>
      <c r="L3429" s="1" t="s">
        <v>23</v>
      </c>
      <c r="M3429">
        <v>0</v>
      </c>
      <c r="N3429">
        <v>0</v>
      </c>
      <c r="O3429">
        <v>0</v>
      </c>
      <c r="P3429" s="2">
        <v>43313</v>
      </c>
      <c r="Q3429">
        <v>0</v>
      </c>
      <c r="R3429" s="1" t="s">
        <v>61</v>
      </c>
    </row>
    <row r="3430" spans="1:18" x14ac:dyDescent="0.25">
      <c r="A3430">
        <v>2018</v>
      </c>
      <c r="B3430">
        <v>9</v>
      </c>
      <c r="C3430" s="1" t="s">
        <v>32</v>
      </c>
      <c r="D3430" s="1" t="s">
        <v>19</v>
      </c>
      <c r="E3430" s="1" t="s">
        <v>104</v>
      </c>
      <c r="F3430">
        <v>2016</v>
      </c>
      <c r="G3430">
        <v>2</v>
      </c>
      <c r="H3430" s="1" t="s">
        <v>59</v>
      </c>
      <c r="I3430">
        <v>24</v>
      </c>
      <c r="J3430">
        <v>3317</v>
      </c>
      <c r="K3430" s="1" t="s">
        <v>105</v>
      </c>
      <c r="L3430" s="1" t="s">
        <v>23</v>
      </c>
      <c r="M3430">
        <v>0</v>
      </c>
      <c r="N3430">
        <v>0</v>
      </c>
      <c r="O3430">
        <v>0</v>
      </c>
      <c r="P3430" s="2">
        <v>43344</v>
      </c>
      <c r="Q3430">
        <v>0</v>
      </c>
      <c r="R3430" s="1" t="s">
        <v>61</v>
      </c>
    </row>
    <row r="3431" spans="1:18" x14ac:dyDescent="0.25">
      <c r="A3431">
        <v>2018</v>
      </c>
      <c r="B3431">
        <v>10</v>
      </c>
      <c r="C3431" s="1" t="s">
        <v>33</v>
      </c>
      <c r="D3431" s="1" t="s">
        <v>19</v>
      </c>
      <c r="E3431" s="1" t="s">
        <v>104</v>
      </c>
      <c r="F3431">
        <v>2016</v>
      </c>
      <c r="G3431">
        <v>2</v>
      </c>
      <c r="H3431" s="1" t="s">
        <v>59</v>
      </c>
      <c r="I3431">
        <v>24</v>
      </c>
      <c r="J3431">
        <v>3317</v>
      </c>
      <c r="K3431" s="1" t="s">
        <v>105</v>
      </c>
      <c r="L3431" s="1" t="s">
        <v>23</v>
      </c>
      <c r="M3431">
        <v>0</v>
      </c>
      <c r="N3431">
        <v>0</v>
      </c>
      <c r="O3431">
        <v>0</v>
      </c>
      <c r="P3431" s="2">
        <v>43374</v>
      </c>
      <c r="Q3431">
        <v>0</v>
      </c>
      <c r="R3431" s="1" t="s">
        <v>61</v>
      </c>
    </row>
    <row r="3432" spans="1:18" x14ac:dyDescent="0.25">
      <c r="A3432">
        <v>2018</v>
      </c>
      <c r="B3432">
        <v>11</v>
      </c>
      <c r="C3432" s="1" t="s">
        <v>34</v>
      </c>
      <c r="D3432" s="1" t="s">
        <v>19</v>
      </c>
      <c r="E3432" s="1" t="s">
        <v>104</v>
      </c>
      <c r="F3432">
        <v>2016</v>
      </c>
      <c r="G3432">
        <v>2</v>
      </c>
      <c r="H3432" s="1" t="s">
        <v>59</v>
      </c>
      <c r="I3432">
        <v>24</v>
      </c>
      <c r="J3432">
        <v>3317</v>
      </c>
      <c r="K3432" s="1" t="s">
        <v>105</v>
      </c>
      <c r="L3432" s="1" t="s">
        <v>23</v>
      </c>
      <c r="M3432">
        <v>0</v>
      </c>
      <c r="N3432">
        <v>0</v>
      </c>
      <c r="O3432">
        <v>0</v>
      </c>
      <c r="P3432" s="2">
        <v>43405</v>
      </c>
      <c r="Q3432">
        <v>0</v>
      </c>
      <c r="R3432" s="1" t="s">
        <v>61</v>
      </c>
    </row>
    <row r="3433" spans="1:18" x14ac:dyDescent="0.25">
      <c r="A3433">
        <v>2018</v>
      </c>
      <c r="B3433">
        <v>12</v>
      </c>
      <c r="C3433" s="1" t="s">
        <v>35</v>
      </c>
      <c r="D3433" s="1" t="s">
        <v>19</v>
      </c>
      <c r="E3433" s="1" t="s">
        <v>104</v>
      </c>
      <c r="F3433">
        <v>2016</v>
      </c>
      <c r="G3433">
        <v>2</v>
      </c>
      <c r="H3433" s="1" t="s">
        <v>59</v>
      </c>
      <c r="I3433">
        <v>24</v>
      </c>
      <c r="J3433">
        <v>3317</v>
      </c>
      <c r="K3433" s="1" t="s">
        <v>105</v>
      </c>
      <c r="L3433" s="1" t="s">
        <v>23</v>
      </c>
      <c r="M3433">
        <v>0</v>
      </c>
      <c r="N3433">
        <v>0</v>
      </c>
      <c r="O3433">
        <v>0</v>
      </c>
      <c r="P3433" s="2">
        <v>43435</v>
      </c>
      <c r="Q3433">
        <v>0</v>
      </c>
      <c r="R3433" s="1" t="s">
        <v>61</v>
      </c>
    </row>
    <row r="3434" spans="1:18" x14ac:dyDescent="0.25">
      <c r="A3434">
        <v>2018</v>
      </c>
      <c r="B3434">
        <v>1</v>
      </c>
      <c r="C3434" s="1" t="s">
        <v>18</v>
      </c>
      <c r="D3434" s="1" t="s">
        <v>19</v>
      </c>
      <c r="E3434" s="1" t="s">
        <v>106</v>
      </c>
      <c r="F3434">
        <v>2016</v>
      </c>
      <c r="G3434">
        <v>2</v>
      </c>
      <c r="H3434" s="1" t="s">
        <v>59</v>
      </c>
      <c r="I3434">
        <v>17</v>
      </c>
      <c r="J3434">
        <v>2219</v>
      </c>
      <c r="K3434" s="1" t="s">
        <v>107</v>
      </c>
      <c r="L3434" s="1" t="s">
        <v>23</v>
      </c>
      <c r="M3434">
        <v>0</v>
      </c>
      <c r="N3434">
        <v>0</v>
      </c>
      <c r="O3434">
        <v>0</v>
      </c>
      <c r="P3434" s="2">
        <v>43101</v>
      </c>
      <c r="Q3434">
        <v>0</v>
      </c>
      <c r="R3434" s="1" t="s">
        <v>61</v>
      </c>
    </row>
    <row r="3435" spans="1:18" x14ac:dyDescent="0.25">
      <c r="A3435">
        <v>2018</v>
      </c>
      <c r="B3435">
        <v>2</v>
      </c>
      <c r="C3435" s="1" t="s">
        <v>25</v>
      </c>
      <c r="D3435" s="1" t="s">
        <v>19</v>
      </c>
      <c r="E3435" s="1" t="s">
        <v>106</v>
      </c>
      <c r="F3435">
        <v>2016</v>
      </c>
      <c r="G3435">
        <v>2</v>
      </c>
      <c r="H3435" s="1" t="s">
        <v>59</v>
      </c>
      <c r="I3435">
        <v>17</v>
      </c>
      <c r="J3435">
        <v>2219</v>
      </c>
      <c r="K3435" s="1" t="s">
        <v>107</v>
      </c>
      <c r="L3435" s="1" t="s">
        <v>23</v>
      </c>
      <c r="M3435">
        <v>0</v>
      </c>
      <c r="N3435">
        <v>0</v>
      </c>
      <c r="O3435">
        <v>0</v>
      </c>
      <c r="P3435" s="2">
        <v>43132</v>
      </c>
      <c r="Q3435">
        <v>0</v>
      </c>
      <c r="R3435" s="1" t="s">
        <v>61</v>
      </c>
    </row>
    <row r="3436" spans="1:18" x14ac:dyDescent="0.25">
      <c r="A3436">
        <v>2018</v>
      </c>
      <c r="B3436">
        <v>3</v>
      </c>
      <c r="C3436" s="1" t="s">
        <v>26</v>
      </c>
      <c r="D3436" s="1" t="s">
        <v>19</v>
      </c>
      <c r="E3436" s="1" t="s">
        <v>106</v>
      </c>
      <c r="F3436">
        <v>2016</v>
      </c>
      <c r="G3436">
        <v>2</v>
      </c>
      <c r="H3436" s="1" t="s">
        <v>59</v>
      </c>
      <c r="I3436">
        <v>17</v>
      </c>
      <c r="J3436">
        <v>2219</v>
      </c>
      <c r="K3436" s="1" t="s">
        <v>107</v>
      </c>
      <c r="L3436" s="1" t="s">
        <v>23</v>
      </c>
      <c r="M3436">
        <v>0</v>
      </c>
      <c r="N3436">
        <v>0</v>
      </c>
      <c r="O3436">
        <v>0</v>
      </c>
      <c r="P3436" s="2">
        <v>43160</v>
      </c>
      <c r="Q3436">
        <v>0</v>
      </c>
      <c r="R3436" s="1" t="s">
        <v>61</v>
      </c>
    </row>
    <row r="3437" spans="1:18" x14ac:dyDescent="0.25">
      <c r="A3437">
        <v>2018</v>
      </c>
      <c r="B3437">
        <v>4</v>
      </c>
      <c r="C3437" s="1" t="s">
        <v>27</v>
      </c>
      <c r="D3437" s="1" t="s">
        <v>19</v>
      </c>
      <c r="E3437" s="1" t="s">
        <v>106</v>
      </c>
      <c r="F3437">
        <v>2016</v>
      </c>
      <c r="G3437">
        <v>2</v>
      </c>
      <c r="H3437" s="1" t="s">
        <v>59</v>
      </c>
      <c r="I3437">
        <v>17</v>
      </c>
      <c r="J3437">
        <v>2219</v>
      </c>
      <c r="K3437" s="1" t="s">
        <v>107</v>
      </c>
      <c r="L3437" s="1" t="s">
        <v>23</v>
      </c>
      <c r="M3437">
        <v>0</v>
      </c>
      <c r="N3437">
        <v>0</v>
      </c>
      <c r="O3437">
        <v>0</v>
      </c>
      <c r="P3437" s="2">
        <v>43191</v>
      </c>
      <c r="Q3437">
        <v>0</v>
      </c>
      <c r="R3437" s="1" t="s">
        <v>61</v>
      </c>
    </row>
    <row r="3438" spans="1:18" x14ac:dyDescent="0.25">
      <c r="A3438">
        <v>2018</v>
      </c>
      <c r="B3438">
        <v>5</v>
      </c>
      <c r="C3438" s="1" t="s">
        <v>28</v>
      </c>
      <c r="D3438" s="1" t="s">
        <v>19</v>
      </c>
      <c r="E3438" s="1" t="s">
        <v>106</v>
      </c>
      <c r="F3438">
        <v>2016</v>
      </c>
      <c r="G3438">
        <v>2</v>
      </c>
      <c r="H3438" s="1" t="s">
        <v>59</v>
      </c>
      <c r="I3438">
        <v>17</v>
      </c>
      <c r="J3438">
        <v>2219</v>
      </c>
      <c r="K3438" s="1" t="s">
        <v>107</v>
      </c>
      <c r="L3438" s="1" t="s">
        <v>23</v>
      </c>
      <c r="M3438">
        <v>0</v>
      </c>
      <c r="N3438">
        <v>0</v>
      </c>
      <c r="O3438">
        <v>0</v>
      </c>
      <c r="P3438" s="2">
        <v>43221</v>
      </c>
      <c r="Q3438">
        <v>0</v>
      </c>
      <c r="R3438" s="1" t="s">
        <v>61</v>
      </c>
    </row>
    <row r="3439" spans="1:18" x14ac:dyDescent="0.25">
      <c r="A3439">
        <v>2018</v>
      </c>
      <c r="B3439">
        <v>6</v>
      </c>
      <c r="C3439" s="1" t="s">
        <v>29</v>
      </c>
      <c r="D3439" s="1" t="s">
        <v>19</v>
      </c>
      <c r="E3439" s="1" t="s">
        <v>106</v>
      </c>
      <c r="F3439">
        <v>2016</v>
      </c>
      <c r="G3439">
        <v>2</v>
      </c>
      <c r="H3439" s="1" t="s">
        <v>59</v>
      </c>
      <c r="I3439">
        <v>17</v>
      </c>
      <c r="J3439">
        <v>2219</v>
      </c>
      <c r="K3439" s="1" t="s">
        <v>107</v>
      </c>
      <c r="L3439" s="1" t="s">
        <v>23</v>
      </c>
      <c r="M3439">
        <v>0</v>
      </c>
      <c r="N3439">
        <v>0</v>
      </c>
      <c r="O3439">
        <v>0</v>
      </c>
      <c r="P3439" s="2">
        <v>43252</v>
      </c>
      <c r="Q3439">
        <v>0</v>
      </c>
      <c r="R3439" s="1" t="s">
        <v>61</v>
      </c>
    </row>
    <row r="3440" spans="1:18" x14ac:dyDescent="0.25">
      <c r="A3440">
        <v>2018</v>
      </c>
      <c r="B3440">
        <v>7</v>
      </c>
      <c r="C3440" s="1" t="s">
        <v>30</v>
      </c>
      <c r="D3440" s="1" t="s">
        <v>19</v>
      </c>
      <c r="E3440" s="1" t="s">
        <v>106</v>
      </c>
      <c r="F3440">
        <v>2016</v>
      </c>
      <c r="G3440">
        <v>2</v>
      </c>
      <c r="H3440" s="1" t="s">
        <v>59</v>
      </c>
      <c r="I3440">
        <v>17</v>
      </c>
      <c r="J3440">
        <v>2219</v>
      </c>
      <c r="K3440" s="1" t="s">
        <v>107</v>
      </c>
      <c r="L3440" s="1" t="s">
        <v>23</v>
      </c>
      <c r="M3440">
        <v>0</v>
      </c>
      <c r="N3440">
        <v>0</v>
      </c>
      <c r="O3440">
        <v>0</v>
      </c>
      <c r="P3440" s="2">
        <v>43282</v>
      </c>
      <c r="Q3440">
        <v>0</v>
      </c>
      <c r="R3440" s="1" t="s">
        <v>61</v>
      </c>
    </row>
    <row r="3441" spans="1:18" x14ac:dyDescent="0.25">
      <c r="A3441">
        <v>2018</v>
      </c>
      <c r="B3441">
        <v>8</v>
      </c>
      <c r="C3441" s="1" t="s">
        <v>31</v>
      </c>
      <c r="D3441" s="1" t="s">
        <v>19</v>
      </c>
      <c r="E3441" s="1" t="s">
        <v>106</v>
      </c>
      <c r="F3441">
        <v>2016</v>
      </c>
      <c r="G3441">
        <v>2</v>
      </c>
      <c r="H3441" s="1" t="s">
        <v>59</v>
      </c>
      <c r="I3441">
        <v>17</v>
      </c>
      <c r="J3441">
        <v>2219</v>
      </c>
      <c r="K3441" s="1" t="s">
        <v>107</v>
      </c>
      <c r="L3441" s="1" t="s">
        <v>23</v>
      </c>
      <c r="M3441">
        <v>0</v>
      </c>
      <c r="N3441">
        <v>0</v>
      </c>
      <c r="O3441">
        <v>0</v>
      </c>
      <c r="P3441" s="2">
        <v>43313</v>
      </c>
      <c r="Q3441">
        <v>0</v>
      </c>
      <c r="R3441" s="1" t="s">
        <v>61</v>
      </c>
    </row>
    <row r="3442" spans="1:18" x14ac:dyDescent="0.25">
      <c r="A3442">
        <v>2018</v>
      </c>
      <c r="B3442">
        <v>9</v>
      </c>
      <c r="C3442" s="1" t="s">
        <v>32</v>
      </c>
      <c r="D3442" s="1" t="s">
        <v>19</v>
      </c>
      <c r="E3442" s="1" t="s">
        <v>106</v>
      </c>
      <c r="F3442">
        <v>2016</v>
      </c>
      <c r="G3442">
        <v>2</v>
      </c>
      <c r="H3442" s="1" t="s">
        <v>59</v>
      </c>
      <c r="I3442">
        <v>17</v>
      </c>
      <c r="J3442">
        <v>2219</v>
      </c>
      <c r="K3442" s="1" t="s">
        <v>107</v>
      </c>
      <c r="L3442" s="1" t="s">
        <v>23</v>
      </c>
      <c r="M3442">
        <v>0</v>
      </c>
      <c r="N3442">
        <v>0</v>
      </c>
      <c r="O3442">
        <v>0</v>
      </c>
      <c r="P3442" s="2">
        <v>43344</v>
      </c>
      <c r="Q3442">
        <v>0</v>
      </c>
      <c r="R3442" s="1" t="s">
        <v>61</v>
      </c>
    </row>
    <row r="3443" spans="1:18" x14ac:dyDescent="0.25">
      <c r="A3443">
        <v>2018</v>
      </c>
      <c r="B3443">
        <v>10</v>
      </c>
      <c r="C3443" s="1" t="s">
        <v>33</v>
      </c>
      <c r="D3443" s="1" t="s">
        <v>19</v>
      </c>
      <c r="E3443" s="1" t="s">
        <v>106</v>
      </c>
      <c r="F3443">
        <v>2016</v>
      </c>
      <c r="G3443">
        <v>2</v>
      </c>
      <c r="H3443" s="1" t="s">
        <v>59</v>
      </c>
      <c r="I3443">
        <v>17</v>
      </c>
      <c r="J3443">
        <v>2219</v>
      </c>
      <c r="K3443" s="1" t="s">
        <v>107</v>
      </c>
      <c r="L3443" s="1" t="s">
        <v>23</v>
      </c>
      <c r="M3443">
        <v>0</v>
      </c>
      <c r="N3443">
        <v>0</v>
      </c>
      <c r="O3443">
        <v>0</v>
      </c>
      <c r="P3443" s="2">
        <v>43374</v>
      </c>
      <c r="Q3443">
        <v>0</v>
      </c>
      <c r="R3443" s="1" t="s">
        <v>61</v>
      </c>
    </row>
    <row r="3444" spans="1:18" x14ac:dyDescent="0.25">
      <c r="A3444">
        <v>2018</v>
      </c>
      <c r="B3444">
        <v>11</v>
      </c>
      <c r="C3444" s="1" t="s">
        <v>34</v>
      </c>
      <c r="D3444" s="1" t="s">
        <v>19</v>
      </c>
      <c r="E3444" s="1" t="s">
        <v>106</v>
      </c>
      <c r="F3444">
        <v>2016</v>
      </c>
      <c r="G3444">
        <v>2</v>
      </c>
      <c r="H3444" s="1" t="s">
        <v>59</v>
      </c>
      <c r="I3444">
        <v>17</v>
      </c>
      <c r="J3444">
        <v>2219</v>
      </c>
      <c r="K3444" s="1" t="s">
        <v>107</v>
      </c>
      <c r="L3444" s="1" t="s">
        <v>23</v>
      </c>
      <c r="M3444">
        <v>0</v>
      </c>
      <c r="N3444">
        <v>0</v>
      </c>
      <c r="O3444">
        <v>0</v>
      </c>
      <c r="P3444" s="2">
        <v>43405</v>
      </c>
      <c r="Q3444">
        <v>0</v>
      </c>
      <c r="R3444" s="1" t="s">
        <v>61</v>
      </c>
    </row>
    <row r="3445" spans="1:18" x14ac:dyDescent="0.25">
      <c r="A3445">
        <v>2018</v>
      </c>
      <c r="B3445">
        <v>12</v>
      </c>
      <c r="C3445" s="1" t="s">
        <v>35</v>
      </c>
      <c r="D3445" s="1" t="s">
        <v>19</v>
      </c>
      <c r="E3445" s="1" t="s">
        <v>106</v>
      </c>
      <c r="F3445">
        <v>2016</v>
      </c>
      <c r="G3445">
        <v>2</v>
      </c>
      <c r="H3445" s="1" t="s">
        <v>59</v>
      </c>
      <c r="I3445">
        <v>17</v>
      </c>
      <c r="J3445">
        <v>2219</v>
      </c>
      <c r="K3445" s="1" t="s">
        <v>107</v>
      </c>
      <c r="L3445" s="1" t="s">
        <v>23</v>
      </c>
      <c r="M3445">
        <v>0</v>
      </c>
      <c r="N3445">
        <v>0</v>
      </c>
      <c r="O3445">
        <v>0</v>
      </c>
      <c r="P3445" s="2">
        <v>43435</v>
      </c>
      <c r="Q3445">
        <v>0</v>
      </c>
      <c r="R3445" s="1" t="s">
        <v>61</v>
      </c>
    </row>
    <row r="3446" spans="1:18" x14ac:dyDescent="0.25">
      <c r="A3446">
        <v>2018</v>
      </c>
      <c r="B3446">
        <v>1</v>
      </c>
      <c r="C3446" s="1" t="s">
        <v>18</v>
      </c>
      <c r="D3446" s="1" t="s">
        <v>19</v>
      </c>
      <c r="E3446" s="1" t="s">
        <v>108</v>
      </c>
      <c r="F3446">
        <v>2016</v>
      </c>
      <c r="G3446">
        <v>2</v>
      </c>
      <c r="H3446" s="1" t="s">
        <v>59</v>
      </c>
      <c r="I3446">
        <v>15</v>
      </c>
      <c r="J3446">
        <v>2142</v>
      </c>
      <c r="K3446" s="1" t="s">
        <v>109</v>
      </c>
      <c r="L3446" s="1" t="s">
        <v>23</v>
      </c>
      <c r="M3446">
        <v>0</v>
      </c>
      <c r="N3446">
        <v>0</v>
      </c>
      <c r="O3446">
        <v>0</v>
      </c>
      <c r="P3446" s="2">
        <v>43101</v>
      </c>
      <c r="Q3446">
        <v>0</v>
      </c>
      <c r="R3446" s="1" t="s">
        <v>61</v>
      </c>
    </row>
    <row r="3447" spans="1:18" x14ac:dyDescent="0.25">
      <c r="A3447">
        <v>2018</v>
      </c>
      <c r="B3447">
        <v>2</v>
      </c>
      <c r="C3447" s="1" t="s">
        <v>25</v>
      </c>
      <c r="D3447" s="1" t="s">
        <v>19</v>
      </c>
      <c r="E3447" s="1" t="s">
        <v>108</v>
      </c>
      <c r="F3447">
        <v>2016</v>
      </c>
      <c r="G3447">
        <v>2</v>
      </c>
      <c r="H3447" s="1" t="s">
        <v>59</v>
      </c>
      <c r="I3447">
        <v>15</v>
      </c>
      <c r="J3447">
        <v>2142</v>
      </c>
      <c r="K3447" s="1" t="s">
        <v>109</v>
      </c>
      <c r="L3447" s="1" t="s">
        <v>23</v>
      </c>
      <c r="M3447">
        <v>0</v>
      </c>
      <c r="N3447">
        <v>0</v>
      </c>
      <c r="O3447">
        <v>0</v>
      </c>
      <c r="P3447" s="2">
        <v>43132</v>
      </c>
      <c r="Q3447">
        <v>0</v>
      </c>
      <c r="R3447" s="1" t="s">
        <v>61</v>
      </c>
    </row>
    <row r="3448" spans="1:18" x14ac:dyDescent="0.25">
      <c r="A3448">
        <v>2018</v>
      </c>
      <c r="B3448">
        <v>3</v>
      </c>
      <c r="C3448" s="1" t="s">
        <v>26</v>
      </c>
      <c r="D3448" s="1" t="s">
        <v>19</v>
      </c>
      <c r="E3448" s="1" t="s">
        <v>108</v>
      </c>
      <c r="F3448">
        <v>2016</v>
      </c>
      <c r="G3448">
        <v>2</v>
      </c>
      <c r="H3448" s="1" t="s">
        <v>59</v>
      </c>
      <c r="I3448">
        <v>15</v>
      </c>
      <c r="J3448">
        <v>2142</v>
      </c>
      <c r="K3448" s="1" t="s">
        <v>109</v>
      </c>
      <c r="L3448" s="1" t="s">
        <v>23</v>
      </c>
      <c r="M3448">
        <v>0</v>
      </c>
      <c r="N3448">
        <v>0</v>
      </c>
      <c r="O3448">
        <v>0</v>
      </c>
      <c r="P3448" s="2">
        <v>43160</v>
      </c>
      <c r="Q3448">
        <v>0</v>
      </c>
      <c r="R3448" s="1" t="s">
        <v>61</v>
      </c>
    </row>
    <row r="3449" spans="1:18" x14ac:dyDescent="0.25">
      <c r="A3449">
        <v>2018</v>
      </c>
      <c r="B3449">
        <v>4</v>
      </c>
      <c r="C3449" s="1" t="s">
        <v>27</v>
      </c>
      <c r="D3449" s="1" t="s">
        <v>19</v>
      </c>
      <c r="E3449" s="1" t="s">
        <v>108</v>
      </c>
      <c r="F3449">
        <v>2016</v>
      </c>
      <c r="G3449">
        <v>2</v>
      </c>
      <c r="H3449" s="1" t="s">
        <v>59</v>
      </c>
      <c r="I3449">
        <v>15</v>
      </c>
      <c r="J3449">
        <v>2142</v>
      </c>
      <c r="K3449" s="1" t="s">
        <v>109</v>
      </c>
      <c r="L3449" s="1" t="s">
        <v>23</v>
      </c>
      <c r="M3449">
        <v>0</v>
      </c>
      <c r="N3449">
        <v>0</v>
      </c>
      <c r="O3449">
        <v>0</v>
      </c>
      <c r="P3449" s="2">
        <v>43191</v>
      </c>
      <c r="Q3449">
        <v>0</v>
      </c>
      <c r="R3449" s="1" t="s">
        <v>61</v>
      </c>
    </row>
    <row r="3450" spans="1:18" x14ac:dyDescent="0.25">
      <c r="A3450">
        <v>2018</v>
      </c>
      <c r="B3450">
        <v>5</v>
      </c>
      <c r="C3450" s="1" t="s">
        <v>28</v>
      </c>
      <c r="D3450" s="1" t="s">
        <v>19</v>
      </c>
      <c r="E3450" s="1" t="s">
        <v>108</v>
      </c>
      <c r="F3450">
        <v>2016</v>
      </c>
      <c r="G3450">
        <v>2</v>
      </c>
      <c r="H3450" s="1" t="s">
        <v>59</v>
      </c>
      <c r="I3450">
        <v>15</v>
      </c>
      <c r="J3450">
        <v>2142</v>
      </c>
      <c r="K3450" s="1" t="s">
        <v>109</v>
      </c>
      <c r="L3450" s="1" t="s">
        <v>23</v>
      </c>
      <c r="M3450">
        <v>0</v>
      </c>
      <c r="N3450">
        <v>0</v>
      </c>
      <c r="O3450">
        <v>0</v>
      </c>
      <c r="P3450" s="2">
        <v>43221</v>
      </c>
      <c r="Q3450">
        <v>0</v>
      </c>
      <c r="R3450" s="1" t="s">
        <v>61</v>
      </c>
    </row>
    <row r="3451" spans="1:18" x14ac:dyDescent="0.25">
      <c r="A3451">
        <v>2018</v>
      </c>
      <c r="B3451">
        <v>6</v>
      </c>
      <c r="C3451" s="1" t="s">
        <v>29</v>
      </c>
      <c r="D3451" s="1" t="s">
        <v>19</v>
      </c>
      <c r="E3451" s="1" t="s">
        <v>108</v>
      </c>
      <c r="F3451">
        <v>2016</v>
      </c>
      <c r="G3451">
        <v>2</v>
      </c>
      <c r="H3451" s="1" t="s">
        <v>59</v>
      </c>
      <c r="I3451">
        <v>15</v>
      </c>
      <c r="J3451">
        <v>2142</v>
      </c>
      <c r="K3451" s="1" t="s">
        <v>109</v>
      </c>
      <c r="L3451" s="1" t="s">
        <v>23</v>
      </c>
      <c r="M3451">
        <v>0</v>
      </c>
      <c r="N3451">
        <v>0</v>
      </c>
      <c r="O3451">
        <v>0</v>
      </c>
      <c r="P3451" s="2">
        <v>43252</v>
      </c>
      <c r="Q3451">
        <v>0</v>
      </c>
      <c r="R3451" s="1" t="s">
        <v>61</v>
      </c>
    </row>
    <row r="3452" spans="1:18" x14ac:dyDescent="0.25">
      <c r="A3452">
        <v>2018</v>
      </c>
      <c r="B3452">
        <v>7</v>
      </c>
      <c r="C3452" s="1" t="s">
        <v>30</v>
      </c>
      <c r="D3452" s="1" t="s">
        <v>19</v>
      </c>
      <c r="E3452" s="1" t="s">
        <v>108</v>
      </c>
      <c r="F3452">
        <v>2016</v>
      </c>
      <c r="G3452">
        <v>2</v>
      </c>
      <c r="H3452" s="1" t="s">
        <v>59</v>
      </c>
      <c r="I3452">
        <v>15</v>
      </c>
      <c r="J3452">
        <v>2142</v>
      </c>
      <c r="K3452" s="1" t="s">
        <v>109</v>
      </c>
      <c r="L3452" s="1" t="s">
        <v>23</v>
      </c>
      <c r="M3452">
        <v>0</v>
      </c>
      <c r="N3452">
        <v>0</v>
      </c>
      <c r="O3452">
        <v>0</v>
      </c>
      <c r="P3452" s="2">
        <v>43282</v>
      </c>
      <c r="Q3452">
        <v>0</v>
      </c>
      <c r="R3452" s="1" t="s">
        <v>61</v>
      </c>
    </row>
    <row r="3453" spans="1:18" x14ac:dyDescent="0.25">
      <c r="A3453">
        <v>2018</v>
      </c>
      <c r="B3453">
        <v>8</v>
      </c>
      <c r="C3453" s="1" t="s">
        <v>31</v>
      </c>
      <c r="D3453" s="1" t="s">
        <v>19</v>
      </c>
      <c r="E3453" s="1" t="s">
        <v>108</v>
      </c>
      <c r="F3453">
        <v>2016</v>
      </c>
      <c r="G3453">
        <v>2</v>
      </c>
      <c r="H3453" s="1" t="s">
        <v>59</v>
      </c>
      <c r="I3453">
        <v>15</v>
      </c>
      <c r="J3453">
        <v>2142</v>
      </c>
      <c r="K3453" s="1" t="s">
        <v>109</v>
      </c>
      <c r="L3453" s="1" t="s">
        <v>23</v>
      </c>
      <c r="M3453">
        <v>0</v>
      </c>
      <c r="N3453">
        <v>0</v>
      </c>
      <c r="O3453">
        <v>0</v>
      </c>
      <c r="P3453" s="2">
        <v>43313</v>
      </c>
      <c r="Q3453">
        <v>0</v>
      </c>
      <c r="R3453" s="1" t="s">
        <v>61</v>
      </c>
    </row>
    <row r="3454" spans="1:18" x14ac:dyDescent="0.25">
      <c r="A3454">
        <v>2018</v>
      </c>
      <c r="B3454">
        <v>9</v>
      </c>
      <c r="C3454" s="1" t="s">
        <v>32</v>
      </c>
      <c r="D3454" s="1" t="s">
        <v>19</v>
      </c>
      <c r="E3454" s="1" t="s">
        <v>108</v>
      </c>
      <c r="F3454">
        <v>2016</v>
      </c>
      <c r="G3454">
        <v>2</v>
      </c>
      <c r="H3454" s="1" t="s">
        <v>59</v>
      </c>
      <c r="I3454">
        <v>15</v>
      </c>
      <c r="J3454">
        <v>2142</v>
      </c>
      <c r="K3454" s="1" t="s">
        <v>109</v>
      </c>
      <c r="L3454" s="1" t="s">
        <v>23</v>
      </c>
      <c r="M3454">
        <v>0</v>
      </c>
      <c r="N3454">
        <v>0</v>
      </c>
      <c r="O3454">
        <v>0</v>
      </c>
      <c r="P3454" s="2">
        <v>43344</v>
      </c>
      <c r="Q3454">
        <v>0</v>
      </c>
      <c r="R3454" s="1" t="s">
        <v>61</v>
      </c>
    </row>
    <row r="3455" spans="1:18" x14ac:dyDescent="0.25">
      <c r="A3455">
        <v>2018</v>
      </c>
      <c r="B3455">
        <v>10</v>
      </c>
      <c r="C3455" s="1" t="s">
        <v>33</v>
      </c>
      <c r="D3455" s="1" t="s">
        <v>19</v>
      </c>
      <c r="E3455" s="1" t="s">
        <v>108</v>
      </c>
      <c r="F3455">
        <v>2016</v>
      </c>
      <c r="G3455">
        <v>2</v>
      </c>
      <c r="H3455" s="1" t="s">
        <v>59</v>
      </c>
      <c r="I3455">
        <v>15</v>
      </c>
      <c r="J3455">
        <v>2142</v>
      </c>
      <c r="K3455" s="1" t="s">
        <v>109</v>
      </c>
      <c r="L3455" s="1" t="s">
        <v>23</v>
      </c>
      <c r="M3455">
        <v>0</v>
      </c>
      <c r="N3455">
        <v>0</v>
      </c>
      <c r="O3455">
        <v>0</v>
      </c>
      <c r="P3455" s="2">
        <v>43374</v>
      </c>
      <c r="Q3455">
        <v>0</v>
      </c>
      <c r="R3455" s="1" t="s">
        <v>61</v>
      </c>
    </row>
    <row r="3456" spans="1:18" x14ac:dyDescent="0.25">
      <c r="A3456">
        <v>2018</v>
      </c>
      <c r="B3456">
        <v>11</v>
      </c>
      <c r="C3456" s="1" t="s">
        <v>34</v>
      </c>
      <c r="D3456" s="1" t="s">
        <v>19</v>
      </c>
      <c r="E3456" s="1" t="s">
        <v>108</v>
      </c>
      <c r="F3456">
        <v>2016</v>
      </c>
      <c r="G3456">
        <v>2</v>
      </c>
      <c r="H3456" s="1" t="s">
        <v>59</v>
      </c>
      <c r="I3456">
        <v>15</v>
      </c>
      <c r="J3456">
        <v>2142</v>
      </c>
      <c r="K3456" s="1" t="s">
        <v>109</v>
      </c>
      <c r="L3456" s="1" t="s">
        <v>23</v>
      </c>
      <c r="M3456">
        <v>0</v>
      </c>
      <c r="N3456">
        <v>0</v>
      </c>
      <c r="O3456">
        <v>0</v>
      </c>
      <c r="P3456" s="2">
        <v>43405</v>
      </c>
      <c r="Q3456">
        <v>0</v>
      </c>
      <c r="R3456" s="1" t="s">
        <v>61</v>
      </c>
    </row>
    <row r="3457" spans="1:18" x14ac:dyDescent="0.25">
      <c r="A3457">
        <v>2018</v>
      </c>
      <c r="B3457">
        <v>12</v>
      </c>
      <c r="C3457" s="1" t="s">
        <v>35</v>
      </c>
      <c r="D3457" s="1" t="s">
        <v>19</v>
      </c>
      <c r="E3457" s="1" t="s">
        <v>108</v>
      </c>
      <c r="F3457">
        <v>2016</v>
      </c>
      <c r="G3457">
        <v>2</v>
      </c>
      <c r="H3457" s="1" t="s">
        <v>59</v>
      </c>
      <c r="I3457">
        <v>15</v>
      </c>
      <c r="J3457">
        <v>2142</v>
      </c>
      <c r="K3457" s="1" t="s">
        <v>109</v>
      </c>
      <c r="L3457" s="1" t="s">
        <v>23</v>
      </c>
      <c r="M3457">
        <v>0</v>
      </c>
      <c r="N3457">
        <v>0</v>
      </c>
      <c r="O3457">
        <v>0</v>
      </c>
      <c r="P3457" s="2">
        <v>43435</v>
      </c>
      <c r="Q3457">
        <v>0</v>
      </c>
      <c r="R3457" s="1" t="s">
        <v>61</v>
      </c>
    </row>
    <row r="3458" spans="1:18" x14ac:dyDescent="0.25">
      <c r="A3458">
        <v>2018</v>
      </c>
      <c r="B3458">
        <v>1</v>
      </c>
      <c r="C3458" s="1" t="s">
        <v>18</v>
      </c>
      <c r="D3458" s="1" t="s">
        <v>19</v>
      </c>
      <c r="E3458" s="1" t="s">
        <v>110</v>
      </c>
      <c r="F3458">
        <v>2016</v>
      </c>
      <c r="G3458">
        <v>2</v>
      </c>
      <c r="H3458" s="1" t="s">
        <v>59</v>
      </c>
      <c r="I3458">
        <v>24</v>
      </c>
      <c r="J3458">
        <v>3324</v>
      </c>
      <c r="K3458" s="1" t="s">
        <v>111</v>
      </c>
      <c r="L3458" s="1" t="s">
        <v>23</v>
      </c>
      <c r="M3458">
        <v>0</v>
      </c>
      <c r="N3458">
        <v>0</v>
      </c>
      <c r="O3458">
        <v>0</v>
      </c>
      <c r="P3458" s="2">
        <v>43101</v>
      </c>
      <c r="Q3458">
        <v>0</v>
      </c>
      <c r="R3458" s="1" t="s">
        <v>61</v>
      </c>
    </row>
    <row r="3459" spans="1:18" x14ac:dyDescent="0.25">
      <c r="A3459">
        <v>2018</v>
      </c>
      <c r="B3459">
        <v>2</v>
      </c>
      <c r="C3459" s="1" t="s">
        <v>25</v>
      </c>
      <c r="D3459" s="1" t="s">
        <v>19</v>
      </c>
      <c r="E3459" s="1" t="s">
        <v>110</v>
      </c>
      <c r="F3459">
        <v>2016</v>
      </c>
      <c r="G3459">
        <v>2</v>
      </c>
      <c r="H3459" s="1" t="s">
        <v>59</v>
      </c>
      <c r="I3459">
        <v>24</v>
      </c>
      <c r="J3459">
        <v>3324</v>
      </c>
      <c r="K3459" s="1" t="s">
        <v>111</v>
      </c>
      <c r="L3459" s="1" t="s">
        <v>23</v>
      </c>
      <c r="M3459">
        <v>0</v>
      </c>
      <c r="N3459">
        <v>0</v>
      </c>
      <c r="O3459">
        <v>0</v>
      </c>
      <c r="P3459" s="2">
        <v>43132</v>
      </c>
      <c r="Q3459">
        <v>0</v>
      </c>
      <c r="R3459" s="1" t="s">
        <v>61</v>
      </c>
    </row>
    <row r="3460" spans="1:18" x14ac:dyDescent="0.25">
      <c r="A3460">
        <v>2018</v>
      </c>
      <c r="B3460">
        <v>3</v>
      </c>
      <c r="C3460" s="1" t="s">
        <v>26</v>
      </c>
      <c r="D3460" s="1" t="s">
        <v>19</v>
      </c>
      <c r="E3460" s="1" t="s">
        <v>110</v>
      </c>
      <c r="F3460">
        <v>2016</v>
      </c>
      <c r="G3460">
        <v>2</v>
      </c>
      <c r="H3460" s="1" t="s">
        <v>59</v>
      </c>
      <c r="I3460">
        <v>24</v>
      </c>
      <c r="J3460">
        <v>3324</v>
      </c>
      <c r="K3460" s="1" t="s">
        <v>111</v>
      </c>
      <c r="L3460" s="1" t="s">
        <v>23</v>
      </c>
      <c r="M3460">
        <v>0</v>
      </c>
      <c r="N3460">
        <v>0</v>
      </c>
      <c r="O3460">
        <v>0</v>
      </c>
      <c r="P3460" s="2">
        <v>43160</v>
      </c>
      <c r="Q3460">
        <v>0</v>
      </c>
      <c r="R3460" s="1" t="s">
        <v>61</v>
      </c>
    </row>
    <row r="3461" spans="1:18" x14ac:dyDescent="0.25">
      <c r="A3461">
        <v>2018</v>
      </c>
      <c r="B3461">
        <v>4</v>
      </c>
      <c r="C3461" s="1" t="s">
        <v>27</v>
      </c>
      <c r="D3461" s="1" t="s">
        <v>19</v>
      </c>
      <c r="E3461" s="1" t="s">
        <v>110</v>
      </c>
      <c r="F3461">
        <v>2016</v>
      </c>
      <c r="G3461">
        <v>2</v>
      </c>
      <c r="H3461" s="1" t="s">
        <v>59</v>
      </c>
      <c r="I3461">
        <v>24</v>
      </c>
      <c r="J3461">
        <v>3324</v>
      </c>
      <c r="K3461" s="1" t="s">
        <v>111</v>
      </c>
      <c r="L3461" s="1" t="s">
        <v>23</v>
      </c>
      <c r="M3461">
        <v>0</v>
      </c>
      <c r="N3461">
        <v>0</v>
      </c>
      <c r="O3461">
        <v>0</v>
      </c>
      <c r="P3461" s="2">
        <v>43191</v>
      </c>
      <c r="Q3461">
        <v>0</v>
      </c>
      <c r="R3461" s="1" t="s">
        <v>61</v>
      </c>
    </row>
    <row r="3462" spans="1:18" x14ac:dyDescent="0.25">
      <c r="A3462">
        <v>2018</v>
      </c>
      <c r="B3462">
        <v>5</v>
      </c>
      <c r="C3462" s="1" t="s">
        <v>28</v>
      </c>
      <c r="D3462" s="1" t="s">
        <v>19</v>
      </c>
      <c r="E3462" s="1" t="s">
        <v>110</v>
      </c>
      <c r="F3462">
        <v>2016</v>
      </c>
      <c r="G3462">
        <v>2</v>
      </c>
      <c r="H3462" s="1" t="s">
        <v>59</v>
      </c>
      <c r="I3462">
        <v>24</v>
      </c>
      <c r="J3462">
        <v>3324</v>
      </c>
      <c r="K3462" s="1" t="s">
        <v>111</v>
      </c>
      <c r="L3462" s="1" t="s">
        <v>23</v>
      </c>
      <c r="M3462">
        <v>0</v>
      </c>
      <c r="N3462">
        <v>0</v>
      </c>
      <c r="O3462">
        <v>0</v>
      </c>
      <c r="P3462" s="2">
        <v>43221</v>
      </c>
      <c r="Q3462">
        <v>0</v>
      </c>
      <c r="R3462" s="1" t="s">
        <v>61</v>
      </c>
    </row>
    <row r="3463" spans="1:18" x14ac:dyDescent="0.25">
      <c r="A3463">
        <v>2018</v>
      </c>
      <c r="B3463">
        <v>6</v>
      </c>
      <c r="C3463" s="1" t="s">
        <v>29</v>
      </c>
      <c r="D3463" s="1" t="s">
        <v>19</v>
      </c>
      <c r="E3463" s="1" t="s">
        <v>110</v>
      </c>
      <c r="F3463">
        <v>2016</v>
      </c>
      <c r="G3463">
        <v>2</v>
      </c>
      <c r="H3463" s="1" t="s">
        <v>59</v>
      </c>
      <c r="I3463">
        <v>24</v>
      </c>
      <c r="J3463">
        <v>3324</v>
      </c>
      <c r="K3463" s="1" t="s">
        <v>111</v>
      </c>
      <c r="L3463" s="1" t="s">
        <v>23</v>
      </c>
      <c r="M3463">
        <v>0</v>
      </c>
      <c r="N3463">
        <v>0</v>
      </c>
      <c r="O3463">
        <v>0</v>
      </c>
      <c r="P3463" s="2">
        <v>43252</v>
      </c>
      <c r="Q3463">
        <v>0</v>
      </c>
      <c r="R3463" s="1" t="s">
        <v>61</v>
      </c>
    </row>
    <row r="3464" spans="1:18" x14ac:dyDescent="0.25">
      <c r="A3464">
        <v>2018</v>
      </c>
      <c r="B3464">
        <v>7</v>
      </c>
      <c r="C3464" s="1" t="s">
        <v>30</v>
      </c>
      <c r="D3464" s="1" t="s">
        <v>19</v>
      </c>
      <c r="E3464" s="1" t="s">
        <v>110</v>
      </c>
      <c r="F3464">
        <v>2016</v>
      </c>
      <c r="G3464">
        <v>2</v>
      </c>
      <c r="H3464" s="1" t="s">
        <v>59</v>
      </c>
      <c r="I3464">
        <v>24</v>
      </c>
      <c r="J3464">
        <v>3324</v>
      </c>
      <c r="K3464" s="1" t="s">
        <v>111</v>
      </c>
      <c r="L3464" s="1" t="s">
        <v>23</v>
      </c>
      <c r="M3464">
        <v>0</v>
      </c>
      <c r="N3464">
        <v>0</v>
      </c>
      <c r="O3464">
        <v>0</v>
      </c>
      <c r="P3464" s="2">
        <v>43282</v>
      </c>
      <c r="Q3464">
        <v>0</v>
      </c>
      <c r="R3464" s="1" t="s">
        <v>61</v>
      </c>
    </row>
    <row r="3465" spans="1:18" x14ac:dyDescent="0.25">
      <c r="A3465">
        <v>2018</v>
      </c>
      <c r="B3465">
        <v>8</v>
      </c>
      <c r="C3465" s="1" t="s">
        <v>31</v>
      </c>
      <c r="D3465" s="1" t="s">
        <v>19</v>
      </c>
      <c r="E3465" s="1" t="s">
        <v>110</v>
      </c>
      <c r="F3465">
        <v>2016</v>
      </c>
      <c r="G3465">
        <v>2</v>
      </c>
      <c r="H3465" s="1" t="s">
        <v>59</v>
      </c>
      <c r="I3465">
        <v>24</v>
      </c>
      <c r="J3465">
        <v>3324</v>
      </c>
      <c r="K3465" s="1" t="s">
        <v>111</v>
      </c>
      <c r="L3465" s="1" t="s">
        <v>23</v>
      </c>
      <c r="M3465">
        <v>0</v>
      </c>
      <c r="N3465">
        <v>0</v>
      </c>
      <c r="O3465">
        <v>0</v>
      </c>
      <c r="P3465" s="2">
        <v>43313</v>
      </c>
      <c r="Q3465">
        <v>0</v>
      </c>
      <c r="R3465" s="1" t="s">
        <v>61</v>
      </c>
    </row>
    <row r="3466" spans="1:18" x14ac:dyDescent="0.25">
      <c r="A3466">
        <v>2018</v>
      </c>
      <c r="B3466">
        <v>9</v>
      </c>
      <c r="C3466" s="1" t="s">
        <v>32</v>
      </c>
      <c r="D3466" s="1" t="s">
        <v>19</v>
      </c>
      <c r="E3466" s="1" t="s">
        <v>110</v>
      </c>
      <c r="F3466">
        <v>2016</v>
      </c>
      <c r="G3466">
        <v>2</v>
      </c>
      <c r="H3466" s="1" t="s">
        <v>59</v>
      </c>
      <c r="I3466">
        <v>24</v>
      </c>
      <c r="J3466">
        <v>3324</v>
      </c>
      <c r="K3466" s="1" t="s">
        <v>111</v>
      </c>
      <c r="L3466" s="1" t="s">
        <v>23</v>
      </c>
      <c r="M3466">
        <v>0</v>
      </c>
      <c r="N3466">
        <v>0</v>
      </c>
      <c r="O3466">
        <v>0</v>
      </c>
      <c r="P3466" s="2">
        <v>43344</v>
      </c>
      <c r="Q3466">
        <v>0</v>
      </c>
      <c r="R3466" s="1" t="s">
        <v>61</v>
      </c>
    </row>
    <row r="3467" spans="1:18" x14ac:dyDescent="0.25">
      <c r="A3467">
        <v>2018</v>
      </c>
      <c r="B3467">
        <v>10</v>
      </c>
      <c r="C3467" s="1" t="s">
        <v>33</v>
      </c>
      <c r="D3467" s="1" t="s">
        <v>19</v>
      </c>
      <c r="E3467" s="1" t="s">
        <v>110</v>
      </c>
      <c r="F3467">
        <v>2016</v>
      </c>
      <c r="G3467">
        <v>2</v>
      </c>
      <c r="H3467" s="1" t="s">
        <v>59</v>
      </c>
      <c r="I3467">
        <v>24</v>
      </c>
      <c r="J3467">
        <v>3324</v>
      </c>
      <c r="K3467" s="1" t="s">
        <v>111</v>
      </c>
      <c r="L3467" s="1" t="s">
        <v>23</v>
      </c>
      <c r="M3467">
        <v>0</v>
      </c>
      <c r="N3467">
        <v>0</v>
      </c>
      <c r="O3467">
        <v>0</v>
      </c>
      <c r="P3467" s="2">
        <v>43374</v>
      </c>
      <c r="Q3467">
        <v>0</v>
      </c>
      <c r="R3467" s="1" t="s">
        <v>61</v>
      </c>
    </row>
    <row r="3468" spans="1:18" x14ac:dyDescent="0.25">
      <c r="A3468">
        <v>2018</v>
      </c>
      <c r="B3468">
        <v>11</v>
      </c>
      <c r="C3468" s="1" t="s">
        <v>34</v>
      </c>
      <c r="D3468" s="1" t="s">
        <v>19</v>
      </c>
      <c r="E3468" s="1" t="s">
        <v>110</v>
      </c>
      <c r="F3468">
        <v>2016</v>
      </c>
      <c r="G3468">
        <v>2</v>
      </c>
      <c r="H3468" s="1" t="s">
        <v>59</v>
      </c>
      <c r="I3468">
        <v>24</v>
      </c>
      <c r="J3468">
        <v>3324</v>
      </c>
      <c r="K3468" s="1" t="s">
        <v>111</v>
      </c>
      <c r="L3468" s="1" t="s">
        <v>23</v>
      </c>
      <c r="M3468">
        <v>0</v>
      </c>
      <c r="N3468">
        <v>0</v>
      </c>
      <c r="O3468">
        <v>0</v>
      </c>
      <c r="P3468" s="2">
        <v>43405</v>
      </c>
      <c r="Q3468">
        <v>0</v>
      </c>
      <c r="R3468" s="1" t="s">
        <v>61</v>
      </c>
    </row>
    <row r="3469" spans="1:18" x14ac:dyDescent="0.25">
      <c r="A3469">
        <v>2018</v>
      </c>
      <c r="B3469">
        <v>12</v>
      </c>
      <c r="C3469" s="1" t="s">
        <v>35</v>
      </c>
      <c r="D3469" s="1" t="s">
        <v>19</v>
      </c>
      <c r="E3469" s="1" t="s">
        <v>110</v>
      </c>
      <c r="F3469">
        <v>2016</v>
      </c>
      <c r="G3469">
        <v>2</v>
      </c>
      <c r="H3469" s="1" t="s">
        <v>59</v>
      </c>
      <c r="I3469">
        <v>24</v>
      </c>
      <c r="J3469">
        <v>3324</v>
      </c>
      <c r="K3469" s="1" t="s">
        <v>111</v>
      </c>
      <c r="L3469" s="1" t="s">
        <v>23</v>
      </c>
      <c r="M3469">
        <v>0</v>
      </c>
      <c r="N3469">
        <v>0</v>
      </c>
      <c r="O3469">
        <v>0</v>
      </c>
      <c r="P3469" s="2">
        <v>43435</v>
      </c>
      <c r="Q3469">
        <v>0</v>
      </c>
      <c r="R3469" s="1" t="s">
        <v>61</v>
      </c>
    </row>
    <row r="3470" spans="1:18" x14ac:dyDescent="0.25">
      <c r="A3470">
        <v>2018</v>
      </c>
      <c r="B3470">
        <v>1</v>
      </c>
      <c r="C3470" s="1" t="s">
        <v>18</v>
      </c>
      <c r="D3470" s="1" t="s">
        <v>19</v>
      </c>
      <c r="E3470" s="1" t="s">
        <v>112</v>
      </c>
      <c r="F3470">
        <v>2016</v>
      </c>
      <c r="G3470">
        <v>2</v>
      </c>
      <c r="H3470" s="1" t="s">
        <v>59</v>
      </c>
      <c r="I3470">
        <v>20</v>
      </c>
      <c r="J3470">
        <v>2663</v>
      </c>
      <c r="K3470" s="1" t="s">
        <v>113</v>
      </c>
      <c r="L3470" s="1" t="s">
        <v>23</v>
      </c>
      <c r="M3470">
        <v>0</v>
      </c>
      <c r="N3470">
        <v>0</v>
      </c>
      <c r="O3470">
        <v>0</v>
      </c>
      <c r="P3470" s="2">
        <v>43101</v>
      </c>
      <c r="Q3470">
        <v>0</v>
      </c>
      <c r="R3470" s="1" t="s">
        <v>61</v>
      </c>
    </row>
    <row r="3471" spans="1:18" x14ac:dyDescent="0.25">
      <c r="A3471">
        <v>2018</v>
      </c>
      <c r="B3471">
        <v>2</v>
      </c>
      <c r="C3471" s="1" t="s">
        <v>25</v>
      </c>
      <c r="D3471" s="1" t="s">
        <v>19</v>
      </c>
      <c r="E3471" s="1" t="s">
        <v>112</v>
      </c>
      <c r="F3471">
        <v>2016</v>
      </c>
      <c r="G3471">
        <v>2</v>
      </c>
      <c r="H3471" s="1" t="s">
        <v>59</v>
      </c>
      <c r="I3471">
        <v>20</v>
      </c>
      <c r="J3471">
        <v>2663</v>
      </c>
      <c r="K3471" s="1" t="s">
        <v>113</v>
      </c>
      <c r="L3471" s="1" t="s">
        <v>23</v>
      </c>
      <c r="M3471">
        <v>0</v>
      </c>
      <c r="N3471">
        <v>0</v>
      </c>
      <c r="O3471">
        <v>0</v>
      </c>
      <c r="P3471" s="2">
        <v>43132</v>
      </c>
      <c r="Q3471">
        <v>0</v>
      </c>
      <c r="R3471" s="1" t="s">
        <v>61</v>
      </c>
    </row>
    <row r="3472" spans="1:18" x14ac:dyDescent="0.25">
      <c r="A3472">
        <v>2018</v>
      </c>
      <c r="B3472">
        <v>3</v>
      </c>
      <c r="C3472" s="1" t="s">
        <v>26</v>
      </c>
      <c r="D3472" s="1" t="s">
        <v>19</v>
      </c>
      <c r="E3472" s="1" t="s">
        <v>112</v>
      </c>
      <c r="F3472">
        <v>2016</v>
      </c>
      <c r="G3472">
        <v>2</v>
      </c>
      <c r="H3472" s="1" t="s">
        <v>59</v>
      </c>
      <c r="I3472">
        <v>20</v>
      </c>
      <c r="J3472">
        <v>2663</v>
      </c>
      <c r="K3472" s="1" t="s">
        <v>113</v>
      </c>
      <c r="L3472" s="1" t="s">
        <v>23</v>
      </c>
      <c r="M3472">
        <v>0</v>
      </c>
      <c r="N3472">
        <v>0</v>
      </c>
      <c r="O3472">
        <v>0</v>
      </c>
      <c r="P3472" s="2">
        <v>43160</v>
      </c>
      <c r="Q3472">
        <v>0</v>
      </c>
      <c r="R3472" s="1" t="s">
        <v>61</v>
      </c>
    </row>
    <row r="3473" spans="1:18" x14ac:dyDescent="0.25">
      <c r="A3473">
        <v>2018</v>
      </c>
      <c r="B3473">
        <v>4</v>
      </c>
      <c r="C3473" s="1" t="s">
        <v>27</v>
      </c>
      <c r="D3473" s="1" t="s">
        <v>19</v>
      </c>
      <c r="E3473" s="1" t="s">
        <v>112</v>
      </c>
      <c r="F3473">
        <v>2016</v>
      </c>
      <c r="G3473">
        <v>2</v>
      </c>
      <c r="H3473" s="1" t="s">
        <v>59</v>
      </c>
      <c r="I3473">
        <v>20</v>
      </c>
      <c r="J3473">
        <v>2663</v>
      </c>
      <c r="K3473" s="1" t="s">
        <v>113</v>
      </c>
      <c r="L3473" s="1" t="s">
        <v>23</v>
      </c>
      <c r="M3473">
        <v>0</v>
      </c>
      <c r="N3473">
        <v>0</v>
      </c>
      <c r="O3473">
        <v>0</v>
      </c>
      <c r="P3473" s="2">
        <v>43191</v>
      </c>
      <c r="Q3473">
        <v>0</v>
      </c>
      <c r="R3473" s="1" t="s">
        <v>61</v>
      </c>
    </row>
    <row r="3474" spans="1:18" x14ac:dyDescent="0.25">
      <c r="A3474">
        <v>2018</v>
      </c>
      <c r="B3474">
        <v>5</v>
      </c>
      <c r="C3474" s="1" t="s">
        <v>28</v>
      </c>
      <c r="D3474" s="1" t="s">
        <v>19</v>
      </c>
      <c r="E3474" s="1" t="s">
        <v>112</v>
      </c>
      <c r="F3474">
        <v>2016</v>
      </c>
      <c r="G3474">
        <v>2</v>
      </c>
      <c r="H3474" s="1" t="s">
        <v>59</v>
      </c>
      <c r="I3474">
        <v>20</v>
      </c>
      <c r="J3474">
        <v>2663</v>
      </c>
      <c r="K3474" s="1" t="s">
        <v>113</v>
      </c>
      <c r="L3474" s="1" t="s">
        <v>23</v>
      </c>
      <c r="M3474">
        <v>0</v>
      </c>
      <c r="N3474">
        <v>0</v>
      </c>
      <c r="O3474">
        <v>0</v>
      </c>
      <c r="P3474" s="2">
        <v>43221</v>
      </c>
      <c r="Q3474">
        <v>0</v>
      </c>
      <c r="R3474" s="1" t="s">
        <v>61</v>
      </c>
    </row>
    <row r="3475" spans="1:18" x14ac:dyDescent="0.25">
      <c r="A3475">
        <v>2018</v>
      </c>
      <c r="B3475">
        <v>6</v>
      </c>
      <c r="C3475" s="1" t="s">
        <v>29</v>
      </c>
      <c r="D3475" s="1" t="s">
        <v>19</v>
      </c>
      <c r="E3475" s="1" t="s">
        <v>112</v>
      </c>
      <c r="F3475">
        <v>2016</v>
      </c>
      <c r="G3475">
        <v>2</v>
      </c>
      <c r="H3475" s="1" t="s">
        <v>59</v>
      </c>
      <c r="I3475">
        <v>20</v>
      </c>
      <c r="J3475">
        <v>2663</v>
      </c>
      <c r="K3475" s="1" t="s">
        <v>113</v>
      </c>
      <c r="L3475" s="1" t="s">
        <v>23</v>
      </c>
      <c r="M3475">
        <v>0</v>
      </c>
      <c r="N3475">
        <v>0</v>
      </c>
      <c r="O3475">
        <v>0</v>
      </c>
      <c r="P3475" s="2">
        <v>43252</v>
      </c>
      <c r="Q3475">
        <v>0</v>
      </c>
      <c r="R3475" s="1" t="s">
        <v>61</v>
      </c>
    </row>
    <row r="3476" spans="1:18" x14ac:dyDescent="0.25">
      <c r="A3476">
        <v>2018</v>
      </c>
      <c r="B3476">
        <v>7</v>
      </c>
      <c r="C3476" s="1" t="s">
        <v>30</v>
      </c>
      <c r="D3476" s="1" t="s">
        <v>19</v>
      </c>
      <c r="E3476" s="1" t="s">
        <v>112</v>
      </c>
      <c r="F3476">
        <v>2016</v>
      </c>
      <c r="G3476">
        <v>2</v>
      </c>
      <c r="H3476" s="1" t="s">
        <v>59</v>
      </c>
      <c r="I3476">
        <v>20</v>
      </c>
      <c r="J3476">
        <v>2663</v>
      </c>
      <c r="K3476" s="1" t="s">
        <v>113</v>
      </c>
      <c r="L3476" s="1" t="s">
        <v>23</v>
      </c>
      <c r="M3476">
        <v>0</v>
      </c>
      <c r="N3476">
        <v>0</v>
      </c>
      <c r="O3476">
        <v>0</v>
      </c>
      <c r="P3476" s="2">
        <v>43282</v>
      </c>
      <c r="Q3476">
        <v>0</v>
      </c>
      <c r="R3476" s="1" t="s">
        <v>61</v>
      </c>
    </row>
    <row r="3477" spans="1:18" x14ac:dyDescent="0.25">
      <c r="A3477">
        <v>2018</v>
      </c>
      <c r="B3477">
        <v>8</v>
      </c>
      <c r="C3477" s="1" t="s">
        <v>31</v>
      </c>
      <c r="D3477" s="1" t="s">
        <v>19</v>
      </c>
      <c r="E3477" s="1" t="s">
        <v>112</v>
      </c>
      <c r="F3477">
        <v>2016</v>
      </c>
      <c r="G3477">
        <v>2</v>
      </c>
      <c r="H3477" s="1" t="s">
        <v>59</v>
      </c>
      <c r="I3477">
        <v>20</v>
      </c>
      <c r="J3477">
        <v>2663</v>
      </c>
      <c r="K3477" s="1" t="s">
        <v>113</v>
      </c>
      <c r="L3477" s="1" t="s">
        <v>23</v>
      </c>
      <c r="M3477">
        <v>0</v>
      </c>
      <c r="N3477">
        <v>0</v>
      </c>
      <c r="O3477">
        <v>0</v>
      </c>
      <c r="P3477" s="2">
        <v>43313</v>
      </c>
      <c r="Q3477">
        <v>0</v>
      </c>
      <c r="R3477" s="1" t="s">
        <v>61</v>
      </c>
    </row>
    <row r="3478" spans="1:18" x14ac:dyDescent="0.25">
      <c r="A3478">
        <v>2018</v>
      </c>
      <c r="B3478">
        <v>9</v>
      </c>
      <c r="C3478" s="1" t="s">
        <v>32</v>
      </c>
      <c r="D3478" s="1" t="s">
        <v>19</v>
      </c>
      <c r="E3478" s="1" t="s">
        <v>112</v>
      </c>
      <c r="F3478">
        <v>2016</v>
      </c>
      <c r="G3478">
        <v>2</v>
      </c>
      <c r="H3478" s="1" t="s">
        <v>59</v>
      </c>
      <c r="I3478">
        <v>20</v>
      </c>
      <c r="J3478">
        <v>2663</v>
      </c>
      <c r="K3478" s="1" t="s">
        <v>113</v>
      </c>
      <c r="L3478" s="1" t="s">
        <v>23</v>
      </c>
      <c r="M3478">
        <v>0</v>
      </c>
      <c r="N3478">
        <v>0</v>
      </c>
      <c r="O3478">
        <v>0</v>
      </c>
      <c r="P3478" s="2">
        <v>43344</v>
      </c>
      <c r="Q3478">
        <v>0</v>
      </c>
      <c r="R3478" s="1" t="s">
        <v>61</v>
      </c>
    </row>
    <row r="3479" spans="1:18" x14ac:dyDescent="0.25">
      <c r="A3479">
        <v>2018</v>
      </c>
      <c r="B3479">
        <v>10</v>
      </c>
      <c r="C3479" s="1" t="s">
        <v>33</v>
      </c>
      <c r="D3479" s="1" t="s">
        <v>19</v>
      </c>
      <c r="E3479" s="1" t="s">
        <v>112</v>
      </c>
      <c r="F3479">
        <v>2016</v>
      </c>
      <c r="G3479">
        <v>2</v>
      </c>
      <c r="H3479" s="1" t="s">
        <v>59</v>
      </c>
      <c r="I3479">
        <v>20</v>
      </c>
      <c r="J3479">
        <v>2663</v>
      </c>
      <c r="K3479" s="1" t="s">
        <v>113</v>
      </c>
      <c r="L3479" s="1" t="s">
        <v>23</v>
      </c>
      <c r="M3479">
        <v>0</v>
      </c>
      <c r="N3479">
        <v>0</v>
      </c>
      <c r="O3479">
        <v>0</v>
      </c>
      <c r="P3479" s="2">
        <v>43374</v>
      </c>
      <c r="Q3479">
        <v>0</v>
      </c>
      <c r="R3479" s="1" t="s">
        <v>61</v>
      </c>
    </row>
    <row r="3480" spans="1:18" x14ac:dyDescent="0.25">
      <c r="A3480">
        <v>2018</v>
      </c>
      <c r="B3480">
        <v>11</v>
      </c>
      <c r="C3480" s="1" t="s">
        <v>34</v>
      </c>
      <c r="D3480" s="1" t="s">
        <v>19</v>
      </c>
      <c r="E3480" s="1" t="s">
        <v>112</v>
      </c>
      <c r="F3480">
        <v>2016</v>
      </c>
      <c r="G3480">
        <v>2</v>
      </c>
      <c r="H3480" s="1" t="s">
        <v>59</v>
      </c>
      <c r="I3480">
        <v>20</v>
      </c>
      <c r="J3480">
        <v>2663</v>
      </c>
      <c r="K3480" s="1" t="s">
        <v>113</v>
      </c>
      <c r="L3480" s="1" t="s">
        <v>23</v>
      </c>
      <c r="M3480">
        <v>0</v>
      </c>
      <c r="N3480">
        <v>0</v>
      </c>
      <c r="O3480">
        <v>0</v>
      </c>
      <c r="P3480" s="2">
        <v>43405</v>
      </c>
      <c r="Q3480">
        <v>0</v>
      </c>
      <c r="R3480" s="1" t="s">
        <v>61</v>
      </c>
    </row>
    <row r="3481" spans="1:18" x14ac:dyDescent="0.25">
      <c r="A3481">
        <v>2018</v>
      </c>
      <c r="B3481">
        <v>12</v>
      </c>
      <c r="C3481" s="1" t="s">
        <v>35</v>
      </c>
      <c r="D3481" s="1" t="s">
        <v>19</v>
      </c>
      <c r="E3481" s="1" t="s">
        <v>112</v>
      </c>
      <c r="F3481">
        <v>2016</v>
      </c>
      <c r="G3481">
        <v>2</v>
      </c>
      <c r="H3481" s="1" t="s">
        <v>59</v>
      </c>
      <c r="I3481">
        <v>20</v>
      </c>
      <c r="J3481">
        <v>2663</v>
      </c>
      <c r="K3481" s="1" t="s">
        <v>113</v>
      </c>
      <c r="L3481" s="1" t="s">
        <v>23</v>
      </c>
      <c r="M3481">
        <v>0</v>
      </c>
      <c r="N3481">
        <v>0</v>
      </c>
      <c r="O3481">
        <v>0</v>
      </c>
      <c r="P3481" s="2">
        <v>43435</v>
      </c>
      <c r="Q3481">
        <v>0</v>
      </c>
      <c r="R3481" s="1" t="s">
        <v>61</v>
      </c>
    </row>
    <row r="3482" spans="1:18" x14ac:dyDescent="0.25">
      <c r="A3482">
        <v>2018</v>
      </c>
      <c r="B3482">
        <v>1</v>
      </c>
      <c r="C3482" s="1" t="s">
        <v>18</v>
      </c>
      <c r="D3482" s="1" t="s">
        <v>19</v>
      </c>
      <c r="E3482" s="1" t="s">
        <v>114</v>
      </c>
      <c r="F3482">
        <v>2016</v>
      </c>
      <c r="G3482">
        <v>2</v>
      </c>
      <c r="H3482" s="1" t="s">
        <v>59</v>
      </c>
      <c r="I3482">
        <v>14</v>
      </c>
      <c r="J3482">
        <v>1746</v>
      </c>
      <c r="K3482" s="1" t="s">
        <v>115</v>
      </c>
      <c r="L3482" s="1" t="s">
        <v>23</v>
      </c>
      <c r="M3482">
        <v>0</v>
      </c>
      <c r="N3482">
        <v>0</v>
      </c>
      <c r="O3482">
        <v>0</v>
      </c>
      <c r="P3482" s="2">
        <v>43101</v>
      </c>
      <c r="Q3482">
        <v>0</v>
      </c>
      <c r="R3482" s="1" t="s">
        <v>61</v>
      </c>
    </row>
    <row r="3483" spans="1:18" x14ac:dyDescent="0.25">
      <c r="A3483">
        <v>2018</v>
      </c>
      <c r="B3483">
        <v>2</v>
      </c>
      <c r="C3483" s="1" t="s">
        <v>25</v>
      </c>
      <c r="D3483" s="1" t="s">
        <v>19</v>
      </c>
      <c r="E3483" s="1" t="s">
        <v>114</v>
      </c>
      <c r="F3483">
        <v>2016</v>
      </c>
      <c r="G3483">
        <v>2</v>
      </c>
      <c r="H3483" s="1" t="s">
        <v>59</v>
      </c>
      <c r="I3483">
        <v>14</v>
      </c>
      <c r="J3483">
        <v>1746</v>
      </c>
      <c r="K3483" s="1" t="s">
        <v>115</v>
      </c>
      <c r="L3483" s="1" t="s">
        <v>23</v>
      </c>
      <c r="M3483">
        <v>0</v>
      </c>
      <c r="N3483">
        <v>0</v>
      </c>
      <c r="O3483">
        <v>0</v>
      </c>
      <c r="P3483" s="2">
        <v>43132</v>
      </c>
      <c r="Q3483">
        <v>0</v>
      </c>
      <c r="R3483" s="1" t="s">
        <v>61</v>
      </c>
    </row>
    <row r="3484" spans="1:18" x14ac:dyDescent="0.25">
      <c r="A3484">
        <v>2018</v>
      </c>
      <c r="B3484">
        <v>3</v>
      </c>
      <c r="C3484" s="1" t="s">
        <v>26</v>
      </c>
      <c r="D3484" s="1" t="s">
        <v>19</v>
      </c>
      <c r="E3484" s="1" t="s">
        <v>114</v>
      </c>
      <c r="F3484">
        <v>2016</v>
      </c>
      <c r="G3484">
        <v>2</v>
      </c>
      <c r="H3484" s="1" t="s">
        <v>59</v>
      </c>
      <c r="I3484">
        <v>14</v>
      </c>
      <c r="J3484">
        <v>1746</v>
      </c>
      <c r="K3484" s="1" t="s">
        <v>115</v>
      </c>
      <c r="L3484" s="1" t="s">
        <v>23</v>
      </c>
      <c r="M3484">
        <v>0</v>
      </c>
      <c r="N3484">
        <v>0</v>
      </c>
      <c r="O3484">
        <v>0</v>
      </c>
      <c r="P3484" s="2">
        <v>43160</v>
      </c>
      <c r="Q3484">
        <v>0</v>
      </c>
      <c r="R3484" s="1" t="s">
        <v>61</v>
      </c>
    </row>
    <row r="3485" spans="1:18" x14ac:dyDescent="0.25">
      <c r="A3485">
        <v>2018</v>
      </c>
      <c r="B3485">
        <v>4</v>
      </c>
      <c r="C3485" s="1" t="s">
        <v>27</v>
      </c>
      <c r="D3485" s="1" t="s">
        <v>19</v>
      </c>
      <c r="E3485" s="1" t="s">
        <v>114</v>
      </c>
      <c r="F3485">
        <v>2016</v>
      </c>
      <c r="G3485">
        <v>2</v>
      </c>
      <c r="H3485" s="1" t="s">
        <v>59</v>
      </c>
      <c r="I3485">
        <v>14</v>
      </c>
      <c r="J3485">
        <v>1746</v>
      </c>
      <c r="K3485" s="1" t="s">
        <v>115</v>
      </c>
      <c r="L3485" s="1" t="s">
        <v>23</v>
      </c>
      <c r="M3485">
        <v>0</v>
      </c>
      <c r="N3485">
        <v>0</v>
      </c>
      <c r="O3485">
        <v>0</v>
      </c>
      <c r="P3485" s="2">
        <v>43191</v>
      </c>
      <c r="Q3485">
        <v>0</v>
      </c>
      <c r="R3485" s="1" t="s">
        <v>61</v>
      </c>
    </row>
    <row r="3486" spans="1:18" x14ac:dyDescent="0.25">
      <c r="A3486">
        <v>2018</v>
      </c>
      <c r="B3486">
        <v>5</v>
      </c>
      <c r="C3486" s="1" t="s">
        <v>28</v>
      </c>
      <c r="D3486" s="1" t="s">
        <v>19</v>
      </c>
      <c r="E3486" s="1" t="s">
        <v>114</v>
      </c>
      <c r="F3486">
        <v>2016</v>
      </c>
      <c r="G3486">
        <v>2</v>
      </c>
      <c r="H3486" s="1" t="s">
        <v>59</v>
      </c>
      <c r="I3486">
        <v>14</v>
      </c>
      <c r="J3486">
        <v>1746</v>
      </c>
      <c r="K3486" s="1" t="s">
        <v>115</v>
      </c>
      <c r="L3486" s="1" t="s">
        <v>23</v>
      </c>
      <c r="M3486">
        <v>0</v>
      </c>
      <c r="N3486">
        <v>0</v>
      </c>
      <c r="O3486">
        <v>0</v>
      </c>
      <c r="P3486" s="2">
        <v>43221</v>
      </c>
      <c r="Q3486">
        <v>0</v>
      </c>
      <c r="R3486" s="1" t="s">
        <v>61</v>
      </c>
    </row>
    <row r="3487" spans="1:18" x14ac:dyDescent="0.25">
      <c r="A3487">
        <v>2018</v>
      </c>
      <c r="B3487">
        <v>6</v>
      </c>
      <c r="C3487" s="1" t="s">
        <v>29</v>
      </c>
      <c r="D3487" s="1" t="s">
        <v>19</v>
      </c>
      <c r="E3487" s="1" t="s">
        <v>114</v>
      </c>
      <c r="F3487">
        <v>2016</v>
      </c>
      <c r="G3487">
        <v>2</v>
      </c>
      <c r="H3487" s="1" t="s">
        <v>59</v>
      </c>
      <c r="I3487">
        <v>14</v>
      </c>
      <c r="J3487">
        <v>1746</v>
      </c>
      <c r="K3487" s="1" t="s">
        <v>115</v>
      </c>
      <c r="L3487" s="1" t="s">
        <v>23</v>
      </c>
      <c r="M3487">
        <v>0</v>
      </c>
      <c r="N3487">
        <v>0</v>
      </c>
      <c r="O3487">
        <v>0</v>
      </c>
      <c r="P3487" s="2">
        <v>43252</v>
      </c>
      <c r="Q3487">
        <v>0</v>
      </c>
      <c r="R3487" s="1" t="s">
        <v>61</v>
      </c>
    </row>
    <row r="3488" spans="1:18" x14ac:dyDescent="0.25">
      <c r="A3488">
        <v>2018</v>
      </c>
      <c r="B3488">
        <v>7</v>
      </c>
      <c r="C3488" s="1" t="s">
        <v>30</v>
      </c>
      <c r="D3488" s="1" t="s">
        <v>19</v>
      </c>
      <c r="E3488" s="1" t="s">
        <v>114</v>
      </c>
      <c r="F3488">
        <v>2016</v>
      </c>
      <c r="G3488">
        <v>2</v>
      </c>
      <c r="H3488" s="1" t="s">
        <v>59</v>
      </c>
      <c r="I3488">
        <v>14</v>
      </c>
      <c r="J3488">
        <v>1746</v>
      </c>
      <c r="K3488" s="1" t="s">
        <v>115</v>
      </c>
      <c r="L3488" s="1" t="s">
        <v>23</v>
      </c>
      <c r="M3488">
        <v>0</v>
      </c>
      <c r="N3488">
        <v>0</v>
      </c>
      <c r="O3488">
        <v>0</v>
      </c>
      <c r="P3488" s="2">
        <v>43282</v>
      </c>
      <c r="Q3488">
        <v>0</v>
      </c>
      <c r="R3488" s="1" t="s">
        <v>61</v>
      </c>
    </row>
    <row r="3489" spans="1:18" x14ac:dyDescent="0.25">
      <c r="A3489">
        <v>2018</v>
      </c>
      <c r="B3489">
        <v>8</v>
      </c>
      <c r="C3489" s="1" t="s">
        <v>31</v>
      </c>
      <c r="D3489" s="1" t="s">
        <v>19</v>
      </c>
      <c r="E3489" s="1" t="s">
        <v>114</v>
      </c>
      <c r="F3489">
        <v>2016</v>
      </c>
      <c r="G3489">
        <v>2</v>
      </c>
      <c r="H3489" s="1" t="s">
        <v>59</v>
      </c>
      <c r="I3489">
        <v>14</v>
      </c>
      <c r="J3489">
        <v>1746</v>
      </c>
      <c r="K3489" s="1" t="s">
        <v>115</v>
      </c>
      <c r="L3489" s="1" t="s">
        <v>23</v>
      </c>
      <c r="M3489">
        <v>0</v>
      </c>
      <c r="N3489">
        <v>0</v>
      </c>
      <c r="O3489">
        <v>0</v>
      </c>
      <c r="P3489" s="2">
        <v>43313</v>
      </c>
      <c r="Q3489">
        <v>0</v>
      </c>
      <c r="R3489" s="1" t="s">
        <v>61</v>
      </c>
    </row>
    <row r="3490" spans="1:18" x14ac:dyDescent="0.25">
      <c r="A3490">
        <v>2018</v>
      </c>
      <c r="B3490">
        <v>9</v>
      </c>
      <c r="C3490" s="1" t="s">
        <v>32</v>
      </c>
      <c r="D3490" s="1" t="s">
        <v>19</v>
      </c>
      <c r="E3490" s="1" t="s">
        <v>114</v>
      </c>
      <c r="F3490">
        <v>2016</v>
      </c>
      <c r="G3490">
        <v>2</v>
      </c>
      <c r="H3490" s="1" t="s">
        <v>59</v>
      </c>
      <c r="I3490">
        <v>14</v>
      </c>
      <c r="J3490">
        <v>1746</v>
      </c>
      <c r="K3490" s="1" t="s">
        <v>115</v>
      </c>
      <c r="L3490" s="1" t="s">
        <v>23</v>
      </c>
      <c r="M3490">
        <v>0</v>
      </c>
      <c r="N3490">
        <v>0</v>
      </c>
      <c r="O3490">
        <v>0</v>
      </c>
      <c r="P3490" s="2">
        <v>43344</v>
      </c>
      <c r="Q3490">
        <v>0</v>
      </c>
      <c r="R3490" s="1" t="s">
        <v>61</v>
      </c>
    </row>
    <row r="3491" spans="1:18" x14ac:dyDescent="0.25">
      <c r="A3491">
        <v>2018</v>
      </c>
      <c r="B3491">
        <v>10</v>
      </c>
      <c r="C3491" s="1" t="s">
        <v>33</v>
      </c>
      <c r="D3491" s="1" t="s">
        <v>19</v>
      </c>
      <c r="E3491" s="1" t="s">
        <v>114</v>
      </c>
      <c r="F3491">
        <v>2016</v>
      </c>
      <c r="G3491">
        <v>2</v>
      </c>
      <c r="H3491" s="1" t="s">
        <v>59</v>
      </c>
      <c r="I3491">
        <v>14</v>
      </c>
      <c r="J3491">
        <v>1746</v>
      </c>
      <c r="K3491" s="1" t="s">
        <v>115</v>
      </c>
      <c r="L3491" s="1" t="s">
        <v>23</v>
      </c>
      <c r="M3491">
        <v>0</v>
      </c>
      <c r="N3491">
        <v>0</v>
      </c>
      <c r="O3491">
        <v>0</v>
      </c>
      <c r="P3491" s="2">
        <v>43374</v>
      </c>
      <c r="Q3491">
        <v>0</v>
      </c>
      <c r="R3491" s="1" t="s">
        <v>61</v>
      </c>
    </row>
    <row r="3492" spans="1:18" x14ac:dyDescent="0.25">
      <c r="A3492">
        <v>2018</v>
      </c>
      <c r="B3492">
        <v>11</v>
      </c>
      <c r="C3492" s="1" t="s">
        <v>34</v>
      </c>
      <c r="D3492" s="1" t="s">
        <v>19</v>
      </c>
      <c r="E3492" s="1" t="s">
        <v>114</v>
      </c>
      <c r="F3492">
        <v>2016</v>
      </c>
      <c r="G3492">
        <v>2</v>
      </c>
      <c r="H3492" s="1" t="s">
        <v>59</v>
      </c>
      <c r="I3492">
        <v>14</v>
      </c>
      <c r="J3492">
        <v>1746</v>
      </c>
      <c r="K3492" s="1" t="s">
        <v>115</v>
      </c>
      <c r="L3492" s="1" t="s">
        <v>23</v>
      </c>
      <c r="M3492">
        <v>0</v>
      </c>
      <c r="N3492">
        <v>0</v>
      </c>
      <c r="O3492">
        <v>0</v>
      </c>
      <c r="P3492" s="2">
        <v>43405</v>
      </c>
      <c r="Q3492">
        <v>0</v>
      </c>
      <c r="R3492" s="1" t="s">
        <v>61</v>
      </c>
    </row>
    <row r="3493" spans="1:18" x14ac:dyDescent="0.25">
      <c r="A3493">
        <v>2018</v>
      </c>
      <c r="B3493">
        <v>12</v>
      </c>
      <c r="C3493" s="1" t="s">
        <v>35</v>
      </c>
      <c r="D3493" s="1" t="s">
        <v>19</v>
      </c>
      <c r="E3493" s="1" t="s">
        <v>114</v>
      </c>
      <c r="F3493">
        <v>2016</v>
      </c>
      <c r="G3493">
        <v>2</v>
      </c>
      <c r="H3493" s="1" t="s">
        <v>59</v>
      </c>
      <c r="I3493">
        <v>14</v>
      </c>
      <c r="J3493">
        <v>1746</v>
      </c>
      <c r="K3493" s="1" t="s">
        <v>115</v>
      </c>
      <c r="L3493" s="1" t="s">
        <v>23</v>
      </c>
      <c r="M3493">
        <v>0</v>
      </c>
      <c r="N3493">
        <v>0</v>
      </c>
      <c r="O3493">
        <v>0</v>
      </c>
      <c r="P3493" s="2">
        <v>43435</v>
      </c>
      <c r="Q3493">
        <v>0</v>
      </c>
      <c r="R3493" s="1" t="s">
        <v>61</v>
      </c>
    </row>
    <row r="3494" spans="1:18" x14ac:dyDescent="0.25">
      <c r="A3494">
        <v>2018</v>
      </c>
      <c r="B3494">
        <v>1</v>
      </c>
      <c r="C3494" s="1" t="s">
        <v>18</v>
      </c>
      <c r="D3494" s="1" t="s">
        <v>19</v>
      </c>
      <c r="E3494" s="1" t="s">
        <v>116</v>
      </c>
      <c r="F3494">
        <v>2016</v>
      </c>
      <c r="G3494">
        <v>2</v>
      </c>
      <c r="H3494" s="1" t="s">
        <v>59</v>
      </c>
      <c r="I3494">
        <v>24</v>
      </c>
      <c r="J3494">
        <v>3377</v>
      </c>
      <c r="K3494" s="1" t="s">
        <v>103</v>
      </c>
      <c r="L3494" s="1" t="s">
        <v>23</v>
      </c>
      <c r="M3494">
        <v>0</v>
      </c>
      <c r="N3494">
        <v>0</v>
      </c>
      <c r="O3494">
        <v>0</v>
      </c>
      <c r="P3494" s="2">
        <v>43101</v>
      </c>
      <c r="Q3494">
        <v>0</v>
      </c>
      <c r="R3494" s="1" t="s">
        <v>61</v>
      </c>
    </row>
    <row r="3495" spans="1:18" x14ac:dyDescent="0.25">
      <c r="A3495">
        <v>2018</v>
      </c>
      <c r="B3495">
        <v>2</v>
      </c>
      <c r="C3495" s="1" t="s">
        <v>25</v>
      </c>
      <c r="D3495" s="1" t="s">
        <v>19</v>
      </c>
      <c r="E3495" s="1" t="s">
        <v>116</v>
      </c>
      <c r="F3495">
        <v>2016</v>
      </c>
      <c r="G3495">
        <v>2</v>
      </c>
      <c r="H3495" s="1" t="s">
        <v>59</v>
      </c>
      <c r="I3495">
        <v>24</v>
      </c>
      <c r="J3495">
        <v>3377</v>
      </c>
      <c r="K3495" s="1" t="s">
        <v>103</v>
      </c>
      <c r="L3495" s="1" t="s">
        <v>23</v>
      </c>
      <c r="M3495">
        <v>0</v>
      </c>
      <c r="N3495">
        <v>0</v>
      </c>
      <c r="O3495">
        <v>0</v>
      </c>
      <c r="P3495" s="2">
        <v>43132</v>
      </c>
      <c r="Q3495">
        <v>0</v>
      </c>
      <c r="R3495" s="1" t="s">
        <v>61</v>
      </c>
    </row>
    <row r="3496" spans="1:18" x14ac:dyDescent="0.25">
      <c r="A3496">
        <v>2018</v>
      </c>
      <c r="B3496">
        <v>3</v>
      </c>
      <c r="C3496" s="1" t="s">
        <v>26</v>
      </c>
      <c r="D3496" s="1" t="s">
        <v>19</v>
      </c>
      <c r="E3496" s="1" t="s">
        <v>116</v>
      </c>
      <c r="F3496">
        <v>2016</v>
      </c>
      <c r="G3496">
        <v>2</v>
      </c>
      <c r="H3496" s="1" t="s">
        <v>59</v>
      </c>
      <c r="I3496">
        <v>24</v>
      </c>
      <c r="J3496">
        <v>3377</v>
      </c>
      <c r="K3496" s="1" t="s">
        <v>103</v>
      </c>
      <c r="L3496" s="1" t="s">
        <v>23</v>
      </c>
      <c r="M3496">
        <v>0</v>
      </c>
      <c r="N3496">
        <v>0</v>
      </c>
      <c r="O3496">
        <v>0</v>
      </c>
      <c r="P3496" s="2">
        <v>43160</v>
      </c>
      <c r="Q3496">
        <v>0</v>
      </c>
      <c r="R3496" s="1" t="s">
        <v>61</v>
      </c>
    </row>
    <row r="3497" spans="1:18" x14ac:dyDescent="0.25">
      <c r="A3497">
        <v>2018</v>
      </c>
      <c r="B3497">
        <v>4</v>
      </c>
      <c r="C3497" s="1" t="s">
        <v>27</v>
      </c>
      <c r="D3497" s="1" t="s">
        <v>19</v>
      </c>
      <c r="E3497" s="1" t="s">
        <v>116</v>
      </c>
      <c r="F3497">
        <v>2016</v>
      </c>
      <c r="G3497">
        <v>2</v>
      </c>
      <c r="H3497" s="1" t="s">
        <v>59</v>
      </c>
      <c r="I3497">
        <v>24</v>
      </c>
      <c r="J3497">
        <v>3377</v>
      </c>
      <c r="K3497" s="1" t="s">
        <v>103</v>
      </c>
      <c r="L3497" s="1" t="s">
        <v>23</v>
      </c>
      <c r="M3497">
        <v>0</v>
      </c>
      <c r="N3497">
        <v>0</v>
      </c>
      <c r="O3497">
        <v>0</v>
      </c>
      <c r="P3497" s="2">
        <v>43191</v>
      </c>
      <c r="Q3497">
        <v>0</v>
      </c>
      <c r="R3497" s="1" t="s">
        <v>61</v>
      </c>
    </row>
    <row r="3498" spans="1:18" x14ac:dyDescent="0.25">
      <c r="A3498">
        <v>2018</v>
      </c>
      <c r="B3498">
        <v>5</v>
      </c>
      <c r="C3498" s="1" t="s">
        <v>28</v>
      </c>
      <c r="D3498" s="1" t="s">
        <v>19</v>
      </c>
      <c r="E3498" s="1" t="s">
        <v>116</v>
      </c>
      <c r="F3498">
        <v>2016</v>
      </c>
      <c r="G3498">
        <v>2</v>
      </c>
      <c r="H3498" s="1" t="s">
        <v>59</v>
      </c>
      <c r="I3498">
        <v>24</v>
      </c>
      <c r="J3498">
        <v>3377</v>
      </c>
      <c r="K3498" s="1" t="s">
        <v>103</v>
      </c>
      <c r="L3498" s="1" t="s">
        <v>23</v>
      </c>
      <c r="M3498">
        <v>0</v>
      </c>
      <c r="N3498">
        <v>0</v>
      </c>
      <c r="O3498">
        <v>0</v>
      </c>
      <c r="P3498" s="2">
        <v>43221</v>
      </c>
      <c r="Q3498">
        <v>0</v>
      </c>
      <c r="R3498" s="1" t="s">
        <v>61</v>
      </c>
    </row>
    <row r="3499" spans="1:18" x14ac:dyDescent="0.25">
      <c r="A3499">
        <v>2018</v>
      </c>
      <c r="B3499">
        <v>6</v>
      </c>
      <c r="C3499" s="1" t="s">
        <v>29</v>
      </c>
      <c r="D3499" s="1" t="s">
        <v>19</v>
      </c>
      <c r="E3499" s="1" t="s">
        <v>116</v>
      </c>
      <c r="F3499">
        <v>2016</v>
      </c>
      <c r="G3499">
        <v>2</v>
      </c>
      <c r="H3499" s="1" t="s">
        <v>59</v>
      </c>
      <c r="I3499">
        <v>24</v>
      </c>
      <c r="J3499">
        <v>3377</v>
      </c>
      <c r="K3499" s="1" t="s">
        <v>103</v>
      </c>
      <c r="L3499" s="1" t="s">
        <v>23</v>
      </c>
      <c r="M3499">
        <v>0</v>
      </c>
      <c r="N3499">
        <v>0</v>
      </c>
      <c r="O3499">
        <v>0</v>
      </c>
      <c r="P3499" s="2">
        <v>43252</v>
      </c>
      <c r="Q3499">
        <v>0</v>
      </c>
      <c r="R3499" s="1" t="s">
        <v>61</v>
      </c>
    </row>
    <row r="3500" spans="1:18" x14ac:dyDescent="0.25">
      <c r="A3500">
        <v>2018</v>
      </c>
      <c r="B3500">
        <v>7</v>
      </c>
      <c r="C3500" s="1" t="s">
        <v>30</v>
      </c>
      <c r="D3500" s="1" t="s">
        <v>19</v>
      </c>
      <c r="E3500" s="1" t="s">
        <v>116</v>
      </c>
      <c r="F3500">
        <v>2016</v>
      </c>
      <c r="G3500">
        <v>2</v>
      </c>
      <c r="H3500" s="1" t="s">
        <v>59</v>
      </c>
      <c r="I3500">
        <v>24</v>
      </c>
      <c r="J3500">
        <v>3377</v>
      </c>
      <c r="K3500" s="1" t="s">
        <v>103</v>
      </c>
      <c r="L3500" s="1" t="s">
        <v>23</v>
      </c>
      <c r="M3500">
        <v>0</v>
      </c>
      <c r="N3500">
        <v>0</v>
      </c>
      <c r="O3500">
        <v>0</v>
      </c>
      <c r="P3500" s="2">
        <v>43282</v>
      </c>
      <c r="Q3500">
        <v>0</v>
      </c>
      <c r="R3500" s="1" t="s">
        <v>61</v>
      </c>
    </row>
    <row r="3501" spans="1:18" x14ac:dyDescent="0.25">
      <c r="A3501">
        <v>2018</v>
      </c>
      <c r="B3501">
        <v>8</v>
      </c>
      <c r="C3501" s="1" t="s">
        <v>31</v>
      </c>
      <c r="D3501" s="1" t="s">
        <v>19</v>
      </c>
      <c r="E3501" s="1" t="s">
        <v>116</v>
      </c>
      <c r="F3501">
        <v>2016</v>
      </c>
      <c r="G3501">
        <v>2</v>
      </c>
      <c r="H3501" s="1" t="s">
        <v>59</v>
      </c>
      <c r="I3501">
        <v>24</v>
      </c>
      <c r="J3501">
        <v>3377</v>
      </c>
      <c r="K3501" s="1" t="s">
        <v>103</v>
      </c>
      <c r="L3501" s="1" t="s">
        <v>23</v>
      </c>
      <c r="M3501">
        <v>0</v>
      </c>
      <c r="N3501">
        <v>0</v>
      </c>
      <c r="O3501">
        <v>0</v>
      </c>
      <c r="P3501" s="2">
        <v>43313</v>
      </c>
      <c r="Q3501">
        <v>0</v>
      </c>
      <c r="R3501" s="1" t="s">
        <v>61</v>
      </c>
    </row>
    <row r="3502" spans="1:18" x14ac:dyDescent="0.25">
      <c r="A3502">
        <v>2018</v>
      </c>
      <c r="B3502">
        <v>9</v>
      </c>
      <c r="C3502" s="1" t="s">
        <v>32</v>
      </c>
      <c r="D3502" s="1" t="s">
        <v>19</v>
      </c>
      <c r="E3502" s="1" t="s">
        <v>116</v>
      </c>
      <c r="F3502">
        <v>2016</v>
      </c>
      <c r="G3502">
        <v>2</v>
      </c>
      <c r="H3502" s="1" t="s">
        <v>59</v>
      </c>
      <c r="I3502">
        <v>24</v>
      </c>
      <c r="J3502">
        <v>3377</v>
      </c>
      <c r="K3502" s="1" t="s">
        <v>103</v>
      </c>
      <c r="L3502" s="1" t="s">
        <v>23</v>
      </c>
      <c r="M3502">
        <v>0</v>
      </c>
      <c r="N3502">
        <v>0</v>
      </c>
      <c r="O3502">
        <v>0</v>
      </c>
      <c r="P3502" s="2">
        <v>43344</v>
      </c>
      <c r="Q3502">
        <v>0</v>
      </c>
      <c r="R3502" s="1" t="s">
        <v>61</v>
      </c>
    </row>
    <row r="3503" spans="1:18" x14ac:dyDescent="0.25">
      <c r="A3503">
        <v>2018</v>
      </c>
      <c r="B3503">
        <v>10</v>
      </c>
      <c r="C3503" s="1" t="s">
        <v>33</v>
      </c>
      <c r="D3503" s="1" t="s">
        <v>19</v>
      </c>
      <c r="E3503" s="1" t="s">
        <v>116</v>
      </c>
      <c r="F3503">
        <v>2016</v>
      </c>
      <c r="G3503">
        <v>2</v>
      </c>
      <c r="H3503" s="1" t="s">
        <v>59</v>
      </c>
      <c r="I3503">
        <v>24</v>
      </c>
      <c r="J3503">
        <v>3377</v>
      </c>
      <c r="K3503" s="1" t="s">
        <v>103</v>
      </c>
      <c r="L3503" s="1" t="s">
        <v>23</v>
      </c>
      <c r="M3503">
        <v>0</v>
      </c>
      <c r="N3503">
        <v>0</v>
      </c>
      <c r="O3503">
        <v>0</v>
      </c>
      <c r="P3503" s="2">
        <v>43374</v>
      </c>
      <c r="Q3503">
        <v>0</v>
      </c>
      <c r="R3503" s="1" t="s">
        <v>61</v>
      </c>
    </row>
    <row r="3504" spans="1:18" x14ac:dyDescent="0.25">
      <c r="A3504">
        <v>2018</v>
      </c>
      <c r="B3504">
        <v>11</v>
      </c>
      <c r="C3504" s="1" t="s">
        <v>34</v>
      </c>
      <c r="D3504" s="1" t="s">
        <v>19</v>
      </c>
      <c r="E3504" s="1" t="s">
        <v>116</v>
      </c>
      <c r="F3504">
        <v>2016</v>
      </c>
      <c r="G3504">
        <v>2</v>
      </c>
      <c r="H3504" s="1" t="s">
        <v>59</v>
      </c>
      <c r="I3504">
        <v>24</v>
      </c>
      <c r="J3504">
        <v>3377</v>
      </c>
      <c r="K3504" s="1" t="s">
        <v>103</v>
      </c>
      <c r="L3504" s="1" t="s">
        <v>23</v>
      </c>
      <c r="M3504">
        <v>0</v>
      </c>
      <c r="N3504">
        <v>0</v>
      </c>
      <c r="O3504">
        <v>0</v>
      </c>
      <c r="P3504" s="2">
        <v>43405</v>
      </c>
      <c r="Q3504">
        <v>0</v>
      </c>
      <c r="R3504" s="1" t="s">
        <v>61</v>
      </c>
    </row>
    <row r="3505" spans="1:18" x14ac:dyDescent="0.25">
      <c r="A3505">
        <v>2018</v>
      </c>
      <c r="B3505">
        <v>12</v>
      </c>
      <c r="C3505" s="1" t="s">
        <v>35</v>
      </c>
      <c r="D3505" s="1" t="s">
        <v>19</v>
      </c>
      <c r="E3505" s="1" t="s">
        <v>116</v>
      </c>
      <c r="F3505">
        <v>2016</v>
      </c>
      <c r="G3505">
        <v>2</v>
      </c>
      <c r="H3505" s="1" t="s">
        <v>59</v>
      </c>
      <c r="I3505">
        <v>24</v>
      </c>
      <c r="J3505">
        <v>3377</v>
      </c>
      <c r="K3505" s="1" t="s">
        <v>103</v>
      </c>
      <c r="L3505" s="1" t="s">
        <v>23</v>
      </c>
      <c r="M3505">
        <v>0</v>
      </c>
      <c r="N3505">
        <v>0</v>
      </c>
      <c r="O3505">
        <v>0</v>
      </c>
      <c r="P3505" s="2">
        <v>43435</v>
      </c>
      <c r="Q3505">
        <v>0</v>
      </c>
      <c r="R3505" s="1" t="s">
        <v>61</v>
      </c>
    </row>
    <row r="3506" spans="1:18" x14ac:dyDescent="0.25">
      <c r="A3506">
        <v>2018</v>
      </c>
      <c r="B3506">
        <v>1</v>
      </c>
      <c r="C3506" s="1" t="s">
        <v>18</v>
      </c>
      <c r="D3506" s="1" t="s">
        <v>19</v>
      </c>
      <c r="E3506" s="1" t="s">
        <v>117</v>
      </c>
      <c r="F3506">
        <v>2016</v>
      </c>
      <c r="G3506">
        <v>2</v>
      </c>
      <c r="H3506" s="1" t="s">
        <v>59</v>
      </c>
      <c r="I3506">
        <v>25</v>
      </c>
      <c r="J3506">
        <v>3431</v>
      </c>
      <c r="K3506" s="1" t="s">
        <v>118</v>
      </c>
      <c r="L3506" s="1" t="s">
        <v>23</v>
      </c>
      <c r="M3506">
        <v>0</v>
      </c>
      <c r="N3506">
        <v>0</v>
      </c>
      <c r="O3506">
        <v>0</v>
      </c>
      <c r="P3506" s="2">
        <v>43101</v>
      </c>
      <c r="Q3506">
        <v>0</v>
      </c>
      <c r="R3506" s="1" t="s">
        <v>61</v>
      </c>
    </row>
    <row r="3507" spans="1:18" x14ac:dyDescent="0.25">
      <c r="A3507">
        <v>2018</v>
      </c>
      <c r="B3507">
        <v>2</v>
      </c>
      <c r="C3507" s="1" t="s">
        <v>25</v>
      </c>
      <c r="D3507" s="1" t="s">
        <v>19</v>
      </c>
      <c r="E3507" s="1" t="s">
        <v>117</v>
      </c>
      <c r="F3507">
        <v>2016</v>
      </c>
      <c r="G3507">
        <v>2</v>
      </c>
      <c r="H3507" s="1" t="s">
        <v>59</v>
      </c>
      <c r="I3507">
        <v>25</v>
      </c>
      <c r="J3507">
        <v>3431</v>
      </c>
      <c r="K3507" s="1" t="s">
        <v>118</v>
      </c>
      <c r="L3507" s="1" t="s">
        <v>23</v>
      </c>
      <c r="M3507">
        <v>0</v>
      </c>
      <c r="N3507">
        <v>0</v>
      </c>
      <c r="O3507">
        <v>0</v>
      </c>
      <c r="P3507" s="2">
        <v>43132</v>
      </c>
      <c r="Q3507">
        <v>0</v>
      </c>
      <c r="R3507" s="1" t="s">
        <v>61</v>
      </c>
    </row>
    <row r="3508" spans="1:18" x14ac:dyDescent="0.25">
      <c r="A3508">
        <v>2018</v>
      </c>
      <c r="B3508">
        <v>3</v>
      </c>
      <c r="C3508" s="1" t="s">
        <v>26</v>
      </c>
      <c r="D3508" s="1" t="s">
        <v>19</v>
      </c>
      <c r="E3508" s="1" t="s">
        <v>117</v>
      </c>
      <c r="F3508">
        <v>2016</v>
      </c>
      <c r="G3508">
        <v>2</v>
      </c>
      <c r="H3508" s="1" t="s">
        <v>59</v>
      </c>
      <c r="I3508">
        <v>25</v>
      </c>
      <c r="J3508">
        <v>3431</v>
      </c>
      <c r="K3508" s="1" t="s">
        <v>118</v>
      </c>
      <c r="L3508" s="1" t="s">
        <v>23</v>
      </c>
      <c r="M3508">
        <v>0</v>
      </c>
      <c r="N3508">
        <v>0</v>
      </c>
      <c r="O3508">
        <v>0</v>
      </c>
      <c r="P3508" s="2">
        <v>43160</v>
      </c>
      <c r="Q3508">
        <v>0</v>
      </c>
      <c r="R3508" s="1" t="s">
        <v>61</v>
      </c>
    </row>
    <row r="3509" spans="1:18" x14ac:dyDescent="0.25">
      <c r="A3509">
        <v>2018</v>
      </c>
      <c r="B3509">
        <v>4</v>
      </c>
      <c r="C3509" s="1" t="s">
        <v>27</v>
      </c>
      <c r="D3509" s="1" t="s">
        <v>19</v>
      </c>
      <c r="E3509" s="1" t="s">
        <v>117</v>
      </c>
      <c r="F3509">
        <v>2016</v>
      </c>
      <c r="G3509">
        <v>2</v>
      </c>
      <c r="H3509" s="1" t="s">
        <v>59</v>
      </c>
      <c r="I3509">
        <v>25</v>
      </c>
      <c r="J3509">
        <v>3431</v>
      </c>
      <c r="K3509" s="1" t="s">
        <v>118</v>
      </c>
      <c r="L3509" s="1" t="s">
        <v>23</v>
      </c>
      <c r="M3509">
        <v>0</v>
      </c>
      <c r="N3509">
        <v>0</v>
      </c>
      <c r="O3509">
        <v>0</v>
      </c>
      <c r="P3509" s="2">
        <v>43191</v>
      </c>
      <c r="Q3509">
        <v>0</v>
      </c>
      <c r="R3509" s="1" t="s">
        <v>61</v>
      </c>
    </row>
    <row r="3510" spans="1:18" x14ac:dyDescent="0.25">
      <c r="A3510">
        <v>2018</v>
      </c>
      <c r="B3510">
        <v>5</v>
      </c>
      <c r="C3510" s="1" t="s">
        <v>28</v>
      </c>
      <c r="D3510" s="1" t="s">
        <v>19</v>
      </c>
      <c r="E3510" s="1" t="s">
        <v>117</v>
      </c>
      <c r="F3510">
        <v>2016</v>
      </c>
      <c r="G3510">
        <v>2</v>
      </c>
      <c r="H3510" s="1" t="s">
        <v>59</v>
      </c>
      <c r="I3510">
        <v>25</v>
      </c>
      <c r="J3510">
        <v>3431</v>
      </c>
      <c r="K3510" s="1" t="s">
        <v>118</v>
      </c>
      <c r="L3510" s="1" t="s">
        <v>23</v>
      </c>
      <c r="M3510">
        <v>0</v>
      </c>
      <c r="N3510">
        <v>0</v>
      </c>
      <c r="O3510">
        <v>0</v>
      </c>
      <c r="P3510" s="2">
        <v>43221</v>
      </c>
      <c r="Q3510">
        <v>0</v>
      </c>
      <c r="R3510" s="1" t="s">
        <v>61</v>
      </c>
    </row>
    <row r="3511" spans="1:18" x14ac:dyDescent="0.25">
      <c r="A3511">
        <v>2018</v>
      </c>
      <c r="B3511">
        <v>6</v>
      </c>
      <c r="C3511" s="1" t="s">
        <v>29</v>
      </c>
      <c r="D3511" s="1" t="s">
        <v>19</v>
      </c>
      <c r="E3511" s="1" t="s">
        <v>117</v>
      </c>
      <c r="F3511">
        <v>2016</v>
      </c>
      <c r="G3511">
        <v>2</v>
      </c>
      <c r="H3511" s="1" t="s">
        <v>59</v>
      </c>
      <c r="I3511">
        <v>25</v>
      </c>
      <c r="J3511">
        <v>3431</v>
      </c>
      <c r="K3511" s="1" t="s">
        <v>118</v>
      </c>
      <c r="L3511" s="1" t="s">
        <v>23</v>
      </c>
      <c r="M3511">
        <v>0</v>
      </c>
      <c r="N3511">
        <v>0</v>
      </c>
      <c r="O3511">
        <v>0</v>
      </c>
      <c r="P3511" s="2">
        <v>43252</v>
      </c>
      <c r="Q3511">
        <v>0</v>
      </c>
      <c r="R3511" s="1" t="s">
        <v>61</v>
      </c>
    </row>
    <row r="3512" spans="1:18" x14ac:dyDescent="0.25">
      <c r="A3512">
        <v>2018</v>
      </c>
      <c r="B3512">
        <v>7</v>
      </c>
      <c r="C3512" s="1" t="s">
        <v>30</v>
      </c>
      <c r="D3512" s="1" t="s">
        <v>19</v>
      </c>
      <c r="E3512" s="1" t="s">
        <v>117</v>
      </c>
      <c r="F3512">
        <v>2016</v>
      </c>
      <c r="G3512">
        <v>2</v>
      </c>
      <c r="H3512" s="1" t="s">
        <v>59</v>
      </c>
      <c r="I3512">
        <v>25</v>
      </c>
      <c r="J3512">
        <v>3431</v>
      </c>
      <c r="K3512" s="1" t="s">
        <v>118</v>
      </c>
      <c r="L3512" s="1" t="s">
        <v>23</v>
      </c>
      <c r="M3512">
        <v>0</v>
      </c>
      <c r="N3512">
        <v>0</v>
      </c>
      <c r="O3512">
        <v>0</v>
      </c>
      <c r="P3512" s="2">
        <v>43282</v>
      </c>
      <c r="Q3512">
        <v>0</v>
      </c>
      <c r="R3512" s="1" t="s">
        <v>61</v>
      </c>
    </row>
    <row r="3513" spans="1:18" x14ac:dyDescent="0.25">
      <c r="A3513">
        <v>2018</v>
      </c>
      <c r="B3513">
        <v>8</v>
      </c>
      <c r="C3513" s="1" t="s">
        <v>31</v>
      </c>
      <c r="D3513" s="1" t="s">
        <v>19</v>
      </c>
      <c r="E3513" s="1" t="s">
        <v>117</v>
      </c>
      <c r="F3513">
        <v>2016</v>
      </c>
      <c r="G3513">
        <v>2</v>
      </c>
      <c r="H3513" s="1" t="s">
        <v>59</v>
      </c>
      <c r="I3513">
        <v>25</v>
      </c>
      <c r="J3513">
        <v>3431</v>
      </c>
      <c r="K3513" s="1" t="s">
        <v>118</v>
      </c>
      <c r="L3513" s="1" t="s">
        <v>23</v>
      </c>
      <c r="M3513">
        <v>0</v>
      </c>
      <c r="N3513">
        <v>0</v>
      </c>
      <c r="O3513">
        <v>0</v>
      </c>
      <c r="P3513" s="2">
        <v>43313</v>
      </c>
      <c r="Q3513">
        <v>0</v>
      </c>
      <c r="R3513" s="1" t="s">
        <v>61</v>
      </c>
    </row>
    <row r="3514" spans="1:18" x14ac:dyDescent="0.25">
      <c r="A3514">
        <v>2018</v>
      </c>
      <c r="B3514">
        <v>9</v>
      </c>
      <c r="C3514" s="1" t="s">
        <v>32</v>
      </c>
      <c r="D3514" s="1" t="s">
        <v>19</v>
      </c>
      <c r="E3514" s="1" t="s">
        <v>117</v>
      </c>
      <c r="F3514">
        <v>2016</v>
      </c>
      <c r="G3514">
        <v>2</v>
      </c>
      <c r="H3514" s="1" t="s">
        <v>59</v>
      </c>
      <c r="I3514">
        <v>25</v>
      </c>
      <c r="J3514">
        <v>3431</v>
      </c>
      <c r="K3514" s="1" t="s">
        <v>118</v>
      </c>
      <c r="L3514" s="1" t="s">
        <v>23</v>
      </c>
      <c r="M3514">
        <v>0</v>
      </c>
      <c r="N3514">
        <v>0</v>
      </c>
      <c r="O3514">
        <v>0</v>
      </c>
      <c r="P3514" s="2">
        <v>43344</v>
      </c>
      <c r="Q3514">
        <v>0</v>
      </c>
      <c r="R3514" s="1" t="s">
        <v>61</v>
      </c>
    </row>
    <row r="3515" spans="1:18" x14ac:dyDescent="0.25">
      <c r="A3515">
        <v>2018</v>
      </c>
      <c r="B3515">
        <v>10</v>
      </c>
      <c r="C3515" s="1" t="s">
        <v>33</v>
      </c>
      <c r="D3515" s="1" t="s">
        <v>19</v>
      </c>
      <c r="E3515" s="1" t="s">
        <v>117</v>
      </c>
      <c r="F3515">
        <v>2016</v>
      </c>
      <c r="G3515">
        <v>2</v>
      </c>
      <c r="H3515" s="1" t="s">
        <v>59</v>
      </c>
      <c r="I3515">
        <v>25</v>
      </c>
      <c r="J3515">
        <v>3431</v>
      </c>
      <c r="K3515" s="1" t="s">
        <v>118</v>
      </c>
      <c r="L3515" s="1" t="s">
        <v>23</v>
      </c>
      <c r="M3515">
        <v>0</v>
      </c>
      <c r="N3515">
        <v>0</v>
      </c>
      <c r="O3515">
        <v>0</v>
      </c>
      <c r="P3515" s="2">
        <v>43374</v>
      </c>
      <c r="Q3515">
        <v>0</v>
      </c>
      <c r="R3515" s="1" t="s">
        <v>61</v>
      </c>
    </row>
    <row r="3516" spans="1:18" x14ac:dyDescent="0.25">
      <c r="A3516">
        <v>2018</v>
      </c>
      <c r="B3516">
        <v>11</v>
      </c>
      <c r="C3516" s="1" t="s">
        <v>34</v>
      </c>
      <c r="D3516" s="1" t="s">
        <v>19</v>
      </c>
      <c r="E3516" s="1" t="s">
        <v>117</v>
      </c>
      <c r="F3516">
        <v>2016</v>
      </c>
      <c r="G3516">
        <v>2</v>
      </c>
      <c r="H3516" s="1" t="s">
        <v>59</v>
      </c>
      <c r="I3516">
        <v>25</v>
      </c>
      <c r="J3516">
        <v>3431</v>
      </c>
      <c r="K3516" s="1" t="s">
        <v>118</v>
      </c>
      <c r="L3516" s="1" t="s">
        <v>23</v>
      </c>
      <c r="M3516">
        <v>0</v>
      </c>
      <c r="N3516">
        <v>0</v>
      </c>
      <c r="O3516">
        <v>0</v>
      </c>
      <c r="P3516" s="2">
        <v>43405</v>
      </c>
      <c r="Q3516">
        <v>0</v>
      </c>
      <c r="R3516" s="1" t="s">
        <v>61</v>
      </c>
    </row>
    <row r="3517" spans="1:18" x14ac:dyDescent="0.25">
      <c r="A3517">
        <v>2018</v>
      </c>
      <c r="B3517">
        <v>12</v>
      </c>
      <c r="C3517" s="1" t="s">
        <v>35</v>
      </c>
      <c r="D3517" s="1" t="s">
        <v>19</v>
      </c>
      <c r="E3517" s="1" t="s">
        <v>117</v>
      </c>
      <c r="F3517">
        <v>2016</v>
      </c>
      <c r="G3517">
        <v>2</v>
      </c>
      <c r="H3517" s="1" t="s">
        <v>59</v>
      </c>
      <c r="I3517">
        <v>25</v>
      </c>
      <c r="J3517">
        <v>3431</v>
      </c>
      <c r="K3517" s="1" t="s">
        <v>118</v>
      </c>
      <c r="L3517" s="1" t="s">
        <v>23</v>
      </c>
      <c r="M3517">
        <v>0</v>
      </c>
      <c r="N3517">
        <v>0</v>
      </c>
      <c r="O3517">
        <v>0</v>
      </c>
      <c r="P3517" s="2">
        <v>43435</v>
      </c>
      <c r="Q3517">
        <v>0</v>
      </c>
      <c r="R3517" s="1" t="s">
        <v>61</v>
      </c>
    </row>
    <row r="3518" spans="1:18" x14ac:dyDescent="0.25">
      <c r="A3518">
        <v>2018</v>
      </c>
      <c r="B3518">
        <v>1</v>
      </c>
      <c r="C3518" s="1" t="s">
        <v>18</v>
      </c>
      <c r="D3518" s="1" t="s">
        <v>19</v>
      </c>
      <c r="E3518" s="1" t="s">
        <v>119</v>
      </c>
      <c r="F3518">
        <v>2016</v>
      </c>
      <c r="G3518">
        <v>2</v>
      </c>
      <c r="H3518" s="1" t="s">
        <v>59</v>
      </c>
      <c r="I3518">
        <v>21</v>
      </c>
      <c r="J3518">
        <v>2901</v>
      </c>
      <c r="K3518" s="1" t="s">
        <v>120</v>
      </c>
      <c r="L3518" s="1" t="s">
        <v>23</v>
      </c>
      <c r="M3518">
        <v>0</v>
      </c>
      <c r="N3518">
        <v>0</v>
      </c>
      <c r="O3518">
        <v>0</v>
      </c>
      <c r="P3518" s="2">
        <v>43101</v>
      </c>
      <c r="Q3518">
        <v>0</v>
      </c>
      <c r="R3518" s="1" t="s">
        <v>61</v>
      </c>
    </row>
    <row r="3519" spans="1:18" x14ac:dyDescent="0.25">
      <c r="A3519">
        <v>2018</v>
      </c>
      <c r="B3519">
        <v>2</v>
      </c>
      <c r="C3519" s="1" t="s">
        <v>25</v>
      </c>
      <c r="D3519" s="1" t="s">
        <v>19</v>
      </c>
      <c r="E3519" s="1" t="s">
        <v>119</v>
      </c>
      <c r="F3519">
        <v>2016</v>
      </c>
      <c r="G3519">
        <v>2</v>
      </c>
      <c r="H3519" s="1" t="s">
        <v>59</v>
      </c>
      <c r="I3519">
        <v>21</v>
      </c>
      <c r="J3519">
        <v>2901</v>
      </c>
      <c r="K3519" s="1" t="s">
        <v>120</v>
      </c>
      <c r="L3519" s="1" t="s">
        <v>23</v>
      </c>
      <c r="M3519">
        <v>0</v>
      </c>
      <c r="N3519">
        <v>0</v>
      </c>
      <c r="O3519">
        <v>0</v>
      </c>
      <c r="P3519" s="2">
        <v>43132</v>
      </c>
      <c r="Q3519">
        <v>0</v>
      </c>
      <c r="R3519" s="1" t="s">
        <v>61</v>
      </c>
    </row>
    <row r="3520" spans="1:18" x14ac:dyDescent="0.25">
      <c r="A3520">
        <v>2018</v>
      </c>
      <c r="B3520">
        <v>3</v>
      </c>
      <c r="C3520" s="1" t="s">
        <v>26</v>
      </c>
      <c r="D3520" s="1" t="s">
        <v>19</v>
      </c>
      <c r="E3520" s="1" t="s">
        <v>119</v>
      </c>
      <c r="F3520">
        <v>2016</v>
      </c>
      <c r="G3520">
        <v>2</v>
      </c>
      <c r="H3520" s="1" t="s">
        <v>59</v>
      </c>
      <c r="I3520">
        <v>21</v>
      </c>
      <c r="J3520">
        <v>2901</v>
      </c>
      <c r="K3520" s="1" t="s">
        <v>120</v>
      </c>
      <c r="L3520" s="1" t="s">
        <v>23</v>
      </c>
      <c r="M3520">
        <v>0</v>
      </c>
      <c r="N3520">
        <v>0</v>
      </c>
      <c r="O3520">
        <v>0</v>
      </c>
      <c r="P3520" s="2">
        <v>43160</v>
      </c>
      <c r="Q3520">
        <v>0</v>
      </c>
      <c r="R3520" s="1" t="s">
        <v>61</v>
      </c>
    </row>
    <row r="3521" spans="1:18" x14ac:dyDescent="0.25">
      <c r="A3521">
        <v>2018</v>
      </c>
      <c r="B3521">
        <v>4</v>
      </c>
      <c r="C3521" s="1" t="s">
        <v>27</v>
      </c>
      <c r="D3521" s="1" t="s">
        <v>19</v>
      </c>
      <c r="E3521" s="1" t="s">
        <v>119</v>
      </c>
      <c r="F3521">
        <v>2016</v>
      </c>
      <c r="G3521">
        <v>2</v>
      </c>
      <c r="H3521" s="1" t="s">
        <v>59</v>
      </c>
      <c r="I3521">
        <v>21</v>
      </c>
      <c r="J3521">
        <v>2901</v>
      </c>
      <c r="K3521" s="1" t="s">
        <v>120</v>
      </c>
      <c r="L3521" s="1" t="s">
        <v>23</v>
      </c>
      <c r="M3521">
        <v>0</v>
      </c>
      <c r="N3521">
        <v>0</v>
      </c>
      <c r="O3521">
        <v>0</v>
      </c>
      <c r="P3521" s="2">
        <v>43191</v>
      </c>
      <c r="Q3521">
        <v>0</v>
      </c>
      <c r="R3521" s="1" t="s">
        <v>61</v>
      </c>
    </row>
    <row r="3522" spans="1:18" x14ac:dyDescent="0.25">
      <c r="A3522">
        <v>2018</v>
      </c>
      <c r="B3522">
        <v>5</v>
      </c>
      <c r="C3522" s="1" t="s">
        <v>28</v>
      </c>
      <c r="D3522" s="1" t="s">
        <v>19</v>
      </c>
      <c r="E3522" s="1" t="s">
        <v>119</v>
      </c>
      <c r="F3522">
        <v>2016</v>
      </c>
      <c r="G3522">
        <v>2</v>
      </c>
      <c r="H3522" s="1" t="s">
        <v>59</v>
      </c>
      <c r="I3522">
        <v>21</v>
      </c>
      <c r="J3522">
        <v>2901</v>
      </c>
      <c r="K3522" s="1" t="s">
        <v>120</v>
      </c>
      <c r="L3522" s="1" t="s">
        <v>23</v>
      </c>
      <c r="M3522">
        <v>0</v>
      </c>
      <c r="N3522">
        <v>0</v>
      </c>
      <c r="O3522">
        <v>0</v>
      </c>
      <c r="P3522" s="2">
        <v>43221</v>
      </c>
      <c r="Q3522">
        <v>0</v>
      </c>
      <c r="R3522" s="1" t="s">
        <v>61</v>
      </c>
    </row>
    <row r="3523" spans="1:18" x14ac:dyDescent="0.25">
      <c r="A3523">
        <v>2018</v>
      </c>
      <c r="B3523">
        <v>6</v>
      </c>
      <c r="C3523" s="1" t="s">
        <v>29</v>
      </c>
      <c r="D3523" s="1" t="s">
        <v>19</v>
      </c>
      <c r="E3523" s="1" t="s">
        <v>119</v>
      </c>
      <c r="F3523">
        <v>2016</v>
      </c>
      <c r="G3523">
        <v>2</v>
      </c>
      <c r="H3523" s="1" t="s">
        <v>59</v>
      </c>
      <c r="I3523">
        <v>21</v>
      </c>
      <c r="J3523">
        <v>2901</v>
      </c>
      <c r="K3523" s="1" t="s">
        <v>120</v>
      </c>
      <c r="L3523" s="1" t="s">
        <v>23</v>
      </c>
      <c r="M3523">
        <v>0</v>
      </c>
      <c r="N3523">
        <v>0</v>
      </c>
      <c r="O3523">
        <v>0</v>
      </c>
      <c r="P3523" s="2">
        <v>43252</v>
      </c>
      <c r="Q3523">
        <v>0</v>
      </c>
      <c r="R3523" s="1" t="s">
        <v>61</v>
      </c>
    </row>
    <row r="3524" spans="1:18" x14ac:dyDescent="0.25">
      <c r="A3524">
        <v>2018</v>
      </c>
      <c r="B3524">
        <v>7</v>
      </c>
      <c r="C3524" s="1" t="s">
        <v>30</v>
      </c>
      <c r="D3524" s="1" t="s">
        <v>19</v>
      </c>
      <c r="E3524" s="1" t="s">
        <v>119</v>
      </c>
      <c r="F3524">
        <v>2016</v>
      </c>
      <c r="G3524">
        <v>2</v>
      </c>
      <c r="H3524" s="1" t="s">
        <v>59</v>
      </c>
      <c r="I3524">
        <v>21</v>
      </c>
      <c r="J3524">
        <v>2901</v>
      </c>
      <c r="K3524" s="1" t="s">
        <v>120</v>
      </c>
      <c r="L3524" s="1" t="s">
        <v>23</v>
      </c>
      <c r="M3524">
        <v>0</v>
      </c>
      <c r="N3524">
        <v>0</v>
      </c>
      <c r="O3524">
        <v>0</v>
      </c>
      <c r="P3524" s="2">
        <v>43282</v>
      </c>
      <c r="Q3524">
        <v>0</v>
      </c>
      <c r="R3524" s="1" t="s">
        <v>61</v>
      </c>
    </row>
    <row r="3525" spans="1:18" x14ac:dyDescent="0.25">
      <c r="A3525">
        <v>2018</v>
      </c>
      <c r="B3525">
        <v>8</v>
      </c>
      <c r="C3525" s="1" t="s">
        <v>31</v>
      </c>
      <c r="D3525" s="1" t="s">
        <v>19</v>
      </c>
      <c r="E3525" s="1" t="s">
        <v>119</v>
      </c>
      <c r="F3525">
        <v>2016</v>
      </c>
      <c r="G3525">
        <v>2</v>
      </c>
      <c r="H3525" s="1" t="s">
        <v>59</v>
      </c>
      <c r="I3525">
        <v>21</v>
      </c>
      <c r="J3525">
        <v>2901</v>
      </c>
      <c r="K3525" s="1" t="s">
        <v>120</v>
      </c>
      <c r="L3525" s="1" t="s">
        <v>23</v>
      </c>
      <c r="M3525">
        <v>0</v>
      </c>
      <c r="N3525">
        <v>0</v>
      </c>
      <c r="O3525">
        <v>0</v>
      </c>
      <c r="P3525" s="2">
        <v>43313</v>
      </c>
      <c r="Q3525">
        <v>0</v>
      </c>
      <c r="R3525" s="1" t="s">
        <v>61</v>
      </c>
    </row>
    <row r="3526" spans="1:18" x14ac:dyDescent="0.25">
      <c r="A3526">
        <v>2018</v>
      </c>
      <c r="B3526">
        <v>9</v>
      </c>
      <c r="C3526" s="1" t="s">
        <v>32</v>
      </c>
      <c r="D3526" s="1" t="s">
        <v>19</v>
      </c>
      <c r="E3526" s="1" t="s">
        <v>119</v>
      </c>
      <c r="F3526">
        <v>2016</v>
      </c>
      <c r="G3526">
        <v>2</v>
      </c>
      <c r="H3526" s="1" t="s">
        <v>59</v>
      </c>
      <c r="I3526">
        <v>21</v>
      </c>
      <c r="J3526">
        <v>2901</v>
      </c>
      <c r="K3526" s="1" t="s">
        <v>120</v>
      </c>
      <c r="L3526" s="1" t="s">
        <v>23</v>
      </c>
      <c r="M3526">
        <v>0</v>
      </c>
      <c r="N3526">
        <v>0</v>
      </c>
      <c r="O3526">
        <v>0</v>
      </c>
      <c r="P3526" s="2">
        <v>43344</v>
      </c>
      <c r="Q3526">
        <v>0</v>
      </c>
      <c r="R3526" s="1" t="s">
        <v>61</v>
      </c>
    </row>
    <row r="3527" spans="1:18" x14ac:dyDescent="0.25">
      <c r="A3527">
        <v>2018</v>
      </c>
      <c r="B3527">
        <v>10</v>
      </c>
      <c r="C3527" s="1" t="s">
        <v>33</v>
      </c>
      <c r="D3527" s="1" t="s">
        <v>19</v>
      </c>
      <c r="E3527" s="1" t="s">
        <v>119</v>
      </c>
      <c r="F3527">
        <v>2016</v>
      </c>
      <c r="G3527">
        <v>2</v>
      </c>
      <c r="H3527" s="1" t="s">
        <v>59</v>
      </c>
      <c r="I3527">
        <v>21</v>
      </c>
      <c r="J3527">
        <v>2901</v>
      </c>
      <c r="K3527" s="1" t="s">
        <v>120</v>
      </c>
      <c r="L3527" s="1" t="s">
        <v>23</v>
      </c>
      <c r="M3527">
        <v>0</v>
      </c>
      <c r="N3527">
        <v>0</v>
      </c>
      <c r="O3527">
        <v>0</v>
      </c>
      <c r="P3527" s="2">
        <v>43374</v>
      </c>
      <c r="Q3527">
        <v>0</v>
      </c>
      <c r="R3527" s="1" t="s">
        <v>61</v>
      </c>
    </row>
    <row r="3528" spans="1:18" x14ac:dyDescent="0.25">
      <c r="A3528">
        <v>2018</v>
      </c>
      <c r="B3528">
        <v>11</v>
      </c>
      <c r="C3528" s="1" t="s">
        <v>34</v>
      </c>
      <c r="D3528" s="1" t="s">
        <v>19</v>
      </c>
      <c r="E3528" s="1" t="s">
        <v>119</v>
      </c>
      <c r="F3528">
        <v>2016</v>
      </c>
      <c r="G3528">
        <v>2</v>
      </c>
      <c r="H3528" s="1" t="s">
        <v>59</v>
      </c>
      <c r="I3528">
        <v>21</v>
      </c>
      <c r="J3528">
        <v>2901</v>
      </c>
      <c r="K3528" s="1" t="s">
        <v>120</v>
      </c>
      <c r="L3528" s="1" t="s">
        <v>23</v>
      </c>
      <c r="M3528">
        <v>0</v>
      </c>
      <c r="N3528">
        <v>0</v>
      </c>
      <c r="O3528">
        <v>0</v>
      </c>
      <c r="P3528" s="2">
        <v>43405</v>
      </c>
      <c r="Q3528">
        <v>0</v>
      </c>
      <c r="R3528" s="1" t="s">
        <v>61</v>
      </c>
    </row>
    <row r="3529" spans="1:18" x14ac:dyDescent="0.25">
      <c r="A3529">
        <v>2018</v>
      </c>
      <c r="B3529">
        <v>12</v>
      </c>
      <c r="C3529" s="1" t="s">
        <v>35</v>
      </c>
      <c r="D3529" s="1" t="s">
        <v>19</v>
      </c>
      <c r="E3529" s="1" t="s">
        <v>119</v>
      </c>
      <c r="F3529">
        <v>2016</v>
      </c>
      <c r="G3529">
        <v>2</v>
      </c>
      <c r="H3529" s="1" t="s">
        <v>59</v>
      </c>
      <c r="I3529">
        <v>21</v>
      </c>
      <c r="J3529">
        <v>2901</v>
      </c>
      <c r="K3529" s="1" t="s">
        <v>120</v>
      </c>
      <c r="L3529" s="1" t="s">
        <v>23</v>
      </c>
      <c r="M3529">
        <v>0</v>
      </c>
      <c r="N3529">
        <v>0</v>
      </c>
      <c r="O3529">
        <v>0</v>
      </c>
      <c r="P3529" s="2">
        <v>43435</v>
      </c>
      <c r="Q3529">
        <v>0</v>
      </c>
      <c r="R3529" s="1" t="s">
        <v>61</v>
      </c>
    </row>
    <row r="3530" spans="1:18" x14ac:dyDescent="0.25">
      <c r="A3530">
        <v>2019</v>
      </c>
      <c r="B3530">
        <v>1</v>
      </c>
      <c r="C3530" s="1" t="s">
        <v>18</v>
      </c>
      <c r="D3530" s="1" t="s">
        <v>19</v>
      </c>
      <c r="E3530" s="1" t="s">
        <v>20</v>
      </c>
      <c r="F3530">
        <v>2000</v>
      </c>
      <c r="G3530">
        <v>19</v>
      </c>
      <c r="H3530" s="1" t="s">
        <v>124</v>
      </c>
      <c r="I3530">
        <v>19</v>
      </c>
      <c r="J3530">
        <v>1490</v>
      </c>
      <c r="K3530" s="1" t="s">
        <v>22</v>
      </c>
      <c r="L3530" s="1" t="s">
        <v>23</v>
      </c>
      <c r="M3530">
        <v>0.63800000000000001</v>
      </c>
      <c r="N3530">
        <v>12122.7</v>
      </c>
      <c r="O3530">
        <v>12.122999999999999</v>
      </c>
      <c r="P3530" s="2">
        <v>43466</v>
      </c>
      <c r="Q3530">
        <v>1</v>
      </c>
      <c r="R3530" s="1" t="s">
        <v>125</v>
      </c>
    </row>
    <row r="3531" spans="1:18" x14ac:dyDescent="0.25">
      <c r="A3531">
        <v>2019</v>
      </c>
      <c r="B3531">
        <v>2</v>
      </c>
      <c r="C3531" s="1" t="s">
        <v>25</v>
      </c>
      <c r="D3531" s="1" t="s">
        <v>19</v>
      </c>
      <c r="E3531" s="1" t="s">
        <v>20</v>
      </c>
      <c r="F3531">
        <v>2000</v>
      </c>
      <c r="G3531">
        <v>19</v>
      </c>
      <c r="H3531" s="1" t="s">
        <v>124</v>
      </c>
      <c r="I3531">
        <v>19</v>
      </c>
      <c r="J3531">
        <v>1490</v>
      </c>
      <c r="K3531" s="1" t="s">
        <v>22</v>
      </c>
      <c r="L3531" s="1" t="s">
        <v>23</v>
      </c>
      <c r="M3531">
        <v>0.746</v>
      </c>
      <c r="N3531">
        <v>14175.2</v>
      </c>
      <c r="O3531">
        <v>14.175000000000001</v>
      </c>
      <c r="P3531" s="2">
        <v>43497</v>
      </c>
      <c r="Q3531">
        <v>1</v>
      </c>
      <c r="R3531" s="1" t="s">
        <v>125</v>
      </c>
    </row>
    <row r="3532" spans="1:18" x14ac:dyDescent="0.25">
      <c r="A3532">
        <v>2019</v>
      </c>
      <c r="B3532">
        <v>3</v>
      </c>
      <c r="C3532" s="1" t="s">
        <v>26</v>
      </c>
      <c r="D3532" s="1" t="s">
        <v>19</v>
      </c>
      <c r="E3532" s="1" t="s">
        <v>20</v>
      </c>
      <c r="F3532">
        <v>2000</v>
      </c>
      <c r="G3532">
        <v>19</v>
      </c>
      <c r="H3532" s="1" t="s">
        <v>124</v>
      </c>
      <c r="I3532">
        <v>19</v>
      </c>
      <c r="J3532">
        <v>1490</v>
      </c>
      <c r="K3532" s="1" t="s">
        <v>22</v>
      </c>
      <c r="L3532" s="1" t="s">
        <v>23</v>
      </c>
      <c r="M3532">
        <v>0.86799999999999999</v>
      </c>
      <c r="N3532">
        <v>16490.599999999999</v>
      </c>
      <c r="O3532">
        <v>16.491</v>
      </c>
      <c r="P3532" s="2">
        <v>43525</v>
      </c>
      <c r="Q3532">
        <v>1</v>
      </c>
      <c r="R3532" s="1" t="s">
        <v>125</v>
      </c>
    </row>
    <row r="3533" spans="1:18" x14ac:dyDescent="0.25">
      <c r="A3533">
        <v>2019</v>
      </c>
      <c r="B3533">
        <v>4</v>
      </c>
      <c r="C3533" s="1" t="s">
        <v>27</v>
      </c>
      <c r="D3533" s="1" t="s">
        <v>19</v>
      </c>
      <c r="E3533" s="1" t="s">
        <v>20</v>
      </c>
      <c r="F3533">
        <v>2000</v>
      </c>
      <c r="G3533">
        <v>19</v>
      </c>
      <c r="H3533" s="1" t="s">
        <v>124</v>
      </c>
      <c r="I3533">
        <v>19</v>
      </c>
      <c r="J3533">
        <v>1490</v>
      </c>
      <c r="K3533" s="1" t="s">
        <v>22</v>
      </c>
      <c r="L3533" s="1" t="s">
        <v>23</v>
      </c>
      <c r="M3533">
        <v>0.97499999999999998</v>
      </c>
      <c r="N3533">
        <v>18522.8</v>
      </c>
      <c r="O3533">
        <v>18.523</v>
      </c>
      <c r="P3533" s="2">
        <v>43556</v>
      </c>
      <c r="Q3533">
        <v>1</v>
      </c>
      <c r="R3533" s="1" t="s">
        <v>125</v>
      </c>
    </row>
    <row r="3534" spans="1:18" x14ac:dyDescent="0.25">
      <c r="A3534">
        <v>2019</v>
      </c>
      <c r="B3534">
        <v>5</v>
      </c>
      <c r="C3534" s="1" t="s">
        <v>28</v>
      </c>
      <c r="D3534" s="1" t="s">
        <v>19</v>
      </c>
      <c r="E3534" s="1" t="s">
        <v>20</v>
      </c>
      <c r="F3534">
        <v>2000</v>
      </c>
      <c r="G3534">
        <v>19</v>
      </c>
      <c r="H3534" s="1" t="s">
        <v>124</v>
      </c>
      <c r="I3534">
        <v>19</v>
      </c>
      <c r="J3534">
        <v>1490</v>
      </c>
      <c r="K3534" s="1" t="s">
        <v>22</v>
      </c>
      <c r="L3534" s="1" t="s">
        <v>23</v>
      </c>
      <c r="M3534">
        <v>0.997</v>
      </c>
      <c r="N3534">
        <v>18947.5</v>
      </c>
      <c r="O3534">
        <v>18.946999999999999</v>
      </c>
      <c r="P3534" s="2">
        <v>43586</v>
      </c>
      <c r="Q3534">
        <v>1</v>
      </c>
      <c r="R3534" s="1" t="s">
        <v>125</v>
      </c>
    </row>
    <row r="3535" spans="1:18" x14ac:dyDescent="0.25">
      <c r="A3535">
        <v>2019</v>
      </c>
      <c r="B3535">
        <v>6</v>
      </c>
      <c r="C3535" s="1" t="s">
        <v>29</v>
      </c>
      <c r="D3535" s="1" t="s">
        <v>19</v>
      </c>
      <c r="E3535" s="1" t="s">
        <v>20</v>
      </c>
      <c r="F3535">
        <v>2000</v>
      </c>
      <c r="G3535">
        <v>19</v>
      </c>
      <c r="H3535" s="1" t="s">
        <v>124</v>
      </c>
      <c r="I3535">
        <v>19</v>
      </c>
      <c r="J3535">
        <v>1490</v>
      </c>
      <c r="K3535" s="1" t="s">
        <v>22</v>
      </c>
      <c r="L3535" s="1" t="s">
        <v>23</v>
      </c>
      <c r="M3535">
        <v>0.94699999999999995</v>
      </c>
      <c r="N3535">
        <v>17987</v>
      </c>
      <c r="O3535">
        <v>17.986999999999998</v>
      </c>
      <c r="P3535" s="2">
        <v>43617</v>
      </c>
      <c r="Q3535">
        <v>1</v>
      </c>
      <c r="R3535" s="1" t="s">
        <v>125</v>
      </c>
    </row>
    <row r="3536" spans="1:18" x14ac:dyDescent="0.25">
      <c r="A3536">
        <v>2019</v>
      </c>
      <c r="B3536">
        <v>7</v>
      </c>
      <c r="C3536" s="1" t="s">
        <v>30</v>
      </c>
      <c r="D3536" s="1" t="s">
        <v>19</v>
      </c>
      <c r="E3536" s="1" t="s">
        <v>20</v>
      </c>
      <c r="F3536">
        <v>2000</v>
      </c>
      <c r="G3536">
        <v>19</v>
      </c>
      <c r="H3536" s="1" t="s">
        <v>124</v>
      </c>
      <c r="I3536">
        <v>19</v>
      </c>
      <c r="J3536">
        <v>1490</v>
      </c>
      <c r="K3536" s="1" t="s">
        <v>22</v>
      </c>
      <c r="L3536" s="1" t="s">
        <v>23</v>
      </c>
      <c r="M3536">
        <v>0.85099999999999998</v>
      </c>
      <c r="N3536">
        <v>16177.1</v>
      </c>
      <c r="O3536">
        <v>16.177</v>
      </c>
      <c r="P3536" s="2">
        <v>43647</v>
      </c>
      <c r="Q3536">
        <v>1</v>
      </c>
      <c r="R3536" s="1" t="s">
        <v>125</v>
      </c>
    </row>
    <row r="3537" spans="1:18" x14ac:dyDescent="0.25">
      <c r="A3537">
        <v>2019</v>
      </c>
      <c r="B3537">
        <v>8</v>
      </c>
      <c r="C3537" s="1" t="s">
        <v>31</v>
      </c>
      <c r="D3537" s="1" t="s">
        <v>19</v>
      </c>
      <c r="E3537" s="1" t="s">
        <v>20</v>
      </c>
      <c r="F3537">
        <v>2000</v>
      </c>
      <c r="G3537">
        <v>19</v>
      </c>
      <c r="H3537" s="1" t="s">
        <v>124</v>
      </c>
      <c r="I3537">
        <v>19</v>
      </c>
      <c r="J3537">
        <v>1490</v>
      </c>
      <c r="K3537" s="1" t="s">
        <v>22</v>
      </c>
      <c r="L3537" s="1" t="s">
        <v>23</v>
      </c>
      <c r="M3537">
        <v>0.99</v>
      </c>
      <c r="N3537">
        <v>18805.900000000001</v>
      </c>
      <c r="O3537">
        <v>18.806000000000001</v>
      </c>
      <c r="P3537" s="2">
        <v>43678</v>
      </c>
      <c r="Q3537">
        <v>1</v>
      </c>
      <c r="R3537" s="1" t="s">
        <v>125</v>
      </c>
    </row>
    <row r="3538" spans="1:18" x14ac:dyDescent="0.25">
      <c r="A3538">
        <v>2019</v>
      </c>
      <c r="B3538">
        <v>9</v>
      </c>
      <c r="C3538" s="1" t="s">
        <v>32</v>
      </c>
      <c r="D3538" s="1" t="s">
        <v>19</v>
      </c>
      <c r="E3538" s="1" t="s">
        <v>20</v>
      </c>
      <c r="F3538">
        <v>2000</v>
      </c>
      <c r="G3538">
        <v>19</v>
      </c>
      <c r="H3538" s="1" t="s">
        <v>124</v>
      </c>
      <c r="I3538">
        <v>19</v>
      </c>
      <c r="J3538">
        <v>1490</v>
      </c>
      <c r="K3538" s="1" t="s">
        <v>22</v>
      </c>
      <c r="L3538" s="1" t="s">
        <v>23</v>
      </c>
      <c r="M3538">
        <v>0.70299999999999996</v>
      </c>
      <c r="N3538">
        <v>13366.4</v>
      </c>
      <c r="O3538">
        <v>13.366</v>
      </c>
      <c r="P3538" s="2">
        <v>43709</v>
      </c>
      <c r="Q3538">
        <v>1</v>
      </c>
      <c r="R3538" s="1" t="s">
        <v>125</v>
      </c>
    </row>
    <row r="3539" spans="1:18" x14ac:dyDescent="0.25">
      <c r="A3539">
        <v>2019</v>
      </c>
      <c r="B3539">
        <v>10</v>
      </c>
      <c r="C3539" s="1" t="s">
        <v>33</v>
      </c>
      <c r="D3539" s="1" t="s">
        <v>19</v>
      </c>
      <c r="E3539" s="1" t="s">
        <v>20</v>
      </c>
      <c r="F3539">
        <v>2000</v>
      </c>
      <c r="G3539">
        <v>19</v>
      </c>
      <c r="H3539" s="1" t="s">
        <v>124</v>
      </c>
      <c r="I3539">
        <v>19</v>
      </c>
      <c r="J3539">
        <v>1490</v>
      </c>
      <c r="K3539" s="1" t="s">
        <v>22</v>
      </c>
      <c r="L3539" s="1" t="s">
        <v>23</v>
      </c>
      <c r="M3539">
        <v>0.92300000000000004</v>
      </c>
      <c r="N3539">
        <v>17542.099999999999</v>
      </c>
      <c r="O3539">
        <v>17.542000000000002</v>
      </c>
      <c r="P3539" s="2">
        <v>43739</v>
      </c>
      <c r="Q3539">
        <v>1</v>
      </c>
      <c r="R3539" s="1" t="s">
        <v>125</v>
      </c>
    </row>
    <row r="3540" spans="1:18" x14ac:dyDescent="0.25">
      <c r="A3540">
        <v>2019</v>
      </c>
      <c r="B3540">
        <v>11</v>
      </c>
      <c r="C3540" s="1" t="s">
        <v>34</v>
      </c>
      <c r="D3540" s="1" t="s">
        <v>19</v>
      </c>
      <c r="E3540" s="1" t="s">
        <v>20</v>
      </c>
      <c r="F3540">
        <v>2000</v>
      </c>
      <c r="G3540">
        <v>19</v>
      </c>
      <c r="H3540" s="1" t="s">
        <v>124</v>
      </c>
      <c r="I3540">
        <v>19</v>
      </c>
      <c r="J3540">
        <v>1490</v>
      </c>
      <c r="K3540" s="1" t="s">
        <v>22</v>
      </c>
      <c r="L3540" s="1" t="s">
        <v>23</v>
      </c>
      <c r="M3540">
        <v>0.67200000000000004</v>
      </c>
      <c r="N3540">
        <v>12769.8</v>
      </c>
      <c r="O3540">
        <v>12.77</v>
      </c>
      <c r="P3540" s="2">
        <v>43770</v>
      </c>
      <c r="Q3540">
        <v>1</v>
      </c>
      <c r="R3540" s="1" t="s">
        <v>125</v>
      </c>
    </row>
    <row r="3541" spans="1:18" x14ac:dyDescent="0.25">
      <c r="A3541">
        <v>2019</v>
      </c>
      <c r="B3541">
        <v>12</v>
      </c>
      <c r="C3541" s="1" t="s">
        <v>35</v>
      </c>
      <c r="D3541" s="1" t="s">
        <v>19</v>
      </c>
      <c r="E3541" s="1" t="s">
        <v>20</v>
      </c>
      <c r="F3541">
        <v>2000</v>
      </c>
      <c r="G3541">
        <v>19</v>
      </c>
      <c r="H3541" s="1" t="s">
        <v>124</v>
      </c>
      <c r="I3541">
        <v>19</v>
      </c>
      <c r="J3541">
        <v>1490</v>
      </c>
      <c r="K3541" s="1" t="s">
        <v>22</v>
      </c>
      <c r="L3541" s="1" t="s">
        <v>23</v>
      </c>
      <c r="M3541">
        <v>0.50600000000000001</v>
      </c>
      <c r="N3541">
        <v>9605.2000000000007</v>
      </c>
      <c r="O3541">
        <v>9.6050000000000004</v>
      </c>
      <c r="P3541" s="2">
        <v>43800</v>
      </c>
      <c r="Q3541">
        <v>1</v>
      </c>
      <c r="R3541" s="1" t="s">
        <v>125</v>
      </c>
    </row>
    <row r="3542" spans="1:18" x14ac:dyDescent="0.25">
      <c r="A3542">
        <v>2019</v>
      </c>
      <c r="B3542">
        <v>1</v>
      </c>
      <c r="C3542" s="1" t="s">
        <v>18</v>
      </c>
      <c r="D3542" s="1" t="s">
        <v>19</v>
      </c>
      <c r="E3542" s="1" t="s">
        <v>36</v>
      </c>
      <c r="F3542">
        <v>2000</v>
      </c>
      <c r="G3542">
        <v>19</v>
      </c>
      <c r="H3542" s="1" t="s">
        <v>124</v>
      </c>
      <c r="I3542">
        <v>24</v>
      </c>
      <c r="J3542">
        <v>1675</v>
      </c>
      <c r="K3542" s="1" t="s">
        <v>37</v>
      </c>
      <c r="L3542" s="1" t="s">
        <v>23</v>
      </c>
      <c r="M3542">
        <v>0.56799999999999995</v>
      </c>
      <c r="N3542">
        <v>13627.9</v>
      </c>
      <c r="O3542">
        <v>13.628</v>
      </c>
      <c r="P3542" s="2">
        <v>43466</v>
      </c>
      <c r="Q3542">
        <v>1</v>
      </c>
      <c r="R3542" s="1" t="s">
        <v>125</v>
      </c>
    </row>
    <row r="3543" spans="1:18" x14ac:dyDescent="0.25">
      <c r="A3543">
        <v>2019</v>
      </c>
      <c r="B3543">
        <v>2</v>
      </c>
      <c r="C3543" s="1" t="s">
        <v>25</v>
      </c>
      <c r="D3543" s="1" t="s">
        <v>19</v>
      </c>
      <c r="E3543" s="1" t="s">
        <v>36</v>
      </c>
      <c r="F3543">
        <v>2000</v>
      </c>
      <c r="G3543">
        <v>19</v>
      </c>
      <c r="H3543" s="1" t="s">
        <v>124</v>
      </c>
      <c r="I3543">
        <v>24</v>
      </c>
      <c r="J3543">
        <v>1675</v>
      </c>
      <c r="K3543" s="1" t="s">
        <v>37</v>
      </c>
      <c r="L3543" s="1" t="s">
        <v>23</v>
      </c>
      <c r="M3543">
        <v>0.66400000000000003</v>
      </c>
      <c r="N3543">
        <v>15935.2</v>
      </c>
      <c r="O3543">
        <v>15.935</v>
      </c>
      <c r="P3543" s="2">
        <v>43497</v>
      </c>
      <c r="Q3543">
        <v>1</v>
      </c>
      <c r="R3543" s="1" t="s">
        <v>125</v>
      </c>
    </row>
    <row r="3544" spans="1:18" x14ac:dyDescent="0.25">
      <c r="A3544">
        <v>2019</v>
      </c>
      <c r="B3544">
        <v>3</v>
      </c>
      <c r="C3544" s="1" t="s">
        <v>26</v>
      </c>
      <c r="D3544" s="1" t="s">
        <v>19</v>
      </c>
      <c r="E3544" s="1" t="s">
        <v>36</v>
      </c>
      <c r="F3544">
        <v>2000</v>
      </c>
      <c r="G3544">
        <v>19</v>
      </c>
      <c r="H3544" s="1" t="s">
        <v>124</v>
      </c>
      <c r="I3544">
        <v>24</v>
      </c>
      <c r="J3544">
        <v>1675</v>
      </c>
      <c r="K3544" s="1" t="s">
        <v>37</v>
      </c>
      <c r="L3544" s="1" t="s">
        <v>23</v>
      </c>
      <c r="M3544">
        <v>0.77200000000000002</v>
      </c>
      <c r="N3544">
        <v>18538.099999999999</v>
      </c>
      <c r="O3544">
        <v>18.538</v>
      </c>
      <c r="P3544" s="2">
        <v>43525</v>
      </c>
      <c r="Q3544">
        <v>1</v>
      </c>
      <c r="R3544" s="1" t="s">
        <v>125</v>
      </c>
    </row>
    <row r="3545" spans="1:18" x14ac:dyDescent="0.25">
      <c r="A3545">
        <v>2019</v>
      </c>
      <c r="B3545">
        <v>4</v>
      </c>
      <c r="C3545" s="1" t="s">
        <v>27</v>
      </c>
      <c r="D3545" s="1" t="s">
        <v>19</v>
      </c>
      <c r="E3545" s="1" t="s">
        <v>36</v>
      </c>
      <c r="F3545">
        <v>2000</v>
      </c>
      <c r="G3545">
        <v>19</v>
      </c>
      <c r="H3545" s="1" t="s">
        <v>124</v>
      </c>
      <c r="I3545">
        <v>24</v>
      </c>
      <c r="J3545">
        <v>1675</v>
      </c>
      <c r="K3545" s="1" t="s">
        <v>37</v>
      </c>
      <c r="L3545" s="1" t="s">
        <v>23</v>
      </c>
      <c r="M3545">
        <v>0.86799999999999999</v>
      </c>
      <c r="N3545">
        <v>20822.599999999999</v>
      </c>
      <c r="O3545">
        <v>20.823</v>
      </c>
      <c r="P3545" s="2">
        <v>43556</v>
      </c>
      <c r="Q3545">
        <v>1</v>
      </c>
      <c r="R3545" s="1" t="s">
        <v>125</v>
      </c>
    </row>
    <row r="3546" spans="1:18" x14ac:dyDescent="0.25">
      <c r="A3546">
        <v>2019</v>
      </c>
      <c r="B3546">
        <v>5</v>
      </c>
      <c r="C3546" s="1" t="s">
        <v>28</v>
      </c>
      <c r="D3546" s="1" t="s">
        <v>19</v>
      </c>
      <c r="E3546" s="1" t="s">
        <v>36</v>
      </c>
      <c r="F3546">
        <v>2000</v>
      </c>
      <c r="G3546">
        <v>19</v>
      </c>
      <c r="H3546" s="1" t="s">
        <v>124</v>
      </c>
      <c r="I3546">
        <v>24</v>
      </c>
      <c r="J3546">
        <v>1675</v>
      </c>
      <c r="K3546" s="1" t="s">
        <v>37</v>
      </c>
      <c r="L3546" s="1" t="s">
        <v>23</v>
      </c>
      <c r="M3546">
        <v>0.88800000000000001</v>
      </c>
      <c r="N3546">
        <v>21300</v>
      </c>
      <c r="O3546">
        <v>21.3</v>
      </c>
      <c r="P3546" s="2">
        <v>43586</v>
      </c>
      <c r="Q3546">
        <v>1</v>
      </c>
      <c r="R3546" s="1" t="s">
        <v>125</v>
      </c>
    </row>
    <row r="3547" spans="1:18" x14ac:dyDescent="0.25">
      <c r="A3547">
        <v>2019</v>
      </c>
      <c r="B3547">
        <v>6</v>
      </c>
      <c r="C3547" s="1" t="s">
        <v>29</v>
      </c>
      <c r="D3547" s="1" t="s">
        <v>19</v>
      </c>
      <c r="E3547" s="1" t="s">
        <v>36</v>
      </c>
      <c r="F3547">
        <v>2000</v>
      </c>
      <c r="G3547">
        <v>19</v>
      </c>
      <c r="H3547" s="1" t="s">
        <v>124</v>
      </c>
      <c r="I3547">
        <v>24</v>
      </c>
      <c r="J3547">
        <v>1675</v>
      </c>
      <c r="K3547" s="1" t="s">
        <v>37</v>
      </c>
      <c r="L3547" s="1" t="s">
        <v>23</v>
      </c>
      <c r="M3547">
        <v>0.84299999999999997</v>
      </c>
      <c r="N3547">
        <v>20220.2</v>
      </c>
      <c r="O3547">
        <v>20.22</v>
      </c>
      <c r="P3547" s="2">
        <v>43617</v>
      </c>
      <c r="Q3547">
        <v>1</v>
      </c>
      <c r="R3547" s="1" t="s">
        <v>125</v>
      </c>
    </row>
    <row r="3548" spans="1:18" x14ac:dyDescent="0.25">
      <c r="A3548">
        <v>2019</v>
      </c>
      <c r="B3548">
        <v>7</v>
      </c>
      <c r="C3548" s="1" t="s">
        <v>30</v>
      </c>
      <c r="D3548" s="1" t="s">
        <v>19</v>
      </c>
      <c r="E3548" s="1" t="s">
        <v>36</v>
      </c>
      <c r="F3548">
        <v>2000</v>
      </c>
      <c r="G3548">
        <v>19</v>
      </c>
      <c r="H3548" s="1" t="s">
        <v>124</v>
      </c>
      <c r="I3548">
        <v>24</v>
      </c>
      <c r="J3548">
        <v>1675</v>
      </c>
      <c r="K3548" s="1" t="s">
        <v>37</v>
      </c>
      <c r="L3548" s="1" t="s">
        <v>23</v>
      </c>
      <c r="M3548">
        <v>0.75800000000000001</v>
      </c>
      <c r="N3548">
        <v>18185.7</v>
      </c>
      <c r="O3548">
        <v>18.186</v>
      </c>
      <c r="P3548" s="2">
        <v>43647</v>
      </c>
      <c r="Q3548">
        <v>1</v>
      </c>
      <c r="R3548" s="1" t="s">
        <v>125</v>
      </c>
    </row>
    <row r="3549" spans="1:18" x14ac:dyDescent="0.25">
      <c r="A3549">
        <v>2019</v>
      </c>
      <c r="B3549">
        <v>8</v>
      </c>
      <c r="C3549" s="1" t="s">
        <v>31</v>
      </c>
      <c r="D3549" s="1" t="s">
        <v>19</v>
      </c>
      <c r="E3549" s="1" t="s">
        <v>36</v>
      </c>
      <c r="F3549">
        <v>2000</v>
      </c>
      <c r="G3549">
        <v>19</v>
      </c>
      <c r="H3549" s="1" t="s">
        <v>124</v>
      </c>
      <c r="I3549">
        <v>24</v>
      </c>
      <c r="J3549">
        <v>1675</v>
      </c>
      <c r="K3549" s="1" t="s">
        <v>37</v>
      </c>
      <c r="L3549" s="1" t="s">
        <v>23</v>
      </c>
      <c r="M3549">
        <v>0.88100000000000001</v>
      </c>
      <c r="N3549">
        <v>21140.9</v>
      </c>
      <c r="O3549">
        <v>21.140999999999998</v>
      </c>
      <c r="P3549" s="2">
        <v>43678</v>
      </c>
      <c r="Q3549">
        <v>1</v>
      </c>
      <c r="R3549" s="1" t="s">
        <v>125</v>
      </c>
    </row>
    <row r="3550" spans="1:18" x14ac:dyDescent="0.25">
      <c r="A3550">
        <v>2019</v>
      </c>
      <c r="B3550">
        <v>9</v>
      </c>
      <c r="C3550" s="1" t="s">
        <v>32</v>
      </c>
      <c r="D3550" s="1" t="s">
        <v>19</v>
      </c>
      <c r="E3550" s="1" t="s">
        <v>36</v>
      </c>
      <c r="F3550">
        <v>2000</v>
      </c>
      <c r="G3550">
        <v>19</v>
      </c>
      <c r="H3550" s="1" t="s">
        <v>124</v>
      </c>
      <c r="I3550">
        <v>24</v>
      </c>
      <c r="J3550">
        <v>1675</v>
      </c>
      <c r="K3550" s="1" t="s">
        <v>37</v>
      </c>
      <c r="L3550" s="1" t="s">
        <v>23</v>
      </c>
      <c r="M3550">
        <v>0.626</v>
      </c>
      <c r="N3550">
        <v>15025.9</v>
      </c>
      <c r="O3550">
        <v>15.026</v>
      </c>
      <c r="P3550" s="2">
        <v>43709</v>
      </c>
      <c r="Q3550">
        <v>1</v>
      </c>
      <c r="R3550" s="1" t="s">
        <v>125</v>
      </c>
    </row>
    <row r="3551" spans="1:18" x14ac:dyDescent="0.25">
      <c r="A3551">
        <v>2019</v>
      </c>
      <c r="B3551">
        <v>10</v>
      </c>
      <c r="C3551" s="1" t="s">
        <v>33</v>
      </c>
      <c r="D3551" s="1" t="s">
        <v>19</v>
      </c>
      <c r="E3551" s="1" t="s">
        <v>36</v>
      </c>
      <c r="F3551">
        <v>2000</v>
      </c>
      <c r="G3551">
        <v>19</v>
      </c>
      <c r="H3551" s="1" t="s">
        <v>124</v>
      </c>
      <c r="I3551">
        <v>24</v>
      </c>
      <c r="J3551">
        <v>1675</v>
      </c>
      <c r="K3551" s="1" t="s">
        <v>37</v>
      </c>
      <c r="L3551" s="1" t="s">
        <v>23</v>
      </c>
      <c r="M3551">
        <v>0.82199999999999995</v>
      </c>
      <c r="N3551">
        <v>19720.099999999999</v>
      </c>
      <c r="O3551">
        <v>19.72</v>
      </c>
      <c r="P3551" s="2">
        <v>43739</v>
      </c>
      <c r="Q3551">
        <v>1</v>
      </c>
      <c r="R3551" s="1" t="s">
        <v>125</v>
      </c>
    </row>
    <row r="3552" spans="1:18" x14ac:dyDescent="0.25">
      <c r="A3552">
        <v>2019</v>
      </c>
      <c r="B3552">
        <v>11</v>
      </c>
      <c r="C3552" s="1" t="s">
        <v>34</v>
      </c>
      <c r="D3552" s="1" t="s">
        <v>19</v>
      </c>
      <c r="E3552" s="1" t="s">
        <v>36</v>
      </c>
      <c r="F3552">
        <v>2000</v>
      </c>
      <c r="G3552">
        <v>19</v>
      </c>
      <c r="H3552" s="1" t="s">
        <v>124</v>
      </c>
      <c r="I3552">
        <v>24</v>
      </c>
      <c r="J3552">
        <v>1675</v>
      </c>
      <c r="K3552" s="1" t="s">
        <v>37</v>
      </c>
      <c r="L3552" s="1" t="s">
        <v>23</v>
      </c>
      <c r="M3552">
        <v>0.59799999999999998</v>
      </c>
      <c r="N3552">
        <v>14355.3</v>
      </c>
      <c r="O3552">
        <v>14.355</v>
      </c>
      <c r="P3552" s="2">
        <v>43770</v>
      </c>
      <c r="Q3552">
        <v>1</v>
      </c>
      <c r="R3552" s="1" t="s">
        <v>125</v>
      </c>
    </row>
    <row r="3553" spans="1:18" x14ac:dyDescent="0.25">
      <c r="A3553">
        <v>2019</v>
      </c>
      <c r="B3553">
        <v>12</v>
      </c>
      <c r="C3553" s="1" t="s">
        <v>35</v>
      </c>
      <c r="D3553" s="1" t="s">
        <v>19</v>
      </c>
      <c r="E3553" s="1" t="s">
        <v>36</v>
      </c>
      <c r="F3553">
        <v>2000</v>
      </c>
      <c r="G3553">
        <v>19</v>
      </c>
      <c r="H3553" s="1" t="s">
        <v>124</v>
      </c>
      <c r="I3553">
        <v>24</v>
      </c>
      <c r="J3553">
        <v>1675</v>
      </c>
      <c r="K3553" s="1" t="s">
        <v>37</v>
      </c>
      <c r="L3553" s="1" t="s">
        <v>23</v>
      </c>
      <c r="M3553">
        <v>0.45</v>
      </c>
      <c r="N3553">
        <v>10797.8</v>
      </c>
      <c r="O3553">
        <v>10.798</v>
      </c>
      <c r="P3553" s="2">
        <v>43800</v>
      </c>
      <c r="Q3553">
        <v>1</v>
      </c>
      <c r="R3553" s="1" t="s">
        <v>125</v>
      </c>
    </row>
    <row r="3554" spans="1:18" x14ac:dyDescent="0.25">
      <c r="A3554">
        <v>2019</v>
      </c>
      <c r="B3554">
        <v>1</v>
      </c>
      <c r="C3554" s="1" t="s">
        <v>18</v>
      </c>
      <c r="D3554" s="1" t="s">
        <v>19</v>
      </c>
      <c r="E3554" s="1" t="s">
        <v>38</v>
      </c>
      <c r="F3554">
        <v>2005</v>
      </c>
      <c r="G3554">
        <v>14</v>
      </c>
      <c r="H3554" s="1" t="s">
        <v>21</v>
      </c>
      <c r="I3554">
        <v>18</v>
      </c>
      <c r="J3554">
        <v>1922</v>
      </c>
      <c r="K3554" s="1" t="s">
        <v>39</v>
      </c>
      <c r="L3554" s="1" t="s">
        <v>23</v>
      </c>
      <c r="M3554">
        <v>0.96</v>
      </c>
      <c r="N3554">
        <v>17283.599999999999</v>
      </c>
      <c r="O3554">
        <v>17.283999999999999</v>
      </c>
      <c r="P3554" s="2">
        <v>43466</v>
      </c>
      <c r="Q3554">
        <v>1</v>
      </c>
      <c r="R3554" s="1" t="s">
        <v>24</v>
      </c>
    </row>
    <row r="3555" spans="1:18" x14ac:dyDescent="0.25">
      <c r="A3555">
        <v>2019</v>
      </c>
      <c r="B3555">
        <v>2</v>
      </c>
      <c r="C3555" s="1" t="s">
        <v>25</v>
      </c>
      <c r="D3555" s="1" t="s">
        <v>19</v>
      </c>
      <c r="E3555" s="1" t="s">
        <v>38</v>
      </c>
      <c r="F3555">
        <v>2005</v>
      </c>
      <c r="G3555">
        <v>14</v>
      </c>
      <c r="H3555" s="1" t="s">
        <v>21</v>
      </c>
      <c r="I3555">
        <v>18</v>
      </c>
      <c r="J3555">
        <v>1922</v>
      </c>
      <c r="K3555" s="1" t="s">
        <v>39</v>
      </c>
      <c r="L3555" s="1" t="s">
        <v>23</v>
      </c>
      <c r="M3555">
        <v>1.123</v>
      </c>
      <c r="N3555">
        <v>20209.8</v>
      </c>
      <c r="O3555">
        <v>20.21</v>
      </c>
      <c r="P3555" s="2">
        <v>43497</v>
      </c>
      <c r="Q3555">
        <v>1</v>
      </c>
      <c r="R3555" s="1" t="s">
        <v>24</v>
      </c>
    </row>
    <row r="3556" spans="1:18" x14ac:dyDescent="0.25">
      <c r="A3556">
        <v>2019</v>
      </c>
      <c r="B3556">
        <v>3</v>
      </c>
      <c r="C3556" s="1" t="s">
        <v>26</v>
      </c>
      <c r="D3556" s="1" t="s">
        <v>19</v>
      </c>
      <c r="E3556" s="1" t="s">
        <v>38</v>
      </c>
      <c r="F3556">
        <v>2005</v>
      </c>
      <c r="G3556">
        <v>14</v>
      </c>
      <c r="H3556" s="1" t="s">
        <v>21</v>
      </c>
      <c r="I3556">
        <v>18</v>
      </c>
      <c r="J3556">
        <v>1922</v>
      </c>
      <c r="K3556" s="1" t="s">
        <v>39</v>
      </c>
      <c r="L3556" s="1" t="s">
        <v>23</v>
      </c>
      <c r="M3556">
        <v>1.306</v>
      </c>
      <c r="N3556">
        <v>23510.9</v>
      </c>
      <c r="O3556">
        <v>23.510999999999999</v>
      </c>
      <c r="P3556" s="2">
        <v>43525</v>
      </c>
      <c r="Q3556">
        <v>1</v>
      </c>
      <c r="R3556" s="1" t="s">
        <v>24</v>
      </c>
    </row>
    <row r="3557" spans="1:18" x14ac:dyDescent="0.25">
      <c r="A3557">
        <v>2019</v>
      </c>
      <c r="B3557">
        <v>4</v>
      </c>
      <c r="C3557" s="1" t="s">
        <v>27</v>
      </c>
      <c r="D3557" s="1" t="s">
        <v>19</v>
      </c>
      <c r="E3557" s="1" t="s">
        <v>38</v>
      </c>
      <c r="F3557">
        <v>2005</v>
      </c>
      <c r="G3557">
        <v>14</v>
      </c>
      <c r="H3557" s="1" t="s">
        <v>21</v>
      </c>
      <c r="I3557">
        <v>18</v>
      </c>
      <c r="J3557">
        <v>1922</v>
      </c>
      <c r="K3557" s="1" t="s">
        <v>39</v>
      </c>
      <c r="L3557" s="1" t="s">
        <v>23</v>
      </c>
      <c r="M3557">
        <v>1.4670000000000001</v>
      </c>
      <c r="N3557">
        <v>26408.3</v>
      </c>
      <c r="O3557">
        <v>26.408000000000001</v>
      </c>
      <c r="P3557" s="2">
        <v>43556</v>
      </c>
      <c r="Q3557">
        <v>1</v>
      </c>
      <c r="R3557" s="1" t="s">
        <v>24</v>
      </c>
    </row>
    <row r="3558" spans="1:18" x14ac:dyDescent="0.25">
      <c r="A3558">
        <v>2019</v>
      </c>
      <c r="B3558">
        <v>5</v>
      </c>
      <c r="C3558" s="1" t="s">
        <v>28</v>
      </c>
      <c r="D3558" s="1" t="s">
        <v>19</v>
      </c>
      <c r="E3558" s="1" t="s">
        <v>38</v>
      </c>
      <c r="F3558">
        <v>2005</v>
      </c>
      <c r="G3558">
        <v>14</v>
      </c>
      <c r="H3558" s="1" t="s">
        <v>21</v>
      </c>
      <c r="I3558">
        <v>18</v>
      </c>
      <c r="J3558">
        <v>1922</v>
      </c>
      <c r="K3558" s="1" t="s">
        <v>39</v>
      </c>
      <c r="L3558" s="1" t="s">
        <v>23</v>
      </c>
      <c r="M3558">
        <v>1.5009999999999999</v>
      </c>
      <c r="N3558">
        <v>27013.7</v>
      </c>
      <c r="O3558">
        <v>27.013999999999999</v>
      </c>
      <c r="P3558" s="2">
        <v>43586</v>
      </c>
      <c r="Q3558">
        <v>1</v>
      </c>
      <c r="R3558" s="1" t="s">
        <v>24</v>
      </c>
    </row>
    <row r="3559" spans="1:18" x14ac:dyDescent="0.25">
      <c r="A3559">
        <v>2019</v>
      </c>
      <c r="B3559">
        <v>6</v>
      </c>
      <c r="C3559" s="1" t="s">
        <v>29</v>
      </c>
      <c r="D3559" s="1" t="s">
        <v>19</v>
      </c>
      <c r="E3559" s="1" t="s">
        <v>38</v>
      </c>
      <c r="F3559">
        <v>2005</v>
      </c>
      <c r="G3559">
        <v>14</v>
      </c>
      <c r="H3559" s="1" t="s">
        <v>21</v>
      </c>
      <c r="I3559">
        <v>18</v>
      </c>
      <c r="J3559">
        <v>1922</v>
      </c>
      <c r="K3559" s="1" t="s">
        <v>39</v>
      </c>
      <c r="L3559" s="1" t="s">
        <v>23</v>
      </c>
      <c r="M3559">
        <v>1.425</v>
      </c>
      <c r="N3559">
        <v>25644.3</v>
      </c>
      <c r="O3559">
        <v>25.643999999999998</v>
      </c>
      <c r="P3559" s="2">
        <v>43617</v>
      </c>
      <c r="Q3559">
        <v>1</v>
      </c>
      <c r="R3559" s="1" t="s">
        <v>24</v>
      </c>
    </row>
    <row r="3560" spans="1:18" x14ac:dyDescent="0.25">
      <c r="A3560">
        <v>2019</v>
      </c>
      <c r="B3560">
        <v>7</v>
      </c>
      <c r="C3560" s="1" t="s">
        <v>30</v>
      </c>
      <c r="D3560" s="1" t="s">
        <v>19</v>
      </c>
      <c r="E3560" s="1" t="s">
        <v>38</v>
      </c>
      <c r="F3560">
        <v>2005</v>
      </c>
      <c r="G3560">
        <v>14</v>
      </c>
      <c r="H3560" s="1" t="s">
        <v>21</v>
      </c>
      <c r="I3560">
        <v>18</v>
      </c>
      <c r="J3560">
        <v>1922</v>
      </c>
      <c r="K3560" s="1" t="s">
        <v>39</v>
      </c>
      <c r="L3560" s="1" t="s">
        <v>23</v>
      </c>
      <c r="M3560">
        <v>1.2809999999999999</v>
      </c>
      <c r="N3560">
        <v>23064</v>
      </c>
      <c r="O3560">
        <v>23.064</v>
      </c>
      <c r="P3560" s="2">
        <v>43647</v>
      </c>
      <c r="Q3560">
        <v>1</v>
      </c>
      <c r="R3560" s="1" t="s">
        <v>24</v>
      </c>
    </row>
    <row r="3561" spans="1:18" x14ac:dyDescent="0.25">
      <c r="A3561">
        <v>2019</v>
      </c>
      <c r="B3561">
        <v>8</v>
      </c>
      <c r="C3561" s="1" t="s">
        <v>31</v>
      </c>
      <c r="D3561" s="1" t="s">
        <v>19</v>
      </c>
      <c r="E3561" s="1" t="s">
        <v>38</v>
      </c>
      <c r="F3561">
        <v>2005</v>
      </c>
      <c r="G3561">
        <v>14</v>
      </c>
      <c r="H3561" s="1" t="s">
        <v>21</v>
      </c>
      <c r="I3561">
        <v>18</v>
      </c>
      <c r="J3561">
        <v>1922</v>
      </c>
      <c r="K3561" s="1" t="s">
        <v>39</v>
      </c>
      <c r="L3561" s="1" t="s">
        <v>23</v>
      </c>
      <c r="M3561">
        <v>1.49</v>
      </c>
      <c r="N3561">
        <v>26811.9</v>
      </c>
      <c r="O3561">
        <v>26.812000000000001</v>
      </c>
      <c r="P3561" s="2">
        <v>43678</v>
      </c>
      <c r="Q3561">
        <v>1</v>
      </c>
      <c r="R3561" s="1" t="s">
        <v>24</v>
      </c>
    </row>
    <row r="3562" spans="1:18" x14ac:dyDescent="0.25">
      <c r="A3562">
        <v>2019</v>
      </c>
      <c r="B3562">
        <v>9</v>
      </c>
      <c r="C3562" s="1" t="s">
        <v>32</v>
      </c>
      <c r="D3562" s="1" t="s">
        <v>19</v>
      </c>
      <c r="E3562" s="1" t="s">
        <v>38</v>
      </c>
      <c r="F3562">
        <v>2005</v>
      </c>
      <c r="G3562">
        <v>14</v>
      </c>
      <c r="H3562" s="1" t="s">
        <v>21</v>
      </c>
      <c r="I3562">
        <v>18</v>
      </c>
      <c r="J3562">
        <v>1922</v>
      </c>
      <c r="K3562" s="1" t="s">
        <v>39</v>
      </c>
      <c r="L3562" s="1" t="s">
        <v>23</v>
      </c>
      <c r="M3562">
        <v>1.0589999999999999</v>
      </c>
      <c r="N3562">
        <v>19056.599999999999</v>
      </c>
      <c r="O3562">
        <v>19.056999999999999</v>
      </c>
      <c r="P3562" s="2">
        <v>43709</v>
      </c>
      <c r="Q3562">
        <v>1</v>
      </c>
      <c r="R3562" s="1" t="s">
        <v>24</v>
      </c>
    </row>
    <row r="3563" spans="1:18" x14ac:dyDescent="0.25">
      <c r="A3563">
        <v>2019</v>
      </c>
      <c r="B3563">
        <v>10</v>
      </c>
      <c r="C3563" s="1" t="s">
        <v>33</v>
      </c>
      <c r="D3563" s="1" t="s">
        <v>19</v>
      </c>
      <c r="E3563" s="1" t="s">
        <v>38</v>
      </c>
      <c r="F3563">
        <v>2005</v>
      </c>
      <c r="G3563">
        <v>14</v>
      </c>
      <c r="H3563" s="1" t="s">
        <v>21</v>
      </c>
      <c r="I3563">
        <v>18</v>
      </c>
      <c r="J3563">
        <v>1922</v>
      </c>
      <c r="K3563" s="1" t="s">
        <v>39</v>
      </c>
      <c r="L3563" s="1" t="s">
        <v>23</v>
      </c>
      <c r="M3563">
        <v>1.389</v>
      </c>
      <c r="N3563">
        <v>25010</v>
      </c>
      <c r="O3563">
        <v>25.01</v>
      </c>
      <c r="P3563" s="2">
        <v>43739</v>
      </c>
      <c r="Q3563">
        <v>1</v>
      </c>
      <c r="R3563" s="1" t="s">
        <v>24</v>
      </c>
    </row>
    <row r="3564" spans="1:18" x14ac:dyDescent="0.25">
      <c r="A3564">
        <v>2019</v>
      </c>
      <c r="B3564">
        <v>11</v>
      </c>
      <c r="C3564" s="1" t="s">
        <v>34</v>
      </c>
      <c r="D3564" s="1" t="s">
        <v>19</v>
      </c>
      <c r="E3564" s="1" t="s">
        <v>38</v>
      </c>
      <c r="F3564">
        <v>2005</v>
      </c>
      <c r="G3564">
        <v>14</v>
      </c>
      <c r="H3564" s="1" t="s">
        <v>21</v>
      </c>
      <c r="I3564">
        <v>18</v>
      </c>
      <c r="J3564">
        <v>1922</v>
      </c>
      <c r="K3564" s="1" t="s">
        <v>39</v>
      </c>
      <c r="L3564" s="1" t="s">
        <v>23</v>
      </c>
      <c r="M3564">
        <v>1.0109999999999999</v>
      </c>
      <c r="N3564">
        <v>18206.099999999999</v>
      </c>
      <c r="O3564">
        <v>18.206</v>
      </c>
      <c r="P3564" s="2">
        <v>43770</v>
      </c>
      <c r="Q3564">
        <v>1</v>
      </c>
      <c r="R3564" s="1" t="s">
        <v>24</v>
      </c>
    </row>
    <row r="3565" spans="1:18" x14ac:dyDescent="0.25">
      <c r="A3565">
        <v>2019</v>
      </c>
      <c r="B3565">
        <v>12</v>
      </c>
      <c r="C3565" s="1" t="s">
        <v>35</v>
      </c>
      <c r="D3565" s="1" t="s">
        <v>19</v>
      </c>
      <c r="E3565" s="1" t="s">
        <v>38</v>
      </c>
      <c r="F3565">
        <v>2005</v>
      </c>
      <c r="G3565">
        <v>14</v>
      </c>
      <c r="H3565" s="1" t="s">
        <v>21</v>
      </c>
      <c r="I3565">
        <v>18</v>
      </c>
      <c r="J3565">
        <v>1922</v>
      </c>
      <c r="K3565" s="1" t="s">
        <v>39</v>
      </c>
      <c r="L3565" s="1" t="s">
        <v>23</v>
      </c>
      <c r="M3565">
        <v>0.76100000000000001</v>
      </c>
      <c r="N3565">
        <v>13694.2</v>
      </c>
      <c r="O3565">
        <v>13.694000000000001</v>
      </c>
      <c r="P3565" s="2">
        <v>43800</v>
      </c>
      <c r="Q3565">
        <v>1</v>
      </c>
      <c r="R3565" s="1" t="s">
        <v>24</v>
      </c>
    </row>
    <row r="3566" spans="1:18" x14ac:dyDescent="0.25">
      <c r="A3566">
        <v>2019</v>
      </c>
      <c r="B3566">
        <v>1</v>
      </c>
      <c r="C3566" s="1" t="s">
        <v>18</v>
      </c>
      <c r="D3566" s="1" t="s">
        <v>19</v>
      </c>
      <c r="E3566" s="1" t="s">
        <v>41</v>
      </c>
      <c r="F3566">
        <v>2005</v>
      </c>
      <c r="G3566">
        <v>14</v>
      </c>
      <c r="H3566" s="1" t="s">
        <v>21</v>
      </c>
      <c r="I3566">
        <v>26</v>
      </c>
      <c r="J3566">
        <v>2827</v>
      </c>
      <c r="K3566" s="1" t="s">
        <v>42</v>
      </c>
      <c r="L3566" s="1" t="s">
        <v>23</v>
      </c>
      <c r="M3566">
        <v>0.97799999999999998</v>
      </c>
      <c r="N3566">
        <v>25421.8</v>
      </c>
      <c r="O3566">
        <v>25.422000000000001</v>
      </c>
      <c r="P3566" s="2">
        <v>43466</v>
      </c>
      <c r="Q3566">
        <v>1</v>
      </c>
      <c r="R3566" s="1" t="s">
        <v>24</v>
      </c>
    </row>
    <row r="3567" spans="1:18" x14ac:dyDescent="0.25">
      <c r="A3567">
        <v>2019</v>
      </c>
      <c r="B3567">
        <v>2</v>
      </c>
      <c r="C3567" s="1" t="s">
        <v>25</v>
      </c>
      <c r="D3567" s="1" t="s">
        <v>19</v>
      </c>
      <c r="E3567" s="1" t="s">
        <v>41</v>
      </c>
      <c r="F3567">
        <v>2005</v>
      </c>
      <c r="G3567">
        <v>14</v>
      </c>
      <c r="H3567" s="1" t="s">
        <v>21</v>
      </c>
      <c r="I3567">
        <v>26</v>
      </c>
      <c r="J3567">
        <v>2827</v>
      </c>
      <c r="K3567" s="1" t="s">
        <v>42</v>
      </c>
      <c r="L3567" s="1" t="s">
        <v>23</v>
      </c>
      <c r="M3567">
        <v>1.143</v>
      </c>
      <c r="N3567">
        <v>29725.9</v>
      </c>
      <c r="O3567">
        <v>29.725999999999999</v>
      </c>
      <c r="P3567" s="2">
        <v>43497</v>
      </c>
      <c r="Q3567">
        <v>1</v>
      </c>
      <c r="R3567" s="1" t="s">
        <v>24</v>
      </c>
    </row>
    <row r="3568" spans="1:18" x14ac:dyDescent="0.25">
      <c r="A3568">
        <v>2019</v>
      </c>
      <c r="B3568">
        <v>3</v>
      </c>
      <c r="C3568" s="1" t="s">
        <v>26</v>
      </c>
      <c r="D3568" s="1" t="s">
        <v>19</v>
      </c>
      <c r="E3568" s="1" t="s">
        <v>41</v>
      </c>
      <c r="F3568">
        <v>2005</v>
      </c>
      <c r="G3568">
        <v>14</v>
      </c>
      <c r="H3568" s="1" t="s">
        <v>21</v>
      </c>
      <c r="I3568">
        <v>26</v>
      </c>
      <c r="J3568">
        <v>2827</v>
      </c>
      <c r="K3568" s="1" t="s">
        <v>42</v>
      </c>
      <c r="L3568" s="1" t="s">
        <v>23</v>
      </c>
      <c r="M3568">
        <v>1.33</v>
      </c>
      <c r="N3568">
        <v>34581.300000000003</v>
      </c>
      <c r="O3568">
        <v>34.581000000000003</v>
      </c>
      <c r="P3568" s="2">
        <v>43525</v>
      </c>
      <c r="Q3568">
        <v>1</v>
      </c>
      <c r="R3568" s="1" t="s">
        <v>24</v>
      </c>
    </row>
    <row r="3569" spans="1:18" x14ac:dyDescent="0.25">
      <c r="A3569">
        <v>2019</v>
      </c>
      <c r="B3569">
        <v>4</v>
      </c>
      <c r="C3569" s="1" t="s">
        <v>27</v>
      </c>
      <c r="D3569" s="1" t="s">
        <v>19</v>
      </c>
      <c r="E3569" s="1" t="s">
        <v>41</v>
      </c>
      <c r="F3569">
        <v>2005</v>
      </c>
      <c r="G3569">
        <v>14</v>
      </c>
      <c r="H3569" s="1" t="s">
        <v>21</v>
      </c>
      <c r="I3569">
        <v>26</v>
      </c>
      <c r="J3569">
        <v>2827</v>
      </c>
      <c r="K3569" s="1" t="s">
        <v>42</v>
      </c>
      <c r="L3569" s="1" t="s">
        <v>23</v>
      </c>
      <c r="M3569">
        <v>1.494</v>
      </c>
      <c r="N3569">
        <v>38843</v>
      </c>
      <c r="O3569">
        <v>38.843000000000004</v>
      </c>
      <c r="P3569" s="2">
        <v>43556</v>
      </c>
      <c r="Q3569">
        <v>1</v>
      </c>
      <c r="R3569" s="1" t="s">
        <v>24</v>
      </c>
    </row>
    <row r="3570" spans="1:18" x14ac:dyDescent="0.25">
      <c r="A3570">
        <v>2019</v>
      </c>
      <c r="B3570">
        <v>5</v>
      </c>
      <c r="C3570" s="1" t="s">
        <v>28</v>
      </c>
      <c r="D3570" s="1" t="s">
        <v>19</v>
      </c>
      <c r="E3570" s="1" t="s">
        <v>41</v>
      </c>
      <c r="F3570">
        <v>2005</v>
      </c>
      <c r="G3570">
        <v>14</v>
      </c>
      <c r="H3570" s="1" t="s">
        <v>21</v>
      </c>
      <c r="I3570">
        <v>26</v>
      </c>
      <c r="J3570">
        <v>2827</v>
      </c>
      <c r="K3570" s="1" t="s">
        <v>42</v>
      </c>
      <c r="L3570" s="1" t="s">
        <v>23</v>
      </c>
      <c r="M3570">
        <v>1.528</v>
      </c>
      <c r="N3570">
        <v>39733.5</v>
      </c>
      <c r="O3570">
        <v>39.732999999999997</v>
      </c>
      <c r="P3570" s="2">
        <v>43586</v>
      </c>
      <c r="Q3570">
        <v>1</v>
      </c>
      <c r="R3570" s="1" t="s">
        <v>24</v>
      </c>
    </row>
    <row r="3571" spans="1:18" x14ac:dyDescent="0.25">
      <c r="A3571">
        <v>2019</v>
      </c>
      <c r="B3571">
        <v>6</v>
      </c>
      <c r="C3571" s="1" t="s">
        <v>29</v>
      </c>
      <c r="D3571" s="1" t="s">
        <v>19</v>
      </c>
      <c r="E3571" s="1" t="s">
        <v>41</v>
      </c>
      <c r="F3571">
        <v>2005</v>
      </c>
      <c r="G3571">
        <v>14</v>
      </c>
      <c r="H3571" s="1" t="s">
        <v>21</v>
      </c>
      <c r="I3571">
        <v>26</v>
      </c>
      <c r="J3571">
        <v>2827</v>
      </c>
      <c r="K3571" s="1" t="s">
        <v>42</v>
      </c>
      <c r="L3571" s="1" t="s">
        <v>23</v>
      </c>
      <c r="M3571">
        <v>1.4510000000000001</v>
      </c>
      <c r="N3571">
        <v>37719.199999999997</v>
      </c>
      <c r="O3571">
        <v>37.719000000000001</v>
      </c>
      <c r="P3571" s="2">
        <v>43617</v>
      </c>
      <c r="Q3571">
        <v>1</v>
      </c>
      <c r="R3571" s="1" t="s">
        <v>24</v>
      </c>
    </row>
    <row r="3572" spans="1:18" x14ac:dyDescent="0.25">
      <c r="A3572">
        <v>2019</v>
      </c>
      <c r="B3572">
        <v>7</v>
      </c>
      <c r="C3572" s="1" t="s">
        <v>30</v>
      </c>
      <c r="D3572" s="1" t="s">
        <v>19</v>
      </c>
      <c r="E3572" s="1" t="s">
        <v>41</v>
      </c>
      <c r="F3572">
        <v>2005</v>
      </c>
      <c r="G3572">
        <v>14</v>
      </c>
      <c r="H3572" s="1" t="s">
        <v>21</v>
      </c>
      <c r="I3572">
        <v>26</v>
      </c>
      <c r="J3572">
        <v>2827</v>
      </c>
      <c r="K3572" s="1" t="s">
        <v>42</v>
      </c>
      <c r="L3572" s="1" t="s">
        <v>23</v>
      </c>
      <c r="M3572">
        <v>1.3049999999999999</v>
      </c>
      <c r="N3572">
        <v>33924</v>
      </c>
      <c r="O3572">
        <v>33.923999999999999</v>
      </c>
      <c r="P3572" s="2">
        <v>43647</v>
      </c>
      <c r="Q3572">
        <v>1</v>
      </c>
      <c r="R3572" s="1" t="s">
        <v>24</v>
      </c>
    </row>
    <row r="3573" spans="1:18" x14ac:dyDescent="0.25">
      <c r="A3573">
        <v>2019</v>
      </c>
      <c r="B3573">
        <v>8</v>
      </c>
      <c r="C3573" s="1" t="s">
        <v>31</v>
      </c>
      <c r="D3573" s="1" t="s">
        <v>19</v>
      </c>
      <c r="E3573" s="1" t="s">
        <v>41</v>
      </c>
      <c r="F3573">
        <v>2005</v>
      </c>
      <c r="G3573">
        <v>14</v>
      </c>
      <c r="H3573" s="1" t="s">
        <v>21</v>
      </c>
      <c r="I3573">
        <v>26</v>
      </c>
      <c r="J3573">
        <v>2827</v>
      </c>
      <c r="K3573" s="1" t="s">
        <v>42</v>
      </c>
      <c r="L3573" s="1" t="s">
        <v>23</v>
      </c>
      <c r="M3573">
        <v>1.5169999999999999</v>
      </c>
      <c r="N3573">
        <v>39436.699999999997</v>
      </c>
      <c r="O3573">
        <v>39.436999999999998</v>
      </c>
      <c r="P3573" s="2">
        <v>43678</v>
      </c>
      <c r="Q3573">
        <v>1</v>
      </c>
      <c r="R3573" s="1" t="s">
        <v>24</v>
      </c>
    </row>
    <row r="3574" spans="1:18" x14ac:dyDescent="0.25">
      <c r="A3574">
        <v>2019</v>
      </c>
      <c r="B3574">
        <v>9</v>
      </c>
      <c r="C3574" s="1" t="s">
        <v>32</v>
      </c>
      <c r="D3574" s="1" t="s">
        <v>19</v>
      </c>
      <c r="E3574" s="1" t="s">
        <v>41</v>
      </c>
      <c r="F3574">
        <v>2005</v>
      </c>
      <c r="G3574">
        <v>14</v>
      </c>
      <c r="H3574" s="1" t="s">
        <v>21</v>
      </c>
      <c r="I3574">
        <v>26</v>
      </c>
      <c r="J3574">
        <v>2827</v>
      </c>
      <c r="K3574" s="1" t="s">
        <v>42</v>
      </c>
      <c r="L3574" s="1" t="s">
        <v>23</v>
      </c>
      <c r="M3574">
        <v>1.0780000000000001</v>
      </c>
      <c r="N3574">
        <v>28029.7</v>
      </c>
      <c r="O3574">
        <v>28.03</v>
      </c>
      <c r="P3574" s="2">
        <v>43709</v>
      </c>
      <c r="Q3574">
        <v>1</v>
      </c>
      <c r="R3574" s="1" t="s">
        <v>24</v>
      </c>
    </row>
    <row r="3575" spans="1:18" x14ac:dyDescent="0.25">
      <c r="A3575">
        <v>2019</v>
      </c>
      <c r="B3575">
        <v>10</v>
      </c>
      <c r="C3575" s="1" t="s">
        <v>33</v>
      </c>
      <c r="D3575" s="1" t="s">
        <v>19</v>
      </c>
      <c r="E3575" s="1" t="s">
        <v>41</v>
      </c>
      <c r="F3575">
        <v>2005</v>
      </c>
      <c r="G3575">
        <v>14</v>
      </c>
      <c r="H3575" s="1" t="s">
        <v>21</v>
      </c>
      <c r="I3575">
        <v>26</v>
      </c>
      <c r="J3575">
        <v>2827</v>
      </c>
      <c r="K3575" s="1" t="s">
        <v>42</v>
      </c>
      <c r="L3575" s="1" t="s">
        <v>23</v>
      </c>
      <c r="M3575">
        <v>1.415</v>
      </c>
      <c r="N3575">
        <v>36786.300000000003</v>
      </c>
      <c r="O3575">
        <v>36.786000000000001</v>
      </c>
      <c r="P3575" s="2">
        <v>43739</v>
      </c>
      <c r="Q3575">
        <v>1</v>
      </c>
      <c r="R3575" s="1" t="s">
        <v>24</v>
      </c>
    </row>
    <row r="3576" spans="1:18" x14ac:dyDescent="0.25">
      <c r="A3576">
        <v>2019</v>
      </c>
      <c r="B3576">
        <v>11</v>
      </c>
      <c r="C3576" s="1" t="s">
        <v>34</v>
      </c>
      <c r="D3576" s="1" t="s">
        <v>19</v>
      </c>
      <c r="E3576" s="1" t="s">
        <v>41</v>
      </c>
      <c r="F3576">
        <v>2005</v>
      </c>
      <c r="G3576">
        <v>14</v>
      </c>
      <c r="H3576" s="1" t="s">
        <v>21</v>
      </c>
      <c r="I3576">
        <v>26</v>
      </c>
      <c r="J3576">
        <v>2827</v>
      </c>
      <c r="K3576" s="1" t="s">
        <v>42</v>
      </c>
      <c r="L3576" s="1" t="s">
        <v>23</v>
      </c>
      <c r="M3576">
        <v>1.03</v>
      </c>
      <c r="N3576">
        <v>26778.799999999999</v>
      </c>
      <c r="O3576">
        <v>26.779</v>
      </c>
      <c r="P3576" s="2">
        <v>43770</v>
      </c>
      <c r="Q3576">
        <v>1</v>
      </c>
      <c r="R3576" s="1" t="s">
        <v>24</v>
      </c>
    </row>
    <row r="3577" spans="1:18" x14ac:dyDescent="0.25">
      <c r="A3577">
        <v>2019</v>
      </c>
      <c r="B3577">
        <v>12</v>
      </c>
      <c r="C3577" s="1" t="s">
        <v>35</v>
      </c>
      <c r="D3577" s="1" t="s">
        <v>19</v>
      </c>
      <c r="E3577" s="1" t="s">
        <v>41</v>
      </c>
      <c r="F3577">
        <v>2005</v>
      </c>
      <c r="G3577">
        <v>14</v>
      </c>
      <c r="H3577" s="1" t="s">
        <v>21</v>
      </c>
      <c r="I3577">
        <v>26</v>
      </c>
      <c r="J3577">
        <v>2827</v>
      </c>
      <c r="K3577" s="1" t="s">
        <v>42</v>
      </c>
      <c r="L3577" s="1" t="s">
        <v>23</v>
      </c>
      <c r="M3577">
        <v>0.77500000000000002</v>
      </c>
      <c r="N3577">
        <v>20142.400000000001</v>
      </c>
      <c r="O3577">
        <v>20.141999999999999</v>
      </c>
      <c r="P3577" s="2">
        <v>43800</v>
      </c>
      <c r="Q3577">
        <v>1</v>
      </c>
      <c r="R3577" s="1" t="s">
        <v>24</v>
      </c>
    </row>
    <row r="3578" spans="1:18" x14ac:dyDescent="0.25">
      <c r="A3578">
        <v>2019</v>
      </c>
      <c r="B3578">
        <v>1</v>
      </c>
      <c r="C3578" s="1" t="s">
        <v>18</v>
      </c>
      <c r="D3578" s="1" t="s">
        <v>19</v>
      </c>
      <c r="E3578" s="1" t="s">
        <v>43</v>
      </c>
      <c r="F3578">
        <v>2005</v>
      </c>
      <c r="G3578">
        <v>14</v>
      </c>
      <c r="H3578" s="1" t="s">
        <v>21</v>
      </c>
      <c r="I3578">
        <v>24</v>
      </c>
      <c r="J3578">
        <v>1947</v>
      </c>
      <c r="K3578" s="1" t="s">
        <v>44</v>
      </c>
      <c r="L3578" s="1" t="s">
        <v>45</v>
      </c>
      <c r="M3578">
        <v>0.91700000000000004</v>
      </c>
      <c r="N3578">
        <v>22013.599999999999</v>
      </c>
      <c r="O3578">
        <v>22.013999999999999</v>
      </c>
      <c r="P3578" s="2">
        <v>43466</v>
      </c>
      <c r="Q3578">
        <v>1</v>
      </c>
      <c r="R3578" s="1" t="s">
        <v>24</v>
      </c>
    </row>
    <row r="3579" spans="1:18" x14ac:dyDescent="0.25">
      <c r="A3579">
        <v>2019</v>
      </c>
      <c r="B3579">
        <v>2</v>
      </c>
      <c r="C3579" s="1" t="s">
        <v>25</v>
      </c>
      <c r="D3579" s="1" t="s">
        <v>19</v>
      </c>
      <c r="E3579" s="1" t="s">
        <v>43</v>
      </c>
      <c r="F3579">
        <v>2005</v>
      </c>
      <c r="G3579">
        <v>14</v>
      </c>
      <c r="H3579" s="1" t="s">
        <v>21</v>
      </c>
      <c r="I3579">
        <v>24</v>
      </c>
      <c r="J3579">
        <v>1947</v>
      </c>
      <c r="K3579" s="1" t="s">
        <v>44</v>
      </c>
      <c r="L3579" s="1" t="s">
        <v>45</v>
      </c>
      <c r="M3579">
        <v>1.073</v>
      </c>
      <c r="N3579">
        <v>25740.7</v>
      </c>
      <c r="O3579">
        <v>25.741</v>
      </c>
      <c r="P3579" s="2">
        <v>43497</v>
      </c>
      <c r="Q3579">
        <v>1</v>
      </c>
      <c r="R3579" s="1" t="s">
        <v>24</v>
      </c>
    </row>
    <row r="3580" spans="1:18" x14ac:dyDescent="0.25">
      <c r="A3580">
        <v>2019</v>
      </c>
      <c r="B3580">
        <v>3</v>
      </c>
      <c r="C3580" s="1" t="s">
        <v>26</v>
      </c>
      <c r="D3580" s="1" t="s">
        <v>19</v>
      </c>
      <c r="E3580" s="1" t="s">
        <v>43</v>
      </c>
      <c r="F3580">
        <v>2005</v>
      </c>
      <c r="G3580">
        <v>14</v>
      </c>
      <c r="H3580" s="1" t="s">
        <v>21</v>
      </c>
      <c r="I3580">
        <v>24</v>
      </c>
      <c r="J3580">
        <v>1947</v>
      </c>
      <c r="K3580" s="1" t="s">
        <v>44</v>
      </c>
      <c r="L3580" s="1" t="s">
        <v>45</v>
      </c>
      <c r="M3580">
        <v>1.248</v>
      </c>
      <c r="N3580">
        <v>29945.200000000001</v>
      </c>
      <c r="O3580">
        <v>29.945</v>
      </c>
      <c r="P3580" s="2">
        <v>43525</v>
      </c>
      <c r="Q3580">
        <v>1</v>
      </c>
      <c r="R3580" s="1" t="s">
        <v>24</v>
      </c>
    </row>
    <row r="3581" spans="1:18" x14ac:dyDescent="0.25">
      <c r="A3581">
        <v>2019</v>
      </c>
      <c r="B3581">
        <v>4</v>
      </c>
      <c r="C3581" s="1" t="s">
        <v>27</v>
      </c>
      <c r="D3581" s="1" t="s">
        <v>19</v>
      </c>
      <c r="E3581" s="1" t="s">
        <v>43</v>
      </c>
      <c r="F3581">
        <v>2005</v>
      </c>
      <c r="G3581">
        <v>14</v>
      </c>
      <c r="H3581" s="1" t="s">
        <v>21</v>
      </c>
      <c r="I3581">
        <v>24</v>
      </c>
      <c r="J3581">
        <v>1947</v>
      </c>
      <c r="K3581" s="1" t="s">
        <v>44</v>
      </c>
      <c r="L3581" s="1" t="s">
        <v>45</v>
      </c>
      <c r="M3581">
        <v>1.401</v>
      </c>
      <c r="N3581">
        <v>33635.5</v>
      </c>
      <c r="O3581">
        <v>33.636000000000003</v>
      </c>
      <c r="P3581" s="2">
        <v>43556</v>
      </c>
      <c r="Q3581">
        <v>1</v>
      </c>
      <c r="R3581" s="1" t="s">
        <v>24</v>
      </c>
    </row>
    <row r="3582" spans="1:18" x14ac:dyDescent="0.25">
      <c r="A3582">
        <v>2019</v>
      </c>
      <c r="B3582">
        <v>5</v>
      </c>
      <c r="C3582" s="1" t="s">
        <v>28</v>
      </c>
      <c r="D3582" s="1" t="s">
        <v>19</v>
      </c>
      <c r="E3582" s="1" t="s">
        <v>43</v>
      </c>
      <c r="F3582">
        <v>2005</v>
      </c>
      <c r="G3582">
        <v>14</v>
      </c>
      <c r="H3582" s="1" t="s">
        <v>21</v>
      </c>
      <c r="I3582">
        <v>24</v>
      </c>
      <c r="J3582">
        <v>1947</v>
      </c>
      <c r="K3582" s="1" t="s">
        <v>44</v>
      </c>
      <c r="L3582" s="1" t="s">
        <v>45</v>
      </c>
      <c r="M3582">
        <v>1.4339999999999999</v>
      </c>
      <c r="N3582">
        <v>34406.6</v>
      </c>
      <c r="O3582">
        <v>34.406999999999996</v>
      </c>
      <c r="P3582" s="2">
        <v>43586</v>
      </c>
      <c r="Q3582">
        <v>1</v>
      </c>
      <c r="R3582" s="1" t="s">
        <v>24</v>
      </c>
    </row>
    <row r="3583" spans="1:18" x14ac:dyDescent="0.25">
      <c r="A3583">
        <v>2019</v>
      </c>
      <c r="B3583">
        <v>6</v>
      </c>
      <c r="C3583" s="1" t="s">
        <v>29</v>
      </c>
      <c r="D3583" s="1" t="s">
        <v>19</v>
      </c>
      <c r="E3583" s="1" t="s">
        <v>43</v>
      </c>
      <c r="F3583">
        <v>2005</v>
      </c>
      <c r="G3583">
        <v>14</v>
      </c>
      <c r="H3583" s="1" t="s">
        <v>21</v>
      </c>
      <c r="I3583">
        <v>24</v>
      </c>
      <c r="J3583">
        <v>1947</v>
      </c>
      <c r="K3583" s="1" t="s">
        <v>44</v>
      </c>
      <c r="L3583" s="1" t="s">
        <v>45</v>
      </c>
      <c r="M3583">
        <v>1.361</v>
      </c>
      <c r="N3583">
        <v>32662.400000000001</v>
      </c>
      <c r="O3583">
        <v>32.661999999999999</v>
      </c>
      <c r="P3583" s="2">
        <v>43617</v>
      </c>
      <c r="Q3583">
        <v>1</v>
      </c>
      <c r="R3583" s="1" t="s">
        <v>24</v>
      </c>
    </row>
    <row r="3584" spans="1:18" x14ac:dyDescent="0.25">
      <c r="A3584">
        <v>2019</v>
      </c>
      <c r="B3584">
        <v>7</v>
      </c>
      <c r="C3584" s="1" t="s">
        <v>30</v>
      </c>
      <c r="D3584" s="1" t="s">
        <v>19</v>
      </c>
      <c r="E3584" s="1" t="s">
        <v>43</v>
      </c>
      <c r="F3584">
        <v>2005</v>
      </c>
      <c r="G3584">
        <v>14</v>
      </c>
      <c r="H3584" s="1" t="s">
        <v>21</v>
      </c>
      <c r="I3584">
        <v>24</v>
      </c>
      <c r="J3584">
        <v>1947</v>
      </c>
      <c r="K3584" s="1" t="s">
        <v>44</v>
      </c>
      <c r="L3584" s="1" t="s">
        <v>45</v>
      </c>
      <c r="M3584">
        <v>1.224</v>
      </c>
      <c r="N3584">
        <v>29376</v>
      </c>
      <c r="O3584">
        <v>29.376000000000001</v>
      </c>
      <c r="P3584" s="2">
        <v>43647</v>
      </c>
      <c r="Q3584">
        <v>1</v>
      </c>
      <c r="R3584" s="1" t="s">
        <v>24</v>
      </c>
    </row>
    <row r="3585" spans="1:18" x14ac:dyDescent="0.25">
      <c r="A3585">
        <v>2019</v>
      </c>
      <c r="B3585">
        <v>8</v>
      </c>
      <c r="C3585" s="1" t="s">
        <v>31</v>
      </c>
      <c r="D3585" s="1" t="s">
        <v>19</v>
      </c>
      <c r="E3585" s="1" t="s">
        <v>43</v>
      </c>
      <c r="F3585">
        <v>2005</v>
      </c>
      <c r="G3585">
        <v>14</v>
      </c>
      <c r="H3585" s="1" t="s">
        <v>21</v>
      </c>
      <c r="I3585">
        <v>24</v>
      </c>
      <c r="J3585">
        <v>1947</v>
      </c>
      <c r="K3585" s="1" t="s">
        <v>44</v>
      </c>
      <c r="L3585" s="1" t="s">
        <v>45</v>
      </c>
      <c r="M3585">
        <v>1.423</v>
      </c>
      <c r="N3585">
        <v>34149.599999999999</v>
      </c>
      <c r="O3585">
        <v>34.15</v>
      </c>
      <c r="P3585" s="2">
        <v>43678</v>
      </c>
      <c r="Q3585">
        <v>1</v>
      </c>
      <c r="R3585" s="1" t="s">
        <v>24</v>
      </c>
    </row>
    <row r="3586" spans="1:18" x14ac:dyDescent="0.25">
      <c r="A3586">
        <v>2019</v>
      </c>
      <c r="B3586">
        <v>9</v>
      </c>
      <c r="C3586" s="1" t="s">
        <v>32</v>
      </c>
      <c r="D3586" s="1" t="s">
        <v>19</v>
      </c>
      <c r="E3586" s="1" t="s">
        <v>43</v>
      </c>
      <c r="F3586">
        <v>2005</v>
      </c>
      <c r="G3586">
        <v>14</v>
      </c>
      <c r="H3586" s="1" t="s">
        <v>21</v>
      </c>
      <c r="I3586">
        <v>24</v>
      </c>
      <c r="J3586">
        <v>1947</v>
      </c>
      <c r="K3586" s="1" t="s">
        <v>44</v>
      </c>
      <c r="L3586" s="1" t="s">
        <v>45</v>
      </c>
      <c r="M3586">
        <v>1.0109999999999999</v>
      </c>
      <c r="N3586">
        <v>24271.9</v>
      </c>
      <c r="O3586">
        <v>24.271999999999998</v>
      </c>
      <c r="P3586" s="2">
        <v>43709</v>
      </c>
      <c r="Q3586">
        <v>1</v>
      </c>
      <c r="R3586" s="1" t="s">
        <v>24</v>
      </c>
    </row>
    <row r="3587" spans="1:18" x14ac:dyDescent="0.25">
      <c r="A3587">
        <v>2019</v>
      </c>
      <c r="B3587">
        <v>10</v>
      </c>
      <c r="C3587" s="1" t="s">
        <v>33</v>
      </c>
      <c r="D3587" s="1" t="s">
        <v>19</v>
      </c>
      <c r="E3587" s="1" t="s">
        <v>43</v>
      </c>
      <c r="F3587">
        <v>2005</v>
      </c>
      <c r="G3587">
        <v>14</v>
      </c>
      <c r="H3587" s="1" t="s">
        <v>21</v>
      </c>
      <c r="I3587">
        <v>24</v>
      </c>
      <c r="J3587">
        <v>1947</v>
      </c>
      <c r="K3587" s="1" t="s">
        <v>44</v>
      </c>
      <c r="L3587" s="1" t="s">
        <v>45</v>
      </c>
      <c r="M3587">
        <v>1.327</v>
      </c>
      <c r="N3587">
        <v>31854.6</v>
      </c>
      <c r="O3587">
        <v>31.855</v>
      </c>
      <c r="P3587" s="2">
        <v>43739</v>
      </c>
      <c r="Q3587">
        <v>1</v>
      </c>
      <c r="R3587" s="1" t="s">
        <v>24</v>
      </c>
    </row>
    <row r="3588" spans="1:18" x14ac:dyDescent="0.25">
      <c r="A3588">
        <v>2019</v>
      </c>
      <c r="B3588">
        <v>11</v>
      </c>
      <c r="C3588" s="1" t="s">
        <v>34</v>
      </c>
      <c r="D3588" s="1" t="s">
        <v>19</v>
      </c>
      <c r="E3588" s="1" t="s">
        <v>43</v>
      </c>
      <c r="F3588">
        <v>2005</v>
      </c>
      <c r="G3588">
        <v>14</v>
      </c>
      <c r="H3588" s="1" t="s">
        <v>21</v>
      </c>
      <c r="I3588">
        <v>24</v>
      </c>
      <c r="J3588">
        <v>1947</v>
      </c>
      <c r="K3588" s="1" t="s">
        <v>44</v>
      </c>
      <c r="L3588" s="1" t="s">
        <v>45</v>
      </c>
      <c r="M3588">
        <v>0.96599999999999997</v>
      </c>
      <c r="N3588">
        <v>23188.7</v>
      </c>
      <c r="O3588">
        <v>23.189</v>
      </c>
      <c r="P3588" s="2">
        <v>43770</v>
      </c>
      <c r="Q3588">
        <v>1</v>
      </c>
      <c r="R3588" s="1" t="s">
        <v>24</v>
      </c>
    </row>
    <row r="3589" spans="1:18" x14ac:dyDescent="0.25">
      <c r="A3589">
        <v>2019</v>
      </c>
      <c r="B3589">
        <v>12</v>
      </c>
      <c r="C3589" s="1" t="s">
        <v>35</v>
      </c>
      <c r="D3589" s="1" t="s">
        <v>19</v>
      </c>
      <c r="E3589" s="1" t="s">
        <v>43</v>
      </c>
      <c r="F3589">
        <v>2005</v>
      </c>
      <c r="G3589">
        <v>14</v>
      </c>
      <c r="H3589" s="1" t="s">
        <v>21</v>
      </c>
      <c r="I3589">
        <v>24</v>
      </c>
      <c r="J3589">
        <v>1947</v>
      </c>
      <c r="K3589" s="1" t="s">
        <v>44</v>
      </c>
      <c r="L3589" s="1" t="s">
        <v>45</v>
      </c>
      <c r="M3589">
        <v>0.72699999999999998</v>
      </c>
      <c r="N3589">
        <v>17442</v>
      </c>
      <c r="O3589">
        <v>17.442</v>
      </c>
      <c r="P3589" s="2">
        <v>43800</v>
      </c>
      <c r="Q3589">
        <v>1</v>
      </c>
      <c r="R3589" s="1" t="s">
        <v>24</v>
      </c>
    </row>
    <row r="3590" spans="1:18" x14ac:dyDescent="0.25">
      <c r="A3590">
        <v>2019</v>
      </c>
      <c r="B3590">
        <v>1</v>
      </c>
      <c r="C3590" s="1" t="s">
        <v>18</v>
      </c>
      <c r="D3590" s="1" t="s">
        <v>19</v>
      </c>
      <c r="E3590" s="1" t="s">
        <v>46</v>
      </c>
      <c r="F3590">
        <v>2006</v>
      </c>
      <c r="G3590">
        <v>13</v>
      </c>
      <c r="H3590" s="1" t="s">
        <v>21</v>
      </c>
      <c r="I3590">
        <v>25</v>
      </c>
      <c r="J3590">
        <v>2740</v>
      </c>
      <c r="K3590" s="1" t="s">
        <v>47</v>
      </c>
      <c r="L3590" s="1" t="s">
        <v>45</v>
      </c>
      <c r="M3590">
        <v>0.98599999999999999</v>
      </c>
      <c r="N3590">
        <v>24639.5</v>
      </c>
      <c r="O3590">
        <v>24.638999999999999</v>
      </c>
      <c r="P3590" s="2">
        <v>43466</v>
      </c>
      <c r="Q3590">
        <v>1</v>
      </c>
      <c r="R3590" s="1" t="s">
        <v>24</v>
      </c>
    </row>
    <row r="3591" spans="1:18" x14ac:dyDescent="0.25">
      <c r="A3591">
        <v>2019</v>
      </c>
      <c r="B3591">
        <v>2</v>
      </c>
      <c r="C3591" s="1" t="s">
        <v>25</v>
      </c>
      <c r="D3591" s="1" t="s">
        <v>19</v>
      </c>
      <c r="E3591" s="1" t="s">
        <v>46</v>
      </c>
      <c r="F3591">
        <v>2006</v>
      </c>
      <c r="G3591">
        <v>13</v>
      </c>
      <c r="H3591" s="1" t="s">
        <v>21</v>
      </c>
      <c r="I3591">
        <v>25</v>
      </c>
      <c r="J3591">
        <v>2740</v>
      </c>
      <c r="K3591" s="1" t="s">
        <v>47</v>
      </c>
      <c r="L3591" s="1" t="s">
        <v>45</v>
      </c>
      <c r="M3591">
        <v>1.1519999999999999</v>
      </c>
      <c r="N3591">
        <v>28811.1</v>
      </c>
      <c r="O3591">
        <v>28.811</v>
      </c>
      <c r="P3591" s="2">
        <v>43497</v>
      </c>
      <c r="Q3591">
        <v>1</v>
      </c>
      <c r="R3591" s="1" t="s">
        <v>24</v>
      </c>
    </row>
    <row r="3592" spans="1:18" x14ac:dyDescent="0.25">
      <c r="A3592">
        <v>2019</v>
      </c>
      <c r="B3592">
        <v>3</v>
      </c>
      <c r="C3592" s="1" t="s">
        <v>26</v>
      </c>
      <c r="D3592" s="1" t="s">
        <v>19</v>
      </c>
      <c r="E3592" s="1" t="s">
        <v>46</v>
      </c>
      <c r="F3592">
        <v>2006</v>
      </c>
      <c r="G3592">
        <v>13</v>
      </c>
      <c r="H3592" s="1" t="s">
        <v>21</v>
      </c>
      <c r="I3592">
        <v>25</v>
      </c>
      <c r="J3592">
        <v>2740</v>
      </c>
      <c r="K3592" s="1" t="s">
        <v>47</v>
      </c>
      <c r="L3592" s="1" t="s">
        <v>45</v>
      </c>
      <c r="M3592">
        <v>1.341</v>
      </c>
      <c r="N3592">
        <v>33517</v>
      </c>
      <c r="O3592">
        <v>33.517000000000003</v>
      </c>
      <c r="P3592" s="2">
        <v>43525</v>
      </c>
      <c r="Q3592">
        <v>1</v>
      </c>
      <c r="R3592" s="1" t="s">
        <v>24</v>
      </c>
    </row>
    <row r="3593" spans="1:18" x14ac:dyDescent="0.25">
      <c r="A3593">
        <v>2019</v>
      </c>
      <c r="B3593">
        <v>4</v>
      </c>
      <c r="C3593" s="1" t="s">
        <v>27</v>
      </c>
      <c r="D3593" s="1" t="s">
        <v>19</v>
      </c>
      <c r="E3593" s="1" t="s">
        <v>46</v>
      </c>
      <c r="F3593">
        <v>2006</v>
      </c>
      <c r="G3593">
        <v>13</v>
      </c>
      <c r="H3593" s="1" t="s">
        <v>21</v>
      </c>
      <c r="I3593">
        <v>25</v>
      </c>
      <c r="J3593">
        <v>2740</v>
      </c>
      <c r="K3593" s="1" t="s">
        <v>47</v>
      </c>
      <c r="L3593" s="1" t="s">
        <v>45</v>
      </c>
      <c r="M3593">
        <v>1.506</v>
      </c>
      <c r="N3593">
        <v>37647.599999999999</v>
      </c>
      <c r="O3593">
        <v>37.648000000000003</v>
      </c>
      <c r="P3593" s="2">
        <v>43556</v>
      </c>
      <c r="Q3593">
        <v>1</v>
      </c>
      <c r="R3593" s="1" t="s">
        <v>24</v>
      </c>
    </row>
    <row r="3594" spans="1:18" x14ac:dyDescent="0.25">
      <c r="A3594">
        <v>2019</v>
      </c>
      <c r="B3594">
        <v>5</v>
      </c>
      <c r="C3594" s="1" t="s">
        <v>28</v>
      </c>
      <c r="D3594" s="1" t="s">
        <v>19</v>
      </c>
      <c r="E3594" s="1" t="s">
        <v>46</v>
      </c>
      <c r="F3594">
        <v>2006</v>
      </c>
      <c r="G3594">
        <v>13</v>
      </c>
      <c r="H3594" s="1" t="s">
        <v>21</v>
      </c>
      <c r="I3594">
        <v>25</v>
      </c>
      <c r="J3594">
        <v>2740</v>
      </c>
      <c r="K3594" s="1" t="s">
        <v>47</v>
      </c>
      <c r="L3594" s="1" t="s">
        <v>45</v>
      </c>
      <c r="M3594">
        <v>1.54</v>
      </c>
      <c r="N3594">
        <v>38510.699999999997</v>
      </c>
      <c r="O3594">
        <v>38.511000000000003</v>
      </c>
      <c r="P3594" s="2">
        <v>43586</v>
      </c>
      <c r="Q3594">
        <v>1</v>
      </c>
      <c r="R3594" s="1" t="s">
        <v>24</v>
      </c>
    </row>
    <row r="3595" spans="1:18" x14ac:dyDescent="0.25">
      <c r="A3595">
        <v>2019</v>
      </c>
      <c r="B3595">
        <v>6</v>
      </c>
      <c r="C3595" s="1" t="s">
        <v>29</v>
      </c>
      <c r="D3595" s="1" t="s">
        <v>19</v>
      </c>
      <c r="E3595" s="1" t="s">
        <v>46</v>
      </c>
      <c r="F3595">
        <v>2006</v>
      </c>
      <c r="G3595">
        <v>13</v>
      </c>
      <c r="H3595" s="1" t="s">
        <v>21</v>
      </c>
      <c r="I3595">
        <v>25</v>
      </c>
      <c r="J3595">
        <v>2740</v>
      </c>
      <c r="K3595" s="1" t="s">
        <v>47</v>
      </c>
      <c r="L3595" s="1" t="s">
        <v>45</v>
      </c>
      <c r="M3595">
        <v>1.462</v>
      </c>
      <c r="N3595">
        <v>36558.400000000001</v>
      </c>
      <c r="O3595">
        <v>36.558</v>
      </c>
      <c r="P3595" s="2">
        <v>43617</v>
      </c>
      <c r="Q3595">
        <v>1</v>
      </c>
      <c r="R3595" s="1" t="s">
        <v>24</v>
      </c>
    </row>
    <row r="3596" spans="1:18" x14ac:dyDescent="0.25">
      <c r="A3596">
        <v>2019</v>
      </c>
      <c r="B3596">
        <v>7</v>
      </c>
      <c r="C3596" s="1" t="s">
        <v>30</v>
      </c>
      <c r="D3596" s="1" t="s">
        <v>19</v>
      </c>
      <c r="E3596" s="1" t="s">
        <v>46</v>
      </c>
      <c r="F3596">
        <v>2006</v>
      </c>
      <c r="G3596">
        <v>13</v>
      </c>
      <c r="H3596" s="1" t="s">
        <v>21</v>
      </c>
      <c r="I3596">
        <v>25</v>
      </c>
      <c r="J3596">
        <v>2740</v>
      </c>
      <c r="K3596" s="1" t="s">
        <v>47</v>
      </c>
      <c r="L3596" s="1" t="s">
        <v>45</v>
      </c>
      <c r="M3596">
        <v>1.3149999999999999</v>
      </c>
      <c r="N3596">
        <v>32880</v>
      </c>
      <c r="O3596">
        <v>32.880000000000003</v>
      </c>
      <c r="P3596" s="2">
        <v>43647</v>
      </c>
      <c r="Q3596">
        <v>1</v>
      </c>
      <c r="R3596" s="1" t="s">
        <v>24</v>
      </c>
    </row>
    <row r="3597" spans="1:18" x14ac:dyDescent="0.25">
      <c r="A3597">
        <v>2019</v>
      </c>
      <c r="B3597">
        <v>8</v>
      </c>
      <c r="C3597" s="1" t="s">
        <v>31</v>
      </c>
      <c r="D3597" s="1" t="s">
        <v>19</v>
      </c>
      <c r="E3597" s="1" t="s">
        <v>46</v>
      </c>
      <c r="F3597">
        <v>2006</v>
      </c>
      <c r="G3597">
        <v>13</v>
      </c>
      <c r="H3597" s="1" t="s">
        <v>21</v>
      </c>
      <c r="I3597">
        <v>25</v>
      </c>
      <c r="J3597">
        <v>2740</v>
      </c>
      <c r="K3597" s="1" t="s">
        <v>47</v>
      </c>
      <c r="L3597" s="1" t="s">
        <v>45</v>
      </c>
      <c r="M3597">
        <v>1.5289999999999999</v>
      </c>
      <c r="N3597">
        <v>38223</v>
      </c>
      <c r="O3597">
        <v>38.222999999999999</v>
      </c>
      <c r="P3597" s="2">
        <v>43678</v>
      </c>
      <c r="Q3597">
        <v>1</v>
      </c>
      <c r="R3597" s="1" t="s">
        <v>24</v>
      </c>
    </row>
    <row r="3598" spans="1:18" x14ac:dyDescent="0.25">
      <c r="A3598">
        <v>2019</v>
      </c>
      <c r="B3598">
        <v>9</v>
      </c>
      <c r="C3598" s="1" t="s">
        <v>32</v>
      </c>
      <c r="D3598" s="1" t="s">
        <v>19</v>
      </c>
      <c r="E3598" s="1" t="s">
        <v>46</v>
      </c>
      <c r="F3598">
        <v>2006</v>
      </c>
      <c r="G3598">
        <v>13</v>
      </c>
      <c r="H3598" s="1" t="s">
        <v>21</v>
      </c>
      <c r="I3598">
        <v>25</v>
      </c>
      <c r="J3598">
        <v>2740</v>
      </c>
      <c r="K3598" s="1" t="s">
        <v>47</v>
      </c>
      <c r="L3598" s="1" t="s">
        <v>45</v>
      </c>
      <c r="M3598">
        <v>1.087</v>
      </c>
      <c r="N3598">
        <v>27167.1</v>
      </c>
      <c r="O3598">
        <v>27.167000000000002</v>
      </c>
      <c r="P3598" s="2">
        <v>43709</v>
      </c>
      <c r="Q3598">
        <v>1</v>
      </c>
      <c r="R3598" s="1" t="s">
        <v>24</v>
      </c>
    </row>
    <row r="3599" spans="1:18" x14ac:dyDescent="0.25">
      <c r="A3599">
        <v>2019</v>
      </c>
      <c r="B3599">
        <v>10</v>
      </c>
      <c r="C3599" s="1" t="s">
        <v>33</v>
      </c>
      <c r="D3599" s="1" t="s">
        <v>19</v>
      </c>
      <c r="E3599" s="1" t="s">
        <v>46</v>
      </c>
      <c r="F3599">
        <v>2006</v>
      </c>
      <c r="G3599">
        <v>13</v>
      </c>
      <c r="H3599" s="1" t="s">
        <v>21</v>
      </c>
      <c r="I3599">
        <v>25</v>
      </c>
      <c r="J3599">
        <v>2740</v>
      </c>
      <c r="K3599" s="1" t="s">
        <v>47</v>
      </c>
      <c r="L3599" s="1" t="s">
        <v>45</v>
      </c>
      <c r="M3599">
        <v>1.4259999999999999</v>
      </c>
      <c r="N3599">
        <v>35654.199999999997</v>
      </c>
      <c r="O3599">
        <v>35.654000000000003</v>
      </c>
      <c r="P3599" s="2">
        <v>43739</v>
      </c>
      <c r="Q3599">
        <v>1</v>
      </c>
      <c r="R3599" s="1" t="s">
        <v>24</v>
      </c>
    </row>
    <row r="3600" spans="1:18" x14ac:dyDescent="0.25">
      <c r="A3600">
        <v>2019</v>
      </c>
      <c r="B3600">
        <v>11</v>
      </c>
      <c r="C3600" s="1" t="s">
        <v>34</v>
      </c>
      <c r="D3600" s="1" t="s">
        <v>19</v>
      </c>
      <c r="E3600" s="1" t="s">
        <v>46</v>
      </c>
      <c r="F3600">
        <v>2006</v>
      </c>
      <c r="G3600">
        <v>13</v>
      </c>
      <c r="H3600" s="1" t="s">
        <v>21</v>
      </c>
      <c r="I3600">
        <v>25</v>
      </c>
      <c r="J3600">
        <v>2740</v>
      </c>
      <c r="K3600" s="1" t="s">
        <v>47</v>
      </c>
      <c r="L3600" s="1" t="s">
        <v>45</v>
      </c>
      <c r="M3600">
        <v>1.038</v>
      </c>
      <c r="N3600">
        <v>25954.6</v>
      </c>
      <c r="O3600">
        <v>25.954999999999998</v>
      </c>
      <c r="P3600" s="2">
        <v>43770</v>
      </c>
      <c r="Q3600">
        <v>1</v>
      </c>
      <c r="R3600" s="1" t="s">
        <v>24</v>
      </c>
    </row>
    <row r="3601" spans="1:18" x14ac:dyDescent="0.25">
      <c r="A3601">
        <v>2019</v>
      </c>
      <c r="B3601">
        <v>12</v>
      </c>
      <c r="C3601" s="1" t="s">
        <v>35</v>
      </c>
      <c r="D3601" s="1" t="s">
        <v>19</v>
      </c>
      <c r="E3601" s="1" t="s">
        <v>46</v>
      </c>
      <c r="F3601">
        <v>2006</v>
      </c>
      <c r="G3601">
        <v>13</v>
      </c>
      <c r="H3601" s="1" t="s">
        <v>21</v>
      </c>
      <c r="I3601">
        <v>25</v>
      </c>
      <c r="J3601">
        <v>2740</v>
      </c>
      <c r="K3601" s="1" t="s">
        <v>47</v>
      </c>
      <c r="L3601" s="1" t="s">
        <v>45</v>
      </c>
      <c r="M3601">
        <v>0.78100000000000003</v>
      </c>
      <c r="N3601">
        <v>19522.5</v>
      </c>
      <c r="O3601">
        <v>19.521999999999998</v>
      </c>
      <c r="P3601" s="2">
        <v>43800</v>
      </c>
      <c r="Q3601">
        <v>1</v>
      </c>
      <c r="R3601" s="1" t="s">
        <v>24</v>
      </c>
    </row>
    <row r="3602" spans="1:18" x14ac:dyDescent="0.25">
      <c r="A3602">
        <v>2019</v>
      </c>
      <c r="B3602">
        <v>1</v>
      </c>
      <c r="C3602" s="1" t="s">
        <v>18</v>
      </c>
      <c r="D3602" s="1" t="s">
        <v>19</v>
      </c>
      <c r="E3602" s="1" t="s">
        <v>48</v>
      </c>
      <c r="F3602">
        <v>2006</v>
      </c>
      <c r="G3602">
        <v>13</v>
      </c>
      <c r="H3602" s="1" t="s">
        <v>21</v>
      </c>
      <c r="I3602">
        <v>24</v>
      </c>
      <c r="J3602">
        <v>3230</v>
      </c>
      <c r="K3602" s="1" t="s">
        <v>49</v>
      </c>
      <c r="L3602" s="1" t="s">
        <v>45</v>
      </c>
      <c r="M3602">
        <v>1.21</v>
      </c>
      <c r="N3602">
        <v>29045.8</v>
      </c>
      <c r="O3602">
        <v>29.045999999999999</v>
      </c>
      <c r="P3602" s="2">
        <v>43466</v>
      </c>
      <c r="Q3602">
        <v>1</v>
      </c>
      <c r="R3602" s="1" t="s">
        <v>24</v>
      </c>
    </row>
    <row r="3603" spans="1:18" x14ac:dyDescent="0.25">
      <c r="A3603">
        <v>2019</v>
      </c>
      <c r="B3603">
        <v>2</v>
      </c>
      <c r="C3603" s="1" t="s">
        <v>25</v>
      </c>
      <c r="D3603" s="1" t="s">
        <v>19</v>
      </c>
      <c r="E3603" s="1" t="s">
        <v>48</v>
      </c>
      <c r="F3603">
        <v>2006</v>
      </c>
      <c r="G3603">
        <v>13</v>
      </c>
      <c r="H3603" s="1" t="s">
        <v>21</v>
      </c>
      <c r="I3603">
        <v>24</v>
      </c>
      <c r="J3603">
        <v>3230</v>
      </c>
      <c r="K3603" s="1" t="s">
        <v>49</v>
      </c>
      <c r="L3603" s="1" t="s">
        <v>45</v>
      </c>
      <c r="M3603">
        <v>1.415</v>
      </c>
      <c r="N3603">
        <v>33963.5</v>
      </c>
      <c r="O3603">
        <v>33.963000000000001</v>
      </c>
      <c r="P3603" s="2">
        <v>43497</v>
      </c>
      <c r="Q3603">
        <v>1</v>
      </c>
      <c r="R3603" s="1" t="s">
        <v>24</v>
      </c>
    </row>
    <row r="3604" spans="1:18" x14ac:dyDescent="0.25">
      <c r="A3604">
        <v>2019</v>
      </c>
      <c r="B3604">
        <v>3</v>
      </c>
      <c r="C3604" s="1" t="s">
        <v>26</v>
      </c>
      <c r="D3604" s="1" t="s">
        <v>19</v>
      </c>
      <c r="E3604" s="1" t="s">
        <v>48</v>
      </c>
      <c r="F3604">
        <v>2006</v>
      </c>
      <c r="G3604">
        <v>13</v>
      </c>
      <c r="H3604" s="1" t="s">
        <v>21</v>
      </c>
      <c r="I3604">
        <v>24</v>
      </c>
      <c r="J3604">
        <v>3230</v>
      </c>
      <c r="K3604" s="1" t="s">
        <v>49</v>
      </c>
      <c r="L3604" s="1" t="s">
        <v>45</v>
      </c>
      <c r="M3604">
        <v>1.6459999999999999</v>
      </c>
      <c r="N3604">
        <v>39511</v>
      </c>
      <c r="O3604">
        <v>39.511000000000003</v>
      </c>
      <c r="P3604" s="2">
        <v>43525</v>
      </c>
      <c r="Q3604">
        <v>1</v>
      </c>
      <c r="R3604" s="1" t="s">
        <v>24</v>
      </c>
    </row>
    <row r="3605" spans="1:18" x14ac:dyDescent="0.25">
      <c r="A3605">
        <v>2019</v>
      </c>
      <c r="B3605">
        <v>4</v>
      </c>
      <c r="C3605" s="1" t="s">
        <v>27</v>
      </c>
      <c r="D3605" s="1" t="s">
        <v>19</v>
      </c>
      <c r="E3605" s="1" t="s">
        <v>48</v>
      </c>
      <c r="F3605">
        <v>2006</v>
      </c>
      <c r="G3605">
        <v>13</v>
      </c>
      <c r="H3605" s="1" t="s">
        <v>21</v>
      </c>
      <c r="I3605">
        <v>24</v>
      </c>
      <c r="J3605">
        <v>3230</v>
      </c>
      <c r="K3605" s="1" t="s">
        <v>49</v>
      </c>
      <c r="L3605" s="1" t="s">
        <v>45</v>
      </c>
      <c r="M3605">
        <v>1.849</v>
      </c>
      <c r="N3605">
        <v>44380.2</v>
      </c>
      <c r="O3605">
        <v>44.38</v>
      </c>
      <c r="P3605" s="2">
        <v>43556</v>
      </c>
      <c r="Q3605">
        <v>1</v>
      </c>
      <c r="R3605" s="1" t="s">
        <v>24</v>
      </c>
    </row>
    <row r="3606" spans="1:18" x14ac:dyDescent="0.25">
      <c r="A3606">
        <v>2019</v>
      </c>
      <c r="B3606">
        <v>5</v>
      </c>
      <c r="C3606" s="1" t="s">
        <v>28</v>
      </c>
      <c r="D3606" s="1" t="s">
        <v>19</v>
      </c>
      <c r="E3606" s="1" t="s">
        <v>48</v>
      </c>
      <c r="F3606">
        <v>2006</v>
      </c>
      <c r="G3606">
        <v>13</v>
      </c>
      <c r="H3606" s="1" t="s">
        <v>21</v>
      </c>
      <c r="I3606">
        <v>24</v>
      </c>
      <c r="J3606">
        <v>3230</v>
      </c>
      <c r="K3606" s="1" t="s">
        <v>49</v>
      </c>
      <c r="L3606" s="1" t="s">
        <v>45</v>
      </c>
      <c r="M3606">
        <v>1.8919999999999999</v>
      </c>
      <c r="N3606">
        <v>45397.7</v>
      </c>
      <c r="O3606">
        <v>45.398000000000003</v>
      </c>
      <c r="P3606" s="2">
        <v>43586</v>
      </c>
      <c r="Q3606">
        <v>1</v>
      </c>
      <c r="R3606" s="1" t="s">
        <v>24</v>
      </c>
    </row>
    <row r="3607" spans="1:18" x14ac:dyDescent="0.25">
      <c r="A3607">
        <v>2019</v>
      </c>
      <c r="B3607">
        <v>6</v>
      </c>
      <c r="C3607" s="1" t="s">
        <v>29</v>
      </c>
      <c r="D3607" s="1" t="s">
        <v>19</v>
      </c>
      <c r="E3607" s="1" t="s">
        <v>48</v>
      </c>
      <c r="F3607">
        <v>2006</v>
      </c>
      <c r="G3607">
        <v>13</v>
      </c>
      <c r="H3607" s="1" t="s">
        <v>21</v>
      </c>
      <c r="I3607">
        <v>24</v>
      </c>
      <c r="J3607">
        <v>3230</v>
      </c>
      <c r="K3607" s="1" t="s">
        <v>49</v>
      </c>
      <c r="L3607" s="1" t="s">
        <v>45</v>
      </c>
      <c r="M3607">
        <v>1.796</v>
      </c>
      <c r="N3607">
        <v>43096.3</v>
      </c>
      <c r="O3607">
        <v>43.095999999999997</v>
      </c>
      <c r="P3607" s="2">
        <v>43617</v>
      </c>
      <c r="Q3607">
        <v>1</v>
      </c>
      <c r="R3607" s="1" t="s">
        <v>24</v>
      </c>
    </row>
    <row r="3608" spans="1:18" x14ac:dyDescent="0.25">
      <c r="A3608">
        <v>2019</v>
      </c>
      <c r="B3608">
        <v>7</v>
      </c>
      <c r="C3608" s="1" t="s">
        <v>30</v>
      </c>
      <c r="D3608" s="1" t="s">
        <v>19</v>
      </c>
      <c r="E3608" s="1" t="s">
        <v>48</v>
      </c>
      <c r="F3608">
        <v>2006</v>
      </c>
      <c r="G3608">
        <v>13</v>
      </c>
      <c r="H3608" s="1" t="s">
        <v>21</v>
      </c>
      <c r="I3608">
        <v>24</v>
      </c>
      <c r="J3608">
        <v>3230</v>
      </c>
      <c r="K3608" s="1" t="s">
        <v>49</v>
      </c>
      <c r="L3608" s="1" t="s">
        <v>45</v>
      </c>
      <c r="M3608">
        <v>1.615</v>
      </c>
      <c r="N3608">
        <v>38760</v>
      </c>
      <c r="O3608">
        <v>38.76</v>
      </c>
      <c r="P3608" s="2">
        <v>43647</v>
      </c>
      <c r="Q3608">
        <v>1</v>
      </c>
      <c r="R3608" s="1" t="s">
        <v>24</v>
      </c>
    </row>
    <row r="3609" spans="1:18" x14ac:dyDescent="0.25">
      <c r="A3609">
        <v>2019</v>
      </c>
      <c r="B3609">
        <v>8</v>
      </c>
      <c r="C3609" s="1" t="s">
        <v>31</v>
      </c>
      <c r="D3609" s="1" t="s">
        <v>19</v>
      </c>
      <c r="E3609" s="1" t="s">
        <v>48</v>
      </c>
      <c r="F3609">
        <v>2006</v>
      </c>
      <c r="G3609">
        <v>13</v>
      </c>
      <c r="H3609" s="1" t="s">
        <v>21</v>
      </c>
      <c r="I3609">
        <v>24</v>
      </c>
      <c r="J3609">
        <v>3230</v>
      </c>
      <c r="K3609" s="1" t="s">
        <v>49</v>
      </c>
      <c r="L3609" s="1" t="s">
        <v>45</v>
      </c>
      <c r="M3609">
        <v>1.877</v>
      </c>
      <c r="N3609">
        <v>45058.5</v>
      </c>
      <c r="O3609">
        <v>45.058999999999997</v>
      </c>
      <c r="P3609" s="2">
        <v>43678</v>
      </c>
      <c r="Q3609">
        <v>1</v>
      </c>
      <c r="R3609" s="1" t="s">
        <v>24</v>
      </c>
    </row>
    <row r="3610" spans="1:18" x14ac:dyDescent="0.25">
      <c r="A3610">
        <v>2019</v>
      </c>
      <c r="B3610">
        <v>9</v>
      </c>
      <c r="C3610" s="1" t="s">
        <v>32</v>
      </c>
      <c r="D3610" s="1" t="s">
        <v>19</v>
      </c>
      <c r="E3610" s="1" t="s">
        <v>48</v>
      </c>
      <c r="F3610">
        <v>2006</v>
      </c>
      <c r="G3610">
        <v>13</v>
      </c>
      <c r="H3610" s="1" t="s">
        <v>21</v>
      </c>
      <c r="I3610">
        <v>24</v>
      </c>
      <c r="J3610">
        <v>3230</v>
      </c>
      <c r="K3610" s="1" t="s">
        <v>49</v>
      </c>
      <c r="L3610" s="1" t="s">
        <v>45</v>
      </c>
      <c r="M3610">
        <v>1.3340000000000001</v>
      </c>
      <c r="N3610">
        <v>32025.5</v>
      </c>
      <c r="O3610">
        <v>32.024999999999999</v>
      </c>
      <c r="P3610" s="2">
        <v>43709</v>
      </c>
      <c r="Q3610">
        <v>1</v>
      </c>
      <c r="R3610" s="1" t="s">
        <v>24</v>
      </c>
    </row>
    <row r="3611" spans="1:18" x14ac:dyDescent="0.25">
      <c r="A3611">
        <v>2019</v>
      </c>
      <c r="B3611">
        <v>10</v>
      </c>
      <c r="C3611" s="1" t="s">
        <v>33</v>
      </c>
      <c r="D3611" s="1" t="s">
        <v>19</v>
      </c>
      <c r="E3611" s="1" t="s">
        <v>48</v>
      </c>
      <c r="F3611">
        <v>2006</v>
      </c>
      <c r="G3611">
        <v>13</v>
      </c>
      <c r="H3611" s="1" t="s">
        <v>21</v>
      </c>
      <c r="I3611">
        <v>24</v>
      </c>
      <c r="J3611">
        <v>3230</v>
      </c>
      <c r="K3611" s="1" t="s">
        <v>49</v>
      </c>
      <c r="L3611" s="1" t="s">
        <v>45</v>
      </c>
      <c r="M3611">
        <v>1.7509999999999999</v>
      </c>
      <c r="N3611">
        <v>42030.400000000001</v>
      </c>
      <c r="O3611">
        <v>42.03</v>
      </c>
      <c r="P3611" s="2">
        <v>43739</v>
      </c>
      <c r="Q3611">
        <v>1</v>
      </c>
      <c r="R3611" s="1" t="s">
        <v>24</v>
      </c>
    </row>
    <row r="3612" spans="1:18" x14ac:dyDescent="0.25">
      <c r="A3612">
        <v>2019</v>
      </c>
      <c r="B3612">
        <v>11</v>
      </c>
      <c r="C3612" s="1" t="s">
        <v>34</v>
      </c>
      <c r="D3612" s="1" t="s">
        <v>19</v>
      </c>
      <c r="E3612" s="1" t="s">
        <v>48</v>
      </c>
      <c r="F3612">
        <v>2006</v>
      </c>
      <c r="G3612">
        <v>13</v>
      </c>
      <c r="H3612" s="1" t="s">
        <v>21</v>
      </c>
      <c r="I3612">
        <v>24</v>
      </c>
      <c r="J3612">
        <v>3230</v>
      </c>
      <c r="K3612" s="1" t="s">
        <v>49</v>
      </c>
      <c r="L3612" s="1" t="s">
        <v>45</v>
      </c>
      <c r="M3612">
        <v>1.2749999999999999</v>
      </c>
      <c r="N3612">
        <v>30596.2</v>
      </c>
      <c r="O3612">
        <v>30.596</v>
      </c>
      <c r="P3612" s="2">
        <v>43770</v>
      </c>
      <c r="Q3612">
        <v>1</v>
      </c>
      <c r="R3612" s="1" t="s">
        <v>24</v>
      </c>
    </row>
    <row r="3613" spans="1:18" x14ac:dyDescent="0.25">
      <c r="A3613">
        <v>2019</v>
      </c>
      <c r="B3613">
        <v>12</v>
      </c>
      <c r="C3613" s="1" t="s">
        <v>35</v>
      </c>
      <c r="D3613" s="1" t="s">
        <v>19</v>
      </c>
      <c r="E3613" s="1" t="s">
        <v>48</v>
      </c>
      <c r="F3613">
        <v>2006</v>
      </c>
      <c r="G3613">
        <v>13</v>
      </c>
      <c r="H3613" s="1" t="s">
        <v>21</v>
      </c>
      <c r="I3613">
        <v>24</v>
      </c>
      <c r="J3613">
        <v>3230</v>
      </c>
      <c r="K3613" s="1" t="s">
        <v>49</v>
      </c>
      <c r="L3613" s="1" t="s">
        <v>45</v>
      </c>
      <c r="M3613">
        <v>0.95899999999999996</v>
      </c>
      <c r="N3613">
        <v>23013.8</v>
      </c>
      <c r="O3613">
        <v>23.013999999999999</v>
      </c>
      <c r="P3613" s="2">
        <v>43800</v>
      </c>
      <c r="Q3613">
        <v>1</v>
      </c>
      <c r="R3613" s="1" t="s">
        <v>24</v>
      </c>
    </row>
    <row r="3614" spans="1:18" x14ac:dyDescent="0.25">
      <c r="A3614">
        <v>2019</v>
      </c>
      <c r="B3614">
        <v>1</v>
      </c>
      <c r="C3614" s="1" t="s">
        <v>18</v>
      </c>
      <c r="D3614" s="1" t="s">
        <v>19</v>
      </c>
      <c r="E3614" s="1" t="s">
        <v>50</v>
      </c>
      <c r="F3614">
        <v>2006</v>
      </c>
      <c r="G3614">
        <v>13</v>
      </c>
      <c r="H3614" s="1" t="s">
        <v>21</v>
      </c>
      <c r="I3614">
        <v>22</v>
      </c>
      <c r="J3614">
        <v>2447</v>
      </c>
      <c r="K3614" s="1" t="s">
        <v>51</v>
      </c>
      <c r="L3614" s="1" t="s">
        <v>45</v>
      </c>
      <c r="M3614">
        <v>1</v>
      </c>
      <c r="N3614">
        <v>22004.6</v>
      </c>
      <c r="O3614">
        <v>22.004999999999999</v>
      </c>
      <c r="P3614" s="2">
        <v>43466</v>
      </c>
      <c r="Q3614">
        <v>1</v>
      </c>
      <c r="R3614" s="1" t="s">
        <v>24</v>
      </c>
    </row>
    <row r="3615" spans="1:18" x14ac:dyDescent="0.25">
      <c r="A3615">
        <v>2019</v>
      </c>
      <c r="B3615">
        <v>2</v>
      </c>
      <c r="C3615" s="1" t="s">
        <v>25</v>
      </c>
      <c r="D3615" s="1" t="s">
        <v>19</v>
      </c>
      <c r="E3615" s="1" t="s">
        <v>50</v>
      </c>
      <c r="F3615">
        <v>2006</v>
      </c>
      <c r="G3615">
        <v>13</v>
      </c>
      <c r="H3615" s="1" t="s">
        <v>21</v>
      </c>
      <c r="I3615">
        <v>22</v>
      </c>
      <c r="J3615">
        <v>2447</v>
      </c>
      <c r="K3615" s="1" t="s">
        <v>51</v>
      </c>
      <c r="L3615" s="1" t="s">
        <v>45</v>
      </c>
      <c r="M3615">
        <v>1.17</v>
      </c>
      <c r="N3615">
        <v>25730.2</v>
      </c>
      <c r="O3615">
        <v>25.73</v>
      </c>
      <c r="P3615" s="2">
        <v>43497</v>
      </c>
      <c r="Q3615">
        <v>1</v>
      </c>
      <c r="R3615" s="1" t="s">
        <v>24</v>
      </c>
    </row>
    <row r="3616" spans="1:18" x14ac:dyDescent="0.25">
      <c r="A3616">
        <v>2019</v>
      </c>
      <c r="B3616">
        <v>3</v>
      </c>
      <c r="C3616" s="1" t="s">
        <v>26</v>
      </c>
      <c r="D3616" s="1" t="s">
        <v>19</v>
      </c>
      <c r="E3616" s="1" t="s">
        <v>50</v>
      </c>
      <c r="F3616">
        <v>2006</v>
      </c>
      <c r="G3616">
        <v>13</v>
      </c>
      <c r="H3616" s="1" t="s">
        <v>21</v>
      </c>
      <c r="I3616">
        <v>22</v>
      </c>
      <c r="J3616">
        <v>2447</v>
      </c>
      <c r="K3616" s="1" t="s">
        <v>51</v>
      </c>
      <c r="L3616" s="1" t="s">
        <v>45</v>
      </c>
      <c r="M3616">
        <v>1.361</v>
      </c>
      <c r="N3616">
        <v>29932.9</v>
      </c>
      <c r="O3616">
        <v>29.933</v>
      </c>
      <c r="P3616" s="2">
        <v>43525</v>
      </c>
      <c r="Q3616">
        <v>1</v>
      </c>
      <c r="R3616" s="1" t="s">
        <v>24</v>
      </c>
    </row>
    <row r="3617" spans="1:18" x14ac:dyDescent="0.25">
      <c r="A3617">
        <v>2019</v>
      </c>
      <c r="B3617">
        <v>4</v>
      </c>
      <c r="C3617" s="1" t="s">
        <v>27</v>
      </c>
      <c r="D3617" s="1" t="s">
        <v>19</v>
      </c>
      <c r="E3617" s="1" t="s">
        <v>50</v>
      </c>
      <c r="F3617">
        <v>2006</v>
      </c>
      <c r="G3617">
        <v>13</v>
      </c>
      <c r="H3617" s="1" t="s">
        <v>21</v>
      </c>
      <c r="I3617">
        <v>22</v>
      </c>
      <c r="J3617">
        <v>2447</v>
      </c>
      <c r="K3617" s="1" t="s">
        <v>51</v>
      </c>
      <c r="L3617" s="1" t="s">
        <v>45</v>
      </c>
      <c r="M3617">
        <v>1.528</v>
      </c>
      <c r="N3617">
        <v>33621.800000000003</v>
      </c>
      <c r="O3617">
        <v>33.622</v>
      </c>
      <c r="P3617" s="2">
        <v>43556</v>
      </c>
      <c r="Q3617">
        <v>1</v>
      </c>
      <c r="R3617" s="1" t="s">
        <v>24</v>
      </c>
    </row>
    <row r="3618" spans="1:18" x14ac:dyDescent="0.25">
      <c r="A3618">
        <v>2019</v>
      </c>
      <c r="B3618">
        <v>5</v>
      </c>
      <c r="C3618" s="1" t="s">
        <v>28</v>
      </c>
      <c r="D3618" s="1" t="s">
        <v>19</v>
      </c>
      <c r="E3618" s="1" t="s">
        <v>50</v>
      </c>
      <c r="F3618">
        <v>2006</v>
      </c>
      <c r="G3618">
        <v>13</v>
      </c>
      <c r="H3618" s="1" t="s">
        <v>21</v>
      </c>
      <c r="I3618">
        <v>22</v>
      </c>
      <c r="J3618">
        <v>2447</v>
      </c>
      <c r="K3618" s="1" t="s">
        <v>51</v>
      </c>
      <c r="L3618" s="1" t="s">
        <v>45</v>
      </c>
      <c r="M3618">
        <v>1.5629999999999999</v>
      </c>
      <c r="N3618">
        <v>34392.6</v>
      </c>
      <c r="O3618">
        <v>34.393000000000001</v>
      </c>
      <c r="P3618" s="2">
        <v>43586</v>
      </c>
      <c r="Q3618">
        <v>1</v>
      </c>
      <c r="R3618" s="1" t="s">
        <v>24</v>
      </c>
    </row>
    <row r="3619" spans="1:18" x14ac:dyDescent="0.25">
      <c r="A3619">
        <v>2019</v>
      </c>
      <c r="B3619">
        <v>6</v>
      </c>
      <c r="C3619" s="1" t="s">
        <v>29</v>
      </c>
      <c r="D3619" s="1" t="s">
        <v>19</v>
      </c>
      <c r="E3619" s="1" t="s">
        <v>50</v>
      </c>
      <c r="F3619">
        <v>2006</v>
      </c>
      <c r="G3619">
        <v>13</v>
      </c>
      <c r="H3619" s="1" t="s">
        <v>21</v>
      </c>
      <c r="I3619">
        <v>22</v>
      </c>
      <c r="J3619">
        <v>2447</v>
      </c>
      <c r="K3619" s="1" t="s">
        <v>51</v>
      </c>
      <c r="L3619" s="1" t="s">
        <v>45</v>
      </c>
      <c r="M3619">
        <v>1.484</v>
      </c>
      <c r="N3619">
        <v>32649.1</v>
      </c>
      <c r="O3619">
        <v>32.649000000000001</v>
      </c>
      <c r="P3619" s="2">
        <v>43617</v>
      </c>
      <c r="Q3619">
        <v>1</v>
      </c>
      <c r="R3619" s="1" t="s">
        <v>24</v>
      </c>
    </row>
    <row r="3620" spans="1:18" x14ac:dyDescent="0.25">
      <c r="A3620">
        <v>2019</v>
      </c>
      <c r="B3620">
        <v>7</v>
      </c>
      <c r="C3620" s="1" t="s">
        <v>30</v>
      </c>
      <c r="D3620" s="1" t="s">
        <v>19</v>
      </c>
      <c r="E3620" s="1" t="s">
        <v>50</v>
      </c>
      <c r="F3620">
        <v>2006</v>
      </c>
      <c r="G3620">
        <v>13</v>
      </c>
      <c r="H3620" s="1" t="s">
        <v>21</v>
      </c>
      <c r="I3620">
        <v>22</v>
      </c>
      <c r="J3620">
        <v>2447</v>
      </c>
      <c r="K3620" s="1" t="s">
        <v>51</v>
      </c>
      <c r="L3620" s="1" t="s">
        <v>45</v>
      </c>
      <c r="M3620">
        <v>1.335</v>
      </c>
      <c r="N3620">
        <v>29364</v>
      </c>
      <c r="O3620">
        <v>29.364000000000001</v>
      </c>
      <c r="P3620" s="2">
        <v>43647</v>
      </c>
      <c r="Q3620">
        <v>1</v>
      </c>
      <c r="R3620" s="1" t="s">
        <v>24</v>
      </c>
    </row>
    <row r="3621" spans="1:18" x14ac:dyDescent="0.25">
      <c r="A3621">
        <v>2019</v>
      </c>
      <c r="B3621">
        <v>8</v>
      </c>
      <c r="C3621" s="1" t="s">
        <v>31</v>
      </c>
      <c r="D3621" s="1" t="s">
        <v>19</v>
      </c>
      <c r="E3621" s="1" t="s">
        <v>50</v>
      </c>
      <c r="F3621">
        <v>2006</v>
      </c>
      <c r="G3621">
        <v>13</v>
      </c>
      <c r="H3621" s="1" t="s">
        <v>21</v>
      </c>
      <c r="I3621">
        <v>22</v>
      </c>
      <c r="J3621">
        <v>2447</v>
      </c>
      <c r="K3621" s="1" t="s">
        <v>51</v>
      </c>
      <c r="L3621" s="1" t="s">
        <v>45</v>
      </c>
      <c r="M3621">
        <v>1.552</v>
      </c>
      <c r="N3621">
        <v>34135.699999999997</v>
      </c>
      <c r="O3621">
        <v>34.136000000000003</v>
      </c>
      <c r="P3621" s="2">
        <v>43678</v>
      </c>
      <c r="Q3621">
        <v>1</v>
      </c>
      <c r="R3621" s="1" t="s">
        <v>24</v>
      </c>
    </row>
    <row r="3622" spans="1:18" x14ac:dyDescent="0.25">
      <c r="A3622">
        <v>2019</v>
      </c>
      <c r="B3622">
        <v>9</v>
      </c>
      <c r="C3622" s="1" t="s">
        <v>32</v>
      </c>
      <c r="D3622" s="1" t="s">
        <v>19</v>
      </c>
      <c r="E3622" s="1" t="s">
        <v>50</v>
      </c>
      <c r="F3622">
        <v>2006</v>
      </c>
      <c r="G3622">
        <v>13</v>
      </c>
      <c r="H3622" s="1" t="s">
        <v>21</v>
      </c>
      <c r="I3622">
        <v>22</v>
      </c>
      <c r="J3622">
        <v>2447</v>
      </c>
      <c r="K3622" s="1" t="s">
        <v>51</v>
      </c>
      <c r="L3622" s="1" t="s">
        <v>45</v>
      </c>
      <c r="M3622">
        <v>1.103</v>
      </c>
      <c r="N3622">
        <v>24262</v>
      </c>
      <c r="O3622">
        <v>24.262</v>
      </c>
      <c r="P3622" s="2">
        <v>43709</v>
      </c>
      <c r="Q3622">
        <v>1</v>
      </c>
      <c r="R3622" s="1" t="s">
        <v>24</v>
      </c>
    </row>
    <row r="3623" spans="1:18" x14ac:dyDescent="0.25">
      <c r="A3623">
        <v>2019</v>
      </c>
      <c r="B3623">
        <v>10</v>
      </c>
      <c r="C3623" s="1" t="s">
        <v>33</v>
      </c>
      <c r="D3623" s="1" t="s">
        <v>19</v>
      </c>
      <c r="E3623" s="1" t="s">
        <v>50</v>
      </c>
      <c r="F3623">
        <v>2006</v>
      </c>
      <c r="G3623">
        <v>13</v>
      </c>
      <c r="H3623" s="1" t="s">
        <v>21</v>
      </c>
      <c r="I3623">
        <v>22</v>
      </c>
      <c r="J3623">
        <v>2447</v>
      </c>
      <c r="K3623" s="1" t="s">
        <v>51</v>
      </c>
      <c r="L3623" s="1" t="s">
        <v>45</v>
      </c>
      <c r="M3623">
        <v>1.4470000000000001</v>
      </c>
      <c r="N3623">
        <v>31841.599999999999</v>
      </c>
      <c r="O3623">
        <v>31.841999999999999</v>
      </c>
      <c r="P3623" s="2">
        <v>43739</v>
      </c>
      <c r="Q3623">
        <v>1</v>
      </c>
      <c r="R3623" s="1" t="s">
        <v>24</v>
      </c>
    </row>
    <row r="3624" spans="1:18" x14ac:dyDescent="0.25">
      <c r="A3624">
        <v>2019</v>
      </c>
      <c r="B3624">
        <v>11</v>
      </c>
      <c r="C3624" s="1" t="s">
        <v>34</v>
      </c>
      <c r="D3624" s="1" t="s">
        <v>19</v>
      </c>
      <c r="E3624" s="1" t="s">
        <v>50</v>
      </c>
      <c r="F3624">
        <v>2006</v>
      </c>
      <c r="G3624">
        <v>13</v>
      </c>
      <c r="H3624" s="1" t="s">
        <v>21</v>
      </c>
      <c r="I3624">
        <v>22</v>
      </c>
      <c r="J3624">
        <v>2447</v>
      </c>
      <c r="K3624" s="1" t="s">
        <v>51</v>
      </c>
      <c r="L3624" s="1" t="s">
        <v>45</v>
      </c>
      <c r="M3624">
        <v>1.054</v>
      </c>
      <c r="N3624">
        <v>23179.200000000001</v>
      </c>
      <c r="O3624">
        <v>23.178999999999998</v>
      </c>
      <c r="P3624" s="2">
        <v>43770</v>
      </c>
      <c r="Q3624">
        <v>1</v>
      </c>
      <c r="R3624" s="1" t="s">
        <v>24</v>
      </c>
    </row>
    <row r="3625" spans="1:18" x14ac:dyDescent="0.25">
      <c r="A3625">
        <v>2019</v>
      </c>
      <c r="B3625">
        <v>12</v>
      </c>
      <c r="C3625" s="1" t="s">
        <v>35</v>
      </c>
      <c r="D3625" s="1" t="s">
        <v>19</v>
      </c>
      <c r="E3625" s="1" t="s">
        <v>50</v>
      </c>
      <c r="F3625">
        <v>2006</v>
      </c>
      <c r="G3625">
        <v>13</v>
      </c>
      <c r="H3625" s="1" t="s">
        <v>21</v>
      </c>
      <c r="I3625">
        <v>22</v>
      </c>
      <c r="J3625">
        <v>2447</v>
      </c>
      <c r="K3625" s="1" t="s">
        <v>51</v>
      </c>
      <c r="L3625" s="1" t="s">
        <v>45</v>
      </c>
      <c r="M3625">
        <v>0.79200000000000004</v>
      </c>
      <c r="N3625">
        <v>17434.900000000001</v>
      </c>
      <c r="O3625">
        <v>17.434999999999999</v>
      </c>
      <c r="P3625" s="2">
        <v>43800</v>
      </c>
      <c r="Q3625">
        <v>1</v>
      </c>
      <c r="R3625" s="1" t="s">
        <v>24</v>
      </c>
    </row>
    <row r="3626" spans="1:18" x14ac:dyDescent="0.25">
      <c r="A3626">
        <v>2019</v>
      </c>
      <c r="B3626">
        <v>1</v>
      </c>
      <c r="C3626" s="1" t="s">
        <v>18</v>
      </c>
      <c r="D3626" s="1" t="s">
        <v>19</v>
      </c>
      <c r="E3626" s="1" t="s">
        <v>52</v>
      </c>
      <c r="F3626">
        <v>2006</v>
      </c>
      <c r="G3626">
        <v>13</v>
      </c>
      <c r="H3626" s="1" t="s">
        <v>21</v>
      </c>
      <c r="I3626">
        <v>15</v>
      </c>
      <c r="J3626">
        <v>1866</v>
      </c>
      <c r="K3626" s="1" t="s">
        <v>53</v>
      </c>
      <c r="L3626" s="1" t="s">
        <v>45</v>
      </c>
      <c r="M3626">
        <v>1.119</v>
      </c>
      <c r="N3626">
        <v>16780</v>
      </c>
      <c r="O3626">
        <v>16.78</v>
      </c>
      <c r="P3626" s="2">
        <v>43466</v>
      </c>
      <c r="Q3626">
        <v>1</v>
      </c>
      <c r="R3626" s="1" t="s">
        <v>24</v>
      </c>
    </row>
    <row r="3627" spans="1:18" x14ac:dyDescent="0.25">
      <c r="A3627">
        <v>2019</v>
      </c>
      <c r="B3627">
        <v>2</v>
      </c>
      <c r="C3627" s="1" t="s">
        <v>25</v>
      </c>
      <c r="D3627" s="1" t="s">
        <v>19</v>
      </c>
      <c r="E3627" s="1" t="s">
        <v>52</v>
      </c>
      <c r="F3627">
        <v>2006</v>
      </c>
      <c r="G3627">
        <v>13</v>
      </c>
      <c r="H3627" s="1" t="s">
        <v>21</v>
      </c>
      <c r="I3627">
        <v>15</v>
      </c>
      <c r="J3627">
        <v>1866</v>
      </c>
      <c r="K3627" s="1" t="s">
        <v>53</v>
      </c>
      <c r="L3627" s="1" t="s">
        <v>45</v>
      </c>
      <c r="M3627">
        <v>1.3080000000000001</v>
      </c>
      <c r="N3627">
        <v>19621</v>
      </c>
      <c r="O3627">
        <v>19.620999999999999</v>
      </c>
      <c r="P3627" s="2">
        <v>43497</v>
      </c>
      <c r="Q3627">
        <v>1</v>
      </c>
      <c r="R3627" s="1" t="s">
        <v>24</v>
      </c>
    </row>
    <row r="3628" spans="1:18" x14ac:dyDescent="0.25">
      <c r="A3628">
        <v>2019</v>
      </c>
      <c r="B3628">
        <v>3</v>
      </c>
      <c r="C3628" s="1" t="s">
        <v>26</v>
      </c>
      <c r="D3628" s="1" t="s">
        <v>19</v>
      </c>
      <c r="E3628" s="1" t="s">
        <v>52</v>
      </c>
      <c r="F3628">
        <v>2006</v>
      </c>
      <c r="G3628">
        <v>13</v>
      </c>
      <c r="H3628" s="1" t="s">
        <v>21</v>
      </c>
      <c r="I3628">
        <v>15</v>
      </c>
      <c r="J3628">
        <v>1866</v>
      </c>
      <c r="K3628" s="1" t="s">
        <v>53</v>
      </c>
      <c r="L3628" s="1" t="s">
        <v>45</v>
      </c>
      <c r="M3628">
        <v>1.522</v>
      </c>
      <c r="N3628">
        <v>22825.8</v>
      </c>
      <c r="O3628">
        <v>22.826000000000001</v>
      </c>
      <c r="P3628" s="2">
        <v>43525</v>
      </c>
      <c r="Q3628">
        <v>1</v>
      </c>
      <c r="R3628" s="1" t="s">
        <v>24</v>
      </c>
    </row>
    <row r="3629" spans="1:18" x14ac:dyDescent="0.25">
      <c r="A3629">
        <v>2019</v>
      </c>
      <c r="B3629">
        <v>4</v>
      </c>
      <c r="C3629" s="1" t="s">
        <v>27</v>
      </c>
      <c r="D3629" s="1" t="s">
        <v>19</v>
      </c>
      <c r="E3629" s="1" t="s">
        <v>52</v>
      </c>
      <c r="F3629">
        <v>2006</v>
      </c>
      <c r="G3629">
        <v>13</v>
      </c>
      <c r="H3629" s="1" t="s">
        <v>21</v>
      </c>
      <c r="I3629">
        <v>15</v>
      </c>
      <c r="J3629">
        <v>1866</v>
      </c>
      <c r="K3629" s="1" t="s">
        <v>53</v>
      </c>
      <c r="L3629" s="1" t="s">
        <v>45</v>
      </c>
      <c r="M3629">
        <v>1.7090000000000001</v>
      </c>
      <c r="N3629">
        <v>25638.799999999999</v>
      </c>
      <c r="O3629">
        <v>25.638999999999999</v>
      </c>
      <c r="P3629" s="2">
        <v>43556</v>
      </c>
      <c r="Q3629">
        <v>1</v>
      </c>
      <c r="R3629" s="1" t="s">
        <v>24</v>
      </c>
    </row>
    <row r="3630" spans="1:18" x14ac:dyDescent="0.25">
      <c r="A3630">
        <v>2019</v>
      </c>
      <c r="B3630">
        <v>5</v>
      </c>
      <c r="C3630" s="1" t="s">
        <v>28</v>
      </c>
      <c r="D3630" s="1" t="s">
        <v>19</v>
      </c>
      <c r="E3630" s="1" t="s">
        <v>52</v>
      </c>
      <c r="F3630">
        <v>2006</v>
      </c>
      <c r="G3630">
        <v>13</v>
      </c>
      <c r="H3630" s="1" t="s">
        <v>21</v>
      </c>
      <c r="I3630">
        <v>15</v>
      </c>
      <c r="J3630">
        <v>1866</v>
      </c>
      <c r="K3630" s="1" t="s">
        <v>53</v>
      </c>
      <c r="L3630" s="1" t="s">
        <v>45</v>
      </c>
      <c r="M3630">
        <v>1.748</v>
      </c>
      <c r="N3630">
        <v>26226.6</v>
      </c>
      <c r="O3630">
        <v>26.227</v>
      </c>
      <c r="P3630" s="2">
        <v>43586</v>
      </c>
      <c r="Q3630">
        <v>1</v>
      </c>
      <c r="R3630" s="1" t="s">
        <v>24</v>
      </c>
    </row>
    <row r="3631" spans="1:18" x14ac:dyDescent="0.25">
      <c r="A3631">
        <v>2019</v>
      </c>
      <c r="B3631">
        <v>6</v>
      </c>
      <c r="C3631" s="1" t="s">
        <v>29</v>
      </c>
      <c r="D3631" s="1" t="s">
        <v>19</v>
      </c>
      <c r="E3631" s="1" t="s">
        <v>52</v>
      </c>
      <c r="F3631">
        <v>2006</v>
      </c>
      <c r="G3631">
        <v>13</v>
      </c>
      <c r="H3631" s="1" t="s">
        <v>21</v>
      </c>
      <c r="I3631">
        <v>15</v>
      </c>
      <c r="J3631">
        <v>1866</v>
      </c>
      <c r="K3631" s="1" t="s">
        <v>53</v>
      </c>
      <c r="L3631" s="1" t="s">
        <v>45</v>
      </c>
      <c r="M3631">
        <v>1.66</v>
      </c>
      <c r="N3631">
        <v>24897.1</v>
      </c>
      <c r="O3631">
        <v>24.896999999999998</v>
      </c>
      <c r="P3631" s="2">
        <v>43617</v>
      </c>
      <c r="Q3631">
        <v>1</v>
      </c>
      <c r="R3631" s="1" t="s">
        <v>24</v>
      </c>
    </row>
    <row r="3632" spans="1:18" x14ac:dyDescent="0.25">
      <c r="A3632">
        <v>2019</v>
      </c>
      <c r="B3632">
        <v>7</v>
      </c>
      <c r="C3632" s="1" t="s">
        <v>30</v>
      </c>
      <c r="D3632" s="1" t="s">
        <v>19</v>
      </c>
      <c r="E3632" s="1" t="s">
        <v>52</v>
      </c>
      <c r="F3632">
        <v>2006</v>
      </c>
      <c r="G3632">
        <v>13</v>
      </c>
      <c r="H3632" s="1" t="s">
        <v>21</v>
      </c>
      <c r="I3632">
        <v>15</v>
      </c>
      <c r="J3632">
        <v>1866</v>
      </c>
      <c r="K3632" s="1" t="s">
        <v>53</v>
      </c>
      <c r="L3632" s="1" t="s">
        <v>45</v>
      </c>
      <c r="M3632">
        <v>1.4930000000000001</v>
      </c>
      <c r="N3632">
        <v>22392</v>
      </c>
      <c r="O3632">
        <v>22.391999999999999</v>
      </c>
      <c r="P3632" s="2">
        <v>43647</v>
      </c>
      <c r="Q3632">
        <v>1</v>
      </c>
      <c r="R3632" s="1" t="s">
        <v>24</v>
      </c>
    </row>
    <row r="3633" spans="1:18" x14ac:dyDescent="0.25">
      <c r="A3633">
        <v>2019</v>
      </c>
      <c r="B3633">
        <v>8</v>
      </c>
      <c r="C3633" s="1" t="s">
        <v>31</v>
      </c>
      <c r="D3633" s="1" t="s">
        <v>19</v>
      </c>
      <c r="E3633" s="1" t="s">
        <v>52</v>
      </c>
      <c r="F3633">
        <v>2006</v>
      </c>
      <c r="G3633">
        <v>13</v>
      </c>
      <c r="H3633" s="1" t="s">
        <v>21</v>
      </c>
      <c r="I3633">
        <v>15</v>
      </c>
      <c r="J3633">
        <v>1866</v>
      </c>
      <c r="K3633" s="1" t="s">
        <v>53</v>
      </c>
      <c r="L3633" s="1" t="s">
        <v>45</v>
      </c>
      <c r="M3633">
        <v>1.7350000000000001</v>
      </c>
      <c r="N3633">
        <v>26030.7</v>
      </c>
      <c r="O3633">
        <v>26.030999999999999</v>
      </c>
      <c r="P3633" s="2">
        <v>43678</v>
      </c>
      <c r="Q3633">
        <v>1</v>
      </c>
      <c r="R3633" s="1" t="s">
        <v>24</v>
      </c>
    </row>
    <row r="3634" spans="1:18" x14ac:dyDescent="0.25">
      <c r="A3634">
        <v>2019</v>
      </c>
      <c r="B3634">
        <v>9</v>
      </c>
      <c r="C3634" s="1" t="s">
        <v>32</v>
      </c>
      <c r="D3634" s="1" t="s">
        <v>19</v>
      </c>
      <c r="E3634" s="1" t="s">
        <v>52</v>
      </c>
      <c r="F3634">
        <v>2006</v>
      </c>
      <c r="G3634">
        <v>13</v>
      </c>
      <c r="H3634" s="1" t="s">
        <v>21</v>
      </c>
      <c r="I3634">
        <v>15</v>
      </c>
      <c r="J3634">
        <v>1866</v>
      </c>
      <c r="K3634" s="1" t="s">
        <v>53</v>
      </c>
      <c r="L3634" s="1" t="s">
        <v>45</v>
      </c>
      <c r="M3634">
        <v>1.2330000000000001</v>
      </c>
      <c r="N3634">
        <v>18501.400000000001</v>
      </c>
      <c r="O3634">
        <v>18.501000000000001</v>
      </c>
      <c r="P3634" s="2">
        <v>43709</v>
      </c>
      <c r="Q3634">
        <v>1</v>
      </c>
      <c r="R3634" s="1" t="s">
        <v>24</v>
      </c>
    </row>
    <row r="3635" spans="1:18" x14ac:dyDescent="0.25">
      <c r="A3635">
        <v>2019</v>
      </c>
      <c r="B3635">
        <v>10</v>
      </c>
      <c r="C3635" s="1" t="s">
        <v>33</v>
      </c>
      <c r="D3635" s="1" t="s">
        <v>19</v>
      </c>
      <c r="E3635" s="1" t="s">
        <v>52</v>
      </c>
      <c r="F3635">
        <v>2006</v>
      </c>
      <c r="G3635">
        <v>13</v>
      </c>
      <c r="H3635" s="1" t="s">
        <v>21</v>
      </c>
      <c r="I3635">
        <v>15</v>
      </c>
      <c r="J3635">
        <v>1866</v>
      </c>
      <c r="K3635" s="1" t="s">
        <v>53</v>
      </c>
      <c r="L3635" s="1" t="s">
        <v>45</v>
      </c>
      <c r="M3635">
        <v>1.619</v>
      </c>
      <c r="N3635">
        <v>24281.3</v>
      </c>
      <c r="O3635">
        <v>24.280999999999999</v>
      </c>
      <c r="P3635" s="2">
        <v>43739</v>
      </c>
      <c r="Q3635">
        <v>1</v>
      </c>
      <c r="R3635" s="1" t="s">
        <v>24</v>
      </c>
    </row>
    <row r="3636" spans="1:18" x14ac:dyDescent="0.25">
      <c r="A3636">
        <v>2019</v>
      </c>
      <c r="B3636">
        <v>11</v>
      </c>
      <c r="C3636" s="1" t="s">
        <v>34</v>
      </c>
      <c r="D3636" s="1" t="s">
        <v>19</v>
      </c>
      <c r="E3636" s="1" t="s">
        <v>52</v>
      </c>
      <c r="F3636">
        <v>2006</v>
      </c>
      <c r="G3636">
        <v>13</v>
      </c>
      <c r="H3636" s="1" t="s">
        <v>21</v>
      </c>
      <c r="I3636">
        <v>15</v>
      </c>
      <c r="J3636">
        <v>1866</v>
      </c>
      <c r="K3636" s="1" t="s">
        <v>53</v>
      </c>
      <c r="L3636" s="1" t="s">
        <v>45</v>
      </c>
      <c r="M3636">
        <v>1.1779999999999999</v>
      </c>
      <c r="N3636">
        <v>17675.7</v>
      </c>
      <c r="O3636">
        <v>17.675999999999998</v>
      </c>
      <c r="P3636" s="2">
        <v>43770</v>
      </c>
      <c r="Q3636">
        <v>1</v>
      </c>
      <c r="R3636" s="1" t="s">
        <v>24</v>
      </c>
    </row>
    <row r="3637" spans="1:18" x14ac:dyDescent="0.25">
      <c r="A3637">
        <v>2019</v>
      </c>
      <c r="B3637">
        <v>12</v>
      </c>
      <c r="C3637" s="1" t="s">
        <v>35</v>
      </c>
      <c r="D3637" s="1" t="s">
        <v>19</v>
      </c>
      <c r="E3637" s="1" t="s">
        <v>52</v>
      </c>
      <c r="F3637">
        <v>2006</v>
      </c>
      <c r="G3637">
        <v>13</v>
      </c>
      <c r="H3637" s="1" t="s">
        <v>21</v>
      </c>
      <c r="I3637">
        <v>15</v>
      </c>
      <c r="J3637">
        <v>1866</v>
      </c>
      <c r="K3637" s="1" t="s">
        <v>53</v>
      </c>
      <c r="L3637" s="1" t="s">
        <v>45</v>
      </c>
      <c r="M3637">
        <v>0.88600000000000001</v>
      </c>
      <c r="N3637">
        <v>13295.2</v>
      </c>
      <c r="O3637">
        <v>13.295</v>
      </c>
      <c r="P3637" s="2">
        <v>43800</v>
      </c>
      <c r="Q3637">
        <v>1</v>
      </c>
      <c r="R3637" s="1" t="s">
        <v>24</v>
      </c>
    </row>
    <row r="3638" spans="1:18" x14ac:dyDescent="0.25">
      <c r="A3638">
        <v>2019</v>
      </c>
      <c r="B3638">
        <v>1</v>
      </c>
      <c r="C3638" s="1" t="s">
        <v>18</v>
      </c>
      <c r="D3638" s="1" t="s">
        <v>19</v>
      </c>
      <c r="E3638" s="1" t="s">
        <v>54</v>
      </c>
      <c r="F3638">
        <v>2006</v>
      </c>
      <c r="G3638">
        <v>13</v>
      </c>
      <c r="H3638" s="1" t="s">
        <v>21</v>
      </c>
      <c r="I3638">
        <v>25</v>
      </c>
      <c r="J3638">
        <v>3154</v>
      </c>
      <c r="K3638" s="1" t="s">
        <v>55</v>
      </c>
      <c r="L3638" s="1" t="s">
        <v>45</v>
      </c>
      <c r="M3638">
        <v>1.1339999999999999</v>
      </c>
      <c r="N3638">
        <v>28362.3</v>
      </c>
      <c r="O3638">
        <v>28.361999999999998</v>
      </c>
      <c r="P3638" s="2">
        <v>43466</v>
      </c>
      <c r="Q3638">
        <v>1</v>
      </c>
      <c r="R3638" s="1" t="s">
        <v>24</v>
      </c>
    </row>
    <row r="3639" spans="1:18" x14ac:dyDescent="0.25">
      <c r="A3639">
        <v>2019</v>
      </c>
      <c r="B3639">
        <v>2</v>
      </c>
      <c r="C3639" s="1" t="s">
        <v>25</v>
      </c>
      <c r="D3639" s="1" t="s">
        <v>19</v>
      </c>
      <c r="E3639" s="1" t="s">
        <v>54</v>
      </c>
      <c r="F3639">
        <v>2006</v>
      </c>
      <c r="G3639">
        <v>13</v>
      </c>
      <c r="H3639" s="1" t="s">
        <v>21</v>
      </c>
      <c r="I3639">
        <v>25</v>
      </c>
      <c r="J3639">
        <v>3154</v>
      </c>
      <c r="K3639" s="1" t="s">
        <v>55</v>
      </c>
      <c r="L3639" s="1" t="s">
        <v>45</v>
      </c>
      <c r="M3639">
        <v>1.327</v>
      </c>
      <c r="N3639">
        <v>33164.300000000003</v>
      </c>
      <c r="O3639">
        <v>33.164000000000001</v>
      </c>
      <c r="P3639" s="2">
        <v>43497</v>
      </c>
      <c r="Q3639">
        <v>1</v>
      </c>
      <c r="R3639" s="1" t="s">
        <v>24</v>
      </c>
    </row>
    <row r="3640" spans="1:18" x14ac:dyDescent="0.25">
      <c r="A3640">
        <v>2019</v>
      </c>
      <c r="B3640">
        <v>3</v>
      </c>
      <c r="C3640" s="1" t="s">
        <v>26</v>
      </c>
      <c r="D3640" s="1" t="s">
        <v>19</v>
      </c>
      <c r="E3640" s="1" t="s">
        <v>54</v>
      </c>
      <c r="F3640">
        <v>2006</v>
      </c>
      <c r="G3640">
        <v>13</v>
      </c>
      <c r="H3640" s="1" t="s">
        <v>21</v>
      </c>
      <c r="I3640">
        <v>25</v>
      </c>
      <c r="J3640">
        <v>3154</v>
      </c>
      <c r="K3640" s="1" t="s">
        <v>55</v>
      </c>
      <c r="L3640" s="1" t="s">
        <v>45</v>
      </c>
      <c r="M3640">
        <v>1.5429999999999999</v>
      </c>
      <c r="N3640">
        <v>38581.300000000003</v>
      </c>
      <c r="O3640">
        <v>38.581000000000003</v>
      </c>
      <c r="P3640" s="2">
        <v>43525</v>
      </c>
      <c r="Q3640">
        <v>1</v>
      </c>
      <c r="R3640" s="1" t="s">
        <v>24</v>
      </c>
    </row>
    <row r="3641" spans="1:18" x14ac:dyDescent="0.25">
      <c r="A3641">
        <v>2019</v>
      </c>
      <c r="B3641">
        <v>4</v>
      </c>
      <c r="C3641" s="1" t="s">
        <v>27</v>
      </c>
      <c r="D3641" s="1" t="s">
        <v>19</v>
      </c>
      <c r="E3641" s="1" t="s">
        <v>54</v>
      </c>
      <c r="F3641">
        <v>2006</v>
      </c>
      <c r="G3641">
        <v>13</v>
      </c>
      <c r="H3641" s="1" t="s">
        <v>21</v>
      </c>
      <c r="I3641">
        <v>25</v>
      </c>
      <c r="J3641">
        <v>3154</v>
      </c>
      <c r="K3641" s="1" t="s">
        <v>55</v>
      </c>
      <c r="L3641" s="1" t="s">
        <v>45</v>
      </c>
      <c r="M3641">
        <v>1.7330000000000001</v>
      </c>
      <c r="N3641">
        <v>43336</v>
      </c>
      <c r="O3641">
        <v>43.335999999999999</v>
      </c>
      <c r="P3641" s="2">
        <v>43556</v>
      </c>
      <c r="Q3641">
        <v>1</v>
      </c>
      <c r="R3641" s="1" t="s">
        <v>24</v>
      </c>
    </row>
    <row r="3642" spans="1:18" x14ac:dyDescent="0.25">
      <c r="A3642">
        <v>2019</v>
      </c>
      <c r="B3642">
        <v>5</v>
      </c>
      <c r="C3642" s="1" t="s">
        <v>28</v>
      </c>
      <c r="D3642" s="1" t="s">
        <v>19</v>
      </c>
      <c r="E3642" s="1" t="s">
        <v>54</v>
      </c>
      <c r="F3642">
        <v>2006</v>
      </c>
      <c r="G3642">
        <v>13</v>
      </c>
      <c r="H3642" s="1" t="s">
        <v>21</v>
      </c>
      <c r="I3642">
        <v>25</v>
      </c>
      <c r="J3642">
        <v>3154</v>
      </c>
      <c r="K3642" s="1" t="s">
        <v>55</v>
      </c>
      <c r="L3642" s="1" t="s">
        <v>45</v>
      </c>
      <c r="M3642">
        <v>1.7729999999999999</v>
      </c>
      <c r="N3642">
        <v>44329.5</v>
      </c>
      <c r="O3642">
        <v>44.329000000000001</v>
      </c>
      <c r="P3642" s="2">
        <v>43586</v>
      </c>
      <c r="Q3642">
        <v>1</v>
      </c>
      <c r="R3642" s="1" t="s">
        <v>24</v>
      </c>
    </row>
    <row r="3643" spans="1:18" x14ac:dyDescent="0.25">
      <c r="A3643">
        <v>2019</v>
      </c>
      <c r="B3643">
        <v>6</v>
      </c>
      <c r="C3643" s="1" t="s">
        <v>29</v>
      </c>
      <c r="D3643" s="1" t="s">
        <v>19</v>
      </c>
      <c r="E3643" s="1" t="s">
        <v>54</v>
      </c>
      <c r="F3643">
        <v>2006</v>
      </c>
      <c r="G3643">
        <v>13</v>
      </c>
      <c r="H3643" s="1" t="s">
        <v>21</v>
      </c>
      <c r="I3643">
        <v>25</v>
      </c>
      <c r="J3643">
        <v>3154</v>
      </c>
      <c r="K3643" s="1" t="s">
        <v>55</v>
      </c>
      <c r="L3643" s="1" t="s">
        <v>45</v>
      </c>
      <c r="M3643">
        <v>1.6830000000000001</v>
      </c>
      <c r="N3643">
        <v>42082.2</v>
      </c>
      <c r="O3643">
        <v>42.082000000000001</v>
      </c>
      <c r="P3643" s="2">
        <v>43617</v>
      </c>
      <c r="Q3643">
        <v>1</v>
      </c>
      <c r="R3643" s="1" t="s">
        <v>24</v>
      </c>
    </row>
    <row r="3644" spans="1:18" x14ac:dyDescent="0.25">
      <c r="A3644">
        <v>2019</v>
      </c>
      <c r="B3644">
        <v>7</v>
      </c>
      <c r="C3644" s="1" t="s">
        <v>30</v>
      </c>
      <c r="D3644" s="1" t="s">
        <v>19</v>
      </c>
      <c r="E3644" s="1" t="s">
        <v>54</v>
      </c>
      <c r="F3644">
        <v>2006</v>
      </c>
      <c r="G3644">
        <v>13</v>
      </c>
      <c r="H3644" s="1" t="s">
        <v>21</v>
      </c>
      <c r="I3644">
        <v>25</v>
      </c>
      <c r="J3644">
        <v>3154</v>
      </c>
      <c r="K3644" s="1" t="s">
        <v>55</v>
      </c>
      <c r="L3644" s="1" t="s">
        <v>45</v>
      </c>
      <c r="M3644">
        <v>1.514</v>
      </c>
      <c r="N3644">
        <v>37848</v>
      </c>
      <c r="O3644">
        <v>37.847999999999999</v>
      </c>
      <c r="P3644" s="2">
        <v>43647</v>
      </c>
      <c r="Q3644">
        <v>1</v>
      </c>
      <c r="R3644" s="1" t="s">
        <v>24</v>
      </c>
    </row>
    <row r="3645" spans="1:18" x14ac:dyDescent="0.25">
      <c r="A3645">
        <v>2019</v>
      </c>
      <c r="B3645">
        <v>8</v>
      </c>
      <c r="C3645" s="1" t="s">
        <v>31</v>
      </c>
      <c r="D3645" s="1" t="s">
        <v>19</v>
      </c>
      <c r="E3645" s="1" t="s">
        <v>54</v>
      </c>
      <c r="F3645">
        <v>2006</v>
      </c>
      <c r="G3645">
        <v>13</v>
      </c>
      <c r="H3645" s="1" t="s">
        <v>21</v>
      </c>
      <c r="I3645">
        <v>25</v>
      </c>
      <c r="J3645">
        <v>3154</v>
      </c>
      <c r="K3645" s="1" t="s">
        <v>55</v>
      </c>
      <c r="L3645" s="1" t="s">
        <v>45</v>
      </c>
      <c r="M3645">
        <v>1.76</v>
      </c>
      <c r="N3645">
        <v>43998.3</v>
      </c>
      <c r="O3645">
        <v>43.997999999999998</v>
      </c>
      <c r="P3645" s="2">
        <v>43678</v>
      </c>
      <c r="Q3645">
        <v>1</v>
      </c>
      <c r="R3645" s="1" t="s">
        <v>24</v>
      </c>
    </row>
    <row r="3646" spans="1:18" x14ac:dyDescent="0.25">
      <c r="A3646">
        <v>2019</v>
      </c>
      <c r="B3646">
        <v>9</v>
      </c>
      <c r="C3646" s="1" t="s">
        <v>32</v>
      </c>
      <c r="D3646" s="1" t="s">
        <v>19</v>
      </c>
      <c r="E3646" s="1" t="s">
        <v>54</v>
      </c>
      <c r="F3646">
        <v>2006</v>
      </c>
      <c r="G3646">
        <v>13</v>
      </c>
      <c r="H3646" s="1" t="s">
        <v>21</v>
      </c>
      <c r="I3646">
        <v>25</v>
      </c>
      <c r="J3646">
        <v>3154</v>
      </c>
      <c r="K3646" s="1" t="s">
        <v>55</v>
      </c>
      <c r="L3646" s="1" t="s">
        <v>45</v>
      </c>
      <c r="M3646">
        <v>1.2509999999999999</v>
      </c>
      <c r="N3646">
        <v>31271.9</v>
      </c>
      <c r="O3646">
        <v>31.271999999999998</v>
      </c>
      <c r="P3646" s="2">
        <v>43709</v>
      </c>
      <c r="Q3646">
        <v>1</v>
      </c>
      <c r="R3646" s="1" t="s">
        <v>24</v>
      </c>
    </row>
    <row r="3647" spans="1:18" x14ac:dyDescent="0.25">
      <c r="A3647">
        <v>2019</v>
      </c>
      <c r="B3647">
        <v>10</v>
      </c>
      <c r="C3647" s="1" t="s">
        <v>33</v>
      </c>
      <c r="D3647" s="1" t="s">
        <v>19</v>
      </c>
      <c r="E3647" s="1" t="s">
        <v>54</v>
      </c>
      <c r="F3647">
        <v>2006</v>
      </c>
      <c r="G3647">
        <v>13</v>
      </c>
      <c r="H3647" s="1" t="s">
        <v>21</v>
      </c>
      <c r="I3647">
        <v>25</v>
      </c>
      <c r="J3647">
        <v>3154</v>
      </c>
      <c r="K3647" s="1" t="s">
        <v>55</v>
      </c>
      <c r="L3647" s="1" t="s">
        <v>45</v>
      </c>
      <c r="M3647">
        <v>1.6419999999999999</v>
      </c>
      <c r="N3647">
        <v>41041.4</v>
      </c>
      <c r="O3647">
        <v>41.040999999999997</v>
      </c>
      <c r="P3647" s="2">
        <v>43739</v>
      </c>
      <c r="Q3647">
        <v>1</v>
      </c>
      <c r="R3647" s="1" t="s">
        <v>24</v>
      </c>
    </row>
    <row r="3648" spans="1:18" x14ac:dyDescent="0.25">
      <c r="A3648">
        <v>2019</v>
      </c>
      <c r="B3648">
        <v>11</v>
      </c>
      <c r="C3648" s="1" t="s">
        <v>34</v>
      </c>
      <c r="D3648" s="1" t="s">
        <v>19</v>
      </c>
      <c r="E3648" s="1" t="s">
        <v>54</v>
      </c>
      <c r="F3648">
        <v>2006</v>
      </c>
      <c r="G3648">
        <v>13</v>
      </c>
      <c r="H3648" s="1" t="s">
        <v>21</v>
      </c>
      <c r="I3648">
        <v>25</v>
      </c>
      <c r="J3648">
        <v>3154</v>
      </c>
      <c r="K3648" s="1" t="s">
        <v>55</v>
      </c>
      <c r="L3648" s="1" t="s">
        <v>45</v>
      </c>
      <c r="M3648">
        <v>1.1950000000000001</v>
      </c>
      <c r="N3648">
        <v>29876.3</v>
      </c>
      <c r="O3648">
        <v>29.876000000000001</v>
      </c>
      <c r="P3648" s="2">
        <v>43770</v>
      </c>
      <c r="Q3648">
        <v>1</v>
      </c>
      <c r="R3648" s="1" t="s">
        <v>24</v>
      </c>
    </row>
    <row r="3649" spans="1:18" x14ac:dyDescent="0.25">
      <c r="A3649">
        <v>2019</v>
      </c>
      <c r="B3649">
        <v>12</v>
      </c>
      <c r="C3649" s="1" t="s">
        <v>35</v>
      </c>
      <c r="D3649" s="1" t="s">
        <v>19</v>
      </c>
      <c r="E3649" s="1" t="s">
        <v>54</v>
      </c>
      <c r="F3649">
        <v>2006</v>
      </c>
      <c r="G3649">
        <v>13</v>
      </c>
      <c r="H3649" s="1" t="s">
        <v>21</v>
      </c>
      <c r="I3649">
        <v>25</v>
      </c>
      <c r="J3649">
        <v>3154</v>
      </c>
      <c r="K3649" s="1" t="s">
        <v>55</v>
      </c>
      <c r="L3649" s="1" t="s">
        <v>45</v>
      </c>
      <c r="M3649">
        <v>0.89900000000000002</v>
      </c>
      <c r="N3649">
        <v>22472.2</v>
      </c>
      <c r="O3649">
        <v>22.472000000000001</v>
      </c>
      <c r="P3649" s="2">
        <v>43800</v>
      </c>
      <c r="Q3649">
        <v>1</v>
      </c>
      <c r="R3649" s="1" t="s">
        <v>24</v>
      </c>
    </row>
    <row r="3650" spans="1:18" x14ac:dyDescent="0.25">
      <c r="A3650">
        <v>2019</v>
      </c>
      <c r="B3650">
        <v>1</v>
      </c>
      <c r="C3650" s="1" t="s">
        <v>18</v>
      </c>
      <c r="D3650" s="1" t="s">
        <v>19</v>
      </c>
      <c r="E3650" s="1" t="s">
        <v>56</v>
      </c>
      <c r="F3650">
        <v>2006</v>
      </c>
      <c r="G3650">
        <v>13</v>
      </c>
      <c r="H3650" s="1" t="s">
        <v>21</v>
      </c>
      <c r="I3650">
        <v>35</v>
      </c>
      <c r="J3650">
        <v>4204</v>
      </c>
      <c r="K3650" s="1" t="s">
        <v>57</v>
      </c>
      <c r="L3650" s="1" t="s">
        <v>45</v>
      </c>
      <c r="M3650">
        <v>1.08</v>
      </c>
      <c r="N3650">
        <v>37804.5</v>
      </c>
      <c r="O3650">
        <v>37.804000000000002</v>
      </c>
      <c r="P3650" s="2">
        <v>43466</v>
      </c>
      <c r="Q3650">
        <v>1</v>
      </c>
      <c r="R3650" s="1" t="s">
        <v>24</v>
      </c>
    </row>
    <row r="3651" spans="1:18" x14ac:dyDescent="0.25">
      <c r="A3651">
        <v>2019</v>
      </c>
      <c r="B3651">
        <v>2</v>
      </c>
      <c r="C3651" s="1" t="s">
        <v>25</v>
      </c>
      <c r="D3651" s="1" t="s">
        <v>19</v>
      </c>
      <c r="E3651" s="1" t="s">
        <v>56</v>
      </c>
      <c r="F3651">
        <v>2006</v>
      </c>
      <c r="G3651">
        <v>13</v>
      </c>
      <c r="H3651" s="1" t="s">
        <v>21</v>
      </c>
      <c r="I3651">
        <v>35</v>
      </c>
      <c r="J3651">
        <v>4204</v>
      </c>
      <c r="K3651" s="1" t="s">
        <v>57</v>
      </c>
      <c r="L3651" s="1" t="s">
        <v>45</v>
      </c>
      <c r="M3651">
        <v>1.2629999999999999</v>
      </c>
      <c r="N3651">
        <v>44205.1</v>
      </c>
      <c r="O3651">
        <v>44.204999999999998</v>
      </c>
      <c r="P3651" s="2">
        <v>43497</v>
      </c>
      <c r="Q3651">
        <v>1</v>
      </c>
      <c r="R3651" s="1" t="s">
        <v>24</v>
      </c>
    </row>
    <row r="3652" spans="1:18" x14ac:dyDescent="0.25">
      <c r="A3652">
        <v>2019</v>
      </c>
      <c r="B3652">
        <v>3</v>
      </c>
      <c r="C3652" s="1" t="s">
        <v>26</v>
      </c>
      <c r="D3652" s="1" t="s">
        <v>19</v>
      </c>
      <c r="E3652" s="1" t="s">
        <v>56</v>
      </c>
      <c r="F3652">
        <v>2006</v>
      </c>
      <c r="G3652">
        <v>13</v>
      </c>
      <c r="H3652" s="1" t="s">
        <v>21</v>
      </c>
      <c r="I3652">
        <v>35</v>
      </c>
      <c r="J3652">
        <v>4204</v>
      </c>
      <c r="K3652" s="1" t="s">
        <v>57</v>
      </c>
      <c r="L3652" s="1" t="s">
        <v>45</v>
      </c>
      <c r="M3652">
        <v>1.4690000000000001</v>
      </c>
      <c r="N3652">
        <v>51425.4</v>
      </c>
      <c r="O3652">
        <v>51.424999999999997</v>
      </c>
      <c r="P3652" s="2">
        <v>43525</v>
      </c>
      <c r="Q3652">
        <v>1</v>
      </c>
      <c r="R3652" s="1" t="s">
        <v>24</v>
      </c>
    </row>
    <row r="3653" spans="1:18" x14ac:dyDescent="0.25">
      <c r="A3653">
        <v>2019</v>
      </c>
      <c r="B3653">
        <v>4</v>
      </c>
      <c r="C3653" s="1" t="s">
        <v>27</v>
      </c>
      <c r="D3653" s="1" t="s">
        <v>19</v>
      </c>
      <c r="E3653" s="1" t="s">
        <v>56</v>
      </c>
      <c r="F3653">
        <v>2006</v>
      </c>
      <c r="G3653">
        <v>13</v>
      </c>
      <c r="H3653" s="1" t="s">
        <v>21</v>
      </c>
      <c r="I3653">
        <v>35</v>
      </c>
      <c r="J3653">
        <v>4204</v>
      </c>
      <c r="K3653" s="1" t="s">
        <v>57</v>
      </c>
      <c r="L3653" s="1" t="s">
        <v>45</v>
      </c>
      <c r="M3653">
        <v>1.65</v>
      </c>
      <c r="N3653">
        <v>57763</v>
      </c>
      <c r="O3653">
        <v>57.762999999999998</v>
      </c>
      <c r="P3653" s="2">
        <v>43556</v>
      </c>
      <c r="Q3653">
        <v>1</v>
      </c>
      <c r="R3653" s="1" t="s">
        <v>24</v>
      </c>
    </row>
    <row r="3654" spans="1:18" x14ac:dyDescent="0.25">
      <c r="A3654">
        <v>2019</v>
      </c>
      <c r="B3654">
        <v>5</v>
      </c>
      <c r="C3654" s="1" t="s">
        <v>28</v>
      </c>
      <c r="D3654" s="1" t="s">
        <v>19</v>
      </c>
      <c r="E3654" s="1" t="s">
        <v>56</v>
      </c>
      <c r="F3654">
        <v>2006</v>
      </c>
      <c r="G3654">
        <v>13</v>
      </c>
      <c r="H3654" s="1" t="s">
        <v>21</v>
      </c>
      <c r="I3654">
        <v>35</v>
      </c>
      <c r="J3654">
        <v>4204</v>
      </c>
      <c r="K3654" s="1" t="s">
        <v>57</v>
      </c>
      <c r="L3654" s="1" t="s">
        <v>45</v>
      </c>
      <c r="M3654">
        <v>1.6879999999999999</v>
      </c>
      <c r="N3654">
        <v>59087.199999999997</v>
      </c>
      <c r="O3654">
        <v>59.087000000000003</v>
      </c>
      <c r="P3654" s="2">
        <v>43586</v>
      </c>
      <c r="Q3654">
        <v>1</v>
      </c>
      <c r="R3654" s="1" t="s">
        <v>24</v>
      </c>
    </row>
    <row r="3655" spans="1:18" x14ac:dyDescent="0.25">
      <c r="A3655">
        <v>2019</v>
      </c>
      <c r="B3655">
        <v>6</v>
      </c>
      <c r="C3655" s="1" t="s">
        <v>29</v>
      </c>
      <c r="D3655" s="1" t="s">
        <v>19</v>
      </c>
      <c r="E3655" s="1" t="s">
        <v>56</v>
      </c>
      <c r="F3655">
        <v>2006</v>
      </c>
      <c r="G3655">
        <v>13</v>
      </c>
      <c r="H3655" s="1" t="s">
        <v>21</v>
      </c>
      <c r="I3655">
        <v>35</v>
      </c>
      <c r="J3655">
        <v>4204</v>
      </c>
      <c r="K3655" s="1" t="s">
        <v>57</v>
      </c>
      <c r="L3655" s="1" t="s">
        <v>45</v>
      </c>
      <c r="M3655">
        <v>1.603</v>
      </c>
      <c r="N3655">
        <v>56091.9</v>
      </c>
      <c r="O3655">
        <v>56.091999999999999</v>
      </c>
      <c r="P3655" s="2">
        <v>43617</v>
      </c>
      <c r="Q3655">
        <v>1</v>
      </c>
      <c r="R3655" s="1" t="s">
        <v>24</v>
      </c>
    </row>
    <row r="3656" spans="1:18" x14ac:dyDescent="0.25">
      <c r="A3656">
        <v>2019</v>
      </c>
      <c r="B3656">
        <v>7</v>
      </c>
      <c r="C3656" s="1" t="s">
        <v>30</v>
      </c>
      <c r="D3656" s="1" t="s">
        <v>19</v>
      </c>
      <c r="E3656" s="1" t="s">
        <v>56</v>
      </c>
      <c r="F3656">
        <v>2006</v>
      </c>
      <c r="G3656">
        <v>13</v>
      </c>
      <c r="H3656" s="1" t="s">
        <v>21</v>
      </c>
      <c r="I3656">
        <v>35</v>
      </c>
      <c r="J3656">
        <v>4204</v>
      </c>
      <c r="K3656" s="1" t="s">
        <v>57</v>
      </c>
      <c r="L3656" s="1" t="s">
        <v>45</v>
      </c>
      <c r="M3656">
        <v>1.4410000000000001</v>
      </c>
      <c r="N3656">
        <v>50448</v>
      </c>
      <c r="O3656">
        <v>50.448</v>
      </c>
      <c r="P3656" s="2">
        <v>43647</v>
      </c>
      <c r="Q3656">
        <v>1</v>
      </c>
      <c r="R3656" s="1" t="s">
        <v>24</v>
      </c>
    </row>
    <row r="3657" spans="1:18" x14ac:dyDescent="0.25">
      <c r="A3657">
        <v>2019</v>
      </c>
      <c r="B3657">
        <v>8</v>
      </c>
      <c r="C3657" s="1" t="s">
        <v>31</v>
      </c>
      <c r="D3657" s="1" t="s">
        <v>19</v>
      </c>
      <c r="E3657" s="1" t="s">
        <v>56</v>
      </c>
      <c r="F3657">
        <v>2006</v>
      </c>
      <c r="G3657">
        <v>13</v>
      </c>
      <c r="H3657" s="1" t="s">
        <v>21</v>
      </c>
      <c r="I3657">
        <v>35</v>
      </c>
      <c r="J3657">
        <v>4204</v>
      </c>
      <c r="K3657" s="1" t="s">
        <v>57</v>
      </c>
      <c r="L3657" s="1" t="s">
        <v>45</v>
      </c>
      <c r="M3657">
        <v>1.6759999999999999</v>
      </c>
      <c r="N3657">
        <v>58645.8</v>
      </c>
      <c r="O3657">
        <v>58.646000000000001</v>
      </c>
      <c r="P3657" s="2">
        <v>43678</v>
      </c>
      <c r="Q3657">
        <v>1</v>
      </c>
      <c r="R3657" s="1" t="s">
        <v>24</v>
      </c>
    </row>
    <row r="3658" spans="1:18" x14ac:dyDescent="0.25">
      <c r="A3658">
        <v>2019</v>
      </c>
      <c r="B3658">
        <v>9</v>
      </c>
      <c r="C3658" s="1" t="s">
        <v>32</v>
      </c>
      <c r="D3658" s="1" t="s">
        <v>19</v>
      </c>
      <c r="E3658" s="1" t="s">
        <v>56</v>
      </c>
      <c r="F3658">
        <v>2006</v>
      </c>
      <c r="G3658">
        <v>13</v>
      </c>
      <c r="H3658" s="1" t="s">
        <v>21</v>
      </c>
      <c r="I3658">
        <v>35</v>
      </c>
      <c r="J3658">
        <v>4204</v>
      </c>
      <c r="K3658" s="1" t="s">
        <v>57</v>
      </c>
      <c r="L3658" s="1" t="s">
        <v>45</v>
      </c>
      <c r="M3658">
        <v>1.1910000000000001</v>
      </c>
      <c r="N3658">
        <v>41682.699999999997</v>
      </c>
      <c r="O3658">
        <v>41.683</v>
      </c>
      <c r="P3658" s="2">
        <v>43709</v>
      </c>
      <c r="Q3658">
        <v>1</v>
      </c>
      <c r="R3658" s="1" t="s">
        <v>24</v>
      </c>
    </row>
    <row r="3659" spans="1:18" x14ac:dyDescent="0.25">
      <c r="A3659">
        <v>2019</v>
      </c>
      <c r="B3659">
        <v>10</v>
      </c>
      <c r="C3659" s="1" t="s">
        <v>33</v>
      </c>
      <c r="D3659" s="1" t="s">
        <v>19</v>
      </c>
      <c r="E3659" s="1" t="s">
        <v>56</v>
      </c>
      <c r="F3659">
        <v>2006</v>
      </c>
      <c r="G3659">
        <v>13</v>
      </c>
      <c r="H3659" s="1" t="s">
        <v>21</v>
      </c>
      <c r="I3659">
        <v>35</v>
      </c>
      <c r="J3659">
        <v>4204</v>
      </c>
      <c r="K3659" s="1" t="s">
        <v>57</v>
      </c>
      <c r="L3659" s="1" t="s">
        <v>45</v>
      </c>
      <c r="M3659">
        <v>1.5629999999999999</v>
      </c>
      <c r="N3659">
        <v>54704.6</v>
      </c>
      <c r="O3659">
        <v>54.704999999999998</v>
      </c>
      <c r="P3659" s="2">
        <v>43739</v>
      </c>
      <c r="Q3659">
        <v>1</v>
      </c>
      <c r="R3659" s="1" t="s">
        <v>24</v>
      </c>
    </row>
    <row r="3660" spans="1:18" x14ac:dyDescent="0.25">
      <c r="A3660">
        <v>2019</v>
      </c>
      <c r="B3660">
        <v>11</v>
      </c>
      <c r="C3660" s="1" t="s">
        <v>34</v>
      </c>
      <c r="D3660" s="1" t="s">
        <v>19</v>
      </c>
      <c r="E3660" s="1" t="s">
        <v>56</v>
      </c>
      <c r="F3660">
        <v>2006</v>
      </c>
      <c r="G3660">
        <v>13</v>
      </c>
      <c r="H3660" s="1" t="s">
        <v>21</v>
      </c>
      <c r="I3660">
        <v>35</v>
      </c>
      <c r="J3660">
        <v>4204</v>
      </c>
      <c r="K3660" s="1" t="s">
        <v>57</v>
      </c>
      <c r="L3660" s="1" t="s">
        <v>45</v>
      </c>
      <c r="M3660">
        <v>1.1379999999999999</v>
      </c>
      <c r="N3660">
        <v>39822.400000000001</v>
      </c>
      <c r="O3660">
        <v>39.822000000000003</v>
      </c>
      <c r="P3660" s="2">
        <v>43770</v>
      </c>
      <c r="Q3660">
        <v>1</v>
      </c>
      <c r="R3660" s="1" t="s">
        <v>24</v>
      </c>
    </row>
    <row r="3661" spans="1:18" x14ac:dyDescent="0.25">
      <c r="A3661">
        <v>2019</v>
      </c>
      <c r="B3661">
        <v>12</v>
      </c>
      <c r="C3661" s="1" t="s">
        <v>35</v>
      </c>
      <c r="D3661" s="1" t="s">
        <v>19</v>
      </c>
      <c r="E3661" s="1" t="s">
        <v>56</v>
      </c>
      <c r="F3661">
        <v>2006</v>
      </c>
      <c r="G3661">
        <v>13</v>
      </c>
      <c r="H3661" s="1" t="s">
        <v>21</v>
      </c>
      <c r="I3661">
        <v>35</v>
      </c>
      <c r="J3661">
        <v>4204</v>
      </c>
      <c r="K3661" s="1" t="s">
        <v>57</v>
      </c>
      <c r="L3661" s="1" t="s">
        <v>45</v>
      </c>
      <c r="M3661">
        <v>0.85599999999999998</v>
      </c>
      <c r="N3661">
        <v>29953.5</v>
      </c>
      <c r="O3661">
        <v>29.952999999999999</v>
      </c>
      <c r="P3661" s="2">
        <v>43800</v>
      </c>
      <c r="Q3661">
        <v>1</v>
      </c>
      <c r="R3661" s="1" t="s">
        <v>24</v>
      </c>
    </row>
    <row r="3662" spans="1:18" x14ac:dyDescent="0.25">
      <c r="A3662">
        <v>2019</v>
      </c>
      <c r="B3662">
        <v>1</v>
      </c>
      <c r="C3662" s="1" t="s">
        <v>18</v>
      </c>
      <c r="D3662" s="1" t="s">
        <v>19</v>
      </c>
      <c r="E3662" s="1" t="s">
        <v>58</v>
      </c>
      <c r="F3662">
        <v>2012</v>
      </c>
      <c r="G3662">
        <v>7</v>
      </c>
      <c r="H3662" s="1" t="s">
        <v>21</v>
      </c>
      <c r="I3662">
        <v>10</v>
      </c>
      <c r="J3662">
        <v>1434</v>
      </c>
      <c r="K3662" s="1" t="s">
        <v>60</v>
      </c>
      <c r="L3662" s="1" t="s">
        <v>45</v>
      </c>
      <c r="M3662">
        <v>1.29</v>
      </c>
      <c r="N3662">
        <v>12895.2</v>
      </c>
      <c r="O3662">
        <v>12.895</v>
      </c>
      <c r="P3662" s="2">
        <v>43466</v>
      </c>
      <c r="Q3662">
        <v>1</v>
      </c>
      <c r="R3662" s="1" t="s">
        <v>40</v>
      </c>
    </row>
    <row r="3663" spans="1:18" x14ac:dyDescent="0.25">
      <c r="A3663">
        <v>2019</v>
      </c>
      <c r="B3663">
        <v>2</v>
      </c>
      <c r="C3663" s="1" t="s">
        <v>25</v>
      </c>
      <c r="D3663" s="1" t="s">
        <v>19</v>
      </c>
      <c r="E3663" s="1" t="s">
        <v>58</v>
      </c>
      <c r="F3663">
        <v>2012</v>
      </c>
      <c r="G3663">
        <v>7</v>
      </c>
      <c r="H3663" s="1" t="s">
        <v>21</v>
      </c>
      <c r="I3663">
        <v>10</v>
      </c>
      <c r="J3663">
        <v>1434</v>
      </c>
      <c r="K3663" s="1" t="s">
        <v>60</v>
      </c>
      <c r="L3663" s="1" t="s">
        <v>45</v>
      </c>
      <c r="M3663">
        <v>1.508</v>
      </c>
      <c r="N3663">
        <v>15078.5</v>
      </c>
      <c r="O3663">
        <v>15.079000000000001</v>
      </c>
      <c r="P3663" s="2">
        <v>43497</v>
      </c>
      <c r="Q3663">
        <v>1</v>
      </c>
      <c r="R3663" s="1" t="s">
        <v>40</v>
      </c>
    </row>
    <row r="3664" spans="1:18" x14ac:dyDescent="0.25">
      <c r="A3664">
        <v>2019</v>
      </c>
      <c r="B3664">
        <v>3</v>
      </c>
      <c r="C3664" s="1" t="s">
        <v>26</v>
      </c>
      <c r="D3664" s="1" t="s">
        <v>19</v>
      </c>
      <c r="E3664" s="1" t="s">
        <v>58</v>
      </c>
      <c r="F3664">
        <v>2012</v>
      </c>
      <c r="G3664">
        <v>7</v>
      </c>
      <c r="H3664" s="1" t="s">
        <v>21</v>
      </c>
      <c r="I3664">
        <v>10</v>
      </c>
      <c r="J3664">
        <v>1434</v>
      </c>
      <c r="K3664" s="1" t="s">
        <v>60</v>
      </c>
      <c r="L3664" s="1" t="s">
        <v>45</v>
      </c>
      <c r="M3664">
        <v>1.754</v>
      </c>
      <c r="N3664">
        <v>17541.400000000001</v>
      </c>
      <c r="O3664">
        <v>17.541</v>
      </c>
      <c r="P3664" s="2">
        <v>43525</v>
      </c>
      <c r="Q3664">
        <v>1</v>
      </c>
      <c r="R3664" s="1" t="s">
        <v>40</v>
      </c>
    </row>
    <row r="3665" spans="1:18" x14ac:dyDescent="0.25">
      <c r="A3665">
        <v>2019</v>
      </c>
      <c r="B3665">
        <v>4</v>
      </c>
      <c r="C3665" s="1" t="s">
        <v>27</v>
      </c>
      <c r="D3665" s="1" t="s">
        <v>19</v>
      </c>
      <c r="E3665" s="1" t="s">
        <v>58</v>
      </c>
      <c r="F3665">
        <v>2012</v>
      </c>
      <c r="G3665">
        <v>7</v>
      </c>
      <c r="H3665" s="1" t="s">
        <v>21</v>
      </c>
      <c r="I3665">
        <v>10</v>
      </c>
      <c r="J3665">
        <v>1434</v>
      </c>
      <c r="K3665" s="1" t="s">
        <v>60</v>
      </c>
      <c r="L3665" s="1" t="s">
        <v>45</v>
      </c>
      <c r="M3665">
        <v>1.97</v>
      </c>
      <c r="N3665">
        <v>19703.2</v>
      </c>
      <c r="O3665">
        <v>19.702999999999999</v>
      </c>
      <c r="P3665" s="2">
        <v>43556</v>
      </c>
      <c r="Q3665">
        <v>1</v>
      </c>
      <c r="R3665" s="1" t="s">
        <v>40</v>
      </c>
    </row>
    <row r="3666" spans="1:18" x14ac:dyDescent="0.25">
      <c r="A3666">
        <v>2019</v>
      </c>
      <c r="B3666">
        <v>5</v>
      </c>
      <c r="C3666" s="1" t="s">
        <v>28</v>
      </c>
      <c r="D3666" s="1" t="s">
        <v>19</v>
      </c>
      <c r="E3666" s="1" t="s">
        <v>58</v>
      </c>
      <c r="F3666">
        <v>2012</v>
      </c>
      <c r="G3666">
        <v>7</v>
      </c>
      <c r="H3666" s="1" t="s">
        <v>21</v>
      </c>
      <c r="I3666">
        <v>10</v>
      </c>
      <c r="J3666">
        <v>1434</v>
      </c>
      <c r="K3666" s="1" t="s">
        <v>60</v>
      </c>
      <c r="L3666" s="1" t="s">
        <v>45</v>
      </c>
      <c r="M3666">
        <v>2.0150000000000001</v>
      </c>
      <c r="N3666">
        <v>20154.900000000001</v>
      </c>
      <c r="O3666">
        <v>20.155000000000001</v>
      </c>
      <c r="P3666" s="2">
        <v>43586</v>
      </c>
      <c r="Q3666">
        <v>1</v>
      </c>
      <c r="R3666" s="1" t="s">
        <v>40</v>
      </c>
    </row>
    <row r="3667" spans="1:18" x14ac:dyDescent="0.25">
      <c r="A3667">
        <v>2019</v>
      </c>
      <c r="B3667">
        <v>6</v>
      </c>
      <c r="C3667" s="1" t="s">
        <v>29</v>
      </c>
      <c r="D3667" s="1" t="s">
        <v>19</v>
      </c>
      <c r="E3667" s="1" t="s">
        <v>58</v>
      </c>
      <c r="F3667">
        <v>2012</v>
      </c>
      <c r="G3667">
        <v>7</v>
      </c>
      <c r="H3667" s="1" t="s">
        <v>21</v>
      </c>
      <c r="I3667">
        <v>10</v>
      </c>
      <c r="J3667">
        <v>1434</v>
      </c>
      <c r="K3667" s="1" t="s">
        <v>60</v>
      </c>
      <c r="L3667" s="1" t="s">
        <v>45</v>
      </c>
      <c r="M3667">
        <v>1.913</v>
      </c>
      <c r="N3667">
        <v>19133.099999999999</v>
      </c>
      <c r="O3667">
        <v>19.132999999999999</v>
      </c>
      <c r="P3667" s="2">
        <v>43617</v>
      </c>
      <c r="Q3667">
        <v>1</v>
      </c>
      <c r="R3667" s="1" t="s">
        <v>40</v>
      </c>
    </row>
    <row r="3668" spans="1:18" x14ac:dyDescent="0.25">
      <c r="A3668">
        <v>2019</v>
      </c>
      <c r="B3668">
        <v>7</v>
      </c>
      <c r="C3668" s="1" t="s">
        <v>30</v>
      </c>
      <c r="D3668" s="1" t="s">
        <v>19</v>
      </c>
      <c r="E3668" s="1" t="s">
        <v>58</v>
      </c>
      <c r="F3668">
        <v>2012</v>
      </c>
      <c r="G3668">
        <v>7</v>
      </c>
      <c r="H3668" s="1" t="s">
        <v>21</v>
      </c>
      <c r="I3668">
        <v>10</v>
      </c>
      <c r="J3668">
        <v>1434</v>
      </c>
      <c r="K3668" s="1" t="s">
        <v>60</v>
      </c>
      <c r="L3668" s="1" t="s">
        <v>45</v>
      </c>
      <c r="M3668">
        <v>1.7210000000000001</v>
      </c>
      <c r="N3668">
        <v>17208</v>
      </c>
      <c r="O3668">
        <v>17.207999999999998</v>
      </c>
      <c r="P3668" s="2">
        <v>43647</v>
      </c>
      <c r="Q3668">
        <v>1</v>
      </c>
      <c r="R3668" s="1" t="s">
        <v>40</v>
      </c>
    </row>
    <row r="3669" spans="1:18" x14ac:dyDescent="0.25">
      <c r="A3669">
        <v>2019</v>
      </c>
      <c r="B3669">
        <v>8</v>
      </c>
      <c r="C3669" s="1" t="s">
        <v>31</v>
      </c>
      <c r="D3669" s="1" t="s">
        <v>19</v>
      </c>
      <c r="E3669" s="1" t="s">
        <v>58</v>
      </c>
      <c r="F3669">
        <v>2012</v>
      </c>
      <c r="G3669">
        <v>7</v>
      </c>
      <c r="H3669" s="1" t="s">
        <v>21</v>
      </c>
      <c r="I3669">
        <v>10</v>
      </c>
      <c r="J3669">
        <v>1434</v>
      </c>
      <c r="K3669" s="1" t="s">
        <v>60</v>
      </c>
      <c r="L3669" s="1" t="s">
        <v>45</v>
      </c>
      <c r="M3669">
        <v>2</v>
      </c>
      <c r="N3669">
        <v>20004.3</v>
      </c>
      <c r="O3669">
        <v>20.004000000000001</v>
      </c>
      <c r="P3669" s="2">
        <v>43678</v>
      </c>
      <c r="Q3669">
        <v>1</v>
      </c>
      <c r="R3669" s="1" t="s">
        <v>40</v>
      </c>
    </row>
    <row r="3670" spans="1:18" x14ac:dyDescent="0.25">
      <c r="A3670">
        <v>2019</v>
      </c>
      <c r="B3670">
        <v>9</v>
      </c>
      <c r="C3670" s="1" t="s">
        <v>32</v>
      </c>
      <c r="D3670" s="1" t="s">
        <v>19</v>
      </c>
      <c r="E3670" s="1" t="s">
        <v>58</v>
      </c>
      <c r="F3670">
        <v>2012</v>
      </c>
      <c r="G3670">
        <v>7</v>
      </c>
      <c r="H3670" s="1" t="s">
        <v>21</v>
      </c>
      <c r="I3670">
        <v>10</v>
      </c>
      <c r="J3670">
        <v>1434</v>
      </c>
      <c r="K3670" s="1" t="s">
        <v>60</v>
      </c>
      <c r="L3670" s="1" t="s">
        <v>45</v>
      </c>
      <c r="M3670">
        <v>1.4219999999999999</v>
      </c>
      <c r="N3670">
        <v>14218.1</v>
      </c>
      <c r="O3670">
        <v>14.218</v>
      </c>
      <c r="P3670" s="2">
        <v>43709</v>
      </c>
      <c r="Q3670">
        <v>1</v>
      </c>
      <c r="R3670" s="1" t="s">
        <v>40</v>
      </c>
    </row>
    <row r="3671" spans="1:18" x14ac:dyDescent="0.25">
      <c r="A3671">
        <v>2019</v>
      </c>
      <c r="B3671">
        <v>10</v>
      </c>
      <c r="C3671" s="1" t="s">
        <v>33</v>
      </c>
      <c r="D3671" s="1" t="s">
        <v>19</v>
      </c>
      <c r="E3671" s="1" t="s">
        <v>58</v>
      </c>
      <c r="F3671">
        <v>2012</v>
      </c>
      <c r="G3671">
        <v>7</v>
      </c>
      <c r="H3671" s="1" t="s">
        <v>21</v>
      </c>
      <c r="I3671">
        <v>10</v>
      </c>
      <c r="J3671">
        <v>1434</v>
      </c>
      <c r="K3671" s="1" t="s">
        <v>60</v>
      </c>
      <c r="L3671" s="1" t="s">
        <v>45</v>
      </c>
      <c r="M3671">
        <v>1.8660000000000001</v>
      </c>
      <c r="N3671">
        <v>18659.900000000001</v>
      </c>
      <c r="O3671">
        <v>18.66</v>
      </c>
      <c r="P3671" s="2">
        <v>43739</v>
      </c>
      <c r="Q3671">
        <v>1</v>
      </c>
      <c r="R3671" s="1" t="s">
        <v>40</v>
      </c>
    </row>
    <row r="3672" spans="1:18" x14ac:dyDescent="0.25">
      <c r="A3672">
        <v>2019</v>
      </c>
      <c r="B3672">
        <v>11</v>
      </c>
      <c r="C3672" s="1" t="s">
        <v>34</v>
      </c>
      <c r="D3672" s="1" t="s">
        <v>19</v>
      </c>
      <c r="E3672" s="1" t="s">
        <v>58</v>
      </c>
      <c r="F3672">
        <v>2012</v>
      </c>
      <c r="G3672">
        <v>7</v>
      </c>
      <c r="H3672" s="1" t="s">
        <v>21</v>
      </c>
      <c r="I3672">
        <v>10</v>
      </c>
      <c r="J3672">
        <v>1434</v>
      </c>
      <c r="K3672" s="1" t="s">
        <v>60</v>
      </c>
      <c r="L3672" s="1" t="s">
        <v>45</v>
      </c>
      <c r="M3672">
        <v>1.3580000000000001</v>
      </c>
      <c r="N3672">
        <v>13583.6</v>
      </c>
      <c r="O3672">
        <v>13.584</v>
      </c>
      <c r="P3672" s="2">
        <v>43770</v>
      </c>
      <c r="Q3672">
        <v>1</v>
      </c>
      <c r="R3672" s="1" t="s">
        <v>40</v>
      </c>
    </row>
    <row r="3673" spans="1:18" x14ac:dyDescent="0.25">
      <c r="A3673">
        <v>2019</v>
      </c>
      <c r="B3673">
        <v>12</v>
      </c>
      <c r="C3673" s="1" t="s">
        <v>35</v>
      </c>
      <c r="D3673" s="1" t="s">
        <v>19</v>
      </c>
      <c r="E3673" s="1" t="s">
        <v>58</v>
      </c>
      <c r="F3673">
        <v>2012</v>
      </c>
      <c r="G3673">
        <v>7</v>
      </c>
      <c r="H3673" s="1" t="s">
        <v>21</v>
      </c>
      <c r="I3673">
        <v>10</v>
      </c>
      <c r="J3673">
        <v>1434</v>
      </c>
      <c r="K3673" s="1" t="s">
        <v>60</v>
      </c>
      <c r="L3673" s="1" t="s">
        <v>45</v>
      </c>
      <c r="M3673">
        <v>1.022</v>
      </c>
      <c r="N3673">
        <v>10217.200000000001</v>
      </c>
      <c r="O3673">
        <v>10.217000000000001</v>
      </c>
      <c r="P3673" s="2">
        <v>43800</v>
      </c>
      <c r="Q3673">
        <v>1</v>
      </c>
      <c r="R3673" s="1" t="s">
        <v>40</v>
      </c>
    </row>
    <row r="3674" spans="1:18" x14ac:dyDescent="0.25">
      <c r="A3674">
        <v>2019</v>
      </c>
      <c r="B3674">
        <v>1</v>
      </c>
      <c r="C3674" s="1" t="s">
        <v>18</v>
      </c>
      <c r="D3674" s="1" t="s">
        <v>19</v>
      </c>
      <c r="E3674" s="1" t="s">
        <v>62</v>
      </c>
      <c r="F3674">
        <v>2012</v>
      </c>
      <c r="G3674">
        <v>7</v>
      </c>
      <c r="H3674" s="1" t="s">
        <v>21</v>
      </c>
      <c r="I3674">
        <v>24</v>
      </c>
      <c r="J3674">
        <v>3074</v>
      </c>
      <c r="K3674" s="1" t="s">
        <v>63</v>
      </c>
      <c r="L3674" s="1" t="s">
        <v>64</v>
      </c>
      <c r="M3674">
        <v>1.1519999999999999</v>
      </c>
      <c r="N3674">
        <v>27642.9</v>
      </c>
      <c r="O3674">
        <v>27.643000000000001</v>
      </c>
      <c r="P3674" s="2">
        <v>43466</v>
      </c>
      <c r="Q3674">
        <v>1</v>
      </c>
      <c r="R3674" s="1" t="s">
        <v>40</v>
      </c>
    </row>
    <row r="3675" spans="1:18" x14ac:dyDescent="0.25">
      <c r="A3675">
        <v>2019</v>
      </c>
      <c r="B3675">
        <v>2</v>
      </c>
      <c r="C3675" s="1" t="s">
        <v>25</v>
      </c>
      <c r="D3675" s="1" t="s">
        <v>19</v>
      </c>
      <c r="E3675" s="1" t="s">
        <v>62</v>
      </c>
      <c r="F3675">
        <v>2012</v>
      </c>
      <c r="G3675">
        <v>7</v>
      </c>
      <c r="H3675" s="1" t="s">
        <v>21</v>
      </c>
      <c r="I3675">
        <v>24</v>
      </c>
      <c r="J3675">
        <v>3074</v>
      </c>
      <c r="K3675" s="1" t="s">
        <v>63</v>
      </c>
      <c r="L3675" s="1" t="s">
        <v>64</v>
      </c>
      <c r="M3675">
        <v>1.347</v>
      </c>
      <c r="N3675">
        <v>32323.1</v>
      </c>
      <c r="O3675">
        <v>32.323</v>
      </c>
      <c r="P3675" s="2">
        <v>43497</v>
      </c>
      <c r="Q3675">
        <v>1</v>
      </c>
      <c r="R3675" s="1" t="s">
        <v>40</v>
      </c>
    </row>
    <row r="3676" spans="1:18" x14ac:dyDescent="0.25">
      <c r="A3676">
        <v>2019</v>
      </c>
      <c r="B3676">
        <v>3</v>
      </c>
      <c r="C3676" s="1" t="s">
        <v>26</v>
      </c>
      <c r="D3676" s="1" t="s">
        <v>19</v>
      </c>
      <c r="E3676" s="1" t="s">
        <v>62</v>
      </c>
      <c r="F3676">
        <v>2012</v>
      </c>
      <c r="G3676">
        <v>7</v>
      </c>
      <c r="H3676" s="1" t="s">
        <v>21</v>
      </c>
      <c r="I3676">
        <v>24</v>
      </c>
      <c r="J3676">
        <v>3074</v>
      </c>
      <c r="K3676" s="1" t="s">
        <v>63</v>
      </c>
      <c r="L3676" s="1" t="s">
        <v>64</v>
      </c>
      <c r="M3676">
        <v>1.5669999999999999</v>
      </c>
      <c r="N3676">
        <v>37602.699999999997</v>
      </c>
      <c r="O3676">
        <v>37.603000000000002</v>
      </c>
      <c r="P3676" s="2">
        <v>43525</v>
      </c>
      <c r="Q3676">
        <v>1</v>
      </c>
      <c r="R3676" s="1" t="s">
        <v>40</v>
      </c>
    </row>
    <row r="3677" spans="1:18" x14ac:dyDescent="0.25">
      <c r="A3677">
        <v>2019</v>
      </c>
      <c r="B3677">
        <v>4</v>
      </c>
      <c r="C3677" s="1" t="s">
        <v>27</v>
      </c>
      <c r="D3677" s="1" t="s">
        <v>19</v>
      </c>
      <c r="E3677" s="1" t="s">
        <v>62</v>
      </c>
      <c r="F3677">
        <v>2012</v>
      </c>
      <c r="G3677">
        <v>7</v>
      </c>
      <c r="H3677" s="1" t="s">
        <v>21</v>
      </c>
      <c r="I3677">
        <v>24</v>
      </c>
      <c r="J3677">
        <v>3074</v>
      </c>
      <c r="K3677" s="1" t="s">
        <v>63</v>
      </c>
      <c r="L3677" s="1" t="s">
        <v>64</v>
      </c>
      <c r="M3677">
        <v>1.76</v>
      </c>
      <c r="N3677">
        <v>42236.800000000003</v>
      </c>
      <c r="O3677">
        <v>42.237000000000002</v>
      </c>
      <c r="P3677" s="2">
        <v>43556</v>
      </c>
      <c r="Q3677">
        <v>1</v>
      </c>
      <c r="R3677" s="1" t="s">
        <v>40</v>
      </c>
    </row>
    <row r="3678" spans="1:18" x14ac:dyDescent="0.25">
      <c r="A3678">
        <v>2019</v>
      </c>
      <c r="B3678">
        <v>5</v>
      </c>
      <c r="C3678" s="1" t="s">
        <v>28</v>
      </c>
      <c r="D3678" s="1" t="s">
        <v>19</v>
      </c>
      <c r="E3678" s="1" t="s">
        <v>62</v>
      </c>
      <c r="F3678">
        <v>2012</v>
      </c>
      <c r="G3678">
        <v>7</v>
      </c>
      <c r="H3678" s="1" t="s">
        <v>21</v>
      </c>
      <c r="I3678">
        <v>24</v>
      </c>
      <c r="J3678">
        <v>3074</v>
      </c>
      <c r="K3678" s="1" t="s">
        <v>63</v>
      </c>
      <c r="L3678" s="1" t="s">
        <v>64</v>
      </c>
      <c r="M3678">
        <v>1.8</v>
      </c>
      <c r="N3678">
        <v>43205.1</v>
      </c>
      <c r="O3678">
        <v>43.204999999999998</v>
      </c>
      <c r="P3678" s="2">
        <v>43586</v>
      </c>
      <c r="Q3678">
        <v>1</v>
      </c>
      <c r="R3678" s="1" t="s">
        <v>40</v>
      </c>
    </row>
    <row r="3679" spans="1:18" x14ac:dyDescent="0.25">
      <c r="A3679">
        <v>2019</v>
      </c>
      <c r="B3679">
        <v>6</v>
      </c>
      <c r="C3679" s="1" t="s">
        <v>29</v>
      </c>
      <c r="D3679" s="1" t="s">
        <v>19</v>
      </c>
      <c r="E3679" s="1" t="s">
        <v>62</v>
      </c>
      <c r="F3679">
        <v>2012</v>
      </c>
      <c r="G3679">
        <v>7</v>
      </c>
      <c r="H3679" s="1" t="s">
        <v>21</v>
      </c>
      <c r="I3679">
        <v>24</v>
      </c>
      <c r="J3679">
        <v>3074</v>
      </c>
      <c r="K3679" s="1" t="s">
        <v>63</v>
      </c>
      <c r="L3679" s="1" t="s">
        <v>64</v>
      </c>
      <c r="M3679">
        <v>1.7090000000000001</v>
      </c>
      <c r="N3679">
        <v>41014.800000000003</v>
      </c>
      <c r="O3679">
        <v>41.015000000000001</v>
      </c>
      <c r="P3679" s="2">
        <v>43617</v>
      </c>
      <c r="Q3679">
        <v>1</v>
      </c>
      <c r="R3679" s="1" t="s">
        <v>40</v>
      </c>
    </row>
    <row r="3680" spans="1:18" x14ac:dyDescent="0.25">
      <c r="A3680">
        <v>2019</v>
      </c>
      <c r="B3680">
        <v>7</v>
      </c>
      <c r="C3680" s="1" t="s">
        <v>30</v>
      </c>
      <c r="D3680" s="1" t="s">
        <v>19</v>
      </c>
      <c r="E3680" s="1" t="s">
        <v>62</v>
      </c>
      <c r="F3680">
        <v>2012</v>
      </c>
      <c r="G3680">
        <v>7</v>
      </c>
      <c r="H3680" s="1" t="s">
        <v>21</v>
      </c>
      <c r="I3680">
        <v>24</v>
      </c>
      <c r="J3680">
        <v>3074</v>
      </c>
      <c r="K3680" s="1" t="s">
        <v>63</v>
      </c>
      <c r="L3680" s="1" t="s">
        <v>64</v>
      </c>
      <c r="M3680">
        <v>1.5369999999999999</v>
      </c>
      <c r="N3680">
        <v>36888</v>
      </c>
      <c r="O3680">
        <v>36.887999999999998</v>
      </c>
      <c r="P3680" s="2">
        <v>43647</v>
      </c>
      <c r="Q3680">
        <v>1</v>
      </c>
      <c r="R3680" s="1" t="s">
        <v>40</v>
      </c>
    </row>
    <row r="3681" spans="1:18" x14ac:dyDescent="0.25">
      <c r="A3681">
        <v>2019</v>
      </c>
      <c r="B3681">
        <v>8</v>
      </c>
      <c r="C3681" s="1" t="s">
        <v>31</v>
      </c>
      <c r="D3681" s="1" t="s">
        <v>19</v>
      </c>
      <c r="E3681" s="1" t="s">
        <v>62</v>
      </c>
      <c r="F3681">
        <v>2012</v>
      </c>
      <c r="G3681">
        <v>7</v>
      </c>
      <c r="H3681" s="1" t="s">
        <v>21</v>
      </c>
      <c r="I3681">
        <v>24</v>
      </c>
      <c r="J3681">
        <v>3074</v>
      </c>
      <c r="K3681" s="1" t="s">
        <v>63</v>
      </c>
      <c r="L3681" s="1" t="s">
        <v>64</v>
      </c>
      <c r="M3681">
        <v>1.7869999999999999</v>
      </c>
      <c r="N3681">
        <v>42882.3</v>
      </c>
      <c r="O3681">
        <v>42.881999999999998</v>
      </c>
      <c r="P3681" s="2">
        <v>43678</v>
      </c>
      <c r="Q3681">
        <v>1</v>
      </c>
      <c r="R3681" s="1" t="s">
        <v>40</v>
      </c>
    </row>
    <row r="3682" spans="1:18" x14ac:dyDescent="0.25">
      <c r="A3682">
        <v>2019</v>
      </c>
      <c r="B3682">
        <v>9</v>
      </c>
      <c r="C3682" s="1" t="s">
        <v>32</v>
      </c>
      <c r="D3682" s="1" t="s">
        <v>19</v>
      </c>
      <c r="E3682" s="1" t="s">
        <v>62</v>
      </c>
      <c r="F3682">
        <v>2012</v>
      </c>
      <c r="G3682">
        <v>7</v>
      </c>
      <c r="H3682" s="1" t="s">
        <v>21</v>
      </c>
      <c r="I3682">
        <v>24</v>
      </c>
      <c r="J3682">
        <v>3074</v>
      </c>
      <c r="K3682" s="1" t="s">
        <v>63</v>
      </c>
      <c r="L3682" s="1" t="s">
        <v>64</v>
      </c>
      <c r="M3682">
        <v>1.27</v>
      </c>
      <c r="N3682">
        <v>30478.7</v>
      </c>
      <c r="O3682">
        <v>30.478999999999999</v>
      </c>
      <c r="P3682" s="2">
        <v>43709</v>
      </c>
      <c r="Q3682">
        <v>1</v>
      </c>
      <c r="R3682" s="1" t="s">
        <v>40</v>
      </c>
    </row>
    <row r="3683" spans="1:18" x14ac:dyDescent="0.25">
      <c r="A3683">
        <v>2019</v>
      </c>
      <c r="B3683">
        <v>10</v>
      </c>
      <c r="C3683" s="1" t="s">
        <v>33</v>
      </c>
      <c r="D3683" s="1" t="s">
        <v>19</v>
      </c>
      <c r="E3683" s="1" t="s">
        <v>62</v>
      </c>
      <c r="F3683">
        <v>2012</v>
      </c>
      <c r="G3683">
        <v>7</v>
      </c>
      <c r="H3683" s="1" t="s">
        <v>21</v>
      </c>
      <c r="I3683">
        <v>24</v>
      </c>
      <c r="J3683">
        <v>3074</v>
      </c>
      <c r="K3683" s="1" t="s">
        <v>63</v>
      </c>
      <c r="L3683" s="1" t="s">
        <v>64</v>
      </c>
      <c r="M3683">
        <v>1.667</v>
      </c>
      <c r="N3683">
        <v>40000.400000000001</v>
      </c>
      <c r="O3683">
        <v>40</v>
      </c>
      <c r="P3683" s="2">
        <v>43739</v>
      </c>
      <c r="Q3683">
        <v>1</v>
      </c>
      <c r="R3683" s="1" t="s">
        <v>40</v>
      </c>
    </row>
    <row r="3684" spans="1:18" x14ac:dyDescent="0.25">
      <c r="A3684">
        <v>2019</v>
      </c>
      <c r="B3684">
        <v>11</v>
      </c>
      <c r="C3684" s="1" t="s">
        <v>34</v>
      </c>
      <c r="D3684" s="1" t="s">
        <v>19</v>
      </c>
      <c r="E3684" s="1" t="s">
        <v>62</v>
      </c>
      <c r="F3684">
        <v>2012</v>
      </c>
      <c r="G3684">
        <v>7</v>
      </c>
      <c r="H3684" s="1" t="s">
        <v>21</v>
      </c>
      <c r="I3684">
        <v>24</v>
      </c>
      <c r="J3684">
        <v>3074</v>
      </c>
      <c r="K3684" s="1" t="s">
        <v>63</v>
      </c>
      <c r="L3684" s="1" t="s">
        <v>64</v>
      </c>
      <c r="M3684">
        <v>1.2130000000000001</v>
      </c>
      <c r="N3684">
        <v>29118.5</v>
      </c>
      <c r="O3684">
        <v>29.117999999999999</v>
      </c>
      <c r="P3684" s="2">
        <v>43770</v>
      </c>
      <c r="Q3684">
        <v>1</v>
      </c>
      <c r="R3684" s="1" t="s">
        <v>40</v>
      </c>
    </row>
    <row r="3685" spans="1:18" x14ac:dyDescent="0.25">
      <c r="A3685">
        <v>2019</v>
      </c>
      <c r="B3685">
        <v>12</v>
      </c>
      <c r="C3685" s="1" t="s">
        <v>35</v>
      </c>
      <c r="D3685" s="1" t="s">
        <v>19</v>
      </c>
      <c r="E3685" s="1" t="s">
        <v>62</v>
      </c>
      <c r="F3685">
        <v>2012</v>
      </c>
      <c r="G3685">
        <v>7</v>
      </c>
      <c r="H3685" s="1" t="s">
        <v>21</v>
      </c>
      <c r="I3685">
        <v>24</v>
      </c>
      <c r="J3685">
        <v>3074</v>
      </c>
      <c r="K3685" s="1" t="s">
        <v>63</v>
      </c>
      <c r="L3685" s="1" t="s">
        <v>64</v>
      </c>
      <c r="M3685">
        <v>0.91300000000000003</v>
      </c>
      <c r="N3685">
        <v>21902.2</v>
      </c>
      <c r="O3685">
        <v>21.902000000000001</v>
      </c>
      <c r="P3685" s="2">
        <v>43800</v>
      </c>
      <c r="Q3685">
        <v>1</v>
      </c>
      <c r="R3685" s="1" t="s">
        <v>40</v>
      </c>
    </row>
    <row r="3686" spans="1:18" x14ac:dyDescent="0.25">
      <c r="A3686">
        <v>2019</v>
      </c>
      <c r="B3686">
        <v>1</v>
      </c>
      <c r="C3686" s="1" t="s">
        <v>18</v>
      </c>
      <c r="D3686" s="1" t="s">
        <v>19</v>
      </c>
      <c r="E3686" s="1" t="s">
        <v>65</v>
      </c>
      <c r="F3686">
        <v>2012</v>
      </c>
      <c r="G3686">
        <v>7</v>
      </c>
      <c r="H3686" s="1" t="s">
        <v>21</v>
      </c>
      <c r="I3686">
        <v>19</v>
      </c>
      <c r="J3686">
        <v>2418</v>
      </c>
      <c r="K3686" s="1" t="s">
        <v>66</v>
      </c>
      <c r="L3686" s="1" t="s">
        <v>64</v>
      </c>
      <c r="M3686">
        <v>1.1439999999999999</v>
      </c>
      <c r="N3686">
        <v>21743.9</v>
      </c>
      <c r="O3686">
        <v>21.744</v>
      </c>
      <c r="P3686" s="2">
        <v>43466</v>
      </c>
      <c r="Q3686">
        <v>1</v>
      </c>
      <c r="R3686" s="1" t="s">
        <v>40</v>
      </c>
    </row>
    <row r="3687" spans="1:18" x14ac:dyDescent="0.25">
      <c r="A3687">
        <v>2019</v>
      </c>
      <c r="B3687">
        <v>2</v>
      </c>
      <c r="C3687" s="1" t="s">
        <v>25</v>
      </c>
      <c r="D3687" s="1" t="s">
        <v>19</v>
      </c>
      <c r="E3687" s="1" t="s">
        <v>65</v>
      </c>
      <c r="F3687">
        <v>2012</v>
      </c>
      <c r="G3687">
        <v>7</v>
      </c>
      <c r="H3687" s="1" t="s">
        <v>21</v>
      </c>
      <c r="I3687">
        <v>19</v>
      </c>
      <c r="J3687">
        <v>2418</v>
      </c>
      <c r="K3687" s="1" t="s">
        <v>66</v>
      </c>
      <c r="L3687" s="1" t="s">
        <v>64</v>
      </c>
      <c r="M3687">
        <v>1.3380000000000001</v>
      </c>
      <c r="N3687">
        <v>25425.3</v>
      </c>
      <c r="O3687">
        <v>25.425000000000001</v>
      </c>
      <c r="P3687" s="2">
        <v>43497</v>
      </c>
      <c r="Q3687">
        <v>1</v>
      </c>
      <c r="R3687" s="1" t="s">
        <v>40</v>
      </c>
    </row>
    <row r="3688" spans="1:18" x14ac:dyDescent="0.25">
      <c r="A3688">
        <v>2019</v>
      </c>
      <c r="B3688">
        <v>3</v>
      </c>
      <c r="C3688" s="1" t="s">
        <v>26</v>
      </c>
      <c r="D3688" s="1" t="s">
        <v>19</v>
      </c>
      <c r="E3688" s="1" t="s">
        <v>65</v>
      </c>
      <c r="F3688">
        <v>2012</v>
      </c>
      <c r="G3688">
        <v>7</v>
      </c>
      <c r="H3688" s="1" t="s">
        <v>21</v>
      </c>
      <c r="I3688">
        <v>19</v>
      </c>
      <c r="J3688">
        <v>2418</v>
      </c>
      <c r="K3688" s="1" t="s">
        <v>66</v>
      </c>
      <c r="L3688" s="1" t="s">
        <v>64</v>
      </c>
      <c r="M3688">
        <v>1.5569999999999999</v>
      </c>
      <c r="N3688">
        <v>29578.2</v>
      </c>
      <c r="O3688">
        <v>29.577999999999999</v>
      </c>
      <c r="P3688" s="2">
        <v>43525</v>
      </c>
      <c r="Q3688">
        <v>1</v>
      </c>
      <c r="R3688" s="1" t="s">
        <v>40</v>
      </c>
    </row>
    <row r="3689" spans="1:18" x14ac:dyDescent="0.25">
      <c r="A3689">
        <v>2019</v>
      </c>
      <c r="B3689">
        <v>4</v>
      </c>
      <c r="C3689" s="1" t="s">
        <v>27</v>
      </c>
      <c r="D3689" s="1" t="s">
        <v>19</v>
      </c>
      <c r="E3689" s="1" t="s">
        <v>65</v>
      </c>
      <c r="F3689">
        <v>2012</v>
      </c>
      <c r="G3689">
        <v>7</v>
      </c>
      <c r="H3689" s="1" t="s">
        <v>21</v>
      </c>
      <c r="I3689">
        <v>19</v>
      </c>
      <c r="J3689">
        <v>2418</v>
      </c>
      <c r="K3689" s="1" t="s">
        <v>66</v>
      </c>
      <c r="L3689" s="1" t="s">
        <v>64</v>
      </c>
      <c r="M3689">
        <v>1.7490000000000001</v>
      </c>
      <c r="N3689">
        <v>33223.300000000003</v>
      </c>
      <c r="O3689">
        <v>33.222999999999999</v>
      </c>
      <c r="P3689" s="2">
        <v>43556</v>
      </c>
      <c r="Q3689">
        <v>1</v>
      </c>
      <c r="R3689" s="1" t="s">
        <v>40</v>
      </c>
    </row>
    <row r="3690" spans="1:18" x14ac:dyDescent="0.25">
      <c r="A3690">
        <v>2019</v>
      </c>
      <c r="B3690">
        <v>5</v>
      </c>
      <c r="C3690" s="1" t="s">
        <v>28</v>
      </c>
      <c r="D3690" s="1" t="s">
        <v>19</v>
      </c>
      <c r="E3690" s="1" t="s">
        <v>65</v>
      </c>
      <c r="F3690">
        <v>2012</v>
      </c>
      <c r="G3690">
        <v>7</v>
      </c>
      <c r="H3690" s="1" t="s">
        <v>21</v>
      </c>
      <c r="I3690">
        <v>19</v>
      </c>
      <c r="J3690">
        <v>2418</v>
      </c>
      <c r="K3690" s="1" t="s">
        <v>66</v>
      </c>
      <c r="L3690" s="1" t="s">
        <v>64</v>
      </c>
      <c r="M3690">
        <v>1.7889999999999999</v>
      </c>
      <c r="N3690">
        <v>33985</v>
      </c>
      <c r="O3690">
        <v>33.984999999999999</v>
      </c>
      <c r="P3690" s="2">
        <v>43586</v>
      </c>
      <c r="Q3690">
        <v>1</v>
      </c>
      <c r="R3690" s="1" t="s">
        <v>40</v>
      </c>
    </row>
    <row r="3691" spans="1:18" x14ac:dyDescent="0.25">
      <c r="A3691">
        <v>2019</v>
      </c>
      <c r="B3691">
        <v>6</v>
      </c>
      <c r="C3691" s="1" t="s">
        <v>29</v>
      </c>
      <c r="D3691" s="1" t="s">
        <v>19</v>
      </c>
      <c r="E3691" s="1" t="s">
        <v>65</v>
      </c>
      <c r="F3691">
        <v>2012</v>
      </c>
      <c r="G3691">
        <v>7</v>
      </c>
      <c r="H3691" s="1" t="s">
        <v>21</v>
      </c>
      <c r="I3691">
        <v>19</v>
      </c>
      <c r="J3691">
        <v>2418</v>
      </c>
      <c r="K3691" s="1" t="s">
        <v>66</v>
      </c>
      <c r="L3691" s="1" t="s">
        <v>64</v>
      </c>
      <c r="M3691">
        <v>1.698</v>
      </c>
      <c r="N3691">
        <v>32262.2</v>
      </c>
      <c r="O3691">
        <v>32.262</v>
      </c>
      <c r="P3691" s="2">
        <v>43617</v>
      </c>
      <c r="Q3691">
        <v>1</v>
      </c>
      <c r="R3691" s="1" t="s">
        <v>40</v>
      </c>
    </row>
    <row r="3692" spans="1:18" x14ac:dyDescent="0.25">
      <c r="A3692">
        <v>2019</v>
      </c>
      <c r="B3692">
        <v>7</v>
      </c>
      <c r="C3692" s="1" t="s">
        <v>30</v>
      </c>
      <c r="D3692" s="1" t="s">
        <v>19</v>
      </c>
      <c r="E3692" s="1" t="s">
        <v>65</v>
      </c>
      <c r="F3692">
        <v>2012</v>
      </c>
      <c r="G3692">
        <v>7</v>
      </c>
      <c r="H3692" s="1" t="s">
        <v>21</v>
      </c>
      <c r="I3692">
        <v>19</v>
      </c>
      <c r="J3692">
        <v>2418</v>
      </c>
      <c r="K3692" s="1" t="s">
        <v>66</v>
      </c>
      <c r="L3692" s="1" t="s">
        <v>64</v>
      </c>
      <c r="M3692">
        <v>1.5269999999999999</v>
      </c>
      <c r="N3692">
        <v>29016</v>
      </c>
      <c r="O3692">
        <v>29.015999999999998</v>
      </c>
      <c r="P3692" s="2">
        <v>43647</v>
      </c>
      <c r="Q3692">
        <v>1</v>
      </c>
      <c r="R3692" s="1" t="s">
        <v>40</v>
      </c>
    </row>
    <row r="3693" spans="1:18" x14ac:dyDescent="0.25">
      <c r="A3693">
        <v>2019</v>
      </c>
      <c r="B3693">
        <v>8</v>
      </c>
      <c r="C3693" s="1" t="s">
        <v>31</v>
      </c>
      <c r="D3693" s="1" t="s">
        <v>19</v>
      </c>
      <c r="E3693" s="1" t="s">
        <v>65</v>
      </c>
      <c r="F3693">
        <v>2012</v>
      </c>
      <c r="G3693">
        <v>7</v>
      </c>
      <c r="H3693" s="1" t="s">
        <v>21</v>
      </c>
      <c r="I3693">
        <v>19</v>
      </c>
      <c r="J3693">
        <v>2418</v>
      </c>
      <c r="K3693" s="1" t="s">
        <v>66</v>
      </c>
      <c r="L3693" s="1" t="s">
        <v>64</v>
      </c>
      <c r="M3693">
        <v>1.7749999999999999</v>
      </c>
      <c r="N3693">
        <v>33731.1</v>
      </c>
      <c r="O3693">
        <v>33.731000000000002</v>
      </c>
      <c r="P3693" s="2">
        <v>43678</v>
      </c>
      <c r="Q3693">
        <v>1</v>
      </c>
      <c r="R3693" s="1" t="s">
        <v>40</v>
      </c>
    </row>
    <row r="3694" spans="1:18" x14ac:dyDescent="0.25">
      <c r="A3694">
        <v>2019</v>
      </c>
      <c r="B3694">
        <v>9</v>
      </c>
      <c r="C3694" s="1" t="s">
        <v>32</v>
      </c>
      <c r="D3694" s="1" t="s">
        <v>19</v>
      </c>
      <c r="E3694" s="1" t="s">
        <v>65</v>
      </c>
      <c r="F3694">
        <v>2012</v>
      </c>
      <c r="G3694">
        <v>7</v>
      </c>
      <c r="H3694" s="1" t="s">
        <v>21</v>
      </c>
      <c r="I3694">
        <v>19</v>
      </c>
      <c r="J3694">
        <v>2418</v>
      </c>
      <c r="K3694" s="1" t="s">
        <v>66</v>
      </c>
      <c r="L3694" s="1" t="s">
        <v>64</v>
      </c>
      <c r="M3694">
        <v>1.262</v>
      </c>
      <c r="N3694">
        <v>23974.5</v>
      </c>
      <c r="O3694">
        <v>23.974</v>
      </c>
      <c r="P3694" s="2">
        <v>43709</v>
      </c>
      <c r="Q3694">
        <v>1</v>
      </c>
      <c r="R3694" s="1" t="s">
        <v>40</v>
      </c>
    </row>
    <row r="3695" spans="1:18" x14ac:dyDescent="0.25">
      <c r="A3695">
        <v>2019</v>
      </c>
      <c r="B3695">
        <v>10</v>
      </c>
      <c r="C3695" s="1" t="s">
        <v>33</v>
      </c>
      <c r="D3695" s="1" t="s">
        <v>19</v>
      </c>
      <c r="E3695" s="1" t="s">
        <v>65</v>
      </c>
      <c r="F3695">
        <v>2012</v>
      </c>
      <c r="G3695">
        <v>7</v>
      </c>
      <c r="H3695" s="1" t="s">
        <v>21</v>
      </c>
      <c r="I3695">
        <v>19</v>
      </c>
      <c r="J3695">
        <v>2418</v>
      </c>
      <c r="K3695" s="1" t="s">
        <v>66</v>
      </c>
      <c r="L3695" s="1" t="s">
        <v>64</v>
      </c>
      <c r="M3695">
        <v>1.6559999999999999</v>
      </c>
      <c r="N3695">
        <v>31464.2</v>
      </c>
      <c r="O3695">
        <v>31.463999999999999</v>
      </c>
      <c r="P3695" s="2">
        <v>43739</v>
      </c>
      <c r="Q3695">
        <v>1</v>
      </c>
      <c r="R3695" s="1" t="s">
        <v>40</v>
      </c>
    </row>
    <row r="3696" spans="1:18" x14ac:dyDescent="0.25">
      <c r="A3696">
        <v>2019</v>
      </c>
      <c r="B3696">
        <v>11</v>
      </c>
      <c r="C3696" s="1" t="s">
        <v>34</v>
      </c>
      <c r="D3696" s="1" t="s">
        <v>19</v>
      </c>
      <c r="E3696" s="1" t="s">
        <v>65</v>
      </c>
      <c r="F3696">
        <v>2012</v>
      </c>
      <c r="G3696">
        <v>7</v>
      </c>
      <c r="H3696" s="1" t="s">
        <v>21</v>
      </c>
      <c r="I3696">
        <v>19</v>
      </c>
      <c r="J3696">
        <v>2418</v>
      </c>
      <c r="K3696" s="1" t="s">
        <v>66</v>
      </c>
      <c r="L3696" s="1" t="s">
        <v>64</v>
      </c>
      <c r="M3696">
        <v>1.206</v>
      </c>
      <c r="N3696">
        <v>22904.5</v>
      </c>
      <c r="O3696">
        <v>22.905000000000001</v>
      </c>
      <c r="P3696" s="2">
        <v>43770</v>
      </c>
      <c r="Q3696">
        <v>1</v>
      </c>
      <c r="R3696" s="1" t="s">
        <v>40</v>
      </c>
    </row>
    <row r="3697" spans="1:18" x14ac:dyDescent="0.25">
      <c r="A3697">
        <v>2019</v>
      </c>
      <c r="B3697">
        <v>12</v>
      </c>
      <c r="C3697" s="1" t="s">
        <v>35</v>
      </c>
      <c r="D3697" s="1" t="s">
        <v>19</v>
      </c>
      <c r="E3697" s="1" t="s">
        <v>65</v>
      </c>
      <c r="F3697">
        <v>2012</v>
      </c>
      <c r="G3697">
        <v>7</v>
      </c>
      <c r="H3697" s="1" t="s">
        <v>21</v>
      </c>
      <c r="I3697">
        <v>19</v>
      </c>
      <c r="J3697">
        <v>2418</v>
      </c>
      <c r="K3697" s="1" t="s">
        <v>66</v>
      </c>
      <c r="L3697" s="1" t="s">
        <v>64</v>
      </c>
      <c r="M3697">
        <v>0.90700000000000003</v>
      </c>
      <c r="N3697">
        <v>17228.2</v>
      </c>
      <c r="O3697">
        <v>17.228000000000002</v>
      </c>
      <c r="P3697" s="2">
        <v>43800</v>
      </c>
      <c r="Q3697">
        <v>1</v>
      </c>
      <c r="R3697" s="1" t="s">
        <v>40</v>
      </c>
    </row>
    <row r="3698" spans="1:18" x14ac:dyDescent="0.25">
      <c r="A3698">
        <v>2019</v>
      </c>
      <c r="B3698">
        <v>1</v>
      </c>
      <c r="C3698" s="1" t="s">
        <v>18</v>
      </c>
      <c r="D3698" s="1" t="s">
        <v>19</v>
      </c>
      <c r="E3698" s="1" t="s">
        <v>67</v>
      </c>
      <c r="F3698">
        <v>2012</v>
      </c>
      <c r="G3698">
        <v>7</v>
      </c>
      <c r="H3698" s="1" t="s">
        <v>21</v>
      </c>
      <c r="I3698">
        <v>25</v>
      </c>
      <c r="J3698">
        <v>3205</v>
      </c>
      <c r="K3698" s="1" t="s">
        <v>68</v>
      </c>
      <c r="L3698" s="1" t="s">
        <v>64</v>
      </c>
      <c r="M3698">
        <v>1.153</v>
      </c>
      <c r="N3698">
        <v>28821</v>
      </c>
      <c r="O3698">
        <v>28.821000000000002</v>
      </c>
      <c r="P3698" s="2">
        <v>43466</v>
      </c>
      <c r="Q3698">
        <v>1</v>
      </c>
      <c r="R3698" s="1" t="s">
        <v>40</v>
      </c>
    </row>
    <row r="3699" spans="1:18" x14ac:dyDescent="0.25">
      <c r="A3699">
        <v>2019</v>
      </c>
      <c r="B3699">
        <v>2</v>
      </c>
      <c r="C3699" s="1" t="s">
        <v>25</v>
      </c>
      <c r="D3699" s="1" t="s">
        <v>19</v>
      </c>
      <c r="E3699" s="1" t="s">
        <v>67</v>
      </c>
      <c r="F3699">
        <v>2012</v>
      </c>
      <c r="G3699">
        <v>7</v>
      </c>
      <c r="H3699" s="1" t="s">
        <v>21</v>
      </c>
      <c r="I3699">
        <v>25</v>
      </c>
      <c r="J3699">
        <v>3205</v>
      </c>
      <c r="K3699" s="1" t="s">
        <v>68</v>
      </c>
      <c r="L3699" s="1" t="s">
        <v>64</v>
      </c>
      <c r="M3699">
        <v>1.3480000000000001</v>
      </c>
      <c r="N3699">
        <v>33700.6</v>
      </c>
      <c r="O3699">
        <v>33.701000000000001</v>
      </c>
      <c r="P3699" s="2">
        <v>43497</v>
      </c>
      <c r="Q3699">
        <v>1</v>
      </c>
      <c r="R3699" s="1" t="s">
        <v>40</v>
      </c>
    </row>
    <row r="3700" spans="1:18" x14ac:dyDescent="0.25">
      <c r="A3700">
        <v>2019</v>
      </c>
      <c r="B3700">
        <v>3</v>
      </c>
      <c r="C3700" s="1" t="s">
        <v>26</v>
      </c>
      <c r="D3700" s="1" t="s">
        <v>19</v>
      </c>
      <c r="E3700" s="1" t="s">
        <v>67</v>
      </c>
      <c r="F3700">
        <v>2012</v>
      </c>
      <c r="G3700">
        <v>7</v>
      </c>
      <c r="H3700" s="1" t="s">
        <v>21</v>
      </c>
      <c r="I3700">
        <v>25</v>
      </c>
      <c r="J3700">
        <v>3205</v>
      </c>
      <c r="K3700" s="1" t="s">
        <v>68</v>
      </c>
      <c r="L3700" s="1" t="s">
        <v>64</v>
      </c>
      <c r="M3700">
        <v>1.5680000000000001</v>
      </c>
      <c r="N3700">
        <v>39205.199999999997</v>
      </c>
      <c r="O3700">
        <v>39.204999999999998</v>
      </c>
      <c r="P3700" s="2">
        <v>43525</v>
      </c>
      <c r="Q3700">
        <v>1</v>
      </c>
      <c r="R3700" s="1" t="s">
        <v>40</v>
      </c>
    </row>
    <row r="3701" spans="1:18" x14ac:dyDescent="0.25">
      <c r="A3701">
        <v>2019</v>
      </c>
      <c r="B3701">
        <v>4</v>
      </c>
      <c r="C3701" s="1" t="s">
        <v>27</v>
      </c>
      <c r="D3701" s="1" t="s">
        <v>19</v>
      </c>
      <c r="E3701" s="1" t="s">
        <v>67</v>
      </c>
      <c r="F3701">
        <v>2012</v>
      </c>
      <c r="G3701">
        <v>7</v>
      </c>
      <c r="H3701" s="1" t="s">
        <v>21</v>
      </c>
      <c r="I3701">
        <v>25</v>
      </c>
      <c r="J3701">
        <v>3205</v>
      </c>
      <c r="K3701" s="1" t="s">
        <v>68</v>
      </c>
      <c r="L3701" s="1" t="s">
        <v>64</v>
      </c>
      <c r="M3701">
        <v>1.7609999999999999</v>
      </c>
      <c r="N3701">
        <v>44036.7</v>
      </c>
      <c r="O3701">
        <v>44.036999999999999</v>
      </c>
      <c r="P3701" s="2">
        <v>43556</v>
      </c>
      <c r="Q3701">
        <v>1</v>
      </c>
      <c r="R3701" s="1" t="s">
        <v>40</v>
      </c>
    </row>
    <row r="3702" spans="1:18" x14ac:dyDescent="0.25">
      <c r="A3702">
        <v>2019</v>
      </c>
      <c r="B3702">
        <v>5</v>
      </c>
      <c r="C3702" s="1" t="s">
        <v>28</v>
      </c>
      <c r="D3702" s="1" t="s">
        <v>19</v>
      </c>
      <c r="E3702" s="1" t="s">
        <v>67</v>
      </c>
      <c r="F3702">
        <v>2012</v>
      </c>
      <c r="G3702">
        <v>7</v>
      </c>
      <c r="H3702" s="1" t="s">
        <v>21</v>
      </c>
      <c r="I3702">
        <v>25</v>
      </c>
      <c r="J3702">
        <v>3205</v>
      </c>
      <c r="K3702" s="1" t="s">
        <v>68</v>
      </c>
      <c r="L3702" s="1" t="s">
        <v>64</v>
      </c>
      <c r="M3702">
        <v>1.802</v>
      </c>
      <c r="N3702">
        <v>45046.3</v>
      </c>
      <c r="O3702">
        <v>45.045999999999999</v>
      </c>
      <c r="P3702" s="2">
        <v>43586</v>
      </c>
      <c r="Q3702">
        <v>1</v>
      </c>
      <c r="R3702" s="1" t="s">
        <v>40</v>
      </c>
    </row>
    <row r="3703" spans="1:18" x14ac:dyDescent="0.25">
      <c r="A3703">
        <v>2019</v>
      </c>
      <c r="B3703">
        <v>6</v>
      </c>
      <c r="C3703" s="1" t="s">
        <v>29</v>
      </c>
      <c r="D3703" s="1" t="s">
        <v>19</v>
      </c>
      <c r="E3703" s="1" t="s">
        <v>67</v>
      </c>
      <c r="F3703">
        <v>2012</v>
      </c>
      <c r="G3703">
        <v>7</v>
      </c>
      <c r="H3703" s="1" t="s">
        <v>21</v>
      </c>
      <c r="I3703">
        <v>25</v>
      </c>
      <c r="J3703">
        <v>3205</v>
      </c>
      <c r="K3703" s="1" t="s">
        <v>68</v>
      </c>
      <c r="L3703" s="1" t="s">
        <v>64</v>
      </c>
      <c r="M3703">
        <v>1.7110000000000001</v>
      </c>
      <c r="N3703">
        <v>42762.7</v>
      </c>
      <c r="O3703">
        <v>42.762999999999998</v>
      </c>
      <c r="P3703" s="2">
        <v>43617</v>
      </c>
      <c r="Q3703">
        <v>1</v>
      </c>
      <c r="R3703" s="1" t="s">
        <v>40</v>
      </c>
    </row>
    <row r="3704" spans="1:18" x14ac:dyDescent="0.25">
      <c r="A3704">
        <v>2019</v>
      </c>
      <c r="B3704">
        <v>7</v>
      </c>
      <c r="C3704" s="1" t="s">
        <v>30</v>
      </c>
      <c r="D3704" s="1" t="s">
        <v>19</v>
      </c>
      <c r="E3704" s="1" t="s">
        <v>67</v>
      </c>
      <c r="F3704">
        <v>2012</v>
      </c>
      <c r="G3704">
        <v>7</v>
      </c>
      <c r="H3704" s="1" t="s">
        <v>21</v>
      </c>
      <c r="I3704">
        <v>25</v>
      </c>
      <c r="J3704">
        <v>3205</v>
      </c>
      <c r="K3704" s="1" t="s">
        <v>68</v>
      </c>
      <c r="L3704" s="1" t="s">
        <v>64</v>
      </c>
      <c r="M3704">
        <v>1.538</v>
      </c>
      <c r="N3704">
        <v>38460</v>
      </c>
      <c r="O3704">
        <v>38.46</v>
      </c>
      <c r="P3704" s="2">
        <v>43647</v>
      </c>
      <c r="Q3704">
        <v>1</v>
      </c>
      <c r="R3704" s="1" t="s">
        <v>40</v>
      </c>
    </row>
    <row r="3705" spans="1:18" x14ac:dyDescent="0.25">
      <c r="A3705">
        <v>2019</v>
      </c>
      <c r="B3705">
        <v>8</v>
      </c>
      <c r="C3705" s="1" t="s">
        <v>31</v>
      </c>
      <c r="D3705" s="1" t="s">
        <v>19</v>
      </c>
      <c r="E3705" s="1" t="s">
        <v>67</v>
      </c>
      <c r="F3705">
        <v>2012</v>
      </c>
      <c r="G3705">
        <v>7</v>
      </c>
      <c r="H3705" s="1" t="s">
        <v>21</v>
      </c>
      <c r="I3705">
        <v>25</v>
      </c>
      <c r="J3705">
        <v>3205</v>
      </c>
      <c r="K3705" s="1" t="s">
        <v>68</v>
      </c>
      <c r="L3705" s="1" t="s">
        <v>64</v>
      </c>
      <c r="M3705">
        <v>1.788</v>
      </c>
      <c r="N3705">
        <v>44709.8</v>
      </c>
      <c r="O3705">
        <v>44.71</v>
      </c>
      <c r="P3705" s="2">
        <v>43678</v>
      </c>
      <c r="Q3705">
        <v>1</v>
      </c>
      <c r="R3705" s="1" t="s">
        <v>40</v>
      </c>
    </row>
    <row r="3706" spans="1:18" x14ac:dyDescent="0.25">
      <c r="A3706">
        <v>2019</v>
      </c>
      <c r="B3706">
        <v>9</v>
      </c>
      <c r="C3706" s="1" t="s">
        <v>32</v>
      </c>
      <c r="D3706" s="1" t="s">
        <v>19</v>
      </c>
      <c r="E3706" s="1" t="s">
        <v>67</v>
      </c>
      <c r="F3706">
        <v>2012</v>
      </c>
      <c r="G3706">
        <v>7</v>
      </c>
      <c r="H3706" s="1" t="s">
        <v>21</v>
      </c>
      <c r="I3706">
        <v>25</v>
      </c>
      <c r="J3706">
        <v>3205</v>
      </c>
      <c r="K3706" s="1" t="s">
        <v>68</v>
      </c>
      <c r="L3706" s="1" t="s">
        <v>64</v>
      </c>
      <c r="M3706">
        <v>1.2709999999999999</v>
      </c>
      <c r="N3706">
        <v>31777.599999999999</v>
      </c>
      <c r="O3706">
        <v>31.777999999999999</v>
      </c>
      <c r="P3706" s="2">
        <v>43709</v>
      </c>
      <c r="Q3706">
        <v>1</v>
      </c>
      <c r="R3706" s="1" t="s">
        <v>40</v>
      </c>
    </row>
    <row r="3707" spans="1:18" x14ac:dyDescent="0.25">
      <c r="A3707">
        <v>2019</v>
      </c>
      <c r="B3707">
        <v>10</v>
      </c>
      <c r="C3707" s="1" t="s">
        <v>33</v>
      </c>
      <c r="D3707" s="1" t="s">
        <v>19</v>
      </c>
      <c r="E3707" s="1" t="s">
        <v>67</v>
      </c>
      <c r="F3707">
        <v>2012</v>
      </c>
      <c r="G3707">
        <v>7</v>
      </c>
      <c r="H3707" s="1" t="s">
        <v>21</v>
      </c>
      <c r="I3707">
        <v>25</v>
      </c>
      <c r="J3707">
        <v>3205</v>
      </c>
      <c r="K3707" s="1" t="s">
        <v>68</v>
      </c>
      <c r="L3707" s="1" t="s">
        <v>64</v>
      </c>
      <c r="M3707">
        <v>1.6679999999999999</v>
      </c>
      <c r="N3707">
        <v>41705.1</v>
      </c>
      <c r="O3707">
        <v>41.704999999999998</v>
      </c>
      <c r="P3707" s="2">
        <v>43739</v>
      </c>
      <c r="Q3707">
        <v>1</v>
      </c>
      <c r="R3707" s="1" t="s">
        <v>40</v>
      </c>
    </row>
    <row r="3708" spans="1:18" x14ac:dyDescent="0.25">
      <c r="A3708">
        <v>2019</v>
      </c>
      <c r="B3708">
        <v>11</v>
      </c>
      <c r="C3708" s="1" t="s">
        <v>34</v>
      </c>
      <c r="D3708" s="1" t="s">
        <v>19</v>
      </c>
      <c r="E3708" s="1" t="s">
        <v>67</v>
      </c>
      <c r="F3708">
        <v>2012</v>
      </c>
      <c r="G3708">
        <v>7</v>
      </c>
      <c r="H3708" s="1" t="s">
        <v>21</v>
      </c>
      <c r="I3708">
        <v>25</v>
      </c>
      <c r="J3708">
        <v>3205</v>
      </c>
      <c r="K3708" s="1" t="s">
        <v>68</v>
      </c>
      <c r="L3708" s="1" t="s">
        <v>64</v>
      </c>
      <c r="M3708">
        <v>1.214</v>
      </c>
      <c r="N3708">
        <v>30359.4</v>
      </c>
      <c r="O3708">
        <v>30.359000000000002</v>
      </c>
      <c r="P3708" s="2">
        <v>43770</v>
      </c>
      <c r="Q3708">
        <v>1</v>
      </c>
      <c r="R3708" s="1" t="s">
        <v>40</v>
      </c>
    </row>
    <row r="3709" spans="1:18" x14ac:dyDescent="0.25">
      <c r="A3709">
        <v>2019</v>
      </c>
      <c r="B3709">
        <v>12</v>
      </c>
      <c r="C3709" s="1" t="s">
        <v>35</v>
      </c>
      <c r="D3709" s="1" t="s">
        <v>19</v>
      </c>
      <c r="E3709" s="1" t="s">
        <v>67</v>
      </c>
      <c r="F3709">
        <v>2012</v>
      </c>
      <c r="G3709">
        <v>7</v>
      </c>
      <c r="H3709" s="1" t="s">
        <v>21</v>
      </c>
      <c r="I3709">
        <v>25</v>
      </c>
      <c r="J3709">
        <v>3205</v>
      </c>
      <c r="K3709" s="1" t="s">
        <v>68</v>
      </c>
      <c r="L3709" s="1" t="s">
        <v>64</v>
      </c>
      <c r="M3709">
        <v>0.91300000000000003</v>
      </c>
      <c r="N3709">
        <v>22835.599999999999</v>
      </c>
      <c r="O3709">
        <v>22.835999999999999</v>
      </c>
      <c r="P3709" s="2">
        <v>43800</v>
      </c>
      <c r="Q3709">
        <v>1</v>
      </c>
      <c r="R3709" s="1" t="s">
        <v>40</v>
      </c>
    </row>
    <row r="3710" spans="1:18" x14ac:dyDescent="0.25">
      <c r="A3710">
        <v>2019</v>
      </c>
      <c r="B3710">
        <v>1</v>
      </c>
      <c r="C3710" s="1" t="s">
        <v>18</v>
      </c>
      <c r="D3710" s="1" t="s">
        <v>19</v>
      </c>
      <c r="E3710" s="1" t="s">
        <v>69</v>
      </c>
      <c r="F3710">
        <v>2012</v>
      </c>
      <c r="G3710">
        <v>7</v>
      </c>
      <c r="H3710" s="1" t="s">
        <v>21</v>
      </c>
      <c r="I3710">
        <v>19</v>
      </c>
      <c r="J3710">
        <v>2469</v>
      </c>
      <c r="K3710" s="1" t="s">
        <v>70</v>
      </c>
      <c r="L3710" s="1" t="s">
        <v>45</v>
      </c>
      <c r="M3710">
        <v>1.169</v>
      </c>
      <c r="N3710">
        <v>22202.5</v>
      </c>
      <c r="O3710">
        <v>22.202000000000002</v>
      </c>
      <c r="P3710" s="2">
        <v>43466</v>
      </c>
      <c r="Q3710">
        <v>1</v>
      </c>
      <c r="R3710" s="1" t="s">
        <v>40</v>
      </c>
    </row>
    <row r="3711" spans="1:18" x14ac:dyDescent="0.25">
      <c r="A3711">
        <v>2019</v>
      </c>
      <c r="B3711">
        <v>2</v>
      </c>
      <c r="C3711" s="1" t="s">
        <v>25</v>
      </c>
      <c r="D3711" s="1" t="s">
        <v>19</v>
      </c>
      <c r="E3711" s="1" t="s">
        <v>69</v>
      </c>
      <c r="F3711">
        <v>2012</v>
      </c>
      <c r="G3711">
        <v>7</v>
      </c>
      <c r="H3711" s="1" t="s">
        <v>21</v>
      </c>
      <c r="I3711">
        <v>19</v>
      </c>
      <c r="J3711">
        <v>2469</v>
      </c>
      <c r="K3711" s="1" t="s">
        <v>70</v>
      </c>
      <c r="L3711" s="1" t="s">
        <v>45</v>
      </c>
      <c r="M3711">
        <v>1.3660000000000001</v>
      </c>
      <c r="N3711">
        <v>25961.5</v>
      </c>
      <c r="O3711">
        <v>25.962</v>
      </c>
      <c r="P3711" s="2">
        <v>43497</v>
      </c>
      <c r="Q3711">
        <v>1</v>
      </c>
      <c r="R3711" s="1" t="s">
        <v>40</v>
      </c>
    </row>
    <row r="3712" spans="1:18" x14ac:dyDescent="0.25">
      <c r="A3712">
        <v>2019</v>
      </c>
      <c r="B3712">
        <v>3</v>
      </c>
      <c r="C3712" s="1" t="s">
        <v>26</v>
      </c>
      <c r="D3712" s="1" t="s">
        <v>19</v>
      </c>
      <c r="E3712" s="1" t="s">
        <v>69</v>
      </c>
      <c r="F3712">
        <v>2012</v>
      </c>
      <c r="G3712">
        <v>7</v>
      </c>
      <c r="H3712" s="1" t="s">
        <v>21</v>
      </c>
      <c r="I3712">
        <v>19</v>
      </c>
      <c r="J3712">
        <v>2469</v>
      </c>
      <c r="K3712" s="1" t="s">
        <v>70</v>
      </c>
      <c r="L3712" s="1" t="s">
        <v>45</v>
      </c>
      <c r="M3712">
        <v>1.59</v>
      </c>
      <c r="N3712">
        <v>30202</v>
      </c>
      <c r="O3712">
        <v>30.202000000000002</v>
      </c>
      <c r="P3712" s="2">
        <v>43525</v>
      </c>
      <c r="Q3712">
        <v>1</v>
      </c>
      <c r="R3712" s="1" t="s">
        <v>40</v>
      </c>
    </row>
    <row r="3713" spans="1:18" x14ac:dyDescent="0.25">
      <c r="A3713">
        <v>2019</v>
      </c>
      <c r="B3713">
        <v>4</v>
      </c>
      <c r="C3713" s="1" t="s">
        <v>27</v>
      </c>
      <c r="D3713" s="1" t="s">
        <v>19</v>
      </c>
      <c r="E3713" s="1" t="s">
        <v>69</v>
      </c>
      <c r="F3713">
        <v>2012</v>
      </c>
      <c r="G3713">
        <v>7</v>
      </c>
      <c r="H3713" s="1" t="s">
        <v>21</v>
      </c>
      <c r="I3713">
        <v>19</v>
      </c>
      <c r="J3713">
        <v>2469</v>
      </c>
      <c r="K3713" s="1" t="s">
        <v>70</v>
      </c>
      <c r="L3713" s="1" t="s">
        <v>45</v>
      </c>
      <c r="M3713">
        <v>1.7849999999999999</v>
      </c>
      <c r="N3713">
        <v>33924.1</v>
      </c>
      <c r="O3713">
        <v>33.923999999999999</v>
      </c>
      <c r="P3713" s="2">
        <v>43556</v>
      </c>
      <c r="Q3713">
        <v>1</v>
      </c>
      <c r="R3713" s="1" t="s">
        <v>40</v>
      </c>
    </row>
    <row r="3714" spans="1:18" x14ac:dyDescent="0.25">
      <c r="A3714">
        <v>2019</v>
      </c>
      <c r="B3714">
        <v>5</v>
      </c>
      <c r="C3714" s="1" t="s">
        <v>28</v>
      </c>
      <c r="D3714" s="1" t="s">
        <v>19</v>
      </c>
      <c r="E3714" s="1" t="s">
        <v>69</v>
      </c>
      <c r="F3714">
        <v>2012</v>
      </c>
      <c r="G3714">
        <v>7</v>
      </c>
      <c r="H3714" s="1" t="s">
        <v>21</v>
      </c>
      <c r="I3714">
        <v>19</v>
      </c>
      <c r="J3714">
        <v>2469</v>
      </c>
      <c r="K3714" s="1" t="s">
        <v>70</v>
      </c>
      <c r="L3714" s="1" t="s">
        <v>45</v>
      </c>
      <c r="M3714">
        <v>1.8260000000000001</v>
      </c>
      <c r="N3714">
        <v>34701.800000000003</v>
      </c>
      <c r="O3714">
        <v>34.701999999999998</v>
      </c>
      <c r="P3714" s="2">
        <v>43586</v>
      </c>
      <c r="Q3714">
        <v>1</v>
      </c>
      <c r="R3714" s="1" t="s">
        <v>40</v>
      </c>
    </row>
    <row r="3715" spans="1:18" x14ac:dyDescent="0.25">
      <c r="A3715">
        <v>2019</v>
      </c>
      <c r="B3715">
        <v>6</v>
      </c>
      <c r="C3715" s="1" t="s">
        <v>29</v>
      </c>
      <c r="D3715" s="1" t="s">
        <v>19</v>
      </c>
      <c r="E3715" s="1" t="s">
        <v>69</v>
      </c>
      <c r="F3715">
        <v>2012</v>
      </c>
      <c r="G3715">
        <v>7</v>
      </c>
      <c r="H3715" s="1" t="s">
        <v>21</v>
      </c>
      <c r="I3715">
        <v>19</v>
      </c>
      <c r="J3715">
        <v>2469</v>
      </c>
      <c r="K3715" s="1" t="s">
        <v>70</v>
      </c>
      <c r="L3715" s="1" t="s">
        <v>45</v>
      </c>
      <c r="M3715">
        <v>1.734</v>
      </c>
      <c r="N3715">
        <v>32942.6</v>
      </c>
      <c r="O3715">
        <v>32.942999999999998</v>
      </c>
      <c r="P3715" s="2">
        <v>43617</v>
      </c>
      <c r="Q3715">
        <v>1</v>
      </c>
      <c r="R3715" s="1" t="s">
        <v>40</v>
      </c>
    </row>
    <row r="3716" spans="1:18" x14ac:dyDescent="0.25">
      <c r="A3716">
        <v>2019</v>
      </c>
      <c r="B3716">
        <v>7</v>
      </c>
      <c r="C3716" s="1" t="s">
        <v>30</v>
      </c>
      <c r="D3716" s="1" t="s">
        <v>19</v>
      </c>
      <c r="E3716" s="1" t="s">
        <v>69</v>
      </c>
      <c r="F3716">
        <v>2012</v>
      </c>
      <c r="G3716">
        <v>7</v>
      </c>
      <c r="H3716" s="1" t="s">
        <v>21</v>
      </c>
      <c r="I3716">
        <v>19</v>
      </c>
      <c r="J3716">
        <v>2469</v>
      </c>
      <c r="K3716" s="1" t="s">
        <v>70</v>
      </c>
      <c r="L3716" s="1" t="s">
        <v>45</v>
      </c>
      <c r="M3716">
        <v>1.5589999999999999</v>
      </c>
      <c r="N3716">
        <v>29628</v>
      </c>
      <c r="O3716">
        <v>29.628</v>
      </c>
      <c r="P3716" s="2">
        <v>43647</v>
      </c>
      <c r="Q3716">
        <v>1</v>
      </c>
      <c r="R3716" s="1" t="s">
        <v>40</v>
      </c>
    </row>
    <row r="3717" spans="1:18" x14ac:dyDescent="0.25">
      <c r="A3717">
        <v>2019</v>
      </c>
      <c r="B3717">
        <v>8</v>
      </c>
      <c r="C3717" s="1" t="s">
        <v>31</v>
      </c>
      <c r="D3717" s="1" t="s">
        <v>19</v>
      </c>
      <c r="E3717" s="1" t="s">
        <v>69</v>
      </c>
      <c r="F3717">
        <v>2012</v>
      </c>
      <c r="G3717">
        <v>7</v>
      </c>
      <c r="H3717" s="1" t="s">
        <v>21</v>
      </c>
      <c r="I3717">
        <v>19</v>
      </c>
      <c r="J3717">
        <v>2469</v>
      </c>
      <c r="K3717" s="1" t="s">
        <v>70</v>
      </c>
      <c r="L3717" s="1" t="s">
        <v>45</v>
      </c>
      <c r="M3717">
        <v>1.8129999999999999</v>
      </c>
      <c r="N3717">
        <v>34442.6</v>
      </c>
      <c r="O3717">
        <v>34.442999999999998</v>
      </c>
      <c r="P3717" s="2">
        <v>43678</v>
      </c>
      <c r="Q3717">
        <v>1</v>
      </c>
      <c r="R3717" s="1" t="s">
        <v>40</v>
      </c>
    </row>
    <row r="3718" spans="1:18" x14ac:dyDescent="0.25">
      <c r="A3718">
        <v>2019</v>
      </c>
      <c r="B3718">
        <v>9</v>
      </c>
      <c r="C3718" s="1" t="s">
        <v>32</v>
      </c>
      <c r="D3718" s="1" t="s">
        <v>19</v>
      </c>
      <c r="E3718" s="1" t="s">
        <v>69</v>
      </c>
      <c r="F3718">
        <v>2012</v>
      </c>
      <c r="G3718">
        <v>7</v>
      </c>
      <c r="H3718" s="1" t="s">
        <v>21</v>
      </c>
      <c r="I3718">
        <v>19</v>
      </c>
      <c r="J3718">
        <v>2469</v>
      </c>
      <c r="K3718" s="1" t="s">
        <v>70</v>
      </c>
      <c r="L3718" s="1" t="s">
        <v>45</v>
      </c>
      <c r="M3718">
        <v>1.288</v>
      </c>
      <c r="N3718">
        <v>24480.1</v>
      </c>
      <c r="O3718">
        <v>24.48</v>
      </c>
      <c r="P3718" s="2">
        <v>43709</v>
      </c>
      <c r="Q3718">
        <v>1</v>
      </c>
      <c r="R3718" s="1" t="s">
        <v>40</v>
      </c>
    </row>
    <row r="3719" spans="1:18" x14ac:dyDescent="0.25">
      <c r="A3719">
        <v>2019</v>
      </c>
      <c r="B3719">
        <v>10</v>
      </c>
      <c r="C3719" s="1" t="s">
        <v>33</v>
      </c>
      <c r="D3719" s="1" t="s">
        <v>19</v>
      </c>
      <c r="E3719" s="1" t="s">
        <v>69</v>
      </c>
      <c r="F3719">
        <v>2012</v>
      </c>
      <c r="G3719">
        <v>7</v>
      </c>
      <c r="H3719" s="1" t="s">
        <v>21</v>
      </c>
      <c r="I3719">
        <v>19</v>
      </c>
      <c r="J3719">
        <v>2469</v>
      </c>
      <c r="K3719" s="1" t="s">
        <v>70</v>
      </c>
      <c r="L3719" s="1" t="s">
        <v>45</v>
      </c>
      <c r="M3719">
        <v>1.6910000000000001</v>
      </c>
      <c r="N3719">
        <v>32127.9</v>
      </c>
      <c r="O3719">
        <v>32.128</v>
      </c>
      <c r="P3719" s="2">
        <v>43739</v>
      </c>
      <c r="Q3719">
        <v>1</v>
      </c>
      <c r="R3719" s="1" t="s">
        <v>40</v>
      </c>
    </row>
    <row r="3720" spans="1:18" x14ac:dyDescent="0.25">
      <c r="A3720">
        <v>2019</v>
      </c>
      <c r="B3720">
        <v>11</v>
      </c>
      <c r="C3720" s="1" t="s">
        <v>34</v>
      </c>
      <c r="D3720" s="1" t="s">
        <v>19</v>
      </c>
      <c r="E3720" s="1" t="s">
        <v>69</v>
      </c>
      <c r="F3720">
        <v>2012</v>
      </c>
      <c r="G3720">
        <v>7</v>
      </c>
      <c r="H3720" s="1" t="s">
        <v>21</v>
      </c>
      <c r="I3720">
        <v>19</v>
      </c>
      <c r="J3720">
        <v>2469</v>
      </c>
      <c r="K3720" s="1" t="s">
        <v>70</v>
      </c>
      <c r="L3720" s="1" t="s">
        <v>45</v>
      </c>
      <c r="M3720">
        <v>1.2310000000000001</v>
      </c>
      <c r="N3720">
        <v>23387.599999999999</v>
      </c>
      <c r="O3720">
        <v>23.388000000000002</v>
      </c>
      <c r="P3720" s="2">
        <v>43770</v>
      </c>
      <c r="Q3720">
        <v>1</v>
      </c>
      <c r="R3720" s="1" t="s">
        <v>40</v>
      </c>
    </row>
    <row r="3721" spans="1:18" x14ac:dyDescent="0.25">
      <c r="A3721">
        <v>2019</v>
      </c>
      <c r="B3721">
        <v>12</v>
      </c>
      <c r="C3721" s="1" t="s">
        <v>35</v>
      </c>
      <c r="D3721" s="1" t="s">
        <v>19</v>
      </c>
      <c r="E3721" s="1" t="s">
        <v>69</v>
      </c>
      <c r="F3721">
        <v>2012</v>
      </c>
      <c r="G3721">
        <v>7</v>
      </c>
      <c r="H3721" s="1" t="s">
        <v>21</v>
      </c>
      <c r="I3721">
        <v>19</v>
      </c>
      <c r="J3721">
        <v>2469</v>
      </c>
      <c r="K3721" s="1" t="s">
        <v>70</v>
      </c>
      <c r="L3721" s="1" t="s">
        <v>45</v>
      </c>
      <c r="M3721">
        <v>0.92600000000000005</v>
      </c>
      <c r="N3721">
        <v>17591.599999999999</v>
      </c>
      <c r="O3721">
        <v>17.591999999999999</v>
      </c>
      <c r="P3721" s="2">
        <v>43800</v>
      </c>
      <c r="Q3721">
        <v>1</v>
      </c>
      <c r="R3721" s="1" t="s">
        <v>40</v>
      </c>
    </row>
    <row r="3722" spans="1:18" x14ac:dyDescent="0.25">
      <c r="A3722">
        <v>2019</v>
      </c>
      <c r="B3722">
        <v>1</v>
      </c>
      <c r="C3722" s="1" t="s">
        <v>18</v>
      </c>
      <c r="D3722" s="1" t="s">
        <v>19</v>
      </c>
      <c r="E3722" s="1" t="s">
        <v>71</v>
      </c>
      <c r="F3722">
        <v>2012</v>
      </c>
      <c r="G3722">
        <v>7</v>
      </c>
      <c r="H3722" s="1" t="s">
        <v>21</v>
      </c>
      <c r="I3722">
        <v>20</v>
      </c>
      <c r="J3722">
        <v>2704</v>
      </c>
      <c r="K3722" s="1" t="s">
        <v>72</v>
      </c>
      <c r="L3722" s="1" t="s">
        <v>64</v>
      </c>
      <c r="M3722">
        <v>1.216</v>
      </c>
      <c r="N3722">
        <v>24315.7</v>
      </c>
      <c r="O3722">
        <v>24.315999999999999</v>
      </c>
      <c r="P3722" s="2">
        <v>43466</v>
      </c>
      <c r="Q3722">
        <v>1</v>
      </c>
      <c r="R3722" s="1" t="s">
        <v>40</v>
      </c>
    </row>
    <row r="3723" spans="1:18" x14ac:dyDescent="0.25">
      <c r="A3723">
        <v>2019</v>
      </c>
      <c r="B3723">
        <v>2</v>
      </c>
      <c r="C3723" s="1" t="s">
        <v>25</v>
      </c>
      <c r="D3723" s="1" t="s">
        <v>19</v>
      </c>
      <c r="E3723" s="1" t="s">
        <v>71</v>
      </c>
      <c r="F3723">
        <v>2012</v>
      </c>
      <c r="G3723">
        <v>7</v>
      </c>
      <c r="H3723" s="1" t="s">
        <v>21</v>
      </c>
      <c r="I3723">
        <v>20</v>
      </c>
      <c r="J3723">
        <v>2704</v>
      </c>
      <c r="K3723" s="1" t="s">
        <v>72</v>
      </c>
      <c r="L3723" s="1" t="s">
        <v>64</v>
      </c>
      <c r="M3723">
        <v>1.4219999999999999</v>
      </c>
      <c r="N3723">
        <v>28432.6</v>
      </c>
      <c r="O3723">
        <v>28.433</v>
      </c>
      <c r="P3723" s="2">
        <v>43497</v>
      </c>
      <c r="Q3723">
        <v>1</v>
      </c>
      <c r="R3723" s="1" t="s">
        <v>40</v>
      </c>
    </row>
    <row r="3724" spans="1:18" x14ac:dyDescent="0.25">
      <c r="A3724">
        <v>2019</v>
      </c>
      <c r="B3724">
        <v>3</v>
      </c>
      <c r="C3724" s="1" t="s">
        <v>26</v>
      </c>
      <c r="D3724" s="1" t="s">
        <v>19</v>
      </c>
      <c r="E3724" s="1" t="s">
        <v>71</v>
      </c>
      <c r="F3724">
        <v>2012</v>
      </c>
      <c r="G3724">
        <v>7</v>
      </c>
      <c r="H3724" s="1" t="s">
        <v>21</v>
      </c>
      <c r="I3724">
        <v>20</v>
      </c>
      <c r="J3724">
        <v>2704</v>
      </c>
      <c r="K3724" s="1" t="s">
        <v>72</v>
      </c>
      <c r="L3724" s="1" t="s">
        <v>64</v>
      </c>
      <c r="M3724">
        <v>1.6539999999999999</v>
      </c>
      <c r="N3724">
        <v>33076.699999999997</v>
      </c>
      <c r="O3724">
        <v>33.076999999999998</v>
      </c>
      <c r="P3724" s="2">
        <v>43525</v>
      </c>
      <c r="Q3724">
        <v>1</v>
      </c>
      <c r="R3724" s="1" t="s">
        <v>40</v>
      </c>
    </row>
    <row r="3725" spans="1:18" x14ac:dyDescent="0.25">
      <c r="A3725">
        <v>2019</v>
      </c>
      <c r="B3725">
        <v>4</v>
      </c>
      <c r="C3725" s="1" t="s">
        <v>27</v>
      </c>
      <c r="D3725" s="1" t="s">
        <v>19</v>
      </c>
      <c r="E3725" s="1" t="s">
        <v>71</v>
      </c>
      <c r="F3725">
        <v>2012</v>
      </c>
      <c r="G3725">
        <v>7</v>
      </c>
      <c r="H3725" s="1" t="s">
        <v>21</v>
      </c>
      <c r="I3725">
        <v>20</v>
      </c>
      <c r="J3725">
        <v>2704</v>
      </c>
      <c r="K3725" s="1" t="s">
        <v>72</v>
      </c>
      <c r="L3725" s="1" t="s">
        <v>64</v>
      </c>
      <c r="M3725">
        <v>1.8580000000000001</v>
      </c>
      <c r="N3725">
        <v>37153</v>
      </c>
      <c r="O3725">
        <v>37.152999999999999</v>
      </c>
      <c r="P3725" s="2">
        <v>43556</v>
      </c>
      <c r="Q3725">
        <v>1</v>
      </c>
      <c r="R3725" s="1" t="s">
        <v>40</v>
      </c>
    </row>
    <row r="3726" spans="1:18" x14ac:dyDescent="0.25">
      <c r="A3726">
        <v>2019</v>
      </c>
      <c r="B3726">
        <v>5</v>
      </c>
      <c r="C3726" s="1" t="s">
        <v>28</v>
      </c>
      <c r="D3726" s="1" t="s">
        <v>19</v>
      </c>
      <c r="E3726" s="1" t="s">
        <v>71</v>
      </c>
      <c r="F3726">
        <v>2012</v>
      </c>
      <c r="G3726">
        <v>7</v>
      </c>
      <c r="H3726" s="1" t="s">
        <v>21</v>
      </c>
      <c r="I3726">
        <v>20</v>
      </c>
      <c r="J3726">
        <v>2704</v>
      </c>
      <c r="K3726" s="1" t="s">
        <v>72</v>
      </c>
      <c r="L3726" s="1" t="s">
        <v>64</v>
      </c>
      <c r="M3726">
        <v>1.9</v>
      </c>
      <c r="N3726">
        <v>38004.699999999997</v>
      </c>
      <c r="O3726">
        <v>38.005000000000003</v>
      </c>
      <c r="P3726" s="2">
        <v>43586</v>
      </c>
      <c r="Q3726">
        <v>1</v>
      </c>
      <c r="R3726" s="1" t="s">
        <v>40</v>
      </c>
    </row>
    <row r="3727" spans="1:18" x14ac:dyDescent="0.25">
      <c r="A3727">
        <v>2019</v>
      </c>
      <c r="B3727">
        <v>6</v>
      </c>
      <c r="C3727" s="1" t="s">
        <v>29</v>
      </c>
      <c r="D3727" s="1" t="s">
        <v>19</v>
      </c>
      <c r="E3727" s="1" t="s">
        <v>71</v>
      </c>
      <c r="F3727">
        <v>2012</v>
      </c>
      <c r="G3727">
        <v>7</v>
      </c>
      <c r="H3727" s="1" t="s">
        <v>21</v>
      </c>
      <c r="I3727">
        <v>20</v>
      </c>
      <c r="J3727">
        <v>2704</v>
      </c>
      <c r="K3727" s="1" t="s">
        <v>72</v>
      </c>
      <c r="L3727" s="1" t="s">
        <v>64</v>
      </c>
      <c r="M3727">
        <v>1.804</v>
      </c>
      <c r="N3727">
        <v>36078.1</v>
      </c>
      <c r="O3727">
        <v>36.078000000000003</v>
      </c>
      <c r="P3727" s="2">
        <v>43617</v>
      </c>
      <c r="Q3727">
        <v>1</v>
      </c>
      <c r="R3727" s="1" t="s">
        <v>40</v>
      </c>
    </row>
    <row r="3728" spans="1:18" x14ac:dyDescent="0.25">
      <c r="A3728">
        <v>2019</v>
      </c>
      <c r="B3728">
        <v>7</v>
      </c>
      <c r="C3728" s="1" t="s">
        <v>30</v>
      </c>
      <c r="D3728" s="1" t="s">
        <v>19</v>
      </c>
      <c r="E3728" s="1" t="s">
        <v>71</v>
      </c>
      <c r="F3728">
        <v>2012</v>
      </c>
      <c r="G3728">
        <v>7</v>
      </c>
      <c r="H3728" s="1" t="s">
        <v>21</v>
      </c>
      <c r="I3728">
        <v>20</v>
      </c>
      <c r="J3728">
        <v>2704</v>
      </c>
      <c r="K3728" s="1" t="s">
        <v>72</v>
      </c>
      <c r="L3728" s="1" t="s">
        <v>64</v>
      </c>
      <c r="M3728">
        <v>1.6220000000000001</v>
      </c>
      <c r="N3728">
        <v>32448</v>
      </c>
      <c r="O3728">
        <v>32.448</v>
      </c>
      <c r="P3728" s="2">
        <v>43647</v>
      </c>
      <c r="Q3728">
        <v>1</v>
      </c>
      <c r="R3728" s="1" t="s">
        <v>40</v>
      </c>
    </row>
    <row r="3729" spans="1:18" x14ac:dyDescent="0.25">
      <c r="A3729">
        <v>2019</v>
      </c>
      <c r="B3729">
        <v>8</v>
      </c>
      <c r="C3729" s="1" t="s">
        <v>31</v>
      </c>
      <c r="D3729" s="1" t="s">
        <v>19</v>
      </c>
      <c r="E3729" s="1" t="s">
        <v>71</v>
      </c>
      <c r="F3729">
        <v>2012</v>
      </c>
      <c r="G3729">
        <v>7</v>
      </c>
      <c r="H3729" s="1" t="s">
        <v>21</v>
      </c>
      <c r="I3729">
        <v>20</v>
      </c>
      <c r="J3729">
        <v>2704</v>
      </c>
      <c r="K3729" s="1" t="s">
        <v>72</v>
      </c>
      <c r="L3729" s="1" t="s">
        <v>64</v>
      </c>
      <c r="M3729">
        <v>1.8859999999999999</v>
      </c>
      <c r="N3729">
        <v>37720.800000000003</v>
      </c>
      <c r="O3729">
        <v>37.720999999999997</v>
      </c>
      <c r="P3729" s="2">
        <v>43678</v>
      </c>
      <c r="Q3729">
        <v>1</v>
      </c>
      <c r="R3729" s="1" t="s">
        <v>40</v>
      </c>
    </row>
    <row r="3730" spans="1:18" x14ac:dyDescent="0.25">
      <c r="A3730">
        <v>2019</v>
      </c>
      <c r="B3730">
        <v>9</v>
      </c>
      <c r="C3730" s="1" t="s">
        <v>32</v>
      </c>
      <c r="D3730" s="1" t="s">
        <v>19</v>
      </c>
      <c r="E3730" s="1" t="s">
        <v>71</v>
      </c>
      <c r="F3730">
        <v>2012</v>
      </c>
      <c r="G3730">
        <v>7</v>
      </c>
      <c r="H3730" s="1" t="s">
        <v>21</v>
      </c>
      <c r="I3730">
        <v>20</v>
      </c>
      <c r="J3730">
        <v>2704</v>
      </c>
      <c r="K3730" s="1" t="s">
        <v>72</v>
      </c>
      <c r="L3730" s="1" t="s">
        <v>64</v>
      </c>
      <c r="M3730">
        <v>1.341</v>
      </c>
      <c r="N3730">
        <v>26810.2</v>
      </c>
      <c r="O3730">
        <v>26.81</v>
      </c>
      <c r="P3730" s="2">
        <v>43709</v>
      </c>
      <c r="Q3730">
        <v>1</v>
      </c>
      <c r="R3730" s="1" t="s">
        <v>40</v>
      </c>
    </row>
    <row r="3731" spans="1:18" x14ac:dyDescent="0.25">
      <c r="A3731">
        <v>2019</v>
      </c>
      <c r="B3731">
        <v>10</v>
      </c>
      <c r="C3731" s="1" t="s">
        <v>33</v>
      </c>
      <c r="D3731" s="1" t="s">
        <v>19</v>
      </c>
      <c r="E3731" s="1" t="s">
        <v>71</v>
      </c>
      <c r="F3731">
        <v>2012</v>
      </c>
      <c r="G3731">
        <v>7</v>
      </c>
      <c r="H3731" s="1" t="s">
        <v>21</v>
      </c>
      <c r="I3731">
        <v>20</v>
      </c>
      <c r="J3731">
        <v>2704</v>
      </c>
      <c r="K3731" s="1" t="s">
        <v>72</v>
      </c>
      <c r="L3731" s="1" t="s">
        <v>64</v>
      </c>
      <c r="M3731">
        <v>1.7589999999999999</v>
      </c>
      <c r="N3731">
        <v>35185.800000000003</v>
      </c>
      <c r="O3731">
        <v>35.186</v>
      </c>
      <c r="P3731" s="2">
        <v>43739</v>
      </c>
      <c r="Q3731">
        <v>1</v>
      </c>
      <c r="R3731" s="1" t="s">
        <v>40</v>
      </c>
    </row>
    <row r="3732" spans="1:18" x14ac:dyDescent="0.25">
      <c r="A3732">
        <v>2019</v>
      </c>
      <c r="B3732">
        <v>11</v>
      </c>
      <c r="C3732" s="1" t="s">
        <v>34</v>
      </c>
      <c r="D3732" s="1" t="s">
        <v>19</v>
      </c>
      <c r="E3732" s="1" t="s">
        <v>71</v>
      </c>
      <c r="F3732">
        <v>2012</v>
      </c>
      <c r="G3732">
        <v>7</v>
      </c>
      <c r="H3732" s="1" t="s">
        <v>21</v>
      </c>
      <c r="I3732">
        <v>20</v>
      </c>
      <c r="J3732">
        <v>2704</v>
      </c>
      <c r="K3732" s="1" t="s">
        <v>72</v>
      </c>
      <c r="L3732" s="1" t="s">
        <v>64</v>
      </c>
      <c r="M3732">
        <v>1.2809999999999999</v>
      </c>
      <c r="N3732">
        <v>25613.599999999999</v>
      </c>
      <c r="O3732">
        <v>25.614000000000001</v>
      </c>
      <c r="P3732" s="2">
        <v>43770</v>
      </c>
      <c r="Q3732">
        <v>1</v>
      </c>
      <c r="R3732" s="1" t="s">
        <v>40</v>
      </c>
    </row>
    <row r="3733" spans="1:18" x14ac:dyDescent="0.25">
      <c r="A3733">
        <v>2019</v>
      </c>
      <c r="B3733">
        <v>12</v>
      </c>
      <c r="C3733" s="1" t="s">
        <v>35</v>
      </c>
      <c r="D3733" s="1" t="s">
        <v>19</v>
      </c>
      <c r="E3733" s="1" t="s">
        <v>71</v>
      </c>
      <c r="F3733">
        <v>2012</v>
      </c>
      <c r="G3733">
        <v>7</v>
      </c>
      <c r="H3733" s="1" t="s">
        <v>21</v>
      </c>
      <c r="I3733">
        <v>20</v>
      </c>
      <c r="J3733">
        <v>2704</v>
      </c>
      <c r="K3733" s="1" t="s">
        <v>72</v>
      </c>
      <c r="L3733" s="1" t="s">
        <v>64</v>
      </c>
      <c r="M3733">
        <v>0.96299999999999997</v>
      </c>
      <c r="N3733">
        <v>19266</v>
      </c>
      <c r="O3733">
        <v>19.265999999999998</v>
      </c>
      <c r="P3733" s="2">
        <v>43800</v>
      </c>
      <c r="Q3733">
        <v>1</v>
      </c>
      <c r="R3733" s="1" t="s">
        <v>40</v>
      </c>
    </row>
    <row r="3734" spans="1:18" x14ac:dyDescent="0.25">
      <c r="A3734">
        <v>2019</v>
      </c>
      <c r="B3734">
        <v>1</v>
      </c>
      <c r="C3734" s="1" t="s">
        <v>18</v>
      </c>
      <c r="D3734" s="1" t="s">
        <v>19</v>
      </c>
      <c r="E3734" s="1" t="s">
        <v>73</v>
      </c>
      <c r="F3734">
        <v>2012</v>
      </c>
      <c r="G3734">
        <v>7</v>
      </c>
      <c r="H3734" s="1" t="s">
        <v>21</v>
      </c>
      <c r="I3734">
        <v>14</v>
      </c>
      <c r="J3734">
        <v>1833</v>
      </c>
      <c r="K3734" s="1" t="s">
        <v>74</v>
      </c>
      <c r="L3734" s="1" t="s">
        <v>64</v>
      </c>
      <c r="M3734">
        <v>1.177</v>
      </c>
      <c r="N3734">
        <v>16483.3</v>
      </c>
      <c r="O3734">
        <v>16.483000000000001</v>
      </c>
      <c r="P3734" s="2">
        <v>43466</v>
      </c>
      <c r="Q3734">
        <v>1</v>
      </c>
      <c r="R3734" s="1" t="s">
        <v>40</v>
      </c>
    </row>
    <row r="3735" spans="1:18" x14ac:dyDescent="0.25">
      <c r="A3735">
        <v>2019</v>
      </c>
      <c r="B3735">
        <v>2</v>
      </c>
      <c r="C3735" s="1" t="s">
        <v>25</v>
      </c>
      <c r="D3735" s="1" t="s">
        <v>19</v>
      </c>
      <c r="E3735" s="1" t="s">
        <v>73</v>
      </c>
      <c r="F3735">
        <v>2012</v>
      </c>
      <c r="G3735">
        <v>7</v>
      </c>
      <c r="H3735" s="1" t="s">
        <v>21</v>
      </c>
      <c r="I3735">
        <v>14</v>
      </c>
      <c r="J3735">
        <v>1833</v>
      </c>
      <c r="K3735" s="1" t="s">
        <v>74</v>
      </c>
      <c r="L3735" s="1" t="s">
        <v>64</v>
      </c>
      <c r="M3735">
        <v>1.377</v>
      </c>
      <c r="N3735">
        <v>19274</v>
      </c>
      <c r="O3735">
        <v>19.274000000000001</v>
      </c>
      <c r="P3735" s="2">
        <v>43497</v>
      </c>
      <c r="Q3735">
        <v>1</v>
      </c>
      <c r="R3735" s="1" t="s">
        <v>40</v>
      </c>
    </row>
    <row r="3736" spans="1:18" x14ac:dyDescent="0.25">
      <c r="A3736">
        <v>2019</v>
      </c>
      <c r="B3736">
        <v>3</v>
      </c>
      <c r="C3736" s="1" t="s">
        <v>26</v>
      </c>
      <c r="D3736" s="1" t="s">
        <v>19</v>
      </c>
      <c r="E3736" s="1" t="s">
        <v>73</v>
      </c>
      <c r="F3736">
        <v>2012</v>
      </c>
      <c r="G3736">
        <v>7</v>
      </c>
      <c r="H3736" s="1" t="s">
        <v>21</v>
      </c>
      <c r="I3736">
        <v>14</v>
      </c>
      <c r="J3736">
        <v>1833</v>
      </c>
      <c r="K3736" s="1" t="s">
        <v>74</v>
      </c>
      <c r="L3736" s="1" t="s">
        <v>64</v>
      </c>
      <c r="M3736">
        <v>1.6020000000000001</v>
      </c>
      <c r="N3736">
        <v>22422.2</v>
      </c>
      <c r="O3736">
        <v>22.422000000000001</v>
      </c>
      <c r="P3736" s="2">
        <v>43525</v>
      </c>
      <c r="Q3736">
        <v>1</v>
      </c>
      <c r="R3736" s="1" t="s">
        <v>40</v>
      </c>
    </row>
    <row r="3737" spans="1:18" x14ac:dyDescent="0.25">
      <c r="A3737">
        <v>2019</v>
      </c>
      <c r="B3737">
        <v>4</v>
      </c>
      <c r="C3737" s="1" t="s">
        <v>27</v>
      </c>
      <c r="D3737" s="1" t="s">
        <v>19</v>
      </c>
      <c r="E3737" s="1" t="s">
        <v>73</v>
      </c>
      <c r="F3737">
        <v>2012</v>
      </c>
      <c r="G3737">
        <v>7</v>
      </c>
      <c r="H3737" s="1" t="s">
        <v>21</v>
      </c>
      <c r="I3737">
        <v>14</v>
      </c>
      <c r="J3737">
        <v>1833</v>
      </c>
      <c r="K3737" s="1" t="s">
        <v>74</v>
      </c>
      <c r="L3737" s="1" t="s">
        <v>64</v>
      </c>
      <c r="M3737">
        <v>1.7989999999999999</v>
      </c>
      <c r="N3737">
        <v>25185.4</v>
      </c>
      <c r="O3737">
        <v>25.184999999999999</v>
      </c>
      <c r="P3737" s="2">
        <v>43556</v>
      </c>
      <c r="Q3737">
        <v>1</v>
      </c>
      <c r="R3737" s="1" t="s">
        <v>40</v>
      </c>
    </row>
    <row r="3738" spans="1:18" x14ac:dyDescent="0.25">
      <c r="A3738">
        <v>2019</v>
      </c>
      <c r="B3738">
        <v>5</v>
      </c>
      <c r="C3738" s="1" t="s">
        <v>28</v>
      </c>
      <c r="D3738" s="1" t="s">
        <v>19</v>
      </c>
      <c r="E3738" s="1" t="s">
        <v>73</v>
      </c>
      <c r="F3738">
        <v>2012</v>
      </c>
      <c r="G3738">
        <v>7</v>
      </c>
      <c r="H3738" s="1" t="s">
        <v>21</v>
      </c>
      <c r="I3738">
        <v>14</v>
      </c>
      <c r="J3738">
        <v>1833</v>
      </c>
      <c r="K3738" s="1" t="s">
        <v>74</v>
      </c>
      <c r="L3738" s="1" t="s">
        <v>64</v>
      </c>
      <c r="M3738">
        <v>1.84</v>
      </c>
      <c r="N3738">
        <v>25762.799999999999</v>
      </c>
      <c r="O3738">
        <v>25.763000000000002</v>
      </c>
      <c r="P3738" s="2">
        <v>43586</v>
      </c>
      <c r="Q3738">
        <v>1</v>
      </c>
      <c r="R3738" s="1" t="s">
        <v>40</v>
      </c>
    </row>
    <row r="3739" spans="1:18" x14ac:dyDescent="0.25">
      <c r="A3739">
        <v>2019</v>
      </c>
      <c r="B3739">
        <v>6</v>
      </c>
      <c r="C3739" s="1" t="s">
        <v>29</v>
      </c>
      <c r="D3739" s="1" t="s">
        <v>19</v>
      </c>
      <c r="E3739" s="1" t="s">
        <v>73</v>
      </c>
      <c r="F3739">
        <v>2012</v>
      </c>
      <c r="G3739">
        <v>7</v>
      </c>
      <c r="H3739" s="1" t="s">
        <v>21</v>
      </c>
      <c r="I3739">
        <v>14</v>
      </c>
      <c r="J3739">
        <v>1833</v>
      </c>
      <c r="K3739" s="1" t="s">
        <v>74</v>
      </c>
      <c r="L3739" s="1" t="s">
        <v>64</v>
      </c>
      <c r="M3739">
        <v>1.7470000000000001</v>
      </c>
      <c r="N3739">
        <v>24456.799999999999</v>
      </c>
      <c r="O3739">
        <v>24.457000000000001</v>
      </c>
      <c r="P3739" s="2">
        <v>43617</v>
      </c>
      <c r="Q3739">
        <v>1</v>
      </c>
      <c r="R3739" s="1" t="s">
        <v>40</v>
      </c>
    </row>
    <row r="3740" spans="1:18" x14ac:dyDescent="0.25">
      <c r="A3740">
        <v>2019</v>
      </c>
      <c r="B3740">
        <v>7</v>
      </c>
      <c r="C3740" s="1" t="s">
        <v>30</v>
      </c>
      <c r="D3740" s="1" t="s">
        <v>19</v>
      </c>
      <c r="E3740" s="1" t="s">
        <v>73</v>
      </c>
      <c r="F3740">
        <v>2012</v>
      </c>
      <c r="G3740">
        <v>7</v>
      </c>
      <c r="H3740" s="1" t="s">
        <v>21</v>
      </c>
      <c r="I3740">
        <v>14</v>
      </c>
      <c r="J3740">
        <v>1833</v>
      </c>
      <c r="K3740" s="1" t="s">
        <v>74</v>
      </c>
      <c r="L3740" s="1" t="s">
        <v>64</v>
      </c>
      <c r="M3740">
        <v>1.571</v>
      </c>
      <c r="N3740">
        <v>21996</v>
      </c>
      <c r="O3740">
        <v>21.995999999999999</v>
      </c>
      <c r="P3740" s="2">
        <v>43647</v>
      </c>
      <c r="Q3740">
        <v>1</v>
      </c>
      <c r="R3740" s="1" t="s">
        <v>40</v>
      </c>
    </row>
    <row r="3741" spans="1:18" x14ac:dyDescent="0.25">
      <c r="A3741">
        <v>2019</v>
      </c>
      <c r="B3741">
        <v>8</v>
      </c>
      <c r="C3741" s="1" t="s">
        <v>31</v>
      </c>
      <c r="D3741" s="1" t="s">
        <v>19</v>
      </c>
      <c r="E3741" s="1" t="s">
        <v>73</v>
      </c>
      <c r="F3741">
        <v>2012</v>
      </c>
      <c r="G3741">
        <v>7</v>
      </c>
      <c r="H3741" s="1" t="s">
        <v>21</v>
      </c>
      <c r="I3741">
        <v>14</v>
      </c>
      <c r="J3741">
        <v>1833</v>
      </c>
      <c r="K3741" s="1" t="s">
        <v>74</v>
      </c>
      <c r="L3741" s="1" t="s">
        <v>64</v>
      </c>
      <c r="M3741">
        <v>1.8260000000000001</v>
      </c>
      <c r="N3741">
        <v>25570.400000000001</v>
      </c>
      <c r="O3741">
        <v>25.57</v>
      </c>
      <c r="P3741" s="2">
        <v>43678</v>
      </c>
      <c r="Q3741">
        <v>1</v>
      </c>
      <c r="R3741" s="1" t="s">
        <v>40</v>
      </c>
    </row>
    <row r="3742" spans="1:18" x14ac:dyDescent="0.25">
      <c r="A3742">
        <v>2019</v>
      </c>
      <c r="B3742">
        <v>9</v>
      </c>
      <c r="C3742" s="1" t="s">
        <v>32</v>
      </c>
      <c r="D3742" s="1" t="s">
        <v>19</v>
      </c>
      <c r="E3742" s="1" t="s">
        <v>73</v>
      </c>
      <c r="F3742">
        <v>2012</v>
      </c>
      <c r="G3742">
        <v>7</v>
      </c>
      <c r="H3742" s="1" t="s">
        <v>21</v>
      </c>
      <c r="I3742">
        <v>14</v>
      </c>
      <c r="J3742">
        <v>1833</v>
      </c>
      <c r="K3742" s="1" t="s">
        <v>74</v>
      </c>
      <c r="L3742" s="1" t="s">
        <v>64</v>
      </c>
      <c r="M3742">
        <v>1.298</v>
      </c>
      <c r="N3742">
        <v>18174.2</v>
      </c>
      <c r="O3742">
        <v>18.173999999999999</v>
      </c>
      <c r="P3742" s="2">
        <v>43709</v>
      </c>
      <c r="Q3742">
        <v>1</v>
      </c>
      <c r="R3742" s="1" t="s">
        <v>40</v>
      </c>
    </row>
    <row r="3743" spans="1:18" x14ac:dyDescent="0.25">
      <c r="A3743">
        <v>2019</v>
      </c>
      <c r="B3743">
        <v>10</v>
      </c>
      <c r="C3743" s="1" t="s">
        <v>33</v>
      </c>
      <c r="D3743" s="1" t="s">
        <v>19</v>
      </c>
      <c r="E3743" s="1" t="s">
        <v>73</v>
      </c>
      <c r="F3743">
        <v>2012</v>
      </c>
      <c r="G3743">
        <v>7</v>
      </c>
      <c r="H3743" s="1" t="s">
        <v>21</v>
      </c>
      <c r="I3743">
        <v>14</v>
      </c>
      <c r="J3743">
        <v>1833</v>
      </c>
      <c r="K3743" s="1" t="s">
        <v>74</v>
      </c>
      <c r="L3743" s="1" t="s">
        <v>64</v>
      </c>
      <c r="M3743">
        <v>1.704</v>
      </c>
      <c r="N3743">
        <v>23851.9</v>
      </c>
      <c r="O3743">
        <v>23.852</v>
      </c>
      <c r="P3743" s="2">
        <v>43739</v>
      </c>
      <c r="Q3743">
        <v>1</v>
      </c>
      <c r="R3743" s="1" t="s">
        <v>40</v>
      </c>
    </row>
    <row r="3744" spans="1:18" x14ac:dyDescent="0.25">
      <c r="A3744">
        <v>2019</v>
      </c>
      <c r="B3744">
        <v>11</v>
      </c>
      <c r="C3744" s="1" t="s">
        <v>34</v>
      </c>
      <c r="D3744" s="1" t="s">
        <v>19</v>
      </c>
      <c r="E3744" s="1" t="s">
        <v>73</v>
      </c>
      <c r="F3744">
        <v>2012</v>
      </c>
      <c r="G3744">
        <v>7</v>
      </c>
      <c r="H3744" s="1" t="s">
        <v>21</v>
      </c>
      <c r="I3744">
        <v>14</v>
      </c>
      <c r="J3744">
        <v>1833</v>
      </c>
      <c r="K3744" s="1" t="s">
        <v>74</v>
      </c>
      <c r="L3744" s="1" t="s">
        <v>64</v>
      </c>
      <c r="M3744">
        <v>1.24</v>
      </c>
      <c r="N3744">
        <v>17363.099999999999</v>
      </c>
      <c r="O3744">
        <v>17.363</v>
      </c>
      <c r="P3744" s="2">
        <v>43770</v>
      </c>
      <c r="Q3744">
        <v>1</v>
      </c>
      <c r="R3744" s="1" t="s">
        <v>40</v>
      </c>
    </row>
    <row r="3745" spans="1:18" x14ac:dyDescent="0.25">
      <c r="A3745">
        <v>2019</v>
      </c>
      <c r="B3745">
        <v>12</v>
      </c>
      <c r="C3745" s="1" t="s">
        <v>35</v>
      </c>
      <c r="D3745" s="1" t="s">
        <v>19</v>
      </c>
      <c r="E3745" s="1" t="s">
        <v>73</v>
      </c>
      <c r="F3745">
        <v>2012</v>
      </c>
      <c r="G3745">
        <v>7</v>
      </c>
      <c r="H3745" s="1" t="s">
        <v>21</v>
      </c>
      <c r="I3745">
        <v>14</v>
      </c>
      <c r="J3745">
        <v>1833</v>
      </c>
      <c r="K3745" s="1" t="s">
        <v>74</v>
      </c>
      <c r="L3745" s="1" t="s">
        <v>64</v>
      </c>
      <c r="M3745">
        <v>0.93300000000000005</v>
      </c>
      <c r="N3745">
        <v>13060.1</v>
      </c>
      <c r="O3745">
        <v>13.06</v>
      </c>
      <c r="P3745" s="2">
        <v>43800</v>
      </c>
      <c r="Q3745">
        <v>1</v>
      </c>
      <c r="R3745" s="1" t="s">
        <v>40</v>
      </c>
    </row>
    <row r="3746" spans="1:18" x14ac:dyDescent="0.25">
      <c r="A3746">
        <v>2019</v>
      </c>
      <c r="B3746">
        <v>1</v>
      </c>
      <c r="C3746" s="1" t="s">
        <v>18</v>
      </c>
      <c r="D3746" s="1" t="s">
        <v>19</v>
      </c>
      <c r="E3746" s="1" t="s">
        <v>75</v>
      </c>
      <c r="F3746">
        <v>2012</v>
      </c>
      <c r="G3746">
        <v>7</v>
      </c>
      <c r="H3746" s="1" t="s">
        <v>21</v>
      </c>
      <c r="I3746">
        <v>20</v>
      </c>
      <c r="J3746">
        <v>1990</v>
      </c>
      <c r="K3746" s="1" t="s">
        <v>76</v>
      </c>
      <c r="L3746" s="1" t="s">
        <v>64</v>
      </c>
      <c r="M3746">
        <v>0.91700000000000004</v>
      </c>
      <c r="N3746">
        <v>18344.7</v>
      </c>
      <c r="O3746">
        <v>18.344999999999999</v>
      </c>
      <c r="P3746" s="2">
        <v>43466</v>
      </c>
      <c r="Q3746">
        <v>1</v>
      </c>
      <c r="R3746" s="1" t="s">
        <v>40</v>
      </c>
    </row>
    <row r="3747" spans="1:18" x14ac:dyDescent="0.25">
      <c r="A3747">
        <v>2019</v>
      </c>
      <c r="B3747">
        <v>2</v>
      </c>
      <c r="C3747" s="1" t="s">
        <v>25</v>
      </c>
      <c r="D3747" s="1" t="s">
        <v>19</v>
      </c>
      <c r="E3747" s="1" t="s">
        <v>75</v>
      </c>
      <c r="F3747">
        <v>2012</v>
      </c>
      <c r="G3747">
        <v>7</v>
      </c>
      <c r="H3747" s="1" t="s">
        <v>21</v>
      </c>
      <c r="I3747">
        <v>20</v>
      </c>
      <c r="J3747">
        <v>1990</v>
      </c>
      <c r="K3747" s="1" t="s">
        <v>76</v>
      </c>
      <c r="L3747" s="1" t="s">
        <v>64</v>
      </c>
      <c r="M3747">
        <v>1.073</v>
      </c>
      <c r="N3747">
        <v>21450.6</v>
      </c>
      <c r="O3747">
        <v>21.451000000000001</v>
      </c>
      <c r="P3747" s="2">
        <v>43497</v>
      </c>
      <c r="Q3747">
        <v>1</v>
      </c>
      <c r="R3747" s="1" t="s">
        <v>40</v>
      </c>
    </row>
    <row r="3748" spans="1:18" x14ac:dyDescent="0.25">
      <c r="A3748">
        <v>2019</v>
      </c>
      <c r="B3748">
        <v>3</v>
      </c>
      <c r="C3748" s="1" t="s">
        <v>26</v>
      </c>
      <c r="D3748" s="1" t="s">
        <v>19</v>
      </c>
      <c r="E3748" s="1" t="s">
        <v>75</v>
      </c>
      <c r="F3748">
        <v>2012</v>
      </c>
      <c r="G3748">
        <v>7</v>
      </c>
      <c r="H3748" s="1" t="s">
        <v>21</v>
      </c>
      <c r="I3748">
        <v>20</v>
      </c>
      <c r="J3748">
        <v>1990</v>
      </c>
      <c r="K3748" s="1" t="s">
        <v>76</v>
      </c>
      <c r="L3748" s="1" t="s">
        <v>64</v>
      </c>
      <c r="M3748">
        <v>1.248</v>
      </c>
      <c r="N3748">
        <v>24954.3</v>
      </c>
      <c r="O3748">
        <v>24.954000000000001</v>
      </c>
      <c r="P3748" s="2">
        <v>43525</v>
      </c>
      <c r="Q3748">
        <v>1</v>
      </c>
      <c r="R3748" s="1" t="s">
        <v>40</v>
      </c>
    </row>
    <row r="3749" spans="1:18" x14ac:dyDescent="0.25">
      <c r="A3749">
        <v>2019</v>
      </c>
      <c r="B3749">
        <v>4</v>
      </c>
      <c r="C3749" s="1" t="s">
        <v>27</v>
      </c>
      <c r="D3749" s="1" t="s">
        <v>19</v>
      </c>
      <c r="E3749" s="1" t="s">
        <v>75</v>
      </c>
      <c r="F3749">
        <v>2012</v>
      </c>
      <c r="G3749">
        <v>7</v>
      </c>
      <c r="H3749" s="1" t="s">
        <v>21</v>
      </c>
      <c r="I3749">
        <v>20</v>
      </c>
      <c r="J3749">
        <v>1990</v>
      </c>
      <c r="K3749" s="1" t="s">
        <v>76</v>
      </c>
      <c r="L3749" s="1" t="s">
        <v>64</v>
      </c>
      <c r="M3749">
        <v>1.401</v>
      </c>
      <c r="N3749">
        <v>28029.599999999999</v>
      </c>
      <c r="O3749">
        <v>28.03</v>
      </c>
      <c r="P3749" s="2">
        <v>43556</v>
      </c>
      <c r="Q3749">
        <v>1</v>
      </c>
      <c r="R3749" s="1" t="s">
        <v>40</v>
      </c>
    </row>
    <row r="3750" spans="1:18" x14ac:dyDescent="0.25">
      <c r="A3750">
        <v>2019</v>
      </c>
      <c r="B3750">
        <v>5</v>
      </c>
      <c r="C3750" s="1" t="s">
        <v>28</v>
      </c>
      <c r="D3750" s="1" t="s">
        <v>19</v>
      </c>
      <c r="E3750" s="1" t="s">
        <v>75</v>
      </c>
      <c r="F3750">
        <v>2012</v>
      </c>
      <c r="G3750">
        <v>7</v>
      </c>
      <c r="H3750" s="1" t="s">
        <v>21</v>
      </c>
      <c r="I3750">
        <v>20</v>
      </c>
      <c r="J3750">
        <v>1990</v>
      </c>
      <c r="K3750" s="1" t="s">
        <v>76</v>
      </c>
      <c r="L3750" s="1" t="s">
        <v>64</v>
      </c>
      <c r="M3750">
        <v>1.4339999999999999</v>
      </c>
      <c r="N3750">
        <v>28672.2</v>
      </c>
      <c r="O3750">
        <v>28.672000000000001</v>
      </c>
      <c r="P3750" s="2">
        <v>43586</v>
      </c>
      <c r="Q3750">
        <v>1</v>
      </c>
      <c r="R3750" s="1" t="s">
        <v>40</v>
      </c>
    </row>
    <row r="3751" spans="1:18" x14ac:dyDescent="0.25">
      <c r="A3751">
        <v>2019</v>
      </c>
      <c r="B3751">
        <v>6</v>
      </c>
      <c r="C3751" s="1" t="s">
        <v>29</v>
      </c>
      <c r="D3751" s="1" t="s">
        <v>19</v>
      </c>
      <c r="E3751" s="1" t="s">
        <v>75</v>
      </c>
      <c r="F3751">
        <v>2012</v>
      </c>
      <c r="G3751">
        <v>7</v>
      </c>
      <c r="H3751" s="1" t="s">
        <v>21</v>
      </c>
      <c r="I3751">
        <v>20</v>
      </c>
      <c r="J3751">
        <v>1990</v>
      </c>
      <c r="K3751" s="1" t="s">
        <v>76</v>
      </c>
      <c r="L3751" s="1" t="s">
        <v>64</v>
      </c>
      <c r="M3751">
        <v>1.361</v>
      </c>
      <c r="N3751">
        <v>27218.7</v>
      </c>
      <c r="O3751">
        <v>27.219000000000001</v>
      </c>
      <c r="P3751" s="2">
        <v>43617</v>
      </c>
      <c r="Q3751">
        <v>1</v>
      </c>
      <c r="R3751" s="1" t="s">
        <v>40</v>
      </c>
    </row>
    <row r="3752" spans="1:18" x14ac:dyDescent="0.25">
      <c r="A3752">
        <v>2019</v>
      </c>
      <c r="B3752">
        <v>7</v>
      </c>
      <c r="C3752" s="1" t="s">
        <v>30</v>
      </c>
      <c r="D3752" s="1" t="s">
        <v>19</v>
      </c>
      <c r="E3752" s="1" t="s">
        <v>75</v>
      </c>
      <c r="F3752">
        <v>2012</v>
      </c>
      <c r="G3752">
        <v>7</v>
      </c>
      <c r="H3752" s="1" t="s">
        <v>21</v>
      </c>
      <c r="I3752">
        <v>20</v>
      </c>
      <c r="J3752">
        <v>1990</v>
      </c>
      <c r="K3752" s="1" t="s">
        <v>76</v>
      </c>
      <c r="L3752" s="1" t="s">
        <v>64</v>
      </c>
      <c r="M3752">
        <v>1.224</v>
      </c>
      <c r="N3752">
        <v>24480</v>
      </c>
      <c r="O3752">
        <v>24.48</v>
      </c>
      <c r="P3752" s="2">
        <v>43647</v>
      </c>
      <c r="Q3752">
        <v>1</v>
      </c>
      <c r="R3752" s="1" t="s">
        <v>40</v>
      </c>
    </row>
    <row r="3753" spans="1:18" x14ac:dyDescent="0.25">
      <c r="A3753">
        <v>2019</v>
      </c>
      <c r="B3753">
        <v>8</v>
      </c>
      <c r="C3753" s="1" t="s">
        <v>31</v>
      </c>
      <c r="D3753" s="1" t="s">
        <v>19</v>
      </c>
      <c r="E3753" s="1" t="s">
        <v>75</v>
      </c>
      <c r="F3753">
        <v>2012</v>
      </c>
      <c r="G3753">
        <v>7</v>
      </c>
      <c r="H3753" s="1" t="s">
        <v>21</v>
      </c>
      <c r="I3753">
        <v>20</v>
      </c>
      <c r="J3753">
        <v>1990</v>
      </c>
      <c r="K3753" s="1" t="s">
        <v>76</v>
      </c>
      <c r="L3753" s="1" t="s">
        <v>64</v>
      </c>
      <c r="M3753">
        <v>1.423</v>
      </c>
      <c r="N3753">
        <v>28458</v>
      </c>
      <c r="O3753">
        <v>28.457999999999998</v>
      </c>
      <c r="P3753" s="2">
        <v>43678</v>
      </c>
      <c r="Q3753">
        <v>1</v>
      </c>
      <c r="R3753" s="1" t="s">
        <v>40</v>
      </c>
    </row>
    <row r="3754" spans="1:18" x14ac:dyDescent="0.25">
      <c r="A3754">
        <v>2019</v>
      </c>
      <c r="B3754">
        <v>9</v>
      </c>
      <c r="C3754" s="1" t="s">
        <v>32</v>
      </c>
      <c r="D3754" s="1" t="s">
        <v>19</v>
      </c>
      <c r="E3754" s="1" t="s">
        <v>75</v>
      </c>
      <c r="F3754">
        <v>2012</v>
      </c>
      <c r="G3754">
        <v>7</v>
      </c>
      <c r="H3754" s="1" t="s">
        <v>21</v>
      </c>
      <c r="I3754">
        <v>20</v>
      </c>
      <c r="J3754">
        <v>1990</v>
      </c>
      <c r="K3754" s="1" t="s">
        <v>76</v>
      </c>
      <c r="L3754" s="1" t="s">
        <v>64</v>
      </c>
      <c r="M3754">
        <v>1.0109999999999999</v>
      </c>
      <c r="N3754">
        <v>20226.599999999999</v>
      </c>
      <c r="O3754">
        <v>20.227</v>
      </c>
      <c r="P3754" s="2">
        <v>43709</v>
      </c>
      <c r="Q3754">
        <v>1</v>
      </c>
      <c r="R3754" s="1" t="s">
        <v>40</v>
      </c>
    </row>
    <row r="3755" spans="1:18" x14ac:dyDescent="0.25">
      <c r="A3755">
        <v>2019</v>
      </c>
      <c r="B3755">
        <v>10</v>
      </c>
      <c r="C3755" s="1" t="s">
        <v>33</v>
      </c>
      <c r="D3755" s="1" t="s">
        <v>19</v>
      </c>
      <c r="E3755" s="1" t="s">
        <v>75</v>
      </c>
      <c r="F3755">
        <v>2012</v>
      </c>
      <c r="G3755">
        <v>7</v>
      </c>
      <c r="H3755" s="1" t="s">
        <v>21</v>
      </c>
      <c r="I3755">
        <v>20</v>
      </c>
      <c r="J3755">
        <v>1990</v>
      </c>
      <c r="K3755" s="1" t="s">
        <v>76</v>
      </c>
      <c r="L3755" s="1" t="s">
        <v>64</v>
      </c>
      <c r="M3755">
        <v>1.327</v>
      </c>
      <c r="N3755">
        <v>26545.5</v>
      </c>
      <c r="O3755">
        <v>26.545999999999999</v>
      </c>
      <c r="P3755" s="2">
        <v>43739</v>
      </c>
      <c r="Q3755">
        <v>1</v>
      </c>
      <c r="R3755" s="1" t="s">
        <v>40</v>
      </c>
    </row>
    <row r="3756" spans="1:18" x14ac:dyDescent="0.25">
      <c r="A3756">
        <v>2019</v>
      </c>
      <c r="B3756">
        <v>11</v>
      </c>
      <c r="C3756" s="1" t="s">
        <v>34</v>
      </c>
      <c r="D3756" s="1" t="s">
        <v>19</v>
      </c>
      <c r="E3756" s="1" t="s">
        <v>75</v>
      </c>
      <c r="F3756">
        <v>2012</v>
      </c>
      <c r="G3756">
        <v>7</v>
      </c>
      <c r="H3756" s="1" t="s">
        <v>21</v>
      </c>
      <c r="I3756">
        <v>20</v>
      </c>
      <c r="J3756">
        <v>1990</v>
      </c>
      <c r="K3756" s="1" t="s">
        <v>76</v>
      </c>
      <c r="L3756" s="1" t="s">
        <v>64</v>
      </c>
      <c r="M3756">
        <v>0.96599999999999997</v>
      </c>
      <c r="N3756">
        <v>19323.900000000001</v>
      </c>
      <c r="O3756">
        <v>19.324000000000002</v>
      </c>
      <c r="P3756" s="2">
        <v>43770</v>
      </c>
      <c r="Q3756">
        <v>1</v>
      </c>
      <c r="R3756" s="1" t="s">
        <v>40</v>
      </c>
    </row>
    <row r="3757" spans="1:18" x14ac:dyDescent="0.25">
      <c r="A3757">
        <v>2019</v>
      </c>
      <c r="B3757">
        <v>12</v>
      </c>
      <c r="C3757" s="1" t="s">
        <v>35</v>
      </c>
      <c r="D3757" s="1" t="s">
        <v>19</v>
      </c>
      <c r="E3757" s="1" t="s">
        <v>75</v>
      </c>
      <c r="F3757">
        <v>2012</v>
      </c>
      <c r="G3757">
        <v>7</v>
      </c>
      <c r="H3757" s="1" t="s">
        <v>21</v>
      </c>
      <c r="I3757">
        <v>20</v>
      </c>
      <c r="J3757">
        <v>1990</v>
      </c>
      <c r="K3757" s="1" t="s">
        <v>76</v>
      </c>
      <c r="L3757" s="1" t="s">
        <v>64</v>
      </c>
      <c r="M3757">
        <v>0.72699999999999998</v>
      </c>
      <c r="N3757">
        <v>14535</v>
      </c>
      <c r="O3757">
        <v>14.535</v>
      </c>
      <c r="P3757" s="2">
        <v>43800</v>
      </c>
      <c r="Q3757">
        <v>1</v>
      </c>
      <c r="R3757" s="1" t="s">
        <v>40</v>
      </c>
    </row>
    <row r="3758" spans="1:18" x14ac:dyDescent="0.25">
      <c r="A3758">
        <v>2019</v>
      </c>
      <c r="B3758">
        <v>1</v>
      </c>
      <c r="C3758" s="1" t="s">
        <v>18</v>
      </c>
      <c r="D3758" s="1" t="s">
        <v>19</v>
      </c>
      <c r="E3758" s="1" t="s">
        <v>77</v>
      </c>
      <c r="F3758">
        <v>2012</v>
      </c>
      <c r="G3758">
        <v>7</v>
      </c>
      <c r="H3758" s="1" t="s">
        <v>21</v>
      </c>
      <c r="I3758">
        <v>22</v>
      </c>
      <c r="J3758">
        <v>2606</v>
      </c>
      <c r="K3758" s="1" t="s">
        <v>78</v>
      </c>
      <c r="L3758" s="1" t="s">
        <v>64</v>
      </c>
      <c r="M3758">
        <v>1.0649999999999999</v>
      </c>
      <c r="N3758">
        <v>23434.5</v>
      </c>
      <c r="O3758">
        <v>23.434000000000001</v>
      </c>
      <c r="P3758" s="2">
        <v>43466</v>
      </c>
      <c r="Q3758">
        <v>1</v>
      </c>
      <c r="R3758" s="1" t="s">
        <v>40</v>
      </c>
    </row>
    <row r="3759" spans="1:18" x14ac:dyDescent="0.25">
      <c r="A3759">
        <v>2019</v>
      </c>
      <c r="B3759">
        <v>2</v>
      </c>
      <c r="C3759" s="1" t="s">
        <v>25</v>
      </c>
      <c r="D3759" s="1" t="s">
        <v>19</v>
      </c>
      <c r="E3759" s="1" t="s">
        <v>77</v>
      </c>
      <c r="F3759">
        <v>2012</v>
      </c>
      <c r="G3759">
        <v>7</v>
      </c>
      <c r="H3759" s="1" t="s">
        <v>21</v>
      </c>
      <c r="I3759">
        <v>22</v>
      </c>
      <c r="J3759">
        <v>2606</v>
      </c>
      <c r="K3759" s="1" t="s">
        <v>78</v>
      </c>
      <c r="L3759" s="1" t="s">
        <v>64</v>
      </c>
      <c r="M3759">
        <v>1.246</v>
      </c>
      <c r="N3759">
        <v>27402.1</v>
      </c>
      <c r="O3759">
        <v>27.402000000000001</v>
      </c>
      <c r="P3759" s="2">
        <v>43497</v>
      </c>
      <c r="Q3759">
        <v>1</v>
      </c>
      <c r="R3759" s="1" t="s">
        <v>40</v>
      </c>
    </row>
    <row r="3760" spans="1:18" x14ac:dyDescent="0.25">
      <c r="A3760">
        <v>2019</v>
      </c>
      <c r="B3760">
        <v>3</v>
      </c>
      <c r="C3760" s="1" t="s">
        <v>26</v>
      </c>
      <c r="D3760" s="1" t="s">
        <v>19</v>
      </c>
      <c r="E3760" s="1" t="s">
        <v>77</v>
      </c>
      <c r="F3760">
        <v>2012</v>
      </c>
      <c r="G3760">
        <v>7</v>
      </c>
      <c r="H3760" s="1" t="s">
        <v>21</v>
      </c>
      <c r="I3760">
        <v>22</v>
      </c>
      <c r="J3760">
        <v>2606</v>
      </c>
      <c r="K3760" s="1" t="s">
        <v>78</v>
      </c>
      <c r="L3760" s="1" t="s">
        <v>64</v>
      </c>
      <c r="M3760">
        <v>1.4490000000000001</v>
      </c>
      <c r="N3760">
        <v>31877.9</v>
      </c>
      <c r="O3760">
        <v>31.878</v>
      </c>
      <c r="P3760" s="2">
        <v>43525</v>
      </c>
      <c r="Q3760">
        <v>1</v>
      </c>
      <c r="R3760" s="1" t="s">
        <v>40</v>
      </c>
    </row>
    <row r="3761" spans="1:18" x14ac:dyDescent="0.25">
      <c r="A3761">
        <v>2019</v>
      </c>
      <c r="B3761">
        <v>4</v>
      </c>
      <c r="C3761" s="1" t="s">
        <v>27</v>
      </c>
      <c r="D3761" s="1" t="s">
        <v>19</v>
      </c>
      <c r="E3761" s="1" t="s">
        <v>77</v>
      </c>
      <c r="F3761">
        <v>2012</v>
      </c>
      <c r="G3761">
        <v>7</v>
      </c>
      <c r="H3761" s="1" t="s">
        <v>21</v>
      </c>
      <c r="I3761">
        <v>22</v>
      </c>
      <c r="J3761">
        <v>2606</v>
      </c>
      <c r="K3761" s="1" t="s">
        <v>78</v>
      </c>
      <c r="L3761" s="1" t="s">
        <v>64</v>
      </c>
      <c r="M3761">
        <v>1.6279999999999999</v>
      </c>
      <c r="N3761">
        <v>35806.400000000001</v>
      </c>
      <c r="O3761">
        <v>35.805999999999997</v>
      </c>
      <c r="P3761" s="2">
        <v>43556</v>
      </c>
      <c r="Q3761">
        <v>1</v>
      </c>
      <c r="R3761" s="1" t="s">
        <v>40</v>
      </c>
    </row>
    <row r="3762" spans="1:18" x14ac:dyDescent="0.25">
      <c r="A3762">
        <v>2019</v>
      </c>
      <c r="B3762">
        <v>5</v>
      </c>
      <c r="C3762" s="1" t="s">
        <v>28</v>
      </c>
      <c r="D3762" s="1" t="s">
        <v>19</v>
      </c>
      <c r="E3762" s="1" t="s">
        <v>77</v>
      </c>
      <c r="F3762">
        <v>2012</v>
      </c>
      <c r="G3762">
        <v>7</v>
      </c>
      <c r="H3762" s="1" t="s">
        <v>21</v>
      </c>
      <c r="I3762">
        <v>22</v>
      </c>
      <c r="J3762">
        <v>2606</v>
      </c>
      <c r="K3762" s="1" t="s">
        <v>78</v>
      </c>
      <c r="L3762" s="1" t="s">
        <v>64</v>
      </c>
      <c r="M3762">
        <v>1.665</v>
      </c>
      <c r="N3762">
        <v>36627.300000000003</v>
      </c>
      <c r="O3762">
        <v>36.627000000000002</v>
      </c>
      <c r="P3762" s="2">
        <v>43586</v>
      </c>
      <c r="Q3762">
        <v>1</v>
      </c>
      <c r="R3762" s="1" t="s">
        <v>40</v>
      </c>
    </row>
    <row r="3763" spans="1:18" x14ac:dyDescent="0.25">
      <c r="A3763">
        <v>2019</v>
      </c>
      <c r="B3763">
        <v>6</v>
      </c>
      <c r="C3763" s="1" t="s">
        <v>29</v>
      </c>
      <c r="D3763" s="1" t="s">
        <v>19</v>
      </c>
      <c r="E3763" s="1" t="s">
        <v>77</v>
      </c>
      <c r="F3763">
        <v>2012</v>
      </c>
      <c r="G3763">
        <v>7</v>
      </c>
      <c r="H3763" s="1" t="s">
        <v>21</v>
      </c>
      <c r="I3763">
        <v>22</v>
      </c>
      <c r="J3763">
        <v>2606</v>
      </c>
      <c r="K3763" s="1" t="s">
        <v>78</v>
      </c>
      <c r="L3763" s="1" t="s">
        <v>64</v>
      </c>
      <c r="M3763">
        <v>1.58</v>
      </c>
      <c r="N3763">
        <v>34770.6</v>
      </c>
      <c r="O3763">
        <v>34.771000000000001</v>
      </c>
      <c r="P3763" s="2">
        <v>43617</v>
      </c>
      <c r="Q3763">
        <v>1</v>
      </c>
      <c r="R3763" s="1" t="s">
        <v>40</v>
      </c>
    </row>
    <row r="3764" spans="1:18" x14ac:dyDescent="0.25">
      <c r="A3764">
        <v>2019</v>
      </c>
      <c r="B3764">
        <v>7</v>
      </c>
      <c r="C3764" s="1" t="s">
        <v>30</v>
      </c>
      <c r="D3764" s="1" t="s">
        <v>19</v>
      </c>
      <c r="E3764" s="1" t="s">
        <v>77</v>
      </c>
      <c r="F3764">
        <v>2012</v>
      </c>
      <c r="G3764">
        <v>7</v>
      </c>
      <c r="H3764" s="1" t="s">
        <v>21</v>
      </c>
      <c r="I3764">
        <v>22</v>
      </c>
      <c r="J3764">
        <v>2606</v>
      </c>
      <c r="K3764" s="1" t="s">
        <v>78</v>
      </c>
      <c r="L3764" s="1" t="s">
        <v>64</v>
      </c>
      <c r="M3764">
        <v>1.421</v>
      </c>
      <c r="N3764">
        <v>31272</v>
      </c>
      <c r="O3764">
        <v>31.271999999999998</v>
      </c>
      <c r="P3764" s="2">
        <v>43647</v>
      </c>
      <c r="Q3764">
        <v>1</v>
      </c>
      <c r="R3764" s="1" t="s">
        <v>40</v>
      </c>
    </row>
    <row r="3765" spans="1:18" x14ac:dyDescent="0.25">
      <c r="A3765">
        <v>2019</v>
      </c>
      <c r="B3765">
        <v>8</v>
      </c>
      <c r="C3765" s="1" t="s">
        <v>31</v>
      </c>
      <c r="D3765" s="1" t="s">
        <v>19</v>
      </c>
      <c r="E3765" s="1" t="s">
        <v>77</v>
      </c>
      <c r="F3765">
        <v>2012</v>
      </c>
      <c r="G3765">
        <v>7</v>
      </c>
      <c r="H3765" s="1" t="s">
        <v>21</v>
      </c>
      <c r="I3765">
        <v>22</v>
      </c>
      <c r="J3765">
        <v>2606</v>
      </c>
      <c r="K3765" s="1" t="s">
        <v>78</v>
      </c>
      <c r="L3765" s="1" t="s">
        <v>64</v>
      </c>
      <c r="M3765">
        <v>1.6519999999999999</v>
      </c>
      <c r="N3765">
        <v>36353.699999999997</v>
      </c>
      <c r="O3765">
        <v>36.353999999999999</v>
      </c>
      <c r="P3765" s="2">
        <v>43678</v>
      </c>
      <c r="Q3765">
        <v>1</v>
      </c>
      <c r="R3765" s="1" t="s">
        <v>40</v>
      </c>
    </row>
    <row r="3766" spans="1:18" x14ac:dyDescent="0.25">
      <c r="A3766">
        <v>2019</v>
      </c>
      <c r="B3766">
        <v>9</v>
      </c>
      <c r="C3766" s="1" t="s">
        <v>32</v>
      </c>
      <c r="D3766" s="1" t="s">
        <v>19</v>
      </c>
      <c r="E3766" s="1" t="s">
        <v>77</v>
      </c>
      <c r="F3766">
        <v>2012</v>
      </c>
      <c r="G3766">
        <v>7</v>
      </c>
      <c r="H3766" s="1" t="s">
        <v>21</v>
      </c>
      <c r="I3766">
        <v>22</v>
      </c>
      <c r="J3766">
        <v>2606</v>
      </c>
      <c r="K3766" s="1" t="s">
        <v>78</v>
      </c>
      <c r="L3766" s="1" t="s">
        <v>64</v>
      </c>
      <c r="M3766">
        <v>1.1739999999999999</v>
      </c>
      <c r="N3766">
        <v>25838.5</v>
      </c>
      <c r="O3766">
        <v>25.838000000000001</v>
      </c>
      <c r="P3766" s="2">
        <v>43709</v>
      </c>
      <c r="Q3766">
        <v>1</v>
      </c>
      <c r="R3766" s="1" t="s">
        <v>40</v>
      </c>
    </row>
    <row r="3767" spans="1:18" x14ac:dyDescent="0.25">
      <c r="A3767">
        <v>2019</v>
      </c>
      <c r="B3767">
        <v>10</v>
      </c>
      <c r="C3767" s="1" t="s">
        <v>33</v>
      </c>
      <c r="D3767" s="1" t="s">
        <v>19</v>
      </c>
      <c r="E3767" s="1" t="s">
        <v>77</v>
      </c>
      <c r="F3767">
        <v>2012</v>
      </c>
      <c r="G3767">
        <v>7</v>
      </c>
      <c r="H3767" s="1" t="s">
        <v>21</v>
      </c>
      <c r="I3767">
        <v>22</v>
      </c>
      <c r="J3767">
        <v>2606</v>
      </c>
      <c r="K3767" s="1" t="s">
        <v>78</v>
      </c>
      <c r="L3767" s="1" t="s">
        <v>64</v>
      </c>
      <c r="M3767">
        <v>1.5409999999999999</v>
      </c>
      <c r="N3767">
        <v>33910.6</v>
      </c>
      <c r="O3767">
        <v>33.911000000000001</v>
      </c>
      <c r="P3767" s="2">
        <v>43739</v>
      </c>
      <c r="Q3767">
        <v>1</v>
      </c>
      <c r="R3767" s="1" t="s">
        <v>40</v>
      </c>
    </row>
    <row r="3768" spans="1:18" x14ac:dyDescent="0.25">
      <c r="A3768">
        <v>2019</v>
      </c>
      <c r="B3768">
        <v>11</v>
      </c>
      <c r="C3768" s="1" t="s">
        <v>34</v>
      </c>
      <c r="D3768" s="1" t="s">
        <v>19</v>
      </c>
      <c r="E3768" s="1" t="s">
        <v>77</v>
      </c>
      <c r="F3768">
        <v>2012</v>
      </c>
      <c r="G3768">
        <v>7</v>
      </c>
      <c r="H3768" s="1" t="s">
        <v>21</v>
      </c>
      <c r="I3768">
        <v>22</v>
      </c>
      <c r="J3768">
        <v>2606</v>
      </c>
      <c r="K3768" s="1" t="s">
        <v>78</v>
      </c>
      <c r="L3768" s="1" t="s">
        <v>64</v>
      </c>
      <c r="M3768">
        <v>1.1220000000000001</v>
      </c>
      <c r="N3768">
        <v>24685.3</v>
      </c>
      <c r="O3768">
        <v>24.684999999999999</v>
      </c>
      <c r="P3768" s="2">
        <v>43770</v>
      </c>
      <c r="Q3768">
        <v>1</v>
      </c>
      <c r="R3768" s="1" t="s">
        <v>40</v>
      </c>
    </row>
    <row r="3769" spans="1:18" x14ac:dyDescent="0.25">
      <c r="A3769">
        <v>2019</v>
      </c>
      <c r="B3769">
        <v>12</v>
      </c>
      <c r="C3769" s="1" t="s">
        <v>35</v>
      </c>
      <c r="D3769" s="1" t="s">
        <v>19</v>
      </c>
      <c r="E3769" s="1" t="s">
        <v>77</v>
      </c>
      <c r="F3769">
        <v>2012</v>
      </c>
      <c r="G3769">
        <v>7</v>
      </c>
      <c r="H3769" s="1" t="s">
        <v>21</v>
      </c>
      <c r="I3769">
        <v>22</v>
      </c>
      <c r="J3769">
        <v>2606</v>
      </c>
      <c r="K3769" s="1" t="s">
        <v>78</v>
      </c>
      <c r="L3769" s="1" t="s">
        <v>64</v>
      </c>
      <c r="M3769">
        <v>0.84399999999999997</v>
      </c>
      <c r="N3769">
        <v>18567.8</v>
      </c>
      <c r="O3769">
        <v>18.568000000000001</v>
      </c>
      <c r="P3769" s="2">
        <v>43800</v>
      </c>
      <c r="Q3769">
        <v>1</v>
      </c>
      <c r="R3769" s="1" t="s">
        <v>40</v>
      </c>
    </row>
    <row r="3770" spans="1:18" x14ac:dyDescent="0.25">
      <c r="A3770">
        <v>2019</v>
      </c>
      <c r="B3770">
        <v>1</v>
      </c>
      <c r="C3770" s="1" t="s">
        <v>18</v>
      </c>
      <c r="D3770" s="1" t="s">
        <v>19</v>
      </c>
      <c r="E3770" s="1" t="s">
        <v>79</v>
      </c>
      <c r="F3770">
        <v>2012</v>
      </c>
      <c r="G3770">
        <v>7</v>
      </c>
      <c r="H3770" s="1" t="s">
        <v>21</v>
      </c>
      <c r="I3770">
        <v>22</v>
      </c>
      <c r="J3770">
        <v>2683</v>
      </c>
      <c r="K3770" s="1" t="s">
        <v>80</v>
      </c>
      <c r="L3770" s="1" t="s">
        <v>45</v>
      </c>
      <c r="M3770">
        <v>1.097</v>
      </c>
      <c r="N3770">
        <v>24126.9</v>
      </c>
      <c r="O3770">
        <v>24.126999999999999</v>
      </c>
      <c r="P3770" s="2">
        <v>43466</v>
      </c>
      <c r="Q3770">
        <v>1</v>
      </c>
      <c r="R3770" s="1" t="s">
        <v>40</v>
      </c>
    </row>
    <row r="3771" spans="1:18" x14ac:dyDescent="0.25">
      <c r="A3771">
        <v>2019</v>
      </c>
      <c r="B3771">
        <v>2</v>
      </c>
      <c r="C3771" s="1" t="s">
        <v>25</v>
      </c>
      <c r="D3771" s="1" t="s">
        <v>19</v>
      </c>
      <c r="E3771" s="1" t="s">
        <v>79</v>
      </c>
      <c r="F3771">
        <v>2012</v>
      </c>
      <c r="G3771">
        <v>7</v>
      </c>
      <c r="H3771" s="1" t="s">
        <v>21</v>
      </c>
      <c r="I3771">
        <v>22</v>
      </c>
      <c r="J3771">
        <v>2683</v>
      </c>
      <c r="K3771" s="1" t="s">
        <v>80</v>
      </c>
      <c r="L3771" s="1" t="s">
        <v>45</v>
      </c>
      <c r="M3771">
        <v>1.282</v>
      </c>
      <c r="N3771">
        <v>28211.7</v>
      </c>
      <c r="O3771">
        <v>28.212</v>
      </c>
      <c r="P3771" s="2">
        <v>43497</v>
      </c>
      <c r="Q3771">
        <v>1</v>
      </c>
      <c r="R3771" s="1" t="s">
        <v>40</v>
      </c>
    </row>
    <row r="3772" spans="1:18" x14ac:dyDescent="0.25">
      <c r="A3772">
        <v>2019</v>
      </c>
      <c r="B3772">
        <v>3</v>
      </c>
      <c r="C3772" s="1" t="s">
        <v>26</v>
      </c>
      <c r="D3772" s="1" t="s">
        <v>19</v>
      </c>
      <c r="E3772" s="1" t="s">
        <v>79</v>
      </c>
      <c r="F3772">
        <v>2012</v>
      </c>
      <c r="G3772">
        <v>7</v>
      </c>
      <c r="H3772" s="1" t="s">
        <v>21</v>
      </c>
      <c r="I3772">
        <v>22</v>
      </c>
      <c r="J3772">
        <v>2683</v>
      </c>
      <c r="K3772" s="1" t="s">
        <v>80</v>
      </c>
      <c r="L3772" s="1" t="s">
        <v>45</v>
      </c>
      <c r="M3772">
        <v>1.492</v>
      </c>
      <c r="N3772">
        <v>32819.800000000003</v>
      </c>
      <c r="O3772">
        <v>32.82</v>
      </c>
      <c r="P3772" s="2">
        <v>43525</v>
      </c>
      <c r="Q3772">
        <v>1</v>
      </c>
      <c r="R3772" s="1" t="s">
        <v>40</v>
      </c>
    </row>
    <row r="3773" spans="1:18" x14ac:dyDescent="0.25">
      <c r="A3773">
        <v>2019</v>
      </c>
      <c r="B3773">
        <v>4</v>
      </c>
      <c r="C3773" s="1" t="s">
        <v>27</v>
      </c>
      <c r="D3773" s="1" t="s">
        <v>19</v>
      </c>
      <c r="E3773" s="1" t="s">
        <v>79</v>
      </c>
      <c r="F3773">
        <v>2012</v>
      </c>
      <c r="G3773">
        <v>7</v>
      </c>
      <c r="H3773" s="1" t="s">
        <v>21</v>
      </c>
      <c r="I3773">
        <v>22</v>
      </c>
      <c r="J3773">
        <v>2683</v>
      </c>
      <c r="K3773" s="1" t="s">
        <v>80</v>
      </c>
      <c r="L3773" s="1" t="s">
        <v>45</v>
      </c>
      <c r="M3773">
        <v>1.6759999999999999</v>
      </c>
      <c r="N3773">
        <v>36864.400000000001</v>
      </c>
      <c r="O3773">
        <v>36.863999999999997</v>
      </c>
      <c r="P3773" s="2">
        <v>43556</v>
      </c>
      <c r="Q3773">
        <v>1</v>
      </c>
      <c r="R3773" s="1" t="s">
        <v>40</v>
      </c>
    </row>
    <row r="3774" spans="1:18" x14ac:dyDescent="0.25">
      <c r="A3774">
        <v>2019</v>
      </c>
      <c r="B3774">
        <v>5</v>
      </c>
      <c r="C3774" s="1" t="s">
        <v>28</v>
      </c>
      <c r="D3774" s="1" t="s">
        <v>19</v>
      </c>
      <c r="E3774" s="1" t="s">
        <v>79</v>
      </c>
      <c r="F3774">
        <v>2012</v>
      </c>
      <c r="G3774">
        <v>7</v>
      </c>
      <c r="H3774" s="1" t="s">
        <v>21</v>
      </c>
      <c r="I3774">
        <v>22</v>
      </c>
      <c r="J3774">
        <v>2683</v>
      </c>
      <c r="K3774" s="1" t="s">
        <v>80</v>
      </c>
      <c r="L3774" s="1" t="s">
        <v>45</v>
      </c>
      <c r="M3774">
        <v>1.714</v>
      </c>
      <c r="N3774">
        <v>37709.599999999999</v>
      </c>
      <c r="O3774">
        <v>37.71</v>
      </c>
      <c r="P3774" s="2">
        <v>43586</v>
      </c>
      <c r="Q3774">
        <v>1</v>
      </c>
      <c r="R3774" s="1" t="s">
        <v>40</v>
      </c>
    </row>
    <row r="3775" spans="1:18" x14ac:dyDescent="0.25">
      <c r="A3775">
        <v>2019</v>
      </c>
      <c r="B3775">
        <v>6</v>
      </c>
      <c r="C3775" s="1" t="s">
        <v>29</v>
      </c>
      <c r="D3775" s="1" t="s">
        <v>19</v>
      </c>
      <c r="E3775" s="1" t="s">
        <v>79</v>
      </c>
      <c r="F3775">
        <v>2012</v>
      </c>
      <c r="G3775">
        <v>7</v>
      </c>
      <c r="H3775" s="1" t="s">
        <v>21</v>
      </c>
      <c r="I3775">
        <v>22</v>
      </c>
      <c r="J3775">
        <v>2683</v>
      </c>
      <c r="K3775" s="1" t="s">
        <v>80</v>
      </c>
      <c r="L3775" s="1" t="s">
        <v>45</v>
      </c>
      <c r="M3775">
        <v>1.627</v>
      </c>
      <c r="N3775">
        <v>35797.9</v>
      </c>
      <c r="O3775">
        <v>35.798000000000002</v>
      </c>
      <c r="P3775" s="2">
        <v>43617</v>
      </c>
      <c r="Q3775">
        <v>1</v>
      </c>
      <c r="R3775" s="1" t="s">
        <v>40</v>
      </c>
    </row>
    <row r="3776" spans="1:18" x14ac:dyDescent="0.25">
      <c r="A3776">
        <v>2019</v>
      </c>
      <c r="B3776">
        <v>7</v>
      </c>
      <c r="C3776" s="1" t="s">
        <v>30</v>
      </c>
      <c r="D3776" s="1" t="s">
        <v>19</v>
      </c>
      <c r="E3776" s="1" t="s">
        <v>79</v>
      </c>
      <c r="F3776">
        <v>2012</v>
      </c>
      <c r="G3776">
        <v>7</v>
      </c>
      <c r="H3776" s="1" t="s">
        <v>21</v>
      </c>
      <c r="I3776">
        <v>22</v>
      </c>
      <c r="J3776">
        <v>2683</v>
      </c>
      <c r="K3776" s="1" t="s">
        <v>80</v>
      </c>
      <c r="L3776" s="1" t="s">
        <v>45</v>
      </c>
      <c r="M3776">
        <v>1.4630000000000001</v>
      </c>
      <c r="N3776">
        <v>32196</v>
      </c>
      <c r="O3776">
        <v>32.195999999999998</v>
      </c>
      <c r="P3776" s="2">
        <v>43647</v>
      </c>
      <c r="Q3776">
        <v>1</v>
      </c>
      <c r="R3776" s="1" t="s">
        <v>40</v>
      </c>
    </row>
    <row r="3777" spans="1:18" x14ac:dyDescent="0.25">
      <c r="A3777">
        <v>2019</v>
      </c>
      <c r="B3777">
        <v>8</v>
      </c>
      <c r="C3777" s="1" t="s">
        <v>31</v>
      </c>
      <c r="D3777" s="1" t="s">
        <v>19</v>
      </c>
      <c r="E3777" s="1" t="s">
        <v>79</v>
      </c>
      <c r="F3777">
        <v>2012</v>
      </c>
      <c r="G3777">
        <v>7</v>
      </c>
      <c r="H3777" s="1" t="s">
        <v>21</v>
      </c>
      <c r="I3777">
        <v>22</v>
      </c>
      <c r="J3777">
        <v>2683</v>
      </c>
      <c r="K3777" s="1" t="s">
        <v>80</v>
      </c>
      <c r="L3777" s="1" t="s">
        <v>45</v>
      </c>
      <c r="M3777">
        <v>1.7010000000000001</v>
      </c>
      <c r="N3777">
        <v>37427.9</v>
      </c>
      <c r="O3777">
        <v>37.427999999999997</v>
      </c>
      <c r="P3777" s="2">
        <v>43678</v>
      </c>
      <c r="Q3777">
        <v>1</v>
      </c>
      <c r="R3777" s="1" t="s">
        <v>40</v>
      </c>
    </row>
    <row r="3778" spans="1:18" x14ac:dyDescent="0.25">
      <c r="A3778">
        <v>2019</v>
      </c>
      <c r="B3778">
        <v>9</v>
      </c>
      <c r="C3778" s="1" t="s">
        <v>32</v>
      </c>
      <c r="D3778" s="1" t="s">
        <v>19</v>
      </c>
      <c r="E3778" s="1" t="s">
        <v>79</v>
      </c>
      <c r="F3778">
        <v>2012</v>
      </c>
      <c r="G3778">
        <v>7</v>
      </c>
      <c r="H3778" s="1" t="s">
        <v>21</v>
      </c>
      <c r="I3778">
        <v>22</v>
      </c>
      <c r="J3778">
        <v>2683</v>
      </c>
      <c r="K3778" s="1" t="s">
        <v>80</v>
      </c>
      <c r="L3778" s="1" t="s">
        <v>45</v>
      </c>
      <c r="M3778">
        <v>1.2090000000000001</v>
      </c>
      <c r="N3778">
        <v>26601.9</v>
      </c>
      <c r="O3778">
        <v>26.602</v>
      </c>
      <c r="P3778" s="2">
        <v>43709</v>
      </c>
      <c r="Q3778">
        <v>1</v>
      </c>
      <c r="R3778" s="1" t="s">
        <v>40</v>
      </c>
    </row>
    <row r="3779" spans="1:18" x14ac:dyDescent="0.25">
      <c r="A3779">
        <v>2019</v>
      </c>
      <c r="B3779">
        <v>10</v>
      </c>
      <c r="C3779" s="1" t="s">
        <v>33</v>
      </c>
      <c r="D3779" s="1" t="s">
        <v>19</v>
      </c>
      <c r="E3779" s="1" t="s">
        <v>79</v>
      </c>
      <c r="F3779">
        <v>2012</v>
      </c>
      <c r="G3779">
        <v>7</v>
      </c>
      <c r="H3779" s="1" t="s">
        <v>21</v>
      </c>
      <c r="I3779">
        <v>22</v>
      </c>
      <c r="J3779">
        <v>2683</v>
      </c>
      <c r="K3779" s="1" t="s">
        <v>80</v>
      </c>
      <c r="L3779" s="1" t="s">
        <v>45</v>
      </c>
      <c r="M3779">
        <v>1.587</v>
      </c>
      <c r="N3779">
        <v>34912.5</v>
      </c>
      <c r="O3779">
        <v>34.912999999999997</v>
      </c>
      <c r="P3779" s="2">
        <v>43739</v>
      </c>
      <c r="Q3779">
        <v>1</v>
      </c>
      <c r="R3779" s="1" t="s">
        <v>40</v>
      </c>
    </row>
    <row r="3780" spans="1:18" x14ac:dyDescent="0.25">
      <c r="A3780">
        <v>2019</v>
      </c>
      <c r="B3780">
        <v>11</v>
      </c>
      <c r="C3780" s="1" t="s">
        <v>34</v>
      </c>
      <c r="D3780" s="1" t="s">
        <v>19</v>
      </c>
      <c r="E3780" s="1" t="s">
        <v>79</v>
      </c>
      <c r="F3780">
        <v>2012</v>
      </c>
      <c r="G3780">
        <v>7</v>
      </c>
      <c r="H3780" s="1" t="s">
        <v>21</v>
      </c>
      <c r="I3780">
        <v>22</v>
      </c>
      <c r="J3780">
        <v>2683</v>
      </c>
      <c r="K3780" s="1" t="s">
        <v>80</v>
      </c>
      <c r="L3780" s="1" t="s">
        <v>45</v>
      </c>
      <c r="M3780">
        <v>1.155</v>
      </c>
      <c r="N3780">
        <v>25414.7</v>
      </c>
      <c r="O3780">
        <v>25.414999999999999</v>
      </c>
      <c r="P3780" s="2">
        <v>43770</v>
      </c>
      <c r="Q3780">
        <v>1</v>
      </c>
      <c r="R3780" s="1" t="s">
        <v>40</v>
      </c>
    </row>
    <row r="3781" spans="1:18" x14ac:dyDescent="0.25">
      <c r="A3781">
        <v>2019</v>
      </c>
      <c r="B3781">
        <v>12</v>
      </c>
      <c r="C3781" s="1" t="s">
        <v>35</v>
      </c>
      <c r="D3781" s="1" t="s">
        <v>19</v>
      </c>
      <c r="E3781" s="1" t="s">
        <v>79</v>
      </c>
      <c r="F3781">
        <v>2012</v>
      </c>
      <c r="G3781">
        <v>7</v>
      </c>
      <c r="H3781" s="1" t="s">
        <v>21</v>
      </c>
      <c r="I3781">
        <v>22</v>
      </c>
      <c r="J3781">
        <v>2683</v>
      </c>
      <c r="K3781" s="1" t="s">
        <v>80</v>
      </c>
      <c r="L3781" s="1" t="s">
        <v>45</v>
      </c>
      <c r="M3781">
        <v>0.86899999999999999</v>
      </c>
      <c r="N3781">
        <v>19116.400000000001</v>
      </c>
      <c r="O3781">
        <v>19.116</v>
      </c>
      <c r="P3781" s="2">
        <v>43800</v>
      </c>
      <c r="Q3781">
        <v>1</v>
      </c>
      <c r="R3781" s="1" t="s">
        <v>40</v>
      </c>
    </row>
    <row r="3782" spans="1:18" x14ac:dyDescent="0.25">
      <c r="A3782">
        <v>2019</v>
      </c>
      <c r="B3782">
        <v>1</v>
      </c>
      <c r="C3782" s="1" t="s">
        <v>18</v>
      </c>
      <c r="D3782" s="1" t="s">
        <v>19</v>
      </c>
      <c r="E3782" s="1" t="s">
        <v>81</v>
      </c>
      <c r="F3782">
        <v>2012</v>
      </c>
      <c r="G3782">
        <v>7</v>
      </c>
      <c r="H3782" s="1" t="s">
        <v>21</v>
      </c>
      <c r="I3782">
        <v>28</v>
      </c>
      <c r="J3782">
        <v>3483</v>
      </c>
      <c r="K3782" s="1" t="s">
        <v>53</v>
      </c>
      <c r="L3782" s="1" t="s">
        <v>45</v>
      </c>
      <c r="M3782">
        <v>1.119</v>
      </c>
      <c r="N3782">
        <v>31320.9</v>
      </c>
      <c r="O3782">
        <v>31.321000000000002</v>
      </c>
      <c r="P3782" s="2">
        <v>43466</v>
      </c>
      <c r="Q3782">
        <v>1</v>
      </c>
      <c r="R3782" s="1" t="s">
        <v>40</v>
      </c>
    </row>
    <row r="3783" spans="1:18" x14ac:dyDescent="0.25">
      <c r="A3783">
        <v>2019</v>
      </c>
      <c r="B3783">
        <v>2</v>
      </c>
      <c r="C3783" s="1" t="s">
        <v>25</v>
      </c>
      <c r="D3783" s="1" t="s">
        <v>19</v>
      </c>
      <c r="E3783" s="1" t="s">
        <v>81</v>
      </c>
      <c r="F3783">
        <v>2012</v>
      </c>
      <c r="G3783">
        <v>7</v>
      </c>
      <c r="H3783" s="1" t="s">
        <v>21</v>
      </c>
      <c r="I3783">
        <v>28</v>
      </c>
      <c r="J3783">
        <v>3483</v>
      </c>
      <c r="K3783" s="1" t="s">
        <v>53</v>
      </c>
      <c r="L3783" s="1" t="s">
        <v>45</v>
      </c>
      <c r="M3783">
        <v>1.3080000000000001</v>
      </c>
      <c r="N3783">
        <v>36623.699999999997</v>
      </c>
      <c r="O3783">
        <v>36.624000000000002</v>
      </c>
      <c r="P3783" s="2">
        <v>43497</v>
      </c>
      <c r="Q3783">
        <v>1</v>
      </c>
      <c r="R3783" s="1" t="s">
        <v>40</v>
      </c>
    </row>
    <row r="3784" spans="1:18" x14ac:dyDescent="0.25">
      <c r="A3784">
        <v>2019</v>
      </c>
      <c r="B3784">
        <v>3</v>
      </c>
      <c r="C3784" s="1" t="s">
        <v>26</v>
      </c>
      <c r="D3784" s="1" t="s">
        <v>19</v>
      </c>
      <c r="E3784" s="1" t="s">
        <v>81</v>
      </c>
      <c r="F3784">
        <v>2012</v>
      </c>
      <c r="G3784">
        <v>7</v>
      </c>
      <c r="H3784" s="1" t="s">
        <v>21</v>
      </c>
      <c r="I3784">
        <v>28</v>
      </c>
      <c r="J3784">
        <v>3483</v>
      </c>
      <c r="K3784" s="1" t="s">
        <v>53</v>
      </c>
      <c r="L3784" s="1" t="s">
        <v>45</v>
      </c>
      <c r="M3784">
        <v>1.522</v>
      </c>
      <c r="N3784">
        <v>42605.8</v>
      </c>
      <c r="O3784">
        <v>42.606000000000002</v>
      </c>
      <c r="P3784" s="2">
        <v>43525</v>
      </c>
      <c r="Q3784">
        <v>1</v>
      </c>
      <c r="R3784" s="1" t="s">
        <v>40</v>
      </c>
    </row>
    <row r="3785" spans="1:18" x14ac:dyDescent="0.25">
      <c r="A3785">
        <v>2019</v>
      </c>
      <c r="B3785">
        <v>4</v>
      </c>
      <c r="C3785" s="1" t="s">
        <v>27</v>
      </c>
      <c r="D3785" s="1" t="s">
        <v>19</v>
      </c>
      <c r="E3785" s="1" t="s">
        <v>81</v>
      </c>
      <c r="F3785">
        <v>2012</v>
      </c>
      <c r="G3785">
        <v>7</v>
      </c>
      <c r="H3785" s="1" t="s">
        <v>21</v>
      </c>
      <c r="I3785">
        <v>28</v>
      </c>
      <c r="J3785">
        <v>3483</v>
      </c>
      <c r="K3785" s="1" t="s">
        <v>53</v>
      </c>
      <c r="L3785" s="1" t="s">
        <v>45</v>
      </c>
      <c r="M3785">
        <v>1.7090000000000001</v>
      </c>
      <c r="N3785">
        <v>47856.4</v>
      </c>
      <c r="O3785">
        <v>47.856000000000002</v>
      </c>
      <c r="P3785" s="2">
        <v>43556</v>
      </c>
      <c r="Q3785">
        <v>1</v>
      </c>
      <c r="R3785" s="1" t="s">
        <v>40</v>
      </c>
    </row>
    <row r="3786" spans="1:18" x14ac:dyDescent="0.25">
      <c r="A3786">
        <v>2019</v>
      </c>
      <c r="B3786">
        <v>5</v>
      </c>
      <c r="C3786" s="1" t="s">
        <v>28</v>
      </c>
      <c r="D3786" s="1" t="s">
        <v>19</v>
      </c>
      <c r="E3786" s="1" t="s">
        <v>81</v>
      </c>
      <c r="F3786">
        <v>2012</v>
      </c>
      <c r="G3786">
        <v>7</v>
      </c>
      <c r="H3786" s="1" t="s">
        <v>21</v>
      </c>
      <c r="I3786">
        <v>28</v>
      </c>
      <c r="J3786">
        <v>3483</v>
      </c>
      <c r="K3786" s="1" t="s">
        <v>53</v>
      </c>
      <c r="L3786" s="1" t="s">
        <v>45</v>
      </c>
      <c r="M3786">
        <v>1.748</v>
      </c>
      <c r="N3786">
        <v>48953.599999999999</v>
      </c>
      <c r="O3786">
        <v>48.954000000000001</v>
      </c>
      <c r="P3786" s="2">
        <v>43586</v>
      </c>
      <c r="Q3786">
        <v>1</v>
      </c>
      <c r="R3786" s="1" t="s">
        <v>40</v>
      </c>
    </row>
    <row r="3787" spans="1:18" x14ac:dyDescent="0.25">
      <c r="A3787">
        <v>2019</v>
      </c>
      <c r="B3787">
        <v>6</v>
      </c>
      <c r="C3787" s="1" t="s">
        <v>29</v>
      </c>
      <c r="D3787" s="1" t="s">
        <v>19</v>
      </c>
      <c r="E3787" s="1" t="s">
        <v>81</v>
      </c>
      <c r="F3787">
        <v>2012</v>
      </c>
      <c r="G3787">
        <v>7</v>
      </c>
      <c r="H3787" s="1" t="s">
        <v>21</v>
      </c>
      <c r="I3787">
        <v>28</v>
      </c>
      <c r="J3787">
        <v>3483</v>
      </c>
      <c r="K3787" s="1" t="s">
        <v>53</v>
      </c>
      <c r="L3787" s="1" t="s">
        <v>45</v>
      </c>
      <c r="M3787">
        <v>1.66</v>
      </c>
      <c r="N3787">
        <v>46471.9</v>
      </c>
      <c r="O3787">
        <v>46.472000000000001</v>
      </c>
      <c r="P3787" s="2">
        <v>43617</v>
      </c>
      <c r="Q3787">
        <v>1</v>
      </c>
      <c r="R3787" s="1" t="s">
        <v>40</v>
      </c>
    </row>
    <row r="3788" spans="1:18" x14ac:dyDescent="0.25">
      <c r="A3788">
        <v>2019</v>
      </c>
      <c r="B3788">
        <v>7</v>
      </c>
      <c r="C3788" s="1" t="s">
        <v>30</v>
      </c>
      <c r="D3788" s="1" t="s">
        <v>19</v>
      </c>
      <c r="E3788" s="1" t="s">
        <v>81</v>
      </c>
      <c r="F3788">
        <v>2012</v>
      </c>
      <c r="G3788">
        <v>7</v>
      </c>
      <c r="H3788" s="1" t="s">
        <v>21</v>
      </c>
      <c r="I3788">
        <v>28</v>
      </c>
      <c r="J3788">
        <v>3483</v>
      </c>
      <c r="K3788" s="1" t="s">
        <v>53</v>
      </c>
      <c r="L3788" s="1" t="s">
        <v>45</v>
      </c>
      <c r="M3788">
        <v>1.4930000000000001</v>
      </c>
      <c r="N3788">
        <v>41796</v>
      </c>
      <c r="O3788">
        <v>41.795999999999999</v>
      </c>
      <c r="P3788" s="2">
        <v>43647</v>
      </c>
      <c r="Q3788">
        <v>1</v>
      </c>
      <c r="R3788" s="1" t="s">
        <v>40</v>
      </c>
    </row>
    <row r="3789" spans="1:18" x14ac:dyDescent="0.25">
      <c r="A3789">
        <v>2019</v>
      </c>
      <c r="B3789">
        <v>8</v>
      </c>
      <c r="C3789" s="1" t="s">
        <v>31</v>
      </c>
      <c r="D3789" s="1" t="s">
        <v>19</v>
      </c>
      <c r="E3789" s="1" t="s">
        <v>81</v>
      </c>
      <c r="F3789">
        <v>2012</v>
      </c>
      <c r="G3789">
        <v>7</v>
      </c>
      <c r="H3789" s="1" t="s">
        <v>21</v>
      </c>
      <c r="I3789">
        <v>28</v>
      </c>
      <c r="J3789">
        <v>3483</v>
      </c>
      <c r="K3789" s="1" t="s">
        <v>53</v>
      </c>
      <c r="L3789" s="1" t="s">
        <v>45</v>
      </c>
      <c r="M3789">
        <v>1.7350000000000001</v>
      </c>
      <c r="N3789">
        <v>48587.9</v>
      </c>
      <c r="O3789">
        <v>48.588000000000001</v>
      </c>
      <c r="P3789" s="2">
        <v>43678</v>
      </c>
      <c r="Q3789">
        <v>1</v>
      </c>
      <c r="R3789" s="1" t="s">
        <v>40</v>
      </c>
    </row>
    <row r="3790" spans="1:18" x14ac:dyDescent="0.25">
      <c r="A3790">
        <v>2019</v>
      </c>
      <c r="B3790">
        <v>9</v>
      </c>
      <c r="C3790" s="1" t="s">
        <v>32</v>
      </c>
      <c r="D3790" s="1" t="s">
        <v>19</v>
      </c>
      <c r="E3790" s="1" t="s">
        <v>81</v>
      </c>
      <c r="F3790">
        <v>2012</v>
      </c>
      <c r="G3790">
        <v>7</v>
      </c>
      <c r="H3790" s="1" t="s">
        <v>21</v>
      </c>
      <c r="I3790">
        <v>28</v>
      </c>
      <c r="J3790">
        <v>3483</v>
      </c>
      <c r="K3790" s="1" t="s">
        <v>53</v>
      </c>
      <c r="L3790" s="1" t="s">
        <v>45</v>
      </c>
      <c r="M3790">
        <v>1.2330000000000001</v>
      </c>
      <c r="N3790">
        <v>34533.9</v>
      </c>
      <c r="O3790">
        <v>34.533999999999999</v>
      </c>
      <c r="P3790" s="2">
        <v>43709</v>
      </c>
      <c r="Q3790">
        <v>1</v>
      </c>
      <c r="R3790" s="1" t="s">
        <v>40</v>
      </c>
    </row>
    <row r="3791" spans="1:18" x14ac:dyDescent="0.25">
      <c r="A3791">
        <v>2019</v>
      </c>
      <c r="B3791">
        <v>10</v>
      </c>
      <c r="C3791" s="1" t="s">
        <v>33</v>
      </c>
      <c r="D3791" s="1" t="s">
        <v>19</v>
      </c>
      <c r="E3791" s="1" t="s">
        <v>81</v>
      </c>
      <c r="F3791">
        <v>2012</v>
      </c>
      <c r="G3791">
        <v>7</v>
      </c>
      <c r="H3791" s="1" t="s">
        <v>21</v>
      </c>
      <c r="I3791">
        <v>28</v>
      </c>
      <c r="J3791">
        <v>3483</v>
      </c>
      <c r="K3791" s="1" t="s">
        <v>53</v>
      </c>
      <c r="L3791" s="1" t="s">
        <v>45</v>
      </c>
      <c r="M3791">
        <v>1.619</v>
      </c>
      <c r="N3791">
        <v>45322.5</v>
      </c>
      <c r="O3791">
        <v>45.323</v>
      </c>
      <c r="P3791" s="2">
        <v>43739</v>
      </c>
      <c r="Q3791">
        <v>1</v>
      </c>
      <c r="R3791" s="1" t="s">
        <v>40</v>
      </c>
    </row>
    <row r="3792" spans="1:18" x14ac:dyDescent="0.25">
      <c r="A3792">
        <v>2019</v>
      </c>
      <c r="B3792">
        <v>11</v>
      </c>
      <c r="C3792" s="1" t="s">
        <v>34</v>
      </c>
      <c r="D3792" s="1" t="s">
        <v>19</v>
      </c>
      <c r="E3792" s="1" t="s">
        <v>81</v>
      </c>
      <c r="F3792">
        <v>2012</v>
      </c>
      <c r="G3792">
        <v>7</v>
      </c>
      <c r="H3792" s="1" t="s">
        <v>21</v>
      </c>
      <c r="I3792">
        <v>28</v>
      </c>
      <c r="J3792">
        <v>3483</v>
      </c>
      <c r="K3792" s="1" t="s">
        <v>53</v>
      </c>
      <c r="L3792" s="1" t="s">
        <v>45</v>
      </c>
      <c r="M3792">
        <v>1.1779999999999999</v>
      </c>
      <c r="N3792">
        <v>32992.699999999997</v>
      </c>
      <c r="O3792">
        <v>32.993000000000002</v>
      </c>
      <c r="P3792" s="2">
        <v>43770</v>
      </c>
      <c r="Q3792">
        <v>1</v>
      </c>
      <c r="R3792" s="1" t="s">
        <v>40</v>
      </c>
    </row>
    <row r="3793" spans="1:18" x14ac:dyDescent="0.25">
      <c r="A3793">
        <v>2019</v>
      </c>
      <c r="B3793">
        <v>12</v>
      </c>
      <c r="C3793" s="1" t="s">
        <v>35</v>
      </c>
      <c r="D3793" s="1" t="s">
        <v>19</v>
      </c>
      <c r="E3793" s="1" t="s">
        <v>81</v>
      </c>
      <c r="F3793">
        <v>2012</v>
      </c>
      <c r="G3793">
        <v>7</v>
      </c>
      <c r="H3793" s="1" t="s">
        <v>21</v>
      </c>
      <c r="I3793">
        <v>28</v>
      </c>
      <c r="J3793">
        <v>3483</v>
      </c>
      <c r="K3793" s="1" t="s">
        <v>53</v>
      </c>
      <c r="L3793" s="1" t="s">
        <v>45</v>
      </c>
      <c r="M3793">
        <v>0.88600000000000001</v>
      </c>
      <c r="N3793">
        <v>24816.400000000001</v>
      </c>
      <c r="O3793">
        <v>24.815999999999999</v>
      </c>
      <c r="P3793" s="2">
        <v>43800</v>
      </c>
      <c r="Q3793">
        <v>1</v>
      </c>
      <c r="R3793" s="1" t="s">
        <v>40</v>
      </c>
    </row>
    <row r="3794" spans="1:18" x14ac:dyDescent="0.25">
      <c r="A3794">
        <v>2019</v>
      </c>
      <c r="B3794">
        <v>1</v>
      </c>
      <c r="C3794" s="1" t="s">
        <v>18</v>
      </c>
      <c r="D3794" s="1" t="s">
        <v>19</v>
      </c>
      <c r="E3794" s="1" t="s">
        <v>82</v>
      </c>
      <c r="F3794">
        <v>2013</v>
      </c>
      <c r="G3794">
        <v>6</v>
      </c>
      <c r="H3794" s="1" t="s">
        <v>21</v>
      </c>
      <c r="I3794">
        <v>24</v>
      </c>
      <c r="J3794">
        <v>2678</v>
      </c>
      <c r="K3794" s="1" t="s">
        <v>83</v>
      </c>
      <c r="L3794" s="1" t="s">
        <v>45</v>
      </c>
      <c r="M3794">
        <v>1.0029999999999999</v>
      </c>
      <c r="N3794">
        <v>24081.9</v>
      </c>
      <c r="O3794">
        <v>24.082000000000001</v>
      </c>
      <c r="P3794" s="2">
        <v>43466</v>
      </c>
      <c r="Q3794">
        <v>1</v>
      </c>
      <c r="R3794" s="1" t="s">
        <v>40</v>
      </c>
    </row>
    <row r="3795" spans="1:18" x14ac:dyDescent="0.25">
      <c r="A3795">
        <v>2019</v>
      </c>
      <c r="B3795">
        <v>2</v>
      </c>
      <c r="C3795" s="1" t="s">
        <v>25</v>
      </c>
      <c r="D3795" s="1" t="s">
        <v>19</v>
      </c>
      <c r="E3795" s="1" t="s">
        <v>82</v>
      </c>
      <c r="F3795">
        <v>2013</v>
      </c>
      <c r="G3795">
        <v>6</v>
      </c>
      <c r="H3795" s="1" t="s">
        <v>21</v>
      </c>
      <c r="I3795">
        <v>24</v>
      </c>
      <c r="J3795">
        <v>2678</v>
      </c>
      <c r="K3795" s="1" t="s">
        <v>83</v>
      </c>
      <c r="L3795" s="1" t="s">
        <v>45</v>
      </c>
      <c r="M3795">
        <v>1.173</v>
      </c>
      <c r="N3795">
        <v>28159.200000000001</v>
      </c>
      <c r="O3795">
        <v>28.158999999999999</v>
      </c>
      <c r="P3795" s="2">
        <v>43497</v>
      </c>
      <c r="Q3795">
        <v>1</v>
      </c>
      <c r="R3795" s="1" t="s">
        <v>40</v>
      </c>
    </row>
    <row r="3796" spans="1:18" x14ac:dyDescent="0.25">
      <c r="A3796">
        <v>2019</v>
      </c>
      <c r="B3796">
        <v>3</v>
      </c>
      <c r="C3796" s="1" t="s">
        <v>26</v>
      </c>
      <c r="D3796" s="1" t="s">
        <v>19</v>
      </c>
      <c r="E3796" s="1" t="s">
        <v>82</v>
      </c>
      <c r="F3796">
        <v>2013</v>
      </c>
      <c r="G3796">
        <v>6</v>
      </c>
      <c r="H3796" s="1" t="s">
        <v>21</v>
      </c>
      <c r="I3796">
        <v>24</v>
      </c>
      <c r="J3796">
        <v>2678</v>
      </c>
      <c r="K3796" s="1" t="s">
        <v>83</v>
      </c>
      <c r="L3796" s="1" t="s">
        <v>45</v>
      </c>
      <c r="M3796">
        <v>1.365</v>
      </c>
      <c r="N3796">
        <v>32758.6</v>
      </c>
      <c r="O3796">
        <v>32.759</v>
      </c>
      <c r="P3796" s="2">
        <v>43525</v>
      </c>
      <c r="Q3796">
        <v>1</v>
      </c>
      <c r="R3796" s="1" t="s">
        <v>40</v>
      </c>
    </row>
    <row r="3797" spans="1:18" x14ac:dyDescent="0.25">
      <c r="A3797">
        <v>2019</v>
      </c>
      <c r="B3797">
        <v>4</v>
      </c>
      <c r="C3797" s="1" t="s">
        <v>27</v>
      </c>
      <c r="D3797" s="1" t="s">
        <v>19</v>
      </c>
      <c r="E3797" s="1" t="s">
        <v>82</v>
      </c>
      <c r="F3797">
        <v>2013</v>
      </c>
      <c r="G3797">
        <v>6</v>
      </c>
      <c r="H3797" s="1" t="s">
        <v>21</v>
      </c>
      <c r="I3797">
        <v>24</v>
      </c>
      <c r="J3797">
        <v>2678</v>
      </c>
      <c r="K3797" s="1" t="s">
        <v>83</v>
      </c>
      <c r="L3797" s="1" t="s">
        <v>45</v>
      </c>
      <c r="M3797">
        <v>1.5329999999999999</v>
      </c>
      <c r="N3797">
        <v>36795.699999999997</v>
      </c>
      <c r="O3797">
        <v>36.795999999999999</v>
      </c>
      <c r="P3797" s="2">
        <v>43556</v>
      </c>
      <c r="Q3797">
        <v>1</v>
      </c>
      <c r="R3797" s="1" t="s">
        <v>40</v>
      </c>
    </row>
    <row r="3798" spans="1:18" x14ac:dyDescent="0.25">
      <c r="A3798">
        <v>2019</v>
      </c>
      <c r="B3798">
        <v>5</v>
      </c>
      <c r="C3798" s="1" t="s">
        <v>28</v>
      </c>
      <c r="D3798" s="1" t="s">
        <v>19</v>
      </c>
      <c r="E3798" s="1" t="s">
        <v>82</v>
      </c>
      <c r="F3798">
        <v>2013</v>
      </c>
      <c r="G3798">
        <v>6</v>
      </c>
      <c r="H3798" s="1" t="s">
        <v>21</v>
      </c>
      <c r="I3798">
        <v>24</v>
      </c>
      <c r="J3798">
        <v>2678</v>
      </c>
      <c r="K3798" s="1" t="s">
        <v>83</v>
      </c>
      <c r="L3798" s="1" t="s">
        <v>45</v>
      </c>
      <c r="M3798">
        <v>1.5680000000000001</v>
      </c>
      <c r="N3798">
        <v>37639.300000000003</v>
      </c>
      <c r="O3798">
        <v>37.639000000000003</v>
      </c>
      <c r="P3798" s="2">
        <v>43586</v>
      </c>
      <c r="Q3798">
        <v>1</v>
      </c>
      <c r="R3798" s="1" t="s">
        <v>40</v>
      </c>
    </row>
    <row r="3799" spans="1:18" x14ac:dyDescent="0.25">
      <c r="A3799">
        <v>2019</v>
      </c>
      <c r="B3799">
        <v>6</v>
      </c>
      <c r="C3799" s="1" t="s">
        <v>29</v>
      </c>
      <c r="D3799" s="1" t="s">
        <v>19</v>
      </c>
      <c r="E3799" s="1" t="s">
        <v>82</v>
      </c>
      <c r="F3799">
        <v>2013</v>
      </c>
      <c r="G3799">
        <v>6</v>
      </c>
      <c r="H3799" s="1" t="s">
        <v>21</v>
      </c>
      <c r="I3799">
        <v>24</v>
      </c>
      <c r="J3799">
        <v>2678</v>
      </c>
      <c r="K3799" s="1" t="s">
        <v>83</v>
      </c>
      <c r="L3799" s="1" t="s">
        <v>45</v>
      </c>
      <c r="M3799">
        <v>1.4890000000000001</v>
      </c>
      <c r="N3799">
        <v>35731.199999999997</v>
      </c>
      <c r="O3799">
        <v>35.731000000000002</v>
      </c>
      <c r="P3799" s="2">
        <v>43617</v>
      </c>
      <c r="Q3799">
        <v>1</v>
      </c>
      <c r="R3799" s="1" t="s">
        <v>40</v>
      </c>
    </row>
    <row r="3800" spans="1:18" x14ac:dyDescent="0.25">
      <c r="A3800">
        <v>2019</v>
      </c>
      <c r="B3800">
        <v>7</v>
      </c>
      <c r="C3800" s="1" t="s">
        <v>30</v>
      </c>
      <c r="D3800" s="1" t="s">
        <v>19</v>
      </c>
      <c r="E3800" s="1" t="s">
        <v>82</v>
      </c>
      <c r="F3800">
        <v>2013</v>
      </c>
      <c r="G3800">
        <v>6</v>
      </c>
      <c r="H3800" s="1" t="s">
        <v>21</v>
      </c>
      <c r="I3800">
        <v>24</v>
      </c>
      <c r="J3800">
        <v>2678</v>
      </c>
      <c r="K3800" s="1" t="s">
        <v>83</v>
      </c>
      <c r="L3800" s="1" t="s">
        <v>45</v>
      </c>
      <c r="M3800">
        <v>1.339</v>
      </c>
      <c r="N3800">
        <v>32136</v>
      </c>
      <c r="O3800">
        <v>32.136000000000003</v>
      </c>
      <c r="P3800" s="2">
        <v>43647</v>
      </c>
      <c r="Q3800">
        <v>1</v>
      </c>
      <c r="R3800" s="1" t="s">
        <v>40</v>
      </c>
    </row>
    <row r="3801" spans="1:18" x14ac:dyDescent="0.25">
      <c r="A3801">
        <v>2019</v>
      </c>
      <c r="B3801">
        <v>8</v>
      </c>
      <c r="C3801" s="1" t="s">
        <v>31</v>
      </c>
      <c r="D3801" s="1" t="s">
        <v>19</v>
      </c>
      <c r="E3801" s="1" t="s">
        <v>82</v>
      </c>
      <c r="F3801">
        <v>2013</v>
      </c>
      <c r="G3801">
        <v>6</v>
      </c>
      <c r="H3801" s="1" t="s">
        <v>21</v>
      </c>
      <c r="I3801">
        <v>24</v>
      </c>
      <c r="J3801">
        <v>2678</v>
      </c>
      <c r="K3801" s="1" t="s">
        <v>83</v>
      </c>
      <c r="L3801" s="1" t="s">
        <v>45</v>
      </c>
      <c r="M3801">
        <v>1.5569999999999999</v>
      </c>
      <c r="N3801">
        <v>37358.1</v>
      </c>
      <c r="O3801">
        <v>37.357999999999997</v>
      </c>
      <c r="P3801" s="2">
        <v>43678</v>
      </c>
      <c r="Q3801">
        <v>1</v>
      </c>
      <c r="R3801" s="1" t="s">
        <v>40</v>
      </c>
    </row>
    <row r="3802" spans="1:18" x14ac:dyDescent="0.25">
      <c r="A3802">
        <v>2019</v>
      </c>
      <c r="B3802">
        <v>9</v>
      </c>
      <c r="C3802" s="1" t="s">
        <v>32</v>
      </c>
      <c r="D3802" s="1" t="s">
        <v>19</v>
      </c>
      <c r="E3802" s="1" t="s">
        <v>82</v>
      </c>
      <c r="F3802">
        <v>2013</v>
      </c>
      <c r="G3802">
        <v>6</v>
      </c>
      <c r="H3802" s="1" t="s">
        <v>21</v>
      </c>
      <c r="I3802">
        <v>24</v>
      </c>
      <c r="J3802">
        <v>2678</v>
      </c>
      <c r="K3802" s="1" t="s">
        <v>83</v>
      </c>
      <c r="L3802" s="1" t="s">
        <v>45</v>
      </c>
      <c r="M3802">
        <v>1.1060000000000001</v>
      </c>
      <c r="N3802">
        <v>26552.400000000001</v>
      </c>
      <c r="O3802">
        <v>26.552</v>
      </c>
      <c r="P3802" s="2">
        <v>43709</v>
      </c>
      <c r="Q3802">
        <v>1</v>
      </c>
      <c r="R3802" s="1" t="s">
        <v>40</v>
      </c>
    </row>
    <row r="3803" spans="1:18" x14ac:dyDescent="0.25">
      <c r="A3803">
        <v>2019</v>
      </c>
      <c r="B3803">
        <v>10</v>
      </c>
      <c r="C3803" s="1" t="s">
        <v>33</v>
      </c>
      <c r="D3803" s="1" t="s">
        <v>19</v>
      </c>
      <c r="E3803" s="1" t="s">
        <v>82</v>
      </c>
      <c r="F3803">
        <v>2013</v>
      </c>
      <c r="G3803">
        <v>6</v>
      </c>
      <c r="H3803" s="1" t="s">
        <v>21</v>
      </c>
      <c r="I3803">
        <v>24</v>
      </c>
      <c r="J3803">
        <v>2678</v>
      </c>
      <c r="K3803" s="1" t="s">
        <v>83</v>
      </c>
      <c r="L3803" s="1" t="s">
        <v>45</v>
      </c>
      <c r="M3803">
        <v>1.452</v>
      </c>
      <c r="N3803">
        <v>34847.5</v>
      </c>
      <c r="O3803">
        <v>34.847000000000001</v>
      </c>
      <c r="P3803" s="2">
        <v>43739</v>
      </c>
      <c r="Q3803">
        <v>1</v>
      </c>
      <c r="R3803" s="1" t="s">
        <v>40</v>
      </c>
    </row>
    <row r="3804" spans="1:18" x14ac:dyDescent="0.25">
      <c r="A3804">
        <v>2019</v>
      </c>
      <c r="B3804">
        <v>11</v>
      </c>
      <c r="C3804" s="1" t="s">
        <v>34</v>
      </c>
      <c r="D3804" s="1" t="s">
        <v>19</v>
      </c>
      <c r="E3804" s="1" t="s">
        <v>82</v>
      </c>
      <c r="F3804">
        <v>2013</v>
      </c>
      <c r="G3804">
        <v>6</v>
      </c>
      <c r="H3804" s="1" t="s">
        <v>21</v>
      </c>
      <c r="I3804">
        <v>24</v>
      </c>
      <c r="J3804">
        <v>2678</v>
      </c>
      <c r="K3804" s="1" t="s">
        <v>83</v>
      </c>
      <c r="L3804" s="1" t="s">
        <v>45</v>
      </c>
      <c r="M3804">
        <v>1.0569999999999999</v>
      </c>
      <c r="N3804">
        <v>25367.4</v>
      </c>
      <c r="O3804">
        <v>25.367000000000001</v>
      </c>
      <c r="P3804" s="2">
        <v>43770</v>
      </c>
      <c r="Q3804">
        <v>1</v>
      </c>
      <c r="R3804" s="1" t="s">
        <v>40</v>
      </c>
    </row>
    <row r="3805" spans="1:18" x14ac:dyDescent="0.25">
      <c r="A3805">
        <v>2019</v>
      </c>
      <c r="B3805">
        <v>12</v>
      </c>
      <c r="C3805" s="1" t="s">
        <v>35</v>
      </c>
      <c r="D3805" s="1" t="s">
        <v>19</v>
      </c>
      <c r="E3805" s="1" t="s">
        <v>82</v>
      </c>
      <c r="F3805">
        <v>2013</v>
      </c>
      <c r="G3805">
        <v>6</v>
      </c>
      <c r="H3805" s="1" t="s">
        <v>21</v>
      </c>
      <c r="I3805">
        <v>24</v>
      </c>
      <c r="J3805">
        <v>2678</v>
      </c>
      <c r="K3805" s="1" t="s">
        <v>83</v>
      </c>
      <c r="L3805" s="1" t="s">
        <v>45</v>
      </c>
      <c r="M3805">
        <v>0.79500000000000004</v>
      </c>
      <c r="N3805">
        <v>19080.8</v>
      </c>
      <c r="O3805">
        <v>19.081</v>
      </c>
      <c r="P3805" s="2">
        <v>43800</v>
      </c>
      <c r="Q3805">
        <v>1</v>
      </c>
      <c r="R3805" s="1" t="s">
        <v>40</v>
      </c>
    </row>
    <row r="3806" spans="1:18" x14ac:dyDescent="0.25">
      <c r="A3806">
        <v>2019</v>
      </c>
      <c r="B3806">
        <v>1</v>
      </c>
      <c r="C3806" s="1" t="s">
        <v>18</v>
      </c>
      <c r="D3806" s="1" t="s">
        <v>19</v>
      </c>
      <c r="E3806" s="1" t="s">
        <v>84</v>
      </c>
      <c r="F3806">
        <v>2013</v>
      </c>
      <c r="G3806">
        <v>6</v>
      </c>
      <c r="H3806" s="1" t="s">
        <v>21</v>
      </c>
      <c r="I3806">
        <v>23</v>
      </c>
      <c r="J3806">
        <v>2683</v>
      </c>
      <c r="K3806" s="1" t="s">
        <v>85</v>
      </c>
      <c r="L3806" s="1" t="s">
        <v>45</v>
      </c>
      <c r="M3806">
        <v>1.0489999999999999</v>
      </c>
      <c r="N3806">
        <v>24126.9</v>
      </c>
      <c r="O3806">
        <v>24.126999999999999</v>
      </c>
      <c r="P3806" s="2">
        <v>43466</v>
      </c>
      <c r="Q3806">
        <v>1</v>
      </c>
      <c r="R3806" s="1" t="s">
        <v>40</v>
      </c>
    </row>
    <row r="3807" spans="1:18" x14ac:dyDescent="0.25">
      <c r="A3807">
        <v>2019</v>
      </c>
      <c r="B3807">
        <v>2</v>
      </c>
      <c r="C3807" s="1" t="s">
        <v>25</v>
      </c>
      <c r="D3807" s="1" t="s">
        <v>19</v>
      </c>
      <c r="E3807" s="1" t="s">
        <v>84</v>
      </c>
      <c r="F3807">
        <v>2013</v>
      </c>
      <c r="G3807">
        <v>6</v>
      </c>
      <c r="H3807" s="1" t="s">
        <v>21</v>
      </c>
      <c r="I3807">
        <v>23</v>
      </c>
      <c r="J3807">
        <v>2683</v>
      </c>
      <c r="K3807" s="1" t="s">
        <v>85</v>
      </c>
      <c r="L3807" s="1" t="s">
        <v>45</v>
      </c>
      <c r="M3807">
        <v>1.2270000000000001</v>
      </c>
      <c r="N3807">
        <v>28211.7</v>
      </c>
      <c r="O3807">
        <v>28.212</v>
      </c>
      <c r="P3807" s="2">
        <v>43497</v>
      </c>
      <c r="Q3807">
        <v>1</v>
      </c>
      <c r="R3807" s="1" t="s">
        <v>40</v>
      </c>
    </row>
    <row r="3808" spans="1:18" x14ac:dyDescent="0.25">
      <c r="A3808">
        <v>2019</v>
      </c>
      <c r="B3808">
        <v>3</v>
      </c>
      <c r="C3808" s="1" t="s">
        <v>26</v>
      </c>
      <c r="D3808" s="1" t="s">
        <v>19</v>
      </c>
      <c r="E3808" s="1" t="s">
        <v>84</v>
      </c>
      <c r="F3808">
        <v>2013</v>
      </c>
      <c r="G3808">
        <v>6</v>
      </c>
      <c r="H3808" s="1" t="s">
        <v>21</v>
      </c>
      <c r="I3808">
        <v>23</v>
      </c>
      <c r="J3808">
        <v>2683</v>
      </c>
      <c r="K3808" s="1" t="s">
        <v>85</v>
      </c>
      <c r="L3808" s="1" t="s">
        <v>45</v>
      </c>
      <c r="M3808">
        <v>1.427</v>
      </c>
      <c r="N3808">
        <v>32819.800000000003</v>
      </c>
      <c r="O3808">
        <v>32.82</v>
      </c>
      <c r="P3808" s="2">
        <v>43525</v>
      </c>
      <c r="Q3808">
        <v>1</v>
      </c>
      <c r="R3808" s="1" t="s">
        <v>40</v>
      </c>
    </row>
    <row r="3809" spans="1:18" x14ac:dyDescent="0.25">
      <c r="A3809">
        <v>2019</v>
      </c>
      <c r="B3809">
        <v>4</v>
      </c>
      <c r="C3809" s="1" t="s">
        <v>27</v>
      </c>
      <c r="D3809" s="1" t="s">
        <v>19</v>
      </c>
      <c r="E3809" s="1" t="s">
        <v>84</v>
      </c>
      <c r="F3809">
        <v>2013</v>
      </c>
      <c r="G3809">
        <v>6</v>
      </c>
      <c r="H3809" s="1" t="s">
        <v>21</v>
      </c>
      <c r="I3809">
        <v>23</v>
      </c>
      <c r="J3809">
        <v>2683</v>
      </c>
      <c r="K3809" s="1" t="s">
        <v>85</v>
      </c>
      <c r="L3809" s="1" t="s">
        <v>45</v>
      </c>
      <c r="M3809">
        <v>1.603</v>
      </c>
      <c r="N3809">
        <v>36864.400000000001</v>
      </c>
      <c r="O3809">
        <v>36.863999999999997</v>
      </c>
      <c r="P3809" s="2">
        <v>43556</v>
      </c>
      <c r="Q3809">
        <v>1</v>
      </c>
      <c r="R3809" s="1" t="s">
        <v>40</v>
      </c>
    </row>
    <row r="3810" spans="1:18" x14ac:dyDescent="0.25">
      <c r="A3810">
        <v>2019</v>
      </c>
      <c r="B3810">
        <v>5</v>
      </c>
      <c r="C3810" s="1" t="s">
        <v>28</v>
      </c>
      <c r="D3810" s="1" t="s">
        <v>19</v>
      </c>
      <c r="E3810" s="1" t="s">
        <v>84</v>
      </c>
      <c r="F3810">
        <v>2013</v>
      </c>
      <c r="G3810">
        <v>6</v>
      </c>
      <c r="H3810" s="1" t="s">
        <v>21</v>
      </c>
      <c r="I3810">
        <v>23</v>
      </c>
      <c r="J3810">
        <v>2683</v>
      </c>
      <c r="K3810" s="1" t="s">
        <v>85</v>
      </c>
      <c r="L3810" s="1" t="s">
        <v>45</v>
      </c>
      <c r="M3810">
        <v>1.64</v>
      </c>
      <c r="N3810">
        <v>37709.599999999999</v>
      </c>
      <c r="O3810">
        <v>37.71</v>
      </c>
      <c r="P3810" s="2">
        <v>43586</v>
      </c>
      <c r="Q3810">
        <v>1</v>
      </c>
      <c r="R3810" s="1" t="s">
        <v>40</v>
      </c>
    </row>
    <row r="3811" spans="1:18" x14ac:dyDescent="0.25">
      <c r="A3811">
        <v>2019</v>
      </c>
      <c r="B3811">
        <v>6</v>
      </c>
      <c r="C3811" s="1" t="s">
        <v>29</v>
      </c>
      <c r="D3811" s="1" t="s">
        <v>19</v>
      </c>
      <c r="E3811" s="1" t="s">
        <v>84</v>
      </c>
      <c r="F3811">
        <v>2013</v>
      </c>
      <c r="G3811">
        <v>6</v>
      </c>
      <c r="H3811" s="1" t="s">
        <v>21</v>
      </c>
      <c r="I3811">
        <v>23</v>
      </c>
      <c r="J3811">
        <v>2683</v>
      </c>
      <c r="K3811" s="1" t="s">
        <v>85</v>
      </c>
      <c r="L3811" s="1" t="s">
        <v>45</v>
      </c>
      <c r="M3811">
        <v>1.556</v>
      </c>
      <c r="N3811">
        <v>35797.9</v>
      </c>
      <c r="O3811">
        <v>35.798000000000002</v>
      </c>
      <c r="P3811" s="2">
        <v>43617</v>
      </c>
      <c r="Q3811">
        <v>1</v>
      </c>
      <c r="R3811" s="1" t="s">
        <v>40</v>
      </c>
    </row>
    <row r="3812" spans="1:18" x14ac:dyDescent="0.25">
      <c r="A3812">
        <v>2019</v>
      </c>
      <c r="B3812">
        <v>7</v>
      </c>
      <c r="C3812" s="1" t="s">
        <v>30</v>
      </c>
      <c r="D3812" s="1" t="s">
        <v>19</v>
      </c>
      <c r="E3812" s="1" t="s">
        <v>84</v>
      </c>
      <c r="F3812">
        <v>2013</v>
      </c>
      <c r="G3812">
        <v>6</v>
      </c>
      <c r="H3812" s="1" t="s">
        <v>21</v>
      </c>
      <c r="I3812">
        <v>23</v>
      </c>
      <c r="J3812">
        <v>2683</v>
      </c>
      <c r="K3812" s="1" t="s">
        <v>85</v>
      </c>
      <c r="L3812" s="1" t="s">
        <v>45</v>
      </c>
      <c r="M3812">
        <v>1.4</v>
      </c>
      <c r="N3812">
        <v>32196</v>
      </c>
      <c r="O3812">
        <v>32.195999999999998</v>
      </c>
      <c r="P3812" s="2">
        <v>43647</v>
      </c>
      <c r="Q3812">
        <v>1</v>
      </c>
      <c r="R3812" s="1" t="s">
        <v>40</v>
      </c>
    </row>
    <row r="3813" spans="1:18" x14ac:dyDescent="0.25">
      <c r="A3813">
        <v>2019</v>
      </c>
      <c r="B3813">
        <v>8</v>
      </c>
      <c r="C3813" s="1" t="s">
        <v>31</v>
      </c>
      <c r="D3813" s="1" t="s">
        <v>19</v>
      </c>
      <c r="E3813" s="1" t="s">
        <v>84</v>
      </c>
      <c r="F3813">
        <v>2013</v>
      </c>
      <c r="G3813">
        <v>6</v>
      </c>
      <c r="H3813" s="1" t="s">
        <v>21</v>
      </c>
      <c r="I3813">
        <v>23</v>
      </c>
      <c r="J3813">
        <v>2683</v>
      </c>
      <c r="K3813" s="1" t="s">
        <v>85</v>
      </c>
      <c r="L3813" s="1" t="s">
        <v>45</v>
      </c>
      <c r="M3813">
        <v>1.627</v>
      </c>
      <c r="N3813">
        <v>37427.800000000003</v>
      </c>
      <c r="O3813">
        <v>37.427999999999997</v>
      </c>
      <c r="P3813" s="2">
        <v>43678</v>
      </c>
      <c r="Q3813">
        <v>1</v>
      </c>
      <c r="R3813" s="1" t="s">
        <v>40</v>
      </c>
    </row>
    <row r="3814" spans="1:18" x14ac:dyDescent="0.25">
      <c r="A3814">
        <v>2019</v>
      </c>
      <c r="B3814">
        <v>9</v>
      </c>
      <c r="C3814" s="1" t="s">
        <v>32</v>
      </c>
      <c r="D3814" s="1" t="s">
        <v>19</v>
      </c>
      <c r="E3814" s="1" t="s">
        <v>84</v>
      </c>
      <c r="F3814">
        <v>2013</v>
      </c>
      <c r="G3814">
        <v>6</v>
      </c>
      <c r="H3814" s="1" t="s">
        <v>21</v>
      </c>
      <c r="I3814">
        <v>23</v>
      </c>
      <c r="J3814">
        <v>2683</v>
      </c>
      <c r="K3814" s="1" t="s">
        <v>85</v>
      </c>
      <c r="L3814" s="1" t="s">
        <v>45</v>
      </c>
      <c r="M3814">
        <v>1.157</v>
      </c>
      <c r="N3814">
        <v>26601.9</v>
      </c>
      <c r="O3814">
        <v>26.602</v>
      </c>
      <c r="P3814" s="2">
        <v>43709</v>
      </c>
      <c r="Q3814">
        <v>1</v>
      </c>
      <c r="R3814" s="1" t="s">
        <v>40</v>
      </c>
    </row>
    <row r="3815" spans="1:18" x14ac:dyDescent="0.25">
      <c r="A3815">
        <v>2019</v>
      </c>
      <c r="B3815">
        <v>10</v>
      </c>
      <c r="C3815" s="1" t="s">
        <v>33</v>
      </c>
      <c r="D3815" s="1" t="s">
        <v>19</v>
      </c>
      <c r="E3815" s="1" t="s">
        <v>84</v>
      </c>
      <c r="F3815">
        <v>2013</v>
      </c>
      <c r="G3815">
        <v>6</v>
      </c>
      <c r="H3815" s="1" t="s">
        <v>21</v>
      </c>
      <c r="I3815">
        <v>23</v>
      </c>
      <c r="J3815">
        <v>2683</v>
      </c>
      <c r="K3815" s="1" t="s">
        <v>85</v>
      </c>
      <c r="L3815" s="1" t="s">
        <v>45</v>
      </c>
      <c r="M3815">
        <v>1.518</v>
      </c>
      <c r="N3815">
        <v>34912.5</v>
      </c>
      <c r="O3815">
        <v>34.912999999999997</v>
      </c>
      <c r="P3815" s="2">
        <v>43739</v>
      </c>
      <c r="Q3815">
        <v>1</v>
      </c>
      <c r="R3815" s="1" t="s">
        <v>40</v>
      </c>
    </row>
    <row r="3816" spans="1:18" x14ac:dyDescent="0.25">
      <c r="A3816">
        <v>2019</v>
      </c>
      <c r="B3816">
        <v>11</v>
      </c>
      <c r="C3816" s="1" t="s">
        <v>34</v>
      </c>
      <c r="D3816" s="1" t="s">
        <v>19</v>
      </c>
      <c r="E3816" s="1" t="s">
        <v>84</v>
      </c>
      <c r="F3816">
        <v>2013</v>
      </c>
      <c r="G3816">
        <v>6</v>
      </c>
      <c r="H3816" s="1" t="s">
        <v>21</v>
      </c>
      <c r="I3816">
        <v>23</v>
      </c>
      <c r="J3816">
        <v>2683</v>
      </c>
      <c r="K3816" s="1" t="s">
        <v>85</v>
      </c>
      <c r="L3816" s="1" t="s">
        <v>45</v>
      </c>
      <c r="M3816">
        <v>1.105</v>
      </c>
      <c r="N3816">
        <v>25414.7</v>
      </c>
      <c r="O3816">
        <v>25.414999999999999</v>
      </c>
      <c r="P3816" s="2">
        <v>43770</v>
      </c>
      <c r="Q3816">
        <v>1</v>
      </c>
      <c r="R3816" s="1" t="s">
        <v>40</v>
      </c>
    </row>
    <row r="3817" spans="1:18" x14ac:dyDescent="0.25">
      <c r="A3817">
        <v>2019</v>
      </c>
      <c r="B3817">
        <v>12</v>
      </c>
      <c r="C3817" s="1" t="s">
        <v>35</v>
      </c>
      <c r="D3817" s="1" t="s">
        <v>19</v>
      </c>
      <c r="E3817" s="1" t="s">
        <v>84</v>
      </c>
      <c r="F3817">
        <v>2013</v>
      </c>
      <c r="G3817">
        <v>6</v>
      </c>
      <c r="H3817" s="1" t="s">
        <v>21</v>
      </c>
      <c r="I3817">
        <v>23</v>
      </c>
      <c r="J3817">
        <v>2683</v>
      </c>
      <c r="K3817" s="1" t="s">
        <v>85</v>
      </c>
      <c r="L3817" s="1" t="s">
        <v>45</v>
      </c>
      <c r="M3817">
        <v>0.83099999999999996</v>
      </c>
      <c r="N3817">
        <v>19116.400000000001</v>
      </c>
      <c r="O3817">
        <v>19.116</v>
      </c>
      <c r="P3817" s="2">
        <v>43800</v>
      </c>
      <c r="Q3817">
        <v>1</v>
      </c>
      <c r="R3817" s="1" t="s">
        <v>40</v>
      </c>
    </row>
    <row r="3818" spans="1:18" x14ac:dyDescent="0.25">
      <c r="A3818">
        <v>2019</v>
      </c>
      <c r="B3818">
        <v>1</v>
      </c>
      <c r="C3818" s="1" t="s">
        <v>18</v>
      </c>
      <c r="D3818" s="1" t="s">
        <v>19</v>
      </c>
      <c r="E3818" s="1" t="s">
        <v>86</v>
      </c>
      <c r="F3818">
        <v>2013</v>
      </c>
      <c r="G3818">
        <v>6</v>
      </c>
      <c r="H3818" s="1" t="s">
        <v>21</v>
      </c>
      <c r="I3818">
        <v>24</v>
      </c>
      <c r="J3818">
        <v>3445</v>
      </c>
      <c r="K3818" s="1" t="s">
        <v>87</v>
      </c>
      <c r="L3818" s="1" t="s">
        <v>45</v>
      </c>
      <c r="M3818">
        <v>1.2909999999999999</v>
      </c>
      <c r="N3818">
        <v>30979.200000000001</v>
      </c>
      <c r="O3818">
        <v>30.978999999999999</v>
      </c>
      <c r="P3818" s="2">
        <v>43466</v>
      </c>
      <c r="Q3818">
        <v>1</v>
      </c>
      <c r="R3818" s="1" t="s">
        <v>40</v>
      </c>
    </row>
    <row r="3819" spans="1:18" x14ac:dyDescent="0.25">
      <c r="A3819">
        <v>2019</v>
      </c>
      <c r="B3819">
        <v>2</v>
      </c>
      <c r="C3819" s="1" t="s">
        <v>25</v>
      </c>
      <c r="D3819" s="1" t="s">
        <v>19</v>
      </c>
      <c r="E3819" s="1" t="s">
        <v>86</v>
      </c>
      <c r="F3819">
        <v>2013</v>
      </c>
      <c r="G3819">
        <v>6</v>
      </c>
      <c r="H3819" s="1" t="s">
        <v>21</v>
      </c>
      <c r="I3819">
        <v>24</v>
      </c>
      <c r="J3819">
        <v>3445</v>
      </c>
      <c r="K3819" s="1" t="s">
        <v>87</v>
      </c>
      <c r="L3819" s="1" t="s">
        <v>45</v>
      </c>
      <c r="M3819">
        <v>1.5089999999999999</v>
      </c>
      <c r="N3819">
        <v>36224.199999999997</v>
      </c>
      <c r="O3819">
        <v>36.223999999999997</v>
      </c>
      <c r="P3819" s="2">
        <v>43497</v>
      </c>
      <c r="Q3819">
        <v>1</v>
      </c>
      <c r="R3819" s="1" t="s">
        <v>40</v>
      </c>
    </row>
    <row r="3820" spans="1:18" x14ac:dyDescent="0.25">
      <c r="A3820">
        <v>2019</v>
      </c>
      <c r="B3820">
        <v>3</v>
      </c>
      <c r="C3820" s="1" t="s">
        <v>26</v>
      </c>
      <c r="D3820" s="1" t="s">
        <v>19</v>
      </c>
      <c r="E3820" s="1" t="s">
        <v>86</v>
      </c>
      <c r="F3820">
        <v>2013</v>
      </c>
      <c r="G3820">
        <v>6</v>
      </c>
      <c r="H3820" s="1" t="s">
        <v>21</v>
      </c>
      <c r="I3820">
        <v>24</v>
      </c>
      <c r="J3820">
        <v>3445</v>
      </c>
      <c r="K3820" s="1" t="s">
        <v>87</v>
      </c>
      <c r="L3820" s="1" t="s">
        <v>45</v>
      </c>
      <c r="M3820">
        <v>1.756</v>
      </c>
      <c r="N3820">
        <v>42141</v>
      </c>
      <c r="O3820">
        <v>42.140999999999998</v>
      </c>
      <c r="P3820" s="2">
        <v>43525</v>
      </c>
      <c r="Q3820">
        <v>1</v>
      </c>
      <c r="R3820" s="1" t="s">
        <v>40</v>
      </c>
    </row>
    <row r="3821" spans="1:18" x14ac:dyDescent="0.25">
      <c r="A3821">
        <v>2019</v>
      </c>
      <c r="B3821">
        <v>4</v>
      </c>
      <c r="C3821" s="1" t="s">
        <v>27</v>
      </c>
      <c r="D3821" s="1" t="s">
        <v>19</v>
      </c>
      <c r="E3821" s="1" t="s">
        <v>86</v>
      </c>
      <c r="F3821">
        <v>2013</v>
      </c>
      <c r="G3821">
        <v>6</v>
      </c>
      <c r="H3821" s="1" t="s">
        <v>21</v>
      </c>
      <c r="I3821">
        <v>24</v>
      </c>
      <c r="J3821">
        <v>3445</v>
      </c>
      <c r="K3821" s="1" t="s">
        <v>87</v>
      </c>
      <c r="L3821" s="1" t="s">
        <v>45</v>
      </c>
      <c r="M3821">
        <v>1.972</v>
      </c>
      <c r="N3821">
        <v>47334.3</v>
      </c>
      <c r="O3821">
        <v>47.334000000000003</v>
      </c>
      <c r="P3821" s="2">
        <v>43556</v>
      </c>
      <c r="Q3821">
        <v>1</v>
      </c>
      <c r="R3821" s="1" t="s">
        <v>40</v>
      </c>
    </row>
    <row r="3822" spans="1:18" x14ac:dyDescent="0.25">
      <c r="A3822">
        <v>2019</v>
      </c>
      <c r="B3822">
        <v>5</v>
      </c>
      <c r="C3822" s="1" t="s">
        <v>28</v>
      </c>
      <c r="D3822" s="1" t="s">
        <v>19</v>
      </c>
      <c r="E3822" s="1" t="s">
        <v>86</v>
      </c>
      <c r="F3822">
        <v>2013</v>
      </c>
      <c r="G3822">
        <v>6</v>
      </c>
      <c r="H3822" s="1" t="s">
        <v>21</v>
      </c>
      <c r="I3822">
        <v>24</v>
      </c>
      <c r="J3822">
        <v>3445</v>
      </c>
      <c r="K3822" s="1" t="s">
        <v>87</v>
      </c>
      <c r="L3822" s="1" t="s">
        <v>45</v>
      </c>
      <c r="M3822">
        <v>2.0169999999999999</v>
      </c>
      <c r="N3822">
        <v>48419.5</v>
      </c>
      <c r="O3822">
        <v>48.418999999999997</v>
      </c>
      <c r="P3822" s="2">
        <v>43586</v>
      </c>
      <c r="Q3822">
        <v>1</v>
      </c>
      <c r="R3822" s="1" t="s">
        <v>40</v>
      </c>
    </row>
    <row r="3823" spans="1:18" x14ac:dyDescent="0.25">
      <c r="A3823">
        <v>2019</v>
      </c>
      <c r="B3823">
        <v>6</v>
      </c>
      <c r="C3823" s="1" t="s">
        <v>29</v>
      </c>
      <c r="D3823" s="1" t="s">
        <v>19</v>
      </c>
      <c r="E3823" s="1" t="s">
        <v>86</v>
      </c>
      <c r="F3823">
        <v>2013</v>
      </c>
      <c r="G3823">
        <v>6</v>
      </c>
      <c r="H3823" s="1" t="s">
        <v>21</v>
      </c>
      <c r="I3823">
        <v>24</v>
      </c>
      <c r="J3823">
        <v>3445</v>
      </c>
      <c r="K3823" s="1" t="s">
        <v>87</v>
      </c>
      <c r="L3823" s="1" t="s">
        <v>45</v>
      </c>
      <c r="M3823">
        <v>1.915</v>
      </c>
      <c r="N3823">
        <v>45964.9</v>
      </c>
      <c r="O3823">
        <v>45.965000000000003</v>
      </c>
      <c r="P3823" s="2">
        <v>43617</v>
      </c>
      <c r="Q3823">
        <v>1</v>
      </c>
      <c r="R3823" s="1" t="s">
        <v>40</v>
      </c>
    </row>
    <row r="3824" spans="1:18" x14ac:dyDescent="0.25">
      <c r="A3824">
        <v>2019</v>
      </c>
      <c r="B3824">
        <v>7</v>
      </c>
      <c r="C3824" s="1" t="s">
        <v>30</v>
      </c>
      <c r="D3824" s="1" t="s">
        <v>19</v>
      </c>
      <c r="E3824" s="1" t="s">
        <v>86</v>
      </c>
      <c r="F3824">
        <v>2013</v>
      </c>
      <c r="G3824">
        <v>6</v>
      </c>
      <c r="H3824" s="1" t="s">
        <v>21</v>
      </c>
      <c r="I3824">
        <v>24</v>
      </c>
      <c r="J3824">
        <v>3445</v>
      </c>
      <c r="K3824" s="1" t="s">
        <v>87</v>
      </c>
      <c r="L3824" s="1" t="s">
        <v>45</v>
      </c>
      <c r="M3824">
        <v>1.7230000000000001</v>
      </c>
      <c r="N3824">
        <v>41340</v>
      </c>
      <c r="O3824">
        <v>41.34</v>
      </c>
      <c r="P3824" s="2">
        <v>43647</v>
      </c>
      <c r="Q3824">
        <v>1</v>
      </c>
      <c r="R3824" s="1" t="s">
        <v>40</v>
      </c>
    </row>
    <row r="3825" spans="1:18" x14ac:dyDescent="0.25">
      <c r="A3825">
        <v>2019</v>
      </c>
      <c r="B3825">
        <v>8</v>
      </c>
      <c r="C3825" s="1" t="s">
        <v>31</v>
      </c>
      <c r="D3825" s="1" t="s">
        <v>19</v>
      </c>
      <c r="E3825" s="1" t="s">
        <v>86</v>
      </c>
      <c r="F3825">
        <v>2013</v>
      </c>
      <c r="G3825">
        <v>6</v>
      </c>
      <c r="H3825" s="1" t="s">
        <v>21</v>
      </c>
      <c r="I3825">
        <v>24</v>
      </c>
      <c r="J3825">
        <v>3445</v>
      </c>
      <c r="K3825" s="1" t="s">
        <v>87</v>
      </c>
      <c r="L3825" s="1" t="s">
        <v>45</v>
      </c>
      <c r="M3825">
        <v>2.0019999999999998</v>
      </c>
      <c r="N3825">
        <v>48057.8</v>
      </c>
      <c r="O3825">
        <v>48.058</v>
      </c>
      <c r="P3825" s="2">
        <v>43678</v>
      </c>
      <c r="Q3825">
        <v>1</v>
      </c>
      <c r="R3825" s="1" t="s">
        <v>40</v>
      </c>
    </row>
    <row r="3826" spans="1:18" x14ac:dyDescent="0.25">
      <c r="A3826">
        <v>2019</v>
      </c>
      <c r="B3826">
        <v>9</v>
      </c>
      <c r="C3826" s="1" t="s">
        <v>32</v>
      </c>
      <c r="D3826" s="1" t="s">
        <v>19</v>
      </c>
      <c r="E3826" s="1" t="s">
        <v>86</v>
      </c>
      <c r="F3826">
        <v>2013</v>
      </c>
      <c r="G3826">
        <v>6</v>
      </c>
      <c r="H3826" s="1" t="s">
        <v>21</v>
      </c>
      <c r="I3826">
        <v>24</v>
      </c>
      <c r="J3826">
        <v>3445</v>
      </c>
      <c r="K3826" s="1" t="s">
        <v>87</v>
      </c>
      <c r="L3826" s="1" t="s">
        <v>45</v>
      </c>
      <c r="M3826">
        <v>1.423</v>
      </c>
      <c r="N3826">
        <v>34157.199999999997</v>
      </c>
      <c r="O3826">
        <v>34.156999999999996</v>
      </c>
      <c r="P3826" s="2">
        <v>43709</v>
      </c>
      <c r="Q3826">
        <v>1</v>
      </c>
      <c r="R3826" s="1" t="s">
        <v>40</v>
      </c>
    </row>
    <row r="3827" spans="1:18" x14ac:dyDescent="0.25">
      <c r="A3827">
        <v>2019</v>
      </c>
      <c r="B3827">
        <v>10</v>
      </c>
      <c r="C3827" s="1" t="s">
        <v>33</v>
      </c>
      <c r="D3827" s="1" t="s">
        <v>19</v>
      </c>
      <c r="E3827" s="1" t="s">
        <v>86</v>
      </c>
      <c r="F3827">
        <v>2013</v>
      </c>
      <c r="G3827">
        <v>6</v>
      </c>
      <c r="H3827" s="1" t="s">
        <v>21</v>
      </c>
      <c r="I3827">
        <v>24</v>
      </c>
      <c r="J3827">
        <v>3445</v>
      </c>
      <c r="K3827" s="1" t="s">
        <v>87</v>
      </c>
      <c r="L3827" s="1" t="s">
        <v>45</v>
      </c>
      <c r="M3827">
        <v>1.8680000000000001</v>
      </c>
      <c r="N3827">
        <v>44828.1</v>
      </c>
      <c r="O3827">
        <v>44.828000000000003</v>
      </c>
      <c r="P3827" s="2">
        <v>43739</v>
      </c>
      <c r="Q3827">
        <v>1</v>
      </c>
      <c r="R3827" s="1" t="s">
        <v>40</v>
      </c>
    </row>
    <row r="3828" spans="1:18" x14ac:dyDescent="0.25">
      <c r="A3828">
        <v>2019</v>
      </c>
      <c r="B3828">
        <v>11</v>
      </c>
      <c r="C3828" s="1" t="s">
        <v>34</v>
      </c>
      <c r="D3828" s="1" t="s">
        <v>19</v>
      </c>
      <c r="E3828" s="1" t="s">
        <v>86</v>
      </c>
      <c r="F3828">
        <v>2013</v>
      </c>
      <c r="G3828">
        <v>6</v>
      </c>
      <c r="H3828" s="1" t="s">
        <v>21</v>
      </c>
      <c r="I3828">
        <v>24</v>
      </c>
      <c r="J3828">
        <v>3445</v>
      </c>
      <c r="K3828" s="1" t="s">
        <v>87</v>
      </c>
      <c r="L3828" s="1" t="s">
        <v>45</v>
      </c>
      <c r="M3828">
        <v>1.36</v>
      </c>
      <c r="N3828">
        <v>32632.799999999999</v>
      </c>
      <c r="O3828">
        <v>32.633000000000003</v>
      </c>
      <c r="P3828" s="2">
        <v>43770</v>
      </c>
      <c r="Q3828">
        <v>1</v>
      </c>
      <c r="R3828" s="1" t="s">
        <v>40</v>
      </c>
    </row>
    <row r="3829" spans="1:18" x14ac:dyDescent="0.25">
      <c r="A3829">
        <v>2019</v>
      </c>
      <c r="B3829">
        <v>12</v>
      </c>
      <c r="C3829" s="1" t="s">
        <v>35</v>
      </c>
      <c r="D3829" s="1" t="s">
        <v>19</v>
      </c>
      <c r="E3829" s="1" t="s">
        <v>86</v>
      </c>
      <c r="F3829">
        <v>2013</v>
      </c>
      <c r="G3829">
        <v>6</v>
      </c>
      <c r="H3829" s="1" t="s">
        <v>21</v>
      </c>
      <c r="I3829">
        <v>24</v>
      </c>
      <c r="J3829">
        <v>3445</v>
      </c>
      <c r="K3829" s="1" t="s">
        <v>87</v>
      </c>
      <c r="L3829" s="1" t="s">
        <v>45</v>
      </c>
      <c r="M3829">
        <v>1.0229999999999999</v>
      </c>
      <c r="N3829">
        <v>24545.599999999999</v>
      </c>
      <c r="O3829">
        <v>24.545999999999999</v>
      </c>
      <c r="P3829" s="2">
        <v>43800</v>
      </c>
      <c r="Q3829">
        <v>1</v>
      </c>
      <c r="R3829" s="1" t="s">
        <v>40</v>
      </c>
    </row>
    <row r="3830" spans="1:18" x14ac:dyDescent="0.25">
      <c r="A3830">
        <v>2019</v>
      </c>
      <c r="B3830">
        <v>1</v>
      </c>
      <c r="C3830" s="1" t="s">
        <v>18</v>
      </c>
      <c r="D3830" s="1" t="s">
        <v>19</v>
      </c>
      <c r="E3830" s="1" t="s">
        <v>88</v>
      </c>
      <c r="F3830">
        <v>2013</v>
      </c>
      <c r="G3830">
        <v>6</v>
      </c>
      <c r="H3830" s="1" t="s">
        <v>21</v>
      </c>
      <c r="I3830">
        <v>24</v>
      </c>
      <c r="J3830">
        <v>3271</v>
      </c>
      <c r="K3830" s="1" t="s">
        <v>89</v>
      </c>
      <c r="L3830" s="1" t="s">
        <v>45</v>
      </c>
      <c r="M3830">
        <v>1.226</v>
      </c>
      <c r="N3830">
        <v>29414.5</v>
      </c>
      <c r="O3830">
        <v>29.414000000000001</v>
      </c>
      <c r="P3830" s="2">
        <v>43466</v>
      </c>
      <c r="Q3830">
        <v>1</v>
      </c>
      <c r="R3830" s="1" t="s">
        <v>40</v>
      </c>
    </row>
    <row r="3831" spans="1:18" x14ac:dyDescent="0.25">
      <c r="A3831">
        <v>2019</v>
      </c>
      <c r="B3831">
        <v>2</v>
      </c>
      <c r="C3831" s="1" t="s">
        <v>25</v>
      </c>
      <c r="D3831" s="1" t="s">
        <v>19</v>
      </c>
      <c r="E3831" s="1" t="s">
        <v>88</v>
      </c>
      <c r="F3831">
        <v>2013</v>
      </c>
      <c r="G3831">
        <v>6</v>
      </c>
      <c r="H3831" s="1" t="s">
        <v>21</v>
      </c>
      <c r="I3831">
        <v>24</v>
      </c>
      <c r="J3831">
        <v>3271</v>
      </c>
      <c r="K3831" s="1" t="s">
        <v>89</v>
      </c>
      <c r="L3831" s="1" t="s">
        <v>45</v>
      </c>
      <c r="M3831">
        <v>1.4330000000000001</v>
      </c>
      <c r="N3831">
        <v>34394.6</v>
      </c>
      <c r="O3831">
        <v>34.395000000000003</v>
      </c>
      <c r="P3831" s="2">
        <v>43497</v>
      </c>
      <c r="Q3831">
        <v>1</v>
      </c>
      <c r="R3831" s="1" t="s">
        <v>40</v>
      </c>
    </row>
    <row r="3832" spans="1:18" x14ac:dyDescent="0.25">
      <c r="A3832">
        <v>2019</v>
      </c>
      <c r="B3832">
        <v>3</v>
      </c>
      <c r="C3832" s="1" t="s">
        <v>26</v>
      </c>
      <c r="D3832" s="1" t="s">
        <v>19</v>
      </c>
      <c r="E3832" s="1" t="s">
        <v>88</v>
      </c>
      <c r="F3832">
        <v>2013</v>
      </c>
      <c r="G3832">
        <v>6</v>
      </c>
      <c r="H3832" s="1" t="s">
        <v>21</v>
      </c>
      <c r="I3832">
        <v>24</v>
      </c>
      <c r="J3832">
        <v>3271</v>
      </c>
      <c r="K3832" s="1" t="s">
        <v>89</v>
      </c>
      <c r="L3832" s="1" t="s">
        <v>45</v>
      </c>
      <c r="M3832">
        <v>1.667</v>
      </c>
      <c r="N3832">
        <v>40012.5</v>
      </c>
      <c r="O3832">
        <v>40.012999999999998</v>
      </c>
      <c r="P3832" s="2">
        <v>43525</v>
      </c>
      <c r="Q3832">
        <v>1</v>
      </c>
      <c r="R3832" s="1" t="s">
        <v>40</v>
      </c>
    </row>
    <row r="3833" spans="1:18" x14ac:dyDescent="0.25">
      <c r="A3833">
        <v>2019</v>
      </c>
      <c r="B3833">
        <v>4</v>
      </c>
      <c r="C3833" s="1" t="s">
        <v>27</v>
      </c>
      <c r="D3833" s="1" t="s">
        <v>19</v>
      </c>
      <c r="E3833" s="1" t="s">
        <v>88</v>
      </c>
      <c r="F3833">
        <v>2013</v>
      </c>
      <c r="G3833">
        <v>6</v>
      </c>
      <c r="H3833" s="1" t="s">
        <v>21</v>
      </c>
      <c r="I3833">
        <v>24</v>
      </c>
      <c r="J3833">
        <v>3271</v>
      </c>
      <c r="K3833" s="1" t="s">
        <v>89</v>
      </c>
      <c r="L3833" s="1" t="s">
        <v>45</v>
      </c>
      <c r="M3833">
        <v>1.873</v>
      </c>
      <c r="N3833">
        <v>44943.5</v>
      </c>
      <c r="O3833">
        <v>44.944000000000003</v>
      </c>
      <c r="P3833" s="2">
        <v>43556</v>
      </c>
      <c r="Q3833">
        <v>1</v>
      </c>
      <c r="R3833" s="1" t="s">
        <v>40</v>
      </c>
    </row>
    <row r="3834" spans="1:18" x14ac:dyDescent="0.25">
      <c r="A3834">
        <v>2019</v>
      </c>
      <c r="B3834">
        <v>5</v>
      </c>
      <c r="C3834" s="1" t="s">
        <v>28</v>
      </c>
      <c r="D3834" s="1" t="s">
        <v>19</v>
      </c>
      <c r="E3834" s="1" t="s">
        <v>88</v>
      </c>
      <c r="F3834">
        <v>2013</v>
      </c>
      <c r="G3834">
        <v>6</v>
      </c>
      <c r="H3834" s="1" t="s">
        <v>21</v>
      </c>
      <c r="I3834">
        <v>24</v>
      </c>
      <c r="J3834">
        <v>3271</v>
      </c>
      <c r="K3834" s="1" t="s">
        <v>89</v>
      </c>
      <c r="L3834" s="1" t="s">
        <v>45</v>
      </c>
      <c r="M3834">
        <v>1.9159999999999999</v>
      </c>
      <c r="N3834">
        <v>45973.9</v>
      </c>
      <c r="O3834">
        <v>45.973999999999997</v>
      </c>
      <c r="P3834" s="2">
        <v>43586</v>
      </c>
      <c r="Q3834">
        <v>1</v>
      </c>
      <c r="R3834" s="1" t="s">
        <v>40</v>
      </c>
    </row>
    <row r="3835" spans="1:18" x14ac:dyDescent="0.25">
      <c r="A3835">
        <v>2019</v>
      </c>
      <c r="B3835">
        <v>6</v>
      </c>
      <c r="C3835" s="1" t="s">
        <v>29</v>
      </c>
      <c r="D3835" s="1" t="s">
        <v>19</v>
      </c>
      <c r="E3835" s="1" t="s">
        <v>88</v>
      </c>
      <c r="F3835">
        <v>2013</v>
      </c>
      <c r="G3835">
        <v>6</v>
      </c>
      <c r="H3835" s="1" t="s">
        <v>21</v>
      </c>
      <c r="I3835">
        <v>24</v>
      </c>
      <c r="J3835">
        <v>3271</v>
      </c>
      <c r="K3835" s="1" t="s">
        <v>89</v>
      </c>
      <c r="L3835" s="1" t="s">
        <v>45</v>
      </c>
      <c r="M3835">
        <v>1.8180000000000001</v>
      </c>
      <c r="N3835">
        <v>43643.3</v>
      </c>
      <c r="O3835">
        <v>43.643000000000001</v>
      </c>
      <c r="P3835" s="2">
        <v>43617</v>
      </c>
      <c r="Q3835">
        <v>1</v>
      </c>
      <c r="R3835" s="1" t="s">
        <v>40</v>
      </c>
    </row>
    <row r="3836" spans="1:18" x14ac:dyDescent="0.25">
      <c r="A3836">
        <v>2019</v>
      </c>
      <c r="B3836">
        <v>7</v>
      </c>
      <c r="C3836" s="1" t="s">
        <v>30</v>
      </c>
      <c r="D3836" s="1" t="s">
        <v>19</v>
      </c>
      <c r="E3836" s="1" t="s">
        <v>88</v>
      </c>
      <c r="F3836">
        <v>2013</v>
      </c>
      <c r="G3836">
        <v>6</v>
      </c>
      <c r="H3836" s="1" t="s">
        <v>21</v>
      </c>
      <c r="I3836">
        <v>24</v>
      </c>
      <c r="J3836">
        <v>3271</v>
      </c>
      <c r="K3836" s="1" t="s">
        <v>89</v>
      </c>
      <c r="L3836" s="1" t="s">
        <v>45</v>
      </c>
      <c r="M3836">
        <v>1.635</v>
      </c>
      <c r="N3836">
        <v>39252</v>
      </c>
      <c r="O3836">
        <v>39.252000000000002</v>
      </c>
      <c r="P3836" s="2">
        <v>43647</v>
      </c>
      <c r="Q3836">
        <v>1</v>
      </c>
      <c r="R3836" s="1" t="s">
        <v>40</v>
      </c>
    </row>
    <row r="3837" spans="1:18" x14ac:dyDescent="0.25">
      <c r="A3837">
        <v>2019</v>
      </c>
      <c r="B3837">
        <v>8</v>
      </c>
      <c r="C3837" s="1" t="s">
        <v>31</v>
      </c>
      <c r="D3837" s="1" t="s">
        <v>19</v>
      </c>
      <c r="E3837" s="1" t="s">
        <v>88</v>
      </c>
      <c r="F3837">
        <v>2013</v>
      </c>
      <c r="G3837">
        <v>6</v>
      </c>
      <c r="H3837" s="1" t="s">
        <v>21</v>
      </c>
      <c r="I3837">
        <v>24</v>
      </c>
      <c r="J3837">
        <v>3271</v>
      </c>
      <c r="K3837" s="1" t="s">
        <v>89</v>
      </c>
      <c r="L3837" s="1" t="s">
        <v>45</v>
      </c>
      <c r="M3837">
        <v>1.901</v>
      </c>
      <c r="N3837">
        <v>45630.400000000001</v>
      </c>
      <c r="O3837">
        <v>45.63</v>
      </c>
      <c r="P3837" s="2">
        <v>43678</v>
      </c>
      <c r="Q3837">
        <v>1</v>
      </c>
      <c r="R3837" s="1" t="s">
        <v>40</v>
      </c>
    </row>
    <row r="3838" spans="1:18" x14ac:dyDescent="0.25">
      <c r="A3838">
        <v>2019</v>
      </c>
      <c r="B3838">
        <v>9</v>
      </c>
      <c r="C3838" s="1" t="s">
        <v>32</v>
      </c>
      <c r="D3838" s="1" t="s">
        <v>19</v>
      </c>
      <c r="E3838" s="1" t="s">
        <v>88</v>
      </c>
      <c r="F3838">
        <v>2013</v>
      </c>
      <c r="G3838">
        <v>6</v>
      </c>
      <c r="H3838" s="1" t="s">
        <v>21</v>
      </c>
      <c r="I3838">
        <v>24</v>
      </c>
      <c r="J3838">
        <v>3271</v>
      </c>
      <c r="K3838" s="1" t="s">
        <v>89</v>
      </c>
      <c r="L3838" s="1" t="s">
        <v>45</v>
      </c>
      <c r="M3838">
        <v>1.351</v>
      </c>
      <c r="N3838">
        <v>32432</v>
      </c>
      <c r="O3838">
        <v>32.432000000000002</v>
      </c>
      <c r="P3838" s="2">
        <v>43709</v>
      </c>
      <c r="Q3838">
        <v>1</v>
      </c>
      <c r="R3838" s="1" t="s">
        <v>40</v>
      </c>
    </row>
    <row r="3839" spans="1:18" x14ac:dyDescent="0.25">
      <c r="A3839">
        <v>2019</v>
      </c>
      <c r="B3839">
        <v>10</v>
      </c>
      <c r="C3839" s="1" t="s">
        <v>33</v>
      </c>
      <c r="D3839" s="1" t="s">
        <v>19</v>
      </c>
      <c r="E3839" s="1" t="s">
        <v>88</v>
      </c>
      <c r="F3839">
        <v>2013</v>
      </c>
      <c r="G3839">
        <v>6</v>
      </c>
      <c r="H3839" s="1" t="s">
        <v>21</v>
      </c>
      <c r="I3839">
        <v>24</v>
      </c>
      <c r="J3839">
        <v>3271</v>
      </c>
      <c r="K3839" s="1" t="s">
        <v>89</v>
      </c>
      <c r="L3839" s="1" t="s">
        <v>45</v>
      </c>
      <c r="M3839">
        <v>1.7729999999999999</v>
      </c>
      <c r="N3839">
        <v>42563.9</v>
      </c>
      <c r="O3839">
        <v>42.564</v>
      </c>
      <c r="P3839" s="2">
        <v>43739</v>
      </c>
      <c r="Q3839">
        <v>1</v>
      </c>
      <c r="R3839" s="1" t="s">
        <v>40</v>
      </c>
    </row>
    <row r="3840" spans="1:18" x14ac:dyDescent="0.25">
      <c r="A3840">
        <v>2019</v>
      </c>
      <c r="B3840">
        <v>11</v>
      </c>
      <c r="C3840" s="1" t="s">
        <v>34</v>
      </c>
      <c r="D3840" s="1" t="s">
        <v>19</v>
      </c>
      <c r="E3840" s="1" t="s">
        <v>88</v>
      </c>
      <c r="F3840">
        <v>2013</v>
      </c>
      <c r="G3840">
        <v>6</v>
      </c>
      <c r="H3840" s="1" t="s">
        <v>21</v>
      </c>
      <c r="I3840">
        <v>24</v>
      </c>
      <c r="J3840">
        <v>3271</v>
      </c>
      <c r="K3840" s="1" t="s">
        <v>89</v>
      </c>
      <c r="L3840" s="1" t="s">
        <v>45</v>
      </c>
      <c r="M3840">
        <v>1.2909999999999999</v>
      </c>
      <c r="N3840">
        <v>30984.5</v>
      </c>
      <c r="O3840">
        <v>30.984999999999999</v>
      </c>
      <c r="P3840" s="2">
        <v>43770</v>
      </c>
      <c r="Q3840">
        <v>1</v>
      </c>
      <c r="R3840" s="1" t="s">
        <v>40</v>
      </c>
    </row>
    <row r="3841" spans="1:18" x14ac:dyDescent="0.25">
      <c r="A3841">
        <v>2019</v>
      </c>
      <c r="B3841">
        <v>12</v>
      </c>
      <c r="C3841" s="1" t="s">
        <v>35</v>
      </c>
      <c r="D3841" s="1" t="s">
        <v>19</v>
      </c>
      <c r="E3841" s="1" t="s">
        <v>88</v>
      </c>
      <c r="F3841">
        <v>2013</v>
      </c>
      <c r="G3841">
        <v>6</v>
      </c>
      <c r="H3841" s="1" t="s">
        <v>21</v>
      </c>
      <c r="I3841">
        <v>24</v>
      </c>
      <c r="J3841">
        <v>3271</v>
      </c>
      <c r="K3841" s="1" t="s">
        <v>89</v>
      </c>
      <c r="L3841" s="1" t="s">
        <v>45</v>
      </c>
      <c r="M3841">
        <v>0.97099999999999997</v>
      </c>
      <c r="N3841">
        <v>23305.9</v>
      </c>
      <c r="O3841">
        <v>23.306000000000001</v>
      </c>
      <c r="P3841" s="2">
        <v>43800</v>
      </c>
      <c r="Q3841">
        <v>1</v>
      </c>
      <c r="R3841" s="1" t="s">
        <v>40</v>
      </c>
    </row>
    <row r="3842" spans="1:18" x14ac:dyDescent="0.25">
      <c r="A3842">
        <v>2019</v>
      </c>
      <c r="B3842">
        <v>1</v>
      </c>
      <c r="C3842" s="1" t="s">
        <v>18</v>
      </c>
      <c r="D3842" s="1" t="s">
        <v>19</v>
      </c>
      <c r="E3842" s="1" t="s">
        <v>90</v>
      </c>
      <c r="F3842">
        <v>2013</v>
      </c>
      <c r="G3842">
        <v>6</v>
      </c>
      <c r="H3842" s="1" t="s">
        <v>21</v>
      </c>
      <c r="I3842">
        <v>25</v>
      </c>
      <c r="J3842">
        <v>3291</v>
      </c>
      <c r="K3842" s="1" t="s">
        <v>91</v>
      </c>
      <c r="L3842" s="1" t="s">
        <v>45</v>
      </c>
      <c r="M3842">
        <v>1.1839999999999999</v>
      </c>
      <c r="N3842">
        <v>29594.3</v>
      </c>
      <c r="O3842">
        <v>29.594000000000001</v>
      </c>
      <c r="P3842" s="2">
        <v>43466</v>
      </c>
      <c r="Q3842">
        <v>1</v>
      </c>
      <c r="R3842" s="1" t="s">
        <v>40</v>
      </c>
    </row>
    <row r="3843" spans="1:18" x14ac:dyDescent="0.25">
      <c r="A3843">
        <v>2019</v>
      </c>
      <c r="B3843">
        <v>2</v>
      </c>
      <c r="C3843" s="1" t="s">
        <v>25</v>
      </c>
      <c r="D3843" s="1" t="s">
        <v>19</v>
      </c>
      <c r="E3843" s="1" t="s">
        <v>90</v>
      </c>
      <c r="F3843">
        <v>2013</v>
      </c>
      <c r="G3843">
        <v>6</v>
      </c>
      <c r="H3843" s="1" t="s">
        <v>21</v>
      </c>
      <c r="I3843">
        <v>25</v>
      </c>
      <c r="J3843">
        <v>3291</v>
      </c>
      <c r="K3843" s="1" t="s">
        <v>91</v>
      </c>
      <c r="L3843" s="1" t="s">
        <v>45</v>
      </c>
      <c r="M3843">
        <v>1.3839999999999999</v>
      </c>
      <c r="N3843">
        <v>34604.9</v>
      </c>
      <c r="O3843">
        <v>34.604999999999997</v>
      </c>
      <c r="P3843" s="2">
        <v>43497</v>
      </c>
      <c r="Q3843">
        <v>1</v>
      </c>
      <c r="R3843" s="1" t="s">
        <v>40</v>
      </c>
    </row>
    <row r="3844" spans="1:18" x14ac:dyDescent="0.25">
      <c r="A3844">
        <v>2019</v>
      </c>
      <c r="B3844">
        <v>3</v>
      </c>
      <c r="C3844" s="1" t="s">
        <v>26</v>
      </c>
      <c r="D3844" s="1" t="s">
        <v>19</v>
      </c>
      <c r="E3844" s="1" t="s">
        <v>90</v>
      </c>
      <c r="F3844">
        <v>2013</v>
      </c>
      <c r="G3844">
        <v>6</v>
      </c>
      <c r="H3844" s="1" t="s">
        <v>21</v>
      </c>
      <c r="I3844">
        <v>25</v>
      </c>
      <c r="J3844">
        <v>3291</v>
      </c>
      <c r="K3844" s="1" t="s">
        <v>91</v>
      </c>
      <c r="L3844" s="1" t="s">
        <v>45</v>
      </c>
      <c r="M3844">
        <v>1.61</v>
      </c>
      <c r="N3844">
        <v>40257.199999999997</v>
      </c>
      <c r="O3844">
        <v>40.256999999999998</v>
      </c>
      <c r="P3844" s="2">
        <v>43525</v>
      </c>
      <c r="Q3844">
        <v>1</v>
      </c>
      <c r="R3844" s="1" t="s">
        <v>40</v>
      </c>
    </row>
    <row r="3845" spans="1:18" x14ac:dyDescent="0.25">
      <c r="A3845">
        <v>2019</v>
      </c>
      <c r="B3845">
        <v>4</v>
      </c>
      <c r="C3845" s="1" t="s">
        <v>27</v>
      </c>
      <c r="D3845" s="1" t="s">
        <v>19</v>
      </c>
      <c r="E3845" s="1" t="s">
        <v>90</v>
      </c>
      <c r="F3845">
        <v>2013</v>
      </c>
      <c r="G3845">
        <v>6</v>
      </c>
      <c r="H3845" s="1" t="s">
        <v>21</v>
      </c>
      <c r="I3845">
        <v>25</v>
      </c>
      <c r="J3845">
        <v>3291</v>
      </c>
      <c r="K3845" s="1" t="s">
        <v>91</v>
      </c>
      <c r="L3845" s="1" t="s">
        <v>45</v>
      </c>
      <c r="M3845">
        <v>1.8089999999999999</v>
      </c>
      <c r="N3845">
        <v>45218.3</v>
      </c>
      <c r="O3845">
        <v>45.218000000000004</v>
      </c>
      <c r="P3845" s="2">
        <v>43556</v>
      </c>
      <c r="Q3845">
        <v>1</v>
      </c>
      <c r="R3845" s="1" t="s">
        <v>40</v>
      </c>
    </row>
    <row r="3846" spans="1:18" x14ac:dyDescent="0.25">
      <c r="A3846">
        <v>2019</v>
      </c>
      <c r="B3846">
        <v>5</v>
      </c>
      <c r="C3846" s="1" t="s">
        <v>28</v>
      </c>
      <c r="D3846" s="1" t="s">
        <v>19</v>
      </c>
      <c r="E3846" s="1" t="s">
        <v>90</v>
      </c>
      <c r="F3846">
        <v>2013</v>
      </c>
      <c r="G3846">
        <v>6</v>
      </c>
      <c r="H3846" s="1" t="s">
        <v>21</v>
      </c>
      <c r="I3846">
        <v>25</v>
      </c>
      <c r="J3846">
        <v>3291</v>
      </c>
      <c r="K3846" s="1" t="s">
        <v>91</v>
      </c>
      <c r="L3846" s="1" t="s">
        <v>45</v>
      </c>
      <c r="M3846">
        <v>1.85</v>
      </c>
      <c r="N3846">
        <v>46255</v>
      </c>
      <c r="O3846">
        <v>46.255000000000003</v>
      </c>
      <c r="P3846" s="2">
        <v>43586</v>
      </c>
      <c r="Q3846">
        <v>1</v>
      </c>
      <c r="R3846" s="1" t="s">
        <v>40</v>
      </c>
    </row>
    <row r="3847" spans="1:18" x14ac:dyDescent="0.25">
      <c r="A3847">
        <v>2019</v>
      </c>
      <c r="B3847">
        <v>6</v>
      </c>
      <c r="C3847" s="1" t="s">
        <v>29</v>
      </c>
      <c r="D3847" s="1" t="s">
        <v>19</v>
      </c>
      <c r="E3847" s="1" t="s">
        <v>90</v>
      </c>
      <c r="F3847">
        <v>2013</v>
      </c>
      <c r="G3847">
        <v>6</v>
      </c>
      <c r="H3847" s="1" t="s">
        <v>21</v>
      </c>
      <c r="I3847">
        <v>25</v>
      </c>
      <c r="J3847">
        <v>3291</v>
      </c>
      <c r="K3847" s="1" t="s">
        <v>91</v>
      </c>
      <c r="L3847" s="1" t="s">
        <v>45</v>
      </c>
      <c r="M3847">
        <v>1.756</v>
      </c>
      <c r="N3847">
        <v>43910.2</v>
      </c>
      <c r="O3847">
        <v>43.91</v>
      </c>
      <c r="P3847" s="2">
        <v>43617</v>
      </c>
      <c r="Q3847">
        <v>1</v>
      </c>
      <c r="R3847" s="1" t="s">
        <v>40</v>
      </c>
    </row>
    <row r="3848" spans="1:18" x14ac:dyDescent="0.25">
      <c r="A3848">
        <v>2019</v>
      </c>
      <c r="B3848">
        <v>7</v>
      </c>
      <c r="C3848" s="1" t="s">
        <v>30</v>
      </c>
      <c r="D3848" s="1" t="s">
        <v>19</v>
      </c>
      <c r="E3848" s="1" t="s">
        <v>90</v>
      </c>
      <c r="F3848">
        <v>2013</v>
      </c>
      <c r="G3848">
        <v>6</v>
      </c>
      <c r="H3848" s="1" t="s">
        <v>21</v>
      </c>
      <c r="I3848">
        <v>25</v>
      </c>
      <c r="J3848">
        <v>3291</v>
      </c>
      <c r="K3848" s="1" t="s">
        <v>91</v>
      </c>
      <c r="L3848" s="1" t="s">
        <v>45</v>
      </c>
      <c r="M3848">
        <v>1.58</v>
      </c>
      <c r="N3848">
        <v>39492</v>
      </c>
      <c r="O3848">
        <v>39.491999999999997</v>
      </c>
      <c r="P3848" s="2">
        <v>43647</v>
      </c>
      <c r="Q3848">
        <v>1</v>
      </c>
      <c r="R3848" s="1" t="s">
        <v>40</v>
      </c>
    </row>
    <row r="3849" spans="1:18" x14ac:dyDescent="0.25">
      <c r="A3849">
        <v>2019</v>
      </c>
      <c r="B3849">
        <v>8</v>
      </c>
      <c r="C3849" s="1" t="s">
        <v>31</v>
      </c>
      <c r="D3849" s="1" t="s">
        <v>19</v>
      </c>
      <c r="E3849" s="1" t="s">
        <v>90</v>
      </c>
      <c r="F3849">
        <v>2013</v>
      </c>
      <c r="G3849">
        <v>6</v>
      </c>
      <c r="H3849" s="1" t="s">
        <v>21</v>
      </c>
      <c r="I3849">
        <v>25</v>
      </c>
      <c r="J3849">
        <v>3291</v>
      </c>
      <c r="K3849" s="1" t="s">
        <v>91</v>
      </c>
      <c r="L3849" s="1" t="s">
        <v>45</v>
      </c>
      <c r="M3849">
        <v>1.8360000000000001</v>
      </c>
      <c r="N3849">
        <v>45909.4</v>
      </c>
      <c r="O3849">
        <v>45.908999999999999</v>
      </c>
      <c r="P3849" s="2">
        <v>43678</v>
      </c>
      <c r="Q3849">
        <v>1</v>
      </c>
      <c r="R3849" s="1" t="s">
        <v>40</v>
      </c>
    </row>
    <row r="3850" spans="1:18" x14ac:dyDescent="0.25">
      <c r="A3850">
        <v>2019</v>
      </c>
      <c r="B3850">
        <v>9</v>
      </c>
      <c r="C3850" s="1" t="s">
        <v>32</v>
      </c>
      <c r="D3850" s="1" t="s">
        <v>19</v>
      </c>
      <c r="E3850" s="1" t="s">
        <v>90</v>
      </c>
      <c r="F3850">
        <v>2013</v>
      </c>
      <c r="G3850">
        <v>6</v>
      </c>
      <c r="H3850" s="1" t="s">
        <v>21</v>
      </c>
      <c r="I3850">
        <v>25</v>
      </c>
      <c r="J3850">
        <v>3291</v>
      </c>
      <c r="K3850" s="1" t="s">
        <v>91</v>
      </c>
      <c r="L3850" s="1" t="s">
        <v>45</v>
      </c>
      <c r="M3850">
        <v>1.3049999999999999</v>
      </c>
      <c r="N3850">
        <v>32630.3</v>
      </c>
      <c r="O3850">
        <v>32.630000000000003</v>
      </c>
      <c r="P3850" s="2">
        <v>43709</v>
      </c>
      <c r="Q3850">
        <v>1</v>
      </c>
      <c r="R3850" s="1" t="s">
        <v>40</v>
      </c>
    </row>
    <row r="3851" spans="1:18" x14ac:dyDescent="0.25">
      <c r="A3851">
        <v>2019</v>
      </c>
      <c r="B3851">
        <v>10</v>
      </c>
      <c r="C3851" s="1" t="s">
        <v>33</v>
      </c>
      <c r="D3851" s="1" t="s">
        <v>19</v>
      </c>
      <c r="E3851" s="1" t="s">
        <v>90</v>
      </c>
      <c r="F3851">
        <v>2013</v>
      </c>
      <c r="G3851">
        <v>6</v>
      </c>
      <c r="H3851" s="1" t="s">
        <v>21</v>
      </c>
      <c r="I3851">
        <v>25</v>
      </c>
      <c r="J3851">
        <v>3291</v>
      </c>
      <c r="K3851" s="1" t="s">
        <v>91</v>
      </c>
      <c r="L3851" s="1" t="s">
        <v>45</v>
      </c>
      <c r="M3851">
        <v>1.7130000000000001</v>
      </c>
      <c r="N3851">
        <v>42824.1</v>
      </c>
      <c r="O3851">
        <v>42.823999999999998</v>
      </c>
      <c r="P3851" s="2">
        <v>43739</v>
      </c>
      <c r="Q3851">
        <v>1</v>
      </c>
      <c r="R3851" s="1" t="s">
        <v>40</v>
      </c>
    </row>
    <row r="3852" spans="1:18" x14ac:dyDescent="0.25">
      <c r="A3852">
        <v>2019</v>
      </c>
      <c r="B3852">
        <v>11</v>
      </c>
      <c r="C3852" s="1" t="s">
        <v>34</v>
      </c>
      <c r="D3852" s="1" t="s">
        <v>19</v>
      </c>
      <c r="E3852" s="1" t="s">
        <v>90</v>
      </c>
      <c r="F3852">
        <v>2013</v>
      </c>
      <c r="G3852">
        <v>6</v>
      </c>
      <c r="H3852" s="1" t="s">
        <v>21</v>
      </c>
      <c r="I3852">
        <v>25</v>
      </c>
      <c r="J3852">
        <v>3291</v>
      </c>
      <c r="K3852" s="1" t="s">
        <v>91</v>
      </c>
      <c r="L3852" s="1" t="s">
        <v>45</v>
      </c>
      <c r="M3852">
        <v>1.2470000000000001</v>
      </c>
      <c r="N3852">
        <v>31174</v>
      </c>
      <c r="O3852">
        <v>31.173999999999999</v>
      </c>
      <c r="P3852" s="2">
        <v>43770</v>
      </c>
      <c r="Q3852">
        <v>1</v>
      </c>
      <c r="R3852" s="1" t="s">
        <v>40</v>
      </c>
    </row>
    <row r="3853" spans="1:18" x14ac:dyDescent="0.25">
      <c r="A3853">
        <v>2019</v>
      </c>
      <c r="B3853">
        <v>12</v>
      </c>
      <c r="C3853" s="1" t="s">
        <v>35</v>
      </c>
      <c r="D3853" s="1" t="s">
        <v>19</v>
      </c>
      <c r="E3853" s="1" t="s">
        <v>90</v>
      </c>
      <c r="F3853">
        <v>2013</v>
      </c>
      <c r="G3853">
        <v>6</v>
      </c>
      <c r="H3853" s="1" t="s">
        <v>21</v>
      </c>
      <c r="I3853">
        <v>25</v>
      </c>
      <c r="J3853">
        <v>3291</v>
      </c>
      <c r="K3853" s="1" t="s">
        <v>91</v>
      </c>
      <c r="L3853" s="1" t="s">
        <v>45</v>
      </c>
      <c r="M3853">
        <v>0.93799999999999994</v>
      </c>
      <c r="N3853">
        <v>23448.400000000001</v>
      </c>
      <c r="O3853">
        <v>23.448</v>
      </c>
      <c r="P3853" s="2">
        <v>43800</v>
      </c>
      <c r="Q3853">
        <v>1</v>
      </c>
      <c r="R3853" s="1" t="s">
        <v>40</v>
      </c>
    </row>
    <row r="3854" spans="1:18" x14ac:dyDescent="0.25">
      <c r="A3854">
        <v>2019</v>
      </c>
      <c r="B3854">
        <v>1</v>
      </c>
      <c r="C3854" s="1" t="s">
        <v>18</v>
      </c>
      <c r="D3854" s="1" t="s">
        <v>19</v>
      </c>
      <c r="E3854" s="1" t="s">
        <v>92</v>
      </c>
      <c r="F3854">
        <v>2014</v>
      </c>
      <c r="G3854">
        <v>5</v>
      </c>
      <c r="H3854" s="1" t="s">
        <v>126</v>
      </c>
      <c r="I3854">
        <v>24</v>
      </c>
      <c r="J3854">
        <v>2208</v>
      </c>
      <c r="K3854" s="1" t="s">
        <v>93</v>
      </c>
      <c r="L3854" s="1" t="s">
        <v>45</v>
      </c>
      <c r="M3854">
        <v>1.0549999999999999</v>
      </c>
      <c r="N3854">
        <v>25322.9</v>
      </c>
      <c r="O3854">
        <v>25.323</v>
      </c>
      <c r="P3854" s="2">
        <v>43466</v>
      </c>
      <c r="Q3854">
        <v>1</v>
      </c>
      <c r="R3854" s="1" t="s">
        <v>122</v>
      </c>
    </row>
    <row r="3855" spans="1:18" x14ac:dyDescent="0.25">
      <c r="A3855">
        <v>2019</v>
      </c>
      <c r="B3855">
        <v>2</v>
      </c>
      <c r="C3855" s="1" t="s">
        <v>25</v>
      </c>
      <c r="D3855" s="1" t="s">
        <v>19</v>
      </c>
      <c r="E3855" s="1" t="s">
        <v>92</v>
      </c>
      <c r="F3855">
        <v>2014</v>
      </c>
      <c r="G3855">
        <v>5</v>
      </c>
      <c r="H3855" s="1" t="s">
        <v>126</v>
      </c>
      <c r="I3855">
        <v>24</v>
      </c>
      <c r="J3855">
        <v>2208</v>
      </c>
      <c r="K3855" s="1" t="s">
        <v>93</v>
      </c>
      <c r="L3855" s="1" t="s">
        <v>45</v>
      </c>
      <c r="M3855">
        <v>1.234</v>
      </c>
      <c r="N3855">
        <v>29610.2</v>
      </c>
      <c r="O3855">
        <v>29.61</v>
      </c>
      <c r="P3855" s="2">
        <v>43497</v>
      </c>
      <c r="Q3855">
        <v>1</v>
      </c>
      <c r="R3855" s="1" t="s">
        <v>122</v>
      </c>
    </row>
    <row r="3856" spans="1:18" x14ac:dyDescent="0.25">
      <c r="A3856">
        <v>2019</v>
      </c>
      <c r="B3856">
        <v>3</v>
      </c>
      <c r="C3856" s="1" t="s">
        <v>26</v>
      </c>
      <c r="D3856" s="1" t="s">
        <v>19</v>
      </c>
      <c r="E3856" s="1" t="s">
        <v>92</v>
      </c>
      <c r="F3856">
        <v>2014</v>
      </c>
      <c r="G3856">
        <v>5</v>
      </c>
      <c r="H3856" s="1" t="s">
        <v>126</v>
      </c>
      <c r="I3856">
        <v>24</v>
      </c>
      <c r="J3856">
        <v>2208</v>
      </c>
      <c r="K3856" s="1" t="s">
        <v>93</v>
      </c>
      <c r="L3856" s="1" t="s">
        <v>45</v>
      </c>
      <c r="M3856">
        <v>1.4350000000000001</v>
      </c>
      <c r="N3856">
        <v>34446.699999999997</v>
      </c>
      <c r="O3856">
        <v>34.447000000000003</v>
      </c>
      <c r="P3856" s="2">
        <v>43525</v>
      </c>
      <c r="Q3856">
        <v>1</v>
      </c>
      <c r="R3856" s="1" t="s">
        <v>122</v>
      </c>
    </row>
    <row r="3857" spans="1:18" x14ac:dyDescent="0.25">
      <c r="A3857">
        <v>2019</v>
      </c>
      <c r="B3857">
        <v>4</v>
      </c>
      <c r="C3857" s="1" t="s">
        <v>27</v>
      </c>
      <c r="D3857" s="1" t="s">
        <v>19</v>
      </c>
      <c r="E3857" s="1" t="s">
        <v>92</v>
      </c>
      <c r="F3857">
        <v>2014</v>
      </c>
      <c r="G3857">
        <v>5</v>
      </c>
      <c r="H3857" s="1" t="s">
        <v>126</v>
      </c>
      <c r="I3857">
        <v>24</v>
      </c>
      <c r="J3857">
        <v>2208</v>
      </c>
      <c r="K3857" s="1" t="s">
        <v>93</v>
      </c>
      <c r="L3857" s="1" t="s">
        <v>45</v>
      </c>
      <c r="M3857">
        <v>1.6120000000000001</v>
      </c>
      <c r="N3857">
        <v>38691.800000000003</v>
      </c>
      <c r="O3857">
        <v>38.692</v>
      </c>
      <c r="P3857" s="2">
        <v>43556</v>
      </c>
      <c r="Q3857">
        <v>1</v>
      </c>
      <c r="R3857" s="1" t="s">
        <v>122</v>
      </c>
    </row>
    <row r="3858" spans="1:18" x14ac:dyDescent="0.25">
      <c r="A3858">
        <v>2019</v>
      </c>
      <c r="B3858">
        <v>5</v>
      </c>
      <c r="C3858" s="1" t="s">
        <v>28</v>
      </c>
      <c r="D3858" s="1" t="s">
        <v>19</v>
      </c>
      <c r="E3858" s="1" t="s">
        <v>92</v>
      </c>
      <c r="F3858">
        <v>2014</v>
      </c>
      <c r="G3858">
        <v>5</v>
      </c>
      <c r="H3858" s="1" t="s">
        <v>126</v>
      </c>
      <c r="I3858">
        <v>24</v>
      </c>
      <c r="J3858">
        <v>2208</v>
      </c>
      <c r="K3858" s="1" t="s">
        <v>93</v>
      </c>
      <c r="L3858" s="1" t="s">
        <v>45</v>
      </c>
      <c r="M3858">
        <v>1.649</v>
      </c>
      <c r="N3858">
        <v>39578.9</v>
      </c>
      <c r="O3858">
        <v>39.579000000000001</v>
      </c>
      <c r="P3858" s="2">
        <v>43586</v>
      </c>
      <c r="Q3858">
        <v>1</v>
      </c>
      <c r="R3858" s="1" t="s">
        <v>122</v>
      </c>
    </row>
    <row r="3859" spans="1:18" x14ac:dyDescent="0.25">
      <c r="A3859">
        <v>2019</v>
      </c>
      <c r="B3859">
        <v>6</v>
      </c>
      <c r="C3859" s="1" t="s">
        <v>29</v>
      </c>
      <c r="D3859" s="1" t="s">
        <v>19</v>
      </c>
      <c r="E3859" s="1" t="s">
        <v>92</v>
      </c>
      <c r="F3859">
        <v>2014</v>
      </c>
      <c r="G3859">
        <v>5</v>
      </c>
      <c r="H3859" s="1" t="s">
        <v>126</v>
      </c>
      <c r="I3859">
        <v>24</v>
      </c>
      <c r="J3859">
        <v>2208</v>
      </c>
      <c r="K3859" s="1" t="s">
        <v>93</v>
      </c>
      <c r="L3859" s="1" t="s">
        <v>45</v>
      </c>
      <c r="M3859">
        <v>1.5660000000000001</v>
      </c>
      <c r="N3859">
        <v>37572.5</v>
      </c>
      <c r="O3859">
        <v>37.572000000000003</v>
      </c>
      <c r="P3859" s="2">
        <v>43617</v>
      </c>
      <c r="Q3859">
        <v>1</v>
      </c>
      <c r="R3859" s="1" t="s">
        <v>122</v>
      </c>
    </row>
    <row r="3860" spans="1:18" x14ac:dyDescent="0.25">
      <c r="A3860">
        <v>2019</v>
      </c>
      <c r="B3860">
        <v>7</v>
      </c>
      <c r="C3860" s="1" t="s">
        <v>30</v>
      </c>
      <c r="D3860" s="1" t="s">
        <v>19</v>
      </c>
      <c r="E3860" s="1" t="s">
        <v>92</v>
      </c>
      <c r="F3860">
        <v>2014</v>
      </c>
      <c r="G3860">
        <v>5</v>
      </c>
      <c r="H3860" s="1" t="s">
        <v>126</v>
      </c>
      <c r="I3860">
        <v>24</v>
      </c>
      <c r="J3860">
        <v>2208</v>
      </c>
      <c r="K3860" s="1" t="s">
        <v>93</v>
      </c>
      <c r="L3860" s="1" t="s">
        <v>45</v>
      </c>
      <c r="M3860">
        <v>1.4079999999999999</v>
      </c>
      <c r="N3860">
        <v>33792</v>
      </c>
      <c r="O3860">
        <v>33.792000000000002</v>
      </c>
      <c r="P3860" s="2">
        <v>43647</v>
      </c>
      <c r="Q3860">
        <v>1</v>
      </c>
      <c r="R3860" s="1" t="s">
        <v>122</v>
      </c>
    </row>
    <row r="3861" spans="1:18" x14ac:dyDescent="0.25">
      <c r="A3861">
        <v>2019</v>
      </c>
      <c r="B3861">
        <v>8</v>
      </c>
      <c r="C3861" s="1" t="s">
        <v>31</v>
      </c>
      <c r="D3861" s="1" t="s">
        <v>19</v>
      </c>
      <c r="E3861" s="1" t="s">
        <v>92</v>
      </c>
      <c r="F3861">
        <v>2014</v>
      </c>
      <c r="G3861">
        <v>5</v>
      </c>
      <c r="H3861" s="1" t="s">
        <v>126</v>
      </c>
      <c r="I3861">
        <v>24</v>
      </c>
      <c r="J3861">
        <v>2208</v>
      </c>
      <c r="K3861" s="1" t="s">
        <v>93</v>
      </c>
      <c r="L3861" s="1" t="s">
        <v>45</v>
      </c>
      <c r="M3861">
        <v>1.637</v>
      </c>
      <c r="N3861">
        <v>39283.199999999997</v>
      </c>
      <c r="O3861">
        <v>39.283000000000001</v>
      </c>
      <c r="P3861" s="2">
        <v>43678</v>
      </c>
      <c r="Q3861">
        <v>1</v>
      </c>
      <c r="R3861" s="1" t="s">
        <v>122</v>
      </c>
    </row>
    <row r="3862" spans="1:18" x14ac:dyDescent="0.25">
      <c r="A3862">
        <v>2019</v>
      </c>
      <c r="B3862">
        <v>9</v>
      </c>
      <c r="C3862" s="1" t="s">
        <v>32</v>
      </c>
      <c r="D3862" s="1" t="s">
        <v>19</v>
      </c>
      <c r="E3862" s="1" t="s">
        <v>92</v>
      </c>
      <c r="F3862">
        <v>2014</v>
      </c>
      <c r="G3862">
        <v>5</v>
      </c>
      <c r="H3862" s="1" t="s">
        <v>126</v>
      </c>
      <c r="I3862">
        <v>24</v>
      </c>
      <c r="J3862">
        <v>2208</v>
      </c>
      <c r="K3862" s="1" t="s">
        <v>93</v>
      </c>
      <c r="L3862" s="1" t="s">
        <v>45</v>
      </c>
      <c r="M3862">
        <v>1.163</v>
      </c>
      <c r="N3862">
        <v>27920.6</v>
      </c>
      <c r="O3862">
        <v>27.920999999999999</v>
      </c>
      <c r="P3862" s="2">
        <v>43709</v>
      </c>
      <c r="Q3862">
        <v>1</v>
      </c>
      <c r="R3862" s="1" t="s">
        <v>122</v>
      </c>
    </row>
    <row r="3863" spans="1:18" x14ac:dyDescent="0.25">
      <c r="A3863">
        <v>2019</v>
      </c>
      <c r="B3863">
        <v>10</v>
      </c>
      <c r="C3863" s="1" t="s">
        <v>33</v>
      </c>
      <c r="D3863" s="1" t="s">
        <v>19</v>
      </c>
      <c r="E3863" s="1" t="s">
        <v>92</v>
      </c>
      <c r="F3863">
        <v>2014</v>
      </c>
      <c r="G3863">
        <v>5</v>
      </c>
      <c r="H3863" s="1" t="s">
        <v>126</v>
      </c>
      <c r="I3863">
        <v>24</v>
      </c>
      <c r="J3863">
        <v>2208</v>
      </c>
      <c r="K3863" s="1" t="s">
        <v>93</v>
      </c>
      <c r="L3863" s="1" t="s">
        <v>45</v>
      </c>
      <c r="M3863">
        <v>1.5269999999999999</v>
      </c>
      <c r="N3863">
        <v>36643.199999999997</v>
      </c>
      <c r="O3863">
        <v>36.643000000000001</v>
      </c>
      <c r="P3863" s="2">
        <v>43739</v>
      </c>
      <c r="Q3863">
        <v>1</v>
      </c>
      <c r="R3863" s="1" t="s">
        <v>122</v>
      </c>
    </row>
    <row r="3864" spans="1:18" x14ac:dyDescent="0.25">
      <c r="A3864">
        <v>2019</v>
      </c>
      <c r="B3864">
        <v>11</v>
      </c>
      <c r="C3864" s="1" t="s">
        <v>34</v>
      </c>
      <c r="D3864" s="1" t="s">
        <v>19</v>
      </c>
      <c r="E3864" s="1" t="s">
        <v>92</v>
      </c>
      <c r="F3864">
        <v>2014</v>
      </c>
      <c r="G3864">
        <v>5</v>
      </c>
      <c r="H3864" s="1" t="s">
        <v>126</v>
      </c>
      <c r="I3864">
        <v>24</v>
      </c>
      <c r="J3864">
        <v>2208</v>
      </c>
      <c r="K3864" s="1" t="s">
        <v>93</v>
      </c>
      <c r="L3864" s="1" t="s">
        <v>45</v>
      </c>
      <c r="M3864">
        <v>1.111</v>
      </c>
      <c r="N3864">
        <v>26674.6</v>
      </c>
      <c r="O3864">
        <v>26.675000000000001</v>
      </c>
      <c r="P3864" s="2">
        <v>43770</v>
      </c>
      <c r="Q3864">
        <v>1</v>
      </c>
      <c r="R3864" s="1" t="s">
        <v>122</v>
      </c>
    </row>
    <row r="3865" spans="1:18" x14ac:dyDescent="0.25">
      <c r="A3865">
        <v>2019</v>
      </c>
      <c r="B3865">
        <v>12</v>
      </c>
      <c r="C3865" s="1" t="s">
        <v>35</v>
      </c>
      <c r="D3865" s="1" t="s">
        <v>19</v>
      </c>
      <c r="E3865" s="1" t="s">
        <v>92</v>
      </c>
      <c r="F3865">
        <v>2014</v>
      </c>
      <c r="G3865">
        <v>5</v>
      </c>
      <c r="H3865" s="1" t="s">
        <v>126</v>
      </c>
      <c r="I3865">
        <v>24</v>
      </c>
      <c r="J3865">
        <v>2208</v>
      </c>
      <c r="K3865" s="1" t="s">
        <v>93</v>
      </c>
      <c r="L3865" s="1" t="s">
        <v>45</v>
      </c>
      <c r="M3865">
        <v>0.83599999999999997</v>
      </c>
      <c r="N3865">
        <v>20064</v>
      </c>
      <c r="O3865">
        <v>20.064</v>
      </c>
      <c r="P3865" s="2">
        <v>43800</v>
      </c>
      <c r="Q3865">
        <v>1</v>
      </c>
      <c r="R3865" s="1" t="s">
        <v>122</v>
      </c>
    </row>
    <row r="3866" spans="1:18" x14ac:dyDescent="0.25">
      <c r="A3866">
        <v>2019</v>
      </c>
      <c r="B3866">
        <v>1</v>
      </c>
      <c r="C3866" s="1" t="s">
        <v>18</v>
      </c>
      <c r="D3866" s="1" t="s">
        <v>19</v>
      </c>
      <c r="E3866" s="1" t="s">
        <v>94</v>
      </c>
      <c r="F3866">
        <v>2014</v>
      </c>
      <c r="G3866">
        <v>5</v>
      </c>
      <c r="H3866" s="1" t="s">
        <v>126</v>
      </c>
      <c r="I3866">
        <v>20</v>
      </c>
      <c r="J3866">
        <v>1954</v>
      </c>
      <c r="K3866" s="1" t="s">
        <v>95</v>
      </c>
      <c r="L3866" s="1" t="s">
        <v>45</v>
      </c>
      <c r="M3866">
        <v>1.0549999999999999</v>
      </c>
      <c r="N3866">
        <v>21102.400000000001</v>
      </c>
      <c r="O3866">
        <v>21.102</v>
      </c>
      <c r="P3866" s="2">
        <v>43466</v>
      </c>
      <c r="Q3866">
        <v>1</v>
      </c>
      <c r="R3866" s="1" t="s">
        <v>122</v>
      </c>
    </row>
    <row r="3867" spans="1:18" x14ac:dyDescent="0.25">
      <c r="A3867">
        <v>2019</v>
      </c>
      <c r="B3867">
        <v>2</v>
      </c>
      <c r="C3867" s="1" t="s">
        <v>25</v>
      </c>
      <c r="D3867" s="1" t="s">
        <v>19</v>
      </c>
      <c r="E3867" s="1" t="s">
        <v>94</v>
      </c>
      <c r="F3867">
        <v>2014</v>
      </c>
      <c r="G3867">
        <v>5</v>
      </c>
      <c r="H3867" s="1" t="s">
        <v>126</v>
      </c>
      <c r="I3867">
        <v>20</v>
      </c>
      <c r="J3867">
        <v>1954</v>
      </c>
      <c r="K3867" s="1" t="s">
        <v>95</v>
      </c>
      <c r="L3867" s="1" t="s">
        <v>45</v>
      </c>
      <c r="M3867">
        <v>1.234</v>
      </c>
      <c r="N3867">
        <v>24675.200000000001</v>
      </c>
      <c r="O3867">
        <v>24.675000000000001</v>
      </c>
      <c r="P3867" s="2">
        <v>43497</v>
      </c>
      <c r="Q3867">
        <v>1</v>
      </c>
      <c r="R3867" s="1" t="s">
        <v>122</v>
      </c>
    </row>
    <row r="3868" spans="1:18" x14ac:dyDescent="0.25">
      <c r="A3868">
        <v>2019</v>
      </c>
      <c r="B3868">
        <v>3</v>
      </c>
      <c r="C3868" s="1" t="s">
        <v>26</v>
      </c>
      <c r="D3868" s="1" t="s">
        <v>19</v>
      </c>
      <c r="E3868" s="1" t="s">
        <v>94</v>
      </c>
      <c r="F3868">
        <v>2014</v>
      </c>
      <c r="G3868">
        <v>5</v>
      </c>
      <c r="H3868" s="1" t="s">
        <v>126</v>
      </c>
      <c r="I3868">
        <v>20</v>
      </c>
      <c r="J3868">
        <v>1954</v>
      </c>
      <c r="K3868" s="1" t="s">
        <v>95</v>
      </c>
      <c r="L3868" s="1" t="s">
        <v>45</v>
      </c>
      <c r="M3868">
        <v>1.4350000000000001</v>
      </c>
      <c r="N3868">
        <v>28705.599999999999</v>
      </c>
      <c r="O3868">
        <v>28.706</v>
      </c>
      <c r="P3868" s="2">
        <v>43525</v>
      </c>
      <c r="Q3868">
        <v>1</v>
      </c>
      <c r="R3868" s="1" t="s">
        <v>122</v>
      </c>
    </row>
    <row r="3869" spans="1:18" x14ac:dyDescent="0.25">
      <c r="A3869">
        <v>2019</v>
      </c>
      <c r="B3869">
        <v>4</v>
      </c>
      <c r="C3869" s="1" t="s">
        <v>27</v>
      </c>
      <c r="D3869" s="1" t="s">
        <v>19</v>
      </c>
      <c r="E3869" s="1" t="s">
        <v>94</v>
      </c>
      <c r="F3869">
        <v>2014</v>
      </c>
      <c r="G3869">
        <v>5</v>
      </c>
      <c r="H3869" s="1" t="s">
        <v>126</v>
      </c>
      <c r="I3869">
        <v>20</v>
      </c>
      <c r="J3869">
        <v>1954</v>
      </c>
      <c r="K3869" s="1" t="s">
        <v>95</v>
      </c>
      <c r="L3869" s="1" t="s">
        <v>45</v>
      </c>
      <c r="M3869">
        <v>1.6120000000000001</v>
      </c>
      <c r="N3869">
        <v>32243.200000000001</v>
      </c>
      <c r="O3869">
        <v>32.243000000000002</v>
      </c>
      <c r="P3869" s="2">
        <v>43556</v>
      </c>
      <c r="Q3869">
        <v>1</v>
      </c>
      <c r="R3869" s="1" t="s">
        <v>122</v>
      </c>
    </row>
    <row r="3870" spans="1:18" x14ac:dyDescent="0.25">
      <c r="A3870">
        <v>2019</v>
      </c>
      <c r="B3870">
        <v>5</v>
      </c>
      <c r="C3870" s="1" t="s">
        <v>28</v>
      </c>
      <c r="D3870" s="1" t="s">
        <v>19</v>
      </c>
      <c r="E3870" s="1" t="s">
        <v>94</v>
      </c>
      <c r="F3870">
        <v>2014</v>
      </c>
      <c r="G3870">
        <v>5</v>
      </c>
      <c r="H3870" s="1" t="s">
        <v>126</v>
      </c>
      <c r="I3870">
        <v>20</v>
      </c>
      <c r="J3870">
        <v>1954</v>
      </c>
      <c r="K3870" s="1" t="s">
        <v>95</v>
      </c>
      <c r="L3870" s="1" t="s">
        <v>45</v>
      </c>
      <c r="M3870">
        <v>1.649</v>
      </c>
      <c r="N3870">
        <v>32982.400000000001</v>
      </c>
      <c r="O3870">
        <v>32.981999999999999</v>
      </c>
      <c r="P3870" s="2">
        <v>43586</v>
      </c>
      <c r="Q3870">
        <v>1</v>
      </c>
      <c r="R3870" s="1" t="s">
        <v>122</v>
      </c>
    </row>
    <row r="3871" spans="1:18" x14ac:dyDescent="0.25">
      <c r="A3871">
        <v>2019</v>
      </c>
      <c r="B3871">
        <v>6</v>
      </c>
      <c r="C3871" s="1" t="s">
        <v>29</v>
      </c>
      <c r="D3871" s="1" t="s">
        <v>19</v>
      </c>
      <c r="E3871" s="1" t="s">
        <v>94</v>
      </c>
      <c r="F3871">
        <v>2014</v>
      </c>
      <c r="G3871">
        <v>5</v>
      </c>
      <c r="H3871" s="1" t="s">
        <v>126</v>
      </c>
      <c r="I3871">
        <v>20</v>
      </c>
      <c r="J3871">
        <v>1954</v>
      </c>
      <c r="K3871" s="1" t="s">
        <v>95</v>
      </c>
      <c r="L3871" s="1" t="s">
        <v>45</v>
      </c>
      <c r="M3871">
        <v>1.5660000000000001</v>
      </c>
      <c r="N3871">
        <v>31310.400000000001</v>
      </c>
      <c r="O3871">
        <v>31.31</v>
      </c>
      <c r="P3871" s="2">
        <v>43617</v>
      </c>
      <c r="Q3871">
        <v>1</v>
      </c>
      <c r="R3871" s="1" t="s">
        <v>122</v>
      </c>
    </row>
    <row r="3872" spans="1:18" x14ac:dyDescent="0.25">
      <c r="A3872">
        <v>2019</v>
      </c>
      <c r="B3872">
        <v>7</v>
      </c>
      <c r="C3872" s="1" t="s">
        <v>30</v>
      </c>
      <c r="D3872" s="1" t="s">
        <v>19</v>
      </c>
      <c r="E3872" s="1" t="s">
        <v>94</v>
      </c>
      <c r="F3872">
        <v>2014</v>
      </c>
      <c r="G3872">
        <v>5</v>
      </c>
      <c r="H3872" s="1" t="s">
        <v>126</v>
      </c>
      <c r="I3872">
        <v>20</v>
      </c>
      <c r="J3872">
        <v>1954</v>
      </c>
      <c r="K3872" s="1" t="s">
        <v>95</v>
      </c>
      <c r="L3872" s="1" t="s">
        <v>45</v>
      </c>
      <c r="M3872">
        <v>1.4079999999999999</v>
      </c>
      <c r="N3872">
        <v>28160</v>
      </c>
      <c r="O3872">
        <v>28.16</v>
      </c>
      <c r="P3872" s="2">
        <v>43647</v>
      </c>
      <c r="Q3872">
        <v>1</v>
      </c>
      <c r="R3872" s="1" t="s">
        <v>122</v>
      </c>
    </row>
    <row r="3873" spans="1:18" x14ac:dyDescent="0.25">
      <c r="A3873">
        <v>2019</v>
      </c>
      <c r="B3873">
        <v>8</v>
      </c>
      <c r="C3873" s="1" t="s">
        <v>31</v>
      </c>
      <c r="D3873" s="1" t="s">
        <v>19</v>
      </c>
      <c r="E3873" s="1" t="s">
        <v>94</v>
      </c>
      <c r="F3873">
        <v>2014</v>
      </c>
      <c r="G3873">
        <v>5</v>
      </c>
      <c r="H3873" s="1" t="s">
        <v>126</v>
      </c>
      <c r="I3873">
        <v>20</v>
      </c>
      <c r="J3873">
        <v>1954</v>
      </c>
      <c r="K3873" s="1" t="s">
        <v>95</v>
      </c>
      <c r="L3873" s="1" t="s">
        <v>45</v>
      </c>
      <c r="M3873">
        <v>1.637</v>
      </c>
      <c r="N3873">
        <v>32736</v>
      </c>
      <c r="O3873">
        <v>32.735999999999997</v>
      </c>
      <c r="P3873" s="2">
        <v>43678</v>
      </c>
      <c r="Q3873">
        <v>1</v>
      </c>
      <c r="R3873" s="1" t="s">
        <v>122</v>
      </c>
    </row>
    <row r="3874" spans="1:18" x14ac:dyDescent="0.25">
      <c r="A3874">
        <v>2019</v>
      </c>
      <c r="B3874">
        <v>9</v>
      </c>
      <c r="C3874" s="1" t="s">
        <v>32</v>
      </c>
      <c r="D3874" s="1" t="s">
        <v>19</v>
      </c>
      <c r="E3874" s="1" t="s">
        <v>94</v>
      </c>
      <c r="F3874">
        <v>2014</v>
      </c>
      <c r="G3874">
        <v>5</v>
      </c>
      <c r="H3874" s="1" t="s">
        <v>126</v>
      </c>
      <c r="I3874">
        <v>20</v>
      </c>
      <c r="J3874">
        <v>1954</v>
      </c>
      <c r="K3874" s="1" t="s">
        <v>95</v>
      </c>
      <c r="L3874" s="1" t="s">
        <v>45</v>
      </c>
      <c r="M3874">
        <v>1.163</v>
      </c>
      <c r="N3874">
        <v>23267.200000000001</v>
      </c>
      <c r="O3874">
        <v>23.266999999999999</v>
      </c>
      <c r="P3874" s="2">
        <v>43709</v>
      </c>
      <c r="Q3874">
        <v>1</v>
      </c>
      <c r="R3874" s="1" t="s">
        <v>122</v>
      </c>
    </row>
    <row r="3875" spans="1:18" x14ac:dyDescent="0.25">
      <c r="A3875">
        <v>2019</v>
      </c>
      <c r="B3875">
        <v>10</v>
      </c>
      <c r="C3875" s="1" t="s">
        <v>33</v>
      </c>
      <c r="D3875" s="1" t="s">
        <v>19</v>
      </c>
      <c r="E3875" s="1" t="s">
        <v>94</v>
      </c>
      <c r="F3875">
        <v>2014</v>
      </c>
      <c r="G3875">
        <v>5</v>
      </c>
      <c r="H3875" s="1" t="s">
        <v>126</v>
      </c>
      <c r="I3875">
        <v>20</v>
      </c>
      <c r="J3875">
        <v>1954</v>
      </c>
      <c r="K3875" s="1" t="s">
        <v>95</v>
      </c>
      <c r="L3875" s="1" t="s">
        <v>45</v>
      </c>
      <c r="M3875">
        <v>1.5269999999999999</v>
      </c>
      <c r="N3875">
        <v>30536</v>
      </c>
      <c r="O3875">
        <v>30.536000000000001</v>
      </c>
      <c r="P3875" s="2">
        <v>43739</v>
      </c>
      <c r="Q3875">
        <v>1</v>
      </c>
      <c r="R3875" s="1" t="s">
        <v>122</v>
      </c>
    </row>
    <row r="3876" spans="1:18" x14ac:dyDescent="0.25">
      <c r="A3876">
        <v>2019</v>
      </c>
      <c r="B3876">
        <v>11</v>
      </c>
      <c r="C3876" s="1" t="s">
        <v>34</v>
      </c>
      <c r="D3876" s="1" t="s">
        <v>19</v>
      </c>
      <c r="E3876" s="1" t="s">
        <v>94</v>
      </c>
      <c r="F3876">
        <v>2014</v>
      </c>
      <c r="G3876">
        <v>5</v>
      </c>
      <c r="H3876" s="1" t="s">
        <v>126</v>
      </c>
      <c r="I3876">
        <v>20</v>
      </c>
      <c r="J3876">
        <v>1954</v>
      </c>
      <c r="K3876" s="1" t="s">
        <v>95</v>
      </c>
      <c r="L3876" s="1" t="s">
        <v>45</v>
      </c>
      <c r="M3876">
        <v>1.111</v>
      </c>
      <c r="N3876">
        <v>22228.799999999999</v>
      </c>
      <c r="O3876">
        <v>22.228999999999999</v>
      </c>
      <c r="P3876" s="2">
        <v>43770</v>
      </c>
      <c r="Q3876">
        <v>1</v>
      </c>
      <c r="R3876" s="1" t="s">
        <v>122</v>
      </c>
    </row>
    <row r="3877" spans="1:18" x14ac:dyDescent="0.25">
      <c r="A3877">
        <v>2019</v>
      </c>
      <c r="B3877">
        <v>12</v>
      </c>
      <c r="C3877" s="1" t="s">
        <v>35</v>
      </c>
      <c r="D3877" s="1" t="s">
        <v>19</v>
      </c>
      <c r="E3877" s="1" t="s">
        <v>94</v>
      </c>
      <c r="F3877">
        <v>2014</v>
      </c>
      <c r="G3877">
        <v>5</v>
      </c>
      <c r="H3877" s="1" t="s">
        <v>126</v>
      </c>
      <c r="I3877">
        <v>20</v>
      </c>
      <c r="J3877">
        <v>1954</v>
      </c>
      <c r="K3877" s="1" t="s">
        <v>95</v>
      </c>
      <c r="L3877" s="1" t="s">
        <v>45</v>
      </c>
      <c r="M3877">
        <v>0.83599999999999997</v>
      </c>
      <c r="N3877">
        <v>16720</v>
      </c>
      <c r="O3877">
        <v>16.72</v>
      </c>
      <c r="P3877" s="2">
        <v>43800</v>
      </c>
      <c r="Q3877">
        <v>1</v>
      </c>
      <c r="R3877" s="1" t="s">
        <v>122</v>
      </c>
    </row>
    <row r="3878" spans="1:18" x14ac:dyDescent="0.25">
      <c r="A3878">
        <v>2019</v>
      </c>
      <c r="B3878">
        <v>1</v>
      </c>
      <c r="C3878" s="1" t="s">
        <v>18</v>
      </c>
      <c r="D3878" s="1" t="s">
        <v>19</v>
      </c>
      <c r="E3878" s="1" t="s">
        <v>96</v>
      </c>
      <c r="F3878">
        <v>2014</v>
      </c>
      <c r="G3878">
        <v>5</v>
      </c>
      <c r="H3878" s="1" t="s">
        <v>126</v>
      </c>
      <c r="I3878">
        <v>24</v>
      </c>
      <c r="J3878">
        <v>1329</v>
      </c>
      <c r="K3878" s="1" t="s">
        <v>97</v>
      </c>
      <c r="L3878" s="1" t="s">
        <v>45</v>
      </c>
      <c r="M3878">
        <v>1.0549999999999999</v>
      </c>
      <c r="N3878">
        <v>25322.9</v>
      </c>
      <c r="O3878">
        <v>25.323</v>
      </c>
      <c r="P3878" s="2">
        <v>43466</v>
      </c>
      <c r="Q3878">
        <v>1</v>
      </c>
      <c r="R3878" s="1" t="s">
        <v>122</v>
      </c>
    </row>
    <row r="3879" spans="1:18" x14ac:dyDescent="0.25">
      <c r="A3879">
        <v>2019</v>
      </c>
      <c r="B3879">
        <v>2</v>
      </c>
      <c r="C3879" s="1" t="s">
        <v>25</v>
      </c>
      <c r="D3879" s="1" t="s">
        <v>19</v>
      </c>
      <c r="E3879" s="1" t="s">
        <v>96</v>
      </c>
      <c r="F3879">
        <v>2014</v>
      </c>
      <c r="G3879">
        <v>5</v>
      </c>
      <c r="H3879" s="1" t="s">
        <v>126</v>
      </c>
      <c r="I3879">
        <v>24</v>
      </c>
      <c r="J3879">
        <v>1329</v>
      </c>
      <c r="K3879" s="1" t="s">
        <v>97</v>
      </c>
      <c r="L3879" s="1" t="s">
        <v>45</v>
      </c>
      <c r="M3879">
        <v>1.234</v>
      </c>
      <c r="N3879">
        <v>29610.2</v>
      </c>
      <c r="O3879">
        <v>29.61</v>
      </c>
      <c r="P3879" s="2">
        <v>43497</v>
      </c>
      <c r="Q3879">
        <v>1</v>
      </c>
      <c r="R3879" s="1" t="s">
        <v>122</v>
      </c>
    </row>
    <row r="3880" spans="1:18" x14ac:dyDescent="0.25">
      <c r="A3880">
        <v>2019</v>
      </c>
      <c r="B3880">
        <v>3</v>
      </c>
      <c r="C3880" s="1" t="s">
        <v>26</v>
      </c>
      <c r="D3880" s="1" t="s">
        <v>19</v>
      </c>
      <c r="E3880" s="1" t="s">
        <v>96</v>
      </c>
      <c r="F3880">
        <v>2014</v>
      </c>
      <c r="G3880">
        <v>5</v>
      </c>
      <c r="H3880" s="1" t="s">
        <v>126</v>
      </c>
      <c r="I3880">
        <v>24</v>
      </c>
      <c r="J3880">
        <v>1329</v>
      </c>
      <c r="K3880" s="1" t="s">
        <v>97</v>
      </c>
      <c r="L3880" s="1" t="s">
        <v>45</v>
      </c>
      <c r="M3880">
        <v>1.4350000000000001</v>
      </c>
      <c r="N3880">
        <v>34446.699999999997</v>
      </c>
      <c r="O3880">
        <v>34.447000000000003</v>
      </c>
      <c r="P3880" s="2">
        <v>43525</v>
      </c>
      <c r="Q3880">
        <v>1</v>
      </c>
      <c r="R3880" s="1" t="s">
        <v>122</v>
      </c>
    </row>
    <row r="3881" spans="1:18" x14ac:dyDescent="0.25">
      <c r="A3881">
        <v>2019</v>
      </c>
      <c r="B3881">
        <v>4</v>
      </c>
      <c r="C3881" s="1" t="s">
        <v>27</v>
      </c>
      <c r="D3881" s="1" t="s">
        <v>19</v>
      </c>
      <c r="E3881" s="1" t="s">
        <v>96</v>
      </c>
      <c r="F3881">
        <v>2014</v>
      </c>
      <c r="G3881">
        <v>5</v>
      </c>
      <c r="H3881" s="1" t="s">
        <v>126</v>
      </c>
      <c r="I3881">
        <v>24</v>
      </c>
      <c r="J3881">
        <v>1329</v>
      </c>
      <c r="K3881" s="1" t="s">
        <v>97</v>
      </c>
      <c r="L3881" s="1" t="s">
        <v>45</v>
      </c>
      <c r="M3881">
        <v>1.6120000000000001</v>
      </c>
      <c r="N3881">
        <v>38691.800000000003</v>
      </c>
      <c r="O3881">
        <v>38.692</v>
      </c>
      <c r="P3881" s="2">
        <v>43556</v>
      </c>
      <c r="Q3881">
        <v>1</v>
      </c>
      <c r="R3881" s="1" t="s">
        <v>122</v>
      </c>
    </row>
    <row r="3882" spans="1:18" x14ac:dyDescent="0.25">
      <c r="A3882">
        <v>2019</v>
      </c>
      <c r="B3882">
        <v>5</v>
      </c>
      <c r="C3882" s="1" t="s">
        <v>28</v>
      </c>
      <c r="D3882" s="1" t="s">
        <v>19</v>
      </c>
      <c r="E3882" s="1" t="s">
        <v>96</v>
      </c>
      <c r="F3882">
        <v>2014</v>
      </c>
      <c r="G3882">
        <v>5</v>
      </c>
      <c r="H3882" s="1" t="s">
        <v>126</v>
      </c>
      <c r="I3882">
        <v>24</v>
      </c>
      <c r="J3882">
        <v>1329</v>
      </c>
      <c r="K3882" s="1" t="s">
        <v>97</v>
      </c>
      <c r="L3882" s="1" t="s">
        <v>45</v>
      </c>
      <c r="M3882">
        <v>1.649</v>
      </c>
      <c r="N3882">
        <v>39578.9</v>
      </c>
      <c r="O3882">
        <v>39.579000000000001</v>
      </c>
      <c r="P3882" s="2">
        <v>43586</v>
      </c>
      <c r="Q3882">
        <v>1</v>
      </c>
      <c r="R3882" s="1" t="s">
        <v>122</v>
      </c>
    </row>
    <row r="3883" spans="1:18" x14ac:dyDescent="0.25">
      <c r="A3883">
        <v>2019</v>
      </c>
      <c r="B3883">
        <v>6</v>
      </c>
      <c r="C3883" s="1" t="s">
        <v>29</v>
      </c>
      <c r="D3883" s="1" t="s">
        <v>19</v>
      </c>
      <c r="E3883" s="1" t="s">
        <v>96</v>
      </c>
      <c r="F3883">
        <v>2014</v>
      </c>
      <c r="G3883">
        <v>5</v>
      </c>
      <c r="H3883" s="1" t="s">
        <v>126</v>
      </c>
      <c r="I3883">
        <v>24</v>
      </c>
      <c r="J3883">
        <v>1329</v>
      </c>
      <c r="K3883" s="1" t="s">
        <v>97</v>
      </c>
      <c r="L3883" s="1" t="s">
        <v>45</v>
      </c>
      <c r="M3883">
        <v>1.5660000000000001</v>
      </c>
      <c r="N3883">
        <v>37572.5</v>
      </c>
      <c r="O3883">
        <v>37.572000000000003</v>
      </c>
      <c r="P3883" s="2">
        <v>43617</v>
      </c>
      <c r="Q3883">
        <v>1</v>
      </c>
      <c r="R3883" s="1" t="s">
        <v>122</v>
      </c>
    </row>
    <row r="3884" spans="1:18" x14ac:dyDescent="0.25">
      <c r="A3884">
        <v>2019</v>
      </c>
      <c r="B3884">
        <v>7</v>
      </c>
      <c r="C3884" s="1" t="s">
        <v>30</v>
      </c>
      <c r="D3884" s="1" t="s">
        <v>19</v>
      </c>
      <c r="E3884" s="1" t="s">
        <v>96</v>
      </c>
      <c r="F3884">
        <v>2014</v>
      </c>
      <c r="G3884">
        <v>5</v>
      </c>
      <c r="H3884" s="1" t="s">
        <v>126</v>
      </c>
      <c r="I3884">
        <v>24</v>
      </c>
      <c r="J3884">
        <v>1329</v>
      </c>
      <c r="K3884" s="1" t="s">
        <v>97</v>
      </c>
      <c r="L3884" s="1" t="s">
        <v>45</v>
      </c>
      <c r="M3884">
        <v>1.4079999999999999</v>
      </c>
      <c r="N3884">
        <v>33792</v>
      </c>
      <c r="O3884">
        <v>33.792000000000002</v>
      </c>
      <c r="P3884" s="2">
        <v>43647</v>
      </c>
      <c r="Q3884">
        <v>1</v>
      </c>
      <c r="R3884" s="1" t="s">
        <v>122</v>
      </c>
    </row>
    <row r="3885" spans="1:18" x14ac:dyDescent="0.25">
      <c r="A3885">
        <v>2019</v>
      </c>
      <c r="B3885">
        <v>8</v>
      </c>
      <c r="C3885" s="1" t="s">
        <v>31</v>
      </c>
      <c r="D3885" s="1" t="s">
        <v>19</v>
      </c>
      <c r="E3885" s="1" t="s">
        <v>96</v>
      </c>
      <c r="F3885">
        <v>2014</v>
      </c>
      <c r="G3885">
        <v>5</v>
      </c>
      <c r="H3885" s="1" t="s">
        <v>126</v>
      </c>
      <c r="I3885">
        <v>24</v>
      </c>
      <c r="J3885">
        <v>1329</v>
      </c>
      <c r="K3885" s="1" t="s">
        <v>97</v>
      </c>
      <c r="L3885" s="1" t="s">
        <v>45</v>
      </c>
      <c r="M3885">
        <v>1.637</v>
      </c>
      <c r="N3885">
        <v>39283.199999999997</v>
      </c>
      <c r="O3885">
        <v>39.283000000000001</v>
      </c>
      <c r="P3885" s="2">
        <v>43678</v>
      </c>
      <c r="Q3885">
        <v>1</v>
      </c>
      <c r="R3885" s="1" t="s">
        <v>122</v>
      </c>
    </row>
    <row r="3886" spans="1:18" x14ac:dyDescent="0.25">
      <c r="A3886">
        <v>2019</v>
      </c>
      <c r="B3886">
        <v>9</v>
      </c>
      <c r="C3886" s="1" t="s">
        <v>32</v>
      </c>
      <c r="D3886" s="1" t="s">
        <v>19</v>
      </c>
      <c r="E3886" s="1" t="s">
        <v>96</v>
      </c>
      <c r="F3886">
        <v>2014</v>
      </c>
      <c r="G3886">
        <v>5</v>
      </c>
      <c r="H3886" s="1" t="s">
        <v>126</v>
      </c>
      <c r="I3886">
        <v>24</v>
      </c>
      <c r="J3886">
        <v>1329</v>
      </c>
      <c r="K3886" s="1" t="s">
        <v>97</v>
      </c>
      <c r="L3886" s="1" t="s">
        <v>45</v>
      </c>
      <c r="M3886">
        <v>1.163</v>
      </c>
      <c r="N3886">
        <v>27920.6</v>
      </c>
      <c r="O3886">
        <v>27.920999999999999</v>
      </c>
      <c r="P3886" s="2">
        <v>43709</v>
      </c>
      <c r="Q3886">
        <v>1</v>
      </c>
      <c r="R3886" s="1" t="s">
        <v>122</v>
      </c>
    </row>
    <row r="3887" spans="1:18" x14ac:dyDescent="0.25">
      <c r="A3887">
        <v>2019</v>
      </c>
      <c r="B3887">
        <v>10</v>
      </c>
      <c r="C3887" s="1" t="s">
        <v>33</v>
      </c>
      <c r="D3887" s="1" t="s">
        <v>19</v>
      </c>
      <c r="E3887" s="1" t="s">
        <v>96</v>
      </c>
      <c r="F3887">
        <v>2014</v>
      </c>
      <c r="G3887">
        <v>5</v>
      </c>
      <c r="H3887" s="1" t="s">
        <v>126</v>
      </c>
      <c r="I3887">
        <v>24</v>
      </c>
      <c r="J3887">
        <v>1329</v>
      </c>
      <c r="K3887" s="1" t="s">
        <v>97</v>
      </c>
      <c r="L3887" s="1" t="s">
        <v>45</v>
      </c>
      <c r="M3887">
        <v>1.5269999999999999</v>
      </c>
      <c r="N3887">
        <v>36643.199999999997</v>
      </c>
      <c r="O3887">
        <v>36.643000000000001</v>
      </c>
      <c r="P3887" s="2">
        <v>43739</v>
      </c>
      <c r="Q3887">
        <v>1</v>
      </c>
      <c r="R3887" s="1" t="s">
        <v>122</v>
      </c>
    </row>
    <row r="3888" spans="1:18" x14ac:dyDescent="0.25">
      <c r="A3888">
        <v>2019</v>
      </c>
      <c r="B3888">
        <v>11</v>
      </c>
      <c r="C3888" s="1" t="s">
        <v>34</v>
      </c>
      <c r="D3888" s="1" t="s">
        <v>19</v>
      </c>
      <c r="E3888" s="1" t="s">
        <v>96</v>
      </c>
      <c r="F3888">
        <v>2014</v>
      </c>
      <c r="G3888">
        <v>5</v>
      </c>
      <c r="H3888" s="1" t="s">
        <v>126</v>
      </c>
      <c r="I3888">
        <v>24</v>
      </c>
      <c r="J3888">
        <v>1329</v>
      </c>
      <c r="K3888" s="1" t="s">
        <v>97</v>
      </c>
      <c r="L3888" s="1" t="s">
        <v>45</v>
      </c>
      <c r="M3888">
        <v>1.111</v>
      </c>
      <c r="N3888">
        <v>26674.6</v>
      </c>
      <c r="O3888">
        <v>26.675000000000001</v>
      </c>
      <c r="P3888" s="2">
        <v>43770</v>
      </c>
      <c r="Q3888">
        <v>1</v>
      </c>
      <c r="R3888" s="1" t="s">
        <v>122</v>
      </c>
    </row>
    <row r="3889" spans="1:18" x14ac:dyDescent="0.25">
      <c r="A3889">
        <v>2019</v>
      </c>
      <c r="B3889">
        <v>12</v>
      </c>
      <c r="C3889" s="1" t="s">
        <v>35</v>
      </c>
      <c r="D3889" s="1" t="s">
        <v>19</v>
      </c>
      <c r="E3889" s="1" t="s">
        <v>96</v>
      </c>
      <c r="F3889">
        <v>2014</v>
      </c>
      <c r="G3889">
        <v>5</v>
      </c>
      <c r="H3889" s="1" t="s">
        <v>126</v>
      </c>
      <c r="I3889">
        <v>24</v>
      </c>
      <c r="J3889">
        <v>1329</v>
      </c>
      <c r="K3889" s="1" t="s">
        <v>97</v>
      </c>
      <c r="L3889" s="1" t="s">
        <v>45</v>
      </c>
      <c r="M3889">
        <v>0.83599999999999997</v>
      </c>
      <c r="N3889">
        <v>20064</v>
      </c>
      <c r="O3889">
        <v>20.064</v>
      </c>
      <c r="P3889" s="2">
        <v>43800</v>
      </c>
      <c r="Q3889">
        <v>1</v>
      </c>
      <c r="R3889" s="1" t="s">
        <v>122</v>
      </c>
    </row>
    <row r="3890" spans="1:18" x14ac:dyDescent="0.25">
      <c r="A3890">
        <v>2019</v>
      </c>
      <c r="B3890">
        <v>1</v>
      </c>
      <c r="C3890" s="1" t="s">
        <v>18</v>
      </c>
      <c r="D3890" s="1" t="s">
        <v>19</v>
      </c>
      <c r="E3890" s="1" t="s">
        <v>98</v>
      </c>
      <c r="F3890">
        <v>2014</v>
      </c>
      <c r="G3890">
        <v>5</v>
      </c>
      <c r="H3890" s="1" t="s">
        <v>126</v>
      </c>
      <c r="I3890">
        <v>24</v>
      </c>
      <c r="J3890">
        <v>1573</v>
      </c>
      <c r="K3890" s="1" t="s">
        <v>99</v>
      </c>
      <c r="L3890" s="1" t="s">
        <v>45</v>
      </c>
      <c r="M3890">
        <v>1.0549999999999999</v>
      </c>
      <c r="N3890">
        <v>25322.9</v>
      </c>
      <c r="O3890">
        <v>25.323</v>
      </c>
      <c r="P3890" s="2">
        <v>43466</v>
      </c>
      <c r="Q3890">
        <v>1</v>
      </c>
      <c r="R3890" s="1" t="s">
        <v>122</v>
      </c>
    </row>
    <row r="3891" spans="1:18" x14ac:dyDescent="0.25">
      <c r="A3891">
        <v>2019</v>
      </c>
      <c r="B3891">
        <v>2</v>
      </c>
      <c r="C3891" s="1" t="s">
        <v>25</v>
      </c>
      <c r="D3891" s="1" t="s">
        <v>19</v>
      </c>
      <c r="E3891" s="1" t="s">
        <v>98</v>
      </c>
      <c r="F3891">
        <v>2014</v>
      </c>
      <c r="G3891">
        <v>5</v>
      </c>
      <c r="H3891" s="1" t="s">
        <v>126</v>
      </c>
      <c r="I3891">
        <v>24</v>
      </c>
      <c r="J3891">
        <v>1573</v>
      </c>
      <c r="K3891" s="1" t="s">
        <v>99</v>
      </c>
      <c r="L3891" s="1" t="s">
        <v>45</v>
      </c>
      <c r="M3891">
        <v>1.234</v>
      </c>
      <c r="N3891">
        <v>29610.2</v>
      </c>
      <c r="O3891">
        <v>29.61</v>
      </c>
      <c r="P3891" s="2">
        <v>43497</v>
      </c>
      <c r="Q3891">
        <v>1</v>
      </c>
      <c r="R3891" s="1" t="s">
        <v>122</v>
      </c>
    </row>
    <row r="3892" spans="1:18" x14ac:dyDescent="0.25">
      <c r="A3892">
        <v>2019</v>
      </c>
      <c r="B3892">
        <v>3</v>
      </c>
      <c r="C3892" s="1" t="s">
        <v>26</v>
      </c>
      <c r="D3892" s="1" t="s">
        <v>19</v>
      </c>
      <c r="E3892" s="1" t="s">
        <v>98</v>
      </c>
      <c r="F3892">
        <v>2014</v>
      </c>
      <c r="G3892">
        <v>5</v>
      </c>
      <c r="H3892" s="1" t="s">
        <v>126</v>
      </c>
      <c r="I3892">
        <v>24</v>
      </c>
      <c r="J3892">
        <v>1573</v>
      </c>
      <c r="K3892" s="1" t="s">
        <v>99</v>
      </c>
      <c r="L3892" s="1" t="s">
        <v>45</v>
      </c>
      <c r="M3892">
        <v>1.4350000000000001</v>
      </c>
      <c r="N3892">
        <v>34446.699999999997</v>
      </c>
      <c r="O3892">
        <v>34.447000000000003</v>
      </c>
      <c r="P3892" s="2">
        <v>43525</v>
      </c>
      <c r="Q3892">
        <v>1</v>
      </c>
      <c r="R3892" s="1" t="s">
        <v>122</v>
      </c>
    </row>
    <row r="3893" spans="1:18" x14ac:dyDescent="0.25">
      <c r="A3893">
        <v>2019</v>
      </c>
      <c r="B3893">
        <v>4</v>
      </c>
      <c r="C3893" s="1" t="s">
        <v>27</v>
      </c>
      <c r="D3893" s="1" t="s">
        <v>19</v>
      </c>
      <c r="E3893" s="1" t="s">
        <v>98</v>
      </c>
      <c r="F3893">
        <v>2014</v>
      </c>
      <c r="G3893">
        <v>5</v>
      </c>
      <c r="H3893" s="1" t="s">
        <v>126</v>
      </c>
      <c r="I3893">
        <v>24</v>
      </c>
      <c r="J3893">
        <v>1573</v>
      </c>
      <c r="K3893" s="1" t="s">
        <v>99</v>
      </c>
      <c r="L3893" s="1" t="s">
        <v>45</v>
      </c>
      <c r="M3893">
        <v>1.6120000000000001</v>
      </c>
      <c r="N3893">
        <v>38691.800000000003</v>
      </c>
      <c r="O3893">
        <v>38.692</v>
      </c>
      <c r="P3893" s="2">
        <v>43556</v>
      </c>
      <c r="Q3893">
        <v>1</v>
      </c>
      <c r="R3893" s="1" t="s">
        <v>122</v>
      </c>
    </row>
    <row r="3894" spans="1:18" x14ac:dyDescent="0.25">
      <c r="A3894">
        <v>2019</v>
      </c>
      <c r="B3894">
        <v>5</v>
      </c>
      <c r="C3894" s="1" t="s">
        <v>28</v>
      </c>
      <c r="D3894" s="1" t="s">
        <v>19</v>
      </c>
      <c r="E3894" s="1" t="s">
        <v>98</v>
      </c>
      <c r="F3894">
        <v>2014</v>
      </c>
      <c r="G3894">
        <v>5</v>
      </c>
      <c r="H3894" s="1" t="s">
        <v>126</v>
      </c>
      <c r="I3894">
        <v>24</v>
      </c>
      <c r="J3894">
        <v>1573</v>
      </c>
      <c r="K3894" s="1" t="s">
        <v>99</v>
      </c>
      <c r="L3894" s="1" t="s">
        <v>45</v>
      </c>
      <c r="M3894">
        <v>1.649</v>
      </c>
      <c r="N3894">
        <v>39578.9</v>
      </c>
      <c r="O3894">
        <v>39.579000000000001</v>
      </c>
      <c r="P3894" s="2">
        <v>43586</v>
      </c>
      <c r="Q3894">
        <v>1</v>
      </c>
      <c r="R3894" s="1" t="s">
        <v>122</v>
      </c>
    </row>
    <row r="3895" spans="1:18" x14ac:dyDescent="0.25">
      <c r="A3895">
        <v>2019</v>
      </c>
      <c r="B3895">
        <v>6</v>
      </c>
      <c r="C3895" s="1" t="s">
        <v>29</v>
      </c>
      <c r="D3895" s="1" t="s">
        <v>19</v>
      </c>
      <c r="E3895" s="1" t="s">
        <v>98</v>
      </c>
      <c r="F3895">
        <v>2014</v>
      </c>
      <c r="G3895">
        <v>5</v>
      </c>
      <c r="H3895" s="1" t="s">
        <v>126</v>
      </c>
      <c r="I3895">
        <v>24</v>
      </c>
      <c r="J3895">
        <v>1573</v>
      </c>
      <c r="K3895" s="1" t="s">
        <v>99</v>
      </c>
      <c r="L3895" s="1" t="s">
        <v>45</v>
      </c>
      <c r="M3895">
        <v>1.5660000000000001</v>
      </c>
      <c r="N3895">
        <v>37572.5</v>
      </c>
      <c r="O3895">
        <v>37.572000000000003</v>
      </c>
      <c r="P3895" s="2">
        <v>43617</v>
      </c>
      <c r="Q3895">
        <v>1</v>
      </c>
      <c r="R3895" s="1" t="s">
        <v>122</v>
      </c>
    </row>
    <row r="3896" spans="1:18" x14ac:dyDescent="0.25">
      <c r="A3896">
        <v>2019</v>
      </c>
      <c r="B3896">
        <v>7</v>
      </c>
      <c r="C3896" s="1" t="s">
        <v>30</v>
      </c>
      <c r="D3896" s="1" t="s">
        <v>19</v>
      </c>
      <c r="E3896" s="1" t="s">
        <v>98</v>
      </c>
      <c r="F3896">
        <v>2014</v>
      </c>
      <c r="G3896">
        <v>5</v>
      </c>
      <c r="H3896" s="1" t="s">
        <v>126</v>
      </c>
      <c r="I3896">
        <v>24</v>
      </c>
      <c r="J3896">
        <v>1573</v>
      </c>
      <c r="K3896" s="1" t="s">
        <v>99</v>
      </c>
      <c r="L3896" s="1" t="s">
        <v>45</v>
      </c>
      <c r="M3896">
        <v>1.4079999999999999</v>
      </c>
      <c r="N3896">
        <v>33792</v>
      </c>
      <c r="O3896">
        <v>33.792000000000002</v>
      </c>
      <c r="P3896" s="2">
        <v>43647</v>
      </c>
      <c r="Q3896">
        <v>1</v>
      </c>
      <c r="R3896" s="1" t="s">
        <v>122</v>
      </c>
    </row>
    <row r="3897" spans="1:18" x14ac:dyDescent="0.25">
      <c r="A3897">
        <v>2019</v>
      </c>
      <c r="B3897">
        <v>8</v>
      </c>
      <c r="C3897" s="1" t="s">
        <v>31</v>
      </c>
      <c r="D3897" s="1" t="s">
        <v>19</v>
      </c>
      <c r="E3897" s="1" t="s">
        <v>98</v>
      </c>
      <c r="F3897">
        <v>2014</v>
      </c>
      <c r="G3897">
        <v>5</v>
      </c>
      <c r="H3897" s="1" t="s">
        <v>126</v>
      </c>
      <c r="I3897">
        <v>24</v>
      </c>
      <c r="J3897">
        <v>1573</v>
      </c>
      <c r="K3897" s="1" t="s">
        <v>99</v>
      </c>
      <c r="L3897" s="1" t="s">
        <v>45</v>
      </c>
      <c r="M3897">
        <v>1.637</v>
      </c>
      <c r="N3897">
        <v>39283.199999999997</v>
      </c>
      <c r="O3897">
        <v>39.283000000000001</v>
      </c>
      <c r="P3897" s="2">
        <v>43678</v>
      </c>
      <c r="Q3897">
        <v>1</v>
      </c>
      <c r="R3897" s="1" t="s">
        <v>122</v>
      </c>
    </row>
    <row r="3898" spans="1:18" x14ac:dyDescent="0.25">
      <c r="A3898">
        <v>2019</v>
      </c>
      <c r="B3898">
        <v>9</v>
      </c>
      <c r="C3898" s="1" t="s">
        <v>32</v>
      </c>
      <c r="D3898" s="1" t="s">
        <v>19</v>
      </c>
      <c r="E3898" s="1" t="s">
        <v>98</v>
      </c>
      <c r="F3898">
        <v>2014</v>
      </c>
      <c r="G3898">
        <v>5</v>
      </c>
      <c r="H3898" s="1" t="s">
        <v>126</v>
      </c>
      <c r="I3898">
        <v>24</v>
      </c>
      <c r="J3898">
        <v>1573</v>
      </c>
      <c r="K3898" s="1" t="s">
        <v>99</v>
      </c>
      <c r="L3898" s="1" t="s">
        <v>45</v>
      </c>
      <c r="M3898">
        <v>1.163</v>
      </c>
      <c r="N3898">
        <v>27920.6</v>
      </c>
      <c r="O3898">
        <v>27.920999999999999</v>
      </c>
      <c r="P3898" s="2">
        <v>43709</v>
      </c>
      <c r="Q3898">
        <v>1</v>
      </c>
      <c r="R3898" s="1" t="s">
        <v>122</v>
      </c>
    </row>
    <row r="3899" spans="1:18" x14ac:dyDescent="0.25">
      <c r="A3899">
        <v>2019</v>
      </c>
      <c r="B3899">
        <v>10</v>
      </c>
      <c r="C3899" s="1" t="s">
        <v>33</v>
      </c>
      <c r="D3899" s="1" t="s">
        <v>19</v>
      </c>
      <c r="E3899" s="1" t="s">
        <v>98</v>
      </c>
      <c r="F3899">
        <v>2014</v>
      </c>
      <c r="G3899">
        <v>5</v>
      </c>
      <c r="H3899" s="1" t="s">
        <v>126</v>
      </c>
      <c r="I3899">
        <v>24</v>
      </c>
      <c r="J3899">
        <v>1573</v>
      </c>
      <c r="K3899" s="1" t="s">
        <v>99</v>
      </c>
      <c r="L3899" s="1" t="s">
        <v>45</v>
      </c>
      <c r="M3899">
        <v>1.5269999999999999</v>
      </c>
      <c r="N3899">
        <v>36643.199999999997</v>
      </c>
      <c r="O3899">
        <v>36.643000000000001</v>
      </c>
      <c r="P3899" s="2">
        <v>43739</v>
      </c>
      <c r="Q3899">
        <v>1</v>
      </c>
      <c r="R3899" s="1" t="s">
        <v>122</v>
      </c>
    </row>
    <row r="3900" spans="1:18" x14ac:dyDescent="0.25">
      <c r="A3900">
        <v>2019</v>
      </c>
      <c r="B3900">
        <v>11</v>
      </c>
      <c r="C3900" s="1" t="s">
        <v>34</v>
      </c>
      <c r="D3900" s="1" t="s">
        <v>19</v>
      </c>
      <c r="E3900" s="1" t="s">
        <v>98</v>
      </c>
      <c r="F3900">
        <v>2014</v>
      </c>
      <c r="G3900">
        <v>5</v>
      </c>
      <c r="H3900" s="1" t="s">
        <v>126</v>
      </c>
      <c r="I3900">
        <v>24</v>
      </c>
      <c r="J3900">
        <v>1573</v>
      </c>
      <c r="K3900" s="1" t="s">
        <v>99</v>
      </c>
      <c r="L3900" s="1" t="s">
        <v>45</v>
      </c>
      <c r="M3900">
        <v>1.111</v>
      </c>
      <c r="N3900">
        <v>26674.6</v>
      </c>
      <c r="O3900">
        <v>26.675000000000001</v>
      </c>
      <c r="P3900" s="2">
        <v>43770</v>
      </c>
      <c r="Q3900">
        <v>1</v>
      </c>
      <c r="R3900" s="1" t="s">
        <v>122</v>
      </c>
    </row>
    <row r="3901" spans="1:18" x14ac:dyDescent="0.25">
      <c r="A3901">
        <v>2019</v>
      </c>
      <c r="B3901">
        <v>12</v>
      </c>
      <c r="C3901" s="1" t="s">
        <v>35</v>
      </c>
      <c r="D3901" s="1" t="s">
        <v>19</v>
      </c>
      <c r="E3901" s="1" t="s">
        <v>98</v>
      </c>
      <c r="F3901">
        <v>2014</v>
      </c>
      <c r="G3901">
        <v>5</v>
      </c>
      <c r="H3901" s="1" t="s">
        <v>126</v>
      </c>
      <c r="I3901">
        <v>24</v>
      </c>
      <c r="J3901">
        <v>1573</v>
      </c>
      <c r="K3901" s="1" t="s">
        <v>99</v>
      </c>
      <c r="L3901" s="1" t="s">
        <v>45</v>
      </c>
      <c r="M3901">
        <v>0.83599999999999997</v>
      </c>
      <c r="N3901">
        <v>20064</v>
      </c>
      <c r="O3901">
        <v>20.064</v>
      </c>
      <c r="P3901" s="2">
        <v>43800</v>
      </c>
      <c r="Q3901">
        <v>1</v>
      </c>
      <c r="R3901" s="1" t="s">
        <v>122</v>
      </c>
    </row>
    <row r="3902" spans="1:18" x14ac:dyDescent="0.25">
      <c r="A3902">
        <v>2019</v>
      </c>
      <c r="B3902">
        <v>1</v>
      </c>
      <c r="C3902" s="1" t="s">
        <v>18</v>
      </c>
      <c r="D3902" s="1" t="s">
        <v>19</v>
      </c>
      <c r="E3902" s="1" t="s">
        <v>100</v>
      </c>
      <c r="F3902">
        <v>2016</v>
      </c>
      <c r="G3902">
        <v>3</v>
      </c>
      <c r="H3902" s="1" t="s">
        <v>121</v>
      </c>
      <c r="I3902">
        <v>22</v>
      </c>
      <c r="J3902">
        <v>3137</v>
      </c>
      <c r="K3902" s="1" t="s">
        <v>101</v>
      </c>
      <c r="L3902" s="1" t="s">
        <v>23</v>
      </c>
      <c r="M3902">
        <v>0.45600000000000002</v>
      </c>
      <c r="N3902">
        <v>10023.6</v>
      </c>
      <c r="O3902">
        <v>10.023999999999999</v>
      </c>
      <c r="P3902" s="2">
        <v>43466</v>
      </c>
      <c r="Q3902">
        <v>1</v>
      </c>
      <c r="R3902" s="1" t="s">
        <v>122</v>
      </c>
    </row>
    <row r="3903" spans="1:18" x14ac:dyDescent="0.25">
      <c r="A3903">
        <v>2019</v>
      </c>
      <c r="B3903">
        <v>2</v>
      </c>
      <c r="C3903" s="1" t="s">
        <v>25</v>
      </c>
      <c r="D3903" s="1" t="s">
        <v>19</v>
      </c>
      <c r="E3903" s="1" t="s">
        <v>100</v>
      </c>
      <c r="F3903">
        <v>2016</v>
      </c>
      <c r="G3903">
        <v>3</v>
      </c>
      <c r="H3903" s="1" t="s">
        <v>121</v>
      </c>
      <c r="I3903">
        <v>22</v>
      </c>
      <c r="J3903">
        <v>3137</v>
      </c>
      <c r="K3903" s="1" t="s">
        <v>101</v>
      </c>
      <c r="L3903" s="1" t="s">
        <v>23</v>
      </c>
      <c r="M3903">
        <v>0.53300000000000003</v>
      </c>
      <c r="N3903">
        <v>11720.7</v>
      </c>
      <c r="O3903">
        <v>11.721</v>
      </c>
      <c r="P3903" s="2">
        <v>43497</v>
      </c>
      <c r="Q3903">
        <v>1</v>
      </c>
      <c r="R3903" s="1" t="s">
        <v>122</v>
      </c>
    </row>
    <row r="3904" spans="1:18" x14ac:dyDescent="0.25">
      <c r="A3904">
        <v>2019</v>
      </c>
      <c r="B3904">
        <v>3</v>
      </c>
      <c r="C3904" s="1" t="s">
        <v>26</v>
      </c>
      <c r="D3904" s="1" t="s">
        <v>19</v>
      </c>
      <c r="E3904" s="1" t="s">
        <v>100</v>
      </c>
      <c r="F3904">
        <v>2016</v>
      </c>
      <c r="G3904">
        <v>3</v>
      </c>
      <c r="H3904" s="1" t="s">
        <v>121</v>
      </c>
      <c r="I3904">
        <v>22</v>
      </c>
      <c r="J3904">
        <v>3137</v>
      </c>
      <c r="K3904" s="1" t="s">
        <v>101</v>
      </c>
      <c r="L3904" s="1" t="s">
        <v>23</v>
      </c>
      <c r="M3904">
        <v>0.62</v>
      </c>
      <c r="N3904">
        <v>13635.2</v>
      </c>
      <c r="O3904">
        <v>13.635</v>
      </c>
      <c r="P3904" s="2">
        <v>43525</v>
      </c>
      <c r="Q3904">
        <v>1</v>
      </c>
      <c r="R3904" s="1" t="s">
        <v>122</v>
      </c>
    </row>
    <row r="3905" spans="1:18" x14ac:dyDescent="0.25">
      <c r="A3905">
        <v>2019</v>
      </c>
      <c r="B3905">
        <v>4</v>
      </c>
      <c r="C3905" s="1" t="s">
        <v>27</v>
      </c>
      <c r="D3905" s="1" t="s">
        <v>19</v>
      </c>
      <c r="E3905" s="1" t="s">
        <v>100</v>
      </c>
      <c r="F3905">
        <v>2016</v>
      </c>
      <c r="G3905">
        <v>3</v>
      </c>
      <c r="H3905" s="1" t="s">
        <v>121</v>
      </c>
      <c r="I3905">
        <v>22</v>
      </c>
      <c r="J3905">
        <v>3137</v>
      </c>
      <c r="K3905" s="1" t="s">
        <v>101</v>
      </c>
      <c r="L3905" s="1" t="s">
        <v>23</v>
      </c>
      <c r="M3905">
        <v>0.69599999999999995</v>
      </c>
      <c r="N3905">
        <v>15315.5</v>
      </c>
      <c r="O3905">
        <v>15.316000000000001</v>
      </c>
      <c r="P3905" s="2">
        <v>43556</v>
      </c>
      <c r="Q3905">
        <v>1</v>
      </c>
      <c r="R3905" s="1" t="s">
        <v>122</v>
      </c>
    </row>
    <row r="3906" spans="1:18" x14ac:dyDescent="0.25">
      <c r="A3906">
        <v>2019</v>
      </c>
      <c r="B3906">
        <v>5</v>
      </c>
      <c r="C3906" s="1" t="s">
        <v>28</v>
      </c>
      <c r="D3906" s="1" t="s">
        <v>19</v>
      </c>
      <c r="E3906" s="1" t="s">
        <v>100</v>
      </c>
      <c r="F3906">
        <v>2016</v>
      </c>
      <c r="G3906">
        <v>3</v>
      </c>
      <c r="H3906" s="1" t="s">
        <v>121</v>
      </c>
      <c r="I3906">
        <v>22</v>
      </c>
      <c r="J3906">
        <v>3137</v>
      </c>
      <c r="K3906" s="1" t="s">
        <v>101</v>
      </c>
      <c r="L3906" s="1" t="s">
        <v>23</v>
      </c>
      <c r="M3906">
        <v>0.71199999999999997</v>
      </c>
      <c r="N3906">
        <v>15666.6</v>
      </c>
      <c r="O3906">
        <v>15.667</v>
      </c>
      <c r="P3906" s="2">
        <v>43586</v>
      </c>
      <c r="Q3906">
        <v>1</v>
      </c>
      <c r="R3906" s="1" t="s">
        <v>122</v>
      </c>
    </row>
    <row r="3907" spans="1:18" x14ac:dyDescent="0.25">
      <c r="A3907">
        <v>2019</v>
      </c>
      <c r="B3907">
        <v>6</v>
      </c>
      <c r="C3907" s="1" t="s">
        <v>29</v>
      </c>
      <c r="D3907" s="1" t="s">
        <v>19</v>
      </c>
      <c r="E3907" s="1" t="s">
        <v>100</v>
      </c>
      <c r="F3907">
        <v>2016</v>
      </c>
      <c r="G3907">
        <v>3</v>
      </c>
      <c r="H3907" s="1" t="s">
        <v>121</v>
      </c>
      <c r="I3907">
        <v>22</v>
      </c>
      <c r="J3907">
        <v>3137</v>
      </c>
      <c r="K3907" s="1" t="s">
        <v>101</v>
      </c>
      <c r="L3907" s="1" t="s">
        <v>23</v>
      </c>
      <c r="M3907">
        <v>0.67600000000000005</v>
      </c>
      <c r="N3907">
        <v>14872.4</v>
      </c>
      <c r="O3907">
        <v>14.872</v>
      </c>
      <c r="P3907" s="2">
        <v>43617</v>
      </c>
      <c r="Q3907">
        <v>1</v>
      </c>
      <c r="R3907" s="1" t="s">
        <v>122</v>
      </c>
    </row>
    <row r="3908" spans="1:18" x14ac:dyDescent="0.25">
      <c r="A3908">
        <v>2019</v>
      </c>
      <c r="B3908">
        <v>7</v>
      </c>
      <c r="C3908" s="1" t="s">
        <v>30</v>
      </c>
      <c r="D3908" s="1" t="s">
        <v>19</v>
      </c>
      <c r="E3908" s="1" t="s">
        <v>100</v>
      </c>
      <c r="F3908">
        <v>2016</v>
      </c>
      <c r="G3908">
        <v>3</v>
      </c>
      <c r="H3908" s="1" t="s">
        <v>121</v>
      </c>
      <c r="I3908">
        <v>22</v>
      </c>
      <c r="J3908">
        <v>3137</v>
      </c>
      <c r="K3908" s="1" t="s">
        <v>101</v>
      </c>
      <c r="L3908" s="1" t="s">
        <v>23</v>
      </c>
      <c r="M3908">
        <v>0.60799999999999998</v>
      </c>
      <c r="N3908">
        <v>13376</v>
      </c>
      <c r="O3908">
        <v>13.375999999999999</v>
      </c>
      <c r="P3908" s="2">
        <v>43647</v>
      </c>
      <c r="Q3908">
        <v>1</v>
      </c>
      <c r="R3908" s="1" t="s">
        <v>122</v>
      </c>
    </row>
    <row r="3909" spans="1:18" x14ac:dyDescent="0.25">
      <c r="A3909">
        <v>2019</v>
      </c>
      <c r="B3909">
        <v>8</v>
      </c>
      <c r="C3909" s="1" t="s">
        <v>31</v>
      </c>
      <c r="D3909" s="1" t="s">
        <v>19</v>
      </c>
      <c r="E3909" s="1" t="s">
        <v>100</v>
      </c>
      <c r="F3909">
        <v>2016</v>
      </c>
      <c r="G3909">
        <v>3</v>
      </c>
      <c r="H3909" s="1" t="s">
        <v>121</v>
      </c>
      <c r="I3909">
        <v>22</v>
      </c>
      <c r="J3909">
        <v>3137</v>
      </c>
      <c r="K3909" s="1" t="s">
        <v>101</v>
      </c>
      <c r="L3909" s="1" t="s">
        <v>23</v>
      </c>
      <c r="M3909">
        <v>0.70699999999999996</v>
      </c>
      <c r="N3909">
        <v>15549.6</v>
      </c>
      <c r="O3909">
        <v>15.55</v>
      </c>
      <c r="P3909" s="2">
        <v>43678</v>
      </c>
      <c r="Q3909">
        <v>1</v>
      </c>
      <c r="R3909" s="1" t="s">
        <v>122</v>
      </c>
    </row>
    <row r="3910" spans="1:18" x14ac:dyDescent="0.25">
      <c r="A3910">
        <v>2019</v>
      </c>
      <c r="B3910">
        <v>9</v>
      </c>
      <c r="C3910" s="1" t="s">
        <v>32</v>
      </c>
      <c r="D3910" s="1" t="s">
        <v>19</v>
      </c>
      <c r="E3910" s="1" t="s">
        <v>100</v>
      </c>
      <c r="F3910">
        <v>2016</v>
      </c>
      <c r="G3910">
        <v>3</v>
      </c>
      <c r="H3910" s="1" t="s">
        <v>121</v>
      </c>
      <c r="I3910">
        <v>22</v>
      </c>
      <c r="J3910">
        <v>3137</v>
      </c>
      <c r="K3910" s="1" t="s">
        <v>101</v>
      </c>
      <c r="L3910" s="1" t="s">
        <v>23</v>
      </c>
      <c r="M3910">
        <v>0.502</v>
      </c>
      <c r="N3910">
        <v>11051.9</v>
      </c>
      <c r="O3910">
        <v>11.052</v>
      </c>
      <c r="P3910" s="2">
        <v>43709</v>
      </c>
      <c r="Q3910">
        <v>1</v>
      </c>
      <c r="R3910" s="1" t="s">
        <v>122</v>
      </c>
    </row>
    <row r="3911" spans="1:18" x14ac:dyDescent="0.25">
      <c r="A3911">
        <v>2019</v>
      </c>
      <c r="B3911">
        <v>10</v>
      </c>
      <c r="C3911" s="1" t="s">
        <v>33</v>
      </c>
      <c r="D3911" s="1" t="s">
        <v>19</v>
      </c>
      <c r="E3911" s="1" t="s">
        <v>100</v>
      </c>
      <c r="F3911">
        <v>2016</v>
      </c>
      <c r="G3911">
        <v>3</v>
      </c>
      <c r="H3911" s="1" t="s">
        <v>121</v>
      </c>
      <c r="I3911">
        <v>22</v>
      </c>
      <c r="J3911">
        <v>3137</v>
      </c>
      <c r="K3911" s="1" t="s">
        <v>101</v>
      </c>
      <c r="L3911" s="1" t="s">
        <v>23</v>
      </c>
      <c r="M3911">
        <v>0.65900000000000003</v>
      </c>
      <c r="N3911">
        <v>14504.6</v>
      </c>
      <c r="O3911">
        <v>14.505000000000001</v>
      </c>
      <c r="P3911" s="2">
        <v>43739</v>
      </c>
      <c r="Q3911">
        <v>1</v>
      </c>
      <c r="R3911" s="1" t="s">
        <v>122</v>
      </c>
    </row>
    <row r="3912" spans="1:18" x14ac:dyDescent="0.25">
      <c r="A3912">
        <v>2019</v>
      </c>
      <c r="B3912">
        <v>11</v>
      </c>
      <c r="C3912" s="1" t="s">
        <v>34</v>
      </c>
      <c r="D3912" s="1" t="s">
        <v>19</v>
      </c>
      <c r="E3912" s="1" t="s">
        <v>100</v>
      </c>
      <c r="F3912">
        <v>2016</v>
      </c>
      <c r="G3912">
        <v>3</v>
      </c>
      <c r="H3912" s="1" t="s">
        <v>121</v>
      </c>
      <c r="I3912">
        <v>22</v>
      </c>
      <c r="J3912">
        <v>3137</v>
      </c>
      <c r="K3912" s="1" t="s">
        <v>101</v>
      </c>
      <c r="L3912" s="1" t="s">
        <v>23</v>
      </c>
      <c r="M3912">
        <v>0.48</v>
      </c>
      <c r="N3912">
        <v>10558.7</v>
      </c>
      <c r="O3912">
        <v>10.558999999999999</v>
      </c>
      <c r="P3912" s="2">
        <v>43770</v>
      </c>
      <c r="Q3912">
        <v>1</v>
      </c>
      <c r="R3912" s="1" t="s">
        <v>122</v>
      </c>
    </row>
    <row r="3913" spans="1:18" x14ac:dyDescent="0.25">
      <c r="A3913">
        <v>2019</v>
      </c>
      <c r="B3913">
        <v>12</v>
      </c>
      <c r="C3913" s="1" t="s">
        <v>35</v>
      </c>
      <c r="D3913" s="1" t="s">
        <v>19</v>
      </c>
      <c r="E3913" s="1" t="s">
        <v>100</v>
      </c>
      <c r="F3913">
        <v>2016</v>
      </c>
      <c r="G3913">
        <v>3</v>
      </c>
      <c r="H3913" s="1" t="s">
        <v>121</v>
      </c>
      <c r="I3913">
        <v>22</v>
      </c>
      <c r="J3913">
        <v>3137</v>
      </c>
      <c r="K3913" s="1" t="s">
        <v>101</v>
      </c>
      <c r="L3913" s="1" t="s">
        <v>23</v>
      </c>
      <c r="M3913">
        <v>0.36099999999999999</v>
      </c>
      <c r="N3913">
        <v>7942</v>
      </c>
      <c r="O3913">
        <v>7.9420000000000002</v>
      </c>
      <c r="P3913" s="2">
        <v>43800</v>
      </c>
      <c r="Q3913">
        <v>1</v>
      </c>
      <c r="R3913" s="1" t="s">
        <v>122</v>
      </c>
    </row>
    <row r="3914" spans="1:18" x14ac:dyDescent="0.25">
      <c r="A3914">
        <v>2019</v>
      </c>
      <c r="B3914">
        <v>1</v>
      </c>
      <c r="C3914" s="1" t="s">
        <v>18</v>
      </c>
      <c r="D3914" s="1" t="s">
        <v>19</v>
      </c>
      <c r="E3914" s="1" t="s">
        <v>102</v>
      </c>
      <c r="F3914">
        <v>2016</v>
      </c>
      <c r="G3914">
        <v>3</v>
      </c>
      <c r="H3914" s="1" t="s">
        <v>121</v>
      </c>
      <c r="I3914">
        <v>22</v>
      </c>
      <c r="J3914">
        <v>3096</v>
      </c>
      <c r="K3914" s="1" t="s">
        <v>103</v>
      </c>
      <c r="L3914" s="1" t="s">
        <v>23</v>
      </c>
      <c r="M3914">
        <v>0.45600000000000002</v>
      </c>
      <c r="N3914">
        <v>10023.6</v>
      </c>
      <c r="O3914">
        <v>10.023999999999999</v>
      </c>
      <c r="P3914" s="2">
        <v>43466</v>
      </c>
      <c r="Q3914">
        <v>1</v>
      </c>
      <c r="R3914" s="1" t="s">
        <v>122</v>
      </c>
    </row>
    <row r="3915" spans="1:18" x14ac:dyDescent="0.25">
      <c r="A3915">
        <v>2019</v>
      </c>
      <c r="B3915">
        <v>2</v>
      </c>
      <c r="C3915" s="1" t="s">
        <v>25</v>
      </c>
      <c r="D3915" s="1" t="s">
        <v>19</v>
      </c>
      <c r="E3915" s="1" t="s">
        <v>102</v>
      </c>
      <c r="F3915">
        <v>2016</v>
      </c>
      <c r="G3915">
        <v>3</v>
      </c>
      <c r="H3915" s="1" t="s">
        <v>121</v>
      </c>
      <c r="I3915">
        <v>22</v>
      </c>
      <c r="J3915">
        <v>3096</v>
      </c>
      <c r="K3915" s="1" t="s">
        <v>103</v>
      </c>
      <c r="L3915" s="1" t="s">
        <v>23</v>
      </c>
      <c r="M3915">
        <v>0.53300000000000003</v>
      </c>
      <c r="N3915">
        <v>11720.7</v>
      </c>
      <c r="O3915">
        <v>11.721</v>
      </c>
      <c r="P3915" s="2">
        <v>43497</v>
      </c>
      <c r="Q3915">
        <v>1</v>
      </c>
      <c r="R3915" s="1" t="s">
        <v>122</v>
      </c>
    </row>
    <row r="3916" spans="1:18" x14ac:dyDescent="0.25">
      <c r="A3916">
        <v>2019</v>
      </c>
      <c r="B3916">
        <v>3</v>
      </c>
      <c r="C3916" s="1" t="s">
        <v>26</v>
      </c>
      <c r="D3916" s="1" t="s">
        <v>19</v>
      </c>
      <c r="E3916" s="1" t="s">
        <v>102</v>
      </c>
      <c r="F3916">
        <v>2016</v>
      </c>
      <c r="G3916">
        <v>3</v>
      </c>
      <c r="H3916" s="1" t="s">
        <v>121</v>
      </c>
      <c r="I3916">
        <v>22</v>
      </c>
      <c r="J3916">
        <v>3096</v>
      </c>
      <c r="K3916" s="1" t="s">
        <v>103</v>
      </c>
      <c r="L3916" s="1" t="s">
        <v>23</v>
      </c>
      <c r="M3916">
        <v>0.62</v>
      </c>
      <c r="N3916">
        <v>13635.2</v>
      </c>
      <c r="O3916">
        <v>13.635</v>
      </c>
      <c r="P3916" s="2">
        <v>43525</v>
      </c>
      <c r="Q3916">
        <v>1</v>
      </c>
      <c r="R3916" s="1" t="s">
        <v>122</v>
      </c>
    </row>
    <row r="3917" spans="1:18" x14ac:dyDescent="0.25">
      <c r="A3917">
        <v>2019</v>
      </c>
      <c r="B3917">
        <v>4</v>
      </c>
      <c r="C3917" s="1" t="s">
        <v>27</v>
      </c>
      <c r="D3917" s="1" t="s">
        <v>19</v>
      </c>
      <c r="E3917" s="1" t="s">
        <v>102</v>
      </c>
      <c r="F3917">
        <v>2016</v>
      </c>
      <c r="G3917">
        <v>3</v>
      </c>
      <c r="H3917" s="1" t="s">
        <v>121</v>
      </c>
      <c r="I3917">
        <v>22</v>
      </c>
      <c r="J3917">
        <v>3096</v>
      </c>
      <c r="K3917" s="1" t="s">
        <v>103</v>
      </c>
      <c r="L3917" s="1" t="s">
        <v>23</v>
      </c>
      <c r="M3917">
        <v>0.69599999999999995</v>
      </c>
      <c r="N3917">
        <v>15315.5</v>
      </c>
      <c r="O3917">
        <v>15.316000000000001</v>
      </c>
      <c r="P3917" s="2">
        <v>43556</v>
      </c>
      <c r="Q3917">
        <v>1</v>
      </c>
      <c r="R3917" s="1" t="s">
        <v>122</v>
      </c>
    </row>
    <row r="3918" spans="1:18" x14ac:dyDescent="0.25">
      <c r="A3918">
        <v>2019</v>
      </c>
      <c r="B3918">
        <v>5</v>
      </c>
      <c r="C3918" s="1" t="s">
        <v>28</v>
      </c>
      <c r="D3918" s="1" t="s">
        <v>19</v>
      </c>
      <c r="E3918" s="1" t="s">
        <v>102</v>
      </c>
      <c r="F3918">
        <v>2016</v>
      </c>
      <c r="G3918">
        <v>3</v>
      </c>
      <c r="H3918" s="1" t="s">
        <v>121</v>
      </c>
      <c r="I3918">
        <v>22</v>
      </c>
      <c r="J3918">
        <v>3096</v>
      </c>
      <c r="K3918" s="1" t="s">
        <v>103</v>
      </c>
      <c r="L3918" s="1" t="s">
        <v>23</v>
      </c>
      <c r="M3918">
        <v>0.71199999999999997</v>
      </c>
      <c r="N3918">
        <v>15666.6</v>
      </c>
      <c r="O3918">
        <v>15.667</v>
      </c>
      <c r="P3918" s="2">
        <v>43586</v>
      </c>
      <c r="Q3918">
        <v>1</v>
      </c>
      <c r="R3918" s="1" t="s">
        <v>122</v>
      </c>
    </row>
    <row r="3919" spans="1:18" x14ac:dyDescent="0.25">
      <c r="A3919">
        <v>2019</v>
      </c>
      <c r="B3919">
        <v>6</v>
      </c>
      <c r="C3919" s="1" t="s">
        <v>29</v>
      </c>
      <c r="D3919" s="1" t="s">
        <v>19</v>
      </c>
      <c r="E3919" s="1" t="s">
        <v>102</v>
      </c>
      <c r="F3919">
        <v>2016</v>
      </c>
      <c r="G3919">
        <v>3</v>
      </c>
      <c r="H3919" s="1" t="s">
        <v>121</v>
      </c>
      <c r="I3919">
        <v>22</v>
      </c>
      <c r="J3919">
        <v>3096</v>
      </c>
      <c r="K3919" s="1" t="s">
        <v>103</v>
      </c>
      <c r="L3919" s="1" t="s">
        <v>23</v>
      </c>
      <c r="M3919">
        <v>0.67600000000000005</v>
      </c>
      <c r="N3919">
        <v>14872.4</v>
      </c>
      <c r="O3919">
        <v>14.872</v>
      </c>
      <c r="P3919" s="2">
        <v>43617</v>
      </c>
      <c r="Q3919">
        <v>1</v>
      </c>
      <c r="R3919" s="1" t="s">
        <v>122</v>
      </c>
    </row>
    <row r="3920" spans="1:18" x14ac:dyDescent="0.25">
      <c r="A3920">
        <v>2019</v>
      </c>
      <c r="B3920">
        <v>7</v>
      </c>
      <c r="C3920" s="1" t="s">
        <v>30</v>
      </c>
      <c r="D3920" s="1" t="s">
        <v>19</v>
      </c>
      <c r="E3920" s="1" t="s">
        <v>102</v>
      </c>
      <c r="F3920">
        <v>2016</v>
      </c>
      <c r="G3920">
        <v>3</v>
      </c>
      <c r="H3920" s="1" t="s">
        <v>121</v>
      </c>
      <c r="I3920">
        <v>22</v>
      </c>
      <c r="J3920">
        <v>3096</v>
      </c>
      <c r="K3920" s="1" t="s">
        <v>103</v>
      </c>
      <c r="L3920" s="1" t="s">
        <v>23</v>
      </c>
      <c r="M3920">
        <v>0.60799999999999998</v>
      </c>
      <c r="N3920">
        <v>13376</v>
      </c>
      <c r="O3920">
        <v>13.375999999999999</v>
      </c>
      <c r="P3920" s="2">
        <v>43647</v>
      </c>
      <c r="Q3920">
        <v>1</v>
      </c>
      <c r="R3920" s="1" t="s">
        <v>122</v>
      </c>
    </row>
    <row r="3921" spans="1:18" x14ac:dyDescent="0.25">
      <c r="A3921">
        <v>2019</v>
      </c>
      <c r="B3921">
        <v>8</v>
      </c>
      <c r="C3921" s="1" t="s">
        <v>31</v>
      </c>
      <c r="D3921" s="1" t="s">
        <v>19</v>
      </c>
      <c r="E3921" s="1" t="s">
        <v>102</v>
      </c>
      <c r="F3921">
        <v>2016</v>
      </c>
      <c r="G3921">
        <v>3</v>
      </c>
      <c r="H3921" s="1" t="s">
        <v>121</v>
      </c>
      <c r="I3921">
        <v>22</v>
      </c>
      <c r="J3921">
        <v>3096</v>
      </c>
      <c r="K3921" s="1" t="s">
        <v>103</v>
      </c>
      <c r="L3921" s="1" t="s">
        <v>23</v>
      </c>
      <c r="M3921">
        <v>0.70699999999999996</v>
      </c>
      <c r="N3921">
        <v>15549.6</v>
      </c>
      <c r="O3921">
        <v>15.55</v>
      </c>
      <c r="P3921" s="2">
        <v>43678</v>
      </c>
      <c r="Q3921">
        <v>1</v>
      </c>
      <c r="R3921" s="1" t="s">
        <v>122</v>
      </c>
    </row>
    <row r="3922" spans="1:18" x14ac:dyDescent="0.25">
      <c r="A3922">
        <v>2019</v>
      </c>
      <c r="B3922">
        <v>9</v>
      </c>
      <c r="C3922" s="1" t="s">
        <v>32</v>
      </c>
      <c r="D3922" s="1" t="s">
        <v>19</v>
      </c>
      <c r="E3922" s="1" t="s">
        <v>102</v>
      </c>
      <c r="F3922">
        <v>2016</v>
      </c>
      <c r="G3922">
        <v>3</v>
      </c>
      <c r="H3922" s="1" t="s">
        <v>121</v>
      </c>
      <c r="I3922">
        <v>22</v>
      </c>
      <c r="J3922">
        <v>3096</v>
      </c>
      <c r="K3922" s="1" t="s">
        <v>103</v>
      </c>
      <c r="L3922" s="1" t="s">
        <v>23</v>
      </c>
      <c r="M3922">
        <v>0.502</v>
      </c>
      <c r="N3922">
        <v>11051.9</v>
      </c>
      <c r="O3922">
        <v>11.052</v>
      </c>
      <c r="P3922" s="2">
        <v>43709</v>
      </c>
      <c r="Q3922">
        <v>1</v>
      </c>
      <c r="R3922" s="1" t="s">
        <v>122</v>
      </c>
    </row>
    <row r="3923" spans="1:18" x14ac:dyDescent="0.25">
      <c r="A3923">
        <v>2019</v>
      </c>
      <c r="B3923">
        <v>10</v>
      </c>
      <c r="C3923" s="1" t="s">
        <v>33</v>
      </c>
      <c r="D3923" s="1" t="s">
        <v>19</v>
      </c>
      <c r="E3923" s="1" t="s">
        <v>102</v>
      </c>
      <c r="F3923">
        <v>2016</v>
      </c>
      <c r="G3923">
        <v>3</v>
      </c>
      <c r="H3923" s="1" t="s">
        <v>121</v>
      </c>
      <c r="I3923">
        <v>22</v>
      </c>
      <c r="J3923">
        <v>3096</v>
      </c>
      <c r="K3923" s="1" t="s">
        <v>103</v>
      </c>
      <c r="L3923" s="1" t="s">
        <v>23</v>
      </c>
      <c r="M3923">
        <v>0.65900000000000003</v>
      </c>
      <c r="N3923">
        <v>14504.6</v>
      </c>
      <c r="O3923">
        <v>14.505000000000001</v>
      </c>
      <c r="P3923" s="2">
        <v>43739</v>
      </c>
      <c r="Q3923">
        <v>1</v>
      </c>
      <c r="R3923" s="1" t="s">
        <v>122</v>
      </c>
    </row>
    <row r="3924" spans="1:18" x14ac:dyDescent="0.25">
      <c r="A3924">
        <v>2019</v>
      </c>
      <c r="B3924">
        <v>11</v>
      </c>
      <c r="C3924" s="1" t="s">
        <v>34</v>
      </c>
      <c r="D3924" s="1" t="s">
        <v>19</v>
      </c>
      <c r="E3924" s="1" t="s">
        <v>102</v>
      </c>
      <c r="F3924">
        <v>2016</v>
      </c>
      <c r="G3924">
        <v>3</v>
      </c>
      <c r="H3924" s="1" t="s">
        <v>121</v>
      </c>
      <c r="I3924">
        <v>22</v>
      </c>
      <c r="J3924">
        <v>3096</v>
      </c>
      <c r="K3924" s="1" t="s">
        <v>103</v>
      </c>
      <c r="L3924" s="1" t="s">
        <v>23</v>
      </c>
      <c r="M3924">
        <v>0.48</v>
      </c>
      <c r="N3924">
        <v>10558.7</v>
      </c>
      <c r="O3924">
        <v>10.558999999999999</v>
      </c>
      <c r="P3924" s="2">
        <v>43770</v>
      </c>
      <c r="Q3924">
        <v>1</v>
      </c>
      <c r="R3924" s="1" t="s">
        <v>122</v>
      </c>
    </row>
    <row r="3925" spans="1:18" x14ac:dyDescent="0.25">
      <c r="A3925">
        <v>2019</v>
      </c>
      <c r="B3925">
        <v>12</v>
      </c>
      <c r="C3925" s="1" t="s">
        <v>35</v>
      </c>
      <c r="D3925" s="1" t="s">
        <v>19</v>
      </c>
      <c r="E3925" s="1" t="s">
        <v>102</v>
      </c>
      <c r="F3925">
        <v>2016</v>
      </c>
      <c r="G3925">
        <v>3</v>
      </c>
      <c r="H3925" s="1" t="s">
        <v>121</v>
      </c>
      <c r="I3925">
        <v>22</v>
      </c>
      <c r="J3925">
        <v>3096</v>
      </c>
      <c r="K3925" s="1" t="s">
        <v>103</v>
      </c>
      <c r="L3925" s="1" t="s">
        <v>23</v>
      </c>
      <c r="M3925">
        <v>0.36099999999999999</v>
      </c>
      <c r="N3925">
        <v>7942</v>
      </c>
      <c r="O3925">
        <v>7.9420000000000002</v>
      </c>
      <c r="P3925" s="2">
        <v>43800</v>
      </c>
      <c r="Q3925">
        <v>1</v>
      </c>
      <c r="R3925" s="1" t="s">
        <v>122</v>
      </c>
    </row>
    <row r="3926" spans="1:18" x14ac:dyDescent="0.25">
      <c r="A3926">
        <v>2019</v>
      </c>
      <c r="B3926">
        <v>1</v>
      </c>
      <c r="C3926" s="1" t="s">
        <v>18</v>
      </c>
      <c r="D3926" s="1" t="s">
        <v>19</v>
      </c>
      <c r="E3926" s="1" t="s">
        <v>104</v>
      </c>
      <c r="F3926">
        <v>2016</v>
      </c>
      <c r="G3926">
        <v>3</v>
      </c>
      <c r="H3926" s="1" t="s">
        <v>121</v>
      </c>
      <c r="I3926">
        <v>24</v>
      </c>
      <c r="J3926">
        <v>3317</v>
      </c>
      <c r="K3926" s="1" t="s">
        <v>105</v>
      </c>
      <c r="L3926" s="1" t="s">
        <v>23</v>
      </c>
      <c r="M3926">
        <v>0.45600000000000002</v>
      </c>
      <c r="N3926">
        <v>10934.9</v>
      </c>
      <c r="O3926">
        <v>10.935</v>
      </c>
      <c r="P3926" s="2">
        <v>43466</v>
      </c>
      <c r="Q3926">
        <v>1</v>
      </c>
      <c r="R3926" s="1" t="s">
        <v>122</v>
      </c>
    </row>
    <row r="3927" spans="1:18" x14ac:dyDescent="0.25">
      <c r="A3927">
        <v>2019</v>
      </c>
      <c r="B3927">
        <v>2</v>
      </c>
      <c r="C3927" s="1" t="s">
        <v>25</v>
      </c>
      <c r="D3927" s="1" t="s">
        <v>19</v>
      </c>
      <c r="E3927" s="1" t="s">
        <v>104</v>
      </c>
      <c r="F3927">
        <v>2016</v>
      </c>
      <c r="G3927">
        <v>3</v>
      </c>
      <c r="H3927" s="1" t="s">
        <v>121</v>
      </c>
      <c r="I3927">
        <v>24</v>
      </c>
      <c r="J3927">
        <v>3317</v>
      </c>
      <c r="K3927" s="1" t="s">
        <v>105</v>
      </c>
      <c r="L3927" s="1" t="s">
        <v>23</v>
      </c>
      <c r="M3927">
        <v>0.53300000000000003</v>
      </c>
      <c r="N3927">
        <v>12786.2</v>
      </c>
      <c r="O3927">
        <v>12.786</v>
      </c>
      <c r="P3927" s="2">
        <v>43497</v>
      </c>
      <c r="Q3927">
        <v>1</v>
      </c>
      <c r="R3927" s="1" t="s">
        <v>122</v>
      </c>
    </row>
    <row r="3928" spans="1:18" x14ac:dyDescent="0.25">
      <c r="A3928">
        <v>2019</v>
      </c>
      <c r="B3928">
        <v>3</v>
      </c>
      <c r="C3928" s="1" t="s">
        <v>26</v>
      </c>
      <c r="D3928" s="1" t="s">
        <v>19</v>
      </c>
      <c r="E3928" s="1" t="s">
        <v>104</v>
      </c>
      <c r="F3928">
        <v>2016</v>
      </c>
      <c r="G3928">
        <v>3</v>
      </c>
      <c r="H3928" s="1" t="s">
        <v>121</v>
      </c>
      <c r="I3928">
        <v>24</v>
      </c>
      <c r="J3928">
        <v>3317</v>
      </c>
      <c r="K3928" s="1" t="s">
        <v>105</v>
      </c>
      <c r="L3928" s="1" t="s">
        <v>23</v>
      </c>
      <c r="M3928">
        <v>0.62</v>
      </c>
      <c r="N3928">
        <v>14874.7</v>
      </c>
      <c r="O3928">
        <v>14.875</v>
      </c>
      <c r="P3928" s="2">
        <v>43525</v>
      </c>
      <c r="Q3928">
        <v>1</v>
      </c>
      <c r="R3928" s="1" t="s">
        <v>122</v>
      </c>
    </row>
    <row r="3929" spans="1:18" x14ac:dyDescent="0.25">
      <c r="A3929">
        <v>2019</v>
      </c>
      <c r="B3929">
        <v>4</v>
      </c>
      <c r="C3929" s="1" t="s">
        <v>27</v>
      </c>
      <c r="D3929" s="1" t="s">
        <v>19</v>
      </c>
      <c r="E3929" s="1" t="s">
        <v>104</v>
      </c>
      <c r="F3929">
        <v>2016</v>
      </c>
      <c r="G3929">
        <v>3</v>
      </c>
      <c r="H3929" s="1" t="s">
        <v>121</v>
      </c>
      <c r="I3929">
        <v>24</v>
      </c>
      <c r="J3929">
        <v>3317</v>
      </c>
      <c r="K3929" s="1" t="s">
        <v>105</v>
      </c>
      <c r="L3929" s="1" t="s">
        <v>23</v>
      </c>
      <c r="M3929">
        <v>0.69599999999999995</v>
      </c>
      <c r="N3929">
        <v>16707.8</v>
      </c>
      <c r="O3929">
        <v>16.707999999999998</v>
      </c>
      <c r="P3929" s="2">
        <v>43556</v>
      </c>
      <c r="Q3929">
        <v>1</v>
      </c>
      <c r="R3929" s="1" t="s">
        <v>122</v>
      </c>
    </row>
    <row r="3930" spans="1:18" x14ac:dyDescent="0.25">
      <c r="A3930">
        <v>2019</v>
      </c>
      <c r="B3930">
        <v>5</v>
      </c>
      <c r="C3930" s="1" t="s">
        <v>28</v>
      </c>
      <c r="D3930" s="1" t="s">
        <v>19</v>
      </c>
      <c r="E3930" s="1" t="s">
        <v>104</v>
      </c>
      <c r="F3930">
        <v>2016</v>
      </c>
      <c r="G3930">
        <v>3</v>
      </c>
      <c r="H3930" s="1" t="s">
        <v>121</v>
      </c>
      <c r="I3930">
        <v>24</v>
      </c>
      <c r="J3930">
        <v>3317</v>
      </c>
      <c r="K3930" s="1" t="s">
        <v>105</v>
      </c>
      <c r="L3930" s="1" t="s">
        <v>23</v>
      </c>
      <c r="M3930">
        <v>0.71199999999999997</v>
      </c>
      <c r="N3930">
        <v>17090.900000000001</v>
      </c>
      <c r="O3930">
        <v>17.091000000000001</v>
      </c>
      <c r="P3930" s="2">
        <v>43586</v>
      </c>
      <c r="Q3930">
        <v>1</v>
      </c>
      <c r="R3930" s="1" t="s">
        <v>122</v>
      </c>
    </row>
    <row r="3931" spans="1:18" x14ac:dyDescent="0.25">
      <c r="A3931">
        <v>2019</v>
      </c>
      <c r="B3931">
        <v>6</v>
      </c>
      <c r="C3931" s="1" t="s">
        <v>29</v>
      </c>
      <c r="D3931" s="1" t="s">
        <v>19</v>
      </c>
      <c r="E3931" s="1" t="s">
        <v>104</v>
      </c>
      <c r="F3931">
        <v>2016</v>
      </c>
      <c r="G3931">
        <v>3</v>
      </c>
      <c r="H3931" s="1" t="s">
        <v>121</v>
      </c>
      <c r="I3931">
        <v>24</v>
      </c>
      <c r="J3931">
        <v>3317</v>
      </c>
      <c r="K3931" s="1" t="s">
        <v>105</v>
      </c>
      <c r="L3931" s="1" t="s">
        <v>23</v>
      </c>
      <c r="M3931">
        <v>0.67600000000000005</v>
      </c>
      <c r="N3931">
        <v>16224.5</v>
      </c>
      <c r="O3931">
        <v>16.224</v>
      </c>
      <c r="P3931" s="2">
        <v>43617</v>
      </c>
      <c r="Q3931">
        <v>1</v>
      </c>
      <c r="R3931" s="1" t="s">
        <v>122</v>
      </c>
    </row>
    <row r="3932" spans="1:18" x14ac:dyDescent="0.25">
      <c r="A3932">
        <v>2019</v>
      </c>
      <c r="B3932">
        <v>7</v>
      </c>
      <c r="C3932" s="1" t="s">
        <v>30</v>
      </c>
      <c r="D3932" s="1" t="s">
        <v>19</v>
      </c>
      <c r="E3932" s="1" t="s">
        <v>104</v>
      </c>
      <c r="F3932">
        <v>2016</v>
      </c>
      <c r="G3932">
        <v>3</v>
      </c>
      <c r="H3932" s="1" t="s">
        <v>121</v>
      </c>
      <c r="I3932">
        <v>24</v>
      </c>
      <c r="J3932">
        <v>3317</v>
      </c>
      <c r="K3932" s="1" t="s">
        <v>105</v>
      </c>
      <c r="L3932" s="1" t="s">
        <v>23</v>
      </c>
      <c r="M3932">
        <v>0.60799999999999998</v>
      </c>
      <c r="N3932">
        <v>14592</v>
      </c>
      <c r="O3932">
        <v>14.592000000000001</v>
      </c>
      <c r="P3932" s="2">
        <v>43647</v>
      </c>
      <c r="Q3932">
        <v>1</v>
      </c>
      <c r="R3932" s="1" t="s">
        <v>122</v>
      </c>
    </row>
    <row r="3933" spans="1:18" x14ac:dyDescent="0.25">
      <c r="A3933">
        <v>2019</v>
      </c>
      <c r="B3933">
        <v>8</v>
      </c>
      <c r="C3933" s="1" t="s">
        <v>31</v>
      </c>
      <c r="D3933" s="1" t="s">
        <v>19</v>
      </c>
      <c r="E3933" s="1" t="s">
        <v>104</v>
      </c>
      <c r="F3933">
        <v>2016</v>
      </c>
      <c r="G3933">
        <v>3</v>
      </c>
      <c r="H3933" s="1" t="s">
        <v>121</v>
      </c>
      <c r="I3933">
        <v>24</v>
      </c>
      <c r="J3933">
        <v>3317</v>
      </c>
      <c r="K3933" s="1" t="s">
        <v>105</v>
      </c>
      <c r="L3933" s="1" t="s">
        <v>23</v>
      </c>
      <c r="M3933">
        <v>0.70699999999999996</v>
      </c>
      <c r="N3933">
        <v>16963.2</v>
      </c>
      <c r="O3933">
        <v>16.963000000000001</v>
      </c>
      <c r="P3933" s="2">
        <v>43678</v>
      </c>
      <c r="Q3933">
        <v>1</v>
      </c>
      <c r="R3933" s="1" t="s">
        <v>122</v>
      </c>
    </row>
    <row r="3934" spans="1:18" x14ac:dyDescent="0.25">
      <c r="A3934">
        <v>2019</v>
      </c>
      <c r="B3934">
        <v>9</v>
      </c>
      <c r="C3934" s="1" t="s">
        <v>32</v>
      </c>
      <c r="D3934" s="1" t="s">
        <v>19</v>
      </c>
      <c r="E3934" s="1" t="s">
        <v>104</v>
      </c>
      <c r="F3934">
        <v>2016</v>
      </c>
      <c r="G3934">
        <v>3</v>
      </c>
      <c r="H3934" s="1" t="s">
        <v>121</v>
      </c>
      <c r="I3934">
        <v>24</v>
      </c>
      <c r="J3934">
        <v>3317</v>
      </c>
      <c r="K3934" s="1" t="s">
        <v>105</v>
      </c>
      <c r="L3934" s="1" t="s">
        <v>23</v>
      </c>
      <c r="M3934">
        <v>0.502</v>
      </c>
      <c r="N3934">
        <v>12056.6</v>
      </c>
      <c r="O3934">
        <v>12.057</v>
      </c>
      <c r="P3934" s="2">
        <v>43709</v>
      </c>
      <c r="Q3934">
        <v>1</v>
      </c>
      <c r="R3934" s="1" t="s">
        <v>122</v>
      </c>
    </row>
    <row r="3935" spans="1:18" x14ac:dyDescent="0.25">
      <c r="A3935">
        <v>2019</v>
      </c>
      <c r="B3935">
        <v>10</v>
      </c>
      <c r="C3935" s="1" t="s">
        <v>33</v>
      </c>
      <c r="D3935" s="1" t="s">
        <v>19</v>
      </c>
      <c r="E3935" s="1" t="s">
        <v>104</v>
      </c>
      <c r="F3935">
        <v>2016</v>
      </c>
      <c r="G3935">
        <v>3</v>
      </c>
      <c r="H3935" s="1" t="s">
        <v>121</v>
      </c>
      <c r="I3935">
        <v>24</v>
      </c>
      <c r="J3935">
        <v>3317</v>
      </c>
      <c r="K3935" s="1" t="s">
        <v>105</v>
      </c>
      <c r="L3935" s="1" t="s">
        <v>23</v>
      </c>
      <c r="M3935">
        <v>0.65900000000000003</v>
      </c>
      <c r="N3935">
        <v>15823.2</v>
      </c>
      <c r="O3935">
        <v>15.823</v>
      </c>
      <c r="P3935" s="2">
        <v>43739</v>
      </c>
      <c r="Q3935">
        <v>1</v>
      </c>
      <c r="R3935" s="1" t="s">
        <v>122</v>
      </c>
    </row>
    <row r="3936" spans="1:18" x14ac:dyDescent="0.25">
      <c r="A3936">
        <v>2019</v>
      </c>
      <c r="B3936">
        <v>11</v>
      </c>
      <c r="C3936" s="1" t="s">
        <v>34</v>
      </c>
      <c r="D3936" s="1" t="s">
        <v>19</v>
      </c>
      <c r="E3936" s="1" t="s">
        <v>104</v>
      </c>
      <c r="F3936">
        <v>2016</v>
      </c>
      <c r="G3936">
        <v>3</v>
      </c>
      <c r="H3936" s="1" t="s">
        <v>121</v>
      </c>
      <c r="I3936">
        <v>24</v>
      </c>
      <c r="J3936">
        <v>3317</v>
      </c>
      <c r="K3936" s="1" t="s">
        <v>105</v>
      </c>
      <c r="L3936" s="1" t="s">
        <v>23</v>
      </c>
      <c r="M3936">
        <v>0.48</v>
      </c>
      <c r="N3936">
        <v>11518.6</v>
      </c>
      <c r="O3936">
        <v>11.519</v>
      </c>
      <c r="P3936" s="2">
        <v>43770</v>
      </c>
      <c r="Q3936">
        <v>1</v>
      </c>
      <c r="R3936" s="1" t="s">
        <v>122</v>
      </c>
    </row>
    <row r="3937" spans="1:18" x14ac:dyDescent="0.25">
      <c r="A3937">
        <v>2019</v>
      </c>
      <c r="B3937">
        <v>12</v>
      </c>
      <c r="C3937" s="1" t="s">
        <v>35</v>
      </c>
      <c r="D3937" s="1" t="s">
        <v>19</v>
      </c>
      <c r="E3937" s="1" t="s">
        <v>104</v>
      </c>
      <c r="F3937">
        <v>2016</v>
      </c>
      <c r="G3937">
        <v>3</v>
      </c>
      <c r="H3937" s="1" t="s">
        <v>121</v>
      </c>
      <c r="I3937">
        <v>24</v>
      </c>
      <c r="J3937">
        <v>3317</v>
      </c>
      <c r="K3937" s="1" t="s">
        <v>105</v>
      </c>
      <c r="L3937" s="1" t="s">
        <v>23</v>
      </c>
      <c r="M3937">
        <v>0.36099999999999999</v>
      </c>
      <c r="N3937">
        <v>8664</v>
      </c>
      <c r="O3937">
        <v>8.6639999999999997</v>
      </c>
      <c r="P3937" s="2">
        <v>43800</v>
      </c>
      <c r="Q3937">
        <v>1</v>
      </c>
      <c r="R3937" s="1" t="s">
        <v>122</v>
      </c>
    </row>
    <row r="3938" spans="1:18" x14ac:dyDescent="0.25">
      <c r="A3938">
        <v>2019</v>
      </c>
      <c r="B3938">
        <v>1</v>
      </c>
      <c r="C3938" s="1" t="s">
        <v>18</v>
      </c>
      <c r="D3938" s="1" t="s">
        <v>19</v>
      </c>
      <c r="E3938" s="1" t="s">
        <v>106</v>
      </c>
      <c r="F3938">
        <v>2016</v>
      </c>
      <c r="G3938">
        <v>3</v>
      </c>
      <c r="H3938" s="1" t="s">
        <v>121</v>
      </c>
      <c r="I3938">
        <v>17</v>
      </c>
      <c r="J3938">
        <v>2219</v>
      </c>
      <c r="K3938" s="1" t="s">
        <v>107</v>
      </c>
      <c r="L3938" s="1" t="s">
        <v>23</v>
      </c>
      <c r="M3938">
        <v>0.45600000000000002</v>
      </c>
      <c r="N3938">
        <v>7745.5</v>
      </c>
      <c r="O3938">
        <v>7.7460000000000004</v>
      </c>
      <c r="P3938" s="2">
        <v>43466</v>
      </c>
      <c r="Q3938">
        <v>1</v>
      </c>
      <c r="R3938" s="1" t="s">
        <v>122</v>
      </c>
    </row>
    <row r="3939" spans="1:18" x14ac:dyDescent="0.25">
      <c r="A3939">
        <v>2019</v>
      </c>
      <c r="B3939">
        <v>2</v>
      </c>
      <c r="C3939" s="1" t="s">
        <v>25</v>
      </c>
      <c r="D3939" s="1" t="s">
        <v>19</v>
      </c>
      <c r="E3939" s="1" t="s">
        <v>106</v>
      </c>
      <c r="F3939">
        <v>2016</v>
      </c>
      <c r="G3939">
        <v>3</v>
      </c>
      <c r="H3939" s="1" t="s">
        <v>121</v>
      </c>
      <c r="I3939">
        <v>17</v>
      </c>
      <c r="J3939">
        <v>2219</v>
      </c>
      <c r="K3939" s="1" t="s">
        <v>107</v>
      </c>
      <c r="L3939" s="1" t="s">
        <v>23</v>
      </c>
      <c r="M3939">
        <v>0.53300000000000003</v>
      </c>
      <c r="N3939">
        <v>9056.9</v>
      </c>
      <c r="O3939">
        <v>9.0570000000000004</v>
      </c>
      <c r="P3939" s="2">
        <v>43497</v>
      </c>
      <c r="Q3939">
        <v>1</v>
      </c>
      <c r="R3939" s="1" t="s">
        <v>122</v>
      </c>
    </row>
    <row r="3940" spans="1:18" x14ac:dyDescent="0.25">
      <c r="A3940">
        <v>2019</v>
      </c>
      <c r="B3940">
        <v>3</v>
      </c>
      <c r="C3940" s="1" t="s">
        <v>26</v>
      </c>
      <c r="D3940" s="1" t="s">
        <v>19</v>
      </c>
      <c r="E3940" s="1" t="s">
        <v>106</v>
      </c>
      <c r="F3940">
        <v>2016</v>
      </c>
      <c r="G3940">
        <v>3</v>
      </c>
      <c r="H3940" s="1" t="s">
        <v>121</v>
      </c>
      <c r="I3940">
        <v>17</v>
      </c>
      <c r="J3940">
        <v>2219</v>
      </c>
      <c r="K3940" s="1" t="s">
        <v>107</v>
      </c>
      <c r="L3940" s="1" t="s">
        <v>23</v>
      </c>
      <c r="M3940">
        <v>0.62</v>
      </c>
      <c r="N3940">
        <v>10536.3</v>
      </c>
      <c r="O3940">
        <v>10.536</v>
      </c>
      <c r="P3940" s="2">
        <v>43525</v>
      </c>
      <c r="Q3940">
        <v>1</v>
      </c>
      <c r="R3940" s="1" t="s">
        <v>122</v>
      </c>
    </row>
    <row r="3941" spans="1:18" x14ac:dyDescent="0.25">
      <c r="A3941">
        <v>2019</v>
      </c>
      <c r="B3941">
        <v>4</v>
      </c>
      <c r="C3941" s="1" t="s">
        <v>27</v>
      </c>
      <c r="D3941" s="1" t="s">
        <v>19</v>
      </c>
      <c r="E3941" s="1" t="s">
        <v>106</v>
      </c>
      <c r="F3941">
        <v>2016</v>
      </c>
      <c r="G3941">
        <v>3</v>
      </c>
      <c r="H3941" s="1" t="s">
        <v>121</v>
      </c>
      <c r="I3941">
        <v>17</v>
      </c>
      <c r="J3941">
        <v>2219</v>
      </c>
      <c r="K3941" s="1" t="s">
        <v>107</v>
      </c>
      <c r="L3941" s="1" t="s">
        <v>23</v>
      </c>
      <c r="M3941">
        <v>0.69599999999999995</v>
      </c>
      <c r="N3941">
        <v>11834.7</v>
      </c>
      <c r="O3941">
        <v>11.835000000000001</v>
      </c>
      <c r="P3941" s="2">
        <v>43556</v>
      </c>
      <c r="Q3941">
        <v>1</v>
      </c>
      <c r="R3941" s="1" t="s">
        <v>122</v>
      </c>
    </row>
    <row r="3942" spans="1:18" x14ac:dyDescent="0.25">
      <c r="A3942">
        <v>2019</v>
      </c>
      <c r="B3942">
        <v>5</v>
      </c>
      <c r="C3942" s="1" t="s">
        <v>28</v>
      </c>
      <c r="D3942" s="1" t="s">
        <v>19</v>
      </c>
      <c r="E3942" s="1" t="s">
        <v>106</v>
      </c>
      <c r="F3942">
        <v>2016</v>
      </c>
      <c r="G3942">
        <v>3</v>
      </c>
      <c r="H3942" s="1" t="s">
        <v>121</v>
      </c>
      <c r="I3942">
        <v>17</v>
      </c>
      <c r="J3942">
        <v>2219</v>
      </c>
      <c r="K3942" s="1" t="s">
        <v>107</v>
      </c>
      <c r="L3942" s="1" t="s">
        <v>23</v>
      </c>
      <c r="M3942">
        <v>0.71199999999999997</v>
      </c>
      <c r="N3942">
        <v>12106</v>
      </c>
      <c r="O3942">
        <v>12.106</v>
      </c>
      <c r="P3942" s="2">
        <v>43586</v>
      </c>
      <c r="Q3942">
        <v>1</v>
      </c>
      <c r="R3942" s="1" t="s">
        <v>122</v>
      </c>
    </row>
    <row r="3943" spans="1:18" x14ac:dyDescent="0.25">
      <c r="A3943">
        <v>2019</v>
      </c>
      <c r="B3943">
        <v>6</v>
      </c>
      <c r="C3943" s="1" t="s">
        <v>29</v>
      </c>
      <c r="D3943" s="1" t="s">
        <v>19</v>
      </c>
      <c r="E3943" s="1" t="s">
        <v>106</v>
      </c>
      <c r="F3943">
        <v>2016</v>
      </c>
      <c r="G3943">
        <v>3</v>
      </c>
      <c r="H3943" s="1" t="s">
        <v>121</v>
      </c>
      <c r="I3943">
        <v>17</v>
      </c>
      <c r="J3943">
        <v>2219</v>
      </c>
      <c r="K3943" s="1" t="s">
        <v>107</v>
      </c>
      <c r="L3943" s="1" t="s">
        <v>23</v>
      </c>
      <c r="M3943">
        <v>0.67600000000000005</v>
      </c>
      <c r="N3943">
        <v>11492.3</v>
      </c>
      <c r="O3943">
        <v>11.492000000000001</v>
      </c>
      <c r="P3943" s="2">
        <v>43617</v>
      </c>
      <c r="Q3943">
        <v>1</v>
      </c>
      <c r="R3943" s="1" t="s">
        <v>122</v>
      </c>
    </row>
    <row r="3944" spans="1:18" x14ac:dyDescent="0.25">
      <c r="A3944">
        <v>2019</v>
      </c>
      <c r="B3944">
        <v>7</v>
      </c>
      <c r="C3944" s="1" t="s">
        <v>30</v>
      </c>
      <c r="D3944" s="1" t="s">
        <v>19</v>
      </c>
      <c r="E3944" s="1" t="s">
        <v>106</v>
      </c>
      <c r="F3944">
        <v>2016</v>
      </c>
      <c r="G3944">
        <v>3</v>
      </c>
      <c r="H3944" s="1" t="s">
        <v>121</v>
      </c>
      <c r="I3944">
        <v>17</v>
      </c>
      <c r="J3944">
        <v>2219</v>
      </c>
      <c r="K3944" s="1" t="s">
        <v>107</v>
      </c>
      <c r="L3944" s="1" t="s">
        <v>23</v>
      </c>
      <c r="M3944">
        <v>0.60799999999999998</v>
      </c>
      <c r="N3944">
        <v>10336</v>
      </c>
      <c r="O3944">
        <v>10.336</v>
      </c>
      <c r="P3944" s="2">
        <v>43647</v>
      </c>
      <c r="Q3944">
        <v>1</v>
      </c>
      <c r="R3944" s="1" t="s">
        <v>122</v>
      </c>
    </row>
    <row r="3945" spans="1:18" x14ac:dyDescent="0.25">
      <c r="A3945">
        <v>2019</v>
      </c>
      <c r="B3945">
        <v>8</v>
      </c>
      <c r="C3945" s="1" t="s">
        <v>31</v>
      </c>
      <c r="D3945" s="1" t="s">
        <v>19</v>
      </c>
      <c r="E3945" s="1" t="s">
        <v>106</v>
      </c>
      <c r="F3945">
        <v>2016</v>
      </c>
      <c r="G3945">
        <v>3</v>
      </c>
      <c r="H3945" s="1" t="s">
        <v>121</v>
      </c>
      <c r="I3945">
        <v>17</v>
      </c>
      <c r="J3945">
        <v>2219</v>
      </c>
      <c r="K3945" s="1" t="s">
        <v>107</v>
      </c>
      <c r="L3945" s="1" t="s">
        <v>23</v>
      </c>
      <c r="M3945">
        <v>0.70699999999999996</v>
      </c>
      <c r="N3945">
        <v>12015.6</v>
      </c>
      <c r="O3945">
        <v>12.016</v>
      </c>
      <c r="P3945" s="2">
        <v>43678</v>
      </c>
      <c r="Q3945">
        <v>1</v>
      </c>
      <c r="R3945" s="1" t="s">
        <v>122</v>
      </c>
    </row>
    <row r="3946" spans="1:18" x14ac:dyDescent="0.25">
      <c r="A3946">
        <v>2019</v>
      </c>
      <c r="B3946">
        <v>9</v>
      </c>
      <c r="C3946" s="1" t="s">
        <v>32</v>
      </c>
      <c r="D3946" s="1" t="s">
        <v>19</v>
      </c>
      <c r="E3946" s="1" t="s">
        <v>106</v>
      </c>
      <c r="F3946">
        <v>2016</v>
      </c>
      <c r="G3946">
        <v>3</v>
      </c>
      <c r="H3946" s="1" t="s">
        <v>121</v>
      </c>
      <c r="I3946">
        <v>17</v>
      </c>
      <c r="J3946">
        <v>2219</v>
      </c>
      <c r="K3946" s="1" t="s">
        <v>107</v>
      </c>
      <c r="L3946" s="1" t="s">
        <v>23</v>
      </c>
      <c r="M3946">
        <v>0.502</v>
      </c>
      <c r="N3946">
        <v>8540.1</v>
      </c>
      <c r="O3946">
        <v>8.5399999999999991</v>
      </c>
      <c r="P3946" s="2">
        <v>43709</v>
      </c>
      <c r="Q3946">
        <v>1</v>
      </c>
      <c r="R3946" s="1" t="s">
        <v>122</v>
      </c>
    </row>
    <row r="3947" spans="1:18" x14ac:dyDescent="0.25">
      <c r="A3947">
        <v>2019</v>
      </c>
      <c r="B3947">
        <v>10</v>
      </c>
      <c r="C3947" s="1" t="s">
        <v>33</v>
      </c>
      <c r="D3947" s="1" t="s">
        <v>19</v>
      </c>
      <c r="E3947" s="1" t="s">
        <v>106</v>
      </c>
      <c r="F3947">
        <v>2016</v>
      </c>
      <c r="G3947">
        <v>3</v>
      </c>
      <c r="H3947" s="1" t="s">
        <v>121</v>
      </c>
      <c r="I3947">
        <v>17</v>
      </c>
      <c r="J3947">
        <v>2219</v>
      </c>
      <c r="K3947" s="1" t="s">
        <v>107</v>
      </c>
      <c r="L3947" s="1" t="s">
        <v>23</v>
      </c>
      <c r="M3947">
        <v>0.65900000000000003</v>
      </c>
      <c r="N3947">
        <v>11208.1</v>
      </c>
      <c r="O3947">
        <v>11.208</v>
      </c>
      <c r="P3947" s="2">
        <v>43739</v>
      </c>
      <c r="Q3947">
        <v>1</v>
      </c>
      <c r="R3947" s="1" t="s">
        <v>122</v>
      </c>
    </row>
    <row r="3948" spans="1:18" x14ac:dyDescent="0.25">
      <c r="A3948">
        <v>2019</v>
      </c>
      <c r="B3948">
        <v>11</v>
      </c>
      <c r="C3948" s="1" t="s">
        <v>34</v>
      </c>
      <c r="D3948" s="1" t="s">
        <v>19</v>
      </c>
      <c r="E3948" s="1" t="s">
        <v>106</v>
      </c>
      <c r="F3948">
        <v>2016</v>
      </c>
      <c r="G3948">
        <v>3</v>
      </c>
      <c r="H3948" s="1" t="s">
        <v>121</v>
      </c>
      <c r="I3948">
        <v>17</v>
      </c>
      <c r="J3948">
        <v>2219</v>
      </c>
      <c r="K3948" s="1" t="s">
        <v>107</v>
      </c>
      <c r="L3948" s="1" t="s">
        <v>23</v>
      </c>
      <c r="M3948">
        <v>0.48</v>
      </c>
      <c r="N3948">
        <v>8159</v>
      </c>
      <c r="O3948">
        <v>8.1590000000000007</v>
      </c>
      <c r="P3948" s="2">
        <v>43770</v>
      </c>
      <c r="Q3948">
        <v>1</v>
      </c>
      <c r="R3948" s="1" t="s">
        <v>122</v>
      </c>
    </row>
    <row r="3949" spans="1:18" x14ac:dyDescent="0.25">
      <c r="A3949">
        <v>2019</v>
      </c>
      <c r="B3949">
        <v>12</v>
      </c>
      <c r="C3949" s="1" t="s">
        <v>35</v>
      </c>
      <c r="D3949" s="1" t="s">
        <v>19</v>
      </c>
      <c r="E3949" s="1" t="s">
        <v>106</v>
      </c>
      <c r="F3949">
        <v>2016</v>
      </c>
      <c r="G3949">
        <v>3</v>
      </c>
      <c r="H3949" s="1" t="s">
        <v>121</v>
      </c>
      <c r="I3949">
        <v>17</v>
      </c>
      <c r="J3949">
        <v>2219</v>
      </c>
      <c r="K3949" s="1" t="s">
        <v>107</v>
      </c>
      <c r="L3949" s="1" t="s">
        <v>23</v>
      </c>
      <c r="M3949">
        <v>0.36099999999999999</v>
      </c>
      <c r="N3949">
        <v>6137</v>
      </c>
      <c r="O3949">
        <v>6.1369999999999996</v>
      </c>
      <c r="P3949" s="2">
        <v>43800</v>
      </c>
      <c r="Q3949">
        <v>1</v>
      </c>
      <c r="R3949" s="1" t="s">
        <v>122</v>
      </c>
    </row>
    <row r="3950" spans="1:18" x14ac:dyDescent="0.25">
      <c r="A3950">
        <v>2019</v>
      </c>
      <c r="B3950">
        <v>1</v>
      </c>
      <c r="C3950" s="1" t="s">
        <v>18</v>
      </c>
      <c r="D3950" s="1" t="s">
        <v>19</v>
      </c>
      <c r="E3950" s="1" t="s">
        <v>108</v>
      </c>
      <c r="F3950">
        <v>2016</v>
      </c>
      <c r="G3950">
        <v>3</v>
      </c>
      <c r="H3950" s="1" t="s">
        <v>121</v>
      </c>
      <c r="I3950">
        <v>15</v>
      </c>
      <c r="J3950">
        <v>2142</v>
      </c>
      <c r="K3950" s="1" t="s">
        <v>109</v>
      </c>
      <c r="L3950" s="1" t="s">
        <v>23</v>
      </c>
      <c r="M3950">
        <v>0.45600000000000002</v>
      </c>
      <c r="N3950">
        <v>6834.3</v>
      </c>
      <c r="O3950">
        <v>6.8339999999999996</v>
      </c>
      <c r="P3950" s="2">
        <v>43466</v>
      </c>
      <c r="Q3950">
        <v>1</v>
      </c>
      <c r="R3950" s="1" t="s">
        <v>122</v>
      </c>
    </row>
    <row r="3951" spans="1:18" x14ac:dyDescent="0.25">
      <c r="A3951">
        <v>2019</v>
      </c>
      <c r="B3951">
        <v>2</v>
      </c>
      <c r="C3951" s="1" t="s">
        <v>25</v>
      </c>
      <c r="D3951" s="1" t="s">
        <v>19</v>
      </c>
      <c r="E3951" s="1" t="s">
        <v>108</v>
      </c>
      <c r="F3951">
        <v>2016</v>
      </c>
      <c r="G3951">
        <v>3</v>
      </c>
      <c r="H3951" s="1" t="s">
        <v>121</v>
      </c>
      <c r="I3951">
        <v>15</v>
      </c>
      <c r="J3951">
        <v>2142</v>
      </c>
      <c r="K3951" s="1" t="s">
        <v>109</v>
      </c>
      <c r="L3951" s="1" t="s">
        <v>23</v>
      </c>
      <c r="M3951">
        <v>0.53300000000000003</v>
      </c>
      <c r="N3951">
        <v>7991.4</v>
      </c>
      <c r="O3951">
        <v>7.9909999999999997</v>
      </c>
      <c r="P3951" s="2">
        <v>43497</v>
      </c>
      <c r="Q3951">
        <v>1</v>
      </c>
      <c r="R3951" s="1" t="s">
        <v>122</v>
      </c>
    </row>
    <row r="3952" spans="1:18" x14ac:dyDescent="0.25">
      <c r="A3952">
        <v>2019</v>
      </c>
      <c r="B3952">
        <v>3</v>
      </c>
      <c r="C3952" s="1" t="s">
        <v>26</v>
      </c>
      <c r="D3952" s="1" t="s">
        <v>19</v>
      </c>
      <c r="E3952" s="1" t="s">
        <v>108</v>
      </c>
      <c r="F3952">
        <v>2016</v>
      </c>
      <c r="G3952">
        <v>3</v>
      </c>
      <c r="H3952" s="1" t="s">
        <v>121</v>
      </c>
      <c r="I3952">
        <v>15</v>
      </c>
      <c r="J3952">
        <v>2142</v>
      </c>
      <c r="K3952" s="1" t="s">
        <v>109</v>
      </c>
      <c r="L3952" s="1" t="s">
        <v>23</v>
      </c>
      <c r="M3952">
        <v>0.62</v>
      </c>
      <c r="N3952">
        <v>9296.7000000000007</v>
      </c>
      <c r="O3952">
        <v>9.2970000000000006</v>
      </c>
      <c r="P3952" s="2">
        <v>43525</v>
      </c>
      <c r="Q3952">
        <v>1</v>
      </c>
      <c r="R3952" s="1" t="s">
        <v>122</v>
      </c>
    </row>
    <row r="3953" spans="1:18" x14ac:dyDescent="0.25">
      <c r="A3953">
        <v>2019</v>
      </c>
      <c r="B3953">
        <v>4</v>
      </c>
      <c r="C3953" s="1" t="s">
        <v>27</v>
      </c>
      <c r="D3953" s="1" t="s">
        <v>19</v>
      </c>
      <c r="E3953" s="1" t="s">
        <v>108</v>
      </c>
      <c r="F3953">
        <v>2016</v>
      </c>
      <c r="G3953">
        <v>3</v>
      </c>
      <c r="H3953" s="1" t="s">
        <v>121</v>
      </c>
      <c r="I3953">
        <v>15</v>
      </c>
      <c r="J3953">
        <v>2142</v>
      </c>
      <c r="K3953" s="1" t="s">
        <v>109</v>
      </c>
      <c r="L3953" s="1" t="s">
        <v>23</v>
      </c>
      <c r="M3953">
        <v>0.69599999999999995</v>
      </c>
      <c r="N3953">
        <v>10442.4</v>
      </c>
      <c r="O3953">
        <v>10.442</v>
      </c>
      <c r="P3953" s="2">
        <v>43556</v>
      </c>
      <c r="Q3953">
        <v>1</v>
      </c>
      <c r="R3953" s="1" t="s">
        <v>122</v>
      </c>
    </row>
    <row r="3954" spans="1:18" x14ac:dyDescent="0.25">
      <c r="A3954">
        <v>2019</v>
      </c>
      <c r="B3954">
        <v>5</v>
      </c>
      <c r="C3954" s="1" t="s">
        <v>28</v>
      </c>
      <c r="D3954" s="1" t="s">
        <v>19</v>
      </c>
      <c r="E3954" s="1" t="s">
        <v>108</v>
      </c>
      <c r="F3954">
        <v>2016</v>
      </c>
      <c r="G3954">
        <v>3</v>
      </c>
      <c r="H3954" s="1" t="s">
        <v>121</v>
      </c>
      <c r="I3954">
        <v>15</v>
      </c>
      <c r="J3954">
        <v>2142</v>
      </c>
      <c r="K3954" s="1" t="s">
        <v>109</v>
      </c>
      <c r="L3954" s="1" t="s">
        <v>23</v>
      </c>
      <c r="M3954">
        <v>0.71199999999999997</v>
      </c>
      <c r="N3954">
        <v>10681.8</v>
      </c>
      <c r="O3954">
        <v>10.682</v>
      </c>
      <c r="P3954" s="2">
        <v>43586</v>
      </c>
      <c r="Q3954">
        <v>1</v>
      </c>
      <c r="R3954" s="1" t="s">
        <v>122</v>
      </c>
    </row>
    <row r="3955" spans="1:18" x14ac:dyDescent="0.25">
      <c r="A3955">
        <v>2019</v>
      </c>
      <c r="B3955">
        <v>6</v>
      </c>
      <c r="C3955" s="1" t="s">
        <v>29</v>
      </c>
      <c r="D3955" s="1" t="s">
        <v>19</v>
      </c>
      <c r="E3955" s="1" t="s">
        <v>108</v>
      </c>
      <c r="F3955">
        <v>2016</v>
      </c>
      <c r="G3955">
        <v>3</v>
      </c>
      <c r="H3955" s="1" t="s">
        <v>121</v>
      </c>
      <c r="I3955">
        <v>15</v>
      </c>
      <c r="J3955">
        <v>2142</v>
      </c>
      <c r="K3955" s="1" t="s">
        <v>109</v>
      </c>
      <c r="L3955" s="1" t="s">
        <v>23</v>
      </c>
      <c r="M3955">
        <v>0.67600000000000005</v>
      </c>
      <c r="N3955">
        <v>10140.299999999999</v>
      </c>
      <c r="O3955">
        <v>10.14</v>
      </c>
      <c r="P3955" s="2">
        <v>43617</v>
      </c>
      <c r="Q3955">
        <v>1</v>
      </c>
      <c r="R3955" s="1" t="s">
        <v>122</v>
      </c>
    </row>
    <row r="3956" spans="1:18" x14ac:dyDescent="0.25">
      <c r="A3956">
        <v>2019</v>
      </c>
      <c r="B3956">
        <v>7</v>
      </c>
      <c r="C3956" s="1" t="s">
        <v>30</v>
      </c>
      <c r="D3956" s="1" t="s">
        <v>19</v>
      </c>
      <c r="E3956" s="1" t="s">
        <v>108</v>
      </c>
      <c r="F3956">
        <v>2016</v>
      </c>
      <c r="G3956">
        <v>3</v>
      </c>
      <c r="H3956" s="1" t="s">
        <v>121</v>
      </c>
      <c r="I3956">
        <v>15</v>
      </c>
      <c r="J3956">
        <v>2142</v>
      </c>
      <c r="K3956" s="1" t="s">
        <v>109</v>
      </c>
      <c r="L3956" s="1" t="s">
        <v>23</v>
      </c>
      <c r="M3956">
        <v>0.60799999999999998</v>
      </c>
      <c r="N3956">
        <v>9120</v>
      </c>
      <c r="O3956">
        <v>9.1199999999999992</v>
      </c>
      <c r="P3956" s="2">
        <v>43647</v>
      </c>
      <c r="Q3956">
        <v>1</v>
      </c>
      <c r="R3956" s="1" t="s">
        <v>122</v>
      </c>
    </row>
    <row r="3957" spans="1:18" x14ac:dyDescent="0.25">
      <c r="A3957">
        <v>2019</v>
      </c>
      <c r="B3957">
        <v>8</v>
      </c>
      <c r="C3957" s="1" t="s">
        <v>31</v>
      </c>
      <c r="D3957" s="1" t="s">
        <v>19</v>
      </c>
      <c r="E3957" s="1" t="s">
        <v>108</v>
      </c>
      <c r="F3957">
        <v>2016</v>
      </c>
      <c r="G3957">
        <v>3</v>
      </c>
      <c r="H3957" s="1" t="s">
        <v>121</v>
      </c>
      <c r="I3957">
        <v>15</v>
      </c>
      <c r="J3957">
        <v>2142</v>
      </c>
      <c r="K3957" s="1" t="s">
        <v>109</v>
      </c>
      <c r="L3957" s="1" t="s">
        <v>23</v>
      </c>
      <c r="M3957">
        <v>0.70699999999999996</v>
      </c>
      <c r="N3957">
        <v>10602</v>
      </c>
      <c r="O3957">
        <v>10.602</v>
      </c>
      <c r="P3957" s="2">
        <v>43678</v>
      </c>
      <c r="Q3957">
        <v>1</v>
      </c>
      <c r="R3957" s="1" t="s">
        <v>122</v>
      </c>
    </row>
    <row r="3958" spans="1:18" x14ac:dyDescent="0.25">
      <c r="A3958">
        <v>2019</v>
      </c>
      <c r="B3958">
        <v>9</v>
      </c>
      <c r="C3958" s="1" t="s">
        <v>32</v>
      </c>
      <c r="D3958" s="1" t="s">
        <v>19</v>
      </c>
      <c r="E3958" s="1" t="s">
        <v>108</v>
      </c>
      <c r="F3958">
        <v>2016</v>
      </c>
      <c r="G3958">
        <v>3</v>
      </c>
      <c r="H3958" s="1" t="s">
        <v>121</v>
      </c>
      <c r="I3958">
        <v>15</v>
      </c>
      <c r="J3958">
        <v>2142</v>
      </c>
      <c r="K3958" s="1" t="s">
        <v>109</v>
      </c>
      <c r="L3958" s="1" t="s">
        <v>23</v>
      </c>
      <c r="M3958">
        <v>0.502</v>
      </c>
      <c r="N3958">
        <v>7535.4</v>
      </c>
      <c r="O3958">
        <v>7.5350000000000001</v>
      </c>
      <c r="P3958" s="2">
        <v>43709</v>
      </c>
      <c r="Q3958">
        <v>1</v>
      </c>
      <c r="R3958" s="1" t="s">
        <v>122</v>
      </c>
    </row>
    <row r="3959" spans="1:18" x14ac:dyDescent="0.25">
      <c r="A3959">
        <v>2019</v>
      </c>
      <c r="B3959">
        <v>10</v>
      </c>
      <c r="C3959" s="1" t="s">
        <v>33</v>
      </c>
      <c r="D3959" s="1" t="s">
        <v>19</v>
      </c>
      <c r="E3959" s="1" t="s">
        <v>108</v>
      </c>
      <c r="F3959">
        <v>2016</v>
      </c>
      <c r="G3959">
        <v>3</v>
      </c>
      <c r="H3959" s="1" t="s">
        <v>121</v>
      </c>
      <c r="I3959">
        <v>15</v>
      </c>
      <c r="J3959">
        <v>2142</v>
      </c>
      <c r="K3959" s="1" t="s">
        <v>109</v>
      </c>
      <c r="L3959" s="1" t="s">
        <v>23</v>
      </c>
      <c r="M3959">
        <v>0.65900000000000003</v>
      </c>
      <c r="N3959">
        <v>9889.5</v>
      </c>
      <c r="O3959">
        <v>9.8889999999999993</v>
      </c>
      <c r="P3959" s="2">
        <v>43739</v>
      </c>
      <c r="Q3959">
        <v>1</v>
      </c>
      <c r="R3959" s="1" t="s">
        <v>122</v>
      </c>
    </row>
    <row r="3960" spans="1:18" x14ac:dyDescent="0.25">
      <c r="A3960">
        <v>2019</v>
      </c>
      <c r="B3960">
        <v>11</v>
      </c>
      <c r="C3960" s="1" t="s">
        <v>34</v>
      </c>
      <c r="D3960" s="1" t="s">
        <v>19</v>
      </c>
      <c r="E3960" s="1" t="s">
        <v>108</v>
      </c>
      <c r="F3960">
        <v>2016</v>
      </c>
      <c r="G3960">
        <v>3</v>
      </c>
      <c r="H3960" s="1" t="s">
        <v>121</v>
      </c>
      <c r="I3960">
        <v>15</v>
      </c>
      <c r="J3960">
        <v>2142</v>
      </c>
      <c r="K3960" s="1" t="s">
        <v>109</v>
      </c>
      <c r="L3960" s="1" t="s">
        <v>23</v>
      </c>
      <c r="M3960">
        <v>0.48</v>
      </c>
      <c r="N3960">
        <v>7199.1</v>
      </c>
      <c r="O3960">
        <v>7.1989999999999998</v>
      </c>
      <c r="P3960" s="2">
        <v>43770</v>
      </c>
      <c r="Q3960">
        <v>1</v>
      </c>
      <c r="R3960" s="1" t="s">
        <v>122</v>
      </c>
    </row>
    <row r="3961" spans="1:18" x14ac:dyDescent="0.25">
      <c r="A3961">
        <v>2019</v>
      </c>
      <c r="B3961">
        <v>12</v>
      </c>
      <c r="C3961" s="1" t="s">
        <v>35</v>
      </c>
      <c r="D3961" s="1" t="s">
        <v>19</v>
      </c>
      <c r="E3961" s="1" t="s">
        <v>108</v>
      </c>
      <c r="F3961">
        <v>2016</v>
      </c>
      <c r="G3961">
        <v>3</v>
      </c>
      <c r="H3961" s="1" t="s">
        <v>121</v>
      </c>
      <c r="I3961">
        <v>15</v>
      </c>
      <c r="J3961">
        <v>2142</v>
      </c>
      <c r="K3961" s="1" t="s">
        <v>109</v>
      </c>
      <c r="L3961" s="1" t="s">
        <v>23</v>
      </c>
      <c r="M3961">
        <v>0.36099999999999999</v>
      </c>
      <c r="N3961">
        <v>5415</v>
      </c>
      <c r="O3961">
        <v>5.415</v>
      </c>
      <c r="P3961" s="2">
        <v>43800</v>
      </c>
      <c r="Q3961">
        <v>1</v>
      </c>
      <c r="R3961" s="1" t="s">
        <v>122</v>
      </c>
    </row>
    <row r="3962" spans="1:18" x14ac:dyDescent="0.25">
      <c r="A3962">
        <v>2019</v>
      </c>
      <c r="B3962">
        <v>1</v>
      </c>
      <c r="C3962" s="1" t="s">
        <v>18</v>
      </c>
      <c r="D3962" s="1" t="s">
        <v>19</v>
      </c>
      <c r="E3962" s="1" t="s">
        <v>110</v>
      </c>
      <c r="F3962">
        <v>2016</v>
      </c>
      <c r="G3962">
        <v>3</v>
      </c>
      <c r="H3962" s="1" t="s">
        <v>121</v>
      </c>
      <c r="I3962">
        <v>24</v>
      </c>
      <c r="J3962">
        <v>3324</v>
      </c>
      <c r="K3962" s="1" t="s">
        <v>111</v>
      </c>
      <c r="L3962" s="1" t="s">
        <v>23</v>
      </c>
      <c r="M3962">
        <v>0.45600000000000002</v>
      </c>
      <c r="N3962">
        <v>10934.9</v>
      </c>
      <c r="O3962">
        <v>10.935</v>
      </c>
      <c r="P3962" s="2">
        <v>43466</v>
      </c>
      <c r="Q3962">
        <v>1</v>
      </c>
      <c r="R3962" s="1" t="s">
        <v>122</v>
      </c>
    </row>
    <row r="3963" spans="1:18" x14ac:dyDescent="0.25">
      <c r="A3963">
        <v>2019</v>
      </c>
      <c r="B3963">
        <v>2</v>
      </c>
      <c r="C3963" s="1" t="s">
        <v>25</v>
      </c>
      <c r="D3963" s="1" t="s">
        <v>19</v>
      </c>
      <c r="E3963" s="1" t="s">
        <v>110</v>
      </c>
      <c r="F3963">
        <v>2016</v>
      </c>
      <c r="G3963">
        <v>3</v>
      </c>
      <c r="H3963" s="1" t="s">
        <v>121</v>
      </c>
      <c r="I3963">
        <v>24</v>
      </c>
      <c r="J3963">
        <v>3324</v>
      </c>
      <c r="K3963" s="1" t="s">
        <v>111</v>
      </c>
      <c r="L3963" s="1" t="s">
        <v>23</v>
      </c>
      <c r="M3963">
        <v>0.53300000000000003</v>
      </c>
      <c r="N3963">
        <v>12786.2</v>
      </c>
      <c r="O3963">
        <v>12.786</v>
      </c>
      <c r="P3963" s="2">
        <v>43497</v>
      </c>
      <c r="Q3963">
        <v>1</v>
      </c>
      <c r="R3963" s="1" t="s">
        <v>122</v>
      </c>
    </row>
    <row r="3964" spans="1:18" x14ac:dyDescent="0.25">
      <c r="A3964">
        <v>2019</v>
      </c>
      <c r="B3964">
        <v>3</v>
      </c>
      <c r="C3964" s="1" t="s">
        <v>26</v>
      </c>
      <c r="D3964" s="1" t="s">
        <v>19</v>
      </c>
      <c r="E3964" s="1" t="s">
        <v>110</v>
      </c>
      <c r="F3964">
        <v>2016</v>
      </c>
      <c r="G3964">
        <v>3</v>
      </c>
      <c r="H3964" s="1" t="s">
        <v>121</v>
      </c>
      <c r="I3964">
        <v>24</v>
      </c>
      <c r="J3964">
        <v>3324</v>
      </c>
      <c r="K3964" s="1" t="s">
        <v>111</v>
      </c>
      <c r="L3964" s="1" t="s">
        <v>23</v>
      </c>
      <c r="M3964">
        <v>0.62</v>
      </c>
      <c r="N3964">
        <v>14874.7</v>
      </c>
      <c r="O3964">
        <v>14.875</v>
      </c>
      <c r="P3964" s="2">
        <v>43525</v>
      </c>
      <c r="Q3964">
        <v>1</v>
      </c>
      <c r="R3964" s="1" t="s">
        <v>122</v>
      </c>
    </row>
    <row r="3965" spans="1:18" x14ac:dyDescent="0.25">
      <c r="A3965">
        <v>2019</v>
      </c>
      <c r="B3965">
        <v>4</v>
      </c>
      <c r="C3965" s="1" t="s">
        <v>27</v>
      </c>
      <c r="D3965" s="1" t="s">
        <v>19</v>
      </c>
      <c r="E3965" s="1" t="s">
        <v>110</v>
      </c>
      <c r="F3965">
        <v>2016</v>
      </c>
      <c r="G3965">
        <v>3</v>
      </c>
      <c r="H3965" s="1" t="s">
        <v>121</v>
      </c>
      <c r="I3965">
        <v>24</v>
      </c>
      <c r="J3965">
        <v>3324</v>
      </c>
      <c r="K3965" s="1" t="s">
        <v>111</v>
      </c>
      <c r="L3965" s="1" t="s">
        <v>23</v>
      </c>
      <c r="M3965">
        <v>0.69599999999999995</v>
      </c>
      <c r="N3965">
        <v>16707.8</v>
      </c>
      <c r="O3965">
        <v>16.707999999999998</v>
      </c>
      <c r="P3965" s="2">
        <v>43556</v>
      </c>
      <c r="Q3965">
        <v>1</v>
      </c>
      <c r="R3965" s="1" t="s">
        <v>122</v>
      </c>
    </row>
    <row r="3966" spans="1:18" x14ac:dyDescent="0.25">
      <c r="A3966">
        <v>2019</v>
      </c>
      <c r="B3966">
        <v>5</v>
      </c>
      <c r="C3966" s="1" t="s">
        <v>28</v>
      </c>
      <c r="D3966" s="1" t="s">
        <v>19</v>
      </c>
      <c r="E3966" s="1" t="s">
        <v>110</v>
      </c>
      <c r="F3966">
        <v>2016</v>
      </c>
      <c r="G3966">
        <v>3</v>
      </c>
      <c r="H3966" s="1" t="s">
        <v>121</v>
      </c>
      <c r="I3966">
        <v>24</v>
      </c>
      <c r="J3966">
        <v>3324</v>
      </c>
      <c r="K3966" s="1" t="s">
        <v>111</v>
      </c>
      <c r="L3966" s="1" t="s">
        <v>23</v>
      </c>
      <c r="M3966">
        <v>0.71199999999999997</v>
      </c>
      <c r="N3966">
        <v>17090.900000000001</v>
      </c>
      <c r="O3966">
        <v>17.091000000000001</v>
      </c>
      <c r="P3966" s="2">
        <v>43586</v>
      </c>
      <c r="Q3966">
        <v>1</v>
      </c>
      <c r="R3966" s="1" t="s">
        <v>122</v>
      </c>
    </row>
    <row r="3967" spans="1:18" x14ac:dyDescent="0.25">
      <c r="A3967">
        <v>2019</v>
      </c>
      <c r="B3967">
        <v>6</v>
      </c>
      <c r="C3967" s="1" t="s">
        <v>29</v>
      </c>
      <c r="D3967" s="1" t="s">
        <v>19</v>
      </c>
      <c r="E3967" s="1" t="s">
        <v>110</v>
      </c>
      <c r="F3967">
        <v>2016</v>
      </c>
      <c r="G3967">
        <v>3</v>
      </c>
      <c r="H3967" s="1" t="s">
        <v>121</v>
      </c>
      <c r="I3967">
        <v>24</v>
      </c>
      <c r="J3967">
        <v>3324</v>
      </c>
      <c r="K3967" s="1" t="s">
        <v>111</v>
      </c>
      <c r="L3967" s="1" t="s">
        <v>23</v>
      </c>
      <c r="M3967">
        <v>0.67600000000000005</v>
      </c>
      <c r="N3967">
        <v>16224.5</v>
      </c>
      <c r="O3967">
        <v>16.224</v>
      </c>
      <c r="P3967" s="2">
        <v>43617</v>
      </c>
      <c r="Q3967">
        <v>1</v>
      </c>
      <c r="R3967" s="1" t="s">
        <v>122</v>
      </c>
    </row>
    <row r="3968" spans="1:18" x14ac:dyDescent="0.25">
      <c r="A3968">
        <v>2019</v>
      </c>
      <c r="B3968">
        <v>7</v>
      </c>
      <c r="C3968" s="1" t="s">
        <v>30</v>
      </c>
      <c r="D3968" s="1" t="s">
        <v>19</v>
      </c>
      <c r="E3968" s="1" t="s">
        <v>110</v>
      </c>
      <c r="F3968">
        <v>2016</v>
      </c>
      <c r="G3968">
        <v>3</v>
      </c>
      <c r="H3968" s="1" t="s">
        <v>121</v>
      </c>
      <c r="I3968">
        <v>24</v>
      </c>
      <c r="J3968">
        <v>3324</v>
      </c>
      <c r="K3968" s="1" t="s">
        <v>111</v>
      </c>
      <c r="L3968" s="1" t="s">
        <v>23</v>
      </c>
      <c r="M3968">
        <v>0.60799999999999998</v>
      </c>
      <c r="N3968">
        <v>14592</v>
      </c>
      <c r="O3968">
        <v>14.592000000000001</v>
      </c>
      <c r="P3968" s="2">
        <v>43647</v>
      </c>
      <c r="Q3968">
        <v>1</v>
      </c>
      <c r="R3968" s="1" t="s">
        <v>122</v>
      </c>
    </row>
    <row r="3969" spans="1:18" x14ac:dyDescent="0.25">
      <c r="A3969">
        <v>2019</v>
      </c>
      <c r="B3969">
        <v>8</v>
      </c>
      <c r="C3969" s="1" t="s">
        <v>31</v>
      </c>
      <c r="D3969" s="1" t="s">
        <v>19</v>
      </c>
      <c r="E3969" s="1" t="s">
        <v>110</v>
      </c>
      <c r="F3969">
        <v>2016</v>
      </c>
      <c r="G3969">
        <v>3</v>
      </c>
      <c r="H3969" s="1" t="s">
        <v>121</v>
      </c>
      <c r="I3969">
        <v>24</v>
      </c>
      <c r="J3969">
        <v>3324</v>
      </c>
      <c r="K3969" s="1" t="s">
        <v>111</v>
      </c>
      <c r="L3969" s="1" t="s">
        <v>23</v>
      </c>
      <c r="M3969">
        <v>0.70699999999999996</v>
      </c>
      <c r="N3969">
        <v>16963.2</v>
      </c>
      <c r="O3969">
        <v>16.963000000000001</v>
      </c>
      <c r="P3969" s="2">
        <v>43678</v>
      </c>
      <c r="Q3969">
        <v>1</v>
      </c>
      <c r="R3969" s="1" t="s">
        <v>122</v>
      </c>
    </row>
    <row r="3970" spans="1:18" x14ac:dyDescent="0.25">
      <c r="A3970">
        <v>2019</v>
      </c>
      <c r="B3970">
        <v>9</v>
      </c>
      <c r="C3970" s="1" t="s">
        <v>32</v>
      </c>
      <c r="D3970" s="1" t="s">
        <v>19</v>
      </c>
      <c r="E3970" s="1" t="s">
        <v>110</v>
      </c>
      <c r="F3970">
        <v>2016</v>
      </c>
      <c r="G3970">
        <v>3</v>
      </c>
      <c r="H3970" s="1" t="s">
        <v>121</v>
      </c>
      <c r="I3970">
        <v>24</v>
      </c>
      <c r="J3970">
        <v>3324</v>
      </c>
      <c r="K3970" s="1" t="s">
        <v>111</v>
      </c>
      <c r="L3970" s="1" t="s">
        <v>23</v>
      </c>
      <c r="M3970">
        <v>0.502</v>
      </c>
      <c r="N3970">
        <v>12056.6</v>
      </c>
      <c r="O3970">
        <v>12.057</v>
      </c>
      <c r="P3970" s="2">
        <v>43709</v>
      </c>
      <c r="Q3970">
        <v>1</v>
      </c>
      <c r="R3970" s="1" t="s">
        <v>122</v>
      </c>
    </row>
    <row r="3971" spans="1:18" x14ac:dyDescent="0.25">
      <c r="A3971">
        <v>2019</v>
      </c>
      <c r="B3971">
        <v>10</v>
      </c>
      <c r="C3971" s="1" t="s">
        <v>33</v>
      </c>
      <c r="D3971" s="1" t="s">
        <v>19</v>
      </c>
      <c r="E3971" s="1" t="s">
        <v>110</v>
      </c>
      <c r="F3971">
        <v>2016</v>
      </c>
      <c r="G3971">
        <v>3</v>
      </c>
      <c r="H3971" s="1" t="s">
        <v>121</v>
      </c>
      <c r="I3971">
        <v>24</v>
      </c>
      <c r="J3971">
        <v>3324</v>
      </c>
      <c r="K3971" s="1" t="s">
        <v>111</v>
      </c>
      <c r="L3971" s="1" t="s">
        <v>23</v>
      </c>
      <c r="M3971">
        <v>0.65900000000000003</v>
      </c>
      <c r="N3971">
        <v>15823.2</v>
      </c>
      <c r="O3971">
        <v>15.823</v>
      </c>
      <c r="P3971" s="2">
        <v>43739</v>
      </c>
      <c r="Q3971">
        <v>1</v>
      </c>
      <c r="R3971" s="1" t="s">
        <v>122</v>
      </c>
    </row>
    <row r="3972" spans="1:18" x14ac:dyDescent="0.25">
      <c r="A3972">
        <v>2019</v>
      </c>
      <c r="B3972">
        <v>11</v>
      </c>
      <c r="C3972" s="1" t="s">
        <v>34</v>
      </c>
      <c r="D3972" s="1" t="s">
        <v>19</v>
      </c>
      <c r="E3972" s="1" t="s">
        <v>110</v>
      </c>
      <c r="F3972">
        <v>2016</v>
      </c>
      <c r="G3972">
        <v>3</v>
      </c>
      <c r="H3972" s="1" t="s">
        <v>121</v>
      </c>
      <c r="I3972">
        <v>24</v>
      </c>
      <c r="J3972">
        <v>3324</v>
      </c>
      <c r="K3972" s="1" t="s">
        <v>111</v>
      </c>
      <c r="L3972" s="1" t="s">
        <v>23</v>
      </c>
      <c r="M3972">
        <v>0.48</v>
      </c>
      <c r="N3972">
        <v>11518.6</v>
      </c>
      <c r="O3972">
        <v>11.519</v>
      </c>
      <c r="P3972" s="2">
        <v>43770</v>
      </c>
      <c r="Q3972">
        <v>1</v>
      </c>
      <c r="R3972" s="1" t="s">
        <v>122</v>
      </c>
    </row>
    <row r="3973" spans="1:18" x14ac:dyDescent="0.25">
      <c r="A3973">
        <v>2019</v>
      </c>
      <c r="B3973">
        <v>12</v>
      </c>
      <c r="C3973" s="1" t="s">
        <v>35</v>
      </c>
      <c r="D3973" s="1" t="s">
        <v>19</v>
      </c>
      <c r="E3973" s="1" t="s">
        <v>110</v>
      </c>
      <c r="F3973">
        <v>2016</v>
      </c>
      <c r="G3973">
        <v>3</v>
      </c>
      <c r="H3973" s="1" t="s">
        <v>121</v>
      </c>
      <c r="I3973">
        <v>24</v>
      </c>
      <c r="J3973">
        <v>3324</v>
      </c>
      <c r="K3973" s="1" t="s">
        <v>111</v>
      </c>
      <c r="L3973" s="1" t="s">
        <v>23</v>
      </c>
      <c r="M3973">
        <v>0.36099999999999999</v>
      </c>
      <c r="N3973">
        <v>8664</v>
      </c>
      <c r="O3973">
        <v>8.6639999999999997</v>
      </c>
      <c r="P3973" s="2">
        <v>43800</v>
      </c>
      <c r="Q3973">
        <v>1</v>
      </c>
      <c r="R3973" s="1" t="s">
        <v>122</v>
      </c>
    </row>
    <row r="3974" spans="1:18" x14ac:dyDescent="0.25">
      <c r="A3974">
        <v>2019</v>
      </c>
      <c r="B3974">
        <v>1</v>
      </c>
      <c r="C3974" s="1" t="s">
        <v>18</v>
      </c>
      <c r="D3974" s="1" t="s">
        <v>19</v>
      </c>
      <c r="E3974" s="1" t="s">
        <v>112</v>
      </c>
      <c r="F3974">
        <v>2016</v>
      </c>
      <c r="G3974">
        <v>3</v>
      </c>
      <c r="H3974" s="1" t="s">
        <v>121</v>
      </c>
      <c r="I3974">
        <v>20</v>
      </c>
      <c r="J3974">
        <v>2663</v>
      </c>
      <c r="K3974" s="1" t="s">
        <v>113</v>
      </c>
      <c r="L3974" s="1" t="s">
        <v>23</v>
      </c>
      <c r="M3974">
        <v>0.45600000000000002</v>
      </c>
      <c r="N3974">
        <v>9112.4</v>
      </c>
      <c r="O3974">
        <v>9.1120000000000001</v>
      </c>
      <c r="P3974" s="2">
        <v>43466</v>
      </c>
      <c r="Q3974">
        <v>1</v>
      </c>
      <c r="R3974" s="1" t="s">
        <v>122</v>
      </c>
    </row>
    <row r="3975" spans="1:18" x14ac:dyDescent="0.25">
      <c r="A3975">
        <v>2019</v>
      </c>
      <c r="B3975">
        <v>2</v>
      </c>
      <c r="C3975" s="1" t="s">
        <v>25</v>
      </c>
      <c r="D3975" s="1" t="s">
        <v>19</v>
      </c>
      <c r="E3975" s="1" t="s">
        <v>112</v>
      </c>
      <c r="F3975">
        <v>2016</v>
      </c>
      <c r="G3975">
        <v>3</v>
      </c>
      <c r="H3975" s="1" t="s">
        <v>121</v>
      </c>
      <c r="I3975">
        <v>20</v>
      </c>
      <c r="J3975">
        <v>2663</v>
      </c>
      <c r="K3975" s="1" t="s">
        <v>113</v>
      </c>
      <c r="L3975" s="1" t="s">
        <v>23</v>
      </c>
      <c r="M3975">
        <v>0.53300000000000003</v>
      </c>
      <c r="N3975">
        <v>10655.2</v>
      </c>
      <c r="O3975">
        <v>10.654999999999999</v>
      </c>
      <c r="P3975" s="2">
        <v>43497</v>
      </c>
      <c r="Q3975">
        <v>1</v>
      </c>
      <c r="R3975" s="1" t="s">
        <v>122</v>
      </c>
    </row>
    <row r="3976" spans="1:18" x14ac:dyDescent="0.25">
      <c r="A3976">
        <v>2019</v>
      </c>
      <c r="B3976">
        <v>3</v>
      </c>
      <c r="C3976" s="1" t="s">
        <v>26</v>
      </c>
      <c r="D3976" s="1" t="s">
        <v>19</v>
      </c>
      <c r="E3976" s="1" t="s">
        <v>112</v>
      </c>
      <c r="F3976">
        <v>2016</v>
      </c>
      <c r="G3976">
        <v>3</v>
      </c>
      <c r="H3976" s="1" t="s">
        <v>121</v>
      </c>
      <c r="I3976">
        <v>20</v>
      </c>
      <c r="J3976">
        <v>2663</v>
      </c>
      <c r="K3976" s="1" t="s">
        <v>113</v>
      </c>
      <c r="L3976" s="1" t="s">
        <v>23</v>
      </c>
      <c r="M3976">
        <v>0.62</v>
      </c>
      <c r="N3976">
        <v>12395.6</v>
      </c>
      <c r="O3976">
        <v>12.396000000000001</v>
      </c>
      <c r="P3976" s="2">
        <v>43525</v>
      </c>
      <c r="Q3976">
        <v>1</v>
      </c>
      <c r="R3976" s="1" t="s">
        <v>122</v>
      </c>
    </row>
    <row r="3977" spans="1:18" x14ac:dyDescent="0.25">
      <c r="A3977">
        <v>2019</v>
      </c>
      <c r="B3977">
        <v>4</v>
      </c>
      <c r="C3977" s="1" t="s">
        <v>27</v>
      </c>
      <c r="D3977" s="1" t="s">
        <v>19</v>
      </c>
      <c r="E3977" s="1" t="s">
        <v>112</v>
      </c>
      <c r="F3977">
        <v>2016</v>
      </c>
      <c r="G3977">
        <v>3</v>
      </c>
      <c r="H3977" s="1" t="s">
        <v>121</v>
      </c>
      <c r="I3977">
        <v>20</v>
      </c>
      <c r="J3977">
        <v>2663</v>
      </c>
      <c r="K3977" s="1" t="s">
        <v>113</v>
      </c>
      <c r="L3977" s="1" t="s">
        <v>23</v>
      </c>
      <c r="M3977">
        <v>0.69599999999999995</v>
      </c>
      <c r="N3977">
        <v>13923.2</v>
      </c>
      <c r="O3977">
        <v>13.923</v>
      </c>
      <c r="P3977" s="2">
        <v>43556</v>
      </c>
      <c r="Q3977">
        <v>1</v>
      </c>
      <c r="R3977" s="1" t="s">
        <v>122</v>
      </c>
    </row>
    <row r="3978" spans="1:18" x14ac:dyDescent="0.25">
      <c r="A3978">
        <v>2019</v>
      </c>
      <c r="B3978">
        <v>5</v>
      </c>
      <c r="C3978" s="1" t="s">
        <v>28</v>
      </c>
      <c r="D3978" s="1" t="s">
        <v>19</v>
      </c>
      <c r="E3978" s="1" t="s">
        <v>112</v>
      </c>
      <c r="F3978">
        <v>2016</v>
      </c>
      <c r="G3978">
        <v>3</v>
      </c>
      <c r="H3978" s="1" t="s">
        <v>121</v>
      </c>
      <c r="I3978">
        <v>20</v>
      </c>
      <c r="J3978">
        <v>2663</v>
      </c>
      <c r="K3978" s="1" t="s">
        <v>113</v>
      </c>
      <c r="L3978" s="1" t="s">
        <v>23</v>
      </c>
      <c r="M3978">
        <v>0.71199999999999997</v>
      </c>
      <c r="N3978">
        <v>14242.4</v>
      </c>
      <c r="O3978">
        <v>14.242000000000001</v>
      </c>
      <c r="P3978" s="2">
        <v>43586</v>
      </c>
      <c r="Q3978">
        <v>1</v>
      </c>
      <c r="R3978" s="1" t="s">
        <v>122</v>
      </c>
    </row>
    <row r="3979" spans="1:18" x14ac:dyDescent="0.25">
      <c r="A3979">
        <v>2019</v>
      </c>
      <c r="B3979">
        <v>6</v>
      </c>
      <c r="C3979" s="1" t="s">
        <v>29</v>
      </c>
      <c r="D3979" s="1" t="s">
        <v>19</v>
      </c>
      <c r="E3979" s="1" t="s">
        <v>112</v>
      </c>
      <c r="F3979">
        <v>2016</v>
      </c>
      <c r="G3979">
        <v>3</v>
      </c>
      <c r="H3979" s="1" t="s">
        <v>121</v>
      </c>
      <c r="I3979">
        <v>20</v>
      </c>
      <c r="J3979">
        <v>2663</v>
      </c>
      <c r="K3979" s="1" t="s">
        <v>113</v>
      </c>
      <c r="L3979" s="1" t="s">
        <v>23</v>
      </c>
      <c r="M3979">
        <v>0.67600000000000005</v>
      </c>
      <c r="N3979">
        <v>13520.4</v>
      </c>
      <c r="O3979">
        <v>13.52</v>
      </c>
      <c r="P3979" s="2">
        <v>43617</v>
      </c>
      <c r="Q3979">
        <v>1</v>
      </c>
      <c r="R3979" s="1" t="s">
        <v>122</v>
      </c>
    </row>
    <row r="3980" spans="1:18" x14ac:dyDescent="0.25">
      <c r="A3980">
        <v>2019</v>
      </c>
      <c r="B3980">
        <v>7</v>
      </c>
      <c r="C3980" s="1" t="s">
        <v>30</v>
      </c>
      <c r="D3980" s="1" t="s">
        <v>19</v>
      </c>
      <c r="E3980" s="1" t="s">
        <v>112</v>
      </c>
      <c r="F3980">
        <v>2016</v>
      </c>
      <c r="G3980">
        <v>3</v>
      </c>
      <c r="H3980" s="1" t="s">
        <v>121</v>
      </c>
      <c r="I3980">
        <v>20</v>
      </c>
      <c r="J3980">
        <v>2663</v>
      </c>
      <c r="K3980" s="1" t="s">
        <v>113</v>
      </c>
      <c r="L3980" s="1" t="s">
        <v>23</v>
      </c>
      <c r="M3980">
        <v>0.60799999999999998</v>
      </c>
      <c r="N3980">
        <v>12160</v>
      </c>
      <c r="O3980">
        <v>12.16</v>
      </c>
      <c r="P3980" s="2">
        <v>43647</v>
      </c>
      <c r="Q3980">
        <v>1</v>
      </c>
      <c r="R3980" s="1" t="s">
        <v>122</v>
      </c>
    </row>
    <row r="3981" spans="1:18" x14ac:dyDescent="0.25">
      <c r="A3981">
        <v>2019</v>
      </c>
      <c r="B3981">
        <v>8</v>
      </c>
      <c r="C3981" s="1" t="s">
        <v>31</v>
      </c>
      <c r="D3981" s="1" t="s">
        <v>19</v>
      </c>
      <c r="E3981" s="1" t="s">
        <v>112</v>
      </c>
      <c r="F3981">
        <v>2016</v>
      </c>
      <c r="G3981">
        <v>3</v>
      </c>
      <c r="H3981" s="1" t="s">
        <v>121</v>
      </c>
      <c r="I3981">
        <v>20</v>
      </c>
      <c r="J3981">
        <v>2663</v>
      </c>
      <c r="K3981" s="1" t="s">
        <v>113</v>
      </c>
      <c r="L3981" s="1" t="s">
        <v>23</v>
      </c>
      <c r="M3981">
        <v>0.70699999999999996</v>
      </c>
      <c r="N3981">
        <v>14136</v>
      </c>
      <c r="O3981">
        <v>14.135999999999999</v>
      </c>
      <c r="P3981" s="2">
        <v>43678</v>
      </c>
      <c r="Q3981">
        <v>1</v>
      </c>
      <c r="R3981" s="1" t="s">
        <v>122</v>
      </c>
    </row>
    <row r="3982" spans="1:18" x14ac:dyDescent="0.25">
      <c r="A3982">
        <v>2019</v>
      </c>
      <c r="B3982">
        <v>9</v>
      </c>
      <c r="C3982" s="1" t="s">
        <v>32</v>
      </c>
      <c r="D3982" s="1" t="s">
        <v>19</v>
      </c>
      <c r="E3982" s="1" t="s">
        <v>112</v>
      </c>
      <c r="F3982">
        <v>2016</v>
      </c>
      <c r="G3982">
        <v>3</v>
      </c>
      <c r="H3982" s="1" t="s">
        <v>121</v>
      </c>
      <c r="I3982">
        <v>20</v>
      </c>
      <c r="J3982">
        <v>2663</v>
      </c>
      <c r="K3982" s="1" t="s">
        <v>113</v>
      </c>
      <c r="L3982" s="1" t="s">
        <v>23</v>
      </c>
      <c r="M3982">
        <v>0.502</v>
      </c>
      <c r="N3982">
        <v>10047.200000000001</v>
      </c>
      <c r="O3982">
        <v>10.047000000000001</v>
      </c>
      <c r="P3982" s="2">
        <v>43709</v>
      </c>
      <c r="Q3982">
        <v>1</v>
      </c>
      <c r="R3982" s="1" t="s">
        <v>122</v>
      </c>
    </row>
    <row r="3983" spans="1:18" x14ac:dyDescent="0.25">
      <c r="A3983">
        <v>2019</v>
      </c>
      <c r="B3983">
        <v>10</v>
      </c>
      <c r="C3983" s="1" t="s">
        <v>33</v>
      </c>
      <c r="D3983" s="1" t="s">
        <v>19</v>
      </c>
      <c r="E3983" s="1" t="s">
        <v>112</v>
      </c>
      <c r="F3983">
        <v>2016</v>
      </c>
      <c r="G3983">
        <v>3</v>
      </c>
      <c r="H3983" s="1" t="s">
        <v>121</v>
      </c>
      <c r="I3983">
        <v>20</v>
      </c>
      <c r="J3983">
        <v>2663</v>
      </c>
      <c r="K3983" s="1" t="s">
        <v>113</v>
      </c>
      <c r="L3983" s="1" t="s">
        <v>23</v>
      </c>
      <c r="M3983">
        <v>0.65900000000000003</v>
      </c>
      <c r="N3983">
        <v>13186</v>
      </c>
      <c r="O3983">
        <v>13.186</v>
      </c>
      <c r="P3983" s="2">
        <v>43739</v>
      </c>
      <c r="Q3983">
        <v>1</v>
      </c>
      <c r="R3983" s="1" t="s">
        <v>122</v>
      </c>
    </row>
    <row r="3984" spans="1:18" x14ac:dyDescent="0.25">
      <c r="A3984">
        <v>2019</v>
      </c>
      <c r="B3984">
        <v>11</v>
      </c>
      <c r="C3984" s="1" t="s">
        <v>34</v>
      </c>
      <c r="D3984" s="1" t="s">
        <v>19</v>
      </c>
      <c r="E3984" s="1" t="s">
        <v>112</v>
      </c>
      <c r="F3984">
        <v>2016</v>
      </c>
      <c r="G3984">
        <v>3</v>
      </c>
      <c r="H3984" s="1" t="s">
        <v>121</v>
      </c>
      <c r="I3984">
        <v>20</v>
      </c>
      <c r="J3984">
        <v>2663</v>
      </c>
      <c r="K3984" s="1" t="s">
        <v>113</v>
      </c>
      <c r="L3984" s="1" t="s">
        <v>23</v>
      </c>
      <c r="M3984">
        <v>0.48</v>
      </c>
      <c r="N3984">
        <v>9598.7999999999993</v>
      </c>
      <c r="O3984">
        <v>9.5990000000000002</v>
      </c>
      <c r="P3984" s="2">
        <v>43770</v>
      </c>
      <c r="Q3984">
        <v>1</v>
      </c>
      <c r="R3984" s="1" t="s">
        <v>122</v>
      </c>
    </row>
    <row r="3985" spans="1:18" x14ac:dyDescent="0.25">
      <c r="A3985">
        <v>2019</v>
      </c>
      <c r="B3985">
        <v>12</v>
      </c>
      <c r="C3985" s="1" t="s">
        <v>35</v>
      </c>
      <c r="D3985" s="1" t="s">
        <v>19</v>
      </c>
      <c r="E3985" s="1" t="s">
        <v>112</v>
      </c>
      <c r="F3985">
        <v>2016</v>
      </c>
      <c r="G3985">
        <v>3</v>
      </c>
      <c r="H3985" s="1" t="s">
        <v>121</v>
      </c>
      <c r="I3985">
        <v>20</v>
      </c>
      <c r="J3985">
        <v>2663</v>
      </c>
      <c r="K3985" s="1" t="s">
        <v>113</v>
      </c>
      <c r="L3985" s="1" t="s">
        <v>23</v>
      </c>
      <c r="M3985">
        <v>0.36099999999999999</v>
      </c>
      <c r="N3985">
        <v>7220</v>
      </c>
      <c r="O3985">
        <v>7.22</v>
      </c>
      <c r="P3985" s="2">
        <v>43800</v>
      </c>
      <c r="Q3985">
        <v>1</v>
      </c>
      <c r="R3985" s="1" t="s">
        <v>122</v>
      </c>
    </row>
    <row r="3986" spans="1:18" x14ac:dyDescent="0.25">
      <c r="A3986">
        <v>2019</v>
      </c>
      <c r="B3986">
        <v>1</v>
      </c>
      <c r="C3986" s="1" t="s">
        <v>18</v>
      </c>
      <c r="D3986" s="1" t="s">
        <v>19</v>
      </c>
      <c r="E3986" s="1" t="s">
        <v>114</v>
      </c>
      <c r="F3986">
        <v>2016</v>
      </c>
      <c r="G3986">
        <v>3</v>
      </c>
      <c r="H3986" s="1" t="s">
        <v>121</v>
      </c>
      <c r="I3986">
        <v>14</v>
      </c>
      <c r="J3986">
        <v>1746</v>
      </c>
      <c r="K3986" s="1" t="s">
        <v>115</v>
      </c>
      <c r="L3986" s="1" t="s">
        <v>23</v>
      </c>
      <c r="M3986">
        <v>0.45600000000000002</v>
      </c>
      <c r="N3986">
        <v>6378.7</v>
      </c>
      <c r="O3986">
        <v>6.3789999999999996</v>
      </c>
      <c r="P3986" s="2">
        <v>43466</v>
      </c>
      <c r="Q3986">
        <v>1</v>
      </c>
      <c r="R3986" s="1" t="s">
        <v>122</v>
      </c>
    </row>
    <row r="3987" spans="1:18" x14ac:dyDescent="0.25">
      <c r="A3987">
        <v>2019</v>
      </c>
      <c r="B3987">
        <v>2</v>
      </c>
      <c r="C3987" s="1" t="s">
        <v>25</v>
      </c>
      <c r="D3987" s="1" t="s">
        <v>19</v>
      </c>
      <c r="E3987" s="1" t="s">
        <v>114</v>
      </c>
      <c r="F3987">
        <v>2016</v>
      </c>
      <c r="G3987">
        <v>3</v>
      </c>
      <c r="H3987" s="1" t="s">
        <v>121</v>
      </c>
      <c r="I3987">
        <v>14</v>
      </c>
      <c r="J3987">
        <v>1746</v>
      </c>
      <c r="K3987" s="1" t="s">
        <v>115</v>
      </c>
      <c r="L3987" s="1" t="s">
        <v>23</v>
      </c>
      <c r="M3987">
        <v>0.53300000000000003</v>
      </c>
      <c r="N3987">
        <v>7458.6</v>
      </c>
      <c r="O3987">
        <v>7.4589999999999996</v>
      </c>
      <c r="P3987" s="2">
        <v>43497</v>
      </c>
      <c r="Q3987">
        <v>1</v>
      </c>
      <c r="R3987" s="1" t="s">
        <v>122</v>
      </c>
    </row>
    <row r="3988" spans="1:18" x14ac:dyDescent="0.25">
      <c r="A3988">
        <v>2019</v>
      </c>
      <c r="B3988">
        <v>3</v>
      </c>
      <c r="C3988" s="1" t="s">
        <v>26</v>
      </c>
      <c r="D3988" s="1" t="s">
        <v>19</v>
      </c>
      <c r="E3988" s="1" t="s">
        <v>114</v>
      </c>
      <c r="F3988">
        <v>2016</v>
      </c>
      <c r="G3988">
        <v>3</v>
      </c>
      <c r="H3988" s="1" t="s">
        <v>121</v>
      </c>
      <c r="I3988">
        <v>14</v>
      </c>
      <c r="J3988">
        <v>1746</v>
      </c>
      <c r="K3988" s="1" t="s">
        <v>115</v>
      </c>
      <c r="L3988" s="1" t="s">
        <v>23</v>
      </c>
      <c r="M3988">
        <v>0.62</v>
      </c>
      <c r="N3988">
        <v>8676.9</v>
      </c>
      <c r="O3988">
        <v>8.6769999999999996</v>
      </c>
      <c r="P3988" s="2">
        <v>43525</v>
      </c>
      <c r="Q3988">
        <v>1</v>
      </c>
      <c r="R3988" s="1" t="s">
        <v>122</v>
      </c>
    </row>
    <row r="3989" spans="1:18" x14ac:dyDescent="0.25">
      <c r="A3989">
        <v>2019</v>
      </c>
      <c r="B3989">
        <v>4</v>
      </c>
      <c r="C3989" s="1" t="s">
        <v>27</v>
      </c>
      <c r="D3989" s="1" t="s">
        <v>19</v>
      </c>
      <c r="E3989" s="1" t="s">
        <v>114</v>
      </c>
      <c r="F3989">
        <v>2016</v>
      </c>
      <c r="G3989">
        <v>3</v>
      </c>
      <c r="H3989" s="1" t="s">
        <v>121</v>
      </c>
      <c r="I3989">
        <v>14</v>
      </c>
      <c r="J3989">
        <v>1746</v>
      </c>
      <c r="K3989" s="1" t="s">
        <v>115</v>
      </c>
      <c r="L3989" s="1" t="s">
        <v>23</v>
      </c>
      <c r="M3989">
        <v>0.69599999999999995</v>
      </c>
      <c r="N3989">
        <v>9746.2000000000007</v>
      </c>
      <c r="O3989">
        <v>9.7460000000000004</v>
      </c>
      <c r="P3989" s="2">
        <v>43556</v>
      </c>
      <c r="Q3989">
        <v>1</v>
      </c>
      <c r="R3989" s="1" t="s">
        <v>122</v>
      </c>
    </row>
    <row r="3990" spans="1:18" x14ac:dyDescent="0.25">
      <c r="A3990">
        <v>2019</v>
      </c>
      <c r="B3990">
        <v>5</v>
      </c>
      <c r="C3990" s="1" t="s">
        <v>28</v>
      </c>
      <c r="D3990" s="1" t="s">
        <v>19</v>
      </c>
      <c r="E3990" s="1" t="s">
        <v>114</v>
      </c>
      <c r="F3990">
        <v>2016</v>
      </c>
      <c r="G3990">
        <v>3</v>
      </c>
      <c r="H3990" s="1" t="s">
        <v>121</v>
      </c>
      <c r="I3990">
        <v>14</v>
      </c>
      <c r="J3990">
        <v>1746</v>
      </c>
      <c r="K3990" s="1" t="s">
        <v>115</v>
      </c>
      <c r="L3990" s="1" t="s">
        <v>23</v>
      </c>
      <c r="M3990">
        <v>0.71199999999999997</v>
      </c>
      <c r="N3990">
        <v>9969.7000000000007</v>
      </c>
      <c r="O3990">
        <v>9.9700000000000006</v>
      </c>
      <c r="P3990" s="2">
        <v>43586</v>
      </c>
      <c r="Q3990">
        <v>1</v>
      </c>
      <c r="R3990" s="1" t="s">
        <v>122</v>
      </c>
    </row>
    <row r="3991" spans="1:18" x14ac:dyDescent="0.25">
      <c r="A3991">
        <v>2019</v>
      </c>
      <c r="B3991">
        <v>6</v>
      </c>
      <c r="C3991" s="1" t="s">
        <v>29</v>
      </c>
      <c r="D3991" s="1" t="s">
        <v>19</v>
      </c>
      <c r="E3991" s="1" t="s">
        <v>114</v>
      </c>
      <c r="F3991">
        <v>2016</v>
      </c>
      <c r="G3991">
        <v>3</v>
      </c>
      <c r="H3991" s="1" t="s">
        <v>121</v>
      </c>
      <c r="I3991">
        <v>14</v>
      </c>
      <c r="J3991">
        <v>1746</v>
      </c>
      <c r="K3991" s="1" t="s">
        <v>115</v>
      </c>
      <c r="L3991" s="1" t="s">
        <v>23</v>
      </c>
      <c r="M3991">
        <v>0.67600000000000005</v>
      </c>
      <c r="N3991">
        <v>9464.2999999999993</v>
      </c>
      <c r="O3991">
        <v>9.4640000000000004</v>
      </c>
      <c r="P3991" s="2">
        <v>43617</v>
      </c>
      <c r="Q3991">
        <v>1</v>
      </c>
      <c r="R3991" s="1" t="s">
        <v>122</v>
      </c>
    </row>
    <row r="3992" spans="1:18" x14ac:dyDescent="0.25">
      <c r="A3992">
        <v>2019</v>
      </c>
      <c r="B3992">
        <v>7</v>
      </c>
      <c r="C3992" s="1" t="s">
        <v>30</v>
      </c>
      <c r="D3992" s="1" t="s">
        <v>19</v>
      </c>
      <c r="E3992" s="1" t="s">
        <v>114</v>
      </c>
      <c r="F3992">
        <v>2016</v>
      </c>
      <c r="G3992">
        <v>3</v>
      </c>
      <c r="H3992" s="1" t="s">
        <v>121</v>
      </c>
      <c r="I3992">
        <v>14</v>
      </c>
      <c r="J3992">
        <v>1746</v>
      </c>
      <c r="K3992" s="1" t="s">
        <v>115</v>
      </c>
      <c r="L3992" s="1" t="s">
        <v>23</v>
      </c>
      <c r="M3992">
        <v>0.60799999999999998</v>
      </c>
      <c r="N3992">
        <v>8512</v>
      </c>
      <c r="O3992">
        <v>8.5120000000000005</v>
      </c>
      <c r="P3992" s="2">
        <v>43647</v>
      </c>
      <c r="Q3992">
        <v>1</v>
      </c>
      <c r="R3992" s="1" t="s">
        <v>122</v>
      </c>
    </row>
    <row r="3993" spans="1:18" x14ac:dyDescent="0.25">
      <c r="A3993">
        <v>2019</v>
      </c>
      <c r="B3993">
        <v>8</v>
      </c>
      <c r="C3993" s="1" t="s">
        <v>31</v>
      </c>
      <c r="D3993" s="1" t="s">
        <v>19</v>
      </c>
      <c r="E3993" s="1" t="s">
        <v>114</v>
      </c>
      <c r="F3993">
        <v>2016</v>
      </c>
      <c r="G3993">
        <v>3</v>
      </c>
      <c r="H3993" s="1" t="s">
        <v>121</v>
      </c>
      <c r="I3993">
        <v>14</v>
      </c>
      <c r="J3993">
        <v>1746</v>
      </c>
      <c r="K3993" s="1" t="s">
        <v>115</v>
      </c>
      <c r="L3993" s="1" t="s">
        <v>23</v>
      </c>
      <c r="M3993">
        <v>0.70699999999999996</v>
      </c>
      <c r="N3993">
        <v>9895.2000000000007</v>
      </c>
      <c r="O3993">
        <v>9.8949999999999996</v>
      </c>
      <c r="P3993" s="2">
        <v>43678</v>
      </c>
      <c r="Q3993">
        <v>1</v>
      </c>
      <c r="R3993" s="1" t="s">
        <v>122</v>
      </c>
    </row>
    <row r="3994" spans="1:18" x14ac:dyDescent="0.25">
      <c r="A3994">
        <v>2019</v>
      </c>
      <c r="B3994">
        <v>9</v>
      </c>
      <c r="C3994" s="1" t="s">
        <v>32</v>
      </c>
      <c r="D3994" s="1" t="s">
        <v>19</v>
      </c>
      <c r="E3994" s="1" t="s">
        <v>114</v>
      </c>
      <c r="F3994">
        <v>2016</v>
      </c>
      <c r="G3994">
        <v>3</v>
      </c>
      <c r="H3994" s="1" t="s">
        <v>121</v>
      </c>
      <c r="I3994">
        <v>14</v>
      </c>
      <c r="J3994">
        <v>1746</v>
      </c>
      <c r="K3994" s="1" t="s">
        <v>115</v>
      </c>
      <c r="L3994" s="1" t="s">
        <v>23</v>
      </c>
      <c r="M3994">
        <v>0.502</v>
      </c>
      <c r="N3994">
        <v>7033</v>
      </c>
      <c r="O3994">
        <v>7.0330000000000004</v>
      </c>
      <c r="P3994" s="2">
        <v>43709</v>
      </c>
      <c r="Q3994">
        <v>1</v>
      </c>
      <c r="R3994" s="1" t="s">
        <v>122</v>
      </c>
    </row>
    <row r="3995" spans="1:18" x14ac:dyDescent="0.25">
      <c r="A3995">
        <v>2019</v>
      </c>
      <c r="B3995">
        <v>10</v>
      </c>
      <c r="C3995" s="1" t="s">
        <v>33</v>
      </c>
      <c r="D3995" s="1" t="s">
        <v>19</v>
      </c>
      <c r="E3995" s="1" t="s">
        <v>114</v>
      </c>
      <c r="F3995">
        <v>2016</v>
      </c>
      <c r="G3995">
        <v>3</v>
      </c>
      <c r="H3995" s="1" t="s">
        <v>121</v>
      </c>
      <c r="I3995">
        <v>14</v>
      </c>
      <c r="J3995">
        <v>1746</v>
      </c>
      <c r="K3995" s="1" t="s">
        <v>115</v>
      </c>
      <c r="L3995" s="1" t="s">
        <v>23</v>
      </c>
      <c r="M3995">
        <v>0.65900000000000003</v>
      </c>
      <c r="N3995">
        <v>9230.2000000000007</v>
      </c>
      <c r="O3995">
        <v>9.23</v>
      </c>
      <c r="P3995" s="2">
        <v>43739</v>
      </c>
      <c r="Q3995">
        <v>1</v>
      </c>
      <c r="R3995" s="1" t="s">
        <v>122</v>
      </c>
    </row>
    <row r="3996" spans="1:18" x14ac:dyDescent="0.25">
      <c r="A3996">
        <v>2019</v>
      </c>
      <c r="B3996">
        <v>11</v>
      </c>
      <c r="C3996" s="1" t="s">
        <v>34</v>
      </c>
      <c r="D3996" s="1" t="s">
        <v>19</v>
      </c>
      <c r="E3996" s="1" t="s">
        <v>114</v>
      </c>
      <c r="F3996">
        <v>2016</v>
      </c>
      <c r="G3996">
        <v>3</v>
      </c>
      <c r="H3996" s="1" t="s">
        <v>121</v>
      </c>
      <c r="I3996">
        <v>14</v>
      </c>
      <c r="J3996">
        <v>1746</v>
      </c>
      <c r="K3996" s="1" t="s">
        <v>115</v>
      </c>
      <c r="L3996" s="1" t="s">
        <v>23</v>
      </c>
      <c r="M3996">
        <v>0.48</v>
      </c>
      <c r="N3996">
        <v>6719.2</v>
      </c>
      <c r="O3996">
        <v>6.7190000000000003</v>
      </c>
      <c r="P3996" s="2">
        <v>43770</v>
      </c>
      <c r="Q3996">
        <v>1</v>
      </c>
      <c r="R3996" s="1" t="s">
        <v>122</v>
      </c>
    </row>
    <row r="3997" spans="1:18" x14ac:dyDescent="0.25">
      <c r="A3997">
        <v>2019</v>
      </c>
      <c r="B3997">
        <v>12</v>
      </c>
      <c r="C3997" s="1" t="s">
        <v>35</v>
      </c>
      <c r="D3997" s="1" t="s">
        <v>19</v>
      </c>
      <c r="E3997" s="1" t="s">
        <v>114</v>
      </c>
      <c r="F3997">
        <v>2016</v>
      </c>
      <c r="G3997">
        <v>3</v>
      </c>
      <c r="H3997" s="1" t="s">
        <v>121</v>
      </c>
      <c r="I3997">
        <v>14</v>
      </c>
      <c r="J3997">
        <v>1746</v>
      </c>
      <c r="K3997" s="1" t="s">
        <v>115</v>
      </c>
      <c r="L3997" s="1" t="s">
        <v>23</v>
      </c>
      <c r="M3997">
        <v>0.36099999999999999</v>
      </c>
      <c r="N3997">
        <v>5054</v>
      </c>
      <c r="O3997">
        <v>5.0540000000000003</v>
      </c>
      <c r="P3997" s="2">
        <v>43800</v>
      </c>
      <c r="Q3997">
        <v>1</v>
      </c>
      <c r="R3997" s="1" t="s">
        <v>122</v>
      </c>
    </row>
    <row r="3998" spans="1:18" x14ac:dyDescent="0.25">
      <c r="A3998">
        <v>2019</v>
      </c>
      <c r="B3998">
        <v>1</v>
      </c>
      <c r="C3998" s="1" t="s">
        <v>18</v>
      </c>
      <c r="D3998" s="1" t="s">
        <v>19</v>
      </c>
      <c r="E3998" s="1" t="s">
        <v>116</v>
      </c>
      <c r="F3998">
        <v>2016</v>
      </c>
      <c r="G3998">
        <v>3</v>
      </c>
      <c r="H3998" s="1" t="s">
        <v>121</v>
      </c>
      <c r="I3998">
        <v>24</v>
      </c>
      <c r="J3998">
        <v>3377</v>
      </c>
      <c r="K3998" s="1" t="s">
        <v>103</v>
      </c>
      <c r="L3998" s="1" t="s">
        <v>23</v>
      </c>
      <c r="M3998">
        <v>0.45600000000000002</v>
      </c>
      <c r="N3998">
        <v>10934.9</v>
      </c>
      <c r="O3998">
        <v>10.935</v>
      </c>
      <c r="P3998" s="2">
        <v>43466</v>
      </c>
      <c r="Q3998">
        <v>1</v>
      </c>
      <c r="R3998" s="1" t="s">
        <v>122</v>
      </c>
    </row>
    <row r="3999" spans="1:18" x14ac:dyDescent="0.25">
      <c r="A3999">
        <v>2019</v>
      </c>
      <c r="B3999">
        <v>2</v>
      </c>
      <c r="C3999" s="1" t="s">
        <v>25</v>
      </c>
      <c r="D3999" s="1" t="s">
        <v>19</v>
      </c>
      <c r="E3999" s="1" t="s">
        <v>116</v>
      </c>
      <c r="F3999">
        <v>2016</v>
      </c>
      <c r="G3999">
        <v>3</v>
      </c>
      <c r="H3999" s="1" t="s">
        <v>121</v>
      </c>
      <c r="I3999">
        <v>24</v>
      </c>
      <c r="J3999">
        <v>3377</v>
      </c>
      <c r="K3999" s="1" t="s">
        <v>103</v>
      </c>
      <c r="L3999" s="1" t="s">
        <v>23</v>
      </c>
      <c r="M3999">
        <v>0.53300000000000003</v>
      </c>
      <c r="N3999">
        <v>12786.2</v>
      </c>
      <c r="O3999">
        <v>12.786</v>
      </c>
      <c r="P3999" s="2">
        <v>43497</v>
      </c>
      <c r="Q3999">
        <v>1</v>
      </c>
      <c r="R3999" s="1" t="s">
        <v>122</v>
      </c>
    </row>
    <row r="4000" spans="1:18" x14ac:dyDescent="0.25">
      <c r="A4000">
        <v>2019</v>
      </c>
      <c r="B4000">
        <v>3</v>
      </c>
      <c r="C4000" s="1" t="s">
        <v>26</v>
      </c>
      <c r="D4000" s="1" t="s">
        <v>19</v>
      </c>
      <c r="E4000" s="1" t="s">
        <v>116</v>
      </c>
      <c r="F4000">
        <v>2016</v>
      </c>
      <c r="G4000">
        <v>3</v>
      </c>
      <c r="H4000" s="1" t="s">
        <v>121</v>
      </c>
      <c r="I4000">
        <v>24</v>
      </c>
      <c r="J4000">
        <v>3377</v>
      </c>
      <c r="K4000" s="1" t="s">
        <v>103</v>
      </c>
      <c r="L4000" s="1" t="s">
        <v>23</v>
      </c>
      <c r="M4000">
        <v>0.62</v>
      </c>
      <c r="N4000">
        <v>14874.7</v>
      </c>
      <c r="O4000">
        <v>14.875</v>
      </c>
      <c r="P4000" s="2">
        <v>43525</v>
      </c>
      <c r="Q4000">
        <v>1</v>
      </c>
      <c r="R4000" s="1" t="s">
        <v>122</v>
      </c>
    </row>
    <row r="4001" spans="1:18" x14ac:dyDescent="0.25">
      <c r="A4001">
        <v>2019</v>
      </c>
      <c r="B4001">
        <v>4</v>
      </c>
      <c r="C4001" s="1" t="s">
        <v>27</v>
      </c>
      <c r="D4001" s="1" t="s">
        <v>19</v>
      </c>
      <c r="E4001" s="1" t="s">
        <v>116</v>
      </c>
      <c r="F4001">
        <v>2016</v>
      </c>
      <c r="G4001">
        <v>3</v>
      </c>
      <c r="H4001" s="1" t="s">
        <v>121</v>
      </c>
      <c r="I4001">
        <v>24</v>
      </c>
      <c r="J4001">
        <v>3377</v>
      </c>
      <c r="K4001" s="1" t="s">
        <v>103</v>
      </c>
      <c r="L4001" s="1" t="s">
        <v>23</v>
      </c>
      <c r="M4001">
        <v>0.69599999999999995</v>
      </c>
      <c r="N4001">
        <v>16707.8</v>
      </c>
      <c r="O4001">
        <v>16.707999999999998</v>
      </c>
      <c r="P4001" s="2">
        <v>43556</v>
      </c>
      <c r="Q4001">
        <v>1</v>
      </c>
      <c r="R4001" s="1" t="s">
        <v>122</v>
      </c>
    </row>
    <row r="4002" spans="1:18" x14ac:dyDescent="0.25">
      <c r="A4002">
        <v>2019</v>
      </c>
      <c r="B4002">
        <v>5</v>
      </c>
      <c r="C4002" s="1" t="s">
        <v>28</v>
      </c>
      <c r="D4002" s="1" t="s">
        <v>19</v>
      </c>
      <c r="E4002" s="1" t="s">
        <v>116</v>
      </c>
      <c r="F4002">
        <v>2016</v>
      </c>
      <c r="G4002">
        <v>3</v>
      </c>
      <c r="H4002" s="1" t="s">
        <v>121</v>
      </c>
      <c r="I4002">
        <v>24</v>
      </c>
      <c r="J4002">
        <v>3377</v>
      </c>
      <c r="K4002" s="1" t="s">
        <v>103</v>
      </c>
      <c r="L4002" s="1" t="s">
        <v>23</v>
      </c>
      <c r="M4002">
        <v>0.71199999999999997</v>
      </c>
      <c r="N4002">
        <v>17090.900000000001</v>
      </c>
      <c r="O4002">
        <v>17.091000000000001</v>
      </c>
      <c r="P4002" s="2">
        <v>43586</v>
      </c>
      <c r="Q4002">
        <v>1</v>
      </c>
      <c r="R4002" s="1" t="s">
        <v>122</v>
      </c>
    </row>
    <row r="4003" spans="1:18" x14ac:dyDescent="0.25">
      <c r="A4003">
        <v>2019</v>
      </c>
      <c r="B4003">
        <v>6</v>
      </c>
      <c r="C4003" s="1" t="s">
        <v>29</v>
      </c>
      <c r="D4003" s="1" t="s">
        <v>19</v>
      </c>
      <c r="E4003" s="1" t="s">
        <v>116</v>
      </c>
      <c r="F4003">
        <v>2016</v>
      </c>
      <c r="G4003">
        <v>3</v>
      </c>
      <c r="H4003" s="1" t="s">
        <v>121</v>
      </c>
      <c r="I4003">
        <v>24</v>
      </c>
      <c r="J4003">
        <v>3377</v>
      </c>
      <c r="K4003" s="1" t="s">
        <v>103</v>
      </c>
      <c r="L4003" s="1" t="s">
        <v>23</v>
      </c>
      <c r="M4003">
        <v>0.67600000000000005</v>
      </c>
      <c r="N4003">
        <v>16224.5</v>
      </c>
      <c r="O4003">
        <v>16.224</v>
      </c>
      <c r="P4003" s="2">
        <v>43617</v>
      </c>
      <c r="Q4003">
        <v>1</v>
      </c>
      <c r="R4003" s="1" t="s">
        <v>122</v>
      </c>
    </row>
    <row r="4004" spans="1:18" x14ac:dyDescent="0.25">
      <c r="A4004">
        <v>2019</v>
      </c>
      <c r="B4004">
        <v>7</v>
      </c>
      <c r="C4004" s="1" t="s">
        <v>30</v>
      </c>
      <c r="D4004" s="1" t="s">
        <v>19</v>
      </c>
      <c r="E4004" s="1" t="s">
        <v>116</v>
      </c>
      <c r="F4004">
        <v>2016</v>
      </c>
      <c r="G4004">
        <v>3</v>
      </c>
      <c r="H4004" s="1" t="s">
        <v>121</v>
      </c>
      <c r="I4004">
        <v>24</v>
      </c>
      <c r="J4004">
        <v>3377</v>
      </c>
      <c r="K4004" s="1" t="s">
        <v>103</v>
      </c>
      <c r="L4004" s="1" t="s">
        <v>23</v>
      </c>
      <c r="M4004">
        <v>0.60799999999999998</v>
      </c>
      <c r="N4004">
        <v>14592</v>
      </c>
      <c r="O4004">
        <v>14.592000000000001</v>
      </c>
      <c r="P4004" s="2">
        <v>43647</v>
      </c>
      <c r="Q4004">
        <v>1</v>
      </c>
      <c r="R4004" s="1" t="s">
        <v>122</v>
      </c>
    </row>
    <row r="4005" spans="1:18" x14ac:dyDescent="0.25">
      <c r="A4005">
        <v>2019</v>
      </c>
      <c r="B4005">
        <v>8</v>
      </c>
      <c r="C4005" s="1" t="s">
        <v>31</v>
      </c>
      <c r="D4005" s="1" t="s">
        <v>19</v>
      </c>
      <c r="E4005" s="1" t="s">
        <v>116</v>
      </c>
      <c r="F4005">
        <v>2016</v>
      </c>
      <c r="G4005">
        <v>3</v>
      </c>
      <c r="H4005" s="1" t="s">
        <v>121</v>
      </c>
      <c r="I4005">
        <v>24</v>
      </c>
      <c r="J4005">
        <v>3377</v>
      </c>
      <c r="K4005" s="1" t="s">
        <v>103</v>
      </c>
      <c r="L4005" s="1" t="s">
        <v>23</v>
      </c>
      <c r="M4005">
        <v>0.70699999999999996</v>
      </c>
      <c r="N4005">
        <v>16963.2</v>
      </c>
      <c r="O4005">
        <v>16.963000000000001</v>
      </c>
      <c r="P4005" s="2">
        <v>43678</v>
      </c>
      <c r="Q4005">
        <v>1</v>
      </c>
      <c r="R4005" s="1" t="s">
        <v>122</v>
      </c>
    </row>
    <row r="4006" spans="1:18" x14ac:dyDescent="0.25">
      <c r="A4006">
        <v>2019</v>
      </c>
      <c r="B4006">
        <v>9</v>
      </c>
      <c r="C4006" s="1" t="s">
        <v>32</v>
      </c>
      <c r="D4006" s="1" t="s">
        <v>19</v>
      </c>
      <c r="E4006" s="1" t="s">
        <v>116</v>
      </c>
      <c r="F4006">
        <v>2016</v>
      </c>
      <c r="G4006">
        <v>3</v>
      </c>
      <c r="H4006" s="1" t="s">
        <v>121</v>
      </c>
      <c r="I4006">
        <v>24</v>
      </c>
      <c r="J4006">
        <v>3377</v>
      </c>
      <c r="K4006" s="1" t="s">
        <v>103</v>
      </c>
      <c r="L4006" s="1" t="s">
        <v>23</v>
      </c>
      <c r="M4006">
        <v>0.502</v>
      </c>
      <c r="N4006">
        <v>12056.6</v>
      </c>
      <c r="O4006">
        <v>12.057</v>
      </c>
      <c r="P4006" s="2">
        <v>43709</v>
      </c>
      <c r="Q4006">
        <v>1</v>
      </c>
      <c r="R4006" s="1" t="s">
        <v>122</v>
      </c>
    </row>
    <row r="4007" spans="1:18" x14ac:dyDescent="0.25">
      <c r="A4007">
        <v>2019</v>
      </c>
      <c r="B4007">
        <v>10</v>
      </c>
      <c r="C4007" s="1" t="s">
        <v>33</v>
      </c>
      <c r="D4007" s="1" t="s">
        <v>19</v>
      </c>
      <c r="E4007" s="1" t="s">
        <v>116</v>
      </c>
      <c r="F4007">
        <v>2016</v>
      </c>
      <c r="G4007">
        <v>3</v>
      </c>
      <c r="H4007" s="1" t="s">
        <v>121</v>
      </c>
      <c r="I4007">
        <v>24</v>
      </c>
      <c r="J4007">
        <v>3377</v>
      </c>
      <c r="K4007" s="1" t="s">
        <v>103</v>
      </c>
      <c r="L4007" s="1" t="s">
        <v>23</v>
      </c>
      <c r="M4007">
        <v>0.65900000000000003</v>
      </c>
      <c r="N4007">
        <v>15823.2</v>
      </c>
      <c r="O4007">
        <v>15.823</v>
      </c>
      <c r="P4007" s="2">
        <v>43739</v>
      </c>
      <c r="Q4007">
        <v>1</v>
      </c>
      <c r="R4007" s="1" t="s">
        <v>122</v>
      </c>
    </row>
    <row r="4008" spans="1:18" x14ac:dyDescent="0.25">
      <c r="A4008">
        <v>2019</v>
      </c>
      <c r="B4008">
        <v>11</v>
      </c>
      <c r="C4008" s="1" t="s">
        <v>34</v>
      </c>
      <c r="D4008" s="1" t="s">
        <v>19</v>
      </c>
      <c r="E4008" s="1" t="s">
        <v>116</v>
      </c>
      <c r="F4008">
        <v>2016</v>
      </c>
      <c r="G4008">
        <v>3</v>
      </c>
      <c r="H4008" s="1" t="s">
        <v>121</v>
      </c>
      <c r="I4008">
        <v>24</v>
      </c>
      <c r="J4008">
        <v>3377</v>
      </c>
      <c r="K4008" s="1" t="s">
        <v>103</v>
      </c>
      <c r="L4008" s="1" t="s">
        <v>23</v>
      </c>
      <c r="M4008">
        <v>0.48</v>
      </c>
      <c r="N4008">
        <v>11518.6</v>
      </c>
      <c r="O4008">
        <v>11.519</v>
      </c>
      <c r="P4008" s="2">
        <v>43770</v>
      </c>
      <c r="Q4008">
        <v>1</v>
      </c>
      <c r="R4008" s="1" t="s">
        <v>122</v>
      </c>
    </row>
    <row r="4009" spans="1:18" x14ac:dyDescent="0.25">
      <c r="A4009">
        <v>2019</v>
      </c>
      <c r="B4009">
        <v>12</v>
      </c>
      <c r="C4009" s="1" t="s">
        <v>35</v>
      </c>
      <c r="D4009" s="1" t="s">
        <v>19</v>
      </c>
      <c r="E4009" s="1" t="s">
        <v>116</v>
      </c>
      <c r="F4009">
        <v>2016</v>
      </c>
      <c r="G4009">
        <v>3</v>
      </c>
      <c r="H4009" s="1" t="s">
        <v>121</v>
      </c>
      <c r="I4009">
        <v>24</v>
      </c>
      <c r="J4009">
        <v>3377</v>
      </c>
      <c r="K4009" s="1" t="s">
        <v>103</v>
      </c>
      <c r="L4009" s="1" t="s">
        <v>23</v>
      </c>
      <c r="M4009">
        <v>0.36099999999999999</v>
      </c>
      <c r="N4009">
        <v>8664</v>
      </c>
      <c r="O4009">
        <v>8.6639999999999997</v>
      </c>
      <c r="P4009" s="2">
        <v>43800</v>
      </c>
      <c r="Q4009">
        <v>1</v>
      </c>
      <c r="R4009" s="1" t="s">
        <v>122</v>
      </c>
    </row>
    <row r="4010" spans="1:18" x14ac:dyDescent="0.25">
      <c r="A4010">
        <v>2019</v>
      </c>
      <c r="B4010">
        <v>1</v>
      </c>
      <c r="C4010" s="1" t="s">
        <v>18</v>
      </c>
      <c r="D4010" s="1" t="s">
        <v>19</v>
      </c>
      <c r="E4010" s="1" t="s">
        <v>117</v>
      </c>
      <c r="F4010">
        <v>2016</v>
      </c>
      <c r="G4010">
        <v>3</v>
      </c>
      <c r="H4010" s="1" t="s">
        <v>121</v>
      </c>
      <c r="I4010">
        <v>25</v>
      </c>
      <c r="J4010">
        <v>3431</v>
      </c>
      <c r="K4010" s="1" t="s">
        <v>118</v>
      </c>
      <c r="L4010" s="1" t="s">
        <v>23</v>
      </c>
      <c r="M4010">
        <v>0.45600000000000002</v>
      </c>
      <c r="N4010">
        <v>11390.5</v>
      </c>
      <c r="O4010">
        <v>11.391</v>
      </c>
      <c r="P4010" s="2">
        <v>43466</v>
      </c>
      <c r="Q4010">
        <v>1</v>
      </c>
      <c r="R4010" s="1" t="s">
        <v>122</v>
      </c>
    </row>
    <row r="4011" spans="1:18" x14ac:dyDescent="0.25">
      <c r="A4011">
        <v>2019</v>
      </c>
      <c r="B4011">
        <v>2</v>
      </c>
      <c r="C4011" s="1" t="s">
        <v>25</v>
      </c>
      <c r="D4011" s="1" t="s">
        <v>19</v>
      </c>
      <c r="E4011" s="1" t="s">
        <v>117</v>
      </c>
      <c r="F4011">
        <v>2016</v>
      </c>
      <c r="G4011">
        <v>3</v>
      </c>
      <c r="H4011" s="1" t="s">
        <v>121</v>
      </c>
      <c r="I4011">
        <v>25</v>
      </c>
      <c r="J4011">
        <v>3431</v>
      </c>
      <c r="K4011" s="1" t="s">
        <v>118</v>
      </c>
      <c r="L4011" s="1" t="s">
        <v>23</v>
      </c>
      <c r="M4011">
        <v>0.53300000000000003</v>
      </c>
      <c r="N4011">
        <v>13319</v>
      </c>
      <c r="O4011">
        <v>13.319000000000001</v>
      </c>
      <c r="P4011" s="2">
        <v>43497</v>
      </c>
      <c r="Q4011">
        <v>1</v>
      </c>
      <c r="R4011" s="1" t="s">
        <v>122</v>
      </c>
    </row>
    <row r="4012" spans="1:18" x14ac:dyDescent="0.25">
      <c r="A4012">
        <v>2019</v>
      </c>
      <c r="B4012">
        <v>3</v>
      </c>
      <c r="C4012" s="1" t="s">
        <v>26</v>
      </c>
      <c r="D4012" s="1" t="s">
        <v>19</v>
      </c>
      <c r="E4012" s="1" t="s">
        <v>117</v>
      </c>
      <c r="F4012">
        <v>2016</v>
      </c>
      <c r="G4012">
        <v>3</v>
      </c>
      <c r="H4012" s="1" t="s">
        <v>121</v>
      </c>
      <c r="I4012">
        <v>25</v>
      </c>
      <c r="J4012">
        <v>3431</v>
      </c>
      <c r="K4012" s="1" t="s">
        <v>118</v>
      </c>
      <c r="L4012" s="1" t="s">
        <v>23</v>
      </c>
      <c r="M4012">
        <v>0.62</v>
      </c>
      <c r="N4012">
        <v>15494.5</v>
      </c>
      <c r="O4012">
        <v>15.494999999999999</v>
      </c>
      <c r="P4012" s="2">
        <v>43525</v>
      </c>
      <c r="Q4012">
        <v>1</v>
      </c>
      <c r="R4012" s="1" t="s">
        <v>122</v>
      </c>
    </row>
    <row r="4013" spans="1:18" x14ac:dyDescent="0.25">
      <c r="A4013">
        <v>2019</v>
      </c>
      <c r="B4013">
        <v>4</v>
      </c>
      <c r="C4013" s="1" t="s">
        <v>27</v>
      </c>
      <c r="D4013" s="1" t="s">
        <v>19</v>
      </c>
      <c r="E4013" s="1" t="s">
        <v>117</v>
      </c>
      <c r="F4013">
        <v>2016</v>
      </c>
      <c r="G4013">
        <v>3</v>
      </c>
      <c r="H4013" s="1" t="s">
        <v>121</v>
      </c>
      <c r="I4013">
        <v>25</v>
      </c>
      <c r="J4013">
        <v>3431</v>
      </c>
      <c r="K4013" s="1" t="s">
        <v>118</v>
      </c>
      <c r="L4013" s="1" t="s">
        <v>23</v>
      </c>
      <c r="M4013">
        <v>0.69599999999999995</v>
      </c>
      <c r="N4013">
        <v>17404</v>
      </c>
      <c r="O4013">
        <v>17.404</v>
      </c>
      <c r="P4013" s="2">
        <v>43556</v>
      </c>
      <c r="Q4013">
        <v>1</v>
      </c>
      <c r="R4013" s="1" t="s">
        <v>122</v>
      </c>
    </row>
    <row r="4014" spans="1:18" x14ac:dyDescent="0.25">
      <c r="A4014">
        <v>2019</v>
      </c>
      <c r="B4014">
        <v>5</v>
      </c>
      <c r="C4014" s="1" t="s">
        <v>28</v>
      </c>
      <c r="D4014" s="1" t="s">
        <v>19</v>
      </c>
      <c r="E4014" s="1" t="s">
        <v>117</v>
      </c>
      <c r="F4014">
        <v>2016</v>
      </c>
      <c r="G4014">
        <v>3</v>
      </c>
      <c r="H4014" s="1" t="s">
        <v>121</v>
      </c>
      <c r="I4014">
        <v>25</v>
      </c>
      <c r="J4014">
        <v>3431</v>
      </c>
      <c r="K4014" s="1" t="s">
        <v>118</v>
      </c>
      <c r="L4014" s="1" t="s">
        <v>23</v>
      </c>
      <c r="M4014">
        <v>0.71199999999999997</v>
      </c>
      <c r="N4014">
        <v>17803</v>
      </c>
      <c r="O4014">
        <v>17.803000000000001</v>
      </c>
      <c r="P4014" s="2">
        <v>43586</v>
      </c>
      <c r="Q4014">
        <v>1</v>
      </c>
      <c r="R4014" s="1" t="s">
        <v>122</v>
      </c>
    </row>
    <row r="4015" spans="1:18" x14ac:dyDescent="0.25">
      <c r="A4015">
        <v>2019</v>
      </c>
      <c r="B4015">
        <v>6</v>
      </c>
      <c r="C4015" s="1" t="s">
        <v>29</v>
      </c>
      <c r="D4015" s="1" t="s">
        <v>19</v>
      </c>
      <c r="E4015" s="1" t="s">
        <v>117</v>
      </c>
      <c r="F4015">
        <v>2016</v>
      </c>
      <c r="G4015">
        <v>3</v>
      </c>
      <c r="H4015" s="1" t="s">
        <v>121</v>
      </c>
      <c r="I4015">
        <v>25</v>
      </c>
      <c r="J4015">
        <v>3431</v>
      </c>
      <c r="K4015" s="1" t="s">
        <v>118</v>
      </c>
      <c r="L4015" s="1" t="s">
        <v>23</v>
      </c>
      <c r="M4015">
        <v>0.67600000000000005</v>
      </c>
      <c r="N4015">
        <v>16900.5</v>
      </c>
      <c r="O4015">
        <v>16.899999999999999</v>
      </c>
      <c r="P4015" s="2">
        <v>43617</v>
      </c>
      <c r="Q4015">
        <v>1</v>
      </c>
      <c r="R4015" s="1" t="s">
        <v>122</v>
      </c>
    </row>
    <row r="4016" spans="1:18" x14ac:dyDescent="0.25">
      <c r="A4016">
        <v>2019</v>
      </c>
      <c r="B4016">
        <v>7</v>
      </c>
      <c r="C4016" s="1" t="s">
        <v>30</v>
      </c>
      <c r="D4016" s="1" t="s">
        <v>19</v>
      </c>
      <c r="E4016" s="1" t="s">
        <v>117</v>
      </c>
      <c r="F4016">
        <v>2016</v>
      </c>
      <c r="G4016">
        <v>3</v>
      </c>
      <c r="H4016" s="1" t="s">
        <v>121</v>
      </c>
      <c r="I4016">
        <v>25</v>
      </c>
      <c r="J4016">
        <v>3431</v>
      </c>
      <c r="K4016" s="1" t="s">
        <v>118</v>
      </c>
      <c r="L4016" s="1" t="s">
        <v>23</v>
      </c>
      <c r="M4016">
        <v>0.60799999999999998</v>
      </c>
      <c r="N4016">
        <v>15200</v>
      </c>
      <c r="O4016">
        <v>15.2</v>
      </c>
      <c r="P4016" s="2">
        <v>43647</v>
      </c>
      <c r="Q4016">
        <v>1</v>
      </c>
      <c r="R4016" s="1" t="s">
        <v>122</v>
      </c>
    </row>
    <row r="4017" spans="1:18" x14ac:dyDescent="0.25">
      <c r="A4017">
        <v>2019</v>
      </c>
      <c r="B4017">
        <v>8</v>
      </c>
      <c r="C4017" s="1" t="s">
        <v>31</v>
      </c>
      <c r="D4017" s="1" t="s">
        <v>19</v>
      </c>
      <c r="E4017" s="1" t="s">
        <v>117</v>
      </c>
      <c r="F4017">
        <v>2016</v>
      </c>
      <c r="G4017">
        <v>3</v>
      </c>
      <c r="H4017" s="1" t="s">
        <v>121</v>
      </c>
      <c r="I4017">
        <v>25</v>
      </c>
      <c r="J4017">
        <v>3431</v>
      </c>
      <c r="K4017" s="1" t="s">
        <v>118</v>
      </c>
      <c r="L4017" s="1" t="s">
        <v>23</v>
      </c>
      <c r="M4017">
        <v>0.70699999999999996</v>
      </c>
      <c r="N4017">
        <v>17670</v>
      </c>
      <c r="O4017">
        <v>17.670000000000002</v>
      </c>
      <c r="P4017" s="2">
        <v>43678</v>
      </c>
      <c r="Q4017">
        <v>1</v>
      </c>
      <c r="R4017" s="1" t="s">
        <v>122</v>
      </c>
    </row>
    <row r="4018" spans="1:18" x14ac:dyDescent="0.25">
      <c r="A4018">
        <v>2019</v>
      </c>
      <c r="B4018">
        <v>9</v>
      </c>
      <c r="C4018" s="1" t="s">
        <v>32</v>
      </c>
      <c r="D4018" s="1" t="s">
        <v>19</v>
      </c>
      <c r="E4018" s="1" t="s">
        <v>117</v>
      </c>
      <c r="F4018">
        <v>2016</v>
      </c>
      <c r="G4018">
        <v>3</v>
      </c>
      <c r="H4018" s="1" t="s">
        <v>121</v>
      </c>
      <c r="I4018">
        <v>25</v>
      </c>
      <c r="J4018">
        <v>3431</v>
      </c>
      <c r="K4018" s="1" t="s">
        <v>118</v>
      </c>
      <c r="L4018" s="1" t="s">
        <v>23</v>
      </c>
      <c r="M4018">
        <v>0.502</v>
      </c>
      <c r="N4018">
        <v>12559</v>
      </c>
      <c r="O4018">
        <v>12.558999999999999</v>
      </c>
      <c r="P4018" s="2">
        <v>43709</v>
      </c>
      <c r="Q4018">
        <v>1</v>
      </c>
      <c r="R4018" s="1" t="s">
        <v>122</v>
      </c>
    </row>
    <row r="4019" spans="1:18" x14ac:dyDescent="0.25">
      <c r="A4019">
        <v>2019</v>
      </c>
      <c r="B4019">
        <v>10</v>
      </c>
      <c r="C4019" s="1" t="s">
        <v>33</v>
      </c>
      <c r="D4019" s="1" t="s">
        <v>19</v>
      </c>
      <c r="E4019" s="1" t="s">
        <v>117</v>
      </c>
      <c r="F4019">
        <v>2016</v>
      </c>
      <c r="G4019">
        <v>3</v>
      </c>
      <c r="H4019" s="1" t="s">
        <v>121</v>
      </c>
      <c r="I4019">
        <v>25</v>
      </c>
      <c r="J4019">
        <v>3431</v>
      </c>
      <c r="K4019" s="1" t="s">
        <v>118</v>
      </c>
      <c r="L4019" s="1" t="s">
        <v>23</v>
      </c>
      <c r="M4019">
        <v>0.65900000000000003</v>
      </c>
      <c r="N4019">
        <v>16482.5</v>
      </c>
      <c r="O4019">
        <v>16.483000000000001</v>
      </c>
      <c r="P4019" s="2">
        <v>43739</v>
      </c>
      <c r="Q4019">
        <v>1</v>
      </c>
      <c r="R4019" s="1" t="s">
        <v>122</v>
      </c>
    </row>
    <row r="4020" spans="1:18" x14ac:dyDescent="0.25">
      <c r="A4020">
        <v>2019</v>
      </c>
      <c r="B4020">
        <v>11</v>
      </c>
      <c r="C4020" s="1" t="s">
        <v>34</v>
      </c>
      <c r="D4020" s="1" t="s">
        <v>19</v>
      </c>
      <c r="E4020" s="1" t="s">
        <v>117</v>
      </c>
      <c r="F4020">
        <v>2016</v>
      </c>
      <c r="G4020">
        <v>3</v>
      </c>
      <c r="H4020" s="1" t="s">
        <v>121</v>
      </c>
      <c r="I4020">
        <v>25</v>
      </c>
      <c r="J4020">
        <v>3431</v>
      </c>
      <c r="K4020" s="1" t="s">
        <v>118</v>
      </c>
      <c r="L4020" s="1" t="s">
        <v>23</v>
      </c>
      <c r="M4020">
        <v>0.48</v>
      </c>
      <c r="N4020">
        <v>11998.5</v>
      </c>
      <c r="O4020">
        <v>11.997999999999999</v>
      </c>
      <c r="P4020" s="2">
        <v>43770</v>
      </c>
      <c r="Q4020">
        <v>1</v>
      </c>
      <c r="R4020" s="1" t="s">
        <v>122</v>
      </c>
    </row>
    <row r="4021" spans="1:18" x14ac:dyDescent="0.25">
      <c r="A4021">
        <v>2019</v>
      </c>
      <c r="B4021">
        <v>12</v>
      </c>
      <c r="C4021" s="1" t="s">
        <v>35</v>
      </c>
      <c r="D4021" s="1" t="s">
        <v>19</v>
      </c>
      <c r="E4021" s="1" t="s">
        <v>117</v>
      </c>
      <c r="F4021">
        <v>2016</v>
      </c>
      <c r="G4021">
        <v>3</v>
      </c>
      <c r="H4021" s="1" t="s">
        <v>121</v>
      </c>
      <c r="I4021">
        <v>25</v>
      </c>
      <c r="J4021">
        <v>3431</v>
      </c>
      <c r="K4021" s="1" t="s">
        <v>118</v>
      </c>
      <c r="L4021" s="1" t="s">
        <v>23</v>
      </c>
      <c r="M4021">
        <v>0.36099999999999999</v>
      </c>
      <c r="N4021">
        <v>9025</v>
      </c>
      <c r="O4021">
        <v>9.0250000000000004</v>
      </c>
      <c r="P4021" s="2">
        <v>43800</v>
      </c>
      <c r="Q4021">
        <v>1</v>
      </c>
      <c r="R4021" s="1" t="s">
        <v>122</v>
      </c>
    </row>
    <row r="4022" spans="1:18" x14ac:dyDescent="0.25">
      <c r="A4022">
        <v>2019</v>
      </c>
      <c r="B4022">
        <v>1</v>
      </c>
      <c r="C4022" s="1" t="s">
        <v>18</v>
      </c>
      <c r="D4022" s="1" t="s">
        <v>19</v>
      </c>
      <c r="E4022" s="1" t="s">
        <v>119</v>
      </c>
      <c r="F4022">
        <v>2016</v>
      </c>
      <c r="G4022">
        <v>3</v>
      </c>
      <c r="H4022" s="1" t="s">
        <v>121</v>
      </c>
      <c r="I4022">
        <v>21</v>
      </c>
      <c r="J4022">
        <v>2901</v>
      </c>
      <c r="K4022" s="1" t="s">
        <v>120</v>
      </c>
      <c r="L4022" s="1" t="s">
        <v>23</v>
      </c>
      <c r="M4022">
        <v>0.45600000000000002</v>
      </c>
      <c r="N4022">
        <v>9568</v>
      </c>
      <c r="O4022">
        <v>9.5679999999999996</v>
      </c>
      <c r="P4022" s="2">
        <v>43466</v>
      </c>
      <c r="Q4022">
        <v>1</v>
      </c>
      <c r="R4022" s="1" t="s">
        <v>122</v>
      </c>
    </row>
    <row r="4023" spans="1:18" x14ac:dyDescent="0.25">
      <c r="A4023">
        <v>2019</v>
      </c>
      <c r="B4023">
        <v>2</v>
      </c>
      <c r="C4023" s="1" t="s">
        <v>25</v>
      </c>
      <c r="D4023" s="1" t="s">
        <v>19</v>
      </c>
      <c r="E4023" s="1" t="s">
        <v>119</v>
      </c>
      <c r="F4023">
        <v>2016</v>
      </c>
      <c r="G4023">
        <v>3</v>
      </c>
      <c r="H4023" s="1" t="s">
        <v>121</v>
      </c>
      <c r="I4023">
        <v>21</v>
      </c>
      <c r="J4023">
        <v>2901</v>
      </c>
      <c r="K4023" s="1" t="s">
        <v>120</v>
      </c>
      <c r="L4023" s="1" t="s">
        <v>23</v>
      </c>
      <c r="M4023">
        <v>0.53300000000000003</v>
      </c>
      <c r="N4023">
        <v>11188</v>
      </c>
      <c r="O4023">
        <v>11.188000000000001</v>
      </c>
      <c r="P4023" s="2">
        <v>43497</v>
      </c>
      <c r="Q4023">
        <v>1</v>
      </c>
      <c r="R4023" s="1" t="s">
        <v>122</v>
      </c>
    </row>
    <row r="4024" spans="1:18" x14ac:dyDescent="0.25">
      <c r="A4024">
        <v>2019</v>
      </c>
      <c r="B4024">
        <v>3</v>
      </c>
      <c r="C4024" s="1" t="s">
        <v>26</v>
      </c>
      <c r="D4024" s="1" t="s">
        <v>19</v>
      </c>
      <c r="E4024" s="1" t="s">
        <v>119</v>
      </c>
      <c r="F4024">
        <v>2016</v>
      </c>
      <c r="G4024">
        <v>3</v>
      </c>
      <c r="H4024" s="1" t="s">
        <v>121</v>
      </c>
      <c r="I4024">
        <v>21</v>
      </c>
      <c r="J4024">
        <v>2901</v>
      </c>
      <c r="K4024" s="1" t="s">
        <v>120</v>
      </c>
      <c r="L4024" s="1" t="s">
        <v>23</v>
      </c>
      <c r="M4024">
        <v>0.62</v>
      </c>
      <c r="N4024">
        <v>13015.4</v>
      </c>
      <c r="O4024">
        <v>13.015000000000001</v>
      </c>
      <c r="P4024" s="2">
        <v>43525</v>
      </c>
      <c r="Q4024">
        <v>1</v>
      </c>
      <c r="R4024" s="1" t="s">
        <v>122</v>
      </c>
    </row>
    <row r="4025" spans="1:18" x14ac:dyDescent="0.25">
      <c r="A4025">
        <v>2019</v>
      </c>
      <c r="B4025">
        <v>4</v>
      </c>
      <c r="C4025" s="1" t="s">
        <v>27</v>
      </c>
      <c r="D4025" s="1" t="s">
        <v>19</v>
      </c>
      <c r="E4025" s="1" t="s">
        <v>119</v>
      </c>
      <c r="F4025">
        <v>2016</v>
      </c>
      <c r="G4025">
        <v>3</v>
      </c>
      <c r="H4025" s="1" t="s">
        <v>121</v>
      </c>
      <c r="I4025">
        <v>21</v>
      </c>
      <c r="J4025">
        <v>2901</v>
      </c>
      <c r="K4025" s="1" t="s">
        <v>120</v>
      </c>
      <c r="L4025" s="1" t="s">
        <v>23</v>
      </c>
      <c r="M4025">
        <v>0.69599999999999995</v>
      </c>
      <c r="N4025">
        <v>14619.4</v>
      </c>
      <c r="O4025">
        <v>14.619</v>
      </c>
      <c r="P4025" s="2">
        <v>43556</v>
      </c>
      <c r="Q4025">
        <v>1</v>
      </c>
      <c r="R4025" s="1" t="s">
        <v>122</v>
      </c>
    </row>
    <row r="4026" spans="1:18" x14ac:dyDescent="0.25">
      <c r="A4026">
        <v>2019</v>
      </c>
      <c r="B4026">
        <v>5</v>
      </c>
      <c r="C4026" s="1" t="s">
        <v>28</v>
      </c>
      <c r="D4026" s="1" t="s">
        <v>19</v>
      </c>
      <c r="E4026" s="1" t="s">
        <v>119</v>
      </c>
      <c r="F4026">
        <v>2016</v>
      </c>
      <c r="G4026">
        <v>3</v>
      </c>
      <c r="H4026" s="1" t="s">
        <v>121</v>
      </c>
      <c r="I4026">
        <v>21</v>
      </c>
      <c r="J4026">
        <v>2901</v>
      </c>
      <c r="K4026" s="1" t="s">
        <v>120</v>
      </c>
      <c r="L4026" s="1" t="s">
        <v>23</v>
      </c>
      <c r="M4026">
        <v>0.71199999999999997</v>
      </c>
      <c r="N4026">
        <v>14954.5</v>
      </c>
      <c r="O4026">
        <v>14.955</v>
      </c>
      <c r="P4026" s="2">
        <v>43586</v>
      </c>
      <c r="Q4026">
        <v>1</v>
      </c>
      <c r="R4026" s="1" t="s">
        <v>122</v>
      </c>
    </row>
    <row r="4027" spans="1:18" x14ac:dyDescent="0.25">
      <c r="A4027">
        <v>2019</v>
      </c>
      <c r="B4027">
        <v>6</v>
      </c>
      <c r="C4027" s="1" t="s">
        <v>29</v>
      </c>
      <c r="D4027" s="1" t="s">
        <v>19</v>
      </c>
      <c r="E4027" s="1" t="s">
        <v>119</v>
      </c>
      <c r="F4027">
        <v>2016</v>
      </c>
      <c r="G4027">
        <v>3</v>
      </c>
      <c r="H4027" s="1" t="s">
        <v>121</v>
      </c>
      <c r="I4027">
        <v>21</v>
      </c>
      <c r="J4027">
        <v>2901</v>
      </c>
      <c r="K4027" s="1" t="s">
        <v>120</v>
      </c>
      <c r="L4027" s="1" t="s">
        <v>23</v>
      </c>
      <c r="M4027">
        <v>0.67600000000000005</v>
      </c>
      <c r="N4027">
        <v>14196.4</v>
      </c>
      <c r="O4027">
        <v>14.196</v>
      </c>
      <c r="P4027" s="2">
        <v>43617</v>
      </c>
      <c r="Q4027">
        <v>1</v>
      </c>
      <c r="R4027" s="1" t="s">
        <v>122</v>
      </c>
    </row>
    <row r="4028" spans="1:18" x14ac:dyDescent="0.25">
      <c r="A4028">
        <v>2019</v>
      </c>
      <c r="B4028">
        <v>7</v>
      </c>
      <c r="C4028" s="1" t="s">
        <v>30</v>
      </c>
      <c r="D4028" s="1" t="s">
        <v>19</v>
      </c>
      <c r="E4028" s="1" t="s">
        <v>119</v>
      </c>
      <c r="F4028">
        <v>2016</v>
      </c>
      <c r="G4028">
        <v>3</v>
      </c>
      <c r="H4028" s="1" t="s">
        <v>121</v>
      </c>
      <c r="I4028">
        <v>21</v>
      </c>
      <c r="J4028">
        <v>2901</v>
      </c>
      <c r="K4028" s="1" t="s">
        <v>120</v>
      </c>
      <c r="L4028" s="1" t="s">
        <v>23</v>
      </c>
      <c r="M4028">
        <v>0.60799999999999998</v>
      </c>
      <c r="N4028">
        <v>12768</v>
      </c>
      <c r="O4028">
        <v>12.768000000000001</v>
      </c>
      <c r="P4028" s="2">
        <v>43647</v>
      </c>
      <c r="Q4028">
        <v>1</v>
      </c>
      <c r="R4028" s="1" t="s">
        <v>122</v>
      </c>
    </row>
    <row r="4029" spans="1:18" x14ac:dyDescent="0.25">
      <c r="A4029">
        <v>2019</v>
      </c>
      <c r="B4029">
        <v>8</v>
      </c>
      <c r="C4029" s="1" t="s">
        <v>31</v>
      </c>
      <c r="D4029" s="1" t="s">
        <v>19</v>
      </c>
      <c r="E4029" s="1" t="s">
        <v>119</v>
      </c>
      <c r="F4029">
        <v>2016</v>
      </c>
      <c r="G4029">
        <v>3</v>
      </c>
      <c r="H4029" s="1" t="s">
        <v>121</v>
      </c>
      <c r="I4029">
        <v>21</v>
      </c>
      <c r="J4029">
        <v>2901</v>
      </c>
      <c r="K4029" s="1" t="s">
        <v>120</v>
      </c>
      <c r="L4029" s="1" t="s">
        <v>23</v>
      </c>
      <c r="M4029">
        <v>0.70699999999999996</v>
      </c>
      <c r="N4029">
        <v>14842.8</v>
      </c>
      <c r="O4029">
        <v>14.843</v>
      </c>
      <c r="P4029" s="2">
        <v>43678</v>
      </c>
      <c r="Q4029">
        <v>1</v>
      </c>
      <c r="R4029" s="1" t="s">
        <v>122</v>
      </c>
    </row>
    <row r="4030" spans="1:18" x14ac:dyDescent="0.25">
      <c r="A4030">
        <v>2019</v>
      </c>
      <c r="B4030">
        <v>9</v>
      </c>
      <c r="C4030" s="1" t="s">
        <v>32</v>
      </c>
      <c r="D4030" s="1" t="s">
        <v>19</v>
      </c>
      <c r="E4030" s="1" t="s">
        <v>119</v>
      </c>
      <c r="F4030">
        <v>2016</v>
      </c>
      <c r="G4030">
        <v>3</v>
      </c>
      <c r="H4030" s="1" t="s">
        <v>121</v>
      </c>
      <c r="I4030">
        <v>21</v>
      </c>
      <c r="J4030">
        <v>2901</v>
      </c>
      <c r="K4030" s="1" t="s">
        <v>120</v>
      </c>
      <c r="L4030" s="1" t="s">
        <v>23</v>
      </c>
      <c r="M4030">
        <v>0.502</v>
      </c>
      <c r="N4030">
        <v>10549.6</v>
      </c>
      <c r="O4030">
        <v>10.55</v>
      </c>
      <c r="P4030" s="2">
        <v>43709</v>
      </c>
      <c r="Q4030">
        <v>1</v>
      </c>
      <c r="R4030" s="1" t="s">
        <v>122</v>
      </c>
    </row>
    <row r="4031" spans="1:18" x14ac:dyDescent="0.25">
      <c r="A4031">
        <v>2019</v>
      </c>
      <c r="B4031">
        <v>10</v>
      </c>
      <c r="C4031" s="1" t="s">
        <v>33</v>
      </c>
      <c r="D4031" s="1" t="s">
        <v>19</v>
      </c>
      <c r="E4031" s="1" t="s">
        <v>119</v>
      </c>
      <c r="F4031">
        <v>2016</v>
      </c>
      <c r="G4031">
        <v>3</v>
      </c>
      <c r="H4031" s="1" t="s">
        <v>121</v>
      </c>
      <c r="I4031">
        <v>21</v>
      </c>
      <c r="J4031">
        <v>2901</v>
      </c>
      <c r="K4031" s="1" t="s">
        <v>120</v>
      </c>
      <c r="L4031" s="1" t="s">
        <v>23</v>
      </c>
      <c r="M4031">
        <v>0.65900000000000003</v>
      </c>
      <c r="N4031">
        <v>13845.3</v>
      </c>
      <c r="O4031">
        <v>13.845000000000001</v>
      </c>
      <c r="P4031" s="2">
        <v>43739</v>
      </c>
      <c r="Q4031">
        <v>1</v>
      </c>
      <c r="R4031" s="1" t="s">
        <v>122</v>
      </c>
    </row>
    <row r="4032" spans="1:18" x14ac:dyDescent="0.25">
      <c r="A4032">
        <v>2019</v>
      </c>
      <c r="B4032">
        <v>11</v>
      </c>
      <c r="C4032" s="1" t="s">
        <v>34</v>
      </c>
      <c r="D4032" s="1" t="s">
        <v>19</v>
      </c>
      <c r="E4032" s="1" t="s">
        <v>119</v>
      </c>
      <c r="F4032">
        <v>2016</v>
      </c>
      <c r="G4032">
        <v>3</v>
      </c>
      <c r="H4032" s="1" t="s">
        <v>121</v>
      </c>
      <c r="I4032">
        <v>21</v>
      </c>
      <c r="J4032">
        <v>2901</v>
      </c>
      <c r="K4032" s="1" t="s">
        <v>120</v>
      </c>
      <c r="L4032" s="1" t="s">
        <v>23</v>
      </c>
      <c r="M4032">
        <v>0.48</v>
      </c>
      <c r="N4032">
        <v>10078.700000000001</v>
      </c>
      <c r="O4032">
        <v>10.079000000000001</v>
      </c>
      <c r="P4032" s="2">
        <v>43770</v>
      </c>
      <c r="Q4032">
        <v>1</v>
      </c>
      <c r="R4032" s="1" t="s">
        <v>122</v>
      </c>
    </row>
    <row r="4033" spans="1:18" x14ac:dyDescent="0.25">
      <c r="A4033">
        <v>2019</v>
      </c>
      <c r="B4033">
        <v>12</v>
      </c>
      <c r="C4033" s="1" t="s">
        <v>35</v>
      </c>
      <c r="D4033" s="1" t="s">
        <v>19</v>
      </c>
      <c r="E4033" s="1" t="s">
        <v>119</v>
      </c>
      <c r="F4033">
        <v>2016</v>
      </c>
      <c r="G4033">
        <v>3</v>
      </c>
      <c r="H4033" s="1" t="s">
        <v>121</v>
      </c>
      <c r="I4033">
        <v>21</v>
      </c>
      <c r="J4033">
        <v>2901</v>
      </c>
      <c r="K4033" s="1" t="s">
        <v>120</v>
      </c>
      <c r="L4033" s="1" t="s">
        <v>23</v>
      </c>
      <c r="M4033">
        <v>0.36099999999999999</v>
      </c>
      <c r="N4033">
        <v>7581</v>
      </c>
      <c r="O4033">
        <v>7.5810000000000004</v>
      </c>
      <c r="P4033" s="2">
        <v>43800</v>
      </c>
      <c r="Q4033">
        <v>1</v>
      </c>
      <c r="R4033" s="1" t="s">
        <v>122</v>
      </c>
    </row>
    <row r="4034" spans="1:18" x14ac:dyDescent="0.25">
      <c r="A4034">
        <v>2020</v>
      </c>
      <c r="B4034">
        <v>1</v>
      </c>
      <c r="C4034" s="1" t="s">
        <v>18</v>
      </c>
      <c r="D4034" s="1" t="s">
        <v>19</v>
      </c>
      <c r="E4034" s="1" t="s">
        <v>20</v>
      </c>
      <c r="F4034">
        <v>2000</v>
      </c>
      <c r="G4034">
        <v>20</v>
      </c>
      <c r="H4034" s="1" t="s">
        <v>124</v>
      </c>
      <c r="I4034">
        <v>19</v>
      </c>
      <c r="J4034">
        <v>1490</v>
      </c>
      <c r="K4034" s="1" t="s">
        <v>22</v>
      </c>
      <c r="L4034" s="1" t="s">
        <v>23</v>
      </c>
      <c r="M4034">
        <v>0.5</v>
      </c>
      <c r="N4034">
        <v>9504.1</v>
      </c>
      <c r="O4034">
        <v>9.5039999999999996</v>
      </c>
      <c r="P4034" s="2">
        <v>43831</v>
      </c>
      <c r="Q4034">
        <v>1</v>
      </c>
      <c r="R4034" s="1" t="s">
        <v>125</v>
      </c>
    </row>
    <row r="4035" spans="1:18" x14ac:dyDescent="0.25">
      <c r="A4035">
        <v>2020</v>
      </c>
      <c r="B4035">
        <v>2</v>
      </c>
      <c r="C4035" s="1" t="s">
        <v>25</v>
      </c>
      <c r="D4035" s="1" t="s">
        <v>19</v>
      </c>
      <c r="E4035" s="1" t="s">
        <v>20</v>
      </c>
      <c r="F4035">
        <v>2000</v>
      </c>
      <c r="G4035">
        <v>20</v>
      </c>
      <c r="H4035" s="1" t="s">
        <v>124</v>
      </c>
      <c r="I4035">
        <v>19</v>
      </c>
      <c r="J4035">
        <v>1490</v>
      </c>
      <c r="K4035" s="1" t="s">
        <v>22</v>
      </c>
      <c r="L4035" s="1" t="s">
        <v>23</v>
      </c>
      <c r="M4035">
        <v>0.50700000000000001</v>
      </c>
      <c r="N4035">
        <v>9625.4</v>
      </c>
      <c r="O4035">
        <v>9.625</v>
      </c>
      <c r="P4035" s="2">
        <v>43862</v>
      </c>
      <c r="Q4035">
        <v>1</v>
      </c>
      <c r="R4035" s="1" t="s">
        <v>125</v>
      </c>
    </row>
    <row r="4036" spans="1:18" x14ac:dyDescent="0.25">
      <c r="A4036">
        <v>2020</v>
      </c>
      <c r="B4036">
        <v>3</v>
      </c>
      <c r="C4036" s="1" t="s">
        <v>26</v>
      </c>
      <c r="D4036" s="1" t="s">
        <v>19</v>
      </c>
      <c r="E4036" s="1" t="s">
        <v>20</v>
      </c>
      <c r="F4036">
        <v>2000</v>
      </c>
      <c r="G4036">
        <v>20</v>
      </c>
      <c r="H4036" s="1" t="s">
        <v>124</v>
      </c>
      <c r="I4036">
        <v>19</v>
      </c>
      <c r="J4036">
        <v>1490</v>
      </c>
      <c r="K4036" s="1" t="s">
        <v>22</v>
      </c>
      <c r="L4036" s="1" t="s">
        <v>23</v>
      </c>
      <c r="M4036">
        <v>0.58499999999999996</v>
      </c>
      <c r="N4036">
        <v>11121.8</v>
      </c>
      <c r="O4036">
        <v>11.122</v>
      </c>
      <c r="P4036" s="2">
        <v>43891</v>
      </c>
      <c r="Q4036">
        <v>1</v>
      </c>
      <c r="R4036" s="1" t="s">
        <v>125</v>
      </c>
    </row>
    <row r="4037" spans="1:18" x14ac:dyDescent="0.25">
      <c r="A4037">
        <v>2020</v>
      </c>
      <c r="B4037">
        <v>4</v>
      </c>
      <c r="C4037" s="1" t="s">
        <v>27</v>
      </c>
      <c r="D4037" s="1" t="s">
        <v>19</v>
      </c>
      <c r="E4037" s="1" t="s">
        <v>20</v>
      </c>
      <c r="F4037">
        <v>2000</v>
      </c>
      <c r="G4037">
        <v>20</v>
      </c>
      <c r="H4037" s="1" t="s">
        <v>124</v>
      </c>
      <c r="I4037">
        <v>19</v>
      </c>
      <c r="J4037">
        <v>1490</v>
      </c>
      <c r="K4037" s="1" t="s">
        <v>22</v>
      </c>
      <c r="L4037" s="1" t="s">
        <v>23</v>
      </c>
      <c r="M4037">
        <v>1.0269999999999999</v>
      </c>
      <c r="N4037">
        <v>19503.599999999999</v>
      </c>
      <c r="O4037">
        <v>19.504000000000001</v>
      </c>
      <c r="P4037" s="2">
        <v>43922</v>
      </c>
      <c r="Q4037">
        <v>1</v>
      </c>
      <c r="R4037" s="1" t="s">
        <v>125</v>
      </c>
    </row>
    <row r="4038" spans="1:18" x14ac:dyDescent="0.25">
      <c r="A4038">
        <v>2020</v>
      </c>
      <c r="B4038">
        <v>5</v>
      </c>
      <c r="C4038" s="1" t="s">
        <v>28</v>
      </c>
      <c r="D4038" s="1" t="s">
        <v>19</v>
      </c>
      <c r="E4038" s="1" t="s">
        <v>20</v>
      </c>
      <c r="F4038">
        <v>2000</v>
      </c>
      <c r="G4038">
        <v>20</v>
      </c>
      <c r="H4038" s="1" t="s">
        <v>124</v>
      </c>
      <c r="I4038">
        <v>19</v>
      </c>
      <c r="J4038">
        <v>1490</v>
      </c>
      <c r="K4038" s="1" t="s">
        <v>22</v>
      </c>
      <c r="L4038" s="1" t="s">
        <v>23</v>
      </c>
      <c r="M4038">
        <v>1.149</v>
      </c>
      <c r="N4038">
        <v>21829</v>
      </c>
      <c r="O4038">
        <v>21.829000000000001</v>
      </c>
      <c r="P4038" s="2">
        <v>43952</v>
      </c>
      <c r="Q4038">
        <v>1</v>
      </c>
      <c r="R4038" s="1" t="s">
        <v>125</v>
      </c>
    </row>
    <row r="4039" spans="1:18" x14ac:dyDescent="0.25">
      <c r="A4039">
        <v>2020</v>
      </c>
      <c r="B4039">
        <v>6</v>
      </c>
      <c r="C4039" s="1" t="s">
        <v>29</v>
      </c>
      <c r="D4039" s="1" t="s">
        <v>19</v>
      </c>
      <c r="E4039" s="1" t="s">
        <v>20</v>
      </c>
      <c r="F4039">
        <v>2000</v>
      </c>
      <c r="G4039">
        <v>20</v>
      </c>
      <c r="H4039" s="1" t="s">
        <v>124</v>
      </c>
      <c r="I4039">
        <v>19</v>
      </c>
      <c r="J4039">
        <v>1490</v>
      </c>
      <c r="K4039" s="1" t="s">
        <v>22</v>
      </c>
      <c r="L4039" s="1" t="s">
        <v>23</v>
      </c>
      <c r="M4039">
        <v>1.1970000000000001</v>
      </c>
      <c r="N4039">
        <v>22739</v>
      </c>
      <c r="O4039">
        <v>22.739000000000001</v>
      </c>
      <c r="P4039" s="2">
        <v>43983</v>
      </c>
      <c r="Q4039">
        <v>1</v>
      </c>
      <c r="R4039" s="1" t="s">
        <v>125</v>
      </c>
    </row>
    <row r="4040" spans="1:18" x14ac:dyDescent="0.25">
      <c r="A4040">
        <v>2020</v>
      </c>
      <c r="B4040">
        <v>7</v>
      </c>
      <c r="C4040" s="1" t="s">
        <v>30</v>
      </c>
      <c r="D4040" s="1" t="s">
        <v>19</v>
      </c>
      <c r="E4040" s="1" t="s">
        <v>20</v>
      </c>
      <c r="F4040">
        <v>2000</v>
      </c>
      <c r="G4040">
        <v>20</v>
      </c>
      <c r="H4040" s="1" t="s">
        <v>124</v>
      </c>
      <c r="I4040">
        <v>19</v>
      </c>
      <c r="J4040">
        <v>1490</v>
      </c>
      <c r="K4040" s="1" t="s">
        <v>22</v>
      </c>
      <c r="L4040" s="1" t="s">
        <v>23</v>
      </c>
      <c r="M4040">
        <v>1.2230000000000001</v>
      </c>
      <c r="N4040">
        <v>23234.400000000001</v>
      </c>
      <c r="O4040">
        <v>23.234000000000002</v>
      </c>
      <c r="P4040" s="2">
        <v>44013</v>
      </c>
      <c r="Q4040">
        <v>1</v>
      </c>
      <c r="R4040" s="1" t="s">
        <v>125</v>
      </c>
    </row>
    <row r="4041" spans="1:18" x14ac:dyDescent="0.25">
      <c r="A4041">
        <v>2020</v>
      </c>
      <c r="B4041">
        <v>8</v>
      </c>
      <c r="C4041" s="1" t="s">
        <v>31</v>
      </c>
      <c r="D4041" s="1" t="s">
        <v>19</v>
      </c>
      <c r="E4041" s="1" t="s">
        <v>20</v>
      </c>
      <c r="F4041">
        <v>2000</v>
      </c>
      <c r="G4041">
        <v>20</v>
      </c>
      <c r="H4041" s="1" t="s">
        <v>124</v>
      </c>
      <c r="I4041">
        <v>19</v>
      </c>
      <c r="J4041">
        <v>1490</v>
      </c>
      <c r="K4041" s="1" t="s">
        <v>22</v>
      </c>
      <c r="L4041" s="1" t="s">
        <v>23</v>
      </c>
      <c r="M4041">
        <v>1.169</v>
      </c>
      <c r="N4041">
        <v>22203.1</v>
      </c>
      <c r="O4041">
        <v>22.202999999999999</v>
      </c>
      <c r="P4041" s="2">
        <v>44044</v>
      </c>
      <c r="Q4041">
        <v>1</v>
      </c>
      <c r="R4041" s="1" t="s">
        <v>125</v>
      </c>
    </row>
    <row r="4042" spans="1:18" x14ac:dyDescent="0.25">
      <c r="A4042">
        <v>2020</v>
      </c>
      <c r="B4042">
        <v>9</v>
      </c>
      <c r="C4042" s="1" t="s">
        <v>32</v>
      </c>
      <c r="D4042" s="1" t="s">
        <v>19</v>
      </c>
      <c r="E4042" s="1" t="s">
        <v>20</v>
      </c>
      <c r="F4042">
        <v>2000</v>
      </c>
      <c r="G4042">
        <v>20</v>
      </c>
      <c r="H4042" s="1" t="s">
        <v>124</v>
      </c>
      <c r="I4042">
        <v>19</v>
      </c>
      <c r="J4042">
        <v>1490</v>
      </c>
      <c r="K4042" s="1" t="s">
        <v>22</v>
      </c>
      <c r="L4042" s="1" t="s">
        <v>23</v>
      </c>
      <c r="M4042">
        <v>1.23</v>
      </c>
      <c r="N4042">
        <v>23376</v>
      </c>
      <c r="O4042">
        <v>23.376000000000001</v>
      </c>
      <c r="P4042" s="2">
        <v>44075</v>
      </c>
      <c r="Q4042">
        <v>1</v>
      </c>
      <c r="R4042" s="1" t="s">
        <v>125</v>
      </c>
    </row>
    <row r="4043" spans="1:18" x14ac:dyDescent="0.25">
      <c r="A4043">
        <v>2020</v>
      </c>
      <c r="B4043">
        <v>10</v>
      </c>
      <c r="C4043" s="1" t="s">
        <v>33</v>
      </c>
      <c r="D4043" s="1" t="s">
        <v>19</v>
      </c>
      <c r="E4043" s="1" t="s">
        <v>20</v>
      </c>
      <c r="F4043">
        <v>2000</v>
      </c>
      <c r="G4043">
        <v>20</v>
      </c>
      <c r="H4043" s="1" t="s">
        <v>124</v>
      </c>
      <c r="I4043">
        <v>19</v>
      </c>
      <c r="J4043">
        <v>1490</v>
      </c>
      <c r="K4043" s="1" t="s">
        <v>22</v>
      </c>
      <c r="L4043" s="1" t="s">
        <v>23</v>
      </c>
      <c r="M4043">
        <v>1.139</v>
      </c>
      <c r="N4043">
        <v>21647</v>
      </c>
      <c r="O4043">
        <v>21.646999999999998</v>
      </c>
      <c r="P4043" s="2">
        <v>44105</v>
      </c>
      <c r="Q4043">
        <v>1</v>
      </c>
      <c r="R4043" s="1" t="s">
        <v>125</v>
      </c>
    </row>
    <row r="4044" spans="1:18" x14ac:dyDescent="0.25">
      <c r="A4044">
        <v>2020</v>
      </c>
      <c r="B4044">
        <v>11</v>
      </c>
      <c r="C4044" s="1" t="s">
        <v>34</v>
      </c>
      <c r="D4044" s="1" t="s">
        <v>19</v>
      </c>
      <c r="E4044" s="1" t="s">
        <v>20</v>
      </c>
      <c r="F4044">
        <v>2000</v>
      </c>
      <c r="G4044">
        <v>20</v>
      </c>
      <c r="H4044" s="1" t="s">
        <v>124</v>
      </c>
      <c r="I4044">
        <v>19</v>
      </c>
      <c r="J4044">
        <v>1490</v>
      </c>
      <c r="K4044" s="1" t="s">
        <v>22</v>
      </c>
      <c r="L4044" s="1" t="s">
        <v>23</v>
      </c>
      <c r="M4044">
        <v>0.97</v>
      </c>
      <c r="N4044">
        <v>18421.7</v>
      </c>
      <c r="O4044">
        <v>18.422000000000001</v>
      </c>
      <c r="P4044" s="2">
        <v>44136</v>
      </c>
      <c r="Q4044">
        <v>1</v>
      </c>
      <c r="R4044" s="1" t="s">
        <v>125</v>
      </c>
    </row>
    <row r="4045" spans="1:18" x14ac:dyDescent="0.25">
      <c r="A4045">
        <v>2020</v>
      </c>
      <c r="B4045">
        <v>12</v>
      </c>
      <c r="C4045" s="1" t="s">
        <v>35</v>
      </c>
      <c r="D4045" s="1" t="s">
        <v>19</v>
      </c>
      <c r="E4045" s="1" t="s">
        <v>20</v>
      </c>
      <c r="F4045">
        <v>2000</v>
      </c>
      <c r="G4045">
        <v>20</v>
      </c>
      <c r="H4045" s="1" t="s">
        <v>124</v>
      </c>
      <c r="I4045">
        <v>19</v>
      </c>
      <c r="J4045">
        <v>1490</v>
      </c>
      <c r="K4045" s="1" t="s">
        <v>22</v>
      </c>
      <c r="L4045" s="1" t="s">
        <v>23</v>
      </c>
      <c r="M4045">
        <v>0.87</v>
      </c>
      <c r="N4045">
        <v>16520.900000000001</v>
      </c>
      <c r="O4045">
        <v>16.521000000000001</v>
      </c>
      <c r="P4045" s="2">
        <v>44166</v>
      </c>
      <c r="Q4045">
        <v>1</v>
      </c>
      <c r="R4045" s="1" t="s">
        <v>125</v>
      </c>
    </row>
    <row r="4046" spans="1:18" x14ac:dyDescent="0.25">
      <c r="A4046">
        <v>2020</v>
      </c>
      <c r="B4046">
        <v>1</v>
      </c>
      <c r="C4046" s="1" t="s">
        <v>18</v>
      </c>
      <c r="D4046" s="1" t="s">
        <v>19</v>
      </c>
      <c r="E4046" s="1" t="s">
        <v>36</v>
      </c>
      <c r="F4046">
        <v>2000</v>
      </c>
      <c r="G4046">
        <v>20</v>
      </c>
      <c r="H4046" s="1" t="s">
        <v>124</v>
      </c>
      <c r="I4046">
        <v>24</v>
      </c>
      <c r="J4046">
        <v>1675</v>
      </c>
      <c r="K4046" s="1" t="s">
        <v>37</v>
      </c>
      <c r="L4046" s="1" t="s">
        <v>23</v>
      </c>
      <c r="M4046">
        <v>0.44500000000000001</v>
      </c>
      <c r="N4046">
        <v>10684.1</v>
      </c>
      <c r="O4046">
        <v>10.683999999999999</v>
      </c>
      <c r="P4046" s="2">
        <v>43831</v>
      </c>
      <c r="Q4046">
        <v>1</v>
      </c>
      <c r="R4046" s="1" t="s">
        <v>125</v>
      </c>
    </row>
    <row r="4047" spans="1:18" x14ac:dyDescent="0.25">
      <c r="A4047">
        <v>2020</v>
      </c>
      <c r="B4047">
        <v>2</v>
      </c>
      <c r="C4047" s="1" t="s">
        <v>25</v>
      </c>
      <c r="D4047" s="1" t="s">
        <v>19</v>
      </c>
      <c r="E4047" s="1" t="s">
        <v>36</v>
      </c>
      <c r="F4047">
        <v>2000</v>
      </c>
      <c r="G4047">
        <v>20</v>
      </c>
      <c r="H4047" s="1" t="s">
        <v>124</v>
      </c>
      <c r="I4047">
        <v>24</v>
      </c>
      <c r="J4047">
        <v>1675</v>
      </c>
      <c r="K4047" s="1" t="s">
        <v>37</v>
      </c>
      <c r="L4047" s="1" t="s">
        <v>23</v>
      </c>
      <c r="M4047">
        <v>0.45100000000000001</v>
      </c>
      <c r="N4047">
        <v>10820.5</v>
      </c>
      <c r="O4047">
        <v>10.82</v>
      </c>
      <c r="P4047" s="2">
        <v>43862</v>
      </c>
      <c r="Q4047">
        <v>1</v>
      </c>
      <c r="R4047" s="1" t="s">
        <v>125</v>
      </c>
    </row>
    <row r="4048" spans="1:18" x14ac:dyDescent="0.25">
      <c r="A4048">
        <v>2020</v>
      </c>
      <c r="B4048">
        <v>3</v>
      </c>
      <c r="C4048" s="1" t="s">
        <v>26</v>
      </c>
      <c r="D4048" s="1" t="s">
        <v>19</v>
      </c>
      <c r="E4048" s="1" t="s">
        <v>36</v>
      </c>
      <c r="F4048">
        <v>2000</v>
      </c>
      <c r="G4048">
        <v>20</v>
      </c>
      <c r="H4048" s="1" t="s">
        <v>124</v>
      </c>
      <c r="I4048">
        <v>24</v>
      </c>
      <c r="J4048">
        <v>1675</v>
      </c>
      <c r="K4048" s="1" t="s">
        <v>37</v>
      </c>
      <c r="L4048" s="1" t="s">
        <v>23</v>
      </c>
      <c r="M4048">
        <v>0.52100000000000002</v>
      </c>
      <c r="N4048">
        <v>12502.7</v>
      </c>
      <c r="O4048">
        <v>12.503</v>
      </c>
      <c r="P4048" s="2">
        <v>43891</v>
      </c>
      <c r="Q4048">
        <v>1</v>
      </c>
      <c r="R4048" s="1" t="s">
        <v>125</v>
      </c>
    </row>
    <row r="4049" spans="1:18" x14ac:dyDescent="0.25">
      <c r="A4049">
        <v>2020</v>
      </c>
      <c r="B4049">
        <v>4</v>
      </c>
      <c r="C4049" s="1" t="s">
        <v>27</v>
      </c>
      <c r="D4049" s="1" t="s">
        <v>19</v>
      </c>
      <c r="E4049" s="1" t="s">
        <v>36</v>
      </c>
      <c r="F4049">
        <v>2000</v>
      </c>
      <c r="G4049">
        <v>20</v>
      </c>
      <c r="H4049" s="1" t="s">
        <v>124</v>
      </c>
      <c r="I4049">
        <v>24</v>
      </c>
      <c r="J4049">
        <v>1675</v>
      </c>
      <c r="K4049" s="1" t="s">
        <v>37</v>
      </c>
      <c r="L4049" s="1" t="s">
        <v>23</v>
      </c>
      <c r="M4049">
        <v>0.91400000000000003</v>
      </c>
      <c r="N4049">
        <v>21925.200000000001</v>
      </c>
      <c r="O4049">
        <v>21.925000000000001</v>
      </c>
      <c r="P4049" s="2">
        <v>43922</v>
      </c>
      <c r="Q4049">
        <v>1</v>
      </c>
      <c r="R4049" s="1" t="s">
        <v>125</v>
      </c>
    </row>
    <row r="4050" spans="1:18" x14ac:dyDescent="0.25">
      <c r="A4050">
        <v>2020</v>
      </c>
      <c r="B4050">
        <v>5</v>
      </c>
      <c r="C4050" s="1" t="s">
        <v>28</v>
      </c>
      <c r="D4050" s="1" t="s">
        <v>19</v>
      </c>
      <c r="E4050" s="1" t="s">
        <v>36</v>
      </c>
      <c r="F4050">
        <v>2000</v>
      </c>
      <c r="G4050">
        <v>20</v>
      </c>
      <c r="H4050" s="1" t="s">
        <v>124</v>
      </c>
      <c r="I4050">
        <v>24</v>
      </c>
      <c r="J4050">
        <v>1675</v>
      </c>
      <c r="K4050" s="1" t="s">
        <v>37</v>
      </c>
      <c r="L4050" s="1" t="s">
        <v>23</v>
      </c>
      <c r="M4050">
        <v>1.022</v>
      </c>
      <c r="N4050">
        <v>24539.3</v>
      </c>
      <c r="O4050">
        <v>24.539000000000001</v>
      </c>
      <c r="P4050" s="2">
        <v>43952</v>
      </c>
      <c r="Q4050">
        <v>1</v>
      </c>
      <c r="R4050" s="1" t="s">
        <v>125</v>
      </c>
    </row>
    <row r="4051" spans="1:18" x14ac:dyDescent="0.25">
      <c r="A4051">
        <v>2020</v>
      </c>
      <c r="B4051">
        <v>6</v>
      </c>
      <c r="C4051" s="1" t="s">
        <v>29</v>
      </c>
      <c r="D4051" s="1" t="s">
        <v>19</v>
      </c>
      <c r="E4051" s="1" t="s">
        <v>36</v>
      </c>
      <c r="F4051">
        <v>2000</v>
      </c>
      <c r="G4051">
        <v>20</v>
      </c>
      <c r="H4051" s="1" t="s">
        <v>124</v>
      </c>
      <c r="I4051">
        <v>24</v>
      </c>
      <c r="J4051">
        <v>1675</v>
      </c>
      <c r="K4051" s="1" t="s">
        <v>37</v>
      </c>
      <c r="L4051" s="1" t="s">
        <v>23</v>
      </c>
      <c r="M4051">
        <v>1.0649999999999999</v>
      </c>
      <c r="N4051">
        <v>25562.3</v>
      </c>
      <c r="O4051">
        <v>25.562000000000001</v>
      </c>
      <c r="P4051" s="2">
        <v>43983</v>
      </c>
      <c r="Q4051">
        <v>1</v>
      </c>
      <c r="R4051" s="1" t="s">
        <v>125</v>
      </c>
    </row>
    <row r="4052" spans="1:18" x14ac:dyDescent="0.25">
      <c r="A4052">
        <v>2020</v>
      </c>
      <c r="B4052">
        <v>7</v>
      </c>
      <c r="C4052" s="1" t="s">
        <v>30</v>
      </c>
      <c r="D4052" s="1" t="s">
        <v>19</v>
      </c>
      <c r="E4052" s="1" t="s">
        <v>36</v>
      </c>
      <c r="F4052">
        <v>2000</v>
      </c>
      <c r="G4052">
        <v>20</v>
      </c>
      <c r="H4052" s="1" t="s">
        <v>124</v>
      </c>
      <c r="I4052">
        <v>24</v>
      </c>
      <c r="J4052">
        <v>1675</v>
      </c>
      <c r="K4052" s="1" t="s">
        <v>37</v>
      </c>
      <c r="L4052" s="1" t="s">
        <v>23</v>
      </c>
      <c r="M4052">
        <v>1.0880000000000001</v>
      </c>
      <c r="N4052">
        <v>26119.200000000001</v>
      </c>
      <c r="O4052">
        <v>26.119</v>
      </c>
      <c r="P4052" s="2">
        <v>44013</v>
      </c>
      <c r="Q4052">
        <v>1</v>
      </c>
      <c r="R4052" s="1" t="s">
        <v>125</v>
      </c>
    </row>
    <row r="4053" spans="1:18" x14ac:dyDescent="0.25">
      <c r="A4053">
        <v>2020</v>
      </c>
      <c r="B4053">
        <v>8</v>
      </c>
      <c r="C4053" s="1" t="s">
        <v>31</v>
      </c>
      <c r="D4053" s="1" t="s">
        <v>19</v>
      </c>
      <c r="E4053" s="1" t="s">
        <v>36</v>
      </c>
      <c r="F4053">
        <v>2000</v>
      </c>
      <c r="G4053">
        <v>20</v>
      </c>
      <c r="H4053" s="1" t="s">
        <v>124</v>
      </c>
      <c r="I4053">
        <v>24</v>
      </c>
      <c r="J4053">
        <v>1675</v>
      </c>
      <c r="K4053" s="1" t="s">
        <v>37</v>
      </c>
      <c r="L4053" s="1" t="s">
        <v>23</v>
      </c>
      <c r="M4053">
        <v>1.04</v>
      </c>
      <c r="N4053">
        <v>24959.9</v>
      </c>
      <c r="O4053">
        <v>24.96</v>
      </c>
      <c r="P4053" s="2">
        <v>44044</v>
      </c>
      <c r="Q4053">
        <v>1</v>
      </c>
      <c r="R4053" s="1" t="s">
        <v>125</v>
      </c>
    </row>
    <row r="4054" spans="1:18" x14ac:dyDescent="0.25">
      <c r="A4054">
        <v>2020</v>
      </c>
      <c r="B4054">
        <v>9</v>
      </c>
      <c r="C4054" s="1" t="s">
        <v>32</v>
      </c>
      <c r="D4054" s="1" t="s">
        <v>19</v>
      </c>
      <c r="E4054" s="1" t="s">
        <v>36</v>
      </c>
      <c r="F4054">
        <v>2000</v>
      </c>
      <c r="G4054">
        <v>20</v>
      </c>
      <c r="H4054" s="1" t="s">
        <v>124</v>
      </c>
      <c r="I4054">
        <v>24</v>
      </c>
      <c r="J4054">
        <v>1675</v>
      </c>
      <c r="K4054" s="1" t="s">
        <v>37</v>
      </c>
      <c r="L4054" s="1" t="s">
        <v>23</v>
      </c>
      <c r="M4054">
        <v>1.095</v>
      </c>
      <c r="N4054">
        <v>26278.400000000001</v>
      </c>
      <c r="O4054">
        <v>26.277999999999999</v>
      </c>
      <c r="P4054" s="2">
        <v>44075</v>
      </c>
      <c r="Q4054">
        <v>1</v>
      </c>
      <c r="R4054" s="1" t="s">
        <v>125</v>
      </c>
    </row>
    <row r="4055" spans="1:18" x14ac:dyDescent="0.25">
      <c r="A4055">
        <v>2020</v>
      </c>
      <c r="B4055">
        <v>10</v>
      </c>
      <c r="C4055" s="1" t="s">
        <v>33</v>
      </c>
      <c r="D4055" s="1" t="s">
        <v>19</v>
      </c>
      <c r="E4055" s="1" t="s">
        <v>36</v>
      </c>
      <c r="F4055">
        <v>2000</v>
      </c>
      <c r="G4055">
        <v>20</v>
      </c>
      <c r="H4055" s="1" t="s">
        <v>124</v>
      </c>
      <c r="I4055">
        <v>24</v>
      </c>
      <c r="J4055">
        <v>1675</v>
      </c>
      <c r="K4055" s="1" t="s">
        <v>37</v>
      </c>
      <c r="L4055" s="1" t="s">
        <v>23</v>
      </c>
      <c r="M4055">
        <v>1.014</v>
      </c>
      <c r="N4055">
        <v>24334.799999999999</v>
      </c>
      <c r="O4055">
        <v>24.335000000000001</v>
      </c>
      <c r="P4055" s="2">
        <v>44105</v>
      </c>
      <c r="Q4055">
        <v>1</v>
      </c>
      <c r="R4055" s="1" t="s">
        <v>125</v>
      </c>
    </row>
    <row r="4056" spans="1:18" x14ac:dyDescent="0.25">
      <c r="A4056">
        <v>2020</v>
      </c>
      <c r="B4056">
        <v>11</v>
      </c>
      <c r="C4056" s="1" t="s">
        <v>34</v>
      </c>
      <c r="D4056" s="1" t="s">
        <v>19</v>
      </c>
      <c r="E4056" s="1" t="s">
        <v>36</v>
      </c>
      <c r="F4056">
        <v>2000</v>
      </c>
      <c r="G4056">
        <v>20</v>
      </c>
      <c r="H4056" s="1" t="s">
        <v>124</v>
      </c>
      <c r="I4056">
        <v>24</v>
      </c>
      <c r="J4056">
        <v>1675</v>
      </c>
      <c r="K4056" s="1" t="s">
        <v>37</v>
      </c>
      <c r="L4056" s="1" t="s">
        <v>23</v>
      </c>
      <c r="M4056">
        <v>0.86299999999999999</v>
      </c>
      <c r="N4056">
        <v>20709</v>
      </c>
      <c r="O4056">
        <v>20.709</v>
      </c>
      <c r="P4056" s="2">
        <v>44136</v>
      </c>
      <c r="Q4056">
        <v>1</v>
      </c>
      <c r="R4056" s="1" t="s">
        <v>125</v>
      </c>
    </row>
    <row r="4057" spans="1:18" x14ac:dyDescent="0.25">
      <c r="A4057">
        <v>2020</v>
      </c>
      <c r="B4057">
        <v>12</v>
      </c>
      <c r="C4057" s="1" t="s">
        <v>35</v>
      </c>
      <c r="D4057" s="1" t="s">
        <v>19</v>
      </c>
      <c r="E4057" s="1" t="s">
        <v>36</v>
      </c>
      <c r="F4057">
        <v>2000</v>
      </c>
      <c r="G4057">
        <v>20</v>
      </c>
      <c r="H4057" s="1" t="s">
        <v>124</v>
      </c>
      <c r="I4057">
        <v>24</v>
      </c>
      <c r="J4057">
        <v>1675</v>
      </c>
      <c r="K4057" s="1" t="s">
        <v>37</v>
      </c>
      <c r="L4057" s="1" t="s">
        <v>23</v>
      </c>
      <c r="M4057">
        <v>0.77400000000000002</v>
      </c>
      <c r="N4057">
        <v>18572.2</v>
      </c>
      <c r="O4057">
        <v>18.571999999999999</v>
      </c>
      <c r="P4057" s="2">
        <v>44166</v>
      </c>
      <c r="Q4057">
        <v>1</v>
      </c>
      <c r="R4057" s="1" t="s">
        <v>125</v>
      </c>
    </row>
    <row r="4058" spans="1:18" x14ac:dyDescent="0.25">
      <c r="A4058">
        <v>2020</v>
      </c>
      <c r="B4058">
        <v>1</v>
      </c>
      <c r="C4058" s="1" t="s">
        <v>18</v>
      </c>
      <c r="D4058" s="1" t="s">
        <v>19</v>
      </c>
      <c r="E4058" s="1" t="s">
        <v>38</v>
      </c>
      <c r="F4058">
        <v>2005</v>
      </c>
      <c r="G4058">
        <v>15</v>
      </c>
      <c r="H4058" s="1" t="s">
        <v>21</v>
      </c>
      <c r="I4058">
        <v>18</v>
      </c>
      <c r="J4058">
        <v>1922</v>
      </c>
      <c r="K4058" s="1" t="s">
        <v>39</v>
      </c>
      <c r="L4058" s="1" t="s">
        <v>23</v>
      </c>
      <c r="M4058">
        <v>0.753</v>
      </c>
      <c r="N4058">
        <v>13550.1</v>
      </c>
      <c r="O4058">
        <v>13.55</v>
      </c>
      <c r="P4058" s="2">
        <v>43831</v>
      </c>
      <c r="Q4058">
        <v>1</v>
      </c>
      <c r="R4058" s="1" t="s">
        <v>24</v>
      </c>
    </row>
    <row r="4059" spans="1:18" x14ac:dyDescent="0.25">
      <c r="A4059">
        <v>2020</v>
      </c>
      <c r="B4059">
        <v>2</v>
      </c>
      <c r="C4059" s="1" t="s">
        <v>25</v>
      </c>
      <c r="D4059" s="1" t="s">
        <v>19</v>
      </c>
      <c r="E4059" s="1" t="s">
        <v>38</v>
      </c>
      <c r="F4059">
        <v>2005</v>
      </c>
      <c r="G4059">
        <v>15</v>
      </c>
      <c r="H4059" s="1" t="s">
        <v>21</v>
      </c>
      <c r="I4059">
        <v>18</v>
      </c>
      <c r="J4059">
        <v>1922</v>
      </c>
      <c r="K4059" s="1" t="s">
        <v>39</v>
      </c>
      <c r="L4059" s="1" t="s">
        <v>23</v>
      </c>
      <c r="M4059">
        <v>0.76200000000000001</v>
      </c>
      <c r="N4059">
        <v>13723.1</v>
      </c>
      <c r="O4059">
        <v>13.723000000000001</v>
      </c>
      <c r="P4059" s="2">
        <v>43862</v>
      </c>
      <c r="Q4059">
        <v>1</v>
      </c>
      <c r="R4059" s="1" t="s">
        <v>24</v>
      </c>
    </row>
    <row r="4060" spans="1:18" x14ac:dyDescent="0.25">
      <c r="A4060">
        <v>2020</v>
      </c>
      <c r="B4060">
        <v>3</v>
      </c>
      <c r="C4060" s="1" t="s">
        <v>26</v>
      </c>
      <c r="D4060" s="1" t="s">
        <v>19</v>
      </c>
      <c r="E4060" s="1" t="s">
        <v>38</v>
      </c>
      <c r="F4060">
        <v>2005</v>
      </c>
      <c r="G4060">
        <v>15</v>
      </c>
      <c r="H4060" s="1" t="s">
        <v>21</v>
      </c>
      <c r="I4060">
        <v>18</v>
      </c>
      <c r="J4060">
        <v>1922</v>
      </c>
      <c r="K4060" s="1" t="s">
        <v>39</v>
      </c>
      <c r="L4060" s="1" t="s">
        <v>23</v>
      </c>
      <c r="M4060">
        <v>0.88100000000000001</v>
      </c>
      <c r="N4060">
        <v>15856.5</v>
      </c>
      <c r="O4060">
        <v>15.856999999999999</v>
      </c>
      <c r="P4060" s="2">
        <v>43891</v>
      </c>
      <c r="Q4060">
        <v>1</v>
      </c>
      <c r="R4060" s="1" t="s">
        <v>24</v>
      </c>
    </row>
    <row r="4061" spans="1:18" x14ac:dyDescent="0.25">
      <c r="A4061">
        <v>2020</v>
      </c>
      <c r="B4061">
        <v>4</v>
      </c>
      <c r="C4061" s="1" t="s">
        <v>27</v>
      </c>
      <c r="D4061" s="1" t="s">
        <v>19</v>
      </c>
      <c r="E4061" s="1" t="s">
        <v>38</v>
      </c>
      <c r="F4061">
        <v>2005</v>
      </c>
      <c r="G4061">
        <v>15</v>
      </c>
      <c r="H4061" s="1" t="s">
        <v>21</v>
      </c>
      <c r="I4061">
        <v>18</v>
      </c>
      <c r="J4061">
        <v>1922</v>
      </c>
      <c r="K4061" s="1" t="s">
        <v>39</v>
      </c>
      <c r="L4061" s="1" t="s">
        <v>23</v>
      </c>
      <c r="M4061">
        <v>1.5449999999999999</v>
      </c>
      <c r="N4061">
        <v>27806.5</v>
      </c>
      <c r="O4061">
        <v>27.806999999999999</v>
      </c>
      <c r="P4061" s="2">
        <v>43922</v>
      </c>
      <c r="Q4061">
        <v>1</v>
      </c>
      <c r="R4061" s="1" t="s">
        <v>24</v>
      </c>
    </row>
    <row r="4062" spans="1:18" x14ac:dyDescent="0.25">
      <c r="A4062">
        <v>2020</v>
      </c>
      <c r="B4062">
        <v>5</v>
      </c>
      <c r="C4062" s="1" t="s">
        <v>28</v>
      </c>
      <c r="D4062" s="1" t="s">
        <v>19</v>
      </c>
      <c r="E4062" s="1" t="s">
        <v>38</v>
      </c>
      <c r="F4062">
        <v>2005</v>
      </c>
      <c r="G4062">
        <v>15</v>
      </c>
      <c r="H4062" s="1" t="s">
        <v>21</v>
      </c>
      <c r="I4062">
        <v>18</v>
      </c>
      <c r="J4062">
        <v>1922</v>
      </c>
      <c r="K4062" s="1" t="s">
        <v>39</v>
      </c>
      <c r="L4062" s="1" t="s">
        <v>23</v>
      </c>
      <c r="M4062">
        <v>1.7290000000000001</v>
      </c>
      <c r="N4062">
        <v>31122</v>
      </c>
      <c r="O4062">
        <v>31.122</v>
      </c>
      <c r="P4062" s="2">
        <v>43952</v>
      </c>
      <c r="Q4062">
        <v>1</v>
      </c>
      <c r="R4062" s="1" t="s">
        <v>24</v>
      </c>
    </row>
    <row r="4063" spans="1:18" x14ac:dyDescent="0.25">
      <c r="A4063">
        <v>2020</v>
      </c>
      <c r="B4063">
        <v>6</v>
      </c>
      <c r="C4063" s="1" t="s">
        <v>29</v>
      </c>
      <c r="D4063" s="1" t="s">
        <v>19</v>
      </c>
      <c r="E4063" s="1" t="s">
        <v>38</v>
      </c>
      <c r="F4063">
        <v>2005</v>
      </c>
      <c r="G4063">
        <v>15</v>
      </c>
      <c r="H4063" s="1" t="s">
        <v>21</v>
      </c>
      <c r="I4063">
        <v>18</v>
      </c>
      <c r="J4063">
        <v>1922</v>
      </c>
      <c r="K4063" s="1" t="s">
        <v>39</v>
      </c>
      <c r="L4063" s="1" t="s">
        <v>23</v>
      </c>
      <c r="M4063">
        <v>1.8009999999999999</v>
      </c>
      <c r="N4063">
        <v>32419.3</v>
      </c>
      <c r="O4063">
        <v>32.418999999999997</v>
      </c>
      <c r="P4063" s="2">
        <v>43983</v>
      </c>
      <c r="Q4063">
        <v>1</v>
      </c>
      <c r="R4063" s="1" t="s">
        <v>24</v>
      </c>
    </row>
    <row r="4064" spans="1:18" x14ac:dyDescent="0.25">
      <c r="A4064">
        <v>2020</v>
      </c>
      <c r="B4064">
        <v>7</v>
      </c>
      <c r="C4064" s="1" t="s">
        <v>30</v>
      </c>
      <c r="D4064" s="1" t="s">
        <v>19</v>
      </c>
      <c r="E4064" s="1" t="s">
        <v>38</v>
      </c>
      <c r="F4064">
        <v>2005</v>
      </c>
      <c r="G4064">
        <v>15</v>
      </c>
      <c r="H4064" s="1" t="s">
        <v>21</v>
      </c>
      <c r="I4064">
        <v>18</v>
      </c>
      <c r="J4064">
        <v>1922</v>
      </c>
      <c r="K4064" s="1" t="s">
        <v>39</v>
      </c>
      <c r="L4064" s="1" t="s">
        <v>23</v>
      </c>
      <c r="M4064">
        <v>1.84</v>
      </c>
      <c r="N4064">
        <v>33125.699999999997</v>
      </c>
      <c r="O4064">
        <v>33.125999999999998</v>
      </c>
      <c r="P4064" s="2">
        <v>44013</v>
      </c>
      <c r="Q4064">
        <v>1</v>
      </c>
      <c r="R4064" s="1" t="s">
        <v>24</v>
      </c>
    </row>
    <row r="4065" spans="1:18" x14ac:dyDescent="0.25">
      <c r="A4065">
        <v>2020</v>
      </c>
      <c r="B4065">
        <v>8</v>
      </c>
      <c r="C4065" s="1" t="s">
        <v>31</v>
      </c>
      <c r="D4065" s="1" t="s">
        <v>19</v>
      </c>
      <c r="E4065" s="1" t="s">
        <v>38</v>
      </c>
      <c r="F4065">
        <v>2005</v>
      </c>
      <c r="G4065">
        <v>15</v>
      </c>
      <c r="H4065" s="1" t="s">
        <v>21</v>
      </c>
      <c r="I4065">
        <v>18</v>
      </c>
      <c r="J4065">
        <v>1922</v>
      </c>
      <c r="K4065" s="1" t="s">
        <v>39</v>
      </c>
      <c r="L4065" s="1" t="s">
        <v>23</v>
      </c>
      <c r="M4065">
        <v>1.7589999999999999</v>
      </c>
      <c r="N4065">
        <v>31655.3</v>
      </c>
      <c r="O4065">
        <v>31.655000000000001</v>
      </c>
      <c r="P4065" s="2">
        <v>44044</v>
      </c>
      <c r="Q4065">
        <v>1</v>
      </c>
      <c r="R4065" s="1" t="s">
        <v>24</v>
      </c>
    </row>
    <row r="4066" spans="1:18" x14ac:dyDescent="0.25">
      <c r="A4066">
        <v>2020</v>
      </c>
      <c r="B4066">
        <v>9</v>
      </c>
      <c r="C4066" s="1" t="s">
        <v>32</v>
      </c>
      <c r="D4066" s="1" t="s">
        <v>19</v>
      </c>
      <c r="E4066" s="1" t="s">
        <v>38</v>
      </c>
      <c r="F4066">
        <v>2005</v>
      </c>
      <c r="G4066">
        <v>15</v>
      </c>
      <c r="H4066" s="1" t="s">
        <v>21</v>
      </c>
      <c r="I4066">
        <v>18</v>
      </c>
      <c r="J4066">
        <v>1922</v>
      </c>
      <c r="K4066" s="1" t="s">
        <v>39</v>
      </c>
      <c r="L4066" s="1" t="s">
        <v>23</v>
      </c>
      <c r="M4066">
        <v>1.8520000000000001</v>
      </c>
      <c r="N4066">
        <v>33327.5</v>
      </c>
      <c r="O4066">
        <v>33.326999999999998</v>
      </c>
      <c r="P4066" s="2">
        <v>44075</v>
      </c>
      <c r="Q4066">
        <v>1</v>
      </c>
      <c r="R4066" s="1" t="s">
        <v>24</v>
      </c>
    </row>
    <row r="4067" spans="1:18" x14ac:dyDescent="0.25">
      <c r="A4067">
        <v>2020</v>
      </c>
      <c r="B4067">
        <v>10</v>
      </c>
      <c r="C4067" s="1" t="s">
        <v>33</v>
      </c>
      <c r="D4067" s="1" t="s">
        <v>19</v>
      </c>
      <c r="E4067" s="1" t="s">
        <v>38</v>
      </c>
      <c r="F4067">
        <v>2005</v>
      </c>
      <c r="G4067">
        <v>15</v>
      </c>
      <c r="H4067" s="1" t="s">
        <v>21</v>
      </c>
      <c r="I4067">
        <v>18</v>
      </c>
      <c r="J4067">
        <v>1922</v>
      </c>
      <c r="K4067" s="1" t="s">
        <v>39</v>
      </c>
      <c r="L4067" s="1" t="s">
        <v>23</v>
      </c>
      <c r="M4067">
        <v>1.7150000000000001</v>
      </c>
      <c r="N4067">
        <v>30862.5</v>
      </c>
      <c r="O4067">
        <v>30.863</v>
      </c>
      <c r="P4067" s="2">
        <v>44105</v>
      </c>
      <c r="Q4067">
        <v>1</v>
      </c>
      <c r="R4067" s="1" t="s">
        <v>24</v>
      </c>
    </row>
    <row r="4068" spans="1:18" x14ac:dyDescent="0.25">
      <c r="A4068">
        <v>2020</v>
      </c>
      <c r="B4068">
        <v>11</v>
      </c>
      <c r="C4068" s="1" t="s">
        <v>34</v>
      </c>
      <c r="D4068" s="1" t="s">
        <v>19</v>
      </c>
      <c r="E4068" s="1" t="s">
        <v>38</v>
      </c>
      <c r="F4068">
        <v>2005</v>
      </c>
      <c r="G4068">
        <v>15</v>
      </c>
      <c r="H4068" s="1" t="s">
        <v>21</v>
      </c>
      <c r="I4068">
        <v>18</v>
      </c>
      <c r="J4068">
        <v>1922</v>
      </c>
      <c r="K4068" s="1" t="s">
        <v>39</v>
      </c>
      <c r="L4068" s="1" t="s">
        <v>23</v>
      </c>
      <c r="M4068">
        <v>1.4590000000000001</v>
      </c>
      <c r="N4068">
        <v>26264.1</v>
      </c>
      <c r="O4068">
        <v>26.263999999999999</v>
      </c>
      <c r="P4068" s="2">
        <v>44136</v>
      </c>
      <c r="Q4068">
        <v>1</v>
      </c>
      <c r="R4068" s="1" t="s">
        <v>24</v>
      </c>
    </row>
    <row r="4069" spans="1:18" x14ac:dyDescent="0.25">
      <c r="A4069">
        <v>2020</v>
      </c>
      <c r="B4069">
        <v>12</v>
      </c>
      <c r="C4069" s="1" t="s">
        <v>35</v>
      </c>
      <c r="D4069" s="1" t="s">
        <v>19</v>
      </c>
      <c r="E4069" s="1" t="s">
        <v>38</v>
      </c>
      <c r="F4069">
        <v>2005</v>
      </c>
      <c r="G4069">
        <v>15</v>
      </c>
      <c r="H4069" s="1" t="s">
        <v>21</v>
      </c>
      <c r="I4069">
        <v>18</v>
      </c>
      <c r="J4069">
        <v>1922</v>
      </c>
      <c r="K4069" s="1" t="s">
        <v>39</v>
      </c>
      <c r="L4069" s="1" t="s">
        <v>23</v>
      </c>
      <c r="M4069">
        <v>1.3089999999999999</v>
      </c>
      <c r="N4069">
        <v>23554.1</v>
      </c>
      <c r="O4069">
        <v>23.553999999999998</v>
      </c>
      <c r="P4069" s="2">
        <v>44166</v>
      </c>
      <c r="Q4069">
        <v>1</v>
      </c>
      <c r="R4069" s="1" t="s">
        <v>24</v>
      </c>
    </row>
    <row r="4070" spans="1:18" x14ac:dyDescent="0.25">
      <c r="A4070">
        <v>2020</v>
      </c>
      <c r="B4070">
        <v>1</v>
      </c>
      <c r="C4070" s="1" t="s">
        <v>18</v>
      </c>
      <c r="D4070" s="1" t="s">
        <v>19</v>
      </c>
      <c r="E4070" s="1" t="s">
        <v>41</v>
      </c>
      <c r="F4070">
        <v>2005</v>
      </c>
      <c r="G4070">
        <v>15</v>
      </c>
      <c r="H4070" s="1" t="s">
        <v>21</v>
      </c>
      <c r="I4070">
        <v>26</v>
      </c>
      <c r="J4070">
        <v>2827</v>
      </c>
      <c r="K4070" s="1" t="s">
        <v>42</v>
      </c>
      <c r="L4070" s="1" t="s">
        <v>23</v>
      </c>
      <c r="M4070">
        <v>0.76700000000000002</v>
      </c>
      <c r="N4070">
        <v>19930.3</v>
      </c>
      <c r="O4070">
        <v>19.93</v>
      </c>
      <c r="P4070" s="2">
        <v>43831</v>
      </c>
      <c r="Q4070">
        <v>1</v>
      </c>
      <c r="R4070" s="1" t="s">
        <v>24</v>
      </c>
    </row>
    <row r="4071" spans="1:18" x14ac:dyDescent="0.25">
      <c r="A4071">
        <v>2020</v>
      </c>
      <c r="B4071">
        <v>2</v>
      </c>
      <c r="C4071" s="1" t="s">
        <v>25</v>
      </c>
      <c r="D4071" s="1" t="s">
        <v>19</v>
      </c>
      <c r="E4071" s="1" t="s">
        <v>41</v>
      </c>
      <c r="F4071">
        <v>2005</v>
      </c>
      <c r="G4071">
        <v>15</v>
      </c>
      <c r="H4071" s="1" t="s">
        <v>21</v>
      </c>
      <c r="I4071">
        <v>26</v>
      </c>
      <c r="J4071">
        <v>2827</v>
      </c>
      <c r="K4071" s="1" t="s">
        <v>42</v>
      </c>
      <c r="L4071" s="1" t="s">
        <v>23</v>
      </c>
      <c r="M4071">
        <v>0.77600000000000002</v>
      </c>
      <c r="N4071">
        <v>20184.8</v>
      </c>
      <c r="O4071">
        <v>20.184999999999999</v>
      </c>
      <c r="P4071" s="2">
        <v>43862</v>
      </c>
      <c r="Q4071">
        <v>1</v>
      </c>
      <c r="R4071" s="1" t="s">
        <v>24</v>
      </c>
    </row>
    <row r="4072" spans="1:18" x14ac:dyDescent="0.25">
      <c r="A4072">
        <v>2020</v>
      </c>
      <c r="B4072">
        <v>3</v>
      </c>
      <c r="C4072" s="1" t="s">
        <v>26</v>
      </c>
      <c r="D4072" s="1" t="s">
        <v>19</v>
      </c>
      <c r="E4072" s="1" t="s">
        <v>41</v>
      </c>
      <c r="F4072">
        <v>2005</v>
      </c>
      <c r="G4072">
        <v>15</v>
      </c>
      <c r="H4072" s="1" t="s">
        <v>21</v>
      </c>
      <c r="I4072">
        <v>26</v>
      </c>
      <c r="J4072">
        <v>2827</v>
      </c>
      <c r="K4072" s="1" t="s">
        <v>42</v>
      </c>
      <c r="L4072" s="1" t="s">
        <v>23</v>
      </c>
      <c r="M4072">
        <v>0.89700000000000002</v>
      </c>
      <c r="N4072">
        <v>23322.799999999999</v>
      </c>
      <c r="O4072">
        <v>23.323</v>
      </c>
      <c r="P4072" s="2">
        <v>43891</v>
      </c>
      <c r="Q4072">
        <v>1</v>
      </c>
      <c r="R4072" s="1" t="s">
        <v>24</v>
      </c>
    </row>
    <row r="4073" spans="1:18" x14ac:dyDescent="0.25">
      <c r="A4073">
        <v>2020</v>
      </c>
      <c r="B4073">
        <v>4</v>
      </c>
      <c r="C4073" s="1" t="s">
        <v>27</v>
      </c>
      <c r="D4073" s="1" t="s">
        <v>19</v>
      </c>
      <c r="E4073" s="1" t="s">
        <v>41</v>
      </c>
      <c r="F4073">
        <v>2005</v>
      </c>
      <c r="G4073">
        <v>15</v>
      </c>
      <c r="H4073" s="1" t="s">
        <v>21</v>
      </c>
      <c r="I4073">
        <v>26</v>
      </c>
      <c r="J4073">
        <v>2827</v>
      </c>
      <c r="K4073" s="1" t="s">
        <v>42</v>
      </c>
      <c r="L4073" s="1" t="s">
        <v>23</v>
      </c>
      <c r="M4073">
        <v>1.573</v>
      </c>
      <c r="N4073">
        <v>40899.599999999999</v>
      </c>
      <c r="O4073">
        <v>40.9</v>
      </c>
      <c r="P4073" s="2">
        <v>43922</v>
      </c>
      <c r="Q4073">
        <v>1</v>
      </c>
      <c r="R4073" s="1" t="s">
        <v>24</v>
      </c>
    </row>
    <row r="4074" spans="1:18" x14ac:dyDescent="0.25">
      <c r="A4074">
        <v>2020</v>
      </c>
      <c r="B4074">
        <v>5</v>
      </c>
      <c r="C4074" s="1" t="s">
        <v>28</v>
      </c>
      <c r="D4074" s="1" t="s">
        <v>19</v>
      </c>
      <c r="E4074" s="1" t="s">
        <v>41</v>
      </c>
      <c r="F4074">
        <v>2005</v>
      </c>
      <c r="G4074">
        <v>15</v>
      </c>
      <c r="H4074" s="1" t="s">
        <v>21</v>
      </c>
      <c r="I4074">
        <v>26</v>
      </c>
      <c r="J4074">
        <v>2827</v>
      </c>
      <c r="K4074" s="1" t="s">
        <v>42</v>
      </c>
      <c r="L4074" s="1" t="s">
        <v>23</v>
      </c>
      <c r="M4074">
        <v>1.7609999999999999</v>
      </c>
      <c r="N4074">
        <v>45776.2</v>
      </c>
      <c r="O4074">
        <v>45.776000000000003</v>
      </c>
      <c r="P4074" s="2">
        <v>43952</v>
      </c>
      <c r="Q4074">
        <v>1</v>
      </c>
      <c r="R4074" s="1" t="s">
        <v>24</v>
      </c>
    </row>
    <row r="4075" spans="1:18" x14ac:dyDescent="0.25">
      <c r="A4075">
        <v>2020</v>
      </c>
      <c r="B4075">
        <v>6</v>
      </c>
      <c r="C4075" s="1" t="s">
        <v>29</v>
      </c>
      <c r="D4075" s="1" t="s">
        <v>19</v>
      </c>
      <c r="E4075" s="1" t="s">
        <v>41</v>
      </c>
      <c r="F4075">
        <v>2005</v>
      </c>
      <c r="G4075">
        <v>15</v>
      </c>
      <c r="H4075" s="1" t="s">
        <v>21</v>
      </c>
      <c r="I4075">
        <v>26</v>
      </c>
      <c r="J4075">
        <v>2827</v>
      </c>
      <c r="K4075" s="1" t="s">
        <v>42</v>
      </c>
      <c r="L4075" s="1" t="s">
        <v>23</v>
      </c>
      <c r="M4075">
        <v>1.8340000000000001</v>
      </c>
      <c r="N4075">
        <v>47684.4</v>
      </c>
      <c r="O4075">
        <v>47.683999999999997</v>
      </c>
      <c r="P4075" s="2">
        <v>43983</v>
      </c>
      <c r="Q4075">
        <v>1</v>
      </c>
      <c r="R4075" s="1" t="s">
        <v>24</v>
      </c>
    </row>
    <row r="4076" spans="1:18" x14ac:dyDescent="0.25">
      <c r="A4076">
        <v>2020</v>
      </c>
      <c r="B4076">
        <v>7</v>
      </c>
      <c r="C4076" s="1" t="s">
        <v>30</v>
      </c>
      <c r="D4076" s="1" t="s">
        <v>19</v>
      </c>
      <c r="E4076" s="1" t="s">
        <v>41</v>
      </c>
      <c r="F4076">
        <v>2005</v>
      </c>
      <c r="G4076">
        <v>15</v>
      </c>
      <c r="H4076" s="1" t="s">
        <v>21</v>
      </c>
      <c r="I4076">
        <v>26</v>
      </c>
      <c r="J4076">
        <v>2827</v>
      </c>
      <c r="K4076" s="1" t="s">
        <v>42</v>
      </c>
      <c r="L4076" s="1" t="s">
        <v>23</v>
      </c>
      <c r="M4076">
        <v>1.8740000000000001</v>
      </c>
      <c r="N4076">
        <v>48723.3</v>
      </c>
      <c r="O4076">
        <v>48.722999999999999</v>
      </c>
      <c r="P4076" s="2">
        <v>44013</v>
      </c>
      <c r="Q4076">
        <v>1</v>
      </c>
      <c r="R4076" s="1" t="s">
        <v>24</v>
      </c>
    </row>
    <row r="4077" spans="1:18" x14ac:dyDescent="0.25">
      <c r="A4077">
        <v>2020</v>
      </c>
      <c r="B4077">
        <v>8</v>
      </c>
      <c r="C4077" s="1" t="s">
        <v>31</v>
      </c>
      <c r="D4077" s="1" t="s">
        <v>19</v>
      </c>
      <c r="E4077" s="1" t="s">
        <v>41</v>
      </c>
      <c r="F4077">
        <v>2005</v>
      </c>
      <c r="G4077">
        <v>15</v>
      </c>
      <c r="H4077" s="1" t="s">
        <v>21</v>
      </c>
      <c r="I4077">
        <v>26</v>
      </c>
      <c r="J4077">
        <v>2827</v>
      </c>
      <c r="K4077" s="1" t="s">
        <v>42</v>
      </c>
      <c r="L4077" s="1" t="s">
        <v>23</v>
      </c>
      <c r="M4077">
        <v>1.7909999999999999</v>
      </c>
      <c r="N4077">
        <v>46560.7</v>
      </c>
      <c r="O4077">
        <v>46.561</v>
      </c>
      <c r="P4077" s="2">
        <v>44044</v>
      </c>
      <c r="Q4077">
        <v>1</v>
      </c>
      <c r="R4077" s="1" t="s">
        <v>24</v>
      </c>
    </row>
    <row r="4078" spans="1:18" x14ac:dyDescent="0.25">
      <c r="A4078">
        <v>2020</v>
      </c>
      <c r="B4078">
        <v>9</v>
      </c>
      <c r="C4078" s="1" t="s">
        <v>32</v>
      </c>
      <c r="D4078" s="1" t="s">
        <v>19</v>
      </c>
      <c r="E4078" s="1" t="s">
        <v>41</v>
      </c>
      <c r="F4078">
        <v>2005</v>
      </c>
      <c r="G4078">
        <v>15</v>
      </c>
      <c r="H4078" s="1" t="s">
        <v>21</v>
      </c>
      <c r="I4078">
        <v>26</v>
      </c>
      <c r="J4078">
        <v>2827</v>
      </c>
      <c r="K4078" s="1" t="s">
        <v>42</v>
      </c>
      <c r="L4078" s="1" t="s">
        <v>23</v>
      </c>
      <c r="M4078">
        <v>1.885</v>
      </c>
      <c r="N4078">
        <v>49020.2</v>
      </c>
      <c r="O4078">
        <v>49.02</v>
      </c>
      <c r="P4078" s="2">
        <v>44075</v>
      </c>
      <c r="Q4078">
        <v>1</v>
      </c>
      <c r="R4078" s="1" t="s">
        <v>24</v>
      </c>
    </row>
    <row r="4079" spans="1:18" x14ac:dyDescent="0.25">
      <c r="A4079">
        <v>2020</v>
      </c>
      <c r="B4079">
        <v>10</v>
      </c>
      <c r="C4079" s="1" t="s">
        <v>33</v>
      </c>
      <c r="D4079" s="1" t="s">
        <v>19</v>
      </c>
      <c r="E4079" s="1" t="s">
        <v>41</v>
      </c>
      <c r="F4079">
        <v>2005</v>
      </c>
      <c r="G4079">
        <v>15</v>
      </c>
      <c r="H4079" s="1" t="s">
        <v>21</v>
      </c>
      <c r="I4079">
        <v>26</v>
      </c>
      <c r="J4079">
        <v>2827</v>
      </c>
      <c r="K4079" s="1" t="s">
        <v>42</v>
      </c>
      <c r="L4079" s="1" t="s">
        <v>23</v>
      </c>
      <c r="M4079">
        <v>1.746</v>
      </c>
      <c r="N4079">
        <v>45394.6</v>
      </c>
      <c r="O4079">
        <v>45.395000000000003</v>
      </c>
      <c r="P4079" s="2">
        <v>44105</v>
      </c>
      <c r="Q4079">
        <v>1</v>
      </c>
      <c r="R4079" s="1" t="s">
        <v>24</v>
      </c>
    </row>
    <row r="4080" spans="1:18" x14ac:dyDescent="0.25">
      <c r="A4080">
        <v>2020</v>
      </c>
      <c r="B4080">
        <v>11</v>
      </c>
      <c r="C4080" s="1" t="s">
        <v>34</v>
      </c>
      <c r="D4080" s="1" t="s">
        <v>19</v>
      </c>
      <c r="E4080" s="1" t="s">
        <v>41</v>
      </c>
      <c r="F4080">
        <v>2005</v>
      </c>
      <c r="G4080">
        <v>15</v>
      </c>
      <c r="H4080" s="1" t="s">
        <v>21</v>
      </c>
      <c r="I4080">
        <v>26</v>
      </c>
      <c r="J4080">
        <v>2827</v>
      </c>
      <c r="K4080" s="1" t="s">
        <v>42</v>
      </c>
      <c r="L4080" s="1" t="s">
        <v>23</v>
      </c>
      <c r="M4080">
        <v>1.486</v>
      </c>
      <c r="N4080">
        <v>38631</v>
      </c>
      <c r="O4080">
        <v>38.631</v>
      </c>
      <c r="P4080" s="2">
        <v>44136</v>
      </c>
      <c r="Q4080">
        <v>1</v>
      </c>
      <c r="R4080" s="1" t="s">
        <v>24</v>
      </c>
    </row>
    <row r="4081" spans="1:18" x14ac:dyDescent="0.25">
      <c r="A4081">
        <v>2020</v>
      </c>
      <c r="B4081">
        <v>12</v>
      </c>
      <c r="C4081" s="1" t="s">
        <v>35</v>
      </c>
      <c r="D4081" s="1" t="s">
        <v>19</v>
      </c>
      <c r="E4081" s="1" t="s">
        <v>41</v>
      </c>
      <c r="F4081">
        <v>2005</v>
      </c>
      <c r="G4081">
        <v>15</v>
      </c>
      <c r="H4081" s="1" t="s">
        <v>21</v>
      </c>
      <c r="I4081">
        <v>26</v>
      </c>
      <c r="J4081">
        <v>2827</v>
      </c>
      <c r="K4081" s="1" t="s">
        <v>42</v>
      </c>
      <c r="L4081" s="1" t="s">
        <v>23</v>
      </c>
      <c r="M4081">
        <v>1.3320000000000001</v>
      </c>
      <c r="N4081">
        <v>34644.9</v>
      </c>
      <c r="O4081">
        <v>34.645000000000003</v>
      </c>
      <c r="P4081" s="2">
        <v>44166</v>
      </c>
      <c r="Q4081">
        <v>1</v>
      </c>
      <c r="R4081" s="1" t="s">
        <v>24</v>
      </c>
    </row>
    <row r="4082" spans="1:18" x14ac:dyDescent="0.25">
      <c r="A4082">
        <v>2020</v>
      </c>
      <c r="B4082">
        <v>1</v>
      </c>
      <c r="C4082" s="1" t="s">
        <v>18</v>
      </c>
      <c r="D4082" s="1" t="s">
        <v>19</v>
      </c>
      <c r="E4082" s="1" t="s">
        <v>43</v>
      </c>
      <c r="F4082">
        <v>2005</v>
      </c>
      <c r="G4082">
        <v>15</v>
      </c>
      <c r="H4082" s="1" t="s">
        <v>21</v>
      </c>
      <c r="I4082">
        <v>24</v>
      </c>
      <c r="J4082">
        <v>1947</v>
      </c>
      <c r="K4082" s="1" t="s">
        <v>44</v>
      </c>
      <c r="L4082" s="1" t="s">
        <v>45</v>
      </c>
      <c r="M4082">
        <v>0.71899999999999997</v>
      </c>
      <c r="N4082">
        <v>17258.400000000001</v>
      </c>
      <c r="O4082">
        <v>17.257999999999999</v>
      </c>
      <c r="P4082" s="2">
        <v>43831</v>
      </c>
      <c r="Q4082">
        <v>1</v>
      </c>
      <c r="R4082" s="1" t="s">
        <v>24</v>
      </c>
    </row>
    <row r="4083" spans="1:18" x14ac:dyDescent="0.25">
      <c r="A4083">
        <v>2020</v>
      </c>
      <c r="B4083">
        <v>2</v>
      </c>
      <c r="C4083" s="1" t="s">
        <v>25</v>
      </c>
      <c r="D4083" s="1" t="s">
        <v>19</v>
      </c>
      <c r="E4083" s="1" t="s">
        <v>43</v>
      </c>
      <c r="F4083">
        <v>2005</v>
      </c>
      <c r="G4083">
        <v>15</v>
      </c>
      <c r="H4083" s="1" t="s">
        <v>21</v>
      </c>
      <c r="I4083">
        <v>24</v>
      </c>
      <c r="J4083">
        <v>1947</v>
      </c>
      <c r="K4083" s="1" t="s">
        <v>44</v>
      </c>
      <c r="L4083" s="1" t="s">
        <v>45</v>
      </c>
      <c r="M4083">
        <v>0.72799999999999998</v>
      </c>
      <c r="N4083">
        <v>17478.7</v>
      </c>
      <c r="O4083">
        <v>17.478999999999999</v>
      </c>
      <c r="P4083" s="2">
        <v>43862</v>
      </c>
      <c r="Q4083">
        <v>1</v>
      </c>
      <c r="R4083" s="1" t="s">
        <v>24</v>
      </c>
    </row>
    <row r="4084" spans="1:18" x14ac:dyDescent="0.25">
      <c r="A4084">
        <v>2020</v>
      </c>
      <c r="B4084">
        <v>3</v>
      </c>
      <c r="C4084" s="1" t="s">
        <v>26</v>
      </c>
      <c r="D4084" s="1" t="s">
        <v>19</v>
      </c>
      <c r="E4084" s="1" t="s">
        <v>43</v>
      </c>
      <c r="F4084">
        <v>2005</v>
      </c>
      <c r="G4084">
        <v>15</v>
      </c>
      <c r="H4084" s="1" t="s">
        <v>21</v>
      </c>
      <c r="I4084">
        <v>24</v>
      </c>
      <c r="J4084">
        <v>1947</v>
      </c>
      <c r="K4084" s="1" t="s">
        <v>44</v>
      </c>
      <c r="L4084" s="1" t="s">
        <v>45</v>
      </c>
      <c r="M4084">
        <v>0.84199999999999997</v>
      </c>
      <c r="N4084">
        <v>20196</v>
      </c>
      <c r="O4084">
        <v>20.196000000000002</v>
      </c>
      <c r="P4084" s="2">
        <v>43891</v>
      </c>
      <c r="Q4084">
        <v>1</v>
      </c>
      <c r="R4084" s="1" t="s">
        <v>24</v>
      </c>
    </row>
    <row r="4085" spans="1:18" x14ac:dyDescent="0.25">
      <c r="A4085">
        <v>2020</v>
      </c>
      <c r="B4085">
        <v>4</v>
      </c>
      <c r="C4085" s="1" t="s">
        <v>27</v>
      </c>
      <c r="D4085" s="1" t="s">
        <v>19</v>
      </c>
      <c r="E4085" s="1" t="s">
        <v>43</v>
      </c>
      <c r="F4085">
        <v>2005</v>
      </c>
      <c r="G4085">
        <v>15</v>
      </c>
      <c r="H4085" s="1" t="s">
        <v>21</v>
      </c>
      <c r="I4085">
        <v>24</v>
      </c>
      <c r="J4085">
        <v>1947</v>
      </c>
      <c r="K4085" s="1" t="s">
        <v>44</v>
      </c>
      <c r="L4085" s="1" t="s">
        <v>45</v>
      </c>
      <c r="M4085">
        <v>1.476</v>
      </c>
      <c r="N4085">
        <v>35416.400000000001</v>
      </c>
      <c r="O4085">
        <v>35.415999999999997</v>
      </c>
      <c r="P4085" s="2">
        <v>43922</v>
      </c>
      <c r="Q4085">
        <v>1</v>
      </c>
      <c r="R4085" s="1" t="s">
        <v>24</v>
      </c>
    </row>
    <row r="4086" spans="1:18" x14ac:dyDescent="0.25">
      <c r="A4086">
        <v>2020</v>
      </c>
      <c r="B4086">
        <v>5</v>
      </c>
      <c r="C4086" s="1" t="s">
        <v>28</v>
      </c>
      <c r="D4086" s="1" t="s">
        <v>19</v>
      </c>
      <c r="E4086" s="1" t="s">
        <v>43</v>
      </c>
      <c r="F4086">
        <v>2005</v>
      </c>
      <c r="G4086">
        <v>15</v>
      </c>
      <c r="H4086" s="1" t="s">
        <v>21</v>
      </c>
      <c r="I4086">
        <v>24</v>
      </c>
      <c r="J4086">
        <v>1947</v>
      </c>
      <c r="K4086" s="1" t="s">
        <v>44</v>
      </c>
      <c r="L4086" s="1" t="s">
        <v>45</v>
      </c>
      <c r="M4086">
        <v>1.6519999999999999</v>
      </c>
      <c r="N4086">
        <v>39639.199999999997</v>
      </c>
      <c r="O4086">
        <v>39.639000000000003</v>
      </c>
      <c r="P4086" s="2">
        <v>43952</v>
      </c>
      <c r="Q4086">
        <v>1</v>
      </c>
      <c r="R4086" s="1" t="s">
        <v>24</v>
      </c>
    </row>
    <row r="4087" spans="1:18" x14ac:dyDescent="0.25">
      <c r="A4087">
        <v>2020</v>
      </c>
      <c r="B4087">
        <v>6</v>
      </c>
      <c r="C4087" s="1" t="s">
        <v>29</v>
      </c>
      <c r="D4087" s="1" t="s">
        <v>19</v>
      </c>
      <c r="E4087" s="1" t="s">
        <v>43</v>
      </c>
      <c r="F4087">
        <v>2005</v>
      </c>
      <c r="G4087">
        <v>15</v>
      </c>
      <c r="H4087" s="1" t="s">
        <v>21</v>
      </c>
      <c r="I4087">
        <v>24</v>
      </c>
      <c r="J4087">
        <v>1947</v>
      </c>
      <c r="K4087" s="1" t="s">
        <v>44</v>
      </c>
      <c r="L4087" s="1" t="s">
        <v>45</v>
      </c>
      <c r="M4087">
        <v>1.72</v>
      </c>
      <c r="N4087">
        <v>41291.599999999999</v>
      </c>
      <c r="O4087">
        <v>41.292000000000002</v>
      </c>
      <c r="P4087" s="2">
        <v>43983</v>
      </c>
      <c r="Q4087">
        <v>1</v>
      </c>
      <c r="R4087" s="1" t="s">
        <v>24</v>
      </c>
    </row>
    <row r="4088" spans="1:18" x14ac:dyDescent="0.25">
      <c r="A4088">
        <v>2020</v>
      </c>
      <c r="B4088">
        <v>7</v>
      </c>
      <c r="C4088" s="1" t="s">
        <v>30</v>
      </c>
      <c r="D4088" s="1" t="s">
        <v>19</v>
      </c>
      <c r="E4088" s="1" t="s">
        <v>43</v>
      </c>
      <c r="F4088">
        <v>2005</v>
      </c>
      <c r="G4088">
        <v>15</v>
      </c>
      <c r="H4088" s="1" t="s">
        <v>21</v>
      </c>
      <c r="I4088">
        <v>24</v>
      </c>
      <c r="J4088">
        <v>1947</v>
      </c>
      <c r="K4088" s="1" t="s">
        <v>44</v>
      </c>
      <c r="L4088" s="1" t="s">
        <v>45</v>
      </c>
      <c r="M4088">
        <v>1.758</v>
      </c>
      <c r="N4088">
        <v>42191.3</v>
      </c>
      <c r="O4088">
        <v>42.191000000000003</v>
      </c>
      <c r="P4088" s="2">
        <v>44013</v>
      </c>
      <c r="Q4088">
        <v>1</v>
      </c>
      <c r="R4088" s="1" t="s">
        <v>24</v>
      </c>
    </row>
    <row r="4089" spans="1:18" x14ac:dyDescent="0.25">
      <c r="A4089">
        <v>2020</v>
      </c>
      <c r="B4089">
        <v>8</v>
      </c>
      <c r="C4089" s="1" t="s">
        <v>31</v>
      </c>
      <c r="D4089" s="1" t="s">
        <v>19</v>
      </c>
      <c r="E4089" s="1" t="s">
        <v>43</v>
      </c>
      <c r="F4089">
        <v>2005</v>
      </c>
      <c r="G4089">
        <v>15</v>
      </c>
      <c r="H4089" s="1" t="s">
        <v>21</v>
      </c>
      <c r="I4089">
        <v>24</v>
      </c>
      <c r="J4089">
        <v>1947</v>
      </c>
      <c r="K4089" s="1" t="s">
        <v>44</v>
      </c>
      <c r="L4089" s="1" t="s">
        <v>45</v>
      </c>
      <c r="M4089">
        <v>1.68</v>
      </c>
      <c r="N4089">
        <v>40318.6</v>
      </c>
      <c r="O4089">
        <v>40.319000000000003</v>
      </c>
      <c r="P4089" s="2">
        <v>44044</v>
      </c>
      <c r="Q4089">
        <v>1</v>
      </c>
      <c r="R4089" s="1" t="s">
        <v>24</v>
      </c>
    </row>
    <row r="4090" spans="1:18" x14ac:dyDescent="0.25">
      <c r="A4090">
        <v>2020</v>
      </c>
      <c r="B4090">
        <v>9</v>
      </c>
      <c r="C4090" s="1" t="s">
        <v>32</v>
      </c>
      <c r="D4090" s="1" t="s">
        <v>19</v>
      </c>
      <c r="E4090" s="1" t="s">
        <v>43</v>
      </c>
      <c r="F4090">
        <v>2005</v>
      </c>
      <c r="G4090">
        <v>15</v>
      </c>
      <c r="H4090" s="1" t="s">
        <v>21</v>
      </c>
      <c r="I4090">
        <v>24</v>
      </c>
      <c r="J4090">
        <v>1947</v>
      </c>
      <c r="K4090" s="1" t="s">
        <v>44</v>
      </c>
      <c r="L4090" s="1" t="s">
        <v>45</v>
      </c>
      <c r="M4090">
        <v>1.7689999999999999</v>
      </c>
      <c r="N4090">
        <v>42448.3</v>
      </c>
      <c r="O4090">
        <v>42.448</v>
      </c>
      <c r="P4090" s="2">
        <v>44075</v>
      </c>
      <c r="Q4090">
        <v>1</v>
      </c>
      <c r="R4090" s="1" t="s">
        <v>24</v>
      </c>
    </row>
    <row r="4091" spans="1:18" x14ac:dyDescent="0.25">
      <c r="A4091">
        <v>2020</v>
      </c>
      <c r="B4091">
        <v>10</v>
      </c>
      <c r="C4091" s="1" t="s">
        <v>33</v>
      </c>
      <c r="D4091" s="1" t="s">
        <v>19</v>
      </c>
      <c r="E4091" s="1" t="s">
        <v>43</v>
      </c>
      <c r="F4091">
        <v>2005</v>
      </c>
      <c r="G4091">
        <v>15</v>
      </c>
      <c r="H4091" s="1" t="s">
        <v>21</v>
      </c>
      <c r="I4091">
        <v>24</v>
      </c>
      <c r="J4091">
        <v>1947</v>
      </c>
      <c r="K4091" s="1" t="s">
        <v>44</v>
      </c>
      <c r="L4091" s="1" t="s">
        <v>45</v>
      </c>
      <c r="M4091">
        <v>1.6379999999999999</v>
      </c>
      <c r="N4091">
        <v>39308.800000000003</v>
      </c>
      <c r="O4091">
        <v>39.308999999999997</v>
      </c>
      <c r="P4091" s="2">
        <v>44105</v>
      </c>
      <c r="Q4091">
        <v>1</v>
      </c>
      <c r="R4091" s="1" t="s">
        <v>24</v>
      </c>
    </row>
    <row r="4092" spans="1:18" x14ac:dyDescent="0.25">
      <c r="A4092">
        <v>2020</v>
      </c>
      <c r="B4092">
        <v>11</v>
      </c>
      <c r="C4092" s="1" t="s">
        <v>34</v>
      </c>
      <c r="D4092" s="1" t="s">
        <v>19</v>
      </c>
      <c r="E4092" s="1" t="s">
        <v>43</v>
      </c>
      <c r="F4092">
        <v>2005</v>
      </c>
      <c r="G4092">
        <v>15</v>
      </c>
      <c r="H4092" s="1" t="s">
        <v>21</v>
      </c>
      <c r="I4092">
        <v>24</v>
      </c>
      <c r="J4092">
        <v>1947</v>
      </c>
      <c r="K4092" s="1" t="s">
        <v>44</v>
      </c>
      <c r="L4092" s="1" t="s">
        <v>45</v>
      </c>
      <c r="M4092">
        <v>1.3939999999999999</v>
      </c>
      <c r="N4092">
        <v>33451.9</v>
      </c>
      <c r="O4092">
        <v>33.451999999999998</v>
      </c>
      <c r="P4092" s="2">
        <v>44136</v>
      </c>
      <c r="Q4092">
        <v>1</v>
      </c>
      <c r="R4092" s="1" t="s">
        <v>24</v>
      </c>
    </row>
    <row r="4093" spans="1:18" x14ac:dyDescent="0.25">
      <c r="A4093">
        <v>2020</v>
      </c>
      <c r="B4093">
        <v>12</v>
      </c>
      <c r="C4093" s="1" t="s">
        <v>35</v>
      </c>
      <c r="D4093" s="1" t="s">
        <v>19</v>
      </c>
      <c r="E4093" s="1" t="s">
        <v>43</v>
      </c>
      <c r="F4093">
        <v>2005</v>
      </c>
      <c r="G4093">
        <v>15</v>
      </c>
      <c r="H4093" s="1" t="s">
        <v>21</v>
      </c>
      <c r="I4093">
        <v>24</v>
      </c>
      <c r="J4093">
        <v>1947</v>
      </c>
      <c r="K4093" s="1" t="s">
        <v>44</v>
      </c>
      <c r="L4093" s="1" t="s">
        <v>45</v>
      </c>
      <c r="M4093">
        <v>1.25</v>
      </c>
      <c r="N4093">
        <v>30000.2</v>
      </c>
      <c r="O4093">
        <v>30</v>
      </c>
      <c r="P4093" s="2">
        <v>44166</v>
      </c>
      <c r="Q4093">
        <v>1</v>
      </c>
      <c r="R4093" s="1" t="s">
        <v>24</v>
      </c>
    </row>
    <row r="4094" spans="1:18" x14ac:dyDescent="0.25">
      <c r="A4094">
        <v>2020</v>
      </c>
      <c r="B4094">
        <v>1</v>
      </c>
      <c r="C4094" s="1" t="s">
        <v>18</v>
      </c>
      <c r="D4094" s="1" t="s">
        <v>19</v>
      </c>
      <c r="E4094" s="1" t="s">
        <v>46</v>
      </c>
      <c r="F4094">
        <v>2006</v>
      </c>
      <c r="G4094">
        <v>14</v>
      </c>
      <c r="H4094" s="1" t="s">
        <v>21</v>
      </c>
      <c r="I4094">
        <v>25</v>
      </c>
      <c r="J4094">
        <v>2740</v>
      </c>
      <c r="K4094" s="1" t="s">
        <v>47</v>
      </c>
      <c r="L4094" s="1" t="s">
        <v>45</v>
      </c>
      <c r="M4094">
        <v>0.77300000000000002</v>
      </c>
      <c r="N4094">
        <v>19317</v>
      </c>
      <c r="O4094">
        <v>19.317</v>
      </c>
      <c r="P4094" s="2">
        <v>43831</v>
      </c>
      <c r="Q4094">
        <v>1</v>
      </c>
      <c r="R4094" s="1" t="s">
        <v>24</v>
      </c>
    </row>
    <row r="4095" spans="1:18" x14ac:dyDescent="0.25">
      <c r="A4095">
        <v>2020</v>
      </c>
      <c r="B4095">
        <v>2</v>
      </c>
      <c r="C4095" s="1" t="s">
        <v>25</v>
      </c>
      <c r="D4095" s="1" t="s">
        <v>19</v>
      </c>
      <c r="E4095" s="1" t="s">
        <v>46</v>
      </c>
      <c r="F4095">
        <v>2006</v>
      </c>
      <c r="G4095">
        <v>14</v>
      </c>
      <c r="H4095" s="1" t="s">
        <v>21</v>
      </c>
      <c r="I4095">
        <v>25</v>
      </c>
      <c r="J4095">
        <v>2740</v>
      </c>
      <c r="K4095" s="1" t="s">
        <v>47</v>
      </c>
      <c r="L4095" s="1" t="s">
        <v>45</v>
      </c>
      <c r="M4095">
        <v>0.78300000000000003</v>
      </c>
      <c r="N4095">
        <v>19563.599999999999</v>
      </c>
      <c r="O4095">
        <v>19.564</v>
      </c>
      <c r="P4095" s="2">
        <v>43862</v>
      </c>
      <c r="Q4095">
        <v>1</v>
      </c>
      <c r="R4095" s="1" t="s">
        <v>24</v>
      </c>
    </row>
    <row r="4096" spans="1:18" x14ac:dyDescent="0.25">
      <c r="A4096">
        <v>2020</v>
      </c>
      <c r="B4096">
        <v>3</v>
      </c>
      <c r="C4096" s="1" t="s">
        <v>26</v>
      </c>
      <c r="D4096" s="1" t="s">
        <v>19</v>
      </c>
      <c r="E4096" s="1" t="s">
        <v>46</v>
      </c>
      <c r="F4096">
        <v>2006</v>
      </c>
      <c r="G4096">
        <v>14</v>
      </c>
      <c r="H4096" s="1" t="s">
        <v>21</v>
      </c>
      <c r="I4096">
        <v>25</v>
      </c>
      <c r="J4096">
        <v>2740</v>
      </c>
      <c r="K4096" s="1" t="s">
        <v>47</v>
      </c>
      <c r="L4096" s="1" t="s">
        <v>45</v>
      </c>
      <c r="M4096">
        <v>0.90400000000000003</v>
      </c>
      <c r="N4096">
        <v>22605</v>
      </c>
      <c r="O4096">
        <v>22.605</v>
      </c>
      <c r="P4096" s="2">
        <v>43891</v>
      </c>
      <c r="Q4096">
        <v>1</v>
      </c>
      <c r="R4096" s="1" t="s">
        <v>24</v>
      </c>
    </row>
    <row r="4097" spans="1:18" x14ac:dyDescent="0.25">
      <c r="A4097">
        <v>2020</v>
      </c>
      <c r="B4097">
        <v>4</v>
      </c>
      <c r="C4097" s="1" t="s">
        <v>27</v>
      </c>
      <c r="D4097" s="1" t="s">
        <v>19</v>
      </c>
      <c r="E4097" s="1" t="s">
        <v>46</v>
      </c>
      <c r="F4097">
        <v>2006</v>
      </c>
      <c r="G4097">
        <v>14</v>
      </c>
      <c r="H4097" s="1" t="s">
        <v>21</v>
      </c>
      <c r="I4097">
        <v>25</v>
      </c>
      <c r="J4097">
        <v>2740</v>
      </c>
      <c r="K4097" s="1" t="s">
        <v>47</v>
      </c>
      <c r="L4097" s="1" t="s">
        <v>45</v>
      </c>
      <c r="M4097">
        <v>1.5860000000000001</v>
      </c>
      <c r="N4097">
        <v>39640.9</v>
      </c>
      <c r="O4097">
        <v>39.640999999999998</v>
      </c>
      <c r="P4097" s="2">
        <v>43922</v>
      </c>
      <c r="Q4097">
        <v>1</v>
      </c>
      <c r="R4097" s="1" t="s">
        <v>24</v>
      </c>
    </row>
    <row r="4098" spans="1:18" x14ac:dyDescent="0.25">
      <c r="A4098">
        <v>2020</v>
      </c>
      <c r="B4098">
        <v>5</v>
      </c>
      <c r="C4098" s="1" t="s">
        <v>28</v>
      </c>
      <c r="D4098" s="1" t="s">
        <v>19</v>
      </c>
      <c r="E4098" s="1" t="s">
        <v>46</v>
      </c>
      <c r="F4098">
        <v>2006</v>
      </c>
      <c r="G4098">
        <v>14</v>
      </c>
      <c r="H4098" s="1" t="s">
        <v>21</v>
      </c>
      <c r="I4098">
        <v>25</v>
      </c>
      <c r="J4098">
        <v>2740</v>
      </c>
      <c r="K4098" s="1" t="s">
        <v>47</v>
      </c>
      <c r="L4098" s="1" t="s">
        <v>45</v>
      </c>
      <c r="M4098">
        <v>1.7749999999999999</v>
      </c>
      <c r="N4098">
        <v>44367.4</v>
      </c>
      <c r="O4098">
        <v>44.366999999999997</v>
      </c>
      <c r="P4098" s="2">
        <v>43952</v>
      </c>
      <c r="Q4098">
        <v>1</v>
      </c>
      <c r="R4098" s="1" t="s">
        <v>24</v>
      </c>
    </row>
    <row r="4099" spans="1:18" x14ac:dyDescent="0.25">
      <c r="A4099">
        <v>2020</v>
      </c>
      <c r="B4099">
        <v>6</v>
      </c>
      <c r="C4099" s="1" t="s">
        <v>29</v>
      </c>
      <c r="D4099" s="1" t="s">
        <v>19</v>
      </c>
      <c r="E4099" s="1" t="s">
        <v>46</v>
      </c>
      <c r="F4099">
        <v>2006</v>
      </c>
      <c r="G4099">
        <v>14</v>
      </c>
      <c r="H4099" s="1" t="s">
        <v>21</v>
      </c>
      <c r="I4099">
        <v>25</v>
      </c>
      <c r="J4099">
        <v>2740</v>
      </c>
      <c r="K4099" s="1" t="s">
        <v>47</v>
      </c>
      <c r="L4099" s="1" t="s">
        <v>45</v>
      </c>
      <c r="M4099">
        <v>1.849</v>
      </c>
      <c r="N4099">
        <v>46217</v>
      </c>
      <c r="O4099">
        <v>46.216999999999999</v>
      </c>
      <c r="P4099" s="2">
        <v>43983</v>
      </c>
      <c r="Q4099">
        <v>1</v>
      </c>
      <c r="R4099" s="1" t="s">
        <v>24</v>
      </c>
    </row>
    <row r="4100" spans="1:18" x14ac:dyDescent="0.25">
      <c r="A4100">
        <v>2020</v>
      </c>
      <c r="B4100">
        <v>7</v>
      </c>
      <c r="C4100" s="1" t="s">
        <v>30</v>
      </c>
      <c r="D4100" s="1" t="s">
        <v>19</v>
      </c>
      <c r="E4100" s="1" t="s">
        <v>46</v>
      </c>
      <c r="F4100">
        <v>2006</v>
      </c>
      <c r="G4100">
        <v>14</v>
      </c>
      <c r="H4100" s="1" t="s">
        <v>21</v>
      </c>
      <c r="I4100">
        <v>25</v>
      </c>
      <c r="J4100">
        <v>2740</v>
      </c>
      <c r="K4100" s="1" t="s">
        <v>47</v>
      </c>
      <c r="L4100" s="1" t="s">
        <v>45</v>
      </c>
      <c r="M4100">
        <v>1.889</v>
      </c>
      <c r="N4100">
        <v>47223.9</v>
      </c>
      <c r="O4100">
        <v>47.223999999999997</v>
      </c>
      <c r="P4100" s="2">
        <v>44013</v>
      </c>
      <c r="Q4100">
        <v>1</v>
      </c>
      <c r="R4100" s="1" t="s">
        <v>24</v>
      </c>
    </row>
    <row r="4101" spans="1:18" x14ac:dyDescent="0.25">
      <c r="A4101">
        <v>2020</v>
      </c>
      <c r="B4101">
        <v>8</v>
      </c>
      <c r="C4101" s="1" t="s">
        <v>31</v>
      </c>
      <c r="D4101" s="1" t="s">
        <v>19</v>
      </c>
      <c r="E4101" s="1" t="s">
        <v>46</v>
      </c>
      <c r="F4101">
        <v>2006</v>
      </c>
      <c r="G4101">
        <v>14</v>
      </c>
      <c r="H4101" s="1" t="s">
        <v>21</v>
      </c>
      <c r="I4101">
        <v>25</v>
      </c>
      <c r="J4101">
        <v>2740</v>
      </c>
      <c r="K4101" s="1" t="s">
        <v>47</v>
      </c>
      <c r="L4101" s="1" t="s">
        <v>45</v>
      </c>
      <c r="M4101">
        <v>1.8049999999999999</v>
      </c>
      <c r="N4101">
        <v>45127.8</v>
      </c>
      <c r="O4101">
        <v>45.128</v>
      </c>
      <c r="P4101" s="2">
        <v>44044</v>
      </c>
      <c r="Q4101">
        <v>1</v>
      </c>
      <c r="R4101" s="1" t="s">
        <v>24</v>
      </c>
    </row>
    <row r="4102" spans="1:18" x14ac:dyDescent="0.25">
      <c r="A4102">
        <v>2020</v>
      </c>
      <c r="B4102">
        <v>9</v>
      </c>
      <c r="C4102" s="1" t="s">
        <v>32</v>
      </c>
      <c r="D4102" s="1" t="s">
        <v>19</v>
      </c>
      <c r="E4102" s="1" t="s">
        <v>46</v>
      </c>
      <c r="F4102">
        <v>2006</v>
      </c>
      <c r="G4102">
        <v>14</v>
      </c>
      <c r="H4102" s="1" t="s">
        <v>21</v>
      </c>
      <c r="I4102">
        <v>25</v>
      </c>
      <c r="J4102">
        <v>2740</v>
      </c>
      <c r="K4102" s="1" t="s">
        <v>47</v>
      </c>
      <c r="L4102" s="1" t="s">
        <v>45</v>
      </c>
      <c r="M4102">
        <v>1.9</v>
      </c>
      <c r="N4102">
        <v>47511.6</v>
      </c>
      <c r="O4102">
        <v>47.512</v>
      </c>
      <c r="P4102" s="2">
        <v>44075</v>
      </c>
      <c r="Q4102">
        <v>1</v>
      </c>
      <c r="R4102" s="1" t="s">
        <v>24</v>
      </c>
    </row>
    <row r="4103" spans="1:18" x14ac:dyDescent="0.25">
      <c r="A4103">
        <v>2020</v>
      </c>
      <c r="B4103">
        <v>10</v>
      </c>
      <c r="C4103" s="1" t="s">
        <v>33</v>
      </c>
      <c r="D4103" s="1" t="s">
        <v>19</v>
      </c>
      <c r="E4103" s="1" t="s">
        <v>46</v>
      </c>
      <c r="F4103">
        <v>2006</v>
      </c>
      <c r="G4103">
        <v>14</v>
      </c>
      <c r="H4103" s="1" t="s">
        <v>21</v>
      </c>
      <c r="I4103">
        <v>25</v>
      </c>
      <c r="J4103">
        <v>2740</v>
      </c>
      <c r="K4103" s="1" t="s">
        <v>47</v>
      </c>
      <c r="L4103" s="1" t="s">
        <v>45</v>
      </c>
      <c r="M4103">
        <v>1.76</v>
      </c>
      <c r="N4103">
        <v>43997.5</v>
      </c>
      <c r="O4103">
        <v>43.997999999999998</v>
      </c>
      <c r="P4103" s="2">
        <v>44105</v>
      </c>
      <c r="Q4103">
        <v>1</v>
      </c>
      <c r="R4103" s="1" t="s">
        <v>24</v>
      </c>
    </row>
    <row r="4104" spans="1:18" x14ac:dyDescent="0.25">
      <c r="A4104">
        <v>2020</v>
      </c>
      <c r="B4104">
        <v>11</v>
      </c>
      <c r="C4104" s="1" t="s">
        <v>34</v>
      </c>
      <c r="D4104" s="1" t="s">
        <v>19</v>
      </c>
      <c r="E4104" s="1" t="s">
        <v>46</v>
      </c>
      <c r="F4104">
        <v>2006</v>
      </c>
      <c r="G4104">
        <v>14</v>
      </c>
      <c r="H4104" s="1" t="s">
        <v>21</v>
      </c>
      <c r="I4104">
        <v>25</v>
      </c>
      <c r="J4104">
        <v>2740</v>
      </c>
      <c r="K4104" s="1" t="s">
        <v>47</v>
      </c>
      <c r="L4104" s="1" t="s">
        <v>45</v>
      </c>
      <c r="M4104">
        <v>1.498</v>
      </c>
      <c r="N4104">
        <v>37442.1</v>
      </c>
      <c r="O4104">
        <v>37.442</v>
      </c>
      <c r="P4104" s="2">
        <v>44136</v>
      </c>
      <c r="Q4104">
        <v>1</v>
      </c>
      <c r="R4104" s="1" t="s">
        <v>24</v>
      </c>
    </row>
    <row r="4105" spans="1:18" x14ac:dyDescent="0.25">
      <c r="A4105">
        <v>2020</v>
      </c>
      <c r="B4105">
        <v>12</v>
      </c>
      <c r="C4105" s="1" t="s">
        <v>35</v>
      </c>
      <c r="D4105" s="1" t="s">
        <v>19</v>
      </c>
      <c r="E4105" s="1" t="s">
        <v>46</v>
      </c>
      <c r="F4105">
        <v>2006</v>
      </c>
      <c r="G4105">
        <v>14</v>
      </c>
      <c r="H4105" s="1" t="s">
        <v>21</v>
      </c>
      <c r="I4105">
        <v>25</v>
      </c>
      <c r="J4105">
        <v>2740</v>
      </c>
      <c r="K4105" s="1" t="s">
        <v>47</v>
      </c>
      <c r="L4105" s="1" t="s">
        <v>45</v>
      </c>
      <c r="M4105">
        <v>1.343</v>
      </c>
      <c r="N4105">
        <v>33578.699999999997</v>
      </c>
      <c r="O4105">
        <v>33.579000000000001</v>
      </c>
      <c r="P4105" s="2">
        <v>44166</v>
      </c>
      <c r="Q4105">
        <v>1</v>
      </c>
      <c r="R4105" s="1" t="s">
        <v>24</v>
      </c>
    </row>
    <row r="4106" spans="1:18" x14ac:dyDescent="0.25">
      <c r="A4106">
        <v>2020</v>
      </c>
      <c r="B4106">
        <v>1</v>
      </c>
      <c r="C4106" s="1" t="s">
        <v>18</v>
      </c>
      <c r="D4106" s="1" t="s">
        <v>19</v>
      </c>
      <c r="E4106" s="1" t="s">
        <v>48</v>
      </c>
      <c r="F4106">
        <v>2006</v>
      </c>
      <c r="G4106">
        <v>14</v>
      </c>
      <c r="H4106" s="1" t="s">
        <v>21</v>
      </c>
      <c r="I4106">
        <v>24</v>
      </c>
      <c r="J4106">
        <v>3230</v>
      </c>
      <c r="K4106" s="1" t="s">
        <v>49</v>
      </c>
      <c r="L4106" s="1" t="s">
        <v>45</v>
      </c>
      <c r="M4106">
        <v>0.94899999999999995</v>
      </c>
      <c r="N4106">
        <v>22771.5</v>
      </c>
      <c r="O4106">
        <v>22.771999999999998</v>
      </c>
      <c r="P4106" s="2">
        <v>43831</v>
      </c>
      <c r="Q4106">
        <v>1</v>
      </c>
      <c r="R4106" s="1" t="s">
        <v>24</v>
      </c>
    </row>
    <row r="4107" spans="1:18" x14ac:dyDescent="0.25">
      <c r="A4107">
        <v>2020</v>
      </c>
      <c r="B4107">
        <v>2</v>
      </c>
      <c r="C4107" s="1" t="s">
        <v>25</v>
      </c>
      <c r="D4107" s="1" t="s">
        <v>19</v>
      </c>
      <c r="E4107" s="1" t="s">
        <v>48</v>
      </c>
      <c r="F4107">
        <v>2006</v>
      </c>
      <c r="G4107">
        <v>14</v>
      </c>
      <c r="H4107" s="1" t="s">
        <v>21</v>
      </c>
      <c r="I4107">
        <v>24</v>
      </c>
      <c r="J4107">
        <v>3230</v>
      </c>
      <c r="K4107" s="1" t="s">
        <v>49</v>
      </c>
      <c r="L4107" s="1" t="s">
        <v>45</v>
      </c>
      <c r="M4107">
        <v>0.96099999999999997</v>
      </c>
      <c r="N4107">
        <v>23062.2</v>
      </c>
      <c r="O4107">
        <v>23.062000000000001</v>
      </c>
      <c r="P4107" s="2">
        <v>43862</v>
      </c>
      <c r="Q4107">
        <v>1</v>
      </c>
      <c r="R4107" s="1" t="s">
        <v>24</v>
      </c>
    </row>
    <row r="4108" spans="1:18" x14ac:dyDescent="0.25">
      <c r="A4108">
        <v>2020</v>
      </c>
      <c r="B4108">
        <v>3</v>
      </c>
      <c r="C4108" s="1" t="s">
        <v>26</v>
      </c>
      <c r="D4108" s="1" t="s">
        <v>19</v>
      </c>
      <c r="E4108" s="1" t="s">
        <v>48</v>
      </c>
      <c r="F4108">
        <v>2006</v>
      </c>
      <c r="G4108">
        <v>14</v>
      </c>
      <c r="H4108" s="1" t="s">
        <v>21</v>
      </c>
      <c r="I4108">
        <v>24</v>
      </c>
      <c r="J4108">
        <v>3230</v>
      </c>
      <c r="K4108" s="1" t="s">
        <v>49</v>
      </c>
      <c r="L4108" s="1" t="s">
        <v>45</v>
      </c>
      <c r="M4108">
        <v>1.1100000000000001</v>
      </c>
      <c r="N4108">
        <v>26647.5</v>
      </c>
      <c r="O4108">
        <v>26.648</v>
      </c>
      <c r="P4108" s="2">
        <v>43891</v>
      </c>
      <c r="Q4108">
        <v>1</v>
      </c>
      <c r="R4108" s="1" t="s">
        <v>24</v>
      </c>
    </row>
    <row r="4109" spans="1:18" x14ac:dyDescent="0.25">
      <c r="A4109">
        <v>2020</v>
      </c>
      <c r="B4109">
        <v>4</v>
      </c>
      <c r="C4109" s="1" t="s">
        <v>27</v>
      </c>
      <c r="D4109" s="1" t="s">
        <v>19</v>
      </c>
      <c r="E4109" s="1" t="s">
        <v>48</v>
      </c>
      <c r="F4109">
        <v>2006</v>
      </c>
      <c r="G4109">
        <v>14</v>
      </c>
      <c r="H4109" s="1" t="s">
        <v>21</v>
      </c>
      <c r="I4109">
        <v>24</v>
      </c>
      <c r="J4109">
        <v>3230</v>
      </c>
      <c r="K4109" s="1" t="s">
        <v>49</v>
      </c>
      <c r="L4109" s="1" t="s">
        <v>45</v>
      </c>
      <c r="M4109">
        <v>1.9470000000000001</v>
      </c>
      <c r="N4109">
        <v>46730</v>
      </c>
      <c r="O4109">
        <v>46.73</v>
      </c>
      <c r="P4109" s="2">
        <v>43922</v>
      </c>
      <c r="Q4109">
        <v>1</v>
      </c>
      <c r="R4109" s="1" t="s">
        <v>24</v>
      </c>
    </row>
    <row r="4110" spans="1:18" x14ac:dyDescent="0.25">
      <c r="A4110">
        <v>2020</v>
      </c>
      <c r="B4110">
        <v>5</v>
      </c>
      <c r="C4110" s="1" t="s">
        <v>28</v>
      </c>
      <c r="D4110" s="1" t="s">
        <v>19</v>
      </c>
      <c r="E4110" s="1" t="s">
        <v>48</v>
      </c>
      <c r="F4110">
        <v>2006</v>
      </c>
      <c r="G4110">
        <v>14</v>
      </c>
      <c r="H4110" s="1" t="s">
        <v>21</v>
      </c>
      <c r="I4110">
        <v>24</v>
      </c>
      <c r="J4110">
        <v>3230</v>
      </c>
      <c r="K4110" s="1" t="s">
        <v>49</v>
      </c>
      <c r="L4110" s="1" t="s">
        <v>45</v>
      </c>
      <c r="M4110">
        <v>2.1789999999999998</v>
      </c>
      <c r="N4110">
        <v>52301.8</v>
      </c>
      <c r="O4110">
        <v>52.302</v>
      </c>
      <c r="P4110" s="2">
        <v>43952</v>
      </c>
      <c r="Q4110">
        <v>1</v>
      </c>
      <c r="R4110" s="1" t="s">
        <v>24</v>
      </c>
    </row>
    <row r="4111" spans="1:18" x14ac:dyDescent="0.25">
      <c r="A4111">
        <v>2020</v>
      </c>
      <c r="B4111">
        <v>6</v>
      </c>
      <c r="C4111" s="1" t="s">
        <v>29</v>
      </c>
      <c r="D4111" s="1" t="s">
        <v>19</v>
      </c>
      <c r="E4111" s="1" t="s">
        <v>48</v>
      </c>
      <c r="F4111">
        <v>2006</v>
      </c>
      <c r="G4111">
        <v>14</v>
      </c>
      <c r="H4111" s="1" t="s">
        <v>21</v>
      </c>
      <c r="I4111">
        <v>24</v>
      </c>
      <c r="J4111">
        <v>3230</v>
      </c>
      <c r="K4111" s="1" t="s">
        <v>49</v>
      </c>
      <c r="L4111" s="1" t="s">
        <v>45</v>
      </c>
      <c r="M4111">
        <v>2.27</v>
      </c>
      <c r="N4111">
        <v>54482</v>
      </c>
      <c r="O4111">
        <v>54.481999999999999</v>
      </c>
      <c r="P4111" s="2">
        <v>43983</v>
      </c>
      <c r="Q4111">
        <v>1</v>
      </c>
      <c r="R4111" s="1" t="s">
        <v>24</v>
      </c>
    </row>
    <row r="4112" spans="1:18" x14ac:dyDescent="0.25">
      <c r="A4112">
        <v>2020</v>
      </c>
      <c r="B4112">
        <v>7</v>
      </c>
      <c r="C4112" s="1" t="s">
        <v>30</v>
      </c>
      <c r="D4112" s="1" t="s">
        <v>19</v>
      </c>
      <c r="E4112" s="1" t="s">
        <v>48</v>
      </c>
      <c r="F4112">
        <v>2006</v>
      </c>
      <c r="G4112">
        <v>14</v>
      </c>
      <c r="H4112" s="1" t="s">
        <v>21</v>
      </c>
      <c r="I4112">
        <v>24</v>
      </c>
      <c r="J4112">
        <v>3230</v>
      </c>
      <c r="K4112" s="1" t="s">
        <v>49</v>
      </c>
      <c r="L4112" s="1" t="s">
        <v>45</v>
      </c>
      <c r="M4112">
        <v>2.3199999999999998</v>
      </c>
      <c r="N4112">
        <v>55669.1</v>
      </c>
      <c r="O4112">
        <v>55.668999999999997</v>
      </c>
      <c r="P4112" s="2">
        <v>44013</v>
      </c>
      <c r="Q4112">
        <v>1</v>
      </c>
      <c r="R4112" s="1" t="s">
        <v>24</v>
      </c>
    </row>
    <row r="4113" spans="1:18" x14ac:dyDescent="0.25">
      <c r="A4113">
        <v>2020</v>
      </c>
      <c r="B4113">
        <v>8</v>
      </c>
      <c r="C4113" s="1" t="s">
        <v>31</v>
      </c>
      <c r="D4113" s="1" t="s">
        <v>19</v>
      </c>
      <c r="E4113" s="1" t="s">
        <v>48</v>
      </c>
      <c r="F4113">
        <v>2006</v>
      </c>
      <c r="G4113">
        <v>14</v>
      </c>
      <c r="H4113" s="1" t="s">
        <v>21</v>
      </c>
      <c r="I4113">
        <v>24</v>
      </c>
      <c r="J4113">
        <v>3230</v>
      </c>
      <c r="K4113" s="1" t="s">
        <v>49</v>
      </c>
      <c r="L4113" s="1" t="s">
        <v>45</v>
      </c>
      <c r="M4113">
        <v>2.2170000000000001</v>
      </c>
      <c r="N4113">
        <v>53198.1</v>
      </c>
      <c r="O4113">
        <v>53.198</v>
      </c>
      <c r="P4113" s="2">
        <v>44044</v>
      </c>
      <c r="Q4113">
        <v>1</v>
      </c>
      <c r="R4113" s="1" t="s">
        <v>24</v>
      </c>
    </row>
    <row r="4114" spans="1:18" x14ac:dyDescent="0.25">
      <c r="A4114">
        <v>2020</v>
      </c>
      <c r="B4114">
        <v>9</v>
      </c>
      <c r="C4114" s="1" t="s">
        <v>32</v>
      </c>
      <c r="D4114" s="1" t="s">
        <v>19</v>
      </c>
      <c r="E4114" s="1" t="s">
        <v>48</v>
      </c>
      <c r="F4114">
        <v>2006</v>
      </c>
      <c r="G4114">
        <v>14</v>
      </c>
      <c r="H4114" s="1" t="s">
        <v>21</v>
      </c>
      <c r="I4114">
        <v>24</v>
      </c>
      <c r="J4114">
        <v>3230</v>
      </c>
      <c r="K4114" s="1" t="s">
        <v>49</v>
      </c>
      <c r="L4114" s="1" t="s">
        <v>45</v>
      </c>
      <c r="M4114">
        <v>2.3340000000000001</v>
      </c>
      <c r="N4114">
        <v>56008.2</v>
      </c>
      <c r="O4114">
        <v>56.008000000000003</v>
      </c>
      <c r="P4114" s="2">
        <v>44075</v>
      </c>
      <c r="Q4114">
        <v>1</v>
      </c>
      <c r="R4114" s="1" t="s">
        <v>24</v>
      </c>
    </row>
    <row r="4115" spans="1:18" x14ac:dyDescent="0.25">
      <c r="A4115">
        <v>2020</v>
      </c>
      <c r="B4115">
        <v>10</v>
      </c>
      <c r="C4115" s="1" t="s">
        <v>33</v>
      </c>
      <c r="D4115" s="1" t="s">
        <v>19</v>
      </c>
      <c r="E4115" s="1" t="s">
        <v>48</v>
      </c>
      <c r="F4115">
        <v>2006</v>
      </c>
      <c r="G4115">
        <v>14</v>
      </c>
      <c r="H4115" s="1" t="s">
        <v>21</v>
      </c>
      <c r="I4115">
        <v>24</v>
      </c>
      <c r="J4115">
        <v>3230</v>
      </c>
      <c r="K4115" s="1" t="s">
        <v>49</v>
      </c>
      <c r="L4115" s="1" t="s">
        <v>45</v>
      </c>
      <c r="M4115">
        <v>2.161</v>
      </c>
      <c r="N4115">
        <v>51865.7</v>
      </c>
      <c r="O4115">
        <v>51.866</v>
      </c>
      <c r="P4115" s="2">
        <v>44105</v>
      </c>
      <c r="Q4115">
        <v>1</v>
      </c>
      <c r="R4115" s="1" t="s">
        <v>24</v>
      </c>
    </row>
    <row r="4116" spans="1:18" x14ac:dyDescent="0.25">
      <c r="A4116">
        <v>2020</v>
      </c>
      <c r="B4116">
        <v>11</v>
      </c>
      <c r="C4116" s="1" t="s">
        <v>34</v>
      </c>
      <c r="D4116" s="1" t="s">
        <v>19</v>
      </c>
      <c r="E4116" s="1" t="s">
        <v>48</v>
      </c>
      <c r="F4116">
        <v>2006</v>
      </c>
      <c r="G4116">
        <v>14</v>
      </c>
      <c r="H4116" s="1" t="s">
        <v>21</v>
      </c>
      <c r="I4116">
        <v>24</v>
      </c>
      <c r="J4116">
        <v>3230</v>
      </c>
      <c r="K4116" s="1" t="s">
        <v>49</v>
      </c>
      <c r="L4116" s="1" t="s">
        <v>45</v>
      </c>
      <c r="M4116">
        <v>1.839</v>
      </c>
      <c r="N4116">
        <v>44138</v>
      </c>
      <c r="O4116">
        <v>44.137999999999998</v>
      </c>
      <c r="P4116" s="2">
        <v>44136</v>
      </c>
      <c r="Q4116">
        <v>1</v>
      </c>
      <c r="R4116" s="1" t="s">
        <v>24</v>
      </c>
    </row>
    <row r="4117" spans="1:18" x14ac:dyDescent="0.25">
      <c r="A4117">
        <v>2020</v>
      </c>
      <c r="B4117">
        <v>12</v>
      </c>
      <c r="C4117" s="1" t="s">
        <v>35</v>
      </c>
      <c r="D4117" s="1" t="s">
        <v>19</v>
      </c>
      <c r="E4117" s="1" t="s">
        <v>48</v>
      </c>
      <c r="F4117">
        <v>2006</v>
      </c>
      <c r="G4117">
        <v>14</v>
      </c>
      <c r="H4117" s="1" t="s">
        <v>21</v>
      </c>
      <c r="I4117">
        <v>24</v>
      </c>
      <c r="J4117">
        <v>3230</v>
      </c>
      <c r="K4117" s="1" t="s">
        <v>49</v>
      </c>
      <c r="L4117" s="1" t="s">
        <v>45</v>
      </c>
      <c r="M4117">
        <v>1.649</v>
      </c>
      <c r="N4117">
        <v>39583.699999999997</v>
      </c>
      <c r="O4117">
        <v>39.584000000000003</v>
      </c>
      <c r="P4117" s="2">
        <v>44166</v>
      </c>
      <c r="Q4117">
        <v>1</v>
      </c>
      <c r="R4117" s="1" t="s">
        <v>24</v>
      </c>
    </row>
    <row r="4118" spans="1:18" x14ac:dyDescent="0.25">
      <c r="A4118">
        <v>2020</v>
      </c>
      <c r="B4118">
        <v>1</v>
      </c>
      <c r="C4118" s="1" t="s">
        <v>18</v>
      </c>
      <c r="D4118" s="1" t="s">
        <v>19</v>
      </c>
      <c r="E4118" s="1" t="s">
        <v>50</v>
      </c>
      <c r="F4118">
        <v>2006</v>
      </c>
      <c r="G4118">
        <v>14</v>
      </c>
      <c r="H4118" s="1" t="s">
        <v>21</v>
      </c>
      <c r="I4118">
        <v>22</v>
      </c>
      <c r="J4118">
        <v>2447</v>
      </c>
      <c r="K4118" s="1" t="s">
        <v>51</v>
      </c>
      <c r="L4118" s="1" t="s">
        <v>45</v>
      </c>
      <c r="M4118">
        <v>0.78400000000000003</v>
      </c>
      <c r="N4118">
        <v>17251.3</v>
      </c>
      <c r="O4118">
        <v>17.251000000000001</v>
      </c>
      <c r="P4118" s="2">
        <v>43831</v>
      </c>
      <c r="Q4118">
        <v>1</v>
      </c>
      <c r="R4118" s="1" t="s">
        <v>24</v>
      </c>
    </row>
    <row r="4119" spans="1:18" x14ac:dyDescent="0.25">
      <c r="A4119">
        <v>2020</v>
      </c>
      <c r="B4119">
        <v>2</v>
      </c>
      <c r="C4119" s="1" t="s">
        <v>25</v>
      </c>
      <c r="D4119" s="1" t="s">
        <v>19</v>
      </c>
      <c r="E4119" s="1" t="s">
        <v>50</v>
      </c>
      <c r="F4119">
        <v>2006</v>
      </c>
      <c r="G4119">
        <v>14</v>
      </c>
      <c r="H4119" s="1" t="s">
        <v>21</v>
      </c>
      <c r="I4119">
        <v>22</v>
      </c>
      <c r="J4119">
        <v>2447</v>
      </c>
      <c r="K4119" s="1" t="s">
        <v>51</v>
      </c>
      <c r="L4119" s="1" t="s">
        <v>45</v>
      </c>
      <c r="M4119">
        <v>0.79400000000000004</v>
      </c>
      <c r="N4119">
        <v>17471.599999999999</v>
      </c>
      <c r="O4119">
        <v>17.472000000000001</v>
      </c>
      <c r="P4119" s="2">
        <v>43862</v>
      </c>
      <c r="Q4119">
        <v>1</v>
      </c>
      <c r="R4119" s="1" t="s">
        <v>24</v>
      </c>
    </row>
    <row r="4120" spans="1:18" x14ac:dyDescent="0.25">
      <c r="A4120">
        <v>2020</v>
      </c>
      <c r="B4120">
        <v>3</v>
      </c>
      <c r="C4120" s="1" t="s">
        <v>26</v>
      </c>
      <c r="D4120" s="1" t="s">
        <v>19</v>
      </c>
      <c r="E4120" s="1" t="s">
        <v>50</v>
      </c>
      <c r="F4120">
        <v>2006</v>
      </c>
      <c r="G4120">
        <v>14</v>
      </c>
      <c r="H4120" s="1" t="s">
        <v>21</v>
      </c>
      <c r="I4120">
        <v>22</v>
      </c>
      <c r="J4120">
        <v>2447</v>
      </c>
      <c r="K4120" s="1" t="s">
        <v>51</v>
      </c>
      <c r="L4120" s="1" t="s">
        <v>45</v>
      </c>
      <c r="M4120">
        <v>0.91800000000000004</v>
      </c>
      <c r="N4120">
        <v>20187.8</v>
      </c>
      <c r="O4120">
        <v>20.187999999999999</v>
      </c>
      <c r="P4120" s="2">
        <v>43891</v>
      </c>
      <c r="Q4120">
        <v>1</v>
      </c>
      <c r="R4120" s="1" t="s">
        <v>24</v>
      </c>
    </row>
    <row r="4121" spans="1:18" x14ac:dyDescent="0.25">
      <c r="A4121">
        <v>2020</v>
      </c>
      <c r="B4121">
        <v>4</v>
      </c>
      <c r="C4121" s="1" t="s">
        <v>27</v>
      </c>
      <c r="D4121" s="1" t="s">
        <v>19</v>
      </c>
      <c r="E4121" s="1" t="s">
        <v>50</v>
      </c>
      <c r="F4121">
        <v>2006</v>
      </c>
      <c r="G4121">
        <v>14</v>
      </c>
      <c r="H4121" s="1" t="s">
        <v>21</v>
      </c>
      <c r="I4121">
        <v>22</v>
      </c>
      <c r="J4121">
        <v>2447</v>
      </c>
      <c r="K4121" s="1" t="s">
        <v>51</v>
      </c>
      <c r="L4121" s="1" t="s">
        <v>45</v>
      </c>
      <c r="M4121">
        <v>1.609</v>
      </c>
      <c r="N4121">
        <v>35402</v>
      </c>
      <c r="O4121">
        <v>35.402000000000001</v>
      </c>
      <c r="P4121" s="2">
        <v>43922</v>
      </c>
      <c r="Q4121">
        <v>1</v>
      </c>
      <c r="R4121" s="1" t="s">
        <v>24</v>
      </c>
    </row>
    <row r="4122" spans="1:18" x14ac:dyDescent="0.25">
      <c r="A4122">
        <v>2020</v>
      </c>
      <c r="B4122">
        <v>5</v>
      </c>
      <c r="C4122" s="1" t="s">
        <v>28</v>
      </c>
      <c r="D4122" s="1" t="s">
        <v>19</v>
      </c>
      <c r="E4122" s="1" t="s">
        <v>50</v>
      </c>
      <c r="F4122">
        <v>2006</v>
      </c>
      <c r="G4122">
        <v>14</v>
      </c>
      <c r="H4122" s="1" t="s">
        <v>21</v>
      </c>
      <c r="I4122">
        <v>22</v>
      </c>
      <c r="J4122">
        <v>2447</v>
      </c>
      <c r="K4122" s="1" t="s">
        <v>51</v>
      </c>
      <c r="L4122" s="1" t="s">
        <v>45</v>
      </c>
      <c r="M4122">
        <v>1.8009999999999999</v>
      </c>
      <c r="N4122">
        <v>39623</v>
      </c>
      <c r="O4122">
        <v>39.622999999999998</v>
      </c>
      <c r="P4122" s="2">
        <v>43952</v>
      </c>
      <c r="Q4122">
        <v>1</v>
      </c>
      <c r="R4122" s="1" t="s">
        <v>24</v>
      </c>
    </row>
    <row r="4123" spans="1:18" x14ac:dyDescent="0.25">
      <c r="A4123">
        <v>2020</v>
      </c>
      <c r="B4123">
        <v>6</v>
      </c>
      <c r="C4123" s="1" t="s">
        <v>29</v>
      </c>
      <c r="D4123" s="1" t="s">
        <v>19</v>
      </c>
      <c r="E4123" s="1" t="s">
        <v>50</v>
      </c>
      <c r="F4123">
        <v>2006</v>
      </c>
      <c r="G4123">
        <v>14</v>
      </c>
      <c r="H4123" s="1" t="s">
        <v>21</v>
      </c>
      <c r="I4123">
        <v>22</v>
      </c>
      <c r="J4123">
        <v>2447</v>
      </c>
      <c r="K4123" s="1" t="s">
        <v>51</v>
      </c>
      <c r="L4123" s="1" t="s">
        <v>45</v>
      </c>
      <c r="M4123">
        <v>1.8759999999999999</v>
      </c>
      <c r="N4123">
        <v>41274.800000000003</v>
      </c>
      <c r="O4123">
        <v>41.274999999999999</v>
      </c>
      <c r="P4123" s="2">
        <v>43983</v>
      </c>
      <c r="Q4123">
        <v>1</v>
      </c>
      <c r="R4123" s="1" t="s">
        <v>24</v>
      </c>
    </row>
    <row r="4124" spans="1:18" x14ac:dyDescent="0.25">
      <c r="A4124">
        <v>2020</v>
      </c>
      <c r="B4124">
        <v>7</v>
      </c>
      <c r="C4124" s="1" t="s">
        <v>30</v>
      </c>
      <c r="D4124" s="1" t="s">
        <v>19</v>
      </c>
      <c r="E4124" s="1" t="s">
        <v>50</v>
      </c>
      <c r="F4124">
        <v>2006</v>
      </c>
      <c r="G4124">
        <v>14</v>
      </c>
      <c r="H4124" s="1" t="s">
        <v>21</v>
      </c>
      <c r="I4124">
        <v>22</v>
      </c>
      <c r="J4124">
        <v>2447</v>
      </c>
      <c r="K4124" s="1" t="s">
        <v>51</v>
      </c>
      <c r="L4124" s="1" t="s">
        <v>45</v>
      </c>
      <c r="M4124">
        <v>1.917</v>
      </c>
      <c r="N4124">
        <v>42174</v>
      </c>
      <c r="O4124">
        <v>42.173999999999999</v>
      </c>
      <c r="P4124" s="2">
        <v>44013</v>
      </c>
      <c r="Q4124">
        <v>1</v>
      </c>
      <c r="R4124" s="1" t="s">
        <v>24</v>
      </c>
    </row>
    <row r="4125" spans="1:18" x14ac:dyDescent="0.25">
      <c r="A4125">
        <v>2020</v>
      </c>
      <c r="B4125">
        <v>8</v>
      </c>
      <c r="C4125" s="1" t="s">
        <v>31</v>
      </c>
      <c r="D4125" s="1" t="s">
        <v>19</v>
      </c>
      <c r="E4125" s="1" t="s">
        <v>50</v>
      </c>
      <c r="F4125">
        <v>2006</v>
      </c>
      <c r="G4125">
        <v>14</v>
      </c>
      <c r="H4125" s="1" t="s">
        <v>21</v>
      </c>
      <c r="I4125">
        <v>22</v>
      </c>
      <c r="J4125">
        <v>2447</v>
      </c>
      <c r="K4125" s="1" t="s">
        <v>51</v>
      </c>
      <c r="L4125" s="1" t="s">
        <v>45</v>
      </c>
      <c r="M4125">
        <v>1.8320000000000001</v>
      </c>
      <c r="N4125">
        <v>40302.1</v>
      </c>
      <c r="O4125">
        <v>40.302</v>
      </c>
      <c r="P4125" s="2">
        <v>44044</v>
      </c>
      <c r="Q4125">
        <v>1</v>
      </c>
      <c r="R4125" s="1" t="s">
        <v>24</v>
      </c>
    </row>
    <row r="4126" spans="1:18" x14ac:dyDescent="0.25">
      <c r="A4126">
        <v>2020</v>
      </c>
      <c r="B4126">
        <v>9</v>
      </c>
      <c r="C4126" s="1" t="s">
        <v>32</v>
      </c>
      <c r="D4126" s="1" t="s">
        <v>19</v>
      </c>
      <c r="E4126" s="1" t="s">
        <v>50</v>
      </c>
      <c r="F4126">
        <v>2006</v>
      </c>
      <c r="G4126">
        <v>14</v>
      </c>
      <c r="H4126" s="1" t="s">
        <v>21</v>
      </c>
      <c r="I4126">
        <v>22</v>
      </c>
      <c r="J4126">
        <v>2447</v>
      </c>
      <c r="K4126" s="1" t="s">
        <v>51</v>
      </c>
      <c r="L4126" s="1" t="s">
        <v>45</v>
      </c>
      <c r="M4126">
        <v>1.929</v>
      </c>
      <c r="N4126">
        <v>42431</v>
      </c>
      <c r="O4126">
        <v>42.430999999999997</v>
      </c>
      <c r="P4126" s="2">
        <v>44075</v>
      </c>
      <c r="Q4126">
        <v>1</v>
      </c>
      <c r="R4126" s="1" t="s">
        <v>24</v>
      </c>
    </row>
    <row r="4127" spans="1:18" x14ac:dyDescent="0.25">
      <c r="A4127">
        <v>2020</v>
      </c>
      <c r="B4127">
        <v>10</v>
      </c>
      <c r="C4127" s="1" t="s">
        <v>33</v>
      </c>
      <c r="D4127" s="1" t="s">
        <v>19</v>
      </c>
      <c r="E4127" s="1" t="s">
        <v>50</v>
      </c>
      <c r="F4127">
        <v>2006</v>
      </c>
      <c r="G4127">
        <v>14</v>
      </c>
      <c r="H4127" s="1" t="s">
        <v>21</v>
      </c>
      <c r="I4127">
        <v>22</v>
      </c>
      <c r="J4127">
        <v>2447</v>
      </c>
      <c r="K4127" s="1" t="s">
        <v>51</v>
      </c>
      <c r="L4127" s="1" t="s">
        <v>45</v>
      </c>
      <c r="M4127">
        <v>1.786</v>
      </c>
      <c r="N4127">
        <v>39292.699999999997</v>
      </c>
      <c r="O4127">
        <v>39.292999999999999</v>
      </c>
      <c r="P4127" s="2">
        <v>44105</v>
      </c>
      <c r="Q4127">
        <v>1</v>
      </c>
      <c r="R4127" s="1" t="s">
        <v>24</v>
      </c>
    </row>
    <row r="4128" spans="1:18" x14ac:dyDescent="0.25">
      <c r="A4128">
        <v>2020</v>
      </c>
      <c r="B4128">
        <v>11</v>
      </c>
      <c r="C4128" s="1" t="s">
        <v>34</v>
      </c>
      <c r="D4128" s="1" t="s">
        <v>19</v>
      </c>
      <c r="E4128" s="1" t="s">
        <v>50</v>
      </c>
      <c r="F4128">
        <v>2006</v>
      </c>
      <c r="G4128">
        <v>14</v>
      </c>
      <c r="H4128" s="1" t="s">
        <v>21</v>
      </c>
      <c r="I4128">
        <v>22</v>
      </c>
      <c r="J4128">
        <v>2447</v>
      </c>
      <c r="K4128" s="1" t="s">
        <v>51</v>
      </c>
      <c r="L4128" s="1" t="s">
        <v>45</v>
      </c>
      <c r="M4128">
        <v>1.52</v>
      </c>
      <c r="N4128">
        <v>33438.300000000003</v>
      </c>
      <c r="O4128">
        <v>33.438000000000002</v>
      </c>
      <c r="P4128" s="2">
        <v>44136</v>
      </c>
      <c r="Q4128">
        <v>1</v>
      </c>
      <c r="R4128" s="1" t="s">
        <v>24</v>
      </c>
    </row>
    <row r="4129" spans="1:18" x14ac:dyDescent="0.25">
      <c r="A4129">
        <v>2020</v>
      </c>
      <c r="B4129">
        <v>12</v>
      </c>
      <c r="C4129" s="1" t="s">
        <v>35</v>
      </c>
      <c r="D4129" s="1" t="s">
        <v>19</v>
      </c>
      <c r="E4129" s="1" t="s">
        <v>50</v>
      </c>
      <c r="F4129">
        <v>2006</v>
      </c>
      <c r="G4129">
        <v>14</v>
      </c>
      <c r="H4129" s="1" t="s">
        <v>21</v>
      </c>
      <c r="I4129">
        <v>22</v>
      </c>
      <c r="J4129">
        <v>2447</v>
      </c>
      <c r="K4129" s="1" t="s">
        <v>51</v>
      </c>
      <c r="L4129" s="1" t="s">
        <v>45</v>
      </c>
      <c r="M4129">
        <v>1.363</v>
      </c>
      <c r="N4129">
        <v>29988</v>
      </c>
      <c r="O4129">
        <v>29.988</v>
      </c>
      <c r="P4129" s="2">
        <v>44166</v>
      </c>
      <c r="Q4129">
        <v>1</v>
      </c>
      <c r="R4129" s="1" t="s">
        <v>24</v>
      </c>
    </row>
    <row r="4130" spans="1:18" x14ac:dyDescent="0.25">
      <c r="A4130">
        <v>2020</v>
      </c>
      <c r="B4130">
        <v>1</v>
      </c>
      <c r="C4130" s="1" t="s">
        <v>18</v>
      </c>
      <c r="D4130" s="1" t="s">
        <v>19</v>
      </c>
      <c r="E4130" s="1" t="s">
        <v>52</v>
      </c>
      <c r="F4130">
        <v>2006</v>
      </c>
      <c r="G4130">
        <v>14</v>
      </c>
      <c r="H4130" s="1" t="s">
        <v>21</v>
      </c>
      <c r="I4130">
        <v>15</v>
      </c>
      <c r="J4130">
        <v>1866</v>
      </c>
      <c r="K4130" s="1" t="s">
        <v>53</v>
      </c>
      <c r="L4130" s="1" t="s">
        <v>45</v>
      </c>
      <c r="M4130">
        <v>0.877</v>
      </c>
      <c r="N4130">
        <v>13155.3</v>
      </c>
      <c r="O4130">
        <v>13.154999999999999</v>
      </c>
      <c r="P4130" s="2">
        <v>43831</v>
      </c>
      <c r="Q4130">
        <v>1</v>
      </c>
      <c r="R4130" s="1" t="s">
        <v>24</v>
      </c>
    </row>
    <row r="4131" spans="1:18" x14ac:dyDescent="0.25">
      <c r="A4131">
        <v>2020</v>
      </c>
      <c r="B4131">
        <v>2</v>
      </c>
      <c r="C4131" s="1" t="s">
        <v>25</v>
      </c>
      <c r="D4131" s="1" t="s">
        <v>19</v>
      </c>
      <c r="E4131" s="1" t="s">
        <v>52</v>
      </c>
      <c r="F4131">
        <v>2006</v>
      </c>
      <c r="G4131">
        <v>14</v>
      </c>
      <c r="H4131" s="1" t="s">
        <v>21</v>
      </c>
      <c r="I4131">
        <v>15</v>
      </c>
      <c r="J4131">
        <v>1866</v>
      </c>
      <c r="K4131" s="1" t="s">
        <v>53</v>
      </c>
      <c r="L4131" s="1" t="s">
        <v>45</v>
      </c>
      <c r="M4131">
        <v>0.88800000000000001</v>
      </c>
      <c r="N4131">
        <v>13323.2</v>
      </c>
      <c r="O4131">
        <v>13.323</v>
      </c>
      <c r="P4131" s="2">
        <v>43862</v>
      </c>
      <c r="Q4131">
        <v>1</v>
      </c>
      <c r="R4131" s="1" t="s">
        <v>24</v>
      </c>
    </row>
    <row r="4132" spans="1:18" x14ac:dyDescent="0.25">
      <c r="A4132">
        <v>2020</v>
      </c>
      <c r="B4132">
        <v>3</v>
      </c>
      <c r="C4132" s="1" t="s">
        <v>26</v>
      </c>
      <c r="D4132" s="1" t="s">
        <v>19</v>
      </c>
      <c r="E4132" s="1" t="s">
        <v>52</v>
      </c>
      <c r="F4132">
        <v>2006</v>
      </c>
      <c r="G4132">
        <v>14</v>
      </c>
      <c r="H4132" s="1" t="s">
        <v>21</v>
      </c>
      <c r="I4132">
        <v>15</v>
      </c>
      <c r="J4132">
        <v>1866</v>
      </c>
      <c r="K4132" s="1" t="s">
        <v>53</v>
      </c>
      <c r="L4132" s="1" t="s">
        <v>45</v>
      </c>
      <c r="M4132">
        <v>1.026</v>
      </c>
      <c r="N4132">
        <v>15394.5</v>
      </c>
      <c r="O4132">
        <v>15.395</v>
      </c>
      <c r="P4132" s="2">
        <v>43891</v>
      </c>
      <c r="Q4132">
        <v>1</v>
      </c>
      <c r="R4132" s="1" t="s">
        <v>24</v>
      </c>
    </row>
    <row r="4133" spans="1:18" x14ac:dyDescent="0.25">
      <c r="A4133">
        <v>2020</v>
      </c>
      <c r="B4133">
        <v>4</v>
      </c>
      <c r="C4133" s="1" t="s">
        <v>27</v>
      </c>
      <c r="D4133" s="1" t="s">
        <v>19</v>
      </c>
      <c r="E4133" s="1" t="s">
        <v>52</v>
      </c>
      <c r="F4133">
        <v>2006</v>
      </c>
      <c r="G4133">
        <v>14</v>
      </c>
      <c r="H4133" s="1" t="s">
        <v>21</v>
      </c>
      <c r="I4133">
        <v>15</v>
      </c>
      <c r="J4133">
        <v>1866</v>
      </c>
      <c r="K4133" s="1" t="s">
        <v>53</v>
      </c>
      <c r="L4133" s="1" t="s">
        <v>45</v>
      </c>
      <c r="M4133">
        <v>1.8</v>
      </c>
      <c r="N4133">
        <v>26996.400000000001</v>
      </c>
      <c r="O4133">
        <v>26.995999999999999</v>
      </c>
      <c r="P4133" s="2">
        <v>43922</v>
      </c>
      <c r="Q4133">
        <v>1</v>
      </c>
      <c r="R4133" s="1" t="s">
        <v>24</v>
      </c>
    </row>
    <row r="4134" spans="1:18" x14ac:dyDescent="0.25">
      <c r="A4134">
        <v>2020</v>
      </c>
      <c r="B4134">
        <v>5</v>
      </c>
      <c r="C4134" s="1" t="s">
        <v>28</v>
      </c>
      <c r="D4134" s="1" t="s">
        <v>19</v>
      </c>
      <c r="E4134" s="1" t="s">
        <v>52</v>
      </c>
      <c r="F4134">
        <v>2006</v>
      </c>
      <c r="G4134">
        <v>14</v>
      </c>
      <c r="H4134" s="1" t="s">
        <v>21</v>
      </c>
      <c r="I4134">
        <v>15</v>
      </c>
      <c r="J4134">
        <v>1866</v>
      </c>
      <c r="K4134" s="1" t="s">
        <v>53</v>
      </c>
      <c r="L4134" s="1" t="s">
        <v>45</v>
      </c>
      <c r="M4134">
        <v>2.0139999999999998</v>
      </c>
      <c r="N4134">
        <v>30215.200000000001</v>
      </c>
      <c r="O4134">
        <v>30.215</v>
      </c>
      <c r="P4134" s="2">
        <v>43952</v>
      </c>
      <c r="Q4134">
        <v>1</v>
      </c>
      <c r="R4134" s="1" t="s">
        <v>24</v>
      </c>
    </row>
    <row r="4135" spans="1:18" x14ac:dyDescent="0.25">
      <c r="A4135">
        <v>2020</v>
      </c>
      <c r="B4135">
        <v>6</v>
      </c>
      <c r="C4135" s="1" t="s">
        <v>29</v>
      </c>
      <c r="D4135" s="1" t="s">
        <v>19</v>
      </c>
      <c r="E4135" s="1" t="s">
        <v>52</v>
      </c>
      <c r="F4135">
        <v>2006</v>
      </c>
      <c r="G4135">
        <v>14</v>
      </c>
      <c r="H4135" s="1" t="s">
        <v>21</v>
      </c>
      <c r="I4135">
        <v>15</v>
      </c>
      <c r="J4135">
        <v>1866</v>
      </c>
      <c r="K4135" s="1" t="s">
        <v>53</v>
      </c>
      <c r="L4135" s="1" t="s">
        <v>45</v>
      </c>
      <c r="M4135">
        <v>2.0979999999999999</v>
      </c>
      <c r="N4135">
        <v>31474.799999999999</v>
      </c>
      <c r="O4135">
        <v>31.475000000000001</v>
      </c>
      <c r="P4135" s="2">
        <v>43983</v>
      </c>
      <c r="Q4135">
        <v>1</v>
      </c>
      <c r="R4135" s="1" t="s">
        <v>24</v>
      </c>
    </row>
    <row r="4136" spans="1:18" x14ac:dyDescent="0.25">
      <c r="A4136">
        <v>2020</v>
      </c>
      <c r="B4136">
        <v>7</v>
      </c>
      <c r="C4136" s="1" t="s">
        <v>30</v>
      </c>
      <c r="D4136" s="1" t="s">
        <v>19</v>
      </c>
      <c r="E4136" s="1" t="s">
        <v>52</v>
      </c>
      <c r="F4136">
        <v>2006</v>
      </c>
      <c r="G4136">
        <v>14</v>
      </c>
      <c r="H4136" s="1" t="s">
        <v>21</v>
      </c>
      <c r="I4136">
        <v>15</v>
      </c>
      <c r="J4136">
        <v>1866</v>
      </c>
      <c r="K4136" s="1" t="s">
        <v>53</v>
      </c>
      <c r="L4136" s="1" t="s">
        <v>45</v>
      </c>
      <c r="M4136">
        <v>2.1440000000000001</v>
      </c>
      <c r="N4136">
        <v>32160.5</v>
      </c>
      <c r="O4136">
        <v>32.161000000000001</v>
      </c>
      <c r="P4136" s="2">
        <v>44013</v>
      </c>
      <c r="Q4136">
        <v>1</v>
      </c>
      <c r="R4136" s="1" t="s">
        <v>24</v>
      </c>
    </row>
    <row r="4137" spans="1:18" x14ac:dyDescent="0.25">
      <c r="A4137">
        <v>2020</v>
      </c>
      <c r="B4137">
        <v>8</v>
      </c>
      <c r="C4137" s="1" t="s">
        <v>31</v>
      </c>
      <c r="D4137" s="1" t="s">
        <v>19</v>
      </c>
      <c r="E4137" s="1" t="s">
        <v>52</v>
      </c>
      <c r="F4137">
        <v>2006</v>
      </c>
      <c r="G4137">
        <v>14</v>
      </c>
      <c r="H4137" s="1" t="s">
        <v>21</v>
      </c>
      <c r="I4137">
        <v>15</v>
      </c>
      <c r="J4137">
        <v>1866</v>
      </c>
      <c r="K4137" s="1" t="s">
        <v>53</v>
      </c>
      <c r="L4137" s="1" t="s">
        <v>45</v>
      </c>
      <c r="M4137">
        <v>2.0489999999999999</v>
      </c>
      <c r="N4137">
        <v>30733</v>
      </c>
      <c r="O4137">
        <v>30.733000000000001</v>
      </c>
      <c r="P4137" s="2">
        <v>44044</v>
      </c>
      <c r="Q4137">
        <v>1</v>
      </c>
      <c r="R4137" s="1" t="s">
        <v>24</v>
      </c>
    </row>
    <row r="4138" spans="1:18" x14ac:dyDescent="0.25">
      <c r="A4138">
        <v>2020</v>
      </c>
      <c r="B4138">
        <v>9</v>
      </c>
      <c r="C4138" s="1" t="s">
        <v>32</v>
      </c>
      <c r="D4138" s="1" t="s">
        <v>19</v>
      </c>
      <c r="E4138" s="1" t="s">
        <v>52</v>
      </c>
      <c r="F4138">
        <v>2006</v>
      </c>
      <c r="G4138">
        <v>14</v>
      </c>
      <c r="H4138" s="1" t="s">
        <v>21</v>
      </c>
      <c r="I4138">
        <v>15</v>
      </c>
      <c r="J4138">
        <v>1866</v>
      </c>
      <c r="K4138" s="1" t="s">
        <v>53</v>
      </c>
      <c r="L4138" s="1" t="s">
        <v>45</v>
      </c>
      <c r="M4138">
        <v>2.157</v>
      </c>
      <c r="N4138">
        <v>32356.400000000001</v>
      </c>
      <c r="O4138">
        <v>32.356000000000002</v>
      </c>
      <c r="P4138" s="2">
        <v>44075</v>
      </c>
      <c r="Q4138">
        <v>1</v>
      </c>
      <c r="R4138" s="1" t="s">
        <v>24</v>
      </c>
    </row>
    <row r="4139" spans="1:18" x14ac:dyDescent="0.25">
      <c r="A4139">
        <v>2020</v>
      </c>
      <c r="B4139">
        <v>10</v>
      </c>
      <c r="C4139" s="1" t="s">
        <v>33</v>
      </c>
      <c r="D4139" s="1" t="s">
        <v>19</v>
      </c>
      <c r="E4139" s="1" t="s">
        <v>52</v>
      </c>
      <c r="F4139">
        <v>2006</v>
      </c>
      <c r="G4139">
        <v>14</v>
      </c>
      <c r="H4139" s="1" t="s">
        <v>21</v>
      </c>
      <c r="I4139">
        <v>15</v>
      </c>
      <c r="J4139">
        <v>1866</v>
      </c>
      <c r="K4139" s="1" t="s">
        <v>53</v>
      </c>
      <c r="L4139" s="1" t="s">
        <v>45</v>
      </c>
      <c r="M4139">
        <v>1.998</v>
      </c>
      <c r="N4139">
        <v>29963.3</v>
      </c>
      <c r="O4139">
        <v>29.963000000000001</v>
      </c>
      <c r="P4139" s="2">
        <v>44105</v>
      </c>
      <c r="Q4139">
        <v>1</v>
      </c>
      <c r="R4139" s="1" t="s">
        <v>24</v>
      </c>
    </row>
    <row r="4140" spans="1:18" x14ac:dyDescent="0.25">
      <c r="A4140">
        <v>2020</v>
      </c>
      <c r="B4140">
        <v>11</v>
      </c>
      <c r="C4140" s="1" t="s">
        <v>34</v>
      </c>
      <c r="D4140" s="1" t="s">
        <v>19</v>
      </c>
      <c r="E4140" s="1" t="s">
        <v>52</v>
      </c>
      <c r="F4140">
        <v>2006</v>
      </c>
      <c r="G4140">
        <v>14</v>
      </c>
      <c r="H4140" s="1" t="s">
        <v>21</v>
      </c>
      <c r="I4140">
        <v>15</v>
      </c>
      <c r="J4140">
        <v>1866</v>
      </c>
      <c r="K4140" s="1" t="s">
        <v>53</v>
      </c>
      <c r="L4140" s="1" t="s">
        <v>45</v>
      </c>
      <c r="M4140">
        <v>1.7</v>
      </c>
      <c r="N4140">
        <v>25498.9</v>
      </c>
      <c r="O4140">
        <v>25.498999999999999</v>
      </c>
      <c r="P4140" s="2">
        <v>44136</v>
      </c>
      <c r="Q4140">
        <v>1</v>
      </c>
      <c r="R4140" s="1" t="s">
        <v>24</v>
      </c>
    </row>
    <row r="4141" spans="1:18" x14ac:dyDescent="0.25">
      <c r="A4141">
        <v>2020</v>
      </c>
      <c r="B4141">
        <v>12</v>
      </c>
      <c r="C4141" s="1" t="s">
        <v>35</v>
      </c>
      <c r="D4141" s="1" t="s">
        <v>19</v>
      </c>
      <c r="E4141" s="1" t="s">
        <v>52</v>
      </c>
      <c r="F4141">
        <v>2006</v>
      </c>
      <c r="G4141">
        <v>14</v>
      </c>
      <c r="H4141" s="1" t="s">
        <v>21</v>
      </c>
      <c r="I4141">
        <v>15</v>
      </c>
      <c r="J4141">
        <v>1866</v>
      </c>
      <c r="K4141" s="1" t="s">
        <v>53</v>
      </c>
      <c r="L4141" s="1" t="s">
        <v>45</v>
      </c>
      <c r="M4141">
        <v>1.5249999999999999</v>
      </c>
      <c r="N4141">
        <v>22867.8</v>
      </c>
      <c r="O4141">
        <v>22.867999999999999</v>
      </c>
      <c r="P4141" s="2">
        <v>44166</v>
      </c>
      <c r="Q4141">
        <v>1</v>
      </c>
      <c r="R4141" s="1" t="s">
        <v>24</v>
      </c>
    </row>
    <row r="4142" spans="1:18" x14ac:dyDescent="0.25">
      <c r="A4142">
        <v>2020</v>
      </c>
      <c r="B4142">
        <v>1</v>
      </c>
      <c r="C4142" s="1" t="s">
        <v>18</v>
      </c>
      <c r="D4142" s="1" t="s">
        <v>19</v>
      </c>
      <c r="E4142" s="1" t="s">
        <v>54</v>
      </c>
      <c r="F4142">
        <v>2006</v>
      </c>
      <c r="G4142">
        <v>14</v>
      </c>
      <c r="H4142" s="1" t="s">
        <v>21</v>
      </c>
      <c r="I4142">
        <v>25</v>
      </c>
      <c r="J4142">
        <v>3154</v>
      </c>
      <c r="K4142" s="1" t="s">
        <v>55</v>
      </c>
      <c r="L4142" s="1" t="s">
        <v>45</v>
      </c>
      <c r="M4142">
        <v>0.88900000000000001</v>
      </c>
      <c r="N4142">
        <v>22235.7</v>
      </c>
      <c r="O4142">
        <v>22.236000000000001</v>
      </c>
      <c r="P4142" s="2">
        <v>43831</v>
      </c>
      <c r="Q4142">
        <v>1</v>
      </c>
      <c r="R4142" s="1" t="s">
        <v>24</v>
      </c>
    </row>
    <row r="4143" spans="1:18" x14ac:dyDescent="0.25">
      <c r="A4143">
        <v>2020</v>
      </c>
      <c r="B4143">
        <v>2</v>
      </c>
      <c r="C4143" s="1" t="s">
        <v>25</v>
      </c>
      <c r="D4143" s="1" t="s">
        <v>19</v>
      </c>
      <c r="E4143" s="1" t="s">
        <v>54</v>
      </c>
      <c r="F4143">
        <v>2006</v>
      </c>
      <c r="G4143">
        <v>14</v>
      </c>
      <c r="H4143" s="1" t="s">
        <v>21</v>
      </c>
      <c r="I4143">
        <v>25</v>
      </c>
      <c r="J4143">
        <v>3154</v>
      </c>
      <c r="K4143" s="1" t="s">
        <v>55</v>
      </c>
      <c r="L4143" s="1" t="s">
        <v>45</v>
      </c>
      <c r="M4143">
        <v>0.90100000000000002</v>
      </c>
      <c r="N4143">
        <v>22519.599999999999</v>
      </c>
      <c r="O4143">
        <v>22.52</v>
      </c>
      <c r="P4143" s="2">
        <v>43862</v>
      </c>
      <c r="Q4143">
        <v>1</v>
      </c>
      <c r="R4143" s="1" t="s">
        <v>24</v>
      </c>
    </row>
    <row r="4144" spans="1:18" x14ac:dyDescent="0.25">
      <c r="A4144">
        <v>2020</v>
      </c>
      <c r="B4144">
        <v>3</v>
      </c>
      <c r="C4144" s="1" t="s">
        <v>26</v>
      </c>
      <c r="D4144" s="1" t="s">
        <v>19</v>
      </c>
      <c r="E4144" s="1" t="s">
        <v>54</v>
      </c>
      <c r="F4144">
        <v>2006</v>
      </c>
      <c r="G4144">
        <v>14</v>
      </c>
      <c r="H4144" s="1" t="s">
        <v>21</v>
      </c>
      <c r="I4144">
        <v>25</v>
      </c>
      <c r="J4144">
        <v>3154</v>
      </c>
      <c r="K4144" s="1" t="s">
        <v>55</v>
      </c>
      <c r="L4144" s="1" t="s">
        <v>45</v>
      </c>
      <c r="M4144">
        <v>1.0409999999999999</v>
      </c>
      <c r="N4144">
        <v>26020.5</v>
      </c>
      <c r="O4144">
        <v>26.021000000000001</v>
      </c>
      <c r="P4144" s="2">
        <v>43891</v>
      </c>
      <c r="Q4144">
        <v>1</v>
      </c>
      <c r="R4144" s="1" t="s">
        <v>24</v>
      </c>
    </row>
    <row r="4145" spans="1:18" x14ac:dyDescent="0.25">
      <c r="A4145">
        <v>2020</v>
      </c>
      <c r="B4145">
        <v>4</v>
      </c>
      <c r="C4145" s="1" t="s">
        <v>27</v>
      </c>
      <c r="D4145" s="1" t="s">
        <v>19</v>
      </c>
      <c r="E4145" s="1" t="s">
        <v>54</v>
      </c>
      <c r="F4145">
        <v>2006</v>
      </c>
      <c r="G4145">
        <v>14</v>
      </c>
      <c r="H4145" s="1" t="s">
        <v>21</v>
      </c>
      <c r="I4145">
        <v>25</v>
      </c>
      <c r="J4145">
        <v>3154</v>
      </c>
      <c r="K4145" s="1" t="s">
        <v>55</v>
      </c>
      <c r="L4145" s="1" t="s">
        <v>45</v>
      </c>
      <c r="M4145">
        <v>1.825</v>
      </c>
      <c r="N4145">
        <v>45630.5</v>
      </c>
      <c r="O4145">
        <v>45.63</v>
      </c>
      <c r="P4145" s="2">
        <v>43922</v>
      </c>
      <c r="Q4145">
        <v>1</v>
      </c>
      <c r="R4145" s="1" t="s">
        <v>24</v>
      </c>
    </row>
    <row r="4146" spans="1:18" x14ac:dyDescent="0.25">
      <c r="A4146">
        <v>2020</v>
      </c>
      <c r="B4146">
        <v>5</v>
      </c>
      <c r="C4146" s="1" t="s">
        <v>28</v>
      </c>
      <c r="D4146" s="1" t="s">
        <v>19</v>
      </c>
      <c r="E4146" s="1" t="s">
        <v>54</v>
      </c>
      <c r="F4146">
        <v>2006</v>
      </c>
      <c r="G4146">
        <v>14</v>
      </c>
      <c r="H4146" s="1" t="s">
        <v>21</v>
      </c>
      <c r="I4146">
        <v>25</v>
      </c>
      <c r="J4146">
        <v>3154</v>
      </c>
      <c r="K4146" s="1" t="s">
        <v>55</v>
      </c>
      <c r="L4146" s="1" t="s">
        <v>45</v>
      </c>
      <c r="M4146">
        <v>2.0430000000000001</v>
      </c>
      <c r="N4146">
        <v>51071.1</v>
      </c>
      <c r="O4146">
        <v>51.070999999999998</v>
      </c>
      <c r="P4146" s="2">
        <v>43952</v>
      </c>
      <c r="Q4146">
        <v>1</v>
      </c>
      <c r="R4146" s="1" t="s">
        <v>24</v>
      </c>
    </row>
    <row r="4147" spans="1:18" x14ac:dyDescent="0.25">
      <c r="A4147">
        <v>2020</v>
      </c>
      <c r="B4147">
        <v>6</v>
      </c>
      <c r="C4147" s="1" t="s">
        <v>29</v>
      </c>
      <c r="D4147" s="1" t="s">
        <v>19</v>
      </c>
      <c r="E4147" s="1" t="s">
        <v>54</v>
      </c>
      <c r="F4147">
        <v>2006</v>
      </c>
      <c r="G4147">
        <v>14</v>
      </c>
      <c r="H4147" s="1" t="s">
        <v>21</v>
      </c>
      <c r="I4147">
        <v>25</v>
      </c>
      <c r="J4147">
        <v>3154</v>
      </c>
      <c r="K4147" s="1" t="s">
        <v>55</v>
      </c>
      <c r="L4147" s="1" t="s">
        <v>45</v>
      </c>
      <c r="M4147">
        <v>2.1280000000000001</v>
      </c>
      <c r="N4147">
        <v>53200.1</v>
      </c>
      <c r="O4147">
        <v>53.2</v>
      </c>
      <c r="P4147" s="2">
        <v>43983</v>
      </c>
      <c r="Q4147">
        <v>1</v>
      </c>
      <c r="R4147" s="1" t="s">
        <v>24</v>
      </c>
    </row>
    <row r="4148" spans="1:18" x14ac:dyDescent="0.25">
      <c r="A4148">
        <v>2020</v>
      </c>
      <c r="B4148">
        <v>7</v>
      </c>
      <c r="C4148" s="1" t="s">
        <v>30</v>
      </c>
      <c r="D4148" s="1" t="s">
        <v>19</v>
      </c>
      <c r="E4148" s="1" t="s">
        <v>54</v>
      </c>
      <c r="F4148">
        <v>2006</v>
      </c>
      <c r="G4148">
        <v>14</v>
      </c>
      <c r="H4148" s="1" t="s">
        <v>21</v>
      </c>
      <c r="I4148">
        <v>25</v>
      </c>
      <c r="J4148">
        <v>3154</v>
      </c>
      <c r="K4148" s="1" t="s">
        <v>55</v>
      </c>
      <c r="L4148" s="1" t="s">
        <v>45</v>
      </c>
      <c r="M4148">
        <v>2.1739999999999999</v>
      </c>
      <c r="N4148">
        <v>54359.199999999997</v>
      </c>
      <c r="O4148">
        <v>54.359000000000002</v>
      </c>
      <c r="P4148" s="2">
        <v>44013</v>
      </c>
      <c r="Q4148">
        <v>1</v>
      </c>
      <c r="R4148" s="1" t="s">
        <v>24</v>
      </c>
    </row>
    <row r="4149" spans="1:18" x14ac:dyDescent="0.25">
      <c r="A4149">
        <v>2020</v>
      </c>
      <c r="B4149">
        <v>8</v>
      </c>
      <c r="C4149" s="1" t="s">
        <v>31</v>
      </c>
      <c r="D4149" s="1" t="s">
        <v>19</v>
      </c>
      <c r="E4149" s="1" t="s">
        <v>54</v>
      </c>
      <c r="F4149">
        <v>2006</v>
      </c>
      <c r="G4149">
        <v>14</v>
      </c>
      <c r="H4149" s="1" t="s">
        <v>21</v>
      </c>
      <c r="I4149">
        <v>25</v>
      </c>
      <c r="J4149">
        <v>3154</v>
      </c>
      <c r="K4149" s="1" t="s">
        <v>55</v>
      </c>
      <c r="L4149" s="1" t="s">
        <v>45</v>
      </c>
      <c r="M4149">
        <v>2.0779999999999998</v>
      </c>
      <c r="N4149">
        <v>51946.400000000001</v>
      </c>
      <c r="O4149">
        <v>51.945999999999998</v>
      </c>
      <c r="P4149" s="2">
        <v>44044</v>
      </c>
      <c r="Q4149">
        <v>1</v>
      </c>
      <c r="R4149" s="1" t="s">
        <v>24</v>
      </c>
    </row>
    <row r="4150" spans="1:18" x14ac:dyDescent="0.25">
      <c r="A4150">
        <v>2020</v>
      </c>
      <c r="B4150">
        <v>9</v>
      </c>
      <c r="C4150" s="1" t="s">
        <v>32</v>
      </c>
      <c r="D4150" s="1" t="s">
        <v>19</v>
      </c>
      <c r="E4150" s="1" t="s">
        <v>54</v>
      </c>
      <c r="F4150">
        <v>2006</v>
      </c>
      <c r="G4150">
        <v>14</v>
      </c>
      <c r="H4150" s="1" t="s">
        <v>21</v>
      </c>
      <c r="I4150">
        <v>25</v>
      </c>
      <c r="J4150">
        <v>3154</v>
      </c>
      <c r="K4150" s="1" t="s">
        <v>55</v>
      </c>
      <c r="L4150" s="1" t="s">
        <v>45</v>
      </c>
      <c r="M4150">
        <v>2.1880000000000002</v>
      </c>
      <c r="N4150">
        <v>54690.400000000001</v>
      </c>
      <c r="O4150">
        <v>54.69</v>
      </c>
      <c r="P4150" s="2">
        <v>44075</v>
      </c>
      <c r="Q4150">
        <v>1</v>
      </c>
      <c r="R4150" s="1" t="s">
        <v>24</v>
      </c>
    </row>
    <row r="4151" spans="1:18" x14ac:dyDescent="0.25">
      <c r="A4151">
        <v>2020</v>
      </c>
      <c r="B4151">
        <v>10</v>
      </c>
      <c r="C4151" s="1" t="s">
        <v>33</v>
      </c>
      <c r="D4151" s="1" t="s">
        <v>19</v>
      </c>
      <c r="E4151" s="1" t="s">
        <v>54</v>
      </c>
      <c r="F4151">
        <v>2006</v>
      </c>
      <c r="G4151">
        <v>14</v>
      </c>
      <c r="H4151" s="1" t="s">
        <v>21</v>
      </c>
      <c r="I4151">
        <v>25</v>
      </c>
      <c r="J4151">
        <v>3154</v>
      </c>
      <c r="K4151" s="1" t="s">
        <v>55</v>
      </c>
      <c r="L4151" s="1" t="s">
        <v>45</v>
      </c>
      <c r="M4151">
        <v>2.0259999999999998</v>
      </c>
      <c r="N4151">
        <v>50645.4</v>
      </c>
      <c r="O4151">
        <v>50.645000000000003</v>
      </c>
      <c r="P4151" s="2">
        <v>44105</v>
      </c>
      <c r="Q4151">
        <v>1</v>
      </c>
      <c r="R4151" s="1" t="s">
        <v>24</v>
      </c>
    </row>
    <row r="4152" spans="1:18" x14ac:dyDescent="0.25">
      <c r="A4152">
        <v>2020</v>
      </c>
      <c r="B4152">
        <v>11</v>
      </c>
      <c r="C4152" s="1" t="s">
        <v>34</v>
      </c>
      <c r="D4152" s="1" t="s">
        <v>19</v>
      </c>
      <c r="E4152" s="1" t="s">
        <v>54</v>
      </c>
      <c r="F4152">
        <v>2006</v>
      </c>
      <c r="G4152">
        <v>14</v>
      </c>
      <c r="H4152" s="1" t="s">
        <v>21</v>
      </c>
      <c r="I4152">
        <v>25</v>
      </c>
      <c r="J4152">
        <v>3154</v>
      </c>
      <c r="K4152" s="1" t="s">
        <v>55</v>
      </c>
      <c r="L4152" s="1" t="s">
        <v>45</v>
      </c>
      <c r="M4152">
        <v>1.724</v>
      </c>
      <c r="N4152">
        <v>43099.4</v>
      </c>
      <c r="O4152">
        <v>43.098999999999997</v>
      </c>
      <c r="P4152" s="2">
        <v>44136</v>
      </c>
      <c r="Q4152">
        <v>1</v>
      </c>
      <c r="R4152" s="1" t="s">
        <v>24</v>
      </c>
    </row>
    <row r="4153" spans="1:18" x14ac:dyDescent="0.25">
      <c r="A4153">
        <v>2020</v>
      </c>
      <c r="B4153">
        <v>12</v>
      </c>
      <c r="C4153" s="1" t="s">
        <v>35</v>
      </c>
      <c r="D4153" s="1" t="s">
        <v>19</v>
      </c>
      <c r="E4153" s="1" t="s">
        <v>54</v>
      </c>
      <c r="F4153">
        <v>2006</v>
      </c>
      <c r="G4153">
        <v>14</v>
      </c>
      <c r="H4153" s="1" t="s">
        <v>21</v>
      </c>
      <c r="I4153">
        <v>25</v>
      </c>
      <c r="J4153">
        <v>3154</v>
      </c>
      <c r="K4153" s="1" t="s">
        <v>55</v>
      </c>
      <c r="L4153" s="1" t="s">
        <v>45</v>
      </c>
      <c r="M4153">
        <v>1.546</v>
      </c>
      <c r="N4153">
        <v>38652.300000000003</v>
      </c>
      <c r="O4153">
        <v>38.652000000000001</v>
      </c>
      <c r="P4153" s="2">
        <v>44166</v>
      </c>
      <c r="Q4153">
        <v>1</v>
      </c>
      <c r="R4153" s="1" t="s">
        <v>24</v>
      </c>
    </row>
    <row r="4154" spans="1:18" x14ac:dyDescent="0.25">
      <c r="A4154">
        <v>2020</v>
      </c>
      <c r="B4154">
        <v>1</v>
      </c>
      <c r="C4154" s="1" t="s">
        <v>18</v>
      </c>
      <c r="D4154" s="1" t="s">
        <v>19</v>
      </c>
      <c r="E4154" s="1" t="s">
        <v>56</v>
      </c>
      <c r="F4154">
        <v>2006</v>
      </c>
      <c r="G4154">
        <v>14</v>
      </c>
      <c r="H4154" s="1" t="s">
        <v>21</v>
      </c>
      <c r="I4154">
        <v>35</v>
      </c>
      <c r="J4154">
        <v>4204</v>
      </c>
      <c r="K4154" s="1" t="s">
        <v>57</v>
      </c>
      <c r="L4154" s="1" t="s">
        <v>45</v>
      </c>
      <c r="M4154">
        <v>0.84699999999999998</v>
      </c>
      <c r="N4154">
        <v>29638.2</v>
      </c>
      <c r="O4154">
        <v>29.638000000000002</v>
      </c>
      <c r="P4154" s="2">
        <v>43831</v>
      </c>
      <c r="Q4154">
        <v>1</v>
      </c>
      <c r="R4154" s="1" t="s">
        <v>24</v>
      </c>
    </row>
    <row r="4155" spans="1:18" x14ac:dyDescent="0.25">
      <c r="A4155">
        <v>2020</v>
      </c>
      <c r="B4155">
        <v>2</v>
      </c>
      <c r="C4155" s="1" t="s">
        <v>25</v>
      </c>
      <c r="D4155" s="1" t="s">
        <v>19</v>
      </c>
      <c r="E4155" s="1" t="s">
        <v>56</v>
      </c>
      <c r="F4155">
        <v>2006</v>
      </c>
      <c r="G4155">
        <v>14</v>
      </c>
      <c r="H4155" s="1" t="s">
        <v>21</v>
      </c>
      <c r="I4155">
        <v>35</v>
      </c>
      <c r="J4155">
        <v>4204</v>
      </c>
      <c r="K4155" s="1" t="s">
        <v>57</v>
      </c>
      <c r="L4155" s="1" t="s">
        <v>45</v>
      </c>
      <c r="M4155">
        <v>0.85799999999999998</v>
      </c>
      <c r="N4155">
        <v>30016.6</v>
      </c>
      <c r="O4155">
        <v>30.016999999999999</v>
      </c>
      <c r="P4155" s="2">
        <v>43862</v>
      </c>
      <c r="Q4155">
        <v>1</v>
      </c>
      <c r="R4155" s="1" t="s">
        <v>24</v>
      </c>
    </row>
    <row r="4156" spans="1:18" x14ac:dyDescent="0.25">
      <c r="A4156">
        <v>2020</v>
      </c>
      <c r="B4156">
        <v>3</v>
      </c>
      <c r="C4156" s="1" t="s">
        <v>26</v>
      </c>
      <c r="D4156" s="1" t="s">
        <v>19</v>
      </c>
      <c r="E4156" s="1" t="s">
        <v>56</v>
      </c>
      <c r="F4156">
        <v>2006</v>
      </c>
      <c r="G4156">
        <v>14</v>
      </c>
      <c r="H4156" s="1" t="s">
        <v>21</v>
      </c>
      <c r="I4156">
        <v>35</v>
      </c>
      <c r="J4156">
        <v>4204</v>
      </c>
      <c r="K4156" s="1" t="s">
        <v>57</v>
      </c>
      <c r="L4156" s="1" t="s">
        <v>45</v>
      </c>
      <c r="M4156">
        <v>0.99099999999999999</v>
      </c>
      <c r="N4156">
        <v>34683</v>
      </c>
      <c r="O4156">
        <v>34.683</v>
      </c>
      <c r="P4156" s="2">
        <v>43891</v>
      </c>
      <c r="Q4156">
        <v>1</v>
      </c>
      <c r="R4156" s="1" t="s">
        <v>24</v>
      </c>
    </row>
    <row r="4157" spans="1:18" x14ac:dyDescent="0.25">
      <c r="A4157">
        <v>2020</v>
      </c>
      <c r="B4157">
        <v>4</v>
      </c>
      <c r="C4157" s="1" t="s">
        <v>27</v>
      </c>
      <c r="D4157" s="1" t="s">
        <v>19</v>
      </c>
      <c r="E4157" s="1" t="s">
        <v>56</v>
      </c>
      <c r="F4157">
        <v>2006</v>
      </c>
      <c r="G4157">
        <v>14</v>
      </c>
      <c r="H4157" s="1" t="s">
        <v>21</v>
      </c>
      <c r="I4157">
        <v>35</v>
      </c>
      <c r="J4157">
        <v>4204</v>
      </c>
      <c r="K4157" s="1" t="s">
        <v>57</v>
      </c>
      <c r="L4157" s="1" t="s">
        <v>45</v>
      </c>
      <c r="M4157">
        <v>1.738</v>
      </c>
      <c r="N4157">
        <v>60821.4</v>
      </c>
      <c r="O4157">
        <v>60.820999999999998</v>
      </c>
      <c r="P4157" s="2">
        <v>43922</v>
      </c>
      <c r="Q4157">
        <v>1</v>
      </c>
      <c r="R4157" s="1" t="s">
        <v>24</v>
      </c>
    </row>
    <row r="4158" spans="1:18" x14ac:dyDescent="0.25">
      <c r="A4158">
        <v>2020</v>
      </c>
      <c r="B4158">
        <v>5</v>
      </c>
      <c r="C4158" s="1" t="s">
        <v>28</v>
      </c>
      <c r="D4158" s="1" t="s">
        <v>19</v>
      </c>
      <c r="E4158" s="1" t="s">
        <v>56</v>
      </c>
      <c r="F4158">
        <v>2006</v>
      </c>
      <c r="G4158">
        <v>14</v>
      </c>
      <c r="H4158" s="1" t="s">
        <v>21</v>
      </c>
      <c r="I4158">
        <v>35</v>
      </c>
      <c r="J4158">
        <v>4204</v>
      </c>
      <c r="K4158" s="1" t="s">
        <v>57</v>
      </c>
      <c r="L4158" s="1" t="s">
        <v>45</v>
      </c>
      <c r="M4158">
        <v>1.9450000000000001</v>
      </c>
      <c r="N4158">
        <v>68073.3</v>
      </c>
      <c r="O4158">
        <v>68.072999999999993</v>
      </c>
      <c r="P4158" s="2">
        <v>43952</v>
      </c>
      <c r="Q4158">
        <v>1</v>
      </c>
      <c r="R4158" s="1" t="s">
        <v>24</v>
      </c>
    </row>
    <row r="4159" spans="1:18" x14ac:dyDescent="0.25">
      <c r="A4159">
        <v>2020</v>
      </c>
      <c r="B4159">
        <v>6</v>
      </c>
      <c r="C4159" s="1" t="s">
        <v>29</v>
      </c>
      <c r="D4159" s="1" t="s">
        <v>19</v>
      </c>
      <c r="E4159" s="1" t="s">
        <v>56</v>
      </c>
      <c r="F4159">
        <v>2006</v>
      </c>
      <c r="G4159">
        <v>14</v>
      </c>
      <c r="H4159" s="1" t="s">
        <v>21</v>
      </c>
      <c r="I4159">
        <v>35</v>
      </c>
      <c r="J4159">
        <v>4204</v>
      </c>
      <c r="K4159" s="1" t="s">
        <v>57</v>
      </c>
      <c r="L4159" s="1" t="s">
        <v>45</v>
      </c>
      <c r="M4159">
        <v>2.0259999999999998</v>
      </c>
      <c r="N4159">
        <v>70911</v>
      </c>
      <c r="O4159">
        <v>70.911000000000001</v>
      </c>
      <c r="P4159" s="2">
        <v>43983</v>
      </c>
      <c r="Q4159">
        <v>1</v>
      </c>
      <c r="R4159" s="1" t="s">
        <v>24</v>
      </c>
    </row>
    <row r="4160" spans="1:18" x14ac:dyDescent="0.25">
      <c r="A4160">
        <v>2020</v>
      </c>
      <c r="B4160">
        <v>7</v>
      </c>
      <c r="C4160" s="1" t="s">
        <v>30</v>
      </c>
      <c r="D4160" s="1" t="s">
        <v>19</v>
      </c>
      <c r="E4160" s="1" t="s">
        <v>56</v>
      </c>
      <c r="F4160">
        <v>2006</v>
      </c>
      <c r="G4160">
        <v>14</v>
      </c>
      <c r="H4160" s="1" t="s">
        <v>21</v>
      </c>
      <c r="I4160">
        <v>35</v>
      </c>
      <c r="J4160">
        <v>4204</v>
      </c>
      <c r="K4160" s="1" t="s">
        <v>57</v>
      </c>
      <c r="L4160" s="1" t="s">
        <v>45</v>
      </c>
      <c r="M4160">
        <v>2.0699999999999998</v>
      </c>
      <c r="N4160">
        <v>72455.899999999994</v>
      </c>
      <c r="O4160">
        <v>72.456000000000003</v>
      </c>
      <c r="P4160" s="2">
        <v>44013</v>
      </c>
      <c r="Q4160">
        <v>1</v>
      </c>
      <c r="R4160" s="1" t="s">
        <v>24</v>
      </c>
    </row>
    <row r="4161" spans="1:18" x14ac:dyDescent="0.25">
      <c r="A4161">
        <v>2020</v>
      </c>
      <c r="B4161">
        <v>8</v>
      </c>
      <c r="C4161" s="1" t="s">
        <v>31</v>
      </c>
      <c r="D4161" s="1" t="s">
        <v>19</v>
      </c>
      <c r="E4161" s="1" t="s">
        <v>56</v>
      </c>
      <c r="F4161">
        <v>2006</v>
      </c>
      <c r="G4161">
        <v>14</v>
      </c>
      <c r="H4161" s="1" t="s">
        <v>21</v>
      </c>
      <c r="I4161">
        <v>35</v>
      </c>
      <c r="J4161">
        <v>4204</v>
      </c>
      <c r="K4161" s="1" t="s">
        <v>57</v>
      </c>
      <c r="L4161" s="1" t="s">
        <v>45</v>
      </c>
      <c r="M4161">
        <v>1.978</v>
      </c>
      <c r="N4161">
        <v>69239.899999999994</v>
      </c>
      <c r="O4161">
        <v>69.239999999999995</v>
      </c>
      <c r="P4161" s="2">
        <v>44044</v>
      </c>
      <c r="Q4161">
        <v>1</v>
      </c>
      <c r="R4161" s="1" t="s">
        <v>24</v>
      </c>
    </row>
    <row r="4162" spans="1:18" x14ac:dyDescent="0.25">
      <c r="A4162">
        <v>2020</v>
      </c>
      <c r="B4162">
        <v>9</v>
      </c>
      <c r="C4162" s="1" t="s">
        <v>32</v>
      </c>
      <c r="D4162" s="1" t="s">
        <v>19</v>
      </c>
      <c r="E4162" s="1" t="s">
        <v>56</v>
      </c>
      <c r="F4162">
        <v>2006</v>
      </c>
      <c r="G4162">
        <v>14</v>
      </c>
      <c r="H4162" s="1" t="s">
        <v>21</v>
      </c>
      <c r="I4162">
        <v>35</v>
      </c>
      <c r="J4162">
        <v>4204</v>
      </c>
      <c r="K4162" s="1" t="s">
        <v>57</v>
      </c>
      <c r="L4162" s="1" t="s">
        <v>45</v>
      </c>
      <c r="M4162">
        <v>2.0830000000000002</v>
      </c>
      <c r="N4162">
        <v>72897.399999999994</v>
      </c>
      <c r="O4162">
        <v>72.897000000000006</v>
      </c>
      <c r="P4162" s="2">
        <v>44075</v>
      </c>
      <c r="Q4162">
        <v>1</v>
      </c>
      <c r="R4162" s="1" t="s">
        <v>24</v>
      </c>
    </row>
    <row r="4163" spans="1:18" x14ac:dyDescent="0.25">
      <c r="A4163">
        <v>2020</v>
      </c>
      <c r="B4163">
        <v>10</v>
      </c>
      <c r="C4163" s="1" t="s">
        <v>33</v>
      </c>
      <c r="D4163" s="1" t="s">
        <v>19</v>
      </c>
      <c r="E4163" s="1" t="s">
        <v>56</v>
      </c>
      <c r="F4163">
        <v>2006</v>
      </c>
      <c r="G4163">
        <v>14</v>
      </c>
      <c r="H4163" s="1" t="s">
        <v>21</v>
      </c>
      <c r="I4163">
        <v>35</v>
      </c>
      <c r="J4163">
        <v>4204</v>
      </c>
      <c r="K4163" s="1" t="s">
        <v>57</v>
      </c>
      <c r="L4163" s="1" t="s">
        <v>45</v>
      </c>
      <c r="M4163">
        <v>1.929</v>
      </c>
      <c r="N4163">
        <v>67505.7</v>
      </c>
      <c r="O4163">
        <v>67.506</v>
      </c>
      <c r="P4163" s="2">
        <v>44105</v>
      </c>
      <c r="Q4163">
        <v>1</v>
      </c>
      <c r="R4163" s="1" t="s">
        <v>24</v>
      </c>
    </row>
    <row r="4164" spans="1:18" x14ac:dyDescent="0.25">
      <c r="A4164">
        <v>2020</v>
      </c>
      <c r="B4164">
        <v>11</v>
      </c>
      <c r="C4164" s="1" t="s">
        <v>34</v>
      </c>
      <c r="D4164" s="1" t="s">
        <v>19</v>
      </c>
      <c r="E4164" s="1" t="s">
        <v>56</v>
      </c>
      <c r="F4164">
        <v>2006</v>
      </c>
      <c r="G4164">
        <v>14</v>
      </c>
      <c r="H4164" s="1" t="s">
        <v>21</v>
      </c>
      <c r="I4164">
        <v>35</v>
      </c>
      <c r="J4164">
        <v>4204</v>
      </c>
      <c r="K4164" s="1" t="s">
        <v>57</v>
      </c>
      <c r="L4164" s="1" t="s">
        <v>45</v>
      </c>
      <c r="M4164">
        <v>1.641</v>
      </c>
      <c r="N4164">
        <v>57447.7</v>
      </c>
      <c r="O4164">
        <v>57.448</v>
      </c>
      <c r="P4164" s="2">
        <v>44136</v>
      </c>
      <c r="Q4164">
        <v>1</v>
      </c>
      <c r="R4164" s="1" t="s">
        <v>24</v>
      </c>
    </row>
    <row r="4165" spans="1:18" x14ac:dyDescent="0.25">
      <c r="A4165">
        <v>2020</v>
      </c>
      <c r="B4165">
        <v>12</v>
      </c>
      <c r="C4165" s="1" t="s">
        <v>35</v>
      </c>
      <c r="D4165" s="1" t="s">
        <v>19</v>
      </c>
      <c r="E4165" s="1" t="s">
        <v>56</v>
      </c>
      <c r="F4165">
        <v>2006</v>
      </c>
      <c r="G4165">
        <v>14</v>
      </c>
      <c r="H4165" s="1" t="s">
        <v>21</v>
      </c>
      <c r="I4165">
        <v>35</v>
      </c>
      <c r="J4165">
        <v>4204</v>
      </c>
      <c r="K4165" s="1" t="s">
        <v>57</v>
      </c>
      <c r="L4165" s="1" t="s">
        <v>45</v>
      </c>
      <c r="M4165">
        <v>1.472</v>
      </c>
      <c r="N4165">
        <v>51520</v>
      </c>
      <c r="O4165">
        <v>51.52</v>
      </c>
      <c r="P4165" s="2">
        <v>44166</v>
      </c>
      <c r="Q4165">
        <v>1</v>
      </c>
      <c r="R4165" s="1" t="s">
        <v>24</v>
      </c>
    </row>
    <row r="4166" spans="1:18" x14ac:dyDescent="0.25">
      <c r="A4166">
        <v>2020</v>
      </c>
      <c r="B4166">
        <v>1</v>
      </c>
      <c r="C4166" s="1" t="s">
        <v>18</v>
      </c>
      <c r="D4166" s="1" t="s">
        <v>19</v>
      </c>
      <c r="E4166" s="1" t="s">
        <v>58</v>
      </c>
      <c r="F4166">
        <v>2012</v>
      </c>
      <c r="G4166">
        <v>8</v>
      </c>
      <c r="H4166" s="1" t="s">
        <v>21</v>
      </c>
      <c r="I4166">
        <v>10</v>
      </c>
      <c r="J4166">
        <v>1434</v>
      </c>
      <c r="K4166" s="1" t="s">
        <v>60</v>
      </c>
      <c r="L4166" s="1" t="s">
        <v>45</v>
      </c>
      <c r="M4166">
        <v>1.0109999999999999</v>
      </c>
      <c r="N4166">
        <v>10109.700000000001</v>
      </c>
      <c r="O4166">
        <v>10.11</v>
      </c>
      <c r="P4166" s="2">
        <v>43831</v>
      </c>
      <c r="Q4166">
        <v>1</v>
      </c>
      <c r="R4166" s="1" t="s">
        <v>40</v>
      </c>
    </row>
    <row r="4167" spans="1:18" x14ac:dyDescent="0.25">
      <c r="A4167">
        <v>2020</v>
      </c>
      <c r="B4167">
        <v>2</v>
      </c>
      <c r="C4167" s="1" t="s">
        <v>25</v>
      </c>
      <c r="D4167" s="1" t="s">
        <v>19</v>
      </c>
      <c r="E4167" s="1" t="s">
        <v>58</v>
      </c>
      <c r="F4167">
        <v>2012</v>
      </c>
      <c r="G4167">
        <v>8</v>
      </c>
      <c r="H4167" s="1" t="s">
        <v>21</v>
      </c>
      <c r="I4167">
        <v>10</v>
      </c>
      <c r="J4167">
        <v>1434</v>
      </c>
      <c r="K4167" s="1" t="s">
        <v>60</v>
      </c>
      <c r="L4167" s="1" t="s">
        <v>45</v>
      </c>
      <c r="M4167">
        <v>1.024</v>
      </c>
      <c r="N4167">
        <v>10238.799999999999</v>
      </c>
      <c r="O4167">
        <v>10.239000000000001</v>
      </c>
      <c r="P4167" s="2">
        <v>43862</v>
      </c>
      <c r="Q4167">
        <v>1</v>
      </c>
      <c r="R4167" s="1" t="s">
        <v>40</v>
      </c>
    </row>
    <row r="4168" spans="1:18" x14ac:dyDescent="0.25">
      <c r="A4168">
        <v>2020</v>
      </c>
      <c r="B4168">
        <v>3</v>
      </c>
      <c r="C4168" s="1" t="s">
        <v>26</v>
      </c>
      <c r="D4168" s="1" t="s">
        <v>19</v>
      </c>
      <c r="E4168" s="1" t="s">
        <v>58</v>
      </c>
      <c r="F4168">
        <v>2012</v>
      </c>
      <c r="G4168">
        <v>8</v>
      </c>
      <c r="H4168" s="1" t="s">
        <v>21</v>
      </c>
      <c r="I4168">
        <v>10</v>
      </c>
      <c r="J4168">
        <v>1434</v>
      </c>
      <c r="K4168" s="1" t="s">
        <v>60</v>
      </c>
      <c r="L4168" s="1" t="s">
        <v>45</v>
      </c>
      <c r="M4168">
        <v>1.1830000000000001</v>
      </c>
      <c r="N4168">
        <v>11830.5</v>
      </c>
      <c r="O4168">
        <v>11.831</v>
      </c>
      <c r="P4168" s="2">
        <v>43891</v>
      </c>
      <c r="Q4168">
        <v>1</v>
      </c>
      <c r="R4168" s="1" t="s">
        <v>40</v>
      </c>
    </row>
    <row r="4169" spans="1:18" x14ac:dyDescent="0.25">
      <c r="A4169">
        <v>2020</v>
      </c>
      <c r="B4169">
        <v>4</v>
      </c>
      <c r="C4169" s="1" t="s">
        <v>27</v>
      </c>
      <c r="D4169" s="1" t="s">
        <v>19</v>
      </c>
      <c r="E4169" s="1" t="s">
        <v>58</v>
      </c>
      <c r="F4169">
        <v>2012</v>
      </c>
      <c r="G4169">
        <v>8</v>
      </c>
      <c r="H4169" s="1" t="s">
        <v>21</v>
      </c>
      <c r="I4169">
        <v>10</v>
      </c>
      <c r="J4169">
        <v>1434</v>
      </c>
      <c r="K4169" s="1" t="s">
        <v>60</v>
      </c>
      <c r="L4169" s="1" t="s">
        <v>45</v>
      </c>
      <c r="M4169">
        <v>2.0750000000000002</v>
      </c>
      <c r="N4169">
        <v>20746.400000000001</v>
      </c>
      <c r="O4169">
        <v>20.745999999999999</v>
      </c>
      <c r="P4169" s="2">
        <v>43922</v>
      </c>
      <c r="Q4169">
        <v>1</v>
      </c>
      <c r="R4169" s="1" t="s">
        <v>40</v>
      </c>
    </row>
    <row r="4170" spans="1:18" x14ac:dyDescent="0.25">
      <c r="A4170">
        <v>2020</v>
      </c>
      <c r="B4170">
        <v>5</v>
      </c>
      <c r="C4170" s="1" t="s">
        <v>28</v>
      </c>
      <c r="D4170" s="1" t="s">
        <v>19</v>
      </c>
      <c r="E4170" s="1" t="s">
        <v>58</v>
      </c>
      <c r="F4170">
        <v>2012</v>
      </c>
      <c r="G4170">
        <v>8</v>
      </c>
      <c r="H4170" s="1" t="s">
        <v>21</v>
      </c>
      <c r="I4170">
        <v>10</v>
      </c>
      <c r="J4170">
        <v>1434</v>
      </c>
      <c r="K4170" s="1" t="s">
        <v>60</v>
      </c>
      <c r="L4170" s="1" t="s">
        <v>45</v>
      </c>
      <c r="M4170">
        <v>2.3220000000000001</v>
      </c>
      <c r="N4170">
        <v>23220</v>
      </c>
      <c r="O4170">
        <v>23.22</v>
      </c>
      <c r="P4170" s="2">
        <v>43952</v>
      </c>
      <c r="Q4170">
        <v>1</v>
      </c>
      <c r="R4170" s="1" t="s">
        <v>40</v>
      </c>
    </row>
    <row r="4171" spans="1:18" x14ac:dyDescent="0.25">
      <c r="A4171">
        <v>2020</v>
      </c>
      <c r="B4171">
        <v>6</v>
      </c>
      <c r="C4171" s="1" t="s">
        <v>29</v>
      </c>
      <c r="D4171" s="1" t="s">
        <v>19</v>
      </c>
      <c r="E4171" s="1" t="s">
        <v>58</v>
      </c>
      <c r="F4171">
        <v>2012</v>
      </c>
      <c r="G4171">
        <v>8</v>
      </c>
      <c r="H4171" s="1" t="s">
        <v>21</v>
      </c>
      <c r="I4171">
        <v>10</v>
      </c>
      <c r="J4171">
        <v>1434</v>
      </c>
      <c r="K4171" s="1" t="s">
        <v>60</v>
      </c>
      <c r="L4171" s="1" t="s">
        <v>45</v>
      </c>
      <c r="M4171">
        <v>2.419</v>
      </c>
      <c r="N4171">
        <v>24188</v>
      </c>
      <c r="O4171">
        <v>24.187999999999999</v>
      </c>
      <c r="P4171" s="2">
        <v>43983</v>
      </c>
      <c r="Q4171">
        <v>1</v>
      </c>
      <c r="R4171" s="1" t="s">
        <v>40</v>
      </c>
    </row>
    <row r="4172" spans="1:18" x14ac:dyDescent="0.25">
      <c r="A4172">
        <v>2020</v>
      </c>
      <c r="B4172">
        <v>7</v>
      </c>
      <c r="C4172" s="1" t="s">
        <v>30</v>
      </c>
      <c r="D4172" s="1" t="s">
        <v>19</v>
      </c>
      <c r="E4172" s="1" t="s">
        <v>58</v>
      </c>
      <c r="F4172">
        <v>2012</v>
      </c>
      <c r="G4172">
        <v>8</v>
      </c>
      <c r="H4172" s="1" t="s">
        <v>21</v>
      </c>
      <c r="I4172">
        <v>10</v>
      </c>
      <c r="J4172">
        <v>1434</v>
      </c>
      <c r="K4172" s="1" t="s">
        <v>60</v>
      </c>
      <c r="L4172" s="1" t="s">
        <v>45</v>
      </c>
      <c r="M4172">
        <v>2.4710000000000001</v>
      </c>
      <c r="N4172">
        <v>24715</v>
      </c>
      <c r="O4172">
        <v>24.715</v>
      </c>
      <c r="P4172" s="2">
        <v>44013</v>
      </c>
      <c r="Q4172">
        <v>1</v>
      </c>
      <c r="R4172" s="1" t="s">
        <v>40</v>
      </c>
    </row>
    <row r="4173" spans="1:18" x14ac:dyDescent="0.25">
      <c r="A4173">
        <v>2020</v>
      </c>
      <c r="B4173">
        <v>8</v>
      </c>
      <c r="C4173" s="1" t="s">
        <v>31</v>
      </c>
      <c r="D4173" s="1" t="s">
        <v>19</v>
      </c>
      <c r="E4173" s="1" t="s">
        <v>58</v>
      </c>
      <c r="F4173">
        <v>2012</v>
      </c>
      <c r="G4173">
        <v>8</v>
      </c>
      <c r="H4173" s="1" t="s">
        <v>21</v>
      </c>
      <c r="I4173">
        <v>10</v>
      </c>
      <c r="J4173">
        <v>1434</v>
      </c>
      <c r="K4173" s="1" t="s">
        <v>60</v>
      </c>
      <c r="L4173" s="1" t="s">
        <v>45</v>
      </c>
      <c r="M4173">
        <v>2.3620000000000001</v>
      </c>
      <c r="N4173">
        <v>23618</v>
      </c>
      <c r="O4173">
        <v>23.617999999999999</v>
      </c>
      <c r="P4173" s="2">
        <v>44044</v>
      </c>
      <c r="Q4173">
        <v>1</v>
      </c>
      <c r="R4173" s="1" t="s">
        <v>40</v>
      </c>
    </row>
    <row r="4174" spans="1:18" x14ac:dyDescent="0.25">
      <c r="A4174">
        <v>2020</v>
      </c>
      <c r="B4174">
        <v>9</v>
      </c>
      <c r="C4174" s="1" t="s">
        <v>32</v>
      </c>
      <c r="D4174" s="1" t="s">
        <v>19</v>
      </c>
      <c r="E4174" s="1" t="s">
        <v>58</v>
      </c>
      <c r="F4174">
        <v>2012</v>
      </c>
      <c r="G4174">
        <v>8</v>
      </c>
      <c r="H4174" s="1" t="s">
        <v>21</v>
      </c>
      <c r="I4174">
        <v>10</v>
      </c>
      <c r="J4174">
        <v>1434</v>
      </c>
      <c r="K4174" s="1" t="s">
        <v>60</v>
      </c>
      <c r="L4174" s="1" t="s">
        <v>45</v>
      </c>
      <c r="M4174">
        <v>2.4870000000000001</v>
      </c>
      <c r="N4174">
        <v>24865.599999999999</v>
      </c>
      <c r="O4174">
        <v>24.866</v>
      </c>
      <c r="P4174" s="2">
        <v>44075</v>
      </c>
      <c r="Q4174">
        <v>1</v>
      </c>
      <c r="R4174" s="1" t="s">
        <v>40</v>
      </c>
    </row>
    <row r="4175" spans="1:18" x14ac:dyDescent="0.25">
      <c r="A4175">
        <v>2020</v>
      </c>
      <c r="B4175">
        <v>10</v>
      </c>
      <c r="C4175" s="1" t="s">
        <v>33</v>
      </c>
      <c r="D4175" s="1" t="s">
        <v>19</v>
      </c>
      <c r="E4175" s="1" t="s">
        <v>58</v>
      </c>
      <c r="F4175">
        <v>2012</v>
      </c>
      <c r="G4175">
        <v>8</v>
      </c>
      <c r="H4175" s="1" t="s">
        <v>21</v>
      </c>
      <c r="I4175">
        <v>10</v>
      </c>
      <c r="J4175">
        <v>1434</v>
      </c>
      <c r="K4175" s="1" t="s">
        <v>60</v>
      </c>
      <c r="L4175" s="1" t="s">
        <v>45</v>
      </c>
      <c r="M4175">
        <v>2.3029999999999999</v>
      </c>
      <c r="N4175">
        <v>23026.5</v>
      </c>
      <c r="O4175">
        <v>23.026</v>
      </c>
      <c r="P4175" s="2">
        <v>44105</v>
      </c>
      <c r="Q4175">
        <v>1</v>
      </c>
      <c r="R4175" s="1" t="s">
        <v>40</v>
      </c>
    </row>
    <row r="4176" spans="1:18" x14ac:dyDescent="0.25">
      <c r="A4176">
        <v>2020</v>
      </c>
      <c r="B4176">
        <v>11</v>
      </c>
      <c r="C4176" s="1" t="s">
        <v>34</v>
      </c>
      <c r="D4176" s="1" t="s">
        <v>19</v>
      </c>
      <c r="E4176" s="1" t="s">
        <v>58</v>
      </c>
      <c r="F4176">
        <v>2012</v>
      </c>
      <c r="G4176">
        <v>8</v>
      </c>
      <c r="H4176" s="1" t="s">
        <v>21</v>
      </c>
      <c r="I4176">
        <v>10</v>
      </c>
      <c r="J4176">
        <v>1434</v>
      </c>
      <c r="K4176" s="1" t="s">
        <v>60</v>
      </c>
      <c r="L4176" s="1" t="s">
        <v>45</v>
      </c>
      <c r="M4176">
        <v>1.96</v>
      </c>
      <c r="N4176">
        <v>19595.599999999999</v>
      </c>
      <c r="O4176">
        <v>19.596</v>
      </c>
      <c r="P4176" s="2">
        <v>44136</v>
      </c>
      <c r="Q4176">
        <v>1</v>
      </c>
      <c r="R4176" s="1" t="s">
        <v>40</v>
      </c>
    </row>
    <row r="4177" spans="1:18" x14ac:dyDescent="0.25">
      <c r="A4177">
        <v>2020</v>
      </c>
      <c r="B4177">
        <v>12</v>
      </c>
      <c r="C4177" s="1" t="s">
        <v>35</v>
      </c>
      <c r="D4177" s="1" t="s">
        <v>19</v>
      </c>
      <c r="E4177" s="1" t="s">
        <v>58</v>
      </c>
      <c r="F4177">
        <v>2012</v>
      </c>
      <c r="G4177">
        <v>8</v>
      </c>
      <c r="H4177" s="1" t="s">
        <v>21</v>
      </c>
      <c r="I4177">
        <v>10</v>
      </c>
      <c r="J4177">
        <v>1434</v>
      </c>
      <c r="K4177" s="1" t="s">
        <v>60</v>
      </c>
      <c r="L4177" s="1" t="s">
        <v>45</v>
      </c>
      <c r="M4177">
        <v>1.7569999999999999</v>
      </c>
      <c r="N4177">
        <v>17573.7</v>
      </c>
      <c r="O4177">
        <v>17.574000000000002</v>
      </c>
      <c r="P4177" s="2">
        <v>44166</v>
      </c>
      <c r="Q4177">
        <v>1</v>
      </c>
      <c r="R4177" s="1" t="s">
        <v>40</v>
      </c>
    </row>
    <row r="4178" spans="1:18" x14ac:dyDescent="0.25">
      <c r="A4178">
        <v>2020</v>
      </c>
      <c r="B4178">
        <v>1</v>
      </c>
      <c r="C4178" s="1" t="s">
        <v>18</v>
      </c>
      <c r="D4178" s="1" t="s">
        <v>19</v>
      </c>
      <c r="E4178" s="1" t="s">
        <v>62</v>
      </c>
      <c r="F4178">
        <v>2012</v>
      </c>
      <c r="G4178">
        <v>8</v>
      </c>
      <c r="H4178" s="1" t="s">
        <v>21</v>
      </c>
      <c r="I4178">
        <v>24</v>
      </c>
      <c r="J4178">
        <v>3074</v>
      </c>
      <c r="K4178" s="1" t="s">
        <v>63</v>
      </c>
      <c r="L4178" s="1" t="s">
        <v>64</v>
      </c>
      <c r="M4178">
        <v>0.90300000000000002</v>
      </c>
      <c r="N4178">
        <v>21671.7</v>
      </c>
      <c r="O4178">
        <v>21.672000000000001</v>
      </c>
      <c r="P4178" s="2">
        <v>43831</v>
      </c>
      <c r="Q4178">
        <v>1</v>
      </c>
      <c r="R4178" s="1" t="s">
        <v>40</v>
      </c>
    </row>
    <row r="4179" spans="1:18" x14ac:dyDescent="0.25">
      <c r="A4179">
        <v>2020</v>
      </c>
      <c r="B4179">
        <v>2</v>
      </c>
      <c r="C4179" s="1" t="s">
        <v>25</v>
      </c>
      <c r="D4179" s="1" t="s">
        <v>19</v>
      </c>
      <c r="E4179" s="1" t="s">
        <v>62</v>
      </c>
      <c r="F4179">
        <v>2012</v>
      </c>
      <c r="G4179">
        <v>8</v>
      </c>
      <c r="H4179" s="1" t="s">
        <v>21</v>
      </c>
      <c r="I4179">
        <v>24</v>
      </c>
      <c r="J4179">
        <v>3074</v>
      </c>
      <c r="K4179" s="1" t="s">
        <v>63</v>
      </c>
      <c r="L4179" s="1" t="s">
        <v>64</v>
      </c>
      <c r="M4179">
        <v>0.91500000000000004</v>
      </c>
      <c r="N4179">
        <v>21948.400000000001</v>
      </c>
      <c r="O4179">
        <v>21.948</v>
      </c>
      <c r="P4179" s="2">
        <v>43862</v>
      </c>
      <c r="Q4179">
        <v>1</v>
      </c>
      <c r="R4179" s="1" t="s">
        <v>40</v>
      </c>
    </row>
    <row r="4180" spans="1:18" x14ac:dyDescent="0.25">
      <c r="A4180">
        <v>2020</v>
      </c>
      <c r="B4180">
        <v>3</v>
      </c>
      <c r="C4180" s="1" t="s">
        <v>26</v>
      </c>
      <c r="D4180" s="1" t="s">
        <v>19</v>
      </c>
      <c r="E4180" s="1" t="s">
        <v>62</v>
      </c>
      <c r="F4180">
        <v>2012</v>
      </c>
      <c r="G4180">
        <v>8</v>
      </c>
      <c r="H4180" s="1" t="s">
        <v>21</v>
      </c>
      <c r="I4180">
        <v>24</v>
      </c>
      <c r="J4180">
        <v>3074</v>
      </c>
      <c r="K4180" s="1" t="s">
        <v>63</v>
      </c>
      <c r="L4180" s="1" t="s">
        <v>64</v>
      </c>
      <c r="M4180">
        <v>1.0569999999999999</v>
      </c>
      <c r="N4180">
        <v>25360.5</v>
      </c>
      <c r="O4180">
        <v>25.361000000000001</v>
      </c>
      <c r="P4180" s="2">
        <v>43891</v>
      </c>
      <c r="Q4180">
        <v>1</v>
      </c>
      <c r="R4180" s="1" t="s">
        <v>40</v>
      </c>
    </row>
    <row r="4181" spans="1:18" x14ac:dyDescent="0.25">
      <c r="A4181">
        <v>2020</v>
      </c>
      <c r="B4181">
        <v>4</v>
      </c>
      <c r="C4181" s="1" t="s">
        <v>27</v>
      </c>
      <c r="D4181" s="1" t="s">
        <v>19</v>
      </c>
      <c r="E4181" s="1" t="s">
        <v>62</v>
      </c>
      <c r="F4181">
        <v>2012</v>
      </c>
      <c r="G4181">
        <v>8</v>
      </c>
      <c r="H4181" s="1" t="s">
        <v>21</v>
      </c>
      <c r="I4181">
        <v>24</v>
      </c>
      <c r="J4181">
        <v>3074</v>
      </c>
      <c r="K4181" s="1" t="s">
        <v>63</v>
      </c>
      <c r="L4181" s="1" t="s">
        <v>64</v>
      </c>
      <c r="M4181">
        <v>1.853</v>
      </c>
      <c r="N4181">
        <v>44473.1</v>
      </c>
      <c r="O4181">
        <v>44.472999999999999</v>
      </c>
      <c r="P4181" s="2">
        <v>43922</v>
      </c>
      <c r="Q4181">
        <v>1</v>
      </c>
      <c r="R4181" s="1" t="s">
        <v>40</v>
      </c>
    </row>
    <row r="4182" spans="1:18" x14ac:dyDescent="0.25">
      <c r="A4182">
        <v>2020</v>
      </c>
      <c r="B4182">
        <v>5</v>
      </c>
      <c r="C4182" s="1" t="s">
        <v>28</v>
      </c>
      <c r="D4182" s="1" t="s">
        <v>19</v>
      </c>
      <c r="E4182" s="1" t="s">
        <v>62</v>
      </c>
      <c r="F4182">
        <v>2012</v>
      </c>
      <c r="G4182">
        <v>8</v>
      </c>
      <c r="H4182" s="1" t="s">
        <v>21</v>
      </c>
      <c r="I4182">
        <v>24</v>
      </c>
      <c r="J4182">
        <v>3074</v>
      </c>
      <c r="K4182" s="1" t="s">
        <v>63</v>
      </c>
      <c r="L4182" s="1" t="s">
        <v>64</v>
      </c>
      <c r="M4182">
        <v>2.0739999999999998</v>
      </c>
      <c r="N4182">
        <v>49775.7</v>
      </c>
      <c r="O4182">
        <v>49.776000000000003</v>
      </c>
      <c r="P4182" s="2">
        <v>43952</v>
      </c>
      <c r="Q4182">
        <v>1</v>
      </c>
      <c r="R4182" s="1" t="s">
        <v>40</v>
      </c>
    </row>
    <row r="4183" spans="1:18" x14ac:dyDescent="0.25">
      <c r="A4183">
        <v>2020</v>
      </c>
      <c r="B4183">
        <v>6</v>
      </c>
      <c r="C4183" s="1" t="s">
        <v>29</v>
      </c>
      <c r="D4183" s="1" t="s">
        <v>19</v>
      </c>
      <c r="E4183" s="1" t="s">
        <v>62</v>
      </c>
      <c r="F4183">
        <v>2012</v>
      </c>
      <c r="G4183">
        <v>8</v>
      </c>
      <c r="H4183" s="1" t="s">
        <v>21</v>
      </c>
      <c r="I4183">
        <v>24</v>
      </c>
      <c r="J4183">
        <v>3074</v>
      </c>
      <c r="K4183" s="1" t="s">
        <v>63</v>
      </c>
      <c r="L4183" s="1" t="s">
        <v>64</v>
      </c>
      <c r="M4183">
        <v>2.16</v>
      </c>
      <c r="N4183">
        <v>51850.7</v>
      </c>
      <c r="O4183">
        <v>51.850999999999999</v>
      </c>
      <c r="P4183" s="2">
        <v>43983</v>
      </c>
      <c r="Q4183">
        <v>1</v>
      </c>
      <c r="R4183" s="1" t="s">
        <v>40</v>
      </c>
    </row>
    <row r="4184" spans="1:18" x14ac:dyDescent="0.25">
      <c r="A4184">
        <v>2020</v>
      </c>
      <c r="B4184">
        <v>7</v>
      </c>
      <c r="C4184" s="1" t="s">
        <v>30</v>
      </c>
      <c r="D4184" s="1" t="s">
        <v>19</v>
      </c>
      <c r="E4184" s="1" t="s">
        <v>62</v>
      </c>
      <c r="F4184">
        <v>2012</v>
      </c>
      <c r="G4184">
        <v>8</v>
      </c>
      <c r="H4184" s="1" t="s">
        <v>21</v>
      </c>
      <c r="I4184">
        <v>24</v>
      </c>
      <c r="J4184">
        <v>3074</v>
      </c>
      <c r="K4184" s="1" t="s">
        <v>63</v>
      </c>
      <c r="L4184" s="1" t="s">
        <v>64</v>
      </c>
      <c r="M4184">
        <v>2.2080000000000002</v>
      </c>
      <c r="N4184">
        <v>52980.4</v>
      </c>
      <c r="O4184">
        <v>52.98</v>
      </c>
      <c r="P4184" s="2">
        <v>44013</v>
      </c>
      <c r="Q4184">
        <v>1</v>
      </c>
      <c r="R4184" s="1" t="s">
        <v>40</v>
      </c>
    </row>
    <row r="4185" spans="1:18" x14ac:dyDescent="0.25">
      <c r="A4185">
        <v>2020</v>
      </c>
      <c r="B4185">
        <v>8</v>
      </c>
      <c r="C4185" s="1" t="s">
        <v>31</v>
      </c>
      <c r="D4185" s="1" t="s">
        <v>19</v>
      </c>
      <c r="E4185" s="1" t="s">
        <v>62</v>
      </c>
      <c r="F4185">
        <v>2012</v>
      </c>
      <c r="G4185">
        <v>8</v>
      </c>
      <c r="H4185" s="1" t="s">
        <v>21</v>
      </c>
      <c r="I4185">
        <v>24</v>
      </c>
      <c r="J4185">
        <v>3074</v>
      </c>
      <c r="K4185" s="1" t="s">
        <v>63</v>
      </c>
      <c r="L4185" s="1" t="s">
        <v>64</v>
      </c>
      <c r="M4185">
        <v>2.11</v>
      </c>
      <c r="N4185">
        <v>50628.800000000003</v>
      </c>
      <c r="O4185">
        <v>50.628999999999998</v>
      </c>
      <c r="P4185" s="2">
        <v>44044</v>
      </c>
      <c r="Q4185">
        <v>1</v>
      </c>
      <c r="R4185" s="1" t="s">
        <v>40</v>
      </c>
    </row>
    <row r="4186" spans="1:18" x14ac:dyDescent="0.25">
      <c r="A4186">
        <v>2020</v>
      </c>
      <c r="B4186">
        <v>9</v>
      </c>
      <c r="C4186" s="1" t="s">
        <v>32</v>
      </c>
      <c r="D4186" s="1" t="s">
        <v>19</v>
      </c>
      <c r="E4186" s="1" t="s">
        <v>62</v>
      </c>
      <c r="F4186">
        <v>2012</v>
      </c>
      <c r="G4186">
        <v>8</v>
      </c>
      <c r="H4186" s="1" t="s">
        <v>21</v>
      </c>
      <c r="I4186">
        <v>24</v>
      </c>
      <c r="J4186">
        <v>3074</v>
      </c>
      <c r="K4186" s="1" t="s">
        <v>63</v>
      </c>
      <c r="L4186" s="1" t="s">
        <v>64</v>
      </c>
      <c r="M4186">
        <v>2.2210000000000001</v>
      </c>
      <c r="N4186">
        <v>53303.199999999997</v>
      </c>
      <c r="O4186">
        <v>53.302999999999997</v>
      </c>
      <c r="P4186" s="2">
        <v>44075</v>
      </c>
      <c r="Q4186">
        <v>1</v>
      </c>
      <c r="R4186" s="1" t="s">
        <v>40</v>
      </c>
    </row>
    <row r="4187" spans="1:18" x14ac:dyDescent="0.25">
      <c r="A4187">
        <v>2020</v>
      </c>
      <c r="B4187">
        <v>10</v>
      </c>
      <c r="C4187" s="1" t="s">
        <v>33</v>
      </c>
      <c r="D4187" s="1" t="s">
        <v>19</v>
      </c>
      <c r="E4187" s="1" t="s">
        <v>62</v>
      </c>
      <c r="F4187">
        <v>2012</v>
      </c>
      <c r="G4187">
        <v>8</v>
      </c>
      <c r="H4187" s="1" t="s">
        <v>21</v>
      </c>
      <c r="I4187">
        <v>24</v>
      </c>
      <c r="J4187">
        <v>3074</v>
      </c>
      <c r="K4187" s="1" t="s">
        <v>63</v>
      </c>
      <c r="L4187" s="1" t="s">
        <v>64</v>
      </c>
      <c r="M4187">
        <v>2.0569999999999999</v>
      </c>
      <c r="N4187">
        <v>49360.800000000003</v>
      </c>
      <c r="O4187">
        <v>49.360999999999997</v>
      </c>
      <c r="P4187" s="2">
        <v>44105</v>
      </c>
      <c r="Q4187">
        <v>1</v>
      </c>
      <c r="R4187" s="1" t="s">
        <v>40</v>
      </c>
    </row>
    <row r="4188" spans="1:18" x14ac:dyDescent="0.25">
      <c r="A4188">
        <v>2020</v>
      </c>
      <c r="B4188">
        <v>11</v>
      </c>
      <c r="C4188" s="1" t="s">
        <v>34</v>
      </c>
      <c r="D4188" s="1" t="s">
        <v>19</v>
      </c>
      <c r="E4188" s="1" t="s">
        <v>62</v>
      </c>
      <c r="F4188">
        <v>2012</v>
      </c>
      <c r="G4188">
        <v>8</v>
      </c>
      <c r="H4188" s="1" t="s">
        <v>21</v>
      </c>
      <c r="I4188">
        <v>24</v>
      </c>
      <c r="J4188">
        <v>3074</v>
      </c>
      <c r="K4188" s="1" t="s">
        <v>63</v>
      </c>
      <c r="L4188" s="1" t="s">
        <v>64</v>
      </c>
      <c r="M4188">
        <v>1.75</v>
      </c>
      <c r="N4188">
        <v>42006.2</v>
      </c>
      <c r="O4188">
        <v>42.006</v>
      </c>
      <c r="P4188" s="2">
        <v>44136</v>
      </c>
      <c r="Q4188">
        <v>1</v>
      </c>
      <c r="R4188" s="1" t="s">
        <v>40</v>
      </c>
    </row>
    <row r="4189" spans="1:18" x14ac:dyDescent="0.25">
      <c r="A4189">
        <v>2020</v>
      </c>
      <c r="B4189">
        <v>12</v>
      </c>
      <c r="C4189" s="1" t="s">
        <v>35</v>
      </c>
      <c r="D4189" s="1" t="s">
        <v>19</v>
      </c>
      <c r="E4189" s="1" t="s">
        <v>62</v>
      </c>
      <c r="F4189">
        <v>2012</v>
      </c>
      <c r="G4189">
        <v>8</v>
      </c>
      <c r="H4189" s="1" t="s">
        <v>21</v>
      </c>
      <c r="I4189">
        <v>24</v>
      </c>
      <c r="J4189">
        <v>3074</v>
      </c>
      <c r="K4189" s="1" t="s">
        <v>63</v>
      </c>
      <c r="L4189" s="1" t="s">
        <v>64</v>
      </c>
      <c r="M4189">
        <v>1.57</v>
      </c>
      <c r="N4189">
        <v>37671.9</v>
      </c>
      <c r="O4189">
        <v>37.671999999999997</v>
      </c>
      <c r="P4189" s="2">
        <v>44166</v>
      </c>
      <c r="Q4189">
        <v>1</v>
      </c>
      <c r="R4189" s="1" t="s">
        <v>40</v>
      </c>
    </row>
    <row r="4190" spans="1:18" x14ac:dyDescent="0.25">
      <c r="A4190">
        <v>2020</v>
      </c>
      <c r="B4190">
        <v>1</v>
      </c>
      <c r="C4190" s="1" t="s">
        <v>18</v>
      </c>
      <c r="D4190" s="1" t="s">
        <v>19</v>
      </c>
      <c r="E4190" s="1" t="s">
        <v>65</v>
      </c>
      <c r="F4190">
        <v>2012</v>
      </c>
      <c r="G4190">
        <v>8</v>
      </c>
      <c r="H4190" s="1" t="s">
        <v>21</v>
      </c>
      <c r="I4190">
        <v>19</v>
      </c>
      <c r="J4190">
        <v>2418</v>
      </c>
      <c r="K4190" s="1" t="s">
        <v>66</v>
      </c>
      <c r="L4190" s="1" t="s">
        <v>64</v>
      </c>
      <c r="M4190">
        <v>0.89700000000000002</v>
      </c>
      <c r="N4190">
        <v>17046.900000000001</v>
      </c>
      <c r="O4190">
        <v>17.047000000000001</v>
      </c>
      <c r="P4190" s="2">
        <v>43831</v>
      </c>
      <c r="Q4190">
        <v>1</v>
      </c>
      <c r="R4190" s="1" t="s">
        <v>40</v>
      </c>
    </row>
    <row r="4191" spans="1:18" x14ac:dyDescent="0.25">
      <c r="A4191">
        <v>2020</v>
      </c>
      <c r="B4191">
        <v>2</v>
      </c>
      <c r="C4191" s="1" t="s">
        <v>25</v>
      </c>
      <c r="D4191" s="1" t="s">
        <v>19</v>
      </c>
      <c r="E4191" s="1" t="s">
        <v>65</v>
      </c>
      <c r="F4191">
        <v>2012</v>
      </c>
      <c r="G4191">
        <v>8</v>
      </c>
      <c r="H4191" s="1" t="s">
        <v>21</v>
      </c>
      <c r="I4191">
        <v>19</v>
      </c>
      <c r="J4191">
        <v>2418</v>
      </c>
      <c r="K4191" s="1" t="s">
        <v>66</v>
      </c>
      <c r="L4191" s="1" t="s">
        <v>64</v>
      </c>
      <c r="M4191">
        <v>0.90900000000000003</v>
      </c>
      <c r="N4191">
        <v>17264.5</v>
      </c>
      <c r="O4191">
        <v>17.265000000000001</v>
      </c>
      <c r="P4191" s="2">
        <v>43862</v>
      </c>
      <c r="Q4191">
        <v>1</v>
      </c>
      <c r="R4191" s="1" t="s">
        <v>40</v>
      </c>
    </row>
    <row r="4192" spans="1:18" x14ac:dyDescent="0.25">
      <c r="A4192">
        <v>2020</v>
      </c>
      <c r="B4192">
        <v>3</v>
      </c>
      <c r="C4192" s="1" t="s">
        <v>26</v>
      </c>
      <c r="D4192" s="1" t="s">
        <v>19</v>
      </c>
      <c r="E4192" s="1" t="s">
        <v>65</v>
      </c>
      <c r="F4192">
        <v>2012</v>
      </c>
      <c r="G4192">
        <v>8</v>
      </c>
      <c r="H4192" s="1" t="s">
        <v>21</v>
      </c>
      <c r="I4192">
        <v>19</v>
      </c>
      <c r="J4192">
        <v>2418</v>
      </c>
      <c r="K4192" s="1" t="s">
        <v>66</v>
      </c>
      <c r="L4192" s="1" t="s">
        <v>64</v>
      </c>
      <c r="M4192">
        <v>1.05</v>
      </c>
      <c r="N4192">
        <v>19948.5</v>
      </c>
      <c r="O4192">
        <v>19.948</v>
      </c>
      <c r="P4192" s="2">
        <v>43891</v>
      </c>
      <c r="Q4192">
        <v>1</v>
      </c>
      <c r="R4192" s="1" t="s">
        <v>40</v>
      </c>
    </row>
    <row r="4193" spans="1:18" x14ac:dyDescent="0.25">
      <c r="A4193">
        <v>2020</v>
      </c>
      <c r="B4193">
        <v>4</v>
      </c>
      <c r="C4193" s="1" t="s">
        <v>27</v>
      </c>
      <c r="D4193" s="1" t="s">
        <v>19</v>
      </c>
      <c r="E4193" s="1" t="s">
        <v>65</v>
      </c>
      <c r="F4193">
        <v>2012</v>
      </c>
      <c r="G4193">
        <v>8</v>
      </c>
      <c r="H4193" s="1" t="s">
        <v>21</v>
      </c>
      <c r="I4193">
        <v>19</v>
      </c>
      <c r="J4193">
        <v>2418</v>
      </c>
      <c r="K4193" s="1" t="s">
        <v>66</v>
      </c>
      <c r="L4193" s="1" t="s">
        <v>64</v>
      </c>
      <c r="M4193">
        <v>1.841</v>
      </c>
      <c r="N4193">
        <v>34982.400000000001</v>
      </c>
      <c r="O4193">
        <v>34.981999999999999</v>
      </c>
      <c r="P4193" s="2">
        <v>43922</v>
      </c>
      <c r="Q4193">
        <v>1</v>
      </c>
      <c r="R4193" s="1" t="s">
        <v>40</v>
      </c>
    </row>
    <row r="4194" spans="1:18" x14ac:dyDescent="0.25">
      <c r="A4194">
        <v>2020</v>
      </c>
      <c r="B4194">
        <v>5</v>
      </c>
      <c r="C4194" s="1" t="s">
        <v>28</v>
      </c>
      <c r="D4194" s="1" t="s">
        <v>19</v>
      </c>
      <c r="E4194" s="1" t="s">
        <v>65</v>
      </c>
      <c r="F4194">
        <v>2012</v>
      </c>
      <c r="G4194">
        <v>8</v>
      </c>
      <c r="H4194" s="1" t="s">
        <v>21</v>
      </c>
      <c r="I4194">
        <v>19</v>
      </c>
      <c r="J4194">
        <v>2418</v>
      </c>
      <c r="K4194" s="1" t="s">
        <v>66</v>
      </c>
      <c r="L4194" s="1" t="s">
        <v>64</v>
      </c>
      <c r="M4194">
        <v>2.0609999999999999</v>
      </c>
      <c r="N4194">
        <v>39153.5</v>
      </c>
      <c r="O4194">
        <v>39.152999999999999</v>
      </c>
      <c r="P4194" s="2">
        <v>43952</v>
      </c>
      <c r="Q4194">
        <v>1</v>
      </c>
      <c r="R4194" s="1" t="s">
        <v>40</v>
      </c>
    </row>
    <row r="4195" spans="1:18" x14ac:dyDescent="0.25">
      <c r="A4195">
        <v>2020</v>
      </c>
      <c r="B4195">
        <v>6</v>
      </c>
      <c r="C4195" s="1" t="s">
        <v>29</v>
      </c>
      <c r="D4195" s="1" t="s">
        <v>19</v>
      </c>
      <c r="E4195" s="1" t="s">
        <v>65</v>
      </c>
      <c r="F4195">
        <v>2012</v>
      </c>
      <c r="G4195">
        <v>8</v>
      </c>
      <c r="H4195" s="1" t="s">
        <v>21</v>
      </c>
      <c r="I4195">
        <v>19</v>
      </c>
      <c r="J4195">
        <v>2418</v>
      </c>
      <c r="K4195" s="1" t="s">
        <v>66</v>
      </c>
      <c r="L4195" s="1" t="s">
        <v>64</v>
      </c>
      <c r="M4195">
        <v>2.1469999999999998</v>
      </c>
      <c r="N4195">
        <v>40785.599999999999</v>
      </c>
      <c r="O4195">
        <v>40.786000000000001</v>
      </c>
      <c r="P4195" s="2">
        <v>43983</v>
      </c>
      <c r="Q4195">
        <v>1</v>
      </c>
      <c r="R4195" s="1" t="s">
        <v>40</v>
      </c>
    </row>
    <row r="4196" spans="1:18" x14ac:dyDescent="0.25">
      <c r="A4196">
        <v>2020</v>
      </c>
      <c r="B4196">
        <v>7</v>
      </c>
      <c r="C4196" s="1" t="s">
        <v>30</v>
      </c>
      <c r="D4196" s="1" t="s">
        <v>19</v>
      </c>
      <c r="E4196" s="1" t="s">
        <v>65</v>
      </c>
      <c r="F4196">
        <v>2012</v>
      </c>
      <c r="G4196">
        <v>8</v>
      </c>
      <c r="H4196" s="1" t="s">
        <v>21</v>
      </c>
      <c r="I4196">
        <v>19</v>
      </c>
      <c r="J4196">
        <v>2418</v>
      </c>
      <c r="K4196" s="1" t="s">
        <v>66</v>
      </c>
      <c r="L4196" s="1" t="s">
        <v>64</v>
      </c>
      <c r="M4196">
        <v>2.1930000000000001</v>
      </c>
      <c r="N4196">
        <v>41674.199999999997</v>
      </c>
      <c r="O4196">
        <v>41.673999999999999</v>
      </c>
      <c r="P4196" s="2">
        <v>44013</v>
      </c>
      <c r="Q4196">
        <v>1</v>
      </c>
      <c r="R4196" s="1" t="s">
        <v>40</v>
      </c>
    </row>
    <row r="4197" spans="1:18" x14ac:dyDescent="0.25">
      <c r="A4197">
        <v>2020</v>
      </c>
      <c r="B4197">
        <v>8</v>
      </c>
      <c r="C4197" s="1" t="s">
        <v>31</v>
      </c>
      <c r="D4197" s="1" t="s">
        <v>19</v>
      </c>
      <c r="E4197" s="1" t="s">
        <v>65</v>
      </c>
      <c r="F4197">
        <v>2012</v>
      </c>
      <c r="G4197">
        <v>8</v>
      </c>
      <c r="H4197" s="1" t="s">
        <v>21</v>
      </c>
      <c r="I4197">
        <v>19</v>
      </c>
      <c r="J4197">
        <v>2418</v>
      </c>
      <c r="K4197" s="1" t="s">
        <v>66</v>
      </c>
      <c r="L4197" s="1" t="s">
        <v>64</v>
      </c>
      <c r="M4197">
        <v>2.0960000000000001</v>
      </c>
      <c r="N4197">
        <v>39824.5</v>
      </c>
      <c r="O4197">
        <v>39.823999999999998</v>
      </c>
      <c r="P4197" s="2">
        <v>44044</v>
      </c>
      <c r="Q4197">
        <v>1</v>
      </c>
      <c r="R4197" s="1" t="s">
        <v>40</v>
      </c>
    </row>
    <row r="4198" spans="1:18" x14ac:dyDescent="0.25">
      <c r="A4198">
        <v>2020</v>
      </c>
      <c r="B4198">
        <v>9</v>
      </c>
      <c r="C4198" s="1" t="s">
        <v>32</v>
      </c>
      <c r="D4198" s="1" t="s">
        <v>19</v>
      </c>
      <c r="E4198" s="1" t="s">
        <v>65</v>
      </c>
      <c r="F4198">
        <v>2012</v>
      </c>
      <c r="G4198">
        <v>8</v>
      </c>
      <c r="H4198" s="1" t="s">
        <v>21</v>
      </c>
      <c r="I4198">
        <v>19</v>
      </c>
      <c r="J4198">
        <v>2418</v>
      </c>
      <c r="K4198" s="1" t="s">
        <v>66</v>
      </c>
      <c r="L4198" s="1" t="s">
        <v>64</v>
      </c>
      <c r="M4198">
        <v>2.2069999999999999</v>
      </c>
      <c r="N4198">
        <v>41928.1</v>
      </c>
      <c r="O4198">
        <v>41.927999999999997</v>
      </c>
      <c r="P4198" s="2">
        <v>44075</v>
      </c>
      <c r="Q4198">
        <v>1</v>
      </c>
      <c r="R4198" s="1" t="s">
        <v>40</v>
      </c>
    </row>
    <row r="4199" spans="1:18" x14ac:dyDescent="0.25">
      <c r="A4199">
        <v>2020</v>
      </c>
      <c r="B4199">
        <v>10</v>
      </c>
      <c r="C4199" s="1" t="s">
        <v>33</v>
      </c>
      <c r="D4199" s="1" t="s">
        <v>19</v>
      </c>
      <c r="E4199" s="1" t="s">
        <v>65</v>
      </c>
      <c r="F4199">
        <v>2012</v>
      </c>
      <c r="G4199">
        <v>8</v>
      </c>
      <c r="H4199" s="1" t="s">
        <v>21</v>
      </c>
      <c r="I4199">
        <v>19</v>
      </c>
      <c r="J4199">
        <v>2418</v>
      </c>
      <c r="K4199" s="1" t="s">
        <v>66</v>
      </c>
      <c r="L4199" s="1" t="s">
        <v>64</v>
      </c>
      <c r="M4199">
        <v>2.044</v>
      </c>
      <c r="N4199">
        <v>38827</v>
      </c>
      <c r="O4199">
        <v>38.826999999999998</v>
      </c>
      <c r="P4199" s="2">
        <v>44105</v>
      </c>
      <c r="Q4199">
        <v>1</v>
      </c>
      <c r="R4199" s="1" t="s">
        <v>40</v>
      </c>
    </row>
    <row r="4200" spans="1:18" x14ac:dyDescent="0.25">
      <c r="A4200">
        <v>2020</v>
      </c>
      <c r="B4200">
        <v>11</v>
      </c>
      <c r="C4200" s="1" t="s">
        <v>34</v>
      </c>
      <c r="D4200" s="1" t="s">
        <v>19</v>
      </c>
      <c r="E4200" s="1" t="s">
        <v>65</v>
      </c>
      <c r="F4200">
        <v>2012</v>
      </c>
      <c r="G4200">
        <v>8</v>
      </c>
      <c r="H4200" s="1" t="s">
        <v>21</v>
      </c>
      <c r="I4200">
        <v>19</v>
      </c>
      <c r="J4200">
        <v>2418</v>
      </c>
      <c r="K4200" s="1" t="s">
        <v>66</v>
      </c>
      <c r="L4200" s="1" t="s">
        <v>64</v>
      </c>
      <c r="M4200">
        <v>1.7390000000000001</v>
      </c>
      <c r="N4200">
        <v>33042</v>
      </c>
      <c r="O4200">
        <v>33.042000000000002</v>
      </c>
      <c r="P4200" s="2">
        <v>44136</v>
      </c>
      <c r="Q4200">
        <v>1</v>
      </c>
      <c r="R4200" s="1" t="s">
        <v>40</v>
      </c>
    </row>
    <row r="4201" spans="1:18" x14ac:dyDescent="0.25">
      <c r="A4201">
        <v>2020</v>
      </c>
      <c r="B4201">
        <v>12</v>
      </c>
      <c r="C4201" s="1" t="s">
        <v>35</v>
      </c>
      <c r="D4201" s="1" t="s">
        <v>19</v>
      </c>
      <c r="E4201" s="1" t="s">
        <v>65</v>
      </c>
      <c r="F4201">
        <v>2012</v>
      </c>
      <c r="G4201">
        <v>8</v>
      </c>
      <c r="H4201" s="1" t="s">
        <v>21</v>
      </c>
      <c r="I4201">
        <v>19</v>
      </c>
      <c r="J4201">
        <v>2418</v>
      </c>
      <c r="K4201" s="1" t="s">
        <v>66</v>
      </c>
      <c r="L4201" s="1" t="s">
        <v>64</v>
      </c>
      <c r="M4201">
        <v>1.56</v>
      </c>
      <c r="N4201">
        <v>29632.6</v>
      </c>
      <c r="O4201">
        <v>29.632999999999999</v>
      </c>
      <c r="P4201" s="2">
        <v>44166</v>
      </c>
      <c r="Q4201">
        <v>1</v>
      </c>
      <c r="R4201" s="1" t="s">
        <v>40</v>
      </c>
    </row>
    <row r="4202" spans="1:18" x14ac:dyDescent="0.25">
      <c r="A4202">
        <v>2020</v>
      </c>
      <c r="B4202">
        <v>1</v>
      </c>
      <c r="C4202" s="1" t="s">
        <v>18</v>
      </c>
      <c r="D4202" s="1" t="s">
        <v>19</v>
      </c>
      <c r="E4202" s="1" t="s">
        <v>67</v>
      </c>
      <c r="F4202">
        <v>2012</v>
      </c>
      <c r="G4202">
        <v>8</v>
      </c>
      <c r="H4202" s="1" t="s">
        <v>21</v>
      </c>
      <c r="I4202">
        <v>25</v>
      </c>
      <c r="J4202">
        <v>3205</v>
      </c>
      <c r="K4202" s="1" t="s">
        <v>68</v>
      </c>
      <c r="L4202" s="1" t="s">
        <v>64</v>
      </c>
      <c r="M4202">
        <v>0.90400000000000003</v>
      </c>
      <c r="N4202">
        <v>22595.200000000001</v>
      </c>
      <c r="O4202">
        <v>22.594999999999999</v>
      </c>
      <c r="P4202" s="2">
        <v>43831</v>
      </c>
      <c r="Q4202">
        <v>1</v>
      </c>
      <c r="R4202" s="1" t="s">
        <v>40</v>
      </c>
    </row>
    <row r="4203" spans="1:18" x14ac:dyDescent="0.25">
      <c r="A4203">
        <v>2020</v>
      </c>
      <c r="B4203">
        <v>2</v>
      </c>
      <c r="C4203" s="1" t="s">
        <v>25</v>
      </c>
      <c r="D4203" s="1" t="s">
        <v>19</v>
      </c>
      <c r="E4203" s="1" t="s">
        <v>67</v>
      </c>
      <c r="F4203">
        <v>2012</v>
      </c>
      <c r="G4203">
        <v>8</v>
      </c>
      <c r="H4203" s="1" t="s">
        <v>21</v>
      </c>
      <c r="I4203">
        <v>25</v>
      </c>
      <c r="J4203">
        <v>3205</v>
      </c>
      <c r="K4203" s="1" t="s">
        <v>68</v>
      </c>
      <c r="L4203" s="1" t="s">
        <v>64</v>
      </c>
      <c r="M4203">
        <v>0.91500000000000004</v>
      </c>
      <c r="N4203">
        <v>22883.7</v>
      </c>
      <c r="O4203">
        <v>22.884</v>
      </c>
      <c r="P4203" s="2">
        <v>43862</v>
      </c>
      <c r="Q4203">
        <v>1</v>
      </c>
      <c r="R4203" s="1" t="s">
        <v>40</v>
      </c>
    </row>
    <row r="4204" spans="1:18" x14ac:dyDescent="0.25">
      <c r="A4204">
        <v>2020</v>
      </c>
      <c r="B4204">
        <v>3</v>
      </c>
      <c r="C4204" s="1" t="s">
        <v>26</v>
      </c>
      <c r="D4204" s="1" t="s">
        <v>19</v>
      </c>
      <c r="E4204" s="1" t="s">
        <v>67</v>
      </c>
      <c r="F4204">
        <v>2012</v>
      </c>
      <c r="G4204">
        <v>8</v>
      </c>
      <c r="H4204" s="1" t="s">
        <v>21</v>
      </c>
      <c r="I4204">
        <v>25</v>
      </c>
      <c r="J4204">
        <v>3205</v>
      </c>
      <c r="K4204" s="1" t="s">
        <v>68</v>
      </c>
      <c r="L4204" s="1" t="s">
        <v>64</v>
      </c>
      <c r="M4204">
        <v>1.0580000000000001</v>
      </c>
      <c r="N4204">
        <v>26441.200000000001</v>
      </c>
      <c r="O4204">
        <v>26.440999999999999</v>
      </c>
      <c r="P4204" s="2">
        <v>43891</v>
      </c>
      <c r="Q4204">
        <v>1</v>
      </c>
      <c r="R4204" s="1" t="s">
        <v>40</v>
      </c>
    </row>
    <row r="4205" spans="1:18" x14ac:dyDescent="0.25">
      <c r="A4205">
        <v>2020</v>
      </c>
      <c r="B4205">
        <v>4</v>
      </c>
      <c r="C4205" s="1" t="s">
        <v>27</v>
      </c>
      <c r="D4205" s="1" t="s">
        <v>19</v>
      </c>
      <c r="E4205" s="1" t="s">
        <v>67</v>
      </c>
      <c r="F4205">
        <v>2012</v>
      </c>
      <c r="G4205">
        <v>8</v>
      </c>
      <c r="H4205" s="1" t="s">
        <v>21</v>
      </c>
      <c r="I4205">
        <v>25</v>
      </c>
      <c r="J4205">
        <v>3205</v>
      </c>
      <c r="K4205" s="1" t="s">
        <v>68</v>
      </c>
      <c r="L4205" s="1" t="s">
        <v>64</v>
      </c>
      <c r="M4205">
        <v>1.855</v>
      </c>
      <c r="N4205">
        <v>46368.3</v>
      </c>
      <c r="O4205">
        <v>46.368000000000002</v>
      </c>
      <c r="P4205" s="2">
        <v>43922</v>
      </c>
      <c r="Q4205">
        <v>1</v>
      </c>
      <c r="R4205" s="1" t="s">
        <v>40</v>
      </c>
    </row>
    <row r="4206" spans="1:18" x14ac:dyDescent="0.25">
      <c r="A4206">
        <v>2020</v>
      </c>
      <c r="B4206">
        <v>5</v>
      </c>
      <c r="C4206" s="1" t="s">
        <v>28</v>
      </c>
      <c r="D4206" s="1" t="s">
        <v>19</v>
      </c>
      <c r="E4206" s="1" t="s">
        <v>67</v>
      </c>
      <c r="F4206">
        <v>2012</v>
      </c>
      <c r="G4206">
        <v>8</v>
      </c>
      <c r="H4206" s="1" t="s">
        <v>21</v>
      </c>
      <c r="I4206">
        <v>25</v>
      </c>
      <c r="J4206">
        <v>3205</v>
      </c>
      <c r="K4206" s="1" t="s">
        <v>68</v>
      </c>
      <c r="L4206" s="1" t="s">
        <v>64</v>
      </c>
      <c r="M4206">
        <v>2.0760000000000001</v>
      </c>
      <c r="N4206">
        <v>51897</v>
      </c>
      <c r="O4206">
        <v>51.896999999999998</v>
      </c>
      <c r="P4206" s="2">
        <v>43952</v>
      </c>
      <c r="Q4206">
        <v>1</v>
      </c>
      <c r="R4206" s="1" t="s">
        <v>40</v>
      </c>
    </row>
    <row r="4207" spans="1:18" x14ac:dyDescent="0.25">
      <c r="A4207">
        <v>2020</v>
      </c>
      <c r="B4207">
        <v>6</v>
      </c>
      <c r="C4207" s="1" t="s">
        <v>29</v>
      </c>
      <c r="D4207" s="1" t="s">
        <v>19</v>
      </c>
      <c r="E4207" s="1" t="s">
        <v>67</v>
      </c>
      <c r="F4207">
        <v>2012</v>
      </c>
      <c r="G4207">
        <v>8</v>
      </c>
      <c r="H4207" s="1" t="s">
        <v>21</v>
      </c>
      <c r="I4207">
        <v>25</v>
      </c>
      <c r="J4207">
        <v>3205</v>
      </c>
      <c r="K4207" s="1" t="s">
        <v>68</v>
      </c>
      <c r="L4207" s="1" t="s">
        <v>64</v>
      </c>
      <c r="M4207">
        <v>2.1619999999999999</v>
      </c>
      <c r="N4207">
        <v>54060.3</v>
      </c>
      <c r="O4207">
        <v>54.06</v>
      </c>
      <c r="P4207" s="2">
        <v>43983</v>
      </c>
      <c r="Q4207">
        <v>1</v>
      </c>
      <c r="R4207" s="1" t="s">
        <v>40</v>
      </c>
    </row>
    <row r="4208" spans="1:18" x14ac:dyDescent="0.25">
      <c r="A4208">
        <v>2020</v>
      </c>
      <c r="B4208">
        <v>7</v>
      </c>
      <c r="C4208" s="1" t="s">
        <v>30</v>
      </c>
      <c r="D4208" s="1" t="s">
        <v>19</v>
      </c>
      <c r="E4208" s="1" t="s">
        <v>67</v>
      </c>
      <c r="F4208">
        <v>2012</v>
      </c>
      <c r="G4208">
        <v>8</v>
      </c>
      <c r="H4208" s="1" t="s">
        <v>21</v>
      </c>
      <c r="I4208">
        <v>25</v>
      </c>
      <c r="J4208">
        <v>3205</v>
      </c>
      <c r="K4208" s="1" t="s">
        <v>68</v>
      </c>
      <c r="L4208" s="1" t="s">
        <v>64</v>
      </c>
      <c r="M4208">
        <v>2.21</v>
      </c>
      <c r="N4208">
        <v>55238.2</v>
      </c>
      <c r="O4208">
        <v>55.238</v>
      </c>
      <c r="P4208" s="2">
        <v>44013</v>
      </c>
      <c r="Q4208">
        <v>1</v>
      </c>
      <c r="R4208" s="1" t="s">
        <v>40</v>
      </c>
    </row>
    <row r="4209" spans="1:18" x14ac:dyDescent="0.25">
      <c r="A4209">
        <v>2020</v>
      </c>
      <c r="B4209">
        <v>8</v>
      </c>
      <c r="C4209" s="1" t="s">
        <v>31</v>
      </c>
      <c r="D4209" s="1" t="s">
        <v>19</v>
      </c>
      <c r="E4209" s="1" t="s">
        <v>67</v>
      </c>
      <c r="F4209">
        <v>2012</v>
      </c>
      <c r="G4209">
        <v>8</v>
      </c>
      <c r="H4209" s="1" t="s">
        <v>21</v>
      </c>
      <c r="I4209">
        <v>25</v>
      </c>
      <c r="J4209">
        <v>3205</v>
      </c>
      <c r="K4209" s="1" t="s">
        <v>68</v>
      </c>
      <c r="L4209" s="1" t="s">
        <v>64</v>
      </c>
      <c r="M4209">
        <v>2.1110000000000002</v>
      </c>
      <c r="N4209">
        <v>52786.400000000001</v>
      </c>
      <c r="O4209">
        <v>52.786000000000001</v>
      </c>
      <c r="P4209" s="2">
        <v>44044</v>
      </c>
      <c r="Q4209">
        <v>1</v>
      </c>
      <c r="R4209" s="1" t="s">
        <v>40</v>
      </c>
    </row>
    <row r="4210" spans="1:18" x14ac:dyDescent="0.25">
      <c r="A4210">
        <v>2020</v>
      </c>
      <c r="B4210">
        <v>9</v>
      </c>
      <c r="C4210" s="1" t="s">
        <v>32</v>
      </c>
      <c r="D4210" s="1" t="s">
        <v>19</v>
      </c>
      <c r="E4210" s="1" t="s">
        <v>67</v>
      </c>
      <c r="F4210">
        <v>2012</v>
      </c>
      <c r="G4210">
        <v>8</v>
      </c>
      <c r="H4210" s="1" t="s">
        <v>21</v>
      </c>
      <c r="I4210">
        <v>25</v>
      </c>
      <c r="J4210">
        <v>3205</v>
      </c>
      <c r="K4210" s="1" t="s">
        <v>68</v>
      </c>
      <c r="L4210" s="1" t="s">
        <v>64</v>
      </c>
      <c r="M4210">
        <v>2.2229999999999999</v>
      </c>
      <c r="N4210">
        <v>55574.7</v>
      </c>
      <c r="O4210">
        <v>55.575000000000003</v>
      </c>
      <c r="P4210" s="2">
        <v>44075</v>
      </c>
      <c r="Q4210">
        <v>1</v>
      </c>
      <c r="R4210" s="1" t="s">
        <v>40</v>
      </c>
    </row>
    <row r="4211" spans="1:18" x14ac:dyDescent="0.25">
      <c r="A4211">
        <v>2020</v>
      </c>
      <c r="B4211">
        <v>10</v>
      </c>
      <c r="C4211" s="1" t="s">
        <v>33</v>
      </c>
      <c r="D4211" s="1" t="s">
        <v>19</v>
      </c>
      <c r="E4211" s="1" t="s">
        <v>67</v>
      </c>
      <c r="F4211">
        <v>2012</v>
      </c>
      <c r="G4211">
        <v>8</v>
      </c>
      <c r="H4211" s="1" t="s">
        <v>21</v>
      </c>
      <c r="I4211">
        <v>25</v>
      </c>
      <c r="J4211">
        <v>3205</v>
      </c>
      <c r="K4211" s="1" t="s">
        <v>68</v>
      </c>
      <c r="L4211" s="1" t="s">
        <v>64</v>
      </c>
      <c r="M4211">
        <v>2.0590000000000002</v>
      </c>
      <c r="N4211">
        <v>51464.3</v>
      </c>
      <c r="O4211">
        <v>51.463999999999999</v>
      </c>
      <c r="P4211" s="2">
        <v>44105</v>
      </c>
      <c r="Q4211">
        <v>1</v>
      </c>
      <c r="R4211" s="1" t="s">
        <v>40</v>
      </c>
    </row>
    <row r="4212" spans="1:18" x14ac:dyDescent="0.25">
      <c r="A4212">
        <v>2020</v>
      </c>
      <c r="B4212">
        <v>11</v>
      </c>
      <c r="C4212" s="1" t="s">
        <v>34</v>
      </c>
      <c r="D4212" s="1" t="s">
        <v>19</v>
      </c>
      <c r="E4212" s="1" t="s">
        <v>67</v>
      </c>
      <c r="F4212">
        <v>2012</v>
      </c>
      <c r="G4212">
        <v>8</v>
      </c>
      <c r="H4212" s="1" t="s">
        <v>21</v>
      </c>
      <c r="I4212">
        <v>25</v>
      </c>
      <c r="J4212">
        <v>3205</v>
      </c>
      <c r="K4212" s="1" t="s">
        <v>68</v>
      </c>
      <c r="L4212" s="1" t="s">
        <v>64</v>
      </c>
      <c r="M4212">
        <v>1.752</v>
      </c>
      <c r="N4212">
        <v>43796.3</v>
      </c>
      <c r="O4212">
        <v>43.795999999999999</v>
      </c>
      <c r="P4212" s="2">
        <v>44136</v>
      </c>
      <c r="Q4212">
        <v>1</v>
      </c>
      <c r="R4212" s="1" t="s">
        <v>40</v>
      </c>
    </row>
    <row r="4213" spans="1:18" x14ac:dyDescent="0.25">
      <c r="A4213">
        <v>2020</v>
      </c>
      <c r="B4213">
        <v>12</v>
      </c>
      <c r="C4213" s="1" t="s">
        <v>35</v>
      </c>
      <c r="D4213" s="1" t="s">
        <v>19</v>
      </c>
      <c r="E4213" s="1" t="s">
        <v>67</v>
      </c>
      <c r="F4213">
        <v>2012</v>
      </c>
      <c r="G4213">
        <v>8</v>
      </c>
      <c r="H4213" s="1" t="s">
        <v>21</v>
      </c>
      <c r="I4213">
        <v>25</v>
      </c>
      <c r="J4213">
        <v>3205</v>
      </c>
      <c r="K4213" s="1" t="s">
        <v>68</v>
      </c>
      <c r="L4213" s="1" t="s">
        <v>64</v>
      </c>
      <c r="M4213">
        <v>1.571</v>
      </c>
      <c r="N4213">
        <v>39277.300000000003</v>
      </c>
      <c r="O4213">
        <v>39.277000000000001</v>
      </c>
      <c r="P4213" s="2">
        <v>44166</v>
      </c>
      <c r="Q4213">
        <v>1</v>
      </c>
      <c r="R4213" s="1" t="s">
        <v>40</v>
      </c>
    </row>
    <row r="4214" spans="1:18" x14ac:dyDescent="0.25">
      <c r="A4214">
        <v>2020</v>
      </c>
      <c r="B4214">
        <v>1</v>
      </c>
      <c r="C4214" s="1" t="s">
        <v>18</v>
      </c>
      <c r="D4214" s="1" t="s">
        <v>19</v>
      </c>
      <c r="E4214" s="1" t="s">
        <v>69</v>
      </c>
      <c r="F4214">
        <v>2012</v>
      </c>
      <c r="G4214">
        <v>8</v>
      </c>
      <c r="H4214" s="1" t="s">
        <v>21</v>
      </c>
      <c r="I4214">
        <v>19</v>
      </c>
      <c r="J4214">
        <v>2469</v>
      </c>
      <c r="K4214" s="1" t="s">
        <v>70</v>
      </c>
      <c r="L4214" s="1" t="s">
        <v>45</v>
      </c>
      <c r="M4214">
        <v>0.91600000000000004</v>
      </c>
      <c r="N4214">
        <v>17406.5</v>
      </c>
      <c r="O4214">
        <v>17.405999999999999</v>
      </c>
      <c r="P4214" s="2">
        <v>43831</v>
      </c>
      <c r="Q4214">
        <v>1</v>
      </c>
      <c r="R4214" s="1" t="s">
        <v>40</v>
      </c>
    </row>
    <row r="4215" spans="1:18" x14ac:dyDescent="0.25">
      <c r="A4215">
        <v>2020</v>
      </c>
      <c r="B4215">
        <v>2</v>
      </c>
      <c r="C4215" s="1" t="s">
        <v>25</v>
      </c>
      <c r="D4215" s="1" t="s">
        <v>19</v>
      </c>
      <c r="E4215" s="1" t="s">
        <v>69</v>
      </c>
      <c r="F4215">
        <v>2012</v>
      </c>
      <c r="G4215">
        <v>8</v>
      </c>
      <c r="H4215" s="1" t="s">
        <v>21</v>
      </c>
      <c r="I4215">
        <v>19</v>
      </c>
      <c r="J4215">
        <v>2469</v>
      </c>
      <c r="K4215" s="1" t="s">
        <v>70</v>
      </c>
      <c r="L4215" s="1" t="s">
        <v>45</v>
      </c>
      <c r="M4215">
        <v>0.92800000000000005</v>
      </c>
      <c r="N4215">
        <v>17628.7</v>
      </c>
      <c r="O4215">
        <v>17.629000000000001</v>
      </c>
      <c r="P4215" s="2">
        <v>43862</v>
      </c>
      <c r="Q4215">
        <v>1</v>
      </c>
      <c r="R4215" s="1" t="s">
        <v>40</v>
      </c>
    </row>
    <row r="4216" spans="1:18" x14ac:dyDescent="0.25">
      <c r="A4216">
        <v>2020</v>
      </c>
      <c r="B4216">
        <v>3</v>
      </c>
      <c r="C4216" s="1" t="s">
        <v>26</v>
      </c>
      <c r="D4216" s="1" t="s">
        <v>19</v>
      </c>
      <c r="E4216" s="1" t="s">
        <v>69</v>
      </c>
      <c r="F4216">
        <v>2012</v>
      </c>
      <c r="G4216">
        <v>8</v>
      </c>
      <c r="H4216" s="1" t="s">
        <v>21</v>
      </c>
      <c r="I4216">
        <v>19</v>
      </c>
      <c r="J4216">
        <v>2469</v>
      </c>
      <c r="K4216" s="1" t="s">
        <v>70</v>
      </c>
      <c r="L4216" s="1" t="s">
        <v>45</v>
      </c>
      <c r="M4216">
        <v>1.0720000000000001</v>
      </c>
      <c r="N4216">
        <v>20369.2</v>
      </c>
      <c r="O4216">
        <v>20.369</v>
      </c>
      <c r="P4216" s="2">
        <v>43891</v>
      </c>
      <c r="Q4216">
        <v>1</v>
      </c>
      <c r="R4216" s="1" t="s">
        <v>40</v>
      </c>
    </row>
    <row r="4217" spans="1:18" x14ac:dyDescent="0.25">
      <c r="A4217">
        <v>2020</v>
      </c>
      <c r="B4217">
        <v>4</v>
      </c>
      <c r="C4217" s="1" t="s">
        <v>27</v>
      </c>
      <c r="D4217" s="1" t="s">
        <v>19</v>
      </c>
      <c r="E4217" s="1" t="s">
        <v>69</v>
      </c>
      <c r="F4217">
        <v>2012</v>
      </c>
      <c r="G4217">
        <v>8</v>
      </c>
      <c r="H4217" s="1" t="s">
        <v>21</v>
      </c>
      <c r="I4217">
        <v>19</v>
      </c>
      <c r="J4217">
        <v>2469</v>
      </c>
      <c r="K4217" s="1" t="s">
        <v>70</v>
      </c>
      <c r="L4217" s="1" t="s">
        <v>45</v>
      </c>
      <c r="M4217">
        <v>1.88</v>
      </c>
      <c r="N4217">
        <v>35720.300000000003</v>
      </c>
      <c r="O4217">
        <v>35.72</v>
      </c>
      <c r="P4217" s="2">
        <v>43922</v>
      </c>
      <c r="Q4217">
        <v>1</v>
      </c>
      <c r="R4217" s="1" t="s">
        <v>40</v>
      </c>
    </row>
    <row r="4218" spans="1:18" x14ac:dyDescent="0.25">
      <c r="A4218">
        <v>2020</v>
      </c>
      <c r="B4218">
        <v>5</v>
      </c>
      <c r="C4218" s="1" t="s">
        <v>28</v>
      </c>
      <c r="D4218" s="1" t="s">
        <v>19</v>
      </c>
      <c r="E4218" s="1" t="s">
        <v>69</v>
      </c>
      <c r="F4218">
        <v>2012</v>
      </c>
      <c r="G4218">
        <v>8</v>
      </c>
      <c r="H4218" s="1" t="s">
        <v>21</v>
      </c>
      <c r="I4218">
        <v>19</v>
      </c>
      <c r="J4218">
        <v>2469</v>
      </c>
      <c r="K4218" s="1" t="s">
        <v>70</v>
      </c>
      <c r="L4218" s="1" t="s">
        <v>45</v>
      </c>
      <c r="M4218">
        <v>2.1040000000000001</v>
      </c>
      <c r="N4218">
        <v>39979.300000000003</v>
      </c>
      <c r="O4218">
        <v>39.978999999999999</v>
      </c>
      <c r="P4218" s="2">
        <v>43952</v>
      </c>
      <c r="Q4218">
        <v>1</v>
      </c>
      <c r="R4218" s="1" t="s">
        <v>40</v>
      </c>
    </row>
    <row r="4219" spans="1:18" x14ac:dyDescent="0.25">
      <c r="A4219">
        <v>2020</v>
      </c>
      <c r="B4219">
        <v>6</v>
      </c>
      <c r="C4219" s="1" t="s">
        <v>29</v>
      </c>
      <c r="D4219" s="1" t="s">
        <v>19</v>
      </c>
      <c r="E4219" s="1" t="s">
        <v>69</v>
      </c>
      <c r="F4219">
        <v>2012</v>
      </c>
      <c r="G4219">
        <v>8</v>
      </c>
      <c r="H4219" s="1" t="s">
        <v>21</v>
      </c>
      <c r="I4219">
        <v>19</v>
      </c>
      <c r="J4219">
        <v>2469</v>
      </c>
      <c r="K4219" s="1" t="s">
        <v>70</v>
      </c>
      <c r="L4219" s="1" t="s">
        <v>45</v>
      </c>
      <c r="M4219">
        <v>2.1920000000000002</v>
      </c>
      <c r="N4219">
        <v>41645.9</v>
      </c>
      <c r="O4219">
        <v>41.646000000000001</v>
      </c>
      <c r="P4219" s="2">
        <v>43983</v>
      </c>
      <c r="Q4219">
        <v>1</v>
      </c>
      <c r="R4219" s="1" t="s">
        <v>40</v>
      </c>
    </row>
    <row r="4220" spans="1:18" x14ac:dyDescent="0.25">
      <c r="A4220">
        <v>2020</v>
      </c>
      <c r="B4220">
        <v>7</v>
      </c>
      <c r="C4220" s="1" t="s">
        <v>30</v>
      </c>
      <c r="D4220" s="1" t="s">
        <v>19</v>
      </c>
      <c r="E4220" s="1" t="s">
        <v>69</v>
      </c>
      <c r="F4220">
        <v>2012</v>
      </c>
      <c r="G4220">
        <v>8</v>
      </c>
      <c r="H4220" s="1" t="s">
        <v>21</v>
      </c>
      <c r="I4220">
        <v>19</v>
      </c>
      <c r="J4220">
        <v>2469</v>
      </c>
      <c r="K4220" s="1" t="s">
        <v>70</v>
      </c>
      <c r="L4220" s="1" t="s">
        <v>45</v>
      </c>
      <c r="M4220">
        <v>2.2400000000000002</v>
      </c>
      <c r="N4220">
        <v>42553.2</v>
      </c>
      <c r="O4220">
        <v>42.552999999999997</v>
      </c>
      <c r="P4220" s="2">
        <v>44013</v>
      </c>
      <c r="Q4220">
        <v>1</v>
      </c>
      <c r="R4220" s="1" t="s">
        <v>40</v>
      </c>
    </row>
    <row r="4221" spans="1:18" x14ac:dyDescent="0.25">
      <c r="A4221">
        <v>2020</v>
      </c>
      <c r="B4221">
        <v>8</v>
      </c>
      <c r="C4221" s="1" t="s">
        <v>31</v>
      </c>
      <c r="D4221" s="1" t="s">
        <v>19</v>
      </c>
      <c r="E4221" s="1" t="s">
        <v>69</v>
      </c>
      <c r="F4221">
        <v>2012</v>
      </c>
      <c r="G4221">
        <v>8</v>
      </c>
      <c r="H4221" s="1" t="s">
        <v>21</v>
      </c>
      <c r="I4221">
        <v>19</v>
      </c>
      <c r="J4221">
        <v>2469</v>
      </c>
      <c r="K4221" s="1" t="s">
        <v>70</v>
      </c>
      <c r="L4221" s="1" t="s">
        <v>45</v>
      </c>
      <c r="M4221">
        <v>2.14</v>
      </c>
      <c r="N4221">
        <v>40664.400000000001</v>
      </c>
      <c r="O4221">
        <v>40.664000000000001</v>
      </c>
      <c r="P4221" s="2">
        <v>44044</v>
      </c>
      <c r="Q4221">
        <v>1</v>
      </c>
      <c r="R4221" s="1" t="s">
        <v>40</v>
      </c>
    </row>
    <row r="4222" spans="1:18" x14ac:dyDescent="0.25">
      <c r="A4222">
        <v>2020</v>
      </c>
      <c r="B4222">
        <v>9</v>
      </c>
      <c r="C4222" s="1" t="s">
        <v>32</v>
      </c>
      <c r="D4222" s="1" t="s">
        <v>19</v>
      </c>
      <c r="E4222" s="1" t="s">
        <v>69</v>
      </c>
      <c r="F4222">
        <v>2012</v>
      </c>
      <c r="G4222">
        <v>8</v>
      </c>
      <c r="H4222" s="1" t="s">
        <v>21</v>
      </c>
      <c r="I4222">
        <v>19</v>
      </c>
      <c r="J4222">
        <v>2469</v>
      </c>
      <c r="K4222" s="1" t="s">
        <v>70</v>
      </c>
      <c r="L4222" s="1" t="s">
        <v>45</v>
      </c>
      <c r="M4222">
        <v>2.2530000000000001</v>
      </c>
      <c r="N4222">
        <v>42812.5</v>
      </c>
      <c r="O4222">
        <v>42.811999999999998</v>
      </c>
      <c r="P4222" s="2">
        <v>44075</v>
      </c>
      <c r="Q4222">
        <v>1</v>
      </c>
      <c r="R4222" s="1" t="s">
        <v>40</v>
      </c>
    </row>
    <row r="4223" spans="1:18" x14ac:dyDescent="0.25">
      <c r="A4223">
        <v>2020</v>
      </c>
      <c r="B4223">
        <v>10</v>
      </c>
      <c r="C4223" s="1" t="s">
        <v>33</v>
      </c>
      <c r="D4223" s="1" t="s">
        <v>19</v>
      </c>
      <c r="E4223" s="1" t="s">
        <v>69</v>
      </c>
      <c r="F4223">
        <v>2012</v>
      </c>
      <c r="G4223">
        <v>8</v>
      </c>
      <c r="H4223" s="1" t="s">
        <v>21</v>
      </c>
      <c r="I4223">
        <v>19</v>
      </c>
      <c r="J4223">
        <v>2469</v>
      </c>
      <c r="K4223" s="1" t="s">
        <v>70</v>
      </c>
      <c r="L4223" s="1" t="s">
        <v>45</v>
      </c>
      <c r="M4223">
        <v>2.0870000000000002</v>
      </c>
      <c r="N4223">
        <v>39646</v>
      </c>
      <c r="O4223">
        <v>39.646000000000001</v>
      </c>
      <c r="P4223" s="2">
        <v>44105</v>
      </c>
      <c r="Q4223">
        <v>1</v>
      </c>
      <c r="R4223" s="1" t="s">
        <v>40</v>
      </c>
    </row>
    <row r="4224" spans="1:18" x14ac:dyDescent="0.25">
      <c r="A4224">
        <v>2020</v>
      </c>
      <c r="B4224">
        <v>11</v>
      </c>
      <c r="C4224" s="1" t="s">
        <v>34</v>
      </c>
      <c r="D4224" s="1" t="s">
        <v>19</v>
      </c>
      <c r="E4224" s="1" t="s">
        <v>69</v>
      </c>
      <c r="F4224">
        <v>2012</v>
      </c>
      <c r="G4224">
        <v>8</v>
      </c>
      <c r="H4224" s="1" t="s">
        <v>21</v>
      </c>
      <c r="I4224">
        <v>19</v>
      </c>
      <c r="J4224">
        <v>2469</v>
      </c>
      <c r="K4224" s="1" t="s">
        <v>70</v>
      </c>
      <c r="L4224" s="1" t="s">
        <v>45</v>
      </c>
      <c r="M4224">
        <v>1.776</v>
      </c>
      <c r="N4224">
        <v>33738.9</v>
      </c>
      <c r="O4224">
        <v>33.738999999999997</v>
      </c>
      <c r="P4224" s="2">
        <v>44136</v>
      </c>
      <c r="Q4224">
        <v>1</v>
      </c>
      <c r="R4224" s="1" t="s">
        <v>40</v>
      </c>
    </row>
    <row r="4225" spans="1:18" x14ac:dyDescent="0.25">
      <c r="A4225">
        <v>2020</v>
      </c>
      <c r="B4225">
        <v>12</v>
      </c>
      <c r="C4225" s="1" t="s">
        <v>35</v>
      </c>
      <c r="D4225" s="1" t="s">
        <v>19</v>
      </c>
      <c r="E4225" s="1" t="s">
        <v>69</v>
      </c>
      <c r="F4225">
        <v>2012</v>
      </c>
      <c r="G4225">
        <v>8</v>
      </c>
      <c r="H4225" s="1" t="s">
        <v>21</v>
      </c>
      <c r="I4225">
        <v>19</v>
      </c>
      <c r="J4225">
        <v>2469</v>
      </c>
      <c r="K4225" s="1" t="s">
        <v>70</v>
      </c>
      <c r="L4225" s="1" t="s">
        <v>45</v>
      </c>
      <c r="M4225">
        <v>1.593</v>
      </c>
      <c r="N4225">
        <v>30257.599999999999</v>
      </c>
      <c r="O4225">
        <v>30.257999999999999</v>
      </c>
      <c r="P4225" s="2">
        <v>44166</v>
      </c>
      <c r="Q4225">
        <v>1</v>
      </c>
      <c r="R4225" s="1" t="s">
        <v>40</v>
      </c>
    </row>
    <row r="4226" spans="1:18" x14ac:dyDescent="0.25">
      <c r="A4226">
        <v>2020</v>
      </c>
      <c r="B4226">
        <v>1</v>
      </c>
      <c r="C4226" s="1" t="s">
        <v>18</v>
      </c>
      <c r="D4226" s="1" t="s">
        <v>19</v>
      </c>
      <c r="E4226" s="1" t="s">
        <v>71</v>
      </c>
      <c r="F4226">
        <v>2012</v>
      </c>
      <c r="G4226">
        <v>8</v>
      </c>
      <c r="H4226" s="1" t="s">
        <v>21</v>
      </c>
      <c r="I4226">
        <v>20</v>
      </c>
      <c r="J4226">
        <v>2704</v>
      </c>
      <c r="K4226" s="1" t="s">
        <v>72</v>
      </c>
      <c r="L4226" s="1" t="s">
        <v>64</v>
      </c>
      <c r="M4226">
        <v>0.95299999999999996</v>
      </c>
      <c r="N4226">
        <v>19063.2</v>
      </c>
      <c r="O4226">
        <v>19.062999999999999</v>
      </c>
      <c r="P4226" s="2">
        <v>43831</v>
      </c>
      <c r="Q4226">
        <v>1</v>
      </c>
      <c r="R4226" s="1" t="s">
        <v>40</v>
      </c>
    </row>
    <row r="4227" spans="1:18" x14ac:dyDescent="0.25">
      <c r="A4227">
        <v>2020</v>
      </c>
      <c r="B4227">
        <v>2</v>
      </c>
      <c r="C4227" s="1" t="s">
        <v>25</v>
      </c>
      <c r="D4227" s="1" t="s">
        <v>19</v>
      </c>
      <c r="E4227" s="1" t="s">
        <v>71</v>
      </c>
      <c r="F4227">
        <v>2012</v>
      </c>
      <c r="G4227">
        <v>8</v>
      </c>
      <c r="H4227" s="1" t="s">
        <v>21</v>
      </c>
      <c r="I4227">
        <v>20</v>
      </c>
      <c r="J4227">
        <v>2704</v>
      </c>
      <c r="K4227" s="1" t="s">
        <v>72</v>
      </c>
      <c r="L4227" s="1" t="s">
        <v>64</v>
      </c>
      <c r="M4227">
        <v>0.96499999999999997</v>
      </c>
      <c r="N4227">
        <v>19306.599999999999</v>
      </c>
      <c r="O4227">
        <v>19.306999999999999</v>
      </c>
      <c r="P4227" s="2">
        <v>43862</v>
      </c>
      <c r="Q4227">
        <v>1</v>
      </c>
      <c r="R4227" s="1" t="s">
        <v>40</v>
      </c>
    </row>
    <row r="4228" spans="1:18" x14ac:dyDescent="0.25">
      <c r="A4228">
        <v>2020</v>
      </c>
      <c r="B4228">
        <v>3</v>
      </c>
      <c r="C4228" s="1" t="s">
        <v>26</v>
      </c>
      <c r="D4228" s="1" t="s">
        <v>19</v>
      </c>
      <c r="E4228" s="1" t="s">
        <v>71</v>
      </c>
      <c r="F4228">
        <v>2012</v>
      </c>
      <c r="G4228">
        <v>8</v>
      </c>
      <c r="H4228" s="1" t="s">
        <v>21</v>
      </c>
      <c r="I4228">
        <v>20</v>
      </c>
      <c r="J4228">
        <v>2704</v>
      </c>
      <c r="K4228" s="1" t="s">
        <v>72</v>
      </c>
      <c r="L4228" s="1" t="s">
        <v>64</v>
      </c>
      <c r="M4228">
        <v>1.115</v>
      </c>
      <c r="N4228">
        <v>22308</v>
      </c>
      <c r="O4228">
        <v>22.308</v>
      </c>
      <c r="P4228" s="2">
        <v>43891</v>
      </c>
      <c r="Q4228">
        <v>1</v>
      </c>
      <c r="R4228" s="1" t="s">
        <v>40</v>
      </c>
    </row>
    <row r="4229" spans="1:18" x14ac:dyDescent="0.25">
      <c r="A4229">
        <v>2020</v>
      </c>
      <c r="B4229">
        <v>4</v>
      </c>
      <c r="C4229" s="1" t="s">
        <v>27</v>
      </c>
      <c r="D4229" s="1" t="s">
        <v>19</v>
      </c>
      <c r="E4229" s="1" t="s">
        <v>71</v>
      </c>
      <c r="F4229">
        <v>2012</v>
      </c>
      <c r="G4229">
        <v>8</v>
      </c>
      <c r="H4229" s="1" t="s">
        <v>21</v>
      </c>
      <c r="I4229">
        <v>20</v>
      </c>
      <c r="J4229">
        <v>2704</v>
      </c>
      <c r="K4229" s="1" t="s">
        <v>72</v>
      </c>
      <c r="L4229" s="1" t="s">
        <v>64</v>
      </c>
      <c r="M4229">
        <v>1.956</v>
      </c>
      <c r="N4229">
        <v>39120.1</v>
      </c>
      <c r="O4229">
        <v>39.119999999999997</v>
      </c>
      <c r="P4229" s="2">
        <v>43922</v>
      </c>
      <c r="Q4229">
        <v>1</v>
      </c>
      <c r="R4229" s="1" t="s">
        <v>40</v>
      </c>
    </row>
    <row r="4230" spans="1:18" x14ac:dyDescent="0.25">
      <c r="A4230">
        <v>2020</v>
      </c>
      <c r="B4230">
        <v>5</v>
      </c>
      <c r="C4230" s="1" t="s">
        <v>28</v>
      </c>
      <c r="D4230" s="1" t="s">
        <v>19</v>
      </c>
      <c r="E4230" s="1" t="s">
        <v>71</v>
      </c>
      <c r="F4230">
        <v>2012</v>
      </c>
      <c r="G4230">
        <v>8</v>
      </c>
      <c r="H4230" s="1" t="s">
        <v>21</v>
      </c>
      <c r="I4230">
        <v>20</v>
      </c>
      <c r="J4230">
        <v>2704</v>
      </c>
      <c r="K4230" s="1" t="s">
        <v>72</v>
      </c>
      <c r="L4230" s="1" t="s">
        <v>64</v>
      </c>
      <c r="M4230">
        <v>2.1890000000000001</v>
      </c>
      <c r="N4230">
        <v>43784.5</v>
      </c>
      <c r="O4230">
        <v>43.784999999999997</v>
      </c>
      <c r="P4230" s="2">
        <v>43952</v>
      </c>
      <c r="Q4230">
        <v>1</v>
      </c>
      <c r="R4230" s="1" t="s">
        <v>40</v>
      </c>
    </row>
    <row r="4231" spans="1:18" x14ac:dyDescent="0.25">
      <c r="A4231">
        <v>2020</v>
      </c>
      <c r="B4231">
        <v>6</v>
      </c>
      <c r="C4231" s="1" t="s">
        <v>29</v>
      </c>
      <c r="D4231" s="1" t="s">
        <v>19</v>
      </c>
      <c r="E4231" s="1" t="s">
        <v>71</v>
      </c>
      <c r="F4231">
        <v>2012</v>
      </c>
      <c r="G4231">
        <v>8</v>
      </c>
      <c r="H4231" s="1" t="s">
        <v>21</v>
      </c>
      <c r="I4231">
        <v>20</v>
      </c>
      <c r="J4231">
        <v>2704</v>
      </c>
      <c r="K4231" s="1" t="s">
        <v>72</v>
      </c>
      <c r="L4231" s="1" t="s">
        <v>64</v>
      </c>
      <c r="M4231">
        <v>2.2799999999999998</v>
      </c>
      <c r="N4231">
        <v>45609.7</v>
      </c>
      <c r="O4231">
        <v>45.61</v>
      </c>
      <c r="P4231" s="2">
        <v>43983</v>
      </c>
      <c r="Q4231">
        <v>1</v>
      </c>
      <c r="R4231" s="1" t="s">
        <v>40</v>
      </c>
    </row>
    <row r="4232" spans="1:18" x14ac:dyDescent="0.25">
      <c r="A4232">
        <v>2020</v>
      </c>
      <c r="B4232">
        <v>7</v>
      </c>
      <c r="C4232" s="1" t="s">
        <v>30</v>
      </c>
      <c r="D4232" s="1" t="s">
        <v>19</v>
      </c>
      <c r="E4232" s="1" t="s">
        <v>71</v>
      </c>
      <c r="F4232">
        <v>2012</v>
      </c>
      <c r="G4232">
        <v>8</v>
      </c>
      <c r="H4232" s="1" t="s">
        <v>21</v>
      </c>
      <c r="I4232">
        <v>20</v>
      </c>
      <c r="J4232">
        <v>2704</v>
      </c>
      <c r="K4232" s="1" t="s">
        <v>72</v>
      </c>
      <c r="L4232" s="1" t="s">
        <v>64</v>
      </c>
      <c r="M4232">
        <v>2.33</v>
      </c>
      <c r="N4232">
        <v>46603.4</v>
      </c>
      <c r="O4232">
        <v>46.603000000000002</v>
      </c>
      <c r="P4232" s="2">
        <v>44013</v>
      </c>
      <c r="Q4232">
        <v>1</v>
      </c>
      <c r="R4232" s="1" t="s">
        <v>40</v>
      </c>
    </row>
    <row r="4233" spans="1:18" x14ac:dyDescent="0.25">
      <c r="A4233">
        <v>2020</v>
      </c>
      <c r="B4233">
        <v>8</v>
      </c>
      <c r="C4233" s="1" t="s">
        <v>31</v>
      </c>
      <c r="D4233" s="1" t="s">
        <v>19</v>
      </c>
      <c r="E4233" s="1" t="s">
        <v>71</v>
      </c>
      <c r="F4233">
        <v>2012</v>
      </c>
      <c r="G4233">
        <v>8</v>
      </c>
      <c r="H4233" s="1" t="s">
        <v>21</v>
      </c>
      <c r="I4233">
        <v>20</v>
      </c>
      <c r="J4233">
        <v>2704</v>
      </c>
      <c r="K4233" s="1" t="s">
        <v>72</v>
      </c>
      <c r="L4233" s="1" t="s">
        <v>64</v>
      </c>
      <c r="M4233">
        <v>2.2269999999999999</v>
      </c>
      <c r="N4233">
        <v>44534.9</v>
      </c>
      <c r="O4233">
        <v>44.534999999999997</v>
      </c>
      <c r="P4233" s="2">
        <v>44044</v>
      </c>
      <c r="Q4233">
        <v>1</v>
      </c>
      <c r="R4233" s="1" t="s">
        <v>40</v>
      </c>
    </row>
    <row r="4234" spans="1:18" x14ac:dyDescent="0.25">
      <c r="A4234">
        <v>2020</v>
      </c>
      <c r="B4234">
        <v>9</v>
      </c>
      <c r="C4234" s="1" t="s">
        <v>32</v>
      </c>
      <c r="D4234" s="1" t="s">
        <v>19</v>
      </c>
      <c r="E4234" s="1" t="s">
        <v>71</v>
      </c>
      <c r="F4234">
        <v>2012</v>
      </c>
      <c r="G4234">
        <v>8</v>
      </c>
      <c r="H4234" s="1" t="s">
        <v>21</v>
      </c>
      <c r="I4234">
        <v>20</v>
      </c>
      <c r="J4234">
        <v>2704</v>
      </c>
      <c r="K4234" s="1" t="s">
        <v>72</v>
      </c>
      <c r="L4234" s="1" t="s">
        <v>64</v>
      </c>
      <c r="M4234">
        <v>2.3439999999999999</v>
      </c>
      <c r="N4234">
        <v>46887.4</v>
      </c>
      <c r="O4234">
        <v>46.887</v>
      </c>
      <c r="P4234" s="2">
        <v>44075</v>
      </c>
      <c r="Q4234">
        <v>1</v>
      </c>
      <c r="R4234" s="1" t="s">
        <v>40</v>
      </c>
    </row>
    <row r="4235" spans="1:18" x14ac:dyDescent="0.25">
      <c r="A4235">
        <v>2020</v>
      </c>
      <c r="B4235">
        <v>10</v>
      </c>
      <c r="C4235" s="1" t="s">
        <v>33</v>
      </c>
      <c r="D4235" s="1" t="s">
        <v>19</v>
      </c>
      <c r="E4235" s="1" t="s">
        <v>71</v>
      </c>
      <c r="F4235">
        <v>2012</v>
      </c>
      <c r="G4235">
        <v>8</v>
      </c>
      <c r="H4235" s="1" t="s">
        <v>21</v>
      </c>
      <c r="I4235">
        <v>20</v>
      </c>
      <c r="J4235">
        <v>2704</v>
      </c>
      <c r="K4235" s="1" t="s">
        <v>72</v>
      </c>
      <c r="L4235" s="1" t="s">
        <v>64</v>
      </c>
      <c r="M4235">
        <v>2.1709999999999998</v>
      </c>
      <c r="N4235">
        <v>43419.5</v>
      </c>
      <c r="O4235">
        <v>43.418999999999997</v>
      </c>
      <c r="P4235" s="2">
        <v>44105</v>
      </c>
      <c r="Q4235">
        <v>1</v>
      </c>
      <c r="R4235" s="1" t="s">
        <v>40</v>
      </c>
    </row>
    <row r="4236" spans="1:18" x14ac:dyDescent="0.25">
      <c r="A4236">
        <v>2020</v>
      </c>
      <c r="B4236">
        <v>11</v>
      </c>
      <c r="C4236" s="1" t="s">
        <v>34</v>
      </c>
      <c r="D4236" s="1" t="s">
        <v>19</v>
      </c>
      <c r="E4236" s="1" t="s">
        <v>71</v>
      </c>
      <c r="F4236">
        <v>2012</v>
      </c>
      <c r="G4236">
        <v>8</v>
      </c>
      <c r="H4236" s="1" t="s">
        <v>21</v>
      </c>
      <c r="I4236">
        <v>20</v>
      </c>
      <c r="J4236">
        <v>2704</v>
      </c>
      <c r="K4236" s="1" t="s">
        <v>72</v>
      </c>
      <c r="L4236" s="1" t="s">
        <v>64</v>
      </c>
      <c r="M4236">
        <v>1.8480000000000001</v>
      </c>
      <c r="N4236">
        <v>36950.199999999997</v>
      </c>
      <c r="O4236">
        <v>36.950000000000003</v>
      </c>
      <c r="P4236" s="2">
        <v>44136</v>
      </c>
      <c r="Q4236">
        <v>1</v>
      </c>
      <c r="R4236" s="1" t="s">
        <v>40</v>
      </c>
    </row>
    <row r="4237" spans="1:18" x14ac:dyDescent="0.25">
      <c r="A4237">
        <v>2020</v>
      </c>
      <c r="B4237">
        <v>12</v>
      </c>
      <c r="C4237" s="1" t="s">
        <v>35</v>
      </c>
      <c r="D4237" s="1" t="s">
        <v>19</v>
      </c>
      <c r="E4237" s="1" t="s">
        <v>71</v>
      </c>
      <c r="F4237">
        <v>2012</v>
      </c>
      <c r="G4237">
        <v>8</v>
      </c>
      <c r="H4237" s="1" t="s">
        <v>21</v>
      </c>
      <c r="I4237">
        <v>20</v>
      </c>
      <c r="J4237">
        <v>2704</v>
      </c>
      <c r="K4237" s="1" t="s">
        <v>72</v>
      </c>
      <c r="L4237" s="1" t="s">
        <v>64</v>
      </c>
      <c r="M4237">
        <v>1.657</v>
      </c>
      <c r="N4237">
        <v>33137.5</v>
      </c>
      <c r="O4237">
        <v>33.137999999999998</v>
      </c>
      <c r="P4237" s="2">
        <v>44166</v>
      </c>
      <c r="Q4237">
        <v>1</v>
      </c>
      <c r="R4237" s="1" t="s">
        <v>40</v>
      </c>
    </row>
    <row r="4238" spans="1:18" x14ac:dyDescent="0.25">
      <c r="A4238">
        <v>2020</v>
      </c>
      <c r="B4238">
        <v>1</v>
      </c>
      <c r="C4238" s="1" t="s">
        <v>18</v>
      </c>
      <c r="D4238" s="1" t="s">
        <v>19</v>
      </c>
      <c r="E4238" s="1" t="s">
        <v>73</v>
      </c>
      <c r="F4238">
        <v>2012</v>
      </c>
      <c r="G4238">
        <v>8</v>
      </c>
      <c r="H4238" s="1" t="s">
        <v>21</v>
      </c>
      <c r="I4238">
        <v>14</v>
      </c>
      <c r="J4238">
        <v>1833</v>
      </c>
      <c r="K4238" s="1" t="s">
        <v>74</v>
      </c>
      <c r="L4238" s="1" t="s">
        <v>64</v>
      </c>
      <c r="M4238">
        <v>0.92300000000000004</v>
      </c>
      <c r="N4238">
        <v>12922.6</v>
      </c>
      <c r="O4238">
        <v>12.923</v>
      </c>
      <c r="P4238" s="2">
        <v>43831</v>
      </c>
      <c r="Q4238">
        <v>1</v>
      </c>
      <c r="R4238" s="1" t="s">
        <v>40</v>
      </c>
    </row>
    <row r="4239" spans="1:18" x14ac:dyDescent="0.25">
      <c r="A4239">
        <v>2020</v>
      </c>
      <c r="B4239">
        <v>2</v>
      </c>
      <c r="C4239" s="1" t="s">
        <v>25</v>
      </c>
      <c r="D4239" s="1" t="s">
        <v>19</v>
      </c>
      <c r="E4239" s="1" t="s">
        <v>73</v>
      </c>
      <c r="F4239">
        <v>2012</v>
      </c>
      <c r="G4239">
        <v>8</v>
      </c>
      <c r="H4239" s="1" t="s">
        <v>21</v>
      </c>
      <c r="I4239">
        <v>14</v>
      </c>
      <c r="J4239">
        <v>1833</v>
      </c>
      <c r="K4239" s="1" t="s">
        <v>74</v>
      </c>
      <c r="L4239" s="1" t="s">
        <v>64</v>
      </c>
      <c r="M4239">
        <v>0.93500000000000005</v>
      </c>
      <c r="N4239">
        <v>13087.6</v>
      </c>
      <c r="O4239">
        <v>13.087999999999999</v>
      </c>
      <c r="P4239" s="2">
        <v>43862</v>
      </c>
      <c r="Q4239">
        <v>1</v>
      </c>
      <c r="R4239" s="1" t="s">
        <v>40</v>
      </c>
    </row>
    <row r="4240" spans="1:18" x14ac:dyDescent="0.25">
      <c r="A4240">
        <v>2020</v>
      </c>
      <c r="B4240">
        <v>3</v>
      </c>
      <c r="C4240" s="1" t="s">
        <v>26</v>
      </c>
      <c r="D4240" s="1" t="s">
        <v>19</v>
      </c>
      <c r="E4240" s="1" t="s">
        <v>73</v>
      </c>
      <c r="F4240">
        <v>2012</v>
      </c>
      <c r="G4240">
        <v>8</v>
      </c>
      <c r="H4240" s="1" t="s">
        <v>21</v>
      </c>
      <c r="I4240">
        <v>14</v>
      </c>
      <c r="J4240">
        <v>1833</v>
      </c>
      <c r="K4240" s="1" t="s">
        <v>74</v>
      </c>
      <c r="L4240" s="1" t="s">
        <v>64</v>
      </c>
      <c r="M4240">
        <v>1.08</v>
      </c>
      <c r="N4240">
        <v>15122.3</v>
      </c>
      <c r="O4240">
        <v>15.122</v>
      </c>
      <c r="P4240" s="2">
        <v>43891</v>
      </c>
      <c r="Q4240">
        <v>1</v>
      </c>
      <c r="R4240" s="1" t="s">
        <v>40</v>
      </c>
    </row>
    <row r="4241" spans="1:18" x14ac:dyDescent="0.25">
      <c r="A4241">
        <v>2020</v>
      </c>
      <c r="B4241">
        <v>4</v>
      </c>
      <c r="C4241" s="1" t="s">
        <v>27</v>
      </c>
      <c r="D4241" s="1" t="s">
        <v>19</v>
      </c>
      <c r="E4241" s="1" t="s">
        <v>73</v>
      </c>
      <c r="F4241">
        <v>2012</v>
      </c>
      <c r="G4241">
        <v>8</v>
      </c>
      <c r="H4241" s="1" t="s">
        <v>21</v>
      </c>
      <c r="I4241">
        <v>14</v>
      </c>
      <c r="J4241">
        <v>1833</v>
      </c>
      <c r="K4241" s="1" t="s">
        <v>74</v>
      </c>
      <c r="L4241" s="1" t="s">
        <v>64</v>
      </c>
      <c r="M4241">
        <v>1.8939999999999999</v>
      </c>
      <c r="N4241">
        <v>26518.9</v>
      </c>
      <c r="O4241">
        <v>26.518999999999998</v>
      </c>
      <c r="P4241" s="2">
        <v>43922</v>
      </c>
      <c r="Q4241">
        <v>1</v>
      </c>
      <c r="R4241" s="1" t="s">
        <v>40</v>
      </c>
    </row>
    <row r="4242" spans="1:18" x14ac:dyDescent="0.25">
      <c r="A4242">
        <v>2020</v>
      </c>
      <c r="B4242">
        <v>5</v>
      </c>
      <c r="C4242" s="1" t="s">
        <v>28</v>
      </c>
      <c r="D4242" s="1" t="s">
        <v>19</v>
      </c>
      <c r="E4242" s="1" t="s">
        <v>73</v>
      </c>
      <c r="F4242">
        <v>2012</v>
      </c>
      <c r="G4242">
        <v>8</v>
      </c>
      <c r="H4242" s="1" t="s">
        <v>21</v>
      </c>
      <c r="I4242">
        <v>14</v>
      </c>
      <c r="J4242">
        <v>1833</v>
      </c>
      <c r="K4242" s="1" t="s">
        <v>74</v>
      </c>
      <c r="L4242" s="1" t="s">
        <v>64</v>
      </c>
      <c r="M4242">
        <v>2.12</v>
      </c>
      <c r="N4242">
        <v>29680.9</v>
      </c>
      <c r="O4242">
        <v>29.681000000000001</v>
      </c>
      <c r="P4242" s="2">
        <v>43952</v>
      </c>
      <c r="Q4242">
        <v>1</v>
      </c>
      <c r="R4242" s="1" t="s">
        <v>40</v>
      </c>
    </row>
    <row r="4243" spans="1:18" x14ac:dyDescent="0.25">
      <c r="A4243">
        <v>2020</v>
      </c>
      <c r="B4243">
        <v>6</v>
      </c>
      <c r="C4243" s="1" t="s">
        <v>29</v>
      </c>
      <c r="D4243" s="1" t="s">
        <v>19</v>
      </c>
      <c r="E4243" s="1" t="s">
        <v>73</v>
      </c>
      <c r="F4243">
        <v>2012</v>
      </c>
      <c r="G4243">
        <v>8</v>
      </c>
      <c r="H4243" s="1" t="s">
        <v>21</v>
      </c>
      <c r="I4243">
        <v>14</v>
      </c>
      <c r="J4243">
        <v>1833</v>
      </c>
      <c r="K4243" s="1" t="s">
        <v>74</v>
      </c>
      <c r="L4243" s="1" t="s">
        <v>64</v>
      </c>
      <c r="M4243">
        <v>2.2080000000000002</v>
      </c>
      <c r="N4243">
        <v>30918.1</v>
      </c>
      <c r="O4243">
        <v>30.917999999999999</v>
      </c>
      <c r="P4243" s="2">
        <v>43983</v>
      </c>
      <c r="Q4243">
        <v>1</v>
      </c>
      <c r="R4243" s="1" t="s">
        <v>40</v>
      </c>
    </row>
    <row r="4244" spans="1:18" x14ac:dyDescent="0.25">
      <c r="A4244">
        <v>2020</v>
      </c>
      <c r="B4244">
        <v>7</v>
      </c>
      <c r="C4244" s="1" t="s">
        <v>30</v>
      </c>
      <c r="D4244" s="1" t="s">
        <v>19</v>
      </c>
      <c r="E4244" s="1" t="s">
        <v>73</v>
      </c>
      <c r="F4244">
        <v>2012</v>
      </c>
      <c r="G4244">
        <v>8</v>
      </c>
      <c r="H4244" s="1" t="s">
        <v>21</v>
      </c>
      <c r="I4244">
        <v>14</v>
      </c>
      <c r="J4244">
        <v>1833</v>
      </c>
      <c r="K4244" s="1" t="s">
        <v>74</v>
      </c>
      <c r="L4244" s="1" t="s">
        <v>64</v>
      </c>
      <c r="M4244">
        <v>2.2570000000000001</v>
      </c>
      <c r="N4244">
        <v>31591.8</v>
      </c>
      <c r="O4244">
        <v>31.591999999999999</v>
      </c>
      <c r="P4244" s="2">
        <v>44013</v>
      </c>
      <c r="Q4244">
        <v>1</v>
      </c>
      <c r="R4244" s="1" t="s">
        <v>40</v>
      </c>
    </row>
    <row r="4245" spans="1:18" x14ac:dyDescent="0.25">
      <c r="A4245">
        <v>2020</v>
      </c>
      <c r="B4245">
        <v>8</v>
      </c>
      <c r="C4245" s="1" t="s">
        <v>31</v>
      </c>
      <c r="D4245" s="1" t="s">
        <v>19</v>
      </c>
      <c r="E4245" s="1" t="s">
        <v>73</v>
      </c>
      <c r="F4245">
        <v>2012</v>
      </c>
      <c r="G4245">
        <v>8</v>
      </c>
      <c r="H4245" s="1" t="s">
        <v>21</v>
      </c>
      <c r="I4245">
        <v>14</v>
      </c>
      <c r="J4245">
        <v>1833</v>
      </c>
      <c r="K4245" s="1" t="s">
        <v>74</v>
      </c>
      <c r="L4245" s="1" t="s">
        <v>64</v>
      </c>
      <c r="M4245">
        <v>2.1560000000000001</v>
      </c>
      <c r="N4245">
        <v>30189.5</v>
      </c>
      <c r="O4245">
        <v>30.19</v>
      </c>
      <c r="P4245" s="2">
        <v>44044</v>
      </c>
      <c r="Q4245">
        <v>1</v>
      </c>
      <c r="R4245" s="1" t="s">
        <v>40</v>
      </c>
    </row>
    <row r="4246" spans="1:18" x14ac:dyDescent="0.25">
      <c r="A4246">
        <v>2020</v>
      </c>
      <c r="B4246">
        <v>9</v>
      </c>
      <c r="C4246" s="1" t="s">
        <v>32</v>
      </c>
      <c r="D4246" s="1" t="s">
        <v>19</v>
      </c>
      <c r="E4246" s="1" t="s">
        <v>73</v>
      </c>
      <c r="F4246">
        <v>2012</v>
      </c>
      <c r="G4246">
        <v>8</v>
      </c>
      <c r="H4246" s="1" t="s">
        <v>21</v>
      </c>
      <c r="I4246">
        <v>14</v>
      </c>
      <c r="J4246">
        <v>1833</v>
      </c>
      <c r="K4246" s="1" t="s">
        <v>74</v>
      </c>
      <c r="L4246" s="1" t="s">
        <v>64</v>
      </c>
      <c r="M4246">
        <v>2.27</v>
      </c>
      <c r="N4246">
        <v>31784.2</v>
      </c>
      <c r="O4246">
        <v>31.783999999999999</v>
      </c>
      <c r="P4246" s="2">
        <v>44075</v>
      </c>
      <c r="Q4246">
        <v>1</v>
      </c>
      <c r="R4246" s="1" t="s">
        <v>40</v>
      </c>
    </row>
    <row r="4247" spans="1:18" x14ac:dyDescent="0.25">
      <c r="A4247">
        <v>2020</v>
      </c>
      <c r="B4247">
        <v>10</v>
      </c>
      <c r="C4247" s="1" t="s">
        <v>33</v>
      </c>
      <c r="D4247" s="1" t="s">
        <v>19</v>
      </c>
      <c r="E4247" s="1" t="s">
        <v>73</v>
      </c>
      <c r="F4247">
        <v>2012</v>
      </c>
      <c r="G4247">
        <v>8</v>
      </c>
      <c r="H4247" s="1" t="s">
        <v>21</v>
      </c>
      <c r="I4247">
        <v>14</v>
      </c>
      <c r="J4247">
        <v>1833</v>
      </c>
      <c r="K4247" s="1" t="s">
        <v>74</v>
      </c>
      <c r="L4247" s="1" t="s">
        <v>64</v>
      </c>
      <c r="M4247">
        <v>2.1019999999999999</v>
      </c>
      <c r="N4247">
        <v>29433.4</v>
      </c>
      <c r="O4247">
        <v>29.433</v>
      </c>
      <c r="P4247" s="2">
        <v>44105</v>
      </c>
      <c r="Q4247">
        <v>1</v>
      </c>
      <c r="R4247" s="1" t="s">
        <v>40</v>
      </c>
    </row>
    <row r="4248" spans="1:18" x14ac:dyDescent="0.25">
      <c r="A4248">
        <v>2020</v>
      </c>
      <c r="B4248">
        <v>11</v>
      </c>
      <c r="C4248" s="1" t="s">
        <v>34</v>
      </c>
      <c r="D4248" s="1" t="s">
        <v>19</v>
      </c>
      <c r="E4248" s="1" t="s">
        <v>73</v>
      </c>
      <c r="F4248">
        <v>2012</v>
      </c>
      <c r="G4248">
        <v>8</v>
      </c>
      <c r="H4248" s="1" t="s">
        <v>21</v>
      </c>
      <c r="I4248">
        <v>14</v>
      </c>
      <c r="J4248">
        <v>1833</v>
      </c>
      <c r="K4248" s="1" t="s">
        <v>74</v>
      </c>
      <c r="L4248" s="1" t="s">
        <v>64</v>
      </c>
      <c r="M4248">
        <v>1.7889999999999999</v>
      </c>
      <c r="N4248">
        <v>25047.9</v>
      </c>
      <c r="O4248">
        <v>25.047999999999998</v>
      </c>
      <c r="P4248" s="2">
        <v>44136</v>
      </c>
      <c r="Q4248">
        <v>1</v>
      </c>
      <c r="R4248" s="1" t="s">
        <v>40</v>
      </c>
    </row>
    <row r="4249" spans="1:18" x14ac:dyDescent="0.25">
      <c r="A4249">
        <v>2020</v>
      </c>
      <c r="B4249">
        <v>12</v>
      </c>
      <c r="C4249" s="1" t="s">
        <v>35</v>
      </c>
      <c r="D4249" s="1" t="s">
        <v>19</v>
      </c>
      <c r="E4249" s="1" t="s">
        <v>73</v>
      </c>
      <c r="F4249">
        <v>2012</v>
      </c>
      <c r="G4249">
        <v>8</v>
      </c>
      <c r="H4249" s="1" t="s">
        <v>21</v>
      </c>
      <c r="I4249">
        <v>14</v>
      </c>
      <c r="J4249">
        <v>1833</v>
      </c>
      <c r="K4249" s="1" t="s">
        <v>74</v>
      </c>
      <c r="L4249" s="1" t="s">
        <v>64</v>
      </c>
      <c r="M4249">
        <v>1.605</v>
      </c>
      <c r="N4249">
        <v>22463.4</v>
      </c>
      <c r="O4249">
        <v>22.463000000000001</v>
      </c>
      <c r="P4249" s="2">
        <v>44166</v>
      </c>
      <c r="Q4249">
        <v>1</v>
      </c>
      <c r="R4249" s="1" t="s">
        <v>40</v>
      </c>
    </row>
    <row r="4250" spans="1:18" x14ac:dyDescent="0.25">
      <c r="A4250">
        <v>2020</v>
      </c>
      <c r="B4250">
        <v>1</v>
      </c>
      <c r="C4250" s="1" t="s">
        <v>18</v>
      </c>
      <c r="D4250" s="1" t="s">
        <v>19</v>
      </c>
      <c r="E4250" s="1" t="s">
        <v>75</v>
      </c>
      <c r="F4250">
        <v>2012</v>
      </c>
      <c r="G4250">
        <v>8</v>
      </c>
      <c r="H4250" s="1" t="s">
        <v>21</v>
      </c>
      <c r="I4250">
        <v>20</v>
      </c>
      <c r="J4250">
        <v>1990</v>
      </c>
      <c r="K4250" s="1" t="s">
        <v>76</v>
      </c>
      <c r="L4250" s="1" t="s">
        <v>64</v>
      </c>
      <c r="M4250">
        <v>0.71899999999999997</v>
      </c>
      <c r="N4250">
        <v>14382</v>
      </c>
      <c r="O4250">
        <v>14.382</v>
      </c>
      <c r="P4250" s="2">
        <v>43831</v>
      </c>
      <c r="Q4250">
        <v>1</v>
      </c>
      <c r="R4250" s="1" t="s">
        <v>40</v>
      </c>
    </row>
    <row r="4251" spans="1:18" x14ac:dyDescent="0.25">
      <c r="A4251">
        <v>2020</v>
      </c>
      <c r="B4251">
        <v>2</v>
      </c>
      <c r="C4251" s="1" t="s">
        <v>25</v>
      </c>
      <c r="D4251" s="1" t="s">
        <v>19</v>
      </c>
      <c r="E4251" s="1" t="s">
        <v>75</v>
      </c>
      <c r="F4251">
        <v>2012</v>
      </c>
      <c r="G4251">
        <v>8</v>
      </c>
      <c r="H4251" s="1" t="s">
        <v>21</v>
      </c>
      <c r="I4251">
        <v>20</v>
      </c>
      <c r="J4251">
        <v>1990</v>
      </c>
      <c r="K4251" s="1" t="s">
        <v>76</v>
      </c>
      <c r="L4251" s="1" t="s">
        <v>64</v>
      </c>
      <c r="M4251">
        <v>0.72799999999999998</v>
      </c>
      <c r="N4251">
        <v>14565.6</v>
      </c>
      <c r="O4251">
        <v>14.566000000000001</v>
      </c>
      <c r="P4251" s="2">
        <v>43862</v>
      </c>
      <c r="Q4251">
        <v>1</v>
      </c>
      <c r="R4251" s="1" t="s">
        <v>40</v>
      </c>
    </row>
    <row r="4252" spans="1:18" x14ac:dyDescent="0.25">
      <c r="A4252">
        <v>2020</v>
      </c>
      <c r="B4252">
        <v>3</v>
      </c>
      <c r="C4252" s="1" t="s">
        <v>26</v>
      </c>
      <c r="D4252" s="1" t="s">
        <v>19</v>
      </c>
      <c r="E4252" s="1" t="s">
        <v>75</v>
      </c>
      <c r="F4252">
        <v>2012</v>
      </c>
      <c r="G4252">
        <v>8</v>
      </c>
      <c r="H4252" s="1" t="s">
        <v>21</v>
      </c>
      <c r="I4252">
        <v>20</v>
      </c>
      <c r="J4252">
        <v>1990</v>
      </c>
      <c r="K4252" s="1" t="s">
        <v>76</v>
      </c>
      <c r="L4252" s="1" t="s">
        <v>64</v>
      </c>
      <c r="M4252">
        <v>0.84199999999999997</v>
      </c>
      <c r="N4252">
        <v>16830</v>
      </c>
      <c r="O4252">
        <v>16.829999999999998</v>
      </c>
      <c r="P4252" s="2">
        <v>43891</v>
      </c>
      <c r="Q4252">
        <v>1</v>
      </c>
      <c r="R4252" s="1" t="s">
        <v>40</v>
      </c>
    </row>
    <row r="4253" spans="1:18" x14ac:dyDescent="0.25">
      <c r="A4253">
        <v>2020</v>
      </c>
      <c r="B4253">
        <v>4</v>
      </c>
      <c r="C4253" s="1" t="s">
        <v>27</v>
      </c>
      <c r="D4253" s="1" t="s">
        <v>19</v>
      </c>
      <c r="E4253" s="1" t="s">
        <v>75</v>
      </c>
      <c r="F4253">
        <v>2012</v>
      </c>
      <c r="G4253">
        <v>8</v>
      </c>
      <c r="H4253" s="1" t="s">
        <v>21</v>
      </c>
      <c r="I4253">
        <v>20</v>
      </c>
      <c r="J4253">
        <v>1990</v>
      </c>
      <c r="K4253" s="1" t="s">
        <v>76</v>
      </c>
      <c r="L4253" s="1" t="s">
        <v>64</v>
      </c>
      <c r="M4253">
        <v>1.476</v>
      </c>
      <c r="N4253">
        <v>29513.7</v>
      </c>
      <c r="O4253">
        <v>29.513999999999999</v>
      </c>
      <c r="P4253" s="2">
        <v>43922</v>
      </c>
      <c r="Q4253">
        <v>1</v>
      </c>
      <c r="R4253" s="1" t="s">
        <v>40</v>
      </c>
    </row>
    <row r="4254" spans="1:18" x14ac:dyDescent="0.25">
      <c r="A4254">
        <v>2020</v>
      </c>
      <c r="B4254">
        <v>5</v>
      </c>
      <c r="C4254" s="1" t="s">
        <v>28</v>
      </c>
      <c r="D4254" s="1" t="s">
        <v>19</v>
      </c>
      <c r="E4254" s="1" t="s">
        <v>75</v>
      </c>
      <c r="F4254">
        <v>2012</v>
      </c>
      <c r="G4254">
        <v>8</v>
      </c>
      <c r="H4254" s="1" t="s">
        <v>21</v>
      </c>
      <c r="I4254">
        <v>20</v>
      </c>
      <c r="J4254">
        <v>1990</v>
      </c>
      <c r="K4254" s="1" t="s">
        <v>76</v>
      </c>
      <c r="L4254" s="1" t="s">
        <v>64</v>
      </c>
      <c r="M4254">
        <v>1.6519999999999999</v>
      </c>
      <c r="N4254">
        <v>33032.699999999997</v>
      </c>
      <c r="O4254">
        <v>33.033000000000001</v>
      </c>
      <c r="P4254" s="2">
        <v>43952</v>
      </c>
      <c r="Q4254">
        <v>1</v>
      </c>
      <c r="R4254" s="1" t="s">
        <v>40</v>
      </c>
    </row>
    <row r="4255" spans="1:18" x14ac:dyDescent="0.25">
      <c r="A4255">
        <v>2020</v>
      </c>
      <c r="B4255">
        <v>6</v>
      </c>
      <c r="C4255" s="1" t="s">
        <v>29</v>
      </c>
      <c r="D4255" s="1" t="s">
        <v>19</v>
      </c>
      <c r="E4255" s="1" t="s">
        <v>75</v>
      </c>
      <c r="F4255">
        <v>2012</v>
      </c>
      <c r="G4255">
        <v>8</v>
      </c>
      <c r="H4255" s="1" t="s">
        <v>21</v>
      </c>
      <c r="I4255">
        <v>20</v>
      </c>
      <c r="J4255">
        <v>1990</v>
      </c>
      <c r="K4255" s="1" t="s">
        <v>76</v>
      </c>
      <c r="L4255" s="1" t="s">
        <v>64</v>
      </c>
      <c r="M4255">
        <v>1.72</v>
      </c>
      <c r="N4255">
        <v>34409.699999999997</v>
      </c>
      <c r="O4255">
        <v>34.409999999999997</v>
      </c>
      <c r="P4255" s="2">
        <v>43983</v>
      </c>
      <c r="Q4255">
        <v>1</v>
      </c>
      <c r="R4255" s="1" t="s">
        <v>40</v>
      </c>
    </row>
    <row r="4256" spans="1:18" x14ac:dyDescent="0.25">
      <c r="A4256">
        <v>2020</v>
      </c>
      <c r="B4256">
        <v>7</v>
      </c>
      <c r="C4256" s="1" t="s">
        <v>30</v>
      </c>
      <c r="D4256" s="1" t="s">
        <v>19</v>
      </c>
      <c r="E4256" s="1" t="s">
        <v>75</v>
      </c>
      <c r="F4256">
        <v>2012</v>
      </c>
      <c r="G4256">
        <v>8</v>
      </c>
      <c r="H4256" s="1" t="s">
        <v>21</v>
      </c>
      <c r="I4256">
        <v>20</v>
      </c>
      <c r="J4256">
        <v>1990</v>
      </c>
      <c r="K4256" s="1" t="s">
        <v>76</v>
      </c>
      <c r="L4256" s="1" t="s">
        <v>64</v>
      </c>
      <c r="M4256">
        <v>1.758</v>
      </c>
      <c r="N4256">
        <v>35159.4</v>
      </c>
      <c r="O4256">
        <v>35.158999999999999</v>
      </c>
      <c r="P4256" s="2">
        <v>44013</v>
      </c>
      <c r="Q4256">
        <v>1</v>
      </c>
      <c r="R4256" s="1" t="s">
        <v>40</v>
      </c>
    </row>
    <row r="4257" spans="1:18" x14ac:dyDescent="0.25">
      <c r="A4257">
        <v>2020</v>
      </c>
      <c r="B4257">
        <v>8</v>
      </c>
      <c r="C4257" s="1" t="s">
        <v>31</v>
      </c>
      <c r="D4257" s="1" t="s">
        <v>19</v>
      </c>
      <c r="E4257" s="1" t="s">
        <v>75</v>
      </c>
      <c r="F4257">
        <v>2012</v>
      </c>
      <c r="G4257">
        <v>8</v>
      </c>
      <c r="H4257" s="1" t="s">
        <v>21</v>
      </c>
      <c r="I4257">
        <v>20</v>
      </c>
      <c r="J4257">
        <v>1990</v>
      </c>
      <c r="K4257" s="1" t="s">
        <v>76</v>
      </c>
      <c r="L4257" s="1" t="s">
        <v>64</v>
      </c>
      <c r="M4257">
        <v>1.68</v>
      </c>
      <c r="N4257">
        <v>33598.800000000003</v>
      </c>
      <c r="O4257">
        <v>33.598999999999997</v>
      </c>
      <c r="P4257" s="2">
        <v>44044</v>
      </c>
      <c r="Q4257">
        <v>1</v>
      </c>
      <c r="R4257" s="1" t="s">
        <v>40</v>
      </c>
    </row>
    <row r="4258" spans="1:18" x14ac:dyDescent="0.25">
      <c r="A4258">
        <v>2020</v>
      </c>
      <c r="B4258">
        <v>9</v>
      </c>
      <c r="C4258" s="1" t="s">
        <v>32</v>
      </c>
      <c r="D4258" s="1" t="s">
        <v>19</v>
      </c>
      <c r="E4258" s="1" t="s">
        <v>75</v>
      </c>
      <c r="F4258">
        <v>2012</v>
      </c>
      <c r="G4258">
        <v>8</v>
      </c>
      <c r="H4258" s="1" t="s">
        <v>21</v>
      </c>
      <c r="I4258">
        <v>20</v>
      </c>
      <c r="J4258">
        <v>1990</v>
      </c>
      <c r="K4258" s="1" t="s">
        <v>76</v>
      </c>
      <c r="L4258" s="1" t="s">
        <v>64</v>
      </c>
      <c r="M4258">
        <v>1.7689999999999999</v>
      </c>
      <c r="N4258">
        <v>35373.599999999999</v>
      </c>
      <c r="O4258">
        <v>35.374000000000002</v>
      </c>
      <c r="P4258" s="2">
        <v>44075</v>
      </c>
      <c r="Q4258">
        <v>1</v>
      </c>
      <c r="R4258" s="1" t="s">
        <v>40</v>
      </c>
    </row>
    <row r="4259" spans="1:18" x14ac:dyDescent="0.25">
      <c r="A4259">
        <v>2020</v>
      </c>
      <c r="B4259">
        <v>10</v>
      </c>
      <c r="C4259" s="1" t="s">
        <v>33</v>
      </c>
      <c r="D4259" s="1" t="s">
        <v>19</v>
      </c>
      <c r="E4259" s="1" t="s">
        <v>75</v>
      </c>
      <c r="F4259">
        <v>2012</v>
      </c>
      <c r="G4259">
        <v>8</v>
      </c>
      <c r="H4259" s="1" t="s">
        <v>21</v>
      </c>
      <c r="I4259">
        <v>20</v>
      </c>
      <c r="J4259">
        <v>1990</v>
      </c>
      <c r="K4259" s="1" t="s">
        <v>76</v>
      </c>
      <c r="L4259" s="1" t="s">
        <v>64</v>
      </c>
      <c r="M4259">
        <v>1.6379999999999999</v>
      </c>
      <c r="N4259">
        <v>32757.3</v>
      </c>
      <c r="O4259">
        <v>32.756999999999998</v>
      </c>
      <c r="P4259" s="2">
        <v>44105</v>
      </c>
      <c r="Q4259">
        <v>1</v>
      </c>
      <c r="R4259" s="1" t="s">
        <v>40</v>
      </c>
    </row>
    <row r="4260" spans="1:18" x14ac:dyDescent="0.25">
      <c r="A4260">
        <v>2020</v>
      </c>
      <c r="B4260">
        <v>11</v>
      </c>
      <c r="C4260" s="1" t="s">
        <v>34</v>
      </c>
      <c r="D4260" s="1" t="s">
        <v>19</v>
      </c>
      <c r="E4260" s="1" t="s">
        <v>75</v>
      </c>
      <c r="F4260">
        <v>2012</v>
      </c>
      <c r="G4260">
        <v>8</v>
      </c>
      <c r="H4260" s="1" t="s">
        <v>21</v>
      </c>
      <c r="I4260">
        <v>20</v>
      </c>
      <c r="J4260">
        <v>1990</v>
      </c>
      <c r="K4260" s="1" t="s">
        <v>76</v>
      </c>
      <c r="L4260" s="1" t="s">
        <v>64</v>
      </c>
      <c r="M4260">
        <v>1.3939999999999999</v>
      </c>
      <c r="N4260">
        <v>27876.6</v>
      </c>
      <c r="O4260">
        <v>27.876999999999999</v>
      </c>
      <c r="P4260" s="2">
        <v>44136</v>
      </c>
      <c r="Q4260">
        <v>1</v>
      </c>
      <c r="R4260" s="1" t="s">
        <v>40</v>
      </c>
    </row>
    <row r="4261" spans="1:18" x14ac:dyDescent="0.25">
      <c r="A4261">
        <v>2020</v>
      </c>
      <c r="B4261">
        <v>12</v>
      </c>
      <c r="C4261" s="1" t="s">
        <v>35</v>
      </c>
      <c r="D4261" s="1" t="s">
        <v>19</v>
      </c>
      <c r="E4261" s="1" t="s">
        <v>75</v>
      </c>
      <c r="F4261">
        <v>2012</v>
      </c>
      <c r="G4261">
        <v>8</v>
      </c>
      <c r="H4261" s="1" t="s">
        <v>21</v>
      </c>
      <c r="I4261">
        <v>20</v>
      </c>
      <c r="J4261">
        <v>1990</v>
      </c>
      <c r="K4261" s="1" t="s">
        <v>76</v>
      </c>
      <c r="L4261" s="1" t="s">
        <v>64</v>
      </c>
      <c r="M4261">
        <v>1.25</v>
      </c>
      <c r="N4261">
        <v>25000.2</v>
      </c>
      <c r="O4261">
        <v>25</v>
      </c>
      <c r="P4261" s="2">
        <v>44166</v>
      </c>
      <c r="Q4261">
        <v>1</v>
      </c>
      <c r="R4261" s="1" t="s">
        <v>40</v>
      </c>
    </row>
    <row r="4262" spans="1:18" x14ac:dyDescent="0.25">
      <c r="A4262">
        <v>2020</v>
      </c>
      <c r="B4262">
        <v>1</v>
      </c>
      <c r="C4262" s="1" t="s">
        <v>18</v>
      </c>
      <c r="D4262" s="1" t="s">
        <v>19</v>
      </c>
      <c r="E4262" s="1" t="s">
        <v>77</v>
      </c>
      <c r="F4262">
        <v>2012</v>
      </c>
      <c r="G4262">
        <v>8</v>
      </c>
      <c r="H4262" s="1" t="s">
        <v>21</v>
      </c>
      <c r="I4262">
        <v>22</v>
      </c>
      <c r="J4262">
        <v>2606</v>
      </c>
      <c r="K4262" s="1" t="s">
        <v>78</v>
      </c>
      <c r="L4262" s="1" t="s">
        <v>64</v>
      </c>
      <c r="M4262">
        <v>0.83499999999999996</v>
      </c>
      <c r="N4262">
        <v>18372.3</v>
      </c>
      <c r="O4262">
        <v>18.372</v>
      </c>
      <c r="P4262" s="2">
        <v>43831</v>
      </c>
      <c r="Q4262">
        <v>1</v>
      </c>
      <c r="R4262" s="1" t="s">
        <v>40</v>
      </c>
    </row>
    <row r="4263" spans="1:18" x14ac:dyDescent="0.25">
      <c r="A4263">
        <v>2020</v>
      </c>
      <c r="B4263">
        <v>2</v>
      </c>
      <c r="C4263" s="1" t="s">
        <v>25</v>
      </c>
      <c r="D4263" s="1" t="s">
        <v>19</v>
      </c>
      <c r="E4263" s="1" t="s">
        <v>77</v>
      </c>
      <c r="F4263">
        <v>2012</v>
      </c>
      <c r="G4263">
        <v>8</v>
      </c>
      <c r="H4263" s="1" t="s">
        <v>21</v>
      </c>
      <c r="I4263">
        <v>22</v>
      </c>
      <c r="J4263">
        <v>2606</v>
      </c>
      <c r="K4263" s="1" t="s">
        <v>78</v>
      </c>
      <c r="L4263" s="1" t="s">
        <v>64</v>
      </c>
      <c r="M4263">
        <v>0.84599999999999997</v>
      </c>
      <c r="N4263">
        <v>18606.8</v>
      </c>
      <c r="O4263">
        <v>18.606999999999999</v>
      </c>
      <c r="P4263" s="2">
        <v>43862</v>
      </c>
      <c r="Q4263">
        <v>1</v>
      </c>
      <c r="R4263" s="1" t="s">
        <v>40</v>
      </c>
    </row>
    <row r="4264" spans="1:18" x14ac:dyDescent="0.25">
      <c r="A4264">
        <v>2020</v>
      </c>
      <c r="B4264">
        <v>3</v>
      </c>
      <c r="C4264" s="1" t="s">
        <v>26</v>
      </c>
      <c r="D4264" s="1" t="s">
        <v>19</v>
      </c>
      <c r="E4264" s="1" t="s">
        <v>77</v>
      </c>
      <c r="F4264">
        <v>2012</v>
      </c>
      <c r="G4264">
        <v>8</v>
      </c>
      <c r="H4264" s="1" t="s">
        <v>21</v>
      </c>
      <c r="I4264">
        <v>22</v>
      </c>
      <c r="J4264">
        <v>2606</v>
      </c>
      <c r="K4264" s="1" t="s">
        <v>78</v>
      </c>
      <c r="L4264" s="1" t="s">
        <v>64</v>
      </c>
      <c r="M4264">
        <v>0.97699999999999998</v>
      </c>
      <c r="N4264">
        <v>21499.5</v>
      </c>
      <c r="O4264">
        <v>21.5</v>
      </c>
      <c r="P4264" s="2">
        <v>43891</v>
      </c>
      <c r="Q4264">
        <v>1</v>
      </c>
      <c r="R4264" s="1" t="s">
        <v>40</v>
      </c>
    </row>
    <row r="4265" spans="1:18" x14ac:dyDescent="0.25">
      <c r="A4265">
        <v>2020</v>
      </c>
      <c r="B4265">
        <v>4</v>
      </c>
      <c r="C4265" s="1" t="s">
        <v>27</v>
      </c>
      <c r="D4265" s="1" t="s">
        <v>19</v>
      </c>
      <c r="E4265" s="1" t="s">
        <v>77</v>
      </c>
      <c r="F4265">
        <v>2012</v>
      </c>
      <c r="G4265">
        <v>8</v>
      </c>
      <c r="H4265" s="1" t="s">
        <v>21</v>
      </c>
      <c r="I4265">
        <v>22</v>
      </c>
      <c r="J4265">
        <v>2606</v>
      </c>
      <c r="K4265" s="1" t="s">
        <v>78</v>
      </c>
      <c r="L4265" s="1" t="s">
        <v>64</v>
      </c>
      <c r="M4265">
        <v>1.714</v>
      </c>
      <c r="N4265">
        <v>37702.300000000003</v>
      </c>
      <c r="O4265">
        <v>37.701999999999998</v>
      </c>
      <c r="P4265" s="2">
        <v>43922</v>
      </c>
      <c r="Q4265">
        <v>1</v>
      </c>
      <c r="R4265" s="1" t="s">
        <v>40</v>
      </c>
    </row>
    <row r="4266" spans="1:18" x14ac:dyDescent="0.25">
      <c r="A4266">
        <v>2020</v>
      </c>
      <c r="B4266">
        <v>5</v>
      </c>
      <c r="C4266" s="1" t="s">
        <v>28</v>
      </c>
      <c r="D4266" s="1" t="s">
        <v>19</v>
      </c>
      <c r="E4266" s="1" t="s">
        <v>77</v>
      </c>
      <c r="F4266">
        <v>2012</v>
      </c>
      <c r="G4266">
        <v>8</v>
      </c>
      <c r="H4266" s="1" t="s">
        <v>21</v>
      </c>
      <c r="I4266">
        <v>22</v>
      </c>
      <c r="J4266">
        <v>2606</v>
      </c>
      <c r="K4266" s="1" t="s">
        <v>78</v>
      </c>
      <c r="L4266" s="1" t="s">
        <v>64</v>
      </c>
      <c r="M4266">
        <v>1.9179999999999999</v>
      </c>
      <c r="N4266">
        <v>42197.7</v>
      </c>
      <c r="O4266">
        <v>42.198</v>
      </c>
      <c r="P4266" s="2">
        <v>43952</v>
      </c>
      <c r="Q4266">
        <v>1</v>
      </c>
      <c r="R4266" s="1" t="s">
        <v>40</v>
      </c>
    </row>
    <row r="4267" spans="1:18" x14ac:dyDescent="0.25">
      <c r="A4267">
        <v>2020</v>
      </c>
      <c r="B4267">
        <v>6</v>
      </c>
      <c r="C4267" s="1" t="s">
        <v>29</v>
      </c>
      <c r="D4267" s="1" t="s">
        <v>19</v>
      </c>
      <c r="E4267" s="1" t="s">
        <v>77</v>
      </c>
      <c r="F4267">
        <v>2012</v>
      </c>
      <c r="G4267">
        <v>8</v>
      </c>
      <c r="H4267" s="1" t="s">
        <v>21</v>
      </c>
      <c r="I4267">
        <v>22</v>
      </c>
      <c r="J4267">
        <v>2606</v>
      </c>
      <c r="K4267" s="1" t="s">
        <v>78</v>
      </c>
      <c r="L4267" s="1" t="s">
        <v>64</v>
      </c>
      <c r="M4267">
        <v>1.998</v>
      </c>
      <c r="N4267">
        <v>43956.7</v>
      </c>
      <c r="O4267">
        <v>43.957000000000001</v>
      </c>
      <c r="P4267" s="2">
        <v>43983</v>
      </c>
      <c r="Q4267">
        <v>1</v>
      </c>
      <c r="R4267" s="1" t="s">
        <v>40</v>
      </c>
    </row>
    <row r="4268" spans="1:18" x14ac:dyDescent="0.25">
      <c r="A4268">
        <v>2020</v>
      </c>
      <c r="B4268">
        <v>7</v>
      </c>
      <c r="C4268" s="1" t="s">
        <v>30</v>
      </c>
      <c r="D4268" s="1" t="s">
        <v>19</v>
      </c>
      <c r="E4268" s="1" t="s">
        <v>77</v>
      </c>
      <c r="F4268">
        <v>2012</v>
      </c>
      <c r="G4268">
        <v>8</v>
      </c>
      <c r="H4268" s="1" t="s">
        <v>21</v>
      </c>
      <c r="I4268">
        <v>22</v>
      </c>
      <c r="J4268">
        <v>2606</v>
      </c>
      <c r="K4268" s="1" t="s">
        <v>78</v>
      </c>
      <c r="L4268" s="1" t="s">
        <v>64</v>
      </c>
      <c r="M4268">
        <v>2.0419999999999998</v>
      </c>
      <c r="N4268">
        <v>44914.400000000001</v>
      </c>
      <c r="O4268">
        <v>44.914000000000001</v>
      </c>
      <c r="P4268" s="2">
        <v>44013</v>
      </c>
      <c r="Q4268">
        <v>1</v>
      </c>
      <c r="R4268" s="1" t="s">
        <v>40</v>
      </c>
    </row>
    <row r="4269" spans="1:18" x14ac:dyDescent="0.25">
      <c r="A4269">
        <v>2020</v>
      </c>
      <c r="B4269">
        <v>8</v>
      </c>
      <c r="C4269" s="1" t="s">
        <v>31</v>
      </c>
      <c r="D4269" s="1" t="s">
        <v>19</v>
      </c>
      <c r="E4269" s="1" t="s">
        <v>77</v>
      </c>
      <c r="F4269">
        <v>2012</v>
      </c>
      <c r="G4269">
        <v>8</v>
      </c>
      <c r="H4269" s="1" t="s">
        <v>21</v>
      </c>
      <c r="I4269">
        <v>22</v>
      </c>
      <c r="J4269">
        <v>2606</v>
      </c>
      <c r="K4269" s="1" t="s">
        <v>78</v>
      </c>
      <c r="L4269" s="1" t="s">
        <v>64</v>
      </c>
      <c r="M4269">
        <v>1.9510000000000001</v>
      </c>
      <c r="N4269">
        <v>42920.800000000003</v>
      </c>
      <c r="O4269">
        <v>42.920999999999999</v>
      </c>
      <c r="P4269" s="2">
        <v>44044</v>
      </c>
      <c r="Q4269">
        <v>1</v>
      </c>
      <c r="R4269" s="1" t="s">
        <v>40</v>
      </c>
    </row>
    <row r="4270" spans="1:18" x14ac:dyDescent="0.25">
      <c r="A4270">
        <v>2020</v>
      </c>
      <c r="B4270">
        <v>9</v>
      </c>
      <c r="C4270" s="1" t="s">
        <v>32</v>
      </c>
      <c r="D4270" s="1" t="s">
        <v>19</v>
      </c>
      <c r="E4270" s="1" t="s">
        <v>77</v>
      </c>
      <c r="F4270">
        <v>2012</v>
      </c>
      <c r="G4270">
        <v>8</v>
      </c>
      <c r="H4270" s="1" t="s">
        <v>21</v>
      </c>
      <c r="I4270">
        <v>22</v>
      </c>
      <c r="J4270">
        <v>2606</v>
      </c>
      <c r="K4270" s="1" t="s">
        <v>78</v>
      </c>
      <c r="L4270" s="1" t="s">
        <v>64</v>
      </c>
      <c r="M4270">
        <v>2.0539999999999998</v>
      </c>
      <c r="N4270">
        <v>45188</v>
      </c>
      <c r="O4270">
        <v>45.188000000000002</v>
      </c>
      <c r="P4270" s="2">
        <v>44075</v>
      </c>
      <c r="Q4270">
        <v>1</v>
      </c>
      <c r="R4270" s="1" t="s">
        <v>40</v>
      </c>
    </row>
    <row r="4271" spans="1:18" x14ac:dyDescent="0.25">
      <c r="A4271">
        <v>2020</v>
      </c>
      <c r="B4271">
        <v>10</v>
      </c>
      <c r="C4271" s="1" t="s">
        <v>33</v>
      </c>
      <c r="D4271" s="1" t="s">
        <v>19</v>
      </c>
      <c r="E4271" s="1" t="s">
        <v>77</v>
      </c>
      <c r="F4271">
        <v>2012</v>
      </c>
      <c r="G4271">
        <v>8</v>
      </c>
      <c r="H4271" s="1" t="s">
        <v>21</v>
      </c>
      <c r="I4271">
        <v>22</v>
      </c>
      <c r="J4271">
        <v>2606</v>
      </c>
      <c r="K4271" s="1" t="s">
        <v>78</v>
      </c>
      <c r="L4271" s="1" t="s">
        <v>64</v>
      </c>
      <c r="M4271">
        <v>1.9019999999999999</v>
      </c>
      <c r="N4271">
        <v>41845.800000000003</v>
      </c>
      <c r="O4271">
        <v>41.845999999999997</v>
      </c>
      <c r="P4271" s="2">
        <v>44105</v>
      </c>
      <c r="Q4271">
        <v>1</v>
      </c>
      <c r="R4271" s="1" t="s">
        <v>40</v>
      </c>
    </row>
    <row r="4272" spans="1:18" x14ac:dyDescent="0.25">
      <c r="A4272">
        <v>2020</v>
      </c>
      <c r="B4272">
        <v>11</v>
      </c>
      <c r="C4272" s="1" t="s">
        <v>34</v>
      </c>
      <c r="D4272" s="1" t="s">
        <v>19</v>
      </c>
      <c r="E4272" s="1" t="s">
        <v>77</v>
      </c>
      <c r="F4272">
        <v>2012</v>
      </c>
      <c r="G4272">
        <v>8</v>
      </c>
      <c r="H4272" s="1" t="s">
        <v>21</v>
      </c>
      <c r="I4272">
        <v>22</v>
      </c>
      <c r="J4272">
        <v>2606</v>
      </c>
      <c r="K4272" s="1" t="s">
        <v>78</v>
      </c>
      <c r="L4272" s="1" t="s">
        <v>64</v>
      </c>
      <c r="M4272">
        <v>1.619</v>
      </c>
      <c r="N4272">
        <v>35611</v>
      </c>
      <c r="O4272">
        <v>35.610999999999997</v>
      </c>
      <c r="P4272" s="2">
        <v>44136</v>
      </c>
      <c r="Q4272">
        <v>1</v>
      </c>
      <c r="R4272" s="1" t="s">
        <v>40</v>
      </c>
    </row>
    <row r="4273" spans="1:18" x14ac:dyDescent="0.25">
      <c r="A4273">
        <v>2020</v>
      </c>
      <c r="B4273">
        <v>12</v>
      </c>
      <c r="C4273" s="1" t="s">
        <v>35</v>
      </c>
      <c r="D4273" s="1" t="s">
        <v>19</v>
      </c>
      <c r="E4273" s="1" t="s">
        <v>77</v>
      </c>
      <c r="F4273">
        <v>2012</v>
      </c>
      <c r="G4273">
        <v>8</v>
      </c>
      <c r="H4273" s="1" t="s">
        <v>21</v>
      </c>
      <c r="I4273">
        <v>22</v>
      </c>
      <c r="J4273">
        <v>2606</v>
      </c>
      <c r="K4273" s="1" t="s">
        <v>78</v>
      </c>
      <c r="L4273" s="1" t="s">
        <v>64</v>
      </c>
      <c r="M4273">
        <v>1.452</v>
      </c>
      <c r="N4273">
        <v>31936.5</v>
      </c>
      <c r="O4273">
        <v>31.937000000000001</v>
      </c>
      <c r="P4273" s="2">
        <v>44166</v>
      </c>
      <c r="Q4273">
        <v>1</v>
      </c>
      <c r="R4273" s="1" t="s">
        <v>40</v>
      </c>
    </row>
    <row r="4274" spans="1:18" x14ac:dyDescent="0.25">
      <c r="A4274">
        <v>2020</v>
      </c>
      <c r="B4274">
        <v>1</v>
      </c>
      <c r="C4274" s="1" t="s">
        <v>18</v>
      </c>
      <c r="D4274" s="1" t="s">
        <v>19</v>
      </c>
      <c r="E4274" s="1" t="s">
        <v>79</v>
      </c>
      <c r="F4274">
        <v>2012</v>
      </c>
      <c r="G4274">
        <v>8</v>
      </c>
      <c r="H4274" s="1" t="s">
        <v>21</v>
      </c>
      <c r="I4274">
        <v>22</v>
      </c>
      <c r="J4274">
        <v>2683</v>
      </c>
      <c r="K4274" s="1" t="s">
        <v>80</v>
      </c>
      <c r="L4274" s="1" t="s">
        <v>45</v>
      </c>
      <c r="M4274">
        <v>0.86</v>
      </c>
      <c r="N4274">
        <v>18915.099999999999</v>
      </c>
      <c r="O4274">
        <v>18.914999999999999</v>
      </c>
      <c r="P4274" s="2">
        <v>43831</v>
      </c>
      <c r="Q4274">
        <v>1</v>
      </c>
      <c r="R4274" s="1" t="s">
        <v>40</v>
      </c>
    </row>
    <row r="4275" spans="1:18" x14ac:dyDescent="0.25">
      <c r="A4275">
        <v>2020</v>
      </c>
      <c r="B4275">
        <v>2</v>
      </c>
      <c r="C4275" s="1" t="s">
        <v>25</v>
      </c>
      <c r="D4275" s="1" t="s">
        <v>19</v>
      </c>
      <c r="E4275" s="1" t="s">
        <v>79</v>
      </c>
      <c r="F4275">
        <v>2012</v>
      </c>
      <c r="G4275">
        <v>8</v>
      </c>
      <c r="H4275" s="1" t="s">
        <v>21</v>
      </c>
      <c r="I4275">
        <v>22</v>
      </c>
      <c r="J4275">
        <v>2683</v>
      </c>
      <c r="K4275" s="1" t="s">
        <v>80</v>
      </c>
      <c r="L4275" s="1" t="s">
        <v>45</v>
      </c>
      <c r="M4275">
        <v>0.871</v>
      </c>
      <c r="N4275">
        <v>19156.599999999999</v>
      </c>
      <c r="O4275">
        <v>19.157</v>
      </c>
      <c r="P4275" s="2">
        <v>43862</v>
      </c>
      <c r="Q4275">
        <v>1</v>
      </c>
      <c r="R4275" s="1" t="s">
        <v>40</v>
      </c>
    </row>
    <row r="4276" spans="1:18" x14ac:dyDescent="0.25">
      <c r="A4276">
        <v>2020</v>
      </c>
      <c r="B4276">
        <v>3</v>
      </c>
      <c r="C4276" s="1" t="s">
        <v>26</v>
      </c>
      <c r="D4276" s="1" t="s">
        <v>19</v>
      </c>
      <c r="E4276" s="1" t="s">
        <v>79</v>
      </c>
      <c r="F4276">
        <v>2012</v>
      </c>
      <c r="G4276">
        <v>8</v>
      </c>
      <c r="H4276" s="1" t="s">
        <v>21</v>
      </c>
      <c r="I4276">
        <v>22</v>
      </c>
      <c r="J4276">
        <v>2683</v>
      </c>
      <c r="K4276" s="1" t="s">
        <v>80</v>
      </c>
      <c r="L4276" s="1" t="s">
        <v>45</v>
      </c>
      <c r="M4276">
        <v>1.006</v>
      </c>
      <c r="N4276">
        <v>22134.799999999999</v>
      </c>
      <c r="O4276">
        <v>22.135000000000002</v>
      </c>
      <c r="P4276" s="2">
        <v>43891</v>
      </c>
      <c r="Q4276">
        <v>1</v>
      </c>
      <c r="R4276" s="1" t="s">
        <v>40</v>
      </c>
    </row>
    <row r="4277" spans="1:18" x14ac:dyDescent="0.25">
      <c r="A4277">
        <v>2020</v>
      </c>
      <c r="B4277">
        <v>4</v>
      </c>
      <c r="C4277" s="1" t="s">
        <v>27</v>
      </c>
      <c r="D4277" s="1" t="s">
        <v>19</v>
      </c>
      <c r="E4277" s="1" t="s">
        <v>79</v>
      </c>
      <c r="F4277">
        <v>2012</v>
      </c>
      <c r="G4277">
        <v>8</v>
      </c>
      <c r="H4277" s="1" t="s">
        <v>21</v>
      </c>
      <c r="I4277">
        <v>22</v>
      </c>
      <c r="J4277">
        <v>2683</v>
      </c>
      <c r="K4277" s="1" t="s">
        <v>80</v>
      </c>
      <c r="L4277" s="1" t="s">
        <v>45</v>
      </c>
      <c r="M4277">
        <v>1.764</v>
      </c>
      <c r="N4277">
        <v>38816.300000000003</v>
      </c>
      <c r="O4277">
        <v>38.816000000000003</v>
      </c>
      <c r="P4277" s="2">
        <v>43922</v>
      </c>
      <c r="Q4277">
        <v>1</v>
      </c>
      <c r="R4277" s="1" t="s">
        <v>40</v>
      </c>
    </row>
    <row r="4278" spans="1:18" x14ac:dyDescent="0.25">
      <c r="A4278">
        <v>2020</v>
      </c>
      <c r="B4278">
        <v>5</v>
      </c>
      <c r="C4278" s="1" t="s">
        <v>28</v>
      </c>
      <c r="D4278" s="1" t="s">
        <v>19</v>
      </c>
      <c r="E4278" s="1" t="s">
        <v>79</v>
      </c>
      <c r="F4278">
        <v>2012</v>
      </c>
      <c r="G4278">
        <v>8</v>
      </c>
      <c r="H4278" s="1" t="s">
        <v>21</v>
      </c>
      <c r="I4278">
        <v>22</v>
      </c>
      <c r="J4278">
        <v>2683</v>
      </c>
      <c r="K4278" s="1" t="s">
        <v>80</v>
      </c>
      <c r="L4278" s="1" t="s">
        <v>45</v>
      </c>
      <c r="M4278">
        <v>1.9750000000000001</v>
      </c>
      <c r="N4278">
        <v>43444.5</v>
      </c>
      <c r="O4278">
        <v>43.444000000000003</v>
      </c>
      <c r="P4278" s="2">
        <v>43952</v>
      </c>
      <c r="Q4278">
        <v>1</v>
      </c>
      <c r="R4278" s="1" t="s">
        <v>40</v>
      </c>
    </row>
    <row r="4279" spans="1:18" x14ac:dyDescent="0.25">
      <c r="A4279">
        <v>2020</v>
      </c>
      <c r="B4279">
        <v>6</v>
      </c>
      <c r="C4279" s="1" t="s">
        <v>29</v>
      </c>
      <c r="D4279" s="1" t="s">
        <v>19</v>
      </c>
      <c r="E4279" s="1" t="s">
        <v>79</v>
      </c>
      <c r="F4279">
        <v>2012</v>
      </c>
      <c r="G4279">
        <v>8</v>
      </c>
      <c r="H4279" s="1" t="s">
        <v>21</v>
      </c>
      <c r="I4279">
        <v>22</v>
      </c>
      <c r="J4279">
        <v>2683</v>
      </c>
      <c r="K4279" s="1" t="s">
        <v>80</v>
      </c>
      <c r="L4279" s="1" t="s">
        <v>45</v>
      </c>
      <c r="M4279">
        <v>2.0569999999999999</v>
      </c>
      <c r="N4279">
        <v>45255.5</v>
      </c>
      <c r="O4279">
        <v>45.256</v>
      </c>
      <c r="P4279" s="2">
        <v>43983</v>
      </c>
      <c r="Q4279">
        <v>1</v>
      </c>
      <c r="R4279" s="1" t="s">
        <v>40</v>
      </c>
    </row>
    <row r="4280" spans="1:18" x14ac:dyDescent="0.25">
      <c r="A4280">
        <v>2020</v>
      </c>
      <c r="B4280">
        <v>7</v>
      </c>
      <c r="C4280" s="1" t="s">
        <v>30</v>
      </c>
      <c r="D4280" s="1" t="s">
        <v>19</v>
      </c>
      <c r="E4280" s="1" t="s">
        <v>79</v>
      </c>
      <c r="F4280">
        <v>2012</v>
      </c>
      <c r="G4280">
        <v>8</v>
      </c>
      <c r="H4280" s="1" t="s">
        <v>21</v>
      </c>
      <c r="I4280">
        <v>22</v>
      </c>
      <c r="J4280">
        <v>2683</v>
      </c>
      <c r="K4280" s="1" t="s">
        <v>80</v>
      </c>
      <c r="L4280" s="1" t="s">
        <v>45</v>
      </c>
      <c r="M4280">
        <v>2.1019999999999999</v>
      </c>
      <c r="N4280">
        <v>46241.5</v>
      </c>
      <c r="O4280">
        <v>46.241999999999997</v>
      </c>
      <c r="P4280" s="2">
        <v>44013</v>
      </c>
      <c r="Q4280">
        <v>1</v>
      </c>
      <c r="R4280" s="1" t="s">
        <v>40</v>
      </c>
    </row>
    <row r="4281" spans="1:18" x14ac:dyDescent="0.25">
      <c r="A4281">
        <v>2020</v>
      </c>
      <c r="B4281">
        <v>8</v>
      </c>
      <c r="C4281" s="1" t="s">
        <v>31</v>
      </c>
      <c r="D4281" s="1" t="s">
        <v>19</v>
      </c>
      <c r="E4281" s="1" t="s">
        <v>79</v>
      </c>
      <c r="F4281">
        <v>2012</v>
      </c>
      <c r="G4281">
        <v>8</v>
      </c>
      <c r="H4281" s="1" t="s">
        <v>21</v>
      </c>
      <c r="I4281">
        <v>22</v>
      </c>
      <c r="J4281">
        <v>2683</v>
      </c>
      <c r="K4281" s="1" t="s">
        <v>80</v>
      </c>
      <c r="L4281" s="1" t="s">
        <v>45</v>
      </c>
      <c r="M4281">
        <v>2.0089999999999999</v>
      </c>
      <c r="N4281">
        <v>44189</v>
      </c>
      <c r="O4281">
        <v>44.189</v>
      </c>
      <c r="P4281" s="2">
        <v>44044</v>
      </c>
      <c r="Q4281">
        <v>1</v>
      </c>
      <c r="R4281" s="1" t="s">
        <v>40</v>
      </c>
    </row>
    <row r="4282" spans="1:18" x14ac:dyDescent="0.25">
      <c r="A4282">
        <v>2020</v>
      </c>
      <c r="B4282">
        <v>9</v>
      </c>
      <c r="C4282" s="1" t="s">
        <v>32</v>
      </c>
      <c r="D4282" s="1" t="s">
        <v>19</v>
      </c>
      <c r="E4282" s="1" t="s">
        <v>79</v>
      </c>
      <c r="F4282">
        <v>2012</v>
      </c>
      <c r="G4282">
        <v>8</v>
      </c>
      <c r="H4282" s="1" t="s">
        <v>21</v>
      </c>
      <c r="I4282">
        <v>22</v>
      </c>
      <c r="J4282">
        <v>2683</v>
      </c>
      <c r="K4282" s="1" t="s">
        <v>80</v>
      </c>
      <c r="L4282" s="1" t="s">
        <v>45</v>
      </c>
      <c r="M4282">
        <v>2.1150000000000002</v>
      </c>
      <c r="N4282">
        <v>46523.199999999997</v>
      </c>
      <c r="O4282">
        <v>46.523000000000003</v>
      </c>
      <c r="P4282" s="2">
        <v>44075</v>
      </c>
      <c r="Q4282">
        <v>1</v>
      </c>
      <c r="R4282" s="1" t="s">
        <v>40</v>
      </c>
    </row>
    <row r="4283" spans="1:18" x14ac:dyDescent="0.25">
      <c r="A4283">
        <v>2020</v>
      </c>
      <c r="B4283">
        <v>10</v>
      </c>
      <c r="C4283" s="1" t="s">
        <v>33</v>
      </c>
      <c r="D4283" s="1" t="s">
        <v>19</v>
      </c>
      <c r="E4283" s="1" t="s">
        <v>79</v>
      </c>
      <c r="F4283">
        <v>2012</v>
      </c>
      <c r="G4283">
        <v>8</v>
      </c>
      <c r="H4283" s="1" t="s">
        <v>21</v>
      </c>
      <c r="I4283">
        <v>22</v>
      </c>
      <c r="J4283">
        <v>2683</v>
      </c>
      <c r="K4283" s="1" t="s">
        <v>80</v>
      </c>
      <c r="L4283" s="1" t="s">
        <v>45</v>
      </c>
      <c r="M4283">
        <v>1.958</v>
      </c>
      <c r="N4283">
        <v>43082.3</v>
      </c>
      <c r="O4283">
        <v>43.082000000000001</v>
      </c>
      <c r="P4283" s="2">
        <v>44105</v>
      </c>
      <c r="Q4283">
        <v>1</v>
      </c>
      <c r="R4283" s="1" t="s">
        <v>40</v>
      </c>
    </row>
    <row r="4284" spans="1:18" x14ac:dyDescent="0.25">
      <c r="A4284">
        <v>2020</v>
      </c>
      <c r="B4284">
        <v>11</v>
      </c>
      <c r="C4284" s="1" t="s">
        <v>34</v>
      </c>
      <c r="D4284" s="1" t="s">
        <v>19</v>
      </c>
      <c r="E4284" s="1" t="s">
        <v>79</v>
      </c>
      <c r="F4284">
        <v>2012</v>
      </c>
      <c r="G4284">
        <v>8</v>
      </c>
      <c r="H4284" s="1" t="s">
        <v>21</v>
      </c>
      <c r="I4284">
        <v>22</v>
      </c>
      <c r="J4284">
        <v>2683</v>
      </c>
      <c r="K4284" s="1" t="s">
        <v>80</v>
      </c>
      <c r="L4284" s="1" t="s">
        <v>45</v>
      </c>
      <c r="M4284">
        <v>1.667</v>
      </c>
      <c r="N4284">
        <v>36663.199999999997</v>
      </c>
      <c r="O4284">
        <v>36.662999999999997</v>
      </c>
      <c r="P4284" s="2">
        <v>44136</v>
      </c>
      <c r="Q4284">
        <v>1</v>
      </c>
      <c r="R4284" s="1" t="s">
        <v>40</v>
      </c>
    </row>
    <row r="4285" spans="1:18" x14ac:dyDescent="0.25">
      <c r="A4285">
        <v>2020</v>
      </c>
      <c r="B4285">
        <v>12</v>
      </c>
      <c r="C4285" s="1" t="s">
        <v>35</v>
      </c>
      <c r="D4285" s="1" t="s">
        <v>19</v>
      </c>
      <c r="E4285" s="1" t="s">
        <v>79</v>
      </c>
      <c r="F4285">
        <v>2012</v>
      </c>
      <c r="G4285">
        <v>8</v>
      </c>
      <c r="H4285" s="1" t="s">
        <v>21</v>
      </c>
      <c r="I4285">
        <v>22</v>
      </c>
      <c r="J4285">
        <v>2683</v>
      </c>
      <c r="K4285" s="1" t="s">
        <v>80</v>
      </c>
      <c r="L4285" s="1" t="s">
        <v>45</v>
      </c>
      <c r="M4285">
        <v>1.4950000000000001</v>
      </c>
      <c r="N4285">
        <v>32880.199999999997</v>
      </c>
      <c r="O4285">
        <v>32.880000000000003</v>
      </c>
      <c r="P4285" s="2">
        <v>44166</v>
      </c>
      <c r="Q4285">
        <v>1</v>
      </c>
      <c r="R4285" s="1" t="s">
        <v>40</v>
      </c>
    </row>
    <row r="4286" spans="1:18" x14ac:dyDescent="0.25">
      <c r="A4286">
        <v>2020</v>
      </c>
      <c r="B4286">
        <v>1</v>
      </c>
      <c r="C4286" s="1" t="s">
        <v>18</v>
      </c>
      <c r="D4286" s="1" t="s">
        <v>19</v>
      </c>
      <c r="E4286" s="1" t="s">
        <v>81</v>
      </c>
      <c r="F4286">
        <v>2012</v>
      </c>
      <c r="G4286">
        <v>8</v>
      </c>
      <c r="H4286" s="1" t="s">
        <v>21</v>
      </c>
      <c r="I4286">
        <v>28</v>
      </c>
      <c r="J4286">
        <v>3483</v>
      </c>
      <c r="K4286" s="1" t="s">
        <v>53</v>
      </c>
      <c r="L4286" s="1" t="s">
        <v>45</v>
      </c>
      <c r="M4286">
        <v>0.877</v>
      </c>
      <c r="N4286">
        <v>24555.1</v>
      </c>
      <c r="O4286">
        <v>24.555</v>
      </c>
      <c r="P4286" s="2">
        <v>43831</v>
      </c>
      <c r="Q4286">
        <v>1</v>
      </c>
      <c r="R4286" s="1" t="s">
        <v>40</v>
      </c>
    </row>
    <row r="4287" spans="1:18" x14ac:dyDescent="0.25">
      <c r="A4287">
        <v>2020</v>
      </c>
      <c r="B4287">
        <v>2</v>
      </c>
      <c r="C4287" s="1" t="s">
        <v>25</v>
      </c>
      <c r="D4287" s="1" t="s">
        <v>19</v>
      </c>
      <c r="E4287" s="1" t="s">
        <v>81</v>
      </c>
      <c r="F4287">
        <v>2012</v>
      </c>
      <c r="G4287">
        <v>8</v>
      </c>
      <c r="H4287" s="1" t="s">
        <v>21</v>
      </c>
      <c r="I4287">
        <v>28</v>
      </c>
      <c r="J4287">
        <v>3483</v>
      </c>
      <c r="K4287" s="1" t="s">
        <v>53</v>
      </c>
      <c r="L4287" s="1" t="s">
        <v>45</v>
      </c>
      <c r="M4287">
        <v>0.88800000000000001</v>
      </c>
      <c r="N4287">
        <v>24868.6</v>
      </c>
      <c r="O4287">
        <v>24.869</v>
      </c>
      <c r="P4287" s="2">
        <v>43862</v>
      </c>
      <c r="Q4287">
        <v>1</v>
      </c>
      <c r="R4287" s="1" t="s">
        <v>40</v>
      </c>
    </row>
    <row r="4288" spans="1:18" x14ac:dyDescent="0.25">
      <c r="A4288">
        <v>2020</v>
      </c>
      <c r="B4288">
        <v>3</v>
      </c>
      <c r="C4288" s="1" t="s">
        <v>26</v>
      </c>
      <c r="D4288" s="1" t="s">
        <v>19</v>
      </c>
      <c r="E4288" s="1" t="s">
        <v>81</v>
      </c>
      <c r="F4288">
        <v>2012</v>
      </c>
      <c r="G4288">
        <v>8</v>
      </c>
      <c r="H4288" s="1" t="s">
        <v>21</v>
      </c>
      <c r="I4288">
        <v>28</v>
      </c>
      <c r="J4288">
        <v>3483</v>
      </c>
      <c r="K4288" s="1" t="s">
        <v>53</v>
      </c>
      <c r="L4288" s="1" t="s">
        <v>45</v>
      </c>
      <c r="M4288">
        <v>1.026</v>
      </c>
      <c r="N4288">
        <v>28734.799999999999</v>
      </c>
      <c r="O4288">
        <v>28.734999999999999</v>
      </c>
      <c r="P4288" s="2">
        <v>43891</v>
      </c>
      <c r="Q4288">
        <v>1</v>
      </c>
      <c r="R4288" s="1" t="s">
        <v>40</v>
      </c>
    </row>
    <row r="4289" spans="1:18" x14ac:dyDescent="0.25">
      <c r="A4289">
        <v>2020</v>
      </c>
      <c r="B4289">
        <v>4</v>
      </c>
      <c r="C4289" s="1" t="s">
        <v>27</v>
      </c>
      <c r="D4289" s="1" t="s">
        <v>19</v>
      </c>
      <c r="E4289" s="1" t="s">
        <v>81</v>
      </c>
      <c r="F4289">
        <v>2012</v>
      </c>
      <c r="G4289">
        <v>8</v>
      </c>
      <c r="H4289" s="1" t="s">
        <v>21</v>
      </c>
      <c r="I4289">
        <v>28</v>
      </c>
      <c r="J4289">
        <v>3483</v>
      </c>
      <c r="K4289" s="1" t="s">
        <v>53</v>
      </c>
      <c r="L4289" s="1" t="s">
        <v>45</v>
      </c>
      <c r="M4289">
        <v>1.8</v>
      </c>
      <c r="N4289">
        <v>50390.3</v>
      </c>
      <c r="O4289">
        <v>50.39</v>
      </c>
      <c r="P4289" s="2">
        <v>43922</v>
      </c>
      <c r="Q4289">
        <v>1</v>
      </c>
      <c r="R4289" s="1" t="s">
        <v>40</v>
      </c>
    </row>
    <row r="4290" spans="1:18" x14ac:dyDescent="0.25">
      <c r="A4290">
        <v>2020</v>
      </c>
      <c r="B4290">
        <v>5</v>
      </c>
      <c r="C4290" s="1" t="s">
        <v>28</v>
      </c>
      <c r="D4290" s="1" t="s">
        <v>19</v>
      </c>
      <c r="E4290" s="1" t="s">
        <v>81</v>
      </c>
      <c r="F4290">
        <v>2012</v>
      </c>
      <c r="G4290">
        <v>8</v>
      </c>
      <c r="H4290" s="1" t="s">
        <v>21</v>
      </c>
      <c r="I4290">
        <v>28</v>
      </c>
      <c r="J4290">
        <v>3483</v>
      </c>
      <c r="K4290" s="1" t="s">
        <v>53</v>
      </c>
      <c r="L4290" s="1" t="s">
        <v>45</v>
      </c>
      <c r="M4290">
        <v>2.0139999999999998</v>
      </c>
      <c r="N4290">
        <v>56398.5</v>
      </c>
      <c r="O4290">
        <v>56.398000000000003</v>
      </c>
      <c r="P4290" s="2">
        <v>43952</v>
      </c>
      <c r="Q4290">
        <v>1</v>
      </c>
      <c r="R4290" s="1" t="s">
        <v>40</v>
      </c>
    </row>
    <row r="4291" spans="1:18" x14ac:dyDescent="0.25">
      <c r="A4291">
        <v>2020</v>
      </c>
      <c r="B4291">
        <v>6</v>
      </c>
      <c r="C4291" s="1" t="s">
        <v>29</v>
      </c>
      <c r="D4291" s="1" t="s">
        <v>19</v>
      </c>
      <c r="E4291" s="1" t="s">
        <v>81</v>
      </c>
      <c r="F4291">
        <v>2012</v>
      </c>
      <c r="G4291">
        <v>8</v>
      </c>
      <c r="H4291" s="1" t="s">
        <v>21</v>
      </c>
      <c r="I4291">
        <v>28</v>
      </c>
      <c r="J4291">
        <v>3483</v>
      </c>
      <c r="K4291" s="1" t="s">
        <v>53</v>
      </c>
      <c r="L4291" s="1" t="s">
        <v>45</v>
      </c>
      <c r="M4291">
        <v>2.0979999999999999</v>
      </c>
      <c r="N4291">
        <v>58749.5</v>
      </c>
      <c r="O4291">
        <v>58.75</v>
      </c>
      <c r="P4291" s="2">
        <v>43983</v>
      </c>
      <c r="Q4291">
        <v>1</v>
      </c>
      <c r="R4291" s="1" t="s">
        <v>40</v>
      </c>
    </row>
    <row r="4292" spans="1:18" x14ac:dyDescent="0.25">
      <c r="A4292">
        <v>2020</v>
      </c>
      <c r="B4292">
        <v>7</v>
      </c>
      <c r="C4292" s="1" t="s">
        <v>30</v>
      </c>
      <c r="D4292" s="1" t="s">
        <v>19</v>
      </c>
      <c r="E4292" s="1" t="s">
        <v>81</v>
      </c>
      <c r="F4292">
        <v>2012</v>
      </c>
      <c r="G4292">
        <v>8</v>
      </c>
      <c r="H4292" s="1" t="s">
        <v>21</v>
      </c>
      <c r="I4292">
        <v>28</v>
      </c>
      <c r="J4292">
        <v>3483</v>
      </c>
      <c r="K4292" s="1" t="s">
        <v>53</v>
      </c>
      <c r="L4292" s="1" t="s">
        <v>45</v>
      </c>
      <c r="M4292">
        <v>2.1440000000000001</v>
      </c>
      <c r="N4292">
        <v>60029.5</v>
      </c>
      <c r="O4292">
        <v>60.03</v>
      </c>
      <c r="P4292" s="2">
        <v>44013</v>
      </c>
      <c r="Q4292">
        <v>1</v>
      </c>
      <c r="R4292" s="1" t="s">
        <v>40</v>
      </c>
    </row>
    <row r="4293" spans="1:18" x14ac:dyDescent="0.25">
      <c r="A4293">
        <v>2020</v>
      </c>
      <c r="B4293">
        <v>8</v>
      </c>
      <c r="C4293" s="1" t="s">
        <v>31</v>
      </c>
      <c r="D4293" s="1" t="s">
        <v>19</v>
      </c>
      <c r="E4293" s="1" t="s">
        <v>81</v>
      </c>
      <c r="F4293">
        <v>2012</v>
      </c>
      <c r="G4293">
        <v>8</v>
      </c>
      <c r="H4293" s="1" t="s">
        <v>21</v>
      </c>
      <c r="I4293">
        <v>28</v>
      </c>
      <c r="J4293">
        <v>3483</v>
      </c>
      <c r="K4293" s="1" t="s">
        <v>53</v>
      </c>
      <c r="L4293" s="1" t="s">
        <v>45</v>
      </c>
      <c r="M4293">
        <v>2.0489999999999999</v>
      </c>
      <c r="N4293">
        <v>57365</v>
      </c>
      <c r="O4293">
        <v>57.365000000000002</v>
      </c>
      <c r="P4293" s="2">
        <v>44044</v>
      </c>
      <c r="Q4293">
        <v>1</v>
      </c>
      <c r="R4293" s="1" t="s">
        <v>40</v>
      </c>
    </row>
    <row r="4294" spans="1:18" x14ac:dyDescent="0.25">
      <c r="A4294">
        <v>2020</v>
      </c>
      <c r="B4294">
        <v>9</v>
      </c>
      <c r="C4294" s="1" t="s">
        <v>32</v>
      </c>
      <c r="D4294" s="1" t="s">
        <v>19</v>
      </c>
      <c r="E4294" s="1" t="s">
        <v>81</v>
      </c>
      <c r="F4294">
        <v>2012</v>
      </c>
      <c r="G4294">
        <v>8</v>
      </c>
      <c r="H4294" s="1" t="s">
        <v>21</v>
      </c>
      <c r="I4294">
        <v>28</v>
      </c>
      <c r="J4294">
        <v>3483</v>
      </c>
      <c r="K4294" s="1" t="s">
        <v>53</v>
      </c>
      <c r="L4294" s="1" t="s">
        <v>45</v>
      </c>
      <c r="M4294">
        <v>2.157</v>
      </c>
      <c r="N4294">
        <v>60395.199999999997</v>
      </c>
      <c r="O4294">
        <v>60.395000000000003</v>
      </c>
      <c r="P4294" s="2">
        <v>44075</v>
      </c>
      <c r="Q4294">
        <v>1</v>
      </c>
      <c r="R4294" s="1" t="s">
        <v>40</v>
      </c>
    </row>
    <row r="4295" spans="1:18" x14ac:dyDescent="0.25">
      <c r="A4295">
        <v>2020</v>
      </c>
      <c r="B4295">
        <v>10</v>
      </c>
      <c r="C4295" s="1" t="s">
        <v>33</v>
      </c>
      <c r="D4295" s="1" t="s">
        <v>19</v>
      </c>
      <c r="E4295" s="1" t="s">
        <v>81</v>
      </c>
      <c r="F4295">
        <v>2012</v>
      </c>
      <c r="G4295">
        <v>8</v>
      </c>
      <c r="H4295" s="1" t="s">
        <v>21</v>
      </c>
      <c r="I4295">
        <v>28</v>
      </c>
      <c r="J4295">
        <v>3483</v>
      </c>
      <c r="K4295" s="1" t="s">
        <v>53</v>
      </c>
      <c r="L4295" s="1" t="s">
        <v>45</v>
      </c>
      <c r="M4295">
        <v>1.9970000000000001</v>
      </c>
      <c r="N4295">
        <v>55928.3</v>
      </c>
      <c r="O4295">
        <v>55.927999999999997</v>
      </c>
      <c r="P4295" s="2">
        <v>44105</v>
      </c>
      <c r="Q4295">
        <v>1</v>
      </c>
      <c r="R4295" s="1" t="s">
        <v>40</v>
      </c>
    </row>
    <row r="4296" spans="1:18" x14ac:dyDescent="0.25">
      <c r="A4296">
        <v>2020</v>
      </c>
      <c r="B4296">
        <v>11</v>
      </c>
      <c r="C4296" s="1" t="s">
        <v>34</v>
      </c>
      <c r="D4296" s="1" t="s">
        <v>19</v>
      </c>
      <c r="E4296" s="1" t="s">
        <v>81</v>
      </c>
      <c r="F4296">
        <v>2012</v>
      </c>
      <c r="G4296">
        <v>8</v>
      </c>
      <c r="H4296" s="1" t="s">
        <v>21</v>
      </c>
      <c r="I4296">
        <v>28</v>
      </c>
      <c r="J4296">
        <v>3483</v>
      </c>
      <c r="K4296" s="1" t="s">
        <v>53</v>
      </c>
      <c r="L4296" s="1" t="s">
        <v>45</v>
      </c>
      <c r="M4296">
        <v>1.7</v>
      </c>
      <c r="N4296">
        <v>47595.199999999997</v>
      </c>
      <c r="O4296">
        <v>47.594999999999999</v>
      </c>
      <c r="P4296" s="2">
        <v>44136</v>
      </c>
      <c r="Q4296">
        <v>1</v>
      </c>
      <c r="R4296" s="1" t="s">
        <v>40</v>
      </c>
    </row>
    <row r="4297" spans="1:18" x14ac:dyDescent="0.25">
      <c r="A4297">
        <v>2020</v>
      </c>
      <c r="B4297">
        <v>12</v>
      </c>
      <c r="C4297" s="1" t="s">
        <v>35</v>
      </c>
      <c r="D4297" s="1" t="s">
        <v>19</v>
      </c>
      <c r="E4297" s="1" t="s">
        <v>81</v>
      </c>
      <c r="F4297">
        <v>2012</v>
      </c>
      <c r="G4297">
        <v>8</v>
      </c>
      <c r="H4297" s="1" t="s">
        <v>21</v>
      </c>
      <c r="I4297">
        <v>28</v>
      </c>
      <c r="J4297">
        <v>3483</v>
      </c>
      <c r="K4297" s="1" t="s">
        <v>53</v>
      </c>
      <c r="L4297" s="1" t="s">
        <v>45</v>
      </c>
      <c r="M4297">
        <v>1.524</v>
      </c>
      <c r="N4297">
        <v>42684.2</v>
      </c>
      <c r="O4297">
        <v>42.683999999999997</v>
      </c>
      <c r="P4297" s="2">
        <v>44166</v>
      </c>
      <c r="Q4297">
        <v>1</v>
      </c>
      <c r="R4297" s="1" t="s">
        <v>40</v>
      </c>
    </row>
    <row r="4298" spans="1:18" x14ac:dyDescent="0.25">
      <c r="A4298">
        <v>2020</v>
      </c>
      <c r="B4298">
        <v>1</v>
      </c>
      <c r="C4298" s="1" t="s">
        <v>18</v>
      </c>
      <c r="D4298" s="1" t="s">
        <v>19</v>
      </c>
      <c r="E4298" s="1" t="s">
        <v>82</v>
      </c>
      <c r="F4298">
        <v>2013</v>
      </c>
      <c r="G4298">
        <v>7</v>
      </c>
      <c r="H4298" s="1" t="s">
        <v>21</v>
      </c>
      <c r="I4298">
        <v>24</v>
      </c>
      <c r="J4298">
        <v>2678</v>
      </c>
      <c r="K4298" s="1" t="s">
        <v>83</v>
      </c>
      <c r="L4298" s="1" t="s">
        <v>45</v>
      </c>
      <c r="M4298">
        <v>0.78700000000000003</v>
      </c>
      <c r="N4298">
        <v>18879.900000000001</v>
      </c>
      <c r="O4298">
        <v>18.88</v>
      </c>
      <c r="P4298" s="2">
        <v>43831</v>
      </c>
      <c r="Q4298">
        <v>1</v>
      </c>
      <c r="R4298" s="1" t="s">
        <v>40</v>
      </c>
    </row>
    <row r="4299" spans="1:18" x14ac:dyDescent="0.25">
      <c r="A4299">
        <v>2020</v>
      </c>
      <c r="B4299">
        <v>2</v>
      </c>
      <c r="C4299" s="1" t="s">
        <v>25</v>
      </c>
      <c r="D4299" s="1" t="s">
        <v>19</v>
      </c>
      <c r="E4299" s="1" t="s">
        <v>82</v>
      </c>
      <c r="F4299">
        <v>2013</v>
      </c>
      <c r="G4299">
        <v>7</v>
      </c>
      <c r="H4299" s="1" t="s">
        <v>21</v>
      </c>
      <c r="I4299">
        <v>24</v>
      </c>
      <c r="J4299">
        <v>2678</v>
      </c>
      <c r="K4299" s="1" t="s">
        <v>83</v>
      </c>
      <c r="L4299" s="1" t="s">
        <v>45</v>
      </c>
      <c r="M4299">
        <v>0.79700000000000004</v>
      </c>
      <c r="N4299">
        <v>19120.900000000001</v>
      </c>
      <c r="O4299">
        <v>19.120999999999999</v>
      </c>
      <c r="P4299" s="2">
        <v>43862</v>
      </c>
      <c r="Q4299">
        <v>1</v>
      </c>
      <c r="R4299" s="1" t="s">
        <v>40</v>
      </c>
    </row>
    <row r="4300" spans="1:18" x14ac:dyDescent="0.25">
      <c r="A4300">
        <v>2020</v>
      </c>
      <c r="B4300">
        <v>3</v>
      </c>
      <c r="C4300" s="1" t="s">
        <v>26</v>
      </c>
      <c r="D4300" s="1" t="s">
        <v>19</v>
      </c>
      <c r="E4300" s="1" t="s">
        <v>82</v>
      </c>
      <c r="F4300">
        <v>2013</v>
      </c>
      <c r="G4300">
        <v>7</v>
      </c>
      <c r="H4300" s="1" t="s">
        <v>21</v>
      </c>
      <c r="I4300">
        <v>24</v>
      </c>
      <c r="J4300">
        <v>2678</v>
      </c>
      <c r="K4300" s="1" t="s">
        <v>83</v>
      </c>
      <c r="L4300" s="1" t="s">
        <v>45</v>
      </c>
      <c r="M4300">
        <v>0.92100000000000004</v>
      </c>
      <c r="N4300">
        <v>22093.5</v>
      </c>
      <c r="O4300">
        <v>22.094000000000001</v>
      </c>
      <c r="P4300" s="2">
        <v>43891</v>
      </c>
      <c r="Q4300">
        <v>1</v>
      </c>
      <c r="R4300" s="1" t="s">
        <v>40</v>
      </c>
    </row>
    <row r="4301" spans="1:18" x14ac:dyDescent="0.25">
      <c r="A4301">
        <v>2020</v>
      </c>
      <c r="B4301">
        <v>4</v>
      </c>
      <c r="C4301" s="1" t="s">
        <v>27</v>
      </c>
      <c r="D4301" s="1" t="s">
        <v>19</v>
      </c>
      <c r="E4301" s="1" t="s">
        <v>82</v>
      </c>
      <c r="F4301">
        <v>2013</v>
      </c>
      <c r="G4301">
        <v>7</v>
      </c>
      <c r="H4301" s="1" t="s">
        <v>21</v>
      </c>
      <c r="I4301">
        <v>24</v>
      </c>
      <c r="J4301">
        <v>2678</v>
      </c>
      <c r="K4301" s="1" t="s">
        <v>83</v>
      </c>
      <c r="L4301" s="1" t="s">
        <v>45</v>
      </c>
      <c r="M4301">
        <v>1.6140000000000001</v>
      </c>
      <c r="N4301">
        <v>38744</v>
      </c>
      <c r="O4301">
        <v>38.744</v>
      </c>
      <c r="P4301" s="2">
        <v>43922</v>
      </c>
      <c r="Q4301">
        <v>1</v>
      </c>
      <c r="R4301" s="1" t="s">
        <v>40</v>
      </c>
    </row>
    <row r="4302" spans="1:18" x14ac:dyDescent="0.25">
      <c r="A4302">
        <v>2020</v>
      </c>
      <c r="B4302">
        <v>5</v>
      </c>
      <c r="C4302" s="1" t="s">
        <v>28</v>
      </c>
      <c r="D4302" s="1" t="s">
        <v>19</v>
      </c>
      <c r="E4302" s="1" t="s">
        <v>82</v>
      </c>
      <c r="F4302">
        <v>2013</v>
      </c>
      <c r="G4302">
        <v>7</v>
      </c>
      <c r="H4302" s="1" t="s">
        <v>21</v>
      </c>
      <c r="I4302">
        <v>24</v>
      </c>
      <c r="J4302">
        <v>2678</v>
      </c>
      <c r="K4302" s="1" t="s">
        <v>83</v>
      </c>
      <c r="L4302" s="1" t="s">
        <v>45</v>
      </c>
      <c r="M4302">
        <v>1.8069999999999999</v>
      </c>
      <c r="N4302">
        <v>43363.5</v>
      </c>
      <c r="O4302">
        <v>43.363999999999997</v>
      </c>
      <c r="P4302" s="2">
        <v>43952</v>
      </c>
      <c r="Q4302">
        <v>1</v>
      </c>
      <c r="R4302" s="1" t="s">
        <v>40</v>
      </c>
    </row>
    <row r="4303" spans="1:18" x14ac:dyDescent="0.25">
      <c r="A4303">
        <v>2020</v>
      </c>
      <c r="B4303">
        <v>6</v>
      </c>
      <c r="C4303" s="1" t="s">
        <v>29</v>
      </c>
      <c r="D4303" s="1" t="s">
        <v>19</v>
      </c>
      <c r="E4303" s="1" t="s">
        <v>82</v>
      </c>
      <c r="F4303">
        <v>2013</v>
      </c>
      <c r="G4303">
        <v>7</v>
      </c>
      <c r="H4303" s="1" t="s">
        <v>21</v>
      </c>
      <c r="I4303">
        <v>24</v>
      </c>
      <c r="J4303">
        <v>2678</v>
      </c>
      <c r="K4303" s="1" t="s">
        <v>83</v>
      </c>
      <c r="L4303" s="1" t="s">
        <v>45</v>
      </c>
      <c r="M4303">
        <v>1.8819999999999999</v>
      </c>
      <c r="N4303">
        <v>45171.199999999997</v>
      </c>
      <c r="O4303">
        <v>45.170999999999999</v>
      </c>
      <c r="P4303" s="2">
        <v>43983</v>
      </c>
      <c r="Q4303">
        <v>1</v>
      </c>
      <c r="R4303" s="1" t="s">
        <v>40</v>
      </c>
    </row>
    <row r="4304" spans="1:18" x14ac:dyDescent="0.25">
      <c r="A4304">
        <v>2020</v>
      </c>
      <c r="B4304">
        <v>7</v>
      </c>
      <c r="C4304" s="1" t="s">
        <v>30</v>
      </c>
      <c r="D4304" s="1" t="s">
        <v>19</v>
      </c>
      <c r="E4304" s="1" t="s">
        <v>82</v>
      </c>
      <c r="F4304">
        <v>2013</v>
      </c>
      <c r="G4304">
        <v>7</v>
      </c>
      <c r="H4304" s="1" t="s">
        <v>21</v>
      </c>
      <c r="I4304">
        <v>24</v>
      </c>
      <c r="J4304">
        <v>2678</v>
      </c>
      <c r="K4304" s="1" t="s">
        <v>83</v>
      </c>
      <c r="L4304" s="1" t="s">
        <v>45</v>
      </c>
      <c r="M4304">
        <v>1.923</v>
      </c>
      <c r="N4304">
        <v>46155.3</v>
      </c>
      <c r="O4304">
        <v>46.155000000000001</v>
      </c>
      <c r="P4304" s="2">
        <v>44013</v>
      </c>
      <c r="Q4304">
        <v>1</v>
      </c>
      <c r="R4304" s="1" t="s">
        <v>40</v>
      </c>
    </row>
    <row r="4305" spans="1:18" x14ac:dyDescent="0.25">
      <c r="A4305">
        <v>2020</v>
      </c>
      <c r="B4305">
        <v>8</v>
      </c>
      <c r="C4305" s="1" t="s">
        <v>31</v>
      </c>
      <c r="D4305" s="1" t="s">
        <v>19</v>
      </c>
      <c r="E4305" s="1" t="s">
        <v>82</v>
      </c>
      <c r="F4305">
        <v>2013</v>
      </c>
      <c r="G4305">
        <v>7</v>
      </c>
      <c r="H4305" s="1" t="s">
        <v>21</v>
      </c>
      <c r="I4305">
        <v>24</v>
      </c>
      <c r="J4305">
        <v>2678</v>
      </c>
      <c r="K4305" s="1" t="s">
        <v>83</v>
      </c>
      <c r="L4305" s="1" t="s">
        <v>45</v>
      </c>
      <c r="M4305">
        <v>1.8380000000000001</v>
      </c>
      <c r="N4305">
        <v>44106.7</v>
      </c>
      <c r="O4305">
        <v>44.106999999999999</v>
      </c>
      <c r="P4305" s="2">
        <v>44044</v>
      </c>
      <c r="Q4305">
        <v>1</v>
      </c>
      <c r="R4305" s="1" t="s">
        <v>40</v>
      </c>
    </row>
    <row r="4306" spans="1:18" x14ac:dyDescent="0.25">
      <c r="A4306">
        <v>2020</v>
      </c>
      <c r="B4306">
        <v>9</v>
      </c>
      <c r="C4306" s="1" t="s">
        <v>32</v>
      </c>
      <c r="D4306" s="1" t="s">
        <v>19</v>
      </c>
      <c r="E4306" s="1" t="s">
        <v>82</v>
      </c>
      <c r="F4306">
        <v>2013</v>
      </c>
      <c r="G4306">
        <v>7</v>
      </c>
      <c r="H4306" s="1" t="s">
        <v>21</v>
      </c>
      <c r="I4306">
        <v>24</v>
      </c>
      <c r="J4306">
        <v>2678</v>
      </c>
      <c r="K4306" s="1" t="s">
        <v>83</v>
      </c>
      <c r="L4306" s="1" t="s">
        <v>45</v>
      </c>
      <c r="M4306">
        <v>1.9350000000000001</v>
      </c>
      <c r="N4306">
        <v>46436.5</v>
      </c>
      <c r="O4306">
        <v>46.436999999999998</v>
      </c>
      <c r="P4306" s="2">
        <v>44075</v>
      </c>
      <c r="Q4306">
        <v>1</v>
      </c>
      <c r="R4306" s="1" t="s">
        <v>40</v>
      </c>
    </row>
    <row r="4307" spans="1:18" x14ac:dyDescent="0.25">
      <c r="A4307">
        <v>2020</v>
      </c>
      <c r="B4307">
        <v>10</v>
      </c>
      <c r="C4307" s="1" t="s">
        <v>33</v>
      </c>
      <c r="D4307" s="1" t="s">
        <v>19</v>
      </c>
      <c r="E4307" s="1" t="s">
        <v>82</v>
      </c>
      <c r="F4307">
        <v>2013</v>
      </c>
      <c r="G4307">
        <v>7</v>
      </c>
      <c r="H4307" s="1" t="s">
        <v>21</v>
      </c>
      <c r="I4307">
        <v>24</v>
      </c>
      <c r="J4307">
        <v>2678</v>
      </c>
      <c r="K4307" s="1" t="s">
        <v>83</v>
      </c>
      <c r="L4307" s="1" t="s">
        <v>45</v>
      </c>
      <c r="M4307">
        <v>1.792</v>
      </c>
      <c r="N4307">
        <v>43002</v>
      </c>
      <c r="O4307">
        <v>43.002000000000002</v>
      </c>
      <c r="P4307" s="2">
        <v>44105</v>
      </c>
      <c r="Q4307">
        <v>1</v>
      </c>
      <c r="R4307" s="1" t="s">
        <v>40</v>
      </c>
    </row>
    <row r="4308" spans="1:18" x14ac:dyDescent="0.25">
      <c r="A4308">
        <v>2020</v>
      </c>
      <c r="B4308">
        <v>11</v>
      </c>
      <c r="C4308" s="1" t="s">
        <v>34</v>
      </c>
      <c r="D4308" s="1" t="s">
        <v>19</v>
      </c>
      <c r="E4308" s="1" t="s">
        <v>82</v>
      </c>
      <c r="F4308">
        <v>2013</v>
      </c>
      <c r="G4308">
        <v>7</v>
      </c>
      <c r="H4308" s="1" t="s">
        <v>21</v>
      </c>
      <c r="I4308">
        <v>24</v>
      </c>
      <c r="J4308">
        <v>2678</v>
      </c>
      <c r="K4308" s="1" t="s">
        <v>83</v>
      </c>
      <c r="L4308" s="1" t="s">
        <v>45</v>
      </c>
      <c r="M4308">
        <v>1.5249999999999999</v>
      </c>
      <c r="N4308">
        <v>36594.9</v>
      </c>
      <c r="O4308">
        <v>36.594999999999999</v>
      </c>
      <c r="P4308" s="2">
        <v>44136</v>
      </c>
      <c r="Q4308">
        <v>1</v>
      </c>
      <c r="R4308" s="1" t="s">
        <v>40</v>
      </c>
    </row>
    <row r="4309" spans="1:18" x14ac:dyDescent="0.25">
      <c r="A4309">
        <v>2020</v>
      </c>
      <c r="B4309">
        <v>12</v>
      </c>
      <c r="C4309" s="1" t="s">
        <v>35</v>
      </c>
      <c r="D4309" s="1" t="s">
        <v>19</v>
      </c>
      <c r="E4309" s="1" t="s">
        <v>82</v>
      </c>
      <c r="F4309">
        <v>2013</v>
      </c>
      <c r="G4309">
        <v>7</v>
      </c>
      <c r="H4309" s="1" t="s">
        <v>21</v>
      </c>
      <c r="I4309">
        <v>24</v>
      </c>
      <c r="J4309">
        <v>2678</v>
      </c>
      <c r="K4309" s="1" t="s">
        <v>83</v>
      </c>
      <c r="L4309" s="1" t="s">
        <v>45</v>
      </c>
      <c r="M4309">
        <v>1.367</v>
      </c>
      <c r="N4309">
        <v>32818.9</v>
      </c>
      <c r="O4309">
        <v>32.819000000000003</v>
      </c>
      <c r="P4309" s="2">
        <v>44166</v>
      </c>
      <c r="Q4309">
        <v>1</v>
      </c>
      <c r="R4309" s="1" t="s">
        <v>40</v>
      </c>
    </row>
    <row r="4310" spans="1:18" x14ac:dyDescent="0.25">
      <c r="A4310">
        <v>2020</v>
      </c>
      <c r="B4310">
        <v>1</v>
      </c>
      <c r="C4310" s="1" t="s">
        <v>18</v>
      </c>
      <c r="D4310" s="1" t="s">
        <v>19</v>
      </c>
      <c r="E4310" s="1" t="s">
        <v>84</v>
      </c>
      <c r="F4310">
        <v>2013</v>
      </c>
      <c r="G4310">
        <v>7</v>
      </c>
      <c r="H4310" s="1" t="s">
        <v>21</v>
      </c>
      <c r="I4310">
        <v>23</v>
      </c>
      <c r="J4310">
        <v>2683</v>
      </c>
      <c r="K4310" s="1" t="s">
        <v>85</v>
      </c>
      <c r="L4310" s="1" t="s">
        <v>45</v>
      </c>
      <c r="M4310">
        <v>0.82199999999999995</v>
      </c>
      <c r="N4310">
        <v>18915.2</v>
      </c>
      <c r="O4310">
        <v>18.914999999999999</v>
      </c>
      <c r="P4310" s="2">
        <v>43831</v>
      </c>
      <c r="Q4310">
        <v>1</v>
      </c>
      <c r="R4310" s="1" t="s">
        <v>40</v>
      </c>
    </row>
    <row r="4311" spans="1:18" x14ac:dyDescent="0.25">
      <c r="A4311">
        <v>2020</v>
      </c>
      <c r="B4311">
        <v>2</v>
      </c>
      <c r="C4311" s="1" t="s">
        <v>25</v>
      </c>
      <c r="D4311" s="1" t="s">
        <v>19</v>
      </c>
      <c r="E4311" s="1" t="s">
        <v>84</v>
      </c>
      <c r="F4311">
        <v>2013</v>
      </c>
      <c r="G4311">
        <v>7</v>
      </c>
      <c r="H4311" s="1" t="s">
        <v>21</v>
      </c>
      <c r="I4311">
        <v>23</v>
      </c>
      <c r="J4311">
        <v>2683</v>
      </c>
      <c r="K4311" s="1" t="s">
        <v>85</v>
      </c>
      <c r="L4311" s="1" t="s">
        <v>45</v>
      </c>
      <c r="M4311">
        <v>0.83299999999999996</v>
      </c>
      <c r="N4311">
        <v>19156.599999999999</v>
      </c>
      <c r="O4311">
        <v>19.157</v>
      </c>
      <c r="P4311" s="2">
        <v>43862</v>
      </c>
      <c r="Q4311">
        <v>1</v>
      </c>
      <c r="R4311" s="1" t="s">
        <v>40</v>
      </c>
    </row>
    <row r="4312" spans="1:18" x14ac:dyDescent="0.25">
      <c r="A4312">
        <v>2020</v>
      </c>
      <c r="B4312">
        <v>3</v>
      </c>
      <c r="C4312" s="1" t="s">
        <v>26</v>
      </c>
      <c r="D4312" s="1" t="s">
        <v>19</v>
      </c>
      <c r="E4312" s="1" t="s">
        <v>84</v>
      </c>
      <c r="F4312">
        <v>2013</v>
      </c>
      <c r="G4312">
        <v>7</v>
      </c>
      <c r="H4312" s="1" t="s">
        <v>21</v>
      </c>
      <c r="I4312">
        <v>23</v>
      </c>
      <c r="J4312">
        <v>2683</v>
      </c>
      <c r="K4312" s="1" t="s">
        <v>85</v>
      </c>
      <c r="L4312" s="1" t="s">
        <v>45</v>
      </c>
      <c r="M4312">
        <v>0.96199999999999997</v>
      </c>
      <c r="N4312">
        <v>22134.799999999999</v>
      </c>
      <c r="O4312">
        <v>22.135000000000002</v>
      </c>
      <c r="P4312" s="2">
        <v>43891</v>
      </c>
      <c r="Q4312">
        <v>1</v>
      </c>
      <c r="R4312" s="1" t="s">
        <v>40</v>
      </c>
    </row>
    <row r="4313" spans="1:18" x14ac:dyDescent="0.25">
      <c r="A4313">
        <v>2020</v>
      </c>
      <c r="B4313">
        <v>4</v>
      </c>
      <c r="C4313" s="1" t="s">
        <v>27</v>
      </c>
      <c r="D4313" s="1" t="s">
        <v>19</v>
      </c>
      <c r="E4313" s="1" t="s">
        <v>84</v>
      </c>
      <c r="F4313">
        <v>2013</v>
      </c>
      <c r="G4313">
        <v>7</v>
      </c>
      <c r="H4313" s="1" t="s">
        <v>21</v>
      </c>
      <c r="I4313">
        <v>23</v>
      </c>
      <c r="J4313">
        <v>2683</v>
      </c>
      <c r="K4313" s="1" t="s">
        <v>85</v>
      </c>
      <c r="L4313" s="1" t="s">
        <v>45</v>
      </c>
      <c r="M4313">
        <v>1.6879999999999999</v>
      </c>
      <c r="N4313">
        <v>38816.300000000003</v>
      </c>
      <c r="O4313">
        <v>38.816000000000003</v>
      </c>
      <c r="P4313" s="2">
        <v>43922</v>
      </c>
      <c r="Q4313">
        <v>1</v>
      </c>
      <c r="R4313" s="1" t="s">
        <v>40</v>
      </c>
    </row>
    <row r="4314" spans="1:18" x14ac:dyDescent="0.25">
      <c r="A4314">
        <v>2020</v>
      </c>
      <c r="B4314">
        <v>5</v>
      </c>
      <c r="C4314" s="1" t="s">
        <v>28</v>
      </c>
      <c r="D4314" s="1" t="s">
        <v>19</v>
      </c>
      <c r="E4314" s="1" t="s">
        <v>84</v>
      </c>
      <c r="F4314">
        <v>2013</v>
      </c>
      <c r="G4314">
        <v>7</v>
      </c>
      <c r="H4314" s="1" t="s">
        <v>21</v>
      </c>
      <c r="I4314">
        <v>23</v>
      </c>
      <c r="J4314">
        <v>2683</v>
      </c>
      <c r="K4314" s="1" t="s">
        <v>85</v>
      </c>
      <c r="L4314" s="1" t="s">
        <v>45</v>
      </c>
      <c r="M4314">
        <v>1.889</v>
      </c>
      <c r="N4314">
        <v>43444.5</v>
      </c>
      <c r="O4314">
        <v>43.444000000000003</v>
      </c>
      <c r="P4314" s="2">
        <v>43952</v>
      </c>
      <c r="Q4314">
        <v>1</v>
      </c>
      <c r="R4314" s="1" t="s">
        <v>40</v>
      </c>
    </row>
    <row r="4315" spans="1:18" x14ac:dyDescent="0.25">
      <c r="A4315">
        <v>2020</v>
      </c>
      <c r="B4315">
        <v>6</v>
      </c>
      <c r="C4315" s="1" t="s">
        <v>29</v>
      </c>
      <c r="D4315" s="1" t="s">
        <v>19</v>
      </c>
      <c r="E4315" s="1" t="s">
        <v>84</v>
      </c>
      <c r="F4315">
        <v>2013</v>
      </c>
      <c r="G4315">
        <v>7</v>
      </c>
      <c r="H4315" s="1" t="s">
        <v>21</v>
      </c>
      <c r="I4315">
        <v>23</v>
      </c>
      <c r="J4315">
        <v>2683</v>
      </c>
      <c r="K4315" s="1" t="s">
        <v>85</v>
      </c>
      <c r="L4315" s="1" t="s">
        <v>45</v>
      </c>
      <c r="M4315">
        <v>1.968</v>
      </c>
      <c r="N4315">
        <v>45255.5</v>
      </c>
      <c r="O4315">
        <v>45.256</v>
      </c>
      <c r="P4315" s="2">
        <v>43983</v>
      </c>
      <c r="Q4315">
        <v>1</v>
      </c>
      <c r="R4315" s="1" t="s">
        <v>40</v>
      </c>
    </row>
    <row r="4316" spans="1:18" x14ac:dyDescent="0.25">
      <c r="A4316">
        <v>2020</v>
      </c>
      <c r="B4316">
        <v>7</v>
      </c>
      <c r="C4316" s="1" t="s">
        <v>30</v>
      </c>
      <c r="D4316" s="1" t="s">
        <v>19</v>
      </c>
      <c r="E4316" s="1" t="s">
        <v>84</v>
      </c>
      <c r="F4316">
        <v>2013</v>
      </c>
      <c r="G4316">
        <v>7</v>
      </c>
      <c r="H4316" s="1" t="s">
        <v>21</v>
      </c>
      <c r="I4316">
        <v>23</v>
      </c>
      <c r="J4316">
        <v>2683</v>
      </c>
      <c r="K4316" s="1" t="s">
        <v>85</v>
      </c>
      <c r="L4316" s="1" t="s">
        <v>45</v>
      </c>
      <c r="M4316">
        <v>2.0110000000000001</v>
      </c>
      <c r="N4316">
        <v>46241.5</v>
      </c>
      <c r="O4316">
        <v>46.241999999999997</v>
      </c>
      <c r="P4316" s="2">
        <v>44013</v>
      </c>
      <c r="Q4316">
        <v>1</v>
      </c>
      <c r="R4316" s="1" t="s">
        <v>40</v>
      </c>
    </row>
    <row r="4317" spans="1:18" x14ac:dyDescent="0.25">
      <c r="A4317">
        <v>2020</v>
      </c>
      <c r="B4317">
        <v>8</v>
      </c>
      <c r="C4317" s="1" t="s">
        <v>31</v>
      </c>
      <c r="D4317" s="1" t="s">
        <v>19</v>
      </c>
      <c r="E4317" s="1" t="s">
        <v>84</v>
      </c>
      <c r="F4317">
        <v>2013</v>
      </c>
      <c r="G4317">
        <v>7</v>
      </c>
      <c r="H4317" s="1" t="s">
        <v>21</v>
      </c>
      <c r="I4317">
        <v>23</v>
      </c>
      <c r="J4317">
        <v>2683</v>
      </c>
      <c r="K4317" s="1" t="s">
        <v>85</v>
      </c>
      <c r="L4317" s="1" t="s">
        <v>45</v>
      </c>
      <c r="M4317">
        <v>1.921</v>
      </c>
      <c r="N4317">
        <v>44189</v>
      </c>
      <c r="O4317">
        <v>44.189</v>
      </c>
      <c r="P4317" s="2">
        <v>44044</v>
      </c>
      <c r="Q4317">
        <v>1</v>
      </c>
      <c r="R4317" s="1" t="s">
        <v>40</v>
      </c>
    </row>
    <row r="4318" spans="1:18" x14ac:dyDescent="0.25">
      <c r="A4318">
        <v>2020</v>
      </c>
      <c r="B4318">
        <v>9</v>
      </c>
      <c r="C4318" s="1" t="s">
        <v>32</v>
      </c>
      <c r="D4318" s="1" t="s">
        <v>19</v>
      </c>
      <c r="E4318" s="1" t="s">
        <v>84</v>
      </c>
      <c r="F4318">
        <v>2013</v>
      </c>
      <c r="G4318">
        <v>7</v>
      </c>
      <c r="H4318" s="1" t="s">
        <v>21</v>
      </c>
      <c r="I4318">
        <v>23</v>
      </c>
      <c r="J4318">
        <v>2683</v>
      </c>
      <c r="K4318" s="1" t="s">
        <v>85</v>
      </c>
      <c r="L4318" s="1" t="s">
        <v>45</v>
      </c>
      <c r="M4318">
        <v>2.0230000000000001</v>
      </c>
      <c r="N4318">
        <v>46523.199999999997</v>
      </c>
      <c r="O4318">
        <v>46.523000000000003</v>
      </c>
      <c r="P4318" s="2">
        <v>44075</v>
      </c>
      <c r="Q4318">
        <v>1</v>
      </c>
      <c r="R4318" s="1" t="s">
        <v>40</v>
      </c>
    </row>
    <row r="4319" spans="1:18" x14ac:dyDescent="0.25">
      <c r="A4319">
        <v>2020</v>
      </c>
      <c r="B4319">
        <v>10</v>
      </c>
      <c r="C4319" s="1" t="s">
        <v>33</v>
      </c>
      <c r="D4319" s="1" t="s">
        <v>19</v>
      </c>
      <c r="E4319" s="1" t="s">
        <v>84</v>
      </c>
      <c r="F4319">
        <v>2013</v>
      </c>
      <c r="G4319">
        <v>7</v>
      </c>
      <c r="H4319" s="1" t="s">
        <v>21</v>
      </c>
      <c r="I4319">
        <v>23</v>
      </c>
      <c r="J4319">
        <v>2683</v>
      </c>
      <c r="K4319" s="1" t="s">
        <v>85</v>
      </c>
      <c r="L4319" s="1" t="s">
        <v>45</v>
      </c>
      <c r="M4319">
        <v>1.873</v>
      </c>
      <c r="N4319">
        <v>43082.3</v>
      </c>
      <c r="O4319">
        <v>43.082000000000001</v>
      </c>
      <c r="P4319" s="2">
        <v>44105</v>
      </c>
      <c r="Q4319">
        <v>1</v>
      </c>
      <c r="R4319" s="1" t="s">
        <v>40</v>
      </c>
    </row>
    <row r="4320" spans="1:18" x14ac:dyDescent="0.25">
      <c r="A4320">
        <v>2020</v>
      </c>
      <c r="B4320">
        <v>11</v>
      </c>
      <c r="C4320" s="1" t="s">
        <v>34</v>
      </c>
      <c r="D4320" s="1" t="s">
        <v>19</v>
      </c>
      <c r="E4320" s="1" t="s">
        <v>84</v>
      </c>
      <c r="F4320">
        <v>2013</v>
      </c>
      <c r="G4320">
        <v>7</v>
      </c>
      <c r="H4320" s="1" t="s">
        <v>21</v>
      </c>
      <c r="I4320">
        <v>23</v>
      </c>
      <c r="J4320">
        <v>2683</v>
      </c>
      <c r="K4320" s="1" t="s">
        <v>85</v>
      </c>
      <c r="L4320" s="1" t="s">
        <v>45</v>
      </c>
      <c r="M4320">
        <v>1.5940000000000001</v>
      </c>
      <c r="N4320">
        <v>36663.199999999997</v>
      </c>
      <c r="O4320">
        <v>36.662999999999997</v>
      </c>
      <c r="P4320" s="2">
        <v>44136</v>
      </c>
      <c r="Q4320">
        <v>1</v>
      </c>
      <c r="R4320" s="1" t="s">
        <v>40</v>
      </c>
    </row>
    <row r="4321" spans="1:18" x14ac:dyDescent="0.25">
      <c r="A4321">
        <v>2020</v>
      </c>
      <c r="B4321">
        <v>12</v>
      </c>
      <c r="C4321" s="1" t="s">
        <v>35</v>
      </c>
      <c r="D4321" s="1" t="s">
        <v>19</v>
      </c>
      <c r="E4321" s="1" t="s">
        <v>84</v>
      </c>
      <c r="F4321">
        <v>2013</v>
      </c>
      <c r="G4321">
        <v>7</v>
      </c>
      <c r="H4321" s="1" t="s">
        <v>21</v>
      </c>
      <c r="I4321">
        <v>23</v>
      </c>
      <c r="J4321">
        <v>2683</v>
      </c>
      <c r="K4321" s="1" t="s">
        <v>85</v>
      </c>
      <c r="L4321" s="1" t="s">
        <v>45</v>
      </c>
      <c r="M4321">
        <v>1.43</v>
      </c>
      <c r="N4321">
        <v>32880.199999999997</v>
      </c>
      <c r="O4321">
        <v>32.880000000000003</v>
      </c>
      <c r="P4321" s="2">
        <v>44166</v>
      </c>
      <c r="Q4321">
        <v>1</v>
      </c>
      <c r="R4321" s="1" t="s">
        <v>40</v>
      </c>
    </row>
    <row r="4322" spans="1:18" x14ac:dyDescent="0.25">
      <c r="A4322">
        <v>2020</v>
      </c>
      <c r="B4322">
        <v>1</v>
      </c>
      <c r="C4322" s="1" t="s">
        <v>18</v>
      </c>
      <c r="D4322" s="1" t="s">
        <v>19</v>
      </c>
      <c r="E4322" s="1" t="s">
        <v>86</v>
      </c>
      <c r="F4322">
        <v>2013</v>
      </c>
      <c r="G4322">
        <v>7</v>
      </c>
      <c r="H4322" s="1" t="s">
        <v>21</v>
      </c>
      <c r="I4322">
        <v>24</v>
      </c>
      <c r="J4322">
        <v>3445</v>
      </c>
      <c r="K4322" s="1" t="s">
        <v>87</v>
      </c>
      <c r="L4322" s="1" t="s">
        <v>45</v>
      </c>
      <c r="M4322">
        <v>1.012</v>
      </c>
      <c r="N4322">
        <v>24287.200000000001</v>
      </c>
      <c r="O4322">
        <v>24.286999999999999</v>
      </c>
      <c r="P4322" s="2">
        <v>43831</v>
      </c>
      <c r="Q4322">
        <v>1</v>
      </c>
      <c r="R4322" s="1" t="s">
        <v>40</v>
      </c>
    </row>
    <row r="4323" spans="1:18" x14ac:dyDescent="0.25">
      <c r="A4323">
        <v>2020</v>
      </c>
      <c r="B4323">
        <v>2</v>
      </c>
      <c r="C4323" s="1" t="s">
        <v>25</v>
      </c>
      <c r="D4323" s="1" t="s">
        <v>19</v>
      </c>
      <c r="E4323" s="1" t="s">
        <v>86</v>
      </c>
      <c r="F4323">
        <v>2013</v>
      </c>
      <c r="G4323">
        <v>7</v>
      </c>
      <c r="H4323" s="1" t="s">
        <v>21</v>
      </c>
      <c r="I4323">
        <v>24</v>
      </c>
      <c r="J4323">
        <v>3445</v>
      </c>
      <c r="K4323" s="1" t="s">
        <v>87</v>
      </c>
      <c r="L4323" s="1" t="s">
        <v>45</v>
      </c>
      <c r="M4323">
        <v>1.0249999999999999</v>
      </c>
      <c r="N4323">
        <v>24597.3</v>
      </c>
      <c r="O4323">
        <v>24.597000000000001</v>
      </c>
      <c r="P4323" s="2">
        <v>43862</v>
      </c>
      <c r="Q4323">
        <v>1</v>
      </c>
      <c r="R4323" s="1" t="s">
        <v>40</v>
      </c>
    </row>
    <row r="4324" spans="1:18" x14ac:dyDescent="0.25">
      <c r="A4324">
        <v>2020</v>
      </c>
      <c r="B4324">
        <v>3</v>
      </c>
      <c r="C4324" s="1" t="s">
        <v>26</v>
      </c>
      <c r="D4324" s="1" t="s">
        <v>19</v>
      </c>
      <c r="E4324" s="1" t="s">
        <v>86</v>
      </c>
      <c r="F4324">
        <v>2013</v>
      </c>
      <c r="G4324">
        <v>7</v>
      </c>
      <c r="H4324" s="1" t="s">
        <v>21</v>
      </c>
      <c r="I4324">
        <v>24</v>
      </c>
      <c r="J4324">
        <v>3445</v>
      </c>
      <c r="K4324" s="1" t="s">
        <v>87</v>
      </c>
      <c r="L4324" s="1" t="s">
        <v>45</v>
      </c>
      <c r="M4324">
        <v>1.1839999999999999</v>
      </c>
      <c r="N4324">
        <v>28421.200000000001</v>
      </c>
      <c r="O4324">
        <v>28.420999999999999</v>
      </c>
      <c r="P4324" s="2">
        <v>43891</v>
      </c>
      <c r="Q4324">
        <v>1</v>
      </c>
      <c r="R4324" s="1" t="s">
        <v>40</v>
      </c>
    </row>
    <row r="4325" spans="1:18" x14ac:dyDescent="0.25">
      <c r="A4325">
        <v>2020</v>
      </c>
      <c r="B4325">
        <v>4</v>
      </c>
      <c r="C4325" s="1" t="s">
        <v>27</v>
      </c>
      <c r="D4325" s="1" t="s">
        <v>19</v>
      </c>
      <c r="E4325" s="1" t="s">
        <v>86</v>
      </c>
      <c r="F4325">
        <v>2013</v>
      </c>
      <c r="G4325">
        <v>7</v>
      </c>
      <c r="H4325" s="1" t="s">
        <v>21</v>
      </c>
      <c r="I4325">
        <v>24</v>
      </c>
      <c r="J4325">
        <v>3445</v>
      </c>
      <c r="K4325" s="1" t="s">
        <v>87</v>
      </c>
      <c r="L4325" s="1" t="s">
        <v>45</v>
      </c>
      <c r="M4325">
        <v>2.077</v>
      </c>
      <c r="N4325">
        <v>49840.5</v>
      </c>
      <c r="O4325">
        <v>49.841000000000001</v>
      </c>
      <c r="P4325" s="2">
        <v>43922</v>
      </c>
      <c r="Q4325">
        <v>1</v>
      </c>
      <c r="R4325" s="1" t="s">
        <v>40</v>
      </c>
    </row>
    <row r="4326" spans="1:18" x14ac:dyDescent="0.25">
      <c r="A4326">
        <v>2020</v>
      </c>
      <c r="B4326">
        <v>5</v>
      </c>
      <c r="C4326" s="1" t="s">
        <v>28</v>
      </c>
      <c r="D4326" s="1" t="s">
        <v>19</v>
      </c>
      <c r="E4326" s="1" t="s">
        <v>86</v>
      </c>
      <c r="F4326">
        <v>2013</v>
      </c>
      <c r="G4326">
        <v>7</v>
      </c>
      <c r="H4326" s="1" t="s">
        <v>21</v>
      </c>
      <c r="I4326">
        <v>24</v>
      </c>
      <c r="J4326">
        <v>3445</v>
      </c>
      <c r="K4326" s="1" t="s">
        <v>87</v>
      </c>
      <c r="L4326" s="1" t="s">
        <v>45</v>
      </c>
      <c r="M4326">
        <v>2.3239999999999998</v>
      </c>
      <c r="N4326">
        <v>55783.199999999997</v>
      </c>
      <c r="O4326">
        <v>55.783000000000001</v>
      </c>
      <c r="P4326" s="2">
        <v>43952</v>
      </c>
      <c r="Q4326">
        <v>1</v>
      </c>
      <c r="R4326" s="1" t="s">
        <v>40</v>
      </c>
    </row>
    <row r="4327" spans="1:18" x14ac:dyDescent="0.25">
      <c r="A4327">
        <v>2020</v>
      </c>
      <c r="B4327">
        <v>6</v>
      </c>
      <c r="C4327" s="1" t="s">
        <v>29</v>
      </c>
      <c r="D4327" s="1" t="s">
        <v>19</v>
      </c>
      <c r="E4327" s="1" t="s">
        <v>86</v>
      </c>
      <c r="F4327">
        <v>2013</v>
      </c>
      <c r="G4327">
        <v>7</v>
      </c>
      <c r="H4327" s="1" t="s">
        <v>21</v>
      </c>
      <c r="I4327">
        <v>24</v>
      </c>
      <c r="J4327">
        <v>3445</v>
      </c>
      <c r="K4327" s="1" t="s">
        <v>87</v>
      </c>
      <c r="L4327" s="1" t="s">
        <v>45</v>
      </c>
      <c r="M4327">
        <v>2.4209999999999998</v>
      </c>
      <c r="N4327">
        <v>58108.5</v>
      </c>
      <c r="O4327">
        <v>58.109000000000002</v>
      </c>
      <c r="P4327" s="2">
        <v>43983</v>
      </c>
      <c r="Q4327">
        <v>1</v>
      </c>
      <c r="R4327" s="1" t="s">
        <v>40</v>
      </c>
    </row>
    <row r="4328" spans="1:18" x14ac:dyDescent="0.25">
      <c r="A4328">
        <v>2020</v>
      </c>
      <c r="B4328">
        <v>7</v>
      </c>
      <c r="C4328" s="1" t="s">
        <v>30</v>
      </c>
      <c r="D4328" s="1" t="s">
        <v>19</v>
      </c>
      <c r="E4328" s="1" t="s">
        <v>86</v>
      </c>
      <c r="F4328">
        <v>2013</v>
      </c>
      <c r="G4328">
        <v>7</v>
      </c>
      <c r="H4328" s="1" t="s">
        <v>21</v>
      </c>
      <c r="I4328">
        <v>24</v>
      </c>
      <c r="J4328">
        <v>3445</v>
      </c>
      <c r="K4328" s="1" t="s">
        <v>87</v>
      </c>
      <c r="L4328" s="1" t="s">
        <v>45</v>
      </c>
      <c r="M4328">
        <v>2.4740000000000002</v>
      </c>
      <c r="N4328">
        <v>59374.6</v>
      </c>
      <c r="O4328">
        <v>59.375</v>
      </c>
      <c r="P4328" s="2">
        <v>44013</v>
      </c>
      <c r="Q4328">
        <v>1</v>
      </c>
      <c r="R4328" s="1" t="s">
        <v>40</v>
      </c>
    </row>
    <row r="4329" spans="1:18" x14ac:dyDescent="0.25">
      <c r="A4329">
        <v>2020</v>
      </c>
      <c r="B4329">
        <v>8</v>
      </c>
      <c r="C4329" s="1" t="s">
        <v>31</v>
      </c>
      <c r="D4329" s="1" t="s">
        <v>19</v>
      </c>
      <c r="E4329" s="1" t="s">
        <v>86</v>
      </c>
      <c r="F4329">
        <v>2013</v>
      </c>
      <c r="G4329">
        <v>7</v>
      </c>
      <c r="H4329" s="1" t="s">
        <v>21</v>
      </c>
      <c r="I4329">
        <v>24</v>
      </c>
      <c r="J4329">
        <v>3445</v>
      </c>
      <c r="K4329" s="1" t="s">
        <v>87</v>
      </c>
      <c r="L4329" s="1" t="s">
        <v>45</v>
      </c>
      <c r="M4329">
        <v>2.3639999999999999</v>
      </c>
      <c r="N4329">
        <v>56739.199999999997</v>
      </c>
      <c r="O4329">
        <v>56.738999999999997</v>
      </c>
      <c r="P4329" s="2">
        <v>44044</v>
      </c>
      <c r="Q4329">
        <v>1</v>
      </c>
      <c r="R4329" s="1" t="s">
        <v>40</v>
      </c>
    </row>
    <row r="4330" spans="1:18" x14ac:dyDescent="0.25">
      <c r="A4330">
        <v>2020</v>
      </c>
      <c r="B4330">
        <v>9</v>
      </c>
      <c r="C4330" s="1" t="s">
        <v>32</v>
      </c>
      <c r="D4330" s="1" t="s">
        <v>19</v>
      </c>
      <c r="E4330" s="1" t="s">
        <v>86</v>
      </c>
      <c r="F4330">
        <v>2013</v>
      </c>
      <c r="G4330">
        <v>7</v>
      </c>
      <c r="H4330" s="1" t="s">
        <v>21</v>
      </c>
      <c r="I4330">
        <v>24</v>
      </c>
      <c r="J4330">
        <v>3445</v>
      </c>
      <c r="K4330" s="1" t="s">
        <v>87</v>
      </c>
      <c r="L4330" s="1" t="s">
        <v>45</v>
      </c>
      <c r="M4330">
        <v>2.4889999999999999</v>
      </c>
      <c r="N4330">
        <v>59736.3</v>
      </c>
      <c r="O4330">
        <v>59.735999999999997</v>
      </c>
      <c r="P4330" s="2">
        <v>44075</v>
      </c>
      <c r="Q4330">
        <v>1</v>
      </c>
      <c r="R4330" s="1" t="s">
        <v>40</v>
      </c>
    </row>
    <row r="4331" spans="1:18" x14ac:dyDescent="0.25">
      <c r="A4331">
        <v>2020</v>
      </c>
      <c r="B4331">
        <v>10</v>
      </c>
      <c r="C4331" s="1" t="s">
        <v>33</v>
      </c>
      <c r="D4331" s="1" t="s">
        <v>19</v>
      </c>
      <c r="E4331" s="1" t="s">
        <v>86</v>
      </c>
      <c r="F4331">
        <v>2013</v>
      </c>
      <c r="G4331">
        <v>7</v>
      </c>
      <c r="H4331" s="1" t="s">
        <v>21</v>
      </c>
      <c r="I4331">
        <v>24</v>
      </c>
      <c r="J4331">
        <v>3445</v>
      </c>
      <c r="K4331" s="1" t="s">
        <v>87</v>
      </c>
      <c r="L4331" s="1" t="s">
        <v>45</v>
      </c>
      <c r="M4331">
        <v>2.3050000000000002</v>
      </c>
      <c r="N4331">
        <v>55318.1</v>
      </c>
      <c r="O4331">
        <v>55.317999999999998</v>
      </c>
      <c r="P4331" s="2">
        <v>44105</v>
      </c>
      <c r="Q4331">
        <v>1</v>
      </c>
      <c r="R4331" s="1" t="s">
        <v>40</v>
      </c>
    </row>
    <row r="4332" spans="1:18" x14ac:dyDescent="0.25">
      <c r="A4332">
        <v>2020</v>
      </c>
      <c r="B4332">
        <v>11</v>
      </c>
      <c r="C4332" s="1" t="s">
        <v>34</v>
      </c>
      <c r="D4332" s="1" t="s">
        <v>19</v>
      </c>
      <c r="E4332" s="1" t="s">
        <v>86</v>
      </c>
      <c r="F4332">
        <v>2013</v>
      </c>
      <c r="G4332">
        <v>7</v>
      </c>
      <c r="H4332" s="1" t="s">
        <v>21</v>
      </c>
      <c r="I4332">
        <v>24</v>
      </c>
      <c r="J4332">
        <v>3445</v>
      </c>
      <c r="K4332" s="1" t="s">
        <v>87</v>
      </c>
      <c r="L4332" s="1" t="s">
        <v>45</v>
      </c>
      <c r="M4332">
        <v>1.9610000000000001</v>
      </c>
      <c r="N4332">
        <v>47075.9</v>
      </c>
      <c r="O4332">
        <v>47.076000000000001</v>
      </c>
      <c r="P4332" s="2">
        <v>44136</v>
      </c>
      <c r="Q4332">
        <v>1</v>
      </c>
      <c r="R4332" s="1" t="s">
        <v>40</v>
      </c>
    </row>
    <row r="4333" spans="1:18" x14ac:dyDescent="0.25">
      <c r="A4333">
        <v>2020</v>
      </c>
      <c r="B4333">
        <v>12</v>
      </c>
      <c r="C4333" s="1" t="s">
        <v>35</v>
      </c>
      <c r="D4333" s="1" t="s">
        <v>19</v>
      </c>
      <c r="E4333" s="1" t="s">
        <v>86</v>
      </c>
      <c r="F4333">
        <v>2013</v>
      </c>
      <c r="G4333">
        <v>7</v>
      </c>
      <c r="H4333" s="1" t="s">
        <v>21</v>
      </c>
      <c r="I4333">
        <v>24</v>
      </c>
      <c r="J4333">
        <v>3445</v>
      </c>
      <c r="K4333" s="1" t="s">
        <v>87</v>
      </c>
      <c r="L4333" s="1" t="s">
        <v>45</v>
      </c>
      <c r="M4333">
        <v>1.7589999999999999</v>
      </c>
      <c r="N4333">
        <v>42218.5</v>
      </c>
      <c r="O4333">
        <v>42.218000000000004</v>
      </c>
      <c r="P4333" s="2">
        <v>44166</v>
      </c>
      <c r="Q4333">
        <v>1</v>
      </c>
      <c r="R4333" s="1" t="s">
        <v>40</v>
      </c>
    </row>
    <row r="4334" spans="1:18" x14ac:dyDescent="0.25">
      <c r="A4334">
        <v>2020</v>
      </c>
      <c r="B4334">
        <v>1</v>
      </c>
      <c r="C4334" s="1" t="s">
        <v>18</v>
      </c>
      <c r="D4334" s="1" t="s">
        <v>19</v>
      </c>
      <c r="E4334" s="1" t="s">
        <v>88</v>
      </c>
      <c r="F4334">
        <v>2013</v>
      </c>
      <c r="G4334">
        <v>7</v>
      </c>
      <c r="H4334" s="1" t="s">
        <v>21</v>
      </c>
      <c r="I4334">
        <v>24</v>
      </c>
      <c r="J4334">
        <v>3271</v>
      </c>
      <c r="K4334" s="1" t="s">
        <v>89</v>
      </c>
      <c r="L4334" s="1" t="s">
        <v>45</v>
      </c>
      <c r="M4334">
        <v>0.96099999999999997</v>
      </c>
      <c r="N4334">
        <v>23060.5</v>
      </c>
      <c r="O4334">
        <v>23.061</v>
      </c>
      <c r="P4334" s="2">
        <v>43831</v>
      </c>
      <c r="Q4334">
        <v>1</v>
      </c>
      <c r="R4334" s="1" t="s">
        <v>40</v>
      </c>
    </row>
    <row r="4335" spans="1:18" x14ac:dyDescent="0.25">
      <c r="A4335">
        <v>2020</v>
      </c>
      <c r="B4335">
        <v>2</v>
      </c>
      <c r="C4335" s="1" t="s">
        <v>25</v>
      </c>
      <c r="D4335" s="1" t="s">
        <v>19</v>
      </c>
      <c r="E4335" s="1" t="s">
        <v>88</v>
      </c>
      <c r="F4335">
        <v>2013</v>
      </c>
      <c r="G4335">
        <v>7</v>
      </c>
      <c r="H4335" s="1" t="s">
        <v>21</v>
      </c>
      <c r="I4335">
        <v>24</v>
      </c>
      <c r="J4335">
        <v>3271</v>
      </c>
      <c r="K4335" s="1" t="s">
        <v>89</v>
      </c>
      <c r="L4335" s="1" t="s">
        <v>45</v>
      </c>
      <c r="M4335">
        <v>0.97299999999999998</v>
      </c>
      <c r="N4335">
        <v>23354.9</v>
      </c>
      <c r="O4335">
        <v>23.355</v>
      </c>
      <c r="P4335" s="2">
        <v>43862</v>
      </c>
      <c r="Q4335">
        <v>1</v>
      </c>
      <c r="R4335" s="1" t="s">
        <v>40</v>
      </c>
    </row>
    <row r="4336" spans="1:18" x14ac:dyDescent="0.25">
      <c r="A4336">
        <v>2020</v>
      </c>
      <c r="B4336">
        <v>3</v>
      </c>
      <c r="C4336" s="1" t="s">
        <v>26</v>
      </c>
      <c r="D4336" s="1" t="s">
        <v>19</v>
      </c>
      <c r="E4336" s="1" t="s">
        <v>88</v>
      </c>
      <c r="F4336">
        <v>2013</v>
      </c>
      <c r="G4336">
        <v>7</v>
      </c>
      <c r="H4336" s="1" t="s">
        <v>21</v>
      </c>
      <c r="I4336">
        <v>24</v>
      </c>
      <c r="J4336">
        <v>3271</v>
      </c>
      <c r="K4336" s="1" t="s">
        <v>89</v>
      </c>
      <c r="L4336" s="1" t="s">
        <v>45</v>
      </c>
      <c r="M4336">
        <v>1.1240000000000001</v>
      </c>
      <c r="N4336">
        <v>26985.7</v>
      </c>
      <c r="O4336">
        <v>26.986000000000001</v>
      </c>
      <c r="P4336" s="2">
        <v>43891</v>
      </c>
      <c r="Q4336">
        <v>1</v>
      </c>
      <c r="R4336" s="1" t="s">
        <v>40</v>
      </c>
    </row>
    <row r="4337" spans="1:18" x14ac:dyDescent="0.25">
      <c r="A4337">
        <v>2020</v>
      </c>
      <c r="B4337">
        <v>4</v>
      </c>
      <c r="C4337" s="1" t="s">
        <v>27</v>
      </c>
      <c r="D4337" s="1" t="s">
        <v>19</v>
      </c>
      <c r="E4337" s="1" t="s">
        <v>88</v>
      </c>
      <c r="F4337">
        <v>2013</v>
      </c>
      <c r="G4337">
        <v>7</v>
      </c>
      <c r="H4337" s="1" t="s">
        <v>21</v>
      </c>
      <c r="I4337">
        <v>24</v>
      </c>
      <c r="J4337">
        <v>3271</v>
      </c>
      <c r="K4337" s="1" t="s">
        <v>89</v>
      </c>
      <c r="L4337" s="1" t="s">
        <v>45</v>
      </c>
      <c r="M4337">
        <v>1.972</v>
      </c>
      <c r="N4337">
        <v>47323.199999999997</v>
      </c>
      <c r="O4337">
        <v>47.323</v>
      </c>
      <c r="P4337" s="2">
        <v>43922</v>
      </c>
      <c r="Q4337">
        <v>1</v>
      </c>
      <c r="R4337" s="1" t="s">
        <v>40</v>
      </c>
    </row>
    <row r="4338" spans="1:18" x14ac:dyDescent="0.25">
      <c r="A4338">
        <v>2020</v>
      </c>
      <c r="B4338">
        <v>5</v>
      </c>
      <c r="C4338" s="1" t="s">
        <v>28</v>
      </c>
      <c r="D4338" s="1" t="s">
        <v>19</v>
      </c>
      <c r="E4338" s="1" t="s">
        <v>88</v>
      </c>
      <c r="F4338">
        <v>2013</v>
      </c>
      <c r="G4338">
        <v>7</v>
      </c>
      <c r="H4338" s="1" t="s">
        <v>21</v>
      </c>
      <c r="I4338">
        <v>24</v>
      </c>
      <c r="J4338">
        <v>3271</v>
      </c>
      <c r="K4338" s="1" t="s">
        <v>89</v>
      </c>
      <c r="L4338" s="1" t="s">
        <v>45</v>
      </c>
      <c r="M4338">
        <v>2.2069999999999999</v>
      </c>
      <c r="N4338">
        <v>52965.7</v>
      </c>
      <c r="O4338">
        <v>52.966000000000001</v>
      </c>
      <c r="P4338" s="2">
        <v>43952</v>
      </c>
      <c r="Q4338">
        <v>1</v>
      </c>
      <c r="R4338" s="1" t="s">
        <v>40</v>
      </c>
    </row>
    <row r="4339" spans="1:18" x14ac:dyDescent="0.25">
      <c r="A4339">
        <v>2020</v>
      </c>
      <c r="B4339">
        <v>6</v>
      </c>
      <c r="C4339" s="1" t="s">
        <v>29</v>
      </c>
      <c r="D4339" s="1" t="s">
        <v>19</v>
      </c>
      <c r="E4339" s="1" t="s">
        <v>88</v>
      </c>
      <c r="F4339">
        <v>2013</v>
      </c>
      <c r="G4339">
        <v>7</v>
      </c>
      <c r="H4339" s="1" t="s">
        <v>21</v>
      </c>
      <c r="I4339">
        <v>24</v>
      </c>
      <c r="J4339">
        <v>3271</v>
      </c>
      <c r="K4339" s="1" t="s">
        <v>89</v>
      </c>
      <c r="L4339" s="1" t="s">
        <v>45</v>
      </c>
      <c r="M4339">
        <v>2.2989999999999999</v>
      </c>
      <c r="N4339">
        <v>55173.599999999999</v>
      </c>
      <c r="O4339">
        <v>55.173999999999999</v>
      </c>
      <c r="P4339" s="2">
        <v>43983</v>
      </c>
      <c r="Q4339">
        <v>1</v>
      </c>
      <c r="R4339" s="1" t="s">
        <v>40</v>
      </c>
    </row>
    <row r="4340" spans="1:18" x14ac:dyDescent="0.25">
      <c r="A4340">
        <v>2020</v>
      </c>
      <c r="B4340">
        <v>7</v>
      </c>
      <c r="C4340" s="1" t="s">
        <v>30</v>
      </c>
      <c r="D4340" s="1" t="s">
        <v>19</v>
      </c>
      <c r="E4340" s="1" t="s">
        <v>88</v>
      </c>
      <c r="F4340">
        <v>2013</v>
      </c>
      <c r="G4340">
        <v>7</v>
      </c>
      <c r="H4340" s="1" t="s">
        <v>21</v>
      </c>
      <c r="I4340">
        <v>24</v>
      </c>
      <c r="J4340">
        <v>3271</v>
      </c>
      <c r="K4340" s="1" t="s">
        <v>89</v>
      </c>
      <c r="L4340" s="1" t="s">
        <v>45</v>
      </c>
      <c r="M4340">
        <v>2.3490000000000002</v>
      </c>
      <c r="N4340">
        <v>56375.7</v>
      </c>
      <c r="O4340">
        <v>56.375999999999998</v>
      </c>
      <c r="P4340" s="2">
        <v>44013</v>
      </c>
      <c r="Q4340">
        <v>1</v>
      </c>
      <c r="R4340" s="1" t="s">
        <v>40</v>
      </c>
    </row>
    <row r="4341" spans="1:18" x14ac:dyDescent="0.25">
      <c r="A4341">
        <v>2020</v>
      </c>
      <c r="B4341">
        <v>8</v>
      </c>
      <c r="C4341" s="1" t="s">
        <v>31</v>
      </c>
      <c r="D4341" s="1" t="s">
        <v>19</v>
      </c>
      <c r="E4341" s="1" t="s">
        <v>88</v>
      </c>
      <c r="F4341">
        <v>2013</v>
      </c>
      <c r="G4341">
        <v>7</v>
      </c>
      <c r="H4341" s="1" t="s">
        <v>21</v>
      </c>
      <c r="I4341">
        <v>24</v>
      </c>
      <c r="J4341">
        <v>3271</v>
      </c>
      <c r="K4341" s="1" t="s">
        <v>89</v>
      </c>
      <c r="L4341" s="1" t="s">
        <v>45</v>
      </c>
      <c r="M4341">
        <v>2.2450000000000001</v>
      </c>
      <c r="N4341">
        <v>53873.4</v>
      </c>
      <c r="O4341">
        <v>53.872999999999998</v>
      </c>
      <c r="P4341" s="2">
        <v>44044</v>
      </c>
      <c r="Q4341">
        <v>1</v>
      </c>
      <c r="R4341" s="1" t="s">
        <v>40</v>
      </c>
    </row>
    <row r="4342" spans="1:18" x14ac:dyDescent="0.25">
      <c r="A4342">
        <v>2020</v>
      </c>
      <c r="B4342">
        <v>9</v>
      </c>
      <c r="C4342" s="1" t="s">
        <v>32</v>
      </c>
      <c r="D4342" s="1" t="s">
        <v>19</v>
      </c>
      <c r="E4342" s="1" t="s">
        <v>88</v>
      </c>
      <c r="F4342">
        <v>2013</v>
      </c>
      <c r="G4342">
        <v>7</v>
      </c>
      <c r="H4342" s="1" t="s">
        <v>21</v>
      </c>
      <c r="I4342">
        <v>24</v>
      </c>
      <c r="J4342">
        <v>3271</v>
      </c>
      <c r="K4342" s="1" t="s">
        <v>89</v>
      </c>
      <c r="L4342" s="1" t="s">
        <v>45</v>
      </c>
      <c r="M4342">
        <v>2.363</v>
      </c>
      <c r="N4342">
        <v>56719.1</v>
      </c>
      <c r="O4342">
        <v>56.719000000000001</v>
      </c>
      <c r="P4342" s="2">
        <v>44075</v>
      </c>
      <c r="Q4342">
        <v>1</v>
      </c>
      <c r="R4342" s="1" t="s">
        <v>40</v>
      </c>
    </row>
    <row r="4343" spans="1:18" x14ac:dyDescent="0.25">
      <c r="A4343">
        <v>2020</v>
      </c>
      <c r="B4343">
        <v>10</v>
      </c>
      <c r="C4343" s="1" t="s">
        <v>33</v>
      </c>
      <c r="D4343" s="1" t="s">
        <v>19</v>
      </c>
      <c r="E4343" s="1" t="s">
        <v>88</v>
      </c>
      <c r="F4343">
        <v>2013</v>
      </c>
      <c r="G4343">
        <v>7</v>
      </c>
      <c r="H4343" s="1" t="s">
        <v>21</v>
      </c>
      <c r="I4343">
        <v>24</v>
      </c>
      <c r="J4343">
        <v>3271</v>
      </c>
      <c r="K4343" s="1" t="s">
        <v>89</v>
      </c>
      <c r="L4343" s="1" t="s">
        <v>45</v>
      </c>
      <c r="M4343">
        <v>2.1890000000000001</v>
      </c>
      <c r="N4343">
        <v>52524.1</v>
      </c>
      <c r="O4343">
        <v>52.524000000000001</v>
      </c>
      <c r="P4343" s="2">
        <v>44105</v>
      </c>
      <c r="Q4343">
        <v>1</v>
      </c>
      <c r="R4343" s="1" t="s">
        <v>40</v>
      </c>
    </row>
    <row r="4344" spans="1:18" x14ac:dyDescent="0.25">
      <c r="A4344">
        <v>2020</v>
      </c>
      <c r="B4344">
        <v>11</v>
      </c>
      <c r="C4344" s="1" t="s">
        <v>34</v>
      </c>
      <c r="D4344" s="1" t="s">
        <v>19</v>
      </c>
      <c r="E4344" s="1" t="s">
        <v>88</v>
      </c>
      <c r="F4344">
        <v>2013</v>
      </c>
      <c r="G4344">
        <v>7</v>
      </c>
      <c r="H4344" s="1" t="s">
        <v>21</v>
      </c>
      <c r="I4344">
        <v>24</v>
      </c>
      <c r="J4344">
        <v>3271</v>
      </c>
      <c r="K4344" s="1" t="s">
        <v>89</v>
      </c>
      <c r="L4344" s="1" t="s">
        <v>45</v>
      </c>
      <c r="M4344">
        <v>1.8620000000000001</v>
      </c>
      <c r="N4344">
        <v>44698.2</v>
      </c>
      <c r="O4344">
        <v>44.698</v>
      </c>
      <c r="P4344" s="2">
        <v>44136</v>
      </c>
      <c r="Q4344">
        <v>1</v>
      </c>
      <c r="R4344" s="1" t="s">
        <v>40</v>
      </c>
    </row>
    <row r="4345" spans="1:18" x14ac:dyDescent="0.25">
      <c r="A4345">
        <v>2020</v>
      </c>
      <c r="B4345">
        <v>12</v>
      </c>
      <c r="C4345" s="1" t="s">
        <v>35</v>
      </c>
      <c r="D4345" s="1" t="s">
        <v>19</v>
      </c>
      <c r="E4345" s="1" t="s">
        <v>88</v>
      </c>
      <c r="F4345">
        <v>2013</v>
      </c>
      <c r="G4345">
        <v>7</v>
      </c>
      <c r="H4345" s="1" t="s">
        <v>21</v>
      </c>
      <c r="I4345">
        <v>24</v>
      </c>
      <c r="J4345">
        <v>3271</v>
      </c>
      <c r="K4345" s="1" t="s">
        <v>89</v>
      </c>
      <c r="L4345" s="1" t="s">
        <v>45</v>
      </c>
      <c r="M4345">
        <v>1.67</v>
      </c>
      <c r="N4345">
        <v>40086.1</v>
      </c>
      <c r="O4345">
        <v>40.085999999999999</v>
      </c>
      <c r="P4345" s="2">
        <v>44166</v>
      </c>
      <c r="Q4345">
        <v>1</v>
      </c>
      <c r="R4345" s="1" t="s">
        <v>40</v>
      </c>
    </row>
    <row r="4346" spans="1:18" x14ac:dyDescent="0.25">
      <c r="A4346">
        <v>2020</v>
      </c>
      <c r="B4346">
        <v>1</v>
      </c>
      <c r="C4346" s="1" t="s">
        <v>18</v>
      </c>
      <c r="D4346" s="1" t="s">
        <v>19</v>
      </c>
      <c r="E4346" s="1" t="s">
        <v>90</v>
      </c>
      <c r="F4346">
        <v>2013</v>
      </c>
      <c r="G4346">
        <v>7</v>
      </c>
      <c r="H4346" s="1" t="s">
        <v>21</v>
      </c>
      <c r="I4346">
        <v>25</v>
      </c>
      <c r="J4346">
        <v>3291</v>
      </c>
      <c r="K4346" s="1" t="s">
        <v>91</v>
      </c>
      <c r="L4346" s="1" t="s">
        <v>45</v>
      </c>
      <c r="M4346">
        <v>0.92800000000000005</v>
      </c>
      <c r="N4346">
        <v>23201.5</v>
      </c>
      <c r="O4346">
        <v>23.202000000000002</v>
      </c>
      <c r="P4346" s="2">
        <v>43831</v>
      </c>
      <c r="Q4346">
        <v>1</v>
      </c>
      <c r="R4346" s="1" t="s">
        <v>40</v>
      </c>
    </row>
    <row r="4347" spans="1:18" x14ac:dyDescent="0.25">
      <c r="A4347">
        <v>2020</v>
      </c>
      <c r="B4347">
        <v>2</v>
      </c>
      <c r="C4347" s="1" t="s">
        <v>25</v>
      </c>
      <c r="D4347" s="1" t="s">
        <v>19</v>
      </c>
      <c r="E4347" s="1" t="s">
        <v>90</v>
      </c>
      <c r="F4347">
        <v>2013</v>
      </c>
      <c r="G4347">
        <v>7</v>
      </c>
      <c r="H4347" s="1" t="s">
        <v>21</v>
      </c>
      <c r="I4347">
        <v>25</v>
      </c>
      <c r="J4347">
        <v>3291</v>
      </c>
      <c r="K4347" s="1" t="s">
        <v>91</v>
      </c>
      <c r="L4347" s="1" t="s">
        <v>45</v>
      </c>
      <c r="M4347">
        <v>0.94</v>
      </c>
      <c r="N4347">
        <v>23497.7</v>
      </c>
      <c r="O4347">
        <v>23.498000000000001</v>
      </c>
      <c r="P4347" s="2">
        <v>43862</v>
      </c>
      <c r="Q4347">
        <v>1</v>
      </c>
      <c r="R4347" s="1" t="s">
        <v>40</v>
      </c>
    </row>
    <row r="4348" spans="1:18" x14ac:dyDescent="0.25">
      <c r="A4348">
        <v>2020</v>
      </c>
      <c r="B4348">
        <v>3</v>
      </c>
      <c r="C4348" s="1" t="s">
        <v>26</v>
      </c>
      <c r="D4348" s="1" t="s">
        <v>19</v>
      </c>
      <c r="E4348" s="1" t="s">
        <v>90</v>
      </c>
      <c r="F4348">
        <v>2013</v>
      </c>
      <c r="G4348">
        <v>7</v>
      </c>
      <c r="H4348" s="1" t="s">
        <v>21</v>
      </c>
      <c r="I4348">
        <v>25</v>
      </c>
      <c r="J4348">
        <v>3291</v>
      </c>
      <c r="K4348" s="1" t="s">
        <v>91</v>
      </c>
      <c r="L4348" s="1" t="s">
        <v>45</v>
      </c>
      <c r="M4348">
        <v>1.0860000000000001</v>
      </c>
      <c r="N4348">
        <v>27150.7</v>
      </c>
      <c r="O4348">
        <v>27.151</v>
      </c>
      <c r="P4348" s="2">
        <v>43891</v>
      </c>
      <c r="Q4348">
        <v>1</v>
      </c>
      <c r="R4348" s="1" t="s">
        <v>40</v>
      </c>
    </row>
    <row r="4349" spans="1:18" x14ac:dyDescent="0.25">
      <c r="A4349">
        <v>2020</v>
      </c>
      <c r="B4349">
        <v>4</v>
      </c>
      <c r="C4349" s="1" t="s">
        <v>27</v>
      </c>
      <c r="D4349" s="1" t="s">
        <v>19</v>
      </c>
      <c r="E4349" s="1" t="s">
        <v>90</v>
      </c>
      <c r="F4349">
        <v>2013</v>
      </c>
      <c r="G4349">
        <v>7</v>
      </c>
      <c r="H4349" s="1" t="s">
        <v>21</v>
      </c>
      <c r="I4349">
        <v>25</v>
      </c>
      <c r="J4349">
        <v>3291</v>
      </c>
      <c r="K4349" s="1" t="s">
        <v>91</v>
      </c>
      <c r="L4349" s="1" t="s">
        <v>45</v>
      </c>
      <c r="M4349">
        <v>1.905</v>
      </c>
      <c r="N4349">
        <v>47612.5</v>
      </c>
      <c r="O4349">
        <v>47.613</v>
      </c>
      <c r="P4349" s="2">
        <v>43922</v>
      </c>
      <c r="Q4349">
        <v>1</v>
      </c>
      <c r="R4349" s="1" t="s">
        <v>40</v>
      </c>
    </row>
    <row r="4350" spans="1:18" x14ac:dyDescent="0.25">
      <c r="A4350">
        <v>2020</v>
      </c>
      <c r="B4350">
        <v>5</v>
      </c>
      <c r="C4350" s="1" t="s">
        <v>28</v>
      </c>
      <c r="D4350" s="1" t="s">
        <v>19</v>
      </c>
      <c r="E4350" s="1" t="s">
        <v>90</v>
      </c>
      <c r="F4350">
        <v>2013</v>
      </c>
      <c r="G4350">
        <v>7</v>
      </c>
      <c r="H4350" s="1" t="s">
        <v>21</v>
      </c>
      <c r="I4350">
        <v>25</v>
      </c>
      <c r="J4350">
        <v>3291</v>
      </c>
      <c r="K4350" s="1" t="s">
        <v>91</v>
      </c>
      <c r="L4350" s="1" t="s">
        <v>45</v>
      </c>
      <c r="M4350">
        <v>2.1320000000000001</v>
      </c>
      <c r="N4350">
        <v>53289.5</v>
      </c>
      <c r="O4350">
        <v>53.29</v>
      </c>
      <c r="P4350" s="2">
        <v>43952</v>
      </c>
      <c r="Q4350">
        <v>1</v>
      </c>
      <c r="R4350" s="1" t="s">
        <v>40</v>
      </c>
    </row>
    <row r="4351" spans="1:18" x14ac:dyDescent="0.25">
      <c r="A4351">
        <v>2020</v>
      </c>
      <c r="B4351">
        <v>6</v>
      </c>
      <c r="C4351" s="1" t="s">
        <v>29</v>
      </c>
      <c r="D4351" s="1" t="s">
        <v>19</v>
      </c>
      <c r="E4351" s="1" t="s">
        <v>90</v>
      </c>
      <c r="F4351">
        <v>2013</v>
      </c>
      <c r="G4351">
        <v>7</v>
      </c>
      <c r="H4351" s="1" t="s">
        <v>21</v>
      </c>
      <c r="I4351">
        <v>25</v>
      </c>
      <c r="J4351">
        <v>3291</v>
      </c>
      <c r="K4351" s="1" t="s">
        <v>91</v>
      </c>
      <c r="L4351" s="1" t="s">
        <v>45</v>
      </c>
      <c r="M4351">
        <v>2.2200000000000002</v>
      </c>
      <c r="N4351">
        <v>55510.9</v>
      </c>
      <c r="O4351">
        <v>55.511000000000003</v>
      </c>
      <c r="P4351" s="2">
        <v>43983</v>
      </c>
      <c r="Q4351">
        <v>1</v>
      </c>
      <c r="R4351" s="1" t="s">
        <v>40</v>
      </c>
    </row>
    <row r="4352" spans="1:18" x14ac:dyDescent="0.25">
      <c r="A4352">
        <v>2020</v>
      </c>
      <c r="B4352">
        <v>7</v>
      </c>
      <c r="C4352" s="1" t="s">
        <v>30</v>
      </c>
      <c r="D4352" s="1" t="s">
        <v>19</v>
      </c>
      <c r="E4352" s="1" t="s">
        <v>90</v>
      </c>
      <c r="F4352">
        <v>2013</v>
      </c>
      <c r="G4352">
        <v>7</v>
      </c>
      <c r="H4352" s="1" t="s">
        <v>21</v>
      </c>
      <c r="I4352">
        <v>25</v>
      </c>
      <c r="J4352">
        <v>3291</v>
      </c>
      <c r="K4352" s="1" t="s">
        <v>91</v>
      </c>
      <c r="L4352" s="1" t="s">
        <v>45</v>
      </c>
      <c r="M4352">
        <v>2.2690000000000001</v>
      </c>
      <c r="N4352">
        <v>56720.4</v>
      </c>
      <c r="O4352">
        <v>56.72</v>
      </c>
      <c r="P4352" s="2">
        <v>44013</v>
      </c>
      <c r="Q4352">
        <v>1</v>
      </c>
      <c r="R4352" s="1" t="s">
        <v>40</v>
      </c>
    </row>
    <row r="4353" spans="1:18" x14ac:dyDescent="0.25">
      <c r="A4353">
        <v>2020</v>
      </c>
      <c r="B4353">
        <v>8</v>
      </c>
      <c r="C4353" s="1" t="s">
        <v>31</v>
      </c>
      <c r="D4353" s="1" t="s">
        <v>19</v>
      </c>
      <c r="E4353" s="1" t="s">
        <v>90</v>
      </c>
      <c r="F4353">
        <v>2013</v>
      </c>
      <c r="G4353">
        <v>7</v>
      </c>
      <c r="H4353" s="1" t="s">
        <v>21</v>
      </c>
      <c r="I4353">
        <v>25</v>
      </c>
      <c r="J4353">
        <v>3291</v>
      </c>
      <c r="K4353" s="1" t="s">
        <v>91</v>
      </c>
      <c r="L4353" s="1" t="s">
        <v>45</v>
      </c>
      <c r="M4353">
        <v>2.1680000000000001</v>
      </c>
      <c r="N4353">
        <v>54202.8</v>
      </c>
      <c r="O4353">
        <v>54.203000000000003</v>
      </c>
      <c r="P4353" s="2">
        <v>44044</v>
      </c>
      <c r="Q4353">
        <v>1</v>
      </c>
      <c r="R4353" s="1" t="s">
        <v>40</v>
      </c>
    </row>
    <row r="4354" spans="1:18" x14ac:dyDescent="0.25">
      <c r="A4354">
        <v>2020</v>
      </c>
      <c r="B4354">
        <v>9</v>
      </c>
      <c r="C4354" s="1" t="s">
        <v>32</v>
      </c>
      <c r="D4354" s="1" t="s">
        <v>19</v>
      </c>
      <c r="E4354" s="1" t="s">
        <v>90</v>
      </c>
      <c r="F4354">
        <v>2013</v>
      </c>
      <c r="G4354">
        <v>7</v>
      </c>
      <c r="H4354" s="1" t="s">
        <v>21</v>
      </c>
      <c r="I4354">
        <v>25</v>
      </c>
      <c r="J4354">
        <v>3291</v>
      </c>
      <c r="K4354" s="1" t="s">
        <v>91</v>
      </c>
      <c r="L4354" s="1" t="s">
        <v>45</v>
      </c>
      <c r="M4354">
        <v>2.2829999999999999</v>
      </c>
      <c r="N4354">
        <v>57065.9</v>
      </c>
      <c r="O4354">
        <v>57.066000000000003</v>
      </c>
      <c r="P4354" s="2">
        <v>44075</v>
      </c>
      <c r="Q4354">
        <v>1</v>
      </c>
      <c r="R4354" s="1" t="s">
        <v>40</v>
      </c>
    </row>
    <row r="4355" spans="1:18" x14ac:dyDescent="0.25">
      <c r="A4355">
        <v>2020</v>
      </c>
      <c r="B4355">
        <v>10</v>
      </c>
      <c r="C4355" s="1" t="s">
        <v>33</v>
      </c>
      <c r="D4355" s="1" t="s">
        <v>19</v>
      </c>
      <c r="E4355" s="1" t="s">
        <v>90</v>
      </c>
      <c r="F4355">
        <v>2013</v>
      </c>
      <c r="G4355">
        <v>7</v>
      </c>
      <c r="H4355" s="1" t="s">
        <v>21</v>
      </c>
      <c r="I4355">
        <v>25</v>
      </c>
      <c r="J4355">
        <v>3291</v>
      </c>
      <c r="K4355" s="1" t="s">
        <v>91</v>
      </c>
      <c r="L4355" s="1" t="s">
        <v>45</v>
      </c>
      <c r="M4355">
        <v>2.1139999999999999</v>
      </c>
      <c r="N4355">
        <v>52845.2</v>
      </c>
      <c r="O4355">
        <v>52.844999999999999</v>
      </c>
      <c r="P4355" s="2">
        <v>44105</v>
      </c>
      <c r="Q4355">
        <v>1</v>
      </c>
      <c r="R4355" s="1" t="s">
        <v>40</v>
      </c>
    </row>
    <row r="4356" spans="1:18" x14ac:dyDescent="0.25">
      <c r="A4356">
        <v>2020</v>
      </c>
      <c r="B4356">
        <v>11</v>
      </c>
      <c r="C4356" s="1" t="s">
        <v>34</v>
      </c>
      <c r="D4356" s="1" t="s">
        <v>19</v>
      </c>
      <c r="E4356" s="1" t="s">
        <v>90</v>
      </c>
      <c r="F4356">
        <v>2013</v>
      </c>
      <c r="G4356">
        <v>7</v>
      </c>
      <c r="H4356" s="1" t="s">
        <v>21</v>
      </c>
      <c r="I4356">
        <v>25</v>
      </c>
      <c r="J4356">
        <v>3291</v>
      </c>
      <c r="K4356" s="1" t="s">
        <v>91</v>
      </c>
      <c r="L4356" s="1" t="s">
        <v>45</v>
      </c>
      <c r="M4356">
        <v>1.7989999999999999</v>
      </c>
      <c r="N4356">
        <v>44971.5</v>
      </c>
      <c r="O4356">
        <v>44.972000000000001</v>
      </c>
      <c r="P4356" s="2">
        <v>44136</v>
      </c>
      <c r="Q4356">
        <v>1</v>
      </c>
      <c r="R4356" s="1" t="s">
        <v>40</v>
      </c>
    </row>
    <row r="4357" spans="1:18" x14ac:dyDescent="0.25">
      <c r="A4357">
        <v>2020</v>
      </c>
      <c r="B4357">
        <v>12</v>
      </c>
      <c r="C4357" s="1" t="s">
        <v>35</v>
      </c>
      <c r="D4357" s="1" t="s">
        <v>19</v>
      </c>
      <c r="E4357" s="1" t="s">
        <v>90</v>
      </c>
      <c r="F4357">
        <v>2013</v>
      </c>
      <c r="G4357">
        <v>7</v>
      </c>
      <c r="H4357" s="1" t="s">
        <v>21</v>
      </c>
      <c r="I4357">
        <v>25</v>
      </c>
      <c r="J4357">
        <v>3291</v>
      </c>
      <c r="K4357" s="1" t="s">
        <v>91</v>
      </c>
      <c r="L4357" s="1" t="s">
        <v>45</v>
      </c>
      <c r="M4357">
        <v>1.613</v>
      </c>
      <c r="N4357">
        <v>40331.199999999997</v>
      </c>
      <c r="O4357">
        <v>40.331000000000003</v>
      </c>
      <c r="P4357" s="2">
        <v>44166</v>
      </c>
      <c r="Q4357">
        <v>1</v>
      </c>
      <c r="R4357" s="1" t="s">
        <v>40</v>
      </c>
    </row>
    <row r="4358" spans="1:18" x14ac:dyDescent="0.25">
      <c r="A4358">
        <v>2020</v>
      </c>
      <c r="B4358">
        <v>1</v>
      </c>
      <c r="C4358" s="1" t="s">
        <v>18</v>
      </c>
      <c r="D4358" s="1" t="s">
        <v>19</v>
      </c>
      <c r="E4358" s="1" t="s">
        <v>92</v>
      </c>
      <c r="F4358">
        <v>2014</v>
      </c>
      <c r="G4358">
        <v>6</v>
      </c>
      <c r="H4358" s="1" t="s">
        <v>21</v>
      </c>
      <c r="I4358">
        <v>24</v>
      </c>
      <c r="J4358">
        <v>2208</v>
      </c>
      <c r="K4358" s="1" t="s">
        <v>93</v>
      </c>
      <c r="L4358" s="1" t="s">
        <v>45</v>
      </c>
      <c r="M4358">
        <v>0.71899999999999997</v>
      </c>
      <c r="N4358">
        <v>17258.400000000001</v>
      </c>
      <c r="O4358">
        <v>17.257999999999999</v>
      </c>
      <c r="P4358" s="2">
        <v>43831</v>
      </c>
      <c r="Q4358">
        <v>1</v>
      </c>
      <c r="R4358" s="1" t="s">
        <v>40</v>
      </c>
    </row>
    <row r="4359" spans="1:18" x14ac:dyDescent="0.25">
      <c r="A4359">
        <v>2020</v>
      </c>
      <c r="B4359">
        <v>2</v>
      </c>
      <c r="C4359" s="1" t="s">
        <v>25</v>
      </c>
      <c r="D4359" s="1" t="s">
        <v>19</v>
      </c>
      <c r="E4359" s="1" t="s">
        <v>92</v>
      </c>
      <c r="F4359">
        <v>2014</v>
      </c>
      <c r="G4359">
        <v>6</v>
      </c>
      <c r="H4359" s="1" t="s">
        <v>21</v>
      </c>
      <c r="I4359">
        <v>24</v>
      </c>
      <c r="J4359">
        <v>2208</v>
      </c>
      <c r="K4359" s="1" t="s">
        <v>93</v>
      </c>
      <c r="L4359" s="1" t="s">
        <v>45</v>
      </c>
      <c r="M4359">
        <v>0.72799999999999998</v>
      </c>
      <c r="N4359">
        <v>17478.7</v>
      </c>
      <c r="O4359">
        <v>17.478999999999999</v>
      </c>
      <c r="P4359" s="2">
        <v>43862</v>
      </c>
      <c r="Q4359">
        <v>1</v>
      </c>
      <c r="R4359" s="1" t="s">
        <v>40</v>
      </c>
    </row>
    <row r="4360" spans="1:18" x14ac:dyDescent="0.25">
      <c r="A4360">
        <v>2020</v>
      </c>
      <c r="B4360">
        <v>3</v>
      </c>
      <c r="C4360" s="1" t="s">
        <v>26</v>
      </c>
      <c r="D4360" s="1" t="s">
        <v>19</v>
      </c>
      <c r="E4360" s="1" t="s">
        <v>92</v>
      </c>
      <c r="F4360">
        <v>2014</v>
      </c>
      <c r="G4360">
        <v>6</v>
      </c>
      <c r="H4360" s="1" t="s">
        <v>21</v>
      </c>
      <c r="I4360">
        <v>24</v>
      </c>
      <c r="J4360">
        <v>2208</v>
      </c>
      <c r="K4360" s="1" t="s">
        <v>93</v>
      </c>
      <c r="L4360" s="1" t="s">
        <v>45</v>
      </c>
      <c r="M4360">
        <v>0.84199999999999997</v>
      </c>
      <c r="N4360">
        <v>20196</v>
      </c>
      <c r="O4360">
        <v>20.196000000000002</v>
      </c>
      <c r="P4360" s="2">
        <v>43891</v>
      </c>
      <c r="Q4360">
        <v>1</v>
      </c>
      <c r="R4360" s="1" t="s">
        <v>40</v>
      </c>
    </row>
    <row r="4361" spans="1:18" x14ac:dyDescent="0.25">
      <c r="A4361">
        <v>2020</v>
      </c>
      <c r="B4361">
        <v>4</v>
      </c>
      <c r="C4361" s="1" t="s">
        <v>27</v>
      </c>
      <c r="D4361" s="1" t="s">
        <v>19</v>
      </c>
      <c r="E4361" s="1" t="s">
        <v>92</v>
      </c>
      <c r="F4361">
        <v>2014</v>
      </c>
      <c r="G4361">
        <v>6</v>
      </c>
      <c r="H4361" s="1" t="s">
        <v>21</v>
      </c>
      <c r="I4361">
        <v>24</v>
      </c>
      <c r="J4361">
        <v>2208</v>
      </c>
      <c r="K4361" s="1" t="s">
        <v>93</v>
      </c>
      <c r="L4361" s="1" t="s">
        <v>45</v>
      </c>
      <c r="M4361">
        <v>1.476</v>
      </c>
      <c r="N4361">
        <v>35416.400000000001</v>
      </c>
      <c r="O4361">
        <v>35.415999999999997</v>
      </c>
      <c r="P4361" s="2">
        <v>43922</v>
      </c>
      <c r="Q4361">
        <v>1</v>
      </c>
      <c r="R4361" s="1" t="s">
        <v>40</v>
      </c>
    </row>
    <row r="4362" spans="1:18" x14ac:dyDescent="0.25">
      <c r="A4362">
        <v>2020</v>
      </c>
      <c r="B4362">
        <v>5</v>
      </c>
      <c r="C4362" s="1" t="s">
        <v>28</v>
      </c>
      <c r="D4362" s="1" t="s">
        <v>19</v>
      </c>
      <c r="E4362" s="1" t="s">
        <v>92</v>
      </c>
      <c r="F4362">
        <v>2014</v>
      </c>
      <c r="G4362">
        <v>6</v>
      </c>
      <c r="H4362" s="1" t="s">
        <v>21</v>
      </c>
      <c r="I4362">
        <v>24</v>
      </c>
      <c r="J4362">
        <v>2208</v>
      </c>
      <c r="K4362" s="1" t="s">
        <v>93</v>
      </c>
      <c r="L4362" s="1" t="s">
        <v>45</v>
      </c>
      <c r="M4362">
        <v>1.6519999999999999</v>
      </c>
      <c r="N4362">
        <v>39639.199999999997</v>
      </c>
      <c r="O4362">
        <v>39.639000000000003</v>
      </c>
      <c r="P4362" s="2">
        <v>43952</v>
      </c>
      <c r="Q4362">
        <v>1</v>
      </c>
      <c r="R4362" s="1" t="s">
        <v>40</v>
      </c>
    </row>
    <row r="4363" spans="1:18" x14ac:dyDescent="0.25">
      <c r="A4363">
        <v>2020</v>
      </c>
      <c r="B4363">
        <v>6</v>
      </c>
      <c r="C4363" s="1" t="s">
        <v>29</v>
      </c>
      <c r="D4363" s="1" t="s">
        <v>19</v>
      </c>
      <c r="E4363" s="1" t="s">
        <v>92</v>
      </c>
      <c r="F4363">
        <v>2014</v>
      </c>
      <c r="G4363">
        <v>6</v>
      </c>
      <c r="H4363" s="1" t="s">
        <v>21</v>
      </c>
      <c r="I4363">
        <v>24</v>
      </c>
      <c r="J4363">
        <v>2208</v>
      </c>
      <c r="K4363" s="1" t="s">
        <v>93</v>
      </c>
      <c r="L4363" s="1" t="s">
        <v>45</v>
      </c>
      <c r="M4363">
        <v>1.72</v>
      </c>
      <c r="N4363">
        <v>41291.599999999999</v>
      </c>
      <c r="O4363">
        <v>41.292000000000002</v>
      </c>
      <c r="P4363" s="2">
        <v>43983</v>
      </c>
      <c r="Q4363">
        <v>1</v>
      </c>
      <c r="R4363" s="1" t="s">
        <v>40</v>
      </c>
    </row>
    <row r="4364" spans="1:18" x14ac:dyDescent="0.25">
      <c r="A4364">
        <v>2020</v>
      </c>
      <c r="B4364">
        <v>7</v>
      </c>
      <c r="C4364" s="1" t="s">
        <v>30</v>
      </c>
      <c r="D4364" s="1" t="s">
        <v>19</v>
      </c>
      <c r="E4364" s="1" t="s">
        <v>92</v>
      </c>
      <c r="F4364">
        <v>2014</v>
      </c>
      <c r="G4364">
        <v>6</v>
      </c>
      <c r="H4364" s="1" t="s">
        <v>21</v>
      </c>
      <c r="I4364">
        <v>24</v>
      </c>
      <c r="J4364">
        <v>2208</v>
      </c>
      <c r="K4364" s="1" t="s">
        <v>93</v>
      </c>
      <c r="L4364" s="1" t="s">
        <v>45</v>
      </c>
      <c r="M4364">
        <v>1.758</v>
      </c>
      <c r="N4364">
        <v>42191.3</v>
      </c>
      <c r="O4364">
        <v>42.191000000000003</v>
      </c>
      <c r="P4364" s="2">
        <v>44013</v>
      </c>
      <c r="Q4364">
        <v>1</v>
      </c>
      <c r="R4364" s="1" t="s">
        <v>40</v>
      </c>
    </row>
    <row r="4365" spans="1:18" x14ac:dyDescent="0.25">
      <c r="A4365">
        <v>2020</v>
      </c>
      <c r="B4365">
        <v>8</v>
      </c>
      <c r="C4365" s="1" t="s">
        <v>31</v>
      </c>
      <c r="D4365" s="1" t="s">
        <v>19</v>
      </c>
      <c r="E4365" s="1" t="s">
        <v>92</v>
      </c>
      <c r="F4365">
        <v>2014</v>
      </c>
      <c r="G4365">
        <v>6</v>
      </c>
      <c r="H4365" s="1" t="s">
        <v>21</v>
      </c>
      <c r="I4365">
        <v>24</v>
      </c>
      <c r="J4365">
        <v>2208</v>
      </c>
      <c r="K4365" s="1" t="s">
        <v>93</v>
      </c>
      <c r="L4365" s="1" t="s">
        <v>45</v>
      </c>
      <c r="M4365">
        <v>1.68</v>
      </c>
      <c r="N4365">
        <v>40318.6</v>
      </c>
      <c r="O4365">
        <v>40.319000000000003</v>
      </c>
      <c r="P4365" s="2">
        <v>44044</v>
      </c>
      <c r="Q4365">
        <v>1</v>
      </c>
      <c r="R4365" s="1" t="s">
        <v>40</v>
      </c>
    </row>
    <row r="4366" spans="1:18" x14ac:dyDescent="0.25">
      <c r="A4366">
        <v>2020</v>
      </c>
      <c r="B4366">
        <v>9</v>
      </c>
      <c r="C4366" s="1" t="s">
        <v>32</v>
      </c>
      <c r="D4366" s="1" t="s">
        <v>19</v>
      </c>
      <c r="E4366" s="1" t="s">
        <v>92</v>
      </c>
      <c r="F4366">
        <v>2014</v>
      </c>
      <c r="G4366">
        <v>6</v>
      </c>
      <c r="H4366" s="1" t="s">
        <v>21</v>
      </c>
      <c r="I4366">
        <v>24</v>
      </c>
      <c r="J4366">
        <v>2208</v>
      </c>
      <c r="K4366" s="1" t="s">
        <v>93</v>
      </c>
      <c r="L4366" s="1" t="s">
        <v>45</v>
      </c>
      <c r="M4366">
        <v>1.7689999999999999</v>
      </c>
      <c r="N4366">
        <v>42448.3</v>
      </c>
      <c r="O4366">
        <v>42.448</v>
      </c>
      <c r="P4366" s="2">
        <v>44075</v>
      </c>
      <c r="Q4366">
        <v>1</v>
      </c>
      <c r="R4366" s="1" t="s">
        <v>40</v>
      </c>
    </row>
    <row r="4367" spans="1:18" x14ac:dyDescent="0.25">
      <c r="A4367">
        <v>2020</v>
      </c>
      <c r="B4367">
        <v>10</v>
      </c>
      <c r="C4367" s="1" t="s">
        <v>33</v>
      </c>
      <c r="D4367" s="1" t="s">
        <v>19</v>
      </c>
      <c r="E4367" s="1" t="s">
        <v>92</v>
      </c>
      <c r="F4367">
        <v>2014</v>
      </c>
      <c r="G4367">
        <v>6</v>
      </c>
      <c r="H4367" s="1" t="s">
        <v>21</v>
      </c>
      <c r="I4367">
        <v>24</v>
      </c>
      <c r="J4367">
        <v>2208</v>
      </c>
      <c r="K4367" s="1" t="s">
        <v>93</v>
      </c>
      <c r="L4367" s="1" t="s">
        <v>45</v>
      </c>
      <c r="M4367">
        <v>1.6379999999999999</v>
      </c>
      <c r="N4367">
        <v>39308.800000000003</v>
      </c>
      <c r="O4367">
        <v>39.308999999999997</v>
      </c>
      <c r="P4367" s="2">
        <v>44105</v>
      </c>
      <c r="Q4367">
        <v>1</v>
      </c>
      <c r="R4367" s="1" t="s">
        <v>40</v>
      </c>
    </row>
    <row r="4368" spans="1:18" x14ac:dyDescent="0.25">
      <c r="A4368">
        <v>2020</v>
      </c>
      <c r="B4368">
        <v>11</v>
      </c>
      <c r="C4368" s="1" t="s">
        <v>34</v>
      </c>
      <c r="D4368" s="1" t="s">
        <v>19</v>
      </c>
      <c r="E4368" s="1" t="s">
        <v>92</v>
      </c>
      <c r="F4368">
        <v>2014</v>
      </c>
      <c r="G4368">
        <v>6</v>
      </c>
      <c r="H4368" s="1" t="s">
        <v>21</v>
      </c>
      <c r="I4368">
        <v>24</v>
      </c>
      <c r="J4368">
        <v>2208</v>
      </c>
      <c r="K4368" s="1" t="s">
        <v>93</v>
      </c>
      <c r="L4368" s="1" t="s">
        <v>45</v>
      </c>
      <c r="M4368">
        <v>1.3939999999999999</v>
      </c>
      <c r="N4368">
        <v>33451.9</v>
      </c>
      <c r="O4368">
        <v>33.451999999999998</v>
      </c>
      <c r="P4368" s="2">
        <v>44136</v>
      </c>
      <c r="Q4368">
        <v>1</v>
      </c>
      <c r="R4368" s="1" t="s">
        <v>40</v>
      </c>
    </row>
    <row r="4369" spans="1:18" x14ac:dyDescent="0.25">
      <c r="A4369">
        <v>2020</v>
      </c>
      <c r="B4369">
        <v>12</v>
      </c>
      <c r="C4369" s="1" t="s">
        <v>35</v>
      </c>
      <c r="D4369" s="1" t="s">
        <v>19</v>
      </c>
      <c r="E4369" s="1" t="s">
        <v>92</v>
      </c>
      <c r="F4369">
        <v>2014</v>
      </c>
      <c r="G4369">
        <v>6</v>
      </c>
      <c r="H4369" s="1" t="s">
        <v>21</v>
      </c>
      <c r="I4369">
        <v>24</v>
      </c>
      <c r="J4369">
        <v>2208</v>
      </c>
      <c r="K4369" s="1" t="s">
        <v>93</v>
      </c>
      <c r="L4369" s="1" t="s">
        <v>45</v>
      </c>
      <c r="M4369">
        <v>1.25</v>
      </c>
      <c r="N4369">
        <v>30000.2</v>
      </c>
      <c r="O4369">
        <v>30</v>
      </c>
      <c r="P4369" s="2">
        <v>44166</v>
      </c>
      <c r="Q4369">
        <v>1</v>
      </c>
      <c r="R4369" s="1" t="s">
        <v>40</v>
      </c>
    </row>
    <row r="4370" spans="1:18" x14ac:dyDescent="0.25">
      <c r="A4370">
        <v>2020</v>
      </c>
      <c r="B4370">
        <v>1</v>
      </c>
      <c r="C4370" s="1" t="s">
        <v>18</v>
      </c>
      <c r="D4370" s="1" t="s">
        <v>19</v>
      </c>
      <c r="E4370" s="1" t="s">
        <v>94</v>
      </c>
      <c r="F4370">
        <v>2014</v>
      </c>
      <c r="G4370">
        <v>6</v>
      </c>
      <c r="H4370" s="1" t="s">
        <v>21</v>
      </c>
      <c r="I4370">
        <v>20</v>
      </c>
      <c r="J4370">
        <v>1954</v>
      </c>
      <c r="K4370" s="1" t="s">
        <v>95</v>
      </c>
      <c r="L4370" s="1" t="s">
        <v>45</v>
      </c>
      <c r="M4370">
        <v>0.71899999999999997</v>
      </c>
      <c r="N4370">
        <v>14382</v>
      </c>
      <c r="O4370">
        <v>14.382</v>
      </c>
      <c r="P4370" s="2">
        <v>43831</v>
      </c>
      <c r="Q4370">
        <v>1</v>
      </c>
      <c r="R4370" s="1" t="s">
        <v>40</v>
      </c>
    </row>
    <row r="4371" spans="1:18" x14ac:dyDescent="0.25">
      <c r="A4371">
        <v>2020</v>
      </c>
      <c r="B4371">
        <v>2</v>
      </c>
      <c r="C4371" s="1" t="s">
        <v>25</v>
      </c>
      <c r="D4371" s="1" t="s">
        <v>19</v>
      </c>
      <c r="E4371" s="1" t="s">
        <v>94</v>
      </c>
      <c r="F4371">
        <v>2014</v>
      </c>
      <c r="G4371">
        <v>6</v>
      </c>
      <c r="H4371" s="1" t="s">
        <v>21</v>
      </c>
      <c r="I4371">
        <v>20</v>
      </c>
      <c r="J4371">
        <v>1954</v>
      </c>
      <c r="K4371" s="1" t="s">
        <v>95</v>
      </c>
      <c r="L4371" s="1" t="s">
        <v>45</v>
      </c>
      <c r="M4371">
        <v>0.72799999999999998</v>
      </c>
      <c r="N4371">
        <v>14565.6</v>
      </c>
      <c r="O4371">
        <v>14.566000000000001</v>
      </c>
      <c r="P4371" s="2">
        <v>43862</v>
      </c>
      <c r="Q4371">
        <v>1</v>
      </c>
      <c r="R4371" s="1" t="s">
        <v>40</v>
      </c>
    </row>
    <row r="4372" spans="1:18" x14ac:dyDescent="0.25">
      <c r="A4372">
        <v>2020</v>
      </c>
      <c r="B4372">
        <v>3</v>
      </c>
      <c r="C4372" s="1" t="s">
        <v>26</v>
      </c>
      <c r="D4372" s="1" t="s">
        <v>19</v>
      </c>
      <c r="E4372" s="1" t="s">
        <v>94</v>
      </c>
      <c r="F4372">
        <v>2014</v>
      </c>
      <c r="G4372">
        <v>6</v>
      </c>
      <c r="H4372" s="1" t="s">
        <v>21</v>
      </c>
      <c r="I4372">
        <v>20</v>
      </c>
      <c r="J4372">
        <v>1954</v>
      </c>
      <c r="K4372" s="1" t="s">
        <v>95</v>
      </c>
      <c r="L4372" s="1" t="s">
        <v>45</v>
      </c>
      <c r="M4372">
        <v>0.84199999999999997</v>
      </c>
      <c r="N4372">
        <v>16830</v>
      </c>
      <c r="O4372">
        <v>16.829999999999998</v>
      </c>
      <c r="P4372" s="2">
        <v>43891</v>
      </c>
      <c r="Q4372">
        <v>1</v>
      </c>
      <c r="R4372" s="1" t="s">
        <v>40</v>
      </c>
    </row>
    <row r="4373" spans="1:18" x14ac:dyDescent="0.25">
      <c r="A4373">
        <v>2020</v>
      </c>
      <c r="B4373">
        <v>4</v>
      </c>
      <c r="C4373" s="1" t="s">
        <v>27</v>
      </c>
      <c r="D4373" s="1" t="s">
        <v>19</v>
      </c>
      <c r="E4373" s="1" t="s">
        <v>94</v>
      </c>
      <c r="F4373">
        <v>2014</v>
      </c>
      <c r="G4373">
        <v>6</v>
      </c>
      <c r="H4373" s="1" t="s">
        <v>21</v>
      </c>
      <c r="I4373">
        <v>20</v>
      </c>
      <c r="J4373">
        <v>1954</v>
      </c>
      <c r="K4373" s="1" t="s">
        <v>95</v>
      </c>
      <c r="L4373" s="1" t="s">
        <v>45</v>
      </c>
      <c r="M4373">
        <v>1.476</v>
      </c>
      <c r="N4373">
        <v>29513.7</v>
      </c>
      <c r="O4373">
        <v>29.513999999999999</v>
      </c>
      <c r="P4373" s="2">
        <v>43922</v>
      </c>
      <c r="Q4373">
        <v>1</v>
      </c>
      <c r="R4373" s="1" t="s">
        <v>40</v>
      </c>
    </row>
    <row r="4374" spans="1:18" x14ac:dyDescent="0.25">
      <c r="A4374">
        <v>2020</v>
      </c>
      <c r="B4374">
        <v>5</v>
      </c>
      <c r="C4374" s="1" t="s">
        <v>28</v>
      </c>
      <c r="D4374" s="1" t="s">
        <v>19</v>
      </c>
      <c r="E4374" s="1" t="s">
        <v>94</v>
      </c>
      <c r="F4374">
        <v>2014</v>
      </c>
      <c r="G4374">
        <v>6</v>
      </c>
      <c r="H4374" s="1" t="s">
        <v>21</v>
      </c>
      <c r="I4374">
        <v>20</v>
      </c>
      <c r="J4374">
        <v>1954</v>
      </c>
      <c r="K4374" s="1" t="s">
        <v>95</v>
      </c>
      <c r="L4374" s="1" t="s">
        <v>45</v>
      </c>
      <c r="M4374">
        <v>1.6519999999999999</v>
      </c>
      <c r="N4374">
        <v>33032.699999999997</v>
      </c>
      <c r="O4374">
        <v>33.033000000000001</v>
      </c>
      <c r="P4374" s="2">
        <v>43952</v>
      </c>
      <c r="Q4374">
        <v>1</v>
      </c>
      <c r="R4374" s="1" t="s">
        <v>40</v>
      </c>
    </row>
    <row r="4375" spans="1:18" x14ac:dyDescent="0.25">
      <c r="A4375">
        <v>2020</v>
      </c>
      <c r="B4375">
        <v>6</v>
      </c>
      <c r="C4375" s="1" t="s">
        <v>29</v>
      </c>
      <c r="D4375" s="1" t="s">
        <v>19</v>
      </c>
      <c r="E4375" s="1" t="s">
        <v>94</v>
      </c>
      <c r="F4375">
        <v>2014</v>
      </c>
      <c r="G4375">
        <v>6</v>
      </c>
      <c r="H4375" s="1" t="s">
        <v>21</v>
      </c>
      <c r="I4375">
        <v>20</v>
      </c>
      <c r="J4375">
        <v>1954</v>
      </c>
      <c r="K4375" s="1" t="s">
        <v>95</v>
      </c>
      <c r="L4375" s="1" t="s">
        <v>45</v>
      </c>
      <c r="M4375">
        <v>1.72</v>
      </c>
      <c r="N4375">
        <v>34409.699999999997</v>
      </c>
      <c r="O4375">
        <v>34.409999999999997</v>
      </c>
      <c r="P4375" s="2">
        <v>43983</v>
      </c>
      <c r="Q4375">
        <v>1</v>
      </c>
      <c r="R4375" s="1" t="s">
        <v>40</v>
      </c>
    </row>
    <row r="4376" spans="1:18" x14ac:dyDescent="0.25">
      <c r="A4376">
        <v>2020</v>
      </c>
      <c r="B4376">
        <v>7</v>
      </c>
      <c r="C4376" s="1" t="s">
        <v>30</v>
      </c>
      <c r="D4376" s="1" t="s">
        <v>19</v>
      </c>
      <c r="E4376" s="1" t="s">
        <v>94</v>
      </c>
      <c r="F4376">
        <v>2014</v>
      </c>
      <c r="G4376">
        <v>6</v>
      </c>
      <c r="H4376" s="1" t="s">
        <v>21</v>
      </c>
      <c r="I4376">
        <v>20</v>
      </c>
      <c r="J4376">
        <v>1954</v>
      </c>
      <c r="K4376" s="1" t="s">
        <v>95</v>
      </c>
      <c r="L4376" s="1" t="s">
        <v>45</v>
      </c>
      <c r="M4376">
        <v>1.758</v>
      </c>
      <c r="N4376">
        <v>35159.4</v>
      </c>
      <c r="O4376">
        <v>35.158999999999999</v>
      </c>
      <c r="P4376" s="2">
        <v>44013</v>
      </c>
      <c r="Q4376">
        <v>1</v>
      </c>
      <c r="R4376" s="1" t="s">
        <v>40</v>
      </c>
    </row>
    <row r="4377" spans="1:18" x14ac:dyDescent="0.25">
      <c r="A4377">
        <v>2020</v>
      </c>
      <c r="B4377">
        <v>8</v>
      </c>
      <c r="C4377" s="1" t="s">
        <v>31</v>
      </c>
      <c r="D4377" s="1" t="s">
        <v>19</v>
      </c>
      <c r="E4377" s="1" t="s">
        <v>94</v>
      </c>
      <c r="F4377">
        <v>2014</v>
      </c>
      <c r="G4377">
        <v>6</v>
      </c>
      <c r="H4377" s="1" t="s">
        <v>21</v>
      </c>
      <c r="I4377">
        <v>20</v>
      </c>
      <c r="J4377">
        <v>1954</v>
      </c>
      <c r="K4377" s="1" t="s">
        <v>95</v>
      </c>
      <c r="L4377" s="1" t="s">
        <v>45</v>
      </c>
      <c r="M4377">
        <v>1.68</v>
      </c>
      <c r="N4377">
        <v>33598.800000000003</v>
      </c>
      <c r="O4377">
        <v>33.598999999999997</v>
      </c>
      <c r="P4377" s="2">
        <v>44044</v>
      </c>
      <c r="Q4377">
        <v>1</v>
      </c>
      <c r="R4377" s="1" t="s">
        <v>40</v>
      </c>
    </row>
    <row r="4378" spans="1:18" x14ac:dyDescent="0.25">
      <c r="A4378">
        <v>2020</v>
      </c>
      <c r="B4378">
        <v>9</v>
      </c>
      <c r="C4378" s="1" t="s">
        <v>32</v>
      </c>
      <c r="D4378" s="1" t="s">
        <v>19</v>
      </c>
      <c r="E4378" s="1" t="s">
        <v>94</v>
      </c>
      <c r="F4378">
        <v>2014</v>
      </c>
      <c r="G4378">
        <v>6</v>
      </c>
      <c r="H4378" s="1" t="s">
        <v>21</v>
      </c>
      <c r="I4378">
        <v>20</v>
      </c>
      <c r="J4378">
        <v>1954</v>
      </c>
      <c r="K4378" s="1" t="s">
        <v>95</v>
      </c>
      <c r="L4378" s="1" t="s">
        <v>45</v>
      </c>
      <c r="M4378">
        <v>1.7689999999999999</v>
      </c>
      <c r="N4378">
        <v>35373.599999999999</v>
      </c>
      <c r="O4378">
        <v>35.374000000000002</v>
      </c>
      <c r="P4378" s="2">
        <v>44075</v>
      </c>
      <c r="Q4378">
        <v>1</v>
      </c>
      <c r="R4378" s="1" t="s">
        <v>40</v>
      </c>
    </row>
    <row r="4379" spans="1:18" x14ac:dyDescent="0.25">
      <c r="A4379">
        <v>2020</v>
      </c>
      <c r="B4379">
        <v>10</v>
      </c>
      <c r="C4379" s="1" t="s">
        <v>33</v>
      </c>
      <c r="D4379" s="1" t="s">
        <v>19</v>
      </c>
      <c r="E4379" s="1" t="s">
        <v>94</v>
      </c>
      <c r="F4379">
        <v>2014</v>
      </c>
      <c r="G4379">
        <v>6</v>
      </c>
      <c r="H4379" s="1" t="s">
        <v>21</v>
      </c>
      <c r="I4379">
        <v>20</v>
      </c>
      <c r="J4379">
        <v>1954</v>
      </c>
      <c r="K4379" s="1" t="s">
        <v>95</v>
      </c>
      <c r="L4379" s="1" t="s">
        <v>45</v>
      </c>
      <c r="M4379">
        <v>1.6379999999999999</v>
      </c>
      <c r="N4379">
        <v>32757.3</v>
      </c>
      <c r="O4379">
        <v>32.756999999999998</v>
      </c>
      <c r="P4379" s="2">
        <v>44105</v>
      </c>
      <c r="Q4379">
        <v>1</v>
      </c>
      <c r="R4379" s="1" t="s">
        <v>40</v>
      </c>
    </row>
    <row r="4380" spans="1:18" x14ac:dyDescent="0.25">
      <c r="A4380">
        <v>2020</v>
      </c>
      <c r="B4380">
        <v>11</v>
      </c>
      <c r="C4380" s="1" t="s">
        <v>34</v>
      </c>
      <c r="D4380" s="1" t="s">
        <v>19</v>
      </c>
      <c r="E4380" s="1" t="s">
        <v>94</v>
      </c>
      <c r="F4380">
        <v>2014</v>
      </c>
      <c r="G4380">
        <v>6</v>
      </c>
      <c r="H4380" s="1" t="s">
        <v>21</v>
      </c>
      <c r="I4380">
        <v>20</v>
      </c>
      <c r="J4380">
        <v>1954</v>
      </c>
      <c r="K4380" s="1" t="s">
        <v>95</v>
      </c>
      <c r="L4380" s="1" t="s">
        <v>45</v>
      </c>
      <c r="M4380">
        <v>1.3939999999999999</v>
      </c>
      <c r="N4380">
        <v>27876.6</v>
      </c>
      <c r="O4380">
        <v>27.876999999999999</v>
      </c>
      <c r="P4380" s="2">
        <v>44136</v>
      </c>
      <c r="Q4380">
        <v>1</v>
      </c>
      <c r="R4380" s="1" t="s">
        <v>40</v>
      </c>
    </row>
    <row r="4381" spans="1:18" x14ac:dyDescent="0.25">
      <c r="A4381">
        <v>2020</v>
      </c>
      <c r="B4381">
        <v>12</v>
      </c>
      <c r="C4381" s="1" t="s">
        <v>35</v>
      </c>
      <c r="D4381" s="1" t="s">
        <v>19</v>
      </c>
      <c r="E4381" s="1" t="s">
        <v>94</v>
      </c>
      <c r="F4381">
        <v>2014</v>
      </c>
      <c r="G4381">
        <v>6</v>
      </c>
      <c r="H4381" s="1" t="s">
        <v>21</v>
      </c>
      <c r="I4381">
        <v>20</v>
      </c>
      <c r="J4381">
        <v>1954</v>
      </c>
      <c r="K4381" s="1" t="s">
        <v>95</v>
      </c>
      <c r="L4381" s="1" t="s">
        <v>45</v>
      </c>
      <c r="M4381">
        <v>1.25</v>
      </c>
      <c r="N4381">
        <v>25000.2</v>
      </c>
      <c r="O4381">
        <v>25</v>
      </c>
      <c r="P4381" s="2">
        <v>44166</v>
      </c>
      <c r="Q4381">
        <v>1</v>
      </c>
      <c r="R4381" s="1" t="s">
        <v>40</v>
      </c>
    </row>
    <row r="4382" spans="1:18" x14ac:dyDescent="0.25">
      <c r="A4382">
        <v>2020</v>
      </c>
      <c r="B4382">
        <v>1</v>
      </c>
      <c r="C4382" s="1" t="s">
        <v>18</v>
      </c>
      <c r="D4382" s="1" t="s">
        <v>19</v>
      </c>
      <c r="E4382" s="1" t="s">
        <v>96</v>
      </c>
      <c r="F4382">
        <v>2014</v>
      </c>
      <c r="G4382">
        <v>6</v>
      </c>
      <c r="H4382" s="1" t="s">
        <v>21</v>
      </c>
      <c r="I4382">
        <v>24</v>
      </c>
      <c r="J4382">
        <v>1329</v>
      </c>
      <c r="K4382" s="1" t="s">
        <v>97</v>
      </c>
      <c r="L4382" s="1" t="s">
        <v>45</v>
      </c>
      <c r="M4382">
        <v>0.71899999999999997</v>
      </c>
      <c r="N4382">
        <v>17258.400000000001</v>
      </c>
      <c r="O4382">
        <v>17.257999999999999</v>
      </c>
      <c r="P4382" s="2">
        <v>43831</v>
      </c>
      <c r="Q4382">
        <v>1</v>
      </c>
      <c r="R4382" s="1" t="s">
        <v>40</v>
      </c>
    </row>
    <row r="4383" spans="1:18" x14ac:dyDescent="0.25">
      <c r="A4383">
        <v>2020</v>
      </c>
      <c r="B4383">
        <v>2</v>
      </c>
      <c r="C4383" s="1" t="s">
        <v>25</v>
      </c>
      <c r="D4383" s="1" t="s">
        <v>19</v>
      </c>
      <c r="E4383" s="1" t="s">
        <v>96</v>
      </c>
      <c r="F4383">
        <v>2014</v>
      </c>
      <c r="G4383">
        <v>6</v>
      </c>
      <c r="H4383" s="1" t="s">
        <v>21</v>
      </c>
      <c r="I4383">
        <v>24</v>
      </c>
      <c r="J4383">
        <v>1329</v>
      </c>
      <c r="K4383" s="1" t="s">
        <v>97</v>
      </c>
      <c r="L4383" s="1" t="s">
        <v>45</v>
      </c>
      <c r="M4383">
        <v>0.72799999999999998</v>
      </c>
      <c r="N4383">
        <v>17478.7</v>
      </c>
      <c r="O4383">
        <v>17.478999999999999</v>
      </c>
      <c r="P4383" s="2">
        <v>43862</v>
      </c>
      <c r="Q4383">
        <v>1</v>
      </c>
      <c r="R4383" s="1" t="s">
        <v>40</v>
      </c>
    </row>
    <row r="4384" spans="1:18" x14ac:dyDescent="0.25">
      <c r="A4384">
        <v>2020</v>
      </c>
      <c r="B4384">
        <v>3</v>
      </c>
      <c r="C4384" s="1" t="s">
        <v>26</v>
      </c>
      <c r="D4384" s="1" t="s">
        <v>19</v>
      </c>
      <c r="E4384" s="1" t="s">
        <v>96</v>
      </c>
      <c r="F4384">
        <v>2014</v>
      </c>
      <c r="G4384">
        <v>6</v>
      </c>
      <c r="H4384" s="1" t="s">
        <v>21</v>
      </c>
      <c r="I4384">
        <v>24</v>
      </c>
      <c r="J4384">
        <v>1329</v>
      </c>
      <c r="K4384" s="1" t="s">
        <v>97</v>
      </c>
      <c r="L4384" s="1" t="s">
        <v>45</v>
      </c>
      <c r="M4384">
        <v>0.84199999999999997</v>
      </c>
      <c r="N4384">
        <v>20196</v>
      </c>
      <c r="O4384">
        <v>20.196000000000002</v>
      </c>
      <c r="P4384" s="2">
        <v>43891</v>
      </c>
      <c r="Q4384">
        <v>1</v>
      </c>
      <c r="R4384" s="1" t="s">
        <v>40</v>
      </c>
    </row>
    <row r="4385" spans="1:18" x14ac:dyDescent="0.25">
      <c r="A4385">
        <v>2020</v>
      </c>
      <c r="B4385">
        <v>4</v>
      </c>
      <c r="C4385" s="1" t="s">
        <v>27</v>
      </c>
      <c r="D4385" s="1" t="s">
        <v>19</v>
      </c>
      <c r="E4385" s="1" t="s">
        <v>96</v>
      </c>
      <c r="F4385">
        <v>2014</v>
      </c>
      <c r="G4385">
        <v>6</v>
      </c>
      <c r="H4385" s="1" t="s">
        <v>21</v>
      </c>
      <c r="I4385">
        <v>24</v>
      </c>
      <c r="J4385">
        <v>1329</v>
      </c>
      <c r="K4385" s="1" t="s">
        <v>97</v>
      </c>
      <c r="L4385" s="1" t="s">
        <v>45</v>
      </c>
      <c r="M4385">
        <v>1.476</v>
      </c>
      <c r="N4385">
        <v>35416.400000000001</v>
      </c>
      <c r="O4385">
        <v>35.415999999999997</v>
      </c>
      <c r="P4385" s="2">
        <v>43922</v>
      </c>
      <c r="Q4385">
        <v>1</v>
      </c>
      <c r="R4385" s="1" t="s">
        <v>40</v>
      </c>
    </row>
    <row r="4386" spans="1:18" x14ac:dyDescent="0.25">
      <c r="A4386">
        <v>2020</v>
      </c>
      <c r="B4386">
        <v>5</v>
      </c>
      <c r="C4386" s="1" t="s">
        <v>28</v>
      </c>
      <c r="D4386" s="1" t="s">
        <v>19</v>
      </c>
      <c r="E4386" s="1" t="s">
        <v>96</v>
      </c>
      <c r="F4386">
        <v>2014</v>
      </c>
      <c r="G4386">
        <v>6</v>
      </c>
      <c r="H4386" s="1" t="s">
        <v>21</v>
      </c>
      <c r="I4386">
        <v>24</v>
      </c>
      <c r="J4386">
        <v>1329</v>
      </c>
      <c r="K4386" s="1" t="s">
        <v>97</v>
      </c>
      <c r="L4386" s="1" t="s">
        <v>45</v>
      </c>
      <c r="M4386">
        <v>1.6519999999999999</v>
      </c>
      <c r="N4386">
        <v>39639.199999999997</v>
      </c>
      <c r="O4386">
        <v>39.639000000000003</v>
      </c>
      <c r="P4386" s="2">
        <v>43952</v>
      </c>
      <c r="Q4386">
        <v>1</v>
      </c>
      <c r="R4386" s="1" t="s">
        <v>40</v>
      </c>
    </row>
    <row r="4387" spans="1:18" x14ac:dyDescent="0.25">
      <c r="A4387">
        <v>2020</v>
      </c>
      <c r="B4387">
        <v>6</v>
      </c>
      <c r="C4387" s="1" t="s">
        <v>29</v>
      </c>
      <c r="D4387" s="1" t="s">
        <v>19</v>
      </c>
      <c r="E4387" s="1" t="s">
        <v>96</v>
      </c>
      <c r="F4387">
        <v>2014</v>
      </c>
      <c r="G4387">
        <v>6</v>
      </c>
      <c r="H4387" s="1" t="s">
        <v>21</v>
      </c>
      <c r="I4387">
        <v>24</v>
      </c>
      <c r="J4387">
        <v>1329</v>
      </c>
      <c r="K4387" s="1" t="s">
        <v>97</v>
      </c>
      <c r="L4387" s="1" t="s">
        <v>45</v>
      </c>
      <c r="M4387">
        <v>1.72</v>
      </c>
      <c r="N4387">
        <v>41291.599999999999</v>
      </c>
      <c r="O4387">
        <v>41.292000000000002</v>
      </c>
      <c r="P4387" s="2">
        <v>43983</v>
      </c>
      <c r="Q4387">
        <v>1</v>
      </c>
      <c r="R4387" s="1" t="s">
        <v>40</v>
      </c>
    </row>
    <row r="4388" spans="1:18" x14ac:dyDescent="0.25">
      <c r="A4388">
        <v>2020</v>
      </c>
      <c r="B4388">
        <v>7</v>
      </c>
      <c r="C4388" s="1" t="s">
        <v>30</v>
      </c>
      <c r="D4388" s="1" t="s">
        <v>19</v>
      </c>
      <c r="E4388" s="1" t="s">
        <v>96</v>
      </c>
      <c r="F4388">
        <v>2014</v>
      </c>
      <c r="G4388">
        <v>6</v>
      </c>
      <c r="H4388" s="1" t="s">
        <v>21</v>
      </c>
      <c r="I4388">
        <v>24</v>
      </c>
      <c r="J4388">
        <v>1329</v>
      </c>
      <c r="K4388" s="1" t="s">
        <v>97</v>
      </c>
      <c r="L4388" s="1" t="s">
        <v>45</v>
      </c>
      <c r="M4388">
        <v>1.758</v>
      </c>
      <c r="N4388">
        <v>42191.3</v>
      </c>
      <c r="O4388">
        <v>42.191000000000003</v>
      </c>
      <c r="P4388" s="2">
        <v>44013</v>
      </c>
      <c r="Q4388">
        <v>1</v>
      </c>
      <c r="R4388" s="1" t="s">
        <v>40</v>
      </c>
    </row>
    <row r="4389" spans="1:18" x14ac:dyDescent="0.25">
      <c r="A4389">
        <v>2020</v>
      </c>
      <c r="B4389">
        <v>8</v>
      </c>
      <c r="C4389" s="1" t="s">
        <v>31</v>
      </c>
      <c r="D4389" s="1" t="s">
        <v>19</v>
      </c>
      <c r="E4389" s="1" t="s">
        <v>96</v>
      </c>
      <c r="F4389">
        <v>2014</v>
      </c>
      <c r="G4389">
        <v>6</v>
      </c>
      <c r="H4389" s="1" t="s">
        <v>21</v>
      </c>
      <c r="I4389">
        <v>24</v>
      </c>
      <c r="J4389">
        <v>1329</v>
      </c>
      <c r="K4389" s="1" t="s">
        <v>97</v>
      </c>
      <c r="L4389" s="1" t="s">
        <v>45</v>
      </c>
      <c r="M4389">
        <v>1.68</v>
      </c>
      <c r="N4389">
        <v>40318.6</v>
      </c>
      <c r="O4389">
        <v>40.319000000000003</v>
      </c>
      <c r="P4389" s="2">
        <v>44044</v>
      </c>
      <c r="Q4389">
        <v>1</v>
      </c>
      <c r="R4389" s="1" t="s">
        <v>40</v>
      </c>
    </row>
    <row r="4390" spans="1:18" x14ac:dyDescent="0.25">
      <c r="A4390">
        <v>2020</v>
      </c>
      <c r="B4390">
        <v>9</v>
      </c>
      <c r="C4390" s="1" t="s">
        <v>32</v>
      </c>
      <c r="D4390" s="1" t="s">
        <v>19</v>
      </c>
      <c r="E4390" s="1" t="s">
        <v>96</v>
      </c>
      <c r="F4390">
        <v>2014</v>
      </c>
      <c r="G4390">
        <v>6</v>
      </c>
      <c r="H4390" s="1" t="s">
        <v>21</v>
      </c>
      <c r="I4390">
        <v>24</v>
      </c>
      <c r="J4390">
        <v>1329</v>
      </c>
      <c r="K4390" s="1" t="s">
        <v>97</v>
      </c>
      <c r="L4390" s="1" t="s">
        <v>45</v>
      </c>
      <c r="M4390">
        <v>1.7689999999999999</v>
      </c>
      <c r="N4390">
        <v>42448.3</v>
      </c>
      <c r="O4390">
        <v>42.448</v>
      </c>
      <c r="P4390" s="2">
        <v>44075</v>
      </c>
      <c r="Q4390">
        <v>1</v>
      </c>
      <c r="R4390" s="1" t="s">
        <v>40</v>
      </c>
    </row>
    <row r="4391" spans="1:18" x14ac:dyDescent="0.25">
      <c r="A4391">
        <v>2020</v>
      </c>
      <c r="B4391">
        <v>10</v>
      </c>
      <c r="C4391" s="1" t="s">
        <v>33</v>
      </c>
      <c r="D4391" s="1" t="s">
        <v>19</v>
      </c>
      <c r="E4391" s="1" t="s">
        <v>96</v>
      </c>
      <c r="F4391">
        <v>2014</v>
      </c>
      <c r="G4391">
        <v>6</v>
      </c>
      <c r="H4391" s="1" t="s">
        <v>21</v>
      </c>
      <c r="I4391">
        <v>24</v>
      </c>
      <c r="J4391">
        <v>1329</v>
      </c>
      <c r="K4391" s="1" t="s">
        <v>97</v>
      </c>
      <c r="L4391" s="1" t="s">
        <v>45</v>
      </c>
      <c r="M4391">
        <v>1.6379999999999999</v>
      </c>
      <c r="N4391">
        <v>39308.800000000003</v>
      </c>
      <c r="O4391">
        <v>39.308999999999997</v>
      </c>
      <c r="P4391" s="2">
        <v>44105</v>
      </c>
      <c r="Q4391">
        <v>1</v>
      </c>
      <c r="R4391" s="1" t="s">
        <v>40</v>
      </c>
    </row>
    <row r="4392" spans="1:18" x14ac:dyDescent="0.25">
      <c r="A4392">
        <v>2020</v>
      </c>
      <c r="B4392">
        <v>11</v>
      </c>
      <c r="C4392" s="1" t="s">
        <v>34</v>
      </c>
      <c r="D4392" s="1" t="s">
        <v>19</v>
      </c>
      <c r="E4392" s="1" t="s">
        <v>96</v>
      </c>
      <c r="F4392">
        <v>2014</v>
      </c>
      <c r="G4392">
        <v>6</v>
      </c>
      <c r="H4392" s="1" t="s">
        <v>21</v>
      </c>
      <c r="I4392">
        <v>24</v>
      </c>
      <c r="J4392">
        <v>1329</v>
      </c>
      <c r="K4392" s="1" t="s">
        <v>97</v>
      </c>
      <c r="L4392" s="1" t="s">
        <v>45</v>
      </c>
      <c r="M4392">
        <v>1.3939999999999999</v>
      </c>
      <c r="N4392">
        <v>33451.9</v>
      </c>
      <c r="O4392">
        <v>33.451999999999998</v>
      </c>
      <c r="P4392" s="2">
        <v>44136</v>
      </c>
      <c r="Q4392">
        <v>1</v>
      </c>
      <c r="R4392" s="1" t="s">
        <v>40</v>
      </c>
    </row>
    <row r="4393" spans="1:18" x14ac:dyDescent="0.25">
      <c r="A4393">
        <v>2020</v>
      </c>
      <c r="B4393">
        <v>12</v>
      </c>
      <c r="C4393" s="1" t="s">
        <v>35</v>
      </c>
      <c r="D4393" s="1" t="s">
        <v>19</v>
      </c>
      <c r="E4393" s="1" t="s">
        <v>96</v>
      </c>
      <c r="F4393">
        <v>2014</v>
      </c>
      <c r="G4393">
        <v>6</v>
      </c>
      <c r="H4393" s="1" t="s">
        <v>21</v>
      </c>
      <c r="I4393">
        <v>24</v>
      </c>
      <c r="J4393">
        <v>1329</v>
      </c>
      <c r="K4393" s="1" t="s">
        <v>97</v>
      </c>
      <c r="L4393" s="1" t="s">
        <v>45</v>
      </c>
      <c r="M4393">
        <v>1.25</v>
      </c>
      <c r="N4393">
        <v>30000.2</v>
      </c>
      <c r="O4393">
        <v>30</v>
      </c>
      <c r="P4393" s="2">
        <v>44166</v>
      </c>
      <c r="Q4393">
        <v>1</v>
      </c>
      <c r="R4393" s="1" t="s">
        <v>40</v>
      </c>
    </row>
    <row r="4394" spans="1:18" x14ac:dyDescent="0.25">
      <c r="A4394">
        <v>2020</v>
      </c>
      <c r="B4394">
        <v>1</v>
      </c>
      <c r="C4394" s="1" t="s">
        <v>18</v>
      </c>
      <c r="D4394" s="1" t="s">
        <v>19</v>
      </c>
      <c r="E4394" s="1" t="s">
        <v>98</v>
      </c>
      <c r="F4394">
        <v>2014</v>
      </c>
      <c r="G4394">
        <v>6</v>
      </c>
      <c r="H4394" s="1" t="s">
        <v>21</v>
      </c>
      <c r="I4394">
        <v>24</v>
      </c>
      <c r="J4394">
        <v>1573</v>
      </c>
      <c r="K4394" s="1" t="s">
        <v>99</v>
      </c>
      <c r="L4394" s="1" t="s">
        <v>45</v>
      </c>
      <c r="M4394">
        <v>0.71899999999999997</v>
      </c>
      <c r="N4394">
        <v>17258.400000000001</v>
      </c>
      <c r="O4394">
        <v>17.257999999999999</v>
      </c>
      <c r="P4394" s="2">
        <v>43831</v>
      </c>
      <c r="Q4394">
        <v>1</v>
      </c>
      <c r="R4394" s="1" t="s">
        <v>40</v>
      </c>
    </row>
    <row r="4395" spans="1:18" x14ac:dyDescent="0.25">
      <c r="A4395">
        <v>2020</v>
      </c>
      <c r="B4395">
        <v>2</v>
      </c>
      <c r="C4395" s="1" t="s">
        <v>25</v>
      </c>
      <c r="D4395" s="1" t="s">
        <v>19</v>
      </c>
      <c r="E4395" s="1" t="s">
        <v>98</v>
      </c>
      <c r="F4395">
        <v>2014</v>
      </c>
      <c r="G4395">
        <v>6</v>
      </c>
      <c r="H4395" s="1" t="s">
        <v>21</v>
      </c>
      <c r="I4395">
        <v>24</v>
      </c>
      <c r="J4395">
        <v>1573</v>
      </c>
      <c r="K4395" s="1" t="s">
        <v>99</v>
      </c>
      <c r="L4395" s="1" t="s">
        <v>45</v>
      </c>
      <c r="M4395">
        <v>0.72799999999999998</v>
      </c>
      <c r="N4395">
        <v>17478.7</v>
      </c>
      <c r="O4395">
        <v>17.478999999999999</v>
      </c>
      <c r="P4395" s="2">
        <v>43862</v>
      </c>
      <c r="Q4395">
        <v>1</v>
      </c>
      <c r="R4395" s="1" t="s">
        <v>40</v>
      </c>
    </row>
    <row r="4396" spans="1:18" x14ac:dyDescent="0.25">
      <c r="A4396">
        <v>2020</v>
      </c>
      <c r="B4396">
        <v>3</v>
      </c>
      <c r="C4396" s="1" t="s">
        <v>26</v>
      </c>
      <c r="D4396" s="1" t="s">
        <v>19</v>
      </c>
      <c r="E4396" s="1" t="s">
        <v>98</v>
      </c>
      <c r="F4396">
        <v>2014</v>
      </c>
      <c r="G4396">
        <v>6</v>
      </c>
      <c r="H4396" s="1" t="s">
        <v>21</v>
      </c>
      <c r="I4396">
        <v>24</v>
      </c>
      <c r="J4396">
        <v>1573</v>
      </c>
      <c r="K4396" s="1" t="s">
        <v>99</v>
      </c>
      <c r="L4396" s="1" t="s">
        <v>45</v>
      </c>
      <c r="M4396">
        <v>0.84199999999999997</v>
      </c>
      <c r="N4396">
        <v>20196</v>
      </c>
      <c r="O4396">
        <v>20.196000000000002</v>
      </c>
      <c r="P4396" s="2">
        <v>43891</v>
      </c>
      <c r="Q4396">
        <v>1</v>
      </c>
      <c r="R4396" s="1" t="s">
        <v>40</v>
      </c>
    </row>
    <row r="4397" spans="1:18" x14ac:dyDescent="0.25">
      <c r="A4397">
        <v>2020</v>
      </c>
      <c r="B4397">
        <v>4</v>
      </c>
      <c r="C4397" s="1" t="s">
        <v>27</v>
      </c>
      <c r="D4397" s="1" t="s">
        <v>19</v>
      </c>
      <c r="E4397" s="1" t="s">
        <v>98</v>
      </c>
      <c r="F4397">
        <v>2014</v>
      </c>
      <c r="G4397">
        <v>6</v>
      </c>
      <c r="H4397" s="1" t="s">
        <v>21</v>
      </c>
      <c r="I4397">
        <v>24</v>
      </c>
      <c r="J4397">
        <v>1573</v>
      </c>
      <c r="K4397" s="1" t="s">
        <v>99</v>
      </c>
      <c r="L4397" s="1" t="s">
        <v>45</v>
      </c>
      <c r="M4397">
        <v>1.476</v>
      </c>
      <c r="N4397">
        <v>35416.400000000001</v>
      </c>
      <c r="O4397">
        <v>35.415999999999997</v>
      </c>
      <c r="P4397" s="2">
        <v>43922</v>
      </c>
      <c r="Q4397">
        <v>1</v>
      </c>
      <c r="R4397" s="1" t="s">
        <v>40</v>
      </c>
    </row>
    <row r="4398" spans="1:18" x14ac:dyDescent="0.25">
      <c r="A4398">
        <v>2020</v>
      </c>
      <c r="B4398">
        <v>5</v>
      </c>
      <c r="C4398" s="1" t="s">
        <v>28</v>
      </c>
      <c r="D4398" s="1" t="s">
        <v>19</v>
      </c>
      <c r="E4398" s="1" t="s">
        <v>98</v>
      </c>
      <c r="F4398">
        <v>2014</v>
      </c>
      <c r="G4398">
        <v>6</v>
      </c>
      <c r="H4398" s="1" t="s">
        <v>21</v>
      </c>
      <c r="I4398">
        <v>24</v>
      </c>
      <c r="J4398">
        <v>1573</v>
      </c>
      <c r="K4398" s="1" t="s">
        <v>99</v>
      </c>
      <c r="L4398" s="1" t="s">
        <v>45</v>
      </c>
      <c r="M4398">
        <v>1.6519999999999999</v>
      </c>
      <c r="N4398">
        <v>39639.199999999997</v>
      </c>
      <c r="O4398">
        <v>39.639000000000003</v>
      </c>
      <c r="P4398" s="2">
        <v>43952</v>
      </c>
      <c r="Q4398">
        <v>1</v>
      </c>
      <c r="R4398" s="1" t="s">
        <v>40</v>
      </c>
    </row>
    <row r="4399" spans="1:18" x14ac:dyDescent="0.25">
      <c r="A4399">
        <v>2020</v>
      </c>
      <c r="B4399">
        <v>6</v>
      </c>
      <c r="C4399" s="1" t="s">
        <v>29</v>
      </c>
      <c r="D4399" s="1" t="s">
        <v>19</v>
      </c>
      <c r="E4399" s="1" t="s">
        <v>98</v>
      </c>
      <c r="F4399">
        <v>2014</v>
      </c>
      <c r="G4399">
        <v>6</v>
      </c>
      <c r="H4399" s="1" t="s">
        <v>21</v>
      </c>
      <c r="I4399">
        <v>24</v>
      </c>
      <c r="J4399">
        <v>1573</v>
      </c>
      <c r="K4399" s="1" t="s">
        <v>99</v>
      </c>
      <c r="L4399" s="1" t="s">
        <v>45</v>
      </c>
      <c r="M4399">
        <v>1.72</v>
      </c>
      <c r="N4399">
        <v>41291.599999999999</v>
      </c>
      <c r="O4399">
        <v>41.292000000000002</v>
      </c>
      <c r="P4399" s="2">
        <v>43983</v>
      </c>
      <c r="Q4399">
        <v>1</v>
      </c>
      <c r="R4399" s="1" t="s">
        <v>40</v>
      </c>
    </row>
    <row r="4400" spans="1:18" x14ac:dyDescent="0.25">
      <c r="A4400">
        <v>2020</v>
      </c>
      <c r="B4400">
        <v>7</v>
      </c>
      <c r="C4400" s="1" t="s">
        <v>30</v>
      </c>
      <c r="D4400" s="1" t="s">
        <v>19</v>
      </c>
      <c r="E4400" s="1" t="s">
        <v>98</v>
      </c>
      <c r="F4400">
        <v>2014</v>
      </c>
      <c r="G4400">
        <v>6</v>
      </c>
      <c r="H4400" s="1" t="s">
        <v>21</v>
      </c>
      <c r="I4400">
        <v>24</v>
      </c>
      <c r="J4400">
        <v>1573</v>
      </c>
      <c r="K4400" s="1" t="s">
        <v>99</v>
      </c>
      <c r="L4400" s="1" t="s">
        <v>45</v>
      </c>
      <c r="M4400">
        <v>1.758</v>
      </c>
      <c r="N4400">
        <v>42191.3</v>
      </c>
      <c r="O4400">
        <v>42.191000000000003</v>
      </c>
      <c r="P4400" s="2">
        <v>44013</v>
      </c>
      <c r="Q4400">
        <v>1</v>
      </c>
      <c r="R4400" s="1" t="s">
        <v>40</v>
      </c>
    </row>
    <row r="4401" spans="1:18" x14ac:dyDescent="0.25">
      <c r="A4401">
        <v>2020</v>
      </c>
      <c r="B4401">
        <v>8</v>
      </c>
      <c r="C4401" s="1" t="s">
        <v>31</v>
      </c>
      <c r="D4401" s="1" t="s">
        <v>19</v>
      </c>
      <c r="E4401" s="1" t="s">
        <v>98</v>
      </c>
      <c r="F4401">
        <v>2014</v>
      </c>
      <c r="G4401">
        <v>6</v>
      </c>
      <c r="H4401" s="1" t="s">
        <v>21</v>
      </c>
      <c r="I4401">
        <v>24</v>
      </c>
      <c r="J4401">
        <v>1573</v>
      </c>
      <c r="K4401" s="1" t="s">
        <v>99</v>
      </c>
      <c r="L4401" s="1" t="s">
        <v>45</v>
      </c>
      <c r="M4401">
        <v>1.68</v>
      </c>
      <c r="N4401">
        <v>40318.6</v>
      </c>
      <c r="O4401">
        <v>40.319000000000003</v>
      </c>
      <c r="P4401" s="2">
        <v>44044</v>
      </c>
      <c r="Q4401">
        <v>1</v>
      </c>
      <c r="R4401" s="1" t="s">
        <v>40</v>
      </c>
    </row>
    <row r="4402" spans="1:18" x14ac:dyDescent="0.25">
      <c r="A4402">
        <v>2020</v>
      </c>
      <c r="B4402">
        <v>9</v>
      </c>
      <c r="C4402" s="1" t="s">
        <v>32</v>
      </c>
      <c r="D4402" s="1" t="s">
        <v>19</v>
      </c>
      <c r="E4402" s="1" t="s">
        <v>98</v>
      </c>
      <c r="F4402">
        <v>2014</v>
      </c>
      <c r="G4402">
        <v>6</v>
      </c>
      <c r="H4402" s="1" t="s">
        <v>21</v>
      </c>
      <c r="I4402">
        <v>24</v>
      </c>
      <c r="J4402">
        <v>1573</v>
      </c>
      <c r="K4402" s="1" t="s">
        <v>99</v>
      </c>
      <c r="L4402" s="1" t="s">
        <v>45</v>
      </c>
      <c r="M4402">
        <v>1.7689999999999999</v>
      </c>
      <c r="N4402">
        <v>42448.3</v>
      </c>
      <c r="O4402">
        <v>42.448</v>
      </c>
      <c r="P4402" s="2">
        <v>44075</v>
      </c>
      <c r="Q4402">
        <v>1</v>
      </c>
      <c r="R4402" s="1" t="s">
        <v>40</v>
      </c>
    </row>
    <row r="4403" spans="1:18" x14ac:dyDescent="0.25">
      <c r="A4403">
        <v>2020</v>
      </c>
      <c r="B4403">
        <v>10</v>
      </c>
      <c r="C4403" s="1" t="s">
        <v>33</v>
      </c>
      <c r="D4403" s="1" t="s">
        <v>19</v>
      </c>
      <c r="E4403" s="1" t="s">
        <v>98</v>
      </c>
      <c r="F4403">
        <v>2014</v>
      </c>
      <c r="G4403">
        <v>6</v>
      </c>
      <c r="H4403" s="1" t="s">
        <v>21</v>
      </c>
      <c r="I4403">
        <v>24</v>
      </c>
      <c r="J4403">
        <v>1573</v>
      </c>
      <c r="K4403" s="1" t="s">
        <v>99</v>
      </c>
      <c r="L4403" s="1" t="s">
        <v>45</v>
      </c>
      <c r="M4403">
        <v>1.6379999999999999</v>
      </c>
      <c r="N4403">
        <v>39308.800000000003</v>
      </c>
      <c r="O4403">
        <v>39.308999999999997</v>
      </c>
      <c r="P4403" s="2">
        <v>44105</v>
      </c>
      <c r="Q4403">
        <v>1</v>
      </c>
      <c r="R4403" s="1" t="s">
        <v>40</v>
      </c>
    </row>
    <row r="4404" spans="1:18" x14ac:dyDescent="0.25">
      <c r="A4404">
        <v>2020</v>
      </c>
      <c r="B4404">
        <v>11</v>
      </c>
      <c r="C4404" s="1" t="s">
        <v>34</v>
      </c>
      <c r="D4404" s="1" t="s">
        <v>19</v>
      </c>
      <c r="E4404" s="1" t="s">
        <v>98</v>
      </c>
      <c r="F4404">
        <v>2014</v>
      </c>
      <c r="G4404">
        <v>6</v>
      </c>
      <c r="H4404" s="1" t="s">
        <v>21</v>
      </c>
      <c r="I4404">
        <v>24</v>
      </c>
      <c r="J4404">
        <v>1573</v>
      </c>
      <c r="K4404" s="1" t="s">
        <v>99</v>
      </c>
      <c r="L4404" s="1" t="s">
        <v>45</v>
      </c>
      <c r="M4404">
        <v>1.3939999999999999</v>
      </c>
      <c r="N4404">
        <v>33451.9</v>
      </c>
      <c r="O4404">
        <v>33.451999999999998</v>
      </c>
      <c r="P4404" s="2">
        <v>44136</v>
      </c>
      <c r="Q4404">
        <v>1</v>
      </c>
      <c r="R4404" s="1" t="s">
        <v>40</v>
      </c>
    </row>
    <row r="4405" spans="1:18" x14ac:dyDescent="0.25">
      <c r="A4405">
        <v>2020</v>
      </c>
      <c r="B4405">
        <v>12</v>
      </c>
      <c r="C4405" s="1" t="s">
        <v>35</v>
      </c>
      <c r="D4405" s="1" t="s">
        <v>19</v>
      </c>
      <c r="E4405" s="1" t="s">
        <v>98</v>
      </c>
      <c r="F4405">
        <v>2014</v>
      </c>
      <c r="G4405">
        <v>6</v>
      </c>
      <c r="H4405" s="1" t="s">
        <v>21</v>
      </c>
      <c r="I4405">
        <v>24</v>
      </c>
      <c r="J4405">
        <v>1573</v>
      </c>
      <c r="K4405" s="1" t="s">
        <v>99</v>
      </c>
      <c r="L4405" s="1" t="s">
        <v>45</v>
      </c>
      <c r="M4405">
        <v>1.25</v>
      </c>
      <c r="N4405">
        <v>30000.2</v>
      </c>
      <c r="O4405">
        <v>30</v>
      </c>
      <c r="P4405" s="2">
        <v>44166</v>
      </c>
      <c r="Q4405">
        <v>1</v>
      </c>
      <c r="R4405" s="1" t="s">
        <v>40</v>
      </c>
    </row>
    <row r="4406" spans="1:18" x14ac:dyDescent="0.25">
      <c r="A4406">
        <v>2020</v>
      </c>
      <c r="B4406">
        <v>1</v>
      </c>
      <c r="C4406" s="1" t="s">
        <v>18</v>
      </c>
      <c r="D4406" s="1" t="s">
        <v>19</v>
      </c>
      <c r="E4406" s="1" t="s">
        <v>100</v>
      </c>
      <c r="F4406">
        <v>2016</v>
      </c>
      <c r="G4406">
        <v>4</v>
      </c>
      <c r="H4406" s="1" t="s">
        <v>123</v>
      </c>
      <c r="I4406">
        <v>22</v>
      </c>
      <c r="J4406">
        <v>3137</v>
      </c>
      <c r="K4406" s="1" t="s">
        <v>101</v>
      </c>
      <c r="L4406" s="1" t="s">
        <v>23</v>
      </c>
      <c r="M4406">
        <v>0.63900000000000001</v>
      </c>
      <c r="N4406">
        <v>14062.4</v>
      </c>
      <c r="O4406">
        <v>14.061999999999999</v>
      </c>
      <c r="P4406" s="2">
        <v>43831</v>
      </c>
      <c r="Q4406">
        <v>1</v>
      </c>
      <c r="R4406" s="1" t="s">
        <v>122</v>
      </c>
    </row>
    <row r="4407" spans="1:18" x14ac:dyDescent="0.25">
      <c r="A4407">
        <v>2020</v>
      </c>
      <c r="B4407">
        <v>2</v>
      </c>
      <c r="C4407" s="1" t="s">
        <v>25</v>
      </c>
      <c r="D4407" s="1" t="s">
        <v>19</v>
      </c>
      <c r="E4407" s="1" t="s">
        <v>100</v>
      </c>
      <c r="F4407">
        <v>2016</v>
      </c>
      <c r="G4407">
        <v>4</v>
      </c>
      <c r="H4407" s="1" t="s">
        <v>123</v>
      </c>
      <c r="I4407">
        <v>22</v>
      </c>
      <c r="J4407">
        <v>3137</v>
      </c>
      <c r="K4407" s="1" t="s">
        <v>101</v>
      </c>
      <c r="L4407" s="1" t="s">
        <v>23</v>
      </c>
      <c r="M4407">
        <v>0.64700000000000002</v>
      </c>
      <c r="N4407">
        <v>14241.9</v>
      </c>
      <c r="O4407">
        <v>14.242000000000001</v>
      </c>
      <c r="P4407" s="2">
        <v>43862</v>
      </c>
      <c r="Q4407">
        <v>1</v>
      </c>
      <c r="R4407" s="1" t="s">
        <v>122</v>
      </c>
    </row>
    <row r="4408" spans="1:18" x14ac:dyDescent="0.25">
      <c r="A4408">
        <v>2020</v>
      </c>
      <c r="B4408">
        <v>3</v>
      </c>
      <c r="C4408" s="1" t="s">
        <v>26</v>
      </c>
      <c r="D4408" s="1" t="s">
        <v>19</v>
      </c>
      <c r="E4408" s="1" t="s">
        <v>100</v>
      </c>
      <c r="F4408">
        <v>2016</v>
      </c>
      <c r="G4408">
        <v>4</v>
      </c>
      <c r="H4408" s="1" t="s">
        <v>123</v>
      </c>
      <c r="I4408">
        <v>22</v>
      </c>
      <c r="J4408">
        <v>3137</v>
      </c>
      <c r="K4408" s="1" t="s">
        <v>101</v>
      </c>
      <c r="L4408" s="1" t="s">
        <v>23</v>
      </c>
      <c r="M4408">
        <v>0.748</v>
      </c>
      <c r="N4408">
        <v>16456</v>
      </c>
      <c r="O4408">
        <v>16.456</v>
      </c>
      <c r="P4408" s="2">
        <v>43891</v>
      </c>
      <c r="Q4408">
        <v>1</v>
      </c>
      <c r="R4408" s="1" t="s">
        <v>122</v>
      </c>
    </row>
    <row r="4409" spans="1:18" x14ac:dyDescent="0.25">
      <c r="A4409">
        <v>2020</v>
      </c>
      <c r="B4409">
        <v>4</v>
      </c>
      <c r="C4409" s="1" t="s">
        <v>27</v>
      </c>
      <c r="D4409" s="1" t="s">
        <v>19</v>
      </c>
      <c r="E4409" s="1" t="s">
        <v>100</v>
      </c>
      <c r="F4409">
        <v>2016</v>
      </c>
      <c r="G4409">
        <v>4</v>
      </c>
      <c r="H4409" s="1" t="s">
        <v>123</v>
      </c>
      <c r="I4409">
        <v>22</v>
      </c>
      <c r="J4409">
        <v>3137</v>
      </c>
      <c r="K4409" s="1" t="s">
        <v>101</v>
      </c>
      <c r="L4409" s="1" t="s">
        <v>23</v>
      </c>
      <c r="M4409">
        <v>1.3120000000000001</v>
      </c>
      <c r="N4409">
        <v>28857.8</v>
      </c>
      <c r="O4409">
        <v>28.858000000000001</v>
      </c>
      <c r="P4409" s="2">
        <v>43922</v>
      </c>
      <c r="Q4409">
        <v>1</v>
      </c>
      <c r="R4409" s="1" t="s">
        <v>122</v>
      </c>
    </row>
    <row r="4410" spans="1:18" x14ac:dyDescent="0.25">
      <c r="A4410">
        <v>2020</v>
      </c>
      <c r="B4410">
        <v>5</v>
      </c>
      <c r="C4410" s="1" t="s">
        <v>28</v>
      </c>
      <c r="D4410" s="1" t="s">
        <v>19</v>
      </c>
      <c r="E4410" s="1" t="s">
        <v>100</v>
      </c>
      <c r="F4410">
        <v>2016</v>
      </c>
      <c r="G4410">
        <v>4</v>
      </c>
      <c r="H4410" s="1" t="s">
        <v>123</v>
      </c>
      <c r="I4410">
        <v>22</v>
      </c>
      <c r="J4410">
        <v>3137</v>
      </c>
      <c r="K4410" s="1" t="s">
        <v>101</v>
      </c>
      <c r="L4410" s="1" t="s">
        <v>23</v>
      </c>
      <c r="M4410">
        <v>1.468</v>
      </c>
      <c r="N4410">
        <v>32298.6</v>
      </c>
      <c r="O4410">
        <v>32.298999999999999</v>
      </c>
      <c r="P4410" s="2">
        <v>43952</v>
      </c>
      <c r="Q4410">
        <v>1</v>
      </c>
      <c r="R4410" s="1" t="s">
        <v>122</v>
      </c>
    </row>
    <row r="4411" spans="1:18" x14ac:dyDescent="0.25">
      <c r="A4411">
        <v>2020</v>
      </c>
      <c r="B4411">
        <v>6</v>
      </c>
      <c r="C4411" s="1" t="s">
        <v>29</v>
      </c>
      <c r="D4411" s="1" t="s">
        <v>19</v>
      </c>
      <c r="E4411" s="1" t="s">
        <v>100</v>
      </c>
      <c r="F4411">
        <v>2016</v>
      </c>
      <c r="G4411">
        <v>4</v>
      </c>
      <c r="H4411" s="1" t="s">
        <v>123</v>
      </c>
      <c r="I4411">
        <v>22</v>
      </c>
      <c r="J4411">
        <v>3137</v>
      </c>
      <c r="K4411" s="1" t="s">
        <v>101</v>
      </c>
      <c r="L4411" s="1" t="s">
        <v>23</v>
      </c>
      <c r="M4411">
        <v>1.5289999999999999</v>
      </c>
      <c r="N4411">
        <v>33645</v>
      </c>
      <c r="O4411">
        <v>33.645000000000003</v>
      </c>
      <c r="P4411" s="2">
        <v>43983</v>
      </c>
      <c r="Q4411">
        <v>1</v>
      </c>
      <c r="R4411" s="1" t="s">
        <v>122</v>
      </c>
    </row>
    <row r="4412" spans="1:18" x14ac:dyDescent="0.25">
      <c r="A4412">
        <v>2020</v>
      </c>
      <c r="B4412">
        <v>7</v>
      </c>
      <c r="C4412" s="1" t="s">
        <v>30</v>
      </c>
      <c r="D4412" s="1" t="s">
        <v>19</v>
      </c>
      <c r="E4412" s="1" t="s">
        <v>100</v>
      </c>
      <c r="F4412">
        <v>2016</v>
      </c>
      <c r="G4412">
        <v>4</v>
      </c>
      <c r="H4412" s="1" t="s">
        <v>123</v>
      </c>
      <c r="I4412">
        <v>22</v>
      </c>
      <c r="J4412">
        <v>3137</v>
      </c>
      <c r="K4412" s="1" t="s">
        <v>101</v>
      </c>
      <c r="L4412" s="1" t="s">
        <v>23</v>
      </c>
      <c r="M4412">
        <v>1.5629999999999999</v>
      </c>
      <c r="N4412">
        <v>34378.1</v>
      </c>
      <c r="O4412">
        <v>34.378</v>
      </c>
      <c r="P4412" s="2">
        <v>44013</v>
      </c>
      <c r="Q4412">
        <v>1</v>
      </c>
      <c r="R4412" s="1" t="s">
        <v>122</v>
      </c>
    </row>
    <row r="4413" spans="1:18" x14ac:dyDescent="0.25">
      <c r="A4413">
        <v>2020</v>
      </c>
      <c r="B4413">
        <v>8</v>
      </c>
      <c r="C4413" s="1" t="s">
        <v>31</v>
      </c>
      <c r="D4413" s="1" t="s">
        <v>19</v>
      </c>
      <c r="E4413" s="1" t="s">
        <v>100</v>
      </c>
      <c r="F4413">
        <v>2016</v>
      </c>
      <c r="G4413">
        <v>4</v>
      </c>
      <c r="H4413" s="1" t="s">
        <v>123</v>
      </c>
      <c r="I4413">
        <v>22</v>
      </c>
      <c r="J4413">
        <v>3137</v>
      </c>
      <c r="K4413" s="1" t="s">
        <v>101</v>
      </c>
      <c r="L4413" s="1" t="s">
        <v>23</v>
      </c>
      <c r="M4413">
        <v>1.4930000000000001</v>
      </c>
      <c r="N4413">
        <v>32852.199999999997</v>
      </c>
      <c r="O4413">
        <v>32.851999999999997</v>
      </c>
      <c r="P4413" s="2">
        <v>44044</v>
      </c>
      <c r="Q4413">
        <v>1</v>
      </c>
      <c r="R4413" s="1" t="s">
        <v>122</v>
      </c>
    </row>
    <row r="4414" spans="1:18" x14ac:dyDescent="0.25">
      <c r="A4414">
        <v>2020</v>
      </c>
      <c r="B4414">
        <v>9</v>
      </c>
      <c r="C4414" s="1" t="s">
        <v>32</v>
      </c>
      <c r="D4414" s="1" t="s">
        <v>19</v>
      </c>
      <c r="E4414" s="1" t="s">
        <v>100</v>
      </c>
      <c r="F4414">
        <v>2016</v>
      </c>
      <c r="G4414">
        <v>4</v>
      </c>
      <c r="H4414" s="1" t="s">
        <v>123</v>
      </c>
      <c r="I4414">
        <v>22</v>
      </c>
      <c r="J4414">
        <v>3137</v>
      </c>
      <c r="K4414" s="1" t="s">
        <v>101</v>
      </c>
      <c r="L4414" s="1" t="s">
        <v>23</v>
      </c>
      <c r="M4414">
        <v>1.5720000000000001</v>
      </c>
      <c r="N4414">
        <v>34587.5</v>
      </c>
      <c r="O4414">
        <v>34.588000000000001</v>
      </c>
      <c r="P4414" s="2">
        <v>44075</v>
      </c>
      <c r="Q4414">
        <v>1</v>
      </c>
      <c r="R4414" s="1" t="s">
        <v>122</v>
      </c>
    </row>
    <row r="4415" spans="1:18" x14ac:dyDescent="0.25">
      <c r="A4415">
        <v>2020</v>
      </c>
      <c r="B4415">
        <v>10</v>
      </c>
      <c r="C4415" s="1" t="s">
        <v>33</v>
      </c>
      <c r="D4415" s="1" t="s">
        <v>19</v>
      </c>
      <c r="E4415" s="1" t="s">
        <v>100</v>
      </c>
      <c r="F4415">
        <v>2016</v>
      </c>
      <c r="G4415">
        <v>4</v>
      </c>
      <c r="H4415" s="1" t="s">
        <v>123</v>
      </c>
      <c r="I4415">
        <v>22</v>
      </c>
      <c r="J4415">
        <v>3137</v>
      </c>
      <c r="K4415" s="1" t="s">
        <v>101</v>
      </c>
      <c r="L4415" s="1" t="s">
        <v>23</v>
      </c>
      <c r="M4415">
        <v>1.456</v>
      </c>
      <c r="N4415">
        <v>32029.4</v>
      </c>
      <c r="O4415">
        <v>32.029000000000003</v>
      </c>
      <c r="P4415" s="2">
        <v>44105</v>
      </c>
      <c r="Q4415">
        <v>1</v>
      </c>
      <c r="R4415" s="1" t="s">
        <v>122</v>
      </c>
    </row>
    <row r="4416" spans="1:18" x14ac:dyDescent="0.25">
      <c r="A4416">
        <v>2020</v>
      </c>
      <c r="B4416">
        <v>11</v>
      </c>
      <c r="C4416" s="1" t="s">
        <v>34</v>
      </c>
      <c r="D4416" s="1" t="s">
        <v>19</v>
      </c>
      <c r="E4416" s="1" t="s">
        <v>100</v>
      </c>
      <c r="F4416">
        <v>2016</v>
      </c>
      <c r="G4416">
        <v>4</v>
      </c>
      <c r="H4416" s="1" t="s">
        <v>123</v>
      </c>
      <c r="I4416">
        <v>22</v>
      </c>
      <c r="J4416">
        <v>3137</v>
      </c>
      <c r="K4416" s="1" t="s">
        <v>101</v>
      </c>
      <c r="L4416" s="1" t="s">
        <v>23</v>
      </c>
      <c r="M4416">
        <v>1.2390000000000001</v>
      </c>
      <c r="N4416">
        <v>27257.1</v>
      </c>
      <c r="O4416">
        <v>27.257000000000001</v>
      </c>
      <c r="P4416" s="2">
        <v>44136</v>
      </c>
      <c r="Q4416">
        <v>1</v>
      </c>
      <c r="R4416" s="1" t="s">
        <v>122</v>
      </c>
    </row>
    <row r="4417" spans="1:18" x14ac:dyDescent="0.25">
      <c r="A4417">
        <v>2020</v>
      </c>
      <c r="B4417">
        <v>12</v>
      </c>
      <c r="C4417" s="1" t="s">
        <v>35</v>
      </c>
      <c r="D4417" s="1" t="s">
        <v>19</v>
      </c>
      <c r="E4417" s="1" t="s">
        <v>100</v>
      </c>
      <c r="F4417">
        <v>2016</v>
      </c>
      <c r="G4417">
        <v>4</v>
      </c>
      <c r="H4417" s="1" t="s">
        <v>123</v>
      </c>
      <c r="I4417">
        <v>22</v>
      </c>
      <c r="J4417">
        <v>3137</v>
      </c>
      <c r="K4417" s="1" t="s">
        <v>101</v>
      </c>
      <c r="L4417" s="1" t="s">
        <v>23</v>
      </c>
      <c r="M4417">
        <v>1.111</v>
      </c>
      <c r="N4417">
        <v>24444.6</v>
      </c>
      <c r="O4417">
        <v>24.445</v>
      </c>
      <c r="P4417" s="2">
        <v>44166</v>
      </c>
      <c r="Q4417">
        <v>1</v>
      </c>
      <c r="R4417" s="1" t="s">
        <v>122</v>
      </c>
    </row>
    <row r="4418" spans="1:18" x14ac:dyDescent="0.25">
      <c r="A4418">
        <v>2020</v>
      </c>
      <c r="B4418">
        <v>1</v>
      </c>
      <c r="C4418" s="1" t="s">
        <v>18</v>
      </c>
      <c r="D4418" s="1" t="s">
        <v>19</v>
      </c>
      <c r="E4418" s="1" t="s">
        <v>102</v>
      </c>
      <c r="F4418">
        <v>2016</v>
      </c>
      <c r="G4418">
        <v>4</v>
      </c>
      <c r="H4418" s="1" t="s">
        <v>123</v>
      </c>
      <c r="I4418">
        <v>22</v>
      </c>
      <c r="J4418">
        <v>3096</v>
      </c>
      <c r="K4418" s="1" t="s">
        <v>103</v>
      </c>
      <c r="L4418" s="1" t="s">
        <v>23</v>
      </c>
      <c r="M4418">
        <v>0.63900000000000001</v>
      </c>
      <c r="N4418">
        <v>14062.4</v>
      </c>
      <c r="O4418">
        <v>14.061999999999999</v>
      </c>
      <c r="P4418" s="2">
        <v>43831</v>
      </c>
      <c r="Q4418">
        <v>1</v>
      </c>
      <c r="R4418" s="1" t="s">
        <v>122</v>
      </c>
    </row>
    <row r="4419" spans="1:18" x14ac:dyDescent="0.25">
      <c r="A4419">
        <v>2020</v>
      </c>
      <c r="B4419">
        <v>2</v>
      </c>
      <c r="C4419" s="1" t="s">
        <v>25</v>
      </c>
      <c r="D4419" s="1" t="s">
        <v>19</v>
      </c>
      <c r="E4419" s="1" t="s">
        <v>102</v>
      </c>
      <c r="F4419">
        <v>2016</v>
      </c>
      <c r="G4419">
        <v>4</v>
      </c>
      <c r="H4419" s="1" t="s">
        <v>123</v>
      </c>
      <c r="I4419">
        <v>22</v>
      </c>
      <c r="J4419">
        <v>3096</v>
      </c>
      <c r="K4419" s="1" t="s">
        <v>103</v>
      </c>
      <c r="L4419" s="1" t="s">
        <v>23</v>
      </c>
      <c r="M4419">
        <v>0.64700000000000002</v>
      </c>
      <c r="N4419">
        <v>14241.9</v>
      </c>
      <c r="O4419">
        <v>14.242000000000001</v>
      </c>
      <c r="P4419" s="2">
        <v>43862</v>
      </c>
      <c r="Q4419">
        <v>1</v>
      </c>
      <c r="R4419" s="1" t="s">
        <v>122</v>
      </c>
    </row>
    <row r="4420" spans="1:18" x14ac:dyDescent="0.25">
      <c r="A4420">
        <v>2020</v>
      </c>
      <c r="B4420">
        <v>3</v>
      </c>
      <c r="C4420" s="1" t="s">
        <v>26</v>
      </c>
      <c r="D4420" s="1" t="s">
        <v>19</v>
      </c>
      <c r="E4420" s="1" t="s">
        <v>102</v>
      </c>
      <c r="F4420">
        <v>2016</v>
      </c>
      <c r="G4420">
        <v>4</v>
      </c>
      <c r="H4420" s="1" t="s">
        <v>123</v>
      </c>
      <c r="I4420">
        <v>22</v>
      </c>
      <c r="J4420">
        <v>3096</v>
      </c>
      <c r="K4420" s="1" t="s">
        <v>103</v>
      </c>
      <c r="L4420" s="1" t="s">
        <v>23</v>
      </c>
      <c r="M4420">
        <v>0.748</v>
      </c>
      <c r="N4420">
        <v>16456</v>
      </c>
      <c r="O4420">
        <v>16.456</v>
      </c>
      <c r="P4420" s="2">
        <v>43891</v>
      </c>
      <c r="Q4420">
        <v>1</v>
      </c>
      <c r="R4420" s="1" t="s">
        <v>122</v>
      </c>
    </row>
    <row r="4421" spans="1:18" x14ac:dyDescent="0.25">
      <c r="A4421">
        <v>2020</v>
      </c>
      <c r="B4421">
        <v>4</v>
      </c>
      <c r="C4421" s="1" t="s">
        <v>27</v>
      </c>
      <c r="D4421" s="1" t="s">
        <v>19</v>
      </c>
      <c r="E4421" s="1" t="s">
        <v>102</v>
      </c>
      <c r="F4421">
        <v>2016</v>
      </c>
      <c r="G4421">
        <v>4</v>
      </c>
      <c r="H4421" s="1" t="s">
        <v>123</v>
      </c>
      <c r="I4421">
        <v>22</v>
      </c>
      <c r="J4421">
        <v>3096</v>
      </c>
      <c r="K4421" s="1" t="s">
        <v>103</v>
      </c>
      <c r="L4421" s="1" t="s">
        <v>23</v>
      </c>
      <c r="M4421">
        <v>1.3120000000000001</v>
      </c>
      <c r="N4421">
        <v>28857.8</v>
      </c>
      <c r="O4421">
        <v>28.858000000000001</v>
      </c>
      <c r="P4421" s="2">
        <v>43922</v>
      </c>
      <c r="Q4421">
        <v>1</v>
      </c>
      <c r="R4421" s="1" t="s">
        <v>122</v>
      </c>
    </row>
    <row r="4422" spans="1:18" x14ac:dyDescent="0.25">
      <c r="A4422">
        <v>2020</v>
      </c>
      <c r="B4422">
        <v>5</v>
      </c>
      <c r="C4422" s="1" t="s">
        <v>28</v>
      </c>
      <c r="D4422" s="1" t="s">
        <v>19</v>
      </c>
      <c r="E4422" s="1" t="s">
        <v>102</v>
      </c>
      <c r="F4422">
        <v>2016</v>
      </c>
      <c r="G4422">
        <v>4</v>
      </c>
      <c r="H4422" s="1" t="s">
        <v>123</v>
      </c>
      <c r="I4422">
        <v>22</v>
      </c>
      <c r="J4422">
        <v>3096</v>
      </c>
      <c r="K4422" s="1" t="s">
        <v>103</v>
      </c>
      <c r="L4422" s="1" t="s">
        <v>23</v>
      </c>
      <c r="M4422">
        <v>1.468</v>
      </c>
      <c r="N4422">
        <v>32298.6</v>
      </c>
      <c r="O4422">
        <v>32.298999999999999</v>
      </c>
      <c r="P4422" s="2">
        <v>43952</v>
      </c>
      <c r="Q4422">
        <v>1</v>
      </c>
      <c r="R4422" s="1" t="s">
        <v>122</v>
      </c>
    </row>
    <row r="4423" spans="1:18" x14ac:dyDescent="0.25">
      <c r="A4423">
        <v>2020</v>
      </c>
      <c r="B4423">
        <v>6</v>
      </c>
      <c r="C4423" s="1" t="s">
        <v>29</v>
      </c>
      <c r="D4423" s="1" t="s">
        <v>19</v>
      </c>
      <c r="E4423" s="1" t="s">
        <v>102</v>
      </c>
      <c r="F4423">
        <v>2016</v>
      </c>
      <c r="G4423">
        <v>4</v>
      </c>
      <c r="H4423" s="1" t="s">
        <v>123</v>
      </c>
      <c r="I4423">
        <v>22</v>
      </c>
      <c r="J4423">
        <v>3096</v>
      </c>
      <c r="K4423" s="1" t="s">
        <v>103</v>
      </c>
      <c r="L4423" s="1" t="s">
        <v>23</v>
      </c>
      <c r="M4423">
        <v>1.5289999999999999</v>
      </c>
      <c r="N4423">
        <v>33645</v>
      </c>
      <c r="O4423">
        <v>33.645000000000003</v>
      </c>
      <c r="P4423" s="2">
        <v>43983</v>
      </c>
      <c r="Q4423">
        <v>1</v>
      </c>
      <c r="R4423" s="1" t="s">
        <v>122</v>
      </c>
    </row>
    <row r="4424" spans="1:18" x14ac:dyDescent="0.25">
      <c r="A4424">
        <v>2020</v>
      </c>
      <c r="B4424">
        <v>7</v>
      </c>
      <c r="C4424" s="1" t="s">
        <v>30</v>
      </c>
      <c r="D4424" s="1" t="s">
        <v>19</v>
      </c>
      <c r="E4424" s="1" t="s">
        <v>102</v>
      </c>
      <c r="F4424">
        <v>2016</v>
      </c>
      <c r="G4424">
        <v>4</v>
      </c>
      <c r="H4424" s="1" t="s">
        <v>123</v>
      </c>
      <c r="I4424">
        <v>22</v>
      </c>
      <c r="J4424">
        <v>3096</v>
      </c>
      <c r="K4424" s="1" t="s">
        <v>103</v>
      </c>
      <c r="L4424" s="1" t="s">
        <v>23</v>
      </c>
      <c r="M4424">
        <v>1.5629999999999999</v>
      </c>
      <c r="N4424">
        <v>34378.1</v>
      </c>
      <c r="O4424">
        <v>34.378</v>
      </c>
      <c r="P4424" s="2">
        <v>44013</v>
      </c>
      <c r="Q4424">
        <v>1</v>
      </c>
      <c r="R4424" s="1" t="s">
        <v>122</v>
      </c>
    </row>
    <row r="4425" spans="1:18" x14ac:dyDescent="0.25">
      <c r="A4425">
        <v>2020</v>
      </c>
      <c r="B4425">
        <v>8</v>
      </c>
      <c r="C4425" s="1" t="s">
        <v>31</v>
      </c>
      <c r="D4425" s="1" t="s">
        <v>19</v>
      </c>
      <c r="E4425" s="1" t="s">
        <v>102</v>
      </c>
      <c r="F4425">
        <v>2016</v>
      </c>
      <c r="G4425">
        <v>4</v>
      </c>
      <c r="H4425" s="1" t="s">
        <v>123</v>
      </c>
      <c r="I4425">
        <v>22</v>
      </c>
      <c r="J4425">
        <v>3096</v>
      </c>
      <c r="K4425" s="1" t="s">
        <v>103</v>
      </c>
      <c r="L4425" s="1" t="s">
        <v>23</v>
      </c>
      <c r="M4425">
        <v>1.4930000000000001</v>
      </c>
      <c r="N4425">
        <v>32852.199999999997</v>
      </c>
      <c r="O4425">
        <v>32.851999999999997</v>
      </c>
      <c r="P4425" s="2">
        <v>44044</v>
      </c>
      <c r="Q4425">
        <v>1</v>
      </c>
      <c r="R4425" s="1" t="s">
        <v>122</v>
      </c>
    </row>
    <row r="4426" spans="1:18" x14ac:dyDescent="0.25">
      <c r="A4426">
        <v>2020</v>
      </c>
      <c r="B4426">
        <v>9</v>
      </c>
      <c r="C4426" s="1" t="s">
        <v>32</v>
      </c>
      <c r="D4426" s="1" t="s">
        <v>19</v>
      </c>
      <c r="E4426" s="1" t="s">
        <v>102</v>
      </c>
      <c r="F4426">
        <v>2016</v>
      </c>
      <c r="G4426">
        <v>4</v>
      </c>
      <c r="H4426" s="1" t="s">
        <v>123</v>
      </c>
      <c r="I4426">
        <v>22</v>
      </c>
      <c r="J4426">
        <v>3096</v>
      </c>
      <c r="K4426" s="1" t="s">
        <v>103</v>
      </c>
      <c r="L4426" s="1" t="s">
        <v>23</v>
      </c>
      <c r="M4426">
        <v>1.5720000000000001</v>
      </c>
      <c r="N4426">
        <v>34587.5</v>
      </c>
      <c r="O4426">
        <v>34.588000000000001</v>
      </c>
      <c r="P4426" s="2">
        <v>44075</v>
      </c>
      <c r="Q4426">
        <v>1</v>
      </c>
      <c r="R4426" s="1" t="s">
        <v>122</v>
      </c>
    </row>
    <row r="4427" spans="1:18" x14ac:dyDescent="0.25">
      <c r="A4427">
        <v>2020</v>
      </c>
      <c r="B4427">
        <v>10</v>
      </c>
      <c r="C4427" s="1" t="s">
        <v>33</v>
      </c>
      <c r="D4427" s="1" t="s">
        <v>19</v>
      </c>
      <c r="E4427" s="1" t="s">
        <v>102</v>
      </c>
      <c r="F4427">
        <v>2016</v>
      </c>
      <c r="G4427">
        <v>4</v>
      </c>
      <c r="H4427" s="1" t="s">
        <v>123</v>
      </c>
      <c r="I4427">
        <v>22</v>
      </c>
      <c r="J4427">
        <v>3096</v>
      </c>
      <c r="K4427" s="1" t="s">
        <v>103</v>
      </c>
      <c r="L4427" s="1" t="s">
        <v>23</v>
      </c>
      <c r="M4427">
        <v>1.456</v>
      </c>
      <c r="N4427">
        <v>32029.4</v>
      </c>
      <c r="O4427">
        <v>32.029000000000003</v>
      </c>
      <c r="P4427" s="2">
        <v>44105</v>
      </c>
      <c r="Q4427">
        <v>1</v>
      </c>
      <c r="R4427" s="1" t="s">
        <v>122</v>
      </c>
    </row>
    <row r="4428" spans="1:18" x14ac:dyDescent="0.25">
      <c r="A4428">
        <v>2020</v>
      </c>
      <c r="B4428">
        <v>11</v>
      </c>
      <c r="C4428" s="1" t="s">
        <v>34</v>
      </c>
      <c r="D4428" s="1" t="s">
        <v>19</v>
      </c>
      <c r="E4428" s="1" t="s">
        <v>102</v>
      </c>
      <c r="F4428">
        <v>2016</v>
      </c>
      <c r="G4428">
        <v>4</v>
      </c>
      <c r="H4428" s="1" t="s">
        <v>123</v>
      </c>
      <c r="I4428">
        <v>22</v>
      </c>
      <c r="J4428">
        <v>3096</v>
      </c>
      <c r="K4428" s="1" t="s">
        <v>103</v>
      </c>
      <c r="L4428" s="1" t="s">
        <v>23</v>
      </c>
      <c r="M4428">
        <v>1.2390000000000001</v>
      </c>
      <c r="N4428">
        <v>27257.1</v>
      </c>
      <c r="O4428">
        <v>27.257000000000001</v>
      </c>
      <c r="P4428" s="2">
        <v>44136</v>
      </c>
      <c r="Q4428">
        <v>1</v>
      </c>
      <c r="R4428" s="1" t="s">
        <v>122</v>
      </c>
    </row>
    <row r="4429" spans="1:18" x14ac:dyDescent="0.25">
      <c r="A4429">
        <v>2020</v>
      </c>
      <c r="B4429">
        <v>12</v>
      </c>
      <c r="C4429" s="1" t="s">
        <v>35</v>
      </c>
      <c r="D4429" s="1" t="s">
        <v>19</v>
      </c>
      <c r="E4429" s="1" t="s">
        <v>102</v>
      </c>
      <c r="F4429">
        <v>2016</v>
      </c>
      <c r="G4429">
        <v>4</v>
      </c>
      <c r="H4429" s="1" t="s">
        <v>123</v>
      </c>
      <c r="I4429">
        <v>22</v>
      </c>
      <c r="J4429">
        <v>3096</v>
      </c>
      <c r="K4429" s="1" t="s">
        <v>103</v>
      </c>
      <c r="L4429" s="1" t="s">
        <v>23</v>
      </c>
      <c r="M4429">
        <v>1.111</v>
      </c>
      <c r="N4429">
        <v>24444.6</v>
      </c>
      <c r="O4429">
        <v>24.445</v>
      </c>
      <c r="P4429" s="2">
        <v>44166</v>
      </c>
      <c r="Q4429">
        <v>1</v>
      </c>
      <c r="R4429" s="1" t="s">
        <v>122</v>
      </c>
    </row>
    <row r="4430" spans="1:18" x14ac:dyDescent="0.25">
      <c r="A4430">
        <v>2020</v>
      </c>
      <c r="B4430">
        <v>1</v>
      </c>
      <c r="C4430" s="1" t="s">
        <v>18</v>
      </c>
      <c r="D4430" s="1" t="s">
        <v>19</v>
      </c>
      <c r="E4430" s="1" t="s">
        <v>104</v>
      </c>
      <c r="F4430">
        <v>2016</v>
      </c>
      <c r="G4430">
        <v>4</v>
      </c>
      <c r="H4430" s="1" t="s">
        <v>123</v>
      </c>
      <c r="I4430">
        <v>24</v>
      </c>
      <c r="J4430">
        <v>3317</v>
      </c>
      <c r="K4430" s="1" t="s">
        <v>105</v>
      </c>
      <c r="L4430" s="1" t="s">
        <v>23</v>
      </c>
      <c r="M4430">
        <v>0.63900000000000001</v>
      </c>
      <c r="N4430">
        <v>15340.8</v>
      </c>
      <c r="O4430">
        <v>15.340999999999999</v>
      </c>
      <c r="P4430" s="2">
        <v>43831</v>
      </c>
      <c r="Q4430">
        <v>1</v>
      </c>
      <c r="R4430" s="1" t="s">
        <v>122</v>
      </c>
    </row>
    <row r="4431" spans="1:18" x14ac:dyDescent="0.25">
      <c r="A4431">
        <v>2020</v>
      </c>
      <c r="B4431">
        <v>2</v>
      </c>
      <c r="C4431" s="1" t="s">
        <v>25</v>
      </c>
      <c r="D4431" s="1" t="s">
        <v>19</v>
      </c>
      <c r="E4431" s="1" t="s">
        <v>104</v>
      </c>
      <c r="F4431">
        <v>2016</v>
      </c>
      <c r="G4431">
        <v>4</v>
      </c>
      <c r="H4431" s="1" t="s">
        <v>123</v>
      </c>
      <c r="I4431">
        <v>24</v>
      </c>
      <c r="J4431">
        <v>3317</v>
      </c>
      <c r="K4431" s="1" t="s">
        <v>105</v>
      </c>
      <c r="L4431" s="1" t="s">
        <v>23</v>
      </c>
      <c r="M4431">
        <v>0.64700000000000002</v>
      </c>
      <c r="N4431">
        <v>15536.6</v>
      </c>
      <c r="O4431">
        <v>15.537000000000001</v>
      </c>
      <c r="P4431" s="2">
        <v>43862</v>
      </c>
      <c r="Q4431">
        <v>1</v>
      </c>
      <c r="R4431" s="1" t="s">
        <v>122</v>
      </c>
    </row>
    <row r="4432" spans="1:18" x14ac:dyDescent="0.25">
      <c r="A4432">
        <v>2020</v>
      </c>
      <c r="B4432">
        <v>3</v>
      </c>
      <c r="C4432" s="1" t="s">
        <v>26</v>
      </c>
      <c r="D4432" s="1" t="s">
        <v>19</v>
      </c>
      <c r="E4432" s="1" t="s">
        <v>104</v>
      </c>
      <c r="F4432">
        <v>2016</v>
      </c>
      <c r="G4432">
        <v>4</v>
      </c>
      <c r="H4432" s="1" t="s">
        <v>123</v>
      </c>
      <c r="I4432">
        <v>24</v>
      </c>
      <c r="J4432">
        <v>3317</v>
      </c>
      <c r="K4432" s="1" t="s">
        <v>105</v>
      </c>
      <c r="L4432" s="1" t="s">
        <v>23</v>
      </c>
      <c r="M4432">
        <v>0.748</v>
      </c>
      <c r="N4432">
        <v>17952</v>
      </c>
      <c r="O4432">
        <v>17.952000000000002</v>
      </c>
      <c r="P4432" s="2">
        <v>43891</v>
      </c>
      <c r="Q4432">
        <v>1</v>
      </c>
      <c r="R4432" s="1" t="s">
        <v>122</v>
      </c>
    </row>
    <row r="4433" spans="1:18" x14ac:dyDescent="0.25">
      <c r="A4433">
        <v>2020</v>
      </c>
      <c r="B4433">
        <v>4</v>
      </c>
      <c r="C4433" s="1" t="s">
        <v>27</v>
      </c>
      <c r="D4433" s="1" t="s">
        <v>19</v>
      </c>
      <c r="E4433" s="1" t="s">
        <v>104</v>
      </c>
      <c r="F4433">
        <v>2016</v>
      </c>
      <c r="G4433">
        <v>4</v>
      </c>
      <c r="H4433" s="1" t="s">
        <v>123</v>
      </c>
      <c r="I4433">
        <v>24</v>
      </c>
      <c r="J4433">
        <v>3317</v>
      </c>
      <c r="K4433" s="1" t="s">
        <v>105</v>
      </c>
      <c r="L4433" s="1" t="s">
        <v>23</v>
      </c>
      <c r="M4433">
        <v>1.3120000000000001</v>
      </c>
      <c r="N4433">
        <v>31481.3</v>
      </c>
      <c r="O4433">
        <v>31.481000000000002</v>
      </c>
      <c r="P4433" s="2">
        <v>43922</v>
      </c>
      <c r="Q4433">
        <v>1</v>
      </c>
      <c r="R4433" s="1" t="s">
        <v>122</v>
      </c>
    </row>
    <row r="4434" spans="1:18" x14ac:dyDescent="0.25">
      <c r="A4434">
        <v>2020</v>
      </c>
      <c r="B4434">
        <v>5</v>
      </c>
      <c r="C4434" s="1" t="s">
        <v>28</v>
      </c>
      <c r="D4434" s="1" t="s">
        <v>19</v>
      </c>
      <c r="E4434" s="1" t="s">
        <v>104</v>
      </c>
      <c r="F4434">
        <v>2016</v>
      </c>
      <c r="G4434">
        <v>4</v>
      </c>
      <c r="H4434" s="1" t="s">
        <v>123</v>
      </c>
      <c r="I4434">
        <v>24</v>
      </c>
      <c r="J4434">
        <v>3317</v>
      </c>
      <c r="K4434" s="1" t="s">
        <v>105</v>
      </c>
      <c r="L4434" s="1" t="s">
        <v>23</v>
      </c>
      <c r="M4434">
        <v>1.468</v>
      </c>
      <c r="N4434">
        <v>35234.9</v>
      </c>
      <c r="O4434">
        <v>35.234999999999999</v>
      </c>
      <c r="P4434" s="2">
        <v>43952</v>
      </c>
      <c r="Q4434">
        <v>1</v>
      </c>
      <c r="R4434" s="1" t="s">
        <v>122</v>
      </c>
    </row>
    <row r="4435" spans="1:18" x14ac:dyDescent="0.25">
      <c r="A4435">
        <v>2020</v>
      </c>
      <c r="B4435">
        <v>6</v>
      </c>
      <c r="C4435" s="1" t="s">
        <v>29</v>
      </c>
      <c r="D4435" s="1" t="s">
        <v>19</v>
      </c>
      <c r="E4435" s="1" t="s">
        <v>104</v>
      </c>
      <c r="F4435">
        <v>2016</v>
      </c>
      <c r="G4435">
        <v>4</v>
      </c>
      <c r="H4435" s="1" t="s">
        <v>123</v>
      </c>
      <c r="I4435">
        <v>24</v>
      </c>
      <c r="J4435">
        <v>3317</v>
      </c>
      <c r="K4435" s="1" t="s">
        <v>105</v>
      </c>
      <c r="L4435" s="1" t="s">
        <v>23</v>
      </c>
      <c r="M4435">
        <v>1.5289999999999999</v>
      </c>
      <c r="N4435">
        <v>36703.699999999997</v>
      </c>
      <c r="O4435">
        <v>36.704000000000001</v>
      </c>
      <c r="P4435" s="2">
        <v>43983</v>
      </c>
      <c r="Q4435">
        <v>1</v>
      </c>
      <c r="R4435" s="1" t="s">
        <v>122</v>
      </c>
    </row>
    <row r="4436" spans="1:18" x14ac:dyDescent="0.25">
      <c r="A4436">
        <v>2020</v>
      </c>
      <c r="B4436">
        <v>7</v>
      </c>
      <c r="C4436" s="1" t="s">
        <v>30</v>
      </c>
      <c r="D4436" s="1" t="s">
        <v>19</v>
      </c>
      <c r="E4436" s="1" t="s">
        <v>104</v>
      </c>
      <c r="F4436">
        <v>2016</v>
      </c>
      <c r="G4436">
        <v>4</v>
      </c>
      <c r="H4436" s="1" t="s">
        <v>123</v>
      </c>
      <c r="I4436">
        <v>24</v>
      </c>
      <c r="J4436">
        <v>3317</v>
      </c>
      <c r="K4436" s="1" t="s">
        <v>105</v>
      </c>
      <c r="L4436" s="1" t="s">
        <v>23</v>
      </c>
      <c r="M4436">
        <v>1.5629999999999999</v>
      </c>
      <c r="N4436">
        <v>37503.4</v>
      </c>
      <c r="O4436">
        <v>37.503</v>
      </c>
      <c r="P4436" s="2">
        <v>44013</v>
      </c>
      <c r="Q4436">
        <v>1</v>
      </c>
      <c r="R4436" s="1" t="s">
        <v>122</v>
      </c>
    </row>
    <row r="4437" spans="1:18" x14ac:dyDescent="0.25">
      <c r="A4437">
        <v>2020</v>
      </c>
      <c r="B4437">
        <v>8</v>
      </c>
      <c r="C4437" s="1" t="s">
        <v>31</v>
      </c>
      <c r="D4437" s="1" t="s">
        <v>19</v>
      </c>
      <c r="E4437" s="1" t="s">
        <v>104</v>
      </c>
      <c r="F4437">
        <v>2016</v>
      </c>
      <c r="G4437">
        <v>4</v>
      </c>
      <c r="H4437" s="1" t="s">
        <v>123</v>
      </c>
      <c r="I4437">
        <v>24</v>
      </c>
      <c r="J4437">
        <v>3317</v>
      </c>
      <c r="K4437" s="1" t="s">
        <v>105</v>
      </c>
      <c r="L4437" s="1" t="s">
        <v>23</v>
      </c>
      <c r="M4437">
        <v>1.4930000000000001</v>
      </c>
      <c r="N4437">
        <v>35838.699999999997</v>
      </c>
      <c r="O4437">
        <v>35.838999999999999</v>
      </c>
      <c r="P4437" s="2">
        <v>44044</v>
      </c>
      <c r="Q4437">
        <v>1</v>
      </c>
      <c r="R4437" s="1" t="s">
        <v>122</v>
      </c>
    </row>
    <row r="4438" spans="1:18" x14ac:dyDescent="0.25">
      <c r="A4438">
        <v>2020</v>
      </c>
      <c r="B4438">
        <v>9</v>
      </c>
      <c r="C4438" s="1" t="s">
        <v>32</v>
      </c>
      <c r="D4438" s="1" t="s">
        <v>19</v>
      </c>
      <c r="E4438" s="1" t="s">
        <v>104</v>
      </c>
      <c r="F4438">
        <v>2016</v>
      </c>
      <c r="G4438">
        <v>4</v>
      </c>
      <c r="H4438" s="1" t="s">
        <v>123</v>
      </c>
      <c r="I4438">
        <v>24</v>
      </c>
      <c r="J4438">
        <v>3317</v>
      </c>
      <c r="K4438" s="1" t="s">
        <v>105</v>
      </c>
      <c r="L4438" s="1" t="s">
        <v>23</v>
      </c>
      <c r="M4438">
        <v>1.5720000000000001</v>
      </c>
      <c r="N4438">
        <v>37731.800000000003</v>
      </c>
      <c r="O4438">
        <v>37.731999999999999</v>
      </c>
      <c r="P4438" s="2">
        <v>44075</v>
      </c>
      <c r="Q4438">
        <v>1</v>
      </c>
      <c r="R4438" s="1" t="s">
        <v>122</v>
      </c>
    </row>
    <row r="4439" spans="1:18" x14ac:dyDescent="0.25">
      <c r="A4439">
        <v>2020</v>
      </c>
      <c r="B4439">
        <v>10</v>
      </c>
      <c r="C4439" s="1" t="s">
        <v>33</v>
      </c>
      <c r="D4439" s="1" t="s">
        <v>19</v>
      </c>
      <c r="E4439" s="1" t="s">
        <v>104</v>
      </c>
      <c r="F4439">
        <v>2016</v>
      </c>
      <c r="G4439">
        <v>4</v>
      </c>
      <c r="H4439" s="1" t="s">
        <v>123</v>
      </c>
      <c r="I4439">
        <v>24</v>
      </c>
      <c r="J4439">
        <v>3317</v>
      </c>
      <c r="K4439" s="1" t="s">
        <v>105</v>
      </c>
      <c r="L4439" s="1" t="s">
        <v>23</v>
      </c>
      <c r="M4439">
        <v>1.456</v>
      </c>
      <c r="N4439">
        <v>34941.1</v>
      </c>
      <c r="O4439">
        <v>34.941000000000003</v>
      </c>
      <c r="P4439" s="2">
        <v>44105</v>
      </c>
      <c r="Q4439">
        <v>1</v>
      </c>
      <c r="R4439" s="1" t="s">
        <v>122</v>
      </c>
    </row>
    <row r="4440" spans="1:18" x14ac:dyDescent="0.25">
      <c r="A4440">
        <v>2020</v>
      </c>
      <c r="B4440">
        <v>11</v>
      </c>
      <c r="C4440" s="1" t="s">
        <v>34</v>
      </c>
      <c r="D4440" s="1" t="s">
        <v>19</v>
      </c>
      <c r="E4440" s="1" t="s">
        <v>104</v>
      </c>
      <c r="F4440">
        <v>2016</v>
      </c>
      <c r="G4440">
        <v>4</v>
      </c>
      <c r="H4440" s="1" t="s">
        <v>123</v>
      </c>
      <c r="I4440">
        <v>24</v>
      </c>
      <c r="J4440">
        <v>3317</v>
      </c>
      <c r="K4440" s="1" t="s">
        <v>105</v>
      </c>
      <c r="L4440" s="1" t="s">
        <v>23</v>
      </c>
      <c r="M4440">
        <v>1.2390000000000001</v>
      </c>
      <c r="N4440">
        <v>29735</v>
      </c>
      <c r="O4440">
        <v>29.734999999999999</v>
      </c>
      <c r="P4440" s="2">
        <v>44136</v>
      </c>
      <c r="Q4440">
        <v>1</v>
      </c>
      <c r="R4440" s="1" t="s">
        <v>122</v>
      </c>
    </row>
    <row r="4441" spans="1:18" x14ac:dyDescent="0.25">
      <c r="A4441">
        <v>2020</v>
      </c>
      <c r="B4441">
        <v>12</v>
      </c>
      <c r="C4441" s="1" t="s">
        <v>35</v>
      </c>
      <c r="D4441" s="1" t="s">
        <v>19</v>
      </c>
      <c r="E4441" s="1" t="s">
        <v>104</v>
      </c>
      <c r="F4441">
        <v>2016</v>
      </c>
      <c r="G4441">
        <v>4</v>
      </c>
      <c r="H4441" s="1" t="s">
        <v>123</v>
      </c>
      <c r="I4441">
        <v>24</v>
      </c>
      <c r="J4441">
        <v>3317</v>
      </c>
      <c r="K4441" s="1" t="s">
        <v>105</v>
      </c>
      <c r="L4441" s="1" t="s">
        <v>23</v>
      </c>
      <c r="M4441">
        <v>1.111</v>
      </c>
      <c r="N4441">
        <v>26666.9</v>
      </c>
      <c r="O4441">
        <v>26.667000000000002</v>
      </c>
      <c r="P4441" s="2">
        <v>44166</v>
      </c>
      <c r="Q4441">
        <v>1</v>
      </c>
      <c r="R4441" s="1" t="s">
        <v>122</v>
      </c>
    </row>
    <row r="4442" spans="1:18" x14ac:dyDescent="0.25">
      <c r="A4442">
        <v>2020</v>
      </c>
      <c r="B4442">
        <v>1</v>
      </c>
      <c r="C4442" s="1" t="s">
        <v>18</v>
      </c>
      <c r="D4442" s="1" t="s">
        <v>19</v>
      </c>
      <c r="E4442" s="1" t="s">
        <v>106</v>
      </c>
      <c r="F4442">
        <v>2016</v>
      </c>
      <c r="G4442">
        <v>4</v>
      </c>
      <c r="H4442" s="1" t="s">
        <v>123</v>
      </c>
      <c r="I4442">
        <v>17</v>
      </c>
      <c r="J4442">
        <v>2219</v>
      </c>
      <c r="K4442" s="1" t="s">
        <v>107</v>
      </c>
      <c r="L4442" s="1" t="s">
        <v>23</v>
      </c>
      <c r="M4442">
        <v>0.63900000000000001</v>
      </c>
      <c r="N4442">
        <v>10866.4</v>
      </c>
      <c r="O4442">
        <v>10.866</v>
      </c>
      <c r="P4442" s="2">
        <v>43831</v>
      </c>
      <c r="Q4442">
        <v>1</v>
      </c>
      <c r="R4442" s="1" t="s">
        <v>122</v>
      </c>
    </row>
    <row r="4443" spans="1:18" x14ac:dyDescent="0.25">
      <c r="A4443">
        <v>2020</v>
      </c>
      <c r="B4443">
        <v>2</v>
      </c>
      <c r="C4443" s="1" t="s">
        <v>25</v>
      </c>
      <c r="D4443" s="1" t="s">
        <v>19</v>
      </c>
      <c r="E4443" s="1" t="s">
        <v>106</v>
      </c>
      <c r="F4443">
        <v>2016</v>
      </c>
      <c r="G4443">
        <v>4</v>
      </c>
      <c r="H4443" s="1" t="s">
        <v>123</v>
      </c>
      <c r="I4443">
        <v>17</v>
      </c>
      <c r="J4443">
        <v>2219</v>
      </c>
      <c r="K4443" s="1" t="s">
        <v>107</v>
      </c>
      <c r="L4443" s="1" t="s">
        <v>23</v>
      </c>
      <c r="M4443">
        <v>0.64700000000000002</v>
      </c>
      <c r="N4443">
        <v>11005.1</v>
      </c>
      <c r="O4443">
        <v>11.005000000000001</v>
      </c>
      <c r="P4443" s="2">
        <v>43862</v>
      </c>
      <c r="Q4443">
        <v>1</v>
      </c>
      <c r="R4443" s="1" t="s">
        <v>122</v>
      </c>
    </row>
    <row r="4444" spans="1:18" x14ac:dyDescent="0.25">
      <c r="A4444">
        <v>2020</v>
      </c>
      <c r="B4444">
        <v>3</v>
      </c>
      <c r="C4444" s="1" t="s">
        <v>26</v>
      </c>
      <c r="D4444" s="1" t="s">
        <v>19</v>
      </c>
      <c r="E4444" s="1" t="s">
        <v>106</v>
      </c>
      <c r="F4444">
        <v>2016</v>
      </c>
      <c r="G4444">
        <v>4</v>
      </c>
      <c r="H4444" s="1" t="s">
        <v>123</v>
      </c>
      <c r="I4444">
        <v>17</v>
      </c>
      <c r="J4444">
        <v>2219</v>
      </c>
      <c r="K4444" s="1" t="s">
        <v>107</v>
      </c>
      <c r="L4444" s="1" t="s">
        <v>23</v>
      </c>
      <c r="M4444">
        <v>0.748</v>
      </c>
      <c r="N4444">
        <v>12716</v>
      </c>
      <c r="O4444">
        <v>12.715999999999999</v>
      </c>
      <c r="P4444" s="2">
        <v>43891</v>
      </c>
      <c r="Q4444">
        <v>1</v>
      </c>
      <c r="R4444" s="1" t="s">
        <v>122</v>
      </c>
    </row>
    <row r="4445" spans="1:18" x14ac:dyDescent="0.25">
      <c r="A4445">
        <v>2020</v>
      </c>
      <c r="B4445">
        <v>4</v>
      </c>
      <c r="C4445" s="1" t="s">
        <v>27</v>
      </c>
      <c r="D4445" s="1" t="s">
        <v>19</v>
      </c>
      <c r="E4445" s="1" t="s">
        <v>106</v>
      </c>
      <c r="F4445">
        <v>2016</v>
      </c>
      <c r="G4445">
        <v>4</v>
      </c>
      <c r="H4445" s="1" t="s">
        <v>123</v>
      </c>
      <c r="I4445">
        <v>17</v>
      </c>
      <c r="J4445">
        <v>2219</v>
      </c>
      <c r="K4445" s="1" t="s">
        <v>107</v>
      </c>
      <c r="L4445" s="1" t="s">
        <v>23</v>
      </c>
      <c r="M4445">
        <v>1.3120000000000001</v>
      </c>
      <c r="N4445">
        <v>22299.200000000001</v>
      </c>
      <c r="O4445">
        <v>22.298999999999999</v>
      </c>
      <c r="P4445" s="2">
        <v>43922</v>
      </c>
      <c r="Q4445">
        <v>1</v>
      </c>
      <c r="R4445" s="1" t="s">
        <v>122</v>
      </c>
    </row>
    <row r="4446" spans="1:18" x14ac:dyDescent="0.25">
      <c r="A4446">
        <v>2020</v>
      </c>
      <c r="B4446">
        <v>5</v>
      </c>
      <c r="C4446" s="1" t="s">
        <v>28</v>
      </c>
      <c r="D4446" s="1" t="s">
        <v>19</v>
      </c>
      <c r="E4446" s="1" t="s">
        <v>106</v>
      </c>
      <c r="F4446">
        <v>2016</v>
      </c>
      <c r="G4446">
        <v>4</v>
      </c>
      <c r="H4446" s="1" t="s">
        <v>123</v>
      </c>
      <c r="I4446">
        <v>17</v>
      </c>
      <c r="J4446">
        <v>2219</v>
      </c>
      <c r="K4446" s="1" t="s">
        <v>107</v>
      </c>
      <c r="L4446" s="1" t="s">
        <v>23</v>
      </c>
      <c r="M4446">
        <v>1.468</v>
      </c>
      <c r="N4446">
        <v>24958</v>
      </c>
      <c r="O4446">
        <v>24.957999999999998</v>
      </c>
      <c r="P4446" s="2">
        <v>43952</v>
      </c>
      <c r="Q4446">
        <v>1</v>
      </c>
      <c r="R4446" s="1" t="s">
        <v>122</v>
      </c>
    </row>
    <row r="4447" spans="1:18" x14ac:dyDescent="0.25">
      <c r="A4447">
        <v>2020</v>
      </c>
      <c r="B4447">
        <v>6</v>
      </c>
      <c r="C4447" s="1" t="s">
        <v>29</v>
      </c>
      <c r="D4447" s="1" t="s">
        <v>19</v>
      </c>
      <c r="E4447" s="1" t="s">
        <v>106</v>
      </c>
      <c r="F4447">
        <v>2016</v>
      </c>
      <c r="G4447">
        <v>4</v>
      </c>
      <c r="H4447" s="1" t="s">
        <v>123</v>
      </c>
      <c r="I4447">
        <v>17</v>
      </c>
      <c r="J4447">
        <v>2219</v>
      </c>
      <c r="K4447" s="1" t="s">
        <v>107</v>
      </c>
      <c r="L4447" s="1" t="s">
        <v>23</v>
      </c>
      <c r="M4447">
        <v>1.5289999999999999</v>
      </c>
      <c r="N4447">
        <v>25998.400000000001</v>
      </c>
      <c r="O4447">
        <v>25.998000000000001</v>
      </c>
      <c r="P4447" s="2">
        <v>43983</v>
      </c>
      <c r="Q4447">
        <v>1</v>
      </c>
      <c r="R4447" s="1" t="s">
        <v>122</v>
      </c>
    </row>
    <row r="4448" spans="1:18" x14ac:dyDescent="0.25">
      <c r="A4448">
        <v>2020</v>
      </c>
      <c r="B4448">
        <v>7</v>
      </c>
      <c r="C4448" s="1" t="s">
        <v>30</v>
      </c>
      <c r="D4448" s="1" t="s">
        <v>19</v>
      </c>
      <c r="E4448" s="1" t="s">
        <v>106</v>
      </c>
      <c r="F4448">
        <v>2016</v>
      </c>
      <c r="G4448">
        <v>4</v>
      </c>
      <c r="H4448" s="1" t="s">
        <v>123</v>
      </c>
      <c r="I4448">
        <v>17</v>
      </c>
      <c r="J4448">
        <v>2219</v>
      </c>
      <c r="K4448" s="1" t="s">
        <v>107</v>
      </c>
      <c r="L4448" s="1" t="s">
        <v>23</v>
      </c>
      <c r="M4448">
        <v>1.5629999999999999</v>
      </c>
      <c r="N4448">
        <v>26564.9</v>
      </c>
      <c r="O4448">
        <v>26.565000000000001</v>
      </c>
      <c r="P4448" s="2">
        <v>44013</v>
      </c>
      <c r="Q4448">
        <v>1</v>
      </c>
      <c r="R4448" s="1" t="s">
        <v>122</v>
      </c>
    </row>
    <row r="4449" spans="1:18" x14ac:dyDescent="0.25">
      <c r="A4449">
        <v>2020</v>
      </c>
      <c r="B4449">
        <v>8</v>
      </c>
      <c r="C4449" s="1" t="s">
        <v>31</v>
      </c>
      <c r="D4449" s="1" t="s">
        <v>19</v>
      </c>
      <c r="E4449" s="1" t="s">
        <v>106</v>
      </c>
      <c r="F4449">
        <v>2016</v>
      </c>
      <c r="G4449">
        <v>4</v>
      </c>
      <c r="H4449" s="1" t="s">
        <v>123</v>
      </c>
      <c r="I4449">
        <v>17</v>
      </c>
      <c r="J4449">
        <v>2219</v>
      </c>
      <c r="K4449" s="1" t="s">
        <v>107</v>
      </c>
      <c r="L4449" s="1" t="s">
        <v>23</v>
      </c>
      <c r="M4449">
        <v>1.4930000000000001</v>
      </c>
      <c r="N4449">
        <v>25385.8</v>
      </c>
      <c r="O4449">
        <v>25.385999999999999</v>
      </c>
      <c r="P4449" s="2">
        <v>44044</v>
      </c>
      <c r="Q4449">
        <v>1</v>
      </c>
      <c r="R4449" s="1" t="s">
        <v>122</v>
      </c>
    </row>
    <row r="4450" spans="1:18" x14ac:dyDescent="0.25">
      <c r="A4450">
        <v>2020</v>
      </c>
      <c r="B4450">
        <v>9</v>
      </c>
      <c r="C4450" s="1" t="s">
        <v>32</v>
      </c>
      <c r="D4450" s="1" t="s">
        <v>19</v>
      </c>
      <c r="E4450" s="1" t="s">
        <v>106</v>
      </c>
      <c r="F4450">
        <v>2016</v>
      </c>
      <c r="G4450">
        <v>4</v>
      </c>
      <c r="H4450" s="1" t="s">
        <v>123</v>
      </c>
      <c r="I4450">
        <v>17</v>
      </c>
      <c r="J4450">
        <v>2219</v>
      </c>
      <c r="K4450" s="1" t="s">
        <v>107</v>
      </c>
      <c r="L4450" s="1" t="s">
        <v>23</v>
      </c>
      <c r="M4450">
        <v>1.5720000000000001</v>
      </c>
      <c r="N4450">
        <v>26726.7</v>
      </c>
      <c r="O4450">
        <v>26.727</v>
      </c>
      <c r="P4450" s="2">
        <v>44075</v>
      </c>
      <c r="Q4450">
        <v>1</v>
      </c>
      <c r="R4450" s="1" t="s">
        <v>122</v>
      </c>
    </row>
    <row r="4451" spans="1:18" x14ac:dyDescent="0.25">
      <c r="A4451">
        <v>2020</v>
      </c>
      <c r="B4451">
        <v>10</v>
      </c>
      <c r="C4451" s="1" t="s">
        <v>33</v>
      </c>
      <c r="D4451" s="1" t="s">
        <v>19</v>
      </c>
      <c r="E4451" s="1" t="s">
        <v>106</v>
      </c>
      <c r="F4451">
        <v>2016</v>
      </c>
      <c r="G4451">
        <v>4</v>
      </c>
      <c r="H4451" s="1" t="s">
        <v>123</v>
      </c>
      <c r="I4451">
        <v>17</v>
      </c>
      <c r="J4451">
        <v>2219</v>
      </c>
      <c r="K4451" s="1" t="s">
        <v>107</v>
      </c>
      <c r="L4451" s="1" t="s">
        <v>23</v>
      </c>
      <c r="M4451">
        <v>1.456</v>
      </c>
      <c r="N4451">
        <v>24750</v>
      </c>
      <c r="O4451">
        <v>24.75</v>
      </c>
      <c r="P4451" s="2">
        <v>44105</v>
      </c>
      <c r="Q4451">
        <v>1</v>
      </c>
      <c r="R4451" s="1" t="s">
        <v>122</v>
      </c>
    </row>
    <row r="4452" spans="1:18" x14ac:dyDescent="0.25">
      <c r="A4452">
        <v>2020</v>
      </c>
      <c r="B4452">
        <v>11</v>
      </c>
      <c r="C4452" s="1" t="s">
        <v>34</v>
      </c>
      <c r="D4452" s="1" t="s">
        <v>19</v>
      </c>
      <c r="E4452" s="1" t="s">
        <v>106</v>
      </c>
      <c r="F4452">
        <v>2016</v>
      </c>
      <c r="G4452">
        <v>4</v>
      </c>
      <c r="H4452" s="1" t="s">
        <v>123</v>
      </c>
      <c r="I4452">
        <v>17</v>
      </c>
      <c r="J4452">
        <v>2219</v>
      </c>
      <c r="K4452" s="1" t="s">
        <v>107</v>
      </c>
      <c r="L4452" s="1" t="s">
        <v>23</v>
      </c>
      <c r="M4452">
        <v>1.2390000000000001</v>
      </c>
      <c r="N4452">
        <v>21062.3</v>
      </c>
      <c r="O4452">
        <v>21.062000000000001</v>
      </c>
      <c r="P4452" s="2">
        <v>44136</v>
      </c>
      <c r="Q4452">
        <v>1</v>
      </c>
      <c r="R4452" s="1" t="s">
        <v>122</v>
      </c>
    </row>
    <row r="4453" spans="1:18" x14ac:dyDescent="0.25">
      <c r="A4453">
        <v>2020</v>
      </c>
      <c r="B4453">
        <v>12</v>
      </c>
      <c r="C4453" s="1" t="s">
        <v>35</v>
      </c>
      <c r="D4453" s="1" t="s">
        <v>19</v>
      </c>
      <c r="E4453" s="1" t="s">
        <v>106</v>
      </c>
      <c r="F4453">
        <v>2016</v>
      </c>
      <c r="G4453">
        <v>4</v>
      </c>
      <c r="H4453" s="1" t="s">
        <v>123</v>
      </c>
      <c r="I4453">
        <v>17</v>
      </c>
      <c r="J4453">
        <v>2219</v>
      </c>
      <c r="K4453" s="1" t="s">
        <v>107</v>
      </c>
      <c r="L4453" s="1" t="s">
        <v>23</v>
      </c>
      <c r="M4453">
        <v>1.111</v>
      </c>
      <c r="N4453">
        <v>18889</v>
      </c>
      <c r="O4453">
        <v>18.888999999999999</v>
      </c>
      <c r="P4453" s="2">
        <v>44166</v>
      </c>
      <c r="Q4453">
        <v>1</v>
      </c>
      <c r="R4453" s="1" t="s">
        <v>122</v>
      </c>
    </row>
    <row r="4454" spans="1:18" x14ac:dyDescent="0.25">
      <c r="A4454">
        <v>2020</v>
      </c>
      <c r="B4454">
        <v>1</v>
      </c>
      <c r="C4454" s="1" t="s">
        <v>18</v>
      </c>
      <c r="D4454" s="1" t="s">
        <v>19</v>
      </c>
      <c r="E4454" s="1" t="s">
        <v>108</v>
      </c>
      <c r="F4454">
        <v>2016</v>
      </c>
      <c r="G4454">
        <v>4</v>
      </c>
      <c r="H4454" s="1" t="s">
        <v>123</v>
      </c>
      <c r="I4454">
        <v>15</v>
      </c>
      <c r="J4454">
        <v>2142</v>
      </c>
      <c r="K4454" s="1" t="s">
        <v>109</v>
      </c>
      <c r="L4454" s="1" t="s">
        <v>23</v>
      </c>
      <c r="M4454">
        <v>0.63900000000000001</v>
      </c>
      <c r="N4454">
        <v>9588</v>
      </c>
      <c r="O4454">
        <v>9.5879999999999992</v>
      </c>
      <c r="P4454" s="2">
        <v>43831</v>
      </c>
      <c r="Q4454">
        <v>1</v>
      </c>
      <c r="R4454" s="1" t="s">
        <v>122</v>
      </c>
    </row>
    <row r="4455" spans="1:18" x14ac:dyDescent="0.25">
      <c r="A4455">
        <v>2020</v>
      </c>
      <c r="B4455">
        <v>2</v>
      </c>
      <c r="C4455" s="1" t="s">
        <v>25</v>
      </c>
      <c r="D4455" s="1" t="s">
        <v>19</v>
      </c>
      <c r="E4455" s="1" t="s">
        <v>108</v>
      </c>
      <c r="F4455">
        <v>2016</v>
      </c>
      <c r="G4455">
        <v>4</v>
      </c>
      <c r="H4455" s="1" t="s">
        <v>123</v>
      </c>
      <c r="I4455">
        <v>15</v>
      </c>
      <c r="J4455">
        <v>2142</v>
      </c>
      <c r="K4455" s="1" t="s">
        <v>109</v>
      </c>
      <c r="L4455" s="1" t="s">
        <v>23</v>
      </c>
      <c r="M4455">
        <v>0.64700000000000002</v>
      </c>
      <c r="N4455">
        <v>9710.4</v>
      </c>
      <c r="O4455">
        <v>9.7100000000000009</v>
      </c>
      <c r="P4455" s="2">
        <v>43862</v>
      </c>
      <c r="Q4455">
        <v>1</v>
      </c>
      <c r="R4455" s="1" t="s">
        <v>122</v>
      </c>
    </row>
    <row r="4456" spans="1:18" x14ac:dyDescent="0.25">
      <c r="A4456">
        <v>2020</v>
      </c>
      <c r="B4456">
        <v>3</v>
      </c>
      <c r="C4456" s="1" t="s">
        <v>26</v>
      </c>
      <c r="D4456" s="1" t="s">
        <v>19</v>
      </c>
      <c r="E4456" s="1" t="s">
        <v>108</v>
      </c>
      <c r="F4456">
        <v>2016</v>
      </c>
      <c r="G4456">
        <v>4</v>
      </c>
      <c r="H4456" s="1" t="s">
        <v>123</v>
      </c>
      <c r="I4456">
        <v>15</v>
      </c>
      <c r="J4456">
        <v>2142</v>
      </c>
      <c r="K4456" s="1" t="s">
        <v>109</v>
      </c>
      <c r="L4456" s="1" t="s">
        <v>23</v>
      </c>
      <c r="M4456">
        <v>0.748</v>
      </c>
      <c r="N4456">
        <v>11220</v>
      </c>
      <c r="O4456">
        <v>11.22</v>
      </c>
      <c r="P4456" s="2">
        <v>43891</v>
      </c>
      <c r="Q4456">
        <v>1</v>
      </c>
      <c r="R4456" s="1" t="s">
        <v>122</v>
      </c>
    </row>
    <row r="4457" spans="1:18" x14ac:dyDescent="0.25">
      <c r="A4457">
        <v>2020</v>
      </c>
      <c r="B4457">
        <v>4</v>
      </c>
      <c r="C4457" s="1" t="s">
        <v>27</v>
      </c>
      <c r="D4457" s="1" t="s">
        <v>19</v>
      </c>
      <c r="E4457" s="1" t="s">
        <v>108</v>
      </c>
      <c r="F4457">
        <v>2016</v>
      </c>
      <c r="G4457">
        <v>4</v>
      </c>
      <c r="H4457" s="1" t="s">
        <v>123</v>
      </c>
      <c r="I4457">
        <v>15</v>
      </c>
      <c r="J4457">
        <v>2142</v>
      </c>
      <c r="K4457" s="1" t="s">
        <v>109</v>
      </c>
      <c r="L4457" s="1" t="s">
        <v>23</v>
      </c>
      <c r="M4457">
        <v>1.3120000000000001</v>
      </c>
      <c r="N4457">
        <v>19675.8</v>
      </c>
      <c r="O4457">
        <v>19.675999999999998</v>
      </c>
      <c r="P4457" s="2">
        <v>43922</v>
      </c>
      <c r="Q4457">
        <v>1</v>
      </c>
      <c r="R4457" s="1" t="s">
        <v>122</v>
      </c>
    </row>
    <row r="4458" spans="1:18" x14ac:dyDescent="0.25">
      <c r="A4458">
        <v>2020</v>
      </c>
      <c r="B4458">
        <v>5</v>
      </c>
      <c r="C4458" s="1" t="s">
        <v>28</v>
      </c>
      <c r="D4458" s="1" t="s">
        <v>19</v>
      </c>
      <c r="E4458" s="1" t="s">
        <v>108</v>
      </c>
      <c r="F4458">
        <v>2016</v>
      </c>
      <c r="G4458">
        <v>4</v>
      </c>
      <c r="H4458" s="1" t="s">
        <v>123</v>
      </c>
      <c r="I4458">
        <v>15</v>
      </c>
      <c r="J4458">
        <v>2142</v>
      </c>
      <c r="K4458" s="1" t="s">
        <v>109</v>
      </c>
      <c r="L4458" s="1" t="s">
        <v>23</v>
      </c>
      <c r="M4458">
        <v>1.468</v>
      </c>
      <c r="N4458">
        <v>22021.8</v>
      </c>
      <c r="O4458">
        <v>22.021999999999998</v>
      </c>
      <c r="P4458" s="2">
        <v>43952</v>
      </c>
      <c r="Q4458">
        <v>1</v>
      </c>
      <c r="R4458" s="1" t="s">
        <v>122</v>
      </c>
    </row>
    <row r="4459" spans="1:18" x14ac:dyDescent="0.25">
      <c r="A4459">
        <v>2020</v>
      </c>
      <c r="B4459">
        <v>6</v>
      </c>
      <c r="C4459" s="1" t="s">
        <v>29</v>
      </c>
      <c r="D4459" s="1" t="s">
        <v>19</v>
      </c>
      <c r="E4459" s="1" t="s">
        <v>108</v>
      </c>
      <c r="F4459">
        <v>2016</v>
      </c>
      <c r="G4459">
        <v>4</v>
      </c>
      <c r="H4459" s="1" t="s">
        <v>123</v>
      </c>
      <c r="I4459">
        <v>15</v>
      </c>
      <c r="J4459">
        <v>2142</v>
      </c>
      <c r="K4459" s="1" t="s">
        <v>109</v>
      </c>
      <c r="L4459" s="1" t="s">
        <v>23</v>
      </c>
      <c r="M4459">
        <v>1.5289999999999999</v>
      </c>
      <c r="N4459">
        <v>22939.8</v>
      </c>
      <c r="O4459">
        <v>22.94</v>
      </c>
      <c r="P4459" s="2">
        <v>43983</v>
      </c>
      <c r="Q4459">
        <v>1</v>
      </c>
      <c r="R4459" s="1" t="s">
        <v>122</v>
      </c>
    </row>
    <row r="4460" spans="1:18" x14ac:dyDescent="0.25">
      <c r="A4460">
        <v>2020</v>
      </c>
      <c r="B4460">
        <v>7</v>
      </c>
      <c r="C4460" s="1" t="s">
        <v>30</v>
      </c>
      <c r="D4460" s="1" t="s">
        <v>19</v>
      </c>
      <c r="E4460" s="1" t="s">
        <v>108</v>
      </c>
      <c r="F4460">
        <v>2016</v>
      </c>
      <c r="G4460">
        <v>4</v>
      </c>
      <c r="H4460" s="1" t="s">
        <v>123</v>
      </c>
      <c r="I4460">
        <v>15</v>
      </c>
      <c r="J4460">
        <v>2142</v>
      </c>
      <c r="K4460" s="1" t="s">
        <v>109</v>
      </c>
      <c r="L4460" s="1" t="s">
        <v>23</v>
      </c>
      <c r="M4460">
        <v>1.5629999999999999</v>
      </c>
      <c r="N4460">
        <v>23439.599999999999</v>
      </c>
      <c r="O4460">
        <v>23.44</v>
      </c>
      <c r="P4460" s="2">
        <v>44013</v>
      </c>
      <c r="Q4460">
        <v>1</v>
      </c>
      <c r="R4460" s="1" t="s">
        <v>122</v>
      </c>
    </row>
    <row r="4461" spans="1:18" x14ac:dyDescent="0.25">
      <c r="A4461">
        <v>2020</v>
      </c>
      <c r="B4461">
        <v>8</v>
      </c>
      <c r="C4461" s="1" t="s">
        <v>31</v>
      </c>
      <c r="D4461" s="1" t="s">
        <v>19</v>
      </c>
      <c r="E4461" s="1" t="s">
        <v>108</v>
      </c>
      <c r="F4461">
        <v>2016</v>
      </c>
      <c r="G4461">
        <v>4</v>
      </c>
      <c r="H4461" s="1" t="s">
        <v>123</v>
      </c>
      <c r="I4461">
        <v>15</v>
      </c>
      <c r="J4461">
        <v>2142</v>
      </c>
      <c r="K4461" s="1" t="s">
        <v>109</v>
      </c>
      <c r="L4461" s="1" t="s">
        <v>23</v>
      </c>
      <c r="M4461">
        <v>1.4930000000000001</v>
      </c>
      <c r="N4461">
        <v>22399.200000000001</v>
      </c>
      <c r="O4461">
        <v>22.399000000000001</v>
      </c>
      <c r="P4461" s="2">
        <v>44044</v>
      </c>
      <c r="Q4461">
        <v>1</v>
      </c>
      <c r="R4461" s="1" t="s">
        <v>122</v>
      </c>
    </row>
    <row r="4462" spans="1:18" x14ac:dyDescent="0.25">
      <c r="A4462">
        <v>2020</v>
      </c>
      <c r="B4462">
        <v>9</v>
      </c>
      <c r="C4462" s="1" t="s">
        <v>32</v>
      </c>
      <c r="D4462" s="1" t="s">
        <v>19</v>
      </c>
      <c r="E4462" s="1" t="s">
        <v>108</v>
      </c>
      <c r="F4462">
        <v>2016</v>
      </c>
      <c r="G4462">
        <v>4</v>
      </c>
      <c r="H4462" s="1" t="s">
        <v>123</v>
      </c>
      <c r="I4462">
        <v>15</v>
      </c>
      <c r="J4462">
        <v>2142</v>
      </c>
      <c r="K4462" s="1" t="s">
        <v>109</v>
      </c>
      <c r="L4462" s="1" t="s">
        <v>23</v>
      </c>
      <c r="M4462">
        <v>1.5720000000000001</v>
      </c>
      <c r="N4462">
        <v>23582.400000000001</v>
      </c>
      <c r="O4462">
        <v>23.582000000000001</v>
      </c>
      <c r="P4462" s="2">
        <v>44075</v>
      </c>
      <c r="Q4462">
        <v>1</v>
      </c>
      <c r="R4462" s="1" t="s">
        <v>122</v>
      </c>
    </row>
    <row r="4463" spans="1:18" x14ac:dyDescent="0.25">
      <c r="A4463">
        <v>2020</v>
      </c>
      <c r="B4463">
        <v>10</v>
      </c>
      <c r="C4463" s="1" t="s">
        <v>33</v>
      </c>
      <c r="D4463" s="1" t="s">
        <v>19</v>
      </c>
      <c r="E4463" s="1" t="s">
        <v>108</v>
      </c>
      <c r="F4463">
        <v>2016</v>
      </c>
      <c r="G4463">
        <v>4</v>
      </c>
      <c r="H4463" s="1" t="s">
        <v>123</v>
      </c>
      <c r="I4463">
        <v>15</v>
      </c>
      <c r="J4463">
        <v>2142</v>
      </c>
      <c r="K4463" s="1" t="s">
        <v>109</v>
      </c>
      <c r="L4463" s="1" t="s">
        <v>23</v>
      </c>
      <c r="M4463">
        <v>1.456</v>
      </c>
      <c r="N4463">
        <v>21838.2</v>
      </c>
      <c r="O4463">
        <v>21.838000000000001</v>
      </c>
      <c r="P4463" s="2">
        <v>44105</v>
      </c>
      <c r="Q4463">
        <v>1</v>
      </c>
      <c r="R4463" s="1" t="s">
        <v>122</v>
      </c>
    </row>
    <row r="4464" spans="1:18" x14ac:dyDescent="0.25">
      <c r="A4464">
        <v>2020</v>
      </c>
      <c r="B4464">
        <v>11</v>
      </c>
      <c r="C4464" s="1" t="s">
        <v>34</v>
      </c>
      <c r="D4464" s="1" t="s">
        <v>19</v>
      </c>
      <c r="E4464" s="1" t="s">
        <v>108</v>
      </c>
      <c r="F4464">
        <v>2016</v>
      </c>
      <c r="G4464">
        <v>4</v>
      </c>
      <c r="H4464" s="1" t="s">
        <v>123</v>
      </c>
      <c r="I4464">
        <v>15</v>
      </c>
      <c r="J4464">
        <v>2142</v>
      </c>
      <c r="K4464" s="1" t="s">
        <v>109</v>
      </c>
      <c r="L4464" s="1" t="s">
        <v>23</v>
      </c>
      <c r="M4464">
        <v>1.2390000000000001</v>
      </c>
      <c r="N4464">
        <v>18584.400000000001</v>
      </c>
      <c r="O4464">
        <v>18.584</v>
      </c>
      <c r="P4464" s="2">
        <v>44136</v>
      </c>
      <c r="Q4464">
        <v>1</v>
      </c>
      <c r="R4464" s="1" t="s">
        <v>122</v>
      </c>
    </row>
    <row r="4465" spans="1:18" x14ac:dyDescent="0.25">
      <c r="A4465">
        <v>2020</v>
      </c>
      <c r="B4465">
        <v>12</v>
      </c>
      <c r="C4465" s="1" t="s">
        <v>35</v>
      </c>
      <c r="D4465" s="1" t="s">
        <v>19</v>
      </c>
      <c r="E4465" s="1" t="s">
        <v>108</v>
      </c>
      <c r="F4465">
        <v>2016</v>
      </c>
      <c r="G4465">
        <v>4</v>
      </c>
      <c r="H4465" s="1" t="s">
        <v>123</v>
      </c>
      <c r="I4465">
        <v>15</v>
      </c>
      <c r="J4465">
        <v>2142</v>
      </c>
      <c r="K4465" s="1" t="s">
        <v>109</v>
      </c>
      <c r="L4465" s="1" t="s">
        <v>23</v>
      </c>
      <c r="M4465">
        <v>1.111</v>
      </c>
      <c r="N4465">
        <v>16666.8</v>
      </c>
      <c r="O4465">
        <v>16.667000000000002</v>
      </c>
      <c r="P4465" s="2">
        <v>44166</v>
      </c>
      <c r="Q4465">
        <v>1</v>
      </c>
      <c r="R4465" s="1" t="s">
        <v>122</v>
      </c>
    </row>
    <row r="4466" spans="1:18" x14ac:dyDescent="0.25">
      <c r="A4466">
        <v>2020</v>
      </c>
      <c r="B4466">
        <v>1</v>
      </c>
      <c r="C4466" s="1" t="s">
        <v>18</v>
      </c>
      <c r="D4466" s="1" t="s">
        <v>19</v>
      </c>
      <c r="E4466" s="1" t="s">
        <v>110</v>
      </c>
      <c r="F4466">
        <v>2016</v>
      </c>
      <c r="G4466">
        <v>4</v>
      </c>
      <c r="H4466" s="1" t="s">
        <v>123</v>
      </c>
      <c r="I4466">
        <v>24</v>
      </c>
      <c r="J4466">
        <v>3324</v>
      </c>
      <c r="K4466" s="1" t="s">
        <v>111</v>
      </c>
      <c r="L4466" s="1" t="s">
        <v>23</v>
      </c>
      <c r="M4466">
        <v>0.63900000000000001</v>
      </c>
      <c r="N4466">
        <v>15340.8</v>
      </c>
      <c r="O4466">
        <v>15.340999999999999</v>
      </c>
      <c r="P4466" s="2">
        <v>43831</v>
      </c>
      <c r="Q4466">
        <v>1</v>
      </c>
      <c r="R4466" s="1" t="s">
        <v>122</v>
      </c>
    </row>
    <row r="4467" spans="1:18" x14ac:dyDescent="0.25">
      <c r="A4467">
        <v>2020</v>
      </c>
      <c r="B4467">
        <v>2</v>
      </c>
      <c r="C4467" s="1" t="s">
        <v>25</v>
      </c>
      <c r="D4467" s="1" t="s">
        <v>19</v>
      </c>
      <c r="E4467" s="1" t="s">
        <v>110</v>
      </c>
      <c r="F4467">
        <v>2016</v>
      </c>
      <c r="G4467">
        <v>4</v>
      </c>
      <c r="H4467" s="1" t="s">
        <v>123</v>
      </c>
      <c r="I4467">
        <v>24</v>
      </c>
      <c r="J4467">
        <v>3324</v>
      </c>
      <c r="K4467" s="1" t="s">
        <v>111</v>
      </c>
      <c r="L4467" s="1" t="s">
        <v>23</v>
      </c>
      <c r="M4467">
        <v>0.64700000000000002</v>
      </c>
      <c r="N4467">
        <v>15536.6</v>
      </c>
      <c r="O4467">
        <v>15.537000000000001</v>
      </c>
      <c r="P4467" s="2">
        <v>43862</v>
      </c>
      <c r="Q4467">
        <v>1</v>
      </c>
      <c r="R4467" s="1" t="s">
        <v>122</v>
      </c>
    </row>
    <row r="4468" spans="1:18" x14ac:dyDescent="0.25">
      <c r="A4468">
        <v>2020</v>
      </c>
      <c r="B4468">
        <v>3</v>
      </c>
      <c r="C4468" s="1" t="s">
        <v>26</v>
      </c>
      <c r="D4468" s="1" t="s">
        <v>19</v>
      </c>
      <c r="E4468" s="1" t="s">
        <v>110</v>
      </c>
      <c r="F4468">
        <v>2016</v>
      </c>
      <c r="G4468">
        <v>4</v>
      </c>
      <c r="H4468" s="1" t="s">
        <v>123</v>
      </c>
      <c r="I4468">
        <v>24</v>
      </c>
      <c r="J4468">
        <v>3324</v>
      </c>
      <c r="K4468" s="1" t="s">
        <v>111</v>
      </c>
      <c r="L4468" s="1" t="s">
        <v>23</v>
      </c>
      <c r="M4468">
        <v>0.748</v>
      </c>
      <c r="N4468">
        <v>17952</v>
      </c>
      <c r="O4468">
        <v>17.952000000000002</v>
      </c>
      <c r="P4468" s="2">
        <v>43891</v>
      </c>
      <c r="Q4468">
        <v>1</v>
      </c>
      <c r="R4468" s="1" t="s">
        <v>122</v>
      </c>
    </row>
    <row r="4469" spans="1:18" x14ac:dyDescent="0.25">
      <c r="A4469">
        <v>2020</v>
      </c>
      <c r="B4469">
        <v>4</v>
      </c>
      <c r="C4469" s="1" t="s">
        <v>27</v>
      </c>
      <c r="D4469" s="1" t="s">
        <v>19</v>
      </c>
      <c r="E4469" s="1" t="s">
        <v>110</v>
      </c>
      <c r="F4469">
        <v>2016</v>
      </c>
      <c r="G4469">
        <v>4</v>
      </c>
      <c r="H4469" s="1" t="s">
        <v>123</v>
      </c>
      <c r="I4469">
        <v>24</v>
      </c>
      <c r="J4469">
        <v>3324</v>
      </c>
      <c r="K4469" s="1" t="s">
        <v>111</v>
      </c>
      <c r="L4469" s="1" t="s">
        <v>23</v>
      </c>
      <c r="M4469">
        <v>1.3120000000000001</v>
      </c>
      <c r="N4469">
        <v>31481.3</v>
      </c>
      <c r="O4469">
        <v>31.481000000000002</v>
      </c>
      <c r="P4469" s="2">
        <v>43922</v>
      </c>
      <c r="Q4469">
        <v>1</v>
      </c>
      <c r="R4469" s="1" t="s">
        <v>122</v>
      </c>
    </row>
    <row r="4470" spans="1:18" x14ac:dyDescent="0.25">
      <c r="A4470">
        <v>2020</v>
      </c>
      <c r="B4470">
        <v>5</v>
      </c>
      <c r="C4470" s="1" t="s">
        <v>28</v>
      </c>
      <c r="D4470" s="1" t="s">
        <v>19</v>
      </c>
      <c r="E4470" s="1" t="s">
        <v>110</v>
      </c>
      <c r="F4470">
        <v>2016</v>
      </c>
      <c r="G4470">
        <v>4</v>
      </c>
      <c r="H4470" s="1" t="s">
        <v>123</v>
      </c>
      <c r="I4470">
        <v>24</v>
      </c>
      <c r="J4470">
        <v>3324</v>
      </c>
      <c r="K4470" s="1" t="s">
        <v>111</v>
      </c>
      <c r="L4470" s="1" t="s">
        <v>23</v>
      </c>
      <c r="M4470">
        <v>1.468</v>
      </c>
      <c r="N4470">
        <v>35234.9</v>
      </c>
      <c r="O4470">
        <v>35.234999999999999</v>
      </c>
      <c r="P4470" s="2">
        <v>43952</v>
      </c>
      <c r="Q4470">
        <v>1</v>
      </c>
      <c r="R4470" s="1" t="s">
        <v>122</v>
      </c>
    </row>
    <row r="4471" spans="1:18" x14ac:dyDescent="0.25">
      <c r="A4471">
        <v>2020</v>
      </c>
      <c r="B4471">
        <v>6</v>
      </c>
      <c r="C4471" s="1" t="s">
        <v>29</v>
      </c>
      <c r="D4471" s="1" t="s">
        <v>19</v>
      </c>
      <c r="E4471" s="1" t="s">
        <v>110</v>
      </c>
      <c r="F4471">
        <v>2016</v>
      </c>
      <c r="G4471">
        <v>4</v>
      </c>
      <c r="H4471" s="1" t="s">
        <v>123</v>
      </c>
      <c r="I4471">
        <v>24</v>
      </c>
      <c r="J4471">
        <v>3324</v>
      </c>
      <c r="K4471" s="1" t="s">
        <v>111</v>
      </c>
      <c r="L4471" s="1" t="s">
        <v>23</v>
      </c>
      <c r="M4471">
        <v>1.5289999999999999</v>
      </c>
      <c r="N4471">
        <v>36703.699999999997</v>
      </c>
      <c r="O4471">
        <v>36.704000000000001</v>
      </c>
      <c r="P4471" s="2">
        <v>43983</v>
      </c>
      <c r="Q4471">
        <v>1</v>
      </c>
      <c r="R4471" s="1" t="s">
        <v>122</v>
      </c>
    </row>
    <row r="4472" spans="1:18" x14ac:dyDescent="0.25">
      <c r="A4472">
        <v>2020</v>
      </c>
      <c r="B4472">
        <v>7</v>
      </c>
      <c r="C4472" s="1" t="s">
        <v>30</v>
      </c>
      <c r="D4472" s="1" t="s">
        <v>19</v>
      </c>
      <c r="E4472" s="1" t="s">
        <v>110</v>
      </c>
      <c r="F4472">
        <v>2016</v>
      </c>
      <c r="G4472">
        <v>4</v>
      </c>
      <c r="H4472" s="1" t="s">
        <v>123</v>
      </c>
      <c r="I4472">
        <v>24</v>
      </c>
      <c r="J4472">
        <v>3324</v>
      </c>
      <c r="K4472" s="1" t="s">
        <v>111</v>
      </c>
      <c r="L4472" s="1" t="s">
        <v>23</v>
      </c>
      <c r="M4472">
        <v>1.5629999999999999</v>
      </c>
      <c r="N4472">
        <v>37503.4</v>
      </c>
      <c r="O4472">
        <v>37.503</v>
      </c>
      <c r="P4472" s="2">
        <v>44013</v>
      </c>
      <c r="Q4472">
        <v>1</v>
      </c>
      <c r="R4472" s="1" t="s">
        <v>122</v>
      </c>
    </row>
    <row r="4473" spans="1:18" x14ac:dyDescent="0.25">
      <c r="A4473">
        <v>2020</v>
      </c>
      <c r="B4473">
        <v>8</v>
      </c>
      <c r="C4473" s="1" t="s">
        <v>31</v>
      </c>
      <c r="D4473" s="1" t="s">
        <v>19</v>
      </c>
      <c r="E4473" s="1" t="s">
        <v>110</v>
      </c>
      <c r="F4473">
        <v>2016</v>
      </c>
      <c r="G4473">
        <v>4</v>
      </c>
      <c r="H4473" s="1" t="s">
        <v>123</v>
      </c>
      <c r="I4473">
        <v>24</v>
      </c>
      <c r="J4473">
        <v>3324</v>
      </c>
      <c r="K4473" s="1" t="s">
        <v>111</v>
      </c>
      <c r="L4473" s="1" t="s">
        <v>23</v>
      </c>
      <c r="M4473">
        <v>1.4930000000000001</v>
      </c>
      <c r="N4473">
        <v>35838.699999999997</v>
      </c>
      <c r="O4473">
        <v>35.838999999999999</v>
      </c>
      <c r="P4473" s="2">
        <v>44044</v>
      </c>
      <c r="Q4473">
        <v>1</v>
      </c>
      <c r="R4473" s="1" t="s">
        <v>122</v>
      </c>
    </row>
    <row r="4474" spans="1:18" x14ac:dyDescent="0.25">
      <c r="A4474">
        <v>2020</v>
      </c>
      <c r="B4474">
        <v>9</v>
      </c>
      <c r="C4474" s="1" t="s">
        <v>32</v>
      </c>
      <c r="D4474" s="1" t="s">
        <v>19</v>
      </c>
      <c r="E4474" s="1" t="s">
        <v>110</v>
      </c>
      <c r="F4474">
        <v>2016</v>
      </c>
      <c r="G4474">
        <v>4</v>
      </c>
      <c r="H4474" s="1" t="s">
        <v>123</v>
      </c>
      <c r="I4474">
        <v>24</v>
      </c>
      <c r="J4474">
        <v>3324</v>
      </c>
      <c r="K4474" s="1" t="s">
        <v>111</v>
      </c>
      <c r="L4474" s="1" t="s">
        <v>23</v>
      </c>
      <c r="M4474">
        <v>1.5720000000000001</v>
      </c>
      <c r="N4474">
        <v>37731.800000000003</v>
      </c>
      <c r="O4474">
        <v>37.731999999999999</v>
      </c>
      <c r="P4474" s="2">
        <v>44075</v>
      </c>
      <c r="Q4474">
        <v>1</v>
      </c>
      <c r="R4474" s="1" t="s">
        <v>122</v>
      </c>
    </row>
    <row r="4475" spans="1:18" x14ac:dyDescent="0.25">
      <c r="A4475">
        <v>2020</v>
      </c>
      <c r="B4475">
        <v>10</v>
      </c>
      <c r="C4475" s="1" t="s">
        <v>33</v>
      </c>
      <c r="D4475" s="1" t="s">
        <v>19</v>
      </c>
      <c r="E4475" s="1" t="s">
        <v>110</v>
      </c>
      <c r="F4475">
        <v>2016</v>
      </c>
      <c r="G4475">
        <v>4</v>
      </c>
      <c r="H4475" s="1" t="s">
        <v>123</v>
      </c>
      <c r="I4475">
        <v>24</v>
      </c>
      <c r="J4475">
        <v>3324</v>
      </c>
      <c r="K4475" s="1" t="s">
        <v>111</v>
      </c>
      <c r="L4475" s="1" t="s">
        <v>23</v>
      </c>
      <c r="M4475">
        <v>1.456</v>
      </c>
      <c r="N4475">
        <v>34941.1</v>
      </c>
      <c r="O4475">
        <v>34.941000000000003</v>
      </c>
      <c r="P4475" s="2">
        <v>44105</v>
      </c>
      <c r="Q4475">
        <v>1</v>
      </c>
      <c r="R4475" s="1" t="s">
        <v>122</v>
      </c>
    </row>
    <row r="4476" spans="1:18" x14ac:dyDescent="0.25">
      <c r="A4476">
        <v>2020</v>
      </c>
      <c r="B4476">
        <v>11</v>
      </c>
      <c r="C4476" s="1" t="s">
        <v>34</v>
      </c>
      <c r="D4476" s="1" t="s">
        <v>19</v>
      </c>
      <c r="E4476" s="1" t="s">
        <v>110</v>
      </c>
      <c r="F4476">
        <v>2016</v>
      </c>
      <c r="G4476">
        <v>4</v>
      </c>
      <c r="H4476" s="1" t="s">
        <v>123</v>
      </c>
      <c r="I4476">
        <v>24</v>
      </c>
      <c r="J4476">
        <v>3324</v>
      </c>
      <c r="K4476" s="1" t="s">
        <v>111</v>
      </c>
      <c r="L4476" s="1" t="s">
        <v>23</v>
      </c>
      <c r="M4476">
        <v>1.2390000000000001</v>
      </c>
      <c r="N4476">
        <v>29735</v>
      </c>
      <c r="O4476">
        <v>29.734999999999999</v>
      </c>
      <c r="P4476" s="2">
        <v>44136</v>
      </c>
      <c r="Q4476">
        <v>1</v>
      </c>
      <c r="R4476" s="1" t="s">
        <v>122</v>
      </c>
    </row>
    <row r="4477" spans="1:18" x14ac:dyDescent="0.25">
      <c r="A4477">
        <v>2020</v>
      </c>
      <c r="B4477">
        <v>12</v>
      </c>
      <c r="C4477" s="1" t="s">
        <v>35</v>
      </c>
      <c r="D4477" s="1" t="s">
        <v>19</v>
      </c>
      <c r="E4477" s="1" t="s">
        <v>110</v>
      </c>
      <c r="F4477">
        <v>2016</v>
      </c>
      <c r="G4477">
        <v>4</v>
      </c>
      <c r="H4477" s="1" t="s">
        <v>123</v>
      </c>
      <c r="I4477">
        <v>24</v>
      </c>
      <c r="J4477">
        <v>3324</v>
      </c>
      <c r="K4477" s="1" t="s">
        <v>111</v>
      </c>
      <c r="L4477" s="1" t="s">
        <v>23</v>
      </c>
      <c r="M4477">
        <v>1.111</v>
      </c>
      <c r="N4477">
        <v>26666.9</v>
      </c>
      <c r="O4477">
        <v>26.667000000000002</v>
      </c>
      <c r="P4477" s="2">
        <v>44166</v>
      </c>
      <c r="Q4477">
        <v>1</v>
      </c>
      <c r="R4477" s="1" t="s">
        <v>122</v>
      </c>
    </row>
    <row r="4478" spans="1:18" x14ac:dyDescent="0.25">
      <c r="A4478">
        <v>2020</v>
      </c>
      <c r="B4478">
        <v>1</v>
      </c>
      <c r="C4478" s="1" t="s">
        <v>18</v>
      </c>
      <c r="D4478" s="1" t="s">
        <v>19</v>
      </c>
      <c r="E4478" s="1" t="s">
        <v>112</v>
      </c>
      <c r="F4478">
        <v>2016</v>
      </c>
      <c r="G4478">
        <v>4</v>
      </c>
      <c r="H4478" s="1" t="s">
        <v>123</v>
      </c>
      <c r="I4478">
        <v>20</v>
      </c>
      <c r="J4478">
        <v>2663</v>
      </c>
      <c r="K4478" s="1" t="s">
        <v>113</v>
      </c>
      <c r="L4478" s="1" t="s">
        <v>23</v>
      </c>
      <c r="M4478">
        <v>0.63900000000000001</v>
      </c>
      <c r="N4478">
        <v>12784</v>
      </c>
      <c r="O4478">
        <v>12.784000000000001</v>
      </c>
      <c r="P4478" s="2">
        <v>43831</v>
      </c>
      <c r="Q4478">
        <v>1</v>
      </c>
      <c r="R4478" s="1" t="s">
        <v>122</v>
      </c>
    </row>
    <row r="4479" spans="1:18" x14ac:dyDescent="0.25">
      <c r="A4479">
        <v>2020</v>
      </c>
      <c r="B4479">
        <v>2</v>
      </c>
      <c r="C4479" s="1" t="s">
        <v>25</v>
      </c>
      <c r="D4479" s="1" t="s">
        <v>19</v>
      </c>
      <c r="E4479" s="1" t="s">
        <v>112</v>
      </c>
      <c r="F4479">
        <v>2016</v>
      </c>
      <c r="G4479">
        <v>4</v>
      </c>
      <c r="H4479" s="1" t="s">
        <v>123</v>
      </c>
      <c r="I4479">
        <v>20</v>
      </c>
      <c r="J4479">
        <v>2663</v>
      </c>
      <c r="K4479" s="1" t="s">
        <v>113</v>
      </c>
      <c r="L4479" s="1" t="s">
        <v>23</v>
      </c>
      <c r="M4479">
        <v>0.64700000000000002</v>
      </c>
      <c r="N4479">
        <v>12947.2</v>
      </c>
      <c r="O4479">
        <v>12.946999999999999</v>
      </c>
      <c r="P4479" s="2">
        <v>43862</v>
      </c>
      <c r="Q4479">
        <v>1</v>
      </c>
      <c r="R4479" s="1" t="s">
        <v>122</v>
      </c>
    </row>
    <row r="4480" spans="1:18" x14ac:dyDescent="0.25">
      <c r="A4480">
        <v>2020</v>
      </c>
      <c r="B4480">
        <v>3</v>
      </c>
      <c r="C4480" s="1" t="s">
        <v>26</v>
      </c>
      <c r="D4480" s="1" t="s">
        <v>19</v>
      </c>
      <c r="E4480" s="1" t="s">
        <v>112</v>
      </c>
      <c r="F4480">
        <v>2016</v>
      </c>
      <c r="G4480">
        <v>4</v>
      </c>
      <c r="H4480" s="1" t="s">
        <v>123</v>
      </c>
      <c r="I4480">
        <v>20</v>
      </c>
      <c r="J4480">
        <v>2663</v>
      </c>
      <c r="K4480" s="1" t="s">
        <v>113</v>
      </c>
      <c r="L4480" s="1" t="s">
        <v>23</v>
      </c>
      <c r="M4480">
        <v>0.748</v>
      </c>
      <c r="N4480">
        <v>14960</v>
      </c>
      <c r="O4480">
        <v>14.96</v>
      </c>
      <c r="P4480" s="2">
        <v>43891</v>
      </c>
      <c r="Q4480">
        <v>1</v>
      </c>
      <c r="R4480" s="1" t="s">
        <v>122</v>
      </c>
    </row>
    <row r="4481" spans="1:18" x14ac:dyDescent="0.25">
      <c r="A4481">
        <v>2020</v>
      </c>
      <c r="B4481">
        <v>4</v>
      </c>
      <c r="C4481" s="1" t="s">
        <v>27</v>
      </c>
      <c r="D4481" s="1" t="s">
        <v>19</v>
      </c>
      <c r="E4481" s="1" t="s">
        <v>112</v>
      </c>
      <c r="F4481">
        <v>2016</v>
      </c>
      <c r="G4481">
        <v>4</v>
      </c>
      <c r="H4481" s="1" t="s">
        <v>123</v>
      </c>
      <c r="I4481">
        <v>20</v>
      </c>
      <c r="J4481">
        <v>2663</v>
      </c>
      <c r="K4481" s="1" t="s">
        <v>113</v>
      </c>
      <c r="L4481" s="1" t="s">
        <v>23</v>
      </c>
      <c r="M4481">
        <v>1.3120000000000001</v>
      </c>
      <c r="N4481">
        <v>26234.400000000001</v>
      </c>
      <c r="O4481">
        <v>26.234000000000002</v>
      </c>
      <c r="P4481" s="2">
        <v>43922</v>
      </c>
      <c r="Q4481">
        <v>1</v>
      </c>
      <c r="R4481" s="1" t="s">
        <v>122</v>
      </c>
    </row>
    <row r="4482" spans="1:18" x14ac:dyDescent="0.25">
      <c r="A4482">
        <v>2020</v>
      </c>
      <c r="B4482">
        <v>5</v>
      </c>
      <c r="C4482" s="1" t="s">
        <v>28</v>
      </c>
      <c r="D4482" s="1" t="s">
        <v>19</v>
      </c>
      <c r="E4482" s="1" t="s">
        <v>112</v>
      </c>
      <c r="F4482">
        <v>2016</v>
      </c>
      <c r="G4482">
        <v>4</v>
      </c>
      <c r="H4482" s="1" t="s">
        <v>123</v>
      </c>
      <c r="I4482">
        <v>20</v>
      </c>
      <c r="J4482">
        <v>2663</v>
      </c>
      <c r="K4482" s="1" t="s">
        <v>113</v>
      </c>
      <c r="L4482" s="1" t="s">
        <v>23</v>
      </c>
      <c r="M4482">
        <v>1.468</v>
      </c>
      <c r="N4482">
        <v>29362.400000000001</v>
      </c>
      <c r="O4482">
        <v>29.361999999999998</v>
      </c>
      <c r="P4482" s="2">
        <v>43952</v>
      </c>
      <c r="Q4482">
        <v>1</v>
      </c>
      <c r="R4482" s="1" t="s">
        <v>122</v>
      </c>
    </row>
    <row r="4483" spans="1:18" x14ac:dyDescent="0.25">
      <c r="A4483">
        <v>2020</v>
      </c>
      <c r="B4483">
        <v>6</v>
      </c>
      <c r="C4483" s="1" t="s">
        <v>29</v>
      </c>
      <c r="D4483" s="1" t="s">
        <v>19</v>
      </c>
      <c r="E4483" s="1" t="s">
        <v>112</v>
      </c>
      <c r="F4483">
        <v>2016</v>
      </c>
      <c r="G4483">
        <v>4</v>
      </c>
      <c r="H4483" s="1" t="s">
        <v>123</v>
      </c>
      <c r="I4483">
        <v>20</v>
      </c>
      <c r="J4483">
        <v>2663</v>
      </c>
      <c r="K4483" s="1" t="s">
        <v>113</v>
      </c>
      <c r="L4483" s="1" t="s">
        <v>23</v>
      </c>
      <c r="M4483">
        <v>1.5289999999999999</v>
      </c>
      <c r="N4483">
        <v>30586.400000000001</v>
      </c>
      <c r="O4483">
        <v>30.585999999999999</v>
      </c>
      <c r="P4483" s="2">
        <v>43983</v>
      </c>
      <c r="Q4483">
        <v>1</v>
      </c>
      <c r="R4483" s="1" t="s">
        <v>122</v>
      </c>
    </row>
    <row r="4484" spans="1:18" x14ac:dyDescent="0.25">
      <c r="A4484">
        <v>2020</v>
      </c>
      <c r="B4484">
        <v>7</v>
      </c>
      <c r="C4484" s="1" t="s">
        <v>30</v>
      </c>
      <c r="D4484" s="1" t="s">
        <v>19</v>
      </c>
      <c r="E4484" s="1" t="s">
        <v>112</v>
      </c>
      <c r="F4484">
        <v>2016</v>
      </c>
      <c r="G4484">
        <v>4</v>
      </c>
      <c r="H4484" s="1" t="s">
        <v>123</v>
      </c>
      <c r="I4484">
        <v>20</v>
      </c>
      <c r="J4484">
        <v>2663</v>
      </c>
      <c r="K4484" s="1" t="s">
        <v>113</v>
      </c>
      <c r="L4484" s="1" t="s">
        <v>23</v>
      </c>
      <c r="M4484">
        <v>1.5629999999999999</v>
      </c>
      <c r="N4484">
        <v>31252.799999999999</v>
      </c>
      <c r="O4484">
        <v>31.253</v>
      </c>
      <c r="P4484" s="2">
        <v>44013</v>
      </c>
      <c r="Q4484">
        <v>1</v>
      </c>
      <c r="R4484" s="1" t="s">
        <v>122</v>
      </c>
    </row>
    <row r="4485" spans="1:18" x14ac:dyDescent="0.25">
      <c r="A4485">
        <v>2020</v>
      </c>
      <c r="B4485">
        <v>8</v>
      </c>
      <c r="C4485" s="1" t="s">
        <v>31</v>
      </c>
      <c r="D4485" s="1" t="s">
        <v>19</v>
      </c>
      <c r="E4485" s="1" t="s">
        <v>112</v>
      </c>
      <c r="F4485">
        <v>2016</v>
      </c>
      <c r="G4485">
        <v>4</v>
      </c>
      <c r="H4485" s="1" t="s">
        <v>123</v>
      </c>
      <c r="I4485">
        <v>20</v>
      </c>
      <c r="J4485">
        <v>2663</v>
      </c>
      <c r="K4485" s="1" t="s">
        <v>113</v>
      </c>
      <c r="L4485" s="1" t="s">
        <v>23</v>
      </c>
      <c r="M4485">
        <v>1.4930000000000001</v>
      </c>
      <c r="N4485">
        <v>29865.599999999999</v>
      </c>
      <c r="O4485">
        <v>29.866</v>
      </c>
      <c r="P4485" s="2">
        <v>44044</v>
      </c>
      <c r="Q4485">
        <v>1</v>
      </c>
      <c r="R4485" s="1" t="s">
        <v>122</v>
      </c>
    </row>
    <row r="4486" spans="1:18" x14ac:dyDescent="0.25">
      <c r="A4486">
        <v>2020</v>
      </c>
      <c r="B4486">
        <v>9</v>
      </c>
      <c r="C4486" s="1" t="s">
        <v>32</v>
      </c>
      <c r="D4486" s="1" t="s">
        <v>19</v>
      </c>
      <c r="E4486" s="1" t="s">
        <v>112</v>
      </c>
      <c r="F4486">
        <v>2016</v>
      </c>
      <c r="G4486">
        <v>4</v>
      </c>
      <c r="H4486" s="1" t="s">
        <v>123</v>
      </c>
      <c r="I4486">
        <v>20</v>
      </c>
      <c r="J4486">
        <v>2663</v>
      </c>
      <c r="K4486" s="1" t="s">
        <v>113</v>
      </c>
      <c r="L4486" s="1" t="s">
        <v>23</v>
      </c>
      <c r="M4486">
        <v>1.5720000000000001</v>
      </c>
      <c r="N4486">
        <v>31443.200000000001</v>
      </c>
      <c r="O4486">
        <v>31.443000000000001</v>
      </c>
      <c r="P4486" s="2">
        <v>44075</v>
      </c>
      <c r="Q4486">
        <v>1</v>
      </c>
      <c r="R4486" s="1" t="s">
        <v>122</v>
      </c>
    </row>
    <row r="4487" spans="1:18" x14ac:dyDescent="0.25">
      <c r="A4487">
        <v>2020</v>
      </c>
      <c r="B4487">
        <v>10</v>
      </c>
      <c r="C4487" s="1" t="s">
        <v>33</v>
      </c>
      <c r="D4487" s="1" t="s">
        <v>19</v>
      </c>
      <c r="E4487" s="1" t="s">
        <v>112</v>
      </c>
      <c r="F4487">
        <v>2016</v>
      </c>
      <c r="G4487">
        <v>4</v>
      </c>
      <c r="H4487" s="1" t="s">
        <v>123</v>
      </c>
      <c r="I4487">
        <v>20</v>
      </c>
      <c r="J4487">
        <v>2663</v>
      </c>
      <c r="K4487" s="1" t="s">
        <v>113</v>
      </c>
      <c r="L4487" s="1" t="s">
        <v>23</v>
      </c>
      <c r="M4487">
        <v>1.456</v>
      </c>
      <c r="N4487">
        <v>29117.599999999999</v>
      </c>
      <c r="O4487">
        <v>29.117999999999999</v>
      </c>
      <c r="P4487" s="2">
        <v>44105</v>
      </c>
      <c r="Q4487">
        <v>1</v>
      </c>
      <c r="R4487" s="1" t="s">
        <v>122</v>
      </c>
    </row>
    <row r="4488" spans="1:18" x14ac:dyDescent="0.25">
      <c r="A4488">
        <v>2020</v>
      </c>
      <c r="B4488">
        <v>11</v>
      </c>
      <c r="C4488" s="1" t="s">
        <v>34</v>
      </c>
      <c r="D4488" s="1" t="s">
        <v>19</v>
      </c>
      <c r="E4488" s="1" t="s">
        <v>112</v>
      </c>
      <c r="F4488">
        <v>2016</v>
      </c>
      <c r="G4488">
        <v>4</v>
      </c>
      <c r="H4488" s="1" t="s">
        <v>123</v>
      </c>
      <c r="I4488">
        <v>20</v>
      </c>
      <c r="J4488">
        <v>2663</v>
      </c>
      <c r="K4488" s="1" t="s">
        <v>113</v>
      </c>
      <c r="L4488" s="1" t="s">
        <v>23</v>
      </c>
      <c r="M4488">
        <v>1.2390000000000001</v>
      </c>
      <c r="N4488">
        <v>24779.200000000001</v>
      </c>
      <c r="O4488">
        <v>24.779</v>
      </c>
      <c r="P4488" s="2">
        <v>44136</v>
      </c>
      <c r="Q4488">
        <v>1</v>
      </c>
      <c r="R4488" s="1" t="s">
        <v>122</v>
      </c>
    </row>
    <row r="4489" spans="1:18" x14ac:dyDescent="0.25">
      <c r="A4489">
        <v>2020</v>
      </c>
      <c r="B4489">
        <v>12</v>
      </c>
      <c r="C4489" s="1" t="s">
        <v>35</v>
      </c>
      <c r="D4489" s="1" t="s">
        <v>19</v>
      </c>
      <c r="E4489" s="1" t="s">
        <v>112</v>
      </c>
      <c r="F4489">
        <v>2016</v>
      </c>
      <c r="G4489">
        <v>4</v>
      </c>
      <c r="H4489" s="1" t="s">
        <v>123</v>
      </c>
      <c r="I4489">
        <v>20</v>
      </c>
      <c r="J4489">
        <v>2663</v>
      </c>
      <c r="K4489" s="1" t="s">
        <v>113</v>
      </c>
      <c r="L4489" s="1" t="s">
        <v>23</v>
      </c>
      <c r="M4489">
        <v>1.111</v>
      </c>
      <c r="N4489">
        <v>22222.400000000001</v>
      </c>
      <c r="O4489">
        <v>22.222000000000001</v>
      </c>
      <c r="P4489" s="2">
        <v>44166</v>
      </c>
      <c r="Q4489">
        <v>1</v>
      </c>
      <c r="R4489" s="1" t="s">
        <v>122</v>
      </c>
    </row>
    <row r="4490" spans="1:18" x14ac:dyDescent="0.25">
      <c r="A4490">
        <v>2020</v>
      </c>
      <c r="B4490">
        <v>1</v>
      </c>
      <c r="C4490" s="1" t="s">
        <v>18</v>
      </c>
      <c r="D4490" s="1" t="s">
        <v>19</v>
      </c>
      <c r="E4490" s="1" t="s">
        <v>114</v>
      </c>
      <c r="F4490">
        <v>2016</v>
      </c>
      <c r="G4490">
        <v>4</v>
      </c>
      <c r="H4490" s="1" t="s">
        <v>123</v>
      </c>
      <c r="I4490">
        <v>14</v>
      </c>
      <c r="J4490">
        <v>1746</v>
      </c>
      <c r="K4490" s="1" t="s">
        <v>115</v>
      </c>
      <c r="L4490" s="1" t="s">
        <v>23</v>
      </c>
      <c r="M4490">
        <v>0.63900000000000001</v>
      </c>
      <c r="N4490">
        <v>8948.7999999999993</v>
      </c>
      <c r="O4490">
        <v>8.9489999999999998</v>
      </c>
      <c r="P4490" s="2">
        <v>43831</v>
      </c>
      <c r="Q4490">
        <v>1</v>
      </c>
      <c r="R4490" s="1" t="s">
        <v>122</v>
      </c>
    </row>
    <row r="4491" spans="1:18" x14ac:dyDescent="0.25">
      <c r="A4491">
        <v>2020</v>
      </c>
      <c r="B4491">
        <v>2</v>
      </c>
      <c r="C4491" s="1" t="s">
        <v>25</v>
      </c>
      <c r="D4491" s="1" t="s">
        <v>19</v>
      </c>
      <c r="E4491" s="1" t="s">
        <v>114</v>
      </c>
      <c r="F4491">
        <v>2016</v>
      </c>
      <c r="G4491">
        <v>4</v>
      </c>
      <c r="H4491" s="1" t="s">
        <v>123</v>
      </c>
      <c r="I4491">
        <v>14</v>
      </c>
      <c r="J4491">
        <v>1746</v>
      </c>
      <c r="K4491" s="1" t="s">
        <v>115</v>
      </c>
      <c r="L4491" s="1" t="s">
        <v>23</v>
      </c>
      <c r="M4491">
        <v>0.64700000000000002</v>
      </c>
      <c r="N4491">
        <v>9063</v>
      </c>
      <c r="O4491">
        <v>9.0630000000000006</v>
      </c>
      <c r="P4491" s="2">
        <v>43862</v>
      </c>
      <c r="Q4491">
        <v>1</v>
      </c>
      <c r="R4491" s="1" t="s">
        <v>122</v>
      </c>
    </row>
    <row r="4492" spans="1:18" x14ac:dyDescent="0.25">
      <c r="A4492">
        <v>2020</v>
      </c>
      <c r="B4492">
        <v>3</v>
      </c>
      <c r="C4492" s="1" t="s">
        <v>26</v>
      </c>
      <c r="D4492" s="1" t="s">
        <v>19</v>
      </c>
      <c r="E4492" s="1" t="s">
        <v>114</v>
      </c>
      <c r="F4492">
        <v>2016</v>
      </c>
      <c r="G4492">
        <v>4</v>
      </c>
      <c r="H4492" s="1" t="s">
        <v>123</v>
      </c>
      <c r="I4492">
        <v>14</v>
      </c>
      <c r="J4492">
        <v>1746</v>
      </c>
      <c r="K4492" s="1" t="s">
        <v>115</v>
      </c>
      <c r="L4492" s="1" t="s">
        <v>23</v>
      </c>
      <c r="M4492">
        <v>0.748</v>
      </c>
      <c r="N4492">
        <v>10472</v>
      </c>
      <c r="O4492">
        <v>10.472</v>
      </c>
      <c r="P4492" s="2">
        <v>43891</v>
      </c>
      <c r="Q4492">
        <v>1</v>
      </c>
      <c r="R4492" s="1" t="s">
        <v>122</v>
      </c>
    </row>
    <row r="4493" spans="1:18" x14ac:dyDescent="0.25">
      <c r="A4493">
        <v>2020</v>
      </c>
      <c r="B4493">
        <v>4</v>
      </c>
      <c r="C4493" s="1" t="s">
        <v>27</v>
      </c>
      <c r="D4493" s="1" t="s">
        <v>19</v>
      </c>
      <c r="E4493" s="1" t="s">
        <v>114</v>
      </c>
      <c r="F4493">
        <v>2016</v>
      </c>
      <c r="G4493">
        <v>4</v>
      </c>
      <c r="H4493" s="1" t="s">
        <v>123</v>
      </c>
      <c r="I4493">
        <v>14</v>
      </c>
      <c r="J4493">
        <v>1746</v>
      </c>
      <c r="K4493" s="1" t="s">
        <v>115</v>
      </c>
      <c r="L4493" s="1" t="s">
        <v>23</v>
      </c>
      <c r="M4493">
        <v>1.3120000000000001</v>
      </c>
      <c r="N4493">
        <v>18364.099999999999</v>
      </c>
      <c r="O4493">
        <v>18.364000000000001</v>
      </c>
      <c r="P4493" s="2">
        <v>43922</v>
      </c>
      <c r="Q4493">
        <v>1</v>
      </c>
      <c r="R4493" s="1" t="s">
        <v>122</v>
      </c>
    </row>
    <row r="4494" spans="1:18" x14ac:dyDescent="0.25">
      <c r="A4494">
        <v>2020</v>
      </c>
      <c r="B4494">
        <v>5</v>
      </c>
      <c r="C4494" s="1" t="s">
        <v>28</v>
      </c>
      <c r="D4494" s="1" t="s">
        <v>19</v>
      </c>
      <c r="E4494" s="1" t="s">
        <v>114</v>
      </c>
      <c r="F4494">
        <v>2016</v>
      </c>
      <c r="G4494">
        <v>4</v>
      </c>
      <c r="H4494" s="1" t="s">
        <v>123</v>
      </c>
      <c r="I4494">
        <v>14</v>
      </c>
      <c r="J4494">
        <v>1746</v>
      </c>
      <c r="K4494" s="1" t="s">
        <v>115</v>
      </c>
      <c r="L4494" s="1" t="s">
        <v>23</v>
      </c>
      <c r="M4494">
        <v>1.468</v>
      </c>
      <c r="N4494">
        <v>20553.7</v>
      </c>
      <c r="O4494">
        <v>20.553999999999998</v>
      </c>
      <c r="P4494" s="2">
        <v>43952</v>
      </c>
      <c r="Q4494">
        <v>1</v>
      </c>
      <c r="R4494" s="1" t="s">
        <v>122</v>
      </c>
    </row>
    <row r="4495" spans="1:18" x14ac:dyDescent="0.25">
      <c r="A4495">
        <v>2020</v>
      </c>
      <c r="B4495">
        <v>6</v>
      </c>
      <c r="C4495" s="1" t="s">
        <v>29</v>
      </c>
      <c r="D4495" s="1" t="s">
        <v>19</v>
      </c>
      <c r="E4495" s="1" t="s">
        <v>114</v>
      </c>
      <c r="F4495">
        <v>2016</v>
      </c>
      <c r="G4495">
        <v>4</v>
      </c>
      <c r="H4495" s="1" t="s">
        <v>123</v>
      </c>
      <c r="I4495">
        <v>14</v>
      </c>
      <c r="J4495">
        <v>1746</v>
      </c>
      <c r="K4495" s="1" t="s">
        <v>115</v>
      </c>
      <c r="L4495" s="1" t="s">
        <v>23</v>
      </c>
      <c r="M4495">
        <v>1.5289999999999999</v>
      </c>
      <c r="N4495">
        <v>21410.5</v>
      </c>
      <c r="O4495">
        <v>21.41</v>
      </c>
      <c r="P4495" s="2">
        <v>43983</v>
      </c>
      <c r="Q4495">
        <v>1</v>
      </c>
      <c r="R4495" s="1" t="s">
        <v>122</v>
      </c>
    </row>
    <row r="4496" spans="1:18" x14ac:dyDescent="0.25">
      <c r="A4496">
        <v>2020</v>
      </c>
      <c r="B4496">
        <v>7</v>
      </c>
      <c r="C4496" s="1" t="s">
        <v>30</v>
      </c>
      <c r="D4496" s="1" t="s">
        <v>19</v>
      </c>
      <c r="E4496" s="1" t="s">
        <v>114</v>
      </c>
      <c r="F4496">
        <v>2016</v>
      </c>
      <c r="G4496">
        <v>4</v>
      </c>
      <c r="H4496" s="1" t="s">
        <v>123</v>
      </c>
      <c r="I4496">
        <v>14</v>
      </c>
      <c r="J4496">
        <v>1746</v>
      </c>
      <c r="K4496" s="1" t="s">
        <v>115</v>
      </c>
      <c r="L4496" s="1" t="s">
        <v>23</v>
      </c>
      <c r="M4496">
        <v>1.5629999999999999</v>
      </c>
      <c r="N4496">
        <v>21877</v>
      </c>
      <c r="O4496">
        <v>21.876999999999999</v>
      </c>
      <c r="P4496" s="2">
        <v>44013</v>
      </c>
      <c r="Q4496">
        <v>1</v>
      </c>
      <c r="R4496" s="1" t="s">
        <v>122</v>
      </c>
    </row>
    <row r="4497" spans="1:18" x14ac:dyDescent="0.25">
      <c r="A4497">
        <v>2020</v>
      </c>
      <c r="B4497">
        <v>8</v>
      </c>
      <c r="C4497" s="1" t="s">
        <v>31</v>
      </c>
      <c r="D4497" s="1" t="s">
        <v>19</v>
      </c>
      <c r="E4497" s="1" t="s">
        <v>114</v>
      </c>
      <c r="F4497">
        <v>2016</v>
      </c>
      <c r="G4497">
        <v>4</v>
      </c>
      <c r="H4497" s="1" t="s">
        <v>123</v>
      </c>
      <c r="I4497">
        <v>14</v>
      </c>
      <c r="J4497">
        <v>1746</v>
      </c>
      <c r="K4497" s="1" t="s">
        <v>115</v>
      </c>
      <c r="L4497" s="1" t="s">
        <v>23</v>
      </c>
      <c r="M4497">
        <v>1.4930000000000001</v>
      </c>
      <c r="N4497">
        <v>20905.900000000001</v>
      </c>
      <c r="O4497">
        <v>20.905999999999999</v>
      </c>
      <c r="P4497" s="2">
        <v>44044</v>
      </c>
      <c r="Q4497">
        <v>1</v>
      </c>
      <c r="R4497" s="1" t="s">
        <v>122</v>
      </c>
    </row>
    <row r="4498" spans="1:18" x14ac:dyDescent="0.25">
      <c r="A4498">
        <v>2020</v>
      </c>
      <c r="B4498">
        <v>9</v>
      </c>
      <c r="C4498" s="1" t="s">
        <v>32</v>
      </c>
      <c r="D4498" s="1" t="s">
        <v>19</v>
      </c>
      <c r="E4498" s="1" t="s">
        <v>114</v>
      </c>
      <c r="F4498">
        <v>2016</v>
      </c>
      <c r="G4498">
        <v>4</v>
      </c>
      <c r="H4498" s="1" t="s">
        <v>123</v>
      </c>
      <c r="I4498">
        <v>14</v>
      </c>
      <c r="J4498">
        <v>1746</v>
      </c>
      <c r="K4498" s="1" t="s">
        <v>115</v>
      </c>
      <c r="L4498" s="1" t="s">
        <v>23</v>
      </c>
      <c r="M4498">
        <v>1.5720000000000001</v>
      </c>
      <c r="N4498">
        <v>22010.2</v>
      </c>
      <c r="O4498">
        <v>22.01</v>
      </c>
      <c r="P4498" s="2">
        <v>44075</v>
      </c>
      <c r="Q4498">
        <v>1</v>
      </c>
      <c r="R4498" s="1" t="s">
        <v>122</v>
      </c>
    </row>
    <row r="4499" spans="1:18" x14ac:dyDescent="0.25">
      <c r="A4499">
        <v>2020</v>
      </c>
      <c r="B4499">
        <v>10</v>
      </c>
      <c r="C4499" s="1" t="s">
        <v>33</v>
      </c>
      <c r="D4499" s="1" t="s">
        <v>19</v>
      </c>
      <c r="E4499" s="1" t="s">
        <v>114</v>
      </c>
      <c r="F4499">
        <v>2016</v>
      </c>
      <c r="G4499">
        <v>4</v>
      </c>
      <c r="H4499" s="1" t="s">
        <v>123</v>
      </c>
      <c r="I4499">
        <v>14</v>
      </c>
      <c r="J4499">
        <v>1746</v>
      </c>
      <c r="K4499" s="1" t="s">
        <v>115</v>
      </c>
      <c r="L4499" s="1" t="s">
        <v>23</v>
      </c>
      <c r="M4499">
        <v>1.456</v>
      </c>
      <c r="N4499">
        <v>20382.3</v>
      </c>
      <c r="O4499">
        <v>20.382000000000001</v>
      </c>
      <c r="P4499" s="2">
        <v>44105</v>
      </c>
      <c r="Q4499">
        <v>1</v>
      </c>
      <c r="R4499" s="1" t="s">
        <v>122</v>
      </c>
    </row>
    <row r="4500" spans="1:18" x14ac:dyDescent="0.25">
      <c r="A4500">
        <v>2020</v>
      </c>
      <c r="B4500">
        <v>11</v>
      </c>
      <c r="C4500" s="1" t="s">
        <v>34</v>
      </c>
      <c r="D4500" s="1" t="s">
        <v>19</v>
      </c>
      <c r="E4500" s="1" t="s">
        <v>114</v>
      </c>
      <c r="F4500">
        <v>2016</v>
      </c>
      <c r="G4500">
        <v>4</v>
      </c>
      <c r="H4500" s="1" t="s">
        <v>123</v>
      </c>
      <c r="I4500">
        <v>14</v>
      </c>
      <c r="J4500">
        <v>1746</v>
      </c>
      <c r="K4500" s="1" t="s">
        <v>115</v>
      </c>
      <c r="L4500" s="1" t="s">
        <v>23</v>
      </c>
      <c r="M4500">
        <v>1.2390000000000001</v>
      </c>
      <c r="N4500">
        <v>17345.400000000001</v>
      </c>
      <c r="O4500">
        <v>17.344999999999999</v>
      </c>
      <c r="P4500" s="2">
        <v>44136</v>
      </c>
      <c r="Q4500">
        <v>1</v>
      </c>
      <c r="R4500" s="1" t="s">
        <v>122</v>
      </c>
    </row>
    <row r="4501" spans="1:18" x14ac:dyDescent="0.25">
      <c r="A4501">
        <v>2020</v>
      </c>
      <c r="B4501">
        <v>12</v>
      </c>
      <c r="C4501" s="1" t="s">
        <v>35</v>
      </c>
      <c r="D4501" s="1" t="s">
        <v>19</v>
      </c>
      <c r="E4501" s="1" t="s">
        <v>114</v>
      </c>
      <c r="F4501">
        <v>2016</v>
      </c>
      <c r="G4501">
        <v>4</v>
      </c>
      <c r="H4501" s="1" t="s">
        <v>123</v>
      </c>
      <c r="I4501">
        <v>14</v>
      </c>
      <c r="J4501">
        <v>1746</v>
      </c>
      <c r="K4501" s="1" t="s">
        <v>115</v>
      </c>
      <c r="L4501" s="1" t="s">
        <v>23</v>
      </c>
      <c r="M4501">
        <v>1.111</v>
      </c>
      <c r="N4501">
        <v>15555.7</v>
      </c>
      <c r="O4501">
        <v>15.555999999999999</v>
      </c>
      <c r="P4501" s="2">
        <v>44166</v>
      </c>
      <c r="Q4501">
        <v>1</v>
      </c>
      <c r="R4501" s="1" t="s">
        <v>122</v>
      </c>
    </row>
    <row r="4502" spans="1:18" x14ac:dyDescent="0.25">
      <c r="A4502">
        <v>2020</v>
      </c>
      <c r="B4502">
        <v>1</v>
      </c>
      <c r="C4502" s="1" t="s">
        <v>18</v>
      </c>
      <c r="D4502" s="1" t="s">
        <v>19</v>
      </c>
      <c r="E4502" s="1" t="s">
        <v>116</v>
      </c>
      <c r="F4502">
        <v>2016</v>
      </c>
      <c r="G4502">
        <v>4</v>
      </c>
      <c r="H4502" s="1" t="s">
        <v>123</v>
      </c>
      <c r="I4502">
        <v>24</v>
      </c>
      <c r="J4502">
        <v>3377</v>
      </c>
      <c r="K4502" s="1" t="s">
        <v>103</v>
      </c>
      <c r="L4502" s="1" t="s">
        <v>23</v>
      </c>
      <c r="M4502">
        <v>0.63900000000000001</v>
      </c>
      <c r="N4502">
        <v>15340.8</v>
      </c>
      <c r="O4502">
        <v>15.340999999999999</v>
      </c>
      <c r="P4502" s="2">
        <v>43831</v>
      </c>
      <c r="Q4502">
        <v>1</v>
      </c>
      <c r="R4502" s="1" t="s">
        <v>122</v>
      </c>
    </row>
    <row r="4503" spans="1:18" x14ac:dyDescent="0.25">
      <c r="A4503">
        <v>2020</v>
      </c>
      <c r="B4503">
        <v>2</v>
      </c>
      <c r="C4503" s="1" t="s">
        <v>25</v>
      </c>
      <c r="D4503" s="1" t="s">
        <v>19</v>
      </c>
      <c r="E4503" s="1" t="s">
        <v>116</v>
      </c>
      <c r="F4503">
        <v>2016</v>
      </c>
      <c r="G4503">
        <v>4</v>
      </c>
      <c r="H4503" s="1" t="s">
        <v>123</v>
      </c>
      <c r="I4503">
        <v>24</v>
      </c>
      <c r="J4503">
        <v>3377</v>
      </c>
      <c r="K4503" s="1" t="s">
        <v>103</v>
      </c>
      <c r="L4503" s="1" t="s">
        <v>23</v>
      </c>
      <c r="M4503">
        <v>0.64700000000000002</v>
      </c>
      <c r="N4503">
        <v>15536.6</v>
      </c>
      <c r="O4503">
        <v>15.537000000000001</v>
      </c>
      <c r="P4503" s="2">
        <v>43862</v>
      </c>
      <c r="Q4503">
        <v>1</v>
      </c>
      <c r="R4503" s="1" t="s">
        <v>122</v>
      </c>
    </row>
    <row r="4504" spans="1:18" x14ac:dyDescent="0.25">
      <c r="A4504">
        <v>2020</v>
      </c>
      <c r="B4504">
        <v>3</v>
      </c>
      <c r="C4504" s="1" t="s">
        <v>26</v>
      </c>
      <c r="D4504" s="1" t="s">
        <v>19</v>
      </c>
      <c r="E4504" s="1" t="s">
        <v>116</v>
      </c>
      <c r="F4504">
        <v>2016</v>
      </c>
      <c r="G4504">
        <v>4</v>
      </c>
      <c r="H4504" s="1" t="s">
        <v>123</v>
      </c>
      <c r="I4504">
        <v>24</v>
      </c>
      <c r="J4504">
        <v>3377</v>
      </c>
      <c r="K4504" s="1" t="s">
        <v>103</v>
      </c>
      <c r="L4504" s="1" t="s">
        <v>23</v>
      </c>
      <c r="M4504">
        <v>0.748</v>
      </c>
      <c r="N4504">
        <v>17952</v>
      </c>
      <c r="O4504">
        <v>17.952000000000002</v>
      </c>
      <c r="P4504" s="2">
        <v>43891</v>
      </c>
      <c r="Q4504">
        <v>1</v>
      </c>
      <c r="R4504" s="1" t="s">
        <v>122</v>
      </c>
    </row>
    <row r="4505" spans="1:18" x14ac:dyDescent="0.25">
      <c r="A4505">
        <v>2020</v>
      </c>
      <c r="B4505">
        <v>4</v>
      </c>
      <c r="C4505" s="1" t="s">
        <v>27</v>
      </c>
      <c r="D4505" s="1" t="s">
        <v>19</v>
      </c>
      <c r="E4505" s="1" t="s">
        <v>116</v>
      </c>
      <c r="F4505">
        <v>2016</v>
      </c>
      <c r="G4505">
        <v>4</v>
      </c>
      <c r="H4505" s="1" t="s">
        <v>123</v>
      </c>
      <c r="I4505">
        <v>24</v>
      </c>
      <c r="J4505">
        <v>3377</v>
      </c>
      <c r="K4505" s="1" t="s">
        <v>103</v>
      </c>
      <c r="L4505" s="1" t="s">
        <v>23</v>
      </c>
      <c r="M4505">
        <v>1.3120000000000001</v>
      </c>
      <c r="N4505">
        <v>31481.3</v>
      </c>
      <c r="O4505">
        <v>31.481000000000002</v>
      </c>
      <c r="P4505" s="2">
        <v>43922</v>
      </c>
      <c r="Q4505">
        <v>1</v>
      </c>
      <c r="R4505" s="1" t="s">
        <v>122</v>
      </c>
    </row>
    <row r="4506" spans="1:18" x14ac:dyDescent="0.25">
      <c r="A4506">
        <v>2020</v>
      </c>
      <c r="B4506">
        <v>5</v>
      </c>
      <c r="C4506" s="1" t="s">
        <v>28</v>
      </c>
      <c r="D4506" s="1" t="s">
        <v>19</v>
      </c>
      <c r="E4506" s="1" t="s">
        <v>116</v>
      </c>
      <c r="F4506">
        <v>2016</v>
      </c>
      <c r="G4506">
        <v>4</v>
      </c>
      <c r="H4506" s="1" t="s">
        <v>123</v>
      </c>
      <c r="I4506">
        <v>24</v>
      </c>
      <c r="J4506">
        <v>3377</v>
      </c>
      <c r="K4506" s="1" t="s">
        <v>103</v>
      </c>
      <c r="L4506" s="1" t="s">
        <v>23</v>
      </c>
      <c r="M4506">
        <v>1.468</v>
      </c>
      <c r="N4506">
        <v>35234.9</v>
      </c>
      <c r="O4506">
        <v>35.234999999999999</v>
      </c>
      <c r="P4506" s="2">
        <v>43952</v>
      </c>
      <c r="Q4506">
        <v>1</v>
      </c>
      <c r="R4506" s="1" t="s">
        <v>122</v>
      </c>
    </row>
    <row r="4507" spans="1:18" x14ac:dyDescent="0.25">
      <c r="A4507">
        <v>2020</v>
      </c>
      <c r="B4507">
        <v>6</v>
      </c>
      <c r="C4507" s="1" t="s">
        <v>29</v>
      </c>
      <c r="D4507" s="1" t="s">
        <v>19</v>
      </c>
      <c r="E4507" s="1" t="s">
        <v>116</v>
      </c>
      <c r="F4507">
        <v>2016</v>
      </c>
      <c r="G4507">
        <v>4</v>
      </c>
      <c r="H4507" s="1" t="s">
        <v>123</v>
      </c>
      <c r="I4507">
        <v>24</v>
      </c>
      <c r="J4507">
        <v>3377</v>
      </c>
      <c r="K4507" s="1" t="s">
        <v>103</v>
      </c>
      <c r="L4507" s="1" t="s">
        <v>23</v>
      </c>
      <c r="M4507">
        <v>1.5289999999999999</v>
      </c>
      <c r="N4507">
        <v>36703.699999999997</v>
      </c>
      <c r="O4507">
        <v>36.704000000000001</v>
      </c>
      <c r="P4507" s="2">
        <v>43983</v>
      </c>
      <c r="Q4507">
        <v>1</v>
      </c>
      <c r="R4507" s="1" t="s">
        <v>122</v>
      </c>
    </row>
    <row r="4508" spans="1:18" x14ac:dyDescent="0.25">
      <c r="A4508">
        <v>2020</v>
      </c>
      <c r="B4508">
        <v>7</v>
      </c>
      <c r="C4508" s="1" t="s">
        <v>30</v>
      </c>
      <c r="D4508" s="1" t="s">
        <v>19</v>
      </c>
      <c r="E4508" s="1" t="s">
        <v>116</v>
      </c>
      <c r="F4508">
        <v>2016</v>
      </c>
      <c r="G4508">
        <v>4</v>
      </c>
      <c r="H4508" s="1" t="s">
        <v>123</v>
      </c>
      <c r="I4508">
        <v>24</v>
      </c>
      <c r="J4508">
        <v>3377</v>
      </c>
      <c r="K4508" s="1" t="s">
        <v>103</v>
      </c>
      <c r="L4508" s="1" t="s">
        <v>23</v>
      </c>
      <c r="M4508">
        <v>1.5629999999999999</v>
      </c>
      <c r="N4508">
        <v>37503.4</v>
      </c>
      <c r="O4508">
        <v>37.503</v>
      </c>
      <c r="P4508" s="2">
        <v>44013</v>
      </c>
      <c r="Q4508">
        <v>1</v>
      </c>
      <c r="R4508" s="1" t="s">
        <v>122</v>
      </c>
    </row>
    <row r="4509" spans="1:18" x14ac:dyDescent="0.25">
      <c r="A4509">
        <v>2020</v>
      </c>
      <c r="B4509">
        <v>8</v>
      </c>
      <c r="C4509" s="1" t="s">
        <v>31</v>
      </c>
      <c r="D4509" s="1" t="s">
        <v>19</v>
      </c>
      <c r="E4509" s="1" t="s">
        <v>116</v>
      </c>
      <c r="F4509">
        <v>2016</v>
      </c>
      <c r="G4509">
        <v>4</v>
      </c>
      <c r="H4509" s="1" t="s">
        <v>123</v>
      </c>
      <c r="I4509">
        <v>24</v>
      </c>
      <c r="J4509">
        <v>3377</v>
      </c>
      <c r="K4509" s="1" t="s">
        <v>103</v>
      </c>
      <c r="L4509" s="1" t="s">
        <v>23</v>
      </c>
      <c r="M4509">
        <v>1.4930000000000001</v>
      </c>
      <c r="N4509">
        <v>35838.699999999997</v>
      </c>
      <c r="O4509">
        <v>35.838999999999999</v>
      </c>
      <c r="P4509" s="2">
        <v>44044</v>
      </c>
      <c r="Q4509">
        <v>1</v>
      </c>
      <c r="R4509" s="1" t="s">
        <v>122</v>
      </c>
    </row>
    <row r="4510" spans="1:18" x14ac:dyDescent="0.25">
      <c r="A4510">
        <v>2020</v>
      </c>
      <c r="B4510">
        <v>9</v>
      </c>
      <c r="C4510" s="1" t="s">
        <v>32</v>
      </c>
      <c r="D4510" s="1" t="s">
        <v>19</v>
      </c>
      <c r="E4510" s="1" t="s">
        <v>116</v>
      </c>
      <c r="F4510">
        <v>2016</v>
      </c>
      <c r="G4510">
        <v>4</v>
      </c>
      <c r="H4510" s="1" t="s">
        <v>123</v>
      </c>
      <c r="I4510">
        <v>24</v>
      </c>
      <c r="J4510">
        <v>3377</v>
      </c>
      <c r="K4510" s="1" t="s">
        <v>103</v>
      </c>
      <c r="L4510" s="1" t="s">
        <v>23</v>
      </c>
      <c r="M4510">
        <v>1.5720000000000001</v>
      </c>
      <c r="N4510">
        <v>37731.800000000003</v>
      </c>
      <c r="O4510">
        <v>37.731999999999999</v>
      </c>
      <c r="P4510" s="2">
        <v>44075</v>
      </c>
      <c r="Q4510">
        <v>1</v>
      </c>
      <c r="R4510" s="1" t="s">
        <v>122</v>
      </c>
    </row>
    <row r="4511" spans="1:18" x14ac:dyDescent="0.25">
      <c r="A4511">
        <v>2020</v>
      </c>
      <c r="B4511">
        <v>10</v>
      </c>
      <c r="C4511" s="1" t="s">
        <v>33</v>
      </c>
      <c r="D4511" s="1" t="s">
        <v>19</v>
      </c>
      <c r="E4511" s="1" t="s">
        <v>116</v>
      </c>
      <c r="F4511">
        <v>2016</v>
      </c>
      <c r="G4511">
        <v>4</v>
      </c>
      <c r="H4511" s="1" t="s">
        <v>123</v>
      </c>
      <c r="I4511">
        <v>24</v>
      </c>
      <c r="J4511">
        <v>3377</v>
      </c>
      <c r="K4511" s="1" t="s">
        <v>103</v>
      </c>
      <c r="L4511" s="1" t="s">
        <v>23</v>
      </c>
      <c r="M4511">
        <v>1.456</v>
      </c>
      <c r="N4511">
        <v>34941.1</v>
      </c>
      <c r="O4511">
        <v>34.941000000000003</v>
      </c>
      <c r="P4511" s="2">
        <v>44105</v>
      </c>
      <c r="Q4511">
        <v>1</v>
      </c>
      <c r="R4511" s="1" t="s">
        <v>122</v>
      </c>
    </row>
    <row r="4512" spans="1:18" x14ac:dyDescent="0.25">
      <c r="A4512">
        <v>2020</v>
      </c>
      <c r="B4512">
        <v>11</v>
      </c>
      <c r="C4512" s="1" t="s">
        <v>34</v>
      </c>
      <c r="D4512" s="1" t="s">
        <v>19</v>
      </c>
      <c r="E4512" s="1" t="s">
        <v>116</v>
      </c>
      <c r="F4512">
        <v>2016</v>
      </c>
      <c r="G4512">
        <v>4</v>
      </c>
      <c r="H4512" s="1" t="s">
        <v>123</v>
      </c>
      <c r="I4512">
        <v>24</v>
      </c>
      <c r="J4512">
        <v>3377</v>
      </c>
      <c r="K4512" s="1" t="s">
        <v>103</v>
      </c>
      <c r="L4512" s="1" t="s">
        <v>23</v>
      </c>
      <c r="M4512">
        <v>1.2390000000000001</v>
      </c>
      <c r="N4512">
        <v>29735</v>
      </c>
      <c r="O4512">
        <v>29.734999999999999</v>
      </c>
      <c r="P4512" s="2">
        <v>44136</v>
      </c>
      <c r="Q4512">
        <v>1</v>
      </c>
      <c r="R4512" s="1" t="s">
        <v>122</v>
      </c>
    </row>
    <row r="4513" spans="1:18" x14ac:dyDescent="0.25">
      <c r="A4513">
        <v>2020</v>
      </c>
      <c r="B4513">
        <v>12</v>
      </c>
      <c r="C4513" s="1" t="s">
        <v>35</v>
      </c>
      <c r="D4513" s="1" t="s">
        <v>19</v>
      </c>
      <c r="E4513" s="1" t="s">
        <v>116</v>
      </c>
      <c r="F4513">
        <v>2016</v>
      </c>
      <c r="G4513">
        <v>4</v>
      </c>
      <c r="H4513" s="1" t="s">
        <v>123</v>
      </c>
      <c r="I4513">
        <v>24</v>
      </c>
      <c r="J4513">
        <v>3377</v>
      </c>
      <c r="K4513" s="1" t="s">
        <v>103</v>
      </c>
      <c r="L4513" s="1" t="s">
        <v>23</v>
      </c>
      <c r="M4513">
        <v>1.111</v>
      </c>
      <c r="N4513">
        <v>26666.9</v>
      </c>
      <c r="O4513">
        <v>26.667000000000002</v>
      </c>
      <c r="P4513" s="2">
        <v>44166</v>
      </c>
      <c r="Q4513">
        <v>1</v>
      </c>
      <c r="R4513" s="1" t="s">
        <v>122</v>
      </c>
    </row>
    <row r="4514" spans="1:18" x14ac:dyDescent="0.25">
      <c r="A4514">
        <v>2020</v>
      </c>
      <c r="B4514">
        <v>1</v>
      </c>
      <c r="C4514" s="1" t="s">
        <v>18</v>
      </c>
      <c r="D4514" s="1" t="s">
        <v>19</v>
      </c>
      <c r="E4514" s="1" t="s">
        <v>117</v>
      </c>
      <c r="F4514">
        <v>2016</v>
      </c>
      <c r="G4514">
        <v>4</v>
      </c>
      <c r="H4514" s="1" t="s">
        <v>123</v>
      </c>
      <c r="I4514">
        <v>25</v>
      </c>
      <c r="J4514">
        <v>3431</v>
      </c>
      <c r="K4514" s="1" t="s">
        <v>118</v>
      </c>
      <c r="L4514" s="1" t="s">
        <v>23</v>
      </c>
      <c r="M4514">
        <v>0.63900000000000001</v>
      </c>
      <c r="N4514">
        <v>15980</v>
      </c>
      <c r="O4514">
        <v>15.98</v>
      </c>
      <c r="P4514" s="2">
        <v>43831</v>
      </c>
      <c r="Q4514">
        <v>1</v>
      </c>
      <c r="R4514" s="1" t="s">
        <v>122</v>
      </c>
    </row>
    <row r="4515" spans="1:18" x14ac:dyDescent="0.25">
      <c r="A4515">
        <v>2020</v>
      </c>
      <c r="B4515">
        <v>2</v>
      </c>
      <c r="C4515" s="1" t="s">
        <v>25</v>
      </c>
      <c r="D4515" s="1" t="s">
        <v>19</v>
      </c>
      <c r="E4515" s="1" t="s">
        <v>117</v>
      </c>
      <c r="F4515">
        <v>2016</v>
      </c>
      <c r="G4515">
        <v>4</v>
      </c>
      <c r="H4515" s="1" t="s">
        <v>123</v>
      </c>
      <c r="I4515">
        <v>25</v>
      </c>
      <c r="J4515">
        <v>3431</v>
      </c>
      <c r="K4515" s="1" t="s">
        <v>118</v>
      </c>
      <c r="L4515" s="1" t="s">
        <v>23</v>
      </c>
      <c r="M4515">
        <v>0.64700000000000002</v>
      </c>
      <c r="N4515">
        <v>16184</v>
      </c>
      <c r="O4515">
        <v>16.184000000000001</v>
      </c>
      <c r="P4515" s="2">
        <v>43862</v>
      </c>
      <c r="Q4515">
        <v>1</v>
      </c>
      <c r="R4515" s="1" t="s">
        <v>122</v>
      </c>
    </row>
    <row r="4516" spans="1:18" x14ac:dyDescent="0.25">
      <c r="A4516">
        <v>2020</v>
      </c>
      <c r="B4516">
        <v>3</v>
      </c>
      <c r="C4516" s="1" t="s">
        <v>26</v>
      </c>
      <c r="D4516" s="1" t="s">
        <v>19</v>
      </c>
      <c r="E4516" s="1" t="s">
        <v>117</v>
      </c>
      <c r="F4516">
        <v>2016</v>
      </c>
      <c r="G4516">
        <v>4</v>
      </c>
      <c r="H4516" s="1" t="s">
        <v>123</v>
      </c>
      <c r="I4516">
        <v>25</v>
      </c>
      <c r="J4516">
        <v>3431</v>
      </c>
      <c r="K4516" s="1" t="s">
        <v>118</v>
      </c>
      <c r="L4516" s="1" t="s">
        <v>23</v>
      </c>
      <c r="M4516">
        <v>0.748</v>
      </c>
      <c r="N4516">
        <v>18700</v>
      </c>
      <c r="O4516">
        <v>18.7</v>
      </c>
      <c r="P4516" s="2">
        <v>43891</v>
      </c>
      <c r="Q4516">
        <v>1</v>
      </c>
      <c r="R4516" s="1" t="s">
        <v>122</v>
      </c>
    </row>
    <row r="4517" spans="1:18" x14ac:dyDescent="0.25">
      <c r="A4517">
        <v>2020</v>
      </c>
      <c r="B4517">
        <v>4</v>
      </c>
      <c r="C4517" s="1" t="s">
        <v>27</v>
      </c>
      <c r="D4517" s="1" t="s">
        <v>19</v>
      </c>
      <c r="E4517" s="1" t="s">
        <v>117</v>
      </c>
      <c r="F4517">
        <v>2016</v>
      </c>
      <c r="G4517">
        <v>4</v>
      </c>
      <c r="H4517" s="1" t="s">
        <v>123</v>
      </c>
      <c r="I4517">
        <v>25</v>
      </c>
      <c r="J4517">
        <v>3431</v>
      </c>
      <c r="K4517" s="1" t="s">
        <v>118</v>
      </c>
      <c r="L4517" s="1" t="s">
        <v>23</v>
      </c>
      <c r="M4517">
        <v>1.3120000000000001</v>
      </c>
      <c r="N4517">
        <v>32793</v>
      </c>
      <c r="O4517">
        <v>32.792999999999999</v>
      </c>
      <c r="P4517" s="2">
        <v>43922</v>
      </c>
      <c r="Q4517">
        <v>1</v>
      </c>
      <c r="R4517" s="1" t="s">
        <v>122</v>
      </c>
    </row>
    <row r="4518" spans="1:18" x14ac:dyDescent="0.25">
      <c r="A4518">
        <v>2020</v>
      </c>
      <c r="B4518">
        <v>5</v>
      </c>
      <c r="C4518" s="1" t="s">
        <v>28</v>
      </c>
      <c r="D4518" s="1" t="s">
        <v>19</v>
      </c>
      <c r="E4518" s="1" t="s">
        <v>117</v>
      </c>
      <c r="F4518">
        <v>2016</v>
      </c>
      <c r="G4518">
        <v>4</v>
      </c>
      <c r="H4518" s="1" t="s">
        <v>123</v>
      </c>
      <c r="I4518">
        <v>25</v>
      </c>
      <c r="J4518">
        <v>3431</v>
      </c>
      <c r="K4518" s="1" t="s">
        <v>118</v>
      </c>
      <c r="L4518" s="1" t="s">
        <v>23</v>
      </c>
      <c r="M4518">
        <v>1.468</v>
      </c>
      <c r="N4518">
        <v>36703</v>
      </c>
      <c r="O4518">
        <v>36.703000000000003</v>
      </c>
      <c r="P4518" s="2">
        <v>43952</v>
      </c>
      <c r="Q4518">
        <v>1</v>
      </c>
      <c r="R4518" s="1" t="s">
        <v>122</v>
      </c>
    </row>
    <row r="4519" spans="1:18" x14ac:dyDescent="0.25">
      <c r="A4519">
        <v>2020</v>
      </c>
      <c r="B4519">
        <v>6</v>
      </c>
      <c r="C4519" s="1" t="s">
        <v>29</v>
      </c>
      <c r="D4519" s="1" t="s">
        <v>19</v>
      </c>
      <c r="E4519" s="1" t="s">
        <v>117</v>
      </c>
      <c r="F4519">
        <v>2016</v>
      </c>
      <c r="G4519">
        <v>4</v>
      </c>
      <c r="H4519" s="1" t="s">
        <v>123</v>
      </c>
      <c r="I4519">
        <v>25</v>
      </c>
      <c r="J4519">
        <v>3431</v>
      </c>
      <c r="K4519" s="1" t="s">
        <v>118</v>
      </c>
      <c r="L4519" s="1" t="s">
        <v>23</v>
      </c>
      <c r="M4519">
        <v>1.5289999999999999</v>
      </c>
      <c r="N4519">
        <v>38233</v>
      </c>
      <c r="O4519">
        <v>38.232999999999997</v>
      </c>
      <c r="P4519" s="2">
        <v>43983</v>
      </c>
      <c r="Q4519">
        <v>1</v>
      </c>
      <c r="R4519" s="1" t="s">
        <v>122</v>
      </c>
    </row>
    <row r="4520" spans="1:18" x14ac:dyDescent="0.25">
      <c r="A4520">
        <v>2020</v>
      </c>
      <c r="B4520">
        <v>7</v>
      </c>
      <c r="C4520" s="1" t="s">
        <v>30</v>
      </c>
      <c r="D4520" s="1" t="s">
        <v>19</v>
      </c>
      <c r="E4520" s="1" t="s">
        <v>117</v>
      </c>
      <c r="F4520">
        <v>2016</v>
      </c>
      <c r="G4520">
        <v>4</v>
      </c>
      <c r="H4520" s="1" t="s">
        <v>123</v>
      </c>
      <c r="I4520">
        <v>25</v>
      </c>
      <c r="J4520">
        <v>3431</v>
      </c>
      <c r="K4520" s="1" t="s">
        <v>118</v>
      </c>
      <c r="L4520" s="1" t="s">
        <v>23</v>
      </c>
      <c r="M4520">
        <v>1.5629999999999999</v>
      </c>
      <c r="N4520">
        <v>39066</v>
      </c>
      <c r="O4520">
        <v>39.066000000000003</v>
      </c>
      <c r="P4520" s="2">
        <v>44013</v>
      </c>
      <c r="Q4520">
        <v>1</v>
      </c>
      <c r="R4520" s="1" t="s">
        <v>122</v>
      </c>
    </row>
    <row r="4521" spans="1:18" x14ac:dyDescent="0.25">
      <c r="A4521">
        <v>2020</v>
      </c>
      <c r="B4521">
        <v>8</v>
      </c>
      <c r="C4521" s="1" t="s">
        <v>31</v>
      </c>
      <c r="D4521" s="1" t="s">
        <v>19</v>
      </c>
      <c r="E4521" s="1" t="s">
        <v>117</v>
      </c>
      <c r="F4521">
        <v>2016</v>
      </c>
      <c r="G4521">
        <v>4</v>
      </c>
      <c r="H4521" s="1" t="s">
        <v>123</v>
      </c>
      <c r="I4521">
        <v>25</v>
      </c>
      <c r="J4521">
        <v>3431</v>
      </c>
      <c r="K4521" s="1" t="s">
        <v>118</v>
      </c>
      <c r="L4521" s="1" t="s">
        <v>23</v>
      </c>
      <c r="M4521">
        <v>1.4930000000000001</v>
      </c>
      <c r="N4521">
        <v>37332</v>
      </c>
      <c r="O4521">
        <v>37.332000000000001</v>
      </c>
      <c r="P4521" s="2">
        <v>44044</v>
      </c>
      <c r="Q4521">
        <v>1</v>
      </c>
      <c r="R4521" s="1" t="s">
        <v>122</v>
      </c>
    </row>
    <row r="4522" spans="1:18" x14ac:dyDescent="0.25">
      <c r="A4522">
        <v>2020</v>
      </c>
      <c r="B4522">
        <v>9</v>
      </c>
      <c r="C4522" s="1" t="s">
        <v>32</v>
      </c>
      <c r="D4522" s="1" t="s">
        <v>19</v>
      </c>
      <c r="E4522" s="1" t="s">
        <v>117</v>
      </c>
      <c r="F4522">
        <v>2016</v>
      </c>
      <c r="G4522">
        <v>4</v>
      </c>
      <c r="H4522" s="1" t="s">
        <v>123</v>
      </c>
      <c r="I4522">
        <v>25</v>
      </c>
      <c r="J4522">
        <v>3431</v>
      </c>
      <c r="K4522" s="1" t="s">
        <v>118</v>
      </c>
      <c r="L4522" s="1" t="s">
        <v>23</v>
      </c>
      <c r="M4522">
        <v>1.5720000000000001</v>
      </c>
      <c r="N4522">
        <v>39304</v>
      </c>
      <c r="O4522">
        <v>39.304000000000002</v>
      </c>
      <c r="P4522" s="2">
        <v>44075</v>
      </c>
      <c r="Q4522">
        <v>1</v>
      </c>
      <c r="R4522" s="1" t="s">
        <v>122</v>
      </c>
    </row>
    <row r="4523" spans="1:18" x14ac:dyDescent="0.25">
      <c r="A4523">
        <v>2020</v>
      </c>
      <c r="B4523">
        <v>10</v>
      </c>
      <c r="C4523" s="1" t="s">
        <v>33</v>
      </c>
      <c r="D4523" s="1" t="s">
        <v>19</v>
      </c>
      <c r="E4523" s="1" t="s">
        <v>117</v>
      </c>
      <c r="F4523">
        <v>2016</v>
      </c>
      <c r="G4523">
        <v>4</v>
      </c>
      <c r="H4523" s="1" t="s">
        <v>123</v>
      </c>
      <c r="I4523">
        <v>25</v>
      </c>
      <c r="J4523">
        <v>3431</v>
      </c>
      <c r="K4523" s="1" t="s">
        <v>118</v>
      </c>
      <c r="L4523" s="1" t="s">
        <v>23</v>
      </c>
      <c r="M4523">
        <v>1.456</v>
      </c>
      <c r="N4523">
        <v>36397</v>
      </c>
      <c r="O4523">
        <v>36.396999999999998</v>
      </c>
      <c r="P4523" s="2">
        <v>44105</v>
      </c>
      <c r="Q4523">
        <v>1</v>
      </c>
      <c r="R4523" s="1" t="s">
        <v>122</v>
      </c>
    </row>
    <row r="4524" spans="1:18" x14ac:dyDescent="0.25">
      <c r="A4524">
        <v>2020</v>
      </c>
      <c r="B4524">
        <v>11</v>
      </c>
      <c r="C4524" s="1" t="s">
        <v>34</v>
      </c>
      <c r="D4524" s="1" t="s">
        <v>19</v>
      </c>
      <c r="E4524" s="1" t="s">
        <v>117</v>
      </c>
      <c r="F4524">
        <v>2016</v>
      </c>
      <c r="G4524">
        <v>4</v>
      </c>
      <c r="H4524" s="1" t="s">
        <v>123</v>
      </c>
      <c r="I4524">
        <v>25</v>
      </c>
      <c r="J4524">
        <v>3431</v>
      </c>
      <c r="K4524" s="1" t="s">
        <v>118</v>
      </c>
      <c r="L4524" s="1" t="s">
        <v>23</v>
      </c>
      <c r="M4524">
        <v>1.2390000000000001</v>
      </c>
      <c r="N4524">
        <v>30974</v>
      </c>
      <c r="O4524">
        <v>30.974</v>
      </c>
      <c r="P4524" s="2">
        <v>44136</v>
      </c>
      <c r="Q4524">
        <v>1</v>
      </c>
      <c r="R4524" s="1" t="s">
        <v>122</v>
      </c>
    </row>
    <row r="4525" spans="1:18" x14ac:dyDescent="0.25">
      <c r="A4525">
        <v>2020</v>
      </c>
      <c r="B4525">
        <v>12</v>
      </c>
      <c r="C4525" s="1" t="s">
        <v>35</v>
      </c>
      <c r="D4525" s="1" t="s">
        <v>19</v>
      </c>
      <c r="E4525" s="1" t="s">
        <v>117</v>
      </c>
      <c r="F4525">
        <v>2016</v>
      </c>
      <c r="G4525">
        <v>4</v>
      </c>
      <c r="H4525" s="1" t="s">
        <v>123</v>
      </c>
      <c r="I4525">
        <v>25</v>
      </c>
      <c r="J4525">
        <v>3431</v>
      </c>
      <c r="K4525" s="1" t="s">
        <v>118</v>
      </c>
      <c r="L4525" s="1" t="s">
        <v>23</v>
      </c>
      <c r="M4525">
        <v>1.111</v>
      </c>
      <c r="N4525">
        <v>27778</v>
      </c>
      <c r="O4525">
        <v>27.777999999999999</v>
      </c>
      <c r="P4525" s="2">
        <v>44166</v>
      </c>
      <c r="Q4525">
        <v>1</v>
      </c>
      <c r="R4525" s="1" t="s">
        <v>122</v>
      </c>
    </row>
    <row r="4526" spans="1:18" x14ac:dyDescent="0.25">
      <c r="A4526">
        <v>2020</v>
      </c>
      <c r="B4526">
        <v>1</v>
      </c>
      <c r="C4526" s="1" t="s">
        <v>18</v>
      </c>
      <c r="D4526" s="1" t="s">
        <v>19</v>
      </c>
      <c r="E4526" s="1" t="s">
        <v>119</v>
      </c>
      <c r="F4526">
        <v>2016</v>
      </c>
      <c r="G4526">
        <v>4</v>
      </c>
      <c r="H4526" s="1" t="s">
        <v>123</v>
      </c>
      <c r="I4526">
        <v>21</v>
      </c>
      <c r="J4526">
        <v>2901</v>
      </c>
      <c r="K4526" s="1" t="s">
        <v>120</v>
      </c>
      <c r="L4526" s="1" t="s">
        <v>23</v>
      </c>
      <c r="M4526">
        <v>0.63900000000000001</v>
      </c>
      <c r="N4526">
        <v>13423.2</v>
      </c>
      <c r="O4526">
        <v>13.423</v>
      </c>
      <c r="P4526" s="2">
        <v>43831</v>
      </c>
      <c r="Q4526">
        <v>1</v>
      </c>
      <c r="R4526" s="1" t="s">
        <v>122</v>
      </c>
    </row>
    <row r="4527" spans="1:18" x14ac:dyDescent="0.25">
      <c r="A4527">
        <v>2020</v>
      </c>
      <c r="B4527">
        <v>2</v>
      </c>
      <c r="C4527" s="1" t="s">
        <v>25</v>
      </c>
      <c r="D4527" s="1" t="s">
        <v>19</v>
      </c>
      <c r="E4527" s="1" t="s">
        <v>119</v>
      </c>
      <c r="F4527">
        <v>2016</v>
      </c>
      <c r="G4527">
        <v>4</v>
      </c>
      <c r="H4527" s="1" t="s">
        <v>123</v>
      </c>
      <c r="I4527">
        <v>21</v>
      </c>
      <c r="J4527">
        <v>2901</v>
      </c>
      <c r="K4527" s="1" t="s">
        <v>120</v>
      </c>
      <c r="L4527" s="1" t="s">
        <v>23</v>
      </c>
      <c r="M4527">
        <v>0.64700000000000002</v>
      </c>
      <c r="N4527">
        <v>13594.6</v>
      </c>
      <c r="O4527">
        <v>13.595000000000001</v>
      </c>
      <c r="P4527" s="2">
        <v>43862</v>
      </c>
      <c r="Q4527">
        <v>1</v>
      </c>
      <c r="R4527" s="1" t="s">
        <v>122</v>
      </c>
    </row>
    <row r="4528" spans="1:18" x14ac:dyDescent="0.25">
      <c r="A4528">
        <v>2020</v>
      </c>
      <c r="B4528">
        <v>3</v>
      </c>
      <c r="C4528" s="1" t="s">
        <v>26</v>
      </c>
      <c r="D4528" s="1" t="s">
        <v>19</v>
      </c>
      <c r="E4528" s="1" t="s">
        <v>119</v>
      </c>
      <c r="F4528">
        <v>2016</v>
      </c>
      <c r="G4528">
        <v>4</v>
      </c>
      <c r="H4528" s="1" t="s">
        <v>123</v>
      </c>
      <c r="I4528">
        <v>21</v>
      </c>
      <c r="J4528">
        <v>2901</v>
      </c>
      <c r="K4528" s="1" t="s">
        <v>120</v>
      </c>
      <c r="L4528" s="1" t="s">
        <v>23</v>
      </c>
      <c r="M4528">
        <v>0.748</v>
      </c>
      <c r="N4528">
        <v>15708</v>
      </c>
      <c r="O4528">
        <v>15.708</v>
      </c>
      <c r="P4528" s="2">
        <v>43891</v>
      </c>
      <c r="Q4528">
        <v>1</v>
      </c>
      <c r="R4528" s="1" t="s">
        <v>122</v>
      </c>
    </row>
    <row r="4529" spans="1:18" x14ac:dyDescent="0.25">
      <c r="A4529">
        <v>2020</v>
      </c>
      <c r="B4529">
        <v>4</v>
      </c>
      <c r="C4529" s="1" t="s">
        <v>27</v>
      </c>
      <c r="D4529" s="1" t="s">
        <v>19</v>
      </c>
      <c r="E4529" s="1" t="s">
        <v>119</v>
      </c>
      <c r="F4529">
        <v>2016</v>
      </c>
      <c r="G4529">
        <v>4</v>
      </c>
      <c r="H4529" s="1" t="s">
        <v>123</v>
      </c>
      <c r="I4529">
        <v>21</v>
      </c>
      <c r="J4529">
        <v>2901</v>
      </c>
      <c r="K4529" s="1" t="s">
        <v>120</v>
      </c>
      <c r="L4529" s="1" t="s">
        <v>23</v>
      </c>
      <c r="M4529">
        <v>1.3120000000000001</v>
      </c>
      <c r="N4529">
        <v>27546.1</v>
      </c>
      <c r="O4529">
        <v>27.545999999999999</v>
      </c>
      <c r="P4529" s="2">
        <v>43922</v>
      </c>
      <c r="Q4529">
        <v>1</v>
      </c>
      <c r="R4529" s="1" t="s">
        <v>122</v>
      </c>
    </row>
    <row r="4530" spans="1:18" x14ac:dyDescent="0.25">
      <c r="A4530">
        <v>2020</v>
      </c>
      <c r="B4530">
        <v>5</v>
      </c>
      <c r="C4530" s="1" t="s">
        <v>28</v>
      </c>
      <c r="D4530" s="1" t="s">
        <v>19</v>
      </c>
      <c r="E4530" s="1" t="s">
        <v>119</v>
      </c>
      <c r="F4530">
        <v>2016</v>
      </c>
      <c r="G4530">
        <v>4</v>
      </c>
      <c r="H4530" s="1" t="s">
        <v>123</v>
      </c>
      <c r="I4530">
        <v>21</v>
      </c>
      <c r="J4530">
        <v>2901</v>
      </c>
      <c r="K4530" s="1" t="s">
        <v>120</v>
      </c>
      <c r="L4530" s="1" t="s">
        <v>23</v>
      </c>
      <c r="M4530">
        <v>1.468</v>
      </c>
      <c r="N4530">
        <v>30830.5</v>
      </c>
      <c r="O4530">
        <v>30.831</v>
      </c>
      <c r="P4530" s="2">
        <v>43952</v>
      </c>
      <c r="Q4530">
        <v>1</v>
      </c>
      <c r="R4530" s="1" t="s">
        <v>122</v>
      </c>
    </row>
    <row r="4531" spans="1:18" x14ac:dyDescent="0.25">
      <c r="A4531">
        <v>2020</v>
      </c>
      <c r="B4531">
        <v>6</v>
      </c>
      <c r="C4531" s="1" t="s">
        <v>29</v>
      </c>
      <c r="D4531" s="1" t="s">
        <v>19</v>
      </c>
      <c r="E4531" s="1" t="s">
        <v>119</v>
      </c>
      <c r="F4531">
        <v>2016</v>
      </c>
      <c r="G4531">
        <v>4</v>
      </c>
      <c r="H4531" s="1" t="s">
        <v>123</v>
      </c>
      <c r="I4531">
        <v>21</v>
      </c>
      <c r="J4531">
        <v>2901</v>
      </c>
      <c r="K4531" s="1" t="s">
        <v>120</v>
      </c>
      <c r="L4531" s="1" t="s">
        <v>23</v>
      </c>
      <c r="M4531">
        <v>1.5289999999999999</v>
      </c>
      <c r="N4531">
        <v>32115.7</v>
      </c>
      <c r="O4531">
        <v>32.116</v>
      </c>
      <c r="P4531" s="2">
        <v>43983</v>
      </c>
      <c r="Q4531">
        <v>1</v>
      </c>
      <c r="R4531" s="1" t="s">
        <v>122</v>
      </c>
    </row>
    <row r="4532" spans="1:18" x14ac:dyDescent="0.25">
      <c r="A4532">
        <v>2020</v>
      </c>
      <c r="B4532">
        <v>7</v>
      </c>
      <c r="C4532" s="1" t="s">
        <v>30</v>
      </c>
      <c r="D4532" s="1" t="s">
        <v>19</v>
      </c>
      <c r="E4532" s="1" t="s">
        <v>119</v>
      </c>
      <c r="F4532">
        <v>2016</v>
      </c>
      <c r="G4532">
        <v>4</v>
      </c>
      <c r="H4532" s="1" t="s">
        <v>123</v>
      </c>
      <c r="I4532">
        <v>21</v>
      </c>
      <c r="J4532">
        <v>2901</v>
      </c>
      <c r="K4532" s="1" t="s">
        <v>120</v>
      </c>
      <c r="L4532" s="1" t="s">
        <v>23</v>
      </c>
      <c r="M4532">
        <v>1.5629999999999999</v>
      </c>
      <c r="N4532">
        <v>32815.4</v>
      </c>
      <c r="O4532">
        <v>32.814999999999998</v>
      </c>
      <c r="P4532" s="2">
        <v>44013</v>
      </c>
      <c r="Q4532">
        <v>1</v>
      </c>
      <c r="R4532" s="1" t="s">
        <v>122</v>
      </c>
    </row>
    <row r="4533" spans="1:18" x14ac:dyDescent="0.25">
      <c r="A4533">
        <v>2020</v>
      </c>
      <c r="B4533">
        <v>8</v>
      </c>
      <c r="C4533" s="1" t="s">
        <v>31</v>
      </c>
      <c r="D4533" s="1" t="s">
        <v>19</v>
      </c>
      <c r="E4533" s="1" t="s">
        <v>119</v>
      </c>
      <c r="F4533">
        <v>2016</v>
      </c>
      <c r="G4533">
        <v>4</v>
      </c>
      <c r="H4533" s="1" t="s">
        <v>123</v>
      </c>
      <c r="I4533">
        <v>21</v>
      </c>
      <c r="J4533">
        <v>2901</v>
      </c>
      <c r="K4533" s="1" t="s">
        <v>120</v>
      </c>
      <c r="L4533" s="1" t="s">
        <v>23</v>
      </c>
      <c r="M4533">
        <v>1.4930000000000001</v>
      </c>
      <c r="N4533">
        <v>31358.9</v>
      </c>
      <c r="O4533">
        <v>31.359000000000002</v>
      </c>
      <c r="P4533" s="2">
        <v>44044</v>
      </c>
      <c r="Q4533">
        <v>1</v>
      </c>
      <c r="R4533" s="1" t="s">
        <v>122</v>
      </c>
    </row>
    <row r="4534" spans="1:18" x14ac:dyDescent="0.25">
      <c r="A4534">
        <v>2020</v>
      </c>
      <c r="B4534">
        <v>9</v>
      </c>
      <c r="C4534" s="1" t="s">
        <v>32</v>
      </c>
      <c r="D4534" s="1" t="s">
        <v>19</v>
      </c>
      <c r="E4534" s="1" t="s">
        <v>119</v>
      </c>
      <c r="F4534">
        <v>2016</v>
      </c>
      <c r="G4534">
        <v>4</v>
      </c>
      <c r="H4534" s="1" t="s">
        <v>123</v>
      </c>
      <c r="I4534">
        <v>21</v>
      </c>
      <c r="J4534">
        <v>2901</v>
      </c>
      <c r="K4534" s="1" t="s">
        <v>120</v>
      </c>
      <c r="L4534" s="1" t="s">
        <v>23</v>
      </c>
      <c r="M4534">
        <v>1.5720000000000001</v>
      </c>
      <c r="N4534">
        <v>33015.4</v>
      </c>
      <c r="O4534">
        <v>33.015000000000001</v>
      </c>
      <c r="P4534" s="2">
        <v>44075</v>
      </c>
      <c r="Q4534">
        <v>1</v>
      </c>
      <c r="R4534" s="1" t="s">
        <v>122</v>
      </c>
    </row>
    <row r="4535" spans="1:18" x14ac:dyDescent="0.25">
      <c r="A4535">
        <v>2020</v>
      </c>
      <c r="B4535">
        <v>10</v>
      </c>
      <c r="C4535" s="1" t="s">
        <v>33</v>
      </c>
      <c r="D4535" s="1" t="s">
        <v>19</v>
      </c>
      <c r="E4535" s="1" t="s">
        <v>119</v>
      </c>
      <c r="F4535">
        <v>2016</v>
      </c>
      <c r="G4535">
        <v>4</v>
      </c>
      <c r="H4535" s="1" t="s">
        <v>123</v>
      </c>
      <c r="I4535">
        <v>21</v>
      </c>
      <c r="J4535">
        <v>2901</v>
      </c>
      <c r="K4535" s="1" t="s">
        <v>120</v>
      </c>
      <c r="L4535" s="1" t="s">
        <v>23</v>
      </c>
      <c r="M4535">
        <v>1.456</v>
      </c>
      <c r="N4535">
        <v>30573.5</v>
      </c>
      <c r="O4535">
        <v>30.573</v>
      </c>
      <c r="P4535" s="2">
        <v>44105</v>
      </c>
      <c r="Q4535">
        <v>1</v>
      </c>
      <c r="R4535" s="1" t="s">
        <v>122</v>
      </c>
    </row>
    <row r="4536" spans="1:18" x14ac:dyDescent="0.25">
      <c r="A4536">
        <v>2020</v>
      </c>
      <c r="B4536">
        <v>11</v>
      </c>
      <c r="C4536" s="1" t="s">
        <v>34</v>
      </c>
      <c r="D4536" s="1" t="s">
        <v>19</v>
      </c>
      <c r="E4536" s="1" t="s">
        <v>119</v>
      </c>
      <c r="F4536">
        <v>2016</v>
      </c>
      <c r="G4536">
        <v>4</v>
      </c>
      <c r="H4536" s="1" t="s">
        <v>123</v>
      </c>
      <c r="I4536">
        <v>21</v>
      </c>
      <c r="J4536">
        <v>2901</v>
      </c>
      <c r="K4536" s="1" t="s">
        <v>120</v>
      </c>
      <c r="L4536" s="1" t="s">
        <v>23</v>
      </c>
      <c r="M4536">
        <v>1.2390000000000001</v>
      </c>
      <c r="N4536">
        <v>26018.2</v>
      </c>
      <c r="O4536">
        <v>26.018000000000001</v>
      </c>
      <c r="P4536" s="2">
        <v>44136</v>
      </c>
      <c r="Q4536">
        <v>1</v>
      </c>
      <c r="R4536" s="1" t="s">
        <v>122</v>
      </c>
    </row>
    <row r="4537" spans="1:18" x14ac:dyDescent="0.25">
      <c r="A4537">
        <v>2020</v>
      </c>
      <c r="B4537">
        <v>12</v>
      </c>
      <c r="C4537" s="1" t="s">
        <v>35</v>
      </c>
      <c r="D4537" s="1" t="s">
        <v>19</v>
      </c>
      <c r="E4537" s="1" t="s">
        <v>119</v>
      </c>
      <c r="F4537">
        <v>2016</v>
      </c>
      <c r="G4537">
        <v>4</v>
      </c>
      <c r="H4537" s="1" t="s">
        <v>123</v>
      </c>
      <c r="I4537">
        <v>21</v>
      </c>
      <c r="J4537">
        <v>2901</v>
      </c>
      <c r="K4537" s="1" t="s">
        <v>120</v>
      </c>
      <c r="L4537" s="1" t="s">
        <v>23</v>
      </c>
      <c r="M4537">
        <v>1.111</v>
      </c>
      <c r="N4537">
        <v>23333.5</v>
      </c>
      <c r="O4537">
        <v>23.334</v>
      </c>
      <c r="P4537" s="2">
        <v>44166</v>
      </c>
      <c r="Q4537">
        <v>1</v>
      </c>
      <c r="R4537" s="1" t="s">
        <v>122</v>
      </c>
    </row>
    <row r="4538" spans="1:18" x14ac:dyDescent="0.25">
      <c r="A4538">
        <v>2021</v>
      </c>
      <c r="B4538">
        <v>1</v>
      </c>
      <c r="C4538" s="1" t="s">
        <v>18</v>
      </c>
      <c r="D4538" s="1" t="s">
        <v>19</v>
      </c>
      <c r="E4538" s="1" t="s">
        <v>20</v>
      </c>
      <c r="F4538">
        <v>2000</v>
      </c>
      <c r="G4538">
        <v>21</v>
      </c>
      <c r="H4538" s="1" t="s">
        <v>124</v>
      </c>
      <c r="I4538">
        <v>19</v>
      </c>
      <c r="J4538">
        <v>1490</v>
      </c>
      <c r="K4538" s="1" t="s">
        <v>22</v>
      </c>
      <c r="L4538" s="1" t="s">
        <v>23</v>
      </c>
      <c r="M4538">
        <v>0.33500000000000002</v>
      </c>
      <c r="N4538">
        <v>6369.8</v>
      </c>
      <c r="O4538">
        <v>6.37</v>
      </c>
      <c r="P4538" s="2">
        <v>44197</v>
      </c>
      <c r="Q4538">
        <v>1</v>
      </c>
      <c r="R4538" s="1" t="s">
        <v>125</v>
      </c>
    </row>
    <row r="4539" spans="1:18" x14ac:dyDescent="0.25">
      <c r="A4539">
        <v>2021</v>
      </c>
      <c r="B4539">
        <v>2</v>
      </c>
      <c r="C4539" s="1" t="s">
        <v>25</v>
      </c>
      <c r="D4539" s="1" t="s">
        <v>19</v>
      </c>
      <c r="E4539" s="1" t="s">
        <v>20</v>
      </c>
      <c r="F4539">
        <v>2000</v>
      </c>
      <c r="G4539">
        <v>21</v>
      </c>
      <c r="H4539" s="1" t="s">
        <v>124</v>
      </c>
      <c r="I4539">
        <v>19</v>
      </c>
      <c r="J4539">
        <v>1490</v>
      </c>
      <c r="K4539" s="1" t="s">
        <v>22</v>
      </c>
      <c r="L4539" s="1" t="s">
        <v>23</v>
      </c>
      <c r="M4539">
        <v>0.55700000000000005</v>
      </c>
      <c r="N4539">
        <v>10575.8</v>
      </c>
      <c r="O4539">
        <v>10.576000000000001</v>
      </c>
      <c r="P4539" s="2">
        <v>44228</v>
      </c>
      <c r="Q4539">
        <v>1</v>
      </c>
      <c r="R4539" s="1" t="s">
        <v>125</v>
      </c>
    </row>
    <row r="4540" spans="1:18" x14ac:dyDescent="0.25">
      <c r="A4540">
        <v>2021</v>
      </c>
      <c r="B4540">
        <v>3</v>
      </c>
      <c r="C4540" s="1" t="s">
        <v>26</v>
      </c>
      <c r="D4540" s="1" t="s">
        <v>19</v>
      </c>
      <c r="E4540" s="1" t="s">
        <v>20</v>
      </c>
      <c r="F4540">
        <v>2000</v>
      </c>
      <c r="G4540">
        <v>21</v>
      </c>
      <c r="H4540" s="1" t="s">
        <v>124</v>
      </c>
      <c r="I4540">
        <v>19</v>
      </c>
      <c r="J4540">
        <v>1490</v>
      </c>
      <c r="K4540" s="1" t="s">
        <v>22</v>
      </c>
      <c r="L4540" s="1" t="s">
        <v>23</v>
      </c>
      <c r="M4540">
        <v>0.90700000000000003</v>
      </c>
      <c r="N4540">
        <v>17228.7</v>
      </c>
      <c r="O4540">
        <v>17.228999999999999</v>
      </c>
      <c r="P4540" s="2">
        <v>44256</v>
      </c>
      <c r="Q4540">
        <v>1</v>
      </c>
      <c r="R4540" s="1" t="s">
        <v>125</v>
      </c>
    </row>
    <row r="4541" spans="1:18" x14ac:dyDescent="0.25">
      <c r="A4541">
        <v>2021</v>
      </c>
      <c r="B4541">
        <v>4</v>
      </c>
      <c r="C4541" s="1" t="s">
        <v>27</v>
      </c>
      <c r="D4541" s="1" t="s">
        <v>19</v>
      </c>
      <c r="E4541" s="1" t="s">
        <v>20</v>
      </c>
      <c r="F4541">
        <v>2000</v>
      </c>
      <c r="G4541">
        <v>21</v>
      </c>
      <c r="H4541" s="1" t="s">
        <v>124</v>
      </c>
      <c r="I4541">
        <v>19</v>
      </c>
      <c r="J4541">
        <v>1490</v>
      </c>
      <c r="K4541" s="1" t="s">
        <v>22</v>
      </c>
      <c r="L4541" s="1" t="s">
        <v>23</v>
      </c>
      <c r="M4541">
        <v>1.0529999999999999</v>
      </c>
      <c r="N4541">
        <v>20009.099999999999</v>
      </c>
      <c r="O4541">
        <v>20.009</v>
      </c>
      <c r="P4541" s="2">
        <v>44287</v>
      </c>
      <c r="Q4541">
        <v>1</v>
      </c>
      <c r="R4541" s="1" t="s">
        <v>125</v>
      </c>
    </row>
    <row r="4542" spans="1:18" x14ac:dyDescent="0.25">
      <c r="A4542">
        <v>2021</v>
      </c>
      <c r="B4542">
        <v>5</v>
      </c>
      <c r="C4542" s="1" t="s">
        <v>28</v>
      </c>
      <c r="D4542" s="1" t="s">
        <v>19</v>
      </c>
      <c r="E4542" s="1" t="s">
        <v>20</v>
      </c>
      <c r="F4542">
        <v>2000</v>
      </c>
      <c r="G4542">
        <v>21</v>
      </c>
      <c r="H4542" s="1" t="s">
        <v>124</v>
      </c>
      <c r="I4542">
        <v>19</v>
      </c>
      <c r="J4542">
        <v>1490</v>
      </c>
      <c r="K4542" s="1" t="s">
        <v>22</v>
      </c>
      <c r="L4542" s="1" t="s">
        <v>23</v>
      </c>
      <c r="M4542">
        <v>1.026</v>
      </c>
      <c r="N4542">
        <v>19493.5</v>
      </c>
      <c r="O4542">
        <v>19.492999999999999</v>
      </c>
      <c r="P4542" s="2">
        <v>44317</v>
      </c>
      <c r="Q4542">
        <v>1</v>
      </c>
      <c r="R4542" s="1" t="s">
        <v>125</v>
      </c>
    </row>
    <row r="4543" spans="1:18" x14ac:dyDescent="0.25">
      <c r="A4543">
        <v>2021</v>
      </c>
      <c r="B4543">
        <v>6</v>
      </c>
      <c r="C4543" s="1" t="s">
        <v>29</v>
      </c>
      <c r="D4543" s="1" t="s">
        <v>19</v>
      </c>
      <c r="E4543" s="1" t="s">
        <v>20</v>
      </c>
      <c r="F4543">
        <v>2000</v>
      </c>
      <c r="G4543">
        <v>21</v>
      </c>
      <c r="H4543" s="1" t="s">
        <v>124</v>
      </c>
      <c r="I4543">
        <v>19</v>
      </c>
      <c r="J4543">
        <v>1490</v>
      </c>
      <c r="K4543" s="1" t="s">
        <v>22</v>
      </c>
      <c r="L4543" s="1" t="s">
        <v>23</v>
      </c>
      <c r="M4543">
        <v>1.0049999999999999</v>
      </c>
      <c r="N4543">
        <v>19099.099999999999</v>
      </c>
      <c r="O4543">
        <v>19.099</v>
      </c>
      <c r="P4543" s="2">
        <v>44348</v>
      </c>
      <c r="Q4543">
        <v>1</v>
      </c>
      <c r="R4543" s="1" t="s">
        <v>125</v>
      </c>
    </row>
    <row r="4544" spans="1:18" x14ac:dyDescent="0.25">
      <c r="A4544">
        <v>2021</v>
      </c>
      <c r="B4544">
        <v>7</v>
      </c>
      <c r="C4544" s="1" t="s">
        <v>30</v>
      </c>
      <c r="D4544" s="1" t="s">
        <v>19</v>
      </c>
      <c r="E4544" s="1" t="s">
        <v>20</v>
      </c>
      <c r="F4544">
        <v>2000</v>
      </c>
      <c r="G4544">
        <v>21</v>
      </c>
      <c r="H4544" s="1" t="s">
        <v>124</v>
      </c>
      <c r="I4544">
        <v>19</v>
      </c>
      <c r="J4544">
        <v>1490</v>
      </c>
      <c r="K4544" s="1" t="s">
        <v>22</v>
      </c>
      <c r="L4544" s="1" t="s">
        <v>23</v>
      </c>
      <c r="M4544">
        <v>1.149</v>
      </c>
      <c r="N4544">
        <v>21839.1</v>
      </c>
      <c r="O4544">
        <v>21.838999999999999</v>
      </c>
      <c r="P4544" s="2">
        <v>44378</v>
      </c>
      <c r="Q4544">
        <v>1</v>
      </c>
      <c r="R4544" s="1" t="s">
        <v>125</v>
      </c>
    </row>
    <row r="4545" spans="1:18" x14ac:dyDescent="0.25">
      <c r="A4545">
        <v>2021</v>
      </c>
      <c r="B4545">
        <v>8</v>
      </c>
      <c r="C4545" s="1" t="s">
        <v>31</v>
      </c>
      <c r="D4545" s="1" t="s">
        <v>19</v>
      </c>
      <c r="E4545" s="1" t="s">
        <v>20</v>
      </c>
      <c r="F4545">
        <v>2000</v>
      </c>
      <c r="G4545">
        <v>21</v>
      </c>
      <c r="H4545" s="1" t="s">
        <v>124</v>
      </c>
      <c r="I4545">
        <v>19</v>
      </c>
      <c r="J4545">
        <v>1490</v>
      </c>
      <c r="K4545" s="1" t="s">
        <v>22</v>
      </c>
      <c r="L4545" s="1" t="s">
        <v>23</v>
      </c>
      <c r="M4545">
        <v>1.111</v>
      </c>
      <c r="N4545">
        <v>21111.200000000001</v>
      </c>
      <c r="O4545">
        <v>21.111000000000001</v>
      </c>
      <c r="P4545" s="2">
        <v>44409</v>
      </c>
      <c r="Q4545">
        <v>1</v>
      </c>
      <c r="R4545" s="1" t="s">
        <v>125</v>
      </c>
    </row>
    <row r="4546" spans="1:18" x14ac:dyDescent="0.25">
      <c r="A4546">
        <v>2021</v>
      </c>
      <c r="B4546">
        <v>9</v>
      </c>
      <c r="C4546" s="1" t="s">
        <v>32</v>
      </c>
      <c r="D4546" s="1" t="s">
        <v>19</v>
      </c>
      <c r="E4546" s="1" t="s">
        <v>20</v>
      </c>
      <c r="F4546">
        <v>2000</v>
      </c>
      <c r="G4546">
        <v>21</v>
      </c>
      <c r="H4546" s="1" t="s">
        <v>124</v>
      </c>
      <c r="I4546">
        <v>19</v>
      </c>
      <c r="J4546">
        <v>1490</v>
      </c>
      <c r="K4546" s="1" t="s">
        <v>22</v>
      </c>
      <c r="L4546" s="1" t="s">
        <v>23</v>
      </c>
      <c r="M4546">
        <v>1.0620000000000001</v>
      </c>
      <c r="N4546">
        <v>20170.900000000001</v>
      </c>
      <c r="O4546">
        <v>20.170999999999999</v>
      </c>
      <c r="P4546" s="2">
        <v>44440</v>
      </c>
      <c r="Q4546">
        <v>1</v>
      </c>
      <c r="R4546" s="1" t="s">
        <v>125</v>
      </c>
    </row>
    <row r="4547" spans="1:18" x14ac:dyDescent="0.25">
      <c r="A4547">
        <v>2021</v>
      </c>
      <c r="B4547">
        <v>10</v>
      </c>
      <c r="C4547" s="1" t="s">
        <v>33</v>
      </c>
      <c r="D4547" s="1" t="s">
        <v>19</v>
      </c>
      <c r="E4547" s="1" t="s">
        <v>20</v>
      </c>
      <c r="F4547">
        <v>2000</v>
      </c>
      <c r="G4547">
        <v>21</v>
      </c>
      <c r="H4547" s="1" t="s">
        <v>124</v>
      </c>
      <c r="I4547">
        <v>19</v>
      </c>
      <c r="J4547">
        <v>1490</v>
      </c>
      <c r="K4547" s="1" t="s">
        <v>22</v>
      </c>
      <c r="L4547" s="1" t="s">
        <v>23</v>
      </c>
      <c r="M4547">
        <v>1.123</v>
      </c>
      <c r="N4547">
        <v>21343.7</v>
      </c>
      <c r="O4547">
        <v>21.344000000000001</v>
      </c>
      <c r="P4547" s="2">
        <v>44470</v>
      </c>
      <c r="Q4547">
        <v>1</v>
      </c>
      <c r="R4547" s="1" t="s">
        <v>125</v>
      </c>
    </row>
    <row r="4548" spans="1:18" x14ac:dyDescent="0.25">
      <c r="A4548">
        <v>2021</v>
      </c>
      <c r="B4548">
        <v>11</v>
      </c>
      <c r="C4548" s="1" t="s">
        <v>34</v>
      </c>
      <c r="D4548" s="1" t="s">
        <v>19</v>
      </c>
      <c r="E4548" s="1" t="s">
        <v>20</v>
      </c>
      <c r="F4548">
        <v>2000</v>
      </c>
      <c r="G4548">
        <v>21</v>
      </c>
      <c r="H4548" s="1" t="s">
        <v>124</v>
      </c>
      <c r="I4548">
        <v>19</v>
      </c>
      <c r="J4548">
        <v>1490</v>
      </c>
      <c r="K4548" s="1" t="s">
        <v>22</v>
      </c>
      <c r="L4548" s="1" t="s">
        <v>23</v>
      </c>
      <c r="M4548">
        <v>1.095</v>
      </c>
      <c r="N4548">
        <v>20797.7</v>
      </c>
      <c r="O4548">
        <v>20.797999999999998</v>
      </c>
      <c r="P4548" s="2">
        <v>44501</v>
      </c>
      <c r="Q4548">
        <v>1</v>
      </c>
      <c r="R4548" s="1" t="s">
        <v>125</v>
      </c>
    </row>
    <row r="4549" spans="1:18" x14ac:dyDescent="0.25">
      <c r="A4549">
        <v>2021</v>
      </c>
      <c r="B4549">
        <v>12</v>
      </c>
      <c r="C4549" s="1" t="s">
        <v>35</v>
      </c>
      <c r="D4549" s="1" t="s">
        <v>19</v>
      </c>
      <c r="E4549" s="1" t="s">
        <v>20</v>
      </c>
      <c r="F4549">
        <v>2000</v>
      </c>
      <c r="G4549">
        <v>21</v>
      </c>
      <c r="H4549" s="1" t="s">
        <v>124</v>
      </c>
      <c r="I4549">
        <v>19</v>
      </c>
      <c r="J4549">
        <v>1490</v>
      </c>
      <c r="K4549" s="1" t="s">
        <v>22</v>
      </c>
      <c r="L4549" s="1" t="s">
        <v>23</v>
      </c>
      <c r="M4549">
        <v>1.111</v>
      </c>
      <c r="N4549">
        <v>21101.1</v>
      </c>
      <c r="O4549">
        <v>21.100999999999999</v>
      </c>
      <c r="P4549" s="2">
        <v>44531</v>
      </c>
      <c r="Q4549">
        <v>1</v>
      </c>
      <c r="R4549" s="1" t="s">
        <v>125</v>
      </c>
    </row>
    <row r="4550" spans="1:18" x14ac:dyDescent="0.25">
      <c r="A4550">
        <v>2021</v>
      </c>
      <c r="B4550">
        <v>1</v>
      </c>
      <c r="C4550" s="1" t="s">
        <v>18</v>
      </c>
      <c r="D4550" s="1" t="s">
        <v>19</v>
      </c>
      <c r="E4550" s="1" t="s">
        <v>36</v>
      </c>
      <c r="F4550">
        <v>2000</v>
      </c>
      <c r="G4550">
        <v>21</v>
      </c>
      <c r="H4550" s="1" t="s">
        <v>124</v>
      </c>
      <c r="I4550">
        <v>24</v>
      </c>
      <c r="J4550">
        <v>1675</v>
      </c>
      <c r="K4550" s="1" t="s">
        <v>37</v>
      </c>
      <c r="L4550" s="1" t="s">
        <v>23</v>
      </c>
      <c r="M4550">
        <v>0.29799999999999999</v>
      </c>
      <c r="N4550">
        <v>7160.6</v>
      </c>
      <c r="O4550">
        <v>7.1609999999999996</v>
      </c>
      <c r="P4550" s="2">
        <v>44197</v>
      </c>
      <c r="Q4550">
        <v>1</v>
      </c>
      <c r="R4550" s="1" t="s">
        <v>125</v>
      </c>
    </row>
    <row r="4551" spans="1:18" x14ac:dyDescent="0.25">
      <c r="A4551">
        <v>2021</v>
      </c>
      <c r="B4551">
        <v>2</v>
      </c>
      <c r="C4551" s="1" t="s">
        <v>25</v>
      </c>
      <c r="D4551" s="1" t="s">
        <v>19</v>
      </c>
      <c r="E4551" s="1" t="s">
        <v>36</v>
      </c>
      <c r="F4551">
        <v>2000</v>
      </c>
      <c r="G4551">
        <v>21</v>
      </c>
      <c r="H4551" s="1" t="s">
        <v>124</v>
      </c>
      <c r="I4551">
        <v>24</v>
      </c>
      <c r="J4551">
        <v>1675</v>
      </c>
      <c r="K4551" s="1" t="s">
        <v>37</v>
      </c>
      <c r="L4551" s="1" t="s">
        <v>23</v>
      </c>
      <c r="M4551">
        <v>0.495</v>
      </c>
      <c r="N4551">
        <v>11888.9</v>
      </c>
      <c r="O4551">
        <v>11.888999999999999</v>
      </c>
      <c r="P4551" s="2">
        <v>44228</v>
      </c>
      <c r="Q4551">
        <v>1</v>
      </c>
      <c r="R4551" s="1" t="s">
        <v>125</v>
      </c>
    </row>
    <row r="4552" spans="1:18" x14ac:dyDescent="0.25">
      <c r="A4552">
        <v>2021</v>
      </c>
      <c r="B4552">
        <v>3</v>
      </c>
      <c r="C4552" s="1" t="s">
        <v>26</v>
      </c>
      <c r="D4552" s="1" t="s">
        <v>19</v>
      </c>
      <c r="E4552" s="1" t="s">
        <v>36</v>
      </c>
      <c r="F4552">
        <v>2000</v>
      </c>
      <c r="G4552">
        <v>21</v>
      </c>
      <c r="H4552" s="1" t="s">
        <v>124</v>
      </c>
      <c r="I4552">
        <v>24</v>
      </c>
      <c r="J4552">
        <v>1675</v>
      </c>
      <c r="K4552" s="1" t="s">
        <v>37</v>
      </c>
      <c r="L4552" s="1" t="s">
        <v>23</v>
      </c>
      <c r="M4552">
        <v>0.80700000000000005</v>
      </c>
      <c r="N4552">
        <v>19367.8</v>
      </c>
      <c r="O4552">
        <v>19.367999999999999</v>
      </c>
      <c r="P4552" s="2">
        <v>44256</v>
      </c>
      <c r="Q4552">
        <v>1</v>
      </c>
      <c r="R4552" s="1" t="s">
        <v>125</v>
      </c>
    </row>
    <row r="4553" spans="1:18" x14ac:dyDescent="0.25">
      <c r="A4553">
        <v>2021</v>
      </c>
      <c r="B4553">
        <v>4</v>
      </c>
      <c r="C4553" s="1" t="s">
        <v>27</v>
      </c>
      <c r="D4553" s="1" t="s">
        <v>19</v>
      </c>
      <c r="E4553" s="1" t="s">
        <v>36</v>
      </c>
      <c r="F4553">
        <v>2000</v>
      </c>
      <c r="G4553">
        <v>21</v>
      </c>
      <c r="H4553" s="1" t="s">
        <v>124</v>
      </c>
      <c r="I4553">
        <v>24</v>
      </c>
      <c r="J4553">
        <v>1675</v>
      </c>
      <c r="K4553" s="1" t="s">
        <v>37</v>
      </c>
      <c r="L4553" s="1" t="s">
        <v>23</v>
      </c>
      <c r="M4553">
        <v>0.93700000000000006</v>
      </c>
      <c r="N4553">
        <v>22493.5</v>
      </c>
      <c r="O4553">
        <v>22.492999999999999</v>
      </c>
      <c r="P4553" s="2">
        <v>44287</v>
      </c>
      <c r="Q4553">
        <v>1</v>
      </c>
      <c r="R4553" s="1" t="s">
        <v>125</v>
      </c>
    </row>
    <row r="4554" spans="1:18" x14ac:dyDescent="0.25">
      <c r="A4554">
        <v>2021</v>
      </c>
      <c r="B4554">
        <v>5</v>
      </c>
      <c r="C4554" s="1" t="s">
        <v>28</v>
      </c>
      <c r="D4554" s="1" t="s">
        <v>19</v>
      </c>
      <c r="E4554" s="1" t="s">
        <v>36</v>
      </c>
      <c r="F4554">
        <v>2000</v>
      </c>
      <c r="G4554">
        <v>21</v>
      </c>
      <c r="H4554" s="1" t="s">
        <v>124</v>
      </c>
      <c r="I4554">
        <v>24</v>
      </c>
      <c r="J4554">
        <v>1675</v>
      </c>
      <c r="K4554" s="1" t="s">
        <v>37</v>
      </c>
      <c r="L4554" s="1" t="s">
        <v>23</v>
      </c>
      <c r="M4554">
        <v>0.91300000000000003</v>
      </c>
      <c r="N4554">
        <v>21913.8</v>
      </c>
      <c r="O4554">
        <v>21.914000000000001</v>
      </c>
      <c r="P4554" s="2">
        <v>44317</v>
      </c>
      <c r="Q4554">
        <v>1</v>
      </c>
      <c r="R4554" s="1" t="s">
        <v>125</v>
      </c>
    </row>
    <row r="4555" spans="1:18" x14ac:dyDescent="0.25">
      <c r="A4555">
        <v>2021</v>
      </c>
      <c r="B4555">
        <v>6</v>
      </c>
      <c r="C4555" s="1" t="s">
        <v>29</v>
      </c>
      <c r="D4555" s="1" t="s">
        <v>19</v>
      </c>
      <c r="E4555" s="1" t="s">
        <v>36</v>
      </c>
      <c r="F4555">
        <v>2000</v>
      </c>
      <c r="G4555">
        <v>21</v>
      </c>
      <c r="H4555" s="1" t="s">
        <v>124</v>
      </c>
      <c r="I4555">
        <v>24</v>
      </c>
      <c r="J4555">
        <v>1675</v>
      </c>
      <c r="K4555" s="1" t="s">
        <v>37</v>
      </c>
      <c r="L4555" s="1" t="s">
        <v>23</v>
      </c>
      <c r="M4555">
        <v>0.89500000000000002</v>
      </c>
      <c r="N4555">
        <v>21470.5</v>
      </c>
      <c r="O4555">
        <v>21.471</v>
      </c>
      <c r="P4555" s="2">
        <v>44348</v>
      </c>
      <c r="Q4555">
        <v>1</v>
      </c>
      <c r="R4555" s="1" t="s">
        <v>125</v>
      </c>
    </row>
    <row r="4556" spans="1:18" x14ac:dyDescent="0.25">
      <c r="A4556">
        <v>2021</v>
      </c>
      <c r="B4556">
        <v>7</v>
      </c>
      <c r="C4556" s="1" t="s">
        <v>30</v>
      </c>
      <c r="D4556" s="1" t="s">
        <v>19</v>
      </c>
      <c r="E4556" s="1" t="s">
        <v>36</v>
      </c>
      <c r="F4556">
        <v>2000</v>
      </c>
      <c r="G4556">
        <v>21</v>
      </c>
      <c r="H4556" s="1" t="s">
        <v>124</v>
      </c>
      <c r="I4556">
        <v>24</v>
      </c>
      <c r="J4556">
        <v>1675</v>
      </c>
      <c r="K4556" s="1" t="s">
        <v>37</v>
      </c>
      <c r="L4556" s="1" t="s">
        <v>23</v>
      </c>
      <c r="M4556">
        <v>1.0229999999999999</v>
      </c>
      <c r="N4556">
        <v>24550.7</v>
      </c>
      <c r="O4556">
        <v>24.550999999999998</v>
      </c>
      <c r="P4556" s="2">
        <v>44378</v>
      </c>
      <c r="Q4556">
        <v>1</v>
      </c>
      <c r="R4556" s="1" t="s">
        <v>125</v>
      </c>
    </row>
    <row r="4557" spans="1:18" x14ac:dyDescent="0.25">
      <c r="A4557">
        <v>2021</v>
      </c>
      <c r="B4557">
        <v>8</v>
      </c>
      <c r="C4557" s="1" t="s">
        <v>31</v>
      </c>
      <c r="D4557" s="1" t="s">
        <v>19</v>
      </c>
      <c r="E4557" s="1" t="s">
        <v>36</v>
      </c>
      <c r="F4557">
        <v>2000</v>
      </c>
      <c r="G4557">
        <v>21</v>
      </c>
      <c r="H4557" s="1" t="s">
        <v>124</v>
      </c>
      <c r="I4557">
        <v>24</v>
      </c>
      <c r="J4557">
        <v>1675</v>
      </c>
      <c r="K4557" s="1" t="s">
        <v>37</v>
      </c>
      <c r="L4557" s="1" t="s">
        <v>23</v>
      </c>
      <c r="M4557">
        <v>0.98899999999999999</v>
      </c>
      <c r="N4557">
        <v>23732.400000000001</v>
      </c>
      <c r="O4557">
        <v>23.731999999999999</v>
      </c>
      <c r="P4557" s="2">
        <v>44409</v>
      </c>
      <c r="Q4557">
        <v>1</v>
      </c>
      <c r="R4557" s="1" t="s">
        <v>125</v>
      </c>
    </row>
    <row r="4558" spans="1:18" x14ac:dyDescent="0.25">
      <c r="A4558">
        <v>2021</v>
      </c>
      <c r="B4558">
        <v>9</v>
      </c>
      <c r="C4558" s="1" t="s">
        <v>32</v>
      </c>
      <c r="D4558" s="1" t="s">
        <v>19</v>
      </c>
      <c r="E4558" s="1" t="s">
        <v>36</v>
      </c>
      <c r="F4558">
        <v>2000</v>
      </c>
      <c r="G4558">
        <v>21</v>
      </c>
      <c r="H4558" s="1" t="s">
        <v>124</v>
      </c>
      <c r="I4558">
        <v>24</v>
      </c>
      <c r="J4558">
        <v>1675</v>
      </c>
      <c r="K4558" s="1" t="s">
        <v>37</v>
      </c>
      <c r="L4558" s="1" t="s">
        <v>23</v>
      </c>
      <c r="M4558">
        <v>0.94499999999999995</v>
      </c>
      <c r="N4558">
        <v>22675.3</v>
      </c>
      <c r="O4558">
        <v>22.675000000000001</v>
      </c>
      <c r="P4558" s="2">
        <v>44440</v>
      </c>
      <c r="Q4558">
        <v>1</v>
      </c>
      <c r="R4558" s="1" t="s">
        <v>125</v>
      </c>
    </row>
    <row r="4559" spans="1:18" x14ac:dyDescent="0.25">
      <c r="A4559">
        <v>2021</v>
      </c>
      <c r="B4559">
        <v>10</v>
      </c>
      <c r="C4559" s="1" t="s">
        <v>33</v>
      </c>
      <c r="D4559" s="1" t="s">
        <v>19</v>
      </c>
      <c r="E4559" s="1" t="s">
        <v>36</v>
      </c>
      <c r="F4559">
        <v>2000</v>
      </c>
      <c r="G4559">
        <v>21</v>
      </c>
      <c r="H4559" s="1" t="s">
        <v>124</v>
      </c>
      <c r="I4559">
        <v>24</v>
      </c>
      <c r="J4559">
        <v>1675</v>
      </c>
      <c r="K4559" s="1" t="s">
        <v>37</v>
      </c>
      <c r="L4559" s="1" t="s">
        <v>23</v>
      </c>
      <c r="M4559">
        <v>1</v>
      </c>
      <c r="N4559">
        <v>23993.8</v>
      </c>
      <c r="O4559">
        <v>23.994</v>
      </c>
      <c r="P4559" s="2">
        <v>44470</v>
      </c>
      <c r="Q4559">
        <v>1</v>
      </c>
      <c r="R4559" s="1" t="s">
        <v>125</v>
      </c>
    </row>
    <row r="4560" spans="1:18" x14ac:dyDescent="0.25">
      <c r="A4560">
        <v>2021</v>
      </c>
      <c r="B4560">
        <v>11</v>
      </c>
      <c r="C4560" s="1" t="s">
        <v>34</v>
      </c>
      <c r="D4560" s="1" t="s">
        <v>19</v>
      </c>
      <c r="E4560" s="1" t="s">
        <v>36</v>
      </c>
      <c r="F4560">
        <v>2000</v>
      </c>
      <c r="G4560">
        <v>21</v>
      </c>
      <c r="H4560" s="1" t="s">
        <v>124</v>
      </c>
      <c r="I4560">
        <v>24</v>
      </c>
      <c r="J4560">
        <v>1675</v>
      </c>
      <c r="K4560" s="1" t="s">
        <v>37</v>
      </c>
      <c r="L4560" s="1" t="s">
        <v>23</v>
      </c>
      <c r="M4560">
        <v>0.97399999999999998</v>
      </c>
      <c r="N4560">
        <v>23380</v>
      </c>
      <c r="O4560">
        <v>23.38</v>
      </c>
      <c r="P4560" s="2">
        <v>44501</v>
      </c>
      <c r="Q4560">
        <v>1</v>
      </c>
      <c r="R4560" s="1" t="s">
        <v>125</v>
      </c>
    </row>
    <row r="4561" spans="1:18" x14ac:dyDescent="0.25">
      <c r="A4561">
        <v>2021</v>
      </c>
      <c r="B4561">
        <v>12</v>
      </c>
      <c r="C4561" s="1" t="s">
        <v>35</v>
      </c>
      <c r="D4561" s="1" t="s">
        <v>19</v>
      </c>
      <c r="E4561" s="1" t="s">
        <v>36</v>
      </c>
      <c r="F4561">
        <v>2000</v>
      </c>
      <c r="G4561">
        <v>21</v>
      </c>
      <c r="H4561" s="1" t="s">
        <v>124</v>
      </c>
      <c r="I4561">
        <v>24</v>
      </c>
      <c r="J4561">
        <v>1675</v>
      </c>
      <c r="K4561" s="1" t="s">
        <v>37</v>
      </c>
      <c r="L4561" s="1" t="s">
        <v>23</v>
      </c>
      <c r="M4561">
        <v>0.98799999999999999</v>
      </c>
      <c r="N4561">
        <v>23721</v>
      </c>
      <c r="O4561">
        <v>23.721</v>
      </c>
      <c r="P4561" s="2">
        <v>44531</v>
      </c>
      <c r="Q4561">
        <v>1</v>
      </c>
      <c r="R4561" s="1" t="s">
        <v>125</v>
      </c>
    </row>
    <row r="4562" spans="1:18" x14ac:dyDescent="0.25">
      <c r="A4562">
        <v>2021</v>
      </c>
      <c r="B4562">
        <v>1</v>
      </c>
      <c r="C4562" s="1" t="s">
        <v>18</v>
      </c>
      <c r="D4562" s="1" t="s">
        <v>19</v>
      </c>
      <c r="E4562" s="1" t="s">
        <v>38</v>
      </c>
      <c r="F4562">
        <v>2005</v>
      </c>
      <c r="G4562">
        <v>16</v>
      </c>
      <c r="H4562" s="1" t="s">
        <v>21</v>
      </c>
      <c r="I4562">
        <v>18</v>
      </c>
      <c r="J4562">
        <v>1922</v>
      </c>
      <c r="K4562" s="1" t="s">
        <v>39</v>
      </c>
      <c r="L4562" s="1" t="s">
        <v>23</v>
      </c>
      <c r="M4562">
        <v>0.505</v>
      </c>
      <c r="N4562">
        <v>9081.5</v>
      </c>
      <c r="O4562">
        <v>9.0809999999999995</v>
      </c>
      <c r="P4562" s="2">
        <v>44197</v>
      </c>
      <c r="Q4562">
        <v>1</v>
      </c>
      <c r="R4562" s="1" t="s">
        <v>24</v>
      </c>
    </row>
    <row r="4563" spans="1:18" x14ac:dyDescent="0.25">
      <c r="A4563">
        <v>2021</v>
      </c>
      <c r="B4563">
        <v>2</v>
      </c>
      <c r="C4563" s="1" t="s">
        <v>25</v>
      </c>
      <c r="D4563" s="1" t="s">
        <v>19</v>
      </c>
      <c r="E4563" s="1" t="s">
        <v>38</v>
      </c>
      <c r="F4563">
        <v>2005</v>
      </c>
      <c r="G4563">
        <v>16</v>
      </c>
      <c r="H4563" s="1" t="s">
        <v>21</v>
      </c>
      <c r="I4563">
        <v>18</v>
      </c>
      <c r="J4563">
        <v>1922</v>
      </c>
      <c r="K4563" s="1" t="s">
        <v>39</v>
      </c>
      <c r="L4563" s="1" t="s">
        <v>23</v>
      </c>
      <c r="M4563">
        <v>0.83799999999999997</v>
      </c>
      <c r="N4563">
        <v>15078.1</v>
      </c>
      <c r="O4563">
        <v>15.077999999999999</v>
      </c>
      <c r="P4563" s="2">
        <v>44228</v>
      </c>
      <c r="Q4563">
        <v>1</v>
      </c>
      <c r="R4563" s="1" t="s">
        <v>24</v>
      </c>
    </row>
    <row r="4564" spans="1:18" x14ac:dyDescent="0.25">
      <c r="A4564">
        <v>2021</v>
      </c>
      <c r="B4564">
        <v>3</v>
      </c>
      <c r="C4564" s="1" t="s">
        <v>26</v>
      </c>
      <c r="D4564" s="1" t="s">
        <v>19</v>
      </c>
      <c r="E4564" s="1" t="s">
        <v>38</v>
      </c>
      <c r="F4564">
        <v>2005</v>
      </c>
      <c r="G4564">
        <v>16</v>
      </c>
      <c r="H4564" s="1" t="s">
        <v>21</v>
      </c>
      <c r="I4564">
        <v>18</v>
      </c>
      <c r="J4564">
        <v>1922</v>
      </c>
      <c r="K4564" s="1" t="s">
        <v>39</v>
      </c>
      <c r="L4564" s="1" t="s">
        <v>23</v>
      </c>
      <c r="M4564">
        <v>1.365</v>
      </c>
      <c r="N4564">
        <v>24563.200000000001</v>
      </c>
      <c r="O4564">
        <v>24.562999999999999</v>
      </c>
      <c r="P4564" s="2">
        <v>44256</v>
      </c>
      <c r="Q4564">
        <v>1</v>
      </c>
      <c r="R4564" s="1" t="s">
        <v>24</v>
      </c>
    </row>
    <row r="4565" spans="1:18" x14ac:dyDescent="0.25">
      <c r="A4565">
        <v>2021</v>
      </c>
      <c r="B4565">
        <v>4</v>
      </c>
      <c r="C4565" s="1" t="s">
        <v>27</v>
      </c>
      <c r="D4565" s="1" t="s">
        <v>19</v>
      </c>
      <c r="E4565" s="1" t="s">
        <v>38</v>
      </c>
      <c r="F4565">
        <v>2005</v>
      </c>
      <c r="G4565">
        <v>16</v>
      </c>
      <c r="H4565" s="1" t="s">
        <v>21</v>
      </c>
      <c r="I4565">
        <v>18</v>
      </c>
      <c r="J4565">
        <v>1922</v>
      </c>
      <c r="K4565" s="1" t="s">
        <v>39</v>
      </c>
      <c r="L4565" s="1" t="s">
        <v>23</v>
      </c>
      <c r="M4565">
        <v>1.585</v>
      </c>
      <c r="N4565">
        <v>28527.3</v>
      </c>
      <c r="O4565">
        <v>28.527000000000001</v>
      </c>
      <c r="P4565" s="2">
        <v>44287</v>
      </c>
      <c r="Q4565">
        <v>1</v>
      </c>
      <c r="R4565" s="1" t="s">
        <v>24</v>
      </c>
    </row>
    <row r="4566" spans="1:18" x14ac:dyDescent="0.25">
      <c r="A4566">
        <v>2021</v>
      </c>
      <c r="B4566">
        <v>5</v>
      </c>
      <c r="C4566" s="1" t="s">
        <v>28</v>
      </c>
      <c r="D4566" s="1" t="s">
        <v>19</v>
      </c>
      <c r="E4566" s="1" t="s">
        <v>38</v>
      </c>
      <c r="F4566">
        <v>2005</v>
      </c>
      <c r="G4566">
        <v>16</v>
      </c>
      <c r="H4566" s="1" t="s">
        <v>21</v>
      </c>
      <c r="I4566">
        <v>18</v>
      </c>
      <c r="J4566">
        <v>1922</v>
      </c>
      <c r="K4566" s="1" t="s">
        <v>39</v>
      </c>
      <c r="L4566" s="1" t="s">
        <v>23</v>
      </c>
      <c r="M4566">
        <v>1.544</v>
      </c>
      <c r="N4566">
        <v>27792.1</v>
      </c>
      <c r="O4566">
        <v>27.792000000000002</v>
      </c>
      <c r="P4566" s="2">
        <v>44317</v>
      </c>
      <c r="Q4566">
        <v>1</v>
      </c>
      <c r="R4566" s="1" t="s">
        <v>24</v>
      </c>
    </row>
    <row r="4567" spans="1:18" x14ac:dyDescent="0.25">
      <c r="A4567">
        <v>2021</v>
      </c>
      <c r="B4567">
        <v>6</v>
      </c>
      <c r="C4567" s="1" t="s">
        <v>29</v>
      </c>
      <c r="D4567" s="1" t="s">
        <v>19</v>
      </c>
      <c r="E4567" s="1" t="s">
        <v>38</v>
      </c>
      <c r="F4567">
        <v>2005</v>
      </c>
      <c r="G4567">
        <v>16</v>
      </c>
      <c r="H4567" s="1" t="s">
        <v>21</v>
      </c>
      <c r="I4567">
        <v>18</v>
      </c>
      <c r="J4567">
        <v>1922</v>
      </c>
      <c r="K4567" s="1" t="s">
        <v>39</v>
      </c>
      <c r="L4567" s="1" t="s">
        <v>23</v>
      </c>
      <c r="M4567">
        <v>1.5129999999999999</v>
      </c>
      <c r="N4567">
        <v>27229.9</v>
      </c>
      <c r="O4567">
        <v>27.23</v>
      </c>
      <c r="P4567" s="2">
        <v>44348</v>
      </c>
      <c r="Q4567">
        <v>1</v>
      </c>
      <c r="R4567" s="1" t="s">
        <v>24</v>
      </c>
    </row>
    <row r="4568" spans="1:18" x14ac:dyDescent="0.25">
      <c r="A4568">
        <v>2021</v>
      </c>
      <c r="B4568">
        <v>7</v>
      </c>
      <c r="C4568" s="1" t="s">
        <v>30</v>
      </c>
      <c r="D4568" s="1" t="s">
        <v>19</v>
      </c>
      <c r="E4568" s="1" t="s">
        <v>38</v>
      </c>
      <c r="F4568">
        <v>2005</v>
      </c>
      <c r="G4568">
        <v>16</v>
      </c>
      <c r="H4568" s="1" t="s">
        <v>21</v>
      </c>
      <c r="I4568">
        <v>18</v>
      </c>
      <c r="J4568">
        <v>1922</v>
      </c>
      <c r="K4568" s="1" t="s">
        <v>39</v>
      </c>
      <c r="L4568" s="1" t="s">
        <v>23</v>
      </c>
      <c r="M4568">
        <v>1.73</v>
      </c>
      <c r="N4568">
        <v>31136.400000000001</v>
      </c>
      <c r="O4568">
        <v>31.135999999999999</v>
      </c>
      <c r="P4568" s="2">
        <v>44378</v>
      </c>
      <c r="Q4568">
        <v>1</v>
      </c>
      <c r="R4568" s="1" t="s">
        <v>24</v>
      </c>
    </row>
    <row r="4569" spans="1:18" x14ac:dyDescent="0.25">
      <c r="A4569">
        <v>2021</v>
      </c>
      <c r="B4569">
        <v>8</v>
      </c>
      <c r="C4569" s="1" t="s">
        <v>31</v>
      </c>
      <c r="D4569" s="1" t="s">
        <v>19</v>
      </c>
      <c r="E4569" s="1" t="s">
        <v>38</v>
      </c>
      <c r="F4569">
        <v>2005</v>
      </c>
      <c r="G4569">
        <v>16</v>
      </c>
      <c r="H4569" s="1" t="s">
        <v>21</v>
      </c>
      <c r="I4569">
        <v>18</v>
      </c>
      <c r="J4569">
        <v>1922</v>
      </c>
      <c r="K4569" s="1" t="s">
        <v>39</v>
      </c>
      <c r="L4569" s="1" t="s">
        <v>23</v>
      </c>
      <c r="M4569">
        <v>1.6719999999999999</v>
      </c>
      <c r="N4569">
        <v>30098.5</v>
      </c>
      <c r="O4569">
        <v>30.099</v>
      </c>
      <c r="P4569" s="2">
        <v>44409</v>
      </c>
      <c r="Q4569">
        <v>1</v>
      </c>
      <c r="R4569" s="1" t="s">
        <v>24</v>
      </c>
    </row>
    <row r="4570" spans="1:18" x14ac:dyDescent="0.25">
      <c r="A4570">
        <v>2021</v>
      </c>
      <c r="B4570">
        <v>9</v>
      </c>
      <c r="C4570" s="1" t="s">
        <v>32</v>
      </c>
      <c r="D4570" s="1" t="s">
        <v>19</v>
      </c>
      <c r="E4570" s="1" t="s">
        <v>38</v>
      </c>
      <c r="F4570">
        <v>2005</v>
      </c>
      <c r="G4570">
        <v>16</v>
      </c>
      <c r="H4570" s="1" t="s">
        <v>21</v>
      </c>
      <c r="I4570">
        <v>18</v>
      </c>
      <c r="J4570">
        <v>1922</v>
      </c>
      <c r="K4570" s="1" t="s">
        <v>39</v>
      </c>
      <c r="L4570" s="1" t="s">
        <v>23</v>
      </c>
      <c r="M4570">
        <v>1.5980000000000001</v>
      </c>
      <c r="N4570">
        <v>28757.9</v>
      </c>
      <c r="O4570">
        <v>28.757999999999999</v>
      </c>
      <c r="P4570" s="2">
        <v>44440</v>
      </c>
      <c r="Q4570">
        <v>1</v>
      </c>
      <c r="R4570" s="1" t="s">
        <v>24</v>
      </c>
    </row>
    <row r="4571" spans="1:18" x14ac:dyDescent="0.25">
      <c r="A4571">
        <v>2021</v>
      </c>
      <c r="B4571">
        <v>10</v>
      </c>
      <c r="C4571" s="1" t="s">
        <v>33</v>
      </c>
      <c r="D4571" s="1" t="s">
        <v>19</v>
      </c>
      <c r="E4571" s="1" t="s">
        <v>38</v>
      </c>
      <c r="F4571">
        <v>2005</v>
      </c>
      <c r="G4571">
        <v>16</v>
      </c>
      <c r="H4571" s="1" t="s">
        <v>21</v>
      </c>
      <c r="I4571">
        <v>18</v>
      </c>
      <c r="J4571">
        <v>1922</v>
      </c>
      <c r="K4571" s="1" t="s">
        <v>39</v>
      </c>
      <c r="L4571" s="1" t="s">
        <v>23</v>
      </c>
      <c r="M4571">
        <v>1.6910000000000001</v>
      </c>
      <c r="N4571">
        <v>30430.1</v>
      </c>
      <c r="O4571">
        <v>30.43</v>
      </c>
      <c r="P4571" s="2">
        <v>44470</v>
      </c>
      <c r="Q4571">
        <v>1</v>
      </c>
      <c r="R4571" s="1" t="s">
        <v>24</v>
      </c>
    </row>
    <row r="4572" spans="1:18" x14ac:dyDescent="0.25">
      <c r="A4572">
        <v>2021</v>
      </c>
      <c r="B4572">
        <v>11</v>
      </c>
      <c r="C4572" s="1" t="s">
        <v>34</v>
      </c>
      <c r="D4572" s="1" t="s">
        <v>19</v>
      </c>
      <c r="E4572" s="1" t="s">
        <v>38</v>
      </c>
      <c r="F4572">
        <v>2005</v>
      </c>
      <c r="G4572">
        <v>16</v>
      </c>
      <c r="H4572" s="1" t="s">
        <v>21</v>
      </c>
      <c r="I4572">
        <v>18</v>
      </c>
      <c r="J4572">
        <v>1922</v>
      </c>
      <c r="K4572" s="1" t="s">
        <v>39</v>
      </c>
      <c r="L4572" s="1" t="s">
        <v>23</v>
      </c>
      <c r="M4572">
        <v>1.647</v>
      </c>
      <c r="N4572">
        <v>29651.7</v>
      </c>
      <c r="O4572">
        <v>29.652000000000001</v>
      </c>
      <c r="P4572" s="2">
        <v>44501</v>
      </c>
      <c r="Q4572">
        <v>1</v>
      </c>
      <c r="R4572" s="1" t="s">
        <v>24</v>
      </c>
    </row>
    <row r="4573" spans="1:18" x14ac:dyDescent="0.25">
      <c r="A4573">
        <v>2021</v>
      </c>
      <c r="B4573">
        <v>12</v>
      </c>
      <c r="C4573" s="1" t="s">
        <v>35</v>
      </c>
      <c r="D4573" s="1" t="s">
        <v>19</v>
      </c>
      <c r="E4573" s="1" t="s">
        <v>38</v>
      </c>
      <c r="F4573">
        <v>2005</v>
      </c>
      <c r="G4573">
        <v>16</v>
      </c>
      <c r="H4573" s="1" t="s">
        <v>21</v>
      </c>
      <c r="I4573">
        <v>18</v>
      </c>
      <c r="J4573">
        <v>1922</v>
      </c>
      <c r="K4573" s="1" t="s">
        <v>39</v>
      </c>
      <c r="L4573" s="1" t="s">
        <v>23</v>
      </c>
      <c r="M4573">
        <v>1.671</v>
      </c>
      <c r="N4573">
        <v>30084.1</v>
      </c>
      <c r="O4573">
        <v>30.084</v>
      </c>
      <c r="P4573" s="2">
        <v>44531</v>
      </c>
      <c r="Q4573">
        <v>1</v>
      </c>
      <c r="R4573" s="1" t="s">
        <v>24</v>
      </c>
    </row>
    <row r="4574" spans="1:18" x14ac:dyDescent="0.25">
      <c r="A4574">
        <v>2021</v>
      </c>
      <c r="B4574">
        <v>1</v>
      </c>
      <c r="C4574" s="1" t="s">
        <v>18</v>
      </c>
      <c r="D4574" s="1" t="s">
        <v>19</v>
      </c>
      <c r="E4574" s="1" t="s">
        <v>41</v>
      </c>
      <c r="F4574">
        <v>2005</v>
      </c>
      <c r="G4574">
        <v>16</v>
      </c>
      <c r="H4574" s="1" t="s">
        <v>21</v>
      </c>
      <c r="I4574">
        <v>26</v>
      </c>
      <c r="J4574">
        <v>2827</v>
      </c>
      <c r="K4574" s="1" t="s">
        <v>42</v>
      </c>
      <c r="L4574" s="1" t="s">
        <v>23</v>
      </c>
      <c r="M4574">
        <v>0.51400000000000001</v>
      </c>
      <c r="N4574">
        <v>13357.6</v>
      </c>
      <c r="O4574">
        <v>13.358000000000001</v>
      </c>
      <c r="P4574" s="2">
        <v>44197</v>
      </c>
      <c r="Q4574">
        <v>1</v>
      </c>
      <c r="R4574" s="1" t="s">
        <v>24</v>
      </c>
    </row>
    <row r="4575" spans="1:18" x14ac:dyDescent="0.25">
      <c r="A4575">
        <v>2021</v>
      </c>
      <c r="B4575">
        <v>2</v>
      </c>
      <c r="C4575" s="1" t="s">
        <v>25</v>
      </c>
      <c r="D4575" s="1" t="s">
        <v>19</v>
      </c>
      <c r="E4575" s="1" t="s">
        <v>41</v>
      </c>
      <c r="F4575">
        <v>2005</v>
      </c>
      <c r="G4575">
        <v>16</v>
      </c>
      <c r="H4575" s="1" t="s">
        <v>21</v>
      </c>
      <c r="I4575">
        <v>26</v>
      </c>
      <c r="J4575">
        <v>2827</v>
      </c>
      <c r="K4575" s="1" t="s">
        <v>42</v>
      </c>
      <c r="L4575" s="1" t="s">
        <v>23</v>
      </c>
      <c r="M4575">
        <v>0.85299999999999998</v>
      </c>
      <c r="N4575">
        <v>22177.8</v>
      </c>
      <c r="O4575">
        <v>22.178000000000001</v>
      </c>
      <c r="P4575" s="2">
        <v>44228</v>
      </c>
      <c r="Q4575">
        <v>1</v>
      </c>
      <c r="R4575" s="1" t="s">
        <v>24</v>
      </c>
    </row>
    <row r="4576" spans="1:18" x14ac:dyDescent="0.25">
      <c r="A4576">
        <v>2021</v>
      </c>
      <c r="B4576">
        <v>3</v>
      </c>
      <c r="C4576" s="1" t="s">
        <v>26</v>
      </c>
      <c r="D4576" s="1" t="s">
        <v>19</v>
      </c>
      <c r="E4576" s="1" t="s">
        <v>41</v>
      </c>
      <c r="F4576">
        <v>2005</v>
      </c>
      <c r="G4576">
        <v>16</v>
      </c>
      <c r="H4576" s="1" t="s">
        <v>21</v>
      </c>
      <c r="I4576">
        <v>26</v>
      </c>
      <c r="J4576">
        <v>2827</v>
      </c>
      <c r="K4576" s="1" t="s">
        <v>42</v>
      </c>
      <c r="L4576" s="1" t="s">
        <v>23</v>
      </c>
      <c r="M4576">
        <v>1.39</v>
      </c>
      <c r="N4576">
        <v>36129.1</v>
      </c>
      <c r="O4576">
        <v>36.128999999999998</v>
      </c>
      <c r="P4576" s="2">
        <v>44256</v>
      </c>
      <c r="Q4576">
        <v>1</v>
      </c>
      <c r="R4576" s="1" t="s">
        <v>24</v>
      </c>
    </row>
    <row r="4577" spans="1:18" x14ac:dyDescent="0.25">
      <c r="A4577">
        <v>2021</v>
      </c>
      <c r="B4577">
        <v>4</v>
      </c>
      <c r="C4577" s="1" t="s">
        <v>27</v>
      </c>
      <c r="D4577" s="1" t="s">
        <v>19</v>
      </c>
      <c r="E4577" s="1" t="s">
        <v>41</v>
      </c>
      <c r="F4577">
        <v>2005</v>
      </c>
      <c r="G4577">
        <v>16</v>
      </c>
      <c r="H4577" s="1" t="s">
        <v>21</v>
      </c>
      <c r="I4577">
        <v>26</v>
      </c>
      <c r="J4577">
        <v>2827</v>
      </c>
      <c r="K4577" s="1" t="s">
        <v>42</v>
      </c>
      <c r="L4577" s="1" t="s">
        <v>23</v>
      </c>
      <c r="M4577">
        <v>1.6140000000000001</v>
      </c>
      <c r="N4577">
        <v>41959.7</v>
      </c>
      <c r="O4577">
        <v>41.96</v>
      </c>
      <c r="P4577" s="2">
        <v>44287</v>
      </c>
      <c r="Q4577">
        <v>1</v>
      </c>
      <c r="R4577" s="1" t="s">
        <v>24</v>
      </c>
    </row>
    <row r="4578" spans="1:18" x14ac:dyDescent="0.25">
      <c r="A4578">
        <v>2021</v>
      </c>
      <c r="B4578">
        <v>5</v>
      </c>
      <c r="C4578" s="1" t="s">
        <v>28</v>
      </c>
      <c r="D4578" s="1" t="s">
        <v>19</v>
      </c>
      <c r="E4578" s="1" t="s">
        <v>41</v>
      </c>
      <c r="F4578">
        <v>2005</v>
      </c>
      <c r="G4578">
        <v>16</v>
      </c>
      <c r="H4578" s="1" t="s">
        <v>21</v>
      </c>
      <c r="I4578">
        <v>26</v>
      </c>
      <c r="J4578">
        <v>2827</v>
      </c>
      <c r="K4578" s="1" t="s">
        <v>42</v>
      </c>
      <c r="L4578" s="1" t="s">
        <v>23</v>
      </c>
      <c r="M4578">
        <v>1.5720000000000001</v>
      </c>
      <c r="N4578">
        <v>40878.400000000001</v>
      </c>
      <c r="O4578">
        <v>40.878</v>
      </c>
      <c r="P4578" s="2">
        <v>44317</v>
      </c>
      <c r="Q4578">
        <v>1</v>
      </c>
      <c r="R4578" s="1" t="s">
        <v>24</v>
      </c>
    </row>
    <row r="4579" spans="1:18" x14ac:dyDescent="0.25">
      <c r="A4579">
        <v>2021</v>
      </c>
      <c r="B4579">
        <v>6</v>
      </c>
      <c r="C4579" s="1" t="s">
        <v>29</v>
      </c>
      <c r="D4579" s="1" t="s">
        <v>19</v>
      </c>
      <c r="E4579" s="1" t="s">
        <v>41</v>
      </c>
      <c r="F4579">
        <v>2005</v>
      </c>
      <c r="G4579">
        <v>16</v>
      </c>
      <c r="H4579" s="1" t="s">
        <v>21</v>
      </c>
      <c r="I4579">
        <v>26</v>
      </c>
      <c r="J4579">
        <v>2827</v>
      </c>
      <c r="K4579" s="1" t="s">
        <v>42</v>
      </c>
      <c r="L4579" s="1" t="s">
        <v>23</v>
      </c>
      <c r="M4579">
        <v>1.54</v>
      </c>
      <c r="N4579">
        <v>40051.5</v>
      </c>
      <c r="O4579">
        <v>40.052</v>
      </c>
      <c r="P4579" s="2">
        <v>44348</v>
      </c>
      <c r="Q4579">
        <v>1</v>
      </c>
      <c r="R4579" s="1" t="s">
        <v>24</v>
      </c>
    </row>
    <row r="4580" spans="1:18" x14ac:dyDescent="0.25">
      <c r="A4580">
        <v>2021</v>
      </c>
      <c r="B4580">
        <v>7</v>
      </c>
      <c r="C4580" s="1" t="s">
        <v>30</v>
      </c>
      <c r="D4580" s="1" t="s">
        <v>19</v>
      </c>
      <c r="E4580" s="1" t="s">
        <v>41</v>
      </c>
      <c r="F4580">
        <v>2005</v>
      </c>
      <c r="G4580">
        <v>16</v>
      </c>
      <c r="H4580" s="1" t="s">
        <v>21</v>
      </c>
      <c r="I4580">
        <v>26</v>
      </c>
      <c r="J4580">
        <v>2827</v>
      </c>
      <c r="K4580" s="1" t="s">
        <v>42</v>
      </c>
      <c r="L4580" s="1" t="s">
        <v>23</v>
      </c>
      <c r="M4580">
        <v>1.7609999999999999</v>
      </c>
      <c r="N4580">
        <v>45797.4</v>
      </c>
      <c r="O4580">
        <v>45.796999999999997</v>
      </c>
      <c r="P4580" s="2">
        <v>44378</v>
      </c>
      <c r="Q4580">
        <v>1</v>
      </c>
      <c r="R4580" s="1" t="s">
        <v>24</v>
      </c>
    </row>
    <row r="4581" spans="1:18" x14ac:dyDescent="0.25">
      <c r="A4581">
        <v>2021</v>
      </c>
      <c r="B4581">
        <v>8</v>
      </c>
      <c r="C4581" s="1" t="s">
        <v>31</v>
      </c>
      <c r="D4581" s="1" t="s">
        <v>19</v>
      </c>
      <c r="E4581" s="1" t="s">
        <v>41</v>
      </c>
      <c r="F4581">
        <v>2005</v>
      </c>
      <c r="G4581">
        <v>16</v>
      </c>
      <c r="H4581" s="1" t="s">
        <v>21</v>
      </c>
      <c r="I4581">
        <v>26</v>
      </c>
      <c r="J4581">
        <v>2827</v>
      </c>
      <c r="K4581" s="1" t="s">
        <v>42</v>
      </c>
      <c r="L4581" s="1" t="s">
        <v>23</v>
      </c>
      <c r="M4581">
        <v>1.7030000000000001</v>
      </c>
      <c r="N4581">
        <v>44270.8</v>
      </c>
      <c r="O4581">
        <v>44.271000000000001</v>
      </c>
      <c r="P4581" s="2">
        <v>44409</v>
      </c>
      <c r="Q4581">
        <v>1</v>
      </c>
      <c r="R4581" s="1" t="s">
        <v>24</v>
      </c>
    </row>
    <row r="4582" spans="1:18" x14ac:dyDescent="0.25">
      <c r="A4582">
        <v>2021</v>
      </c>
      <c r="B4582">
        <v>9</v>
      </c>
      <c r="C4582" s="1" t="s">
        <v>32</v>
      </c>
      <c r="D4582" s="1" t="s">
        <v>19</v>
      </c>
      <c r="E4582" s="1" t="s">
        <v>41</v>
      </c>
      <c r="F4582">
        <v>2005</v>
      </c>
      <c r="G4582">
        <v>16</v>
      </c>
      <c r="H4582" s="1" t="s">
        <v>21</v>
      </c>
      <c r="I4582">
        <v>26</v>
      </c>
      <c r="J4582">
        <v>2827</v>
      </c>
      <c r="K4582" s="1" t="s">
        <v>42</v>
      </c>
      <c r="L4582" s="1" t="s">
        <v>23</v>
      </c>
      <c r="M4582">
        <v>1.627</v>
      </c>
      <c r="N4582">
        <v>42299</v>
      </c>
      <c r="O4582">
        <v>42.298999999999999</v>
      </c>
      <c r="P4582" s="2">
        <v>44440</v>
      </c>
      <c r="Q4582">
        <v>1</v>
      </c>
      <c r="R4582" s="1" t="s">
        <v>24</v>
      </c>
    </row>
    <row r="4583" spans="1:18" x14ac:dyDescent="0.25">
      <c r="A4583">
        <v>2021</v>
      </c>
      <c r="B4583">
        <v>10</v>
      </c>
      <c r="C4583" s="1" t="s">
        <v>33</v>
      </c>
      <c r="D4583" s="1" t="s">
        <v>19</v>
      </c>
      <c r="E4583" s="1" t="s">
        <v>41</v>
      </c>
      <c r="F4583">
        <v>2005</v>
      </c>
      <c r="G4583">
        <v>16</v>
      </c>
      <c r="H4583" s="1" t="s">
        <v>21</v>
      </c>
      <c r="I4583">
        <v>26</v>
      </c>
      <c r="J4583">
        <v>2827</v>
      </c>
      <c r="K4583" s="1" t="s">
        <v>42</v>
      </c>
      <c r="L4583" s="1" t="s">
        <v>23</v>
      </c>
      <c r="M4583">
        <v>1.7210000000000001</v>
      </c>
      <c r="N4583">
        <v>44758.5</v>
      </c>
      <c r="O4583">
        <v>44.758000000000003</v>
      </c>
      <c r="P4583" s="2">
        <v>44470</v>
      </c>
      <c r="Q4583">
        <v>1</v>
      </c>
      <c r="R4583" s="1" t="s">
        <v>24</v>
      </c>
    </row>
    <row r="4584" spans="1:18" x14ac:dyDescent="0.25">
      <c r="A4584">
        <v>2021</v>
      </c>
      <c r="B4584">
        <v>11</v>
      </c>
      <c r="C4584" s="1" t="s">
        <v>34</v>
      </c>
      <c r="D4584" s="1" t="s">
        <v>19</v>
      </c>
      <c r="E4584" s="1" t="s">
        <v>41</v>
      </c>
      <c r="F4584">
        <v>2005</v>
      </c>
      <c r="G4584">
        <v>16</v>
      </c>
      <c r="H4584" s="1" t="s">
        <v>21</v>
      </c>
      <c r="I4584">
        <v>26</v>
      </c>
      <c r="J4584">
        <v>2827</v>
      </c>
      <c r="K4584" s="1" t="s">
        <v>42</v>
      </c>
      <c r="L4584" s="1" t="s">
        <v>23</v>
      </c>
      <c r="M4584">
        <v>1.677</v>
      </c>
      <c r="N4584">
        <v>43613.5</v>
      </c>
      <c r="O4584">
        <v>43.613999999999997</v>
      </c>
      <c r="P4584" s="2">
        <v>44501</v>
      </c>
      <c r="Q4584">
        <v>1</v>
      </c>
      <c r="R4584" s="1" t="s">
        <v>24</v>
      </c>
    </row>
    <row r="4585" spans="1:18" x14ac:dyDescent="0.25">
      <c r="A4585">
        <v>2021</v>
      </c>
      <c r="B4585">
        <v>12</v>
      </c>
      <c r="C4585" s="1" t="s">
        <v>35</v>
      </c>
      <c r="D4585" s="1" t="s">
        <v>19</v>
      </c>
      <c r="E4585" s="1" t="s">
        <v>41</v>
      </c>
      <c r="F4585">
        <v>2005</v>
      </c>
      <c r="G4585">
        <v>16</v>
      </c>
      <c r="H4585" s="1" t="s">
        <v>21</v>
      </c>
      <c r="I4585">
        <v>26</v>
      </c>
      <c r="J4585">
        <v>2827</v>
      </c>
      <c r="K4585" s="1" t="s">
        <v>42</v>
      </c>
      <c r="L4585" s="1" t="s">
        <v>23</v>
      </c>
      <c r="M4585">
        <v>1.702</v>
      </c>
      <c r="N4585">
        <v>44249.599999999999</v>
      </c>
      <c r="O4585">
        <v>44.25</v>
      </c>
      <c r="P4585" s="2">
        <v>44531</v>
      </c>
      <c r="Q4585">
        <v>1</v>
      </c>
      <c r="R4585" s="1" t="s">
        <v>24</v>
      </c>
    </row>
    <row r="4586" spans="1:18" x14ac:dyDescent="0.25">
      <c r="A4586">
        <v>2021</v>
      </c>
      <c r="B4586">
        <v>1</v>
      </c>
      <c r="C4586" s="1" t="s">
        <v>18</v>
      </c>
      <c r="D4586" s="1" t="s">
        <v>19</v>
      </c>
      <c r="E4586" s="1" t="s">
        <v>43</v>
      </c>
      <c r="F4586">
        <v>2005</v>
      </c>
      <c r="G4586">
        <v>16</v>
      </c>
      <c r="H4586" s="1" t="s">
        <v>21</v>
      </c>
      <c r="I4586">
        <v>24</v>
      </c>
      <c r="J4586">
        <v>1947</v>
      </c>
      <c r="K4586" s="1" t="s">
        <v>44</v>
      </c>
      <c r="L4586" s="1" t="s">
        <v>45</v>
      </c>
      <c r="M4586">
        <v>0.48199999999999998</v>
      </c>
      <c r="N4586">
        <v>11566.8</v>
      </c>
      <c r="O4586">
        <v>11.567</v>
      </c>
      <c r="P4586" s="2">
        <v>44197</v>
      </c>
      <c r="Q4586">
        <v>1</v>
      </c>
      <c r="R4586" s="1" t="s">
        <v>24</v>
      </c>
    </row>
    <row r="4587" spans="1:18" x14ac:dyDescent="0.25">
      <c r="A4587">
        <v>2021</v>
      </c>
      <c r="B4587">
        <v>2</v>
      </c>
      <c r="C4587" s="1" t="s">
        <v>25</v>
      </c>
      <c r="D4587" s="1" t="s">
        <v>19</v>
      </c>
      <c r="E4587" s="1" t="s">
        <v>43</v>
      </c>
      <c r="F4587">
        <v>2005</v>
      </c>
      <c r="G4587">
        <v>16</v>
      </c>
      <c r="H4587" s="1" t="s">
        <v>21</v>
      </c>
      <c r="I4587">
        <v>24</v>
      </c>
      <c r="J4587">
        <v>1947</v>
      </c>
      <c r="K4587" s="1" t="s">
        <v>44</v>
      </c>
      <c r="L4587" s="1" t="s">
        <v>45</v>
      </c>
      <c r="M4587">
        <v>0.8</v>
      </c>
      <c r="N4587">
        <v>19204.599999999999</v>
      </c>
      <c r="O4587">
        <v>19.204999999999998</v>
      </c>
      <c r="P4587" s="2">
        <v>44228</v>
      </c>
      <c r="Q4587">
        <v>1</v>
      </c>
      <c r="R4587" s="1" t="s">
        <v>24</v>
      </c>
    </row>
    <row r="4588" spans="1:18" x14ac:dyDescent="0.25">
      <c r="A4588">
        <v>2021</v>
      </c>
      <c r="B4588">
        <v>3</v>
      </c>
      <c r="C4588" s="1" t="s">
        <v>26</v>
      </c>
      <c r="D4588" s="1" t="s">
        <v>19</v>
      </c>
      <c r="E4588" s="1" t="s">
        <v>43</v>
      </c>
      <c r="F4588">
        <v>2005</v>
      </c>
      <c r="G4588">
        <v>16</v>
      </c>
      <c r="H4588" s="1" t="s">
        <v>21</v>
      </c>
      <c r="I4588">
        <v>24</v>
      </c>
      <c r="J4588">
        <v>1947</v>
      </c>
      <c r="K4588" s="1" t="s">
        <v>44</v>
      </c>
      <c r="L4588" s="1" t="s">
        <v>45</v>
      </c>
      <c r="M4588">
        <v>1.304</v>
      </c>
      <c r="N4588">
        <v>31285.4</v>
      </c>
      <c r="O4588">
        <v>31.285</v>
      </c>
      <c r="P4588" s="2">
        <v>44256</v>
      </c>
      <c r="Q4588">
        <v>1</v>
      </c>
      <c r="R4588" s="1" t="s">
        <v>24</v>
      </c>
    </row>
    <row r="4589" spans="1:18" x14ac:dyDescent="0.25">
      <c r="A4589">
        <v>2021</v>
      </c>
      <c r="B4589">
        <v>4</v>
      </c>
      <c r="C4589" s="1" t="s">
        <v>27</v>
      </c>
      <c r="D4589" s="1" t="s">
        <v>19</v>
      </c>
      <c r="E4589" s="1" t="s">
        <v>43</v>
      </c>
      <c r="F4589">
        <v>2005</v>
      </c>
      <c r="G4589">
        <v>16</v>
      </c>
      <c r="H4589" s="1" t="s">
        <v>21</v>
      </c>
      <c r="I4589">
        <v>24</v>
      </c>
      <c r="J4589">
        <v>1947</v>
      </c>
      <c r="K4589" s="1" t="s">
        <v>44</v>
      </c>
      <c r="L4589" s="1" t="s">
        <v>45</v>
      </c>
      <c r="M4589">
        <v>1.514</v>
      </c>
      <c r="N4589">
        <v>36334.400000000001</v>
      </c>
      <c r="O4589">
        <v>36.334000000000003</v>
      </c>
      <c r="P4589" s="2">
        <v>44287</v>
      </c>
      <c r="Q4589">
        <v>1</v>
      </c>
      <c r="R4589" s="1" t="s">
        <v>24</v>
      </c>
    </row>
    <row r="4590" spans="1:18" x14ac:dyDescent="0.25">
      <c r="A4590">
        <v>2021</v>
      </c>
      <c r="B4590">
        <v>5</v>
      </c>
      <c r="C4590" s="1" t="s">
        <v>28</v>
      </c>
      <c r="D4590" s="1" t="s">
        <v>19</v>
      </c>
      <c r="E4590" s="1" t="s">
        <v>43</v>
      </c>
      <c r="F4590">
        <v>2005</v>
      </c>
      <c r="G4590">
        <v>16</v>
      </c>
      <c r="H4590" s="1" t="s">
        <v>21</v>
      </c>
      <c r="I4590">
        <v>24</v>
      </c>
      <c r="J4590">
        <v>1947</v>
      </c>
      <c r="K4590" s="1" t="s">
        <v>44</v>
      </c>
      <c r="L4590" s="1" t="s">
        <v>45</v>
      </c>
      <c r="M4590">
        <v>1.4750000000000001</v>
      </c>
      <c r="N4590">
        <v>35398.1</v>
      </c>
      <c r="O4590">
        <v>35.398000000000003</v>
      </c>
      <c r="P4590" s="2">
        <v>44317</v>
      </c>
      <c r="Q4590">
        <v>1</v>
      </c>
      <c r="R4590" s="1" t="s">
        <v>24</v>
      </c>
    </row>
    <row r="4591" spans="1:18" x14ac:dyDescent="0.25">
      <c r="A4591">
        <v>2021</v>
      </c>
      <c r="B4591">
        <v>6</v>
      </c>
      <c r="C4591" s="1" t="s">
        <v>29</v>
      </c>
      <c r="D4591" s="1" t="s">
        <v>19</v>
      </c>
      <c r="E4591" s="1" t="s">
        <v>43</v>
      </c>
      <c r="F4591">
        <v>2005</v>
      </c>
      <c r="G4591">
        <v>16</v>
      </c>
      <c r="H4591" s="1" t="s">
        <v>21</v>
      </c>
      <c r="I4591">
        <v>24</v>
      </c>
      <c r="J4591">
        <v>1947</v>
      </c>
      <c r="K4591" s="1" t="s">
        <v>44</v>
      </c>
      <c r="L4591" s="1" t="s">
        <v>45</v>
      </c>
      <c r="M4591">
        <v>1.4450000000000001</v>
      </c>
      <c r="N4591">
        <v>34682</v>
      </c>
      <c r="O4591">
        <v>34.682000000000002</v>
      </c>
      <c r="P4591" s="2">
        <v>44348</v>
      </c>
      <c r="Q4591">
        <v>1</v>
      </c>
      <c r="R4591" s="1" t="s">
        <v>24</v>
      </c>
    </row>
    <row r="4592" spans="1:18" x14ac:dyDescent="0.25">
      <c r="A4592">
        <v>2021</v>
      </c>
      <c r="B4592">
        <v>7</v>
      </c>
      <c r="C4592" s="1" t="s">
        <v>30</v>
      </c>
      <c r="D4592" s="1" t="s">
        <v>19</v>
      </c>
      <c r="E4592" s="1" t="s">
        <v>43</v>
      </c>
      <c r="F4592">
        <v>2005</v>
      </c>
      <c r="G4592">
        <v>16</v>
      </c>
      <c r="H4592" s="1" t="s">
        <v>21</v>
      </c>
      <c r="I4592">
        <v>24</v>
      </c>
      <c r="J4592">
        <v>1947</v>
      </c>
      <c r="K4592" s="1" t="s">
        <v>44</v>
      </c>
      <c r="L4592" s="1" t="s">
        <v>45</v>
      </c>
      <c r="M4592">
        <v>1.6519999999999999</v>
      </c>
      <c r="N4592">
        <v>39657.599999999999</v>
      </c>
      <c r="O4592">
        <v>39.658000000000001</v>
      </c>
      <c r="P4592" s="2">
        <v>44378</v>
      </c>
      <c r="Q4592">
        <v>1</v>
      </c>
      <c r="R4592" s="1" t="s">
        <v>24</v>
      </c>
    </row>
    <row r="4593" spans="1:18" x14ac:dyDescent="0.25">
      <c r="A4593">
        <v>2021</v>
      </c>
      <c r="B4593">
        <v>8</v>
      </c>
      <c r="C4593" s="1" t="s">
        <v>31</v>
      </c>
      <c r="D4593" s="1" t="s">
        <v>19</v>
      </c>
      <c r="E4593" s="1" t="s">
        <v>43</v>
      </c>
      <c r="F4593">
        <v>2005</v>
      </c>
      <c r="G4593">
        <v>16</v>
      </c>
      <c r="H4593" s="1" t="s">
        <v>21</v>
      </c>
      <c r="I4593">
        <v>24</v>
      </c>
      <c r="J4593">
        <v>1947</v>
      </c>
      <c r="K4593" s="1" t="s">
        <v>44</v>
      </c>
      <c r="L4593" s="1" t="s">
        <v>45</v>
      </c>
      <c r="M4593">
        <v>1.597</v>
      </c>
      <c r="N4593">
        <v>38335.699999999997</v>
      </c>
      <c r="O4593">
        <v>38.335999999999999</v>
      </c>
      <c r="P4593" s="2">
        <v>44409</v>
      </c>
      <c r="Q4593">
        <v>1</v>
      </c>
      <c r="R4593" s="1" t="s">
        <v>24</v>
      </c>
    </row>
    <row r="4594" spans="1:18" x14ac:dyDescent="0.25">
      <c r="A4594">
        <v>2021</v>
      </c>
      <c r="B4594">
        <v>9</v>
      </c>
      <c r="C4594" s="1" t="s">
        <v>32</v>
      </c>
      <c r="D4594" s="1" t="s">
        <v>19</v>
      </c>
      <c r="E4594" s="1" t="s">
        <v>43</v>
      </c>
      <c r="F4594">
        <v>2005</v>
      </c>
      <c r="G4594">
        <v>16</v>
      </c>
      <c r="H4594" s="1" t="s">
        <v>21</v>
      </c>
      <c r="I4594">
        <v>24</v>
      </c>
      <c r="J4594">
        <v>1947</v>
      </c>
      <c r="K4594" s="1" t="s">
        <v>44</v>
      </c>
      <c r="L4594" s="1" t="s">
        <v>45</v>
      </c>
      <c r="M4594">
        <v>1.526</v>
      </c>
      <c r="N4594">
        <v>36628.199999999997</v>
      </c>
      <c r="O4594">
        <v>36.628</v>
      </c>
      <c r="P4594" s="2">
        <v>44440</v>
      </c>
      <c r="Q4594">
        <v>1</v>
      </c>
      <c r="R4594" s="1" t="s">
        <v>24</v>
      </c>
    </row>
    <row r="4595" spans="1:18" x14ac:dyDescent="0.25">
      <c r="A4595">
        <v>2021</v>
      </c>
      <c r="B4595">
        <v>10</v>
      </c>
      <c r="C4595" s="1" t="s">
        <v>33</v>
      </c>
      <c r="D4595" s="1" t="s">
        <v>19</v>
      </c>
      <c r="E4595" s="1" t="s">
        <v>43</v>
      </c>
      <c r="F4595">
        <v>2005</v>
      </c>
      <c r="G4595">
        <v>16</v>
      </c>
      <c r="H4595" s="1" t="s">
        <v>21</v>
      </c>
      <c r="I4595">
        <v>24</v>
      </c>
      <c r="J4595">
        <v>1947</v>
      </c>
      <c r="K4595" s="1" t="s">
        <v>44</v>
      </c>
      <c r="L4595" s="1" t="s">
        <v>45</v>
      </c>
      <c r="M4595">
        <v>1.615</v>
      </c>
      <c r="N4595">
        <v>38758</v>
      </c>
      <c r="O4595">
        <v>38.758000000000003</v>
      </c>
      <c r="P4595" s="2">
        <v>44470</v>
      </c>
      <c r="Q4595">
        <v>1</v>
      </c>
      <c r="R4595" s="1" t="s">
        <v>24</v>
      </c>
    </row>
    <row r="4596" spans="1:18" x14ac:dyDescent="0.25">
      <c r="A4596">
        <v>2021</v>
      </c>
      <c r="B4596">
        <v>11</v>
      </c>
      <c r="C4596" s="1" t="s">
        <v>34</v>
      </c>
      <c r="D4596" s="1" t="s">
        <v>19</v>
      </c>
      <c r="E4596" s="1" t="s">
        <v>43</v>
      </c>
      <c r="F4596">
        <v>2005</v>
      </c>
      <c r="G4596">
        <v>16</v>
      </c>
      <c r="H4596" s="1" t="s">
        <v>21</v>
      </c>
      <c r="I4596">
        <v>24</v>
      </c>
      <c r="J4596">
        <v>1947</v>
      </c>
      <c r="K4596" s="1" t="s">
        <v>44</v>
      </c>
      <c r="L4596" s="1" t="s">
        <v>45</v>
      </c>
      <c r="M4596">
        <v>1.5740000000000001</v>
      </c>
      <c r="N4596">
        <v>37766.5</v>
      </c>
      <c r="O4596">
        <v>37.767000000000003</v>
      </c>
      <c r="P4596" s="2">
        <v>44501</v>
      </c>
      <c r="Q4596">
        <v>1</v>
      </c>
      <c r="R4596" s="1" t="s">
        <v>24</v>
      </c>
    </row>
    <row r="4597" spans="1:18" x14ac:dyDescent="0.25">
      <c r="A4597">
        <v>2021</v>
      </c>
      <c r="B4597">
        <v>12</v>
      </c>
      <c r="C4597" s="1" t="s">
        <v>35</v>
      </c>
      <c r="D4597" s="1" t="s">
        <v>19</v>
      </c>
      <c r="E4597" s="1" t="s">
        <v>43</v>
      </c>
      <c r="F4597">
        <v>2005</v>
      </c>
      <c r="G4597">
        <v>16</v>
      </c>
      <c r="H4597" s="1" t="s">
        <v>21</v>
      </c>
      <c r="I4597">
        <v>24</v>
      </c>
      <c r="J4597">
        <v>1947</v>
      </c>
      <c r="K4597" s="1" t="s">
        <v>44</v>
      </c>
      <c r="L4597" s="1" t="s">
        <v>45</v>
      </c>
      <c r="M4597">
        <v>1.597</v>
      </c>
      <c r="N4597">
        <v>38317.300000000003</v>
      </c>
      <c r="O4597">
        <v>38.317</v>
      </c>
      <c r="P4597" s="2">
        <v>44531</v>
      </c>
      <c r="Q4597">
        <v>1</v>
      </c>
      <c r="R4597" s="1" t="s">
        <v>24</v>
      </c>
    </row>
    <row r="4598" spans="1:18" x14ac:dyDescent="0.25">
      <c r="A4598">
        <v>2021</v>
      </c>
      <c r="B4598">
        <v>1</v>
      </c>
      <c r="C4598" s="1" t="s">
        <v>18</v>
      </c>
      <c r="D4598" s="1" t="s">
        <v>19</v>
      </c>
      <c r="E4598" s="1" t="s">
        <v>46</v>
      </c>
      <c r="F4598">
        <v>2006</v>
      </c>
      <c r="G4598">
        <v>15</v>
      </c>
      <c r="H4598" s="1" t="s">
        <v>21</v>
      </c>
      <c r="I4598">
        <v>25</v>
      </c>
      <c r="J4598">
        <v>2740</v>
      </c>
      <c r="K4598" s="1" t="s">
        <v>47</v>
      </c>
      <c r="L4598" s="1" t="s">
        <v>45</v>
      </c>
      <c r="M4598">
        <v>0.51800000000000002</v>
      </c>
      <c r="N4598">
        <v>12946.5</v>
      </c>
      <c r="O4598">
        <v>12.946999999999999</v>
      </c>
      <c r="P4598" s="2">
        <v>44197</v>
      </c>
      <c r="Q4598">
        <v>1</v>
      </c>
      <c r="R4598" s="1" t="s">
        <v>24</v>
      </c>
    </row>
    <row r="4599" spans="1:18" x14ac:dyDescent="0.25">
      <c r="A4599">
        <v>2021</v>
      </c>
      <c r="B4599">
        <v>2</v>
      </c>
      <c r="C4599" s="1" t="s">
        <v>25</v>
      </c>
      <c r="D4599" s="1" t="s">
        <v>19</v>
      </c>
      <c r="E4599" s="1" t="s">
        <v>46</v>
      </c>
      <c r="F4599">
        <v>2006</v>
      </c>
      <c r="G4599">
        <v>15</v>
      </c>
      <c r="H4599" s="1" t="s">
        <v>21</v>
      </c>
      <c r="I4599">
        <v>25</v>
      </c>
      <c r="J4599">
        <v>2740</v>
      </c>
      <c r="K4599" s="1" t="s">
        <v>47</v>
      </c>
      <c r="L4599" s="1" t="s">
        <v>45</v>
      </c>
      <c r="M4599">
        <v>0.86</v>
      </c>
      <c r="N4599">
        <v>21495.3</v>
      </c>
      <c r="O4599">
        <v>21.495000000000001</v>
      </c>
      <c r="P4599" s="2">
        <v>44228</v>
      </c>
      <c r="Q4599">
        <v>1</v>
      </c>
      <c r="R4599" s="1" t="s">
        <v>24</v>
      </c>
    </row>
    <row r="4600" spans="1:18" x14ac:dyDescent="0.25">
      <c r="A4600">
        <v>2021</v>
      </c>
      <c r="B4600">
        <v>3</v>
      </c>
      <c r="C4600" s="1" t="s">
        <v>26</v>
      </c>
      <c r="D4600" s="1" t="s">
        <v>19</v>
      </c>
      <c r="E4600" s="1" t="s">
        <v>46</v>
      </c>
      <c r="F4600">
        <v>2006</v>
      </c>
      <c r="G4600">
        <v>15</v>
      </c>
      <c r="H4600" s="1" t="s">
        <v>21</v>
      </c>
      <c r="I4600">
        <v>25</v>
      </c>
      <c r="J4600">
        <v>2740</v>
      </c>
      <c r="K4600" s="1" t="s">
        <v>47</v>
      </c>
      <c r="L4600" s="1" t="s">
        <v>45</v>
      </c>
      <c r="M4600">
        <v>1.401</v>
      </c>
      <c r="N4600">
        <v>35017.199999999997</v>
      </c>
      <c r="O4600">
        <v>35.017000000000003</v>
      </c>
      <c r="P4600" s="2">
        <v>44256</v>
      </c>
      <c r="Q4600">
        <v>1</v>
      </c>
      <c r="R4600" s="1" t="s">
        <v>24</v>
      </c>
    </row>
    <row r="4601" spans="1:18" x14ac:dyDescent="0.25">
      <c r="A4601">
        <v>2021</v>
      </c>
      <c r="B4601">
        <v>4</v>
      </c>
      <c r="C4601" s="1" t="s">
        <v>27</v>
      </c>
      <c r="D4601" s="1" t="s">
        <v>19</v>
      </c>
      <c r="E4601" s="1" t="s">
        <v>46</v>
      </c>
      <c r="F4601">
        <v>2006</v>
      </c>
      <c r="G4601">
        <v>15</v>
      </c>
      <c r="H4601" s="1" t="s">
        <v>21</v>
      </c>
      <c r="I4601">
        <v>25</v>
      </c>
      <c r="J4601">
        <v>2740</v>
      </c>
      <c r="K4601" s="1" t="s">
        <v>47</v>
      </c>
      <c r="L4601" s="1" t="s">
        <v>45</v>
      </c>
      <c r="M4601">
        <v>1.627</v>
      </c>
      <c r="N4601">
        <v>40668.400000000001</v>
      </c>
      <c r="O4601">
        <v>40.667999999999999</v>
      </c>
      <c r="P4601" s="2">
        <v>44287</v>
      </c>
      <c r="Q4601">
        <v>1</v>
      </c>
      <c r="R4601" s="1" t="s">
        <v>24</v>
      </c>
    </row>
    <row r="4602" spans="1:18" x14ac:dyDescent="0.25">
      <c r="A4602">
        <v>2021</v>
      </c>
      <c r="B4602">
        <v>5</v>
      </c>
      <c r="C4602" s="1" t="s">
        <v>28</v>
      </c>
      <c r="D4602" s="1" t="s">
        <v>19</v>
      </c>
      <c r="E4602" s="1" t="s">
        <v>46</v>
      </c>
      <c r="F4602">
        <v>2006</v>
      </c>
      <c r="G4602">
        <v>15</v>
      </c>
      <c r="H4602" s="1" t="s">
        <v>21</v>
      </c>
      <c r="I4602">
        <v>25</v>
      </c>
      <c r="J4602">
        <v>2740</v>
      </c>
      <c r="K4602" s="1" t="s">
        <v>47</v>
      </c>
      <c r="L4602" s="1" t="s">
        <v>45</v>
      </c>
      <c r="M4602">
        <v>1.585</v>
      </c>
      <c r="N4602">
        <v>39620.400000000001</v>
      </c>
      <c r="O4602">
        <v>39.619999999999997</v>
      </c>
      <c r="P4602" s="2">
        <v>44317</v>
      </c>
      <c r="Q4602">
        <v>1</v>
      </c>
      <c r="R4602" s="1" t="s">
        <v>24</v>
      </c>
    </row>
    <row r="4603" spans="1:18" x14ac:dyDescent="0.25">
      <c r="A4603">
        <v>2021</v>
      </c>
      <c r="B4603">
        <v>6</v>
      </c>
      <c r="C4603" s="1" t="s">
        <v>29</v>
      </c>
      <c r="D4603" s="1" t="s">
        <v>19</v>
      </c>
      <c r="E4603" s="1" t="s">
        <v>46</v>
      </c>
      <c r="F4603">
        <v>2006</v>
      </c>
      <c r="G4603">
        <v>15</v>
      </c>
      <c r="H4603" s="1" t="s">
        <v>21</v>
      </c>
      <c r="I4603">
        <v>25</v>
      </c>
      <c r="J4603">
        <v>2740</v>
      </c>
      <c r="K4603" s="1" t="s">
        <v>47</v>
      </c>
      <c r="L4603" s="1" t="s">
        <v>45</v>
      </c>
      <c r="M4603">
        <v>1.5529999999999999</v>
      </c>
      <c r="N4603">
        <v>38818.9</v>
      </c>
      <c r="O4603">
        <v>38.819000000000003</v>
      </c>
      <c r="P4603" s="2">
        <v>44348</v>
      </c>
      <c r="Q4603">
        <v>1</v>
      </c>
      <c r="R4603" s="1" t="s">
        <v>24</v>
      </c>
    </row>
    <row r="4604" spans="1:18" x14ac:dyDescent="0.25">
      <c r="A4604">
        <v>2021</v>
      </c>
      <c r="B4604">
        <v>7</v>
      </c>
      <c r="C4604" s="1" t="s">
        <v>30</v>
      </c>
      <c r="D4604" s="1" t="s">
        <v>19</v>
      </c>
      <c r="E4604" s="1" t="s">
        <v>46</v>
      </c>
      <c r="F4604">
        <v>2006</v>
      </c>
      <c r="G4604">
        <v>15</v>
      </c>
      <c r="H4604" s="1" t="s">
        <v>21</v>
      </c>
      <c r="I4604">
        <v>25</v>
      </c>
      <c r="J4604">
        <v>2740</v>
      </c>
      <c r="K4604" s="1" t="s">
        <v>47</v>
      </c>
      <c r="L4604" s="1" t="s">
        <v>45</v>
      </c>
      <c r="M4604">
        <v>1.776</v>
      </c>
      <c r="N4604">
        <v>44388</v>
      </c>
      <c r="O4604">
        <v>44.387999999999998</v>
      </c>
      <c r="P4604" s="2">
        <v>44378</v>
      </c>
      <c r="Q4604">
        <v>1</v>
      </c>
      <c r="R4604" s="1" t="s">
        <v>24</v>
      </c>
    </row>
    <row r="4605" spans="1:18" x14ac:dyDescent="0.25">
      <c r="A4605">
        <v>2021</v>
      </c>
      <c r="B4605">
        <v>8</v>
      </c>
      <c r="C4605" s="1" t="s">
        <v>31</v>
      </c>
      <c r="D4605" s="1" t="s">
        <v>19</v>
      </c>
      <c r="E4605" s="1" t="s">
        <v>46</v>
      </c>
      <c r="F4605">
        <v>2006</v>
      </c>
      <c r="G4605">
        <v>15</v>
      </c>
      <c r="H4605" s="1" t="s">
        <v>21</v>
      </c>
      <c r="I4605">
        <v>25</v>
      </c>
      <c r="J4605">
        <v>2740</v>
      </c>
      <c r="K4605" s="1" t="s">
        <v>47</v>
      </c>
      <c r="L4605" s="1" t="s">
        <v>45</v>
      </c>
      <c r="M4605">
        <v>1.716</v>
      </c>
      <c r="N4605">
        <v>42908.4</v>
      </c>
      <c r="O4605">
        <v>42.908000000000001</v>
      </c>
      <c r="P4605" s="2">
        <v>44409</v>
      </c>
      <c r="Q4605">
        <v>1</v>
      </c>
      <c r="R4605" s="1" t="s">
        <v>24</v>
      </c>
    </row>
    <row r="4606" spans="1:18" x14ac:dyDescent="0.25">
      <c r="A4606">
        <v>2021</v>
      </c>
      <c r="B4606">
        <v>9</v>
      </c>
      <c r="C4606" s="1" t="s">
        <v>32</v>
      </c>
      <c r="D4606" s="1" t="s">
        <v>19</v>
      </c>
      <c r="E4606" s="1" t="s">
        <v>46</v>
      </c>
      <c r="F4606">
        <v>2006</v>
      </c>
      <c r="G4606">
        <v>15</v>
      </c>
      <c r="H4606" s="1" t="s">
        <v>21</v>
      </c>
      <c r="I4606">
        <v>25</v>
      </c>
      <c r="J4606">
        <v>2740</v>
      </c>
      <c r="K4606" s="1" t="s">
        <v>47</v>
      </c>
      <c r="L4606" s="1" t="s">
        <v>45</v>
      </c>
      <c r="M4606">
        <v>1.64</v>
      </c>
      <c r="N4606">
        <v>40997.199999999997</v>
      </c>
      <c r="O4606">
        <v>40.997</v>
      </c>
      <c r="P4606" s="2">
        <v>44440</v>
      </c>
      <c r="Q4606">
        <v>1</v>
      </c>
      <c r="R4606" s="1" t="s">
        <v>24</v>
      </c>
    </row>
    <row r="4607" spans="1:18" x14ac:dyDescent="0.25">
      <c r="A4607">
        <v>2021</v>
      </c>
      <c r="B4607">
        <v>10</v>
      </c>
      <c r="C4607" s="1" t="s">
        <v>33</v>
      </c>
      <c r="D4607" s="1" t="s">
        <v>19</v>
      </c>
      <c r="E4607" s="1" t="s">
        <v>46</v>
      </c>
      <c r="F4607">
        <v>2006</v>
      </c>
      <c r="G4607">
        <v>15</v>
      </c>
      <c r="H4607" s="1" t="s">
        <v>21</v>
      </c>
      <c r="I4607">
        <v>25</v>
      </c>
      <c r="J4607">
        <v>2740</v>
      </c>
      <c r="K4607" s="1" t="s">
        <v>47</v>
      </c>
      <c r="L4607" s="1" t="s">
        <v>45</v>
      </c>
      <c r="M4607">
        <v>1.7350000000000001</v>
      </c>
      <c r="N4607">
        <v>43381.1</v>
      </c>
      <c r="O4607">
        <v>43.381</v>
      </c>
      <c r="P4607" s="2">
        <v>44470</v>
      </c>
      <c r="Q4607">
        <v>1</v>
      </c>
      <c r="R4607" s="1" t="s">
        <v>24</v>
      </c>
    </row>
    <row r="4608" spans="1:18" x14ac:dyDescent="0.25">
      <c r="A4608">
        <v>2021</v>
      </c>
      <c r="B4608">
        <v>11</v>
      </c>
      <c r="C4608" s="1" t="s">
        <v>34</v>
      </c>
      <c r="D4608" s="1" t="s">
        <v>19</v>
      </c>
      <c r="E4608" s="1" t="s">
        <v>46</v>
      </c>
      <c r="F4608">
        <v>2006</v>
      </c>
      <c r="G4608">
        <v>15</v>
      </c>
      <c r="H4608" s="1" t="s">
        <v>21</v>
      </c>
      <c r="I4608">
        <v>25</v>
      </c>
      <c r="J4608">
        <v>2740</v>
      </c>
      <c r="K4608" s="1" t="s">
        <v>47</v>
      </c>
      <c r="L4608" s="1" t="s">
        <v>45</v>
      </c>
      <c r="M4608">
        <v>1.6910000000000001</v>
      </c>
      <c r="N4608">
        <v>42271.3</v>
      </c>
      <c r="O4608">
        <v>42.271000000000001</v>
      </c>
      <c r="P4608" s="2">
        <v>44501</v>
      </c>
      <c r="Q4608">
        <v>1</v>
      </c>
      <c r="R4608" s="1" t="s">
        <v>24</v>
      </c>
    </row>
    <row r="4609" spans="1:18" x14ac:dyDescent="0.25">
      <c r="A4609">
        <v>2021</v>
      </c>
      <c r="B4609">
        <v>12</v>
      </c>
      <c r="C4609" s="1" t="s">
        <v>35</v>
      </c>
      <c r="D4609" s="1" t="s">
        <v>19</v>
      </c>
      <c r="E4609" s="1" t="s">
        <v>46</v>
      </c>
      <c r="F4609">
        <v>2006</v>
      </c>
      <c r="G4609">
        <v>15</v>
      </c>
      <c r="H4609" s="1" t="s">
        <v>21</v>
      </c>
      <c r="I4609">
        <v>25</v>
      </c>
      <c r="J4609">
        <v>2740</v>
      </c>
      <c r="K4609" s="1" t="s">
        <v>47</v>
      </c>
      <c r="L4609" s="1" t="s">
        <v>45</v>
      </c>
      <c r="M4609">
        <v>1.716</v>
      </c>
      <c r="N4609">
        <v>42887.8</v>
      </c>
      <c r="O4609">
        <v>42.887999999999998</v>
      </c>
      <c r="P4609" s="2">
        <v>44531</v>
      </c>
      <c r="Q4609">
        <v>1</v>
      </c>
      <c r="R4609" s="1" t="s">
        <v>24</v>
      </c>
    </row>
    <row r="4610" spans="1:18" x14ac:dyDescent="0.25">
      <c r="A4610">
        <v>2021</v>
      </c>
      <c r="B4610">
        <v>1</v>
      </c>
      <c r="C4610" s="1" t="s">
        <v>18</v>
      </c>
      <c r="D4610" s="1" t="s">
        <v>19</v>
      </c>
      <c r="E4610" s="1" t="s">
        <v>48</v>
      </c>
      <c r="F4610">
        <v>2006</v>
      </c>
      <c r="G4610">
        <v>15</v>
      </c>
      <c r="H4610" s="1" t="s">
        <v>21</v>
      </c>
      <c r="I4610">
        <v>24</v>
      </c>
      <c r="J4610">
        <v>3230</v>
      </c>
      <c r="K4610" s="1" t="s">
        <v>49</v>
      </c>
      <c r="L4610" s="1" t="s">
        <v>45</v>
      </c>
      <c r="M4610">
        <v>0.63600000000000001</v>
      </c>
      <c r="N4610">
        <v>15261.8</v>
      </c>
      <c r="O4610">
        <v>15.262</v>
      </c>
      <c r="P4610" s="2">
        <v>44197</v>
      </c>
      <c r="Q4610">
        <v>1</v>
      </c>
      <c r="R4610" s="1" t="s">
        <v>24</v>
      </c>
    </row>
    <row r="4611" spans="1:18" x14ac:dyDescent="0.25">
      <c r="A4611">
        <v>2021</v>
      </c>
      <c r="B4611">
        <v>2</v>
      </c>
      <c r="C4611" s="1" t="s">
        <v>25</v>
      </c>
      <c r="D4611" s="1" t="s">
        <v>19</v>
      </c>
      <c r="E4611" s="1" t="s">
        <v>48</v>
      </c>
      <c r="F4611">
        <v>2006</v>
      </c>
      <c r="G4611">
        <v>15</v>
      </c>
      <c r="H4611" s="1" t="s">
        <v>21</v>
      </c>
      <c r="I4611">
        <v>24</v>
      </c>
      <c r="J4611">
        <v>3230</v>
      </c>
      <c r="K4611" s="1" t="s">
        <v>49</v>
      </c>
      <c r="L4611" s="1" t="s">
        <v>45</v>
      </c>
      <c r="M4611">
        <v>1.056</v>
      </c>
      <c r="N4611">
        <v>25339.4</v>
      </c>
      <c r="O4611">
        <v>25.338999999999999</v>
      </c>
      <c r="P4611" s="2">
        <v>44228</v>
      </c>
      <c r="Q4611">
        <v>1</v>
      </c>
      <c r="R4611" s="1" t="s">
        <v>24</v>
      </c>
    </row>
    <row r="4612" spans="1:18" x14ac:dyDescent="0.25">
      <c r="A4612">
        <v>2021</v>
      </c>
      <c r="B4612">
        <v>3</v>
      </c>
      <c r="C4612" s="1" t="s">
        <v>26</v>
      </c>
      <c r="D4612" s="1" t="s">
        <v>19</v>
      </c>
      <c r="E4612" s="1" t="s">
        <v>48</v>
      </c>
      <c r="F4612">
        <v>2006</v>
      </c>
      <c r="G4612">
        <v>15</v>
      </c>
      <c r="H4612" s="1" t="s">
        <v>21</v>
      </c>
      <c r="I4612">
        <v>24</v>
      </c>
      <c r="J4612">
        <v>3230</v>
      </c>
      <c r="K4612" s="1" t="s">
        <v>49</v>
      </c>
      <c r="L4612" s="1" t="s">
        <v>45</v>
      </c>
      <c r="M4612">
        <v>1.72</v>
      </c>
      <c r="N4612">
        <v>41279.4</v>
      </c>
      <c r="O4612">
        <v>41.279000000000003</v>
      </c>
      <c r="P4612" s="2">
        <v>44256</v>
      </c>
      <c r="Q4612">
        <v>1</v>
      </c>
      <c r="R4612" s="1" t="s">
        <v>24</v>
      </c>
    </row>
    <row r="4613" spans="1:18" x14ac:dyDescent="0.25">
      <c r="A4613">
        <v>2021</v>
      </c>
      <c r="B4613">
        <v>4</v>
      </c>
      <c r="C4613" s="1" t="s">
        <v>27</v>
      </c>
      <c r="D4613" s="1" t="s">
        <v>19</v>
      </c>
      <c r="E4613" s="1" t="s">
        <v>48</v>
      </c>
      <c r="F4613">
        <v>2006</v>
      </c>
      <c r="G4613">
        <v>15</v>
      </c>
      <c r="H4613" s="1" t="s">
        <v>21</v>
      </c>
      <c r="I4613">
        <v>24</v>
      </c>
      <c r="J4613">
        <v>3230</v>
      </c>
      <c r="K4613" s="1" t="s">
        <v>49</v>
      </c>
      <c r="L4613" s="1" t="s">
        <v>45</v>
      </c>
      <c r="M4613">
        <v>1.998</v>
      </c>
      <c r="N4613">
        <v>47941.3</v>
      </c>
      <c r="O4613">
        <v>47.941000000000003</v>
      </c>
      <c r="P4613" s="2">
        <v>44287</v>
      </c>
      <c r="Q4613">
        <v>1</v>
      </c>
      <c r="R4613" s="1" t="s">
        <v>24</v>
      </c>
    </row>
    <row r="4614" spans="1:18" x14ac:dyDescent="0.25">
      <c r="A4614">
        <v>2021</v>
      </c>
      <c r="B4614">
        <v>5</v>
      </c>
      <c r="C4614" s="1" t="s">
        <v>28</v>
      </c>
      <c r="D4614" s="1" t="s">
        <v>19</v>
      </c>
      <c r="E4614" s="1" t="s">
        <v>48</v>
      </c>
      <c r="F4614">
        <v>2006</v>
      </c>
      <c r="G4614">
        <v>15</v>
      </c>
      <c r="H4614" s="1" t="s">
        <v>21</v>
      </c>
      <c r="I4614">
        <v>24</v>
      </c>
      <c r="J4614">
        <v>3230</v>
      </c>
      <c r="K4614" s="1" t="s">
        <v>49</v>
      </c>
      <c r="L4614" s="1" t="s">
        <v>45</v>
      </c>
      <c r="M4614">
        <v>1.946</v>
      </c>
      <c r="N4614">
        <v>46705.8</v>
      </c>
      <c r="O4614">
        <v>46.706000000000003</v>
      </c>
      <c r="P4614" s="2">
        <v>44317</v>
      </c>
      <c r="Q4614">
        <v>1</v>
      </c>
      <c r="R4614" s="1" t="s">
        <v>24</v>
      </c>
    </row>
    <row r="4615" spans="1:18" x14ac:dyDescent="0.25">
      <c r="A4615">
        <v>2021</v>
      </c>
      <c r="B4615">
        <v>6</v>
      </c>
      <c r="C4615" s="1" t="s">
        <v>29</v>
      </c>
      <c r="D4615" s="1" t="s">
        <v>19</v>
      </c>
      <c r="E4615" s="1" t="s">
        <v>48</v>
      </c>
      <c r="F4615">
        <v>2006</v>
      </c>
      <c r="G4615">
        <v>15</v>
      </c>
      <c r="H4615" s="1" t="s">
        <v>21</v>
      </c>
      <c r="I4615">
        <v>24</v>
      </c>
      <c r="J4615">
        <v>3230</v>
      </c>
      <c r="K4615" s="1" t="s">
        <v>49</v>
      </c>
      <c r="L4615" s="1" t="s">
        <v>45</v>
      </c>
      <c r="M4615">
        <v>1.907</v>
      </c>
      <c r="N4615">
        <v>45761</v>
      </c>
      <c r="O4615">
        <v>45.761000000000003</v>
      </c>
      <c r="P4615" s="2">
        <v>44348</v>
      </c>
      <c r="Q4615">
        <v>1</v>
      </c>
      <c r="R4615" s="1" t="s">
        <v>24</v>
      </c>
    </row>
    <row r="4616" spans="1:18" x14ac:dyDescent="0.25">
      <c r="A4616">
        <v>2021</v>
      </c>
      <c r="B4616">
        <v>7</v>
      </c>
      <c r="C4616" s="1" t="s">
        <v>30</v>
      </c>
      <c r="D4616" s="1" t="s">
        <v>19</v>
      </c>
      <c r="E4616" s="1" t="s">
        <v>48</v>
      </c>
      <c r="F4616">
        <v>2006</v>
      </c>
      <c r="G4616">
        <v>15</v>
      </c>
      <c r="H4616" s="1" t="s">
        <v>21</v>
      </c>
      <c r="I4616">
        <v>24</v>
      </c>
      <c r="J4616">
        <v>3230</v>
      </c>
      <c r="K4616" s="1" t="s">
        <v>49</v>
      </c>
      <c r="L4616" s="1" t="s">
        <v>45</v>
      </c>
      <c r="M4616">
        <v>2.1800000000000002</v>
      </c>
      <c r="N4616">
        <v>52326</v>
      </c>
      <c r="O4616">
        <v>52.326000000000001</v>
      </c>
      <c r="P4616" s="2">
        <v>44378</v>
      </c>
      <c r="Q4616">
        <v>1</v>
      </c>
      <c r="R4616" s="1" t="s">
        <v>24</v>
      </c>
    </row>
    <row r="4617" spans="1:18" x14ac:dyDescent="0.25">
      <c r="A4617">
        <v>2021</v>
      </c>
      <c r="B4617">
        <v>8</v>
      </c>
      <c r="C4617" s="1" t="s">
        <v>31</v>
      </c>
      <c r="D4617" s="1" t="s">
        <v>19</v>
      </c>
      <c r="E4617" s="1" t="s">
        <v>48</v>
      </c>
      <c r="F4617">
        <v>2006</v>
      </c>
      <c r="G4617">
        <v>15</v>
      </c>
      <c r="H4617" s="1" t="s">
        <v>21</v>
      </c>
      <c r="I4617">
        <v>24</v>
      </c>
      <c r="J4617">
        <v>3230</v>
      </c>
      <c r="K4617" s="1" t="s">
        <v>49</v>
      </c>
      <c r="L4617" s="1" t="s">
        <v>45</v>
      </c>
      <c r="M4617">
        <v>2.1080000000000001</v>
      </c>
      <c r="N4617">
        <v>50581.8</v>
      </c>
      <c r="O4617">
        <v>50.582000000000001</v>
      </c>
      <c r="P4617" s="2">
        <v>44409</v>
      </c>
      <c r="Q4617">
        <v>1</v>
      </c>
      <c r="R4617" s="1" t="s">
        <v>24</v>
      </c>
    </row>
    <row r="4618" spans="1:18" x14ac:dyDescent="0.25">
      <c r="A4618">
        <v>2021</v>
      </c>
      <c r="B4618">
        <v>9</v>
      </c>
      <c r="C4618" s="1" t="s">
        <v>32</v>
      </c>
      <c r="D4618" s="1" t="s">
        <v>19</v>
      </c>
      <c r="E4618" s="1" t="s">
        <v>48</v>
      </c>
      <c r="F4618">
        <v>2006</v>
      </c>
      <c r="G4618">
        <v>15</v>
      </c>
      <c r="H4618" s="1" t="s">
        <v>21</v>
      </c>
      <c r="I4618">
        <v>24</v>
      </c>
      <c r="J4618">
        <v>3230</v>
      </c>
      <c r="K4618" s="1" t="s">
        <v>49</v>
      </c>
      <c r="L4618" s="1" t="s">
        <v>45</v>
      </c>
      <c r="M4618">
        <v>2.0139999999999998</v>
      </c>
      <c r="N4618">
        <v>48328.9</v>
      </c>
      <c r="O4618">
        <v>48.329000000000001</v>
      </c>
      <c r="P4618" s="2">
        <v>44440</v>
      </c>
      <c r="Q4618">
        <v>1</v>
      </c>
      <c r="R4618" s="1" t="s">
        <v>24</v>
      </c>
    </row>
    <row r="4619" spans="1:18" x14ac:dyDescent="0.25">
      <c r="A4619">
        <v>2021</v>
      </c>
      <c r="B4619">
        <v>10</v>
      </c>
      <c r="C4619" s="1" t="s">
        <v>33</v>
      </c>
      <c r="D4619" s="1" t="s">
        <v>19</v>
      </c>
      <c r="E4619" s="1" t="s">
        <v>48</v>
      </c>
      <c r="F4619">
        <v>2006</v>
      </c>
      <c r="G4619">
        <v>15</v>
      </c>
      <c r="H4619" s="1" t="s">
        <v>21</v>
      </c>
      <c r="I4619">
        <v>24</v>
      </c>
      <c r="J4619">
        <v>3230</v>
      </c>
      <c r="K4619" s="1" t="s">
        <v>49</v>
      </c>
      <c r="L4619" s="1" t="s">
        <v>45</v>
      </c>
      <c r="M4619">
        <v>2.1309999999999998</v>
      </c>
      <c r="N4619">
        <v>51139</v>
      </c>
      <c r="O4619">
        <v>51.139000000000003</v>
      </c>
      <c r="P4619" s="2">
        <v>44470</v>
      </c>
      <c r="Q4619">
        <v>1</v>
      </c>
      <c r="R4619" s="1" t="s">
        <v>24</v>
      </c>
    </row>
    <row r="4620" spans="1:18" x14ac:dyDescent="0.25">
      <c r="A4620">
        <v>2021</v>
      </c>
      <c r="B4620">
        <v>11</v>
      </c>
      <c r="C4620" s="1" t="s">
        <v>34</v>
      </c>
      <c r="D4620" s="1" t="s">
        <v>19</v>
      </c>
      <c r="E4620" s="1" t="s">
        <v>48</v>
      </c>
      <c r="F4620">
        <v>2006</v>
      </c>
      <c r="G4620">
        <v>15</v>
      </c>
      <c r="H4620" s="1" t="s">
        <v>21</v>
      </c>
      <c r="I4620">
        <v>24</v>
      </c>
      <c r="J4620">
        <v>3230</v>
      </c>
      <c r="K4620" s="1" t="s">
        <v>49</v>
      </c>
      <c r="L4620" s="1" t="s">
        <v>45</v>
      </c>
      <c r="M4620">
        <v>2.0760000000000001</v>
      </c>
      <c r="N4620">
        <v>49830.8</v>
      </c>
      <c r="O4620">
        <v>49.831000000000003</v>
      </c>
      <c r="P4620" s="2">
        <v>44501</v>
      </c>
      <c r="Q4620">
        <v>1</v>
      </c>
      <c r="R4620" s="1" t="s">
        <v>24</v>
      </c>
    </row>
    <row r="4621" spans="1:18" x14ac:dyDescent="0.25">
      <c r="A4621">
        <v>2021</v>
      </c>
      <c r="B4621">
        <v>12</v>
      </c>
      <c r="C4621" s="1" t="s">
        <v>35</v>
      </c>
      <c r="D4621" s="1" t="s">
        <v>19</v>
      </c>
      <c r="E4621" s="1" t="s">
        <v>48</v>
      </c>
      <c r="F4621">
        <v>2006</v>
      </c>
      <c r="G4621">
        <v>15</v>
      </c>
      <c r="H4621" s="1" t="s">
        <v>21</v>
      </c>
      <c r="I4621">
        <v>24</v>
      </c>
      <c r="J4621">
        <v>3230</v>
      </c>
      <c r="K4621" s="1" t="s">
        <v>49</v>
      </c>
      <c r="L4621" s="1" t="s">
        <v>45</v>
      </c>
      <c r="M4621">
        <v>2.1070000000000002</v>
      </c>
      <c r="N4621">
        <v>50557.599999999999</v>
      </c>
      <c r="O4621">
        <v>50.558</v>
      </c>
      <c r="P4621" s="2">
        <v>44531</v>
      </c>
      <c r="Q4621">
        <v>1</v>
      </c>
      <c r="R4621" s="1" t="s">
        <v>24</v>
      </c>
    </row>
    <row r="4622" spans="1:18" x14ac:dyDescent="0.25">
      <c r="A4622">
        <v>2021</v>
      </c>
      <c r="B4622">
        <v>1</v>
      </c>
      <c r="C4622" s="1" t="s">
        <v>18</v>
      </c>
      <c r="D4622" s="1" t="s">
        <v>19</v>
      </c>
      <c r="E4622" s="1" t="s">
        <v>50</v>
      </c>
      <c r="F4622">
        <v>2006</v>
      </c>
      <c r="G4622">
        <v>15</v>
      </c>
      <c r="H4622" s="1" t="s">
        <v>21</v>
      </c>
      <c r="I4622">
        <v>22</v>
      </c>
      <c r="J4622">
        <v>2447</v>
      </c>
      <c r="K4622" s="1" t="s">
        <v>51</v>
      </c>
      <c r="L4622" s="1" t="s">
        <v>45</v>
      </c>
      <c r="M4622">
        <v>0.52600000000000002</v>
      </c>
      <c r="N4622">
        <v>11562.1</v>
      </c>
      <c r="O4622">
        <v>11.561999999999999</v>
      </c>
      <c r="P4622" s="2">
        <v>44197</v>
      </c>
      <c r="Q4622">
        <v>1</v>
      </c>
      <c r="R4622" s="1" t="s">
        <v>24</v>
      </c>
    </row>
    <row r="4623" spans="1:18" x14ac:dyDescent="0.25">
      <c r="A4623">
        <v>2021</v>
      </c>
      <c r="B4623">
        <v>2</v>
      </c>
      <c r="C4623" s="1" t="s">
        <v>25</v>
      </c>
      <c r="D4623" s="1" t="s">
        <v>19</v>
      </c>
      <c r="E4623" s="1" t="s">
        <v>50</v>
      </c>
      <c r="F4623">
        <v>2006</v>
      </c>
      <c r="G4623">
        <v>15</v>
      </c>
      <c r="H4623" s="1" t="s">
        <v>21</v>
      </c>
      <c r="I4623">
        <v>22</v>
      </c>
      <c r="J4623">
        <v>2447</v>
      </c>
      <c r="K4623" s="1" t="s">
        <v>51</v>
      </c>
      <c r="L4623" s="1" t="s">
        <v>45</v>
      </c>
      <c r="M4623">
        <v>0.873</v>
      </c>
      <c r="N4623">
        <v>19196.7</v>
      </c>
      <c r="O4623">
        <v>19.196999999999999</v>
      </c>
      <c r="P4623" s="2">
        <v>44228</v>
      </c>
      <c r="Q4623">
        <v>1</v>
      </c>
      <c r="R4623" s="1" t="s">
        <v>24</v>
      </c>
    </row>
    <row r="4624" spans="1:18" x14ac:dyDescent="0.25">
      <c r="A4624">
        <v>2021</v>
      </c>
      <c r="B4624">
        <v>3</v>
      </c>
      <c r="C4624" s="1" t="s">
        <v>26</v>
      </c>
      <c r="D4624" s="1" t="s">
        <v>19</v>
      </c>
      <c r="E4624" s="1" t="s">
        <v>50</v>
      </c>
      <c r="F4624">
        <v>2006</v>
      </c>
      <c r="G4624">
        <v>15</v>
      </c>
      <c r="H4624" s="1" t="s">
        <v>21</v>
      </c>
      <c r="I4624">
        <v>22</v>
      </c>
      <c r="J4624">
        <v>2447</v>
      </c>
      <c r="K4624" s="1" t="s">
        <v>51</v>
      </c>
      <c r="L4624" s="1" t="s">
        <v>45</v>
      </c>
      <c r="M4624">
        <v>1.421</v>
      </c>
      <c r="N4624">
        <v>31272.7</v>
      </c>
      <c r="O4624">
        <v>31.273</v>
      </c>
      <c r="P4624" s="2">
        <v>44256</v>
      </c>
      <c r="Q4624">
        <v>1</v>
      </c>
      <c r="R4624" s="1" t="s">
        <v>24</v>
      </c>
    </row>
    <row r="4625" spans="1:18" x14ac:dyDescent="0.25">
      <c r="A4625">
        <v>2021</v>
      </c>
      <c r="B4625">
        <v>4</v>
      </c>
      <c r="C4625" s="1" t="s">
        <v>27</v>
      </c>
      <c r="D4625" s="1" t="s">
        <v>19</v>
      </c>
      <c r="E4625" s="1" t="s">
        <v>50</v>
      </c>
      <c r="F4625">
        <v>2006</v>
      </c>
      <c r="G4625">
        <v>15</v>
      </c>
      <c r="H4625" s="1" t="s">
        <v>21</v>
      </c>
      <c r="I4625">
        <v>22</v>
      </c>
      <c r="J4625">
        <v>2447</v>
      </c>
      <c r="K4625" s="1" t="s">
        <v>51</v>
      </c>
      <c r="L4625" s="1" t="s">
        <v>45</v>
      </c>
      <c r="M4625">
        <v>1.651</v>
      </c>
      <c r="N4625">
        <v>36319.599999999999</v>
      </c>
      <c r="O4625">
        <v>36.32</v>
      </c>
      <c r="P4625" s="2">
        <v>44287</v>
      </c>
      <c r="Q4625">
        <v>1</v>
      </c>
      <c r="R4625" s="1" t="s">
        <v>24</v>
      </c>
    </row>
    <row r="4626" spans="1:18" x14ac:dyDescent="0.25">
      <c r="A4626">
        <v>2021</v>
      </c>
      <c r="B4626">
        <v>5</v>
      </c>
      <c r="C4626" s="1" t="s">
        <v>28</v>
      </c>
      <c r="D4626" s="1" t="s">
        <v>19</v>
      </c>
      <c r="E4626" s="1" t="s">
        <v>50</v>
      </c>
      <c r="F4626">
        <v>2006</v>
      </c>
      <c r="G4626">
        <v>15</v>
      </c>
      <c r="H4626" s="1" t="s">
        <v>21</v>
      </c>
      <c r="I4626">
        <v>22</v>
      </c>
      <c r="J4626">
        <v>2447</v>
      </c>
      <c r="K4626" s="1" t="s">
        <v>51</v>
      </c>
      <c r="L4626" s="1" t="s">
        <v>45</v>
      </c>
      <c r="M4626">
        <v>1.6080000000000001</v>
      </c>
      <c r="N4626">
        <v>35383.599999999999</v>
      </c>
      <c r="O4626">
        <v>35.384</v>
      </c>
      <c r="P4626" s="2">
        <v>44317</v>
      </c>
      <c r="Q4626">
        <v>1</v>
      </c>
      <c r="R4626" s="1" t="s">
        <v>24</v>
      </c>
    </row>
    <row r="4627" spans="1:18" x14ac:dyDescent="0.25">
      <c r="A4627">
        <v>2021</v>
      </c>
      <c r="B4627">
        <v>6</v>
      </c>
      <c r="C4627" s="1" t="s">
        <v>29</v>
      </c>
      <c r="D4627" s="1" t="s">
        <v>19</v>
      </c>
      <c r="E4627" s="1" t="s">
        <v>50</v>
      </c>
      <c r="F4627">
        <v>2006</v>
      </c>
      <c r="G4627">
        <v>15</v>
      </c>
      <c r="H4627" s="1" t="s">
        <v>21</v>
      </c>
      <c r="I4627">
        <v>22</v>
      </c>
      <c r="J4627">
        <v>2447</v>
      </c>
      <c r="K4627" s="1" t="s">
        <v>51</v>
      </c>
      <c r="L4627" s="1" t="s">
        <v>45</v>
      </c>
      <c r="M4627">
        <v>1.5760000000000001</v>
      </c>
      <c r="N4627">
        <v>34667.9</v>
      </c>
      <c r="O4627">
        <v>34.667999999999999</v>
      </c>
      <c r="P4627" s="2">
        <v>44348</v>
      </c>
      <c r="Q4627">
        <v>1</v>
      </c>
      <c r="R4627" s="1" t="s">
        <v>24</v>
      </c>
    </row>
    <row r="4628" spans="1:18" x14ac:dyDescent="0.25">
      <c r="A4628">
        <v>2021</v>
      </c>
      <c r="B4628">
        <v>7</v>
      </c>
      <c r="C4628" s="1" t="s">
        <v>30</v>
      </c>
      <c r="D4628" s="1" t="s">
        <v>19</v>
      </c>
      <c r="E4628" s="1" t="s">
        <v>50</v>
      </c>
      <c r="F4628">
        <v>2006</v>
      </c>
      <c r="G4628">
        <v>15</v>
      </c>
      <c r="H4628" s="1" t="s">
        <v>21</v>
      </c>
      <c r="I4628">
        <v>22</v>
      </c>
      <c r="J4628">
        <v>2447</v>
      </c>
      <c r="K4628" s="1" t="s">
        <v>51</v>
      </c>
      <c r="L4628" s="1" t="s">
        <v>45</v>
      </c>
      <c r="M4628">
        <v>1.802</v>
      </c>
      <c r="N4628">
        <v>39641.4</v>
      </c>
      <c r="O4628">
        <v>39.640999999999998</v>
      </c>
      <c r="P4628" s="2">
        <v>44378</v>
      </c>
      <c r="Q4628">
        <v>1</v>
      </c>
      <c r="R4628" s="1" t="s">
        <v>24</v>
      </c>
    </row>
    <row r="4629" spans="1:18" x14ac:dyDescent="0.25">
      <c r="A4629">
        <v>2021</v>
      </c>
      <c r="B4629">
        <v>8</v>
      </c>
      <c r="C4629" s="1" t="s">
        <v>31</v>
      </c>
      <c r="D4629" s="1" t="s">
        <v>19</v>
      </c>
      <c r="E4629" s="1" t="s">
        <v>50</v>
      </c>
      <c r="F4629">
        <v>2006</v>
      </c>
      <c r="G4629">
        <v>15</v>
      </c>
      <c r="H4629" s="1" t="s">
        <v>21</v>
      </c>
      <c r="I4629">
        <v>22</v>
      </c>
      <c r="J4629">
        <v>2447</v>
      </c>
      <c r="K4629" s="1" t="s">
        <v>51</v>
      </c>
      <c r="L4629" s="1" t="s">
        <v>45</v>
      </c>
      <c r="M4629">
        <v>1.742</v>
      </c>
      <c r="N4629">
        <v>38320</v>
      </c>
      <c r="O4629">
        <v>38.32</v>
      </c>
      <c r="P4629" s="2">
        <v>44409</v>
      </c>
      <c r="Q4629">
        <v>1</v>
      </c>
      <c r="R4629" s="1" t="s">
        <v>24</v>
      </c>
    </row>
    <row r="4630" spans="1:18" x14ac:dyDescent="0.25">
      <c r="A4630">
        <v>2021</v>
      </c>
      <c r="B4630">
        <v>9</v>
      </c>
      <c r="C4630" s="1" t="s">
        <v>32</v>
      </c>
      <c r="D4630" s="1" t="s">
        <v>19</v>
      </c>
      <c r="E4630" s="1" t="s">
        <v>50</v>
      </c>
      <c r="F4630">
        <v>2006</v>
      </c>
      <c r="G4630">
        <v>15</v>
      </c>
      <c r="H4630" s="1" t="s">
        <v>21</v>
      </c>
      <c r="I4630">
        <v>22</v>
      </c>
      <c r="J4630">
        <v>2447</v>
      </c>
      <c r="K4630" s="1" t="s">
        <v>51</v>
      </c>
      <c r="L4630" s="1" t="s">
        <v>45</v>
      </c>
      <c r="M4630">
        <v>1.6639999999999999</v>
      </c>
      <c r="N4630">
        <v>36613.199999999997</v>
      </c>
      <c r="O4630">
        <v>36.613</v>
      </c>
      <c r="P4630" s="2">
        <v>44440</v>
      </c>
      <c r="Q4630">
        <v>1</v>
      </c>
      <c r="R4630" s="1" t="s">
        <v>24</v>
      </c>
    </row>
    <row r="4631" spans="1:18" x14ac:dyDescent="0.25">
      <c r="A4631">
        <v>2021</v>
      </c>
      <c r="B4631">
        <v>10</v>
      </c>
      <c r="C4631" s="1" t="s">
        <v>33</v>
      </c>
      <c r="D4631" s="1" t="s">
        <v>19</v>
      </c>
      <c r="E4631" s="1" t="s">
        <v>50</v>
      </c>
      <c r="F4631">
        <v>2006</v>
      </c>
      <c r="G4631">
        <v>15</v>
      </c>
      <c r="H4631" s="1" t="s">
        <v>21</v>
      </c>
      <c r="I4631">
        <v>22</v>
      </c>
      <c r="J4631">
        <v>2447</v>
      </c>
      <c r="K4631" s="1" t="s">
        <v>51</v>
      </c>
      <c r="L4631" s="1" t="s">
        <v>45</v>
      </c>
      <c r="M4631">
        <v>1.7609999999999999</v>
      </c>
      <c r="N4631">
        <v>38742.1</v>
      </c>
      <c r="O4631">
        <v>38.741999999999997</v>
      </c>
      <c r="P4631" s="2">
        <v>44470</v>
      </c>
      <c r="Q4631">
        <v>1</v>
      </c>
      <c r="R4631" s="1" t="s">
        <v>24</v>
      </c>
    </row>
    <row r="4632" spans="1:18" x14ac:dyDescent="0.25">
      <c r="A4632">
        <v>2021</v>
      </c>
      <c r="B4632">
        <v>11</v>
      </c>
      <c r="C4632" s="1" t="s">
        <v>34</v>
      </c>
      <c r="D4632" s="1" t="s">
        <v>19</v>
      </c>
      <c r="E4632" s="1" t="s">
        <v>50</v>
      </c>
      <c r="F4632">
        <v>2006</v>
      </c>
      <c r="G4632">
        <v>15</v>
      </c>
      <c r="H4632" s="1" t="s">
        <v>21</v>
      </c>
      <c r="I4632">
        <v>22</v>
      </c>
      <c r="J4632">
        <v>2447</v>
      </c>
      <c r="K4632" s="1" t="s">
        <v>51</v>
      </c>
      <c r="L4632" s="1" t="s">
        <v>45</v>
      </c>
      <c r="M4632">
        <v>1.716</v>
      </c>
      <c r="N4632">
        <v>37751.1</v>
      </c>
      <c r="O4632">
        <v>37.750999999999998</v>
      </c>
      <c r="P4632" s="2">
        <v>44501</v>
      </c>
      <c r="Q4632">
        <v>1</v>
      </c>
      <c r="R4632" s="1" t="s">
        <v>24</v>
      </c>
    </row>
    <row r="4633" spans="1:18" x14ac:dyDescent="0.25">
      <c r="A4633">
        <v>2021</v>
      </c>
      <c r="B4633">
        <v>12</v>
      </c>
      <c r="C4633" s="1" t="s">
        <v>35</v>
      </c>
      <c r="D4633" s="1" t="s">
        <v>19</v>
      </c>
      <c r="E4633" s="1" t="s">
        <v>50</v>
      </c>
      <c r="F4633">
        <v>2006</v>
      </c>
      <c r="G4633">
        <v>15</v>
      </c>
      <c r="H4633" s="1" t="s">
        <v>21</v>
      </c>
      <c r="I4633">
        <v>22</v>
      </c>
      <c r="J4633">
        <v>2447</v>
      </c>
      <c r="K4633" s="1" t="s">
        <v>51</v>
      </c>
      <c r="L4633" s="1" t="s">
        <v>45</v>
      </c>
      <c r="M4633">
        <v>1.7410000000000001</v>
      </c>
      <c r="N4633">
        <v>38301.699999999997</v>
      </c>
      <c r="O4633">
        <v>38.302</v>
      </c>
      <c r="P4633" s="2">
        <v>44531</v>
      </c>
      <c r="Q4633">
        <v>1</v>
      </c>
      <c r="R4633" s="1" t="s">
        <v>24</v>
      </c>
    </row>
    <row r="4634" spans="1:18" x14ac:dyDescent="0.25">
      <c r="A4634">
        <v>2021</v>
      </c>
      <c r="B4634">
        <v>1</v>
      </c>
      <c r="C4634" s="1" t="s">
        <v>18</v>
      </c>
      <c r="D4634" s="1" t="s">
        <v>19</v>
      </c>
      <c r="E4634" s="1" t="s">
        <v>52</v>
      </c>
      <c r="F4634">
        <v>2006</v>
      </c>
      <c r="G4634">
        <v>15</v>
      </c>
      <c r="H4634" s="1" t="s">
        <v>21</v>
      </c>
      <c r="I4634">
        <v>15</v>
      </c>
      <c r="J4634">
        <v>1866</v>
      </c>
      <c r="K4634" s="1" t="s">
        <v>53</v>
      </c>
      <c r="L4634" s="1" t="s">
        <v>45</v>
      </c>
      <c r="M4634">
        <v>0.58799999999999997</v>
      </c>
      <c r="N4634">
        <v>8816.9</v>
      </c>
      <c r="O4634">
        <v>8.8170000000000002</v>
      </c>
      <c r="P4634" s="2">
        <v>44197</v>
      </c>
      <c r="Q4634">
        <v>1</v>
      </c>
      <c r="R4634" s="1" t="s">
        <v>24</v>
      </c>
    </row>
    <row r="4635" spans="1:18" x14ac:dyDescent="0.25">
      <c r="A4635">
        <v>2021</v>
      </c>
      <c r="B4635">
        <v>2</v>
      </c>
      <c r="C4635" s="1" t="s">
        <v>25</v>
      </c>
      <c r="D4635" s="1" t="s">
        <v>19</v>
      </c>
      <c r="E4635" s="1" t="s">
        <v>52</v>
      </c>
      <c r="F4635">
        <v>2006</v>
      </c>
      <c r="G4635">
        <v>15</v>
      </c>
      <c r="H4635" s="1" t="s">
        <v>21</v>
      </c>
      <c r="I4635">
        <v>15</v>
      </c>
      <c r="J4635">
        <v>1866</v>
      </c>
      <c r="K4635" s="1" t="s">
        <v>53</v>
      </c>
      <c r="L4635" s="1" t="s">
        <v>45</v>
      </c>
      <c r="M4635">
        <v>0.97599999999999998</v>
      </c>
      <c r="N4635">
        <v>14638.8</v>
      </c>
      <c r="O4635">
        <v>14.638999999999999</v>
      </c>
      <c r="P4635" s="2">
        <v>44228</v>
      </c>
      <c r="Q4635">
        <v>1</v>
      </c>
      <c r="R4635" s="1" t="s">
        <v>24</v>
      </c>
    </row>
    <row r="4636" spans="1:18" x14ac:dyDescent="0.25">
      <c r="A4636">
        <v>2021</v>
      </c>
      <c r="B4636">
        <v>3</v>
      </c>
      <c r="C4636" s="1" t="s">
        <v>26</v>
      </c>
      <c r="D4636" s="1" t="s">
        <v>19</v>
      </c>
      <c r="E4636" s="1" t="s">
        <v>52</v>
      </c>
      <c r="F4636">
        <v>2006</v>
      </c>
      <c r="G4636">
        <v>15</v>
      </c>
      <c r="H4636" s="1" t="s">
        <v>21</v>
      </c>
      <c r="I4636">
        <v>15</v>
      </c>
      <c r="J4636">
        <v>1866</v>
      </c>
      <c r="K4636" s="1" t="s">
        <v>53</v>
      </c>
      <c r="L4636" s="1" t="s">
        <v>45</v>
      </c>
      <c r="M4636">
        <v>1.59</v>
      </c>
      <c r="N4636">
        <v>23847.5</v>
      </c>
      <c r="O4636">
        <v>23.847000000000001</v>
      </c>
      <c r="P4636" s="2">
        <v>44256</v>
      </c>
      <c r="Q4636">
        <v>1</v>
      </c>
      <c r="R4636" s="1" t="s">
        <v>24</v>
      </c>
    </row>
    <row r="4637" spans="1:18" x14ac:dyDescent="0.25">
      <c r="A4637">
        <v>2021</v>
      </c>
      <c r="B4637">
        <v>4</v>
      </c>
      <c r="C4637" s="1" t="s">
        <v>27</v>
      </c>
      <c r="D4637" s="1" t="s">
        <v>19</v>
      </c>
      <c r="E4637" s="1" t="s">
        <v>52</v>
      </c>
      <c r="F4637">
        <v>2006</v>
      </c>
      <c r="G4637">
        <v>15</v>
      </c>
      <c r="H4637" s="1" t="s">
        <v>21</v>
      </c>
      <c r="I4637">
        <v>15</v>
      </c>
      <c r="J4637">
        <v>1866</v>
      </c>
      <c r="K4637" s="1" t="s">
        <v>53</v>
      </c>
      <c r="L4637" s="1" t="s">
        <v>45</v>
      </c>
      <c r="M4637">
        <v>1.8460000000000001</v>
      </c>
      <c r="N4637">
        <v>27696.1</v>
      </c>
      <c r="O4637">
        <v>27.696000000000002</v>
      </c>
      <c r="P4637" s="2">
        <v>44287</v>
      </c>
      <c r="Q4637">
        <v>1</v>
      </c>
      <c r="R4637" s="1" t="s">
        <v>24</v>
      </c>
    </row>
    <row r="4638" spans="1:18" x14ac:dyDescent="0.25">
      <c r="A4638">
        <v>2021</v>
      </c>
      <c r="B4638">
        <v>5</v>
      </c>
      <c r="C4638" s="1" t="s">
        <v>28</v>
      </c>
      <c r="D4638" s="1" t="s">
        <v>19</v>
      </c>
      <c r="E4638" s="1" t="s">
        <v>52</v>
      </c>
      <c r="F4638">
        <v>2006</v>
      </c>
      <c r="G4638">
        <v>15</v>
      </c>
      <c r="H4638" s="1" t="s">
        <v>21</v>
      </c>
      <c r="I4638">
        <v>15</v>
      </c>
      <c r="J4638">
        <v>1866</v>
      </c>
      <c r="K4638" s="1" t="s">
        <v>53</v>
      </c>
      <c r="L4638" s="1" t="s">
        <v>45</v>
      </c>
      <c r="M4638">
        <v>1.7989999999999999</v>
      </c>
      <c r="N4638">
        <v>26982.400000000001</v>
      </c>
      <c r="O4638">
        <v>26.981999999999999</v>
      </c>
      <c r="P4638" s="2">
        <v>44317</v>
      </c>
      <c r="Q4638">
        <v>1</v>
      </c>
      <c r="R4638" s="1" t="s">
        <v>24</v>
      </c>
    </row>
    <row r="4639" spans="1:18" x14ac:dyDescent="0.25">
      <c r="A4639">
        <v>2021</v>
      </c>
      <c r="B4639">
        <v>6</v>
      </c>
      <c r="C4639" s="1" t="s">
        <v>29</v>
      </c>
      <c r="D4639" s="1" t="s">
        <v>19</v>
      </c>
      <c r="E4639" s="1" t="s">
        <v>52</v>
      </c>
      <c r="F4639">
        <v>2006</v>
      </c>
      <c r="G4639">
        <v>15</v>
      </c>
      <c r="H4639" s="1" t="s">
        <v>21</v>
      </c>
      <c r="I4639">
        <v>15</v>
      </c>
      <c r="J4639">
        <v>1866</v>
      </c>
      <c r="K4639" s="1" t="s">
        <v>53</v>
      </c>
      <c r="L4639" s="1" t="s">
        <v>45</v>
      </c>
      <c r="M4639">
        <v>1.762</v>
      </c>
      <c r="N4639">
        <v>26436.6</v>
      </c>
      <c r="O4639">
        <v>26.437000000000001</v>
      </c>
      <c r="P4639" s="2">
        <v>44348</v>
      </c>
      <c r="Q4639">
        <v>1</v>
      </c>
      <c r="R4639" s="1" t="s">
        <v>24</v>
      </c>
    </row>
    <row r="4640" spans="1:18" x14ac:dyDescent="0.25">
      <c r="A4640">
        <v>2021</v>
      </c>
      <c r="B4640">
        <v>7</v>
      </c>
      <c r="C4640" s="1" t="s">
        <v>30</v>
      </c>
      <c r="D4640" s="1" t="s">
        <v>19</v>
      </c>
      <c r="E4640" s="1" t="s">
        <v>52</v>
      </c>
      <c r="F4640">
        <v>2006</v>
      </c>
      <c r="G4640">
        <v>15</v>
      </c>
      <c r="H4640" s="1" t="s">
        <v>21</v>
      </c>
      <c r="I4640">
        <v>15</v>
      </c>
      <c r="J4640">
        <v>1866</v>
      </c>
      <c r="K4640" s="1" t="s">
        <v>53</v>
      </c>
      <c r="L4640" s="1" t="s">
        <v>45</v>
      </c>
      <c r="M4640">
        <v>2.0150000000000001</v>
      </c>
      <c r="N4640">
        <v>30229.200000000001</v>
      </c>
      <c r="O4640">
        <v>30.228999999999999</v>
      </c>
      <c r="P4640" s="2">
        <v>44378</v>
      </c>
      <c r="Q4640">
        <v>1</v>
      </c>
      <c r="R4640" s="1" t="s">
        <v>24</v>
      </c>
    </row>
    <row r="4641" spans="1:18" x14ac:dyDescent="0.25">
      <c r="A4641">
        <v>2021</v>
      </c>
      <c r="B4641">
        <v>8</v>
      </c>
      <c r="C4641" s="1" t="s">
        <v>31</v>
      </c>
      <c r="D4641" s="1" t="s">
        <v>19</v>
      </c>
      <c r="E4641" s="1" t="s">
        <v>52</v>
      </c>
      <c r="F4641">
        <v>2006</v>
      </c>
      <c r="G4641">
        <v>15</v>
      </c>
      <c r="H4641" s="1" t="s">
        <v>21</v>
      </c>
      <c r="I4641">
        <v>15</v>
      </c>
      <c r="J4641">
        <v>1866</v>
      </c>
      <c r="K4641" s="1" t="s">
        <v>53</v>
      </c>
      <c r="L4641" s="1" t="s">
        <v>45</v>
      </c>
      <c r="M4641">
        <v>1.948</v>
      </c>
      <c r="N4641">
        <v>29221.599999999999</v>
      </c>
      <c r="O4641">
        <v>29.222000000000001</v>
      </c>
      <c r="P4641" s="2">
        <v>44409</v>
      </c>
      <c r="Q4641">
        <v>1</v>
      </c>
      <c r="R4641" s="1" t="s">
        <v>24</v>
      </c>
    </row>
    <row r="4642" spans="1:18" x14ac:dyDescent="0.25">
      <c r="A4642">
        <v>2021</v>
      </c>
      <c r="B4642">
        <v>9</v>
      </c>
      <c r="C4642" s="1" t="s">
        <v>32</v>
      </c>
      <c r="D4642" s="1" t="s">
        <v>19</v>
      </c>
      <c r="E4642" s="1" t="s">
        <v>52</v>
      </c>
      <c r="F4642">
        <v>2006</v>
      </c>
      <c r="G4642">
        <v>15</v>
      </c>
      <c r="H4642" s="1" t="s">
        <v>21</v>
      </c>
      <c r="I4642">
        <v>15</v>
      </c>
      <c r="J4642">
        <v>1866</v>
      </c>
      <c r="K4642" s="1" t="s">
        <v>53</v>
      </c>
      <c r="L4642" s="1" t="s">
        <v>45</v>
      </c>
      <c r="M4642">
        <v>1.861</v>
      </c>
      <c r="N4642">
        <v>27920</v>
      </c>
      <c r="O4642">
        <v>27.92</v>
      </c>
      <c r="P4642" s="2">
        <v>44440</v>
      </c>
      <c r="Q4642">
        <v>1</v>
      </c>
      <c r="R4642" s="1" t="s">
        <v>24</v>
      </c>
    </row>
    <row r="4643" spans="1:18" x14ac:dyDescent="0.25">
      <c r="A4643">
        <v>2021</v>
      </c>
      <c r="B4643">
        <v>10</v>
      </c>
      <c r="C4643" s="1" t="s">
        <v>33</v>
      </c>
      <c r="D4643" s="1" t="s">
        <v>19</v>
      </c>
      <c r="E4643" s="1" t="s">
        <v>52</v>
      </c>
      <c r="F4643">
        <v>2006</v>
      </c>
      <c r="G4643">
        <v>15</v>
      </c>
      <c r="H4643" s="1" t="s">
        <v>21</v>
      </c>
      <c r="I4643">
        <v>15</v>
      </c>
      <c r="J4643">
        <v>1866</v>
      </c>
      <c r="K4643" s="1" t="s">
        <v>53</v>
      </c>
      <c r="L4643" s="1" t="s">
        <v>45</v>
      </c>
      <c r="M4643">
        <v>1.97</v>
      </c>
      <c r="N4643">
        <v>29543.4</v>
      </c>
      <c r="O4643">
        <v>29.542999999999999</v>
      </c>
      <c r="P4643" s="2">
        <v>44470</v>
      </c>
      <c r="Q4643">
        <v>1</v>
      </c>
      <c r="R4643" s="1" t="s">
        <v>24</v>
      </c>
    </row>
    <row r="4644" spans="1:18" x14ac:dyDescent="0.25">
      <c r="A4644">
        <v>2021</v>
      </c>
      <c r="B4644">
        <v>11</v>
      </c>
      <c r="C4644" s="1" t="s">
        <v>34</v>
      </c>
      <c r="D4644" s="1" t="s">
        <v>19</v>
      </c>
      <c r="E4644" s="1" t="s">
        <v>52</v>
      </c>
      <c r="F4644">
        <v>2006</v>
      </c>
      <c r="G4644">
        <v>15</v>
      </c>
      <c r="H4644" s="1" t="s">
        <v>21</v>
      </c>
      <c r="I4644">
        <v>15</v>
      </c>
      <c r="J4644">
        <v>1866</v>
      </c>
      <c r="K4644" s="1" t="s">
        <v>53</v>
      </c>
      <c r="L4644" s="1" t="s">
        <v>45</v>
      </c>
      <c r="M4644">
        <v>1.919</v>
      </c>
      <c r="N4644">
        <v>28787.7</v>
      </c>
      <c r="O4644">
        <v>28.788</v>
      </c>
      <c r="P4644" s="2">
        <v>44501</v>
      </c>
      <c r="Q4644">
        <v>1</v>
      </c>
      <c r="R4644" s="1" t="s">
        <v>24</v>
      </c>
    </row>
    <row r="4645" spans="1:18" x14ac:dyDescent="0.25">
      <c r="A4645">
        <v>2021</v>
      </c>
      <c r="B4645">
        <v>12</v>
      </c>
      <c r="C4645" s="1" t="s">
        <v>35</v>
      </c>
      <c r="D4645" s="1" t="s">
        <v>19</v>
      </c>
      <c r="E4645" s="1" t="s">
        <v>52</v>
      </c>
      <c r="F4645">
        <v>2006</v>
      </c>
      <c r="G4645">
        <v>15</v>
      </c>
      <c r="H4645" s="1" t="s">
        <v>21</v>
      </c>
      <c r="I4645">
        <v>15</v>
      </c>
      <c r="J4645">
        <v>1866</v>
      </c>
      <c r="K4645" s="1" t="s">
        <v>53</v>
      </c>
      <c r="L4645" s="1" t="s">
        <v>45</v>
      </c>
      <c r="M4645">
        <v>1.9470000000000001</v>
      </c>
      <c r="N4645">
        <v>29207.599999999999</v>
      </c>
      <c r="O4645">
        <v>29.207999999999998</v>
      </c>
      <c r="P4645" s="2">
        <v>44531</v>
      </c>
      <c r="Q4645">
        <v>1</v>
      </c>
      <c r="R4645" s="1" t="s">
        <v>24</v>
      </c>
    </row>
    <row r="4646" spans="1:18" x14ac:dyDescent="0.25">
      <c r="A4646">
        <v>2021</v>
      </c>
      <c r="B4646">
        <v>1</v>
      </c>
      <c r="C4646" s="1" t="s">
        <v>18</v>
      </c>
      <c r="D4646" s="1" t="s">
        <v>19</v>
      </c>
      <c r="E4646" s="1" t="s">
        <v>54</v>
      </c>
      <c r="F4646">
        <v>2006</v>
      </c>
      <c r="G4646">
        <v>15</v>
      </c>
      <c r="H4646" s="1" t="s">
        <v>21</v>
      </c>
      <c r="I4646">
        <v>25</v>
      </c>
      <c r="J4646">
        <v>3154</v>
      </c>
      <c r="K4646" s="1" t="s">
        <v>55</v>
      </c>
      <c r="L4646" s="1" t="s">
        <v>45</v>
      </c>
      <c r="M4646">
        <v>0.59599999999999997</v>
      </c>
      <c r="N4646">
        <v>14902.6</v>
      </c>
      <c r="O4646">
        <v>14.903</v>
      </c>
      <c r="P4646" s="2">
        <v>44197</v>
      </c>
      <c r="Q4646">
        <v>1</v>
      </c>
      <c r="R4646" s="1" t="s">
        <v>24</v>
      </c>
    </row>
    <row r="4647" spans="1:18" x14ac:dyDescent="0.25">
      <c r="A4647">
        <v>2021</v>
      </c>
      <c r="B4647">
        <v>2</v>
      </c>
      <c r="C4647" s="1" t="s">
        <v>25</v>
      </c>
      <c r="D4647" s="1" t="s">
        <v>19</v>
      </c>
      <c r="E4647" s="1" t="s">
        <v>54</v>
      </c>
      <c r="F4647">
        <v>2006</v>
      </c>
      <c r="G4647">
        <v>15</v>
      </c>
      <c r="H4647" s="1" t="s">
        <v>21</v>
      </c>
      <c r="I4647">
        <v>25</v>
      </c>
      <c r="J4647">
        <v>3154</v>
      </c>
      <c r="K4647" s="1" t="s">
        <v>55</v>
      </c>
      <c r="L4647" s="1" t="s">
        <v>45</v>
      </c>
      <c r="M4647">
        <v>0.99</v>
      </c>
      <c r="N4647">
        <v>24743.1</v>
      </c>
      <c r="O4647">
        <v>24.742999999999999</v>
      </c>
      <c r="P4647" s="2">
        <v>44228</v>
      </c>
      <c r="Q4647">
        <v>1</v>
      </c>
      <c r="R4647" s="1" t="s">
        <v>24</v>
      </c>
    </row>
    <row r="4648" spans="1:18" x14ac:dyDescent="0.25">
      <c r="A4648">
        <v>2021</v>
      </c>
      <c r="B4648">
        <v>3</v>
      </c>
      <c r="C4648" s="1" t="s">
        <v>26</v>
      </c>
      <c r="D4648" s="1" t="s">
        <v>19</v>
      </c>
      <c r="E4648" s="1" t="s">
        <v>54</v>
      </c>
      <c r="F4648">
        <v>2006</v>
      </c>
      <c r="G4648">
        <v>15</v>
      </c>
      <c r="H4648" s="1" t="s">
        <v>21</v>
      </c>
      <c r="I4648">
        <v>25</v>
      </c>
      <c r="J4648">
        <v>3154</v>
      </c>
      <c r="K4648" s="1" t="s">
        <v>55</v>
      </c>
      <c r="L4648" s="1" t="s">
        <v>45</v>
      </c>
      <c r="M4648">
        <v>1.6120000000000001</v>
      </c>
      <c r="N4648">
        <v>40308.1</v>
      </c>
      <c r="O4648">
        <v>40.308</v>
      </c>
      <c r="P4648" s="2">
        <v>44256</v>
      </c>
      <c r="Q4648">
        <v>1</v>
      </c>
      <c r="R4648" s="1" t="s">
        <v>24</v>
      </c>
    </row>
    <row r="4649" spans="1:18" x14ac:dyDescent="0.25">
      <c r="A4649">
        <v>2021</v>
      </c>
      <c r="B4649">
        <v>4</v>
      </c>
      <c r="C4649" s="1" t="s">
        <v>27</v>
      </c>
      <c r="D4649" s="1" t="s">
        <v>19</v>
      </c>
      <c r="E4649" s="1" t="s">
        <v>54</v>
      </c>
      <c r="F4649">
        <v>2006</v>
      </c>
      <c r="G4649">
        <v>15</v>
      </c>
      <c r="H4649" s="1" t="s">
        <v>21</v>
      </c>
      <c r="I4649">
        <v>25</v>
      </c>
      <c r="J4649">
        <v>3154</v>
      </c>
      <c r="K4649" s="1" t="s">
        <v>55</v>
      </c>
      <c r="L4649" s="1" t="s">
        <v>45</v>
      </c>
      <c r="M4649">
        <v>1.873</v>
      </c>
      <c r="N4649">
        <v>46813.2</v>
      </c>
      <c r="O4649">
        <v>46.813000000000002</v>
      </c>
      <c r="P4649" s="2">
        <v>44287</v>
      </c>
      <c r="Q4649">
        <v>1</v>
      </c>
      <c r="R4649" s="1" t="s">
        <v>24</v>
      </c>
    </row>
    <row r="4650" spans="1:18" x14ac:dyDescent="0.25">
      <c r="A4650">
        <v>2021</v>
      </c>
      <c r="B4650">
        <v>5</v>
      </c>
      <c r="C4650" s="1" t="s">
        <v>28</v>
      </c>
      <c r="D4650" s="1" t="s">
        <v>19</v>
      </c>
      <c r="E4650" s="1" t="s">
        <v>54</v>
      </c>
      <c r="F4650">
        <v>2006</v>
      </c>
      <c r="G4650">
        <v>15</v>
      </c>
      <c r="H4650" s="1" t="s">
        <v>21</v>
      </c>
      <c r="I4650">
        <v>25</v>
      </c>
      <c r="J4650">
        <v>3154</v>
      </c>
      <c r="K4650" s="1" t="s">
        <v>55</v>
      </c>
      <c r="L4650" s="1" t="s">
        <v>45</v>
      </c>
      <c r="M4650">
        <v>1.8240000000000001</v>
      </c>
      <c r="N4650">
        <v>45606.8</v>
      </c>
      <c r="O4650">
        <v>45.606999999999999</v>
      </c>
      <c r="P4650" s="2">
        <v>44317</v>
      </c>
      <c r="Q4650">
        <v>1</v>
      </c>
      <c r="R4650" s="1" t="s">
        <v>24</v>
      </c>
    </row>
    <row r="4651" spans="1:18" x14ac:dyDescent="0.25">
      <c r="A4651">
        <v>2021</v>
      </c>
      <c r="B4651">
        <v>6</v>
      </c>
      <c r="C4651" s="1" t="s">
        <v>29</v>
      </c>
      <c r="D4651" s="1" t="s">
        <v>19</v>
      </c>
      <c r="E4651" s="1" t="s">
        <v>54</v>
      </c>
      <c r="F4651">
        <v>2006</v>
      </c>
      <c r="G4651">
        <v>15</v>
      </c>
      <c r="H4651" s="1" t="s">
        <v>21</v>
      </c>
      <c r="I4651">
        <v>25</v>
      </c>
      <c r="J4651">
        <v>3154</v>
      </c>
      <c r="K4651" s="1" t="s">
        <v>55</v>
      </c>
      <c r="L4651" s="1" t="s">
        <v>45</v>
      </c>
      <c r="M4651">
        <v>1.7869999999999999</v>
      </c>
      <c r="N4651">
        <v>44684.3</v>
      </c>
      <c r="O4651">
        <v>44.683999999999997</v>
      </c>
      <c r="P4651" s="2">
        <v>44348</v>
      </c>
      <c r="Q4651">
        <v>1</v>
      </c>
      <c r="R4651" s="1" t="s">
        <v>24</v>
      </c>
    </row>
    <row r="4652" spans="1:18" x14ac:dyDescent="0.25">
      <c r="A4652">
        <v>2021</v>
      </c>
      <c r="B4652">
        <v>7</v>
      </c>
      <c r="C4652" s="1" t="s">
        <v>30</v>
      </c>
      <c r="D4652" s="1" t="s">
        <v>19</v>
      </c>
      <c r="E4652" s="1" t="s">
        <v>54</v>
      </c>
      <c r="F4652">
        <v>2006</v>
      </c>
      <c r="G4652">
        <v>15</v>
      </c>
      <c r="H4652" s="1" t="s">
        <v>21</v>
      </c>
      <c r="I4652">
        <v>25</v>
      </c>
      <c r="J4652">
        <v>3154</v>
      </c>
      <c r="K4652" s="1" t="s">
        <v>55</v>
      </c>
      <c r="L4652" s="1" t="s">
        <v>45</v>
      </c>
      <c r="M4652">
        <v>2.044</v>
      </c>
      <c r="N4652">
        <v>51094.8</v>
      </c>
      <c r="O4652">
        <v>51.094999999999999</v>
      </c>
      <c r="P4652" s="2">
        <v>44378</v>
      </c>
      <c r="Q4652">
        <v>1</v>
      </c>
      <c r="R4652" s="1" t="s">
        <v>24</v>
      </c>
    </row>
    <row r="4653" spans="1:18" x14ac:dyDescent="0.25">
      <c r="A4653">
        <v>2021</v>
      </c>
      <c r="B4653">
        <v>8</v>
      </c>
      <c r="C4653" s="1" t="s">
        <v>31</v>
      </c>
      <c r="D4653" s="1" t="s">
        <v>19</v>
      </c>
      <c r="E4653" s="1" t="s">
        <v>54</v>
      </c>
      <c r="F4653">
        <v>2006</v>
      </c>
      <c r="G4653">
        <v>15</v>
      </c>
      <c r="H4653" s="1" t="s">
        <v>21</v>
      </c>
      <c r="I4653">
        <v>25</v>
      </c>
      <c r="J4653">
        <v>3154</v>
      </c>
      <c r="K4653" s="1" t="s">
        <v>55</v>
      </c>
      <c r="L4653" s="1" t="s">
        <v>45</v>
      </c>
      <c r="M4653">
        <v>1.976</v>
      </c>
      <c r="N4653">
        <v>49391.6</v>
      </c>
      <c r="O4653">
        <v>49.392000000000003</v>
      </c>
      <c r="P4653" s="2">
        <v>44409</v>
      </c>
      <c r="Q4653">
        <v>1</v>
      </c>
      <c r="R4653" s="1" t="s">
        <v>24</v>
      </c>
    </row>
    <row r="4654" spans="1:18" x14ac:dyDescent="0.25">
      <c r="A4654">
        <v>2021</v>
      </c>
      <c r="B4654">
        <v>9</v>
      </c>
      <c r="C4654" s="1" t="s">
        <v>32</v>
      </c>
      <c r="D4654" s="1" t="s">
        <v>19</v>
      </c>
      <c r="E4654" s="1" t="s">
        <v>54</v>
      </c>
      <c r="F4654">
        <v>2006</v>
      </c>
      <c r="G4654">
        <v>15</v>
      </c>
      <c r="H4654" s="1" t="s">
        <v>21</v>
      </c>
      <c r="I4654">
        <v>25</v>
      </c>
      <c r="J4654">
        <v>3154</v>
      </c>
      <c r="K4654" s="1" t="s">
        <v>55</v>
      </c>
      <c r="L4654" s="1" t="s">
        <v>45</v>
      </c>
      <c r="M4654">
        <v>1.8879999999999999</v>
      </c>
      <c r="N4654">
        <v>47191.7</v>
      </c>
      <c r="O4654">
        <v>47.192</v>
      </c>
      <c r="P4654" s="2">
        <v>44440</v>
      </c>
      <c r="Q4654">
        <v>1</v>
      </c>
      <c r="R4654" s="1" t="s">
        <v>24</v>
      </c>
    </row>
    <row r="4655" spans="1:18" x14ac:dyDescent="0.25">
      <c r="A4655">
        <v>2021</v>
      </c>
      <c r="B4655">
        <v>10</v>
      </c>
      <c r="C4655" s="1" t="s">
        <v>33</v>
      </c>
      <c r="D4655" s="1" t="s">
        <v>19</v>
      </c>
      <c r="E4655" s="1" t="s">
        <v>54</v>
      </c>
      <c r="F4655">
        <v>2006</v>
      </c>
      <c r="G4655">
        <v>15</v>
      </c>
      <c r="H4655" s="1" t="s">
        <v>21</v>
      </c>
      <c r="I4655">
        <v>25</v>
      </c>
      <c r="J4655">
        <v>3154</v>
      </c>
      <c r="K4655" s="1" t="s">
        <v>55</v>
      </c>
      <c r="L4655" s="1" t="s">
        <v>45</v>
      </c>
      <c r="M4655">
        <v>1.9970000000000001</v>
      </c>
      <c r="N4655">
        <v>49935.7</v>
      </c>
      <c r="O4655">
        <v>49.936</v>
      </c>
      <c r="P4655" s="2">
        <v>44470</v>
      </c>
      <c r="Q4655">
        <v>1</v>
      </c>
      <c r="R4655" s="1" t="s">
        <v>24</v>
      </c>
    </row>
    <row r="4656" spans="1:18" x14ac:dyDescent="0.25">
      <c r="A4656">
        <v>2021</v>
      </c>
      <c r="B4656">
        <v>11</v>
      </c>
      <c r="C4656" s="1" t="s">
        <v>34</v>
      </c>
      <c r="D4656" s="1" t="s">
        <v>19</v>
      </c>
      <c r="E4656" s="1" t="s">
        <v>54</v>
      </c>
      <c r="F4656">
        <v>2006</v>
      </c>
      <c r="G4656">
        <v>15</v>
      </c>
      <c r="H4656" s="1" t="s">
        <v>21</v>
      </c>
      <c r="I4656">
        <v>25</v>
      </c>
      <c r="J4656">
        <v>3154</v>
      </c>
      <c r="K4656" s="1" t="s">
        <v>55</v>
      </c>
      <c r="L4656" s="1" t="s">
        <v>45</v>
      </c>
      <c r="M4656">
        <v>1.946</v>
      </c>
      <c r="N4656">
        <v>48658.3</v>
      </c>
      <c r="O4656">
        <v>48.658000000000001</v>
      </c>
      <c r="P4656" s="2">
        <v>44501</v>
      </c>
      <c r="Q4656">
        <v>1</v>
      </c>
      <c r="R4656" s="1" t="s">
        <v>24</v>
      </c>
    </row>
    <row r="4657" spans="1:18" x14ac:dyDescent="0.25">
      <c r="A4657">
        <v>2021</v>
      </c>
      <c r="B4657">
        <v>12</v>
      </c>
      <c r="C4657" s="1" t="s">
        <v>35</v>
      </c>
      <c r="D4657" s="1" t="s">
        <v>19</v>
      </c>
      <c r="E4657" s="1" t="s">
        <v>54</v>
      </c>
      <c r="F4657">
        <v>2006</v>
      </c>
      <c r="G4657">
        <v>15</v>
      </c>
      <c r="H4657" s="1" t="s">
        <v>21</v>
      </c>
      <c r="I4657">
        <v>25</v>
      </c>
      <c r="J4657">
        <v>3154</v>
      </c>
      <c r="K4657" s="1" t="s">
        <v>55</v>
      </c>
      <c r="L4657" s="1" t="s">
        <v>45</v>
      </c>
      <c r="M4657">
        <v>1.9750000000000001</v>
      </c>
      <c r="N4657">
        <v>49368</v>
      </c>
      <c r="O4657">
        <v>49.368000000000002</v>
      </c>
      <c r="P4657" s="2">
        <v>44531</v>
      </c>
      <c r="Q4657">
        <v>1</v>
      </c>
      <c r="R4657" s="1" t="s">
        <v>24</v>
      </c>
    </row>
    <row r="4658" spans="1:18" x14ac:dyDescent="0.25">
      <c r="A4658">
        <v>2021</v>
      </c>
      <c r="B4658">
        <v>1</v>
      </c>
      <c r="C4658" s="1" t="s">
        <v>18</v>
      </c>
      <c r="D4658" s="1" t="s">
        <v>19</v>
      </c>
      <c r="E4658" s="1" t="s">
        <v>56</v>
      </c>
      <c r="F4658">
        <v>2006</v>
      </c>
      <c r="G4658">
        <v>15</v>
      </c>
      <c r="H4658" s="1" t="s">
        <v>21</v>
      </c>
      <c r="I4658">
        <v>35</v>
      </c>
      <c r="J4658">
        <v>4204</v>
      </c>
      <c r="K4658" s="1" t="s">
        <v>57</v>
      </c>
      <c r="L4658" s="1" t="s">
        <v>45</v>
      </c>
      <c r="M4658">
        <v>0.56799999999999995</v>
      </c>
      <c r="N4658">
        <v>19863.900000000001</v>
      </c>
      <c r="O4658">
        <v>19.864000000000001</v>
      </c>
      <c r="P4658" s="2">
        <v>44197</v>
      </c>
      <c r="Q4658">
        <v>1</v>
      </c>
      <c r="R4658" s="1" t="s">
        <v>24</v>
      </c>
    </row>
    <row r="4659" spans="1:18" x14ac:dyDescent="0.25">
      <c r="A4659">
        <v>2021</v>
      </c>
      <c r="B4659">
        <v>2</v>
      </c>
      <c r="C4659" s="1" t="s">
        <v>25</v>
      </c>
      <c r="D4659" s="1" t="s">
        <v>19</v>
      </c>
      <c r="E4659" s="1" t="s">
        <v>56</v>
      </c>
      <c r="F4659">
        <v>2006</v>
      </c>
      <c r="G4659">
        <v>15</v>
      </c>
      <c r="H4659" s="1" t="s">
        <v>21</v>
      </c>
      <c r="I4659">
        <v>35</v>
      </c>
      <c r="J4659">
        <v>4204</v>
      </c>
      <c r="K4659" s="1" t="s">
        <v>57</v>
      </c>
      <c r="L4659" s="1" t="s">
        <v>45</v>
      </c>
      <c r="M4659">
        <v>0.94199999999999995</v>
      </c>
      <c r="N4659">
        <v>32980.400000000001</v>
      </c>
      <c r="O4659">
        <v>32.979999999999997</v>
      </c>
      <c r="P4659" s="2">
        <v>44228</v>
      </c>
      <c r="Q4659">
        <v>1</v>
      </c>
      <c r="R4659" s="1" t="s">
        <v>24</v>
      </c>
    </row>
    <row r="4660" spans="1:18" x14ac:dyDescent="0.25">
      <c r="A4660">
        <v>2021</v>
      </c>
      <c r="B4660">
        <v>3</v>
      </c>
      <c r="C4660" s="1" t="s">
        <v>26</v>
      </c>
      <c r="D4660" s="1" t="s">
        <v>19</v>
      </c>
      <c r="E4660" s="1" t="s">
        <v>56</v>
      </c>
      <c r="F4660">
        <v>2006</v>
      </c>
      <c r="G4660">
        <v>15</v>
      </c>
      <c r="H4660" s="1" t="s">
        <v>21</v>
      </c>
      <c r="I4660">
        <v>35</v>
      </c>
      <c r="J4660">
        <v>4204</v>
      </c>
      <c r="K4660" s="1" t="s">
        <v>57</v>
      </c>
      <c r="L4660" s="1" t="s">
        <v>45</v>
      </c>
      <c r="M4660">
        <v>1.5349999999999999</v>
      </c>
      <c r="N4660">
        <v>53727.1</v>
      </c>
      <c r="O4660">
        <v>53.726999999999997</v>
      </c>
      <c r="P4660" s="2">
        <v>44256</v>
      </c>
      <c r="Q4660">
        <v>1</v>
      </c>
      <c r="R4660" s="1" t="s">
        <v>24</v>
      </c>
    </row>
    <row r="4661" spans="1:18" x14ac:dyDescent="0.25">
      <c r="A4661">
        <v>2021</v>
      </c>
      <c r="B4661">
        <v>4</v>
      </c>
      <c r="C4661" s="1" t="s">
        <v>27</v>
      </c>
      <c r="D4661" s="1" t="s">
        <v>19</v>
      </c>
      <c r="E4661" s="1" t="s">
        <v>56</v>
      </c>
      <c r="F4661">
        <v>2006</v>
      </c>
      <c r="G4661">
        <v>15</v>
      </c>
      <c r="H4661" s="1" t="s">
        <v>21</v>
      </c>
      <c r="I4661">
        <v>35</v>
      </c>
      <c r="J4661">
        <v>4204</v>
      </c>
      <c r="K4661" s="1" t="s">
        <v>57</v>
      </c>
      <c r="L4661" s="1" t="s">
        <v>45</v>
      </c>
      <c r="M4661">
        <v>1.7829999999999999</v>
      </c>
      <c r="N4661">
        <v>62397.9</v>
      </c>
      <c r="O4661">
        <v>62.398000000000003</v>
      </c>
      <c r="P4661" s="2">
        <v>44287</v>
      </c>
      <c r="Q4661">
        <v>1</v>
      </c>
      <c r="R4661" s="1" t="s">
        <v>24</v>
      </c>
    </row>
    <row r="4662" spans="1:18" x14ac:dyDescent="0.25">
      <c r="A4662">
        <v>2021</v>
      </c>
      <c r="B4662">
        <v>5</v>
      </c>
      <c r="C4662" s="1" t="s">
        <v>28</v>
      </c>
      <c r="D4662" s="1" t="s">
        <v>19</v>
      </c>
      <c r="E4662" s="1" t="s">
        <v>56</v>
      </c>
      <c r="F4662">
        <v>2006</v>
      </c>
      <c r="G4662">
        <v>15</v>
      </c>
      <c r="H4662" s="1" t="s">
        <v>21</v>
      </c>
      <c r="I4662">
        <v>35</v>
      </c>
      <c r="J4662">
        <v>4204</v>
      </c>
      <c r="K4662" s="1" t="s">
        <v>57</v>
      </c>
      <c r="L4662" s="1" t="s">
        <v>45</v>
      </c>
      <c r="M4662">
        <v>1.7370000000000001</v>
      </c>
      <c r="N4662">
        <v>60789.8</v>
      </c>
      <c r="O4662">
        <v>60.79</v>
      </c>
      <c r="P4662" s="2">
        <v>44317</v>
      </c>
      <c r="Q4662">
        <v>1</v>
      </c>
      <c r="R4662" s="1" t="s">
        <v>24</v>
      </c>
    </row>
    <row r="4663" spans="1:18" x14ac:dyDescent="0.25">
      <c r="A4663">
        <v>2021</v>
      </c>
      <c r="B4663">
        <v>6</v>
      </c>
      <c r="C4663" s="1" t="s">
        <v>29</v>
      </c>
      <c r="D4663" s="1" t="s">
        <v>19</v>
      </c>
      <c r="E4663" s="1" t="s">
        <v>56</v>
      </c>
      <c r="F4663">
        <v>2006</v>
      </c>
      <c r="G4663">
        <v>15</v>
      </c>
      <c r="H4663" s="1" t="s">
        <v>21</v>
      </c>
      <c r="I4663">
        <v>35</v>
      </c>
      <c r="J4663">
        <v>4204</v>
      </c>
      <c r="K4663" s="1" t="s">
        <v>57</v>
      </c>
      <c r="L4663" s="1" t="s">
        <v>45</v>
      </c>
      <c r="M4663">
        <v>1.702</v>
      </c>
      <c r="N4663">
        <v>59560.2</v>
      </c>
      <c r="O4663">
        <v>59.56</v>
      </c>
      <c r="P4663" s="2">
        <v>44348</v>
      </c>
      <c r="Q4663">
        <v>1</v>
      </c>
      <c r="R4663" s="1" t="s">
        <v>24</v>
      </c>
    </row>
    <row r="4664" spans="1:18" x14ac:dyDescent="0.25">
      <c r="A4664">
        <v>2021</v>
      </c>
      <c r="B4664">
        <v>7</v>
      </c>
      <c r="C4664" s="1" t="s">
        <v>30</v>
      </c>
      <c r="D4664" s="1" t="s">
        <v>19</v>
      </c>
      <c r="E4664" s="1" t="s">
        <v>56</v>
      </c>
      <c r="F4664">
        <v>2006</v>
      </c>
      <c r="G4664">
        <v>15</v>
      </c>
      <c r="H4664" s="1" t="s">
        <v>21</v>
      </c>
      <c r="I4664">
        <v>35</v>
      </c>
      <c r="J4664">
        <v>4204</v>
      </c>
      <c r="K4664" s="1" t="s">
        <v>57</v>
      </c>
      <c r="L4664" s="1" t="s">
        <v>45</v>
      </c>
      <c r="M4664">
        <v>1.946</v>
      </c>
      <c r="N4664">
        <v>68104.800000000003</v>
      </c>
      <c r="O4664">
        <v>68.105000000000004</v>
      </c>
      <c r="P4664" s="2">
        <v>44378</v>
      </c>
      <c r="Q4664">
        <v>1</v>
      </c>
      <c r="R4664" s="1" t="s">
        <v>24</v>
      </c>
    </row>
    <row r="4665" spans="1:18" x14ac:dyDescent="0.25">
      <c r="A4665">
        <v>2021</v>
      </c>
      <c r="B4665">
        <v>8</v>
      </c>
      <c r="C4665" s="1" t="s">
        <v>31</v>
      </c>
      <c r="D4665" s="1" t="s">
        <v>19</v>
      </c>
      <c r="E4665" s="1" t="s">
        <v>56</v>
      </c>
      <c r="F4665">
        <v>2006</v>
      </c>
      <c r="G4665">
        <v>15</v>
      </c>
      <c r="H4665" s="1" t="s">
        <v>21</v>
      </c>
      <c r="I4665">
        <v>35</v>
      </c>
      <c r="J4665">
        <v>4204</v>
      </c>
      <c r="K4665" s="1" t="s">
        <v>57</v>
      </c>
      <c r="L4665" s="1" t="s">
        <v>45</v>
      </c>
      <c r="M4665">
        <v>1.881</v>
      </c>
      <c r="N4665">
        <v>65834.600000000006</v>
      </c>
      <c r="O4665">
        <v>65.834999999999994</v>
      </c>
      <c r="P4665" s="2">
        <v>44409</v>
      </c>
      <c r="Q4665">
        <v>1</v>
      </c>
      <c r="R4665" s="1" t="s">
        <v>24</v>
      </c>
    </row>
    <row r="4666" spans="1:18" x14ac:dyDescent="0.25">
      <c r="A4666">
        <v>2021</v>
      </c>
      <c r="B4666">
        <v>9</v>
      </c>
      <c r="C4666" s="1" t="s">
        <v>32</v>
      </c>
      <c r="D4666" s="1" t="s">
        <v>19</v>
      </c>
      <c r="E4666" s="1" t="s">
        <v>56</v>
      </c>
      <c r="F4666">
        <v>2006</v>
      </c>
      <c r="G4666">
        <v>15</v>
      </c>
      <c r="H4666" s="1" t="s">
        <v>21</v>
      </c>
      <c r="I4666">
        <v>35</v>
      </c>
      <c r="J4666">
        <v>4204</v>
      </c>
      <c r="K4666" s="1" t="s">
        <v>57</v>
      </c>
      <c r="L4666" s="1" t="s">
        <v>45</v>
      </c>
      <c r="M4666">
        <v>1.7969999999999999</v>
      </c>
      <c r="N4666">
        <v>62902.3</v>
      </c>
      <c r="O4666">
        <v>62.902000000000001</v>
      </c>
      <c r="P4666" s="2">
        <v>44440</v>
      </c>
      <c r="Q4666">
        <v>1</v>
      </c>
      <c r="R4666" s="1" t="s">
        <v>24</v>
      </c>
    </row>
    <row r="4667" spans="1:18" x14ac:dyDescent="0.25">
      <c r="A4667">
        <v>2021</v>
      </c>
      <c r="B4667">
        <v>10</v>
      </c>
      <c r="C4667" s="1" t="s">
        <v>33</v>
      </c>
      <c r="D4667" s="1" t="s">
        <v>19</v>
      </c>
      <c r="E4667" s="1" t="s">
        <v>56</v>
      </c>
      <c r="F4667">
        <v>2006</v>
      </c>
      <c r="G4667">
        <v>15</v>
      </c>
      <c r="H4667" s="1" t="s">
        <v>21</v>
      </c>
      <c r="I4667">
        <v>35</v>
      </c>
      <c r="J4667">
        <v>4204</v>
      </c>
      <c r="K4667" s="1" t="s">
        <v>57</v>
      </c>
      <c r="L4667" s="1" t="s">
        <v>45</v>
      </c>
      <c r="M4667">
        <v>1.9019999999999999</v>
      </c>
      <c r="N4667">
        <v>66559.8</v>
      </c>
      <c r="O4667">
        <v>66.56</v>
      </c>
      <c r="P4667" s="2">
        <v>44470</v>
      </c>
      <c r="Q4667">
        <v>1</v>
      </c>
      <c r="R4667" s="1" t="s">
        <v>24</v>
      </c>
    </row>
    <row r="4668" spans="1:18" x14ac:dyDescent="0.25">
      <c r="A4668">
        <v>2021</v>
      </c>
      <c r="B4668">
        <v>11</v>
      </c>
      <c r="C4668" s="1" t="s">
        <v>34</v>
      </c>
      <c r="D4668" s="1" t="s">
        <v>19</v>
      </c>
      <c r="E4668" s="1" t="s">
        <v>56</v>
      </c>
      <c r="F4668">
        <v>2006</v>
      </c>
      <c r="G4668">
        <v>15</v>
      </c>
      <c r="H4668" s="1" t="s">
        <v>21</v>
      </c>
      <c r="I4668">
        <v>35</v>
      </c>
      <c r="J4668">
        <v>4204</v>
      </c>
      <c r="K4668" s="1" t="s">
        <v>57</v>
      </c>
      <c r="L4668" s="1" t="s">
        <v>45</v>
      </c>
      <c r="M4668">
        <v>1.853</v>
      </c>
      <c r="N4668">
        <v>64857.2</v>
      </c>
      <c r="O4668">
        <v>64.856999999999999</v>
      </c>
      <c r="P4668" s="2">
        <v>44501</v>
      </c>
      <c r="Q4668">
        <v>1</v>
      </c>
      <c r="R4668" s="1" t="s">
        <v>24</v>
      </c>
    </row>
    <row r="4669" spans="1:18" x14ac:dyDescent="0.25">
      <c r="A4669">
        <v>2021</v>
      </c>
      <c r="B4669">
        <v>12</v>
      </c>
      <c r="C4669" s="1" t="s">
        <v>35</v>
      </c>
      <c r="D4669" s="1" t="s">
        <v>19</v>
      </c>
      <c r="E4669" s="1" t="s">
        <v>56</v>
      </c>
      <c r="F4669">
        <v>2006</v>
      </c>
      <c r="G4669">
        <v>15</v>
      </c>
      <c r="H4669" s="1" t="s">
        <v>21</v>
      </c>
      <c r="I4669">
        <v>35</v>
      </c>
      <c r="J4669">
        <v>4204</v>
      </c>
      <c r="K4669" s="1" t="s">
        <v>57</v>
      </c>
      <c r="L4669" s="1" t="s">
        <v>45</v>
      </c>
      <c r="M4669">
        <v>1.88</v>
      </c>
      <c r="N4669">
        <v>65803.100000000006</v>
      </c>
      <c r="O4669">
        <v>65.802999999999997</v>
      </c>
      <c r="P4669" s="2">
        <v>44531</v>
      </c>
      <c r="Q4669">
        <v>1</v>
      </c>
      <c r="R4669" s="1" t="s">
        <v>24</v>
      </c>
    </row>
    <row r="4670" spans="1:18" x14ac:dyDescent="0.25">
      <c r="A4670">
        <v>2021</v>
      </c>
      <c r="B4670">
        <v>1</v>
      </c>
      <c r="C4670" s="1" t="s">
        <v>18</v>
      </c>
      <c r="D4670" s="1" t="s">
        <v>19</v>
      </c>
      <c r="E4670" s="1" t="s">
        <v>58</v>
      </c>
      <c r="F4670">
        <v>2012</v>
      </c>
      <c r="G4670">
        <v>9</v>
      </c>
      <c r="H4670" s="1" t="s">
        <v>21</v>
      </c>
      <c r="I4670">
        <v>10</v>
      </c>
      <c r="J4670">
        <v>1434</v>
      </c>
      <c r="K4670" s="1" t="s">
        <v>60</v>
      </c>
      <c r="L4670" s="1" t="s">
        <v>45</v>
      </c>
      <c r="M4670">
        <v>0.67800000000000005</v>
      </c>
      <c r="N4670">
        <v>6775.7</v>
      </c>
      <c r="O4670">
        <v>6.7759999999999998</v>
      </c>
      <c r="P4670" s="2">
        <v>44197</v>
      </c>
      <c r="Q4670">
        <v>1</v>
      </c>
      <c r="R4670" s="1" t="s">
        <v>40</v>
      </c>
    </row>
    <row r="4671" spans="1:18" x14ac:dyDescent="0.25">
      <c r="A4671">
        <v>2021</v>
      </c>
      <c r="B4671">
        <v>2</v>
      </c>
      <c r="C4671" s="1" t="s">
        <v>25</v>
      </c>
      <c r="D4671" s="1" t="s">
        <v>19</v>
      </c>
      <c r="E4671" s="1" t="s">
        <v>58</v>
      </c>
      <c r="F4671">
        <v>2012</v>
      </c>
      <c r="G4671">
        <v>9</v>
      </c>
      <c r="H4671" s="1" t="s">
        <v>21</v>
      </c>
      <c r="I4671">
        <v>10</v>
      </c>
      <c r="J4671">
        <v>1434</v>
      </c>
      <c r="K4671" s="1" t="s">
        <v>60</v>
      </c>
      <c r="L4671" s="1" t="s">
        <v>45</v>
      </c>
      <c r="M4671">
        <v>1.125</v>
      </c>
      <c r="N4671">
        <v>11249.7</v>
      </c>
      <c r="O4671">
        <v>11.25</v>
      </c>
      <c r="P4671" s="2">
        <v>44228</v>
      </c>
      <c r="Q4671">
        <v>1</v>
      </c>
      <c r="R4671" s="1" t="s">
        <v>40</v>
      </c>
    </row>
    <row r="4672" spans="1:18" x14ac:dyDescent="0.25">
      <c r="A4672">
        <v>2021</v>
      </c>
      <c r="B4672">
        <v>3</v>
      </c>
      <c r="C4672" s="1" t="s">
        <v>26</v>
      </c>
      <c r="D4672" s="1" t="s">
        <v>19</v>
      </c>
      <c r="E4672" s="1" t="s">
        <v>58</v>
      </c>
      <c r="F4672">
        <v>2012</v>
      </c>
      <c r="G4672">
        <v>9</v>
      </c>
      <c r="H4672" s="1" t="s">
        <v>21</v>
      </c>
      <c r="I4672">
        <v>10</v>
      </c>
      <c r="J4672">
        <v>1434</v>
      </c>
      <c r="K4672" s="1" t="s">
        <v>60</v>
      </c>
      <c r="L4672" s="1" t="s">
        <v>45</v>
      </c>
      <c r="M4672">
        <v>1.833</v>
      </c>
      <c r="N4672">
        <v>18326.5</v>
      </c>
      <c r="O4672">
        <v>18.327000000000002</v>
      </c>
      <c r="P4672" s="2">
        <v>44256</v>
      </c>
      <c r="Q4672">
        <v>1</v>
      </c>
      <c r="R4672" s="1" t="s">
        <v>40</v>
      </c>
    </row>
    <row r="4673" spans="1:18" x14ac:dyDescent="0.25">
      <c r="A4673">
        <v>2021</v>
      </c>
      <c r="B4673">
        <v>4</v>
      </c>
      <c r="C4673" s="1" t="s">
        <v>27</v>
      </c>
      <c r="D4673" s="1" t="s">
        <v>19</v>
      </c>
      <c r="E4673" s="1" t="s">
        <v>58</v>
      </c>
      <c r="F4673">
        <v>2012</v>
      </c>
      <c r="G4673">
        <v>9</v>
      </c>
      <c r="H4673" s="1" t="s">
        <v>21</v>
      </c>
      <c r="I4673">
        <v>10</v>
      </c>
      <c r="J4673">
        <v>1434</v>
      </c>
      <c r="K4673" s="1" t="s">
        <v>60</v>
      </c>
      <c r="L4673" s="1" t="s">
        <v>45</v>
      </c>
      <c r="M4673">
        <v>2.1280000000000001</v>
      </c>
      <c r="N4673">
        <v>21284.1</v>
      </c>
      <c r="O4673">
        <v>21.283999999999999</v>
      </c>
      <c r="P4673" s="2">
        <v>44287</v>
      </c>
      <c r="Q4673">
        <v>1</v>
      </c>
      <c r="R4673" s="1" t="s">
        <v>40</v>
      </c>
    </row>
    <row r="4674" spans="1:18" x14ac:dyDescent="0.25">
      <c r="A4674">
        <v>2021</v>
      </c>
      <c r="B4674">
        <v>5</v>
      </c>
      <c r="C4674" s="1" t="s">
        <v>28</v>
      </c>
      <c r="D4674" s="1" t="s">
        <v>19</v>
      </c>
      <c r="E4674" s="1" t="s">
        <v>58</v>
      </c>
      <c r="F4674">
        <v>2012</v>
      </c>
      <c r="G4674">
        <v>9</v>
      </c>
      <c r="H4674" s="1" t="s">
        <v>21</v>
      </c>
      <c r="I4674">
        <v>10</v>
      </c>
      <c r="J4674">
        <v>1434</v>
      </c>
      <c r="K4674" s="1" t="s">
        <v>60</v>
      </c>
      <c r="L4674" s="1" t="s">
        <v>45</v>
      </c>
      <c r="M4674">
        <v>2.0739999999999998</v>
      </c>
      <c r="N4674">
        <v>20735.599999999999</v>
      </c>
      <c r="O4674">
        <v>20.736000000000001</v>
      </c>
      <c r="P4674" s="2">
        <v>44317</v>
      </c>
      <c r="Q4674">
        <v>1</v>
      </c>
      <c r="R4674" s="1" t="s">
        <v>40</v>
      </c>
    </row>
    <row r="4675" spans="1:18" x14ac:dyDescent="0.25">
      <c r="A4675">
        <v>2021</v>
      </c>
      <c r="B4675">
        <v>6</v>
      </c>
      <c r="C4675" s="1" t="s">
        <v>29</v>
      </c>
      <c r="D4675" s="1" t="s">
        <v>19</v>
      </c>
      <c r="E4675" s="1" t="s">
        <v>58</v>
      </c>
      <c r="F4675">
        <v>2012</v>
      </c>
      <c r="G4675">
        <v>9</v>
      </c>
      <c r="H4675" s="1" t="s">
        <v>21</v>
      </c>
      <c r="I4675">
        <v>10</v>
      </c>
      <c r="J4675">
        <v>1434</v>
      </c>
      <c r="K4675" s="1" t="s">
        <v>60</v>
      </c>
      <c r="L4675" s="1" t="s">
        <v>45</v>
      </c>
      <c r="M4675">
        <v>2.032</v>
      </c>
      <c r="N4675">
        <v>20316.2</v>
      </c>
      <c r="O4675">
        <v>20.315999999999999</v>
      </c>
      <c r="P4675" s="2">
        <v>44348</v>
      </c>
      <c r="Q4675">
        <v>1</v>
      </c>
      <c r="R4675" s="1" t="s">
        <v>40</v>
      </c>
    </row>
    <row r="4676" spans="1:18" x14ac:dyDescent="0.25">
      <c r="A4676">
        <v>2021</v>
      </c>
      <c r="B4676">
        <v>7</v>
      </c>
      <c r="C4676" s="1" t="s">
        <v>30</v>
      </c>
      <c r="D4676" s="1" t="s">
        <v>19</v>
      </c>
      <c r="E4676" s="1" t="s">
        <v>58</v>
      </c>
      <c r="F4676">
        <v>2012</v>
      </c>
      <c r="G4676">
        <v>9</v>
      </c>
      <c r="H4676" s="1" t="s">
        <v>21</v>
      </c>
      <c r="I4676">
        <v>10</v>
      </c>
      <c r="J4676">
        <v>1434</v>
      </c>
      <c r="K4676" s="1" t="s">
        <v>60</v>
      </c>
      <c r="L4676" s="1" t="s">
        <v>45</v>
      </c>
      <c r="M4676">
        <v>2.323</v>
      </c>
      <c r="N4676">
        <v>23230.799999999999</v>
      </c>
      <c r="O4676">
        <v>23.231000000000002</v>
      </c>
      <c r="P4676" s="2">
        <v>44378</v>
      </c>
      <c r="Q4676">
        <v>1</v>
      </c>
      <c r="R4676" s="1" t="s">
        <v>40</v>
      </c>
    </row>
    <row r="4677" spans="1:18" x14ac:dyDescent="0.25">
      <c r="A4677">
        <v>2021</v>
      </c>
      <c r="B4677">
        <v>8</v>
      </c>
      <c r="C4677" s="1" t="s">
        <v>31</v>
      </c>
      <c r="D4677" s="1" t="s">
        <v>19</v>
      </c>
      <c r="E4677" s="1" t="s">
        <v>58</v>
      </c>
      <c r="F4677">
        <v>2012</v>
      </c>
      <c r="G4677">
        <v>9</v>
      </c>
      <c r="H4677" s="1" t="s">
        <v>21</v>
      </c>
      <c r="I4677">
        <v>10</v>
      </c>
      <c r="J4677">
        <v>1434</v>
      </c>
      <c r="K4677" s="1" t="s">
        <v>60</v>
      </c>
      <c r="L4677" s="1" t="s">
        <v>45</v>
      </c>
      <c r="M4677">
        <v>2.246</v>
      </c>
      <c r="N4677">
        <v>22456.400000000001</v>
      </c>
      <c r="O4677">
        <v>22.456</v>
      </c>
      <c r="P4677" s="2">
        <v>44409</v>
      </c>
      <c r="Q4677">
        <v>1</v>
      </c>
      <c r="R4677" s="1" t="s">
        <v>40</v>
      </c>
    </row>
    <row r="4678" spans="1:18" x14ac:dyDescent="0.25">
      <c r="A4678">
        <v>2021</v>
      </c>
      <c r="B4678">
        <v>9</v>
      </c>
      <c r="C4678" s="1" t="s">
        <v>32</v>
      </c>
      <c r="D4678" s="1" t="s">
        <v>19</v>
      </c>
      <c r="E4678" s="1" t="s">
        <v>58</v>
      </c>
      <c r="F4678">
        <v>2012</v>
      </c>
      <c r="G4678">
        <v>9</v>
      </c>
      <c r="H4678" s="1" t="s">
        <v>21</v>
      </c>
      <c r="I4678">
        <v>10</v>
      </c>
      <c r="J4678">
        <v>1434</v>
      </c>
      <c r="K4678" s="1" t="s">
        <v>60</v>
      </c>
      <c r="L4678" s="1" t="s">
        <v>45</v>
      </c>
      <c r="M4678">
        <v>2.1459999999999999</v>
      </c>
      <c r="N4678">
        <v>21456.2</v>
      </c>
      <c r="O4678">
        <v>21.456</v>
      </c>
      <c r="P4678" s="2">
        <v>44440</v>
      </c>
      <c r="Q4678">
        <v>1</v>
      </c>
      <c r="R4678" s="1" t="s">
        <v>40</v>
      </c>
    </row>
    <row r="4679" spans="1:18" x14ac:dyDescent="0.25">
      <c r="A4679">
        <v>2021</v>
      </c>
      <c r="B4679">
        <v>10</v>
      </c>
      <c r="C4679" s="1" t="s">
        <v>33</v>
      </c>
      <c r="D4679" s="1" t="s">
        <v>19</v>
      </c>
      <c r="E4679" s="1" t="s">
        <v>58</v>
      </c>
      <c r="F4679">
        <v>2012</v>
      </c>
      <c r="G4679">
        <v>9</v>
      </c>
      <c r="H4679" s="1" t="s">
        <v>21</v>
      </c>
      <c r="I4679">
        <v>10</v>
      </c>
      <c r="J4679">
        <v>1434</v>
      </c>
      <c r="K4679" s="1" t="s">
        <v>60</v>
      </c>
      <c r="L4679" s="1" t="s">
        <v>45</v>
      </c>
      <c r="M4679">
        <v>2.27</v>
      </c>
      <c r="N4679">
        <v>22703.8</v>
      </c>
      <c r="O4679">
        <v>22.704000000000001</v>
      </c>
      <c r="P4679" s="2">
        <v>44470</v>
      </c>
      <c r="Q4679">
        <v>1</v>
      </c>
      <c r="R4679" s="1" t="s">
        <v>40</v>
      </c>
    </row>
    <row r="4680" spans="1:18" x14ac:dyDescent="0.25">
      <c r="A4680">
        <v>2021</v>
      </c>
      <c r="B4680">
        <v>11</v>
      </c>
      <c r="C4680" s="1" t="s">
        <v>34</v>
      </c>
      <c r="D4680" s="1" t="s">
        <v>19</v>
      </c>
      <c r="E4680" s="1" t="s">
        <v>58</v>
      </c>
      <c r="F4680">
        <v>2012</v>
      </c>
      <c r="G4680">
        <v>9</v>
      </c>
      <c r="H4680" s="1" t="s">
        <v>21</v>
      </c>
      <c r="I4680">
        <v>10</v>
      </c>
      <c r="J4680">
        <v>1434</v>
      </c>
      <c r="K4680" s="1" t="s">
        <v>60</v>
      </c>
      <c r="L4680" s="1" t="s">
        <v>45</v>
      </c>
      <c r="M4680">
        <v>2.2120000000000002</v>
      </c>
      <c r="N4680">
        <v>22123</v>
      </c>
      <c r="O4680">
        <v>22.123000000000001</v>
      </c>
      <c r="P4680" s="2">
        <v>44501</v>
      </c>
      <c r="Q4680">
        <v>1</v>
      </c>
      <c r="R4680" s="1" t="s">
        <v>40</v>
      </c>
    </row>
    <row r="4681" spans="1:18" x14ac:dyDescent="0.25">
      <c r="A4681">
        <v>2021</v>
      </c>
      <c r="B4681">
        <v>12</v>
      </c>
      <c r="C4681" s="1" t="s">
        <v>35</v>
      </c>
      <c r="D4681" s="1" t="s">
        <v>19</v>
      </c>
      <c r="E4681" s="1" t="s">
        <v>58</v>
      </c>
      <c r="F4681">
        <v>2012</v>
      </c>
      <c r="G4681">
        <v>9</v>
      </c>
      <c r="H4681" s="1" t="s">
        <v>21</v>
      </c>
      <c r="I4681">
        <v>10</v>
      </c>
      <c r="J4681">
        <v>1434</v>
      </c>
      <c r="K4681" s="1" t="s">
        <v>60</v>
      </c>
      <c r="L4681" s="1" t="s">
        <v>45</v>
      </c>
      <c r="M4681">
        <v>2.2450000000000001</v>
      </c>
      <c r="N4681">
        <v>22445.7</v>
      </c>
      <c r="O4681">
        <v>22.446000000000002</v>
      </c>
      <c r="P4681" s="2">
        <v>44531</v>
      </c>
      <c r="Q4681">
        <v>1</v>
      </c>
      <c r="R4681" s="1" t="s">
        <v>40</v>
      </c>
    </row>
    <row r="4682" spans="1:18" x14ac:dyDescent="0.25">
      <c r="A4682">
        <v>2021</v>
      </c>
      <c r="B4682">
        <v>1</v>
      </c>
      <c r="C4682" s="1" t="s">
        <v>18</v>
      </c>
      <c r="D4682" s="1" t="s">
        <v>19</v>
      </c>
      <c r="E4682" s="1" t="s">
        <v>62</v>
      </c>
      <c r="F4682">
        <v>2012</v>
      </c>
      <c r="G4682">
        <v>9</v>
      </c>
      <c r="H4682" s="1" t="s">
        <v>21</v>
      </c>
      <c r="I4682">
        <v>24</v>
      </c>
      <c r="J4682">
        <v>3074</v>
      </c>
      <c r="K4682" s="1" t="s">
        <v>63</v>
      </c>
      <c r="L4682" s="1" t="s">
        <v>64</v>
      </c>
      <c r="M4682">
        <v>0.60499999999999998</v>
      </c>
      <c r="N4682">
        <v>14524.7</v>
      </c>
      <c r="O4682">
        <v>14.525</v>
      </c>
      <c r="P4682" s="2">
        <v>44197</v>
      </c>
      <c r="Q4682">
        <v>1</v>
      </c>
      <c r="R4682" s="1" t="s">
        <v>40</v>
      </c>
    </row>
    <row r="4683" spans="1:18" x14ac:dyDescent="0.25">
      <c r="A4683">
        <v>2021</v>
      </c>
      <c r="B4683">
        <v>2</v>
      </c>
      <c r="C4683" s="1" t="s">
        <v>25</v>
      </c>
      <c r="D4683" s="1" t="s">
        <v>19</v>
      </c>
      <c r="E4683" s="1" t="s">
        <v>62</v>
      </c>
      <c r="F4683">
        <v>2012</v>
      </c>
      <c r="G4683">
        <v>9</v>
      </c>
      <c r="H4683" s="1" t="s">
        <v>21</v>
      </c>
      <c r="I4683">
        <v>24</v>
      </c>
      <c r="J4683">
        <v>3074</v>
      </c>
      <c r="K4683" s="1" t="s">
        <v>63</v>
      </c>
      <c r="L4683" s="1" t="s">
        <v>64</v>
      </c>
      <c r="M4683">
        <v>1.0049999999999999</v>
      </c>
      <c r="N4683">
        <v>24115.5</v>
      </c>
      <c r="O4683">
        <v>24.116</v>
      </c>
      <c r="P4683" s="2">
        <v>44228</v>
      </c>
      <c r="Q4683">
        <v>1</v>
      </c>
      <c r="R4683" s="1" t="s">
        <v>40</v>
      </c>
    </row>
    <row r="4684" spans="1:18" x14ac:dyDescent="0.25">
      <c r="A4684">
        <v>2021</v>
      </c>
      <c r="B4684">
        <v>3</v>
      </c>
      <c r="C4684" s="1" t="s">
        <v>26</v>
      </c>
      <c r="D4684" s="1" t="s">
        <v>19</v>
      </c>
      <c r="E4684" s="1" t="s">
        <v>62</v>
      </c>
      <c r="F4684">
        <v>2012</v>
      </c>
      <c r="G4684">
        <v>9</v>
      </c>
      <c r="H4684" s="1" t="s">
        <v>21</v>
      </c>
      <c r="I4684">
        <v>24</v>
      </c>
      <c r="J4684">
        <v>3074</v>
      </c>
      <c r="K4684" s="1" t="s">
        <v>63</v>
      </c>
      <c r="L4684" s="1" t="s">
        <v>64</v>
      </c>
      <c r="M4684">
        <v>1.637</v>
      </c>
      <c r="N4684">
        <v>39285.699999999997</v>
      </c>
      <c r="O4684">
        <v>39.286000000000001</v>
      </c>
      <c r="P4684" s="2">
        <v>44256</v>
      </c>
      <c r="Q4684">
        <v>1</v>
      </c>
      <c r="R4684" s="1" t="s">
        <v>40</v>
      </c>
    </row>
    <row r="4685" spans="1:18" x14ac:dyDescent="0.25">
      <c r="A4685">
        <v>2021</v>
      </c>
      <c r="B4685">
        <v>4</v>
      </c>
      <c r="C4685" s="1" t="s">
        <v>27</v>
      </c>
      <c r="D4685" s="1" t="s">
        <v>19</v>
      </c>
      <c r="E4685" s="1" t="s">
        <v>62</v>
      </c>
      <c r="F4685">
        <v>2012</v>
      </c>
      <c r="G4685">
        <v>9</v>
      </c>
      <c r="H4685" s="1" t="s">
        <v>21</v>
      </c>
      <c r="I4685">
        <v>24</v>
      </c>
      <c r="J4685">
        <v>3074</v>
      </c>
      <c r="K4685" s="1" t="s">
        <v>63</v>
      </c>
      <c r="L4685" s="1" t="s">
        <v>64</v>
      </c>
      <c r="M4685">
        <v>1.901</v>
      </c>
      <c r="N4685">
        <v>45625.8</v>
      </c>
      <c r="O4685">
        <v>45.625999999999998</v>
      </c>
      <c r="P4685" s="2">
        <v>44287</v>
      </c>
      <c r="Q4685">
        <v>1</v>
      </c>
      <c r="R4685" s="1" t="s">
        <v>40</v>
      </c>
    </row>
    <row r="4686" spans="1:18" x14ac:dyDescent="0.25">
      <c r="A4686">
        <v>2021</v>
      </c>
      <c r="B4686">
        <v>5</v>
      </c>
      <c r="C4686" s="1" t="s">
        <v>28</v>
      </c>
      <c r="D4686" s="1" t="s">
        <v>19</v>
      </c>
      <c r="E4686" s="1" t="s">
        <v>62</v>
      </c>
      <c r="F4686">
        <v>2012</v>
      </c>
      <c r="G4686">
        <v>9</v>
      </c>
      <c r="H4686" s="1" t="s">
        <v>21</v>
      </c>
      <c r="I4686">
        <v>24</v>
      </c>
      <c r="J4686">
        <v>3074</v>
      </c>
      <c r="K4686" s="1" t="s">
        <v>63</v>
      </c>
      <c r="L4686" s="1" t="s">
        <v>64</v>
      </c>
      <c r="M4686">
        <v>1.8520000000000001</v>
      </c>
      <c r="N4686">
        <v>44450</v>
      </c>
      <c r="O4686">
        <v>44.45</v>
      </c>
      <c r="P4686" s="2">
        <v>44317</v>
      </c>
      <c r="Q4686">
        <v>1</v>
      </c>
      <c r="R4686" s="1" t="s">
        <v>40</v>
      </c>
    </row>
    <row r="4687" spans="1:18" x14ac:dyDescent="0.25">
      <c r="A4687">
        <v>2021</v>
      </c>
      <c r="B4687">
        <v>6</v>
      </c>
      <c r="C4687" s="1" t="s">
        <v>29</v>
      </c>
      <c r="D4687" s="1" t="s">
        <v>19</v>
      </c>
      <c r="E4687" s="1" t="s">
        <v>62</v>
      </c>
      <c r="F4687">
        <v>2012</v>
      </c>
      <c r="G4687">
        <v>9</v>
      </c>
      <c r="H4687" s="1" t="s">
        <v>21</v>
      </c>
      <c r="I4687">
        <v>24</v>
      </c>
      <c r="J4687">
        <v>3074</v>
      </c>
      <c r="K4687" s="1" t="s">
        <v>63</v>
      </c>
      <c r="L4687" s="1" t="s">
        <v>64</v>
      </c>
      <c r="M4687">
        <v>1.8149999999999999</v>
      </c>
      <c r="N4687">
        <v>43550.9</v>
      </c>
      <c r="O4687">
        <v>43.551000000000002</v>
      </c>
      <c r="P4687" s="2">
        <v>44348</v>
      </c>
      <c r="Q4687">
        <v>1</v>
      </c>
      <c r="R4687" s="1" t="s">
        <v>40</v>
      </c>
    </row>
    <row r="4688" spans="1:18" x14ac:dyDescent="0.25">
      <c r="A4688">
        <v>2021</v>
      </c>
      <c r="B4688">
        <v>7</v>
      </c>
      <c r="C4688" s="1" t="s">
        <v>30</v>
      </c>
      <c r="D4688" s="1" t="s">
        <v>19</v>
      </c>
      <c r="E4688" s="1" t="s">
        <v>62</v>
      </c>
      <c r="F4688">
        <v>2012</v>
      </c>
      <c r="G4688">
        <v>9</v>
      </c>
      <c r="H4688" s="1" t="s">
        <v>21</v>
      </c>
      <c r="I4688">
        <v>24</v>
      </c>
      <c r="J4688">
        <v>3074</v>
      </c>
      <c r="K4688" s="1" t="s">
        <v>63</v>
      </c>
      <c r="L4688" s="1" t="s">
        <v>64</v>
      </c>
      <c r="M4688">
        <v>2.0750000000000002</v>
      </c>
      <c r="N4688">
        <v>49798.8</v>
      </c>
      <c r="O4688">
        <v>49.798999999999999</v>
      </c>
      <c r="P4688" s="2">
        <v>44378</v>
      </c>
      <c r="Q4688">
        <v>1</v>
      </c>
      <c r="R4688" s="1" t="s">
        <v>40</v>
      </c>
    </row>
    <row r="4689" spans="1:18" x14ac:dyDescent="0.25">
      <c r="A4689">
        <v>2021</v>
      </c>
      <c r="B4689">
        <v>8</v>
      </c>
      <c r="C4689" s="1" t="s">
        <v>31</v>
      </c>
      <c r="D4689" s="1" t="s">
        <v>19</v>
      </c>
      <c r="E4689" s="1" t="s">
        <v>62</v>
      </c>
      <c r="F4689">
        <v>2012</v>
      </c>
      <c r="G4689">
        <v>9</v>
      </c>
      <c r="H4689" s="1" t="s">
        <v>21</v>
      </c>
      <c r="I4689">
        <v>24</v>
      </c>
      <c r="J4689">
        <v>3074</v>
      </c>
      <c r="K4689" s="1" t="s">
        <v>63</v>
      </c>
      <c r="L4689" s="1" t="s">
        <v>64</v>
      </c>
      <c r="M4689">
        <v>2.0059999999999998</v>
      </c>
      <c r="N4689">
        <v>48138.8</v>
      </c>
      <c r="O4689">
        <v>48.139000000000003</v>
      </c>
      <c r="P4689" s="2">
        <v>44409</v>
      </c>
      <c r="Q4689">
        <v>1</v>
      </c>
      <c r="R4689" s="1" t="s">
        <v>40</v>
      </c>
    </row>
    <row r="4690" spans="1:18" x14ac:dyDescent="0.25">
      <c r="A4690">
        <v>2021</v>
      </c>
      <c r="B4690">
        <v>9</v>
      </c>
      <c r="C4690" s="1" t="s">
        <v>32</v>
      </c>
      <c r="D4690" s="1" t="s">
        <v>19</v>
      </c>
      <c r="E4690" s="1" t="s">
        <v>62</v>
      </c>
      <c r="F4690">
        <v>2012</v>
      </c>
      <c r="G4690">
        <v>9</v>
      </c>
      <c r="H4690" s="1" t="s">
        <v>21</v>
      </c>
      <c r="I4690">
        <v>24</v>
      </c>
      <c r="J4690">
        <v>3074</v>
      </c>
      <c r="K4690" s="1" t="s">
        <v>63</v>
      </c>
      <c r="L4690" s="1" t="s">
        <v>64</v>
      </c>
      <c r="M4690">
        <v>1.9159999999999999</v>
      </c>
      <c r="N4690">
        <v>45994.7</v>
      </c>
      <c r="O4690">
        <v>45.994999999999997</v>
      </c>
      <c r="P4690" s="2">
        <v>44440</v>
      </c>
      <c r="Q4690">
        <v>1</v>
      </c>
      <c r="R4690" s="1" t="s">
        <v>40</v>
      </c>
    </row>
    <row r="4691" spans="1:18" x14ac:dyDescent="0.25">
      <c r="A4691">
        <v>2021</v>
      </c>
      <c r="B4691">
        <v>10</v>
      </c>
      <c r="C4691" s="1" t="s">
        <v>33</v>
      </c>
      <c r="D4691" s="1" t="s">
        <v>19</v>
      </c>
      <c r="E4691" s="1" t="s">
        <v>62</v>
      </c>
      <c r="F4691">
        <v>2012</v>
      </c>
      <c r="G4691">
        <v>9</v>
      </c>
      <c r="H4691" s="1" t="s">
        <v>21</v>
      </c>
      <c r="I4691">
        <v>24</v>
      </c>
      <c r="J4691">
        <v>3074</v>
      </c>
      <c r="K4691" s="1" t="s">
        <v>63</v>
      </c>
      <c r="L4691" s="1" t="s">
        <v>64</v>
      </c>
      <c r="M4691">
        <v>2.028</v>
      </c>
      <c r="N4691">
        <v>48669.1</v>
      </c>
      <c r="O4691">
        <v>48.668999999999997</v>
      </c>
      <c r="P4691" s="2">
        <v>44470</v>
      </c>
      <c r="Q4691">
        <v>1</v>
      </c>
      <c r="R4691" s="1" t="s">
        <v>40</v>
      </c>
    </row>
    <row r="4692" spans="1:18" x14ac:dyDescent="0.25">
      <c r="A4692">
        <v>2021</v>
      </c>
      <c r="B4692">
        <v>11</v>
      </c>
      <c r="C4692" s="1" t="s">
        <v>34</v>
      </c>
      <c r="D4692" s="1" t="s">
        <v>19</v>
      </c>
      <c r="E4692" s="1" t="s">
        <v>62</v>
      </c>
      <c r="F4692">
        <v>2012</v>
      </c>
      <c r="G4692">
        <v>9</v>
      </c>
      <c r="H4692" s="1" t="s">
        <v>21</v>
      </c>
      <c r="I4692">
        <v>24</v>
      </c>
      <c r="J4692">
        <v>3074</v>
      </c>
      <c r="K4692" s="1" t="s">
        <v>63</v>
      </c>
      <c r="L4692" s="1" t="s">
        <v>64</v>
      </c>
      <c r="M4692">
        <v>1.976</v>
      </c>
      <c r="N4692">
        <v>47424.1</v>
      </c>
      <c r="O4692">
        <v>47.423999999999999</v>
      </c>
      <c r="P4692" s="2">
        <v>44501</v>
      </c>
      <c r="Q4692">
        <v>1</v>
      </c>
      <c r="R4692" s="1" t="s">
        <v>40</v>
      </c>
    </row>
    <row r="4693" spans="1:18" x14ac:dyDescent="0.25">
      <c r="A4693">
        <v>2021</v>
      </c>
      <c r="B4693">
        <v>12</v>
      </c>
      <c r="C4693" s="1" t="s">
        <v>35</v>
      </c>
      <c r="D4693" s="1" t="s">
        <v>19</v>
      </c>
      <c r="E4693" s="1" t="s">
        <v>62</v>
      </c>
      <c r="F4693">
        <v>2012</v>
      </c>
      <c r="G4693">
        <v>9</v>
      </c>
      <c r="H4693" s="1" t="s">
        <v>21</v>
      </c>
      <c r="I4693">
        <v>24</v>
      </c>
      <c r="J4693">
        <v>3074</v>
      </c>
      <c r="K4693" s="1" t="s">
        <v>63</v>
      </c>
      <c r="L4693" s="1" t="s">
        <v>64</v>
      </c>
      <c r="M4693">
        <v>2.0049999999999999</v>
      </c>
      <c r="N4693">
        <v>48115.8</v>
      </c>
      <c r="O4693">
        <v>48.116</v>
      </c>
      <c r="P4693" s="2">
        <v>44531</v>
      </c>
      <c r="Q4693">
        <v>1</v>
      </c>
      <c r="R4693" s="1" t="s">
        <v>40</v>
      </c>
    </row>
    <row r="4694" spans="1:18" x14ac:dyDescent="0.25">
      <c r="A4694">
        <v>2021</v>
      </c>
      <c r="B4694">
        <v>1</v>
      </c>
      <c r="C4694" s="1" t="s">
        <v>18</v>
      </c>
      <c r="D4694" s="1" t="s">
        <v>19</v>
      </c>
      <c r="E4694" s="1" t="s">
        <v>65</v>
      </c>
      <c r="F4694">
        <v>2012</v>
      </c>
      <c r="G4694">
        <v>9</v>
      </c>
      <c r="H4694" s="1" t="s">
        <v>21</v>
      </c>
      <c r="I4694">
        <v>19</v>
      </c>
      <c r="J4694">
        <v>2418</v>
      </c>
      <c r="K4694" s="1" t="s">
        <v>66</v>
      </c>
      <c r="L4694" s="1" t="s">
        <v>64</v>
      </c>
      <c r="M4694">
        <v>0.60099999999999998</v>
      </c>
      <c r="N4694">
        <v>11425</v>
      </c>
      <c r="O4694">
        <v>11.425000000000001</v>
      </c>
      <c r="P4694" s="2">
        <v>44197</v>
      </c>
      <c r="Q4694">
        <v>1</v>
      </c>
      <c r="R4694" s="1" t="s">
        <v>40</v>
      </c>
    </row>
    <row r="4695" spans="1:18" x14ac:dyDescent="0.25">
      <c r="A4695">
        <v>2021</v>
      </c>
      <c r="B4695">
        <v>2</v>
      </c>
      <c r="C4695" s="1" t="s">
        <v>25</v>
      </c>
      <c r="D4695" s="1" t="s">
        <v>19</v>
      </c>
      <c r="E4695" s="1" t="s">
        <v>65</v>
      </c>
      <c r="F4695">
        <v>2012</v>
      </c>
      <c r="G4695">
        <v>9</v>
      </c>
      <c r="H4695" s="1" t="s">
        <v>21</v>
      </c>
      <c r="I4695">
        <v>19</v>
      </c>
      <c r="J4695">
        <v>2418</v>
      </c>
      <c r="K4695" s="1" t="s">
        <v>66</v>
      </c>
      <c r="L4695" s="1" t="s">
        <v>64</v>
      </c>
      <c r="M4695">
        <v>0.998</v>
      </c>
      <c r="N4695">
        <v>18969.2</v>
      </c>
      <c r="O4695">
        <v>18.969000000000001</v>
      </c>
      <c r="P4695" s="2">
        <v>44228</v>
      </c>
      <c r="Q4695">
        <v>1</v>
      </c>
      <c r="R4695" s="1" t="s">
        <v>40</v>
      </c>
    </row>
    <row r="4696" spans="1:18" x14ac:dyDescent="0.25">
      <c r="A4696">
        <v>2021</v>
      </c>
      <c r="B4696">
        <v>3</v>
      </c>
      <c r="C4696" s="1" t="s">
        <v>26</v>
      </c>
      <c r="D4696" s="1" t="s">
        <v>19</v>
      </c>
      <c r="E4696" s="1" t="s">
        <v>65</v>
      </c>
      <c r="F4696">
        <v>2012</v>
      </c>
      <c r="G4696">
        <v>9</v>
      </c>
      <c r="H4696" s="1" t="s">
        <v>21</v>
      </c>
      <c r="I4696">
        <v>19</v>
      </c>
      <c r="J4696">
        <v>2418</v>
      </c>
      <c r="K4696" s="1" t="s">
        <v>66</v>
      </c>
      <c r="L4696" s="1" t="s">
        <v>64</v>
      </c>
      <c r="M4696">
        <v>1.6259999999999999</v>
      </c>
      <c r="N4696">
        <v>30902</v>
      </c>
      <c r="O4696">
        <v>30.902000000000001</v>
      </c>
      <c r="P4696" s="2">
        <v>44256</v>
      </c>
      <c r="Q4696">
        <v>1</v>
      </c>
      <c r="R4696" s="1" t="s">
        <v>40</v>
      </c>
    </row>
    <row r="4697" spans="1:18" x14ac:dyDescent="0.25">
      <c r="A4697">
        <v>2021</v>
      </c>
      <c r="B4697">
        <v>4</v>
      </c>
      <c r="C4697" s="1" t="s">
        <v>27</v>
      </c>
      <c r="D4697" s="1" t="s">
        <v>19</v>
      </c>
      <c r="E4697" s="1" t="s">
        <v>65</v>
      </c>
      <c r="F4697">
        <v>2012</v>
      </c>
      <c r="G4697">
        <v>9</v>
      </c>
      <c r="H4697" s="1" t="s">
        <v>21</v>
      </c>
      <c r="I4697">
        <v>19</v>
      </c>
      <c r="J4697">
        <v>2418</v>
      </c>
      <c r="K4697" s="1" t="s">
        <v>66</v>
      </c>
      <c r="L4697" s="1" t="s">
        <v>64</v>
      </c>
      <c r="M4697">
        <v>1.889</v>
      </c>
      <c r="N4697">
        <v>35889.199999999997</v>
      </c>
      <c r="O4697">
        <v>35.889000000000003</v>
      </c>
      <c r="P4697" s="2">
        <v>44287</v>
      </c>
      <c r="Q4697">
        <v>1</v>
      </c>
      <c r="R4697" s="1" t="s">
        <v>40</v>
      </c>
    </row>
    <row r="4698" spans="1:18" x14ac:dyDescent="0.25">
      <c r="A4698">
        <v>2021</v>
      </c>
      <c r="B4698">
        <v>5</v>
      </c>
      <c r="C4698" s="1" t="s">
        <v>28</v>
      </c>
      <c r="D4698" s="1" t="s">
        <v>19</v>
      </c>
      <c r="E4698" s="1" t="s">
        <v>65</v>
      </c>
      <c r="F4698">
        <v>2012</v>
      </c>
      <c r="G4698">
        <v>9</v>
      </c>
      <c r="H4698" s="1" t="s">
        <v>21</v>
      </c>
      <c r="I4698">
        <v>19</v>
      </c>
      <c r="J4698">
        <v>2418</v>
      </c>
      <c r="K4698" s="1" t="s">
        <v>66</v>
      </c>
      <c r="L4698" s="1" t="s">
        <v>64</v>
      </c>
      <c r="M4698">
        <v>1.84</v>
      </c>
      <c r="N4698">
        <v>34964.300000000003</v>
      </c>
      <c r="O4698">
        <v>34.963999999999999</v>
      </c>
      <c r="P4698" s="2">
        <v>44317</v>
      </c>
      <c r="Q4698">
        <v>1</v>
      </c>
      <c r="R4698" s="1" t="s">
        <v>40</v>
      </c>
    </row>
    <row r="4699" spans="1:18" x14ac:dyDescent="0.25">
      <c r="A4699">
        <v>2021</v>
      </c>
      <c r="B4699">
        <v>6</v>
      </c>
      <c r="C4699" s="1" t="s">
        <v>29</v>
      </c>
      <c r="D4699" s="1" t="s">
        <v>19</v>
      </c>
      <c r="E4699" s="1" t="s">
        <v>65</v>
      </c>
      <c r="F4699">
        <v>2012</v>
      </c>
      <c r="G4699">
        <v>9</v>
      </c>
      <c r="H4699" s="1" t="s">
        <v>21</v>
      </c>
      <c r="I4699">
        <v>19</v>
      </c>
      <c r="J4699">
        <v>2418</v>
      </c>
      <c r="K4699" s="1" t="s">
        <v>66</v>
      </c>
      <c r="L4699" s="1" t="s">
        <v>64</v>
      </c>
      <c r="M4699">
        <v>1.8029999999999999</v>
      </c>
      <c r="N4699">
        <v>34257</v>
      </c>
      <c r="O4699">
        <v>34.256999999999998</v>
      </c>
      <c r="P4699" s="2">
        <v>44348</v>
      </c>
      <c r="Q4699">
        <v>1</v>
      </c>
      <c r="R4699" s="1" t="s">
        <v>40</v>
      </c>
    </row>
    <row r="4700" spans="1:18" x14ac:dyDescent="0.25">
      <c r="A4700">
        <v>2021</v>
      </c>
      <c r="B4700">
        <v>7</v>
      </c>
      <c r="C4700" s="1" t="s">
        <v>30</v>
      </c>
      <c r="D4700" s="1" t="s">
        <v>19</v>
      </c>
      <c r="E4700" s="1" t="s">
        <v>65</v>
      </c>
      <c r="F4700">
        <v>2012</v>
      </c>
      <c r="G4700">
        <v>9</v>
      </c>
      <c r="H4700" s="1" t="s">
        <v>21</v>
      </c>
      <c r="I4700">
        <v>19</v>
      </c>
      <c r="J4700">
        <v>2418</v>
      </c>
      <c r="K4700" s="1" t="s">
        <v>66</v>
      </c>
      <c r="L4700" s="1" t="s">
        <v>64</v>
      </c>
      <c r="M4700">
        <v>2.0619999999999998</v>
      </c>
      <c r="N4700">
        <v>39171.599999999999</v>
      </c>
      <c r="O4700">
        <v>39.171999999999997</v>
      </c>
      <c r="P4700" s="2">
        <v>44378</v>
      </c>
      <c r="Q4700">
        <v>1</v>
      </c>
      <c r="R4700" s="1" t="s">
        <v>40</v>
      </c>
    </row>
    <row r="4701" spans="1:18" x14ac:dyDescent="0.25">
      <c r="A4701">
        <v>2021</v>
      </c>
      <c r="B4701">
        <v>8</v>
      </c>
      <c r="C4701" s="1" t="s">
        <v>31</v>
      </c>
      <c r="D4701" s="1" t="s">
        <v>19</v>
      </c>
      <c r="E4701" s="1" t="s">
        <v>65</v>
      </c>
      <c r="F4701">
        <v>2012</v>
      </c>
      <c r="G4701">
        <v>9</v>
      </c>
      <c r="H4701" s="1" t="s">
        <v>21</v>
      </c>
      <c r="I4701">
        <v>19</v>
      </c>
      <c r="J4701">
        <v>2418</v>
      </c>
      <c r="K4701" s="1" t="s">
        <v>66</v>
      </c>
      <c r="L4701" s="1" t="s">
        <v>64</v>
      </c>
      <c r="M4701">
        <v>1.9930000000000001</v>
      </c>
      <c r="N4701">
        <v>37865.9</v>
      </c>
      <c r="O4701">
        <v>37.866</v>
      </c>
      <c r="P4701" s="2">
        <v>44409</v>
      </c>
      <c r="Q4701">
        <v>1</v>
      </c>
      <c r="R4701" s="1" t="s">
        <v>40</v>
      </c>
    </row>
    <row r="4702" spans="1:18" x14ac:dyDescent="0.25">
      <c r="A4702">
        <v>2021</v>
      </c>
      <c r="B4702">
        <v>9</v>
      </c>
      <c r="C4702" s="1" t="s">
        <v>32</v>
      </c>
      <c r="D4702" s="1" t="s">
        <v>19</v>
      </c>
      <c r="E4702" s="1" t="s">
        <v>65</v>
      </c>
      <c r="F4702">
        <v>2012</v>
      </c>
      <c r="G4702">
        <v>9</v>
      </c>
      <c r="H4702" s="1" t="s">
        <v>21</v>
      </c>
      <c r="I4702">
        <v>19</v>
      </c>
      <c r="J4702">
        <v>2418</v>
      </c>
      <c r="K4702" s="1" t="s">
        <v>66</v>
      </c>
      <c r="L4702" s="1" t="s">
        <v>64</v>
      </c>
      <c r="M4702">
        <v>1.9039999999999999</v>
      </c>
      <c r="N4702">
        <v>36179.300000000003</v>
      </c>
      <c r="O4702">
        <v>36.179000000000002</v>
      </c>
      <c r="P4702" s="2">
        <v>44440</v>
      </c>
      <c r="Q4702">
        <v>1</v>
      </c>
      <c r="R4702" s="1" t="s">
        <v>40</v>
      </c>
    </row>
    <row r="4703" spans="1:18" x14ac:dyDescent="0.25">
      <c r="A4703">
        <v>2021</v>
      </c>
      <c r="B4703">
        <v>10</v>
      </c>
      <c r="C4703" s="1" t="s">
        <v>33</v>
      </c>
      <c r="D4703" s="1" t="s">
        <v>19</v>
      </c>
      <c r="E4703" s="1" t="s">
        <v>65</v>
      </c>
      <c r="F4703">
        <v>2012</v>
      </c>
      <c r="G4703">
        <v>9</v>
      </c>
      <c r="H4703" s="1" t="s">
        <v>21</v>
      </c>
      <c r="I4703">
        <v>19</v>
      </c>
      <c r="J4703">
        <v>2418</v>
      </c>
      <c r="K4703" s="1" t="s">
        <v>66</v>
      </c>
      <c r="L4703" s="1" t="s">
        <v>64</v>
      </c>
      <c r="M4703">
        <v>2.0150000000000001</v>
      </c>
      <c r="N4703">
        <v>38283</v>
      </c>
      <c r="O4703">
        <v>38.283000000000001</v>
      </c>
      <c r="P4703" s="2">
        <v>44470</v>
      </c>
      <c r="Q4703">
        <v>1</v>
      </c>
      <c r="R4703" s="1" t="s">
        <v>40</v>
      </c>
    </row>
    <row r="4704" spans="1:18" x14ac:dyDescent="0.25">
      <c r="A4704">
        <v>2021</v>
      </c>
      <c r="B4704">
        <v>11</v>
      </c>
      <c r="C4704" s="1" t="s">
        <v>34</v>
      </c>
      <c r="D4704" s="1" t="s">
        <v>19</v>
      </c>
      <c r="E4704" s="1" t="s">
        <v>65</v>
      </c>
      <c r="F4704">
        <v>2012</v>
      </c>
      <c r="G4704">
        <v>9</v>
      </c>
      <c r="H4704" s="1" t="s">
        <v>21</v>
      </c>
      <c r="I4704">
        <v>19</v>
      </c>
      <c r="J4704">
        <v>2418</v>
      </c>
      <c r="K4704" s="1" t="s">
        <v>66</v>
      </c>
      <c r="L4704" s="1" t="s">
        <v>64</v>
      </c>
      <c r="M4704">
        <v>1.9630000000000001</v>
      </c>
      <c r="N4704">
        <v>37303.699999999997</v>
      </c>
      <c r="O4704">
        <v>37.304000000000002</v>
      </c>
      <c r="P4704" s="2">
        <v>44501</v>
      </c>
      <c r="Q4704">
        <v>1</v>
      </c>
      <c r="R4704" s="1" t="s">
        <v>40</v>
      </c>
    </row>
    <row r="4705" spans="1:18" x14ac:dyDescent="0.25">
      <c r="A4705">
        <v>2021</v>
      </c>
      <c r="B4705">
        <v>12</v>
      </c>
      <c r="C4705" s="1" t="s">
        <v>35</v>
      </c>
      <c r="D4705" s="1" t="s">
        <v>19</v>
      </c>
      <c r="E4705" s="1" t="s">
        <v>65</v>
      </c>
      <c r="F4705">
        <v>2012</v>
      </c>
      <c r="G4705">
        <v>9</v>
      </c>
      <c r="H4705" s="1" t="s">
        <v>21</v>
      </c>
      <c r="I4705">
        <v>19</v>
      </c>
      <c r="J4705">
        <v>2418</v>
      </c>
      <c r="K4705" s="1" t="s">
        <v>66</v>
      </c>
      <c r="L4705" s="1" t="s">
        <v>64</v>
      </c>
      <c r="M4705">
        <v>1.992</v>
      </c>
      <c r="N4705">
        <v>37847.699999999997</v>
      </c>
      <c r="O4705">
        <v>37.847999999999999</v>
      </c>
      <c r="P4705" s="2">
        <v>44531</v>
      </c>
      <c r="Q4705">
        <v>1</v>
      </c>
      <c r="R4705" s="1" t="s">
        <v>40</v>
      </c>
    </row>
    <row r="4706" spans="1:18" x14ac:dyDescent="0.25">
      <c r="A4706">
        <v>2021</v>
      </c>
      <c r="B4706">
        <v>1</v>
      </c>
      <c r="C4706" s="1" t="s">
        <v>18</v>
      </c>
      <c r="D4706" s="1" t="s">
        <v>19</v>
      </c>
      <c r="E4706" s="1" t="s">
        <v>67</v>
      </c>
      <c r="F4706">
        <v>2012</v>
      </c>
      <c r="G4706">
        <v>9</v>
      </c>
      <c r="H4706" s="1" t="s">
        <v>21</v>
      </c>
      <c r="I4706">
        <v>25</v>
      </c>
      <c r="J4706">
        <v>3205</v>
      </c>
      <c r="K4706" s="1" t="s">
        <v>68</v>
      </c>
      <c r="L4706" s="1" t="s">
        <v>64</v>
      </c>
      <c r="M4706">
        <v>0.60599999999999998</v>
      </c>
      <c r="N4706">
        <v>15143.6</v>
      </c>
      <c r="O4706">
        <v>15.144</v>
      </c>
      <c r="P4706" s="2">
        <v>44197</v>
      </c>
      <c r="Q4706">
        <v>1</v>
      </c>
      <c r="R4706" s="1" t="s">
        <v>40</v>
      </c>
    </row>
    <row r="4707" spans="1:18" x14ac:dyDescent="0.25">
      <c r="A4707">
        <v>2021</v>
      </c>
      <c r="B4707">
        <v>2</v>
      </c>
      <c r="C4707" s="1" t="s">
        <v>25</v>
      </c>
      <c r="D4707" s="1" t="s">
        <v>19</v>
      </c>
      <c r="E4707" s="1" t="s">
        <v>67</v>
      </c>
      <c r="F4707">
        <v>2012</v>
      </c>
      <c r="G4707">
        <v>9</v>
      </c>
      <c r="H4707" s="1" t="s">
        <v>21</v>
      </c>
      <c r="I4707">
        <v>25</v>
      </c>
      <c r="J4707">
        <v>3205</v>
      </c>
      <c r="K4707" s="1" t="s">
        <v>68</v>
      </c>
      <c r="L4707" s="1" t="s">
        <v>64</v>
      </c>
      <c r="M4707">
        <v>1.006</v>
      </c>
      <c r="N4707">
        <v>25143.200000000001</v>
      </c>
      <c r="O4707">
        <v>25.143000000000001</v>
      </c>
      <c r="P4707" s="2">
        <v>44228</v>
      </c>
      <c r="Q4707">
        <v>1</v>
      </c>
      <c r="R4707" s="1" t="s">
        <v>40</v>
      </c>
    </row>
    <row r="4708" spans="1:18" x14ac:dyDescent="0.25">
      <c r="A4708">
        <v>2021</v>
      </c>
      <c r="B4708">
        <v>3</v>
      </c>
      <c r="C4708" s="1" t="s">
        <v>26</v>
      </c>
      <c r="D4708" s="1" t="s">
        <v>19</v>
      </c>
      <c r="E4708" s="1" t="s">
        <v>67</v>
      </c>
      <c r="F4708">
        <v>2012</v>
      </c>
      <c r="G4708">
        <v>9</v>
      </c>
      <c r="H4708" s="1" t="s">
        <v>21</v>
      </c>
      <c r="I4708">
        <v>25</v>
      </c>
      <c r="J4708">
        <v>3205</v>
      </c>
      <c r="K4708" s="1" t="s">
        <v>68</v>
      </c>
      <c r="L4708" s="1" t="s">
        <v>64</v>
      </c>
      <c r="M4708">
        <v>1.6379999999999999</v>
      </c>
      <c r="N4708">
        <v>40959.9</v>
      </c>
      <c r="O4708">
        <v>40.96</v>
      </c>
      <c r="P4708" s="2">
        <v>44256</v>
      </c>
      <c r="Q4708">
        <v>1</v>
      </c>
      <c r="R4708" s="1" t="s">
        <v>40</v>
      </c>
    </row>
    <row r="4709" spans="1:18" x14ac:dyDescent="0.25">
      <c r="A4709">
        <v>2021</v>
      </c>
      <c r="B4709">
        <v>4</v>
      </c>
      <c r="C4709" s="1" t="s">
        <v>27</v>
      </c>
      <c r="D4709" s="1" t="s">
        <v>19</v>
      </c>
      <c r="E4709" s="1" t="s">
        <v>67</v>
      </c>
      <c r="F4709">
        <v>2012</v>
      </c>
      <c r="G4709">
        <v>9</v>
      </c>
      <c r="H4709" s="1" t="s">
        <v>21</v>
      </c>
      <c r="I4709">
        <v>25</v>
      </c>
      <c r="J4709">
        <v>3205</v>
      </c>
      <c r="K4709" s="1" t="s">
        <v>68</v>
      </c>
      <c r="L4709" s="1" t="s">
        <v>64</v>
      </c>
      <c r="M4709">
        <v>1.903</v>
      </c>
      <c r="N4709">
        <v>47570.2</v>
      </c>
      <c r="O4709">
        <v>47.57</v>
      </c>
      <c r="P4709" s="2">
        <v>44287</v>
      </c>
      <c r="Q4709">
        <v>1</v>
      </c>
      <c r="R4709" s="1" t="s">
        <v>40</v>
      </c>
    </row>
    <row r="4710" spans="1:18" x14ac:dyDescent="0.25">
      <c r="A4710">
        <v>2021</v>
      </c>
      <c r="B4710">
        <v>5</v>
      </c>
      <c r="C4710" s="1" t="s">
        <v>28</v>
      </c>
      <c r="D4710" s="1" t="s">
        <v>19</v>
      </c>
      <c r="E4710" s="1" t="s">
        <v>67</v>
      </c>
      <c r="F4710">
        <v>2012</v>
      </c>
      <c r="G4710">
        <v>9</v>
      </c>
      <c r="H4710" s="1" t="s">
        <v>21</v>
      </c>
      <c r="I4710">
        <v>25</v>
      </c>
      <c r="J4710">
        <v>3205</v>
      </c>
      <c r="K4710" s="1" t="s">
        <v>68</v>
      </c>
      <c r="L4710" s="1" t="s">
        <v>64</v>
      </c>
      <c r="M4710">
        <v>1.8540000000000001</v>
      </c>
      <c r="N4710">
        <v>46344.3</v>
      </c>
      <c r="O4710">
        <v>46.344000000000001</v>
      </c>
      <c r="P4710" s="2">
        <v>44317</v>
      </c>
      <c r="Q4710">
        <v>1</v>
      </c>
      <c r="R4710" s="1" t="s">
        <v>40</v>
      </c>
    </row>
    <row r="4711" spans="1:18" x14ac:dyDescent="0.25">
      <c r="A4711">
        <v>2021</v>
      </c>
      <c r="B4711">
        <v>6</v>
      </c>
      <c r="C4711" s="1" t="s">
        <v>29</v>
      </c>
      <c r="D4711" s="1" t="s">
        <v>19</v>
      </c>
      <c r="E4711" s="1" t="s">
        <v>67</v>
      </c>
      <c r="F4711">
        <v>2012</v>
      </c>
      <c r="G4711">
        <v>9</v>
      </c>
      <c r="H4711" s="1" t="s">
        <v>21</v>
      </c>
      <c r="I4711">
        <v>25</v>
      </c>
      <c r="J4711">
        <v>3205</v>
      </c>
      <c r="K4711" s="1" t="s">
        <v>68</v>
      </c>
      <c r="L4711" s="1" t="s">
        <v>64</v>
      </c>
      <c r="M4711">
        <v>1.8160000000000001</v>
      </c>
      <c r="N4711">
        <v>45406.8</v>
      </c>
      <c r="O4711">
        <v>45.406999999999996</v>
      </c>
      <c r="P4711" s="2">
        <v>44348</v>
      </c>
      <c r="Q4711">
        <v>1</v>
      </c>
      <c r="R4711" s="1" t="s">
        <v>40</v>
      </c>
    </row>
    <row r="4712" spans="1:18" x14ac:dyDescent="0.25">
      <c r="A4712">
        <v>2021</v>
      </c>
      <c r="B4712">
        <v>7</v>
      </c>
      <c r="C4712" s="1" t="s">
        <v>30</v>
      </c>
      <c r="D4712" s="1" t="s">
        <v>19</v>
      </c>
      <c r="E4712" s="1" t="s">
        <v>67</v>
      </c>
      <c r="F4712">
        <v>2012</v>
      </c>
      <c r="G4712">
        <v>9</v>
      </c>
      <c r="H4712" s="1" t="s">
        <v>21</v>
      </c>
      <c r="I4712">
        <v>25</v>
      </c>
      <c r="J4712">
        <v>3205</v>
      </c>
      <c r="K4712" s="1" t="s">
        <v>68</v>
      </c>
      <c r="L4712" s="1" t="s">
        <v>64</v>
      </c>
      <c r="M4712">
        <v>2.077</v>
      </c>
      <c r="N4712">
        <v>51921</v>
      </c>
      <c r="O4712">
        <v>51.920999999999999</v>
      </c>
      <c r="P4712" s="2">
        <v>44378</v>
      </c>
      <c r="Q4712">
        <v>1</v>
      </c>
      <c r="R4712" s="1" t="s">
        <v>40</v>
      </c>
    </row>
    <row r="4713" spans="1:18" x14ac:dyDescent="0.25">
      <c r="A4713">
        <v>2021</v>
      </c>
      <c r="B4713">
        <v>8</v>
      </c>
      <c r="C4713" s="1" t="s">
        <v>31</v>
      </c>
      <c r="D4713" s="1" t="s">
        <v>19</v>
      </c>
      <c r="E4713" s="1" t="s">
        <v>67</v>
      </c>
      <c r="F4713">
        <v>2012</v>
      </c>
      <c r="G4713">
        <v>9</v>
      </c>
      <c r="H4713" s="1" t="s">
        <v>21</v>
      </c>
      <c r="I4713">
        <v>25</v>
      </c>
      <c r="J4713">
        <v>3205</v>
      </c>
      <c r="K4713" s="1" t="s">
        <v>68</v>
      </c>
      <c r="L4713" s="1" t="s">
        <v>64</v>
      </c>
      <c r="M4713">
        <v>2.008</v>
      </c>
      <c r="N4713">
        <v>50190.3</v>
      </c>
      <c r="O4713">
        <v>50.19</v>
      </c>
      <c r="P4713" s="2">
        <v>44409</v>
      </c>
      <c r="Q4713">
        <v>1</v>
      </c>
      <c r="R4713" s="1" t="s">
        <v>40</v>
      </c>
    </row>
    <row r="4714" spans="1:18" x14ac:dyDescent="0.25">
      <c r="A4714">
        <v>2021</v>
      </c>
      <c r="B4714">
        <v>9</v>
      </c>
      <c r="C4714" s="1" t="s">
        <v>32</v>
      </c>
      <c r="D4714" s="1" t="s">
        <v>19</v>
      </c>
      <c r="E4714" s="1" t="s">
        <v>67</v>
      </c>
      <c r="F4714">
        <v>2012</v>
      </c>
      <c r="G4714">
        <v>9</v>
      </c>
      <c r="H4714" s="1" t="s">
        <v>21</v>
      </c>
      <c r="I4714">
        <v>25</v>
      </c>
      <c r="J4714">
        <v>3205</v>
      </c>
      <c r="K4714" s="1" t="s">
        <v>68</v>
      </c>
      <c r="L4714" s="1" t="s">
        <v>64</v>
      </c>
      <c r="M4714">
        <v>1.9179999999999999</v>
      </c>
      <c r="N4714">
        <v>47954.8</v>
      </c>
      <c r="O4714">
        <v>47.954999999999998</v>
      </c>
      <c r="P4714" s="2">
        <v>44440</v>
      </c>
      <c r="Q4714">
        <v>1</v>
      </c>
      <c r="R4714" s="1" t="s">
        <v>40</v>
      </c>
    </row>
    <row r="4715" spans="1:18" x14ac:dyDescent="0.25">
      <c r="A4715">
        <v>2021</v>
      </c>
      <c r="B4715">
        <v>10</v>
      </c>
      <c r="C4715" s="1" t="s">
        <v>33</v>
      </c>
      <c r="D4715" s="1" t="s">
        <v>19</v>
      </c>
      <c r="E4715" s="1" t="s">
        <v>67</v>
      </c>
      <c r="F4715">
        <v>2012</v>
      </c>
      <c r="G4715">
        <v>9</v>
      </c>
      <c r="H4715" s="1" t="s">
        <v>21</v>
      </c>
      <c r="I4715">
        <v>25</v>
      </c>
      <c r="J4715">
        <v>3205</v>
      </c>
      <c r="K4715" s="1" t="s">
        <v>68</v>
      </c>
      <c r="L4715" s="1" t="s">
        <v>64</v>
      </c>
      <c r="M4715">
        <v>2.0299999999999998</v>
      </c>
      <c r="N4715">
        <v>50743.199999999997</v>
      </c>
      <c r="O4715">
        <v>50.743000000000002</v>
      </c>
      <c r="P4715" s="2">
        <v>44470</v>
      </c>
      <c r="Q4715">
        <v>1</v>
      </c>
      <c r="R4715" s="1" t="s">
        <v>40</v>
      </c>
    </row>
    <row r="4716" spans="1:18" x14ac:dyDescent="0.25">
      <c r="A4716">
        <v>2021</v>
      </c>
      <c r="B4716">
        <v>11</v>
      </c>
      <c r="C4716" s="1" t="s">
        <v>34</v>
      </c>
      <c r="D4716" s="1" t="s">
        <v>19</v>
      </c>
      <c r="E4716" s="1" t="s">
        <v>67</v>
      </c>
      <c r="F4716">
        <v>2012</v>
      </c>
      <c r="G4716">
        <v>9</v>
      </c>
      <c r="H4716" s="1" t="s">
        <v>21</v>
      </c>
      <c r="I4716">
        <v>25</v>
      </c>
      <c r="J4716">
        <v>3205</v>
      </c>
      <c r="K4716" s="1" t="s">
        <v>68</v>
      </c>
      <c r="L4716" s="1" t="s">
        <v>64</v>
      </c>
      <c r="M4716">
        <v>1.978</v>
      </c>
      <c r="N4716">
        <v>49445.1</v>
      </c>
      <c r="O4716">
        <v>49.445</v>
      </c>
      <c r="P4716" s="2">
        <v>44501</v>
      </c>
      <c r="Q4716">
        <v>1</v>
      </c>
      <c r="R4716" s="1" t="s">
        <v>40</v>
      </c>
    </row>
    <row r="4717" spans="1:18" x14ac:dyDescent="0.25">
      <c r="A4717">
        <v>2021</v>
      </c>
      <c r="B4717">
        <v>12</v>
      </c>
      <c r="C4717" s="1" t="s">
        <v>35</v>
      </c>
      <c r="D4717" s="1" t="s">
        <v>19</v>
      </c>
      <c r="E4717" s="1" t="s">
        <v>67</v>
      </c>
      <c r="F4717">
        <v>2012</v>
      </c>
      <c r="G4717">
        <v>9</v>
      </c>
      <c r="H4717" s="1" t="s">
        <v>21</v>
      </c>
      <c r="I4717">
        <v>25</v>
      </c>
      <c r="J4717">
        <v>3205</v>
      </c>
      <c r="K4717" s="1" t="s">
        <v>68</v>
      </c>
      <c r="L4717" s="1" t="s">
        <v>64</v>
      </c>
      <c r="M4717">
        <v>2.0070000000000001</v>
      </c>
      <c r="N4717">
        <v>50166.3</v>
      </c>
      <c r="O4717">
        <v>50.165999999999997</v>
      </c>
      <c r="P4717" s="2">
        <v>44531</v>
      </c>
      <c r="Q4717">
        <v>1</v>
      </c>
      <c r="R4717" s="1" t="s">
        <v>40</v>
      </c>
    </row>
    <row r="4718" spans="1:18" x14ac:dyDescent="0.25">
      <c r="A4718">
        <v>2021</v>
      </c>
      <c r="B4718">
        <v>1</v>
      </c>
      <c r="C4718" s="1" t="s">
        <v>18</v>
      </c>
      <c r="D4718" s="1" t="s">
        <v>19</v>
      </c>
      <c r="E4718" s="1" t="s">
        <v>69</v>
      </c>
      <c r="F4718">
        <v>2012</v>
      </c>
      <c r="G4718">
        <v>9</v>
      </c>
      <c r="H4718" s="1" t="s">
        <v>21</v>
      </c>
      <c r="I4718">
        <v>19</v>
      </c>
      <c r="J4718">
        <v>2469</v>
      </c>
      <c r="K4718" s="1" t="s">
        <v>70</v>
      </c>
      <c r="L4718" s="1" t="s">
        <v>45</v>
      </c>
      <c r="M4718">
        <v>0.61399999999999999</v>
      </c>
      <c r="N4718">
        <v>11666</v>
      </c>
      <c r="O4718">
        <v>11.666</v>
      </c>
      <c r="P4718" s="2">
        <v>44197</v>
      </c>
      <c r="Q4718">
        <v>1</v>
      </c>
      <c r="R4718" s="1" t="s">
        <v>40</v>
      </c>
    </row>
    <row r="4719" spans="1:18" x14ac:dyDescent="0.25">
      <c r="A4719">
        <v>2021</v>
      </c>
      <c r="B4719">
        <v>2</v>
      </c>
      <c r="C4719" s="1" t="s">
        <v>25</v>
      </c>
      <c r="D4719" s="1" t="s">
        <v>19</v>
      </c>
      <c r="E4719" s="1" t="s">
        <v>69</v>
      </c>
      <c r="F4719">
        <v>2012</v>
      </c>
      <c r="G4719">
        <v>9</v>
      </c>
      <c r="H4719" s="1" t="s">
        <v>21</v>
      </c>
      <c r="I4719">
        <v>19</v>
      </c>
      <c r="J4719">
        <v>2469</v>
      </c>
      <c r="K4719" s="1" t="s">
        <v>70</v>
      </c>
      <c r="L4719" s="1" t="s">
        <v>45</v>
      </c>
      <c r="M4719">
        <v>1.0189999999999999</v>
      </c>
      <c r="N4719">
        <v>19369.3</v>
      </c>
      <c r="O4719">
        <v>19.369</v>
      </c>
      <c r="P4719" s="2">
        <v>44228</v>
      </c>
      <c r="Q4719">
        <v>1</v>
      </c>
      <c r="R4719" s="1" t="s">
        <v>40</v>
      </c>
    </row>
    <row r="4720" spans="1:18" x14ac:dyDescent="0.25">
      <c r="A4720">
        <v>2021</v>
      </c>
      <c r="B4720">
        <v>3</v>
      </c>
      <c r="C4720" s="1" t="s">
        <v>26</v>
      </c>
      <c r="D4720" s="1" t="s">
        <v>19</v>
      </c>
      <c r="E4720" s="1" t="s">
        <v>69</v>
      </c>
      <c r="F4720">
        <v>2012</v>
      </c>
      <c r="G4720">
        <v>9</v>
      </c>
      <c r="H4720" s="1" t="s">
        <v>21</v>
      </c>
      <c r="I4720">
        <v>19</v>
      </c>
      <c r="J4720">
        <v>2469</v>
      </c>
      <c r="K4720" s="1" t="s">
        <v>70</v>
      </c>
      <c r="L4720" s="1" t="s">
        <v>45</v>
      </c>
      <c r="M4720">
        <v>1.661</v>
      </c>
      <c r="N4720">
        <v>31553.8</v>
      </c>
      <c r="O4720">
        <v>31.553999999999998</v>
      </c>
      <c r="P4720" s="2">
        <v>44256</v>
      </c>
      <c r="Q4720">
        <v>1</v>
      </c>
      <c r="R4720" s="1" t="s">
        <v>40</v>
      </c>
    </row>
    <row r="4721" spans="1:18" x14ac:dyDescent="0.25">
      <c r="A4721">
        <v>2021</v>
      </c>
      <c r="B4721">
        <v>4</v>
      </c>
      <c r="C4721" s="1" t="s">
        <v>27</v>
      </c>
      <c r="D4721" s="1" t="s">
        <v>19</v>
      </c>
      <c r="E4721" s="1" t="s">
        <v>69</v>
      </c>
      <c r="F4721">
        <v>2012</v>
      </c>
      <c r="G4721">
        <v>9</v>
      </c>
      <c r="H4721" s="1" t="s">
        <v>21</v>
      </c>
      <c r="I4721">
        <v>19</v>
      </c>
      <c r="J4721">
        <v>2469</v>
      </c>
      <c r="K4721" s="1" t="s">
        <v>70</v>
      </c>
      <c r="L4721" s="1" t="s">
        <v>45</v>
      </c>
      <c r="M4721">
        <v>1.929</v>
      </c>
      <c r="N4721">
        <v>36646.1</v>
      </c>
      <c r="O4721">
        <v>36.646000000000001</v>
      </c>
      <c r="P4721" s="2">
        <v>44287</v>
      </c>
      <c r="Q4721">
        <v>1</v>
      </c>
      <c r="R4721" s="1" t="s">
        <v>40</v>
      </c>
    </row>
    <row r="4722" spans="1:18" x14ac:dyDescent="0.25">
      <c r="A4722">
        <v>2021</v>
      </c>
      <c r="B4722">
        <v>5</v>
      </c>
      <c r="C4722" s="1" t="s">
        <v>28</v>
      </c>
      <c r="D4722" s="1" t="s">
        <v>19</v>
      </c>
      <c r="E4722" s="1" t="s">
        <v>69</v>
      </c>
      <c r="F4722">
        <v>2012</v>
      </c>
      <c r="G4722">
        <v>9</v>
      </c>
      <c r="H4722" s="1" t="s">
        <v>21</v>
      </c>
      <c r="I4722">
        <v>19</v>
      </c>
      <c r="J4722">
        <v>2469</v>
      </c>
      <c r="K4722" s="1" t="s">
        <v>70</v>
      </c>
      <c r="L4722" s="1" t="s">
        <v>45</v>
      </c>
      <c r="M4722">
        <v>1.879</v>
      </c>
      <c r="N4722">
        <v>35701.699999999997</v>
      </c>
      <c r="O4722">
        <v>35.701999999999998</v>
      </c>
      <c r="P4722" s="2">
        <v>44317</v>
      </c>
      <c r="Q4722">
        <v>1</v>
      </c>
      <c r="R4722" s="1" t="s">
        <v>40</v>
      </c>
    </row>
    <row r="4723" spans="1:18" x14ac:dyDescent="0.25">
      <c r="A4723">
        <v>2021</v>
      </c>
      <c r="B4723">
        <v>6</v>
      </c>
      <c r="C4723" s="1" t="s">
        <v>29</v>
      </c>
      <c r="D4723" s="1" t="s">
        <v>19</v>
      </c>
      <c r="E4723" s="1" t="s">
        <v>69</v>
      </c>
      <c r="F4723">
        <v>2012</v>
      </c>
      <c r="G4723">
        <v>9</v>
      </c>
      <c r="H4723" s="1" t="s">
        <v>21</v>
      </c>
      <c r="I4723">
        <v>19</v>
      </c>
      <c r="J4723">
        <v>2469</v>
      </c>
      <c r="K4723" s="1" t="s">
        <v>70</v>
      </c>
      <c r="L4723" s="1" t="s">
        <v>45</v>
      </c>
      <c r="M4723">
        <v>1.841</v>
      </c>
      <c r="N4723">
        <v>34979.599999999999</v>
      </c>
      <c r="O4723">
        <v>34.979999999999997</v>
      </c>
      <c r="P4723" s="2">
        <v>44348</v>
      </c>
      <c r="Q4723">
        <v>1</v>
      </c>
      <c r="R4723" s="1" t="s">
        <v>40</v>
      </c>
    </row>
    <row r="4724" spans="1:18" x14ac:dyDescent="0.25">
      <c r="A4724">
        <v>2021</v>
      </c>
      <c r="B4724">
        <v>7</v>
      </c>
      <c r="C4724" s="1" t="s">
        <v>30</v>
      </c>
      <c r="D4724" s="1" t="s">
        <v>19</v>
      </c>
      <c r="E4724" s="1" t="s">
        <v>69</v>
      </c>
      <c r="F4724">
        <v>2012</v>
      </c>
      <c r="G4724">
        <v>9</v>
      </c>
      <c r="H4724" s="1" t="s">
        <v>21</v>
      </c>
      <c r="I4724">
        <v>19</v>
      </c>
      <c r="J4724">
        <v>2469</v>
      </c>
      <c r="K4724" s="1" t="s">
        <v>70</v>
      </c>
      <c r="L4724" s="1" t="s">
        <v>45</v>
      </c>
      <c r="M4724">
        <v>2.105</v>
      </c>
      <c r="N4724">
        <v>39997.800000000003</v>
      </c>
      <c r="O4724">
        <v>39.997999999999998</v>
      </c>
      <c r="P4724" s="2">
        <v>44378</v>
      </c>
      <c r="Q4724">
        <v>1</v>
      </c>
      <c r="R4724" s="1" t="s">
        <v>40</v>
      </c>
    </row>
    <row r="4725" spans="1:18" x14ac:dyDescent="0.25">
      <c r="A4725">
        <v>2021</v>
      </c>
      <c r="B4725">
        <v>8</v>
      </c>
      <c r="C4725" s="1" t="s">
        <v>31</v>
      </c>
      <c r="D4725" s="1" t="s">
        <v>19</v>
      </c>
      <c r="E4725" s="1" t="s">
        <v>69</v>
      </c>
      <c r="F4725">
        <v>2012</v>
      </c>
      <c r="G4725">
        <v>9</v>
      </c>
      <c r="H4725" s="1" t="s">
        <v>21</v>
      </c>
      <c r="I4725">
        <v>19</v>
      </c>
      <c r="J4725">
        <v>2469</v>
      </c>
      <c r="K4725" s="1" t="s">
        <v>70</v>
      </c>
      <c r="L4725" s="1" t="s">
        <v>45</v>
      </c>
      <c r="M4725">
        <v>2.0350000000000001</v>
      </c>
      <c r="N4725">
        <v>38664.5</v>
      </c>
      <c r="O4725">
        <v>38.664999999999999</v>
      </c>
      <c r="P4725" s="2">
        <v>44409</v>
      </c>
      <c r="Q4725">
        <v>1</v>
      </c>
      <c r="R4725" s="1" t="s">
        <v>40</v>
      </c>
    </row>
    <row r="4726" spans="1:18" x14ac:dyDescent="0.25">
      <c r="A4726">
        <v>2021</v>
      </c>
      <c r="B4726">
        <v>9</v>
      </c>
      <c r="C4726" s="1" t="s">
        <v>32</v>
      </c>
      <c r="D4726" s="1" t="s">
        <v>19</v>
      </c>
      <c r="E4726" s="1" t="s">
        <v>69</v>
      </c>
      <c r="F4726">
        <v>2012</v>
      </c>
      <c r="G4726">
        <v>9</v>
      </c>
      <c r="H4726" s="1" t="s">
        <v>21</v>
      </c>
      <c r="I4726">
        <v>19</v>
      </c>
      <c r="J4726">
        <v>2469</v>
      </c>
      <c r="K4726" s="1" t="s">
        <v>70</v>
      </c>
      <c r="L4726" s="1" t="s">
        <v>45</v>
      </c>
      <c r="M4726">
        <v>1.944</v>
      </c>
      <c r="N4726">
        <v>36942.400000000001</v>
      </c>
      <c r="O4726">
        <v>36.942</v>
      </c>
      <c r="P4726" s="2">
        <v>44440</v>
      </c>
      <c r="Q4726">
        <v>1</v>
      </c>
      <c r="R4726" s="1" t="s">
        <v>40</v>
      </c>
    </row>
    <row r="4727" spans="1:18" x14ac:dyDescent="0.25">
      <c r="A4727">
        <v>2021</v>
      </c>
      <c r="B4727">
        <v>10</v>
      </c>
      <c r="C4727" s="1" t="s">
        <v>33</v>
      </c>
      <c r="D4727" s="1" t="s">
        <v>19</v>
      </c>
      <c r="E4727" s="1" t="s">
        <v>69</v>
      </c>
      <c r="F4727">
        <v>2012</v>
      </c>
      <c r="G4727">
        <v>9</v>
      </c>
      <c r="H4727" s="1" t="s">
        <v>21</v>
      </c>
      <c r="I4727">
        <v>19</v>
      </c>
      <c r="J4727">
        <v>2469</v>
      </c>
      <c r="K4727" s="1" t="s">
        <v>70</v>
      </c>
      <c r="L4727" s="1" t="s">
        <v>45</v>
      </c>
      <c r="M4727">
        <v>2.0569999999999999</v>
      </c>
      <c r="N4727">
        <v>39090.400000000001</v>
      </c>
      <c r="O4727">
        <v>39.090000000000003</v>
      </c>
      <c r="P4727" s="2">
        <v>44470</v>
      </c>
      <c r="Q4727">
        <v>1</v>
      </c>
      <c r="R4727" s="1" t="s">
        <v>40</v>
      </c>
    </row>
    <row r="4728" spans="1:18" x14ac:dyDescent="0.25">
      <c r="A4728">
        <v>2021</v>
      </c>
      <c r="B4728">
        <v>11</v>
      </c>
      <c r="C4728" s="1" t="s">
        <v>34</v>
      </c>
      <c r="D4728" s="1" t="s">
        <v>19</v>
      </c>
      <c r="E4728" s="1" t="s">
        <v>69</v>
      </c>
      <c r="F4728">
        <v>2012</v>
      </c>
      <c r="G4728">
        <v>9</v>
      </c>
      <c r="H4728" s="1" t="s">
        <v>21</v>
      </c>
      <c r="I4728">
        <v>19</v>
      </c>
      <c r="J4728">
        <v>2469</v>
      </c>
      <c r="K4728" s="1" t="s">
        <v>70</v>
      </c>
      <c r="L4728" s="1" t="s">
        <v>45</v>
      </c>
      <c r="M4728">
        <v>2.0049999999999999</v>
      </c>
      <c r="N4728">
        <v>38090.5</v>
      </c>
      <c r="O4728">
        <v>38.090000000000003</v>
      </c>
      <c r="P4728" s="2">
        <v>44501</v>
      </c>
      <c r="Q4728">
        <v>1</v>
      </c>
      <c r="R4728" s="1" t="s">
        <v>40</v>
      </c>
    </row>
    <row r="4729" spans="1:18" x14ac:dyDescent="0.25">
      <c r="A4729">
        <v>2021</v>
      </c>
      <c r="B4729">
        <v>12</v>
      </c>
      <c r="C4729" s="1" t="s">
        <v>35</v>
      </c>
      <c r="D4729" s="1" t="s">
        <v>19</v>
      </c>
      <c r="E4729" s="1" t="s">
        <v>69</v>
      </c>
      <c r="F4729">
        <v>2012</v>
      </c>
      <c r="G4729">
        <v>9</v>
      </c>
      <c r="H4729" s="1" t="s">
        <v>21</v>
      </c>
      <c r="I4729">
        <v>19</v>
      </c>
      <c r="J4729">
        <v>2469</v>
      </c>
      <c r="K4729" s="1" t="s">
        <v>70</v>
      </c>
      <c r="L4729" s="1" t="s">
        <v>45</v>
      </c>
      <c r="M4729">
        <v>2.0339999999999998</v>
      </c>
      <c r="N4729">
        <v>38646</v>
      </c>
      <c r="O4729">
        <v>38.646000000000001</v>
      </c>
      <c r="P4729" s="2">
        <v>44531</v>
      </c>
      <c r="Q4729">
        <v>1</v>
      </c>
      <c r="R4729" s="1" t="s">
        <v>40</v>
      </c>
    </row>
    <row r="4730" spans="1:18" x14ac:dyDescent="0.25">
      <c r="A4730">
        <v>2021</v>
      </c>
      <c r="B4730">
        <v>1</v>
      </c>
      <c r="C4730" s="1" t="s">
        <v>18</v>
      </c>
      <c r="D4730" s="1" t="s">
        <v>19</v>
      </c>
      <c r="E4730" s="1" t="s">
        <v>71</v>
      </c>
      <c r="F4730">
        <v>2012</v>
      </c>
      <c r="G4730">
        <v>9</v>
      </c>
      <c r="H4730" s="1" t="s">
        <v>21</v>
      </c>
      <c r="I4730">
        <v>20</v>
      </c>
      <c r="J4730">
        <v>2704</v>
      </c>
      <c r="K4730" s="1" t="s">
        <v>72</v>
      </c>
      <c r="L4730" s="1" t="s">
        <v>64</v>
      </c>
      <c r="M4730">
        <v>0.63900000000000001</v>
      </c>
      <c r="N4730">
        <v>12776.4</v>
      </c>
      <c r="O4730">
        <v>12.776</v>
      </c>
      <c r="P4730" s="2">
        <v>44197</v>
      </c>
      <c r="Q4730">
        <v>1</v>
      </c>
      <c r="R4730" s="1" t="s">
        <v>40</v>
      </c>
    </row>
    <row r="4731" spans="1:18" x14ac:dyDescent="0.25">
      <c r="A4731">
        <v>2021</v>
      </c>
      <c r="B4731">
        <v>2</v>
      </c>
      <c r="C4731" s="1" t="s">
        <v>25</v>
      </c>
      <c r="D4731" s="1" t="s">
        <v>19</v>
      </c>
      <c r="E4731" s="1" t="s">
        <v>71</v>
      </c>
      <c r="F4731">
        <v>2012</v>
      </c>
      <c r="G4731">
        <v>9</v>
      </c>
      <c r="H4731" s="1" t="s">
        <v>21</v>
      </c>
      <c r="I4731">
        <v>20</v>
      </c>
      <c r="J4731">
        <v>2704</v>
      </c>
      <c r="K4731" s="1" t="s">
        <v>72</v>
      </c>
      <c r="L4731" s="1" t="s">
        <v>64</v>
      </c>
      <c r="M4731">
        <v>1.0609999999999999</v>
      </c>
      <c r="N4731">
        <v>21212.9</v>
      </c>
      <c r="O4731">
        <v>21.213000000000001</v>
      </c>
      <c r="P4731" s="2">
        <v>44228</v>
      </c>
      <c r="Q4731">
        <v>1</v>
      </c>
      <c r="R4731" s="1" t="s">
        <v>40</v>
      </c>
    </row>
    <row r="4732" spans="1:18" x14ac:dyDescent="0.25">
      <c r="A4732">
        <v>2021</v>
      </c>
      <c r="B4732">
        <v>3</v>
      </c>
      <c r="C4732" s="1" t="s">
        <v>26</v>
      </c>
      <c r="D4732" s="1" t="s">
        <v>19</v>
      </c>
      <c r="E4732" s="1" t="s">
        <v>71</v>
      </c>
      <c r="F4732">
        <v>2012</v>
      </c>
      <c r="G4732">
        <v>9</v>
      </c>
      <c r="H4732" s="1" t="s">
        <v>21</v>
      </c>
      <c r="I4732">
        <v>20</v>
      </c>
      <c r="J4732">
        <v>2704</v>
      </c>
      <c r="K4732" s="1" t="s">
        <v>72</v>
      </c>
      <c r="L4732" s="1" t="s">
        <v>64</v>
      </c>
      <c r="M4732">
        <v>1.728</v>
      </c>
      <c r="N4732">
        <v>34557.1</v>
      </c>
      <c r="O4732">
        <v>34.557000000000002</v>
      </c>
      <c r="P4732" s="2">
        <v>44256</v>
      </c>
      <c r="Q4732">
        <v>1</v>
      </c>
      <c r="R4732" s="1" t="s">
        <v>40</v>
      </c>
    </row>
    <row r="4733" spans="1:18" x14ac:dyDescent="0.25">
      <c r="A4733">
        <v>2021</v>
      </c>
      <c r="B4733">
        <v>4</v>
      </c>
      <c r="C4733" s="1" t="s">
        <v>27</v>
      </c>
      <c r="D4733" s="1" t="s">
        <v>19</v>
      </c>
      <c r="E4733" s="1" t="s">
        <v>71</v>
      </c>
      <c r="F4733">
        <v>2012</v>
      </c>
      <c r="G4733">
        <v>9</v>
      </c>
      <c r="H4733" s="1" t="s">
        <v>21</v>
      </c>
      <c r="I4733">
        <v>20</v>
      </c>
      <c r="J4733">
        <v>2704</v>
      </c>
      <c r="K4733" s="1" t="s">
        <v>72</v>
      </c>
      <c r="L4733" s="1" t="s">
        <v>64</v>
      </c>
      <c r="M4733">
        <v>2.0070000000000001</v>
      </c>
      <c r="N4733">
        <v>40134.1</v>
      </c>
      <c r="O4733">
        <v>40.134</v>
      </c>
      <c r="P4733" s="2">
        <v>44287</v>
      </c>
      <c r="Q4733">
        <v>1</v>
      </c>
      <c r="R4733" s="1" t="s">
        <v>40</v>
      </c>
    </row>
    <row r="4734" spans="1:18" x14ac:dyDescent="0.25">
      <c r="A4734">
        <v>2021</v>
      </c>
      <c r="B4734">
        <v>5</v>
      </c>
      <c r="C4734" s="1" t="s">
        <v>28</v>
      </c>
      <c r="D4734" s="1" t="s">
        <v>19</v>
      </c>
      <c r="E4734" s="1" t="s">
        <v>71</v>
      </c>
      <c r="F4734">
        <v>2012</v>
      </c>
      <c r="G4734">
        <v>9</v>
      </c>
      <c r="H4734" s="1" t="s">
        <v>21</v>
      </c>
      <c r="I4734">
        <v>20</v>
      </c>
      <c r="J4734">
        <v>2704</v>
      </c>
      <c r="K4734" s="1" t="s">
        <v>72</v>
      </c>
      <c r="L4734" s="1" t="s">
        <v>64</v>
      </c>
      <c r="M4734">
        <v>1.9550000000000001</v>
      </c>
      <c r="N4734">
        <v>39099.800000000003</v>
      </c>
      <c r="O4734">
        <v>39.1</v>
      </c>
      <c r="P4734" s="2">
        <v>44317</v>
      </c>
      <c r="Q4734">
        <v>1</v>
      </c>
      <c r="R4734" s="1" t="s">
        <v>40</v>
      </c>
    </row>
    <row r="4735" spans="1:18" x14ac:dyDescent="0.25">
      <c r="A4735">
        <v>2021</v>
      </c>
      <c r="B4735">
        <v>6</v>
      </c>
      <c r="C4735" s="1" t="s">
        <v>29</v>
      </c>
      <c r="D4735" s="1" t="s">
        <v>19</v>
      </c>
      <c r="E4735" s="1" t="s">
        <v>71</v>
      </c>
      <c r="F4735">
        <v>2012</v>
      </c>
      <c r="G4735">
        <v>9</v>
      </c>
      <c r="H4735" s="1" t="s">
        <v>21</v>
      </c>
      <c r="I4735">
        <v>20</v>
      </c>
      <c r="J4735">
        <v>2704</v>
      </c>
      <c r="K4735" s="1" t="s">
        <v>72</v>
      </c>
      <c r="L4735" s="1" t="s">
        <v>64</v>
      </c>
      <c r="M4735">
        <v>1.915</v>
      </c>
      <c r="N4735">
        <v>38308.9</v>
      </c>
      <c r="O4735">
        <v>38.308999999999997</v>
      </c>
      <c r="P4735" s="2">
        <v>44348</v>
      </c>
      <c r="Q4735">
        <v>1</v>
      </c>
      <c r="R4735" s="1" t="s">
        <v>40</v>
      </c>
    </row>
    <row r="4736" spans="1:18" x14ac:dyDescent="0.25">
      <c r="A4736">
        <v>2021</v>
      </c>
      <c r="B4736">
        <v>7</v>
      </c>
      <c r="C4736" s="1" t="s">
        <v>30</v>
      </c>
      <c r="D4736" s="1" t="s">
        <v>19</v>
      </c>
      <c r="E4736" s="1" t="s">
        <v>71</v>
      </c>
      <c r="F4736">
        <v>2012</v>
      </c>
      <c r="G4736">
        <v>9</v>
      </c>
      <c r="H4736" s="1" t="s">
        <v>21</v>
      </c>
      <c r="I4736">
        <v>20</v>
      </c>
      <c r="J4736">
        <v>2704</v>
      </c>
      <c r="K4736" s="1" t="s">
        <v>72</v>
      </c>
      <c r="L4736" s="1" t="s">
        <v>64</v>
      </c>
      <c r="M4736">
        <v>2.19</v>
      </c>
      <c r="N4736">
        <v>43804.800000000003</v>
      </c>
      <c r="O4736">
        <v>43.805</v>
      </c>
      <c r="P4736" s="2">
        <v>44378</v>
      </c>
      <c r="Q4736">
        <v>1</v>
      </c>
      <c r="R4736" s="1" t="s">
        <v>40</v>
      </c>
    </row>
    <row r="4737" spans="1:18" x14ac:dyDescent="0.25">
      <c r="A4737">
        <v>2021</v>
      </c>
      <c r="B4737">
        <v>8</v>
      </c>
      <c r="C4737" s="1" t="s">
        <v>31</v>
      </c>
      <c r="D4737" s="1" t="s">
        <v>19</v>
      </c>
      <c r="E4737" s="1" t="s">
        <v>71</v>
      </c>
      <c r="F4737">
        <v>2012</v>
      </c>
      <c r="G4737">
        <v>9</v>
      </c>
      <c r="H4737" s="1" t="s">
        <v>21</v>
      </c>
      <c r="I4737">
        <v>20</v>
      </c>
      <c r="J4737">
        <v>2704</v>
      </c>
      <c r="K4737" s="1" t="s">
        <v>72</v>
      </c>
      <c r="L4737" s="1" t="s">
        <v>64</v>
      </c>
      <c r="M4737">
        <v>2.117</v>
      </c>
      <c r="N4737">
        <v>42344.6</v>
      </c>
      <c r="O4737">
        <v>42.344999999999999</v>
      </c>
      <c r="P4737" s="2">
        <v>44409</v>
      </c>
      <c r="Q4737">
        <v>1</v>
      </c>
      <c r="R4737" s="1" t="s">
        <v>40</v>
      </c>
    </row>
    <row r="4738" spans="1:18" x14ac:dyDescent="0.25">
      <c r="A4738">
        <v>2021</v>
      </c>
      <c r="B4738">
        <v>9</v>
      </c>
      <c r="C4738" s="1" t="s">
        <v>32</v>
      </c>
      <c r="D4738" s="1" t="s">
        <v>19</v>
      </c>
      <c r="E4738" s="1" t="s">
        <v>71</v>
      </c>
      <c r="F4738">
        <v>2012</v>
      </c>
      <c r="G4738">
        <v>9</v>
      </c>
      <c r="H4738" s="1" t="s">
        <v>21</v>
      </c>
      <c r="I4738">
        <v>20</v>
      </c>
      <c r="J4738">
        <v>2704</v>
      </c>
      <c r="K4738" s="1" t="s">
        <v>72</v>
      </c>
      <c r="L4738" s="1" t="s">
        <v>64</v>
      </c>
      <c r="M4738">
        <v>2.0230000000000001</v>
      </c>
      <c r="N4738">
        <v>40458.6</v>
      </c>
      <c r="O4738">
        <v>40.459000000000003</v>
      </c>
      <c r="P4738" s="2">
        <v>44440</v>
      </c>
      <c r="Q4738">
        <v>1</v>
      </c>
      <c r="R4738" s="1" t="s">
        <v>40</v>
      </c>
    </row>
    <row r="4739" spans="1:18" x14ac:dyDescent="0.25">
      <c r="A4739">
        <v>2021</v>
      </c>
      <c r="B4739">
        <v>10</v>
      </c>
      <c r="C4739" s="1" t="s">
        <v>33</v>
      </c>
      <c r="D4739" s="1" t="s">
        <v>19</v>
      </c>
      <c r="E4739" s="1" t="s">
        <v>71</v>
      </c>
      <c r="F4739">
        <v>2012</v>
      </c>
      <c r="G4739">
        <v>9</v>
      </c>
      <c r="H4739" s="1" t="s">
        <v>21</v>
      </c>
      <c r="I4739">
        <v>20</v>
      </c>
      <c r="J4739">
        <v>2704</v>
      </c>
      <c r="K4739" s="1" t="s">
        <v>72</v>
      </c>
      <c r="L4739" s="1" t="s">
        <v>64</v>
      </c>
      <c r="M4739">
        <v>2.141</v>
      </c>
      <c r="N4739">
        <v>42811.1</v>
      </c>
      <c r="O4739">
        <v>42.811</v>
      </c>
      <c r="P4739" s="2">
        <v>44470</v>
      </c>
      <c r="Q4739">
        <v>1</v>
      </c>
      <c r="R4739" s="1" t="s">
        <v>40</v>
      </c>
    </row>
    <row r="4740" spans="1:18" x14ac:dyDescent="0.25">
      <c r="A4740">
        <v>2021</v>
      </c>
      <c r="B4740">
        <v>11</v>
      </c>
      <c r="C4740" s="1" t="s">
        <v>34</v>
      </c>
      <c r="D4740" s="1" t="s">
        <v>19</v>
      </c>
      <c r="E4740" s="1" t="s">
        <v>71</v>
      </c>
      <c r="F4740">
        <v>2012</v>
      </c>
      <c r="G4740">
        <v>9</v>
      </c>
      <c r="H4740" s="1" t="s">
        <v>21</v>
      </c>
      <c r="I4740">
        <v>20</v>
      </c>
      <c r="J4740">
        <v>2704</v>
      </c>
      <c r="K4740" s="1" t="s">
        <v>72</v>
      </c>
      <c r="L4740" s="1" t="s">
        <v>64</v>
      </c>
      <c r="M4740">
        <v>2.0859999999999999</v>
      </c>
      <c r="N4740">
        <v>41716</v>
      </c>
      <c r="O4740">
        <v>41.716000000000001</v>
      </c>
      <c r="P4740" s="2">
        <v>44501</v>
      </c>
      <c r="Q4740">
        <v>1</v>
      </c>
      <c r="R4740" s="1" t="s">
        <v>40</v>
      </c>
    </row>
    <row r="4741" spans="1:18" x14ac:dyDescent="0.25">
      <c r="A4741">
        <v>2021</v>
      </c>
      <c r="B4741">
        <v>12</v>
      </c>
      <c r="C4741" s="1" t="s">
        <v>35</v>
      </c>
      <c r="D4741" s="1" t="s">
        <v>19</v>
      </c>
      <c r="E4741" s="1" t="s">
        <v>71</v>
      </c>
      <c r="F4741">
        <v>2012</v>
      </c>
      <c r="G4741">
        <v>9</v>
      </c>
      <c r="H4741" s="1" t="s">
        <v>21</v>
      </c>
      <c r="I4741">
        <v>20</v>
      </c>
      <c r="J4741">
        <v>2704</v>
      </c>
      <c r="K4741" s="1" t="s">
        <v>72</v>
      </c>
      <c r="L4741" s="1" t="s">
        <v>64</v>
      </c>
      <c r="M4741">
        <v>2.1160000000000001</v>
      </c>
      <c r="N4741">
        <v>42324.4</v>
      </c>
      <c r="O4741">
        <v>42.323999999999998</v>
      </c>
      <c r="P4741" s="2">
        <v>44531</v>
      </c>
      <c r="Q4741">
        <v>1</v>
      </c>
      <c r="R4741" s="1" t="s">
        <v>40</v>
      </c>
    </row>
    <row r="4742" spans="1:18" x14ac:dyDescent="0.25">
      <c r="A4742">
        <v>2021</v>
      </c>
      <c r="B4742">
        <v>1</v>
      </c>
      <c r="C4742" s="1" t="s">
        <v>18</v>
      </c>
      <c r="D4742" s="1" t="s">
        <v>19</v>
      </c>
      <c r="E4742" s="1" t="s">
        <v>73</v>
      </c>
      <c r="F4742">
        <v>2012</v>
      </c>
      <c r="G4742">
        <v>9</v>
      </c>
      <c r="H4742" s="1" t="s">
        <v>21</v>
      </c>
      <c r="I4742">
        <v>14</v>
      </c>
      <c r="J4742">
        <v>1833</v>
      </c>
      <c r="K4742" s="1" t="s">
        <v>74</v>
      </c>
      <c r="L4742" s="1" t="s">
        <v>64</v>
      </c>
      <c r="M4742">
        <v>0.61899999999999999</v>
      </c>
      <c r="N4742">
        <v>8660.9</v>
      </c>
      <c r="O4742">
        <v>8.6609999999999996</v>
      </c>
      <c r="P4742" s="2">
        <v>44197</v>
      </c>
      <c r="Q4742">
        <v>1</v>
      </c>
      <c r="R4742" s="1" t="s">
        <v>40</v>
      </c>
    </row>
    <row r="4743" spans="1:18" x14ac:dyDescent="0.25">
      <c r="A4743">
        <v>2021</v>
      </c>
      <c r="B4743">
        <v>2</v>
      </c>
      <c r="C4743" s="1" t="s">
        <v>25</v>
      </c>
      <c r="D4743" s="1" t="s">
        <v>19</v>
      </c>
      <c r="E4743" s="1" t="s">
        <v>73</v>
      </c>
      <c r="F4743">
        <v>2012</v>
      </c>
      <c r="G4743">
        <v>9</v>
      </c>
      <c r="H4743" s="1" t="s">
        <v>21</v>
      </c>
      <c r="I4743">
        <v>14</v>
      </c>
      <c r="J4743">
        <v>1833</v>
      </c>
      <c r="K4743" s="1" t="s">
        <v>74</v>
      </c>
      <c r="L4743" s="1" t="s">
        <v>64</v>
      </c>
      <c r="M4743">
        <v>1.0269999999999999</v>
      </c>
      <c r="N4743">
        <v>14379.9</v>
      </c>
      <c r="O4743">
        <v>14.38</v>
      </c>
      <c r="P4743" s="2">
        <v>44228</v>
      </c>
      <c r="Q4743">
        <v>1</v>
      </c>
      <c r="R4743" s="1" t="s">
        <v>40</v>
      </c>
    </row>
    <row r="4744" spans="1:18" x14ac:dyDescent="0.25">
      <c r="A4744">
        <v>2021</v>
      </c>
      <c r="B4744">
        <v>3</v>
      </c>
      <c r="C4744" s="1" t="s">
        <v>26</v>
      </c>
      <c r="D4744" s="1" t="s">
        <v>19</v>
      </c>
      <c r="E4744" s="1" t="s">
        <v>73</v>
      </c>
      <c r="F4744">
        <v>2012</v>
      </c>
      <c r="G4744">
        <v>9</v>
      </c>
      <c r="H4744" s="1" t="s">
        <v>21</v>
      </c>
      <c r="I4744">
        <v>14</v>
      </c>
      <c r="J4744">
        <v>1833</v>
      </c>
      <c r="K4744" s="1" t="s">
        <v>74</v>
      </c>
      <c r="L4744" s="1" t="s">
        <v>64</v>
      </c>
      <c r="M4744">
        <v>1.673</v>
      </c>
      <c r="N4744">
        <v>23425.7</v>
      </c>
      <c r="O4744">
        <v>23.425999999999998</v>
      </c>
      <c r="P4744" s="2">
        <v>44256</v>
      </c>
      <c r="Q4744">
        <v>1</v>
      </c>
      <c r="R4744" s="1" t="s">
        <v>40</v>
      </c>
    </row>
    <row r="4745" spans="1:18" x14ac:dyDescent="0.25">
      <c r="A4745">
        <v>2021</v>
      </c>
      <c r="B4745">
        <v>4</v>
      </c>
      <c r="C4745" s="1" t="s">
        <v>27</v>
      </c>
      <c r="D4745" s="1" t="s">
        <v>19</v>
      </c>
      <c r="E4745" s="1" t="s">
        <v>73</v>
      </c>
      <c r="F4745">
        <v>2012</v>
      </c>
      <c r="G4745">
        <v>9</v>
      </c>
      <c r="H4745" s="1" t="s">
        <v>21</v>
      </c>
      <c r="I4745">
        <v>14</v>
      </c>
      <c r="J4745">
        <v>1833</v>
      </c>
      <c r="K4745" s="1" t="s">
        <v>74</v>
      </c>
      <c r="L4745" s="1" t="s">
        <v>64</v>
      </c>
      <c r="M4745">
        <v>1.9430000000000001</v>
      </c>
      <c r="N4745">
        <v>27206.3</v>
      </c>
      <c r="O4745">
        <v>27.206</v>
      </c>
      <c r="P4745" s="2">
        <v>44287</v>
      </c>
      <c r="Q4745">
        <v>1</v>
      </c>
      <c r="R4745" s="1" t="s">
        <v>40</v>
      </c>
    </row>
    <row r="4746" spans="1:18" x14ac:dyDescent="0.25">
      <c r="A4746">
        <v>2021</v>
      </c>
      <c r="B4746">
        <v>5</v>
      </c>
      <c r="C4746" s="1" t="s">
        <v>28</v>
      </c>
      <c r="D4746" s="1" t="s">
        <v>19</v>
      </c>
      <c r="E4746" s="1" t="s">
        <v>73</v>
      </c>
      <c r="F4746">
        <v>2012</v>
      </c>
      <c r="G4746">
        <v>9</v>
      </c>
      <c r="H4746" s="1" t="s">
        <v>21</v>
      </c>
      <c r="I4746">
        <v>14</v>
      </c>
      <c r="J4746">
        <v>1833</v>
      </c>
      <c r="K4746" s="1" t="s">
        <v>74</v>
      </c>
      <c r="L4746" s="1" t="s">
        <v>64</v>
      </c>
      <c r="M4746">
        <v>1.893</v>
      </c>
      <c r="N4746">
        <v>26505.200000000001</v>
      </c>
      <c r="O4746">
        <v>26.504999999999999</v>
      </c>
      <c r="P4746" s="2">
        <v>44317</v>
      </c>
      <c r="Q4746">
        <v>1</v>
      </c>
      <c r="R4746" s="1" t="s">
        <v>40</v>
      </c>
    </row>
    <row r="4747" spans="1:18" x14ac:dyDescent="0.25">
      <c r="A4747">
        <v>2021</v>
      </c>
      <c r="B4747">
        <v>6</v>
      </c>
      <c r="C4747" s="1" t="s">
        <v>29</v>
      </c>
      <c r="D4747" s="1" t="s">
        <v>19</v>
      </c>
      <c r="E4747" s="1" t="s">
        <v>73</v>
      </c>
      <c r="F4747">
        <v>2012</v>
      </c>
      <c r="G4747">
        <v>9</v>
      </c>
      <c r="H4747" s="1" t="s">
        <v>21</v>
      </c>
      <c r="I4747">
        <v>14</v>
      </c>
      <c r="J4747">
        <v>1833</v>
      </c>
      <c r="K4747" s="1" t="s">
        <v>74</v>
      </c>
      <c r="L4747" s="1" t="s">
        <v>64</v>
      </c>
      <c r="M4747">
        <v>1.855</v>
      </c>
      <c r="N4747">
        <v>25969</v>
      </c>
      <c r="O4747">
        <v>25.969000000000001</v>
      </c>
      <c r="P4747" s="2">
        <v>44348</v>
      </c>
      <c r="Q4747">
        <v>1</v>
      </c>
      <c r="R4747" s="1" t="s">
        <v>40</v>
      </c>
    </row>
    <row r="4748" spans="1:18" x14ac:dyDescent="0.25">
      <c r="A4748">
        <v>2021</v>
      </c>
      <c r="B4748">
        <v>7</v>
      </c>
      <c r="C4748" s="1" t="s">
        <v>30</v>
      </c>
      <c r="D4748" s="1" t="s">
        <v>19</v>
      </c>
      <c r="E4748" s="1" t="s">
        <v>73</v>
      </c>
      <c r="F4748">
        <v>2012</v>
      </c>
      <c r="G4748">
        <v>9</v>
      </c>
      <c r="H4748" s="1" t="s">
        <v>21</v>
      </c>
      <c r="I4748">
        <v>14</v>
      </c>
      <c r="J4748">
        <v>1833</v>
      </c>
      <c r="K4748" s="1" t="s">
        <v>74</v>
      </c>
      <c r="L4748" s="1" t="s">
        <v>64</v>
      </c>
      <c r="M4748">
        <v>2.121</v>
      </c>
      <c r="N4748">
        <v>29694.6</v>
      </c>
      <c r="O4748">
        <v>29.695</v>
      </c>
      <c r="P4748" s="2">
        <v>44378</v>
      </c>
      <c r="Q4748">
        <v>1</v>
      </c>
      <c r="R4748" s="1" t="s">
        <v>40</v>
      </c>
    </row>
    <row r="4749" spans="1:18" x14ac:dyDescent="0.25">
      <c r="A4749">
        <v>2021</v>
      </c>
      <c r="B4749">
        <v>8</v>
      </c>
      <c r="C4749" s="1" t="s">
        <v>31</v>
      </c>
      <c r="D4749" s="1" t="s">
        <v>19</v>
      </c>
      <c r="E4749" s="1" t="s">
        <v>73</v>
      </c>
      <c r="F4749">
        <v>2012</v>
      </c>
      <c r="G4749">
        <v>9</v>
      </c>
      <c r="H4749" s="1" t="s">
        <v>21</v>
      </c>
      <c r="I4749">
        <v>14</v>
      </c>
      <c r="J4749">
        <v>1833</v>
      </c>
      <c r="K4749" s="1" t="s">
        <v>74</v>
      </c>
      <c r="L4749" s="1" t="s">
        <v>64</v>
      </c>
      <c r="M4749">
        <v>2.0499999999999998</v>
      </c>
      <c r="N4749">
        <v>28704.799999999999</v>
      </c>
      <c r="O4749">
        <v>28.704999999999998</v>
      </c>
      <c r="P4749" s="2">
        <v>44409</v>
      </c>
      <c r="Q4749">
        <v>1</v>
      </c>
      <c r="R4749" s="1" t="s">
        <v>40</v>
      </c>
    </row>
    <row r="4750" spans="1:18" x14ac:dyDescent="0.25">
      <c r="A4750">
        <v>2021</v>
      </c>
      <c r="B4750">
        <v>9</v>
      </c>
      <c r="C4750" s="1" t="s">
        <v>32</v>
      </c>
      <c r="D4750" s="1" t="s">
        <v>19</v>
      </c>
      <c r="E4750" s="1" t="s">
        <v>73</v>
      </c>
      <c r="F4750">
        <v>2012</v>
      </c>
      <c r="G4750">
        <v>9</v>
      </c>
      <c r="H4750" s="1" t="s">
        <v>21</v>
      </c>
      <c r="I4750">
        <v>14</v>
      </c>
      <c r="J4750">
        <v>1833</v>
      </c>
      <c r="K4750" s="1" t="s">
        <v>74</v>
      </c>
      <c r="L4750" s="1" t="s">
        <v>64</v>
      </c>
      <c r="M4750">
        <v>1.9590000000000001</v>
      </c>
      <c r="N4750">
        <v>27426.3</v>
      </c>
      <c r="O4750">
        <v>27.425999999999998</v>
      </c>
      <c r="P4750" s="2">
        <v>44440</v>
      </c>
      <c r="Q4750">
        <v>1</v>
      </c>
      <c r="R4750" s="1" t="s">
        <v>40</v>
      </c>
    </row>
    <row r="4751" spans="1:18" x14ac:dyDescent="0.25">
      <c r="A4751">
        <v>2021</v>
      </c>
      <c r="B4751">
        <v>10</v>
      </c>
      <c r="C4751" s="1" t="s">
        <v>33</v>
      </c>
      <c r="D4751" s="1" t="s">
        <v>19</v>
      </c>
      <c r="E4751" s="1" t="s">
        <v>73</v>
      </c>
      <c r="F4751">
        <v>2012</v>
      </c>
      <c r="G4751">
        <v>9</v>
      </c>
      <c r="H4751" s="1" t="s">
        <v>21</v>
      </c>
      <c r="I4751">
        <v>14</v>
      </c>
      <c r="J4751">
        <v>1833</v>
      </c>
      <c r="K4751" s="1" t="s">
        <v>74</v>
      </c>
      <c r="L4751" s="1" t="s">
        <v>64</v>
      </c>
      <c r="M4751">
        <v>2.073</v>
      </c>
      <c r="N4751">
        <v>29021</v>
      </c>
      <c r="O4751">
        <v>29.021000000000001</v>
      </c>
      <c r="P4751" s="2">
        <v>44470</v>
      </c>
      <c r="Q4751">
        <v>1</v>
      </c>
      <c r="R4751" s="1" t="s">
        <v>40</v>
      </c>
    </row>
    <row r="4752" spans="1:18" x14ac:dyDescent="0.25">
      <c r="A4752">
        <v>2021</v>
      </c>
      <c r="B4752">
        <v>11</v>
      </c>
      <c r="C4752" s="1" t="s">
        <v>34</v>
      </c>
      <c r="D4752" s="1" t="s">
        <v>19</v>
      </c>
      <c r="E4752" s="1" t="s">
        <v>73</v>
      </c>
      <c r="F4752">
        <v>2012</v>
      </c>
      <c r="G4752">
        <v>9</v>
      </c>
      <c r="H4752" s="1" t="s">
        <v>21</v>
      </c>
      <c r="I4752">
        <v>14</v>
      </c>
      <c r="J4752">
        <v>1833</v>
      </c>
      <c r="K4752" s="1" t="s">
        <v>74</v>
      </c>
      <c r="L4752" s="1" t="s">
        <v>64</v>
      </c>
      <c r="M4752">
        <v>2.02</v>
      </c>
      <c r="N4752">
        <v>28278.6</v>
      </c>
      <c r="O4752">
        <v>28.279</v>
      </c>
      <c r="P4752" s="2">
        <v>44501</v>
      </c>
      <c r="Q4752">
        <v>1</v>
      </c>
      <c r="R4752" s="1" t="s">
        <v>40</v>
      </c>
    </row>
    <row r="4753" spans="1:18" x14ac:dyDescent="0.25">
      <c r="A4753">
        <v>2021</v>
      </c>
      <c r="B4753">
        <v>12</v>
      </c>
      <c r="C4753" s="1" t="s">
        <v>35</v>
      </c>
      <c r="D4753" s="1" t="s">
        <v>19</v>
      </c>
      <c r="E4753" s="1" t="s">
        <v>73</v>
      </c>
      <c r="F4753">
        <v>2012</v>
      </c>
      <c r="G4753">
        <v>9</v>
      </c>
      <c r="H4753" s="1" t="s">
        <v>21</v>
      </c>
      <c r="I4753">
        <v>14</v>
      </c>
      <c r="J4753">
        <v>1833</v>
      </c>
      <c r="K4753" s="1" t="s">
        <v>74</v>
      </c>
      <c r="L4753" s="1" t="s">
        <v>64</v>
      </c>
      <c r="M4753">
        <v>2.0489999999999999</v>
      </c>
      <c r="N4753">
        <v>28691</v>
      </c>
      <c r="O4753">
        <v>28.690999999999999</v>
      </c>
      <c r="P4753" s="2">
        <v>44531</v>
      </c>
      <c r="Q4753">
        <v>1</v>
      </c>
      <c r="R4753" s="1" t="s">
        <v>40</v>
      </c>
    </row>
    <row r="4754" spans="1:18" x14ac:dyDescent="0.25">
      <c r="A4754">
        <v>2021</v>
      </c>
      <c r="B4754">
        <v>1</v>
      </c>
      <c r="C4754" s="1" t="s">
        <v>18</v>
      </c>
      <c r="D4754" s="1" t="s">
        <v>19</v>
      </c>
      <c r="E4754" s="1" t="s">
        <v>75</v>
      </c>
      <c r="F4754">
        <v>2012</v>
      </c>
      <c r="G4754">
        <v>9</v>
      </c>
      <c r="H4754" s="1" t="s">
        <v>21</v>
      </c>
      <c r="I4754">
        <v>20</v>
      </c>
      <c r="J4754">
        <v>1990</v>
      </c>
      <c r="K4754" s="1" t="s">
        <v>76</v>
      </c>
      <c r="L4754" s="1" t="s">
        <v>64</v>
      </c>
      <c r="M4754">
        <v>0.48199999999999998</v>
      </c>
      <c r="N4754">
        <v>9639</v>
      </c>
      <c r="O4754">
        <v>9.6389999999999993</v>
      </c>
      <c r="P4754" s="2">
        <v>44197</v>
      </c>
      <c r="Q4754">
        <v>1</v>
      </c>
      <c r="R4754" s="1" t="s">
        <v>40</v>
      </c>
    </row>
    <row r="4755" spans="1:18" x14ac:dyDescent="0.25">
      <c r="A4755">
        <v>2021</v>
      </c>
      <c r="B4755">
        <v>2</v>
      </c>
      <c r="C4755" s="1" t="s">
        <v>25</v>
      </c>
      <c r="D4755" s="1" t="s">
        <v>19</v>
      </c>
      <c r="E4755" s="1" t="s">
        <v>75</v>
      </c>
      <c r="F4755">
        <v>2012</v>
      </c>
      <c r="G4755">
        <v>9</v>
      </c>
      <c r="H4755" s="1" t="s">
        <v>21</v>
      </c>
      <c r="I4755">
        <v>20</v>
      </c>
      <c r="J4755">
        <v>1990</v>
      </c>
      <c r="K4755" s="1" t="s">
        <v>76</v>
      </c>
      <c r="L4755" s="1" t="s">
        <v>64</v>
      </c>
      <c r="M4755">
        <v>0.8</v>
      </c>
      <c r="N4755">
        <v>16003.8</v>
      </c>
      <c r="O4755">
        <v>16.004000000000001</v>
      </c>
      <c r="P4755" s="2">
        <v>44228</v>
      </c>
      <c r="Q4755">
        <v>1</v>
      </c>
      <c r="R4755" s="1" t="s">
        <v>40</v>
      </c>
    </row>
    <row r="4756" spans="1:18" x14ac:dyDescent="0.25">
      <c r="A4756">
        <v>2021</v>
      </c>
      <c r="B4756">
        <v>3</v>
      </c>
      <c r="C4756" s="1" t="s">
        <v>26</v>
      </c>
      <c r="D4756" s="1" t="s">
        <v>19</v>
      </c>
      <c r="E4756" s="1" t="s">
        <v>75</v>
      </c>
      <c r="F4756">
        <v>2012</v>
      </c>
      <c r="G4756">
        <v>9</v>
      </c>
      <c r="H4756" s="1" t="s">
        <v>21</v>
      </c>
      <c r="I4756">
        <v>20</v>
      </c>
      <c r="J4756">
        <v>1990</v>
      </c>
      <c r="K4756" s="1" t="s">
        <v>76</v>
      </c>
      <c r="L4756" s="1" t="s">
        <v>64</v>
      </c>
      <c r="M4756">
        <v>1.304</v>
      </c>
      <c r="N4756">
        <v>26071.200000000001</v>
      </c>
      <c r="O4756">
        <v>26.071000000000002</v>
      </c>
      <c r="P4756" s="2">
        <v>44256</v>
      </c>
      <c r="Q4756">
        <v>1</v>
      </c>
      <c r="R4756" s="1" t="s">
        <v>40</v>
      </c>
    </row>
    <row r="4757" spans="1:18" x14ac:dyDescent="0.25">
      <c r="A4757">
        <v>2021</v>
      </c>
      <c r="B4757">
        <v>4</v>
      </c>
      <c r="C4757" s="1" t="s">
        <v>27</v>
      </c>
      <c r="D4757" s="1" t="s">
        <v>19</v>
      </c>
      <c r="E4757" s="1" t="s">
        <v>75</v>
      </c>
      <c r="F4757">
        <v>2012</v>
      </c>
      <c r="G4757">
        <v>9</v>
      </c>
      <c r="H4757" s="1" t="s">
        <v>21</v>
      </c>
      <c r="I4757">
        <v>20</v>
      </c>
      <c r="J4757">
        <v>1990</v>
      </c>
      <c r="K4757" s="1" t="s">
        <v>76</v>
      </c>
      <c r="L4757" s="1" t="s">
        <v>64</v>
      </c>
      <c r="M4757">
        <v>1.514</v>
      </c>
      <c r="N4757">
        <v>30278.7</v>
      </c>
      <c r="O4757">
        <v>30.279</v>
      </c>
      <c r="P4757" s="2">
        <v>44287</v>
      </c>
      <c r="Q4757">
        <v>1</v>
      </c>
      <c r="R4757" s="1" t="s">
        <v>40</v>
      </c>
    </row>
    <row r="4758" spans="1:18" x14ac:dyDescent="0.25">
      <c r="A4758">
        <v>2021</v>
      </c>
      <c r="B4758">
        <v>5</v>
      </c>
      <c r="C4758" s="1" t="s">
        <v>28</v>
      </c>
      <c r="D4758" s="1" t="s">
        <v>19</v>
      </c>
      <c r="E4758" s="1" t="s">
        <v>75</v>
      </c>
      <c r="F4758">
        <v>2012</v>
      </c>
      <c r="G4758">
        <v>9</v>
      </c>
      <c r="H4758" s="1" t="s">
        <v>21</v>
      </c>
      <c r="I4758">
        <v>20</v>
      </c>
      <c r="J4758">
        <v>1990</v>
      </c>
      <c r="K4758" s="1" t="s">
        <v>76</v>
      </c>
      <c r="L4758" s="1" t="s">
        <v>64</v>
      </c>
      <c r="M4758">
        <v>1.4750000000000001</v>
      </c>
      <c r="N4758">
        <v>29498.400000000001</v>
      </c>
      <c r="O4758">
        <v>29.498000000000001</v>
      </c>
      <c r="P4758" s="2">
        <v>44317</v>
      </c>
      <c r="Q4758">
        <v>1</v>
      </c>
      <c r="R4758" s="1" t="s">
        <v>40</v>
      </c>
    </row>
    <row r="4759" spans="1:18" x14ac:dyDescent="0.25">
      <c r="A4759">
        <v>2021</v>
      </c>
      <c r="B4759">
        <v>6</v>
      </c>
      <c r="C4759" s="1" t="s">
        <v>29</v>
      </c>
      <c r="D4759" s="1" t="s">
        <v>19</v>
      </c>
      <c r="E4759" s="1" t="s">
        <v>75</v>
      </c>
      <c r="F4759">
        <v>2012</v>
      </c>
      <c r="G4759">
        <v>9</v>
      </c>
      <c r="H4759" s="1" t="s">
        <v>21</v>
      </c>
      <c r="I4759">
        <v>20</v>
      </c>
      <c r="J4759">
        <v>1990</v>
      </c>
      <c r="K4759" s="1" t="s">
        <v>76</v>
      </c>
      <c r="L4759" s="1" t="s">
        <v>64</v>
      </c>
      <c r="M4759">
        <v>1.4450000000000001</v>
      </c>
      <c r="N4759">
        <v>28901.7</v>
      </c>
      <c r="O4759">
        <v>28.902000000000001</v>
      </c>
      <c r="P4759" s="2">
        <v>44348</v>
      </c>
      <c r="Q4759">
        <v>1</v>
      </c>
      <c r="R4759" s="1" t="s">
        <v>40</v>
      </c>
    </row>
    <row r="4760" spans="1:18" x14ac:dyDescent="0.25">
      <c r="A4760">
        <v>2021</v>
      </c>
      <c r="B4760">
        <v>7</v>
      </c>
      <c r="C4760" s="1" t="s">
        <v>30</v>
      </c>
      <c r="D4760" s="1" t="s">
        <v>19</v>
      </c>
      <c r="E4760" s="1" t="s">
        <v>75</v>
      </c>
      <c r="F4760">
        <v>2012</v>
      </c>
      <c r="G4760">
        <v>9</v>
      </c>
      <c r="H4760" s="1" t="s">
        <v>21</v>
      </c>
      <c r="I4760">
        <v>20</v>
      </c>
      <c r="J4760">
        <v>1990</v>
      </c>
      <c r="K4760" s="1" t="s">
        <v>76</v>
      </c>
      <c r="L4760" s="1" t="s">
        <v>64</v>
      </c>
      <c r="M4760">
        <v>1.6519999999999999</v>
      </c>
      <c r="N4760">
        <v>33048</v>
      </c>
      <c r="O4760">
        <v>33.048000000000002</v>
      </c>
      <c r="P4760" s="2">
        <v>44378</v>
      </c>
      <c r="Q4760">
        <v>1</v>
      </c>
      <c r="R4760" s="1" t="s">
        <v>40</v>
      </c>
    </row>
    <row r="4761" spans="1:18" x14ac:dyDescent="0.25">
      <c r="A4761">
        <v>2021</v>
      </c>
      <c r="B4761">
        <v>8</v>
      </c>
      <c r="C4761" s="1" t="s">
        <v>31</v>
      </c>
      <c r="D4761" s="1" t="s">
        <v>19</v>
      </c>
      <c r="E4761" s="1" t="s">
        <v>75</v>
      </c>
      <c r="F4761">
        <v>2012</v>
      </c>
      <c r="G4761">
        <v>9</v>
      </c>
      <c r="H4761" s="1" t="s">
        <v>21</v>
      </c>
      <c r="I4761">
        <v>20</v>
      </c>
      <c r="J4761">
        <v>1990</v>
      </c>
      <c r="K4761" s="1" t="s">
        <v>76</v>
      </c>
      <c r="L4761" s="1" t="s">
        <v>64</v>
      </c>
      <c r="M4761">
        <v>1.597</v>
      </c>
      <c r="N4761">
        <v>31946.400000000001</v>
      </c>
      <c r="O4761">
        <v>31.946000000000002</v>
      </c>
      <c r="P4761" s="2">
        <v>44409</v>
      </c>
      <c r="Q4761">
        <v>1</v>
      </c>
      <c r="R4761" s="1" t="s">
        <v>40</v>
      </c>
    </row>
    <row r="4762" spans="1:18" x14ac:dyDescent="0.25">
      <c r="A4762">
        <v>2021</v>
      </c>
      <c r="B4762">
        <v>9</v>
      </c>
      <c r="C4762" s="1" t="s">
        <v>32</v>
      </c>
      <c r="D4762" s="1" t="s">
        <v>19</v>
      </c>
      <c r="E4762" s="1" t="s">
        <v>75</v>
      </c>
      <c r="F4762">
        <v>2012</v>
      </c>
      <c r="G4762">
        <v>9</v>
      </c>
      <c r="H4762" s="1" t="s">
        <v>21</v>
      </c>
      <c r="I4762">
        <v>20</v>
      </c>
      <c r="J4762">
        <v>1990</v>
      </c>
      <c r="K4762" s="1" t="s">
        <v>76</v>
      </c>
      <c r="L4762" s="1" t="s">
        <v>64</v>
      </c>
      <c r="M4762">
        <v>1.526</v>
      </c>
      <c r="N4762">
        <v>30523.5</v>
      </c>
      <c r="O4762">
        <v>30.524000000000001</v>
      </c>
      <c r="P4762" s="2">
        <v>44440</v>
      </c>
      <c r="Q4762">
        <v>1</v>
      </c>
      <c r="R4762" s="1" t="s">
        <v>40</v>
      </c>
    </row>
    <row r="4763" spans="1:18" x14ac:dyDescent="0.25">
      <c r="A4763">
        <v>2021</v>
      </c>
      <c r="B4763">
        <v>10</v>
      </c>
      <c r="C4763" s="1" t="s">
        <v>33</v>
      </c>
      <c r="D4763" s="1" t="s">
        <v>19</v>
      </c>
      <c r="E4763" s="1" t="s">
        <v>75</v>
      </c>
      <c r="F4763">
        <v>2012</v>
      </c>
      <c r="G4763">
        <v>9</v>
      </c>
      <c r="H4763" s="1" t="s">
        <v>21</v>
      </c>
      <c r="I4763">
        <v>20</v>
      </c>
      <c r="J4763">
        <v>1990</v>
      </c>
      <c r="K4763" s="1" t="s">
        <v>76</v>
      </c>
      <c r="L4763" s="1" t="s">
        <v>64</v>
      </c>
      <c r="M4763">
        <v>1.615</v>
      </c>
      <c r="N4763">
        <v>32298.3</v>
      </c>
      <c r="O4763">
        <v>32.298000000000002</v>
      </c>
      <c r="P4763" s="2">
        <v>44470</v>
      </c>
      <c r="Q4763">
        <v>1</v>
      </c>
      <c r="R4763" s="1" t="s">
        <v>40</v>
      </c>
    </row>
    <row r="4764" spans="1:18" x14ac:dyDescent="0.25">
      <c r="A4764">
        <v>2021</v>
      </c>
      <c r="B4764">
        <v>11</v>
      </c>
      <c r="C4764" s="1" t="s">
        <v>34</v>
      </c>
      <c r="D4764" s="1" t="s">
        <v>19</v>
      </c>
      <c r="E4764" s="1" t="s">
        <v>75</v>
      </c>
      <c r="F4764">
        <v>2012</v>
      </c>
      <c r="G4764">
        <v>9</v>
      </c>
      <c r="H4764" s="1" t="s">
        <v>21</v>
      </c>
      <c r="I4764">
        <v>20</v>
      </c>
      <c r="J4764">
        <v>1990</v>
      </c>
      <c r="K4764" s="1" t="s">
        <v>76</v>
      </c>
      <c r="L4764" s="1" t="s">
        <v>64</v>
      </c>
      <c r="M4764">
        <v>1.5740000000000001</v>
      </c>
      <c r="N4764">
        <v>31472.1</v>
      </c>
      <c r="O4764">
        <v>31.472000000000001</v>
      </c>
      <c r="P4764" s="2">
        <v>44501</v>
      </c>
      <c r="Q4764">
        <v>1</v>
      </c>
      <c r="R4764" s="1" t="s">
        <v>40</v>
      </c>
    </row>
    <row r="4765" spans="1:18" x14ac:dyDescent="0.25">
      <c r="A4765">
        <v>2021</v>
      </c>
      <c r="B4765">
        <v>12</v>
      </c>
      <c r="C4765" s="1" t="s">
        <v>35</v>
      </c>
      <c r="D4765" s="1" t="s">
        <v>19</v>
      </c>
      <c r="E4765" s="1" t="s">
        <v>75</v>
      </c>
      <c r="F4765">
        <v>2012</v>
      </c>
      <c r="G4765">
        <v>9</v>
      </c>
      <c r="H4765" s="1" t="s">
        <v>21</v>
      </c>
      <c r="I4765">
        <v>20</v>
      </c>
      <c r="J4765">
        <v>1990</v>
      </c>
      <c r="K4765" s="1" t="s">
        <v>76</v>
      </c>
      <c r="L4765" s="1" t="s">
        <v>64</v>
      </c>
      <c r="M4765">
        <v>1.597</v>
      </c>
      <c r="N4765">
        <v>31931.1</v>
      </c>
      <c r="O4765">
        <v>31.931000000000001</v>
      </c>
      <c r="P4765" s="2">
        <v>44531</v>
      </c>
      <c r="Q4765">
        <v>1</v>
      </c>
      <c r="R4765" s="1" t="s">
        <v>40</v>
      </c>
    </row>
    <row r="4766" spans="1:18" x14ac:dyDescent="0.25">
      <c r="A4766">
        <v>2021</v>
      </c>
      <c r="B4766">
        <v>1</v>
      </c>
      <c r="C4766" s="1" t="s">
        <v>18</v>
      </c>
      <c r="D4766" s="1" t="s">
        <v>19</v>
      </c>
      <c r="E4766" s="1" t="s">
        <v>77</v>
      </c>
      <c r="F4766">
        <v>2012</v>
      </c>
      <c r="G4766">
        <v>9</v>
      </c>
      <c r="H4766" s="1" t="s">
        <v>21</v>
      </c>
      <c r="I4766">
        <v>22</v>
      </c>
      <c r="J4766">
        <v>2606</v>
      </c>
      <c r="K4766" s="1" t="s">
        <v>78</v>
      </c>
      <c r="L4766" s="1" t="s">
        <v>64</v>
      </c>
      <c r="M4766">
        <v>0.56000000000000005</v>
      </c>
      <c r="N4766">
        <v>12313.4</v>
      </c>
      <c r="O4766">
        <v>12.313000000000001</v>
      </c>
      <c r="P4766" s="2">
        <v>44197</v>
      </c>
      <c r="Q4766">
        <v>1</v>
      </c>
      <c r="R4766" s="1" t="s">
        <v>40</v>
      </c>
    </row>
    <row r="4767" spans="1:18" x14ac:dyDescent="0.25">
      <c r="A4767">
        <v>2021</v>
      </c>
      <c r="B4767">
        <v>2</v>
      </c>
      <c r="C4767" s="1" t="s">
        <v>25</v>
      </c>
      <c r="D4767" s="1" t="s">
        <v>19</v>
      </c>
      <c r="E4767" s="1" t="s">
        <v>77</v>
      </c>
      <c r="F4767">
        <v>2012</v>
      </c>
      <c r="G4767">
        <v>9</v>
      </c>
      <c r="H4767" s="1" t="s">
        <v>21</v>
      </c>
      <c r="I4767">
        <v>22</v>
      </c>
      <c r="J4767">
        <v>2606</v>
      </c>
      <c r="K4767" s="1" t="s">
        <v>78</v>
      </c>
      <c r="L4767" s="1" t="s">
        <v>64</v>
      </c>
      <c r="M4767">
        <v>0.92900000000000005</v>
      </c>
      <c r="N4767">
        <v>20444.099999999999</v>
      </c>
      <c r="O4767">
        <v>20.443999999999999</v>
      </c>
      <c r="P4767" s="2">
        <v>44228</v>
      </c>
      <c r="Q4767">
        <v>1</v>
      </c>
      <c r="R4767" s="1" t="s">
        <v>40</v>
      </c>
    </row>
    <row r="4768" spans="1:18" x14ac:dyDescent="0.25">
      <c r="A4768">
        <v>2021</v>
      </c>
      <c r="B4768">
        <v>3</v>
      </c>
      <c r="C4768" s="1" t="s">
        <v>26</v>
      </c>
      <c r="D4768" s="1" t="s">
        <v>19</v>
      </c>
      <c r="E4768" s="1" t="s">
        <v>77</v>
      </c>
      <c r="F4768">
        <v>2012</v>
      </c>
      <c r="G4768">
        <v>9</v>
      </c>
      <c r="H4768" s="1" t="s">
        <v>21</v>
      </c>
      <c r="I4768">
        <v>22</v>
      </c>
      <c r="J4768">
        <v>2606</v>
      </c>
      <c r="K4768" s="1" t="s">
        <v>78</v>
      </c>
      <c r="L4768" s="1" t="s">
        <v>64</v>
      </c>
      <c r="M4768">
        <v>1.514</v>
      </c>
      <c r="N4768">
        <v>33304.699999999997</v>
      </c>
      <c r="O4768">
        <v>33.305</v>
      </c>
      <c r="P4768" s="2">
        <v>44256</v>
      </c>
      <c r="Q4768">
        <v>1</v>
      </c>
      <c r="R4768" s="1" t="s">
        <v>40</v>
      </c>
    </row>
    <row r="4769" spans="1:18" x14ac:dyDescent="0.25">
      <c r="A4769">
        <v>2021</v>
      </c>
      <c r="B4769">
        <v>4</v>
      </c>
      <c r="C4769" s="1" t="s">
        <v>27</v>
      </c>
      <c r="D4769" s="1" t="s">
        <v>19</v>
      </c>
      <c r="E4769" s="1" t="s">
        <v>77</v>
      </c>
      <c r="F4769">
        <v>2012</v>
      </c>
      <c r="G4769">
        <v>9</v>
      </c>
      <c r="H4769" s="1" t="s">
        <v>21</v>
      </c>
      <c r="I4769">
        <v>22</v>
      </c>
      <c r="J4769">
        <v>2606</v>
      </c>
      <c r="K4769" s="1" t="s">
        <v>78</v>
      </c>
      <c r="L4769" s="1" t="s">
        <v>64</v>
      </c>
      <c r="M4769">
        <v>1.758</v>
      </c>
      <c r="N4769">
        <v>38679.599999999999</v>
      </c>
      <c r="O4769">
        <v>38.68</v>
      </c>
      <c r="P4769" s="2">
        <v>44287</v>
      </c>
      <c r="Q4769">
        <v>1</v>
      </c>
      <c r="R4769" s="1" t="s">
        <v>40</v>
      </c>
    </row>
    <row r="4770" spans="1:18" x14ac:dyDescent="0.25">
      <c r="A4770">
        <v>2021</v>
      </c>
      <c r="B4770">
        <v>5</v>
      </c>
      <c r="C4770" s="1" t="s">
        <v>28</v>
      </c>
      <c r="D4770" s="1" t="s">
        <v>19</v>
      </c>
      <c r="E4770" s="1" t="s">
        <v>77</v>
      </c>
      <c r="F4770">
        <v>2012</v>
      </c>
      <c r="G4770">
        <v>9</v>
      </c>
      <c r="H4770" s="1" t="s">
        <v>21</v>
      </c>
      <c r="I4770">
        <v>22</v>
      </c>
      <c r="J4770">
        <v>2606</v>
      </c>
      <c r="K4770" s="1" t="s">
        <v>78</v>
      </c>
      <c r="L4770" s="1" t="s">
        <v>64</v>
      </c>
      <c r="M4770">
        <v>1.7130000000000001</v>
      </c>
      <c r="N4770">
        <v>37682.800000000003</v>
      </c>
      <c r="O4770">
        <v>37.683</v>
      </c>
      <c r="P4770" s="2">
        <v>44317</v>
      </c>
      <c r="Q4770">
        <v>1</v>
      </c>
      <c r="R4770" s="1" t="s">
        <v>40</v>
      </c>
    </row>
    <row r="4771" spans="1:18" x14ac:dyDescent="0.25">
      <c r="A4771">
        <v>2021</v>
      </c>
      <c r="B4771">
        <v>6</v>
      </c>
      <c r="C4771" s="1" t="s">
        <v>29</v>
      </c>
      <c r="D4771" s="1" t="s">
        <v>19</v>
      </c>
      <c r="E4771" s="1" t="s">
        <v>77</v>
      </c>
      <c r="F4771">
        <v>2012</v>
      </c>
      <c r="G4771">
        <v>9</v>
      </c>
      <c r="H4771" s="1" t="s">
        <v>21</v>
      </c>
      <c r="I4771">
        <v>22</v>
      </c>
      <c r="J4771">
        <v>2606</v>
      </c>
      <c r="K4771" s="1" t="s">
        <v>78</v>
      </c>
      <c r="L4771" s="1" t="s">
        <v>64</v>
      </c>
      <c r="M4771">
        <v>1.6779999999999999</v>
      </c>
      <c r="N4771">
        <v>36920.5</v>
      </c>
      <c r="O4771">
        <v>36.920999999999999</v>
      </c>
      <c r="P4771" s="2">
        <v>44348</v>
      </c>
      <c r="Q4771">
        <v>1</v>
      </c>
      <c r="R4771" s="1" t="s">
        <v>40</v>
      </c>
    </row>
    <row r="4772" spans="1:18" x14ac:dyDescent="0.25">
      <c r="A4772">
        <v>2021</v>
      </c>
      <c r="B4772">
        <v>7</v>
      </c>
      <c r="C4772" s="1" t="s">
        <v>30</v>
      </c>
      <c r="D4772" s="1" t="s">
        <v>19</v>
      </c>
      <c r="E4772" s="1" t="s">
        <v>77</v>
      </c>
      <c r="F4772">
        <v>2012</v>
      </c>
      <c r="G4772">
        <v>9</v>
      </c>
      <c r="H4772" s="1" t="s">
        <v>21</v>
      </c>
      <c r="I4772">
        <v>22</v>
      </c>
      <c r="J4772">
        <v>2606</v>
      </c>
      <c r="K4772" s="1" t="s">
        <v>78</v>
      </c>
      <c r="L4772" s="1" t="s">
        <v>64</v>
      </c>
      <c r="M4772">
        <v>1.919</v>
      </c>
      <c r="N4772">
        <v>42217.2</v>
      </c>
      <c r="O4772">
        <v>42.216999999999999</v>
      </c>
      <c r="P4772" s="2">
        <v>44378</v>
      </c>
      <c r="Q4772">
        <v>1</v>
      </c>
      <c r="R4772" s="1" t="s">
        <v>40</v>
      </c>
    </row>
    <row r="4773" spans="1:18" x14ac:dyDescent="0.25">
      <c r="A4773">
        <v>2021</v>
      </c>
      <c r="B4773">
        <v>8</v>
      </c>
      <c r="C4773" s="1" t="s">
        <v>31</v>
      </c>
      <c r="D4773" s="1" t="s">
        <v>19</v>
      </c>
      <c r="E4773" s="1" t="s">
        <v>77</v>
      </c>
      <c r="F4773">
        <v>2012</v>
      </c>
      <c r="G4773">
        <v>9</v>
      </c>
      <c r="H4773" s="1" t="s">
        <v>21</v>
      </c>
      <c r="I4773">
        <v>22</v>
      </c>
      <c r="J4773">
        <v>2606</v>
      </c>
      <c r="K4773" s="1" t="s">
        <v>78</v>
      </c>
      <c r="L4773" s="1" t="s">
        <v>64</v>
      </c>
      <c r="M4773">
        <v>1.855</v>
      </c>
      <c r="N4773">
        <v>40810</v>
      </c>
      <c r="O4773">
        <v>40.81</v>
      </c>
      <c r="P4773" s="2">
        <v>44409</v>
      </c>
      <c r="Q4773">
        <v>1</v>
      </c>
      <c r="R4773" s="1" t="s">
        <v>40</v>
      </c>
    </row>
    <row r="4774" spans="1:18" x14ac:dyDescent="0.25">
      <c r="A4774">
        <v>2021</v>
      </c>
      <c r="B4774">
        <v>9</v>
      </c>
      <c r="C4774" s="1" t="s">
        <v>32</v>
      </c>
      <c r="D4774" s="1" t="s">
        <v>19</v>
      </c>
      <c r="E4774" s="1" t="s">
        <v>77</v>
      </c>
      <c r="F4774">
        <v>2012</v>
      </c>
      <c r="G4774">
        <v>9</v>
      </c>
      <c r="H4774" s="1" t="s">
        <v>21</v>
      </c>
      <c r="I4774">
        <v>22</v>
      </c>
      <c r="J4774">
        <v>2606</v>
      </c>
      <c r="K4774" s="1" t="s">
        <v>78</v>
      </c>
      <c r="L4774" s="1" t="s">
        <v>64</v>
      </c>
      <c r="M4774">
        <v>1.772</v>
      </c>
      <c r="N4774">
        <v>38992.300000000003</v>
      </c>
      <c r="O4774">
        <v>38.991999999999997</v>
      </c>
      <c r="P4774" s="2">
        <v>44440</v>
      </c>
      <c r="Q4774">
        <v>1</v>
      </c>
      <c r="R4774" s="1" t="s">
        <v>40</v>
      </c>
    </row>
    <row r="4775" spans="1:18" x14ac:dyDescent="0.25">
      <c r="A4775">
        <v>2021</v>
      </c>
      <c r="B4775">
        <v>10</v>
      </c>
      <c r="C4775" s="1" t="s">
        <v>33</v>
      </c>
      <c r="D4775" s="1" t="s">
        <v>19</v>
      </c>
      <c r="E4775" s="1" t="s">
        <v>77</v>
      </c>
      <c r="F4775">
        <v>2012</v>
      </c>
      <c r="G4775">
        <v>9</v>
      </c>
      <c r="H4775" s="1" t="s">
        <v>21</v>
      </c>
      <c r="I4775">
        <v>22</v>
      </c>
      <c r="J4775">
        <v>2606</v>
      </c>
      <c r="K4775" s="1" t="s">
        <v>78</v>
      </c>
      <c r="L4775" s="1" t="s">
        <v>64</v>
      </c>
      <c r="M4775">
        <v>1.875</v>
      </c>
      <c r="N4775">
        <v>41259.5</v>
      </c>
      <c r="O4775">
        <v>41.259</v>
      </c>
      <c r="P4775" s="2">
        <v>44470</v>
      </c>
      <c r="Q4775">
        <v>1</v>
      </c>
      <c r="R4775" s="1" t="s">
        <v>40</v>
      </c>
    </row>
    <row r="4776" spans="1:18" x14ac:dyDescent="0.25">
      <c r="A4776">
        <v>2021</v>
      </c>
      <c r="B4776">
        <v>11</v>
      </c>
      <c r="C4776" s="1" t="s">
        <v>34</v>
      </c>
      <c r="D4776" s="1" t="s">
        <v>19</v>
      </c>
      <c r="E4776" s="1" t="s">
        <v>77</v>
      </c>
      <c r="F4776">
        <v>2012</v>
      </c>
      <c r="G4776">
        <v>9</v>
      </c>
      <c r="H4776" s="1" t="s">
        <v>21</v>
      </c>
      <c r="I4776">
        <v>22</v>
      </c>
      <c r="J4776">
        <v>2606</v>
      </c>
      <c r="K4776" s="1" t="s">
        <v>78</v>
      </c>
      <c r="L4776" s="1" t="s">
        <v>64</v>
      </c>
      <c r="M4776">
        <v>1.827</v>
      </c>
      <c r="N4776">
        <v>40204.1</v>
      </c>
      <c r="O4776">
        <v>40.204000000000001</v>
      </c>
      <c r="P4776" s="2">
        <v>44501</v>
      </c>
      <c r="Q4776">
        <v>1</v>
      </c>
      <c r="R4776" s="1" t="s">
        <v>40</v>
      </c>
    </row>
    <row r="4777" spans="1:18" x14ac:dyDescent="0.25">
      <c r="A4777">
        <v>2021</v>
      </c>
      <c r="B4777">
        <v>12</v>
      </c>
      <c r="C4777" s="1" t="s">
        <v>35</v>
      </c>
      <c r="D4777" s="1" t="s">
        <v>19</v>
      </c>
      <c r="E4777" s="1" t="s">
        <v>77</v>
      </c>
      <c r="F4777">
        <v>2012</v>
      </c>
      <c r="G4777">
        <v>9</v>
      </c>
      <c r="H4777" s="1" t="s">
        <v>21</v>
      </c>
      <c r="I4777">
        <v>22</v>
      </c>
      <c r="J4777">
        <v>2606</v>
      </c>
      <c r="K4777" s="1" t="s">
        <v>78</v>
      </c>
      <c r="L4777" s="1" t="s">
        <v>64</v>
      </c>
      <c r="M4777">
        <v>1.8540000000000001</v>
      </c>
      <c r="N4777">
        <v>40790.400000000001</v>
      </c>
      <c r="O4777">
        <v>40.79</v>
      </c>
      <c r="P4777" s="2">
        <v>44531</v>
      </c>
      <c r="Q4777">
        <v>1</v>
      </c>
      <c r="R4777" s="1" t="s">
        <v>40</v>
      </c>
    </row>
    <row r="4778" spans="1:18" x14ac:dyDescent="0.25">
      <c r="A4778">
        <v>2021</v>
      </c>
      <c r="B4778">
        <v>1</v>
      </c>
      <c r="C4778" s="1" t="s">
        <v>18</v>
      </c>
      <c r="D4778" s="1" t="s">
        <v>19</v>
      </c>
      <c r="E4778" s="1" t="s">
        <v>79</v>
      </c>
      <c r="F4778">
        <v>2012</v>
      </c>
      <c r="G4778">
        <v>9</v>
      </c>
      <c r="H4778" s="1" t="s">
        <v>21</v>
      </c>
      <c r="I4778">
        <v>22</v>
      </c>
      <c r="J4778">
        <v>2683</v>
      </c>
      <c r="K4778" s="1" t="s">
        <v>80</v>
      </c>
      <c r="L4778" s="1" t="s">
        <v>45</v>
      </c>
      <c r="M4778">
        <v>0.57599999999999996</v>
      </c>
      <c r="N4778">
        <v>12677.2</v>
      </c>
      <c r="O4778">
        <v>12.677</v>
      </c>
      <c r="P4778" s="2">
        <v>44197</v>
      </c>
      <c r="Q4778">
        <v>1</v>
      </c>
      <c r="R4778" s="1" t="s">
        <v>40</v>
      </c>
    </row>
    <row r="4779" spans="1:18" x14ac:dyDescent="0.25">
      <c r="A4779">
        <v>2021</v>
      </c>
      <c r="B4779">
        <v>2</v>
      </c>
      <c r="C4779" s="1" t="s">
        <v>25</v>
      </c>
      <c r="D4779" s="1" t="s">
        <v>19</v>
      </c>
      <c r="E4779" s="1" t="s">
        <v>79</v>
      </c>
      <c r="F4779">
        <v>2012</v>
      </c>
      <c r="G4779">
        <v>9</v>
      </c>
      <c r="H4779" s="1" t="s">
        <v>21</v>
      </c>
      <c r="I4779">
        <v>22</v>
      </c>
      <c r="J4779">
        <v>2683</v>
      </c>
      <c r="K4779" s="1" t="s">
        <v>80</v>
      </c>
      <c r="L4779" s="1" t="s">
        <v>45</v>
      </c>
      <c r="M4779">
        <v>0.95699999999999996</v>
      </c>
      <c r="N4779">
        <v>21048.1</v>
      </c>
      <c r="O4779">
        <v>21.047999999999998</v>
      </c>
      <c r="P4779" s="2">
        <v>44228</v>
      </c>
      <c r="Q4779">
        <v>1</v>
      </c>
      <c r="R4779" s="1" t="s">
        <v>40</v>
      </c>
    </row>
    <row r="4780" spans="1:18" x14ac:dyDescent="0.25">
      <c r="A4780">
        <v>2021</v>
      </c>
      <c r="B4780">
        <v>3</v>
      </c>
      <c r="C4780" s="1" t="s">
        <v>26</v>
      </c>
      <c r="D4780" s="1" t="s">
        <v>19</v>
      </c>
      <c r="E4780" s="1" t="s">
        <v>79</v>
      </c>
      <c r="F4780">
        <v>2012</v>
      </c>
      <c r="G4780">
        <v>9</v>
      </c>
      <c r="H4780" s="1" t="s">
        <v>21</v>
      </c>
      <c r="I4780">
        <v>22</v>
      </c>
      <c r="J4780">
        <v>2683</v>
      </c>
      <c r="K4780" s="1" t="s">
        <v>80</v>
      </c>
      <c r="L4780" s="1" t="s">
        <v>45</v>
      </c>
      <c r="M4780">
        <v>1.5589999999999999</v>
      </c>
      <c r="N4780">
        <v>34288.699999999997</v>
      </c>
      <c r="O4780">
        <v>34.289000000000001</v>
      </c>
      <c r="P4780" s="2">
        <v>44256</v>
      </c>
      <c r="Q4780">
        <v>1</v>
      </c>
      <c r="R4780" s="1" t="s">
        <v>40</v>
      </c>
    </row>
    <row r="4781" spans="1:18" x14ac:dyDescent="0.25">
      <c r="A4781">
        <v>2021</v>
      </c>
      <c r="B4781">
        <v>4</v>
      </c>
      <c r="C4781" s="1" t="s">
        <v>27</v>
      </c>
      <c r="D4781" s="1" t="s">
        <v>19</v>
      </c>
      <c r="E4781" s="1" t="s">
        <v>79</v>
      </c>
      <c r="F4781">
        <v>2012</v>
      </c>
      <c r="G4781">
        <v>9</v>
      </c>
      <c r="H4781" s="1" t="s">
        <v>21</v>
      </c>
      <c r="I4781">
        <v>22</v>
      </c>
      <c r="J4781">
        <v>2683</v>
      </c>
      <c r="K4781" s="1" t="s">
        <v>80</v>
      </c>
      <c r="L4781" s="1" t="s">
        <v>45</v>
      </c>
      <c r="M4781">
        <v>1.81</v>
      </c>
      <c r="N4781">
        <v>39822.400000000001</v>
      </c>
      <c r="O4781">
        <v>39.822000000000003</v>
      </c>
      <c r="P4781" s="2">
        <v>44287</v>
      </c>
      <c r="Q4781">
        <v>1</v>
      </c>
      <c r="R4781" s="1" t="s">
        <v>40</v>
      </c>
    </row>
    <row r="4782" spans="1:18" x14ac:dyDescent="0.25">
      <c r="A4782">
        <v>2021</v>
      </c>
      <c r="B4782">
        <v>5</v>
      </c>
      <c r="C4782" s="1" t="s">
        <v>28</v>
      </c>
      <c r="D4782" s="1" t="s">
        <v>19</v>
      </c>
      <c r="E4782" s="1" t="s">
        <v>79</v>
      </c>
      <c r="F4782">
        <v>2012</v>
      </c>
      <c r="G4782">
        <v>9</v>
      </c>
      <c r="H4782" s="1" t="s">
        <v>21</v>
      </c>
      <c r="I4782">
        <v>22</v>
      </c>
      <c r="J4782">
        <v>2683</v>
      </c>
      <c r="K4782" s="1" t="s">
        <v>80</v>
      </c>
      <c r="L4782" s="1" t="s">
        <v>45</v>
      </c>
      <c r="M4782">
        <v>1.7629999999999999</v>
      </c>
      <c r="N4782">
        <v>38796.199999999997</v>
      </c>
      <c r="O4782">
        <v>38.795999999999999</v>
      </c>
      <c r="P4782" s="2">
        <v>44317</v>
      </c>
      <c r="Q4782">
        <v>1</v>
      </c>
      <c r="R4782" s="1" t="s">
        <v>40</v>
      </c>
    </row>
    <row r="4783" spans="1:18" x14ac:dyDescent="0.25">
      <c r="A4783">
        <v>2021</v>
      </c>
      <c r="B4783">
        <v>6</v>
      </c>
      <c r="C4783" s="1" t="s">
        <v>29</v>
      </c>
      <c r="D4783" s="1" t="s">
        <v>19</v>
      </c>
      <c r="E4783" s="1" t="s">
        <v>79</v>
      </c>
      <c r="F4783">
        <v>2012</v>
      </c>
      <c r="G4783">
        <v>9</v>
      </c>
      <c r="H4783" s="1" t="s">
        <v>21</v>
      </c>
      <c r="I4783">
        <v>22</v>
      </c>
      <c r="J4783">
        <v>2683</v>
      </c>
      <c r="K4783" s="1" t="s">
        <v>80</v>
      </c>
      <c r="L4783" s="1" t="s">
        <v>45</v>
      </c>
      <c r="M4783">
        <v>1.728</v>
      </c>
      <c r="N4783">
        <v>38011.4</v>
      </c>
      <c r="O4783">
        <v>38.011000000000003</v>
      </c>
      <c r="P4783" s="2">
        <v>44348</v>
      </c>
      <c r="Q4783">
        <v>1</v>
      </c>
      <c r="R4783" s="1" t="s">
        <v>40</v>
      </c>
    </row>
    <row r="4784" spans="1:18" x14ac:dyDescent="0.25">
      <c r="A4784">
        <v>2021</v>
      </c>
      <c r="B4784">
        <v>7</v>
      </c>
      <c r="C4784" s="1" t="s">
        <v>30</v>
      </c>
      <c r="D4784" s="1" t="s">
        <v>19</v>
      </c>
      <c r="E4784" s="1" t="s">
        <v>79</v>
      </c>
      <c r="F4784">
        <v>2012</v>
      </c>
      <c r="G4784">
        <v>9</v>
      </c>
      <c r="H4784" s="1" t="s">
        <v>21</v>
      </c>
      <c r="I4784">
        <v>22</v>
      </c>
      <c r="J4784">
        <v>2683</v>
      </c>
      <c r="K4784" s="1" t="s">
        <v>80</v>
      </c>
      <c r="L4784" s="1" t="s">
        <v>45</v>
      </c>
      <c r="M4784">
        <v>1.976</v>
      </c>
      <c r="N4784">
        <v>43464.6</v>
      </c>
      <c r="O4784">
        <v>43.465000000000003</v>
      </c>
      <c r="P4784" s="2">
        <v>44378</v>
      </c>
      <c r="Q4784">
        <v>1</v>
      </c>
      <c r="R4784" s="1" t="s">
        <v>40</v>
      </c>
    </row>
    <row r="4785" spans="1:18" x14ac:dyDescent="0.25">
      <c r="A4785">
        <v>2021</v>
      </c>
      <c r="B4785">
        <v>8</v>
      </c>
      <c r="C4785" s="1" t="s">
        <v>31</v>
      </c>
      <c r="D4785" s="1" t="s">
        <v>19</v>
      </c>
      <c r="E4785" s="1" t="s">
        <v>79</v>
      </c>
      <c r="F4785">
        <v>2012</v>
      </c>
      <c r="G4785">
        <v>9</v>
      </c>
      <c r="H4785" s="1" t="s">
        <v>21</v>
      </c>
      <c r="I4785">
        <v>22</v>
      </c>
      <c r="J4785">
        <v>2683</v>
      </c>
      <c r="K4785" s="1" t="s">
        <v>80</v>
      </c>
      <c r="L4785" s="1" t="s">
        <v>45</v>
      </c>
      <c r="M4785">
        <v>1.91</v>
      </c>
      <c r="N4785">
        <v>42015.8</v>
      </c>
      <c r="O4785">
        <v>42.015999999999998</v>
      </c>
      <c r="P4785" s="2">
        <v>44409</v>
      </c>
      <c r="Q4785">
        <v>1</v>
      </c>
      <c r="R4785" s="1" t="s">
        <v>40</v>
      </c>
    </row>
    <row r="4786" spans="1:18" x14ac:dyDescent="0.25">
      <c r="A4786">
        <v>2021</v>
      </c>
      <c r="B4786">
        <v>9</v>
      </c>
      <c r="C4786" s="1" t="s">
        <v>32</v>
      </c>
      <c r="D4786" s="1" t="s">
        <v>19</v>
      </c>
      <c r="E4786" s="1" t="s">
        <v>79</v>
      </c>
      <c r="F4786">
        <v>2012</v>
      </c>
      <c r="G4786">
        <v>9</v>
      </c>
      <c r="H4786" s="1" t="s">
        <v>21</v>
      </c>
      <c r="I4786">
        <v>22</v>
      </c>
      <c r="J4786">
        <v>2683</v>
      </c>
      <c r="K4786" s="1" t="s">
        <v>80</v>
      </c>
      <c r="L4786" s="1" t="s">
        <v>45</v>
      </c>
      <c r="M4786">
        <v>1.825</v>
      </c>
      <c r="N4786">
        <v>40144.400000000001</v>
      </c>
      <c r="O4786">
        <v>40.143999999999998</v>
      </c>
      <c r="P4786" s="2">
        <v>44440</v>
      </c>
      <c r="Q4786">
        <v>1</v>
      </c>
      <c r="R4786" s="1" t="s">
        <v>40</v>
      </c>
    </row>
    <row r="4787" spans="1:18" x14ac:dyDescent="0.25">
      <c r="A4787">
        <v>2021</v>
      </c>
      <c r="B4787">
        <v>10</v>
      </c>
      <c r="C4787" s="1" t="s">
        <v>33</v>
      </c>
      <c r="D4787" s="1" t="s">
        <v>19</v>
      </c>
      <c r="E4787" s="1" t="s">
        <v>79</v>
      </c>
      <c r="F4787">
        <v>2012</v>
      </c>
      <c r="G4787">
        <v>9</v>
      </c>
      <c r="H4787" s="1" t="s">
        <v>21</v>
      </c>
      <c r="I4787">
        <v>22</v>
      </c>
      <c r="J4787">
        <v>2683</v>
      </c>
      <c r="K4787" s="1" t="s">
        <v>80</v>
      </c>
      <c r="L4787" s="1" t="s">
        <v>45</v>
      </c>
      <c r="M4787">
        <v>1.931</v>
      </c>
      <c r="N4787">
        <v>42478.6</v>
      </c>
      <c r="O4787">
        <v>42.478999999999999</v>
      </c>
      <c r="P4787" s="2">
        <v>44470</v>
      </c>
      <c r="Q4787">
        <v>1</v>
      </c>
      <c r="R4787" s="1" t="s">
        <v>40</v>
      </c>
    </row>
    <row r="4788" spans="1:18" x14ac:dyDescent="0.25">
      <c r="A4788">
        <v>2021</v>
      </c>
      <c r="B4788">
        <v>11</v>
      </c>
      <c r="C4788" s="1" t="s">
        <v>34</v>
      </c>
      <c r="D4788" s="1" t="s">
        <v>19</v>
      </c>
      <c r="E4788" s="1" t="s">
        <v>79</v>
      </c>
      <c r="F4788">
        <v>2012</v>
      </c>
      <c r="G4788">
        <v>9</v>
      </c>
      <c r="H4788" s="1" t="s">
        <v>21</v>
      </c>
      <c r="I4788">
        <v>22</v>
      </c>
      <c r="J4788">
        <v>2683</v>
      </c>
      <c r="K4788" s="1" t="s">
        <v>80</v>
      </c>
      <c r="L4788" s="1" t="s">
        <v>45</v>
      </c>
      <c r="M4788">
        <v>1.881</v>
      </c>
      <c r="N4788">
        <v>41392</v>
      </c>
      <c r="O4788">
        <v>41.392000000000003</v>
      </c>
      <c r="P4788" s="2">
        <v>44501</v>
      </c>
      <c r="Q4788">
        <v>1</v>
      </c>
      <c r="R4788" s="1" t="s">
        <v>40</v>
      </c>
    </row>
    <row r="4789" spans="1:18" x14ac:dyDescent="0.25">
      <c r="A4789">
        <v>2021</v>
      </c>
      <c r="B4789">
        <v>12</v>
      </c>
      <c r="C4789" s="1" t="s">
        <v>35</v>
      </c>
      <c r="D4789" s="1" t="s">
        <v>19</v>
      </c>
      <c r="E4789" s="1" t="s">
        <v>79</v>
      </c>
      <c r="F4789">
        <v>2012</v>
      </c>
      <c r="G4789">
        <v>9</v>
      </c>
      <c r="H4789" s="1" t="s">
        <v>21</v>
      </c>
      <c r="I4789">
        <v>22</v>
      </c>
      <c r="J4789">
        <v>2683</v>
      </c>
      <c r="K4789" s="1" t="s">
        <v>80</v>
      </c>
      <c r="L4789" s="1" t="s">
        <v>45</v>
      </c>
      <c r="M4789">
        <v>1.909</v>
      </c>
      <c r="N4789">
        <v>41995.7</v>
      </c>
      <c r="O4789">
        <v>41.996000000000002</v>
      </c>
      <c r="P4789" s="2">
        <v>44531</v>
      </c>
      <c r="Q4789">
        <v>1</v>
      </c>
      <c r="R4789" s="1" t="s">
        <v>40</v>
      </c>
    </row>
    <row r="4790" spans="1:18" x14ac:dyDescent="0.25">
      <c r="A4790">
        <v>2021</v>
      </c>
      <c r="B4790">
        <v>1</v>
      </c>
      <c r="C4790" s="1" t="s">
        <v>18</v>
      </c>
      <c r="D4790" s="1" t="s">
        <v>19</v>
      </c>
      <c r="E4790" s="1" t="s">
        <v>81</v>
      </c>
      <c r="F4790">
        <v>2012</v>
      </c>
      <c r="G4790">
        <v>9</v>
      </c>
      <c r="H4790" s="1" t="s">
        <v>21</v>
      </c>
      <c r="I4790">
        <v>28</v>
      </c>
      <c r="J4790">
        <v>3483</v>
      </c>
      <c r="K4790" s="1" t="s">
        <v>53</v>
      </c>
      <c r="L4790" s="1" t="s">
        <v>45</v>
      </c>
      <c r="M4790">
        <v>0.58799999999999997</v>
      </c>
      <c r="N4790">
        <v>16457.2</v>
      </c>
      <c r="O4790">
        <v>16.457000000000001</v>
      </c>
      <c r="P4790" s="2">
        <v>44197</v>
      </c>
      <c r="Q4790">
        <v>1</v>
      </c>
      <c r="R4790" s="1" t="s">
        <v>40</v>
      </c>
    </row>
    <row r="4791" spans="1:18" x14ac:dyDescent="0.25">
      <c r="A4791">
        <v>2021</v>
      </c>
      <c r="B4791">
        <v>2</v>
      </c>
      <c r="C4791" s="1" t="s">
        <v>25</v>
      </c>
      <c r="D4791" s="1" t="s">
        <v>19</v>
      </c>
      <c r="E4791" s="1" t="s">
        <v>81</v>
      </c>
      <c r="F4791">
        <v>2012</v>
      </c>
      <c r="G4791">
        <v>9</v>
      </c>
      <c r="H4791" s="1" t="s">
        <v>21</v>
      </c>
      <c r="I4791">
        <v>28</v>
      </c>
      <c r="J4791">
        <v>3483</v>
      </c>
      <c r="K4791" s="1" t="s">
        <v>53</v>
      </c>
      <c r="L4791" s="1" t="s">
        <v>45</v>
      </c>
      <c r="M4791">
        <v>0.97599999999999998</v>
      </c>
      <c r="N4791">
        <v>27324.1</v>
      </c>
      <c r="O4791">
        <v>27.324000000000002</v>
      </c>
      <c r="P4791" s="2">
        <v>44228</v>
      </c>
      <c r="Q4791">
        <v>1</v>
      </c>
      <c r="R4791" s="1" t="s">
        <v>40</v>
      </c>
    </row>
    <row r="4792" spans="1:18" x14ac:dyDescent="0.25">
      <c r="A4792">
        <v>2021</v>
      </c>
      <c r="B4792">
        <v>3</v>
      </c>
      <c r="C4792" s="1" t="s">
        <v>26</v>
      </c>
      <c r="D4792" s="1" t="s">
        <v>19</v>
      </c>
      <c r="E4792" s="1" t="s">
        <v>81</v>
      </c>
      <c r="F4792">
        <v>2012</v>
      </c>
      <c r="G4792">
        <v>9</v>
      </c>
      <c r="H4792" s="1" t="s">
        <v>21</v>
      </c>
      <c r="I4792">
        <v>28</v>
      </c>
      <c r="J4792">
        <v>3483</v>
      </c>
      <c r="K4792" s="1" t="s">
        <v>53</v>
      </c>
      <c r="L4792" s="1" t="s">
        <v>45</v>
      </c>
      <c r="M4792">
        <v>1.59</v>
      </c>
      <c r="N4792">
        <v>44512.7</v>
      </c>
      <c r="O4792">
        <v>44.512999999999998</v>
      </c>
      <c r="P4792" s="2">
        <v>44256</v>
      </c>
      <c r="Q4792">
        <v>1</v>
      </c>
      <c r="R4792" s="1" t="s">
        <v>40</v>
      </c>
    </row>
    <row r="4793" spans="1:18" x14ac:dyDescent="0.25">
      <c r="A4793">
        <v>2021</v>
      </c>
      <c r="B4793">
        <v>4</v>
      </c>
      <c r="C4793" s="1" t="s">
        <v>27</v>
      </c>
      <c r="D4793" s="1" t="s">
        <v>19</v>
      </c>
      <c r="E4793" s="1" t="s">
        <v>81</v>
      </c>
      <c r="F4793">
        <v>2012</v>
      </c>
      <c r="G4793">
        <v>9</v>
      </c>
      <c r="H4793" s="1" t="s">
        <v>21</v>
      </c>
      <c r="I4793">
        <v>28</v>
      </c>
      <c r="J4793">
        <v>3483</v>
      </c>
      <c r="K4793" s="1" t="s">
        <v>53</v>
      </c>
      <c r="L4793" s="1" t="s">
        <v>45</v>
      </c>
      <c r="M4793">
        <v>1.8460000000000001</v>
      </c>
      <c r="N4793">
        <v>51696.4</v>
      </c>
      <c r="O4793">
        <v>51.695999999999998</v>
      </c>
      <c r="P4793" s="2">
        <v>44287</v>
      </c>
      <c r="Q4793">
        <v>1</v>
      </c>
      <c r="R4793" s="1" t="s">
        <v>40</v>
      </c>
    </row>
    <row r="4794" spans="1:18" x14ac:dyDescent="0.25">
      <c r="A4794">
        <v>2021</v>
      </c>
      <c r="B4794">
        <v>5</v>
      </c>
      <c r="C4794" s="1" t="s">
        <v>28</v>
      </c>
      <c r="D4794" s="1" t="s">
        <v>19</v>
      </c>
      <c r="E4794" s="1" t="s">
        <v>81</v>
      </c>
      <c r="F4794">
        <v>2012</v>
      </c>
      <c r="G4794">
        <v>9</v>
      </c>
      <c r="H4794" s="1" t="s">
        <v>21</v>
      </c>
      <c r="I4794">
        <v>28</v>
      </c>
      <c r="J4794">
        <v>3483</v>
      </c>
      <c r="K4794" s="1" t="s">
        <v>53</v>
      </c>
      <c r="L4794" s="1" t="s">
        <v>45</v>
      </c>
      <c r="M4794">
        <v>1.7989999999999999</v>
      </c>
      <c r="N4794">
        <v>50364.2</v>
      </c>
      <c r="O4794">
        <v>50.363999999999997</v>
      </c>
      <c r="P4794" s="2">
        <v>44317</v>
      </c>
      <c r="Q4794">
        <v>1</v>
      </c>
      <c r="R4794" s="1" t="s">
        <v>40</v>
      </c>
    </row>
    <row r="4795" spans="1:18" x14ac:dyDescent="0.25">
      <c r="A4795">
        <v>2021</v>
      </c>
      <c r="B4795">
        <v>6</v>
      </c>
      <c r="C4795" s="1" t="s">
        <v>29</v>
      </c>
      <c r="D4795" s="1" t="s">
        <v>19</v>
      </c>
      <c r="E4795" s="1" t="s">
        <v>81</v>
      </c>
      <c r="F4795">
        <v>2012</v>
      </c>
      <c r="G4795">
        <v>9</v>
      </c>
      <c r="H4795" s="1" t="s">
        <v>21</v>
      </c>
      <c r="I4795">
        <v>28</v>
      </c>
      <c r="J4795">
        <v>3483</v>
      </c>
      <c r="K4795" s="1" t="s">
        <v>53</v>
      </c>
      <c r="L4795" s="1" t="s">
        <v>45</v>
      </c>
      <c r="M4795">
        <v>1.762</v>
      </c>
      <c r="N4795">
        <v>49345.4</v>
      </c>
      <c r="O4795">
        <v>49.344999999999999</v>
      </c>
      <c r="P4795" s="2">
        <v>44348</v>
      </c>
      <c r="Q4795">
        <v>1</v>
      </c>
      <c r="R4795" s="1" t="s">
        <v>40</v>
      </c>
    </row>
    <row r="4796" spans="1:18" x14ac:dyDescent="0.25">
      <c r="A4796">
        <v>2021</v>
      </c>
      <c r="B4796">
        <v>7</v>
      </c>
      <c r="C4796" s="1" t="s">
        <v>30</v>
      </c>
      <c r="D4796" s="1" t="s">
        <v>19</v>
      </c>
      <c r="E4796" s="1" t="s">
        <v>81</v>
      </c>
      <c r="F4796">
        <v>2012</v>
      </c>
      <c r="G4796">
        <v>9</v>
      </c>
      <c r="H4796" s="1" t="s">
        <v>21</v>
      </c>
      <c r="I4796">
        <v>28</v>
      </c>
      <c r="J4796">
        <v>3483</v>
      </c>
      <c r="K4796" s="1" t="s">
        <v>53</v>
      </c>
      <c r="L4796" s="1" t="s">
        <v>45</v>
      </c>
      <c r="M4796">
        <v>2.0150000000000001</v>
      </c>
      <c r="N4796">
        <v>56424.6</v>
      </c>
      <c r="O4796">
        <v>56.424999999999997</v>
      </c>
      <c r="P4796" s="2">
        <v>44378</v>
      </c>
      <c r="Q4796">
        <v>1</v>
      </c>
      <c r="R4796" s="1" t="s">
        <v>40</v>
      </c>
    </row>
    <row r="4797" spans="1:18" x14ac:dyDescent="0.25">
      <c r="A4797">
        <v>2021</v>
      </c>
      <c r="B4797">
        <v>8</v>
      </c>
      <c r="C4797" s="1" t="s">
        <v>31</v>
      </c>
      <c r="D4797" s="1" t="s">
        <v>19</v>
      </c>
      <c r="E4797" s="1" t="s">
        <v>81</v>
      </c>
      <c r="F4797">
        <v>2012</v>
      </c>
      <c r="G4797">
        <v>9</v>
      </c>
      <c r="H4797" s="1" t="s">
        <v>21</v>
      </c>
      <c r="I4797">
        <v>28</v>
      </c>
      <c r="J4797">
        <v>3483</v>
      </c>
      <c r="K4797" s="1" t="s">
        <v>53</v>
      </c>
      <c r="L4797" s="1" t="s">
        <v>45</v>
      </c>
      <c r="M4797">
        <v>1.948</v>
      </c>
      <c r="N4797">
        <v>54543.8</v>
      </c>
      <c r="O4797">
        <v>54.543999999999997</v>
      </c>
      <c r="P4797" s="2">
        <v>44409</v>
      </c>
      <c r="Q4797">
        <v>1</v>
      </c>
      <c r="R4797" s="1" t="s">
        <v>40</v>
      </c>
    </row>
    <row r="4798" spans="1:18" x14ac:dyDescent="0.25">
      <c r="A4798">
        <v>2021</v>
      </c>
      <c r="B4798">
        <v>9</v>
      </c>
      <c r="C4798" s="1" t="s">
        <v>32</v>
      </c>
      <c r="D4798" s="1" t="s">
        <v>19</v>
      </c>
      <c r="E4798" s="1" t="s">
        <v>81</v>
      </c>
      <c r="F4798">
        <v>2012</v>
      </c>
      <c r="G4798">
        <v>9</v>
      </c>
      <c r="H4798" s="1" t="s">
        <v>21</v>
      </c>
      <c r="I4798">
        <v>28</v>
      </c>
      <c r="J4798">
        <v>3483</v>
      </c>
      <c r="K4798" s="1" t="s">
        <v>53</v>
      </c>
      <c r="L4798" s="1" t="s">
        <v>45</v>
      </c>
      <c r="M4798">
        <v>1.861</v>
      </c>
      <c r="N4798">
        <v>52114.400000000001</v>
      </c>
      <c r="O4798">
        <v>52.113999999999997</v>
      </c>
      <c r="P4798" s="2">
        <v>44440</v>
      </c>
      <c r="Q4798">
        <v>1</v>
      </c>
      <c r="R4798" s="1" t="s">
        <v>40</v>
      </c>
    </row>
    <row r="4799" spans="1:18" x14ac:dyDescent="0.25">
      <c r="A4799">
        <v>2021</v>
      </c>
      <c r="B4799">
        <v>10</v>
      </c>
      <c r="C4799" s="1" t="s">
        <v>33</v>
      </c>
      <c r="D4799" s="1" t="s">
        <v>19</v>
      </c>
      <c r="E4799" s="1" t="s">
        <v>81</v>
      </c>
      <c r="F4799">
        <v>2012</v>
      </c>
      <c r="G4799">
        <v>9</v>
      </c>
      <c r="H4799" s="1" t="s">
        <v>21</v>
      </c>
      <c r="I4799">
        <v>28</v>
      </c>
      <c r="J4799">
        <v>3483</v>
      </c>
      <c r="K4799" s="1" t="s">
        <v>53</v>
      </c>
      <c r="L4799" s="1" t="s">
        <v>45</v>
      </c>
      <c r="M4799">
        <v>1.9690000000000001</v>
      </c>
      <c r="N4799">
        <v>55144.6</v>
      </c>
      <c r="O4799">
        <v>55.145000000000003</v>
      </c>
      <c r="P4799" s="2">
        <v>44470</v>
      </c>
      <c r="Q4799">
        <v>1</v>
      </c>
      <c r="R4799" s="1" t="s">
        <v>40</v>
      </c>
    </row>
    <row r="4800" spans="1:18" x14ac:dyDescent="0.25">
      <c r="A4800">
        <v>2021</v>
      </c>
      <c r="B4800">
        <v>11</v>
      </c>
      <c r="C4800" s="1" t="s">
        <v>34</v>
      </c>
      <c r="D4800" s="1" t="s">
        <v>19</v>
      </c>
      <c r="E4800" s="1" t="s">
        <v>81</v>
      </c>
      <c r="F4800">
        <v>2012</v>
      </c>
      <c r="G4800">
        <v>9</v>
      </c>
      <c r="H4800" s="1" t="s">
        <v>21</v>
      </c>
      <c r="I4800">
        <v>28</v>
      </c>
      <c r="J4800">
        <v>3483</v>
      </c>
      <c r="K4800" s="1" t="s">
        <v>53</v>
      </c>
      <c r="L4800" s="1" t="s">
        <v>45</v>
      </c>
      <c r="M4800">
        <v>1.919</v>
      </c>
      <c r="N4800">
        <v>53734</v>
      </c>
      <c r="O4800">
        <v>53.734000000000002</v>
      </c>
      <c r="P4800" s="2">
        <v>44501</v>
      </c>
      <c r="Q4800">
        <v>1</v>
      </c>
      <c r="R4800" s="1" t="s">
        <v>40</v>
      </c>
    </row>
    <row r="4801" spans="1:18" x14ac:dyDescent="0.25">
      <c r="A4801">
        <v>2021</v>
      </c>
      <c r="B4801">
        <v>12</v>
      </c>
      <c r="C4801" s="1" t="s">
        <v>35</v>
      </c>
      <c r="D4801" s="1" t="s">
        <v>19</v>
      </c>
      <c r="E4801" s="1" t="s">
        <v>81</v>
      </c>
      <c r="F4801">
        <v>2012</v>
      </c>
      <c r="G4801">
        <v>9</v>
      </c>
      <c r="H4801" s="1" t="s">
        <v>21</v>
      </c>
      <c r="I4801">
        <v>28</v>
      </c>
      <c r="J4801">
        <v>3483</v>
      </c>
      <c r="K4801" s="1" t="s">
        <v>53</v>
      </c>
      <c r="L4801" s="1" t="s">
        <v>45</v>
      </c>
      <c r="M4801">
        <v>1.9470000000000001</v>
      </c>
      <c r="N4801">
        <v>54517.7</v>
      </c>
      <c r="O4801">
        <v>54.518000000000001</v>
      </c>
      <c r="P4801" s="2">
        <v>44531</v>
      </c>
      <c r="Q4801">
        <v>1</v>
      </c>
      <c r="R4801" s="1" t="s">
        <v>40</v>
      </c>
    </row>
    <row r="4802" spans="1:18" x14ac:dyDescent="0.25">
      <c r="A4802">
        <v>2021</v>
      </c>
      <c r="B4802">
        <v>1</v>
      </c>
      <c r="C4802" s="1" t="s">
        <v>18</v>
      </c>
      <c r="D4802" s="1" t="s">
        <v>19</v>
      </c>
      <c r="E4802" s="1" t="s">
        <v>82</v>
      </c>
      <c r="F4802">
        <v>2013</v>
      </c>
      <c r="G4802">
        <v>8</v>
      </c>
      <c r="H4802" s="1" t="s">
        <v>21</v>
      </c>
      <c r="I4802">
        <v>24</v>
      </c>
      <c r="J4802">
        <v>2678</v>
      </c>
      <c r="K4802" s="1" t="s">
        <v>83</v>
      </c>
      <c r="L4802" s="1" t="s">
        <v>45</v>
      </c>
      <c r="M4802">
        <v>0.52700000000000002</v>
      </c>
      <c r="N4802">
        <v>12653.6</v>
      </c>
      <c r="O4802">
        <v>12.654</v>
      </c>
      <c r="P4802" s="2">
        <v>44197</v>
      </c>
      <c r="Q4802">
        <v>1</v>
      </c>
      <c r="R4802" s="1" t="s">
        <v>40</v>
      </c>
    </row>
    <row r="4803" spans="1:18" x14ac:dyDescent="0.25">
      <c r="A4803">
        <v>2021</v>
      </c>
      <c r="B4803">
        <v>2</v>
      </c>
      <c r="C4803" s="1" t="s">
        <v>25</v>
      </c>
      <c r="D4803" s="1" t="s">
        <v>19</v>
      </c>
      <c r="E4803" s="1" t="s">
        <v>82</v>
      </c>
      <c r="F4803">
        <v>2013</v>
      </c>
      <c r="G4803">
        <v>8</v>
      </c>
      <c r="H4803" s="1" t="s">
        <v>21</v>
      </c>
      <c r="I4803">
        <v>24</v>
      </c>
      <c r="J4803">
        <v>2678</v>
      </c>
      <c r="K4803" s="1" t="s">
        <v>83</v>
      </c>
      <c r="L4803" s="1" t="s">
        <v>45</v>
      </c>
      <c r="M4803">
        <v>0.875</v>
      </c>
      <c r="N4803">
        <v>21008.9</v>
      </c>
      <c r="O4803">
        <v>21.009</v>
      </c>
      <c r="P4803" s="2">
        <v>44228</v>
      </c>
      <c r="Q4803">
        <v>1</v>
      </c>
      <c r="R4803" s="1" t="s">
        <v>40</v>
      </c>
    </row>
    <row r="4804" spans="1:18" x14ac:dyDescent="0.25">
      <c r="A4804">
        <v>2021</v>
      </c>
      <c r="B4804">
        <v>3</v>
      </c>
      <c r="C4804" s="1" t="s">
        <v>26</v>
      </c>
      <c r="D4804" s="1" t="s">
        <v>19</v>
      </c>
      <c r="E4804" s="1" t="s">
        <v>82</v>
      </c>
      <c r="F4804">
        <v>2013</v>
      </c>
      <c r="G4804">
        <v>8</v>
      </c>
      <c r="H4804" s="1" t="s">
        <v>21</v>
      </c>
      <c r="I4804">
        <v>24</v>
      </c>
      <c r="J4804">
        <v>2678</v>
      </c>
      <c r="K4804" s="1" t="s">
        <v>83</v>
      </c>
      <c r="L4804" s="1" t="s">
        <v>45</v>
      </c>
      <c r="M4804">
        <v>1.4259999999999999</v>
      </c>
      <c r="N4804">
        <v>34224.800000000003</v>
      </c>
      <c r="O4804">
        <v>34.225000000000001</v>
      </c>
      <c r="P4804" s="2">
        <v>44256</v>
      </c>
      <c r="Q4804">
        <v>1</v>
      </c>
      <c r="R4804" s="1" t="s">
        <v>40</v>
      </c>
    </row>
    <row r="4805" spans="1:18" x14ac:dyDescent="0.25">
      <c r="A4805">
        <v>2021</v>
      </c>
      <c r="B4805">
        <v>4</v>
      </c>
      <c r="C4805" s="1" t="s">
        <v>27</v>
      </c>
      <c r="D4805" s="1" t="s">
        <v>19</v>
      </c>
      <c r="E4805" s="1" t="s">
        <v>82</v>
      </c>
      <c r="F4805">
        <v>2013</v>
      </c>
      <c r="G4805">
        <v>8</v>
      </c>
      <c r="H4805" s="1" t="s">
        <v>21</v>
      </c>
      <c r="I4805">
        <v>24</v>
      </c>
      <c r="J4805">
        <v>2678</v>
      </c>
      <c r="K4805" s="1" t="s">
        <v>83</v>
      </c>
      <c r="L4805" s="1" t="s">
        <v>45</v>
      </c>
      <c r="M4805">
        <v>1.6559999999999999</v>
      </c>
      <c r="N4805">
        <v>39748.199999999997</v>
      </c>
      <c r="O4805">
        <v>39.747999999999998</v>
      </c>
      <c r="P4805" s="2">
        <v>44287</v>
      </c>
      <c r="Q4805">
        <v>1</v>
      </c>
      <c r="R4805" s="1" t="s">
        <v>40</v>
      </c>
    </row>
    <row r="4806" spans="1:18" x14ac:dyDescent="0.25">
      <c r="A4806">
        <v>2021</v>
      </c>
      <c r="B4806">
        <v>5</v>
      </c>
      <c r="C4806" s="1" t="s">
        <v>28</v>
      </c>
      <c r="D4806" s="1" t="s">
        <v>19</v>
      </c>
      <c r="E4806" s="1" t="s">
        <v>82</v>
      </c>
      <c r="F4806">
        <v>2013</v>
      </c>
      <c r="G4806">
        <v>8</v>
      </c>
      <c r="H4806" s="1" t="s">
        <v>21</v>
      </c>
      <c r="I4806">
        <v>24</v>
      </c>
      <c r="J4806">
        <v>2678</v>
      </c>
      <c r="K4806" s="1" t="s">
        <v>83</v>
      </c>
      <c r="L4806" s="1" t="s">
        <v>45</v>
      </c>
      <c r="M4806">
        <v>1.613</v>
      </c>
      <c r="N4806">
        <v>38723.9</v>
      </c>
      <c r="O4806">
        <v>38.723999999999997</v>
      </c>
      <c r="P4806" s="2">
        <v>44317</v>
      </c>
      <c r="Q4806">
        <v>1</v>
      </c>
      <c r="R4806" s="1" t="s">
        <v>40</v>
      </c>
    </row>
    <row r="4807" spans="1:18" x14ac:dyDescent="0.25">
      <c r="A4807">
        <v>2021</v>
      </c>
      <c r="B4807">
        <v>6</v>
      </c>
      <c r="C4807" s="1" t="s">
        <v>29</v>
      </c>
      <c r="D4807" s="1" t="s">
        <v>19</v>
      </c>
      <c r="E4807" s="1" t="s">
        <v>82</v>
      </c>
      <c r="F4807">
        <v>2013</v>
      </c>
      <c r="G4807">
        <v>8</v>
      </c>
      <c r="H4807" s="1" t="s">
        <v>21</v>
      </c>
      <c r="I4807">
        <v>24</v>
      </c>
      <c r="J4807">
        <v>2678</v>
      </c>
      <c r="K4807" s="1" t="s">
        <v>83</v>
      </c>
      <c r="L4807" s="1" t="s">
        <v>45</v>
      </c>
      <c r="M4807">
        <v>1.581</v>
      </c>
      <c r="N4807">
        <v>37940.6</v>
      </c>
      <c r="O4807">
        <v>37.941000000000003</v>
      </c>
      <c r="P4807" s="2">
        <v>44348</v>
      </c>
      <c r="Q4807">
        <v>1</v>
      </c>
      <c r="R4807" s="1" t="s">
        <v>40</v>
      </c>
    </row>
    <row r="4808" spans="1:18" x14ac:dyDescent="0.25">
      <c r="A4808">
        <v>2021</v>
      </c>
      <c r="B4808">
        <v>7</v>
      </c>
      <c r="C4808" s="1" t="s">
        <v>30</v>
      </c>
      <c r="D4808" s="1" t="s">
        <v>19</v>
      </c>
      <c r="E4808" s="1" t="s">
        <v>82</v>
      </c>
      <c r="F4808">
        <v>2013</v>
      </c>
      <c r="G4808">
        <v>8</v>
      </c>
      <c r="H4808" s="1" t="s">
        <v>21</v>
      </c>
      <c r="I4808">
        <v>24</v>
      </c>
      <c r="J4808">
        <v>2678</v>
      </c>
      <c r="K4808" s="1" t="s">
        <v>83</v>
      </c>
      <c r="L4808" s="1" t="s">
        <v>45</v>
      </c>
      <c r="M4808">
        <v>1.8080000000000001</v>
      </c>
      <c r="N4808">
        <v>43383.6</v>
      </c>
      <c r="O4808">
        <v>43.384</v>
      </c>
      <c r="P4808" s="2">
        <v>44378</v>
      </c>
      <c r="Q4808">
        <v>1</v>
      </c>
      <c r="R4808" s="1" t="s">
        <v>40</v>
      </c>
    </row>
    <row r="4809" spans="1:18" x14ac:dyDescent="0.25">
      <c r="A4809">
        <v>2021</v>
      </c>
      <c r="B4809">
        <v>8</v>
      </c>
      <c r="C4809" s="1" t="s">
        <v>31</v>
      </c>
      <c r="D4809" s="1" t="s">
        <v>19</v>
      </c>
      <c r="E4809" s="1" t="s">
        <v>82</v>
      </c>
      <c r="F4809">
        <v>2013</v>
      </c>
      <c r="G4809">
        <v>8</v>
      </c>
      <c r="H4809" s="1" t="s">
        <v>21</v>
      </c>
      <c r="I4809">
        <v>24</v>
      </c>
      <c r="J4809">
        <v>2678</v>
      </c>
      <c r="K4809" s="1" t="s">
        <v>83</v>
      </c>
      <c r="L4809" s="1" t="s">
        <v>45</v>
      </c>
      <c r="M4809">
        <v>1.7470000000000001</v>
      </c>
      <c r="N4809">
        <v>41937.5</v>
      </c>
      <c r="O4809">
        <v>41.936999999999998</v>
      </c>
      <c r="P4809" s="2">
        <v>44409</v>
      </c>
      <c r="Q4809">
        <v>1</v>
      </c>
      <c r="R4809" s="1" t="s">
        <v>40</v>
      </c>
    </row>
    <row r="4810" spans="1:18" x14ac:dyDescent="0.25">
      <c r="A4810">
        <v>2021</v>
      </c>
      <c r="B4810">
        <v>9</v>
      </c>
      <c r="C4810" s="1" t="s">
        <v>32</v>
      </c>
      <c r="D4810" s="1" t="s">
        <v>19</v>
      </c>
      <c r="E4810" s="1" t="s">
        <v>82</v>
      </c>
      <c r="F4810">
        <v>2013</v>
      </c>
      <c r="G4810">
        <v>8</v>
      </c>
      <c r="H4810" s="1" t="s">
        <v>21</v>
      </c>
      <c r="I4810">
        <v>24</v>
      </c>
      <c r="J4810">
        <v>2678</v>
      </c>
      <c r="K4810" s="1" t="s">
        <v>83</v>
      </c>
      <c r="L4810" s="1" t="s">
        <v>45</v>
      </c>
      <c r="M4810">
        <v>1.67</v>
      </c>
      <c r="N4810">
        <v>40069.599999999999</v>
      </c>
      <c r="O4810">
        <v>40.07</v>
      </c>
      <c r="P4810" s="2">
        <v>44440</v>
      </c>
      <c r="Q4810">
        <v>1</v>
      </c>
      <c r="R4810" s="1" t="s">
        <v>40</v>
      </c>
    </row>
    <row r="4811" spans="1:18" x14ac:dyDescent="0.25">
      <c r="A4811">
        <v>2021</v>
      </c>
      <c r="B4811">
        <v>10</v>
      </c>
      <c r="C4811" s="1" t="s">
        <v>33</v>
      </c>
      <c r="D4811" s="1" t="s">
        <v>19</v>
      </c>
      <c r="E4811" s="1" t="s">
        <v>82</v>
      </c>
      <c r="F4811">
        <v>2013</v>
      </c>
      <c r="G4811">
        <v>8</v>
      </c>
      <c r="H4811" s="1" t="s">
        <v>21</v>
      </c>
      <c r="I4811">
        <v>24</v>
      </c>
      <c r="J4811">
        <v>2678</v>
      </c>
      <c r="K4811" s="1" t="s">
        <v>83</v>
      </c>
      <c r="L4811" s="1" t="s">
        <v>45</v>
      </c>
      <c r="M4811">
        <v>1.7669999999999999</v>
      </c>
      <c r="N4811">
        <v>42399.4</v>
      </c>
      <c r="O4811">
        <v>42.399000000000001</v>
      </c>
      <c r="P4811" s="2">
        <v>44470</v>
      </c>
      <c r="Q4811">
        <v>1</v>
      </c>
      <c r="R4811" s="1" t="s">
        <v>40</v>
      </c>
    </row>
    <row r="4812" spans="1:18" x14ac:dyDescent="0.25">
      <c r="A4812">
        <v>2021</v>
      </c>
      <c r="B4812">
        <v>11</v>
      </c>
      <c r="C4812" s="1" t="s">
        <v>34</v>
      </c>
      <c r="D4812" s="1" t="s">
        <v>19</v>
      </c>
      <c r="E4812" s="1" t="s">
        <v>82</v>
      </c>
      <c r="F4812">
        <v>2013</v>
      </c>
      <c r="G4812">
        <v>8</v>
      </c>
      <c r="H4812" s="1" t="s">
        <v>21</v>
      </c>
      <c r="I4812">
        <v>24</v>
      </c>
      <c r="J4812">
        <v>2678</v>
      </c>
      <c r="K4812" s="1" t="s">
        <v>83</v>
      </c>
      <c r="L4812" s="1" t="s">
        <v>45</v>
      </c>
      <c r="M4812">
        <v>1.7210000000000001</v>
      </c>
      <c r="N4812">
        <v>41314.800000000003</v>
      </c>
      <c r="O4812">
        <v>41.314999999999998</v>
      </c>
      <c r="P4812" s="2">
        <v>44501</v>
      </c>
      <c r="Q4812">
        <v>1</v>
      </c>
      <c r="R4812" s="1" t="s">
        <v>40</v>
      </c>
    </row>
    <row r="4813" spans="1:18" x14ac:dyDescent="0.25">
      <c r="A4813">
        <v>2021</v>
      </c>
      <c r="B4813">
        <v>12</v>
      </c>
      <c r="C4813" s="1" t="s">
        <v>35</v>
      </c>
      <c r="D4813" s="1" t="s">
        <v>19</v>
      </c>
      <c r="E4813" s="1" t="s">
        <v>82</v>
      </c>
      <c r="F4813">
        <v>2013</v>
      </c>
      <c r="G4813">
        <v>8</v>
      </c>
      <c r="H4813" s="1" t="s">
        <v>21</v>
      </c>
      <c r="I4813">
        <v>24</v>
      </c>
      <c r="J4813">
        <v>2678</v>
      </c>
      <c r="K4813" s="1" t="s">
        <v>83</v>
      </c>
      <c r="L4813" s="1" t="s">
        <v>45</v>
      </c>
      <c r="M4813">
        <v>1.7470000000000001</v>
      </c>
      <c r="N4813">
        <v>41917.4</v>
      </c>
      <c r="O4813">
        <v>41.917000000000002</v>
      </c>
      <c r="P4813" s="2">
        <v>44531</v>
      </c>
      <c r="Q4813">
        <v>1</v>
      </c>
      <c r="R4813" s="1" t="s">
        <v>40</v>
      </c>
    </row>
    <row r="4814" spans="1:18" x14ac:dyDescent="0.25">
      <c r="A4814">
        <v>2021</v>
      </c>
      <c r="B4814">
        <v>1</v>
      </c>
      <c r="C4814" s="1" t="s">
        <v>18</v>
      </c>
      <c r="D4814" s="1" t="s">
        <v>19</v>
      </c>
      <c r="E4814" s="1" t="s">
        <v>84</v>
      </c>
      <c r="F4814">
        <v>2013</v>
      </c>
      <c r="G4814">
        <v>8</v>
      </c>
      <c r="H4814" s="1" t="s">
        <v>21</v>
      </c>
      <c r="I4814">
        <v>23</v>
      </c>
      <c r="J4814">
        <v>2683</v>
      </c>
      <c r="K4814" s="1" t="s">
        <v>85</v>
      </c>
      <c r="L4814" s="1" t="s">
        <v>45</v>
      </c>
      <c r="M4814">
        <v>0.55100000000000005</v>
      </c>
      <c r="N4814">
        <v>12677.2</v>
      </c>
      <c r="O4814">
        <v>12.677</v>
      </c>
      <c r="P4814" s="2">
        <v>44197</v>
      </c>
      <c r="Q4814">
        <v>1</v>
      </c>
      <c r="R4814" s="1" t="s">
        <v>40</v>
      </c>
    </row>
    <row r="4815" spans="1:18" x14ac:dyDescent="0.25">
      <c r="A4815">
        <v>2021</v>
      </c>
      <c r="B4815">
        <v>2</v>
      </c>
      <c r="C4815" s="1" t="s">
        <v>25</v>
      </c>
      <c r="D4815" s="1" t="s">
        <v>19</v>
      </c>
      <c r="E4815" s="1" t="s">
        <v>84</v>
      </c>
      <c r="F4815">
        <v>2013</v>
      </c>
      <c r="G4815">
        <v>8</v>
      </c>
      <c r="H4815" s="1" t="s">
        <v>21</v>
      </c>
      <c r="I4815">
        <v>23</v>
      </c>
      <c r="J4815">
        <v>2683</v>
      </c>
      <c r="K4815" s="1" t="s">
        <v>85</v>
      </c>
      <c r="L4815" s="1" t="s">
        <v>45</v>
      </c>
      <c r="M4815">
        <v>0.91500000000000004</v>
      </c>
      <c r="N4815">
        <v>21048.1</v>
      </c>
      <c r="O4815">
        <v>21.047999999999998</v>
      </c>
      <c r="P4815" s="2">
        <v>44228</v>
      </c>
      <c r="Q4815">
        <v>1</v>
      </c>
      <c r="R4815" s="1" t="s">
        <v>40</v>
      </c>
    </row>
    <row r="4816" spans="1:18" x14ac:dyDescent="0.25">
      <c r="A4816">
        <v>2021</v>
      </c>
      <c r="B4816">
        <v>3</v>
      </c>
      <c r="C4816" s="1" t="s">
        <v>26</v>
      </c>
      <c r="D4816" s="1" t="s">
        <v>19</v>
      </c>
      <c r="E4816" s="1" t="s">
        <v>84</v>
      </c>
      <c r="F4816">
        <v>2013</v>
      </c>
      <c r="G4816">
        <v>8</v>
      </c>
      <c r="H4816" s="1" t="s">
        <v>21</v>
      </c>
      <c r="I4816">
        <v>23</v>
      </c>
      <c r="J4816">
        <v>2683</v>
      </c>
      <c r="K4816" s="1" t="s">
        <v>85</v>
      </c>
      <c r="L4816" s="1" t="s">
        <v>45</v>
      </c>
      <c r="M4816">
        <v>1.4910000000000001</v>
      </c>
      <c r="N4816">
        <v>34288.699999999997</v>
      </c>
      <c r="O4816">
        <v>34.289000000000001</v>
      </c>
      <c r="P4816" s="2">
        <v>44256</v>
      </c>
      <c r="Q4816">
        <v>1</v>
      </c>
      <c r="R4816" s="1" t="s">
        <v>40</v>
      </c>
    </row>
    <row r="4817" spans="1:18" x14ac:dyDescent="0.25">
      <c r="A4817">
        <v>2021</v>
      </c>
      <c r="B4817">
        <v>4</v>
      </c>
      <c r="C4817" s="1" t="s">
        <v>27</v>
      </c>
      <c r="D4817" s="1" t="s">
        <v>19</v>
      </c>
      <c r="E4817" s="1" t="s">
        <v>84</v>
      </c>
      <c r="F4817">
        <v>2013</v>
      </c>
      <c r="G4817">
        <v>8</v>
      </c>
      <c r="H4817" s="1" t="s">
        <v>21</v>
      </c>
      <c r="I4817">
        <v>23</v>
      </c>
      <c r="J4817">
        <v>2683</v>
      </c>
      <c r="K4817" s="1" t="s">
        <v>85</v>
      </c>
      <c r="L4817" s="1" t="s">
        <v>45</v>
      </c>
      <c r="M4817">
        <v>1.7310000000000001</v>
      </c>
      <c r="N4817">
        <v>39822.400000000001</v>
      </c>
      <c r="O4817">
        <v>39.822000000000003</v>
      </c>
      <c r="P4817" s="2">
        <v>44287</v>
      </c>
      <c r="Q4817">
        <v>1</v>
      </c>
      <c r="R4817" s="1" t="s">
        <v>40</v>
      </c>
    </row>
    <row r="4818" spans="1:18" x14ac:dyDescent="0.25">
      <c r="A4818">
        <v>2021</v>
      </c>
      <c r="B4818">
        <v>5</v>
      </c>
      <c r="C4818" s="1" t="s">
        <v>28</v>
      </c>
      <c r="D4818" s="1" t="s">
        <v>19</v>
      </c>
      <c r="E4818" s="1" t="s">
        <v>84</v>
      </c>
      <c r="F4818">
        <v>2013</v>
      </c>
      <c r="G4818">
        <v>8</v>
      </c>
      <c r="H4818" s="1" t="s">
        <v>21</v>
      </c>
      <c r="I4818">
        <v>23</v>
      </c>
      <c r="J4818">
        <v>2683</v>
      </c>
      <c r="K4818" s="1" t="s">
        <v>85</v>
      </c>
      <c r="L4818" s="1" t="s">
        <v>45</v>
      </c>
      <c r="M4818">
        <v>1.6870000000000001</v>
      </c>
      <c r="N4818">
        <v>38796.199999999997</v>
      </c>
      <c r="O4818">
        <v>38.795999999999999</v>
      </c>
      <c r="P4818" s="2">
        <v>44317</v>
      </c>
      <c r="Q4818">
        <v>1</v>
      </c>
      <c r="R4818" s="1" t="s">
        <v>40</v>
      </c>
    </row>
    <row r="4819" spans="1:18" x14ac:dyDescent="0.25">
      <c r="A4819">
        <v>2021</v>
      </c>
      <c r="B4819">
        <v>6</v>
      </c>
      <c r="C4819" s="1" t="s">
        <v>29</v>
      </c>
      <c r="D4819" s="1" t="s">
        <v>19</v>
      </c>
      <c r="E4819" s="1" t="s">
        <v>84</v>
      </c>
      <c r="F4819">
        <v>2013</v>
      </c>
      <c r="G4819">
        <v>8</v>
      </c>
      <c r="H4819" s="1" t="s">
        <v>21</v>
      </c>
      <c r="I4819">
        <v>23</v>
      </c>
      <c r="J4819">
        <v>2683</v>
      </c>
      <c r="K4819" s="1" t="s">
        <v>85</v>
      </c>
      <c r="L4819" s="1" t="s">
        <v>45</v>
      </c>
      <c r="M4819">
        <v>1.653</v>
      </c>
      <c r="N4819">
        <v>38011.4</v>
      </c>
      <c r="O4819">
        <v>38.011000000000003</v>
      </c>
      <c r="P4819" s="2">
        <v>44348</v>
      </c>
      <c r="Q4819">
        <v>1</v>
      </c>
      <c r="R4819" s="1" t="s">
        <v>40</v>
      </c>
    </row>
    <row r="4820" spans="1:18" x14ac:dyDescent="0.25">
      <c r="A4820">
        <v>2021</v>
      </c>
      <c r="B4820">
        <v>7</v>
      </c>
      <c r="C4820" s="1" t="s">
        <v>30</v>
      </c>
      <c r="D4820" s="1" t="s">
        <v>19</v>
      </c>
      <c r="E4820" s="1" t="s">
        <v>84</v>
      </c>
      <c r="F4820">
        <v>2013</v>
      </c>
      <c r="G4820">
        <v>8</v>
      </c>
      <c r="H4820" s="1" t="s">
        <v>21</v>
      </c>
      <c r="I4820">
        <v>23</v>
      </c>
      <c r="J4820">
        <v>2683</v>
      </c>
      <c r="K4820" s="1" t="s">
        <v>85</v>
      </c>
      <c r="L4820" s="1" t="s">
        <v>45</v>
      </c>
      <c r="M4820">
        <v>1.89</v>
      </c>
      <c r="N4820">
        <v>43464.6</v>
      </c>
      <c r="O4820">
        <v>43.465000000000003</v>
      </c>
      <c r="P4820" s="2">
        <v>44378</v>
      </c>
      <c r="Q4820">
        <v>1</v>
      </c>
      <c r="R4820" s="1" t="s">
        <v>40</v>
      </c>
    </row>
    <row r="4821" spans="1:18" x14ac:dyDescent="0.25">
      <c r="A4821">
        <v>2021</v>
      </c>
      <c r="B4821">
        <v>8</v>
      </c>
      <c r="C4821" s="1" t="s">
        <v>31</v>
      </c>
      <c r="D4821" s="1" t="s">
        <v>19</v>
      </c>
      <c r="E4821" s="1" t="s">
        <v>84</v>
      </c>
      <c r="F4821">
        <v>2013</v>
      </c>
      <c r="G4821">
        <v>8</v>
      </c>
      <c r="H4821" s="1" t="s">
        <v>21</v>
      </c>
      <c r="I4821">
        <v>23</v>
      </c>
      <c r="J4821">
        <v>2683</v>
      </c>
      <c r="K4821" s="1" t="s">
        <v>85</v>
      </c>
      <c r="L4821" s="1" t="s">
        <v>45</v>
      </c>
      <c r="M4821">
        <v>1.827</v>
      </c>
      <c r="N4821">
        <v>42015.8</v>
      </c>
      <c r="O4821">
        <v>42.015999999999998</v>
      </c>
      <c r="P4821" s="2">
        <v>44409</v>
      </c>
      <c r="Q4821">
        <v>1</v>
      </c>
      <c r="R4821" s="1" t="s">
        <v>40</v>
      </c>
    </row>
    <row r="4822" spans="1:18" x14ac:dyDescent="0.25">
      <c r="A4822">
        <v>2021</v>
      </c>
      <c r="B4822">
        <v>9</v>
      </c>
      <c r="C4822" s="1" t="s">
        <v>32</v>
      </c>
      <c r="D4822" s="1" t="s">
        <v>19</v>
      </c>
      <c r="E4822" s="1" t="s">
        <v>84</v>
      </c>
      <c r="F4822">
        <v>2013</v>
      </c>
      <c r="G4822">
        <v>8</v>
      </c>
      <c r="H4822" s="1" t="s">
        <v>21</v>
      </c>
      <c r="I4822">
        <v>23</v>
      </c>
      <c r="J4822">
        <v>2683</v>
      </c>
      <c r="K4822" s="1" t="s">
        <v>85</v>
      </c>
      <c r="L4822" s="1" t="s">
        <v>45</v>
      </c>
      <c r="M4822">
        <v>1.7450000000000001</v>
      </c>
      <c r="N4822">
        <v>40144.400000000001</v>
      </c>
      <c r="O4822">
        <v>40.143999999999998</v>
      </c>
      <c r="P4822" s="2">
        <v>44440</v>
      </c>
      <c r="Q4822">
        <v>1</v>
      </c>
      <c r="R4822" s="1" t="s">
        <v>40</v>
      </c>
    </row>
    <row r="4823" spans="1:18" x14ac:dyDescent="0.25">
      <c r="A4823">
        <v>2021</v>
      </c>
      <c r="B4823">
        <v>10</v>
      </c>
      <c r="C4823" s="1" t="s">
        <v>33</v>
      </c>
      <c r="D4823" s="1" t="s">
        <v>19</v>
      </c>
      <c r="E4823" s="1" t="s">
        <v>84</v>
      </c>
      <c r="F4823">
        <v>2013</v>
      </c>
      <c r="G4823">
        <v>8</v>
      </c>
      <c r="H4823" s="1" t="s">
        <v>21</v>
      </c>
      <c r="I4823">
        <v>23</v>
      </c>
      <c r="J4823">
        <v>2683</v>
      </c>
      <c r="K4823" s="1" t="s">
        <v>85</v>
      </c>
      <c r="L4823" s="1" t="s">
        <v>45</v>
      </c>
      <c r="M4823">
        <v>1.847</v>
      </c>
      <c r="N4823">
        <v>42478.6</v>
      </c>
      <c r="O4823">
        <v>42.478999999999999</v>
      </c>
      <c r="P4823" s="2">
        <v>44470</v>
      </c>
      <c r="Q4823">
        <v>1</v>
      </c>
      <c r="R4823" s="1" t="s">
        <v>40</v>
      </c>
    </row>
    <row r="4824" spans="1:18" x14ac:dyDescent="0.25">
      <c r="A4824">
        <v>2021</v>
      </c>
      <c r="B4824">
        <v>11</v>
      </c>
      <c r="C4824" s="1" t="s">
        <v>34</v>
      </c>
      <c r="D4824" s="1" t="s">
        <v>19</v>
      </c>
      <c r="E4824" s="1" t="s">
        <v>84</v>
      </c>
      <c r="F4824">
        <v>2013</v>
      </c>
      <c r="G4824">
        <v>8</v>
      </c>
      <c r="H4824" s="1" t="s">
        <v>21</v>
      </c>
      <c r="I4824">
        <v>23</v>
      </c>
      <c r="J4824">
        <v>2683</v>
      </c>
      <c r="K4824" s="1" t="s">
        <v>85</v>
      </c>
      <c r="L4824" s="1" t="s">
        <v>45</v>
      </c>
      <c r="M4824">
        <v>1.8</v>
      </c>
      <c r="N4824">
        <v>41392</v>
      </c>
      <c r="O4824">
        <v>41.392000000000003</v>
      </c>
      <c r="P4824" s="2">
        <v>44501</v>
      </c>
      <c r="Q4824">
        <v>1</v>
      </c>
      <c r="R4824" s="1" t="s">
        <v>40</v>
      </c>
    </row>
    <row r="4825" spans="1:18" x14ac:dyDescent="0.25">
      <c r="A4825">
        <v>2021</v>
      </c>
      <c r="B4825">
        <v>12</v>
      </c>
      <c r="C4825" s="1" t="s">
        <v>35</v>
      </c>
      <c r="D4825" s="1" t="s">
        <v>19</v>
      </c>
      <c r="E4825" s="1" t="s">
        <v>84</v>
      </c>
      <c r="F4825">
        <v>2013</v>
      </c>
      <c r="G4825">
        <v>8</v>
      </c>
      <c r="H4825" s="1" t="s">
        <v>21</v>
      </c>
      <c r="I4825">
        <v>23</v>
      </c>
      <c r="J4825">
        <v>2683</v>
      </c>
      <c r="K4825" s="1" t="s">
        <v>85</v>
      </c>
      <c r="L4825" s="1" t="s">
        <v>45</v>
      </c>
      <c r="M4825">
        <v>1.8260000000000001</v>
      </c>
      <c r="N4825">
        <v>41995.7</v>
      </c>
      <c r="O4825">
        <v>41.996000000000002</v>
      </c>
      <c r="P4825" s="2">
        <v>44531</v>
      </c>
      <c r="Q4825">
        <v>1</v>
      </c>
      <c r="R4825" s="1" t="s">
        <v>40</v>
      </c>
    </row>
    <row r="4826" spans="1:18" x14ac:dyDescent="0.25">
      <c r="A4826">
        <v>2021</v>
      </c>
      <c r="B4826">
        <v>1</v>
      </c>
      <c r="C4826" s="1" t="s">
        <v>18</v>
      </c>
      <c r="D4826" s="1" t="s">
        <v>19</v>
      </c>
      <c r="E4826" s="1" t="s">
        <v>86</v>
      </c>
      <c r="F4826">
        <v>2013</v>
      </c>
      <c r="G4826">
        <v>8</v>
      </c>
      <c r="H4826" s="1" t="s">
        <v>21</v>
      </c>
      <c r="I4826">
        <v>24</v>
      </c>
      <c r="J4826">
        <v>3445</v>
      </c>
      <c r="K4826" s="1" t="s">
        <v>87</v>
      </c>
      <c r="L4826" s="1" t="s">
        <v>45</v>
      </c>
      <c r="M4826">
        <v>0.67800000000000005</v>
      </c>
      <c r="N4826">
        <v>16277.6</v>
      </c>
      <c r="O4826">
        <v>16.277999999999999</v>
      </c>
      <c r="P4826" s="2">
        <v>44197</v>
      </c>
      <c r="Q4826">
        <v>1</v>
      </c>
      <c r="R4826" s="1" t="s">
        <v>40</v>
      </c>
    </row>
    <row r="4827" spans="1:18" x14ac:dyDescent="0.25">
      <c r="A4827">
        <v>2021</v>
      </c>
      <c r="B4827">
        <v>2</v>
      </c>
      <c r="C4827" s="1" t="s">
        <v>25</v>
      </c>
      <c r="D4827" s="1" t="s">
        <v>19</v>
      </c>
      <c r="E4827" s="1" t="s">
        <v>86</v>
      </c>
      <c r="F4827">
        <v>2013</v>
      </c>
      <c r="G4827">
        <v>8</v>
      </c>
      <c r="H4827" s="1" t="s">
        <v>21</v>
      </c>
      <c r="I4827">
        <v>24</v>
      </c>
      <c r="J4827">
        <v>3445</v>
      </c>
      <c r="K4827" s="1" t="s">
        <v>87</v>
      </c>
      <c r="L4827" s="1" t="s">
        <v>45</v>
      </c>
      <c r="M4827">
        <v>1.1259999999999999</v>
      </c>
      <c r="N4827">
        <v>27026</v>
      </c>
      <c r="O4827">
        <v>27.026</v>
      </c>
      <c r="P4827" s="2">
        <v>44228</v>
      </c>
      <c r="Q4827">
        <v>1</v>
      </c>
      <c r="R4827" s="1" t="s">
        <v>40</v>
      </c>
    </row>
    <row r="4828" spans="1:18" x14ac:dyDescent="0.25">
      <c r="A4828">
        <v>2021</v>
      </c>
      <c r="B4828">
        <v>3</v>
      </c>
      <c r="C4828" s="1" t="s">
        <v>26</v>
      </c>
      <c r="D4828" s="1" t="s">
        <v>19</v>
      </c>
      <c r="E4828" s="1" t="s">
        <v>86</v>
      </c>
      <c r="F4828">
        <v>2013</v>
      </c>
      <c r="G4828">
        <v>8</v>
      </c>
      <c r="H4828" s="1" t="s">
        <v>21</v>
      </c>
      <c r="I4828">
        <v>24</v>
      </c>
      <c r="J4828">
        <v>3445</v>
      </c>
      <c r="K4828" s="1" t="s">
        <v>87</v>
      </c>
      <c r="L4828" s="1" t="s">
        <v>45</v>
      </c>
      <c r="M4828">
        <v>1.8340000000000001</v>
      </c>
      <c r="N4828">
        <v>44027.1</v>
      </c>
      <c r="O4828">
        <v>44.027000000000001</v>
      </c>
      <c r="P4828" s="2">
        <v>44256</v>
      </c>
      <c r="Q4828">
        <v>1</v>
      </c>
      <c r="R4828" s="1" t="s">
        <v>40</v>
      </c>
    </row>
    <row r="4829" spans="1:18" x14ac:dyDescent="0.25">
      <c r="A4829">
        <v>2021</v>
      </c>
      <c r="B4829">
        <v>4</v>
      </c>
      <c r="C4829" s="1" t="s">
        <v>27</v>
      </c>
      <c r="D4829" s="1" t="s">
        <v>19</v>
      </c>
      <c r="E4829" s="1" t="s">
        <v>86</v>
      </c>
      <c r="F4829">
        <v>2013</v>
      </c>
      <c r="G4829">
        <v>8</v>
      </c>
      <c r="H4829" s="1" t="s">
        <v>21</v>
      </c>
      <c r="I4829">
        <v>24</v>
      </c>
      <c r="J4829">
        <v>3445</v>
      </c>
      <c r="K4829" s="1" t="s">
        <v>87</v>
      </c>
      <c r="L4829" s="1" t="s">
        <v>45</v>
      </c>
      <c r="M4829">
        <v>2.1309999999999998</v>
      </c>
      <c r="N4829">
        <v>51132.4</v>
      </c>
      <c r="O4829">
        <v>51.131999999999998</v>
      </c>
      <c r="P4829" s="2">
        <v>44287</v>
      </c>
      <c r="Q4829">
        <v>1</v>
      </c>
      <c r="R4829" s="1" t="s">
        <v>40</v>
      </c>
    </row>
    <row r="4830" spans="1:18" x14ac:dyDescent="0.25">
      <c r="A4830">
        <v>2021</v>
      </c>
      <c r="B4830">
        <v>5</v>
      </c>
      <c r="C4830" s="1" t="s">
        <v>28</v>
      </c>
      <c r="D4830" s="1" t="s">
        <v>19</v>
      </c>
      <c r="E4830" s="1" t="s">
        <v>86</v>
      </c>
      <c r="F4830">
        <v>2013</v>
      </c>
      <c r="G4830">
        <v>8</v>
      </c>
      <c r="H4830" s="1" t="s">
        <v>21</v>
      </c>
      <c r="I4830">
        <v>24</v>
      </c>
      <c r="J4830">
        <v>3445</v>
      </c>
      <c r="K4830" s="1" t="s">
        <v>87</v>
      </c>
      <c r="L4830" s="1" t="s">
        <v>45</v>
      </c>
      <c r="M4830">
        <v>2.0760000000000001</v>
      </c>
      <c r="N4830">
        <v>49814.7</v>
      </c>
      <c r="O4830">
        <v>49.814999999999998</v>
      </c>
      <c r="P4830" s="2">
        <v>44317</v>
      </c>
      <c r="Q4830">
        <v>1</v>
      </c>
      <c r="R4830" s="1" t="s">
        <v>40</v>
      </c>
    </row>
    <row r="4831" spans="1:18" x14ac:dyDescent="0.25">
      <c r="A4831">
        <v>2021</v>
      </c>
      <c r="B4831">
        <v>6</v>
      </c>
      <c r="C4831" s="1" t="s">
        <v>29</v>
      </c>
      <c r="D4831" s="1" t="s">
        <v>19</v>
      </c>
      <c r="E4831" s="1" t="s">
        <v>86</v>
      </c>
      <c r="F4831">
        <v>2013</v>
      </c>
      <c r="G4831">
        <v>8</v>
      </c>
      <c r="H4831" s="1" t="s">
        <v>21</v>
      </c>
      <c r="I4831">
        <v>24</v>
      </c>
      <c r="J4831">
        <v>3445</v>
      </c>
      <c r="K4831" s="1" t="s">
        <v>87</v>
      </c>
      <c r="L4831" s="1" t="s">
        <v>45</v>
      </c>
      <c r="M4831">
        <v>2.0339999999999998</v>
      </c>
      <c r="N4831">
        <v>48807</v>
      </c>
      <c r="O4831">
        <v>48.807000000000002</v>
      </c>
      <c r="P4831" s="2">
        <v>44348</v>
      </c>
      <c r="Q4831">
        <v>1</v>
      </c>
      <c r="R4831" s="1" t="s">
        <v>40</v>
      </c>
    </row>
    <row r="4832" spans="1:18" x14ac:dyDescent="0.25">
      <c r="A4832">
        <v>2021</v>
      </c>
      <c r="B4832">
        <v>7</v>
      </c>
      <c r="C4832" s="1" t="s">
        <v>30</v>
      </c>
      <c r="D4832" s="1" t="s">
        <v>19</v>
      </c>
      <c r="E4832" s="1" t="s">
        <v>86</v>
      </c>
      <c r="F4832">
        <v>2013</v>
      </c>
      <c r="G4832">
        <v>8</v>
      </c>
      <c r="H4832" s="1" t="s">
        <v>21</v>
      </c>
      <c r="I4832">
        <v>24</v>
      </c>
      <c r="J4832">
        <v>3445</v>
      </c>
      <c r="K4832" s="1" t="s">
        <v>87</v>
      </c>
      <c r="L4832" s="1" t="s">
        <v>45</v>
      </c>
      <c r="M4832">
        <v>2.3250000000000002</v>
      </c>
      <c r="N4832">
        <v>55809</v>
      </c>
      <c r="O4832">
        <v>55.808999999999997</v>
      </c>
      <c r="P4832" s="2">
        <v>44378</v>
      </c>
      <c r="Q4832">
        <v>1</v>
      </c>
      <c r="R4832" s="1" t="s">
        <v>40</v>
      </c>
    </row>
    <row r="4833" spans="1:18" x14ac:dyDescent="0.25">
      <c r="A4833">
        <v>2021</v>
      </c>
      <c r="B4833">
        <v>8</v>
      </c>
      <c r="C4833" s="1" t="s">
        <v>31</v>
      </c>
      <c r="D4833" s="1" t="s">
        <v>19</v>
      </c>
      <c r="E4833" s="1" t="s">
        <v>86</v>
      </c>
      <c r="F4833">
        <v>2013</v>
      </c>
      <c r="G4833">
        <v>8</v>
      </c>
      <c r="H4833" s="1" t="s">
        <v>21</v>
      </c>
      <c r="I4833">
        <v>24</v>
      </c>
      <c r="J4833">
        <v>3445</v>
      </c>
      <c r="K4833" s="1" t="s">
        <v>87</v>
      </c>
      <c r="L4833" s="1" t="s">
        <v>45</v>
      </c>
      <c r="M4833">
        <v>2.2480000000000002</v>
      </c>
      <c r="N4833">
        <v>53948.7</v>
      </c>
      <c r="O4833">
        <v>53.948999999999998</v>
      </c>
      <c r="P4833" s="2">
        <v>44409</v>
      </c>
      <c r="Q4833">
        <v>1</v>
      </c>
      <c r="R4833" s="1" t="s">
        <v>40</v>
      </c>
    </row>
    <row r="4834" spans="1:18" x14ac:dyDescent="0.25">
      <c r="A4834">
        <v>2021</v>
      </c>
      <c r="B4834">
        <v>9</v>
      </c>
      <c r="C4834" s="1" t="s">
        <v>32</v>
      </c>
      <c r="D4834" s="1" t="s">
        <v>19</v>
      </c>
      <c r="E4834" s="1" t="s">
        <v>86</v>
      </c>
      <c r="F4834">
        <v>2013</v>
      </c>
      <c r="G4834">
        <v>8</v>
      </c>
      <c r="H4834" s="1" t="s">
        <v>21</v>
      </c>
      <c r="I4834">
        <v>24</v>
      </c>
      <c r="J4834">
        <v>3445</v>
      </c>
      <c r="K4834" s="1" t="s">
        <v>87</v>
      </c>
      <c r="L4834" s="1" t="s">
        <v>45</v>
      </c>
      <c r="M4834">
        <v>2.1480000000000001</v>
      </c>
      <c r="N4834">
        <v>51545.8</v>
      </c>
      <c r="O4834">
        <v>51.545999999999999</v>
      </c>
      <c r="P4834" s="2">
        <v>44440</v>
      </c>
      <c r="Q4834">
        <v>1</v>
      </c>
      <c r="R4834" s="1" t="s">
        <v>40</v>
      </c>
    </row>
    <row r="4835" spans="1:18" x14ac:dyDescent="0.25">
      <c r="A4835">
        <v>2021</v>
      </c>
      <c r="B4835">
        <v>10</v>
      </c>
      <c r="C4835" s="1" t="s">
        <v>33</v>
      </c>
      <c r="D4835" s="1" t="s">
        <v>19</v>
      </c>
      <c r="E4835" s="1" t="s">
        <v>86</v>
      </c>
      <c r="F4835">
        <v>2013</v>
      </c>
      <c r="G4835">
        <v>8</v>
      </c>
      <c r="H4835" s="1" t="s">
        <v>21</v>
      </c>
      <c r="I4835">
        <v>24</v>
      </c>
      <c r="J4835">
        <v>3445</v>
      </c>
      <c r="K4835" s="1" t="s">
        <v>87</v>
      </c>
      <c r="L4835" s="1" t="s">
        <v>45</v>
      </c>
      <c r="M4835">
        <v>2.2730000000000001</v>
      </c>
      <c r="N4835">
        <v>54543</v>
      </c>
      <c r="O4835">
        <v>54.542999999999999</v>
      </c>
      <c r="P4835" s="2">
        <v>44470</v>
      </c>
      <c r="Q4835">
        <v>1</v>
      </c>
      <c r="R4835" s="1" t="s">
        <v>40</v>
      </c>
    </row>
    <row r="4836" spans="1:18" x14ac:dyDescent="0.25">
      <c r="A4836">
        <v>2021</v>
      </c>
      <c r="B4836">
        <v>11</v>
      </c>
      <c r="C4836" s="1" t="s">
        <v>34</v>
      </c>
      <c r="D4836" s="1" t="s">
        <v>19</v>
      </c>
      <c r="E4836" s="1" t="s">
        <v>86</v>
      </c>
      <c r="F4836">
        <v>2013</v>
      </c>
      <c r="G4836">
        <v>8</v>
      </c>
      <c r="H4836" s="1" t="s">
        <v>21</v>
      </c>
      <c r="I4836">
        <v>24</v>
      </c>
      <c r="J4836">
        <v>3445</v>
      </c>
      <c r="K4836" s="1" t="s">
        <v>87</v>
      </c>
      <c r="L4836" s="1" t="s">
        <v>45</v>
      </c>
      <c r="M4836">
        <v>2.214</v>
      </c>
      <c r="N4836">
        <v>53147.7</v>
      </c>
      <c r="O4836">
        <v>53.148000000000003</v>
      </c>
      <c r="P4836" s="2">
        <v>44501</v>
      </c>
      <c r="Q4836">
        <v>1</v>
      </c>
      <c r="R4836" s="1" t="s">
        <v>40</v>
      </c>
    </row>
    <row r="4837" spans="1:18" x14ac:dyDescent="0.25">
      <c r="A4837">
        <v>2021</v>
      </c>
      <c r="B4837">
        <v>12</v>
      </c>
      <c r="C4837" s="1" t="s">
        <v>35</v>
      </c>
      <c r="D4837" s="1" t="s">
        <v>19</v>
      </c>
      <c r="E4837" s="1" t="s">
        <v>86</v>
      </c>
      <c r="F4837">
        <v>2013</v>
      </c>
      <c r="G4837">
        <v>8</v>
      </c>
      <c r="H4837" s="1" t="s">
        <v>21</v>
      </c>
      <c r="I4837">
        <v>24</v>
      </c>
      <c r="J4837">
        <v>3445</v>
      </c>
      <c r="K4837" s="1" t="s">
        <v>87</v>
      </c>
      <c r="L4837" s="1" t="s">
        <v>45</v>
      </c>
      <c r="M4837">
        <v>2.2469999999999999</v>
      </c>
      <c r="N4837">
        <v>53922.9</v>
      </c>
      <c r="O4837">
        <v>53.923000000000002</v>
      </c>
      <c r="P4837" s="2">
        <v>44531</v>
      </c>
      <c r="Q4837">
        <v>1</v>
      </c>
      <c r="R4837" s="1" t="s">
        <v>40</v>
      </c>
    </row>
    <row r="4838" spans="1:18" x14ac:dyDescent="0.25">
      <c r="A4838">
        <v>2021</v>
      </c>
      <c r="B4838">
        <v>1</v>
      </c>
      <c r="C4838" s="1" t="s">
        <v>18</v>
      </c>
      <c r="D4838" s="1" t="s">
        <v>19</v>
      </c>
      <c r="E4838" s="1" t="s">
        <v>88</v>
      </c>
      <c r="F4838">
        <v>2013</v>
      </c>
      <c r="G4838">
        <v>8</v>
      </c>
      <c r="H4838" s="1" t="s">
        <v>21</v>
      </c>
      <c r="I4838">
        <v>24</v>
      </c>
      <c r="J4838">
        <v>3271</v>
      </c>
      <c r="K4838" s="1" t="s">
        <v>89</v>
      </c>
      <c r="L4838" s="1" t="s">
        <v>45</v>
      </c>
      <c r="M4838">
        <v>0.64400000000000002</v>
      </c>
      <c r="N4838">
        <v>15455.5</v>
      </c>
      <c r="O4838">
        <v>15.455</v>
      </c>
      <c r="P4838" s="2">
        <v>44197</v>
      </c>
      <c r="Q4838">
        <v>1</v>
      </c>
      <c r="R4838" s="1" t="s">
        <v>40</v>
      </c>
    </row>
    <row r="4839" spans="1:18" x14ac:dyDescent="0.25">
      <c r="A4839">
        <v>2021</v>
      </c>
      <c r="B4839">
        <v>2</v>
      </c>
      <c r="C4839" s="1" t="s">
        <v>25</v>
      </c>
      <c r="D4839" s="1" t="s">
        <v>19</v>
      </c>
      <c r="E4839" s="1" t="s">
        <v>88</v>
      </c>
      <c r="F4839">
        <v>2013</v>
      </c>
      <c r="G4839">
        <v>8</v>
      </c>
      <c r="H4839" s="1" t="s">
        <v>21</v>
      </c>
      <c r="I4839">
        <v>24</v>
      </c>
      <c r="J4839">
        <v>3271</v>
      </c>
      <c r="K4839" s="1" t="s">
        <v>89</v>
      </c>
      <c r="L4839" s="1" t="s">
        <v>45</v>
      </c>
      <c r="M4839">
        <v>1.069</v>
      </c>
      <c r="N4839">
        <v>25661</v>
      </c>
      <c r="O4839">
        <v>25.661000000000001</v>
      </c>
      <c r="P4839" s="2">
        <v>44228</v>
      </c>
      <c r="Q4839">
        <v>1</v>
      </c>
      <c r="R4839" s="1" t="s">
        <v>40</v>
      </c>
    </row>
    <row r="4840" spans="1:18" x14ac:dyDescent="0.25">
      <c r="A4840">
        <v>2021</v>
      </c>
      <c r="B4840">
        <v>3</v>
      </c>
      <c r="C4840" s="1" t="s">
        <v>26</v>
      </c>
      <c r="D4840" s="1" t="s">
        <v>19</v>
      </c>
      <c r="E4840" s="1" t="s">
        <v>88</v>
      </c>
      <c r="F4840">
        <v>2013</v>
      </c>
      <c r="G4840">
        <v>8</v>
      </c>
      <c r="H4840" s="1" t="s">
        <v>21</v>
      </c>
      <c r="I4840">
        <v>24</v>
      </c>
      <c r="J4840">
        <v>3271</v>
      </c>
      <c r="K4840" s="1" t="s">
        <v>89</v>
      </c>
      <c r="L4840" s="1" t="s">
        <v>45</v>
      </c>
      <c r="M4840">
        <v>1.742</v>
      </c>
      <c r="N4840">
        <v>41803.4</v>
      </c>
      <c r="O4840">
        <v>41.802999999999997</v>
      </c>
      <c r="P4840" s="2">
        <v>44256</v>
      </c>
      <c r="Q4840">
        <v>1</v>
      </c>
      <c r="R4840" s="1" t="s">
        <v>40</v>
      </c>
    </row>
    <row r="4841" spans="1:18" x14ac:dyDescent="0.25">
      <c r="A4841">
        <v>2021</v>
      </c>
      <c r="B4841">
        <v>4</v>
      </c>
      <c r="C4841" s="1" t="s">
        <v>27</v>
      </c>
      <c r="D4841" s="1" t="s">
        <v>19</v>
      </c>
      <c r="E4841" s="1" t="s">
        <v>88</v>
      </c>
      <c r="F4841">
        <v>2013</v>
      </c>
      <c r="G4841">
        <v>8</v>
      </c>
      <c r="H4841" s="1" t="s">
        <v>21</v>
      </c>
      <c r="I4841">
        <v>24</v>
      </c>
      <c r="J4841">
        <v>3271</v>
      </c>
      <c r="K4841" s="1" t="s">
        <v>89</v>
      </c>
      <c r="L4841" s="1" t="s">
        <v>45</v>
      </c>
      <c r="M4841">
        <v>2.0230000000000001</v>
      </c>
      <c r="N4841">
        <v>48549.8</v>
      </c>
      <c r="O4841">
        <v>48.55</v>
      </c>
      <c r="P4841" s="2">
        <v>44287</v>
      </c>
      <c r="Q4841">
        <v>1</v>
      </c>
      <c r="R4841" s="1" t="s">
        <v>40</v>
      </c>
    </row>
    <row r="4842" spans="1:18" x14ac:dyDescent="0.25">
      <c r="A4842">
        <v>2021</v>
      </c>
      <c r="B4842">
        <v>5</v>
      </c>
      <c r="C4842" s="1" t="s">
        <v>28</v>
      </c>
      <c r="D4842" s="1" t="s">
        <v>19</v>
      </c>
      <c r="E4842" s="1" t="s">
        <v>88</v>
      </c>
      <c r="F4842">
        <v>2013</v>
      </c>
      <c r="G4842">
        <v>8</v>
      </c>
      <c r="H4842" s="1" t="s">
        <v>21</v>
      </c>
      <c r="I4842">
        <v>24</v>
      </c>
      <c r="J4842">
        <v>3271</v>
      </c>
      <c r="K4842" s="1" t="s">
        <v>89</v>
      </c>
      <c r="L4842" s="1" t="s">
        <v>45</v>
      </c>
      <c r="M4842">
        <v>1.9710000000000001</v>
      </c>
      <c r="N4842">
        <v>47298.7</v>
      </c>
      <c r="O4842">
        <v>47.298999999999999</v>
      </c>
      <c r="P4842" s="2">
        <v>44317</v>
      </c>
      <c r="Q4842">
        <v>1</v>
      </c>
      <c r="R4842" s="1" t="s">
        <v>40</v>
      </c>
    </row>
    <row r="4843" spans="1:18" x14ac:dyDescent="0.25">
      <c r="A4843">
        <v>2021</v>
      </c>
      <c r="B4843">
        <v>6</v>
      </c>
      <c r="C4843" s="1" t="s">
        <v>29</v>
      </c>
      <c r="D4843" s="1" t="s">
        <v>19</v>
      </c>
      <c r="E4843" s="1" t="s">
        <v>88</v>
      </c>
      <c r="F4843">
        <v>2013</v>
      </c>
      <c r="G4843">
        <v>8</v>
      </c>
      <c r="H4843" s="1" t="s">
        <v>21</v>
      </c>
      <c r="I4843">
        <v>24</v>
      </c>
      <c r="J4843">
        <v>3271</v>
      </c>
      <c r="K4843" s="1" t="s">
        <v>89</v>
      </c>
      <c r="L4843" s="1" t="s">
        <v>45</v>
      </c>
      <c r="M4843">
        <v>1.931</v>
      </c>
      <c r="N4843">
        <v>46341.9</v>
      </c>
      <c r="O4843">
        <v>46.341999999999999</v>
      </c>
      <c r="P4843" s="2">
        <v>44348</v>
      </c>
      <c r="Q4843">
        <v>1</v>
      </c>
      <c r="R4843" s="1" t="s">
        <v>40</v>
      </c>
    </row>
    <row r="4844" spans="1:18" x14ac:dyDescent="0.25">
      <c r="A4844">
        <v>2021</v>
      </c>
      <c r="B4844">
        <v>7</v>
      </c>
      <c r="C4844" s="1" t="s">
        <v>30</v>
      </c>
      <c r="D4844" s="1" t="s">
        <v>19</v>
      </c>
      <c r="E4844" s="1" t="s">
        <v>88</v>
      </c>
      <c r="F4844">
        <v>2013</v>
      </c>
      <c r="G4844">
        <v>8</v>
      </c>
      <c r="H4844" s="1" t="s">
        <v>21</v>
      </c>
      <c r="I4844">
        <v>24</v>
      </c>
      <c r="J4844">
        <v>3271</v>
      </c>
      <c r="K4844" s="1" t="s">
        <v>89</v>
      </c>
      <c r="L4844" s="1" t="s">
        <v>45</v>
      </c>
      <c r="M4844">
        <v>2.2080000000000002</v>
      </c>
      <c r="N4844">
        <v>52990.2</v>
      </c>
      <c r="O4844">
        <v>52.99</v>
      </c>
      <c r="P4844" s="2">
        <v>44378</v>
      </c>
      <c r="Q4844">
        <v>1</v>
      </c>
      <c r="R4844" s="1" t="s">
        <v>40</v>
      </c>
    </row>
    <row r="4845" spans="1:18" x14ac:dyDescent="0.25">
      <c r="A4845">
        <v>2021</v>
      </c>
      <c r="B4845">
        <v>8</v>
      </c>
      <c r="C4845" s="1" t="s">
        <v>31</v>
      </c>
      <c r="D4845" s="1" t="s">
        <v>19</v>
      </c>
      <c r="E4845" s="1" t="s">
        <v>88</v>
      </c>
      <c r="F4845">
        <v>2013</v>
      </c>
      <c r="G4845">
        <v>8</v>
      </c>
      <c r="H4845" s="1" t="s">
        <v>21</v>
      </c>
      <c r="I4845">
        <v>24</v>
      </c>
      <c r="J4845">
        <v>3271</v>
      </c>
      <c r="K4845" s="1" t="s">
        <v>89</v>
      </c>
      <c r="L4845" s="1" t="s">
        <v>45</v>
      </c>
      <c r="M4845">
        <v>2.1339999999999999</v>
      </c>
      <c r="N4845">
        <v>51223.9</v>
      </c>
      <c r="O4845">
        <v>51.223999999999997</v>
      </c>
      <c r="P4845" s="2">
        <v>44409</v>
      </c>
      <c r="Q4845">
        <v>1</v>
      </c>
      <c r="R4845" s="1" t="s">
        <v>40</v>
      </c>
    </row>
    <row r="4846" spans="1:18" x14ac:dyDescent="0.25">
      <c r="A4846">
        <v>2021</v>
      </c>
      <c r="B4846">
        <v>9</v>
      </c>
      <c r="C4846" s="1" t="s">
        <v>32</v>
      </c>
      <c r="D4846" s="1" t="s">
        <v>19</v>
      </c>
      <c r="E4846" s="1" t="s">
        <v>88</v>
      </c>
      <c r="F4846">
        <v>2013</v>
      </c>
      <c r="G4846">
        <v>8</v>
      </c>
      <c r="H4846" s="1" t="s">
        <v>21</v>
      </c>
      <c r="I4846">
        <v>24</v>
      </c>
      <c r="J4846">
        <v>3271</v>
      </c>
      <c r="K4846" s="1" t="s">
        <v>89</v>
      </c>
      <c r="L4846" s="1" t="s">
        <v>45</v>
      </c>
      <c r="M4846">
        <v>2.0390000000000001</v>
      </c>
      <c r="N4846">
        <v>48942.3</v>
      </c>
      <c r="O4846">
        <v>48.942</v>
      </c>
      <c r="P4846" s="2">
        <v>44440</v>
      </c>
      <c r="Q4846">
        <v>1</v>
      </c>
      <c r="R4846" s="1" t="s">
        <v>40</v>
      </c>
    </row>
    <row r="4847" spans="1:18" x14ac:dyDescent="0.25">
      <c r="A4847">
        <v>2021</v>
      </c>
      <c r="B4847">
        <v>10</v>
      </c>
      <c r="C4847" s="1" t="s">
        <v>33</v>
      </c>
      <c r="D4847" s="1" t="s">
        <v>19</v>
      </c>
      <c r="E4847" s="1" t="s">
        <v>88</v>
      </c>
      <c r="F4847">
        <v>2013</v>
      </c>
      <c r="G4847">
        <v>8</v>
      </c>
      <c r="H4847" s="1" t="s">
        <v>21</v>
      </c>
      <c r="I4847">
        <v>24</v>
      </c>
      <c r="J4847">
        <v>3271</v>
      </c>
      <c r="K4847" s="1" t="s">
        <v>89</v>
      </c>
      <c r="L4847" s="1" t="s">
        <v>45</v>
      </c>
      <c r="M4847">
        <v>2.1579999999999999</v>
      </c>
      <c r="N4847">
        <v>51788.1</v>
      </c>
      <c r="O4847">
        <v>51.787999999999997</v>
      </c>
      <c r="P4847" s="2">
        <v>44470</v>
      </c>
      <c r="Q4847">
        <v>1</v>
      </c>
      <c r="R4847" s="1" t="s">
        <v>40</v>
      </c>
    </row>
    <row r="4848" spans="1:18" x14ac:dyDescent="0.25">
      <c r="A4848">
        <v>2021</v>
      </c>
      <c r="B4848">
        <v>11</v>
      </c>
      <c r="C4848" s="1" t="s">
        <v>34</v>
      </c>
      <c r="D4848" s="1" t="s">
        <v>19</v>
      </c>
      <c r="E4848" s="1" t="s">
        <v>88</v>
      </c>
      <c r="F4848">
        <v>2013</v>
      </c>
      <c r="G4848">
        <v>8</v>
      </c>
      <c r="H4848" s="1" t="s">
        <v>21</v>
      </c>
      <c r="I4848">
        <v>24</v>
      </c>
      <c r="J4848">
        <v>3271</v>
      </c>
      <c r="K4848" s="1" t="s">
        <v>89</v>
      </c>
      <c r="L4848" s="1" t="s">
        <v>45</v>
      </c>
      <c r="M4848">
        <v>2.1030000000000002</v>
      </c>
      <c r="N4848">
        <v>50463.4</v>
      </c>
      <c r="O4848">
        <v>50.463000000000001</v>
      </c>
      <c r="P4848" s="2">
        <v>44501</v>
      </c>
      <c r="Q4848">
        <v>1</v>
      </c>
      <c r="R4848" s="1" t="s">
        <v>40</v>
      </c>
    </row>
    <row r="4849" spans="1:18" x14ac:dyDescent="0.25">
      <c r="A4849">
        <v>2021</v>
      </c>
      <c r="B4849">
        <v>12</v>
      </c>
      <c r="C4849" s="1" t="s">
        <v>35</v>
      </c>
      <c r="D4849" s="1" t="s">
        <v>19</v>
      </c>
      <c r="E4849" s="1" t="s">
        <v>88</v>
      </c>
      <c r="F4849">
        <v>2013</v>
      </c>
      <c r="G4849">
        <v>8</v>
      </c>
      <c r="H4849" s="1" t="s">
        <v>21</v>
      </c>
      <c r="I4849">
        <v>24</v>
      </c>
      <c r="J4849">
        <v>3271</v>
      </c>
      <c r="K4849" s="1" t="s">
        <v>89</v>
      </c>
      <c r="L4849" s="1" t="s">
        <v>45</v>
      </c>
      <c r="M4849">
        <v>2.133</v>
      </c>
      <c r="N4849">
        <v>51199.3</v>
      </c>
      <c r="O4849">
        <v>51.198999999999998</v>
      </c>
      <c r="P4849" s="2">
        <v>44531</v>
      </c>
      <c r="Q4849">
        <v>1</v>
      </c>
      <c r="R4849" s="1" t="s">
        <v>40</v>
      </c>
    </row>
    <row r="4850" spans="1:18" x14ac:dyDescent="0.25">
      <c r="A4850">
        <v>2021</v>
      </c>
      <c r="B4850">
        <v>1</v>
      </c>
      <c r="C4850" s="1" t="s">
        <v>18</v>
      </c>
      <c r="D4850" s="1" t="s">
        <v>19</v>
      </c>
      <c r="E4850" s="1" t="s">
        <v>90</v>
      </c>
      <c r="F4850">
        <v>2013</v>
      </c>
      <c r="G4850">
        <v>8</v>
      </c>
      <c r="H4850" s="1" t="s">
        <v>21</v>
      </c>
      <c r="I4850">
        <v>25</v>
      </c>
      <c r="J4850">
        <v>3291</v>
      </c>
      <c r="K4850" s="1" t="s">
        <v>91</v>
      </c>
      <c r="L4850" s="1" t="s">
        <v>45</v>
      </c>
      <c r="M4850">
        <v>0.622</v>
      </c>
      <c r="N4850">
        <v>15550</v>
      </c>
      <c r="O4850">
        <v>15.55</v>
      </c>
      <c r="P4850" s="2">
        <v>44197</v>
      </c>
      <c r="Q4850">
        <v>1</v>
      </c>
      <c r="R4850" s="1" t="s">
        <v>40</v>
      </c>
    </row>
    <row r="4851" spans="1:18" x14ac:dyDescent="0.25">
      <c r="A4851">
        <v>2021</v>
      </c>
      <c r="B4851">
        <v>2</v>
      </c>
      <c r="C4851" s="1" t="s">
        <v>25</v>
      </c>
      <c r="D4851" s="1" t="s">
        <v>19</v>
      </c>
      <c r="E4851" s="1" t="s">
        <v>90</v>
      </c>
      <c r="F4851">
        <v>2013</v>
      </c>
      <c r="G4851">
        <v>8</v>
      </c>
      <c r="H4851" s="1" t="s">
        <v>21</v>
      </c>
      <c r="I4851">
        <v>25</v>
      </c>
      <c r="J4851">
        <v>3291</v>
      </c>
      <c r="K4851" s="1" t="s">
        <v>91</v>
      </c>
      <c r="L4851" s="1" t="s">
        <v>45</v>
      </c>
      <c r="M4851">
        <v>1.0329999999999999</v>
      </c>
      <c r="N4851">
        <v>25817.9</v>
      </c>
      <c r="O4851">
        <v>25.818000000000001</v>
      </c>
      <c r="P4851" s="2">
        <v>44228</v>
      </c>
      <c r="Q4851">
        <v>1</v>
      </c>
      <c r="R4851" s="1" t="s">
        <v>40</v>
      </c>
    </row>
    <row r="4852" spans="1:18" x14ac:dyDescent="0.25">
      <c r="A4852">
        <v>2021</v>
      </c>
      <c r="B4852">
        <v>3</v>
      </c>
      <c r="C4852" s="1" t="s">
        <v>26</v>
      </c>
      <c r="D4852" s="1" t="s">
        <v>19</v>
      </c>
      <c r="E4852" s="1" t="s">
        <v>90</v>
      </c>
      <c r="F4852">
        <v>2013</v>
      </c>
      <c r="G4852">
        <v>8</v>
      </c>
      <c r="H4852" s="1" t="s">
        <v>21</v>
      </c>
      <c r="I4852">
        <v>25</v>
      </c>
      <c r="J4852">
        <v>3291</v>
      </c>
      <c r="K4852" s="1" t="s">
        <v>91</v>
      </c>
      <c r="L4852" s="1" t="s">
        <v>45</v>
      </c>
      <c r="M4852">
        <v>1.6819999999999999</v>
      </c>
      <c r="N4852">
        <v>42059</v>
      </c>
      <c r="O4852">
        <v>42.058999999999997</v>
      </c>
      <c r="P4852" s="2">
        <v>44256</v>
      </c>
      <c r="Q4852">
        <v>1</v>
      </c>
      <c r="R4852" s="1" t="s">
        <v>40</v>
      </c>
    </row>
    <row r="4853" spans="1:18" x14ac:dyDescent="0.25">
      <c r="A4853">
        <v>2021</v>
      </c>
      <c r="B4853">
        <v>4</v>
      </c>
      <c r="C4853" s="1" t="s">
        <v>27</v>
      </c>
      <c r="D4853" s="1" t="s">
        <v>19</v>
      </c>
      <c r="E4853" s="1" t="s">
        <v>90</v>
      </c>
      <c r="F4853">
        <v>2013</v>
      </c>
      <c r="G4853">
        <v>8</v>
      </c>
      <c r="H4853" s="1" t="s">
        <v>21</v>
      </c>
      <c r="I4853">
        <v>25</v>
      </c>
      <c r="J4853">
        <v>3291</v>
      </c>
      <c r="K4853" s="1" t="s">
        <v>91</v>
      </c>
      <c r="L4853" s="1" t="s">
        <v>45</v>
      </c>
      <c r="M4853">
        <v>1.954</v>
      </c>
      <c r="N4853">
        <v>48846.7</v>
      </c>
      <c r="O4853">
        <v>48.847000000000001</v>
      </c>
      <c r="P4853" s="2">
        <v>44287</v>
      </c>
      <c r="Q4853">
        <v>1</v>
      </c>
      <c r="R4853" s="1" t="s">
        <v>40</v>
      </c>
    </row>
    <row r="4854" spans="1:18" x14ac:dyDescent="0.25">
      <c r="A4854">
        <v>2021</v>
      </c>
      <c r="B4854">
        <v>5</v>
      </c>
      <c r="C4854" s="1" t="s">
        <v>28</v>
      </c>
      <c r="D4854" s="1" t="s">
        <v>19</v>
      </c>
      <c r="E4854" s="1" t="s">
        <v>90</v>
      </c>
      <c r="F4854">
        <v>2013</v>
      </c>
      <c r="G4854">
        <v>8</v>
      </c>
      <c r="H4854" s="1" t="s">
        <v>21</v>
      </c>
      <c r="I4854">
        <v>25</v>
      </c>
      <c r="J4854">
        <v>3291</v>
      </c>
      <c r="K4854" s="1" t="s">
        <v>91</v>
      </c>
      <c r="L4854" s="1" t="s">
        <v>45</v>
      </c>
      <c r="M4854">
        <v>1.9039999999999999</v>
      </c>
      <c r="N4854">
        <v>47587.9</v>
      </c>
      <c r="O4854">
        <v>47.588000000000001</v>
      </c>
      <c r="P4854" s="2">
        <v>44317</v>
      </c>
      <c r="Q4854">
        <v>1</v>
      </c>
      <c r="R4854" s="1" t="s">
        <v>40</v>
      </c>
    </row>
    <row r="4855" spans="1:18" x14ac:dyDescent="0.25">
      <c r="A4855">
        <v>2021</v>
      </c>
      <c r="B4855">
        <v>6</v>
      </c>
      <c r="C4855" s="1" t="s">
        <v>29</v>
      </c>
      <c r="D4855" s="1" t="s">
        <v>19</v>
      </c>
      <c r="E4855" s="1" t="s">
        <v>90</v>
      </c>
      <c r="F4855">
        <v>2013</v>
      </c>
      <c r="G4855">
        <v>8</v>
      </c>
      <c r="H4855" s="1" t="s">
        <v>21</v>
      </c>
      <c r="I4855">
        <v>25</v>
      </c>
      <c r="J4855">
        <v>3291</v>
      </c>
      <c r="K4855" s="1" t="s">
        <v>91</v>
      </c>
      <c r="L4855" s="1" t="s">
        <v>45</v>
      </c>
      <c r="M4855">
        <v>1.865</v>
      </c>
      <c r="N4855">
        <v>46625.2</v>
      </c>
      <c r="O4855">
        <v>46.625</v>
      </c>
      <c r="P4855" s="2">
        <v>44348</v>
      </c>
      <c r="Q4855">
        <v>1</v>
      </c>
      <c r="R4855" s="1" t="s">
        <v>40</v>
      </c>
    </row>
    <row r="4856" spans="1:18" x14ac:dyDescent="0.25">
      <c r="A4856">
        <v>2021</v>
      </c>
      <c r="B4856">
        <v>7</v>
      </c>
      <c r="C4856" s="1" t="s">
        <v>30</v>
      </c>
      <c r="D4856" s="1" t="s">
        <v>19</v>
      </c>
      <c r="E4856" s="1" t="s">
        <v>90</v>
      </c>
      <c r="F4856">
        <v>2013</v>
      </c>
      <c r="G4856">
        <v>8</v>
      </c>
      <c r="H4856" s="1" t="s">
        <v>21</v>
      </c>
      <c r="I4856">
        <v>25</v>
      </c>
      <c r="J4856">
        <v>3291</v>
      </c>
      <c r="K4856" s="1" t="s">
        <v>91</v>
      </c>
      <c r="L4856" s="1" t="s">
        <v>45</v>
      </c>
      <c r="M4856">
        <v>2.133</v>
      </c>
      <c r="N4856">
        <v>53314.2</v>
      </c>
      <c r="O4856">
        <v>53.314</v>
      </c>
      <c r="P4856" s="2">
        <v>44378</v>
      </c>
      <c r="Q4856">
        <v>1</v>
      </c>
      <c r="R4856" s="1" t="s">
        <v>40</v>
      </c>
    </row>
    <row r="4857" spans="1:18" x14ac:dyDescent="0.25">
      <c r="A4857">
        <v>2021</v>
      </c>
      <c r="B4857">
        <v>8</v>
      </c>
      <c r="C4857" s="1" t="s">
        <v>31</v>
      </c>
      <c r="D4857" s="1" t="s">
        <v>19</v>
      </c>
      <c r="E4857" s="1" t="s">
        <v>90</v>
      </c>
      <c r="F4857">
        <v>2013</v>
      </c>
      <c r="G4857">
        <v>8</v>
      </c>
      <c r="H4857" s="1" t="s">
        <v>21</v>
      </c>
      <c r="I4857">
        <v>25</v>
      </c>
      <c r="J4857">
        <v>3291</v>
      </c>
      <c r="K4857" s="1" t="s">
        <v>91</v>
      </c>
      <c r="L4857" s="1" t="s">
        <v>45</v>
      </c>
      <c r="M4857">
        <v>2.0609999999999999</v>
      </c>
      <c r="N4857">
        <v>51537.1</v>
      </c>
      <c r="O4857">
        <v>51.536999999999999</v>
      </c>
      <c r="P4857" s="2">
        <v>44409</v>
      </c>
      <c r="Q4857">
        <v>1</v>
      </c>
      <c r="R4857" s="1" t="s">
        <v>40</v>
      </c>
    </row>
    <row r="4858" spans="1:18" x14ac:dyDescent="0.25">
      <c r="A4858">
        <v>2021</v>
      </c>
      <c r="B4858">
        <v>9</v>
      </c>
      <c r="C4858" s="1" t="s">
        <v>32</v>
      </c>
      <c r="D4858" s="1" t="s">
        <v>19</v>
      </c>
      <c r="E4858" s="1" t="s">
        <v>90</v>
      </c>
      <c r="F4858">
        <v>2013</v>
      </c>
      <c r="G4858">
        <v>8</v>
      </c>
      <c r="H4858" s="1" t="s">
        <v>21</v>
      </c>
      <c r="I4858">
        <v>25</v>
      </c>
      <c r="J4858">
        <v>3291</v>
      </c>
      <c r="K4858" s="1" t="s">
        <v>91</v>
      </c>
      <c r="L4858" s="1" t="s">
        <v>45</v>
      </c>
      <c r="M4858">
        <v>1.97</v>
      </c>
      <c r="N4858">
        <v>49241.599999999999</v>
      </c>
      <c r="O4858">
        <v>49.241999999999997</v>
      </c>
      <c r="P4858" s="2">
        <v>44440</v>
      </c>
      <c r="Q4858">
        <v>1</v>
      </c>
      <c r="R4858" s="1" t="s">
        <v>40</v>
      </c>
    </row>
    <row r="4859" spans="1:18" x14ac:dyDescent="0.25">
      <c r="A4859">
        <v>2021</v>
      </c>
      <c r="B4859">
        <v>10</v>
      </c>
      <c r="C4859" s="1" t="s">
        <v>33</v>
      </c>
      <c r="D4859" s="1" t="s">
        <v>19</v>
      </c>
      <c r="E4859" s="1" t="s">
        <v>90</v>
      </c>
      <c r="F4859">
        <v>2013</v>
      </c>
      <c r="G4859">
        <v>8</v>
      </c>
      <c r="H4859" s="1" t="s">
        <v>21</v>
      </c>
      <c r="I4859">
        <v>25</v>
      </c>
      <c r="J4859">
        <v>3291</v>
      </c>
      <c r="K4859" s="1" t="s">
        <v>91</v>
      </c>
      <c r="L4859" s="1" t="s">
        <v>45</v>
      </c>
      <c r="M4859">
        <v>2.0840000000000001</v>
      </c>
      <c r="N4859">
        <v>52104.800000000003</v>
      </c>
      <c r="O4859">
        <v>52.104999999999997</v>
      </c>
      <c r="P4859" s="2">
        <v>44470</v>
      </c>
      <c r="Q4859">
        <v>1</v>
      </c>
      <c r="R4859" s="1" t="s">
        <v>40</v>
      </c>
    </row>
    <row r="4860" spans="1:18" x14ac:dyDescent="0.25">
      <c r="A4860">
        <v>2021</v>
      </c>
      <c r="B4860">
        <v>11</v>
      </c>
      <c r="C4860" s="1" t="s">
        <v>34</v>
      </c>
      <c r="D4860" s="1" t="s">
        <v>19</v>
      </c>
      <c r="E4860" s="1" t="s">
        <v>90</v>
      </c>
      <c r="F4860">
        <v>2013</v>
      </c>
      <c r="G4860">
        <v>8</v>
      </c>
      <c r="H4860" s="1" t="s">
        <v>21</v>
      </c>
      <c r="I4860">
        <v>25</v>
      </c>
      <c r="J4860">
        <v>3291</v>
      </c>
      <c r="K4860" s="1" t="s">
        <v>91</v>
      </c>
      <c r="L4860" s="1" t="s">
        <v>45</v>
      </c>
      <c r="M4860">
        <v>2.0310000000000001</v>
      </c>
      <c r="N4860">
        <v>50771.9</v>
      </c>
      <c r="O4860">
        <v>50.771999999999998</v>
      </c>
      <c r="P4860" s="2">
        <v>44501</v>
      </c>
      <c r="Q4860">
        <v>1</v>
      </c>
      <c r="R4860" s="1" t="s">
        <v>40</v>
      </c>
    </row>
    <row r="4861" spans="1:18" x14ac:dyDescent="0.25">
      <c r="A4861">
        <v>2021</v>
      </c>
      <c r="B4861">
        <v>12</v>
      </c>
      <c r="C4861" s="1" t="s">
        <v>35</v>
      </c>
      <c r="D4861" s="1" t="s">
        <v>19</v>
      </c>
      <c r="E4861" s="1" t="s">
        <v>90</v>
      </c>
      <c r="F4861">
        <v>2013</v>
      </c>
      <c r="G4861">
        <v>8</v>
      </c>
      <c r="H4861" s="1" t="s">
        <v>21</v>
      </c>
      <c r="I4861">
        <v>25</v>
      </c>
      <c r="J4861">
        <v>3291</v>
      </c>
      <c r="K4861" s="1" t="s">
        <v>91</v>
      </c>
      <c r="L4861" s="1" t="s">
        <v>45</v>
      </c>
      <c r="M4861">
        <v>2.06</v>
      </c>
      <c r="N4861">
        <v>51512.4</v>
      </c>
      <c r="O4861">
        <v>51.512</v>
      </c>
      <c r="P4861" s="2">
        <v>44531</v>
      </c>
      <c r="Q4861">
        <v>1</v>
      </c>
      <c r="R4861" s="1" t="s">
        <v>40</v>
      </c>
    </row>
    <row r="4862" spans="1:18" x14ac:dyDescent="0.25">
      <c r="A4862">
        <v>2021</v>
      </c>
      <c r="B4862">
        <v>1</v>
      </c>
      <c r="C4862" s="1" t="s">
        <v>18</v>
      </c>
      <c r="D4862" s="1" t="s">
        <v>19</v>
      </c>
      <c r="E4862" s="1" t="s">
        <v>92</v>
      </c>
      <c r="F4862">
        <v>2014</v>
      </c>
      <c r="G4862">
        <v>7</v>
      </c>
      <c r="H4862" s="1" t="s">
        <v>21</v>
      </c>
      <c r="I4862">
        <v>24</v>
      </c>
      <c r="J4862">
        <v>2208</v>
      </c>
      <c r="K4862" s="1" t="s">
        <v>93</v>
      </c>
      <c r="L4862" s="1" t="s">
        <v>45</v>
      </c>
      <c r="M4862">
        <v>0.48199999999999998</v>
      </c>
      <c r="N4862">
        <v>11566.8</v>
      </c>
      <c r="O4862">
        <v>11.567</v>
      </c>
      <c r="P4862" s="2">
        <v>44197</v>
      </c>
      <c r="Q4862">
        <v>1</v>
      </c>
      <c r="R4862" s="1" t="s">
        <v>40</v>
      </c>
    </row>
    <row r="4863" spans="1:18" x14ac:dyDescent="0.25">
      <c r="A4863">
        <v>2021</v>
      </c>
      <c r="B4863">
        <v>2</v>
      </c>
      <c r="C4863" s="1" t="s">
        <v>25</v>
      </c>
      <c r="D4863" s="1" t="s">
        <v>19</v>
      </c>
      <c r="E4863" s="1" t="s">
        <v>92</v>
      </c>
      <c r="F4863">
        <v>2014</v>
      </c>
      <c r="G4863">
        <v>7</v>
      </c>
      <c r="H4863" s="1" t="s">
        <v>21</v>
      </c>
      <c r="I4863">
        <v>24</v>
      </c>
      <c r="J4863">
        <v>2208</v>
      </c>
      <c r="K4863" s="1" t="s">
        <v>93</v>
      </c>
      <c r="L4863" s="1" t="s">
        <v>45</v>
      </c>
      <c r="M4863">
        <v>0.8</v>
      </c>
      <c r="N4863">
        <v>19204.599999999999</v>
      </c>
      <c r="O4863">
        <v>19.204999999999998</v>
      </c>
      <c r="P4863" s="2">
        <v>44228</v>
      </c>
      <c r="Q4863">
        <v>1</v>
      </c>
      <c r="R4863" s="1" t="s">
        <v>40</v>
      </c>
    </row>
    <row r="4864" spans="1:18" x14ac:dyDescent="0.25">
      <c r="A4864">
        <v>2021</v>
      </c>
      <c r="B4864">
        <v>3</v>
      </c>
      <c r="C4864" s="1" t="s">
        <v>26</v>
      </c>
      <c r="D4864" s="1" t="s">
        <v>19</v>
      </c>
      <c r="E4864" s="1" t="s">
        <v>92</v>
      </c>
      <c r="F4864">
        <v>2014</v>
      </c>
      <c r="G4864">
        <v>7</v>
      </c>
      <c r="H4864" s="1" t="s">
        <v>21</v>
      </c>
      <c r="I4864">
        <v>24</v>
      </c>
      <c r="J4864">
        <v>2208</v>
      </c>
      <c r="K4864" s="1" t="s">
        <v>93</v>
      </c>
      <c r="L4864" s="1" t="s">
        <v>45</v>
      </c>
      <c r="M4864">
        <v>1.304</v>
      </c>
      <c r="N4864">
        <v>31285.4</v>
      </c>
      <c r="O4864">
        <v>31.285</v>
      </c>
      <c r="P4864" s="2">
        <v>44256</v>
      </c>
      <c r="Q4864">
        <v>1</v>
      </c>
      <c r="R4864" s="1" t="s">
        <v>40</v>
      </c>
    </row>
    <row r="4865" spans="1:18" x14ac:dyDescent="0.25">
      <c r="A4865">
        <v>2021</v>
      </c>
      <c r="B4865">
        <v>4</v>
      </c>
      <c r="C4865" s="1" t="s">
        <v>27</v>
      </c>
      <c r="D4865" s="1" t="s">
        <v>19</v>
      </c>
      <c r="E4865" s="1" t="s">
        <v>92</v>
      </c>
      <c r="F4865">
        <v>2014</v>
      </c>
      <c r="G4865">
        <v>7</v>
      </c>
      <c r="H4865" s="1" t="s">
        <v>21</v>
      </c>
      <c r="I4865">
        <v>24</v>
      </c>
      <c r="J4865">
        <v>2208</v>
      </c>
      <c r="K4865" s="1" t="s">
        <v>93</v>
      </c>
      <c r="L4865" s="1" t="s">
        <v>45</v>
      </c>
      <c r="M4865">
        <v>1.514</v>
      </c>
      <c r="N4865">
        <v>36334.400000000001</v>
      </c>
      <c r="O4865">
        <v>36.334000000000003</v>
      </c>
      <c r="P4865" s="2">
        <v>44287</v>
      </c>
      <c r="Q4865">
        <v>1</v>
      </c>
      <c r="R4865" s="1" t="s">
        <v>40</v>
      </c>
    </row>
    <row r="4866" spans="1:18" x14ac:dyDescent="0.25">
      <c r="A4866">
        <v>2021</v>
      </c>
      <c r="B4866">
        <v>5</v>
      </c>
      <c r="C4866" s="1" t="s">
        <v>28</v>
      </c>
      <c r="D4866" s="1" t="s">
        <v>19</v>
      </c>
      <c r="E4866" s="1" t="s">
        <v>92</v>
      </c>
      <c r="F4866">
        <v>2014</v>
      </c>
      <c r="G4866">
        <v>7</v>
      </c>
      <c r="H4866" s="1" t="s">
        <v>21</v>
      </c>
      <c r="I4866">
        <v>24</v>
      </c>
      <c r="J4866">
        <v>2208</v>
      </c>
      <c r="K4866" s="1" t="s">
        <v>93</v>
      </c>
      <c r="L4866" s="1" t="s">
        <v>45</v>
      </c>
      <c r="M4866">
        <v>1.4750000000000001</v>
      </c>
      <c r="N4866">
        <v>35398.1</v>
      </c>
      <c r="O4866">
        <v>35.398000000000003</v>
      </c>
      <c r="P4866" s="2">
        <v>44317</v>
      </c>
      <c r="Q4866">
        <v>1</v>
      </c>
      <c r="R4866" s="1" t="s">
        <v>40</v>
      </c>
    </row>
    <row r="4867" spans="1:18" x14ac:dyDescent="0.25">
      <c r="A4867">
        <v>2021</v>
      </c>
      <c r="B4867">
        <v>6</v>
      </c>
      <c r="C4867" s="1" t="s">
        <v>29</v>
      </c>
      <c r="D4867" s="1" t="s">
        <v>19</v>
      </c>
      <c r="E4867" s="1" t="s">
        <v>92</v>
      </c>
      <c r="F4867">
        <v>2014</v>
      </c>
      <c r="G4867">
        <v>7</v>
      </c>
      <c r="H4867" s="1" t="s">
        <v>21</v>
      </c>
      <c r="I4867">
        <v>24</v>
      </c>
      <c r="J4867">
        <v>2208</v>
      </c>
      <c r="K4867" s="1" t="s">
        <v>93</v>
      </c>
      <c r="L4867" s="1" t="s">
        <v>45</v>
      </c>
      <c r="M4867">
        <v>1.4450000000000001</v>
      </c>
      <c r="N4867">
        <v>34682</v>
      </c>
      <c r="O4867">
        <v>34.682000000000002</v>
      </c>
      <c r="P4867" s="2">
        <v>44348</v>
      </c>
      <c r="Q4867">
        <v>1</v>
      </c>
      <c r="R4867" s="1" t="s">
        <v>40</v>
      </c>
    </row>
    <row r="4868" spans="1:18" x14ac:dyDescent="0.25">
      <c r="A4868">
        <v>2021</v>
      </c>
      <c r="B4868">
        <v>7</v>
      </c>
      <c r="C4868" s="1" t="s">
        <v>30</v>
      </c>
      <c r="D4868" s="1" t="s">
        <v>19</v>
      </c>
      <c r="E4868" s="1" t="s">
        <v>92</v>
      </c>
      <c r="F4868">
        <v>2014</v>
      </c>
      <c r="G4868">
        <v>7</v>
      </c>
      <c r="H4868" s="1" t="s">
        <v>21</v>
      </c>
      <c r="I4868">
        <v>24</v>
      </c>
      <c r="J4868">
        <v>2208</v>
      </c>
      <c r="K4868" s="1" t="s">
        <v>93</v>
      </c>
      <c r="L4868" s="1" t="s">
        <v>45</v>
      </c>
      <c r="M4868">
        <v>1.6519999999999999</v>
      </c>
      <c r="N4868">
        <v>39657.599999999999</v>
      </c>
      <c r="O4868">
        <v>39.658000000000001</v>
      </c>
      <c r="P4868" s="2">
        <v>44378</v>
      </c>
      <c r="Q4868">
        <v>1</v>
      </c>
      <c r="R4868" s="1" t="s">
        <v>40</v>
      </c>
    </row>
    <row r="4869" spans="1:18" x14ac:dyDescent="0.25">
      <c r="A4869">
        <v>2021</v>
      </c>
      <c r="B4869">
        <v>8</v>
      </c>
      <c r="C4869" s="1" t="s">
        <v>31</v>
      </c>
      <c r="D4869" s="1" t="s">
        <v>19</v>
      </c>
      <c r="E4869" s="1" t="s">
        <v>92</v>
      </c>
      <c r="F4869">
        <v>2014</v>
      </c>
      <c r="G4869">
        <v>7</v>
      </c>
      <c r="H4869" s="1" t="s">
        <v>21</v>
      </c>
      <c r="I4869">
        <v>24</v>
      </c>
      <c r="J4869">
        <v>2208</v>
      </c>
      <c r="K4869" s="1" t="s">
        <v>93</v>
      </c>
      <c r="L4869" s="1" t="s">
        <v>45</v>
      </c>
      <c r="M4869">
        <v>1.597</v>
      </c>
      <c r="N4869">
        <v>38335.699999999997</v>
      </c>
      <c r="O4869">
        <v>38.335999999999999</v>
      </c>
      <c r="P4869" s="2">
        <v>44409</v>
      </c>
      <c r="Q4869">
        <v>1</v>
      </c>
      <c r="R4869" s="1" t="s">
        <v>40</v>
      </c>
    </row>
    <row r="4870" spans="1:18" x14ac:dyDescent="0.25">
      <c r="A4870">
        <v>2021</v>
      </c>
      <c r="B4870">
        <v>9</v>
      </c>
      <c r="C4870" s="1" t="s">
        <v>32</v>
      </c>
      <c r="D4870" s="1" t="s">
        <v>19</v>
      </c>
      <c r="E4870" s="1" t="s">
        <v>92</v>
      </c>
      <c r="F4870">
        <v>2014</v>
      </c>
      <c r="G4870">
        <v>7</v>
      </c>
      <c r="H4870" s="1" t="s">
        <v>21</v>
      </c>
      <c r="I4870">
        <v>24</v>
      </c>
      <c r="J4870">
        <v>2208</v>
      </c>
      <c r="K4870" s="1" t="s">
        <v>93</v>
      </c>
      <c r="L4870" s="1" t="s">
        <v>45</v>
      </c>
      <c r="M4870">
        <v>1.526</v>
      </c>
      <c r="N4870">
        <v>36628.199999999997</v>
      </c>
      <c r="O4870">
        <v>36.628</v>
      </c>
      <c r="P4870" s="2">
        <v>44440</v>
      </c>
      <c r="Q4870">
        <v>1</v>
      </c>
      <c r="R4870" s="1" t="s">
        <v>40</v>
      </c>
    </row>
    <row r="4871" spans="1:18" x14ac:dyDescent="0.25">
      <c r="A4871">
        <v>2021</v>
      </c>
      <c r="B4871">
        <v>10</v>
      </c>
      <c r="C4871" s="1" t="s">
        <v>33</v>
      </c>
      <c r="D4871" s="1" t="s">
        <v>19</v>
      </c>
      <c r="E4871" s="1" t="s">
        <v>92</v>
      </c>
      <c r="F4871">
        <v>2014</v>
      </c>
      <c r="G4871">
        <v>7</v>
      </c>
      <c r="H4871" s="1" t="s">
        <v>21</v>
      </c>
      <c r="I4871">
        <v>24</v>
      </c>
      <c r="J4871">
        <v>2208</v>
      </c>
      <c r="K4871" s="1" t="s">
        <v>93</v>
      </c>
      <c r="L4871" s="1" t="s">
        <v>45</v>
      </c>
      <c r="M4871">
        <v>1.615</v>
      </c>
      <c r="N4871">
        <v>38758</v>
      </c>
      <c r="O4871">
        <v>38.758000000000003</v>
      </c>
      <c r="P4871" s="2">
        <v>44470</v>
      </c>
      <c r="Q4871">
        <v>1</v>
      </c>
      <c r="R4871" s="1" t="s">
        <v>40</v>
      </c>
    </row>
    <row r="4872" spans="1:18" x14ac:dyDescent="0.25">
      <c r="A4872">
        <v>2021</v>
      </c>
      <c r="B4872">
        <v>11</v>
      </c>
      <c r="C4872" s="1" t="s">
        <v>34</v>
      </c>
      <c r="D4872" s="1" t="s">
        <v>19</v>
      </c>
      <c r="E4872" s="1" t="s">
        <v>92</v>
      </c>
      <c r="F4872">
        <v>2014</v>
      </c>
      <c r="G4872">
        <v>7</v>
      </c>
      <c r="H4872" s="1" t="s">
        <v>21</v>
      </c>
      <c r="I4872">
        <v>24</v>
      </c>
      <c r="J4872">
        <v>2208</v>
      </c>
      <c r="K4872" s="1" t="s">
        <v>93</v>
      </c>
      <c r="L4872" s="1" t="s">
        <v>45</v>
      </c>
      <c r="M4872">
        <v>1.5740000000000001</v>
      </c>
      <c r="N4872">
        <v>37766.5</v>
      </c>
      <c r="O4872">
        <v>37.767000000000003</v>
      </c>
      <c r="P4872" s="2">
        <v>44501</v>
      </c>
      <c r="Q4872">
        <v>1</v>
      </c>
      <c r="R4872" s="1" t="s">
        <v>40</v>
      </c>
    </row>
    <row r="4873" spans="1:18" x14ac:dyDescent="0.25">
      <c r="A4873">
        <v>2021</v>
      </c>
      <c r="B4873">
        <v>12</v>
      </c>
      <c r="C4873" s="1" t="s">
        <v>35</v>
      </c>
      <c r="D4873" s="1" t="s">
        <v>19</v>
      </c>
      <c r="E4873" s="1" t="s">
        <v>92</v>
      </c>
      <c r="F4873">
        <v>2014</v>
      </c>
      <c r="G4873">
        <v>7</v>
      </c>
      <c r="H4873" s="1" t="s">
        <v>21</v>
      </c>
      <c r="I4873">
        <v>24</v>
      </c>
      <c r="J4873">
        <v>2208</v>
      </c>
      <c r="K4873" s="1" t="s">
        <v>93</v>
      </c>
      <c r="L4873" s="1" t="s">
        <v>45</v>
      </c>
      <c r="M4873">
        <v>1.597</v>
      </c>
      <c r="N4873">
        <v>38317.300000000003</v>
      </c>
      <c r="O4873">
        <v>38.317</v>
      </c>
      <c r="P4873" s="2">
        <v>44531</v>
      </c>
      <c r="Q4873">
        <v>1</v>
      </c>
      <c r="R4873" s="1" t="s">
        <v>40</v>
      </c>
    </row>
    <row r="4874" spans="1:18" x14ac:dyDescent="0.25">
      <c r="A4874">
        <v>2021</v>
      </c>
      <c r="B4874">
        <v>1</v>
      </c>
      <c r="C4874" s="1" t="s">
        <v>18</v>
      </c>
      <c r="D4874" s="1" t="s">
        <v>19</v>
      </c>
      <c r="E4874" s="1" t="s">
        <v>94</v>
      </c>
      <c r="F4874">
        <v>2014</v>
      </c>
      <c r="G4874">
        <v>7</v>
      </c>
      <c r="H4874" s="1" t="s">
        <v>21</v>
      </c>
      <c r="I4874">
        <v>20</v>
      </c>
      <c r="J4874">
        <v>1954</v>
      </c>
      <c r="K4874" s="1" t="s">
        <v>95</v>
      </c>
      <c r="L4874" s="1" t="s">
        <v>45</v>
      </c>
      <c r="M4874">
        <v>0.48199999999999998</v>
      </c>
      <c r="N4874">
        <v>9639</v>
      </c>
      <c r="O4874">
        <v>9.6389999999999993</v>
      </c>
      <c r="P4874" s="2">
        <v>44197</v>
      </c>
      <c r="Q4874">
        <v>1</v>
      </c>
      <c r="R4874" s="1" t="s">
        <v>40</v>
      </c>
    </row>
    <row r="4875" spans="1:18" x14ac:dyDescent="0.25">
      <c r="A4875">
        <v>2021</v>
      </c>
      <c r="B4875">
        <v>2</v>
      </c>
      <c r="C4875" s="1" t="s">
        <v>25</v>
      </c>
      <c r="D4875" s="1" t="s">
        <v>19</v>
      </c>
      <c r="E4875" s="1" t="s">
        <v>94</v>
      </c>
      <c r="F4875">
        <v>2014</v>
      </c>
      <c r="G4875">
        <v>7</v>
      </c>
      <c r="H4875" s="1" t="s">
        <v>21</v>
      </c>
      <c r="I4875">
        <v>20</v>
      </c>
      <c r="J4875">
        <v>1954</v>
      </c>
      <c r="K4875" s="1" t="s">
        <v>95</v>
      </c>
      <c r="L4875" s="1" t="s">
        <v>45</v>
      </c>
      <c r="M4875">
        <v>0.8</v>
      </c>
      <c r="N4875">
        <v>16003.8</v>
      </c>
      <c r="O4875">
        <v>16.004000000000001</v>
      </c>
      <c r="P4875" s="2">
        <v>44228</v>
      </c>
      <c r="Q4875">
        <v>1</v>
      </c>
      <c r="R4875" s="1" t="s">
        <v>40</v>
      </c>
    </row>
    <row r="4876" spans="1:18" x14ac:dyDescent="0.25">
      <c r="A4876">
        <v>2021</v>
      </c>
      <c r="B4876">
        <v>3</v>
      </c>
      <c r="C4876" s="1" t="s">
        <v>26</v>
      </c>
      <c r="D4876" s="1" t="s">
        <v>19</v>
      </c>
      <c r="E4876" s="1" t="s">
        <v>94</v>
      </c>
      <c r="F4876">
        <v>2014</v>
      </c>
      <c r="G4876">
        <v>7</v>
      </c>
      <c r="H4876" s="1" t="s">
        <v>21</v>
      </c>
      <c r="I4876">
        <v>20</v>
      </c>
      <c r="J4876">
        <v>1954</v>
      </c>
      <c r="K4876" s="1" t="s">
        <v>95</v>
      </c>
      <c r="L4876" s="1" t="s">
        <v>45</v>
      </c>
      <c r="M4876">
        <v>1.304</v>
      </c>
      <c r="N4876">
        <v>26071.200000000001</v>
      </c>
      <c r="O4876">
        <v>26.071000000000002</v>
      </c>
      <c r="P4876" s="2">
        <v>44256</v>
      </c>
      <c r="Q4876">
        <v>1</v>
      </c>
      <c r="R4876" s="1" t="s">
        <v>40</v>
      </c>
    </row>
    <row r="4877" spans="1:18" x14ac:dyDescent="0.25">
      <c r="A4877">
        <v>2021</v>
      </c>
      <c r="B4877">
        <v>4</v>
      </c>
      <c r="C4877" s="1" t="s">
        <v>27</v>
      </c>
      <c r="D4877" s="1" t="s">
        <v>19</v>
      </c>
      <c r="E4877" s="1" t="s">
        <v>94</v>
      </c>
      <c r="F4877">
        <v>2014</v>
      </c>
      <c r="G4877">
        <v>7</v>
      </c>
      <c r="H4877" s="1" t="s">
        <v>21</v>
      </c>
      <c r="I4877">
        <v>20</v>
      </c>
      <c r="J4877">
        <v>1954</v>
      </c>
      <c r="K4877" s="1" t="s">
        <v>95</v>
      </c>
      <c r="L4877" s="1" t="s">
        <v>45</v>
      </c>
      <c r="M4877">
        <v>1.514</v>
      </c>
      <c r="N4877">
        <v>30278.7</v>
      </c>
      <c r="O4877">
        <v>30.279</v>
      </c>
      <c r="P4877" s="2">
        <v>44287</v>
      </c>
      <c r="Q4877">
        <v>1</v>
      </c>
      <c r="R4877" s="1" t="s">
        <v>40</v>
      </c>
    </row>
    <row r="4878" spans="1:18" x14ac:dyDescent="0.25">
      <c r="A4878">
        <v>2021</v>
      </c>
      <c r="B4878">
        <v>5</v>
      </c>
      <c r="C4878" s="1" t="s">
        <v>28</v>
      </c>
      <c r="D4878" s="1" t="s">
        <v>19</v>
      </c>
      <c r="E4878" s="1" t="s">
        <v>94</v>
      </c>
      <c r="F4878">
        <v>2014</v>
      </c>
      <c r="G4878">
        <v>7</v>
      </c>
      <c r="H4878" s="1" t="s">
        <v>21</v>
      </c>
      <c r="I4878">
        <v>20</v>
      </c>
      <c r="J4878">
        <v>1954</v>
      </c>
      <c r="K4878" s="1" t="s">
        <v>95</v>
      </c>
      <c r="L4878" s="1" t="s">
        <v>45</v>
      </c>
      <c r="M4878">
        <v>1.4750000000000001</v>
      </c>
      <c r="N4878">
        <v>29498.400000000001</v>
      </c>
      <c r="O4878">
        <v>29.498000000000001</v>
      </c>
      <c r="P4878" s="2">
        <v>44317</v>
      </c>
      <c r="Q4878">
        <v>1</v>
      </c>
      <c r="R4878" s="1" t="s">
        <v>40</v>
      </c>
    </row>
    <row r="4879" spans="1:18" x14ac:dyDescent="0.25">
      <c r="A4879">
        <v>2021</v>
      </c>
      <c r="B4879">
        <v>6</v>
      </c>
      <c r="C4879" s="1" t="s">
        <v>29</v>
      </c>
      <c r="D4879" s="1" t="s">
        <v>19</v>
      </c>
      <c r="E4879" s="1" t="s">
        <v>94</v>
      </c>
      <c r="F4879">
        <v>2014</v>
      </c>
      <c r="G4879">
        <v>7</v>
      </c>
      <c r="H4879" s="1" t="s">
        <v>21</v>
      </c>
      <c r="I4879">
        <v>20</v>
      </c>
      <c r="J4879">
        <v>1954</v>
      </c>
      <c r="K4879" s="1" t="s">
        <v>95</v>
      </c>
      <c r="L4879" s="1" t="s">
        <v>45</v>
      </c>
      <c r="M4879">
        <v>1.4450000000000001</v>
      </c>
      <c r="N4879">
        <v>28901.7</v>
      </c>
      <c r="O4879">
        <v>28.902000000000001</v>
      </c>
      <c r="P4879" s="2">
        <v>44348</v>
      </c>
      <c r="Q4879">
        <v>1</v>
      </c>
      <c r="R4879" s="1" t="s">
        <v>40</v>
      </c>
    </row>
    <row r="4880" spans="1:18" x14ac:dyDescent="0.25">
      <c r="A4880">
        <v>2021</v>
      </c>
      <c r="B4880">
        <v>7</v>
      </c>
      <c r="C4880" s="1" t="s">
        <v>30</v>
      </c>
      <c r="D4880" s="1" t="s">
        <v>19</v>
      </c>
      <c r="E4880" s="1" t="s">
        <v>94</v>
      </c>
      <c r="F4880">
        <v>2014</v>
      </c>
      <c r="G4880">
        <v>7</v>
      </c>
      <c r="H4880" s="1" t="s">
        <v>21</v>
      </c>
      <c r="I4880">
        <v>20</v>
      </c>
      <c r="J4880">
        <v>1954</v>
      </c>
      <c r="K4880" s="1" t="s">
        <v>95</v>
      </c>
      <c r="L4880" s="1" t="s">
        <v>45</v>
      </c>
      <c r="M4880">
        <v>1.6519999999999999</v>
      </c>
      <c r="N4880">
        <v>33048</v>
      </c>
      <c r="O4880">
        <v>33.048000000000002</v>
      </c>
      <c r="P4880" s="2">
        <v>44378</v>
      </c>
      <c r="Q4880">
        <v>1</v>
      </c>
      <c r="R4880" s="1" t="s">
        <v>40</v>
      </c>
    </row>
    <row r="4881" spans="1:18" x14ac:dyDescent="0.25">
      <c r="A4881">
        <v>2021</v>
      </c>
      <c r="B4881">
        <v>8</v>
      </c>
      <c r="C4881" s="1" t="s">
        <v>31</v>
      </c>
      <c r="D4881" s="1" t="s">
        <v>19</v>
      </c>
      <c r="E4881" s="1" t="s">
        <v>94</v>
      </c>
      <c r="F4881">
        <v>2014</v>
      </c>
      <c r="G4881">
        <v>7</v>
      </c>
      <c r="H4881" s="1" t="s">
        <v>21</v>
      </c>
      <c r="I4881">
        <v>20</v>
      </c>
      <c r="J4881">
        <v>1954</v>
      </c>
      <c r="K4881" s="1" t="s">
        <v>95</v>
      </c>
      <c r="L4881" s="1" t="s">
        <v>45</v>
      </c>
      <c r="M4881">
        <v>1.597</v>
      </c>
      <c r="N4881">
        <v>31946.400000000001</v>
      </c>
      <c r="O4881">
        <v>31.946000000000002</v>
      </c>
      <c r="P4881" s="2">
        <v>44409</v>
      </c>
      <c r="Q4881">
        <v>1</v>
      </c>
      <c r="R4881" s="1" t="s">
        <v>40</v>
      </c>
    </row>
    <row r="4882" spans="1:18" x14ac:dyDescent="0.25">
      <c r="A4882">
        <v>2021</v>
      </c>
      <c r="B4882">
        <v>9</v>
      </c>
      <c r="C4882" s="1" t="s">
        <v>32</v>
      </c>
      <c r="D4882" s="1" t="s">
        <v>19</v>
      </c>
      <c r="E4882" s="1" t="s">
        <v>94</v>
      </c>
      <c r="F4882">
        <v>2014</v>
      </c>
      <c r="G4882">
        <v>7</v>
      </c>
      <c r="H4882" s="1" t="s">
        <v>21</v>
      </c>
      <c r="I4882">
        <v>20</v>
      </c>
      <c r="J4882">
        <v>1954</v>
      </c>
      <c r="K4882" s="1" t="s">
        <v>95</v>
      </c>
      <c r="L4882" s="1" t="s">
        <v>45</v>
      </c>
      <c r="M4882">
        <v>1.526</v>
      </c>
      <c r="N4882">
        <v>30523.5</v>
      </c>
      <c r="O4882">
        <v>30.524000000000001</v>
      </c>
      <c r="P4882" s="2">
        <v>44440</v>
      </c>
      <c r="Q4882">
        <v>1</v>
      </c>
      <c r="R4882" s="1" t="s">
        <v>40</v>
      </c>
    </row>
    <row r="4883" spans="1:18" x14ac:dyDescent="0.25">
      <c r="A4883">
        <v>2021</v>
      </c>
      <c r="B4883">
        <v>10</v>
      </c>
      <c r="C4883" s="1" t="s">
        <v>33</v>
      </c>
      <c r="D4883" s="1" t="s">
        <v>19</v>
      </c>
      <c r="E4883" s="1" t="s">
        <v>94</v>
      </c>
      <c r="F4883">
        <v>2014</v>
      </c>
      <c r="G4883">
        <v>7</v>
      </c>
      <c r="H4883" s="1" t="s">
        <v>21</v>
      </c>
      <c r="I4883">
        <v>20</v>
      </c>
      <c r="J4883">
        <v>1954</v>
      </c>
      <c r="K4883" s="1" t="s">
        <v>95</v>
      </c>
      <c r="L4883" s="1" t="s">
        <v>45</v>
      </c>
      <c r="M4883">
        <v>1.615</v>
      </c>
      <c r="N4883">
        <v>32298.3</v>
      </c>
      <c r="O4883">
        <v>32.298000000000002</v>
      </c>
      <c r="P4883" s="2">
        <v>44470</v>
      </c>
      <c r="Q4883">
        <v>1</v>
      </c>
      <c r="R4883" s="1" t="s">
        <v>40</v>
      </c>
    </row>
    <row r="4884" spans="1:18" x14ac:dyDescent="0.25">
      <c r="A4884">
        <v>2021</v>
      </c>
      <c r="B4884">
        <v>11</v>
      </c>
      <c r="C4884" s="1" t="s">
        <v>34</v>
      </c>
      <c r="D4884" s="1" t="s">
        <v>19</v>
      </c>
      <c r="E4884" s="1" t="s">
        <v>94</v>
      </c>
      <c r="F4884">
        <v>2014</v>
      </c>
      <c r="G4884">
        <v>7</v>
      </c>
      <c r="H4884" s="1" t="s">
        <v>21</v>
      </c>
      <c r="I4884">
        <v>20</v>
      </c>
      <c r="J4884">
        <v>1954</v>
      </c>
      <c r="K4884" s="1" t="s">
        <v>95</v>
      </c>
      <c r="L4884" s="1" t="s">
        <v>45</v>
      </c>
      <c r="M4884">
        <v>1.5740000000000001</v>
      </c>
      <c r="N4884">
        <v>31472.1</v>
      </c>
      <c r="O4884">
        <v>31.472000000000001</v>
      </c>
      <c r="P4884" s="2">
        <v>44501</v>
      </c>
      <c r="Q4884">
        <v>1</v>
      </c>
      <c r="R4884" s="1" t="s">
        <v>40</v>
      </c>
    </row>
    <row r="4885" spans="1:18" x14ac:dyDescent="0.25">
      <c r="A4885">
        <v>2021</v>
      </c>
      <c r="B4885">
        <v>12</v>
      </c>
      <c r="C4885" s="1" t="s">
        <v>35</v>
      </c>
      <c r="D4885" s="1" t="s">
        <v>19</v>
      </c>
      <c r="E4885" s="1" t="s">
        <v>94</v>
      </c>
      <c r="F4885">
        <v>2014</v>
      </c>
      <c r="G4885">
        <v>7</v>
      </c>
      <c r="H4885" s="1" t="s">
        <v>21</v>
      </c>
      <c r="I4885">
        <v>20</v>
      </c>
      <c r="J4885">
        <v>1954</v>
      </c>
      <c r="K4885" s="1" t="s">
        <v>95</v>
      </c>
      <c r="L4885" s="1" t="s">
        <v>45</v>
      </c>
      <c r="M4885">
        <v>1.597</v>
      </c>
      <c r="N4885">
        <v>31931.1</v>
      </c>
      <c r="O4885">
        <v>31.931000000000001</v>
      </c>
      <c r="P4885" s="2">
        <v>44531</v>
      </c>
      <c r="Q4885">
        <v>1</v>
      </c>
      <c r="R4885" s="1" t="s">
        <v>40</v>
      </c>
    </row>
    <row r="4886" spans="1:18" x14ac:dyDescent="0.25">
      <c r="A4886">
        <v>2021</v>
      </c>
      <c r="B4886">
        <v>1</v>
      </c>
      <c r="C4886" s="1" t="s">
        <v>18</v>
      </c>
      <c r="D4886" s="1" t="s">
        <v>19</v>
      </c>
      <c r="E4886" s="1" t="s">
        <v>96</v>
      </c>
      <c r="F4886">
        <v>2014</v>
      </c>
      <c r="G4886">
        <v>7</v>
      </c>
      <c r="H4886" s="1" t="s">
        <v>21</v>
      </c>
      <c r="I4886">
        <v>24</v>
      </c>
      <c r="J4886">
        <v>1329</v>
      </c>
      <c r="K4886" s="1" t="s">
        <v>97</v>
      </c>
      <c r="L4886" s="1" t="s">
        <v>45</v>
      </c>
      <c r="M4886">
        <v>0.48199999999999998</v>
      </c>
      <c r="N4886">
        <v>11566.8</v>
      </c>
      <c r="O4886">
        <v>11.567</v>
      </c>
      <c r="P4886" s="2">
        <v>44197</v>
      </c>
      <c r="Q4886">
        <v>1</v>
      </c>
      <c r="R4886" s="1" t="s">
        <v>40</v>
      </c>
    </row>
    <row r="4887" spans="1:18" x14ac:dyDescent="0.25">
      <c r="A4887">
        <v>2021</v>
      </c>
      <c r="B4887">
        <v>2</v>
      </c>
      <c r="C4887" s="1" t="s">
        <v>25</v>
      </c>
      <c r="D4887" s="1" t="s">
        <v>19</v>
      </c>
      <c r="E4887" s="1" t="s">
        <v>96</v>
      </c>
      <c r="F4887">
        <v>2014</v>
      </c>
      <c r="G4887">
        <v>7</v>
      </c>
      <c r="H4887" s="1" t="s">
        <v>21</v>
      </c>
      <c r="I4887">
        <v>24</v>
      </c>
      <c r="J4887">
        <v>1329</v>
      </c>
      <c r="K4887" s="1" t="s">
        <v>97</v>
      </c>
      <c r="L4887" s="1" t="s">
        <v>45</v>
      </c>
      <c r="M4887">
        <v>0.8</v>
      </c>
      <c r="N4887">
        <v>19204.599999999999</v>
      </c>
      <c r="O4887">
        <v>19.204999999999998</v>
      </c>
      <c r="P4887" s="2">
        <v>44228</v>
      </c>
      <c r="Q4887">
        <v>1</v>
      </c>
      <c r="R4887" s="1" t="s">
        <v>40</v>
      </c>
    </row>
    <row r="4888" spans="1:18" x14ac:dyDescent="0.25">
      <c r="A4888">
        <v>2021</v>
      </c>
      <c r="B4888">
        <v>3</v>
      </c>
      <c r="C4888" s="1" t="s">
        <v>26</v>
      </c>
      <c r="D4888" s="1" t="s">
        <v>19</v>
      </c>
      <c r="E4888" s="1" t="s">
        <v>96</v>
      </c>
      <c r="F4888">
        <v>2014</v>
      </c>
      <c r="G4888">
        <v>7</v>
      </c>
      <c r="H4888" s="1" t="s">
        <v>21</v>
      </c>
      <c r="I4888">
        <v>24</v>
      </c>
      <c r="J4888">
        <v>1329</v>
      </c>
      <c r="K4888" s="1" t="s">
        <v>97</v>
      </c>
      <c r="L4888" s="1" t="s">
        <v>45</v>
      </c>
      <c r="M4888">
        <v>1.304</v>
      </c>
      <c r="N4888">
        <v>31285.4</v>
      </c>
      <c r="O4888">
        <v>31.285</v>
      </c>
      <c r="P4888" s="2">
        <v>44256</v>
      </c>
      <c r="Q4888">
        <v>1</v>
      </c>
      <c r="R4888" s="1" t="s">
        <v>40</v>
      </c>
    </row>
    <row r="4889" spans="1:18" x14ac:dyDescent="0.25">
      <c r="A4889">
        <v>2021</v>
      </c>
      <c r="B4889">
        <v>4</v>
      </c>
      <c r="C4889" s="1" t="s">
        <v>27</v>
      </c>
      <c r="D4889" s="1" t="s">
        <v>19</v>
      </c>
      <c r="E4889" s="1" t="s">
        <v>96</v>
      </c>
      <c r="F4889">
        <v>2014</v>
      </c>
      <c r="G4889">
        <v>7</v>
      </c>
      <c r="H4889" s="1" t="s">
        <v>21</v>
      </c>
      <c r="I4889">
        <v>24</v>
      </c>
      <c r="J4889">
        <v>1329</v>
      </c>
      <c r="K4889" s="1" t="s">
        <v>97</v>
      </c>
      <c r="L4889" s="1" t="s">
        <v>45</v>
      </c>
      <c r="M4889">
        <v>1.514</v>
      </c>
      <c r="N4889">
        <v>36334.400000000001</v>
      </c>
      <c r="O4889">
        <v>36.334000000000003</v>
      </c>
      <c r="P4889" s="2">
        <v>44287</v>
      </c>
      <c r="Q4889">
        <v>1</v>
      </c>
      <c r="R4889" s="1" t="s">
        <v>40</v>
      </c>
    </row>
    <row r="4890" spans="1:18" x14ac:dyDescent="0.25">
      <c r="A4890">
        <v>2021</v>
      </c>
      <c r="B4890">
        <v>5</v>
      </c>
      <c r="C4890" s="1" t="s">
        <v>28</v>
      </c>
      <c r="D4890" s="1" t="s">
        <v>19</v>
      </c>
      <c r="E4890" s="1" t="s">
        <v>96</v>
      </c>
      <c r="F4890">
        <v>2014</v>
      </c>
      <c r="G4890">
        <v>7</v>
      </c>
      <c r="H4890" s="1" t="s">
        <v>21</v>
      </c>
      <c r="I4890">
        <v>24</v>
      </c>
      <c r="J4890">
        <v>1329</v>
      </c>
      <c r="K4890" s="1" t="s">
        <v>97</v>
      </c>
      <c r="L4890" s="1" t="s">
        <v>45</v>
      </c>
      <c r="M4890">
        <v>1.4750000000000001</v>
      </c>
      <c r="N4890">
        <v>35398.1</v>
      </c>
      <c r="O4890">
        <v>35.398000000000003</v>
      </c>
      <c r="P4890" s="2">
        <v>44317</v>
      </c>
      <c r="Q4890">
        <v>1</v>
      </c>
      <c r="R4890" s="1" t="s">
        <v>40</v>
      </c>
    </row>
    <row r="4891" spans="1:18" x14ac:dyDescent="0.25">
      <c r="A4891">
        <v>2021</v>
      </c>
      <c r="B4891">
        <v>6</v>
      </c>
      <c r="C4891" s="1" t="s">
        <v>29</v>
      </c>
      <c r="D4891" s="1" t="s">
        <v>19</v>
      </c>
      <c r="E4891" s="1" t="s">
        <v>96</v>
      </c>
      <c r="F4891">
        <v>2014</v>
      </c>
      <c r="G4891">
        <v>7</v>
      </c>
      <c r="H4891" s="1" t="s">
        <v>21</v>
      </c>
      <c r="I4891">
        <v>24</v>
      </c>
      <c r="J4891">
        <v>1329</v>
      </c>
      <c r="K4891" s="1" t="s">
        <v>97</v>
      </c>
      <c r="L4891" s="1" t="s">
        <v>45</v>
      </c>
      <c r="M4891">
        <v>1.4450000000000001</v>
      </c>
      <c r="N4891">
        <v>34682</v>
      </c>
      <c r="O4891">
        <v>34.682000000000002</v>
      </c>
      <c r="P4891" s="2">
        <v>44348</v>
      </c>
      <c r="Q4891">
        <v>1</v>
      </c>
      <c r="R4891" s="1" t="s">
        <v>40</v>
      </c>
    </row>
    <row r="4892" spans="1:18" x14ac:dyDescent="0.25">
      <c r="A4892">
        <v>2021</v>
      </c>
      <c r="B4892">
        <v>7</v>
      </c>
      <c r="C4892" s="1" t="s">
        <v>30</v>
      </c>
      <c r="D4892" s="1" t="s">
        <v>19</v>
      </c>
      <c r="E4892" s="1" t="s">
        <v>96</v>
      </c>
      <c r="F4892">
        <v>2014</v>
      </c>
      <c r="G4892">
        <v>7</v>
      </c>
      <c r="H4892" s="1" t="s">
        <v>21</v>
      </c>
      <c r="I4892">
        <v>24</v>
      </c>
      <c r="J4892">
        <v>1329</v>
      </c>
      <c r="K4892" s="1" t="s">
        <v>97</v>
      </c>
      <c r="L4892" s="1" t="s">
        <v>45</v>
      </c>
      <c r="M4892">
        <v>1.6519999999999999</v>
      </c>
      <c r="N4892">
        <v>39657.599999999999</v>
      </c>
      <c r="O4892">
        <v>39.658000000000001</v>
      </c>
      <c r="P4892" s="2">
        <v>44378</v>
      </c>
      <c r="Q4892">
        <v>1</v>
      </c>
      <c r="R4892" s="1" t="s">
        <v>40</v>
      </c>
    </row>
    <row r="4893" spans="1:18" x14ac:dyDescent="0.25">
      <c r="A4893">
        <v>2021</v>
      </c>
      <c r="B4893">
        <v>8</v>
      </c>
      <c r="C4893" s="1" t="s">
        <v>31</v>
      </c>
      <c r="D4893" s="1" t="s">
        <v>19</v>
      </c>
      <c r="E4893" s="1" t="s">
        <v>96</v>
      </c>
      <c r="F4893">
        <v>2014</v>
      </c>
      <c r="G4893">
        <v>7</v>
      </c>
      <c r="H4893" s="1" t="s">
        <v>21</v>
      </c>
      <c r="I4893">
        <v>24</v>
      </c>
      <c r="J4893">
        <v>1329</v>
      </c>
      <c r="K4893" s="1" t="s">
        <v>97</v>
      </c>
      <c r="L4893" s="1" t="s">
        <v>45</v>
      </c>
      <c r="M4893">
        <v>1.597</v>
      </c>
      <c r="N4893">
        <v>38335.699999999997</v>
      </c>
      <c r="O4893">
        <v>38.335999999999999</v>
      </c>
      <c r="P4893" s="2">
        <v>44409</v>
      </c>
      <c r="Q4893">
        <v>1</v>
      </c>
      <c r="R4893" s="1" t="s">
        <v>40</v>
      </c>
    </row>
    <row r="4894" spans="1:18" x14ac:dyDescent="0.25">
      <c r="A4894">
        <v>2021</v>
      </c>
      <c r="B4894">
        <v>9</v>
      </c>
      <c r="C4894" s="1" t="s">
        <v>32</v>
      </c>
      <c r="D4894" s="1" t="s">
        <v>19</v>
      </c>
      <c r="E4894" s="1" t="s">
        <v>96</v>
      </c>
      <c r="F4894">
        <v>2014</v>
      </c>
      <c r="G4894">
        <v>7</v>
      </c>
      <c r="H4894" s="1" t="s">
        <v>21</v>
      </c>
      <c r="I4894">
        <v>24</v>
      </c>
      <c r="J4894">
        <v>1329</v>
      </c>
      <c r="K4894" s="1" t="s">
        <v>97</v>
      </c>
      <c r="L4894" s="1" t="s">
        <v>45</v>
      </c>
      <c r="M4894">
        <v>1.526</v>
      </c>
      <c r="N4894">
        <v>36628.199999999997</v>
      </c>
      <c r="O4894">
        <v>36.628</v>
      </c>
      <c r="P4894" s="2">
        <v>44440</v>
      </c>
      <c r="Q4894">
        <v>1</v>
      </c>
      <c r="R4894" s="1" t="s">
        <v>40</v>
      </c>
    </row>
    <row r="4895" spans="1:18" x14ac:dyDescent="0.25">
      <c r="A4895">
        <v>2021</v>
      </c>
      <c r="B4895">
        <v>10</v>
      </c>
      <c r="C4895" s="1" t="s">
        <v>33</v>
      </c>
      <c r="D4895" s="1" t="s">
        <v>19</v>
      </c>
      <c r="E4895" s="1" t="s">
        <v>96</v>
      </c>
      <c r="F4895">
        <v>2014</v>
      </c>
      <c r="G4895">
        <v>7</v>
      </c>
      <c r="H4895" s="1" t="s">
        <v>21</v>
      </c>
      <c r="I4895">
        <v>24</v>
      </c>
      <c r="J4895">
        <v>1329</v>
      </c>
      <c r="K4895" s="1" t="s">
        <v>97</v>
      </c>
      <c r="L4895" s="1" t="s">
        <v>45</v>
      </c>
      <c r="M4895">
        <v>1.615</v>
      </c>
      <c r="N4895">
        <v>38758</v>
      </c>
      <c r="O4895">
        <v>38.758000000000003</v>
      </c>
      <c r="P4895" s="2">
        <v>44470</v>
      </c>
      <c r="Q4895">
        <v>1</v>
      </c>
      <c r="R4895" s="1" t="s">
        <v>40</v>
      </c>
    </row>
    <row r="4896" spans="1:18" x14ac:dyDescent="0.25">
      <c r="A4896">
        <v>2021</v>
      </c>
      <c r="B4896">
        <v>11</v>
      </c>
      <c r="C4896" s="1" t="s">
        <v>34</v>
      </c>
      <c r="D4896" s="1" t="s">
        <v>19</v>
      </c>
      <c r="E4896" s="1" t="s">
        <v>96</v>
      </c>
      <c r="F4896">
        <v>2014</v>
      </c>
      <c r="G4896">
        <v>7</v>
      </c>
      <c r="H4896" s="1" t="s">
        <v>21</v>
      </c>
      <c r="I4896">
        <v>24</v>
      </c>
      <c r="J4896">
        <v>1329</v>
      </c>
      <c r="K4896" s="1" t="s">
        <v>97</v>
      </c>
      <c r="L4896" s="1" t="s">
        <v>45</v>
      </c>
      <c r="M4896">
        <v>1.5740000000000001</v>
      </c>
      <c r="N4896">
        <v>37766.5</v>
      </c>
      <c r="O4896">
        <v>37.767000000000003</v>
      </c>
      <c r="P4896" s="2">
        <v>44501</v>
      </c>
      <c r="Q4896">
        <v>1</v>
      </c>
      <c r="R4896" s="1" t="s">
        <v>40</v>
      </c>
    </row>
    <row r="4897" spans="1:18" x14ac:dyDescent="0.25">
      <c r="A4897">
        <v>2021</v>
      </c>
      <c r="B4897">
        <v>12</v>
      </c>
      <c r="C4897" s="1" t="s">
        <v>35</v>
      </c>
      <c r="D4897" s="1" t="s">
        <v>19</v>
      </c>
      <c r="E4897" s="1" t="s">
        <v>96</v>
      </c>
      <c r="F4897">
        <v>2014</v>
      </c>
      <c r="G4897">
        <v>7</v>
      </c>
      <c r="H4897" s="1" t="s">
        <v>21</v>
      </c>
      <c r="I4897">
        <v>24</v>
      </c>
      <c r="J4897">
        <v>1329</v>
      </c>
      <c r="K4897" s="1" t="s">
        <v>97</v>
      </c>
      <c r="L4897" s="1" t="s">
        <v>45</v>
      </c>
      <c r="M4897">
        <v>1.597</v>
      </c>
      <c r="N4897">
        <v>38317.300000000003</v>
      </c>
      <c r="O4897">
        <v>38.317</v>
      </c>
      <c r="P4897" s="2">
        <v>44531</v>
      </c>
      <c r="Q4897">
        <v>1</v>
      </c>
      <c r="R4897" s="1" t="s">
        <v>40</v>
      </c>
    </row>
    <row r="4898" spans="1:18" x14ac:dyDescent="0.25">
      <c r="A4898">
        <v>2021</v>
      </c>
      <c r="B4898">
        <v>1</v>
      </c>
      <c r="C4898" s="1" t="s">
        <v>18</v>
      </c>
      <c r="D4898" s="1" t="s">
        <v>19</v>
      </c>
      <c r="E4898" s="1" t="s">
        <v>98</v>
      </c>
      <c r="F4898">
        <v>2014</v>
      </c>
      <c r="G4898">
        <v>7</v>
      </c>
      <c r="H4898" s="1" t="s">
        <v>21</v>
      </c>
      <c r="I4898">
        <v>24</v>
      </c>
      <c r="J4898">
        <v>1573</v>
      </c>
      <c r="K4898" s="1" t="s">
        <v>99</v>
      </c>
      <c r="L4898" s="1" t="s">
        <v>45</v>
      </c>
      <c r="M4898">
        <v>0.48199999999999998</v>
      </c>
      <c r="N4898">
        <v>11566.8</v>
      </c>
      <c r="O4898">
        <v>11.567</v>
      </c>
      <c r="P4898" s="2">
        <v>44197</v>
      </c>
      <c r="Q4898">
        <v>1</v>
      </c>
      <c r="R4898" s="1" t="s">
        <v>40</v>
      </c>
    </row>
    <row r="4899" spans="1:18" x14ac:dyDescent="0.25">
      <c r="A4899">
        <v>2021</v>
      </c>
      <c r="B4899">
        <v>2</v>
      </c>
      <c r="C4899" s="1" t="s">
        <v>25</v>
      </c>
      <c r="D4899" s="1" t="s">
        <v>19</v>
      </c>
      <c r="E4899" s="1" t="s">
        <v>98</v>
      </c>
      <c r="F4899">
        <v>2014</v>
      </c>
      <c r="G4899">
        <v>7</v>
      </c>
      <c r="H4899" s="1" t="s">
        <v>21</v>
      </c>
      <c r="I4899">
        <v>24</v>
      </c>
      <c r="J4899">
        <v>1573</v>
      </c>
      <c r="K4899" s="1" t="s">
        <v>99</v>
      </c>
      <c r="L4899" s="1" t="s">
        <v>45</v>
      </c>
      <c r="M4899">
        <v>0.8</v>
      </c>
      <c r="N4899">
        <v>19204.599999999999</v>
      </c>
      <c r="O4899">
        <v>19.204999999999998</v>
      </c>
      <c r="P4899" s="2">
        <v>44228</v>
      </c>
      <c r="Q4899">
        <v>1</v>
      </c>
      <c r="R4899" s="1" t="s">
        <v>40</v>
      </c>
    </row>
    <row r="4900" spans="1:18" x14ac:dyDescent="0.25">
      <c r="A4900">
        <v>2021</v>
      </c>
      <c r="B4900">
        <v>3</v>
      </c>
      <c r="C4900" s="1" t="s">
        <v>26</v>
      </c>
      <c r="D4900" s="1" t="s">
        <v>19</v>
      </c>
      <c r="E4900" s="1" t="s">
        <v>98</v>
      </c>
      <c r="F4900">
        <v>2014</v>
      </c>
      <c r="G4900">
        <v>7</v>
      </c>
      <c r="H4900" s="1" t="s">
        <v>21</v>
      </c>
      <c r="I4900">
        <v>24</v>
      </c>
      <c r="J4900">
        <v>1573</v>
      </c>
      <c r="K4900" s="1" t="s">
        <v>99</v>
      </c>
      <c r="L4900" s="1" t="s">
        <v>45</v>
      </c>
      <c r="M4900">
        <v>1.304</v>
      </c>
      <c r="N4900">
        <v>31285.4</v>
      </c>
      <c r="O4900">
        <v>31.285</v>
      </c>
      <c r="P4900" s="2">
        <v>44256</v>
      </c>
      <c r="Q4900">
        <v>1</v>
      </c>
      <c r="R4900" s="1" t="s">
        <v>40</v>
      </c>
    </row>
    <row r="4901" spans="1:18" x14ac:dyDescent="0.25">
      <c r="A4901">
        <v>2021</v>
      </c>
      <c r="B4901">
        <v>4</v>
      </c>
      <c r="C4901" s="1" t="s">
        <v>27</v>
      </c>
      <c r="D4901" s="1" t="s">
        <v>19</v>
      </c>
      <c r="E4901" s="1" t="s">
        <v>98</v>
      </c>
      <c r="F4901">
        <v>2014</v>
      </c>
      <c r="G4901">
        <v>7</v>
      </c>
      <c r="H4901" s="1" t="s">
        <v>21</v>
      </c>
      <c r="I4901">
        <v>24</v>
      </c>
      <c r="J4901">
        <v>1573</v>
      </c>
      <c r="K4901" s="1" t="s">
        <v>99</v>
      </c>
      <c r="L4901" s="1" t="s">
        <v>45</v>
      </c>
      <c r="M4901">
        <v>1.514</v>
      </c>
      <c r="N4901">
        <v>36334.400000000001</v>
      </c>
      <c r="O4901">
        <v>36.334000000000003</v>
      </c>
      <c r="P4901" s="2">
        <v>44287</v>
      </c>
      <c r="Q4901">
        <v>1</v>
      </c>
      <c r="R4901" s="1" t="s">
        <v>40</v>
      </c>
    </row>
    <row r="4902" spans="1:18" x14ac:dyDescent="0.25">
      <c r="A4902">
        <v>2021</v>
      </c>
      <c r="B4902">
        <v>5</v>
      </c>
      <c r="C4902" s="1" t="s">
        <v>28</v>
      </c>
      <c r="D4902" s="1" t="s">
        <v>19</v>
      </c>
      <c r="E4902" s="1" t="s">
        <v>98</v>
      </c>
      <c r="F4902">
        <v>2014</v>
      </c>
      <c r="G4902">
        <v>7</v>
      </c>
      <c r="H4902" s="1" t="s">
        <v>21</v>
      </c>
      <c r="I4902">
        <v>24</v>
      </c>
      <c r="J4902">
        <v>1573</v>
      </c>
      <c r="K4902" s="1" t="s">
        <v>99</v>
      </c>
      <c r="L4902" s="1" t="s">
        <v>45</v>
      </c>
      <c r="M4902">
        <v>1.4750000000000001</v>
      </c>
      <c r="N4902">
        <v>35398.1</v>
      </c>
      <c r="O4902">
        <v>35.398000000000003</v>
      </c>
      <c r="P4902" s="2">
        <v>44317</v>
      </c>
      <c r="Q4902">
        <v>1</v>
      </c>
      <c r="R4902" s="1" t="s">
        <v>40</v>
      </c>
    </row>
    <row r="4903" spans="1:18" x14ac:dyDescent="0.25">
      <c r="A4903">
        <v>2021</v>
      </c>
      <c r="B4903">
        <v>6</v>
      </c>
      <c r="C4903" s="1" t="s">
        <v>29</v>
      </c>
      <c r="D4903" s="1" t="s">
        <v>19</v>
      </c>
      <c r="E4903" s="1" t="s">
        <v>98</v>
      </c>
      <c r="F4903">
        <v>2014</v>
      </c>
      <c r="G4903">
        <v>7</v>
      </c>
      <c r="H4903" s="1" t="s">
        <v>21</v>
      </c>
      <c r="I4903">
        <v>24</v>
      </c>
      <c r="J4903">
        <v>1573</v>
      </c>
      <c r="K4903" s="1" t="s">
        <v>99</v>
      </c>
      <c r="L4903" s="1" t="s">
        <v>45</v>
      </c>
      <c r="M4903">
        <v>1.4450000000000001</v>
      </c>
      <c r="N4903">
        <v>34682</v>
      </c>
      <c r="O4903">
        <v>34.682000000000002</v>
      </c>
      <c r="P4903" s="2">
        <v>44348</v>
      </c>
      <c r="Q4903">
        <v>1</v>
      </c>
      <c r="R4903" s="1" t="s">
        <v>40</v>
      </c>
    </row>
    <row r="4904" spans="1:18" x14ac:dyDescent="0.25">
      <c r="A4904">
        <v>2021</v>
      </c>
      <c r="B4904">
        <v>7</v>
      </c>
      <c r="C4904" s="1" t="s">
        <v>30</v>
      </c>
      <c r="D4904" s="1" t="s">
        <v>19</v>
      </c>
      <c r="E4904" s="1" t="s">
        <v>98</v>
      </c>
      <c r="F4904">
        <v>2014</v>
      </c>
      <c r="G4904">
        <v>7</v>
      </c>
      <c r="H4904" s="1" t="s">
        <v>21</v>
      </c>
      <c r="I4904">
        <v>24</v>
      </c>
      <c r="J4904">
        <v>1573</v>
      </c>
      <c r="K4904" s="1" t="s">
        <v>99</v>
      </c>
      <c r="L4904" s="1" t="s">
        <v>45</v>
      </c>
      <c r="M4904">
        <v>1.6519999999999999</v>
      </c>
      <c r="N4904">
        <v>39657.599999999999</v>
      </c>
      <c r="O4904">
        <v>39.658000000000001</v>
      </c>
      <c r="P4904" s="2">
        <v>44378</v>
      </c>
      <c r="Q4904">
        <v>1</v>
      </c>
      <c r="R4904" s="1" t="s">
        <v>40</v>
      </c>
    </row>
    <row r="4905" spans="1:18" x14ac:dyDescent="0.25">
      <c r="A4905">
        <v>2021</v>
      </c>
      <c r="B4905">
        <v>8</v>
      </c>
      <c r="C4905" s="1" t="s">
        <v>31</v>
      </c>
      <c r="D4905" s="1" t="s">
        <v>19</v>
      </c>
      <c r="E4905" s="1" t="s">
        <v>98</v>
      </c>
      <c r="F4905">
        <v>2014</v>
      </c>
      <c r="G4905">
        <v>7</v>
      </c>
      <c r="H4905" s="1" t="s">
        <v>21</v>
      </c>
      <c r="I4905">
        <v>24</v>
      </c>
      <c r="J4905">
        <v>1573</v>
      </c>
      <c r="K4905" s="1" t="s">
        <v>99</v>
      </c>
      <c r="L4905" s="1" t="s">
        <v>45</v>
      </c>
      <c r="M4905">
        <v>1.597</v>
      </c>
      <c r="N4905">
        <v>38335.699999999997</v>
      </c>
      <c r="O4905">
        <v>38.335999999999999</v>
      </c>
      <c r="P4905" s="2">
        <v>44409</v>
      </c>
      <c r="Q4905">
        <v>1</v>
      </c>
      <c r="R4905" s="1" t="s">
        <v>40</v>
      </c>
    </row>
    <row r="4906" spans="1:18" x14ac:dyDescent="0.25">
      <c r="A4906">
        <v>2021</v>
      </c>
      <c r="B4906">
        <v>9</v>
      </c>
      <c r="C4906" s="1" t="s">
        <v>32</v>
      </c>
      <c r="D4906" s="1" t="s">
        <v>19</v>
      </c>
      <c r="E4906" s="1" t="s">
        <v>98</v>
      </c>
      <c r="F4906">
        <v>2014</v>
      </c>
      <c r="G4906">
        <v>7</v>
      </c>
      <c r="H4906" s="1" t="s">
        <v>21</v>
      </c>
      <c r="I4906">
        <v>24</v>
      </c>
      <c r="J4906">
        <v>1573</v>
      </c>
      <c r="K4906" s="1" t="s">
        <v>99</v>
      </c>
      <c r="L4906" s="1" t="s">
        <v>45</v>
      </c>
      <c r="M4906">
        <v>1.526</v>
      </c>
      <c r="N4906">
        <v>36628.199999999997</v>
      </c>
      <c r="O4906">
        <v>36.628</v>
      </c>
      <c r="P4906" s="2">
        <v>44440</v>
      </c>
      <c r="Q4906">
        <v>1</v>
      </c>
      <c r="R4906" s="1" t="s">
        <v>40</v>
      </c>
    </row>
    <row r="4907" spans="1:18" x14ac:dyDescent="0.25">
      <c r="A4907">
        <v>2021</v>
      </c>
      <c r="B4907">
        <v>10</v>
      </c>
      <c r="C4907" s="1" t="s">
        <v>33</v>
      </c>
      <c r="D4907" s="1" t="s">
        <v>19</v>
      </c>
      <c r="E4907" s="1" t="s">
        <v>98</v>
      </c>
      <c r="F4907">
        <v>2014</v>
      </c>
      <c r="G4907">
        <v>7</v>
      </c>
      <c r="H4907" s="1" t="s">
        <v>21</v>
      </c>
      <c r="I4907">
        <v>24</v>
      </c>
      <c r="J4907">
        <v>1573</v>
      </c>
      <c r="K4907" s="1" t="s">
        <v>99</v>
      </c>
      <c r="L4907" s="1" t="s">
        <v>45</v>
      </c>
      <c r="M4907">
        <v>1.615</v>
      </c>
      <c r="N4907">
        <v>38758</v>
      </c>
      <c r="O4907">
        <v>38.758000000000003</v>
      </c>
      <c r="P4907" s="2">
        <v>44470</v>
      </c>
      <c r="Q4907">
        <v>1</v>
      </c>
      <c r="R4907" s="1" t="s">
        <v>40</v>
      </c>
    </row>
    <row r="4908" spans="1:18" x14ac:dyDescent="0.25">
      <c r="A4908">
        <v>2021</v>
      </c>
      <c r="B4908">
        <v>11</v>
      </c>
      <c r="C4908" s="1" t="s">
        <v>34</v>
      </c>
      <c r="D4908" s="1" t="s">
        <v>19</v>
      </c>
      <c r="E4908" s="1" t="s">
        <v>98</v>
      </c>
      <c r="F4908">
        <v>2014</v>
      </c>
      <c r="G4908">
        <v>7</v>
      </c>
      <c r="H4908" s="1" t="s">
        <v>21</v>
      </c>
      <c r="I4908">
        <v>24</v>
      </c>
      <c r="J4908">
        <v>1573</v>
      </c>
      <c r="K4908" s="1" t="s">
        <v>99</v>
      </c>
      <c r="L4908" s="1" t="s">
        <v>45</v>
      </c>
      <c r="M4908">
        <v>1.5740000000000001</v>
      </c>
      <c r="N4908">
        <v>37766.5</v>
      </c>
      <c r="O4908">
        <v>37.767000000000003</v>
      </c>
      <c r="P4908" s="2">
        <v>44501</v>
      </c>
      <c r="Q4908">
        <v>1</v>
      </c>
      <c r="R4908" s="1" t="s">
        <v>40</v>
      </c>
    </row>
    <row r="4909" spans="1:18" x14ac:dyDescent="0.25">
      <c r="A4909">
        <v>2021</v>
      </c>
      <c r="B4909">
        <v>12</v>
      </c>
      <c r="C4909" s="1" t="s">
        <v>35</v>
      </c>
      <c r="D4909" s="1" t="s">
        <v>19</v>
      </c>
      <c r="E4909" s="1" t="s">
        <v>98</v>
      </c>
      <c r="F4909">
        <v>2014</v>
      </c>
      <c r="G4909">
        <v>7</v>
      </c>
      <c r="H4909" s="1" t="s">
        <v>21</v>
      </c>
      <c r="I4909">
        <v>24</v>
      </c>
      <c r="J4909">
        <v>1573</v>
      </c>
      <c r="K4909" s="1" t="s">
        <v>99</v>
      </c>
      <c r="L4909" s="1" t="s">
        <v>45</v>
      </c>
      <c r="M4909">
        <v>1.597</v>
      </c>
      <c r="N4909">
        <v>38317.300000000003</v>
      </c>
      <c r="O4909">
        <v>38.317</v>
      </c>
      <c r="P4909" s="2">
        <v>44531</v>
      </c>
      <c r="Q4909">
        <v>1</v>
      </c>
      <c r="R4909" s="1" t="s">
        <v>40</v>
      </c>
    </row>
    <row r="4910" spans="1:18" x14ac:dyDescent="0.25">
      <c r="A4910">
        <v>2021</v>
      </c>
      <c r="B4910">
        <v>1</v>
      </c>
      <c r="C4910" s="1" t="s">
        <v>18</v>
      </c>
      <c r="D4910" s="1" t="s">
        <v>19</v>
      </c>
      <c r="E4910" s="1" t="s">
        <v>100</v>
      </c>
      <c r="F4910">
        <v>2016</v>
      </c>
      <c r="G4910">
        <v>5</v>
      </c>
      <c r="H4910" s="1" t="s">
        <v>126</v>
      </c>
      <c r="I4910">
        <v>22</v>
      </c>
      <c r="J4910">
        <v>3137</v>
      </c>
      <c r="K4910" s="1" t="s">
        <v>101</v>
      </c>
      <c r="L4910" s="1" t="s">
        <v>23</v>
      </c>
      <c r="M4910">
        <v>0.55400000000000005</v>
      </c>
      <c r="N4910">
        <v>12196.8</v>
      </c>
      <c r="O4910">
        <v>12.196999999999999</v>
      </c>
      <c r="P4910" s="2">
        <v>44197</v>
      </c>
      <c r="Q4910">
        <v>1</v>
      </c>
      <c r="R4910" s="1" t="s">
        <v>122</v>
      </c>
    </row>
    <row r="4911" spans="1:18" x14ac:dyDescent="0.25">
      <c r="A4911">
        <v>2021</v>
      </c>
      <c r="B4911">
        <v>2</v>
      </c>
      <c r="C4911" s="1" t="s">
        <v>25</v>
      </c>
      <c r="D4911" s="1" t="s">
        <v>19</v>
      </c>
      <c r="E4911" s="1" t="s">
        <v>100</v>
      </c>
      <c r="F4911">
        <v>2016</v>
      </c>
      <c r="G4911">
        <v>5</v>
      </c>
      <c r="H4911" s="1" t="s">
        <v>126</v>
      </c>
      <c r="I4911">
        <v>22</v>
      </c>
      <c r="J4911">
        <v>3137</v>
      </c>
      <c r="K4911" s="1" t="s">
        <v>101</v>
      </c>
      <c r="L4911" s="1" t="s">
        <v>23</v>
      </c>
      <c r="M4911">
        <v>0.92</v>
      </c>
      <c r="N4911">
        <v>20250.599999999999</v>
      </c>
      <c r="O4911">
        <v>20.251000000000001</v>
      </c>
      <c r="P4911" s="2">
        <v>44228</v>
      </c>
      <c r="Q4911">
        <v>1</v>
      </c>
      <c r="R4911" s="1" t="s">
        <v>122</v>
      </c>
    </row>
    <row r="4912" spans="1:18" x14ac:dyDescent="0.25">
      <c r="A4912">
        <v>2021</v>
      </c>
      <c r="B4912">
        <v>3</v>
      </c>
      <c r="C4912" s="1" t="s">
        <v>26</v>
      </c>
      <c r="D4912" s="1" t="s">
        <v>19</v>
      </c>
      <c r="E4912" s="1" t="s">
        <v>100</v>
      </c>
      <c r="F4912">
        <v>2016</v>
      </c>
      <c r="G4912">
        <v>5</v>
      </c>
      <c r="H4912" s="1" t="s">
        <v>126</v>
      </c>
      <c r="I4912">
        <v>22</v>
      </c>
      <c r="J4912">
        <v>3137</v>
      </c>
      <c r="K4912" s="1" t="s">
        <v>101</v>
      </c>
      <c r="L4912" s="1" t="s">
        <v>23</v>
      </c>
      <c r="M4912">
        <v>1.5</v>
      </c>
      <c r="N4912">
        <v>32989.4</v>
      </c>
      <c r="O4912">
        <v>32.988999999999997</v>
      </c>
      <c r="P4912" s="2">
        <v>44256</v>
      </c>
      <c r="Q4912">
        <v>1</v>
      </c>
      <c r="R4912" s="1" t="s">
        <v>122</v>
      </c>
    </row>
    <row r="4913" spans="1:18" x14ac:dyDescent="0.25">
      <c r="A4913">
        <v>2021</v>
      </c>
      <c r="B4913">
        <v>4</v>
      </c>
      <c r="C4913" s="1" t="s">
        <v>27</v>
      </c>
      <c r="D4913" s="1" t="s">
        <v>19</v>
      </c>
      <c r="E4913" s="1" t="s">
        <v>100</v>
      </c>
      <c r="F4913">
        <v>2016</v>
      </c>
      <c r="G4913">
        <v>5</v>
      </c>
      <c r="H4913" s="1" t="s">
        <v>126</v>
      </c>
      <c r="I4913">
        <v>22</v>
      </c>
      <c r="J4913">
        <v>3137</v>
      </c>
      <c r="K4913" s="1" t="s">
        <v>101</v>
      </c>
      <c r="L4913" s="1" t="s">
        <v>23</v>
      </c>
      <c r="M4913">
        <v>1.742</v>
      </c>
      <c r="N4913">
        <v>38313.4</v>
      </c>
      <c r="O4913">
        <v>38.313000000000002</v>
      </c>
      <c r="P4913" s="2">
        <v>44287</v>
      </c>
      <c r="Q4913">
        <v>1</v>
      </c>
      <c r="R4913" s="1" t="s">
        <v>122</v>
      </c>
    </row>
    <row r="4914" spans="1:18" x14ac:dyDescent="0.25">
      <c r="A4914">
        <v>2021</v>
      </c>
      <c r="B4914">
        <v>5</v>
      </c>
      <c r="C4914" s="1" t="s">
        <v>28</v>
      </c>
      <c r="D4914" s="1" t="s">
        <v>19</v>
      </c>
      <c r="E4914" s="1" t="s">
        <v>100</v>
      </c>
      <c r="F4914">
        <v>2016</v>
      </c>
      <c r="G4914">
        <v>5</v>
      </c>
      <c r="H4914" s="1" t="s">
        <v>126</v>
      </c>
      <c r="I4914">
        <v>22</v>
      </c>
      <c r="J4914">
        <v>3137</v>
      </c>
      <c r="K4914" s="1" t="s">
        <v>101</v>
      </c>
      <c r="L4914" s="1" t="s">
        <v>23</v>
      </c>
      <c r="M4914">
        <v>1.6970000000000001</v>
      </c>
      <c r="N4914">
        <v>37326.1</v>
      </c>
      <c r="O4914">
        <v>37.326000000000001</v>
      </c>
      <c r="P4914" s="2">
        <v>44317</v>
      </c>
      <c r="Q4914">
        <v>1</v>
      </c>
      <c r="R4914" s="1" t="s">
        <v>122</v>
      </c>
    </row>
    <row r="4915" spans="1:18" x14ac:dyDescent="0.25">
      <c r="A4915">
        <v>2021</v>
      </c>
      <c r="B4915">
        <v>6</v>
      </c>
      <c r="C4915" s="1" t="s">
        <v>29</v>
      </c>
      <c r="D4915" s="1" t="s">
        <v>19</v>
      </c>
      <c r="E4915" s="1" t="s">
        <v>100</v>
      </c>
      <c r="F4915">
        <v>2016</v>
      </c>
      <c r="G4915">
        <v>5</v>
      </c>
      <c r="H4915" s="1" t="s">
        <v>126</v>
      </c>
      <c r="I4915">
        <v>22</v>
      </c>
      <c r="J4915">
        <v>3137</v>
      </c>
      <c r="K4915" s="1" t="s">
        <v>101</v>
      </c>
      <c r="L4915" s="1" t="s">
        <v>23</v>
      </c>
      <c r="M4915">
        <v>1.6619999999999999</v>
      </c>
      <c r="N4915">
        <v>36571</v>
      </c>
      <c r="O4915">
        <v>36.570999999999998</v>
      </c>
      <c r="P4915" s="2">
        <v>44348</v>
      </c>
      <c r="Q4915">
        <v>1</v>
      </c>
      <c r="R4915" s="1" t="s">
        <v>122</v>
      </c>
    </row>
    <row r="4916" spans="1:18" x14ac:dyDescent="0.25">
      <c r="A4916">
        <v>2021</v>
      </c>
      <c r="B4916">
        <v>7</v>
      </c>
      <c r="C4916" s="1" t="s">
        <v>30</v>
      </c>
      <c r="D4916" s="1" t="s">
        <v>19</v>
      </c>
      <c r="E4916" s="1" t="s">
        <v>100</v>
      </c>
      <c r="F4916">
        <v>2016</v>
      </c>
      <c r="G4916">
        <v>5</v>
      </c>
      <c r="H4916" s="1" t="s">
        <v>126</v>
      </c>
      <c r="I4916">
        <v>22</v>
      </c>
      <c r="J4916">
        <v>3137</v>
      </c>
      <c r="K4916" s="1" t="s">
        <v>101</v>
      </c>
      <c r="L4916" s="1" t="s">
        <v>23</v>
      </c>
      <c r="M4916">
        <v>1.901</v>
      </c>
      <c r="N4916">
        <v>41817.599999999999</v>
      </c>
      <c r="O4916">
        <v>41.817999999999998</v>
      </c>
      <c r="P4916" s="2">
        <v>44378</v>
      </c>
      <c r="Q4916">
        <v>1</v>
      </c>
      <c r="R4916" s="1" t="s">
        <v>122</v>
      </c>
    </row>
    <row r="4917" spans="1:18" x14ac:dyDescent="0.25">
      <c r="A4917">
        <v>2021</v>
      </c>
      <c r="B4917">
        <v>8</v>
      </c>
      <c r="C4917" s="1" t="s">
        <v>31</v>
      </c>
      <c r="D4917" s="1" t="s">
        <v>19</v>
      </c>
      <c r="E4917" s="1" t="s">
        <v>100</v>
      </c>
      <c r="F4917">
        <v>2016</v>
      </c>
      <c r="G4917">
        <v>5</v>
      </c>
      <c r="H4917" s="1" t="s">
        <v>126</v>
      </c>
      <c r="I4917">
        <v>22</v>
      </c>
      <c r="J4917">
        <v>3137</v>
      </c>
      <c r="K4917" s="1" t="s">
        <v>101</v>
      </c>
      <c r="L4917" s="1" t="s">
        <v>23</v>
      </c>
      <c r="M4917">
        <v>1.837</v>
      </c>
      <c r="N4917">
        <v>40423.699999999997</v>
      </c>
      <c r="O4917">
        <v>40.423999999999999</v>
      </c>
      <c r="P4917" s="2">
        <v>44409</v>
      </c>
      <c r="Q4917">
        <v>1</v>
      </c>
      <c r="R4917" s="1" t="s">
        <v>122</v>
      </c>
    </row>
    <row r="4918" spans="1:18" x14ac:dyDescent="0.25">
      <c r="A4918">
        <v>2021</v>
      </c>
      <c r="B4918">
        <v>9</v>
      </c>
      <c r="C4918" s="1" t="s">
        <v>32</v>
      </c>
      <c r="D4918" s="1" t="s">
        <v>19</v>
      </c>
      <c r="E4918" s="1" t="s">
        <v>100</v>
      </c>
      <c r="F4918">
        <v>2016</v>
      </c>
      <c r="G4918">
        <v>5</v>
      </c>
      <c r="H4918" s="1" t="s">
        <v>126</v>
      </c>
      <c r="I4918">
        <v>22</v>
      </c>
      <c r="J4918">
        <v>3137</v>
      </c>
      <c r="K4918" s="1" t="s">
        <v>101</v>
      </c>
      <c r="L4918" s="1" t="s">
        <v>23</v>
      </c>
      <c r="M4918">
        <v>1.756</v>
      </c>
      <c r="N4918">
        <v>38623.199999999997</v>
      </c>
      <c r="O4918">
        <v>38.622999999999998</v>
      </c>
      <c r="P4918" s="2">
        <v>44440</v>
      </c>
      <c r="Q4918">
        <v>1</v>
      </c>
      <c r="R4918" s="1" t="s">
        <v>122</v>
      </c>
    </row>
    <row r="4919" spans="1:18" x14ac:dyDescent="0.25">
      <c r="A4919">
        <v>2021</v>
      </c>
      <c r="B4919">
        <v>10</v>
      </c>
      <c r="C4919" s="1" t="s">
        <v>33</v>
      </c>
      <c r="D4919" s="1" t="s">
        <v>19</v>
      </c>
      <c r="E4919" s="1" t="s">
        <v>100</v>
      </c>
      <c r="F4919">
        <v>2016</v>
      </c>
      <c r="G4919">
        <v>5</v>
      </c>
      <c r="H4919" s="1" t="s">
        <v>126</v>
      </c>
      <c r="I4919">
        <v>22</v>
      </c>
      <c r="J4919">
        <v>3137</v>
      </c>
      <c r="K4919" s="1" t="s">
        <v>101</v>
      </c>
      <c r="L4919" s="1" t="s">
        <v>23</v>
      </c>
      <c r="M4919">
        <v>1.8580000000000001</v>
      </c>
      <c r="N4919">
        <v>40869</v>
      </c>
      <c r="O4919">
        <v>40.869</v>
      </c>
      <c r="P4919" s="2">
        <v>44470</v>
      </c>
      <c r="Q4919">
        <v>1</v>
      </c>
      <c r="R4919" s="1" t="s">
        <v>122</v>
      </c>
    </row>
    <row r="4920" spans="1:18" x14ac:dyDescent="0.25">
      <c r="A4920">
        <v>2021</v>
      </c>
      <c r="B4920">
        <v>11</v>
      </c>
      <c r="C4920" s="1" t="s">
        <v>34</v>
      </c>
      <c r="D4920" s="1" t="s">
        <v>19</v>
      </c>
      <c r="E4920" s="1" t="s">
        <v>100</v>
      </c>
      <c r="F4920">
        <v>2016</v>
      </c>
      <c r="G4920">
        <v>5</v>
      </c>
      <c r="H4920" s="1" t="s">
        <v>126</v>
      </c>
      <c r="I4920">
        <v>22</v>
      </c>
      <c r="J4920">
        <v>3137</v>
      </c>
      <c r="K4920" s="1" t="s">
        <v>101</v>
      </c>
      <c r="L4920" s="1" t="s">
        <v>23</v>
      </c>
      <c r="M4920">
        <v>1.81</v>
      </c>
      <c r="N4920">
        <v>39823.5</v>
      </c>
      <c r="O4920">
        <v>39.823999999999998</v>
      </c>
      <c r="P4920" s="2">
        <v>44501</v>
      </c>
      <c r="Q4920">
        <v>1</v>
      </c>
      <c r="R4920" s="1" t="s">
        <v>122</v>
      </c>
    </row>
    <row r="4921" spans="1:18" x14ac:dyDescent="0.25">
      <c r="A4921">
        <v>2021</v>
      </c>
      <c r="B4921">
        <v>12</v>
      </c>
      <c r="C4921" s="1" t="s">
        <v>35</v>
      </c>
      <c r="D4921" s="1" t="s">
        <v>19</v>
      </c>
      <c r="E4921" s="1" t="s">
        <v>100</v>
      </c>
      <c r="F4921">
        <v>2016</v>
      </c>
      <c r="G4921">
        <v>5</v>
      </c>
      <c r="H4921" s="1" t="s">
        <v>126</v>
      </c>
      <c r="I4921">
        <v>22</v>
      </c>
      <c r="J4921">
        <v>3137</v>
      </c>
      <c r="K4921" s="1" t="s">
        <v>101</v>
      </c>
      <c r="L4921" s="1" t="s">
        <v>23</v>
      </c>
      <c r="M4921">
        <v>1.837</v>
      </c>
      <c r="N4921">
        <v>40404.300000000003</v>
      </c>
      <c r="O4921">
        <v>40.404000000000003</v>
      </c>
      <c r="P4921" s="2">
        <v>44531</v>
      </c>
      <c r="Q4921">
        <v>1</v>
      </c>
      <c r="R4921" s="1" t="s">
        <v>122</v>
      </c>
    </row>
    <row r="4922" spans="1:18" x14ac:dyDescent="0.25">
      <c r="A4922">
        <v>2021</v>
      </c>
      <c r="B4922">
        <v>1</v>
      </c>
      <c r="C4922" s="1" t="s">
        <v>18</v>
      </c>
      <c r="D4922" s="1" t="s">
        <v>19</v>
      </c>
      <c r="E4922" s="1" t="s">
        <v>102</v>
      </c>
      <c r="F4922">
        <v>2016</v>
      </c>
      <c r="G4922">
        <v>5</v>
      </c>
      <c r="H4922" s="1" t="s">
        <v>126</v>
      </c>
      <c r="I4922">
        <v>22</v>
      </c>
      <c r="J4922">
        <v>3096</v>
      </c>
      <c r="K4922" s="1" t="s">
        <v>103</v>
      </c>
      <c r="L4922" s="1" t="s">
        <v>23</v>
      </c>
      <c r="M4922">
        <v>0.55400000000000005</v>
      </c>
      <c r="N4922">
        <v>12196.8</v>
      </c>
      <c r="O4922">
        <v>12.196999999999999</v>
      </c>
      <c r="P4922" s="2">
        <v>44197</v>
      </c>
      <c r="Q4922">
        <v>1</v>
      </c>
      <c r="R4922" s="1" t="s">
        <v>122</v>
      </c>
    </row>
    <row r="4923" spans="1:18" x14ac:dyDescent="0.25">
      <c r="A4923">
        <v>2021</v>
      </c>
      <c r="B4923">
        <v>2</v>
      </c>
      <c r="C4923" s="1" t="s">
        <v>25</v>
      </c>
      <c r="D4923" s="1" t="s">
        <v>19</v>
      </c>
      <c r="E4923" s="1" t="s">
        <v>102</v>
      </c>
      <c r="F4923">
        <v>2016</v>
      </c>
      <c r="G4923">
        <v>5</v>
      </c>
      <c r="H4923" s="1" t="s">
        <v>126</v>
      </c>
      <c r="I4923">
        <v>22</v>
      </c>
      <c r="J4923">
        <v>3096</v>
      </c>
      <c r="K4923" s="1" t="s">
        <v>103</v>
      </c>
      <c r="L4923" s="1" t="s">
        <v>23</v>
      </c>
      <c r="M4923">
        <v>0.92</v>
      </c>
      <c r="N4923">
        <v>20250.599999999999</v>
      </c>
      <c r="O4923">
        <v>20.251000000000001</v>
      </c>
      <c r="P4923" s="2">
        <v>44228</v>
      </c>
      <c r="Q4923">
        <v>1</v>
      </c>
      <c r="R4923" s="1" t="s">
        <v>122</v>
      </c>
    </row>
    <row r="4924" spans="1:18" x14ac:dyDescent="0.25">
      <c r="A4924">
        <v>2021</v>
      </c>
      <c r="B4924">
        <v>3</v>
      </c>
      <c r="C4924" s="1" t="s">
        <v>26</v>
      </c>
      <c r="D4924" s="1" t="s">
        <v>19</v>
      </c>
      <c r="E4924" s="1" t="s">
        <v>102</v>
      </c>
      <c r="F4924">
        <v>2016</v>
      </c>
      <c r="G4924">
        <v>5</v>
      </c>
      <c r="H4924" s="1" t="s">
        <v>126</v>
      </c>
      <c r="I4924">
        <v>22</v>
      </c>
      <c r="J4924">
        <v>3096</v>
      </c>
      <c r="K4924" s="1" t="s">
        <v>103</v>
      </c>
      <c r="L4924" s="1" t="s">
        <v>23</v>
      </c>
      <c r="M4924">
        <v>1.5</v>
      </c>
      <c r="N4924">
        <v>32989.4</v>
      </c>
      <c r="O4924">
        <v>32.988999999999997</v>
      </c>
      <c r="P4924" s="2">
        <v>44256</v>
      </c>
      <c r="Q4924">
        <v>1</v>
      </c>
      <c r="R4924" s="1" t="s">
        <v>122</v>
      </c>
    </row>
    <row r="4925" spans="1:18" x14ac:dyDescent="0.25">
      <c r="A4925">
        <v>2021</v>
      </c>
      <c r="B4925">
        <v>4</v>
      </c>
      <c r="C4925" s="1" t="s">
        <v>27</v>
      </c>
      <c r="D4925" s="1" t="s">
        <v>19</v>
      </c>
      <c r="E4925" s="1" t="s">
        <v>102</v>
      </c>
      <c r="F4925">
        <v>2016</v>
      </c>
      <c r="G4925">
        <v>5</v>
      </c>
      <c r="H4925" s="1" t="s">
        <v>126</v>
      </c>
      <c r="I4925">
        <v>22</v>
      </c>
      <c r="J4925">
        <v>3096</v>
      </c>
      <c r="K4925" s="1" t="s">
        <v>103</v>
      </c>
      <c r="L4925" s="1" t="s">
        <v>23</v>
      </c>
      <c r="M4925">
        <v>1.742</v>
      </c>
      <c r="N4925">
        <v>38313.4</v>
      </c>
      <c r="O4925">
        <v>38.313000000000002</v>
      </c>
      <c r="P4925" s="2">
        <v>44287</v>
      </c>
      <c r="Q4925">
        <v>1</v>
      </c>
      <c r="R4925" s="1" t="s">
        <v>122</v>
      </c>
    </row>
    <row r="4926" spans="1:18" x14ac:dyDescent="0.25">
      <c r="A4926">
        <v>2021</v>
      </c>
      <c r="B4926">
        <v>5</v>
      </c>
      <c r="C4926" s="1" t="s">
        <v>28</v>
      </c>
      <c r="D4926" s="1" t="s">
        <v>19</v>
      </c>
      <c r="E4926" s="1" t="s">
        <v>102</v>
      </c>
      <c r="F4926">
        <v>2016</v>
      </c>
      <c r="G4926">
        <v>5</v>
      </c>
      <c r="H4926" s="1" t="s">
        <v>126</v>
      </c>
      <c r="I4926">
        <v>22</v>
      </c>
      <c r="J4926">
        <v>3096</v>
      </c>
      <c r="K4926" s="1" t="s">
        <v>103</v>
      </c>
      <c r="L4926" s="1" t="s">
        <v>23</v>
      </c>
      <c r="M4926">
        <v>1.6970000000000001</v>
      </c>
      <c r="N4926">
        <v>37326.1</v>
      </c>
      <c r="O4926">
        <v>37.326000000000001</v>
      </c>
      <c r="P4926" s="2">
        <v>44317</v>
      </c>
      <c r="Q4926">
        <v>1</v>
      </c>
      <c r="R4926" s="1" t="s">
        <v>122</v>
      </c>
    </row>
    <row r="4927" spans="1:18" x14ac:dyDescent="0.25">
      <c r="A4927">
        <v>2021</v>
      </c>
      <c r="B4927">
        <v>6</v>
      </c>
      <c r="C4927" s="1" t="s">
        <v>29</v>
      </c>
      <c r="D4927" s="1" t="s">
        <v>19</v>
      </c>
      <c r="E4927" s="1" t="s">
        <v>102</v>
      </c>
      <c r="F4927">
        <v>2016</v>
      </c>
      <c r="G4927">
        <v>5</v>
      </c>
      <c r="H4927" s="1" t="s">
        <v>126</v>
      </c>
      <c r="I4927">
        <v>22</v>
      </c>
      <c r="J4927">
        <v>3096</v>
      </c>
      <c r="K4927" s="1" t="s">
        <v>103</v>
      </c>
      <c r="L4927" s="1" t="s">
        <v>23</v>
      </c>
      <c r="M4927">
        <v>1.6619999999999999</v>
      </c>
      <c r="N4927">
        <v>36571</v>
      </c>
      <c r="O4927">
        <v>36.570999999999998</v>
      </c>
      <c r="P4927" s="2">
        <v>44348</v>
      </c>
      <c r="Q4927">
        <v>1</v>
      </c>
      <c r="R4927" s="1" t="s">
        <v>122</v>
      </c>
    </row>
    <row r="4928" spans="1:18" x14ac:dyDescent="0.25">
      <c r="A4928">
        <v>2021</v>
      </c>
      <c r="B4928">
        <v>7</v>
      </c>
      <c r="C4928" s="1" t="s">
        <v>30</v>
      </c>
      <c r="D4928" s="1" t="s">
        <v>19</v>
      </c>
      <c r="E4928" s="1" t="s">
        <v>102</v>
      </c>
      <c r="F4928">
        <v>2016</v>
      </c>
      <c r="G4928">
        <v>5</v>
      </c>
      <c r="H4928" s="1" t="s">
        <v>126</v>
      </c>
      <c r="I4928">
        <v>22</v>
      </c>
      <c r="J4928">
        <v>3096</v>
      </c>
      <c r="K4928" s="1" t="s">
        <v>103</v>
      </c>
      <c r="L4928" s="1" t="s">
        <v>23</v>
      </c>
      <c r="M4928">
        <v>1.901</v>
      </c>
      <c r="N4928">
        <v>41817.599999999999</v>
      </c>
      <c r="O4928">
        <v>41.817999999999998</v>
      </c>
      <c r="P4928" s="2">
        <v>44378</v>
      </c>
      <c r="Q4928">
        <v>1</v>
      </c>
      <c r="R4928" s="1" t="s">
        <v>122</v>
      </c>
    </row>
    <row r="4929" spans="1:18" x14ac:dyDescent="0.25">
      <c r="A4929">
        <v>2021</v>
      </c>
      <c r="B4929">
        <v>8</v>
      </c>
      <c r="C4929" s="1" t="s">
        <v>31</v>
      </c>
      <c r="D4929" s="1" t="s">
        <v>19</v>
      </c>
      <c r="E4929" s="1" t="s">
        <v>102</v>
      </c>
      <c r="F4929">
        <v>2016</v>
      </c>
      <c r="G4929">
        <v>5</v>
      </c>
      <c r="H4929" s="1" t="s">
        <v>126</v>
      </c>
      <c r="I4929">
        <v>22</v>
      </c>
      <c r="J4929">
        <v>3096</v>
      </c>
      <c r="K4929" s="1" t="s">
        <v>103</v>
      </c>
      <c r="L4929" s="1" t="s">
        <v>23</v>
      </c>
      <c r="M4929">
        <v>1.837</v>
      </c>
      <c r="N4929">
        <v>40423.699999999997</v>
      </c>
      <c r="O4929">
        <v>40.423999999999999</v>
      </c>
      <c r="P4929" s="2">
        <v>44409</v>
      </c>
      <c r="Q4929">
        <v>1</v>
      </c>
      <c r="R4929" s="1" t="s">
        <v>122</v>
      </c>
    </row>
    <row r="4930" spans="1:18" x14ac:dyDescent="0.25">
      <c r="A4930">
        <v>2021</v>
      </c>
      <c r="B4930">
        <v>9</v>
      </c>
      <c r="C4930" s="1" t="s">
        <v>32</v>
      </c>
      <c r="D4930" s="1" t="s">
        <v>19</v>
      </c>
      <c r="E4930" s="1" t="s">
        <v>102</v>
      </c>
      <c r="F4930">
        <v>2016</v>
      </c>
      <c r="G4930">
        <v>5</v>
      </c>
      <c r="H4930" s="1" t="s">
        <v>126</v>
      </c>
      <c r="I4930">
        <v>22</v>
      </c>
      <c r="J4930">
        <v>3096</v>
      </c>
      <c r="K4930" s="1" t="s">
        <v>103</v>
      </c>
      <c r="L4930" s="1" t="s">
        <v>23</v>
      </c>
      <c r="M4930">
        <v>1.756</v>
      </c>
      <c r="N4930">
        <v>38623.199999999997</v>
      </c>
      <c r="O4930">
        <v>38.622999999999998</v>
      </c>
      <c r="P4930" s="2">
        <v>44440</v>
      </c>
      <c r="Q4930">
        <v>1</v>
      </c>
      <c r="R4930" s="1" t="s">
        <v>122</v>
      </c>
    </row>
    <row r="4931" spans="1:18" x14ac:dyDescent="0.25">
      <c r="A4931">
        <v>2021</v>
      </c>
      <c r="B4931">
        <v>10</v>
      </c>
      <c r="C4931" s="1" t="s">
        <v>33</v>
      </c>
      <c r="D4931" s="1" t="s">
        <v>19</v>
      </c>
      <c r="E4931" s="1" t="s">
        <v>102</v>
      </c>
      <c r="F4931">
        <v>2016</v>
      </c>
      <c r="G4931">
        <v>5</v>
      </c>
      <c r="H4931" s="1" t="s">
        <v>126</v>
      </c>
      <c r="I4931">
        <v>22</v>
      </c>
      <c r="J4931">
        <v>3096</v>
      </c>
      <c r="K4931" s="1" t="s">
        <v>103</v>
      </c>
      <c r="L4931" s="1" t="s">
        <v>23</v>
      </c>
      <c r="M4931">
        <v>1.8580000000000001</v>
      </c>
      <c r="N4931">
        <v>40869</v>
      </c>
      <c r="O4931">
        <v>40.869</v>
      </c>
      <c r="P4931" s="2">
        <v>44470</v>
      </c>
      <c r="Q4931">
        <v>1</v>
      </c>
      <c r="R4931" s="1" t="s">
        <v>122</v>
      </c>
    </row>
    <row r="4932" spans="1:18" x14ac:dyDescent="0.25">
      <c r="A4932">
        <v>2021</v>
      </c>
      <c r="B4932">
        <v>11</v>
      </c>
      <c r="C4932" s="1" t="s">
        <v>34</v>
      </c>
      <c r="D4932" s="1" t="s">
        <v>19</v>
      </c>
      <c r="E4932" s="1" t="s">
        <v>102</v>
      </c>
      <c r="F4932">
        <v>2016</v>
      </c>
      <c r="G4932">
        <v>5</v>
      </c>
      <c r="H4932" s="1" t="s">
        <v>126</v>
      </c>
      <c r="I4932">
        <v>22</v>
      </c>
      <c r="J4932">
        <v>3096</v>
      </c>
      <c r="K4932" s="1" t="s">
        <v>103</v>
      </c>
      <c r="L4932" s="1" t="s">
        <v>23</v>
      </c>
      <c r="M4932">
        <v>1.81</v>
      </c>
      <c r="N4932">
        <v>39823.5</v>
      </c>
      <c r="O4932">
        <v>39.823999999999998</v>
      </c>
      <c r="P4932" s="2">
        <v>44501</v>
      </c>
      <c r="Q4932">
        <v>1</v>
      </c>
      <c r="R4932" s="1" t="s">
        <v>122</v>
      </c>
    </row>
    <row r="4933" spans="1:18" x14ac:dyDescent="0.25">
      <c r="A4933">
        <v>2021</v>
      </c>
      <c r="B4933">
        <v>12</v>
      </c>
      <c r="C4933" s="1" t="s">
        <v>35</v>
      </c>
      <c r="D4933" s="1" t="s">
        <v>19</v>
      </c>
      <c r="E4933" s="1" t="s">
        <v>102</v>
      </c>
      <c r="F4933">
        <v>2016</v>
      </c>
      <c r="G4933">
        <v>5</v>
      </c>
      <c r="H4933" s="1" t="s">
        <v>126</v>
      </c>
      <c r="I4933">
        <v>22</v>
      </c>
      <c r="J4933">
        <v>3096</v>
      </c>
      <c r="K4933" s="1" t="s">
        <v>103</v>
      </c>
      <c r="L4933" s="1" t="s">
        <v>23</v>
      </c>
      <c r="M4933">
        <v>1.837</v>
      </c>
      <c r="N4933">
        <v>40404.300000000003</v>
      </c>
      <c r="O4933">
        <v>40.404000000000003</v>
      </c>
      <c r="P4933" s="2">
        <v>44531</v>
      </c>
      <c r="Q4933">
        <v>1</v>
      </c>
      <c r="R4933" s="1" t="s">
        <v>122</v>
      </c>
    </row>
    <row r="4934" spans="1:18" x14ac:dyDescent="0.25">
      <c r="A4934">
        <v>2021</v>
      </c>
      <c r="B4934">
        <v>1</v>
      </c>
      <c r="C4934" s="1" t="s">
        <v>18</v>
      </c>
      <c r="D4934" s="1" t="s">
        <v>19</v>
      </c>
      <c r="E4934" s="1" t="s">
        <v>104</v>
      </c>
      <c r="F4934">
        <v>2016</v>
      </c>
      <c r="G4934">
        <v>5</v>
      </c>
      <c r="H4934" s="1" t="s">
        <v>126</v>
      </c>
      <c r="I4934">
        <v>24</v>
      </c>
      <c r="J4934">
        <v>3317</v>
      </c>
      <c r="K4934" s="1" t="s">
        <v>105</v>
      </c>
      <c r="L4934" s="1" t="s">
        <v>23</v>
      </c>
      <c r="M4934">
        <v>0.55400000000000005</v>
      </c>
      <c r="N4934">
        <v>13305.6</v>
      </c>
      <c r="O4934">
        <v>13.305999999999999</v>
      </c>
      <c r="P4934" s="2">
        <v>44197</v>
      </c>
      <c r="Q4934">
        <v>1</v>
      </c>
      <c r="R4934" s="1" t="s">
        <v>122</v>
      </c>
    </row>
    <row r="4935" spans="1:18" x14ac:dyDescent="0.25">
      <c r="A4935">
        <v>2021</v>
      </c>
      <c r="B4935">
        <v>2</v>
      </c>
      <c r="C4935" s="1" t="s">
        <v>25</v>
      </c>
      <c r="D4935" s="1" t="s">
        <v>19</v>
      </c>
      <c r="E4935" s="1" t="s">
        <v>104</v>
      </c>
      <c r="F4935">
        <v>2016</v>
      </c>
      <c r="G4935">
        <v>5</v>
      </c>
      <c r="H4935" s="1" t="s">
        <v>126</v>
      </c>
      <c r="I4935">
        <v>24</v>
      </c>
      <c r="J4935">
        <v>3317</v>
      </c>
      <c r="K4935" s="1" t="s">
        <v>105</v>
      </c>
      <c r="L4935" s="1" t="s">
        <v>23</v>
      </c>
      <c r="M4935">
        <v>0.92</v>
      </c>
      <c r="N4935">
        <v>22091.5</v>
      </c>
      <c r="O4935">
        <v>22.091999999999999</v>
      </c>
      <c r="P4935" s="2">
        <v>44228</v>
      </c>
      <c r="Q4935">
        <v>1</v>
      </c>
      <c r="R4935" s="1" t="s">
        <v>122</v>
      </c>
    </row>
    <row r="4936" spans="1:18" x14ac:dyDescent="0.25">
      <c r="A4936">
        <v>2021</v>
      </c>
      <c r="B4936">
        <v>3</v>
      </c>
      <c r="C4936" s="1" t="s">
        <v>26</v>
      </c>
      <c r="D4936" s="1" t="s">
        <v>19</v>
      </c>
      <c r="E4936" s="1" t="s">
        <v>104</v>
      </c>
      <c r="F4936">
        <v>2016</v>
      </c>
      <c r="G4936">
        <v>5</v>
      </c>
      <c r="H4936" s="1" t="s">
        <v>126</v>
      </c>
      <c r="I4936">
        <v>24</v>
      </c>
      <c r="J4936">
        <v>3317</v>
      </c>
      <c r="K4936" s="1" t="s">
        <v>105</v>
      </c>
      <c r="L4936" s="1" t="s">
        <v>23</v>
      </c>
      <c r="M4936">
        <v>1.5</v>
      </c>
      <c r="N4936">
        <v>35988.5</v>
      </c>
      <c r="O4936">
        <v>35.988</v>
      </c>
      <c r="P4936" s="2">
        <v>44256</v>
      </c>
      <c r="Q4936">
        <v>1</v>
      </c>
      <c r="R4936" s="1" t="s">
        <v>122</v>
      </c>
    </row>
    <row r="4937" spans="1:18" x14ac:dyDescent="0.25">
      <c r="A4937">
        <v>2021</v>
      </c>
      <c r="B4937">
        <v>4</v>
      </c>
      <c r="C4937" s="1" t="s">
        <v>27</v>
      </c>
      <c r="D4937" s="1" t="s">
        <v>19</v>
      </c>
      <c r="E4937" s="1" t="s">
        <v>104</v>
      </c>
      <c r="F4937">
        <v>2016</v>
      </c>
      <c r="G4937">
        <v>5</v>
      </c>
      <c r="H4937" s="1" t="s">
        <v>126</v>
      </c>
      <c r="I4937">
        <v>24</v>
      </c>
      <c r="J4937">
        <v>3317</v>
      </c>
      <c r="K4937" s="1" t="s">
        <v>105</v>
      </c>
      <c r="L4937" s="1" t="s">
        <v>23</v>
      </c>
      <c r="M4937">
        <v>1.742</v>
      </c>
      <c r="N4937">
        <v>41796.5</v>
      </c>
      <c r="O4937">
        <v>41.795999999999999</v>
      </c>
      <c r="P4937" s="2">
        <v>44287</v>
      </c>
      <c r="Q4937">
        <v>1</v>
      </c>
      <c r="R4937" s="1" t="s">
        <v>122</v>
      </c>
    </row>
    <row r="4938" spans="1:18" x14ac:dyDescent="0.25">
      <c r="A4938">
        <v>2021</v>
      </c>
      <c r="B4938">
        <v>5</v>
      </c>
      <c r="C4938" s="1" t="s">
        <v>28</v>
      </c>
      <c r="D4938" s="1" t="s">
        <v>19</v>
      </c>
      <c r="E4938" s="1" t="s">
        <v>104</v>
      </c>
      <c r="F4938">
        <v>2016</v>
      </c>
      <c r="G4938">
        <v>5</v>
      </c>
      <c r="H4938" s="1" t="s">
        <v>126</v>
      </c>
      <c r="I4938">
        <v>24</v>
      </c>
      <c r="J4938">
        <v>3317</v>
      </c>
      <c r="K4938" s="1" t="s">
        <v>105</v>
      </c>
      <c r="L4938" s="1" t="s">
        <v>23</v>
      </c>
      <c r="M4938">
        <v>1.6970000000000001</v>
      </c>
      <c r="N4938">
        <v>40719.4</v>
      </c>
      <c r="O4938">
        <v>40.719000000000001</v>
      </c>
      <c r="P4938" s="2">
        <v>44317</v>
      </c>
      <c r="Q4938">
        <v>1</v>
      </c>
      <c r="R4938" s="1" t="s">
        <v>122</v>
      </c>
    </row>
    <row r="4939" spans="1:18" x14ac:dyDescent="0.25">
      <c r="A4939">
        <v>2021</v>
      </c>
      <c r="B4939">
        <v>6</v>
      </c>
      <c r="C4939" s="1" t="s">
        <v>29</v>
      </c>
      <c r="D4939" s="1" t="s">
        <v>19</v>
      </c>
      <c r="E4939" s="1" t="s">
        <v>104</v>
      </c>
      <c r="F4939">
        <v>2016</v>
      </c>
      <c r="G4939">
        <v>5</v>
      </c>
      <c r="H4939" s="1" t="s">
        <v>126</v>
      </c>
      <c r="I4939">
        <v>24</v>
      </c>
      <c r="J4939">
        <v>3317</v>
      </c>
      <c r="K4939" s="1" t="s">
        <v>105</v>
      </c>
      <c r="L4939" s="1" t="s">
        <v>23</v>
      </c>
      <c r="M4939">
        <v>1.6619999999999999</v>
      </c>
      <c r="N4939">
        <v>39895.699999999997</v>
      </c>
      <c r="O4939">
        <v>39.896000000000001</v>
      </c>
      <c r="P4939" s="2">
        <v>44348</v>
      </c>
      <c r="Q4939">
        <v>1</v>
      </c>
      <c r="R4939" s="1" t="s">
        <v>122</v>
      </c>
    </row>
    <row r="4940" spans="1:18" x14ac:dyDescent="0.25">
      <c r="A4940">
        <v>2021</v>
      </c>
      <c r="B4940">
        <v>7</v>
      </c>
      <c r="C4940" s="1" t="s">
        <v>30</v>
      </c>
      <c r="D4940" s="1" t="s">
        <v>19</v>
      </c>
      <c r="E4940" s="1" t="s">
        <v>104</v>
      </c>
      <c r="F4940">
        <v>2016</v>
      </c>
      <c r="G4940">
        <v>5</v>
      </c>
      <c r="H4940" s="1" t="s">
        <v>126</v>
      </c>
      <c r="I4940">
        <v>24</v>
      </c>
      <c r="J4940">
        <v>3317</v>
      </c>
      <c r="K4940" s="1" t="s">
        <v>105</v>
      </c>
      <c r="L4940" s="1" t="s">
        <v>23</v>
      </c>
      <c r="M4940">
        <v>1.901</v>
      </c>
      <c r="N4940">
        <v>45619.199999999997</v>
      </c>
      <c r="O4940">
        <v>45.619</v>
      </c>
      <c r="P4940" s="2">
        <v>44378</v>
      </c>
      <c r="Q4940">
        <v>1</v>
      </c>
      <c r="R4940" s="1" t="s">
        <v>122</v>
      </c>
    </row>
    <row r="4941" spans="1:18" x14ac:dyDescent="0.25">
      <c r="A4941">
        <v>2021</v>
      </c>
      <c r="B4941">
        <v>8</v>
      </c>
      <c r="C4941" s="1" t="s">
        <v>31</v>
      </c>
      <c r="D4941" s="1" t="s">
        <v>19</v>
      </c>
      <c r="E4941" s="1" t="s">
        <v>104</v>
      </c>
      <c r="F4941">
        <v>2016</v>
      </c>
      <c r="G4941">
        <v>5</v>
      </c>
      <c r="H4941" s="1" t="s">
        <v>126</v>
      </c>
      <c r="I4941">
        <v>24</v>
      </c>
      <c r="J4941">
        <v>3317</v>
      </c>
      <c r="K4941" s="1" t="s">
        <v>105</v>
      </c>
      <c r="L4941" s="1" t="s">
        <v>23</v>
      </c>
      <c r="M4941">
        <v>1.837</v>
      </c>
      <c r="N4941">
        <v>44098.6</v>
      </c>
      <c r="O4941">
        <v>44.098999999999997</v>
      </c>
      <c r="P4941" s="2">
        <v>44409</v>
      </c>
      <c r="Q4941">
        <v>1</v>
      </c>
      <c r="R4941" s="1" t="s">
        <v>122</v>
      </c>
    </row>
    <row r="4942" spans="1:18" x14ac:dyDescent="0.25">
      <c r="A4942">
        <v>2021</v>
      </c>
      <c r="B4942">
        <v>9</v>
      </c>
      <c r="C4942" s="1" t="s">
        <v>32</v>
      </c>
      <c r="D4942" s="1" t="s">
        <v>19</v>
      </c>
      <c r="E4942" s="1" t="s">
        <v>104</v>
      </c>
      <c r="F4942">
        <v>2016</v>
      </c>
      <c r="G4942">
        <v>5</v>
      </c>
      <c r="H4942" s="1" t="s">
        <v>126</v>
      </c>
      <c r="I4942">
        <v>24</v>
      </c>
      <c r="J4942">
        <v>3317</v>
      </c>
      <c r="K4942" s="1" t="s">
        <v>105</v>
      </c>
      <c r="L4942" s="1" t="s">
        <v>23</v>
      </c>
      <c r="M4942">
        <v>1.756</v>
      </c>
      <c r="N4942">
        <v>42134.400000000001</v>
      </c>
      <c r="O4942">
        <v>42.134</v>
      </c>
      <c r="P4942" s="2">
        <v>44440</v>
      </c>
      <c r="Q4942">
        <v>1</v>
      </c>
      <c r="R4942" s="1" t="s">
        <v>122</v>
      </c>
    </row>
    <row r="4943" spans="1:18" x14ac:dyDescent="0.25">
      <c r="A4943">
        <v>2021</v>
      </c>
      <c r="B4943">
        <v>10</v>
      </c>
      <c r="C4943" s="1" t="s">
        <v>33</v>
      </c>
      <c r="D4943" s="1" t="s">
        <v>19</v>
      </c>
      <c r="E4943" s="1" t="s">
        <v>104</v>
      </c>
      <c r="F4943">
        <v>2016</v>
      </c>
      <c r="G4943">
        <v>5</v>
      </c>
      <c r="H4943" s="1" t="s">
        <v>126</v>
      </c>
      <c r="I4943">
        <v>24</v>
      </c>
      <c r="J4943">
        <v>3317</v>
      </c>
      <c r="K4943" s="1" t="s">
        <v>105</v>
      </c>
      <c r="L4943" s="1" t="s">
        <v>23</v>
      </c>
      <c r="M4943">
        <v>1.8580000000000001</v>
      </c>
      <c r="N4943">
        <v>44584.3</v>
      </c>
      <c r="O4943">
        <v>44.584000000000003</v>
      </c>
      <c r="P4943" s="2">
        <v>44470</v>
      </c>
      <c r="Q4943">
        <v>1</v>
      </c>
      <c r="R4943" s="1" t="s">
        <v>122</v>
      </c>
    </row>
    <row r="4944" spans="1:18" x14ac:dyDescent="0.25">
      <c r="A4944">
        <v>2021</v>
      </c>
      <c r="B4944">
        <v>11</v>
      </c>
      <c r="C4944" s="1" t="s">
        <v>34</v>
      </c>
      <c r="D4944" s="1" t="s">
        <v>19</v>
      </c>
      <c r="E4944" s="1" t="s">
        <v>104</v>
      </c>
      <c r="F4944">
        <v>2016</v>
      </c>
      <c r="G4944">
        <v>5</v>
      </c>
      <c r="H4944" s="1" t="s">
        <v>126</v>
      </c>
      <c r="I4944">
        <v>24</v>
      </c>
      <c r="J4944">
        <v>3317</v>
      </c>
      <c r="K4944" s="1" t="s">
        <v>105</v>
      </c>
      <c r="L4944" s="1" t="s">
        <v>23</v>
      </c>
      <c r="M4944">
        <v>1.81</v>
      </c>
      <c r="N4944">
        <v>43443.8</v>
      </c>
      <c r="O4944">
        <v>43.444000000000003</v>
      </c>
      <c r="P4944" s="2">
        <v>44501</v>
      </c>
      <c r="Q4944">
        <v>1</v>
      </c>
      <c r="R4944" s="1" t="s">
        <v>122</v>
      </c>
    </row>
    <row r="4945" spans="1:18" x14ac:dyDescent="0.25">
      <c r="A4945">
        <v>2021</v>
      </c>
      <c r="B4945">
        <v>12</v>
      </c>
      <c r="C4945" s="1" t="s">
        <v>35</v>
      </c>
      <c r="D4945" s="1" t="s">
        <v>19</v>
      </c>
      <c r="E4945" s="1" t="s">
        <v>104</v>
      </c>
      <c r="F4945">
        <v>2016</v>
      </c>
      <c r="G4945">
        <v>5</v>
      </c>
      <c r="H4945" s="1" t="s">
        <v>126</v>
      </c>
      <c r="I4945">
        <v>24</v>
      </c>
      <c r="J4945">
        <v>3317</v>
      </c>
      <c r="K4945" s="1" t="s">
        <v>105</v>
      </c>
      <c r="L4945" s="1" t="s">
        <v>23</v>
      </c>
      <c r="M4945">
        <v>1.837</v>
      </c>
      <c r="N4945">
        <v>44077.4</v>
      </c>
      <c r="O4945">
        <v>44.076999999999998</v>
      </c>
      <c r="P4945" s="2">
        <v>44531</v>
      </c>
      <c r="Q4945">
        <v>1</v>
      </c>
      <c r="R4945" s="1" t="s">
        <v>122</v>
      </c>
    </row>
    <row r="4946" spans="1:18" x14ac:dyDescent="0.25">
      <c r="A4946">
        <v>2021</v>
      </c>
      <c r="B4946">
        <v>1</v>
      </c>
      <c r="C4946" s="1" t="s">
        <v>18</v>
      </c>
      <c r="D4946" s="1" t="s">
        <v>19</v>
      </c>
      <c r="E4946" s="1" t="s">
        <v>106</v>
      </c>
      <c r="F4946">
        <v>2016</v>
      </c>
      <c r="G4946">
        <v>5</v>
      </c>
      <c r="H4946" s="1" t="s">
        <v>126</v>
      </c>
      <c r="I4946">
        <v>17</v>
      </c>
      <c r="J4946">
        <v>2219</v>
      </c>
      <c r="K4946" s="1" t="s">
        <v>107</v>
      </c>
      <c r="L4946" s="1" t="s">
        <v>23</v>
      </c>
      <c r="M4946">
        <v>0.55400000000000005</v>
      </c>
      <c r="N4946">
        <v>9424.7999999999993</v>
      </c>
      <c r="O4946">
        <v>9.4250000000000007</v>
      </c>
      <c r="P4946" s="2">
        <v>44197</v>
      </c>
      <c r="Q4946">
        <v>1</v>
      </c>
      <c r="R4946" s="1" t="s">
        <v>122</v>
      </c>
    </row>
    <row r="4947" spans="1:18" x14ac:dyDescent="0.25">
      <c r="A4947">
        <v>2021</v>
      </c>
      <c r="B4947">
        <v>2</v>
      </c>
      <c r="C4947" s="1" t="s">
        <v>25</v>
      </c>
      <c r="D4947" s="1" t="s">
        <v>19</v>
      </c>
      <c r="E4947" s="1" t="s">
        <v>106</v>
      </c>
      <c r="F4947">
        <v>2016</v>
      </c>
      <c r="G4947">
        <v>5</v>
      </c>
      <c r="H4947" s="1" t="s">
        <v>126</v>
      </c>
      <c r="I4947">
        <v>17</v>
      </c>
      <c r="J4947">
        <v>2219</v>
      </c>
      <c r="K4947" s="1" t="s">
        <v>107</v>
      </c>
      <c r="L4947" s="1" t="s">
        <v>23</v>
      </c>
      <c r="M4947">
        <v>0.92</v>
      </c>
      <c r="N4947">
        <v>15648.2</v>
      </c>
      <c r="O4947">
        <v>15.648</v>
      </c>
      <c r="P4947" s="2">
        <v>44228</v>
      </c>
      <c r="Q4947">
        <v>1</v>
      </c>
      <c r="R4947" s="1" t="s">
        <v>122</v>
      </c>
    </row>
    <row r="4948" spans="1:18" x14ac:dyDescent="0.25">
      <c r="A4948">
        <v>2021</v>
      </c>
      <c r="B4948">
        <v>3</v>
      </c>
      <c r="C4948" s="1" t="s">
        <v>26</v>
      </c>
      <c r="D4948" s="1" t="s">
        <v>19</v>
      </c>
      <c r="E4948" s="1" t="s">
        <v>106</v>
      </c>
      <c r="F4948">
        <v>2016</v>
      </c>
      <c r="G4948">
        <v>5</v>
      </c>
      <c r="H4948" s="1" t="s">
        <v>126</v>
      </c>
      <c r="I4948">
        <v>17</v>
      </c>
      <c r="J4948">
        <v>2219</v>
      </c>
      <c r="K4948" s="1" t="s">
        <v>107</v>
      </c>
      <c r="L4948" s="1" t="s">
        <v>23</v>
      </c>
      <c r="M4948">
        <v>1.5</v>
      </c>
      <c r="N4948">
        <v>25491.8</v>
      </c>
      <c r="O4948">
        <v>25.492000000000001</v>
      </c>
      <c r="P4948" s="2">
        <v>44256</v>
      </c>
      <c r="Q4948">
        <v>1</v>
      </c>
      <c r="R4948" s="1" t="s">
        <v>122</v>
      </c>
    </row>
    <row r="4949" spans="1:18" x14ac:dyDescent="0.25">
      <c r="A4949">
        <v>2021</v>
      </c>
      <c r="B4949">
        <v>4</v>
      </c>
      <c r="C4949" s="1" t="s">
        <v>27</v>
      </c>
      <c r="D4949" s="1" t="s">
        <v>19</v>
      </c>
      <c r="E4949" s="1" t="s">
        <v>106</v>
      </c>
      <c r="F4949">
        <v>2016</v>
      </c>
      <c r="G4949">
        <v>5</v>
      </c>
      <c r="H4949" s="1" t="s">
        <v>126</v>
      </c>
      <c r="I4949">
        <v>17</v>
      </c>
      <c r="J4949">
        <v>2219</v>
      </c>
      <c r="K4949" s="1" t="s">
        <v>107</v>
      </c>
      <c r="L4949" s="1" t="s">
        <v>23</v>
      </c>
      <c r="M4949">
        <v>1.742</v>
      </c>
      <c r="N4949">
        <v>29605.8</v>
      </c>
      <c r="O4949">
        <v>29.606000000000002</v>
      </c>
      <c r="P4949" s="2">
        <v>44287</v>
      </c>
      <c r="Q4949">
        <v>1</v>
      </c>
      <c r="R4949" s="1" t="s">
        <v>122</v>
      </c>
    </row>
    <row r="4950" spans="1:18" x14ac:dyDescent="0.25">
      <c r="A4950">
        <v>2021</v>
      </c>
      <c r="B4950">
        <v>5</v>
      </c>
      <c r="C4950" s="1" t="s">
        <v>28</v>
      </c>
      <c r="D4950" s="1" t="s">
        <v>19</v>
      </c>
      <c r="E4950" s="1" t="s">
        <v>106</v>
      </c>
      <c r="F4950">
        <v>2016</v>
      </c>
      <c r="G4950">
        <v>5</v>
      </c>
      <c r="H4950" s="1" t="s">
        <v>126</v>
      </c>
      <c r="I4950">
        <v>17</v>
      </c>
      <c r="J4950">
        <v>2219</v>
      </c>
      <c r="K4950" s="1" t="s">
        <v>107</v>
      </c>
      <c r="L4950" s="1" t="s">
        <v>23</v>
      </c>
      <c r="M4950">
        <v>1.6970000000000001</v>
      </c>
      <c r="N4950">
        <v>28842.9</v>
      </c>
      <c r="O4950">
        <v>28.843</v>
      </c>
      <c r="P4950" s="2">
        <v>44317</v>
      </c>
      <c r="Q4950">
        <v>1</v>
      </c>
      <c r="R4950" s="1" t="s">
        <v>122</v>
      </c>
    </row>
    <row r="4951" spans="1:18" x14ac:dyDescent="0.25">
      <c r="A4951">
        <v>2021</v>
      </c>
      <c r="B4951">
        <v>6</v>
      </c>
      <c r="C4951" s="1" t="s">
        <v>29</v>
      </c>
      <c r="D4951" s="1" t="s">
        <v>19</v>
      </c>
      <c r="E4951" s="1" t="s">
        <v>106</v>
      </c>
      <c r="F4951">
        <v>2016</v>
      </c>
      <c r="G4951">
        <v>5</v>
      </c>
      <c r="H4951" s="1" t="s">
        <v>126</v>
      </c>
      <c r="I4951">
        <v>17</v>
      </c>
      <c r="J4951">
        <v>2219</v>
      </c>
      <c r="K4951" s="1" t="s">
        <v>107</v>
      </c>
      <c r="L4951" s="1" t="s">
        <v>23</v>
      </c>
      <c r="M4951">
        <v>1.6619999999999999</v>
      </c>
      <c r="N4951">
        <v>28259.4</v>
      </c>
      <c r="O4951">
        <v>28.259</v>
      </c>
      <c r="P4951" s="2">
        <v>44348</v>
      </c>
      <c r="Q4951">
        <v>1</v>
      </c>
      <c r="R4951" s="1" t="s">
        <v>122</v>
      </c>
    </row>
    <row r="4952" spans="1:18" x14ac:dyDescent="0.25">
      <c r="A4952">
        <v>2021</v>
      </c>
      <c r="B4952">
        <v>7</v>
      </c>
      <c r="C4952" s="1" t="s">
        <v>30</v>
      </c>
      <c r="D4952" s="1" t="s">
        <v>19</v>
      </c>
      <c r="E4952" s="1" t="s">
        <v>106</v>
      </c>
      <c r="F4952">
        <v>2016</v>
      </c>
      <c r="G4952">
        <v>5</v>
      </c>
      <c r="H4952" s="1" t="s">
        <v>126</v>
      </c>
      <c r="I4952">
        <v>17</v>
      </c>
      <c r="J4952">
        <v>2219</v>
      </c>
      <c r="K4952" s="1" t="s">
        <v>107</v>
      </c>
      <c r="L4952" s="1" t="s">
        <v>23</v>
      </c>
      <c r="M4952">
        <v>1.901</v>
      </c>
      <c r="N4952">
        <v>32313.599999999999</v>
      </c>
      <c r="O4952">
        <v>32.314</v>
      </c>
      <c r="P4952" s="2">
        <v>44378</v>
      </c>
      <c r="Q4952">
        <v>1</v>
      </c>
      <c r="R4952" s="1" t="s">
        <v>122</v>
      </c>
    </row>
    <row r="4953" spans="1:18" x14ac:dyDescent="0.25">
      <c r="A4953">
        <v>2021</v>
      </c>
      <c r="B4953">
        <v>8</v>
      </c>
      <c r="C4953" s="1" t="s">
        <v>31</v>
      </c>
      <c r="D4953" s="1" t="s">
        <v>19</v>
      </c>
      <c r="E4953" s="1" t="s">
        <v>106</v>
      </c>
      <c r="F4953">
        <v>2016</v>
      </c>
      <c r="G4953">
        <v>5</v>
      </c>
      <c r="H4953" s="1" t="s">
        <v>126</v>
      </c>
      <c r="I4953">
        <v>17</v>
      </c>
      <c r="J4953">
        <v>2219</v>
      </c>
      <c r="K4953" s="1" t="s">
        <v>107</v>
      </c>
      <c r="L4953" s="1" t="s">
        <v>23</v>
      </c>
      <c r="M4953">
        <v>1.837</v>
      </c>
      <c r="N4953">
        <v>31236.5</v>
      </c>
      <c r="O4953">
        <v>31.236000000000001</v>
      </c>
      <c r="P4953" s="2">
        <v>44409</v>
      </c>
      <c r="Q4953">
        <v>1</v>
      </c>
      <c r="R4953" s="1" t="s">
        <v>122</v>
      </c>
    </row>
    <row r="4954" spans="1:18" x14ac:dyDescent="0.25">
      <c r="A4954">
        <v>2021</v>
      </c>
      <c r="B4954">
        <v>9</v>
      </c>
      <c r="C4954" s="1" t="s">
        <v>32</v>
      </c>
      <c r="D4954" s="1" t="s">
        <v>19</v>
      </c>
      <c r="E4954" s="1" t="s">
        <v>106</v>
      </c>
      <c r="F4954">
        <v>2016</v>
      </c>
      <c r="G4954">
        <v>5</v>
      </c>
      <c r="H4954" s="1" t="s">
        <v>126</v>
      </c>
      <c r="I4954">
        <v>17</v>
      </c>
      <c r="J4954">
        <v>2219</v>
      </c>
      <c r="K4954" s="1" t="s">
        <v>107</v>
      </c>
      <c r="L4954" s="1" t="s">
        <v>23</v>
      </c>
      <c r="M4954">
        <v>1.756</v>
      </c>
      <c r="N4954">
        <v>29845.200000000001</v>
      </c>
      <c r="O4954">
        <v>29.844999999999999</v>
      </c>
      <c r="P4954" s="2">
        <v>44440</v>
      </c>
      <c r="Q4954">
        <v>1</v>
      </c>
      <c r="R4954" s="1" t="s">
        <v>122</v>
      </c>
    </row>
    <row r="4955" spans="1:18" x14ac:dyDescent="0.25">
      <c r="A4955">
        <v>2021</v>
      </c>
      <c r="B4955">
        <v>10</v>
      </c>
      <c r="C4955" s="1" t="s">
        <v>33</v>
      </c>
      <c r="D4955" s="1" t="s">
        <v>19</v>
      </c>
      <c r="E4955" s="1" t="s">
        <v>106</v>
      </c>
      <c r="F4955">
        <v>2016</v>
      </c>
      <c r="G4955">
        <v>5</v>
      </c>
      <c r="H4955" s="1" t="s">
        <v>126</v>
      </c>
      <c r="I4955">
        <v>17</v>
      </c>
      <c r="J4955">
        <v>2219</v>
      </c>
      <c r="K4955" s="1" t="s">
        <v>107</v>
      </c>
      <c r="L4955" s="1" t="s">
        <v>23</v>
      </c>
      <c r="M4955">
        <v>1.8580000000000001</v>
      </c>
      <c r="N4955">
        <v>31580.6</v>
      </c>
      <c r="O4955">
        <v>31.581</v>
      </c>
      <c r="P4955" s="2">
        <v>44470</v>
      </c>
      <c r="Q4955">
        <v>1</v>
      </c>
      <c r="R4955" s="1" t="s">
        <v>122</v>
      </c>
    </row>
    <row r="4956" spans="1:18" x14ac:dyDescent="0.25">
      <c r="A4956">
        <v>2021</v>
      </c>
      <c r="B4956">
        <v>11</v>
      </c>
      <c r="C4956" s="1" t="s">
        <v>34</v>
      </c>
      <c r="D4956" s="1" t="s">
        <v>19</v>
      </c>
      <c r="E4956" s="1" t="s">
        <v>106</v>
      </c>
      <c r="F4956">
        <v>2016</v>
      </c>
      <c r="G4956">
        <v>5</v>
      </c>
      <c r="H4956" s="1" t="s">
        <v>126</v>
      </c>
      <c r="I4956">
        <v>17</v>
      </c>
      <c r="J4956">
        <v>2219</v>
      </c>
      <c r="K4956" s="1" t="s">
        <v>107</v>
      </c>
      <c r="L4956" s="1" t="s">
        <v>23</v>
      </c>
      <c r="M4956">
        <v>1.81</v>
      </c>
      <c r="N4956">
        <v>30772.7</v>
      </c>
      <c r="O4956">
        <v>30.773</v>
      </c>
      <c r="P4956" s="2">
        <v>44501</v>
      </c>
      <c r="Q4956">
        <v>1</v>
      </c>
      <c r="R4956" s="1" t="s">
        <v>122</v>
      </c>
    </row>
    <row r="4957" spans="1:18" x14ac:dyDescent="0.25">
      <c r="A4957">
        <v>2021</v>
      </c>
      <c r="B4957">
        <v>12</v>
      </c>
      <c r="C4957" s="1" t="s">
        <v>35</v>
      </c>
      <c r="D4957" s="1" t="s">
        <v>19</v>
      </c>
      <c r="E4957" s="1" t="s">
        <v>106</v>
      </c>
      <c r="F4957">
        <v>2016</v>
      </c>
      <c r="G4957">
        <v>5</v>
      </c>
      <c r="H4957" s="1" t="s">
        <v>126</v>
      </c>
      <c r="I4957">
        <v>17</v>
      </c>
      <c r="J4957">
        <v>2219</v>
      </c>
      <c r="K4957" s="1" t="s">
        <v>107</v>
      </c>
      <c r="L4957" s="1" t="s">
        <v>23</v>
      </c>
      <c r="M4957">
        <v>1.837</v>
      </c>
      <c r="N4957">
        <v>31221.5</v>
      </c>
      <c r="O4957">
        <v>31.222000000000001</v>
      </c>
      <c r="P4957" s="2">
        <v>44531</v>
      </c>
      <c r="Q4957">
        <v>1</v>
      </c>
      <c r="R4957" s="1" t="s">
        <v>122</v>
      </c>
    </row>
    <row r="4958" spans="1:18" x14ac:dyDescent="0.25">
      <c r="A4958">
        <v>2021</v>
      </c>
      <c r="B4958">
        <v>1</v>
      </c>
      <c r="C4958" s="1" t="s">
        <v>18</v>
      </c>
      <c r="D4958" s="1" t="s">
        <v>19</v>
      </c>
      <c r="E4958" s="1" t="s">
        <v>108</v>
      </c>
      <c r="F4958">
        <v>2016</v>
      </c>
      <c r="G4958">
        <v>5</v>
      </c>
      <c r="H4958" s="1" t="s">
        <v>126</v>
      </c>
      <c r="I4958">
        <v>15</v>
      </c>
      <c r="J4958">
        <v>2142</v>
      </c>
      <c r="K4958" s="1" t="s">
        <v>109</v>
      </c>
      <c r="L4958" s="1" t="s">
        <v>23</v>
      </c>
      <c r="M4958">
        <v>0.55400000000000005</v>
      </c>
      <c r="N4958">
        <v>8316</v>
      </c>
      <c r="O4958">
        <v>8.3160000000000007</v>
      </c>
      <c r="P4958" s="2">
        <v>44197</v>
      </c>
      <c r="Q4958">
        <v>1</v>
      </c>
      <c r="R4958" s="1" t="s">
        <v>122</v>
      </c>
    </row>
    <row r="4959" spans="1:18" x14ac:dyDescent="0.25">
      <c r="A4959">
        <v>2021</v>
      </c>
      <c r="B4959">
        <v>2</v>
      </c>
      <c r="C4959" s="1" t="s">
        <v>25</v>
      </c>
      <c r="D4959" s="1" t="s">
        <v>19</v>
      </c>
      <c r="E4959" s="1" t="s">
        <v>108</v>
      </c>
      <c r="F4959">
        <v>2016</v>
      </c>
      <c r="G4959">
        <v>5</v>
      </c>
      <c r="H4959" s="1" t="s">
        <v>126</v>
      </c>
      <c r="I4959">
        <v>15</v>
      </c>
      <c r="J4959">
        <v>2142</v>
      </c>
      <c r="K4959" s="1" t="s">
        <v>109</v>
      </c>
      <c r="L4959" s="1" t="s">
        <v>23</v>
      </c>
      <c r="M4959">
        <v>0.92</v>
      </c>
      <c r="N4959">
        <v>13807.2</v>
      </c>
      <c r="O4959">
        <v>13.807</v>
      </c>
      <c r="P4959" s="2">
        <v>44228</v>
      </c>
      <c r="Q4959">
        <v>1</v>
      </c>
      <c r="R4959" s="1" t="s">
        <v>122</v>
      </c>
    </row>
    <row r="4960" spans="1:18" x14ac:dyDescent="0.25">
      <c r="A4960">
        <v>2021</v>
      </c>
      <c r="B4960">
        <v>3</v>
      </c>
      <c r="C4960" s="1" t="s">
        <v>26</v>
      </c>
      <c r="D4960" s="1" t="s">
        <v>19</v>
      </c>
      <c r="E4960" s="1" t="s">
        <v>108</v>
      </c>
      <c r="F4960">
        <v>2016</v>
      </c>
      <c r="G4960">
        <v>5</v>
      </c>
      <c r="H4960" s="1" t="s">
        <v>126</v>
      </c>
      <c r="I4960">
        <v>15</v>
      </c>
      <c r="J4960">
        <v>2142</v>
      </c>
      <c r="K4960" s="1" t="s">
        <v>109</v>
      </c>
      <c r="L4960" s="1" t="s">
        <v>23</v>
      </c>
      <c r="M4960">
        <v>1.5</v>
      </c>
      <c r="N4960">
        <v>22492.799999999999</v>
      </c>
      <c r="O4960">
        <v>22.492999999999999</v>
      </c>
      <c r="P4960" s="2">
        <v>44256</v>
      </c>
      <c r="Q4960">
        <v>1</v>
      </c>
      <c r="R4960" s="1" t="s">
        <v>122</v>
      </c>
    </row>
    <row r="4961" spans="1:18" x14ac:dyDescent="0.25">
      <c r="A4961">
        <v>2021</v>
      </c>
      <c r="B4961">
        <v>4</v>
      </c>
      <c r="C4961" s="1" t="s">
        <v>27</v>
      </c>
      <c r="D4961" s="1" t="s">
        <v>19</v>
      </c>
      <c r="E4961" s="1" t="s">
        <v>108</v>
      </c>
      <c r="F4961">
        <v>2016</v>
      </c>
      <c r="G4961">
        <v>5</v>
      </c>
      <c r="H4961" s="1" t="s">
        <v>126</v>
      </c>
      <c r="I4961">
        <v>15</v>
      </c>
      <c r="J4961">
        <v>2142</v>
      </c>
      <c r="K4961" s="1" t="s">
        <v>109</v>
      </c>
      <c r="L4961" s="1" t="s">
        <v>23</v>
      </c>
      <c r="M4961">
        <v>1.742</v>
      </c>
      <c r="N4961">
        <v>26122.799999999999</v>
      </c>
      <c r="O4961">
        <v>26.123000000000001</v>
      </c>
      <c r="P4961" s="2">
        <v>44287</v>
      </c>
      <c r="Q4961">
        <v>1</v>
      </c>
      <c r="R4961" s="1" t="s">
        <v>122</v>
      </c>
    </row>
    <row r="4962" spans="1:18" x14ac:dyDescent="0.25">
      <c r="A4962">
        <v>2021</v>
      </c>
      <c r="B4962">
        <v>5</v>
      </c>
      <c r="C4962" s="1" t="s">
        <v>28</v>
      </c>
      <c r="D4962" s="1" t="s">
        <v>19</v>
      </c>
      <c r="E4962" s="1" t="s">
        <v>108</v>
      </c>
      <c r="F4962">
        <v>2016</v>
      </c>
      <c r="G4962">
        <v>5</v>
      </c>
      <c r="H4962" s="1" t="s">
        <v>126</v>
      </c>
      <c r="I4962">
        <v>15</v>
      </c>
      <c r="J4962">
        <v>2142</v>
      </c>
      <c r="K4962" s="1" t="s">
        <v>109</v>
      </c>
      <c r="L4962" s="1" t="s">
        <v>23</v>
      </c>
      <c r="M4962">
        <v>1.6970000000000001</v>
      </c>
      <c r="N4962">
        <v>25449.599999999999</v>
      </c>
      <c r="O4962">
        <v>25.45</v>
      </c>
      <c r="P4962" s="2">
        <v>44317</v>
      </c>
      <c r="Q4962">
        <v>1</v>
      </c>
      <c r="R4962" s="1" t="s">
        <v>122</v>
      </c>
    </row>
    <row r="4963" spans="1:18" x14ac:dyDescent="0.25">
      <c r="A4963">
        <v>2021</v>
      </c>
      <c r="B4963">
        <v>6</v>
      </c>
      <c r="C4963" s="1" t="s">
        <v>29</v>
      </c>
      <c r="D4963" s="1" t="s">
        <v>19</v>
      </c>
      <c r="E4963" s="1" t="s">
        <v>108</v>
      </c>
      <c r="F4963">
        <v>2016</v>
      </c>
      <c r="G4963">
        <v>5</v>
      </c>
      <c r="H4963" s="1" t="s">
        <v>126</v>
      </c>
      <c r="I4963">
        <v>15</v>
      </c>
      <c r="J4963">
        <v>2142</v>
      </c>
      <c r="K4963" s="1" t="s">
        <v>109</v>
      </c>
      <c r="L4963" s="1" t="s">
        <v>23</v>
      </c>
      <c r="M4963">
        <v>1.6619999999999999</v>
      </c>
      <c r="N4963">
        <v>24934.799999999999</v>
      </c>
      <c r="O4963">
        <v>24.934999999999999</v>
      </c>
      <c r="P4963" s="2">
        <v>44348</v>
      </c>
      <c r="Q4963">
        <v>1</v>
      </c>
      <c r="R4963" s="1" t="s">
        <v>122</v>
      </c>
    </row>
    <row r="4964" spans="1:18" x14ac:dyDescent="0.25">
      <c r="A4964">
        <v>2021</v>
      </c>
      <c r="B4964">
        <v>7</v>
      </c>
      <c r="C4964" s="1" t="s">
        <v>30</v>
      </c>
      <c r="D4964" s="1" t="s">
        <v>19</v>
      </c>
      <c r="E4964" s="1" t="s">
        <v>108</v>
      </c>
      <c r="F4964">
        <v>2016</v>
      </c>
      <c r="G4964">
        <v>5</v>
      </c>
      <c r="H4964" s="1" t="s">
        <v>126</v>
      </c>
      <c r="I4964">
        <v>15</v>
      </c>
      <c r="J4964">
        <v>2142</v>
      </c>
      <c r="K4964" s="1" t="s">
        <v>109</v>
      </c>
      <c r="L4964" s="1" t="s">
        <v>23</v>
      </c>
      <c r="M4964">
        <v>1.901</v>
      </c>
      <c r="N4964">
        <v>28512</v>
      </c>
      <c r="O4964">
        <v>28.512</v>
      </c>
      <c r="P4964" s="2">
        <v>44378</v>
      </c>
      <c r="Q4964">
        <v>1</v>
      </c>
      <c r="R4964" s="1" t="s">
        <v>122</v>
      </c>
    </row>
    <row r="4965" spans="1:18" x14ac:dyDescent="0.25">
      <c r="A4965">
        <v>2021</v>
      </c>
      <c r="B4965">
        <v>8</v>
      </c>
      <c r="C4965" s="1" t="s">
        <v>31</v>
      </c>
      <c r="D4965" s="1" t="s">
        <v>19</v>
      </c>
      <c r="E4965" s="1" t="s">
        <v>108</v>
      </c>
      <c r="F4965">
        <v>2016</v>
      </c>
      <c r="G4965">
        <v>5</v>
      </c>
      <c r="H4965" s="1" t="s">
        <v>126</v>
      </c>
      <c r="I4965">
        <v>15</v>
      </c>
      <c r="J4965">
        <v>2142</v>
      </c>
      <c r="K4965" s="1" t="s">
        <v>109</v>
      </c>
      <c r="L4965" s="1" t="s">
        <v>23</v>
      </c>
      <c r="M4965">
        <v>1.837</v>
      </c>
      <c r="N4965">
        <v>27561.599999999999</v>
      </c>
      <c r="O4965">
        <v>27.562000000000001</v>
      </c>
      <c r="P4965" s="2">
        <v>44409</v>
      </c>
      <c r="Q4965">
        <v>1</v>
      </c>
      <c r="R4965" s="1" t="s">
        <v>122</v>
      </c>
    </row>
    <row r="4966" spans="1:18" x14ac:dyDescent="0.25">
      <c r="A4966">
        <v>2021</v>
      </c>
      <c r="B4966">
        <v>9</v>
      </c>
      <c r="C4966" s="1" t="s">
        <v>32</v>
      </c>
      <c r="D4966" s="1" t="s">
        <v>19</v>
      </c>
      <c r="E4966" s="1" t="s">
        <v>108</v>
      </c>
      <c r="F4966">
        <v>2016</v>
      </c>
      <c r="G4966">
        <v>5</v>
      </c>
      <c r="H4966" s="1" t="s">
        <v>126</v>
      </c>
      <c r="I4966">
        <v>15</v>
      </c>
      <c r="J4966">
        <v>2142</v>
      </c>
      <c r="K4966" s="1" t="s">
        <v>109</v>
      </c>
      <c r="L4966" s="1" t="s">
        <v>23</v>
      </c>
      <c r="M4966">
        <v>1.756</v>
      </c>
      <c r="N4966">
        <v>26334</v>
      </c>
      <c r="O4966">
        <v>26.334</v>
      </c>
      <c r="P4966" s="2">
        <v>44440</v>
      </c>
      <c r="Q4966">
        <v>1</v>
      </c>
      <c r="R4966" s="1" t="s">
        <v>122</v>
      </c>
    </row>
    <row r="4967" spans="1:18" x14ac:dyDescent="0.25">
      <c r="A4967">
        <v>2021</v>
      </c>
      <c r="B4967">
        <v>10</v>
      </c>
      <c r="C4967" s="1" t="s">
        <v>33</v>
      </c>
      <c r="D4967" s="1" t="s">
        <v>19</v>
      </c>
      <c r="E4967" s="1" t="s">
        <v>108</v>
      </c>
      <c r="F4967">
        <v>2016</v>
      </c>
      <c r="G4967">
        <v>5</v>
      </c>
      <c r="H4967" s="1" t="s">
        <v>126</v>
      </c>
      <c r="I4967">
        <v>15</v>
      </c>
      <c r="J4967">
        <v>2142</v>
      </c>
      <c r="K4967" s="1" t="s">
        <v>109</v>
      </c>
      <c r="L4967" s="1" t="s">
        <v>23</v>
      </c>
      <c r="M4967">
        <v>1.8580000000000001</v>
      </c>
      <c r="N4967">
        <v>27865.200000000001</v>
      </c>
      <c r="O4967">
        <v>27.864999999999998</v>
      </c>
      <c r="P4967" s="2">
        <v>44470</v>
      </c>
      <c r="Q4967">
        <v>1</v>
      </c>
      <c r="R4967" s="1" t="s">
        <v>122</v>
      </c>
    </row>
    <row r="4968" spans="1:18" x14ac:dyDescent="0.25">
      <c r="A4968">
        <v>2021</v>
      </c>
      <c r="B4968">
        <v>11</v>
      </c>
      <c r="C4968" s="1" t="s">
        <v>34</v>
      </c>
      <c r="D4968" s="1" t="s">
        <v>19</v>
      </c>
      <c r="E4968" s="1" t="s">
        <v>108</v>
      </c>
      <c r="F4968">
        <v>2016</v>
      </c>
      <c r="G4968">
        <v>5</v>
      </c>
      <c r="H4968" s="1" t="s">
        <v>126</v>
      </c>
      <c r="I4968">
        <v>15</v>
      </c>
      <c r="J4968">
        <v>2142</v>
      </c>
      <c r="K4968" s="1" t="s">
        <v>109</v>
      </c>
      <c r="L4968" s="1" t="s">
        <v>23</v>
      </c>
      <c r="M4968">
        <v>1.81</v>
      </c>
      <c r="N4968">
        <v>27152.400000000001</v>
      </c>
      <c r="O4968">
        <v>27.152000000000001</v>
      </c>
      <c r="P4968" s="2">
        <v>44501</v>
      </c>
      <c r="Q4968">
        <v>1</v>
      </c>
      <c r="R4968" s="1" t="s">
        <v>122</v>
      </c>
    </row>
    <row r="4969" spans="1:18" x14ac:dyDescent="0.25">
      <c r="A4969">
        <v>2021</v>
      </c>
      <c r="B4969">
        <v>12</v>
      </c>
      <c r="C4969" s="1" t="s">
        <v>35</v>
      </c>
      <c r="D4969" s="1" t="s">
        <v>19</v>
      </c>
      <c r="E4969" s="1" t="s">
        <v>108</v>
      </c>
      <c r="F4969">
        <v>2016</v>
      </c>
      <c r="G4969">
        <v>5</v>
      </c>
      <c r="H4969" s="1" t="s">
        <v>126</v>
      </c>
      <c r="I4969">
        <v>15</v>
      </c>
      <c r="J4969">
        <v>2142</v>
      </c>
      <c r="K4969" s="1" t="s">
        <v>109</v>
      </c>
      <c r="L4969" s="1" t="s">
        <v>23</v>
      </c>
      <c r="M4969">
        <v>1.837</v>
      </c>
      <c r="N4969">
        <v>27548.400000000001</v>
      </c>
      <c r="O4969">
        <v>27.547999999999998</v>
      </c>
      <c r="P4969" s="2">
        <v>44531</v>
      </c>
      <c r="Q4969">
        <v>1</v>
      </c>
      <c r="R4969" s="1" t="s">
        <v>122</v>
      </c>
    </row>
    <row r="4970" spans="1:18" x14ac:dyDescent="0.25">
      <c r="A4970">
        <v>2021</v>
      </c>
      <c r="B4970">
        <v>1</v>
      </c>
      <c r="C4970" s="1" t="s">
        <v>18</v>
      </c>
      <c r="D4970" s="1" t="s">
        <v>19</v>
      </c>
      <c r="E4970" s="1" t="s">
        <v>110</v>
      </c>
      <c r="F4970">
        <v>2016</v>
      </c>
      <c r="G4970">
        <v>5</v>
      </c>
      <c r="H4970" s="1" t="s">
        <v>126</v>
      </c>
      <c r="I4970">
        <v>24</v>
      </c>
      <c r="J4970">
        <v>3324</v>
      </c>
      <c r="K4970" s="1" t="s">
        <v>111</v>
      </c>
      <c r="L4970" s="1" t="s">
        <v>23</v>
      </c>
      <c r="M4970">
        <v>0.55400000000000005</v>
      </c>
      <c r="N4970">
        <v>13305.6</v>
      </c>
      <c r="O4970">
        <v>13.305999999999999</v>
      </c>
      <c r="P4970" s="2">
        <v>44197</v>
      </c>
      <c r="Q4970">
        <v>1</v>
      </c>
      <c r="R4970" s="1" t="s">
        <v>122</v>
      </c>
    </row>
    <row r="4971" spans="1:18" x14ac:dyDescent="0.25">
      <c r="A4971">
        <v>2021</v>
      </c>
      <c r="B4971">
        <v>2</v>
      </c>
      <c r="C4971" s="1" t="s">
        <v>25</v>
      </c>
      <c r="D4971" s="1" t="s">
        <v>19</v>
      </c>
      <c r="E4971" s="1" t="s">
        <v>110</v>
      </c>
      <c r="F4971">
        <v>2016</v>
      </c>
      <c r="G4971">
        <v>5</v>
      </c>
      <c r="H4971" s="1" t="s">
        <v>126</v>
      </c>
      <c r="I4971">
        <v>24</v>
      </c>
      <c r="J4971">
        <v>3324</v>
      </c>
      <c r="K4971" s="1" t="s">
        <v>111</v>
      </c>
      <c r="L4971" s="1" t="s">
        <v>23</v>
      </c>
      <c r="M4971">
        <v>0.92</v>
      </c>
      <c r="N4971">
        <v>22091.5</v>
      </c>
      <c r="O4971">
        <v>22.091999999999999</v>
      </c>
      <c r="P4971" s="2">
        <v>44228</v>
      </c>
      <c r="Q4971">
        <v>1</v>
      </c>
      <c r="R4971" s="1" t="s">
        <v>122</v>
      </c>
    </row>
    <row r="4972" spans="1:18" x14ac:dyDescent="0.25">
      <c r="A4972">
        <v>2021</v>
      </c>
      <c r="B4972">
        <v>3</v>
      </c>
      <c r="C4972" s="1" t="s">
        <v>26</v>
      </c>
      <c r="D4972" s="1" t="s">
        <v>19</v>
      </c>
      <c r="E4972" s="1" t="s">
        <v>110</v>
      </c>
      <c r="F4972">
        <v>2016</v>
      </c>
      <c r="G4972">
        <v>5</v>
      </c>
      <c r="H4972" s="1" t="s">
        <v>126</v>
      </c>
      <c r="I4972">
        <v>24</v>
      </c>
      <c r="J4972">
        <v>3324</v>
      </c>
      <c r="K4972" s="1" t="s">
        <v>111</v>
      </c>
      <c r="L4972" s="1" t="s">
        <v>23</v>
      </c>
      <c r="M4972">
        <v>1.5</v>
      </c>
      <c r="N4972">
        <v>35988.5</v>
      </c>
      <c r="O4972">
        <v>35.988</v>
      </c>
      <c r="P4972" s="2">
        <v>44256</v>
      </c>
      <c r="Q4972">
        <v>1</v>
      </c>
      <c r="R4972" s="1" t="s">
        <v>122</v>
      </c>
    </row>
    <row r="4973" spans="1:18" x14ac:dyDescent="0.25">
      <c r="A4973">
        <v>2021</v>
      </c>
      <c r="B4973">
        <v>4</v>
      </c>
      <c r="C4973" s="1" t="s">
        <v>27</v>
      </c>
      <c r="D4973" s="1" t="s">
        <v>19</v>
      </c>
      <c r="E4973" s="1" t="s">
        <v>110</v>
      </c>
      <c r="F4973">
        <v>2016</v>
      </c>
      <c r="G4973">
        <v>5</v>
      </c>
      <c r="H4973" s="1" t="s">
        <v>126</v>
      </c>
      <c r="I4973">
        <v>24</v>
      </c>
      <c r="J4973">
        <v>3324</v>
      </c>
      <c r="K4973" s="1" t="s">
        <v>111</v>
      </c>
      <c r="L4973" s="1" t="s">
        <v>23</v>
      </c>
      <c r="M4973">
        <v>1.742</v>
      </c>
      <c r="N4973">
        <v>41796.5</v>
      </c>
      <c r="O4973">
        <v>41.795999999999999</v>
      </c>
      <c r="P4973" s="2">
        <v>44287</v>
      </c>
      <c r="Q4973">
        <v>1</v>
      </c>
      <c r="R4973" s="1" t="s">
        <v>122</v>
      </c>
    </row>
    <row r="4974" spans="1:18" x14ac:dyDescent="0.25">
      <c r="A4974">
        <v>2021</v>
      </c>
      <c r="B4974">
        <v>5</v>
      </c>
      <c r="C4974" s="1" t="s">
        <v>28</v>
      </c>
      <c r="D4974" s="1" t="s">
        <v>19</v>
      </c>
      <c r="E4974" s="1" t="s">
        <v>110</v>
      </c>
      <c r="F4974">
        <v>2016</v>
      </c>
      <c r="G4974">
        <v>5</v>
      </c>
      <c r="H4974" s="1" t="s">
        <v>126</v>
      </c>
      <c r="I4974">
        <v>24</v>
      </c>
      <c r="J4974">
        <v>3324</v>
      </c>
      <c r="K4974" s="1" t="s">
        <v>111</v>
      </c>
      <c r="L4974" s="1" t="s">
        <v>23</v>
      </c>
      <c r="M4974">
        <v>1.6970000000000001</v>
      </c>
      <c r="N4974">
        <v>40719.4</v>
      </c>
      <c r="O4974">
        <v>40.719000000000001</v>
      </c>
      <c r="P4974" s="2">
        <v>44317</v>
      </c>
      <c r="Q4974">
        <v>1</v>
      </c>
      <c r="R4974" s="1" t="s">
        <v>122</v>
      </c>
    </row>
    <row r="4975" spans="1:18" x14ac:dyDescent="0.25">
      <c r="A4975">
        <v>2021</v>
      </c>
      <c r="B4975">
        <v>6</v>
      </c>
      <c r="C4975" s="1" t="s">
        <v>29</v>
      </c>
      <c r="D4975" s="1" t="s">
        <v>19</v>
      </c>
      <c r="E4975" s="1" t="s">
        <v>110</v>
      </c>
      <c r="F4975">
        <v>2016</v>
      </c>
      <c r="G4975">
        <v>5</v>
      </c>
      <c r="H4975" s="1" t="s">
        <v>126</v>
      </c>
      <c r="I4975">
        <v>24</v>
      </c>
      <c r="J4975">
        <v>3324</v>
      </c>
      <c r="K4975" s="1" t="s">
        <v>111</v>
      </c>
      <c r="L4975" s="1" t="s">
        <v>23</v>
      </c>
      <c r="M4975">
        <v>1.6619999999999999</v>
      </c>
      <c r="N4975">
        <v>39895.699999999997</v>
      </c>
      <c r="O4975">
        <v>39.896000000000001</v>
      </c>
      <c r="P4975" s="2">
        <v>44348</v>
      </c>
      <c r="Q4975">
        <v>1</v>
      </c>
      <c r="R4975" s="1" t="s">
        <v>122</v>
      </c>
    </row>
    <row r="4976" spans="1:18" x14ac:dyDescent="0.25">
      <c r="A4976">
        <v>2021</v>
      </c>
      <c r="B4976">
        <v>7</v>
      </c>
      <c r="C4976" s="1" t="s">
        <v>30</v>
      </c>
      <c r="D4976" s="1" t="s">
        <v>19</v>
      </c>
      <c r="E4976" s="1" t="s">
        <v>110</v>
      </c>
      <c r="F4976">
        <v>2016</v>
      </c>
      <c r="G4976">
        <v>5</v>
      </c>
      <c r="H4976" s="1" t="s">
        <v>126</v>
      </c>
      <c r="I4976">
        <v>24</v>
      </c>
      <c r="J4976">
        <v>3324</v>
      </c>
      <c r="K4976" s="1" t="s">
        <v>111</v>
      </c>
      <c r="L4976" s="1" t="s">
        <v>23</v>
      </c>
      <c r="M4976">
        <v>1.901</v>
      </c>
      <c r="N4976">
        <v>45619.199999999997</v>
      </c>
      <c r="O4976">
        <v>45.619</v>
      </c>
      <c r="P4976" s="2">
        <v>44378</v>
      </c>
      <c r="Q4976">
        <v>1</v>
      </c>
      <c r="R4976" s="1" t="s">
        <v>122</v>
      </c>
    </row>
    <row r="4977" spans="1:18" x14ac:dyDescent="0.25">
      <c r="A4977">
        <v>2021</v>
      </c>
      <c r="B4977">
        <v>8</v>
      </c>
      <c r="C4977" s="1" t="s">
        <v>31</v>
      </c>
      <c r="D4977" s="1" t="s">
        <v>19</v>
      </c>
      <c r="E4977" s="1" t="s">
        <v>110</v>
      </c>
      <c r="F4977">
        <v>2016</v>
      </c>
      <c r="G4977">
        <v>5</v>
      </c>
      <c r="H4977" s="1" t="s">
        <v>126</v>
      </c>
      <c r="I4977">
        <v>24</v>
      </c>
      <c r="J4977">
        <v>3324</v>
      </c>
      <c r="K4977" s="1" t="s">
        <v>111</v>
      </c>
      <c r="L4977" s="1" t="s">
        <v>23</v>
      </c>
      <c r="M4977">
        <v>1.837</v>
      </c>
      <c r="N4977">
        <v>44098.6</v>
      </c>
      <c r="O4977">
        <v>44.098999999999997</v>
      </c>
      <c r="P4977" s="2">
        <v>44409</v>
      </c>
      <c r="Q4977">
        <v>1</v>
      </c>
      <c r="R4977" s="1" t="s">
        <v>122</v>
      </c>
    </row>
    <row r="4978" spans="1:18" x14ac:dyDescent="0.25">
      <c r="A4978">
        <v>2021</v>
      </c>
      <c r="B4978">
        <v>9</v>
      </c>
      <c r="C4978" s="1" t="s">
        <v>32</v>
      </c>
      <c r="D4978" s="1" t="s">
        <v>19</v>
      </c>
      <c r="E4978" s="1" t="s">
        <v>110</v>
      </c>
      <c r="F4978">
        <v>2016</v>
      </c>
      <c r="G4978">
        <v>5</v>
      </c>
      <c r="H4978" s="1" t="s">
        <v>126</v>
      </c>
      <c r="I4978">
        <v>24</v>
      </c>
      <c r="J4978">
        <v>3324</v>
      </c>
      <c r="K4978" s="1" t="s">
        <v>111</v>
      </c>
      <c r="L4978" s="1" t="s">
        <v>23</v>
      </c>
      <c r="M4978">
        <v>1.756</v>
      </c>
      <c r="N4978">
        <v>42134.400000000001</v>
      </c>
      <c r="O4978">
        <v>42.134</v>
      </c>
      <c r="P4978" s="2">
        <v>44440</v>
      </c>
      <c r="Q4978">
        <v>1</v>
      </c>
      <c r="R4978" s="1" t="s">
        <v>122</v>
      </c>
    </row>
    <row r="4979" spans="1:18" x14ac:dyDescent="0.25">
      <c r="A4979">
        <v>2021</v>
      </c>
      <c r="B4979">
        <v>10</v>
      </c>
      <c r="C4979" s="1" t="s">
        <v>33</v>
      </c>
      <c r="D4979" s="1" t="s">
        <v>19</v>
      </c>
      <c r="E4979" s="1" t="s">
        <v>110</v>
      </c>
      <c r="F4979">
        <v>2016</v>
      </c>
      <c r="G4979">
        <v>5</v>
      </c>
      <c r="H4979" s="1" t="s">
        <v>126</v>
      </c>
      <c r="I4979">
        <v>24</v>
      </c>
      <c r="J4979">
        <v>3324</v>
      </c>
      <c r="K4979" s="1" t="s">
        <v>111</v>
      </c>
      <c r="L4979" s="1" t="s">
        <v>23</v>
      </c>
      <c r="M4979">
        <v>1.8580000000000001</v>
      </c>
      <c r="N4979">
        <v>44584.3</v>
      </c>
      <c r="O4979">
        <v>44.584000000000003</v>
      </c>
      <c r="P4979" s="2">
        <v>44470</v>
      </c>
      <c r="Q4979">
        <v>1</v>
      </c>
      <c r="R4979" s="1" t="s">
        <v>122</v>
      </c>
    </row>
    <row r="4980" spans="1:18" x14ac:dyDescent="0.25">
      <c r="A4980">
        <v>2021</v>
      </c>
      <c r="B4980">
        <v>11</v>
      </c>
      <c r="C4980" s="1" t="s">
        <v>34</v>
      </c>
      <c r="D4980" s="1" t="s">
        <v>19</v>
      </c>
      <c r="E4980" s="1" t="s">
        <v>110</v>
      </c>
      <c r="F4980">
        <v>2016</v>
      </c>
      <c r="G4980">
        <v>5</v>
      </c>
      <c r="H4980" s="1" t="s">
        <v>126</v>
      </c>
      <c r="I4980">
        <v>24</v>
      </c>
      <c r="J4980">
        <v>3324</v>
      </c>
      <c r="K4980" s="1" t="s">
        <v>111</v>
      </c>
      <c r="L4980" s="1" t="s">
        <v>23</v>
      </c>
      <c r="M4980">
        <v>1.81</v>
      </c>
      <c r="N4980">
        <v>43443.8</v>
      </c>
      <c r="O4980">
        <v>43.444000000000003</v>
      </c>
      <c r="P4980" s="2">
        <v>44501</v>
      </c>
      <c r="Q4980">
        <v>1</v>
      </c>
      <c r="R4980" s="1" t="s">
        <v>122</v>
      </c>
    </row>
    <row r="4981" spans="1:18" x14ac:dyDescent="0.25">
      <c r="A4981">
        <v>2021</v>
      </c>
      <c r="B4981">
        <v>12</v>
      </c>
      <c r="C4981" s="1" t="s">
        <v>35</v>
      </c>
      <c r="D4981" s="1" t="s">
        <v>19</v>
      </c>
      <c r="E4981" s="1" t="s">
        <v>110</v>
      </c>
      <c r="F4981">
        <v>2016</v>
      </c>
      <c r="G4981">
        <v>5</v>
      </c>
      <c r="H4981" s="1" t="s">
        <v>126</v>
      </c>
      <c r="I4981">
        <v>24</v>
      </c>
      <c r="J4981">
        <v>3324</v>
      </c>
      <c r="K4981" s="1" t="s">
        <v>111</v>
      </c>
      <c r="L4981" s="1" t="s">
        <v>23</v>
      </c>
      <c r="M4981">
        <v>1.837</v>
      </c>
      <c r="N4981">
        <v>44077.4</v>
      </c>
      <c r="O4981">
        <v>44.076999999999998</v>
      </c>
      <c r="P4981" s="2">
        <v>44531</v>
      </c>
      <c r="Q4981">
        <v>1</v>
      </c>
      <c r="R4981" s="1" t="s">
        <v>122</v>
      </c>
    </row>
    <row r="4982" spans="1:18" x14ac:dyDescent="0.25">
      <c r="A4982">
        <v>2021</v>
      </c>
      <c r="B4982">
        <v>1</v>
      </c>
      <c r="C4982" s="1" t="s">
        <v>18</v>
      </c>
      <c r="D4982" s="1" t="s">
        <v>19</v>
      </c>
      <c r="E4982" s="1" t="s">
        <v>112</v>
      </c>
      <c r="F4982">
        <v>2016</v>
      </c>
      <c r="G4982">
        <v>5</v>
      </c>
      <c r="H4982" s="1" t="s">
        <v>126</v>
      </c>
      <c r="I4982">
        <v>20</v>
      </c>
      <c r="J4982">
        <v>2663</v>
      </c>
      <c r="K4982" s="1" t="s">
        <v>113</v>
      </c>
      <c r="L4982" s="1" t="s">
        <v>23</v>
      </c>
      <c r="M4982">
        <v>0.55400000000000005</v>
      </c>
      <c r="N4982">
        <v>11088</v>
      </c>
      <c r="O4982">
        <v>11.087999999999999</v>
      </c>
      <c r="P4982" s="2">
        <v>44197</v>
      </c>
      <c r="Q4982">
        <v>1</v>
      </c>
      <c r="R4982" s="1" t="s">
        <v>122</v>
      </c>
    </row>
    <row r="4983" spans="1:18" x14ac:dyDescent="0.25">
      <c r="A4983">
        <v>2021</v>
      </c>
      <c r="B4983">
        <v>2</v>
      </c>
      <c r="C4983" s="1" t="s">
        <v>25</v>
      </c>
      <c r="D4983" s="1" t="s">
        <v>19</v>
      </c>
      <c r="E4983" s="1" t="s">
        <v>112</v>
      </c>
      <c r="F4983">
        <v>2016</v>
      </c>
      <c r="G4983">
        <v>5</v>
      </c>
      <c r="H4983" s="1" t="s">
        <v>126</v>
      </c>
      <c r="I4983">
        <v>20</v>
      </c>
      <c r="J4983">
        <v>2663</v>
      </c>
      <c r="K4983" s="1" t="s">
        <v>113</v>
      </c>
      <c r="L4983" s="1" t="s">
        <v>23</v>
      </c>
      <c r="M4983">
        <v>0.92</v>
      </c>
      <c r="N4983">
        <v>18409.599999999999</v>
      </c>
      <c r="O4983">
        <v>18.41</v>
      </c>
      <c r="P4983" s="2">
        <v>44228</v>
      </c>
      <c r="Q4983">
        <v>1</v>
      </c>
      <c r="R4983" s="1" t="s">
        <v>122</v>
      </c>
    </row>
    <row r="4984" spans="1:18" x14ac:dyDescent="0.25">
      <c r="A4984">
        <v>2021</v>
      </c>
      <c r="B4984">
        <v>3</v>
      </c>
      <c r="C4984" s="1" t="s">
        <v>26</v>
      </c>
      <c r="D4984" s="1" t="s">
        <v>19</v>
      </c>
      <c r="E4984" s="1" t="s">
        <v>112</v>
      </c>
      <c r="F4984">
        <v>2016</v>
      </c>
      <c r="G4984">
        <v>5</v>
      </c>
      <c r="H4984" s="1" t="s">
        <v>126</v>
      </c>
      <c r="I4984">
        <v>20</v>
      </c>
      <c r="J4984">
        <v>2663</v>
      </c>
      <c r="K4984" s="1" t="s">
        <v>113</v>
      </c>
      <c r="L4984" s="1" t="s">
        <v>23</v>
      </c>
      <c r="M4984">
        <v>1.5</v>
      </c>
      <c r="N4984">
        <v>29990.400000000001</v>
      </c>
      <c r="O4984">
        <v>29.99</v>
      </c>
      <c r="P4984" s="2">
        <v>44256</v>
      </c>
      <c r="Q4984">
        <v>1</v>
      </c>
      <c r="R4984" s="1" t="s">
        <v>122</v>
      </c>
    </row>
    <row r="4985" spans="1:18" x14ac:dyDescent="0.25">
      <c r="A4985">
        <v>2021</v>
      </c>
      <c r="B4985">
        <v>4</v>
      </c>
      <c r="C4985" s="1" t="s">
        <v>27</v>
      </c>
      <c r="D4985" s="1" t="s">
        <v>19</v>
      </c>
      <c r="E4985" s="1" t="s">
        <v>112</v>
      </c>
      <c r="F4985">
        <v>2016</v>
      </c>
      <c r="G4985">
        <v>5</v>
      </c>
      <c r="H4985" s="1" t="s">
        <v>126</v>
      </c>
      <c r="I4985">
        <v>20</v>
      </c>
      <c r="J4985">
        <v>2663</v>
      </c>
      <c r="K4985" s="1" t="s">
        <v>113</v>
      </c>
      <c r="L4985" s="1" t="s">
        <v>23</v>
      </c>
      <c r="M4985">
        <v>1.742</v>
      </c>
      <c r="N4985">
        <v>34830.400000000001</v>
      </c>
      <c r="O4985">
        <v>34.83</v>
      </c>
      <c r="P4985" s="2">
        <v>44287</v>
      </c>
      <c r="Q4985">
        <v>1</v>
      </c>
      <c r="R4985" s="1" t="s">
        <v>122</v>
      </c>
    </row>
    <row r="4986" spans="1:18" x14ac:dyDescent="0.25">
      <c r="A4986">
        <v>2021</v>
      </c>
      <c r="B4986">
        <v>5</v>
      </c>
      <c r="C4986" s="1" t="s">
        <v>28</v>
      </c>
      <c r="D4986" s="1" t="s">
        <v>19</v>
      </c>
      <c r="E4986" s="1" t="s">
        <v>112</v>
      </c>
      <c r="F4986">
        <v>2016</v>
      </c>
      <c r="G4986">
        <v>5</v>
      </c>
      <c r="H4986" s="1" t="s">
        <v>126</v>
      </c>
      <c r="I4986">
        <v>20</v>
      </c>
      <c r="J4986">
        <v>2663</v>
      </c>
      <c r="K4986" s="1" t="s">
        <v>113</v>
      </c>
      <c r="L4986" s="1" t="s">
        <v>23</v>
      </c>
      <c r="M4986">
        <v>1.6970000000000001</v>
      </c>
      <c r="N4986">
        <v>33932.800000000003</v>
      </c>
      <c r="O4986">
        <v>33.933</v>
      </c>
      <c r="P4986" s="2">
        <v>44317</v>
      </c>
      <c r="Q4986">
        <v>1</v>
      </c>
      <c r="R4986" s="1" t="s">
        <v>122</v>
      </c>
    </row>
    <row r="4987" spans="1:18" x14ac:dyDescent="0.25">
      <c r="A4987">
        <v>2021</v>
      </c>
      <c r="B4987">
        <v>6</v>
      </c>
      <c r="C4987" s="1" t="s">
        <v>29</v>
      </c>
      <c r="D4987" s="1" t="s">
        <v>19</v>
      </c>
      <c r="E4987" s="1" t="s">
        <v>112</v>
      </c>
      <c r="F4987">
        <v>2016</v>
      </c>
      <c r="G4987">
        <v>5</v>
      </c>
      <c r="H4987" s="1" t="s">
        <v>126</v>
      </c>
      <c r="I4987">
        <v>20</v>
      </c>
      <c r="J4987">
        <v>2663</v>
      </c>
      <c r="K4987" s="1" t="s">
        <v>113</v>
      </c>
      <c r="L4987" s="1" t="s">
        <v>23</v>
      </c>
      <c r="M4987">
        <v>1.6619999999999999</v>
      </c>
      <c r="N4987">
        <v>33246.400000000001</v>
      </c>
      <c r="O4987">
        <v>33.246000000000002</v>
      </c>
      <c r="P4987" s="2">
        <v>44348</v>
      </c>
      <c r="Q4987">
        <v>1</v>
      </c>
      <c r="R4987" s="1" t="s">
        <v>122</v>
      </c>
    </row>
    <row r="4988" spans="1:18" x14ac:dyDescent="0.25">
      <c r="A4988">
        <v>2021</v>
      </c>
      <c r="B4988">
        <v>7</v>
      </c>
      <c r="C4988" s="1" t="s">
        <v>30</v>
      </c>
      <c r="D4988" s="1" t="s">
        <v>19</v>
      </c>
      <c r="E4988" s="1" t="s">
        <v>112</v>
      </c>
      <c r="F4988">
        <v>2016</v>
      </c>
      <c r="G4988">
        <v>5</v>
      </c>
      <c r="H4988" s="1" t="s">
        <v>126</v>
      </c>
      <c r="I4988">
        <v>20</v>
      </c>
      <c r="J4988">
        <v>2663</v>
      </c>
      <c r="K4988" s="1" t="s">
        <v>113</v>
      </c>
      <c r="L4988" s="1" t="s">
        <v>23</v>
      </c>
      <c r="M4988">
        <v>1.901</v>
      </c>
      <c r="N4988">
        <v>38016</v>
      </c>
      <c r="O4988">
        <v>38.015999999999998</v>
      </c>
      <c r="P4988" s="2">
        <v>44378</v>
      </c>
      <c r="Q4988">
        <v>1</v>
      </c>
      <c r="R4988" s="1" t="s">
        <v>122</v>
      </c>
    </row>
    <row r="4989" spans="1:18" x14ac:dyDescent="0.25">
      <c r="A4989">
        <v>2021</v>
      </c>
      <c r="B4989">
        <v>8</v>
      </c>
      <c r="C4989" s="1" t="s">
        <v>31</v>
      </c>
      <c r="D4989" s="1" t="s">
        <v>19</v>
      </c>
      <c r="E4989" s="1" t="s">
        <v>112</v>
      </c>
      <c r="F4989">
        <v>2016</v>
      </c>
      <c r="G4989">
        <v>5</v>
      </c>
      <c r="H4989" s="1" t="s">
        <v>126</v>
      </c>
      <c r="I4989">
        <v>20</v>
      </c>
      <c r="J4989">
        <v>2663</v>
      </c>
      <c r="K4989" s="1" t="s">
        <v>113</v>
      </c>
      <c r="L4989" s="1" t="s">
        <v>23</v>
      </c>
      <c r="M4989">
        <v>1.837</v>
      </c>
      <c r="N4989">
        <v>36748.800000000003</v>
      </c>
      <c r="O4989">
        <v>36.749000000000002</v>
      </c>
      <c r="P4989" s="2">
        <v>44409</v>
      </c>
      <c r="Q4989">
        <v>1</v>
      </c>
      <c r="R4989" s="1" t="s">
        <v>122</v>
      </c>
    </row>
    <row r="4990" spans="1:18" x14ac:dyDescent="0.25">
      <c r="A4990">
        <v>2021</v>
      </c>
      <c r="B4990">
        <v>9</v>
      </c>
      <c r="C4990" s="1" t="s">
        <v>32</v>
      </c>
      <c r="D4990" s="1" t="s">
        <v>19</v>
      </c>
      <c r="E4990" s="1" t="s">
        <v>112</v>
      </c>
      <c r="F4990">
        <v>2016</v>
      </c>
      <c r="G4990">
        <v>5</v>
      </c>
      <c r="H4990" s="1" t="s">
        <v>126</v>
      </c>
      <c r="I4990">
        <v>20</v>
      </c>
      <c r="J4990">
        <v>2663</v>
      </c>
      <c r="K4990" s="1" t="s">
        <v>113</v>
      </c>
      <c r="L4990" s="1" t="s">
        <v>23</v>
      </c>
      <c r="M4990">
        <v>1.756</v>
      </c>
      <c r="N4990">
        <v>35112</v>
      </c>
      <c r="O4990">
        <v>35.112000000000002</v>
      </c>
      <c r="P4990" s="2">
        <v>44440</v>
      </c>
      <c r="Q4990">
        <v>1</v>
      </c>
      <c r="R4990" s="1" t="s">
        <v>122</v>
      </c>
    </row>
    <row r="4991" spans="1:18" x14ac:dyDescent="0.25">
      <c r="A4991">
        <v>2021</v>
      </c>
      <c r="B4991">
        <v>10</v>
      </c>
      <c r="C4991" s="1" t="s">
        <v>33</v>
      </c>
      <c r="D4991" s="1" t="s">
        <v>19</v>
      </c>
      <c r="E4991" s="1" t="s">
        <v>112</v>
      </c>
      <c r="F4991">
        <v>2016</v>
      </c>
      <c r="G4991">
        <v>5</v>
      </c>
      <c r="H4991" s="1" t="s">
        <v>126</v>
      </c>
      <c r="I4991">
        <v>20</v>
      </c>
      <c r="J4991">
        <v>2663</v>
      </c>
      <c r="K4991" s="1" t="s">
        <v>113</v>
      </c>
      <c r="L4991" s="1" t="s">
        <v>23</v>
      </c>
      <c r="M4991">
        <v>1.8580000000000001</v>
      </c>
      <c r="N4991">
        <v>37153.599999999999</v>
      </c>
      <c r="O4991">
        <v>37.154000000000003</v>
      </c>
      <c r="P4991" s="2">
        <v>44470</v>
      </c>
      <c r="Q4991">
        <v>1</v>
      </c>
      <c r="R4991" s="1" t="s">
        <v>122</v>
      </c>
    </row>
    <row r="4992" spans="1:18" x14ac:dyDescent="0.25">
      <c r="A4992">
        <v>2021</v>
      </c>
      <c r="B4992">
        <v>11</v>
      </c>
      <c r="C4992" s="1" t="s">
        <v>34</v>
      </c>
      <c r="D4992" s="1" t="s">
        <v>19</v>
      </c>
      <c r="E4992" s="1" t="s">
        <v>112</v>
      </c>
      <c r="F4992">
        <v>2016</v>
      </c>
      <c r="G4992">
        <v>5</v>
      </c>
      <c r="H4992" s="1" t="s">
        <v>126</v>
      </c>
      <c r="I4992">
        <v>20</v>
      </c>
      <c r="J4992">
        <v>2663</v>
      </c>
      <c r="K4992" s="1" t="s">
        <v>113</v>
      </c>
      <c r="L4992" s="1" t="s">
        <v>23</v>
      </c>
      <c r="M4992">
        <v>1.81</v>
      </c>
      <c r="N4992">
        <v>36203.199999999997</v>
      </c>
      <c r="O4992">
        <v>36.203000000000003</v>
      </c>
      <c r="P4992" s="2">
        <v>44501</v>
      </c>
      <c r="Q4992">
        <v>1</v>
      </c>
      <c r="R4992" s="1" t="s">
        <v>122</v>
      </c>
    </row>
    <row r="4993" spans="1:18" x14ac:dyDescent="0.25">
      <c r="A4993">
        <v>2021</v>
      </c>
      <c r="B4993">
        <v>12</v>
      </c>
      <c r="C4993" s="1" t="s">
        <v>35</v>
      </c>
      <c r="D4993" s="1" t="s">
        <v>19</v>
      </c>
      <c r="E4993" s="1" t="s">
        <v>112</v>
      </c>
      <c r="F4993">
        <v>2016</v>
      </c>
      <c r="G4993">
        <v>5</v>
      </c>
      <c r="H4993" s="1" t="s">
        <v>126</v>
      </c>
      <c r="I4993">
        <v>20</v>
      </c>
      <c r="J4993">
        <v>2663</v>
      </c>
      <c r="K4993" s="1" t="s">
        <v>113</v>
      </c>
      <c r="L4993" s="1" t="s">
        <v>23</v>
      </c>
      <c r="M4993">
        <v>1.837</v>
      </c>
      <c r="N4993">
        <v>36731.199999999997</v>
      </c>
      <c r="O4993">
        <v>36.731000000000002</v>
      </c>
      <c r="P4993" s="2">
        <v>44531</v>
      </c>
      <c r="Q4993">
        <v>1</v>
      </c>
      <c r="R4993" s="1" t="s">
        <v>122</v>
      </c>
    </row>
    <row r="4994" spans="1:18" x14ac:dyDescent="0.25">
      <c r="A4994">
        <v>2021</v>
      </c>
      <c r="B4994">
        <v>1</v>
      </c>
      <c r="C4994" s="1" t="s">
        <v>18</v>
      </c>
      <c r="D4994" s="1" t="s">
        <v>19</v>
      </c>
      <c r="E4994" s="1" t="s">
        <v>114</v>
      </c>
      <c r="F4994">
        <v>2016</v>
      </c>
      <c r="G4994">
        <v>5</v>
      </c>
      <c r="H4994" s="1" t="s">
        <v>126</v>
      </c>
      <c r="I4994">
        <v>14</v>
      </c>
      <c r="J4994">
        <v>1746</v>
      </c>
      <c r="K4994" s="1" t="s">
        <v>115</v>
      </c>
      <c r="L4994" s="1" t="s">
        <v>23</v>
      </c>
      <c r="M4994">
        <v>0.55400000000000005</v>
      </c>
      <c r="N4994">
        <v>7761.6</v>
      </c>
      <c r="O4994">
        <v>7.7619999999999996</v>
      </c>
      <c r="P4994" s="2">
        <v>44197</v>
      </c>
      <c r="Q4994">
        <v>1</v>
      </c>
      <c r="R4994" s="1" t="s">
        <v>122</v>
      </c>
    </row>
    <row r="4995" spans="1:18" x14ac:dyDescent="0.25">
      <c r="A4995">
        <v>2021</v>
      </c>
      <c r="B4995">
        <v>2</v>
      </c>
      <c r="C4995" s="1" t="s">
        <v>25</v>
      </c>
      <c r="D4995" s="1" t="s">
        <v>19</v>
      </c>
      <c r="E4995" s="1" t="s">
        <v>114</v>
      </c>
      <c r="F4995">
        <v>2016</v>
      </c>
      <c r="G4995">
        <v>5</v>
      </c>
      <c r="H4995" s="1" t="s">
        <v>126</v>
      </c>
      <c r="I4995">
        <v>14</v>
      </c>
      <c r="J4995">
        <v>1746</v>
      </c>
      <c r="K4995" s="1" t="s">
        <v>115</v>
      </c>
      <c r="L4995" s="1" t="s">
        <v>23</v>
      </c>
      <c r="M4995">
        <v>0.92</v>
      </c>
      <c r="N4995">
        <v>12886.7</v>
      </c>
      <c r="O4995">
        <v>12.887</v>
      </c>
      <c r="P4995" s="2">
        <v>44228</v>
      </c>
      <c r="Q4995">
        <v>1</v>
      </c>
      <c r="R4995" s="1" t="s">
        <v>122</v>
      </c>
    </row>
    <row r="4996" spans="1:18" x14ac:dyDescent="0.25">
      <c r="A4996">
        <v>2021</v>
      </c>
      <c r="B4996">
        <v>3</v>
      </c>
      <c r="C4996" s="1" t="s">
        <v>26</v>
      </c>
      <c r="D4996" s="1" t="s">
        <v>19</v>
      </c>
      <c r="E4996" s="1" t="s">
        <v>114</v>
      </c>
      <c r="F4996">
        <v>2016</v>
      </c>
      <c r="G4996">
        <v>5</v>
      </c>
      <c r="H4996" s="1" t="s">
        <v>126</v>
      </c>
      <c r="I4996">
        <v>14</v>
      </c>
      <c r="J4996">
        <v>1746</v>
      </c>
      <c r="K4996" s="1" t="s">
        <v>115</v>
      </c>
      <c r="L4996" s="1" t="s">
        <v>23</v>
      </c>
      <c r="M4996">
        <v>1.5</v>
      </c>
      <c r="N4996">
        <v>20993.3</v>
      </c>
      <c r="O4996">
        <v>20.992999999999999</v>
      </c>
      <c r="P4996" s="2">
        <v>44256</v>
      </c>
      <c r="Q4996">
        <v>1</v>
      </c>
      <c r="R4996" s="1" t="s">
        <v>122</v>
      </c>
    </row>
    <row r="4997" spans="1:18" x14ac:dyDescent="0.25">
      <c r="A4997">
        <v>2021</v>
      </c>
      <c r="B4997">
        <v>4</v>
      </c>
      <c r="C4997" s="1" t="s">
        <v>27</v>
      </c>
      <c r="D4997" s="1" t="s">
        <v>19</v>
      </c>
      <c r="E4997" s="1" t="s">
        <v>114</v>
      </c>
      <c r="F4997">
        <v>2016</v>
      </c>
      <c r="G4997">
        <v>5</v>
      </c>
      <c r="H4997" s="1" t="s">
        <v>126</v>
      </c>
      <c r="I4997">
        <v>14</v>
      </c>
      <c r="J4997">
        <v>1746</v>
      </c>
      <c r="K4997" s="1" t="s">
        <v>115</v>
      </c>
      <c r="L4997" s="1" t="s">
        <v>23</v>
      </c>
      <c r="M4997">
        <v>1.742</v>
      </c>
      <c r="N4997">
        <v>24381.3</v>
      </c>
      <c r="O4997">
        <v>24.381</v>
      </c>
      <c r="P4997" s="2">
        <v>44287</v>
      </c>
      <c r="Q4997">
        <v>1</v>
      </c>
      <c r="R4997" s="1" t="s">
        <v>122</v>
      </c>
    </row>
    <row r="4998" spans="1:18" x14ac:dyDescent="0.25">
      <c r="A4998">
        <v>2021</v>
      </c>
      <c r="B4998">
        <v>5</v>
      </c>
      <c r="C4998" s="1" t="s">
        <v>28</v>
      </c>
      <c r="D4998" s="1" t="s">
        <v>19</v>
      </c>
      <c r="E4998" s="1" t="s">
        <v>114</v>
      </c>
      <c r="F4998">
        <v>2016</v>
      </c>
      <c r="G4998">
        <v>5</v>
      </c>
      <c r="H4998" s="1" t="s">
        <v>126</v>
      </c>
      <c r="I4998">
        <v>14</v>
      </c>
      <c r="J4998">
        <v>1746</v>
      </c>
      <c r="K4998" s="1" t="s">
        <v>115</v>
      </c>
      <c r="L4998" s="1" t="s">
        <v>23</v>
      </c>
      <c r="M4998">
        <v>1.6970000000000001</v>
      </c>
      <c r="N4998">
        <v>23753</v>
      </c>
      <c r="O4998">
        <v>23.753</v>
      </c>
      <c r="P4998" s="2">
        <v>44317</v>
      </c>
      <c r="Q4998">
        <v>1</v>
      </c>
      <c r="R4998" s="1" t="s">
        <v>122</v>
      </c>
    </row>
    <row r="4999" spans="1:18" x14ac:dyDescent="0.25">
      <c r="A4999">
        <v>2021</v>
      </c>
      <c r="B4999">
        <v>6</v>
      </c>
      <c r="C4999" s="1" t="s">
        <v>29</v>
      </c>
      <c r="D4999" s="1" t="s">
        <v>19</v>
      </c>
      <c r="E4999" s="1" t="s">
        <v>114</v>
      </c>
      <c r="F4999">
        <v>2016</v>
      </c>
      <c r="G4999">
        <v>5</v>
      </c>
      <c r="H4999" s="1" t="s">
        <v>126</v>
      </c>
      <c r="I4999">
        <v>14</v>
      </c>
      <c r="J4999">
        <v>1746</v>
      </c>
      <c r="K4999" s="1" t="s">
        <v>115</v>
      </c>
      <c r="L4999" s="1" t="s">
        <v>23</v>
      </c>
      <c r="M4999">
        <v>1.6619999999999999</v>
      </c>
      <c r="N4999">
        <v>23272.5</v>
      </c>
      <c r="O4999">
        <v>23.271999999999998</v>
      </c>
      <c r="P4999" s="2">
        <v>44348</v>
      </c>
      <c r="Q4999">
        <v>1</v>
      </c>
      <c r="R4999" s="1" t="s">
        <v>122</v>
      </c>
    </row>
    <row r="5000" spans="1:18" x14ac:dyDescent="0.25">
      <c r="A5000">
        <v>2021</v>
      </c>
      <c r="B5000">
        <v>7</v>
      </c>
      <c r="C5000" s="1" t="s">
        <v>30</v>
      </c>
      <c r="D5000" s="1" t="s">
        <v>19</v>
      </c>
      <c r="E5000" s="1" t="s">
        <v>114</v>
      </c>
      <c r="F5000">
        <v>2016</v>
      </c>
      <c r="G5000">
        <v>5</v>
      </c>
      <c r="H5000" s="1" t="s">
        <v>126</v>
      </c>
      <c r="I5000">
        <v>14</v>
      </c>
      <c r="J5000">
        <v>1746</v>
      </c>
      <c r="K5000" s="1" t="s">
        <v>115</v>
      </c>
      <c r="L5000" s="1" t="s">
        <v>23</v>
      </c>
      <c r="M5000">
        <v>1.901</v>
      </c>
      <c r="N5000">
        <v>26611.200000000001</v>
      </c>
      <c r="O5000">
        <v>26.611000000000001</v>
      </c>
      <c r="P5000" s="2">
        <v>44378</v>
      </c>
      <c r="Q5000">
        <v>1</v>
      </c>
      <c r="R5000" s="1" t="s">
        <v>122</v>
      </c>
    </row>
    <row r="5001" spans="1:18" x14ac:dyDescent="0.25">
      <c r="A5001">
        <v>2021</v>
      </c>
      <c r="B5001">
        <v>8</v>
      </c>
      <c r="C5001" s="1" t="s">
        <v>31</v>
      </c>
      <c r="D5001" s="1" t="s">
        <v>19</v>
      </c>
      <c r="E5001" s="1" t="s">
        <v>114</v>
      </c>
      <c r="F5001">
        <v>2016</v>
      </c>
      <c r="G5001">
        <v>5</v>
      </c>
      <c r="H5001" s="1" t="s">
        <v>126</v>
      </c>
      <c r="I5001">
        <v>14</v>
      </c>
      <c r="J5001">
        <v>1746</v>
      </c>
      <c r="K5001" s="1" t="s">
        <v>115</v>
      </c>
      <c r="L5001" s="1" t="s">
        <v>23</v>
      </c>
      <c r="M5001">
        <v>1.837</v>
      </c>
      <c r="N5001">
        <v>25724.2</v>
      </c>
      <c r="O5001">
        <v>25.724</v>
      </c>
      <c r="P5001" s="2">
        <v>44409</v>
      </c>
      <c r="Q5001">
        <v>1</v>
      </c>
      <c r="R5001" s="1" t="s">
        <v>122</v>
      </c>
    </row>
    <row r="5002" spans="1:18" x14ac:dyDescent="0.25">
      <c r="A5002">
        <v>2021</v>
      </c>
      <c r="B5002">
        <v>9</v>
      </c>
      <c r="C5002" s="1" t="s">
        <v>32</v>
      </c>
      <c r="D5002" s="1" t="s">
        <v>19</v>
      </c>
      <c r="E5002" s="1" t="s">
        <v>114</v>
      </c>
      <c r="F5002">
        <v>2016</v>
      </c>
      <c r="G5002">
        <v>5</v>
      </c>
      <c r="H5002" s="1" t="s">
        <v>126</v>
      </c>
      <c r="I5002">
        <v>14</v>
      </c>
      <c r="J5002">
        <v>1746</v>
      </c>
      <c r="K5002" s="1" t="s">
        <v>115</v>
      </c>
      <c r="L5002" s="1" t="s">
        <v>23</v>
      </c>
      <c r="M5002">
        <v>1.756</v>
      </c>
      <c r="N5002">
        <v>24578.400000000001</v>
      </c>
      <c r="O5002">
        <v>24.577999999999999</v>
      </c>
      <c r="P5002" s="2">
        <v>44440</v>
      </c>
      <c r="Q5002">
        <v>1</v>
      </c>
      <c r="R5002" s="1" t="s">
        <v>122</v>
      </c>
    </row>
    <row r="5003" spans="1:18" x14ac:dyDescent="0.25">
      <c r="A5003">
        <v>2021</v>
      </c>
      <c r="B5003">
        <v>10</v>
      </c>
      <c r="C5003" s="1" t="s">
        <v>33</v>
      </c>
      <c r="D5003" s="1" t="s">
        <v>19</v>
      </c>
      <c r="E5003" s="1" t="s">
        <v>114</v>
      </c>
      <c r="F5003">
        <v>2016</v>
      </c>
      <c r="G5003">
        <v>5</v>
      </c>
      <c r="H5003" s="1" t="s">
        <v>126</v>
      </c>
      <c r="I5003">
        <v>14</v>
      </c>
      <c r="J5003">
        <v>1746</v>
      </c>
      <c r="K5003" s="1" t="s">
        <v>115</v>
      </c>
      <c r="L5003" s="1" t="s">
        <v>23</v>
      </c>
      <c r="M5003">
        <v>1.8580000000000001</v>
      </c>
      <c r="N5003">
        <v>26007.5</v>
      </c>
      <c r="O5003">
        <v>26.007999999999999</v>
      </c>
      <c r="P5003" s="2">
        <v>44470</v>
      </c>
      <c r="Q5003">
        <v>1</v>
      </c>
      <c r="R5003" s="1" t="s">
        <v>122</v>
      </c>
    </row>
    <row r="5004" spans="1:18" x14ac:dyDescent="0.25">
      <c r="A5004">
        <v>2021</v>
      </c>
      <c r="B5004">
        <v>11</v>
      </c>
      <c r="C5004" s="1" t="s">
        <v>34</v>
      </c>
      <c r="D5004" s="1" t="s">
        <v>19</v>
      </c>
      <c r="E5004" s="1" t="s">
        <v>114</v>
      </c>
      <c r="F5004">
        <v>2016</v>
      </c>
      <c r="G5004">
        <v>5</v>
      </c>
      <c r="H5004" s="1" t="s">
        <v>126</v>
      </c>
      <c r="I5004">
        <v>14</v>
      </c>
      <c r="J5004">
        <v>1746</v>
      </c>
      <c r="K5004" s="1" t="s">
        <v>115</v>
      </c>
      <c r="L5004" s="1" t="s">
        <v>23</v>
      </c>
      <c r="M5004">
        <v>1.81</v>
      </c>
      <c r="N5004">
        <v>25342.2</v>
      </c>
      <c r="O5004">
        <v>25.341999999999999</v>
      </c>
      <c r="P5004" s="2">
        <v>44501</v>
      </c>
      <c r="Q5004">
        <v>1</v>
      </c>
      <c r="R5004" s="1" t="s">
        <v>122</v>
      </c>
    </row>
    <row r="5005" spans="1:18" x14ac:dyDescent="0.25">
      <c r="A5005">
        <v>2021</v>
      </c>
      <c r="B5005">
        <v>12</v>
      </c>
      <c r="C5005" s="1" t="s">
        <v>35</v>
      </c>
      <c r="D5005" s="1" t="s">
        <v>19</v>
      </c>
      <c r="E5005" s="1" t="s">
        <v>114</v>
      </c>
      <c r="F5005">
        <v>2016</v>
      </c>
      <c r="G5005">
        <v>5</v>
      </c>
      <c r="H5005" s="1" t="s">
        <v>126</v>
      </c>
      <c r="I5005">
        <v>14</v>
      </c>
      <c r="J5005">
        <v>1746</v>
      </c>
      <c r="K5005" s="1" t="s">
        <v>115</v>
      </c>
      <c r="L5005" s="1" t="s">
        <v>23</v>
      </c>
      <c r="M5005">
        <v>1.837</v>
      </c>
      <c r="N5005">
        <v>25711.8</v>
      </c>
      <c r="O5005">
        <v>25.712</v>
      </c>
      <c r="P5005" s="2">
        <v>44531</v>
      </c>
      <c r="Q5005">
        <v>1</v>
      </c>
      <c r="R5005" s="1" t="s">
        <v>122</v>
      </c>
    </row>
    <row r="5006" spans="1:18" x14ac:dyDescent="0.25">
      <c r="A5006">
        <v>2021</v>
      </c>
      <c r="B5006">
        <v>1</v>
      </c>
      <c r="C5006" s="1" t="s">
        <v>18</v>
      </c>
      <c r="D5006" s="1" t="s">
        <v>19</v>
      </c>
      <c r="E5006" s="1" t="s">
        <v>116</v>
      </c>
      <c r="F5006">
        <v>2016</v>
      </c>
      <c r="G5006">
        <v>5</v>
      </c>
      <c r="H5006" s="1" t="s">
        <v>126</v>
      </c>
      <c r="I5006">
        <v>24</v>
      </c>
      <c r="J5006">
        <v>3377</v>
      </c>
      <c r="K5006" s="1" t="s">
        <v>103</v>
      </c>
      <c r="L5006" s="1" t="s">
        <v>23</v>
      </c>
      <c r="M5006">
        <v>0.55400000000000005</v>
      </c>
      <c r="N5006">
        <v>13305.6</v>
      </c>
      <c r="O5006">
        <v>13.305999999999999</v>
      </c>
      <c r="P5006" s="2">
        <v>44197</v>
      </c>
      <c r="Q5006">
        <v>1</v>
      </c>
      <c r="R5006" s="1" t="s">
        <v>122</v>
      </c>
    </row>
    <row r="5007" spans="1:18" x14ac:dyDescent="0.25">
      <c r="A5007">
        <v>2021</v>
      </c>
      <c r="B5007">
        <v>2</v>
      </c>
      <c r="C5007" s="1" t="s">
        <v>25</v>
      </c>
      <c r="D5007" s="1" t="s">
        <v>19</v>
      </c>
      <c r="E5007" s="1" t="s">
        <v>116</v>
      </c>
      <c r="F5007">
        <v>2016</v>
      </c>
      <c r="G5007">
        <v>5</v>
      </c>
      <c r="H5007" s="1" t="s">
        <v>126</v>
      </c>
      <c r="I5007">
        <v>24</v>
      </c>
      <c r="J5007">
        <v>3377</v>
      </c>
      <c r="K5007" s="1" t="s">
        <v>103</v>
      </c>
      <c r="L5007" s="1" t="s">
        <v>23</v>
      </c>
      <c r="M5007">
        <v>0.92</v>
      </c>
      <c r="N5007">
        <v>22091.5</v>
      </c>
      <c r="O5007">
        <v>22.091999999999999</v>
      </c>
      <c r="P5007" s="2">
        <v>44228</v>
      </c>
      <c r="Q5007">
        <v>1</v>
      </c>
      <c r="R5007" s="1" t="s">
        <v>122</v>
      </c>
    </row>
    <row r="5008" spans="1:18" x14ac:dyDescent="0.25">
      <c r="A5008">
        <v>2021</v>
      </c>
      <c r="B5008">
        <v>3</v>
      </c>
      <c r="C5008" s="1" t="s">
        <v>26</v>
      </c>
      <c r="D5008" s="1" t="s">
        <v>19</v>
      </c>
      <c r="E5008" s="1" t="s">
        <v>116</v>
      </c>
      <c r="F5008">
        <v>2016</v>
      </c>
      <c r="G5008">
        <v>5</v>
      </c>
      <c r="H5008" s="1" t="s">
        <v>126</v>
      </c>
      <c r="I5008">
        <v>24</v>
      </c>
      <c r="J5008">
        <v>3377</v>
      </c>
      <c r="K5008" s="1" t="s">
        <v>103</v>
      </c>
      <c r="L5008" s="1" t="s">
        <v>23</v>
      </c>
      <c r="M5008">
        <v>1.5</v>
      </c>
      <c r="N5008">
        <v>35988.5</v>
      </c>
      <c r="O5008">
        <v>35.988</v>
      </c>
      <c r="P5008" s="2">
        <v>44256</v>
      </c>
      <c r="Q5008">
        <v>1</v>
      </c>
      <c r="R5008" s="1" t="s">
        <v>122</v>
      </c>
    </row>
    <row r="5009" spans="1:18" x14ac:dyDescent="0.25">
      <c r="A5009">
        <v>2021</v>
      </c>
      <c r="B5009">
        <v>4</v>
      </c>
      <c r="C5009" s="1" t="s">
        <v>27</v>
      </c>
      <c r="D5009" s="1" t="s">
        <v>19</v>
      </c>
      <c r="E5009" s="1" t="s">
        <v>116</v>
      </c>
      <c r="F5009">
        <v>2016</v>
      </c>
      <c r="G5009">
        <v>5</v>
      </c>
      <c r="H5009" s="1" t="s">
        <v>126</v>
      </c>
      <c r="I5009">
        <v>24</v>
      </c>
      <c r="J5009">
        <v>3377</v>
      </c>
      <c r="K5009" s="1" t="s">
        <v>103</v>
      </c>
      <c r="L5009" s="1" t="s">
        <v>23</v>
      </c>
      <c r="M5009">
        <v>1.742</v>
      </c>
      <c r="N5009">
        <v>41796.5</v>
      </c>
      <c r="O5009">
        <v>41.795999999999999</v>
      </c>
      <c r="P5009" s="2">
        <v>44287</v>
      </c>
      <c r="Q5009">
        <v>1</v>
      </c>
      <c r="R5009" s="1" t="s">
        <v>122</v>
      </c>
    </row>
    <row r="5010" spans="1:18" x14ac:dyDescent="0.25">
      <c r="A5010">
        <v>2021</v>
      </c>
      <c r="B5010">
        <v>5</v>
      </c>
      <c r="C5010" s="1" t="s">
        <v>28</v>
      </c>
      <c r="D5010" s="1" t="s">
        <v>19</v>
      </c>
      <c r="E5010" s="1" t="s">
        <v>116</v>
      </c>
      <c r="F5010">
        <v>2016</v>
      </c>
      <c r="G5010">
        <v>5</v>
      </c>
      <c r="H5010" s="1" t="s">
        <v>126</v>
      </c>
      <c r="I5010">
        <v>24</v>
      </c>
      <c r="J5010">
        <v>3377</v>
      </c>
      <c r="K5010" s="1" t="s">
        <v>103</v>
      </c>
      <c r="L5010" s="1" t="s">
        <v>23</v>
      </c>
      <c r="M5010">
        <v>1.6970000000000001</v>
      </c>
      <c r="N5010">
        <v>40719.4</v>
      </c>
      <c r="O5010">
        <v>40.719000000000001</v>
      </c>
      <c r="P5010" s="2">
        <v>44317</v>
      </c>
      <c r="Q5010">
        <v>1</v>
      </c>
      <c r="R5010" s="1" t="s">
        <v>122</v>
      </c>
    </row>
    <row r="5011" spans="1:18" x14ac:dyDescent="0.25">
      <c r="A5011">
        <v>2021</v>
      </c>
      <c r="B5011">
        <v>6</v>
      </c>
      <c r="C5011" s="1" t="s">
        <v>29</v>
      </c>
      <c r="D5011" s="1" t="s">
        <v>19</v>
      </c>
      <c r="E5011" s="1" t="s">
        <v>116</v>
      </c>
      <c r="F5011">
        <v>2016</v>
      </c>
      <c r="G5011">
        <v>5</v>
      </c>
      <c r="H5011" s="1" t="s">
        <v>126</v>
      </c>
      <c r="I5011">
        <v>24</v>
      </c>
      <c r="J5011">
        <v>3377</v>
      </c>
      <c r="K5011" s="1" t="s">
        <v>103</v>
      </c>
      <c r="L5011" s="1" t="s">
        <v>23</v>
      </c>
      <c r="M5011">
        <v>1.6619999999999999</v>
      </c>
      <c r="N5011">
        <v>39895.699999999997</v>
      </c>
      <c r="O5011">
        <v>39.896000000000001</v>
      </c>
      <c r="P5011" s="2">
        <v>44348</v>
      </c>
      <c r="Q5011">
        <v>1</v>
      </c>
      <c r="R5011" s="1" t="s">
        <v>122</v>
      </c>
    </row>
    <row r="5012" spans="1:18" x14ac:dyDescent="0.25">
      <c r="A5012">
        <v>2021</v>
      </c>
      <c r="B5012">
        <v>7</v>
      </c>
      <c r="C5012" s="1" t="s">
        <v>30</v>
      </c>
      <c r="D5012" s="1" t="s">
        <v>19</v>
      </c>
      <c r="E5012" s="1" t="s">
        <v>116</v>
      </c>
      <c r="F5012">
        <v>2016</v>
      </c>
      <c r="G5012">
        <v>5</v>
      </c>
      <c r="H5012" s="1" t="s">
        <v>126</v>
      </c>
      <c r="I5012">
        <v>24</v>
      </c>
      <c r="J5012">
        <v>3377</v>
      </c>
      <c r="K5012" s="1" t="s">
        <v>103</v>
      </c>
      <c r="L5012" s="1" t="s">
        <v>23</v>
      </c>
      <c r="M5012">
        <v>1.901</v>
      </c>
      <c r="N5012">
        <v>45619.199999999997</v>
      </c>
      <c r="O5012">
        <v>45.619</v>
      </c>
      <c r="P5012" s="2">
        <v>44378</v>
      </c>
      <c r="Q5012">
        <v>1</v>
      </c>
      <c r="R5012" s="1" t="s">
        <v>122</v>
      </c>
    </row>
    <row r="5013" spans="1:18" x14ac:dyDescent="0.25">
      <c r="A5013">
        <v>2021</v>
      </c>
      <c r="B5013">
        <v>8</v>
      </c>
      <c r="C5013" s="1" t="s">
        <v>31</v>
      </c>
      <c r="D5013" s="1" t="s">
        <v>19</v>
      </c>
      <c r="E5013" s="1" t="s">
        <v>116</v>
      </c>
      <c r="F5013">
        <v>2016</v>
      </c>
      <c r="G5013">
        <v>5</v>
      </c>
      <c r="H5013" s="1" t="s">
        <v>126</v>
      </c>
      <c r="I5013">
        <v>24</v>
      </c>
      <c r="J5013">
        <v>3377</v>
      </c>
      <c r="K5013" s="1" t="s">
        <v>103</v>
      </c>
      <c r="L5013" s="1" t="s">
        <v>23</v>
      </c>
      <c r="M5013">
        <v>1.837</v>
      </c>
      <c r="N5013">
        <v>44098.6</v>
      </c>
      <c r="O5013">
        <v>44.098999999999997</v>
      </c>
      <c r="P5013" s="2">
        <v>44409</v>
      </c>
      <c r="Q5013">
        <v>1</v>
      </c>
      <c r="R5013" s="1" t="s">
        <v>122</v>
      </c>
    </row>
    <row r="5014" spans="1:18" x14ac:dyDescent="0.25">
      <c r="A5014">
        <v>2021</v>
      </c>
      <c r="B5014">
        <v>9</v>
      </c>
      <c r="C5014" s="1" t="s">
        <v>32</v>
      </c>
      <c r="D5014" s="1" t="s">
        <v>19</v>
      </c>
      <c r="E5014" s="1" t="s">
        <v>116</v>
      </c>
      <c r="F5014">
        <v>2016</v>
      </c>
      <c r="G5014">
        <v>5</v>
      </c>
      <c r="H5014" s="1" t="s">
        <v>126</v>
      </c>
      <c r="I5014">
        <v>24</v>
      </c>
      <c r="J5014">
        <v>3377</v>
      </c>
      <c r="K5014" s="1" t="s">
        <v>103</v>
      </c>
      <c r="L5014" s="1" t="s">
        <v>23</v>
      </c>
      <c r="M5014">
        <v>1.756</v>
      </c>
      <c r="N5014">
        <v>42134.400000000001</v>
      </c>
      <c r="O5014">
        <v>42.134</v>
      </c>
      <c r="P5014" s="2">
        <v>44440</v>
      </c>
      <c r="Q5014">
        <v>1</v>
      </c>
      <c r="R5014" s="1" t="s">
        <v>122</v>
      </c>
    </row>
    <row r="5015" spans="1:18" x14ac:dyDescent="0.25">
      <c r="A5015">
        <v>2021</v>
      </c>
      <c r="B5015">
        <v>10</v>
      </c>
      <c r="C5015" s="1" t="s">
        <v>33</v>
      </c>
      <c r="D5015" s="1" t="s">
        <v>19</v>
      </c>
      <c r="E5015" s="1" t="s">
        <v>116</v>
      </c>
      <c r="F5015">
        <v>2016</v>
      </c>
      <c r="G5015">
        <v>5</v>
      </c>
      <c r="H5015" s="1" t="s">
        <v>126</v>
      </c>
      <c r="I5015">
        <v>24</v>
      </c>
      <c r="J5015">
        <v>3377</v>
      </c>
      <c r="K5015" s="1" t="s">
        <v>103</v>
      </c>
      <c r="L5015" s="1" t="s">
        <v>23</v>
      </c>
      <c r="M5015">
        <v>1.8580000000000001</v>
      </c>
      <c r="N5015">
        <v>44584.3</v>
      </c>
      <c r="O5015">
        <v>44.584000000000003</v>
      </c>
      <c r="P5015" s="2">
        <v>44470</v>
      </c>
      <c r="Q5015">
        <v>1</v>
      </c>
      <c r="R5015" s="1" t="s">
        <v>122</v>
      </c>
    </row>
    <row r="5016" spans="1:18" x14ac:dyDescent="0.25">
      <c r="A5016">
        <v>2021</v>
      </c>
      <c r="B5016">
        <v>11</v>
      </c>
      <c r="C5016" s="1" t="s">
        <v>34</v>
      </c>
      <c r="D5016" s="1" t="s">
        <v>19</v>
      </c>
      <c r="E5016" s="1" t="s">
        <v>116</v>
      </c>
      <c r="F5016">
        <v>2016</v>
      </c>
      <c r="G5016">
        <v>5</v>
      </c>
      <c r="H5016" s="1" t="s">
        <v>126</v>
      </c>
      <c r="I5016">
        <v>24</v>
      </c>
      <c r="J5016">
        <v>3377</v>
      </c>
      <c r="K5016" s="1" t="s">
        <v>103</v>
      </c>
      <c r="L5016" s="1" t="s">
        <v>23</v>
      </c>
      <c r="M5016">
        <v>1.81</v>
      </c>
      <c r="N5016">
        <v>43443.8</v>
      </c>
      <c r="O5016">
        <v>43.444000000000003</v>
      </c>
      <c r="P5016" s="2">
        <v>44501</v>
      </c>
      <c r="Q5016">
        <v>1</v>
      </c>
      <c r="R5016" s="1" t="s">
        <v>122</v>
      </c>
    </row>
    <row r="5017" spans="1:18" x14ac:dyDescent="0.25">
      <c r="A5017">
        <v>2021</v>
      </c>
      <c r="B5017">
        <v>12</v>
      </c>
      <c r="C5017" s="1" t="s">
        <v>35</v>
      </c>
      <c r="D5017" s="1" t="s">
        <v>19</v>
      </c>
      <c r="E5017" s="1" t="s">
        <v>116</v>
      </c>
      <c r="F5017">
        <v>2016</v>
      </c>
      <c r="G5017">
        <v>5</v>
      </c>
      <c r="H5017" s="1" t="s">
        <v>126</v>
      </c>
      <c r="I5017">
        <v>24</v>
      </c>
      <c r="J5017">
        <v>3377</v>
      </c>
      <c r="K5017" s="1" t="s">
        <v>103</v>
      </c>
      <c r="L5017" s="1" t="s">
        <v>23</v>
      </c>
      <c r="M5017">
        <v>1.837</v>
      </c>
      <c r="N5017">
        <v>44077.4</v>
      </c>
      <c r="O5017">
        <v>44.076999999999998</v>
      </c>
      <c r="P5017" s="2">
        <v>44531</v>
      </c>
      <c r="Q5017">
        <v>1</v>
      </c>
      <c r="R5017" s="1" t="s">
        <v>122</v>
      </c>
    </row>
    <row r="5018" spans="1:18" x14ac:dyDescent="0.25">
      <c r="A5018">
        <v>2021</v>
      </c>
      <c r="B5018">
        <v>1</v>
      </c>
      <c r="C5018" s="1" t="s">
        <v>18</v>
      </c>
      <c r="D5018" s="1" t="s">
        <v>19</v>
      </c>
      <c r="E5018" s="1" t="s">
        <v>117</v>
      </c>
      <c r="F5018">
        <v>2016</v>
      </c>
      <c r="G5018">
        <v>5</v>
      </c>
      <c r="H5018" s="1" t="s">
        <v>126</v>
      </c>
      <c r="I5018">
        <v>25</v>
      </c>
      <c r="J5018">
        <v>3431</v>
      </c>
      <c r="K5018" s="1" t="s">
        <v>118</v>
      </c>
      <c r="L5018" s="1" t="s">
        <v>23</v>
      </c>
      <c r="M5018">
        <v>0.55400000000000005</v>
      </c>
      <c r="N5018">
        <v>13860</v>
      </c>
      <c r="O5018">
        <v>13.86</v>
      </c>
      <c r="P5018" s="2">
        <v>44197</v>
      </c>
      <c r="Q5018">
        <v>1</v>
      </c>
      <c r="R5018" s="1" t="s">
        <v>122</v>
      </c>
    </row>
    <row r="5019" spans="1:18" x14ac:dyDescent="0.25">
      <c r="A5019">
        <v>2021</v>
      </c>
      <c r="B5019">
        <v>2</v>
      </c>
      <c r="C5019" s="1" t="s">
        <v>25</v>
      </c>
      <c r="D5019" s="1" t="s">
        <v>19</v>
      </c>
      <c r="E5019" s="1" t="s">
        <v>117</v>
      </c>
      <c r="F5019">
        <v>2016</v>
      </c>
      <c r="G5019">
        <v>5</v>
      </c>
      <c r="H5019" s="1" t="s">
        <v>126</v>
      </c>
      <c r="I5019">
        <v>25</v>
      </c>
      <c r="J5019">
        <v>3431</v>
      </c>
      <c r="K5019" s="1" t="s">
        <v>118</v>
      </c>
      <c r="L5019" s="1" t="s">
        <v>23</v>
      </c>
      <c r="M5019">
        <v>0.92</v>
      </c>
      <c r="N5019">
        <v>23012</v>
      </c>
      <c r="O5019">
        <v>23.012</v>
      </c>
      <c r="P5019" s="2">
        <v>44228</v>
      </c>
      <c r="Q5019">
        <v>1</v>
      </c>
      <c r="R5019" s="1" t="s">
        <v>122</v>
      </c>
    </row>
    <row r="5020" spans="1:18" x14ac:dyDescent="0.25">
      <c r="A5020">
        <v>2021</v>
      </c>
      <c r="B5020">
        <v>3</v>
      </c>
      <c r="C5020" s="1" t="s">
        <v>26</v>
      </c>
      <c r="D5020" s="1" t="s">
        <v>19</v>
      </c>
      <c r="E5020" s="1" t="s">
        <v>117</v>
      </c>
      <c r="F5020">
        <v>2016</v>
      </c>
      <c r="G5020">
        <v>5</v>
      </c>
      <c r="H5020" s="1" t="s">
        <v>126</v>
      </c>
      <c r="I5020">
        <v>25</v>
      </c>
      <c r="J5020">
        <v>3431</v>
      </c>
      <c r="K5020" s="1" t="s">
        <v>118</v>
      </c>
      <c r="L5020" s="1" t="s">
        <v>23</v>
      </c>
      <c r="M5020">
        <v>1.5</v>
      </c>
      <c r="N5020">
        <v>37488</v>
      </c>
      <c r="O5020">
        <v>37.488</v>
      </c>
      <c r="P5020" s="2">
        <v>44256</v>
      </c>
      <c r="Q5020">
        <v>1</v>
      </c>
      <c r="R5020" s="1" t="s">
        <v>122</v>
      </c>
    </row>
    <row r="5021" spans="1:18" x14ac:dyDescent="0.25">
      <c r="A5021">
        <v>2021</v>
      </c>
      <c r="B5021">
        <v>4</v>
      </c>
      <c r="C5021" s="1" t="s">
        <v>27</v>
      </c>
      <c r="D5021" s="1" t="s">
        <v>19</v>
      </c>
      <c r="E5021" s="1" t="s">
        <v>117</v>
      </c>
      <c r="F5021">
        <v>2016</v>
      </c>
      <c r="G5021">
        <v>5</v>
      </c>
      <c r="H5021" s="1" t="s">
        <v>126</v>
      </c>
      <c r="I5021">
        <v>25</v>
      </c>
      <c r="J5021">
        <v>3431</v>
      </c>
      <c r="K5021" s="1" t="s">
        <v>118</v>
      </c>
      <c r="L5021" s="1" t="s">
        <v>23</v>
      </c>
      <c r="M5021">
        <v>1.742</v>
      </c>
      <c r="N5021">
        <v>43538</v>
      </c>
      <c r="O5021">
        <v>43.537999999999997</v>
      </c>
      <c r="P5021" s="2">
        <v>44287</v>
      </c>
      <c r="Q5021">
        <v>1</v>
      </c>
      <c r="R5021" s="1" t="s">
        <v>122</v>
      </c>
    </row>
    <row r="5022" spans="1:18" x14ac:dyDescent="0.25">
      <c r="A5022">
        <v>2021</v>
      </c>
      <c r="B5022">
        <v>5</v>
      </c>
      <c r="C5022" s="1" t="s">
        <v>28</v>
      </c>
      <c r="D5022" s="1" t="s">
        <v>19</v>
      </c>
      <c r="E5022" s="1" t="s">
        <v>117</v>
      </c>
      <c r="F5022">
        <v>2016</v>
      </c>
      <c r="G5022">
        <v>5</v>
      </c>
      <c r="H5022" s="1" t="s">
        <v>126</v>
      </c>
      <c r="I5022">
        <v>25</v>
      </c>
      <c r="J5022">
        <v>3431</v>
      </c>
      <c r="K5022" s="1" t="s">
        <v>118</v>
      </c>
      <c r="L5022" s="1" t="s">
        <v>23</v>
      </c>
      <c r="M5022">
        <v>1.6970000000000001</v>
      </c>
      <c r="N5022">
        <v>42416</v>
      </c>
      <c r="O5022">
        <v>42.415999999999997</v>
      </c>
      <c r="P5022" s="2">
        <v>44317</v>
      </c>
      <c r="Q5022">
        <v>1</v>
      </c>
      <c r="R5022" s="1" t="s">
        <v>122</v>
      </c>
    </row>
    <row r="5023" spans="1:18" x14ac:dyDescent="0.25">
      <c r="A5023">
        <v>2021</v>
      </c>
      <c r="B5023">
        <v>6</v>
      </c>
      <c r="C5023" s="1" t="s">
        <v>29</v>
      </c>
      <c r="D5023" s="1" t="s">
        <v>19</v>
      </c>
      <c r="E5023" s="1" t="s">
        <v>117</v>
      </c>
      <c r="F5023">
        <v>2016</v>
      </c>
      <c r="G5023">
        <v>5</v>
      </c>
      <c r="H5023" s="1" t="s">
        <v>126</v>
      </c>
      <c r="I5023">
        <v>25</v>
      </c>
      <c r="J5023">
        <v>3431</v>
      </c>
      <c r="K5023" s="1" t="s">
        <v>118</v>
      </c>
      <c r="L5023" s="1" t="s">
        <v>23</v>
      </c>
      <c r="M5023">
        <v>1.6619999999999999</v>
      </c>
      <c r="N5023">
        <v>41558</v>
      </c>
      <c r="O5023">
        <v>41.558</v>
      </c>
      <c r="P5023" s="2">
        <v>44348</v>
      </c>
      <c r="Q5023">
        <v>1</v>
      </c>
      <c r="R5023" s="1" t="s">
        <v>122</v>
      </c>
    </row>
    <row r="5024" spans="1:18" x14ac:dyDescent="0.25">
      <c r="A5024">
        <v>2021</v>
      </c>
      <c r="B5024">
        <v>7</v>
      </c>
      <c r="C5024" s="1" t="s">
        <v>30</v>
      </c>
      <c r="D5024" s="1" t="s">
        <v>19</v>
      </c>
      <c r="E5024" s="1" t="s">
        <v>117</v>
      </c>
      <c r="F5024">
        <v>2016</v>
      </c>
      <c r="G5024">
        <v>5</v>
      </c>
      <c r="H5024" s="1" t="s">
        <v>126</v>
      </c>
      <c r="I5024">
        <v>25</v>
      </c>
      <c r="J5024">
        <v>3431</v>
      </c>
      <c r="K5024" s="1" t="s">
        <v>118</v>
      </c>
      <c r="L5024" s="1" t="s">
        <v>23</v>
      </c>
      <c r="M5024">
        <v>1.901</v>
      </c>
      <c r="N5024">
        <v>47520</v>
      </c>
      <c r="O5024">
        <v>47.52</v>
      </c>
      <c r="P5024" s="2">
        <v>44378</v>
      </c>
      <c r="Q5024">
        <v>1</v>
      </c>
      <c r="R5024" s="1" t="s">
        <v>122</v>
      </c>
    </row>
    <row r="5025" spans="1:18" x14ac:dyDescent="0.25">
      <c r="A5025">
        <v>2021</v>
      </c>
      <c r="B5025">
        <v>8</v>
      </c>
      <c r="C5025" s="1" t="s">
        <v>31</v>
      </c>
      <c r="D5025" s="1" t="s">
        <v>19</v>
      </c>
      <c r="E5025" s="1" t="s">
        <v>117</v>
      </c>
      <c r="F5025">
        <v>2016</v>
      </c>
      <c r="G5025">
        <v>5</v>
      </c>
      <c r="H5025" s="1" t="s">
        <v>126</v>
      </c>
      <c r="I5025">
        <v>25</v>
      </c>
      <c r="J5025">
        <v>3431</v>
      </c>
      <c r="K5025" s="1" t="s">
        <v>118</v>
      </c>
      <c r="L5025" s="1" t="s">
        <v>23</v>
      </c>
      <c r="M5025">
        <v>1.837</v>
      </c>
      <c r="N5025">
        <v>45936</v>
      </c>
      <c r="O5025">
        <v>45.936</v>
      </c>
      <c r="P5025" s="2">
        <v>44409</v>
      </c>
      <c r="Q5025">
        <v>1</v>
      </c>
      <c r="R5025" s="1" t="s">
        <v>122</v>
      </c>
    </row>
    <row r="5026" spans="1:18" x14ac:dyDescent="0.25">
      <c r="A5026">
        <v>2021</v>
      </c>
      <c r="B5026">
        <v>9</v>
      </c>
      <c r="C5026" s="1" t="s">
        <v>32</v>
      </c>
      <c r="D5026" s="1" t="s">
        <v>19</v>
      </c>
      <c r="E5026" s="1" t="s">
        <v>117</v>
      </c>
      <c r="F5026">
        <v>2016</v>
      </c>
      <c r="G5026">
        <v>5</v>
      </c>
      <c r="H5026" s="1" t="s">
        <v>126</v>
      </c>
      <c r="I5026">
        <v>25</v>
      </c>
      <c r="J5026">
        <v>3431</v>
      </c>
      <c r="K5026" s="1" t="s">
        <v>118</v>
      </c>
      <c r="L5026" s="1" t="s">
        <v>23</v>
      </c>
      <c r="M5026">
        <v>1.756</v>
      </c>
      <c r="N5026">
        <v>43890</v>
      </c>
      <c r="O5026">
        <v>43.89</v>
      </c>
      <c r="P5026" s="2">
        <v>44440</v>
      </c>
      <c r="Q5026">
        <v>1</v>
      </c>
      <c r="R5026" s="1" t="s">
        <v>122</v>
      </c>
    </row>
    <row r="5027" spans="1:18" x14ac:dyDescent="0.25">
      <c r="A5027">
        <v>2021</v>
      </c>
      <c r="B5027">
        <v>10</v>
      </c>
      <c r="C5027" s="1" t="s">
        <v>33</v>
      </c>
      <c r="D5027" s="1" t="s">
        <v>19</v>
      </c>
      <c r="E5027" s="1" t="s">
        <v>117</v>
      </c>
      <c r="F5027">
        <v>2016</v>
      </c>
      <c r="G5027">
        <v>5</v>
      </c>
      <c r="H5027" s="1" t="s">
        <v>126</v>
      </c>
      <c r="I5027">
        <v>25</v>
      </c>
      <c r="J5027">
        <v>3431</v>
      </c>
      <c r="K5027" s="1" t="s">
        <v>118</v>
      </c>
      <c r="L5027" s="1" t="s">
        <v>23</v>
      </c>
      <c r="M5027">
        <v>1.8580000000000001</v>
      </c>
      <c r="N5027">
        <v>46442</v>
      </c>
      <c r="O5027">
        <v>46.442</v>
      </c>
      <c r="P5027" s="2">
        <v>44470</v>
      </c>
      <c r="Q5027">
        <v>1</v>
      </c>
      <c r="R5027" s="1" t="s">
        <v>122</v>
      </c>
    </row>
    <row r="5028" spans="1:18" x14ac:dyDescent="0.25">
      <c r="A5028">
        <v>2021</v>
      </c>
      <c r="B5028">
        <v>11</v>
      </c>
      <c r="C5028" s="1" t="s">
        <v>34</v>
      </c>
      <c r="D5028" s="1" t="s">
        <v>19</v>
      </c>
      <c r="E5028" s="1" t="s">
        <v>117</v>
      </c>
      <c r="F5028">
        <v>2016</v>
      </c>
      <c r="G5028">
        <v>5</v>
      </c>
      <c r="H5028" s="1" t="s">
        <v>126</v>
      </c>
      <c r="I5028">
        <v>25</v>
      </c>
      <c r="J5028">
        <v>3431</v>
      </c>
      <c r="K5028" s="1" t="s">
        <v>118</v>
      </c>
      <c r="L5028" s="1" t="s">
        <v>23</v>
      </c>
      <c r="M5028">
        <v>1.81</v>
      </c>
      <c r="N5028">
        <v>45254</v>
      </c>
      <c r="O5028">
        <v>45.253999999999998</v>
      </c>
      <c r="P5028" s="2">
        <v>44501</v>
      </c>
      <c r="Q5028">
        <v>1</v>
      </c>
      <c r="R5028" s="1" t="s">
        <v>122</v>
      </c>
    </row>
    <row r="5029" spans="1:18" x14ac:dyDescent="0.25">
      <c r="A5029">
        <v>2021</v>
      </c>
      <c r="B5029">
        <v>12</v>
      </c>
      <c r="C5029" s="1" t="s">
        <v>35</v>
      </c>
      <c r="D5029" s="1" t="s">
        <v>19</v>
      </c>
      <c r="E5029" s="1" t="s">
        <v>117</v>
      </c>
      <c r="F5029">
        <v>2016</v>
      </c>
      <c r="G5029">
        <v>5</v>
      </c>
      <c r="H5029" s="1" t="s">
        <v>126</v>
      </c>
      <c r="I5029">
        <v>25</v>
      </c>
      <c r="J5029">
        <v>3431</v>
      </c>
      <c r="K5029" s="1" t="s">
        <v>118</v>
      </c>
      <c r="L5029" s="1" t="s">
        <v>23</v>
      </c>
      <c r="M5029">
        <v>1.837</v>
      </c>
      <c r="N5029">
        <v>45914</v>
      </c>
      <c r="O5029">
        <v>45.914000000000001</v>
      </c>
      <c r="P5029" s="2">
        <v>44531</v>
      </c>
      <c r="Q5029">
        <v>1</v>
      </c>
      <c r="R5029" s="1" t="s">
        <v>122</v>
      </c>
    </row>
    <row r="5030" spans="1:18" x14ac:dyDescent="0.25">
      <c r="A5030">
        <v>2021</v>
      </c>
      <c r="B5030">
        <v>1</v>
      </c>
      <c r="C5030" s="1" t="s">
        <v>18</v>
      </c>
      <c r="D5030" s="1" t="s">
        <v>19</v>
      </c>
      <c r="E5030" s="1" t="s">
        <v>119</v>
      </c>
      <c r="F5030">
        <v>2016</v>
      </c>
      <c r="G5030">
        <v>5</v>
      </c>
      <c r="H5030" s="1" t="s">
        <v>126</v>
      </c>
      <c r="I5030">
        <v>21</v>
      </c>
      <c r="J5030">
        <v>2901</v>
      </c>
      <c r="K5030" s="1" t="s">
        <v>120</v>
      </c>
      <c r="L5030" s="1" t="s">
        <v>23</v>
      </c>
      <c r="M5030">
        <v>0.55400000000000005</v>
      </c>
      <c r="N5030">
        <v>11642.4</v>
      </c>
      <c r="O5030">
        <v>11.641999999999999</v>
      </c>
      <c r="P5030" s="2">
        <v>44197</v>
      </c>
      <c r="Q5030">
        <v>1</v>
      </c>
      <c r="R5030" s="1" t="s">
        <v>122</v>
      </c>
    </row>
    <row r="5031" spans="1:18" x14ac:dyDescent="0.25">
      <c r="A5031">
        <v>2021</v>
      </c>
      <c r="B5031">
        <v>2</v>
      </c>
      <c r="C5031" s="1" t="s">
        <v>25</v>
      </c>
      <c r="D5031" s="1" t="s">
        <v>19</v>
      </c>
      <c r="E5031" s="1" t="s">
        <v>119</v>
      </c>
      <c r="F5031">
        <v>2016</v>
      </c>
      <c r="G5031">
        <v>5</v>
      </c>
      <c r="H5031" s="1" t="s">
        <v>126</v>
      </c>
      <c r="I5031">
        <v>21</v>
      </c>
      <c r="J5031">
        <v>2901</v>
      </c>
      <c r="K5031" s="1" t="s">
        <v>120</v>
      </c>
      <c r="L5031" s="1" t="s">
        <v>23</v>
      </c>
      <c r="M5031">
        <v>0.92</v>
      </c>
      <c r="N5031">
        <v>19330.099999999999</v>
      </c>
      <c r="O5031">
        <v>19.329999999999998</v>
      </c>
      <c r="P5031" s="2">
        <v>44228</v>
      </c>
      <c r="Q5031">
        <v>1</v>
      </c>
      <c r="R5031" s="1" t="s">
        <v>122</v>
      </c>
    </row>
    <row r="5032" spans="1:18" x14ac:dyDescent="0.25">
      <c r="A5032">
        <v>2021</v>
      </c>
      <c r="B5032">
        <v>3</v>
      </c>
      <c r="C5032" s="1" t="s">
        <v>26</v>
      </c>
      <c r="D5032" s="1" t="s">
        <v>19</v>
      </c>
      <c r="E5032" s="1" t="s">
        <v>119</v>
      </c>
      <c r="F5032">
        <v>2016</v>
      </c>
      <c r="G5032">
        <v>5</v>
      </c>
      <c r="H5032" s="1" t="s">
        <v>126</v>
      </c>
      <c r="I5032">
        <v>21</v>
      </c>
      <c r="J5032">
        <v>2901</v>
      </c>
      <c r="K5032" s="1" t="s">
        <v>120</v>
      </c>
      <c r="L5032" s="1" t="s">
        <v>23</v>
      </c>
      <c r="M5032">
        <v>1.5</v>
      </c>
      <c r="N5032">
        <v>31489.9</v>
      </c>
      <c r="O5032">
        <v>31.49</v>
      </c>
      <c r="P5032" s="2">
        <v>44256</v>
      </c>
      <c r="Q5032">
        <v>1</v>
      </c>
      <c r="R5032" s="1" t="s">
        <v>122</v>
      </c>
    </row>
    <row r="5033" spans="1:18" x14ac:dyDescent="0.25">
      <c r="A5033">
        <v>2021</v>
      </c>
      <c r="B5033">
        <v>4</v>
      </c>
      <c r="C5033" s="1" t="s">
        <v>27</v>
      </c>
      <c r="D5033" s="1" t="s">
        <v>19</v>
      </c>
      <c r="E5033" s="1" t="s">
        <v>119</v>
      </c>
      <c r="F5033">
        <v>2016</v>
      </c>
      <c r="G5033">
        <v>5</v>
      </c>
      <c r="H5033" s="1" t="s">
        <v>126</v>
      </c>
      <c r="I5033">
        <v>21</v>
      </c>
      <c r="J5033">
        <v>2901</v>
      </c>
      <c r="K5033" s="1" t="s">
        <v>120</v>
      </c>
      <c r="L5033" s="1" t="s">
        <v>23</v>
      </c>
      <c r="M5033">
        <v>1.742</v>
      </c>
      <c r="N5033">
        <v>36571.9</v>
      </c>
      <c r="O5033">
        <v>36.572000000000003</v>
      </c>
      <c r="P5033" s="2">
        <v>44287</v>
      </c>
      <c r="Q5033">
        <v>1</v>
      </c>
      <c r="R5033" s="1" t="s">
        <v>122</v>
      </c>
    </row>
    <row r="5034" spans="1:18" x14ac:dyDescent="0.25">
      <c r="A5034">
        <v>2021</v>
      </c>
      <c r="B5034">
        <v>5</v>
      </c>
      <c r="C5034" s="1" t="s">
        <v>28</v>
      </c>
      <c r="D5034" s="1" t="s">
        <v>19</v>
      </c>
      <c r="E5034" s="1" t="s">
        <v>119</v>
      </c>
      <c r="F5034">
        <v>2016</v>
      </c>
      <c r="G5034">
        <v>5</v>
      </c>
      <c r="H5034" s="1" t="s">
        <v>126</v>
      </c>
      <c r="I5034">
        <v>21</v>
      </c>
      <c r="J5034">
        <v>2901</v>
      </c>
      <c r="K5034" s="1" t="s">
        <v>120</v>
      </c>
      <c r="L5034" s="1" t="s">
        <v>23</v>
      </c>
      <c r="M5034">
        <v>1.6970000000000001</v>
      </c>
      <c r="N5034">
        <v>35629.4</v>
      </c>
      <c r="O5034">
        <v>35.628999999999998</v>
      </c>
      <c r="P5034" s="2">
        <v>44317</v>
      </c>
      <c r="Q5034">
        <v>1</v>
      </c>
      <c r="R5034" s="1" t="s">
        <v>122</v>
      </c>
    </row>
    <row r="5035" spans="1:18" x14ac:dyDescent="0.25">
      <c r="A5035">
        <v>2021</v>
      </c>
      <c r="B5035">
        <v>6</v>
      </c>
      <c r="C5035" s="1" t="s">
        <v>29</v>
      </c>
      <c r="D5035" s="1" t="s">
        <v>19</v>
      </c>
      <c r="E5035" s="1" t="s">
        <v>119</v>
      </c>
      <c r="F5035">
        <v>2016</v>
      </c>
      <c r="G5035">
        <v>5</v>
      </c>
      <c r="H5035" s="1" t="s">
        <v>126</v>
      </c>
      <c r="I5035">
        <v>21</v>
      </c>
      <c r="J5035">
        <v>2901</v>
      </c>
      <c r="K5035" s="1" t="s">
        <v>120</v>
      </c>
      <c r="L5035" s="1" t="s">
        <v>23</v>
      </c>
      <c r="M5035">
        <v>1.6619999999999999</v>
      </c>
      <c r="N5035">
        <v>34908.699999999997</v>
      </c>
      <c r="O5035">
        <v>34.908999999999999</v>
      </c>
      <c r="P5035" s="2">
        <v>44348</v>
      </c>
      <c r="Q5035">
        <v>1</v>
      </c>
      <c r="R5035" s="1" t="s">
        <v>122</v>
      </c>
    </row>
    <row r="5036" spans="1:18" x14ac:dyDescent="0.25">
      <c r="A5036">
        <v>2021</v>
      </c>
      <c r="B5036">
        <v>7</v>
      </c>
      <c r="C5036" s="1" t="s">
        <v>30</v>
      </c>
      <c r="D5036" s="1" t="s">
        <v>19</v>
      </c>
      <c r="E5036" s="1" t="s">
        <v>119</v>
      </c>
      <c r="F5036">
        <v>2016</v>
      </c>
      <c r="G5036">
        <v>5</v>
      </c>
      <c r="H5036" s="1" t="s">
        <v>126</v>
      </c>
      <c r="I5036">
        <v>21</v>
      </c>
      <c r="J5036">
        <v>2901</v>
      </c>
      <c r="K5036" s="1" t="s">
        <v>120</v>
      </c>
      <c r="L5036" s="1" t="s">
        <v>23</v>
      </c>
      <c r="M5036">
        <v>1.901</v>
      </c>
      <c r="N5036">
        <v>39916.800000000003</v>
      </c>
      <c r="O5036">
        <v>39.917000000000002</v>
      </c>
      <c r="P5036" s="2">
        <v>44378</v>
      </c>
      <c r="Q5036">
        <v>1</v>
      </c>
      <c r="R5036" s="1" t="s">
        <v>122</v>
      </c>
    </row>
    <row r="5037" spans="1:18" x14ac:dyDescent="0.25">
      <c r="A5037">
        <v>2021</v>
      </c>
      <c r="B5037">
        <v>8</v>
      </c>
      <c r="C5037" s="1" t="s">
        <v>31</v>
      </c>
      <c r="D5037" s="1" t="s">
        <v>19</v>
      </c>
      <c r="E5037" s="1" t="s">
        <v>119</v>
      </c>
      <c r="F5037">
        <v>2016</v>
      </c>
      <c r="G5037">
        <v>5</v>
      </c>
      <c r="H5037" s="1" t="s">
        <v>126</v>
      </c>
      <c r="I5037">
        <v>21</v>
      </c>
      <c r="J5037">
        <v>2901</v>
      </c>
      <c r="K5037" s="1" t="s">
        <v>120</v>
      </c>
      <c r="L5037" s="1" t="s">
        <v>23</v>
      </c>
      <c r="M5037">
        <v>1.837</v>
      </c>
      <c r="N5037">
        <v>38586.199999999997</v>
      </c>
      <c r="O5037">
        <v>38.585999999999999</v>
      </c>
      <c r="P5037" s="2">
        <v>44409</v>
      </c>
      <c r="Q5037">
        <v>1</v>
      </c>
      <c r="R5037" s="1" t="s">
        <v>122</v>
      </c>
    </row>
    <row r="5038" spans="1:18" x14ac:dyDescent="0.25">
      <c r="A5038">
        <v>2021</v>
      </c>
      <c r="B5038">
        <v>9</v>
      </c>
      <c r="C5038" s="1" t="s">
        <v>32</v>
      </c>
      <c r="D5038" s="1" t="s">
        <v>19</v>
      </c>
      <c r="E5038" s="1" t="s">
        <v>119</v>
      </c>
      <c r="F5038">
        <v>2016</v>
      </c>
      <c r="G5038">
        <v>5</v>
      </c>
      <c r="H5038" s="1" t="s">
        <v>126</v>
      </c>
      <c r="I5038">
        <v>21</v>
      </c>
      <c r="J5038">
        <v>2901</v>
      </c>
      <c r="K5038" s="1" t="s">
        <v>120</v>
      </c>
      <c r="L5038" s="1" t="s">
        <v>23</v>
      </c>
      <c r="M5038">
        <v>1.756</v>
      </c>
      <c r="N5038">
        <v>36867.599999999999</v>
      </c>
      <c r="O5038">
        <v>36.868000000000002</v>
      </c>
      <c r="P5038" s="2">
        <v>44440</v>
      </c>
      <c r="Q5038">
        <v>1</v>
      </c>
      <c r="R5038" s="1" t="s">
        <v>122</v>
      </c>
    </row>
    <row r="5039" spans="1:18" x14ac:dyDescent="0.25">
      <c r="A5039">
        <v>2021</v>
      </c>
      <c r="B5039">
        <v>10</v>
      </c>
      <c r="C5039" s="1" t="s">
        <v>33</v>
      </c>
      <c r="D5039" s="1" t="s">
        <v>19</v>
      </c>
      <c r="E5039" s="1" t="s">
        <v>119</v>
      </c>
      <c r="F5039">
        <v>2016</v>
      </c>
      <c r="G5039">
        <v>5</v>
      </c>
      <c r="H5039" s="1" t="s">
        <v>126</v>
      </c>
      <c r="I5039">
        <v>21</v>
      </c>
      <c r="J5039">
        <v>2901</v>
      </c>
      <c r="K5039" s="1" t="s">
        <v>120</v>
      </c>
      <c r="L5039" s="1" t="s">
        <v>23</v>
      </c>
      <c r="M5039">
        <v>1.8580000000000001</v>
      </c>
      <c r="N5039">
        <v>39011.300000000003</v>
      </c>
      <c r="O5039">
        <v>39.011000000000003</v>
      </c>
      <c r="P5039" s="2">
        <v>44470</v>
      </c>
      <c r="Q5039">
        <v>1</v>
      </c>
      <c r="R5039" s="1" t="s">
        <v>122</v>
      </c>
    </row>
    <row r="5040" spans="1:18" x14ac:dyDescent="0.25">
      <c r="A5040">
        <v>2021</v>
      </c>
      <c r="B5040">
        <v>11</v>
      </c>
      <c r="C5040" s="1" t="s">
        <v>34</v>
      </c>
      <c r="D5040" s="1" t="s">
        <v>19</v>
      </c>
      <c r="E5040" s="1" t="s">
        <v>119</v>
      </c>
      <c r="F5040">
        <v>2016</v>
      </c>
      <c r="G5040">
        <v>5</v>
      </c>
      <c r="H5040" s="1" t="s">
        <v>126</v>
      </c>
      <c r="I5040">
        <v>21</v>
      </c>
      <c r="J5040">
        <v>2901</v>
      </c>
      <c r="K5040" s="1" t="s">
        <v>120</v>
      </c>
      <c r="L5040" s="1" t="s">
        <v>23</v>
      </c>
      <c r="M5040">
        <v>1.81</v>
      </c>
      <c r="N5040">
        <v>38013.4</v>
      </c>
      <c r="O5040">
        <v>38.012999999999998</v>
      </c>
      <c r="P5040" s="2">
        <v>44501</v>
      </c>
      <c r="Q5040">
        <v>1</v>
      </c>
      <c r="R5040" s="1" t="s">
        <v>122</v>
      </c>
    </row>
    <row r="5041" spans="1:18" x14ac:dyDescent="0.25">
      <c r="A5041">
        <v>2021</v>
      </c>
      <c r="B5041">
        <v>12</v>
      </c>
      <c r="C5041" s="1" t="s">
        <v>35</v>
      </c>
      <c r="D5041" s="1" t="s">
        <v>19</v>
      </c>
      <c r="E5041" s="1" t="s">
        <v>119</v>
      </c>
      <c r="F5041">
        <v>2016</v>
      </c>
      <c r="G5041">
        <v>5</v>
      </c>
      <c r="H5041" s="1" t="s">
        <v>126</v>
      </c>
      <c r="I5041">
        <v>21</v>
      </c>
      <c r="J5041">
        <v>2901</v>
      </c>
      <c r="K5041" s="1" t="s">
        <v>120</v>
      </c>
      <c r="L5041" s="1" t="s">
        <v>23</v>
      </c>
      <c r="M5041">
        <v>1.837</v>
      </c>
      <c r="N5041">
        <v>38567.800000000003</v>
      </c>
      <c r="O5041">
        <v>38.567999999999998</v>
      </c>
      <c r="P5041" s="2">
        <v>44531</v>
      </c>
      <c r="Q5041">
        <v>1</v>
      </c>
      <c r="R5041" s="1" t="s">
        <v>122</v>
      </c>
    </row>
    <row r="5042" spans="1:18" x14ac:dyDescent="0.25">
      <c r="A5042">
        <v>2022</v>
      </c>
      <c r="B5042">
        <v>1</v>
      </c>
      <c r="C5042" s="1" t="s">
        <v>18</v>
      </c>
      <c r="D5042" s="1" t="s">
        <v>19</v>
      </c>
      <c r="E5042" s="1" t="s">
        <v>20</v>
      </c>
      <c r="F5042">
        <v>2000</v>
      </c>
      <c r="G5042">
        <v>22</v>
      </c>
      <c r="H5042" s="1" t="s">
        <v>124</v>
      </c>
      <c r="I5042">
        <v>19</v>
      </c>
      <c r="J5042">
        <v>1490</v>
      </c>
      <c r="K5042" s="1" t="s">
        <v>22</v>
      </c>
      <c r="L5042" s="1" t="s">
        <v>23</v>
      </c>
      <c r="M5042">
        <v>0.252</v>
      </c>
      <c r="N5042">
        <v>4782.3999999999996</v>
      </c>
      <c r="O5042">
        <v>4.782</v>
      </c>
      <c r="P5042" s="2">
        <v>44562</v>
      </c>
      <c r="Q5042">
        <v>1</v>
      </c>
      <c r="R5042" s="1" t="s">
        <v>125</v>
      </c>
    </row>
    <row r="5043" spans="1:18" x14ac:dyDescent="0.25">
      <c r="A5043">
        <v>2022</v>
      </c>
      <c r="B5043">
        <v>2</v>
      </c>
      <c r="C5043" s="1" t="s">
        <v>25</v>
      </c>
      <c r="D5043" s="1" t="s">
        <v>19</v>
      </c>
      <c r="E5043" s="1" t="s">
        <v>20</v>
      </c>
      <c r="F5043">
        <v>2000</v>
      </c>
      <c r="G5043">
        <v>22</v>
      </c>
      <c r="H5043" s="1" t="s">
        <v>124</v>
      </c>
      <c r="I5043">
        <v>19</v>
      </c>
      <c r="J5043">
        <v>1490</v>
      </c>
      <c r="K5043" s="1" t="s">
        <v>22</v>
      </c>
      <c r="L5043" s="1" t="s">
        <v>23</v>
      </c>
      <c r="M5043">
        <v>0.90500000000000003</v>
      </c>
      <c r="N5043">
        <v>17188.2</v>
      </c>
      <c r="O5043">
        <v>17.187999999999999</v>
      </c>
      <c r="P5043" s="2">
        <v>44593</v>
      </c>
      <c r="Q5043">
        <v>1</v>
      </c>
      <c r="R5043" s="1" t="s">
        <v>125</v>
      </c>
    </row>
    <row r="5044" spans="1:18" x14ac:dyDescent="0.25">
      <c r="A5044">
        <v>2022</v>
      </c>
      <c r="B5044">
        <v>3</v>
      </c>
      <c r="C5044" s="1" t="s">
        <v>26</v>
      </c>
      <c r="D5044" s="1" t="s">
        <v>19</v>
      </c>
      <c r="E5044" s="1" t="s">
        <v>20</v>
      </c>
      <c r="F5044">
        <v>2000</v>
      </c>
      <c r="G5044">
        <v>22</v>
      </c>
      <c r="H5044" s="1" t="s">
        <v>124</v>
      </c>
      <c r="I5044">
        <v>19</v>
      </c>
      <c r="J5044">
        <v>1490</v>
      </c>
      <c r="K5044" s="1" t="s">
        <v>22</v>
      </c>
      <c r="L5044" s="1" t="s">
        <v>23</v>
      </c>
      <c r="M5044">
        <v>1.0840000000000001</v>
      </c>
      <c r="N5044">
        <v>20595.5</v>
      </c>
      <c r="O5044">
        <v>20.596</v>
      </c>
      <c r="P5044" s="2">
        <v>44621</v>
      </c>
      <c r="Q5044">
        <v>1</v>
      </c>
      <c r="R5044" s="1" t="s">
        <v>125</v>
      </c>
    </row>
    <row r="5045" spans="1:18" x14ac:dyDescent="0.25">
      <c r="A5045">
        <v>2022</v>
      </c>
      <c r="B5045">
        <v>4</v>
      </c>
      <c r="C5045" s="1" t="s">
        <v>27</v>
      </c>
      <c r="D5045" s="1" t="s">
        <v>19</v>
      </c>
      <c r="E5045" s="1" t="s">
        <v>20</v>
      </c>
      <c r="F5045">
        <v>2000</v>
      </c>
      <c r="G5045">
        <v>22</v>
      </c>
      <c r="H5045" s="1" t="s">
        <v>124</v>
      </c>
      <c r="I5045">
        <v>19</v>
      </c>
      <c r="J5045">
        <v>1490</v>
      </c>
      <c r="K5045" s="1" t="s">
        <v>22</v>
      </c>
      <c r="L5045" s="1" t="s">
        <v>23</v>
      </c>
      <c r="M5045">
        <v>1.2390000000000001</v>
      </c>
      <c r="N5045">
        <v>23547.9</v>
      </c>
      <c r="O5045">
        <v>23.547999999999998</v>
      </c>
      <c r="P5045" s="2">
        <v>44652</v>
      </c>
      <c r="Q5045">
        <v>1</v>
      </c>
      <c r="R5045" s="1" t="s">
        <v>125</v>
      </c>
    </row>
    <row r="5046" spans="1:18" x14ac:dyDescent="0.25">
      <c r="A5046">
        <v>2022</v>
      </c>
      <c r="B5046">
        <v>5</v>
      </c>
      <c r="C5046" s="1" t="s">
        <v>28</v>
      </c>
      <c r="D5046" s="1" t="s">
        <v>19</v>
      </c>
      <c r="E5046" s="1" t="s">
        <v>20</v>
      </c>
      <c r="F5046">
        <v>2000</v>
      </c>
      <c r="G5046">
        <v>22</v>
      </c>
      <c r="H5046" s="1" t="s">
        <v>124</v>
      </c>
      <c r="I5046">
        <v>19</v>
      </c>
      <c r="J5046">
        <v>1490</v>
      </c>
      <c r="K5046" s="1" t="s">
        <v>22</v>
      </c>
      <c r="L5046" s="1" t="s">
        <v>23</v>
      </c>
      <c r="M5046">
        <v>1.1379999999999999</v>
      </c>
      <c r="N5046">
        <v>21626.799999999999</v>
      </c>
      <c r="O5046">
        <v>21.626999999999999</v>
      </c>
      <c r="P5046" s="2">
        <v>44682</v>
      </c>
      <c r="Q5046">
        <v>1</v>
      </c>
      <c r="R5046" s="1" t="s">
        <v>125</v>
      </c>
    </row>
    <row r="5047" spans="1:18" x14ac:dyDescent="0.25">
      <c r="A5047">
        <v>2022</v>
      </c>
      <c r="B5047">
        <v>6</v>
      </c>
      <c r="C5047" s="1" t="s">
        <v>29</v>
      </c>
      <c r="D5047" s="1" t="s">
        <v>19</v>
      </c>
      <c r="E5047" s="1" t="s">
        <v>20</v>
      </c>
      <c r="F5047">
        <v>2000</v>
      </c>
      <c r="G5047">
        <v>22</v>
      </c>
      <c r="H5047" s="1" t="s">
        <v>124</v>
      </c>
      <c r="I5047">
        <v>19</v>
      </c>
      <c r="J5047">
        <v>1490</v>
      </c>
      <c r="K5047" s="1" t="s">
        <v>22</v>
      </c>
      <c r="L5047" s="1" t="s">
        <v>23</v>
      </c>
      <c r="M5047">
        <v>1.254</v>
      </c>
      <c r="N5047">
        <v>23831</v>
      </c>
      <c r="O5047">
        <v>23.831</v>
      </c>
      <c r="P5047" s="2">
        <v>44713</v>
      </c>
      <c r="Q5047">
        <v>1</v>
      </c>
      <c r="R5047" s="1" t="s">
        <v>125</v>
      </c>
    </row>
    <row r="5048" spans="1:18" x14ac:dyDescent="0.25">
      <c r="A5048">
        <v>2022</v>
      </c>
      <c r="B5048">
        <v>7</v>
      </c>
      <c r="C5048" s="1" t="s">
        <v>30</v>
      </c>
      <c r="D5048" s="1" t="s">
        <v>19</v>
      </c>
      <c r="E5048" s="1" t="s">
        <v>20</v>
      </c>
      <c r="F5048">
        <v>2000</v>
      </c>
      <c r="G5048">
        <v>22</v>
      </c>
      <c r="H5048" s="1" t="s">
        <v>124</v>
      </c>
      <c r="I5048">
        <v>19</v>
      </c>
      <c r="J5048">
        <v>1490</v>
      </c>
      <c r="K5048" s="1" t="s">
        <v>22</v>
      </c>
      <c r="L5048" s="1" t="s">
        <v>23</v>
      </c>
      <c r="M5048">
        <v>0.72899999999999998</v>
      </c>
      <c r="N5048">
        <v>13851.7</v>
      </c>
      <c r="O5048">
        <v>13.852</v>
      </c>
      <c r="P5048" s="2">
        <v>44743</v>
      </c>
      <c r="Q5048">
        <v>1</v>
      </c>
      <c r="R5048" s="1" t="s">
        <v>125</v>
      </c>
    </row>
    <row r="5049" spans="1:18" x14ac:dyDescent="0.25">
      <c r="A5049">
        <v>2022</v>
      </c>
      <c r="B5049">
        <v>8</v>
      </c>
      <c r="C5049" s="1" t="s">
        <v>31</v>
      </c>
      <c r="D5049" s="1" t="s">
        <v>19</v>
      </c>
      <c r="E5049" s="1" t="s">
        <v>20</v>
      </c>
      <c r="F5049">
        <v>2000</v>
      </c>
      <c r="G5049">
        <v>22</v>
      </c>
      <c r="H5049" s="1" t="s">
        <v>124</v>
      </c>
      <c r="I5049">
        <v>19</v>
      </c>
      <c r="J5049">
        <v>1490</v>
      </c>
      <c r="K5049" s="1" t="s">
        <v>22</v>
      </c>
      <c r="L5049" s="1" t="s">
        <v>23</v>
      </c>
      <c r="M5049">
        <v>1.2310000000000001</v>
      </c>
      <c r="N5049">
        <v>23396.2</v>
      </c>
      <c r="O5049">
        <v>23.396000000000001</v>
      </c>
      <c r="P5049" s="2">
        <v>44774</v>
      </c>
      <c r="Q5049">
        <v>1</v>
      </c>
      <c r="R5049" s="1" t="s">
        <v>125</v>
      </c>
    </row>
    <row r="5050" spans="1:18" x14ac:dyDescent="0.25">
      <c r="A5050">
        <v>2022</v>
      </c>
      <c r="B5050">
        <v>9</v>
      </c>
      <c r="C5050" s="1" t="s">
        <v>32</v>
      </c>
      <c r="D5050" s="1" t="s">
        <v>19</v>
      </c>
      <c r="E5050" s="1" t="s">
        <v>20</v>
      </c>
      <c r="F5050">
        <v>2000</v>
      </c>
      <c r="G5050">
        <v>22</v>
      </c>
      <c r="H5050" s="1" t="s">
        <v>124</v>
      </c>
      <c r="I5050">
        <v>19</v>
      </c>
      <c r="J5050">
        <v>1490</v>
      </c>
      <c r="K5050" s="1" t="s">
        <v>22</v>
      </c>
      <c r="L5050" s="1" t="s">
        <v>23</v>
      </c>
      <c r="M5050">
        <v>1.329</v>
      </c>
      <c r="N5050">
        <v>25246.5</v>
      </c>
      <c r="O5050">
        <v>25.245999999999999</v>
      </c>
      <c r="P5050" s="2">
        <v>44805</v>
      </c>
      <c r="Q5050">
        <v>1</v>
      </c>
      <c r="R5050" s="1" t="s">
        <v>125</v>
      </c>
    </row>
    <row r="5051" spans="1:18" x14ac:dyDescent="0.25">
      <c r="A5051">
        <v>2022</v>
      </c>
      <c r="B5051">
        <v>10</v>
      </c>
      <c r="C5051" s="1" t="s">
        <v>33</v>
      </c>
      <c r="D5051" s="1" t="s">
        <v>19</v>
      </c>
      <c r="E5051" s="1" t="s">
        <v>20</v>
      </c>
      <c r="F5051">
        <v>2000</v>
      </c>
      <c r="G5051">
        <v>22</v>
      </c>
      <c r="H5051" s="1" t="s">
        <v>124</v>
      </c>
      <c r="I5051">
        <v>19</v>
      </c>
      <c r="J5051">
        <v>1490</v>
      </c>
      <c r="K5051" s="1" t="s">
        <v>22</v>
      </c>
      <c r="L5051" s="1" t="s">
        <v>23</v>
      </c>
      <c r="M5051">
        <v>1.262</v>
      </c>
      <c r="N5051">
        <v>23972.5</v>
      </c>
      <c r="O5051">
        <v>23.972999999999999</v>
      </c>
      <c r="P5051" s="2">
        <v>44835</v>
      </c>
      <c r="Q5051">
        <v>1</v>
      </c>
      <c r="R5051" s="1" t="s">
        <v>125</v>
      </c>
    </row>
    <row r="5052" spans="1:18" x14ac:dyDescent="0.25">
      <c r="A5052">
        <v>2022</v>
      </c>
      <c r="B5052">
        <v>11</v>
      </c>
      <c r="C5052" s="1" t="s">
        <v>34</v>
      </c>
      <c r="D5052" s="1" t="s">
        <v>19</v>
      </c>
      <c r="E5052" s="1" t="s">
        <v>20</v>
      </c>
      <c r="F5052">
        <v>2000</v>
      </c>
      <c r="G5052">
        <v>22</v>
      </c>
      <c r="H5052" s="1" t="s">
        <v>124</v>
      </c>
      <c r="I5052">
        <v>19</v>
      </c>
      <c r="J5052">
        <v>1490</v>
      </c>
      <c r="K5052" s="1" t="s">
        <v>22</v>
      </c>
      <c r="L5052" s="1" t="s">
        <v>23</v>
      </c>
      <c r="M5052">
        <v>1.129</v>
      </c>
      <c r="N5052">
        <v>21454.9</v>
      </c>
      <c r="O5052">
        <v>21.454999999999998</v>
      </c>
      <c r="P5052" s="2">
        <v>44866</v>
      </c>
      <c r="Q5052">
        <v>1</v>
      </c>
      <c r="R5052" s="1" t="s">
        <v>125</v>
      </c>
    </row>
    <row r="5053" spans="1:18" x14ac:dyDescent="0.25">
      <c r="A5053">
        <v>2022</v>
      </c>
      <c r="B5053">
        <v>12</v>
      </c>
      <c r="C5053" s="1" t="s">
        <v>35</v>
      </c>
      <c r="D5053" s="1" t="s">
        <v>19</v>
      </c>
      <c r="E5053" s="1" t="s">
        <v>20</v>
      </c>
      <c r="F5053">
        <v>2000</v>
      </c>
      <c r="G5053">
        <v>22</v>
      </c>
      <c r="H5053" s="1" t="s">
        <v>124</v>
      </c>
      <c r="I5053">
        <v>19</v>
      </c>
      <c r="J5053">
        <v>1490</v>
      </c>
      <c r="K5053" s="1" t="s">
        <v>22</v>
      </c>
      <c r="L5053" s="1" t="s">
        <v>23</v>
      </c>
      <c r="M5053">
        <v>1.143</v>
      </c>
      <c r="N5053">
        <v>21707.7</v>
      </c>
      <c r="O5053">
        <v>21.707999999999998</v>
      </c>
      <c r="P5053" s="2">
        <v>44896</v>
      </c>
      <c r="Q5053">
        <v>1</v>
      </c>
      <c r="R5053" s="1" t="s">
        <v>125</v>
      </c>
    </row>
    <row r="5054" spans="1:18" x14ac:dyDescent="0.25">
      <c r="A5054">
        <v>2022</v>
      </c>
      <c r="B5054">
        <v>1</v>
      </c>
      <c r="C5054" s="1" t="s">
        <v>18</v>
      </c>
      <c r="D5054" s="1" t="s">
        <v>19</v>
      </c>
      <c r="E5054" s="1" t="s">
        <v>36</v>
      </c>
      <c r="F5054">
        <v>2000</v>
      </c>
      <c r="G5054">
        <v>22</v>
      </c>
      <c r="H5054" s="1" t="s">
        <v>124</v>
      </c>
      <c r="I5054">
        <v>24</v>
      </c>
      <c r="J5054">
        <v>1675</v>
      </c>
      <c r="K5054" s="1" t="s">
        <v>37</v>
      </c>
      <c r="L5054" s="1" t="s">
        <v>23</v>
      </c>
      <c r="M5054">
        <v>0.224</v>
      </c>
      <c r="N5054">
        <v>5376.2</v>
      </c>
      <c r="O5054">
        <v>5.3760000000000003</v>
      </c>
      <c r="P5054" s="2">
        <v>44562</v>
      </c>
      <c r="Q5054">
        <v>1</v>
      </c>
      <c r="R5054" s="1" t="s">
        <v>125</v>
      </c>
    </row>
    <row r="5055" spans="1:18" x14ac:dyDescent="0.25">
      <c r="A5055">
        <v>2022</v>
      </c>
      <c r="B5055">
        <v>2</v>
      </c>
      <c r="C5055" s="1" t="s">
        <v>25</v>
      </c>
      <c r="D5055" s="1" t="s">
        <v>19</v>
      </c>
      <c r="E5055" s="1" t="s">
        <v>36</v>
      </c>
      <c r="F5055">
        <v>2000</v>
      </c>
      <c r="G5055">
        <v>22</v>
      </c>
      <c r="H5055" s="1" t="s">
        <v>124</v>
      </c>
      <c r="I5055">
        <v>24</v>
      </c>
      <c r="J5055">
        <v>1675</v>
      </c>
      <c r="K5055" s="1" t="s">
        <v>37</v>
      </c>
      <c r="L5055" s="1" t="s">
        <v>23</v>
      </c>
      <c r="M5055">
        <v>0.80500000000000005</v>
      </c>
      <c r="N5055">
        <v>19322.3</v>
      </c>
      <c r="O5055">
        <v>19.321999999999999</v>
      </c>
      <c r="P5055" s="2">
        <v>44593</v>
      </c>
      <c r="Q5055">
        <v>1</v>
      </c>
      <c r="R5055" s="1" t="s">
        <v>125</v>
      </c>
    </row>
    <row r="5056" spans="1:18" x14ac:dyDescent="0.25">
      <c r="A5056">
        <v>2022</v>
      </c>
      <c r="B5056">
        <v>3</v>
      </c>
      <c r="C5056" s="1" t="s">
        <v>26</v>
      </c>
      <c r="D5056" s="1" t="s">
        <v>19</v>
      </c>
      <c r="E5056" s="1" t="s">
        <v>36</v>
      </c>
      <c r="F5056">
        <v>2000</v>
      </c>
      <c r="G5056">
        <v>22</v>
      </c>
      <c r="H5056" s="1" t="s">
        <v>124</v>
      </c>
      <c r="I5056">
        <v>24</v>
      </c>
      <c r="J5056">
        <v>1675</v>
      </c>
      <c r="K5056" s="1" t="s">
        <v>37</v>
      </c>
      <c r="L5056" s="1" t="s">
        <v>23</v>
      </c>
      <c r="M5056">
        <v>0.96499999999999997</v>
      </c>
      <c r="N5056">
        <v>23152.7</v>
      </c>
      <c r="O5056">
        <v>23.152999999999999</v>
      </c>
      <c r="P5056" s="2">
        <v>44621</v>
      </c>
      <c r="Q5056">
        <v>1</v>
      </c>
      <c r="R5056" s="1" t="s">
        <v>125</v>
      </c>
    </row>
    <row r="5057" spans="1:18" x14ac:dyDescent="0.25">
      <c r="A5057">
        <v>2022</v>
      </c>
      <c r="B5057">
        <v>4</v>
      </c>
      <c r="C5057" s="1" t="s">
        <v>27</v>
      </c>
      <c r="D5057" s="1" t="s">
        <v>19</v>
      </c>
      <c r="E5057" s="1" t="s">
        <v>36</v>
      </c>
      <c r="F5057">
        <v>2000</v>
      </c>
      <c r="G5057">
        <v>22</v>
      </c>
      <c r="H5057" s="1" t="s">
        <v>124</v>
      </c>
      <c r="I5057">
        <v>24</v>
      </c>
      <c r="J5057">
        <v>1675</v>
      </c>
      <c r="K5057" s="1" t="s">
        <v>37</v>
      </c>
      <c r="L5057" s="1" t="s">
        <v>23</v>
      </c>
      <c r="M5057">
        <v>1.103</v>
      </c>
      <c r="N5057">
        <v>26471.599999999999</v>
      </c>
      <c r="O5057">
        <v>26.472000000000001</v>
      </c>
      <c r="P5057" s="2">
        <v>44652</v>
      </c>
      <c r="Q5057">
        <v>1</v>
      </c>
      <c r="R5057" s="1" t="s">
        <v>125</v>
      </c>
    </row>
    <row r="5058" spans="1:18" x14ac:dyDescent="0.25">
      <c r="A5058">
        <v>2022</v>
      </c>
      <c r="B5058">
        <v>5</v>
      </c>
      <c r="C5058" s="1" t="s">
        <v>28</v>
      </c>
      <c r="D5058" s="1" t="s">
        <v>19</v>
      </c>
      <c r="E5058" s="1" t="s">
        <v>36</v>
      </c>
      <c r="F5058">
        <v>2000</v>
      </c>
      <c r="G5058">
        <v>22</v>
      </c>
      <c r="H5058" s="1" t="s">
        <v>124</v>
      </c>
      <c r="I5058">
        <v>24</v>
      </c>
      <c r="J5058">
        <v>1675</v>
      </c>
      <c r="K5058" s="1" t="s">
        <v>37</v>
      </c>
      <c r="L5058" s="1" t="s">
        <v>23</v>
      </c>
      <c r="M5058">
        <v>1.0129999999999999</v>
      </c>
      <c r="N5058">
        <v>24312</v>
      </c>
      <c r="O5058">
        <v>24.312000000000001</v>
      </c>
      <c r="P5058" s="2">
        <v>44682</v>
      </c>
      <c r="Q5058">
        <v>1</v>
      </c>
      <c r="R5058" s="1" t="s">
        <v>125</v>
      </c>
    </row>
    <row r="5059" spans="1:18" x14ac:dyDescent="0.25">
      <c r="A5059">
        <v>2022</v>
      </c>
      <c r="B5059">
        <v>6</v>
      </c>
      <c r="C5059" s="1" t="s">
        <v>29</v>
      </c>
      <c r="D5059" s="1" t="s">
        <v>19</v>
      </c>
      <c r="E5059" s="1" t="s">
        <v>36</v>
      </c>
      <c r="F5059">
        <v>2000</v>
      </c>
      <c r="G5059">
        <v>22</v>
      </c>
      <c r="H5059" s="1" t="s">
        <v>124</v>
      </c>
      <c r="I5059">
        <v>24</v>
      </c>
      <c r="J5059">
        <v>1675</v>
      </c>
      <c r="K5059" s="1" t="s">
        <v>37</v>
      </c>
      <c r="L5059" s="1" t="s">
        <v>23</v>
      </c>
      <c r="M5059">
        <v>1.1160000000000001</v>
      </c>
      <c r="N5059">
        <v>26789.8</v>
      </c>
      <c r="O5059">
        <v>26.79</v>
      </c>
      <c r="P5059" s="2">
        <v>44713</v>
      </c>
      <c r="Q5059">
        <v>1</v>
      </c>
      <c r="R5059" s="1" t="s">
        <v>125</v>
      </c>
    </row>
    <row r="5060" spans="1:18" x14ac:dyDescent="0.25">
      <c r="A5060">
        <v>2022</v>
      </c>
      <c r="B5060">
        <v>7</v>
      </c>
      <c r="C5060" s="1" t="s">
        <v>30</v>
      </c>
      <c r="D5060" s="1" t="s">
        <v>19</v>
      </c>
      <c r="E5060" s="1" t="s">
        <v>36</v>
      </c>
      <c r="F5060">
        <v>2000</v>
      </c>
      <c r="G5060">
        <v>22</v>
      </c>
      <c r="H5060" s="1" t="s">
        <v>124</v>
      </c>
      <c r="I5060">
        <v>24</v>
      </c>
      <c r="J5060">
        <v>1675</v>
      </c>
      <c r="K5060" s="1" t="s">
        <v>37</v>
      </c>
      <c r="L5060" s="1" t="s">
        <v>23</v>
      </c>
      <c r="M5060">
        <v>0.64900000000000002</v>
      </c>
      <c r="N5060">
        <v>15571.5</v>
      </c>
      <c r="O5060">
        <v>15.571999999999999</v>
      </c>
      <c r="P5060" s="2">
        <v>44743</v>
      </c>
      <c r="Q5060">
        <v>1</v>
      </c>
      <c r="R5060" s="1" t="s">
        <v>125</v>
      </c>
    </row>
    <row r="5061" spans="1:18" x14ac:dyDescent="0.25">
      <c r="A5061">
        <v>2022</v>
      </c>
      <c r="B5061">
        <v>8</v>
      </c>
      <c r="C5061" s="1" t="s">
        <v>31</v>
      </c>
      <c r="D5061" s="1" t="s">
        <v>19</v>
      </c>
      <c r="E5061" s="1" t="s">
        <v>36</v>
      </c>
      <c r="F5061">
        <v>2000</v>
      </c>
      <c r="G5061">
        <v>22</v>
      </c>
      <c r="H5061" s="1" t="s">
        <v>124</v>
      </c>
      <c r="I5061">
        <v>24</v>
      </c>
      <c r="J5061">
        <v>1675</v>
      </c>
      <c r="K5061" s="1" t="s">
        <v>37</v>
      </c>
      <c r="L5061" s="1" t="s">
        <v>23</v>
      </c>
      <c r="M5061">
        <v>1.0960000000000001</v>
      </c>
      <c r="N5061">
        <v>26301.1</v>
      </c>
      <c r="O5061">
        <v>26.300999999999998</v>
      </c>
      <c r="P5061" s="2">
        <v>44774</v>
      </c>
      <c r="Q5061">
        <v>1</v>
      </c>
      <c r="R5061" s="1" t="s">
        <v>125</v>
      </c>
    </row>
    <row r="5062" spans="1:18" x14ac:dyDescent="0.25">
      <c r="A5062">
        <v>2022</v>
      </c>
      <c r="B5062">
        <v>9</v>
      </c>
      <c r="C5062" s="1" t="s">
        <v>32</v>
      </c>
      <c r="D5062" s="1" t="s">
        <v>19</v>
      </c>
      <c r="E5062" s="1" t="s">
        <v>36</v>
      </c>
      <c r="F5062">
        <v>2000</v>
      </c>
      <c r="G5062">
        <v>22</v>
      </c>
      <c r="H5062" s="1" t="s">
        <v>124</v>
      </c>
      <c r="I5062">
        <v>24</v>
      </c>
      <c r="J5062">
        <v>1675</v>
      </c>
      <c r="K5062" s="1" t="s">
        <v>37</v>
      </c>
      <c r="L5062" s="1" t="s">
        <v>23</v>
      </c>
      <c r="M5062">
        <v>1.1830000000000001</v>
      </c>
      <c r="N5062">
        <v>28381.1</v>
      </c>
      <c r="O5062">
        <v>28.381</v>
      </c>
      <c r="P5062" s="2">
        <v>44805</v>
      </c>
      <c r="Q5062">
        <v>1</v>
      </c>
      <c r="R5062" s="1" t="s">
        <v>125</v>
      </c>
    </row>
    <row r="5063" spans="1:18" x14ac:dyDescent="0.25">
      <c r="A5063">
        <v>2022</v>
      </c>
      <c r="B5063">
        <v>10</v>
      </c>
      <c r="C5063" s="1" t="s">
        <v>33</v>
      </c>
      <c r="D5063" s="1" t="s">
        <v>19</v>
      </c>
      <c r="E5063" s="1" t="s">
        <v>36</v>
      </c>
      <c r="F5063">
        <v>2000</v>
      </c>
      <c r="G5063">
        <v>22</v>
      </c>
      <c r="H5063" s="1" t="s">
        <v>124</v>
      </c>
      <c r="I5063">
        <v>24</v>
      </c>
      <c r="J5063">
        <v>1675</v>
      </c>
      <c r="K5063" s="1" t="s">
        <v>37</v>
      </c>
      <c r="L5063" s="1" t="s">
        <v>23</v>
      </c>
      <c r="M5063">
        <v>1.123</v>
      </c>
      <c r="N5063">
        <v>26949</v>
      </c>
      <c r="O5063">
        <v>26.949000000000002</v>
      </c>
      <c r="P5063" s="2">
        <v>44835</v>
      </c>
      <c r="Q5063">
        <v>1</v>
      </c>
      <c r="R5063" s="1" t="s">
        <v>125</v>
      </c>
    </row>
    <row r="5064" spans="1:18" x14ac:dyDescent="0.25">
      <c r="A5064">
        <v>2022</v>
      </c>
      <c r="B5064">
        <v>11</v>
      </c>
      <c r="C5064" s="1" t="s">
        <v>34</v>
      </c>
      <c r="D5064" s="1" t="s">
        <v>19</v>
      </c>
      <c r="E5064" s="1" t="s">
        <v>36</v>
      </c>
      <c r="F5064">
        <v>2000</v>
      </c>
      <c r="G5064">
        <v>22</v>
      </c>
      <c r="H5064" s="1" t="s">
        <v>124</v>
      </c>
      <c r="I5064">
        <v>24</v>
      </c>
      <c r="J5064">
        <v>1675</v>
      </c>
      <c r="K5064" s="1" t="s">
        <v>37</v>
      </c>
      <c r="L5064" s="1" t="s">
        <v>23</v>
      </c>
      <c r="M5064">
        <v>1.0049999999999999</v>
      </c>
      <c r="N5064">
        <v>24118.799999999999</v>
      </c>
      <c r="O5064">
        <v>24.119</v>
      </c>
      <c r="P5064" s="2">
        <v>44866</v>
      </c>
      <c r="Q5064">
        <v>1</v>
      </c>
      <c r="R5064" s="1" t="s">
        <v>125</v>
      </c>
    </row>
    <row r="5065" spans="1:18" x14ac:dyDescent="0.25">
      <c r="A5065">
        <v>2022</v>
      </c>
      <c r="B5065">
        <v>12</v>
      </c>
      <c r="C5065" s="1" t="s">
        <v>35</v>
      </c>
      <c r="D5065" s="1" t="s">
        <v>19</v>
      </c>
      <c r="E5065" s="1" t="s">
        <v>36</v>
      </c>
      <c r="F5065">
        <v>2000</v>
      </c>
      <c r="G5065">
        <v>22</v>
      </c>
      <c r="H5065" s="1" t="s">
        <v>124</v>
      </c>
      <c r="I5065">
        <v>24</v>
      </c>
      <c r="J5065">
        <v>1675</v>
      </c>
      <c r="K5065" s="1" t="s">
        <v>37</v>
      </c>
      <c r="L5065" s="1" t="s">
        <v>23</v>
      </c>
      <c r="M5065">
        <v>1.0169999999999999</v>
      </c>
      <c r="N5065">
        <v>24403</v>
      </c>
      <c r="O5065">
        <v>24.402999999999999</v>
      </c>
      <c r="P5065" s="2">
        <v>44896</v>
      </c>
      <c r="Q5065">
        <v>1</v>
      </c>
      <c r="R5065" s="1" t="s">
        <v>125</v>
      </c>
    </row>
    <row r="5066" spans="1:18" x14ac:dyDescent="0.25">
      <c r="A5066">
        <v>2022</v>
      </c>
      <c r="B5066">
        <v>1</v>
      </c>
      <c r="C5066" s="1" t="s">
        <v>18</v>
      </c>
      <c r="D5066" s="1" t="s">
        <v>19</v>
      </c>
      <c r="E5066" s="1" t="s">
        <v>38</v>
      </c>
      <c r="F5066">
        <v>2005</v>
      </c>
      <c r="G5066">
        <v>17</v>
      </c>
      <c r="H5066" s="1" t="s">
        <v>124</v>
      </c>
      <c r="I5066">
        <v>18</v>
      </c>
      <c r="J5066">
        <v>1922</v>
      </c>
      <c r="K5066" s="1" t="s">
        <v>39</v>
      </c>
      <c r="L5066" s="1" t="s">
        <v>23</v>
      </c>
      <c r="M5066">
        <v>0.34300000000000003</v>
      </c>
      <c r="N5066">
        <v>6168.9</v>
      </c>
      <c r="O5066">
        <v>6.1689999999999996</v>
      </c>
      <c r="P5066" s="2">
        <v>44562</v>
      </c>
      <c r="Q5066">
        <v>1</v>
      </c>
      <c r="R5066" s="1" t="s">
        <v>125</v>
      </c>
    </row>
    <row r="5067" spans="1:18" x14ac:dyDescent="0.25">
      <c r="A5067">
        <v>2022</v>
      </c>
      <c r="B5067">
        <v>2</v>
      </c>
      <c r="C5067" s="1" t="s">
        <v>25</v>
      </c>
      <c r="D5067" s="1" t="s">
        <v>19</v>
      </c>
      <c r="E5067" s="1" t="s">
        <v>38</v>
      </c>
      <c r="F5067">
        <v>2005</v>
      </c>
      <c r="G5067">
        <v>17</v>
      </c>
      <c r="H5067" s="1" t="s">
        <v>124</v>
      </c>
      <c r="I5067">
        <v>18</v>
      </c>
      <c r="J5067">
        <v>1922</v>
      </c>
      <c r="K5067" s="1" t="s">
        <v>39</v>
      </c>
      <c r="L5067" s="1" t="s">
        <v>23</v>
      </c>
      <c r="M5067">
        <v>1.232</v>
      </c>
      <c r="N5067">
        <v>22171.599999999999</v>
      </c>
      <c r="O5067">
        <v>22.172000000000001</v>
      </c>
      <c r="P5067" s="2">
        <v>44593</v>
      </c>
      <c r="Q5067">
        <v>1</v>
      </c>
      <c r="R5067" s="1" t="s">
        <v>125</v>
      </c>
    </row>
    <row r="5068" spans="1:18" x14ac:dyDescent="0.25">
      <c r="A5068">
        <v>2022</v>
      </c>
      <c r="B5068">
        <v>3</v>
      </c>
      <c r="C5068" s="1" t="s">
        <v>26</v>
      </c>
      <c r="D5068" s="1" t="s">
        <v>19</v>
      </c>
      <c r="E5068" s="1" t="s">
        <v>38</v>
      </c>
      <c r="F5068">
        <v>2005</v>
      </c>
      <c r="G5068">
        <v>17</v>
      </c>
      <c r="H5068" s="1" t="s">
        <v>124</v>
      </c>
      <c r="I5068">
        <v>18</v>
      </c>
      <c r="J5068">
        <v>1922</v>
      </c>
      <c r="K5068" s="1" t="s">
        <v>39</v>
      </c>
      <c r="L5068" s="1" t="s">
        <v>23</v>
      </c>
      <c r="M5068">
        <v>1.476</v>
      </c>
      <c r="N5068">
        <v>26566.799999999999</v>
      </c>
      <c r="O5068">
        <v>26.567</v>
      </c>
      <c r="P5068" s="2">
        <v>44621</v>
      </c>
      <c r="Q5068">
        <v>1</v>
      </c>
      <c r="R5068" s="1" t="s">
        <v>125</v>
      </c>
    </row>
    <row r="5069" spans="1:18" x14ac:dyDescent="0.25">
      <c r="A5069">
        <v>2022</v>
      </c>
      <c r="B5069">
        <v>4</v>
      </c>
      <c r="C5069" s="1" t="s">
        <v>27</v>
      </c>
      <c r="D5069" s="1" t="s">
        <v>19</v>
      </c>
      <c r="E5069" s="1" t="s">
        <v>38</v>
      </c>
      <c r="F5069">
        <v>2005</v>
      </c>
      <c r="G5069">
        <v>17</v>
      </c>
      <c r="H5069" s="1" t="s">
        <v>124</v>
      </c>
      <c r="I5069">
        <v>18</v>
      </c>
      <c r="J5069">
        <v>1922</v>
      </c>
      <c r="K5069" s="1" t="s">
        <v>39</v>
      </c>
      <c r="L5069" s="1" t="s">
        <v>23</v>
      </c>
      <c r="M5069">
        <v>1.6879999999999999</v>
      </c>
      <c r="N5069">
        <v>30375.200000000001</v>
      </c>
      <c r="O5069">
        <v>30.375</v>
      </c>
      <c r="P5069" s="2">
        <v>44652</v>
      </c>
      <c r="Q5069">
        <v>1</v>
      </c>
      <c r="R5069" s="1" t="s">
        <v>125</v>
      </c>
    </row>
    <row r="5070" spans="1:18" x14ac:dyDescent="0.25">
      <c r="A5070">
        <v>2022</v>
      </c>
      <c r="B5070">
        <v>5</v>
      </c>
      <c r="C5070" s="1" t="s">
        <v>28</v>
      </c>
      <c r="D5070" s="1" t="s">
        <v>19</v>
      </c>
      <c r="E5070" s="1" t="s">
        <v>38</v>
      </c>
      <c r="F5070">
        <v>2005</v>
      </c>
      <c r="G5070">
        <v>17</v>
      </c>
      <c r="H5070" s="1" t="s">
        <v>124</v>
      </c>
      <c r="I5070">
        <v>18</v>
      </c>
      <c r="J5070">
        <v>1922</v>
      </c>
      <c r="K5070" s="1" t="s">
        <v>39</v>
      </c>
      <c r="L5070" s="1" t="s">
        <v>23</v>
      </c>
      <c r="M5070">
        <v>1.55</v>
      </c>
      <c r="N5070">
        <v>27897.1</v>
      </c>
      <c r="O5070">
        <v>27.896999999999998</v>
      </c>
      <c r="P5070" s="2">
        <v>44682</v>
      </c>
      <c r="Q5070">
        <v>1</v>
      </c>
      <c r="R5070" s="1" t="s">
        <v>125</v>
      </c>
    </row>
    <row r="5071" spans="1:18" x14ac:dyDescent="0.25">
      <c r="A5071">
        <v>2022</v>
      </c>
      <c r="B5071">
        <v>6</v>
      </c>
      <c r="C5071" s="1" t="s">
        <v>29</v>
      </c>
      <c r="D5071" s="1" t="s">
        <v>19</v>
      </c>
      <c r="E5071" s="1" t="s">
        <v>38</v>
      </c>
      <c r="F5071">
        <v>2005</v>
      </c>
      <c r="G5071">
        <v>17</v>
      </c>
      <c r="H5071" s="1" t="s">
        <v>124</v>
      </c>
      <c r="I5071">
        <v>18</v>
      </c>
      <c r="J5071">
        <v>1922</v>
      </c>
      <c r="K5071" s="1" t="s">
        <v>39</v>
      </c>
      <c r="L5071" s="1" t="s">
        <v>23</v>
      </c>
      <c r="M5071">
        <v>1.708</v>
      </c>
      <c r="N5071">
        <v>30740.3</v>
      </c>
      <c r="O5071">
        <v>30.74</v>
      </c>
      <c r="P5071" s="2">
        <v>44713</v>
      </c>
      <c r="Q5071">
        <v>1</v>
      </c>
      <c r="R5071" s="1" t="s">
        <v>125</v>
      </c>
    </row>
    <row r="5072" spans="1:18" x14ac:dyDescent="0.25">
      <c r="A5072">
        <v>2022</v>
      </c>
      <c r="B5072">
        <v>7</v>
      </c>
      <c r="C5072" s="1" t="s">
        <v>30</v>
      </c>
      <c r="D5072" s="1" t="s">
        <v>19</v>
      </c>
      <c r="E5072" s="1" t="s">
        <v>38</v>
      </c>
      <c r="F5072">
        <v>2005</v>
      </c>
      <c r="G5072">
        <v>17</v>
      </c>
      <c r="H5072" s="1" t="s">
        <v>124</v>
      </c>
      <c r="I5072">
        <v>18</v>
      </c>
      <c r="J5072">
        <v>1922</v>
      </c>
      <c r="K5072" s="1" t="s">
        <v>39</v>
      </c>
      <c r="L5072" s="1" t="s">
        <v>23</v>
      </c>
      <c r="M5072">
        <v>0.99299999999999999</v>
      </c>
      <c r="N5072">
        <v>17867.7</v>
      </c>
      <c r="O5072">
        <v>17.867999999999999</v>
      </c>
      <c r="P5072" s="2">
        <v>44743</v>
      </c>
      <c r="Q5072">
        <v>1</v>
      </c>
      <c r="R5072" s="1" t="s">
        <v>125</v>
      </c>
    </row>
    <row r="5073" spans="1:18" x14ac:dyDescent="0.25">
      <c r="A5073">
        <v>2022</v>
      </c>
      <c r="B5073">
        <v>8</v>
      </c>
      <c r="C5073" s="1" t="s">
        <v>31</v>
      </c>
      <c r="D5073" s="1" t="s">
        <v>19</v>
      </c>
      <c r="E5073" s="1" t="s">
        <v>38</v>
      </c>
      <c r="F5073">
        <v>2005</v>
      </c>
      <c r="G5073">
        <v>17</v>
      </c>
      <c r="H5073" s="1" t="s">
        <v>124</v>
      </c>
      <c r="I5073">
        <v>18</v>
      </c>
      <c r="J5073">
        <v>1922</v>
      </c>
      <c r="K5073" s="1" t="s">
        <v>39</v>
      </c>
      <c r="L5073" s="1" t="s">
        <v>23</v>
      </c>
      <c r="M5073">
        <v>1.677</v>
      </c>
      <c r="N5073">
        <v>30179.5</v>
      </c>
      <c r="O5073">
        <v>30.18</v>
      </c>
      <c r="P5073" s="2">
        <v>44774</v>
      </c>
      <c r="Q5073">
        <v>1</v>
      </c>
      <c r="R5073" s="1" t="s">
        <v>125</v>
      </c>
    </row>
    <row r="5074" spans="1:18" x14ac:dyDescent="0.25">
      <c r="A5074">
        <v>2022</v>
      </c>
      <c r="B5074">
        <v>9</v>
      </c>
      <c r="C5074" s="1" t="s">
        <v>32</v>
      </c>
      <c r="D5074" s="1" t="s">
        <v>19</v>
      </c>
      <c r="E5074" s="1" t="s">
        <v>38</v>
      </c>
      <c r="F5074">
        <v>2005</v>
      </c>
      <c r="G5074">
        <v>17</v>
      </c>
      <c r="H5074" s="1" t="s">
        <v>124</v>
      </c>
      <c r="I5074">
        <v>18</v>
      </c>
      <c r="J5074">
        <v>1922</v>
      </c>
      <c r="K5074" s="1" t="s">
        <v>39</v>
      </c>
      <c r="L5074" s="1" t="s">
        <v>23</v>
      </c>
      <c r="M5074">
        <v>1.8089999999999999</v>
      </c>
      <c r="N5074">
        <v>32566.2</v>
      </c>
      <c r="O5074">
        <v>32.566000000000003</v>
      </c>
      <c r="P5074" s="2">
        <v>44805</v>
      </c>
      <c r="Q5074">
        <v>1</v>
      </c>
      <c r="R5074" s="1" t="s">
        <v>125</v>
      </c>
    </row>
    <row r="5075" spans="1:18" x14ac:dyDescent="0.25">
      <c r="A5075">
        <v>2022</v>
      </c>
      <c r="B5075">
        <v>10</v>
      </c>
      <c r="C5075" s="1" t="s">
        <v>33</v>
      </c>
      <c r="D5075" s="1" t="s">
        <v>19</v>
      </c>
      <c r="E5075" s="1" t="s">
        <v>38</v>
      </c>
      <c r="F5075">
        <v>2005</v>
      </c>
      <c r="G5075">
        <v>17</v>
      </c>
      <c r="H5075" s="1" t="s">
        <v>124</v>
      </c>
      <c r="I5075">
        <v>18</v>
      </c>
      <c r="J5075">
        <v>1922</v>
      </c>
      <c r="K5075" s="1" t="s">
        <v>39</v>
      </c>
      <c r="L5075" s="1" t="s">
        <v>23</v>
      </c>
      <c r="M5075">
        <v>1.718</v>
      </c>
      <c r="N5075">
        <v>30922.9</v>
      </c>
      <c r="O5075">
        <v>30.922999999999998</v>
      </c>
      <c r="P5075" s="2">
        <v>44835</v>
      </c>
      <c r="Q5075">
        <v>1</v>
      </c>
      <c r="R5075" s="1" t="s">
        <v>125</v>
      </c>
    </row>
    <row r="5076" spans="1:18" x14ac:dyDescent="0.25">
      <c r="A5076">
        <v>2022</v>
      </c>
      <c r="B5076">
        <v>11</v>
      </c>
      <c r="C5076" s="1" t="s">
        <v>34</v>
      </c>
      <c r="D5076" s="1" t="s">
        <v>19</v>
      </c>
      <c r="E5076" s="1" t="s">
        <v>38</v>
      </c>
      <c r="F5076">
        <v>2005</v>
      </c>
      <c r="G5076">
        <v>17</v>
      </c>
      <c r="H5076" s="1" t="s">
        <v>124</v>
      </c>
      <c r="I5076">
        <v>18</v>
      </c>
      <c r="J5076">
        <v>1922</v>
      </c>
      <c r="K5076" s="1" t="s">
        <v>39</v>
      </c>
      <c r="L5076" s="1" t="s">
        <v>23</v>
      </c>
      <c r="M5076">
        <v>1.538</v>
      </c>
      <c r="N5076">
        <v>27675.4</v>
      </c>
      <c r="O5076">
        <v>27.675000000000001</v>
      </c>
      <c r="P5076" s="2">
        <v>44866</v>
      </c>
      <c r="Q5076">
        <v>1</v>
      </c>
      <c r="R5076" s="1" t="s">
        <v>125</v>
      </c>
    </row>
    <row r="5077" spans="1:18" x14ac:dyDescent="0.25">
      <c r="A5077">
        <v>2022</v>
      </c>
      <c r="B5077">
        <v>12</v>
      </c>
      <c r="C5077" s="1" t="s">
        <v>35</v>
      </c>
      <c r="D5077" s="1" t="s">
        <v>19</v>
      </c>
      <c r="E5077" s="1" t="s">
        <v>38</v>
      </c>
      <c r="F5077">
        <v>2005</v>
      </c>
      <c r="G5077">
        <v>17</v>
      </c>
      <c r="H5077" s="1" t="s">
        <v>124</v>
      </c>
      <c r="I5077">
        <v>18</v>
      </c>
      <c r="J5077">
        <v>1922</v>
      </c>
      <c r="K5077" s="1" t="s">
        <v>39</v>
      </c>
      <c r="L5077" s="1" t="s">
        <v>23</v>
      </c>
      <c r="M5077">
        <v>1.556</v>
      </c>
      <c r="N5077">
        <v>28001.5</v>
      </c>
      <c r="O5077">
        <v>28.001000000000001</v>
      </c>
      <c r="P5077" s="2">
        <v>44896</v>
      </c>
      <c r="Q5077">
        <v>1</v>
      </c>
      <c r="R5077" s="1" t="s">
        <v>125</v>
      </c>
    </row>
    <row r="5078" spans="1:18" x14ac:dyDescent="0.25">
      <c r="A5078">
        <v>2022</v>
      </c>
      <c r="B5078">
        <v>1</v>
      </c>
      <c r="C5078" s="1" t="s">
        <v>18</v>
      </c>
      <c r="D5078" s="1" t="s">
        <v>19</v>
      </c>
      <c r="E5078" s="1" t="s">
        <v>41</v>
      </c>
      <c r="F5078">
        <v>2005</v>
      </c>
      <c r="G5078">
        <v>17</v>
      </c>
      <c r="H5078" s="1" t="s">
        <v>124</v>
      </c>
      <c r="I5078">
        <v>26</v>
      </c>
      <c r="J5078">
        <v>2827</v>
      </c>
      <c r="K5078" s="1" t="s">
        <v>42</v>
      </c>
      <c r="L5078" s="1" t="s">
        <v>23</v>
      </c>
      <c r="M5078">
        <v>0.34899999999999998</v>
      </c>
      <c r="N5078">
        <v>9073.7000000000007</v>
      </c>
      <c r="O5078">
        <v>9.0739999999999998</v>
      </c>
      <c r="P5078" s="2">
        <v>44562</v>
      </c>
      <c r="Q5078">
        <v>1</v>
      </c>
      <c r="R5078" s="1" t="s">
        <v>125</v>
      </c>
    </row>
    <row r="5079" spans="1:18" x14ac:dyDescent="0.25">
      <c r="A5079">
        <v>2022</v>
      </c>
      <c r="B5079">
        <v>2</v>
      </c>
      <c r="C5079" s="1" t="s">
        <v>25</v>
      </c>
      <c r="D5079" s="1" t="s">
        <v>19</v>
      </c>
      <c r="E5079" s="1" t="s">
        <v>41</v>
      </c>
      <c r="F5079">
        <v>2005</v>
      </c>
      <c r="G5079">
        <v>17</v>
      </c>
      <c r="H5079" s="1" t="s">
        <v>124</v>
      </c>
      <c r="I5079">
        <v>26</v>
      </c>
      <c r="J5079">
        <v>2827</v>
      </c>
      <c r="K5079" s="1" t="s">
        <v>42</v>
      </c>
      <c r="L5079" s="1" t="s">
        <v>23</v>
      </c>
      <c r="M5079">
        <v>1.254</v>
      </c>
      <c r="N5079">
        <v>32611.5</v>
      </c>
      <c r="O5079">
        <v>32.610999999999997</v>
      </c>
      <c r="P5079" s="2">
        <v>44593</v>
      </c>
      <c r="Q5079">
        <v>1</v>
      </c>
      <c r="R5079" s="1" t="s">
        <v>125</v>
      </c>
    </row>
    <row r="5080" spans="1:18" x14ac:dyDescent="0.25">
      <c r="A5080">
        <v>2022</v>
      </c>
      <c r="B5080">
        <v>3</v>
      </c>
      <c r="C5080" s="1" t="s">
        <v>26</v>
      </c>
      <c r="D5080" s="1" t="s">
        <v>19</v>
      </c>
      <c r="E5080" s="1" t="s">
        <v>41</v>
      </c>
      <c r="F5080">
        <v>2005</v>
      </c>
      <c r="G5080">
        <v>17</v>
      </c>
      <c r="H5080" s="1" t="s">
        <v>124</v>
      </c>
      <c r="I5080">
        <v>26</v>
      </c>
      <c r="J5080">
        <v>2827</v>
      </c>
      <c r="K5080" s="1" t="s">
        <v>42</v>
      </c>
      <c r="L5080" s="1" t="s">
        <v>23</v>
      </c>
      <c r="M5080">
        <v>1.5029999999999999</v>
      </c>
      <c r="N5080">
        <v>39076.199999999997</v>
      </c>
      <c r="O5080">
        <v>39.076000000000001</v>
      </c>
      <c r="P5080" s="2">
        <v>44621</v>
      </c>
      <c r="Q5080">
        <v>1</v>
      </c>
      <c r="R5080" s="1" t="s">
        <v>125</v>
      </c>
    </row>
    <row r="5081" spans="1:18" x14ac:dyDescent="0.25">
      <c r="A5081">
        <v>2022</v>
      </c>
      <c r="B5081">
        <v>4</v>
      </c>
      <c r="C5081" s="1" t="s">
        <v>27</v>
      </c>
      <c r="D5081" s="1" t="s">
        <v>19</v>
      </c>
      <c r="E5081" s="1" t="s">
        <v>41</v>
      </c>
      <c r="F5081">
        <v>2005</v>
      </c>
      <c r="G5081">
        <v>17</v>
      </c>
      <c r="H5081" s="1" t="s">
        <v>124</v>
      </c>
      <c r="I5081">
        <v>26</v>
      </c>
      <c r="J5081">
        <v>2827</v>
      </c>
      <c r="K5081" s="1" t="s">
        <v>42</v>
      </c>
      <c r="L5081" s="1" t="s">
        <v>23</v>
      </c>
      <c r="M5081">
        <v>1.718</v>
      </c>
      <c r="N5081">
        <v>44677.7</v>
      </c>
      <c r="O5081">
        <v>44.677999999999997</v>
      </c>
      <c r="P5081" s="2">
        <v>44652</v>
      </c>
      <c r="Q5081">
        <v>1</v>
      </c>
      <c r="R5081" s="1" t="s">
        <v>125</v>
      </c>
    </row>
    <row r="5082" spans="1:18" x14ac:dyDescent="0.25">
      <c r="A5082">
        <v>2022</v>
      </c>
      <c r="B5082">
        <v>5</v>
      </c>
      <c r="C5082" s="1" t="s">
        <v>28</v>
      </c>
      <c r="D5082" s="1" t="s">
        <v>19</v>
      </c>
      <c r="E5082" s="1" t="s">
        <v>41</v>
      </c>
      <c r="F5082">
        <v>2005</v>
      </c>
      <c r="G5082">
        <v>17</v>
      </c>
      <c r="H5082" s="1" t="s">
        <v>124</v>
      </c>
      <c r="I5082">
        <v>26</v>
      </c>
      <c r="J5082">
        <v>2827</v>
      </c>
      <c r="K5082" s="1" t="s">
        <v>42</v>
      </c>
      <c r="L5082" s="1" t="s">
        <v>23</v>
      </c>
      <c r="M5082">
        <v>1.5780000000000001</v>
      </c>
      <c r="N5082">
        <v>41032.9</v>
      </c>
      <c r="O5082">
        <v>41.033000000000001</v>
      </c>
      <c r="P5082" s="2">
        <v>44682</v>
      </c>
      <c r="Q5082">
        <v>1</v>
      </c>
      <c r="R5082" s="1" t="s">
        <v>125</v>
      </c>
    </row>
    <row r="5083" spans="1:18" x14ac:dyDescent="0.25">
      <c r="A5083">
        <v>2022</v>
      </c>
      <c r="B5083">
        <v>6</v>
      </c>
      <c r="C5083" s="1" t="s">
        <v>29</v>
      </c>
      <c r="D5083" s="1" t="s">
        <v>19</v>
      </c>
      <c r="E5083" s="1" t="s">
        <v>41</v>
      </c>
      <c r="F5083">
        <v>2005</v>
      </c>
      <c r="G5083">
        <v>17</v>
      </c>
      <c r="H5083" s="1" t="s">
        <v>124</v>
      </c>
      <c r="I5083">
        <v>26</v>
      </c>
      <c r="J5083">
        <v>2827</v>
      </c>
      <c r="K5083" s="1" t="s">
        <v>42</v>
      </c>
      <c r="L5083" s="1" t="s">
        <v>23</v>
      </c>
      <c r="M5083">
        <v>1.7390000000000001</v>
      </c>
      <c r="N5083">
        <v>45214.8</v>
      </c>
      <c r="O5083">
        <v>45.215000000000003</v>
      </c>
      <c r="P5083" s="2">
        <v>44713</v>
      </c>
      <c r="Q5083">
        <v>1</v>
      </c>
      <c r="R5083" s="1" t="s">
        <v>125</v>
      </c>
    </row>
    <row r="5084" spans="1:18" x14ac:dyDescent="0.25">
      <c r="A5084">
        <v>2022</v>
      </c>
      <c r="B5084">
        <v>7</v>
      </c>
      <c r="C5084" s="1" t="s">
        <v>30</v>
      </c>
      <c r="D5084" s="1" t="s">
        <v>19</v>
      </c>
      <c r="E5084" s="1" t="s">
        <v>41</v>
      </c>
      <c r="F5084">
        <v>2005</v>
      </c>
      <c r="G5084">
        <v>17</v>
      </c>
      <c r="H5084" s="1" t="s">
        <v>124</v>
      </c>
      <c r="I5084">
        <v>26</v>
      </c>
      <c r="J5084">
        <v>2827</v>
      </c>
      <c r="K5084" s="1" t="s">
        <v>42</v>
      </c>
      <c r="L5084" s="1" t="s">
        <v>23</v>
      </c>
      <c r="M5084">
        <v>1.0109999999999999</v>
      </c>
      <c r="N5084">
        <v>26281</v>
      </c>
      <c r="O5084">
        <v>26.280999999999999</v>
      </c>
      <c r="P5084" s="2">
        <v>44743</v>
      </c>
      <c r="Q5084">
        <v>1</v>
      </c>
      <c r="R5084" s="1" t="s">
        <v>125</v>
      </c>
    </row>
    <row r="5085" spans="1:18" x14ac:dyDescent="0.25">
      <c r="A5085">
        <v>2022</v>
      </c>
      <c r="B5085">
        <v>8</v>
      </c>
      <c r="C5085" s="1" t="s">
        <v>31</v>
      </c>
      <c r="D5085" s="1" t="s">
        <v>19</v>
      </c>
      <c r="E5085" s="1" t="s">
        <v>41</v>
      </c>
      <c r="F5085">
        <v>2005</v>
      </c>
      <c r="G5085">
        <v>17</v>
      </c>
      <c r="H5085" s="1" t="s">
        <v>124</v>
      </c>
      <c r="I5085">
        <v>26</v>
      </c>
      <c r="J5085">
        <v>2827</v>
      </c>
      <c r="K5085" s="1" t="s">
        <v>42</v>
      </c>
      <c r="L5085" s="1" t="s">
        <v>23</v>
      </c>
      <c r="M5085">
        <v>1.7070000000000001</v>
      </c>
      <c r="N5085">
        <v>44390</v>
      </c>
      <c r="O5085">
        <v>44.39</v>
      </c>
      <c r="P5085" s="2">
        <v>44774</v>
      </c>
      <c r="Q5085">
        <v>1</v>
      </c>
      <c r="R5085" s="1" t="s">
        <v>125</v>
      </c>
    </row>
    <row r="5086" spans="1:18" x14ac:dyDescent="0.25">
      <c r="A5086">
        <v>2022</v>
      </c>
      <c r="B5086">
        <v>9</v>
      </c>
      <c r="C5086" s="1" t="s">
        <v>32</v>
      </c>
      <c r="D5086" s="1" t="s">
        <v>19</v>
      </c>
      <c r="E5086" s="1" t="s">
        <v>41</v>
      </c>
      <c r="F5086">
        <v>2005</v>
      </c>
      <c r="G5086">
        <v>17</v>
      </c>
      <c r="H5086" s="1" t="s">
        <v>124</v>
      </c>
      <c r="I5086">
        <v>26</v>
      </c>
      <c r="J5086">
        <v>2827</v>
      </c>
      <c r="K5086" s="1" t="s">
        <v>42</v>
      </c>
      <c r="L5086" s="1" t="s">
        <v>23</v>
      </c>
      <c r="M5086">
        <v>1.8420000000000001</v>
      </c>
      <c r="N5086">
        <v>47900.5</v>
      </c>
      <c r="O5086">
        <v>47.9</v>
      </c>
      <c r="P5086" s="2">
        <v>44805</v>
      </c>
      <c r="Q5086">
        <v>1</v>
      </c>
      <c r="R5086" s="1" t="s">
        <v>125</v>
      </c>
    </row>
    <row r="5087" spans="1:18" x14ac:dyDescent="0.25">
      <c r="A5087">
        <v>2022</v>
      </c>
      <c r="B5087">
        <v>10</v>
      </c>
      <c r="C5087" s="1" t="s">
        <v>33</v>
      </c>
      <c r="D5087" s="1" t="s">
        <v>19</v>
      </c>
      <c r="E5087" s="1" t="s">
        <v>41</v>
      </c>
      <c r="F5087">
        <v>2005</v>
      </c>
      <c r="G5087">
        <v>17</v>
      </c>
      <c r="H5087" s="1" t="s">
        <v>124</v>
      </c>
      <c r="I5087">
        <v>26</v>
      </c>
      <c r="J5087">
        <v>2827</v>
      </c>
      <c r="K5087" s="1" t="s">
        <v>42</v>
      </c>
      <c r="L5087" s="1" t="s">
        <v>23</v>
      </c>
      <c r="M5087">
        <v>1.7490000000000001</v>
      </c>
      <c r="N5087">
        <v>45483.4</v>
      </c>
      <c r="O5087">
        <v>45.482999999999997</v>
      </c>
      <c r="P5087" s="2">
        <v>44835</v>
      </c>
      <c r="Q5087">
        <v>1</v>
      </c>
      <c r="R5087" s="1" t="s">
        <v>125</v>
      </c>
    </row>
    <row r="5088" spans="1:18" x14ac:dyDescent="0.25">
      <c r="A5088">
        <v>2022</v>
      </c>
      <c r="B5088">
        <v>11</v>
      </c>
      <c r="C5088" s="1" t="s">
        <v>34</v>
      </c>
      <c r="D5088" s="1" t="s">
        <v>19</v>
      </c>
      <c r="E5088" s="1" t="s">
        <v>41</v>
      </c>
      <c r="F5088">
        <v>2005</v>
      </c>
      <c r="G5088">
        <v>17</v>
      </c>
      <c r="H5088" s="1" t="s">
        <v>124</v>
      </c>
      <c r="I5088">
        <v>26</v>
      </c>
      <c r="J5088">
        <v>2827</v>
      </c>
      <c r="K5088" s="1" t="s">
        <v>42</v>
      </c>
      <c r="L5088" s="1" t="s">
        <v>23</v>
      </c>
      <c r="M5088">
        <v>1.5660000000000001</v>
      </c>
      <c r="N5088">
        <v>40706.800000000003</v>
      </c>
      <c r="O5088">
        <v>40.707000000000001</v>
      </c>
      <c r="P5088" s="2">
        <v>44866</v>
      </c>
      <c r="Q5088">
        <v>1</v>
      </c>
      <c r="R5088" s="1" t="s">
        <v>125</v>
      </c>
    </row>
    <row r="5089" spans="1:18" x14ac:dyDescent="0.25">
      <c r="A5089">
        <v>2022</v>
      </c>
      <c r="B5089">
        <v>12</v>
      </c>
      <c r="C5089" s="1" t="s">
        <v>35</v>
      </c>
      <c r="D5089" s="1" t="s">
        <v>19</v>
      </c>
      <c r="E5089" s="1" t="s">
        <v>41</v>
      </c>
      <c r="F5089">
        <v>2005</v>
      </c>
      <c r="G5089">
        <v>17</v>
      </c>
      <c r="H5089" s="1" t="s">
        <v>124</v>
      </c>
      <c r="I5089">
        <v>26</v>
      </c>
      <c r="J5089">
        <v>2827</v>
      </c>
      <c r="K5089" s="1" t="s">
        <v>42</v>
      </c>
      <c r="L5089" s="1" t="s">
        <v>23</v>
      </c>
      <c r="M5089">
        <v>1.5840000000000001</v>
      </c>
      <c r="N5089">
        <v>41186.400000000001</v>
      </c>
      <c r="O5089">
        <v>41.186</v>
      </c>
      <c r="P5089" s="2">
        <v>44896</v>
      </c>
      <c r="Q5089">
        <v>1</v>
      </c>
      <c r="R5089" s="1" t="s">
        <v>125</v>
      </c>
    </row>
    <row r="5090" spans="1:18" x14ac:dyDescent="0.25">
      <c r="A5090">
        <v>2022</v>
      </c>
      <c r="B5090">
        <v>1</v>
      </c>
      <c r="C5090" s="1" t="s">
        <v>18</v>
      </c>
      <c r="D5090" s="1" t="s">
        <v>19</v>
      </c>
      <c r="E5090" s="1" t="s">
        <v>43</v>
      </c>
      <c r="F5090">
        <v>2005</v>
      </c>
      <c r="G5090">
        <v>17</v>
      </c>
      <c r="H5090" s="1" t="s">
        <v>124</v>
      </c>
      <c r="I5090">
        <v>24</v>
      </c>
      <c r="J5090">
        <v>1947</v>
      </c>
      <c r="K5090" s="1" t="s">
        <v>44</v>
      </c>
      <c r="L5090" s="1" t="s">
        <v>45</v>
      </c>
      <c r="M5090">
        <v>0.26</v>
      </c>
      <c r="N5090">
        <v>6249.2</v>
      </c>
      <c r="O5090">
        <v>6.2489999999999997</v>
      </c>
      <c r="P5090" s="2">
        <v>44562</v>
      </c>
      <c r="Q5090">
        <v>1</v>
      </c>
      <c r="R5090" s="1" t="s">
        <v>125</v>
      </c>
    </row>
    <row r="5091" spans="1:18" x14ac:dyDescent="0.25">
      <c r="A5091">
        <v>2022</v>
      </c>
      <c r="B5091">
        <v>2</v>
      </c>
      <c r="C5091" s="1" t="s">
        <v>25</v>
      </c>
      <c r="D5091" s="1" t="s">
        <v>19</v>
      </c>
      <c r="E5091" s="1" t="s">
        <v>43</v>
      </c>
      <c r="F5091">
        <v>2005</v>
      </c>
      <c r="G5091">
        <v>17</v>
      </c>
      <c r="H5091" s="1" t="s">
        <v>124</v>
      </c>
      <c r="I5091">
        <v>24</v>
      </c>
      <c r="J5091">
        <v>1947</v>
      </c>
      <c r="K5091" s="1" t="s">
        <v>44</v>
      </c>
      <c r="L5091" s="1" t="s">
        <v>45</v>
      </c>
      <c r="M5091">
        <v>0.93600000000000005</v>
      </c>
      <c r="N5091">
        <v>22460</v>
      </c>
      <c r="O5091">
        <v>22.46</v>
      </c>
      <c r="P5091" s="2">
        <v>44593</v>
      </c>
      <c r="Q5091">
        <v>1</v>
      </c>
      <c r="R5091" s="1" t="s">
        <v>125</v>
      </c>
    </row>
    <row r="5092" spans="1:18" x14ac:dyDescent="0.25">
      <c r="A5092">
        <v>2022</v>
      </c>
      <c r="B5092">
        <v>3</v>
      </c>
      <c r="C5092" s="1" t="s">
        <v>26</v>
      </c>
      <c r="D5092" s="1" t="s">
        <v>19</v>
      </c>
      <c r="E5092" s="1" t="s">
        <v>43</v>
      </c>
      <c r="F5092">
        <v>2005</v>
      </c>
      <c r="G5092">
        <v>17</v>
      </c>
      <c r="H5092" s="1" t="s">
        <v>124</v>
      </c>
      <c r="I5092">
        <v>24</v>
      </c>
      <c r="J5092">
        <v>1947</v>
      </c>
      <c r="K5092" s="1" t="s">
        <v>44</v>
      </c>
      <c r="L5092" s="1" t="s">
        <v>45</v>
      </c>
      <c r="M5092">
        <v>1.121</v>
      </c>
      <c r="N5092">
        <v>26912.400000000001</v>
      </c>
      <c r="O5092">
        <v>26.911999999999999</v>
      </c>
      <c r="P5092" s="2">
        <v>44621</v>
      </c>
      <c r="Q5092">
        <v>1</v>
      </c>
      <c r="R5092" s="1" t="s">
        <v>125</v>
      </c>
    </row>
    <row r="5093" spans="1:18" x14ac:dyDescent="0.25">
      <c r="A5093">
        <v>2022</v>
      </c>
      <c r="B5093">
        <v>4</v>
      </c>
      <c r="C5093" s="1" t="s">
        <v>27</v>
      </c>
      <c r="D5093" s="1" t="s">
        <v>19</v>
      </c>
      <c r="E5093" s="1" t="s">
        <v>43</v>
      </c>
      <c r="F5093">
        <v>2005</v>
      </c>
      <c r="G5093">
        <v>17</v>
      </c>
      <c r="H5093" s="1" t="s">
        <v>124</v>
      </c>
      <c r="I5093">
        <v>24</v>
      </c>
      <c r="J5093">
        <v>1947</v>
      </c>
      <c r="K5093" s="1" t="s">
        <v>44</v>
      </c>
      <c r="L5093" s="1" t="s">
        <v>45</v>
      </c>
      <c r="M5093">
        <v>1.282</v>
      </c>
      <c r="N5093">
        <v>30770.2</v>
      </c>
      <c r="O5093">
        <v>30.77</v>
      </c>
      <c r="P5093" s="2">
        <v>44652</v>
      </c>
      <c r="Q5093">
        <v>1</v>
      </c>
      <c r="R5093" s="1" t="s">
        <v>125</v>
      </c>
    </row>
    <row r="5094" spans="1:18" x14ac:dyDescent="0.25">
      <c r="A5094">
        <v>2022</v>
      </c>
      <c r="B5094">
        <v>5</v>
      </c>
      <c r="C5094" s="1" t="s">
        <v>28</v>
      </c>
      <c r="D5094" s="1" t="s">
        <v>19</v>
      </c>
      <c r="E5094" s="1" t="s">
        <v>43</v>
      </c>
      <c r="F5094">
        <v>2005</v>
      </c>
      <c r="G5094">
        <v>17</v>
      </c>
      <c r="H5094" s="1" t="s">
        <v>124</v>
      </c>
      <c r="I5094">
        <v>24</v>
      </c>
      <c r="J5094">
        <v>1947</v>
      </c>
      <c r="K5094" s="1" t="s">
        <v>44</v>
      </c>
      <c r="L5094" s="1" t="s">
        <v>45</v>
      </c>
      <c r="M5094">
        <v>1.1779999999999999</v>
      </c>
      <c r="N5094">
        <v>28260</v>
      </c>
      <c r="O5094">
        <v>28.26</v>
      </c>
      <c r="P5094" s="2">
        <v>44682</v>
      </c>
      <c r="Q5094">
        <v>1</v>
      </c>
      <c r="R5094" s="1" t="s">
        <v>125</v>
      </c>
    </row>
    <row r="5095" spans="1:18" x14ac:dyDescent="0.25">
      <c r="A5095">
        <v>2022</v>
      </c>
      <c r="B5095">
        <v>6</v>
      </c>
      <c r="C5095" s="1" t="s">
        <v>29</v>
      </c>
      <c r="D5095" s="1" t="s">
        <v>19</v>
      </c>
      <c r="E5095" s="1" t="s">
        <v>43</v>
      </c>
      <c r="F5095">
        <v>2005</v>
      </c>
      <c r="G5095">
        <v>17</v>
      </c>
      <c r="H5095" s="1" t="s">
        <v>124</v>
      </c>
      <c r="I5095">
        <v>24</v>
      </c>
      <c r="J5095">
        <v>1947</v>
      </c>
      <c r="K5095" s="1" t="s">
        <v>44</v>
      </c>
      <c r="L5095" s="1" t="s">
        <v>45</v>
      </c>
      <c r="M5095">
        <v>1.298</v>
      </c>
      <c r="N5095">
        <v>31140.2</v>
      </c>
      <c r="O5095">
        <v>31.14</v>
      </c>
      <c r="P5095" s="2">
        <v>44713</v>
      </c>
      <c r="Q5095">
        <v>1</v>
      </c>
      <c r="R5095" s="1" t="s">
        <v>125</v>
      </c>
    </row>
    <row r="5096" spans="1:18" x14ac:dyDescent="0.25">
      <c r="A5096">
        <v>2022</v>
      </c>
      <c r="B5096">
        <v>7</v>
      </c>
      <c r="C5096" s="1" t="s">
        <v>30</v>
      </c>
      <c r="D5096" s="1" t="s">
        <v>19</v>
      </c>
      <c r="E5096" s="1" t="s">
        <v>43</v>
      </c>
      <c r="F5096">
        <v>2005</v>
      </c>
      <c r="G5096">
        <v>17</v>
      </c>
      <c r="H5096" s="1" t="s">
        <v>124</v>
      </c>
      <c r="I5096">
        <v>24</v>
      </c>
      <c r="J5096">
        <v>1947</v>
      </c>
      <c r="K5096" s="1" t="s">
        <v>44</v>
      </c>
      <c r="L5096" s="1" t="s">
        <v>45</v>
      </c>
      <c r="M5096">
        <v>0.754</v>
      </c>
      <c r="N5096">
        <v>18100.099999999999</v>
      </c>
      <c r="O5096">
        <v>18.100000000000001</v>
      </c>
      <c r="P5096" s="2">
        <v>44743</v>
      </c>
      <c r="Q5096">
        <v>1</v>
      </c>
      <c r="R5096" s="1" t="s">
        <v>125</v>
      </c>
    </row>
    <row r="5097" spans="1:18" x14ac:dyDescent="0.25">
      <c r="A5097">
        <v>2022</v>
      </c>
      <c r="B5097">
        <v>8</v>
      </c>
      <c r="C5097" s="1" t="s">
        <v>31</v>
      </c>
      <c r="D5097" s="1" t="s">
        <v>19</v>
      </c>
      <c r="E5097" s="1" t="s">
        <v>43</v>
      </c>
      <c r="F5097">
        <v>2005</v>
      </c>
      <c r="G5097">
        <v>17</v>
      </c>
      <c r="H5097" s="1" t="s">
        <v>124</v>
      </c>
      <c r="I5097">
        <v>24</v>
      </c>
      <c r="J5097">
        <v>1947</v>
      </c>
      <c r="K5097" s="1" t="s">
        <v>44</v>
      </c>
      <c r="L5097" s="1" t="s">
        <v>45</v>
      </c>
      <c r="M5097">
        <v>1.274</v>
      </c>
      <c r="N5097">
        <v>30572.1</v>
      </c>
      <c r="O5097">
        <v>30.571999999999999</v>
      </c>
      <c r="P5097" s="2">
        <v>44774</v>
      </c>
      <c r="Q5097">
        <v>1</v>
      </c>
      <c r="R5097" s="1" t="s">
        <v>125</v>
      </c>
    </row>
    <row r="5098" spans="1:18" x14ac:dyDescent="0.25">
      <c r="A5098">
        <v>2022</v>
      </c>
      <c r="B5098">
        <v>9</v>
      </c>
      <c r="C5098" s="1" t="s">
        <v>32</v>
      </c>
      <c r="D5098" s="1" t="s">
        <v>19</v>
      </c>
      <c r="E5098" s="1" t="s">
        <v>43</v>
      </c>
      <c r="F5098">
        <v>2005</v>
      </c>
      <c r="G5098">
        <v>17</v>
      </c>
      <c r="H5098" s="1" t="s">
        <v>124</v>
      </c>
      <c r="I5098">
        <v>24</v>
      </c>
      <c r="J5098">
        <v>1947</v>
      </c>
      <c r="K5098" s="1" t="s">
        <v>44</v>
      </c>
      <c r="L5098" s="1" t="s">
        <v>45</v>
      </c>
      <c r="M5098">
        <v>1.375</v>
      </c>
      <c r="N5098">
        <v>32989.800000000003</v>
      </c>
      <c r="O5098">
        <v>32.99</v>
      </c>
      <c r="P5098" s="2">
        <v>44805</v>
      </c>
      <c r="Q5098">
        <v>1</v>
      </c>
      <c r="R5098" s="1" t="s">
        <v>125</v>
      </c>
    </row>
    <row r="5099" spans="1:18" x14ac:dyDescent="0.25">
      <c r="A5099">
        <v>2022</v>
      </c>
      <c r="B5099">
        <v>10</v>
      </c>
      <c r="C5099" s="1" t="s">
        <v>33</v>
      </c>
      <c r="D5099" s="1" t="s">
        <v>19</v>
      </c>
      <c r="E5099" s="1" t="s">
        <v>43</v>
      </c>
      <c r="F5099">
        <v>2005</v>
      </c>
      <c r="G5099">
        <v>17</v>
      </c>
      <c r="H5099" s="1" t="s">
        <v>124</v>
      </c>
      <c r="I5099">
        <v>24</v>
      </c>
      <c r="J5099">
        <v>1947</v>
      </c>
      <c r="K5099" s="1" t="s">
        <v>44</v>
      </c>
      <c r="L5099" s="1" t="s">
        <v>45</v>
      </c>
      <c r="M5099">
        <v>1.3049999999999999</v>
      </c>
      <c r="N5099">
        <v>31325.1</v>
      </c>
      <c r="O5099">
        <v>31.324999999999999</v>
      </c>
      <c r="P5099" s="2">
        <v>44835</v>
      </c>
      <c r="Q5099">
        <v>1</v>
      </c>
      <c r="R5099" s="1" t="s">
        <v>125</v>
      </c>
    </row>
    <row r="5100" spans="1:18" x14ac:dyDescent="0.25">
      <c r="A5100">
        <v>2022</v>
      </c>
      <c r="B5100">
        <v>11</v>
      </c>
      <c r="C5100" s="1" t="s">
        <v>34</v>
      </c>
      <c r="D5100" s="1" t="s">
        <v>19</v>
      </c>
      <c r="E5100" s="1" t="s">
        <v>43</v>
      </c>
      <c r="F5100">
        <v>2005</v>
      </c>
      <c r="G5100">
        <v>17</v>
      </c>
      <c r="H5100" s="1" t="s">
        <v>124</v>
      </c>
      <c r="I5100">
        <v>24</v>
      </c>
      <c r="J5100">
        <v>1947</v>
      </c>
      <c r="K5100" s="1" t="s">
        <v>44</v>
      </c>
      <c r="L5100" s="1" t="s">
        <v>45</v>
      </c>
      <c r="M5100">
        <v>1.1679999999999999</v>
      </c>
      <c r="N5100">
        <v>28035.4</v>
      </c>
      <c r="O5100">
        <v>28.035</v>
      </c>
      <c r="P5100" s="2">
        <v>44866</v>
      </c>
      <c r="Q5100">
        <v>1</v>
      </c>
      <c r="R5100" s="1" t="s">
        <v>125</v>
      </c>
    </row>
    <row r="5101" spans="1:18" x14ac:dyDescent="0.25">
      <c r="A5101">
        <v>2022</v>
      </c>
      <c r="B5101">
        <v>12</v>
      </c>
      <c r="C5101" s="1" t="s">
        <v>35</v>
      </c>
      <c r="D5101" s="1" t="s">
        <v>19</v>
      </c>
      <c r="E5101" s="1" t="s">
        <v>43</v>
      </c>
      <c r="F5101">
        <v>2005</v>
      </c>
      <c r="G5101">
        <v>17</v>
      </c>
      <c r="H5101" s="1" t="s">
        <v>124</v>
      </c>
      <c r="I5101">
        <v>24</v>
      </c>
      <c r="J5101">
        <v>1947</v>
      </c>
      <c r="K5101" s="1" t="s">
        <v>44</v>
      </c>
      <c r="L5101" s="1" t="s">
        <v>45</v>
      </c>
      <c r="M5101">
        <v>1.1819999999999999</v>
      </c>
      <c r="N5101">
        <v>28365.7</v>
      </c>
      <c r="O5101">
        <v>28.366</v>
      </c>
      <c r="P5101" s="2">
        <v>44896</v>
      </c>
      <c r="Q5101">
        <v>1</v>
      </c>
      <c r="R5101" s="1" t="s">
        <v>125</v>
      </c>
    </row>
    <row r="5102" spans="1:18" x14ac:dyDescent="0.25">
      <c r="A5102">
        <v>2022</v>
      </c>
      <c r="B5102">
        <v>1</v>
      </c>
      <c r="C5102" s="1" t="s">
        <v>18</v>
      </c>
      <c r="D5102" s="1" t="s">
        <v>19</v>
      </c>
      <c r="E5102" s="1" t="s">
        <v>46</v>
      </c>
      <c r="F5102">
        <v>2006</v>
      </c>
      <c r="G5102">
        <v>16</v>
      </c>
      <c r="H5102" s="1" t="s">
        <v>21</v>
      </c>
      <c r="I5102">
        <v>25</v>
      </c>
      <c r="J5102">
        <v>2740</v>
      </c>
      <c r="K5102" s="1" t="s">
        <v>47</v>
      </c>
      <c r="L5102" s="1" t="s">
        <v>45</v>
      </c>
      <c r="M5102">
        <v>0.38900000000000001</v>
      </c>
      <c r="N5102">
        <v>9720.1</v>
      </c>
      <c r="O5102">
        <v>9.7200000000000006</v>
      </c>
      <c r="P5102" s="2">
        <v>44562</v>
      </c>
      <c r="Q5102">
        <v>1</v>
      </c>
      <c r="R5102" s="1" t="s">
        <v>24</v>
      </c>
    </row>
    <row r="5103" spans="1:18" x14ac:dyDescent="0.25">
      <c r="A5103">
        <v>2022</v>
      </c>
      <c r="B5103">
        <v>2</v>
      </c>
      <c r="C5103" s="1" t="s">
        <v>25</v>
      </c>
      <c r="D5103" s="1" t="s">
        <v>19</v>
      </c>
      <c r="E5103" s="1" t="s">
        <v>46</v>
      </c>
      <c r="F5103">
        <v>2006</v>
      </c>
      <c r="G5103">
        <v>16</v>
      </c>
      <c r="H5103" s="1" t="s">
        <v>21</v>
      </c>
      <c r="I5103">
        <v>25</v>
      </c>
      <c r="J5103">
        <v>2740</v>
      </c>
      <c r="K5103" s="1" t="s">
        <v>47</v>
      </c>
      <c r="L5103" s="1" t="s">
        <v>45</v>
      </c>
      <c r="M5103">
        <v>1.397</v>
      </c>
      <c r="N5103">
        <v>34935</v>
      </c>
      <c r="O5103">
        <v>34.935000000000002</v>
      </c>
      <c r="P5103" s="2">
        <v>44593</v>
      </c>
      <c r="Q5103">
        <v>1</v>
      </c>
      <c r="R5103" s="1" t="s">
        <v>24</v>
      </c>
    </row>
    <row r="5104" spans="1:18" x14ac:dyDescent="0.25">
      <c r="A5104">
        <v>2022</v>
      </c>
      <c r="B5104">
        <v>3</v>
      </c>
      <c r="C5104" s="1" t="s">
        <v>26</v>
      </c>
      <c r="D5104" s="1" t="s">
        <v>19</v>
      </c>
      <c r="E5104" s="1" t="s">
        <v>46</v>
      </c>
      <c r="F5104">
        <v>2006</v>
      </c>
      <c r="G5104">
        <v>16</v>
      </c>
      <c r="H5104" s="1" t="s">
        <v>21</v>
      </c>
      <c r="I5104">
        <v>25</v>
      </c>
      <c r="J5104">
        <v>2740</v>
      </c>
      <c r="K5104" s="1" t="s">
        <v>47</v>
      </c>
      <c r="L5104" s="1" t="s">
        <v>45</v>
      </c>
      <c r="M5104">
        <v>1.6739999999999999</v>
      </c>
      <c r="N5104">
        <v>41860.300000000003</v>
      </c>
      <c r="O5104">
        <v>41.86</v>
      </c>
      <c r="P5104" s="2">
        <v>44621</v>
      </c>
      <c r="Q5104">
        <v>1</v>
      </c>
      <c r="R5104" s="1" t="s">
        <v>24</v>
      </c>
    </row>
    <row r="5105" spans="1:18" x14ac:dyDescent="0.25">
      <c r="A5105">
        <v>2022</v>
      </c>
      <c r="B5105">
        <v>4</v>
      </c>
      <c r="C5105" s="1" t="s">
        <v>27</v>
      </c>
      <c r="D5105" s="1" t="s">
        <v>19</v>
      </c>
      <c r="E5105" s="1" t="s">
        <v>46</v>
      </c>
      <c r="F5105">
        <v>2006</v>
      </c>
      <c r="G5105">
        <v>16</v>
      </c>
      <c r="H5105" s="1" t="s">
        <v>21</v>
      </c>
      <c r="I5105">
        <v>25</v>
      </c>
      <c r="J5105">
        <v>2740</v>
      </c>
      <c r="K5105" s="1" t="s">
        <v>47</v>
      </c>
      <c r="L5105" s="1" t="s">
        <v>45</v>
      </c>
      <c r="M5105">
        <v>1.9139999999999999</v>
      </c>
      <c r="N5105">
        <v>47861</v>
      </c>
      <c r="O5105">
        <v>47.860999999999997</v>
      </c>
      <c r="P5105" s="2">
        <v>44652</v>
      </c>
      <c r="Q5105">
        <v>1</v>
      </c>
      <c r="R5105" s="1" t="s">
        <v>24</v>
      </c>
    </row>
    <row r="5106" spans="1:18" x14ac:dyDescent="0.25">
      <c r="A5106">
        <v>2022</v>
      </c>
      <c r="B5106">
        <v>5</v>
      </c>
      <c r="C5106" s="1" t="s">
        <v>28</v>
      </c>
      <c r="D5106" s="1" t="s">
        <v>19</v>
      </c>
      <c r="E5106" s="1" t="s">
        <v>46</v>
      </c>
      <c r="F5106">
        <v>2006</v>
      </c>
      <c r="G5106">
        <v>16</v>
      </c>
      <c r="H5106" s="1" t="s">
        <v>21</v>
      </c>
      <c r="I5106">
        <v>25</v>
      </c>
      <c r="J5106">
        <v>2740</v>
      </c>
      <c r="K5106" s="1" t="s">
        <v>47</v>
      </c>
      <c r="L5106" s="1" t="s">
        <v>45</v>
      </c>
      <c r="M5106">
        <v>1.758</v>
      </c>
      <c r="N5106">
        <v>43956.4</v>
      </c>
      <c r="O5106">
        <v>43.956000000000003</v>
      </c>
      <c r="P5106" s="2">
        <v>44682</v>
      </c>
      <c r="Q5106">
        <v>1</v>
      </c>
      <c r="R5106" s="1" t="s">
        <v>24</v>
      </c>
    </row>
    <row r="5107" spans="1:18" x14ac:dyDescent="0.25">
      <c r="A5107">
        <v>2022</v>
      </c>
      <c r="B5107">
        <v>6</v>
      </c>
      <c r="C5107" s="1" t="s">
        <v>29</v>
      </c>
      <c r="D5107" s="1" t="s">
        <v>19</v>
      </c>
      <c r="E5107" s="1" t="s">
        <v>46</v>
      </c>
      <c r="F5107">
        <v>2006</v>
      </c>
      <c r="G5107">
        <v>16</v>
      </c>
      <c r="H5107" s="1" t="s">
        <v>21</v>
      </c>
      <c r="I5107">
        <v>25</v>
      </c>
      <c r="J5107">
        <v>2740</v>
      </c>
      <c r="K5107" s="1" t="s">
        <v>47</v>
      </c>
      <c r="L5107" s="1" t="s">
        <v>45</v>
      </c>
      <c r="M5107">
        <v>1.9370000000000001</v>
      </c>
      <c r="N5107">
        <v>48436.3</v>
      </c>
      <c r="O5107">
        <v>48.436</v>
      </c>
      <c r="P5107" s="2">
        <v>44713</v>
      </c>
      <c r="Q5107">
        <v>1</v>
      </c>
      <c r="R5107" s="1" t="s">
        <v>24</v>
      </c>
    </row>
    <row r="5108" spans="1:18" x14ac:dyDescent="0.25">
      <c r="A5108">
        <v>2022</v>
      </c>
      <c r="B5108">
        <v>7</v>
      </c>
      <c r="C5108" s="1" t="s">
        <v>30</v>
      </c>
      <c r="D5108" s="1" t="s">
        <v>19</v>
      </c>
      <c r="E5108" s="1" t="s">
        <v>46</v>
      </c>
      <c r="F5108">
        <v>2006</v>
      </c>
      <c r="G5108">
        <v>16</v>
      </c>
      <c r="H5108" s="1" t="s">
        <v>21</v>
      </c>
      <c r="I5108">
        <v>25</v>
      </c>
      <c r="J5108">
        <v>2740</v>
      </c>
      <c r="K5108" s="1" t="s">
        <v>47</v>
      </c>
      <c r="L5108" s="1" t="s">
        <v>45</v>
      </c>
      <c r="M5108">
        <v>1.1259999999999999</v>
      </c>
      <c r="N5108">
        <v>28153.5</v>
      </c>
      <c r="O5108">
        <v>28.152999999999999</v>
      </c>
      <c r="P5108" s="2">
        <v>44743</v>
      </c>
      <c r="Q5108">
        <v>1</v>
      </c>
      <c r="R5108" s="1" t="s">
        <v>24</v>
      </c>
    </row>
    <row r="5109" spans="1:18" x14ac:dyDescent="0.25">
      <c r="A5109">
        <v>2022</v>
      </c>
      <c r="B5109">
        <v>8</v>
      </c>
      <c r="C5109" s="1" t="s">
        <v>31</v>
      </c>
      <c r="D5109" s="1" t="s">
        <v>19</v>
      </c>
      <c r="E5109" s="1" t="s">
        <v>46</v>
      </c>
      <c r="F5109">
        <v>2006</v>
      </c>
      <c r="G5109">
        <v>16</v>
      </c>
      <c r="H5109" s="1" t="s">
        <v>21</v>
      </c>
      <c r="I5109">
        <v>25</v>
      </c>
      <c r="J5109">
        <v>2740</v>
      </c>
      <c r="K5109" s="1" t="s">
        <v>47</v>
      </c>
      <c r="L5109" s="1" t="s">
        <v>45</v>
      </c>
      <c r="M5109">
        <v>1.9019999999999999</v>
      </c>
      <c r="N5109">
        <v>47552.7</v>
      </c>
      <c r="O5109">
        <v>47.552999999999997</v>
      </c>
      <c r="P5109" s="2">
        <v>44774</v>
      </c>
      <c r="Q5109">
        <v>1</v>
      </c>
      <c r="R5109" s="1" t="s">
        <v>24</v>
      </c>
    </row>
    <row r="5110" spans="1:18" x14ac:dyDescent="0.25">
      <c r="A5110">
        <v>2022</v>
      </c>
      <c r="B5110">
        <v>9</v>
      </c>
      <c r="C5110" s="1" t="s">
        <v>32</v>
      </c>
      <c r="D5110" s="1" t="s">
        <v>19</v>
      </c>
      <c r="E5110" s="1" t="s">
        <v>46</v>
      </c>
      <c r="F5110">
        <v>2006</v>
      </c>
      <c r="G5110">
        <v>16</v>
      </c>
      <c r="H5110" s="1" t="s">
        <v>21</v>
      </c>
      <c r="I5110">
        <v>25</v>
      </c>
      <c r="J5110">
        <v>2740</v>
      </c>
      <c r="K5110" s="1" t="s">
        <v>47</v>
      </c>
      <c r="L5110" s="1" t="s">
        <v>45</v>
      </c>
      <c r="M5110">
        <v>2.0529999999999999</v>
      </c>
      <c r="N5110">
        <v>51313.3</v>
      </c>
      <c r="O5110">
        <v>51.313000000000002</v>
      </c>
      <c r="P5110" s="2">
        <v>44805</v>
      </c>
      <c r="Q5110">
        <v>1</v>
      </c>
      <c r="R5110" s="1" t="s">
        <v>24</v>
      </c>
    </row>
    <row r="5111" spans="1:18" x14ac:dyDescent="0.25">
      <c r="A5111">
        <v>2022</v>
      </c>
      <c r="B5111">
        <v>10</v>
      </c>
      <c r="C5111" s="1" t="s">
        <v>33</v>
      </c>
      <c r="D5111" s="1" t="s">
        <v>19</v>
      </c>
      <c r="E5111" s="1" t="s">
        <v>46</v>
      </c>
      <c r="F5111">
        <v>2006</v>
      </c>
      <c r="G5111">
        <v>16</v>
      </c>
      <c r="H5111" s="1" t="s">
        <v>21</v>
      </c>
      <c r="I5111">
        <v>25</v>
      </c>
      <c r="J5111">
        <v>2740</v>
      </c>
      <c r="K5111" s="1" t="s">
        <v>47</v>
      </c>
      <c r="L5111" s="1" t="s">
        <v>45</v>
      </c>
      <c r="M5111">
        <v>1.9490000000000001</v>
      </c>
      <c r="N5111">
        <v>48724</v>
      </c>
      <c r="O5111">
        <v>48.723999999999997</v>
      </c>
      <c r="P5111" s="2">
        <v>44835</v>
      </c>
      <c r="Q5111">
        <v>1</v>
      </c>
      <c r="R5111" s="1" t="s">
        <v>24</v>
      </c>
    </row>
    <row r="5112" spans="1:18" x14ac:dyDescent="0.25">
      <c r="A5112">
        <v>2022</v>
      </c>
      <c r="B5112">
        <v>11</v>
      </c>
      <c r="C5112" s="1" t="s">
        <v>34</v>
      </c>
      <c r="D5112" s="1" t="s">
        <v>19</v>
      </c>
      <c r="E5112" s="1" t="s">
        <v>46</v>
      </c>
      <c r="F5112">
        <v>2006</v>
      </c>
      <c r="G5112">
        <v>16</v>
      </c>
      <c r="H5112" s="1" t="s">
        <v>21</v>
      </c>
      <c r="I5112">
        <v>25</v>
      </c>
      <c r="J5112">
        <v>2740</v>
      </c>
      <c r="K5112" s="1" t="s">
        <v>47</v>
      </c>
      <c r="L5112" s="1" t="s">
        <v>45</v>
      </c>
      <c r="M5112">
        <v>1.744</v>
      </c>
      <c r="N5112">
        <v>43607.1</v>
      </c>
      <c r="O5112">
        <v>43.606999999999999</v>
      </c>
      <c r="P5112" s="2">
        <v>44866</v>
      </c>
      <c r="Q5112">
        <v>1</v>
      </c>
      <c r="R5112" s="1" t="s">
        <v>24</v>
      </c>
    </row>
    <row r="5113" spans="1:18" x14ac:dyDescent="0.25">
      <c r="A5113">
        <v>2022</v>
      </c>
      <c r="B5113">
        <v>12</v>
      </c>
      <c r="C5113" s="1" t="s">
        <v>35</v>
      </c>
      <c r="D5113" s="1" t="s">
        <v>19</v>
      </c>
      <c r="E5113" s="1" t="s">
        <v>46</v>
      </c>
      <c r="F5113">
        <v>2006</v>
      </c>
      <c r="G5113">
        <v>16</v>
      </c>
      <c r="H5113" s="1" t="s">
        <v>21</v>
      </c>
      <c r="I5113">
        <v>25</v>
      </c>
      <c r="J5113">
        <v>2740</v>
      </c>
      <c r="K5113" s="1" t="s">
        <v>47</v>
      </c>
      <c r="L5113" s="1" t="s">
        <v>45</v>
      </c>
      <c r="M5113">
        <v>1.7649999999999999</v>
      </c>
      <c r="N5113">
        <v>44120.800000000003</v>
      </c>
      <c r="O5113">
        <v>44.121000000000002</v>
      </c>
      <c r="P5113" s="2">
        <v>44896</v>
      </c>
      <c r="Q5113">
        <v>1</v>
      </c>
      <c r="R5113" s="1" t="s">
        <v>24</v>
      </c>
    </row>
    <row r="5114" spans="1:18" x14ac:dyDescent="0.25">
      <c r="A5114">
        <v>2022</v>
      </c>
      <c r="B5114">
        <v>1</v>
      </c>
      <c r="C5114" s="1" t="s">
        <v>18</v>
      </c>
      <c r="D5114" s="1" t="s">
        <v>19</v>
      </c>
      <c r="E5114" s="1" t="s">
        <v>48</v>
      </c>
      <c r="F5114">
        <v>2006</v>
      </c>
      <c r="G5114">
        <v>16</v>
      </c>
      <c r="H5114" s="1" t="s">
        <v>21</v>
      </c>
      <c r="I5114">
        <v>24</v>
      </c>
      <c r="J5114">
        <v>3230</v>
      </c>
      <c r="K5114" s="1" t="s">
        <v>49</v>
      </c>
      <c r="L5114" s="1" t="s">
        <v>45</v>
      </c>
      <c r="M5114">
        <v>0.47699999999999998</v>
      </c>
      <c r="N5114">
        <v>11458.4</v>
      </c>
      <c r="O5114">
        <v>11.458</v>
      </c>
      <c r="P5114" s="2">
        <v>44562</v>
      </c>
      <c r="Q5114">
        <v>1</v>
      </c>
      <c r="R5114" s="1" t="s">
        <v>24</v>
      </c>
    </row>
    <row r="5115" spans="1:18" x14ac:dyDescent="0.25">
      <c r="A5115">
        <v>2022</v>
      </c>
      <c r="B5115">
        <v>2</v>
      </c>
      <c r="C5115" s="1" t="s">
        <v>25</v>
      </c>
      <c r="D5115" s="1" t="s">
        <v>19</v>
      </c>
      <c r="E5115" s="1" t="s">
        <v>48</v>
      </c>
      <c r="F5115">
        <v>2006</v>
      </c>
      <c r="G5115">
        <v>16</v>
      </c>
      <c r="H5115" s="1" t="s">
        <v>21</v>
      </c>
      <c r="I5115">
        <v>24</v>
      </c>
      <c r="J5115">
        <v>3230</v>
      </c>
      <c r="K5115" s="1" t="s">
        <v>49</v>
      </c>
      <c r="L5115" s="1" t="s">
        <v>45</v>
      </c>
      <c r="M5115">
        <v>1.716</v>
      </c>
      <c r="N5115">
        <v>41182.5</v>
      </c>
      <c r="O5115">
        <v>41.183</v>
      </c>
      <c r="P5115" s="2">
        <v>44593</v>
      </c>
      <c r="Q5115">
        <v>1</v>
      </c>
      <c r="R5115" s="1" t="s">
        <v>24</v>
      </c>
    </row>
    <row r="5116" spans="1:18" x14ac:dyDescent="0.25">
      <c r="A5116">
        <v>2022</v>
      </c>
      <c r="B5116">
        <v>3</v>
      </c>
      <c r="C5116" s="1" t="s">
        <v>26</v>
      </c>
      <c r="D5116" s="1" t="s">
        <v>19</v>
      </c>
      <c r="E5116" s="1" t="s">
        <v>48</v>
      </c>
      <c r="F5116">
        <v>2006</v>
      </c>
      <c r="G5116">
        <v>16</v>
      </c>
      <c r="H5116" s="1" t="s">
        <v>21</v>
      </c>
      <c r="I5116">
        <v>24</v>
      </c>
      <c r="J5116">
        <v>3230</v>
      </c>
      <c r="K5116" s="1" t="s">
        <v>49</v>
      </c>
      <c r="L5116" s="1" t="s">
        <v>45</v>
      </c>
      <c r="M5116">
        <v>2.056</v>
      </c>
      <c r="N5116">
        <v>49346.3</v>
      </c>
      <c r="O5116">
        <v>49.345999999999997</v>
      </c>
      <c r="P5116" s="2">
        <v>44621</v>
      </c>
      <c r="Q5116">
        <v>1</v>
      </c>
      <c r="R5116" s="1" t="s">
        <v>24</v>
      </c>
    </row>
    <row r="5117" spans="1:18" x14ac:dyDescent="0.25">
      <c r="A5117">
        <v>2022</v>
      </c>
      <c r="B5117">
        <v>4</v>
      </c>
      <c r="C5117" s="1" t="s">
        <v>27</v>
      </c>
      <c r="D5117" s="1" t="s">
        <v>19</v>
      </c>
      <c r="E5117" s="1" t="s">
        <v>48</v>
      </c>
      <c r="F5117">
        <v>2006</v>
      </c>
      <c r="G5117">
        <v>16</v>
      </c>
      <c r="H5117" s="1" t="s">
        <v>21</v>
      </c>
      <c r="I5117">
        <v>24</v>
      </c>
      <c r="J5117">
        <v>3230</v>
      </c>
      <c r="K5117" s="1" t="s">
        <v>49</v>
      </c>
      <c r="L5117" s="1" t="s">
        <v>45</v>
      </c>
      <c r="M5117">
        <v>2.351</v>
      </c>
      <c r="N5117">
        <v>56420</v>
      </c>
      <c r="O5117">
        <v>56.42</v>
      </c>
      <c r="P5117" s="2">
        <v>44652</v>
      </c>
      <c r="Q5117">
        <v>1</v>
      </c>
      <c r="R5117" s="1" t="s">
        <v>24</v>
      </c>
    </row>
    <row r="5118" spans="1:18" x14ac:dyDescent="0.25">
      <c r="A5118">
        <v>2022</v>
      </c>
      <c r="B5118">
        <v>5</v>
      </c>
      <c r="C5118" s="1" t="s">
        <v>28</v>
      </c>
      <c r="D5118" s="1" t="s">
        <v>19</v>
      </c>
      <c r="E5118" s="1" t="s">
        <v>48</v>
      </c>
      <c r="F5118">
        <v>2006</v>
      </c>
      <c r="G5118">
        <v>16</v>
      </c>
      <c r="H5118" s="1" t="s">
        <v>21</v>
      </c>
      <c r="I5118">
        <v>24</v>
      </c>
      <c r="J5118">
        <v>3230</v>
      </c>
      <c r="K5118" s="1" t="s">
        <v>49</v>
      </c>
      <c r="L5118" s="1" t="s">
        <v>45</v>
      </c>
      <c r="M5118">
        <v>2.1589999999999998</v>
      </c>
      <c r="N5118">
        <v>51817.3</v>
      </c>
      <c r="O5118">
        <v>51.817</v>
      </c>
      <c r="P5118" s="2">
        <v>44682</v>
      </c>
      <c r="Q5118">
        <v>1</v>
      </c>
      <c r="R5118" s="1" t="s">
        <v>24</v>
      </c>
    </row>
    <row r="5119" spans="1:18" x14ac:dyDescent="0.25">
      <c r="A5119">
        <v>2022</v>
      </c>
      <c r="B5119">
        <v>6</v>
      </c>
      <c r="C5119" s="1" t="s">
        <v>29</v>
      </c>
      <c r="D5119" s="1" t="s">
        <v>19</v>
      </c>
      <c r="E5119" s="1" t="s">
        <v>48</v>
      </c>
      <c r="F5119">
        <v>2006</v>
      </c>
      <c r="G5119">
        <v>16</v>
      </c>
      <c r="H5119" s="1" t="s">
        <v>21</v>
      </c>
      <c r="I5119">
        <v>24</v>
      </c>
      <c r="J5119">
        <v>3230</v>
      </c>
      <c r="K5119" s="1" t="s">
        <v>49</v>
      </c>
      <c r="L5119" s="1" t="s">
        <v>45</v>
      </c>
      <c r="M5119">
        <v>2.379</v>
      </c>
      <c r="N5119">
        <v>57098.3</v>
      </c>
      <c r="O5119">
        <v>57.097999999999999</v>
      </c>
      <c r="P5119" s="2">
        <v>44713</v>
      </c>
      <c r="Q5119">
        <v>1</v>
      </c>
      <c r="R5119" s="1" t="s">
        <v>24</v>
      </c>
    </row>
    <row r="5120" spans="1:18" x14ac:dyDescent="0.25">
      <c r="A5120">
        <v>2022</v>
      </c>
      <c r="B5120">
        <v>7</v>
      </c>
      <c r="C5120" s="1" t="s">
        <v>30</v>
      </c>
      <c r="D5120" s="1" t="s">
        <v>19</v>
      </c>
      <c r="E5120" s="1" t="s">
        <v>48</v>
      </c>
      <c r="F5120">
        <v>2006</v>
      </c>
      <c r="G5120">
        <v>16</v>
      </c>
      <c r="H5120" s="1" t="s">
        <v>21</v>
      </c>
      <c r="I5120">
        <v>24</v>
      </c>
      <c r="J5120">
        <v>3230</v>
      </c>
      <c r="K5120" s="1" t="s">
        <v>49</v>
      </c>
      <c r="L5120" s="1" t="s">
        <v>45</v>
      </c>
      <c r="M5120">
        <v>1.383</v>
      </c>
      <c r="N5120">
        <v>33188.300000000003</v>
      </c>
      <c r="O5120">
        <v>33.188000000000002</v>
      </c>
      <c r="P5120" s="2">
        <v>44743</v>
      </c>
      <c r="Q5120">
        <v>1</v>
      </c>
      <c r="R5120" s="1" t="s">
        <v>24</v>
      </c>
    </row>
    <row r="5121" spans="1:18" x14ac:dyDescent="0.25">
      <c r="A5121">
        <v>2022</v>
      </c>
      <c r="B5121">
        <v>8</v>
      </c>
      <c r="C5121" s="1" t="s">
        <v>31</v>
      </c>
      <c r="D5121" s="1" t="s">
        <v>19</v>
      </c>
      <c r="E5121" s="1" t="s">
        <v>48</v>
      </c>
      <c r="F5121">
        <v>2006</v>
      </c>
      <c r="G5121">
        <v>16</v>
      </c>
      <c r="H5121" s="1" t="s">
        <v>21</v>
      </c>
      <c r="I5121">
        <v>24</v>
      </c>
      <c r="J5121">
        <v>3230</v>
      </c>
      <c r="K5121" s="1" t="s">
        <v>49</v>
      </c>
      <c r="L5121" s="1" t="s">
        <v>45</v>
      </c>
      <c r="M5121">
        <v>2.3359999999999999</v>
      </c>
      <c r="N5121">
        <v>56056.7</v>
      </c>
      <c r="O5121">
        <v>56.057000000000002</v>
      </c>
      <c r="P5121" s="2">
        <v>44774</v>
      </c>
      <c r="Q5121">
        <v>1</v>
      </c>
      <c r="R5121" s="1" t="s">
        <v>24</v>
      </c>
    </row>
    <row r="5122" spans="1:18" x14ac:dyDescent="0.25">
      <c r="A5122">
        <v>2022</v>
      </c>
      <c r="B5122">
        <v>9</v>
      </c>
      <c r="C5122" s="1" t="s">
        <v>32</v>
      </c>
      <c r="D5122" s="1" t="s">
        <v>19</v>
      </c>
      <c r="E5122" s="1" t="s">
        <v>48</v>
      </c>
      <c r="F5122">
        <v>2006</v>
      </c>
      <c r="G5122">
        <v>16</v>
      </c>
      <c r="H5122" s="1" t="s">
        <v>21</v>
      </c>
      <c r="I5122">
        <v>24</v>
      </c>
      <c r="J5122">
        <v>3230</v>
      </c>
      <c r="K5122" s="1" t="s">
        <v>49</v>
      </c>
      <c r="L5122" s="1" t="s">
        <v>45</v>
      </c>
      <c r="M5122">
        <v>2.52</v>
      </c>
      <c r="N5122">
        <v>60489.8</v>
      </c>
      <c r="O5122">
        <v>60.49</v>
      </c>
      <c r="P5122" s="2">
        <v>44805</v>
      </c>
      <c r="Q5122">
        <v>1</v>
      </c>
      <c r="R5122" s="1" t="s">
        <v>24</v>
      </c>
    </row>
    <row r="5123" spans="1:18" x14ac:dyDescent="0.25">
      <c r="A5123">
        <v>2022</v>
      </c>
      <c r="B5123">
        <v>10</v>
      </c>
      <c r="C5123" s="1" t="s">
        <v>33</v>
      </c>
      <c r="D5123" s="1" t="s">
        <v>19</v>
      </c>
      <c r="E5123" s="1" t="s">
        <v>48</v>
      </c>
      <c r="F5123">
        <v>2006</v>
      </c>
      <c r="G5123">
        <v>16</v>
      </c>
      <c r="H5123" s="1" t="s">
        <v>21</v>
      </c>
      <c r="I5123">
        <v>24</v>
      </c>
      <c r="J5123">
        <v>3230</v>
      </c>
      <c r="K5123" s="1" t="s">
        <v>49</v>
      </c>
      <c r="L5123" s="1" t="s">
        <v>45</v>
      </c>
      <c r="M5123">
        <v>2.3929999999999998</v>
      </c>
      <c r="N5123">
        <v>57437.5</v>
      </c>
      <c r="O5123">
        <v>57.436999999999998</v>
      </c>
      <c r="P5123" s="2">
        <v>44835</v>
      </c>
      <c r="Q5123">
        <v>1</v>
      </c>
      <c r="R5123" s="1" t="s">
        <v>24</v>
      </c>
    </row>
    <row r="5124" spans="1:18" x14ac:dyDescent="0.25">
      <c r="A5124">
        <v>2022</v>
      </c>
      <c r="B5124">
        <v>11</v>
      </c>
      <c r="C5124" s="1" t="s">
        <v>34</v>
      </c>
      <c r="D5124" s="1" t="s">
        <v>19</v>
      </c>
      <c r="E5124" s="1" t="s">
        <v>48</v>
      </c>
      <c r="F5124">
        <v>2006</v>
      </c>
      <c r="G5124">
        <v>16</v>
      </c>
      <c r="H5124" s="1" t="s">
        <v>21</v>
      </c>
      <c r="I5124">
        <v>24</v>
      </c>
      <c r="J5124">
        <v>3230</v>
      </c>
      <c r="K5124" s="1" t="s">
        <v>49</v>
      </c>
      <c r="L5124" s="1" t="s">
        <v>45</v>
      </c>
      <c r="M5124">
        <v>2.1419999999999999</v>
      </c>
      <c r="N5124">
        <v>51405.5</v>
      </c>
      <c r="O5124">
        <v>51.405000000000001</v>
      </c>
      <c r="P5124" s="2">
        <v>44866</v>
      </c>
      <c r="Q5124">
        <v>1</v>
      </c>
      <c r="R5124" s="1" t="s">
        <v>24</v>
      </c>
    </row>
    <row r="5125" spans="1:18" x14ac:dyDescent="0.25">
      <c r="A5125">
        <v>2022</v>
      </c>
      <c r="B5125">
        <v>12</v>
      </c>
      <c r="C5125" s="1" t="s">
        <v>35</v>
      </c>
      <c r="D5125" s="1" t="s">
        <v>19</v>
      </c>
      <c r="E5125" s="1" t="s">
        <v>48</v>
      </c>
      <c r="F5125">
        <v>2006</v>
      </c>
      <c r="G5125">
        <v>16</v>
      </c>
      <c r="H5125" s="1" t="s">
        <v>21</v>
      </c>
      <c r="I5125">
        <v>24</v>
      </c>
      <c r="J5125">
        <v>3230</v>
      </c>
      <c r="K5125" s="1" t="s">
        <v>49</v>
      </c>
      <c r="L5125" s="1" t="s">
        <v>45</v>
      </c>
      <c r="M5125">
        <v>2.1669999999999998</v>
      </c>
      <c r="N5125">
        <v>52011.1</v>
      </c>
      <c r="O5125">
        <v>52.011000000000003</v>
      </c>
      <c r="P5125" s="2">
        <v>44896</v>
      </c>
      <c r="Q5125">
        <v>1</v>
      </c>
      <c r="R5125" s="1" t="s">
        <v>24</v>
      </c>
    </row>
    <row r="5126" spans="1:18" x14ac:dyDescent="0.25">
      <c r="A5126">
        <v>2022</v>
      </c>
      <c r="B5126">
        <v>1</v>
      </c>
      <c r="C5126" s="1" t="s">
        <v>18</v>
      </c>
      <c r="D5126" s="1" t="s">
        <v>19</v>
      </c>
      <c r="E5126" s="1" t="s">
        <v>50</v>
      </c>
      <c r="F5126">
        <v>2006</v>
      </c>
      <c r="G5126">
        <v>16</v>
      </c>
      <c r="H5126" s="1" t="s">
        <v>21</v>
      </c>
      <c r="I5126">
        <v>22</v>
      </c>
      <c r="J5126">
        <v>2447</v>
      </c>
      <c r="K5126" s="1" t="s">
        <v>51</v>
      </c>
      <c r="L5126" s="1" t="s">
        <v>45</v>
      </c>
      <c r="M5126">
        <v>0.39500000000000002</v>
      </c>
      <c r="N5126">
        <v>8680.7000000000007</v>
      </c>
      <c r="O5126">
        <v>8.6809999999999992</v>
      </c>
      <c r="P5126" s="2">
        <v>44562</v>
      </c>
      <c r="Q5126">
        <v>1</v>
      </c>
      <c r="R5126" s="1" t="s">
        <v>24</v>
      </c>
    </row>
    <row r="5127" spans="1:18" x14ac:dyDescent="0.25">
      <c r="A5127">
        <v>2022</v>
      </c>
      <c r="B5127">
        <v>2</v>
      </c>
      <c r="C5127" s="1" t="s">
        <v>25</v>
      </c>
      <c r="D5127" s="1" t="s">
        <v>19</v>
      </c>
      <c r="E5127" s="1" t="s">
        <v>50</v>
      </c>
      <c r="F5127">
        <v>2006</v>
      </c>
      <c r="G5127">
        <v>16</v>
      </c>
      <c r="H5127" s="1" t="s">
        <v>21</v>
      </c>
      <c r="I5127">
        <v>22</v>
      </c>
      <c r="J5127">
        <v>2447</v>
      </c>
      <c r="K5127" s="1" t="s">
        <v>51</v>
      </c>
      <c r="L5127" s="1" t="s">
        <v>45</v>
      </c>
      <c r="M5127">
        <v>1.4179999999999999</v>
      </c>
      <c r="N5127">
        <v>31199.200000000001</v>
      </c>
      <c r="O5127">
        <v>31.199000000000002</v>
      </c>
      <c r="P5127" s="2">
        <v>44593</v>
      </c>
      <c r="Q5127">
        <v>1</v>
      </c>
      <c r="R5127" s="1" t="s">
        <v>24</v>
      </c>
    </row>
    <row r="5128" spans="1:18" x14ac:dyDescent="0.25">
      <c r="A5128">
        <v>2022</v>
      </c>
      <c r="B5128">
        <v>3</v>
      </c>
      <c r="C5128" s="1" t="s">
        <v>26</v>
      </c>
      <c r="D5128" s="1" t="s">
        <v>19</v>
      </c>
      <c r="E5128" s="1" t="s">
        <v>50</v>
      </c>
      <c r="F5128">
        <v>2006</v>
      </c>
      <c r="G5128">
        <v>16</v>
      </c>
      <c r="H5128" s="1" t="s">
        <v>21</v>
      </c>
      <c r="I5128">
        <v>22</v>
      </c>
      <c r="J5128">
        <v>2447</v>
      </c>
      <c r="K5128" s="1" t="s">
        <v>51</v>
      </c>
      <c r="L5128" s="1" t="s">
        <v>45</v>
      </c>
      <c r="M5128">
        <v>1.6990000000000001</v>
      </c>
      <c r="N5128">
        <v>37384</v>
      </c>
      <c r="O5128">
        <v>37.384</v>
      </c>
      <c r="P5128" s="2">
        <v>44621</v>
      </c>
      <c r="Q5128">
        <v>1</v>
      </c>
      <c r="R5128" s="1" t="s">
        <v>24</v>
      </c>
    </row>
    <row r="5129" spans="1:18" x14ac:dyDescent="0.25">
      <c r="A5129">
        <v>2022</v>
      </c>
      <c r="B5129">
        <v>4</v>
      </c>
      <c r="C5129" s="1" t="s">
        <v>27</v>
      </c>
      <c r="D5129" s="1" t="s">
        <v>19</v>
      </c>
      <c r="E5129" s="1" t="s">
        <v>50</v>
      </c>
      <c r="F5129">
        <v>2006</v>
      </c>
      <c r="G5129">
        <v>16</v>
      </c>
      <c r="H5129" s="1" t="s">
        <v>21</v>
      </c>
      <c r="I5129">
        <v>22</v>
      </c>
      <c r="J5129">
        <v>2447</v>
      </c>
      <c r="K5129" s="1" t="s">
        <v>51</v>
      </c>
      <c r="L5129" s="1" t="s">
        <v>45</v>
      </c>
      <c r="M5129">
        <v>1.9430000000000001</v>
      </c>
      <c r="N5129">
        <v>42743</v>
      </c>
      <c r="O5129">
        <v>42.743000000000002</v>
      </c>
      <c r="P5129" s="2">
        <v>44652</v>
      </c>
      <c r="Q5129">
        <v>1</v>
      </c>
      <c r="R5129" s="1" t="s">
        <v>24</v>
      </c>
    </row>
    <row r="5130" spans="1:18" x14ac:dyDescent="0.25">
      <c r="A5130">
        <v>2022</v>
      </c>
      <c r="B5130">
        <v>5</v>
      </c>
      <c r="C5130" s="1" t="s">
        <v>28</v>
      </c>
      <c r="D5130" s="1" t="s">
        <v>19</v>
      </c>
      <c r="E5130" s="1" t="s">
        <v>50</v>
      </c>
      <c r="F5130">
        <v>2006</v>
      </c>
      <c r="G5130">
        <v>16</v>
      </c>
      <c r="H5130" s="1" t="s">
        <v>21</v>
      </c>
      <c r="I5130">
        <v>22</v>
      </c>
      <c r="J5130">
        <v>2447</v>
      </c>
      <c r="K5130" s="1" t="s">
        <v>51</v>
      </c>
      <c r="L5130" s="1" t="s">
        <v>45</v>
      </c>
      <c r="M5130">
        <v>1.784</v>
      </c>
      <c r="N5130">
        <v>39256</v>
      </c>
      <c r="O5130">
        <v>39.256</v>
      </c>
      <c r="P5130" s="2">
        <v>44682</v>
      </c>
      <c r="Q5130">
        <v>1</v>
      </c>
      <c r="R5130" s="1" t="s">
        <v>24</v>
      </c>
    </row>
    <row r="5131" spans="1:18" x14ac:dyDescent="0.25">
      <c r="A5131">
        <v>2022</v>
      </c>
      <c r="B5131">
        <v>6</v>
      </c>
      <c r="C5131" s="1" t="s">
        <v>29</v>
      </c>
      <c r="D5131" s="1" t="s">
        <v>19</v>
      </c>
      <c r="E5131" s="1" t="s">
        <v>50</v>
      </c>
      <c r="F5131">
        <v>2006</v>
      </c>
      <c r="G5131">
        <v>16</v>
      </c>
      <c r="H5131" s="1" t="s">
        <v>21</v>
      </c>
      <c r="I5131">
        <v>22</v>
      </c>
      <c r="J5131">
        <v>2447</v>
      </c>
      <c r="K5131" s="1" t="s">
        <v>51</v>
      </c>
      <c r="L5131" s="1" t="s">
        <v>45</v>
      </c>
      <c r="M5131">
        <v>1.966</v>
      </c>
      <c r="N5131">
        <v>43256.800000000003</v>
      </c>
      <c r="O5131">
        <v>43.256999999999998</v>
      </c>
      <c r="P5131" s="2">
        <v>44713</v>
      </c>
      <c r="Q5131">
        <v>1</v>
      </c>
      <c r="R5131" s="1" t="s">
        <v>24</v>
      </c>
    </row>
    <row r="5132" spans="1:18" x14ac:dyDescent="0.25">
      <c r="A5132">
        <v>2022</v>
      </c>
      <c r="B5132">
        <v>7</v>
      </c>
      <c r="C5132" s="1" t="s">
        <v>30</v>
      </c>
      <c r="D5132" s="1" t="s">
        <v>19</v>
      </c>
      <c r="E5132" s="1" t="s">
        <v>50</v>
      </c>
      <c r="F5132">
        <v>2006</v>
      </c>
      <c r="G5132">
        <v>16</v>
      </c>
      <c r="H5132" s="1" t="s">
        <v>21</v>
      </c>
      <c r="I5132">
        <v>22</v>
      </c>
      <c r="J5132">
        <v>2447</v>
      </c>
      <c r="K5132" s="1" t="s">
        <v>51</v>
      </c>
      <c r="L5132" s="1" t="s">
        <v>45</v>
      </c>
      <c r="M5132">
        <v>1.143</v>
      </c>
      <c r="N5132">
        <v>25142.9</v>
      </c>
      <c r="O5132">
        <v>25.143000000000001</v>
      </c>
      <c r="P5132" s="2">
        <v>44743</v>
      </c>
      <c r="Q5132">
        <v>1</v>
      </c>
      <c r="R5132" s="1" t="s">
        <v>24</v>
      </c>
    </row>
    <row r="5133" spans="1:18" x14ac:dyDescent="0.25">
      <c r="A5133">
        <v>2022</v>
      </c>
      <c r="B5133">
        <v>8</v>
      </c>
      <c r="C5133" s="1" t="s">
        <v>31</v>
      </c>
      <c r="D5133" s="1" t="s">
        <v>19</v>
      </c>
      <c r="E5133" s="1" t="s">
        <v>50</v>
      </c>
      <c r="F5133">
        <v>2006</v>
      </c>
      <c r="G5133">
        <v>16</v>
      </c>
      <c r="H5133" s="1" t="s">
        <v>21</v>
      </c>
      <c r="I5133">
        <v>22</v>
      </c>
      <c r="J5133">
        <v>2447</v>
      </c>
      <c r="K5133" s="1" t="s">
        <v>51</v>
      </c>
      <c r="L5133" s="1" t="s">
        <v>45</v>
      </c>
      <c r="M5133">
        <v>1.93</v>
      </c>
      <c r="N5133">
        <v>42467.7</v>
      </c>
      <c r="O5133">
        <v>42.468000000000004</v>
      </c>
      <c r="P5133" s="2">
        <v>44774</v>
      </c>
      <c r="Q5133">
        <v>1</v>
      </c>
      <c r="R5133" s="1" t="s">
        <v>24</v>
      </c>
    </row>
    <row r="5134" spans="1:18" x14ac:dyDescent="0.25">
      <c r="A5134">
        <v>2022</v>
      </c>
      <c r="B5134">
        <v>9</v>
      </c>
      <c r="C5134" s="1" t="s">
        <v>32</v>
      </c>
      <c r="D5134" s="1" t="s">
        <v>19</v>
      </c>
      <c r="E5134" s="1" t="s">
        <v>50</v>
      </c>
      <c r="F5134">
        <v>2006</v>
      </c>
      <c r="G5134">
        <v>16</v>
      </c>
      <c r="H5134" s="1" t="s">
        <v>21</v>
      </c>
      <c r="I5134">
        <v>22</v>
      </c>
      <c r="J5134">
        <v>2447</v>
      </c>
      <c r="K5134" s="1" t="s">
        <v>51</v>
      </c>
      <c r="L5134" s="1" t="s">
        <v>45</v>
      </c>
      <c r="M5134">
        <v>2.0830000000000002</v>
      </c>
      <c r="N5134">
        <v>45826.2</v>
      </c>
      <c r="O5134">
        <v>45.826000000000001</v>
      </c>
      <c r="P5134" s="2">
        <v>44805</v>
      </c>
      <c r="Q5134">
        <v>1</v>
      </c>
      <c r="R5134" s="1" t="s">
        <v>24</v>
      </c>
    </row>
    <row r="5135" spans="1:18" x14ac:dyDescent="0.25">
      <c r="A5135">
        <v>2022</v>
      </c>
      <c r="B5135">
        <v>10</v>
      </c>
      <c r="C5135" s="1" t="s">
        <v>33</v>
      </c>
      <c r="D5135" s="1" t="s">
        <v>19</v>
      </c>
      <c r="E5135" s="1" t="s">
        <v>50</v>
      </c>
      <c r="F5135">
        <v>2006</v>
      </c>
      <c r="G5135">
        <v>16</v>
      </c>
      <c r="H5135" s="1" t="s">
        <v>21</v>
      </c>
      <c r="I5135">
        <v>22</v>
      </c>
      <c r="J5135">
        <v>2447</v>
      </c>
      <c r="K5135" s="1" t="s">
        <v>51</v>
      </c>
      <c r="L5135" s="1" t="s">
        <v>45</v>
      </c>
      <c r="M5135">
        <v>1.978</v>
      </c>
      <c r="N5135">
        <v>43513.8</v>
      </c>
      <c r="O5135">
        <v>43.514000000000003</v>
      </c>
      <c r="P5135" s="2">
        <v>44835</v>
      </c>
      <c r="Q5135">
        <v>1</v>
      </c>
      <c r="R5135" s="1" t="s">
        <v>24</v>
      </c>
    </row>
    <row r="5136" spans="1:18" x14ac:dyDescent="0.25">
      <c r="A5136">
        <v>2022</v>
      </c>
      <c r="B5136">
        <v>11</v>
      </c>
      <c r="C5136" s="1" t="s">
        <v>34</v>
      </c>
      <c r="D5136" s="1" t="s">
        <v>19</v>
      </c>
      <c r="E5136" s="1" t="s">
        <v>50</v>
      </c>
      <c r="F5136">
        <v>2006</v>
      </c>
      <c r="G5136">
        <v>16</v>
      </c>
      <c r="H5136" s="1" t="s">
        <v>21</v>
      </c>
      <c r="I5136">
        <v>22</v>
      </c>
      <c r="J5136">
        <v>2447</v>
      </c>
      <c r="K5136" s="1" t="s">
        <v>51</v>
      </c>
      <c r="L5136" s="1" t="s">
        <v>45</v>
      </c>
      <c r="M5136">
        <v>1.77</v>
      </c>
      <c r="N5136">
        <v>38944</v>
      </c>
      <c r="O5136">
        <v>38.944000000000003</v>
      </c>
      <c r="P5136" s="2">
        <v>44866</v>
      </c>
      <c r="Q5136">
        <v>1</v>
      </c>
      <c r="R5136" s="1" t="s">
        <v>24</v>
      </c>
    </row>
    <row r="5137" spans="1:18" x14ac:dyDescent="0.25">
      <c r="A5137">
        <v>2022</v>
      </c>
      <c r="B5137">
        <v>12</v>
      </c>
      <c r="C5137" s="1" t="s">
        <v>35</v>
      </c>
      <c r="D5137" s="1" t="s">
        <v>19</v>
      </c>
      <c r="E5137" s="1" t="s">
        <v>50</v>
      </c>
      <c r="F5137">
        <v>2006</v>
      </c>
      <c r="G5137">
        <v>16</v>
      </c>
      <c r="H5137" s="1" t="s">
        <v>21</v>
      </c>
      <c r="I5137">
        <v>22</v>
      </c>
      <c r="J5137">
        <v>2447</v>
      </c>
      <c r="K5137" s="1" t="s">
        <v>51</v>
      </c>
      <c r="L5137" s="1" t="s">
        <v>45</v>
      </c>
      <c r="M5137">
        <v>1.7909999999999999</v>
      </c>
      <c r="N5137">
        <v>39402.800000000003</v>
      </c>
      <c r="O5137">
        <v>39.402999999999999</v>
      </c>
      <c r="P5137" s="2">
        <v>44896</v>
      </c>
      <c r="Q5137">
        <v>1</v>
      </c>
      <c r="R5137" s="1" t="s">
        <v>24</v>
      </c>
    </row>
    <row r="5138" spans="1:18" x14ac:dyDescent="0.25">
      <c r="A5138">
        <v>2022</v>
      </c>
      <c r="B5138">
        <v>1</v>
      </c>
      <c r="C5138" s="1" t="s">
        <v>18</v>
      </c>
      <c r="D5138" s="1" t="s">
        <v>19</v>
      </c>
      <c r="E5138" s="1" t="s">
        <v>52</v>
      </c>
      <c r="F5138">
        <v>2006</v>
      </c>
      <c r="G5138">
        <v>16</v>
      </c>
      <c r="H5138" s="1" t="s">
        <v>21</v>
      </c>
      <c r="I5138">
        <v>15</v>
      </c>
      <c r="J5138">
        <v>1866</v>
      </c>
      <c r="K5138" s="1" t="s">
        <v>53</v>
      </c>
      <c r="L5138" s="1" t="s">
        <v>45</v>
      </c>
      <c r="M5138">
        <v>0.441</v>
      </c>
      <c r="N5138">
        <v>6619.6</v>
      </c>
      <c r="O5138">
        <v>6.62</v>
      </c>
      <c r="P5138" s="2">
        <v>44562</v>
      </c>
      <c r="Q5138">
        <v>1</v>
      </c>
      <c r="R5138" s="1" t="s">
        <v>24</v>
      </c>
    </row>
    <row r="5139" spans="1:18" x14ac:dyDescent="0.25">
      <c r="A5139">
        <v>2022</v>
      </c>
      <c r="B5139">
        <v>2</v>
      </c>
      <c r="C5139" s="1" t="s">
        <v>25</v>
      </c>
      <c r="D5139" s="1" t="s">
        <v>19</v>
      </c>
      <c r="E5139" s="1" t="s">
        <v>52</v>
      </c>
      <c r="F5139">
        <v>2006</v>
      </c>
      <c r="G5139">
        <v>16</v>
      </c>
      <c r="H5139" s="1" t="s">
        <v>21</v>
      </c>
      <c r="I5139">
        <v>15</v>
      </c>
      <c r="J5139">
        <v>1866</v>
      </c>
      <c r="K5139" s="1" t="s">
        <v>53</v>
      </c>
      <c r="L5139" s="1" t="s">
        <v>45</v>
      </c>
      <c r="M5139">
        <v>1.5860000000000001</v>
      </c>
      <c r="N5139">
        <v>23791.5</v>
      </c>
      <c r="O5139">
        <v>23.791</v>
      </c>
      <c r="P5139" s="2">
        <v>44593</v>
      </c>
      <c r="Q5139">
        <v>1</v>
      </c>
      <c r="R5139" s="1" t="s">
        <v>24</v>
      </c>
    </row>
    <row r="5140" spans="1:18" x14ac:dyDescent="0.25">
      <c r="A5140">
        <v>2022</v>
      </c>
      <c r="B5140">
        <v>3</v>
      </c>
      <c r="C5140" s="1" t="s">
        <v>26</v>
      </c>
      <c r="D5140" s="1" t="s">
        <v>19</v>
      </c>
      <c r="E5140" s="1" t="s">
        <v>52</v>
      </c>
      <c r="F5140">
        <v>2006</v>
      </c>
      <c r="G5140">
        <v>16</v>
      </c>
      <c r="H5140" s="1" t="s">
        <v>21</v>
      </c>
      <c r="I5140">
        <v>15</v>
      </c>
      <c r="J5140">
        <v>1866</v>
      </c>
      <c r="K5140" s="1" t="s">
        <v>53</v>
      </c>
      <c r="L5140" s="1" t="s">
        <v>45</v>
      </c>
      <c r="M5140">
        <v>1.901</v>
      </c>
      <c r="N5140">
        <v>28507.8</v>
      </c>
      <c r="O5140">
        <v>28.507999999999999</v>
      </c>
      <c r="P5140" s="2">
        <v>44621</v>
      </c>
      <c r="Q5140">
        <v>1</v>
      </c>
      <c r="R5140" s="1" t="s">
        <v>24</v>
      </c>
    </row>
    <row r="5141" spans="1:18" x14ac:dyDescent="0.25">
      <c r="A5141">
        <v>2022</v>
      </c>
      <c r="B5141">
        <v>4</v>
      </c>
      <c r="C5141" s="1" t="s">
        <v>27</v>
      </c>
      <c r="D5141" s="1" t="s">
        <v>19</v>
      </c>
      <c r="E5141" s="1" t="s">
        <v>52</v>
      </c>
      <c r="F5141">
        <v>2006</v>
      </c>
      <c r="G5141">
        <v>16</v>
      </c>
      <c r="H5141" s="1" t="s">
        <v>21</v>
      </c>
      <c r="I5141">
        <v>15</v>
      </c>
      <c r="J5141">
        <v>1866</v>
      </c>
      <c r="K5141" s="1" t="s">
        <v>53</v>
      </c>
      <c r="L5141" s="1" t="s">
        <v>45</v>
      </c>
      <c r="M5141">
        <v>2.173</v>
      </c>
      <c r="N5141">
        <v>32594.400000000001</v>
      </c>
      <c r="O5141">
        <v>32.594000000000001</v>
      </c>
      <c r="P5141" s="2">
        <v>44652</v>
      </c>
      <c r="Q5141">
        <v>1</v>
      </c>
      <c r="R5141" s="1" t="s">
        <v>24</v>
      </c>
    </row>
    <row r="5142" spans="1:18" x14ac:dyDescent="0.25">
      <c r="A5142">
        <v>2022</v>
      </c>
      <c r="B5142">
        <v>5</v>
      </c>
      <c r="C5142" s="1" t="s">
        <v>28</v>
      </c>
      <c r="D5142" s="1" t="s">
        <v>19</v>
      </c>
      <c r="E5142" s="1" t="s">
        <v>52</v>
      </c>
      <c r="F5142">
        <v>2006</v>
      </c>
      <c r="G5142">
        <v>16</v>
      </c>
      <c r="H5142" s="1" t="s">
        <v>21</v>
      </c>
      <c r="I5142">
        <v>15</v>
      </c>
      <c r="J5142">
        <v>1866</v>
      </c>
      <c r="K5142" s="1" t="s">
        <v>53</v>
      </c>
      <c r="L5142" s="1" t="s">
        <v>45</v>
      </c>
      <c r="M5142">
        <v>1.996</v>
      </c>
      <c r="N5142">
        <v>29935.3</v>
      </c>
      <c r="O5142">
        <v>29.934999999999999</v>
      </c>
      <c r="P5142" s="2">
        <v>44682</v>
      </c>
      <c r="Q5142">
        <v>1</v>
      </c>
      <c r="R5142" s="1" t="s">
        <v>24</v>
      </c>
    </row>
    <row r="5143" spans="1:18" x14ac:dyDescent="0.25">
      <c r="A5143">
        <v>2022</v>
      </c>
      <c r="B5143">
        <v>6</v>
      </c>
      <c r="C5143" s="1" t="s">
        <v>29</v>
      </c>
      <c r="D5143" s="1" t="s">
        <v>19</v>
      </c>
      <c r="E5143" s="1" t="s">
        <v>52</v>
      </c>
      <c r="F5143">
        <v>2006</v>
      </c>
      <c r="G5143">
        <v>16</v>
      </c>
      <c r="H5143" s="1" t="s">
        <v>21</v>
      </c>
      <c r="I5143">
        <v>15</v>
      </c>
      <c r="J5143">
        <v>1866</v>
      </c>
      <c r="K5143" s="1" t="s">
        <v>53</v>
      </c>
      <c r="L5143" s="1" t="s">
        <v>45</v>
      </c>
      <c r="M5143">
        <v>2.1989999999999998</v>
      </c>
      <c r="N5143">
        <v>32986.199999999997</v>
      </c>
      <c r="O5143">
        <v>32.985999999999997</v>
      </c>
      <c r="P5143" s="2">
        <v>44713</v>
      </c>
      <c r="Q5143">
        <v>1</v>
      </c>
      <c r="R5143" s="1" t="s">
        <v>24</v>
      </c>
    </row>
    <row r="5144" spans="1:18" x14ac:dyDescent="0.25">
      <c r="A5144">
        <v>2022</v>
      </c>
      <c r="B5144">
        <v>7</v>
      </c>
      <c r="C5144" s="1" t="s">
        <v>30</v>
      </c>
      <c r="D5144" s="1" t="s">
        <v>19</v>
      </c>
      <c r="E5144" s="1" t="s">
        <v>52</v>
      </c>
      <c r="F5144">
        <v>2006</v>
      </c>
      <c r="G5144">
        <v>16</v>
      </c>
      <c r="H5144" s="1" t="s">
        <v>21</v>
      </c>
      <c r="I5144">
        <v>15</v>
      </c>
      <c r="J5144">
        <v>1866</v>
      </c>
      <c r="K5144" s="1" t="s">
        <v>53</v>
      </c>
      <c r="L5144" s="1" t="s">
        <v>45</v>
      </c>
      <c r="M5144">
        <v>1.278</v>
      </c>
      <c r="N5144">
        <v>19173.2</v>
      </c>
      <c r="O5144">
        <v>19.172999999999998</v>
      </c>
      <c r="P5144" s="2">
        <v>44743</v>
      </c>
      <c r="Q5144">
        <v>1</v>
      </c>
      <c r="R5144" s="1" t="s">
        <v>24</v>
      </c>
    </row>
    <row r="5145" spans="1:18" x14ac:dyDescent="0.25">
      <c r="A5145">
        <v>2022</v>
      </c>
      <c r="B5145">
        <v>8</v>
      </c>
      <c r="C5145" s="1" t="s">
        <v>31</v>
      </c>
      <c r="D5145" s="1" t="s">
        <v>19</v>
      </c>
      <c r="E5145" s="1" t="s">
        <v>52</v>
      </c>
      <c r="F5145">
        <v>2006</v>
      </c>
      <c r="G5145">
        <v>16</v>
      </c>
      <c r="H5145" s="1" t="s">
        <v>21</v>
      </c>
      <c r="I5145">
        <v>15</v>
      </c>
      <c r="J5145">
        <v>1866</v>
      </c>
      <c r="K5145" s="1" t="s">
        <v>53</v>
      </c>
      <c r="L5145" s="1" t="s">
        <v>45</v>
      </c>
      <c r="M5145">
        <v>2.1589999999999998</v>
      </c>
      <c r="N5145">
        <v>32384.400000000001</v>
      </c>
      <c r="O5145">
        <v>32.384</v>
      </c>
      <c r="P5145" s="2">
        <v>44774</v>
      </c>
      <c r="Q5145">
        <v>1</v>
      </c>
      <c r="R5145" s="1" t="s">
        <v>24</v>
      </c>
    </row>
    <row r="5146" spans="1:18" x14ac:dyDescent="0.25">
      <c r="A5146">
        <v>2022</v>
      </c>
      <c r="B5146">
        <v>9</v>
      </c>
      <c r="C5146" s="1" t="s">
        <v>32</v>
      </c>
      <c r="D5146" s="1" t="s">
        <v>19</v>
      </c>
      <c r="E5146" s="1" t="s">
        <v>52</v>
      </c>
      <c r="F5146">
        <v>2006</v>
      </c>
      <c r="G5146">
        <v>16</v>
      </c>
      <c r="H5146" s="1" t="s">
        <v>21</v>
      </c>
      <c r="I5146">
        <v>15</v>
      </c>
      <c r="J5146">
        <v>1866</v>
      </c>
      <c r="K5146" s="1" t="s">
        <v>53</v>
      </c>
      <c r="L5146" s="1" t="s">
        <v>45</v>
      </c>
      <c r="M5146">
        <v>2.33</v>
      </c>
      <c r="N5146">
        <v>34945.5</v>
      </c>
      <c r="O5146">
        <v>34.945999999999998</v>
      </c>
      <c r="P5146" s="2">
        <v>44805</v>
      </c>
      <c r="Q5146">
        <v>1</v>
      </c>
      <c r="R5146" s="1" t="s">
        <v>24</v>
      </c>
    </row>
    <row r="5147" spans="1:18" x14ac:dyDescent="0.25">
      <c r="A5147">
        <v>2022</v>
      </c>
      <c r="B5147">
        <v>10</v>
      </c>
      <c r="C5147" s="1" t="s">
        <v>33</v>
      </c>
      <c r="D5147" s="1" t="s">
        <v>19</v>
      </c>
      <c r="E5147" s="1" t="s">
        <v>52</v>
      </c>
      <c r="F5147">
        <v>2006</v>
      </c>
      <c r="G5147">
        <v>16</v>
      </c>
      <c r="H5147" s="1" t="s">
        <v>21</v>
      </c>
      <c r="I5147">
        <v>15</v>
      </c>
      <c r="J5147">
        <v>1866</v>
      </c>
      <c r="K5147" s="1" t="s">
        <v>53</v>
      </c>
      <c r="L5147" s="1" t="s">
        <v>45</v>
      </c>
      <c r="M5147">
        <v>2.2120000000000002</v>
      </c>
      <c r="N5147">
        <v>33182.1</v>
      </c>
      <c r="O5147">
        <v>33.182000000000002</v>
      </c>
      <c r="P5147" s="2">
        <v>44835</v>
      </c>
      <c r="Q5147">
        <v>1</v>
      </c>
      <c r="R5147" s="1" t="s">
        <v>24</v>
      </c>
    </row>
    <row r="5148" spans="1:18" x14ac:dyDescent="0.25">
      <c r="A5148">
        <v>2022</v>
      </c>
      <c r="B5148">
        <v>11</v>
      </c>
      <c r="C5148" s="1" t="s">
        <v>34</v>
      </c>
      <c r="D5148" s="1" t="s">
        <v>19</v>
      </c>
      <c r="E5148" s="1" t="s">
        <v>52</v>
      </c>
      <c r="F5148">
        <v>2006</v>
      </c>
      <c r="G5148">
        <v>16</v>
      </c>
      <c r="H5148" s="1" t="s">
        <v>21</v>
      </c>
      <c r="I5148">
        <v>15</v>
      </c>
      <c r="J5148">
        <v>1866</v>
      </c>
      <c r="K5148" s="1" t="s">
        <v>53</v>
      </c>
      <c r="L5148" s="1" t="s">
        <v>45</v>
      </c>
      <c r="M5148">
        <v>1.98</v>
      </c>
      <c r="N5148">
        <v>29697.4</v>
      </c>
      <c r="O5148">
        <v>29.696999999999999</v>
      </c>
      <c r="P5148" s="2">
        <v>44866</v>
      </c>
      <c r="Q5148">
        <v>1</v>
      </c>
      <c r="R5148" s="1" t="s">
        <v>24</v>
      </c>
    </row>
    <row r="5149" spans="1:18" x14ac:dyDescent="0.25">
      <c r="A5149">
        <v>2022</v>
      </c>
      <c r="B5149">
        <v>12</v>
      </c>
      <c r="C5149" s="1" t="s">
        <v>35</v>
      </c>
      <c r="D5149" s="1" t="s">
        <v>19</v>
      </c>
      <c r="E5149" s="1" t="s">
        <v>52</v>
      </c>
      <c r="F5149">
        <v>2006</v>
      </c>
      <c r="G5149">
        <v>16</v>
      </c>
      <c r="H5149" s="1" t="s">
        <v>21</v>
      </c>
      <c r="I5149">
        <v>15</v>
      </c>
      <c r="J5149">
        <v>1866</v>
      </c>
      <c r="K5149" s="1" t="s">
        <v>53</v>
      </c>
      <c r="L5149" s="1" t="s">
        <v>45</v>
      </c>
      <c r="M5149">
        <v>2.0030000000000001</v>
      </c>
      <c r="N5149">
        <v>30047.3</v>
      </c>
      <c r="O5149">
        <v>30.047000000000001</v>
      </c>
      <c r="P5149" s="2">
        <v>44896</v>
      </c>
      <c r="Q5149">
        <v>1</v>
      </c>
      <c r="R5149" s="1" t="s">
        <v>24</v>
      </c>
    </row>
    <row r="5150" spans="1:18" x14ac:dyDescent="0.25">
      <c r="A5150">
        <v>2022</v>
      </c>
      <c r="B5150">
        <v>1</v>
      </c>
      <c r="C5150" s="1" t="s">
        <v>18</v>
      </c>
      <c r="D5150" s="1" t="s">
        <v>19</v>
      </c>
      <c r="E5150" s="1" t="s">
        <v>54</v>
      </c>
      <c r="F5150">
        <v>2006</v>
      </c>
      <c r="G5150">
        <v>16</v>
      </c>
      <c r="H5150" s="1" t="s">
        <v>21</v>
      </c>
      <c r="I5150">
        <v>25</v>
      </c>
      <c r="J5150">
        <v>3154</v>
      </c>
      <c r="K5150" s="1" t="s">
        <v>55</v>
      </c>
      <c r="L5150" s="1" t="s">
        <v>45</v>
      </c>
      <c r="M5150">
        <v>0.44800000000000001</v>
      </c>
      <c r="N5150">
        <v>11188.8</v>
      </c>
      <c r="O5150">
        <v>11.189</v>
      </c>
      <c r="P5150" s="2">
        <v>44562</v>
      </c>
      <c r="Q5150">
        <v>1</v>
      </c>
      <c r="R5150" s="1" t="s">
        <v>24</v>
      </c>
    </row>
    <row r="5151" spans="1:18" x14ac:dyDescent="0.25">
      <c r="A5151">
        <v>2022</v>
      </c>
      <c r="B5151">
        <v>2</v>
      </c>
      <c r="C5151" s="1" t="s">
        <v>25</v>
      </c>
      <c r="D5151" s="1" t="s">
        <v>19</v>
      </c>
      <c r="E5151" s="1" t="s">
        <v>54</v>
      </c>
      <c r="F5151">
        <v>2006</v>
      </c>
      <c r="G5151">
        <v>16</v>
      </c>
      <c r="H5151" s="1" t="s">
        <v>21</v>
      </c>
      <c r="I5151">
        <v>25</v>
      </c>
      <c r="J5151">
        <v>3154</v>
      </c>
      <c r="K5151" s="1" t="s">
        <v>55</v>
      </c>
      <c r="L5151" s="1" t="s">
        <v>45</v>
      </c>
      <c r="M5151">
        <v>1.609</v>
      </c>
      <c r="N5151">
        <v>40213.5</v>
      </c>
      <c r="O5151">
        <v>40.213000000000001</v>
      </c>
      <c r="P5151" s="2">
        <v>44593</v>
      </c>
      <c r="Q5151">
        <v>1</v>
      </c>
      <c r="R5151" s="1" t="s">
        <v>24</v>
      </c>
    </row>
    <row r="5152" spans="1:18" x14ac:dyDescent="0.25">
      <c r="A5152">
        <v>2022</v>
      </c>
      <c r="B5152">
        <v>3</v>
      </c>
      <c r="C5152" s="1" t="s">
        <v>26</v>
      </c>
      <c r="D5152" s="1" t="s">
        <v>19</v>
      </c>
      <c r="E5152" s="1" t="s">
        <v>54</v>
      </c>
      <c r="F5152">
        <v>2006</v>
      </c>
      <c r="G5152">
        <v>16</v>
      </c>
      <c r="H5152" s="1" t="s">
        <v>21</v>
      </c>
      <c r="I5152">
        <v>25</v>
      </c>
      <c r="J5152">
        <v>3154</v>
      </c>
      <c r="K5152" s="1" t="s">
        <v>55</v>
      </c>
      <c r="L5152" s="1" t="s">
        <v>45</v>
      </c>
      <c r="M5152">
        <v>1.927</v>
      </c>
      <c r="N5152">
        <v>48185.2</v>
      </c>
      <c r="O5152">
        <v>48.185000000000002</v>
      </c>
      <c r="P5152" s="2">
        <v>44621</v>
      </c>
      <c r="Q5152">
        <v>1</v>
      </c>
      <c r="R5152" s="1" t="s">
        <v>24</v>
      </c>
    </row>
    <row r="5153" spans="1:18" x14ac:dyDescent="0.25">
      <c r="A5153">
        <v>2022</v>
      </c>
      <c r="B5153">
        <v>4</v>
      </c>
      <c r="C5153" s="1" t="s">
        <v>27</v>
      </c>
      <c r="D5153" s="1" t="s">
        <v>19</v>
      </c>
      <c r="E5153" s="1" t="s">
        <v>54</v>
      </c>
      <c r="F5153">
        <v>2006</v>
      </c>
      <c r="G5153">
        <v>16</v>
      </c>
      <c r="H5153" s="1" t="s">
        <v>21</v>
      </c>
      <c r="I5153">
        <v>25</v>
      </c>
      <c r="J5153">
        <v>3154</v>
      </c>
      <c r="K5153" s="1" t="s">
        <v>55</v>
      </c>
      <c r="L5153" s="1" t="s">
        <v>45</v>
      </c>
      <c r="M5153">
        <v>2.2040000000000002</v>
      </c>
      <c r="N5153">
        <v>55092.5</v>
      </c>
      <c r="O5153">
        <v>55.091999999999999</v>
      </c>
      <c r="P5153" s="2">
        <v>44652</v>
      </c>
      <c r="Q5153">
        <v>1</v>
      </c>
      <c r="R5153" s="1" t="s">
        <v>24</v>
      </c>
    </row>
    <row r="5154" spans="1:18" x14ac:dyDescent="0.25">
      <c r="A5154">
        <v>2022</v>
      </c>
      <c r="B5154">
        <v>5</v>
      </c>
      <c r="C5154" s="1" t="s">
        <v>28</v>
      </c>
      <c r="D5154" s="1" t="s">
        <v>19</v>
      </c>
      <c r="E5154" s="1" t="s">
        <v>54</v>
      </c>
      <c r="F5154">
        <v>2006</v>
      </c>
      <c r="G5154">
        <v>16</v>
      </c>
      <c r="H5154" s="1" t="s">
        <v>21</v>
      </c>
      <c r="I5154">
        <v>25</v>
      </c>
      <c r="J5154">
        <v>3154</v>
      </c>
      <c r="K5154" s="1" t="s">
        <v>55</v>
      </c>
      <c r="L5154" s="1" t="s">
        <v>45</v>
      </c>
      <c r="M5154">
        <v>2.024</v>
      </c>
      <c r="N5154">
        <v>50598</v>
      </c>
      <c r="O5154">
        <v>50.597999999999999</v>
      </c>
      <c r="P5154" s="2">
        <v>44682</v>
      </c>
      <c r="Q5154">
        <v>1</v>
      </c>
      <c r="R5154" s="1" t="s">
        <v>24</v>
      </c>
    </row>
    <row r="5155" spans="1:18" x14ac:dyDescent="0.25">
      <c r="A5155">
        <v>2022</v>
      </c>
      <c r="B5155">
        <v>6</v>
      </c>
      <c r="C5155" s="1" t="s">
        <v>29</v>
      </c>
      <c r="D5155" s="1" t="s">
        <v>19</v>
      </c>
      <c r="E5155" s="1" t="s">
        <v>54</v>
      </c>
      <c r="F5155">
        <v>2006</v>
      </c>
      <c r="G5155">
        <v>16</v>
      </c>
      <c r="H5155" s="1" t="s">
        <v>21</v>
      </c>
      <c r="I5155">
        <v>25</v>
      </c>
      <c r="J5155">
        <v>3154</v>
      </c>
      <c r="K5155" s="1" t="s">
        <v>55</v>
      </c>
      <c r="L5155" s="1" t="s">
        <v>45</v>
      </c>
      <c r="M5155">
        <v>2.23</v>
      </c>
      <c r="N5155">
        <v>55754.8</v>
      </c>
      <c r="O5155">
        <v>55.755000000000003</v>
      </c>
      <c r="P5155" s="2">
        <v>44713</v>
      </c>
      <c r="Q5155">
        <v>1</v>
      </c>
      <c r="R5155" s="1" t="s">
        <v>24</v>
      </c>
    </row>
    <row r="5156" spans="1:18" x14ac:dyDescent="0.25">
      <c r="A5156">
        <v>2022</v>
      </c>
      <c r="B5156">
        <v>7</v>
      </c>
      <c r="C5156" s="1" t="s">
        <v>30</v>
      </c>
      <c r="D5156" s="1" t="s">
        <v>19</v>
      </c>
      <c r="E5156" s="1" t="s">
        <v>54</v>
      </c>
      <c r="F5156">
        <v>2006</v>
      </c>
      <c r="G5156">
        <v>16</v>
      </c>
      <c r="H5156" s="1" t="s">
        <v>21</v>
      </c>
      <c r="I5156">
        <v>25</v>
      </c>
      <c r="J5156">
        <v>3154</v>
      </c>
      <c r="K5156" s="1" t="s">
        <v>55</v>
      </c>
      <c r="L5156" s="1" t="s">
        <v>45</v>
      </c>
      <c r="M5156">
        <v>1.296</v>
      </c>
      <c r="N5156">
        <v>32407.4</v>
      </c>
      <c r="O5156">
        <v>32.406999999999996</v>
      </c>
      <c r="P5156" s="2">
        <v>44743</v>
      </c>
      <c r="Q5156">
        <v>1</v>
      </c>
      <c r="R5156" s="1" t="s">
        <v>24</v>
      </c>
    </row>
    <row r="5157" spans="1:18" x14ac:dyDescent="0.25">
      <c r="A5157">
        <v>2022</v>
      </c>
      <c r="B5157">
        <v>8</v>
      </c>
      <c r="C5157" s="1" t="s">
        <v>31</v>
      </c>
      <c r="D5157" s="1" t="s">
        <v>19</v>
      </c>
      <c r="E5157" s="1" t="s">
        <v>54</v>
      </c>
      <c r="F5157">
        <v>2006</v>
      </c>
      <c r="G5157">
        <v>16</v>
      </c>
      <c r="H5157" s="1" t="s">
        <v>21</v>
      </c>
      <c r="I5157">
        <v>25</v>
      </c>
      <c r="J5157">
        <v>3154</v>
      </c>
      <c r="K5157" s="1" t="s">
        <v>55</v>
      </c>
      <c r="L5157" s="1" t="s">
        <v>45</v>
      </c>
      <c r="M5157">
        <v>2.19</v>
      </c>
      <c r="N5157">
        <v>54737.7</v>
      </c>
      <c r="O5157">
        <v>54.738</v>
      </c>
      <c r="P5157" s="2">
        <v>44774</v>
      </c>
      <c r="Q5157">
        <v>1</v>
      </c>
      <c r="R5157" s="1" t="s">
        <v>24</v>
      </c>
    </row>
    <row r="5158" spans="1:18" x14ac:dyDescent="0.25">
      <c r="A5158">
        <v>2022</v>
      </c>
      <c r="B5158">
        <v>9</v>
      </c>
      <c r="C5158" s="1" t="s">
        <v>32</v>
      </c>
      <c r="D5158" s="1" t="s">
        <v>19</v>
      </c>
      <c r="E5158" s="1" t="s">
        <v>54</v>
      </c>
      <c r="F5158">
        <v>2006</v>
      </c>
      <c r="G5158">
        <v>16</v>
      </c>
      <c r="H5158" s="1" t="s">
        <v>21</v>
      </c>
      <c r="I5158">
        <v>25</v>
      </c>
      <c r="J5158">
        <v>3154</v>
      </c>
      <c r="K5158" s="1" t="s">
        <v>55</v>
      </c>
      <c r="L5158" s="1" t="s">
        <v>45</v>
      </c>
      <c r="M5158">
        <v>2.363</v>
      </c>
      <c r="N5158">
        <v>59066.5</v>
      </c>
      <c r="O5158">
        <v>59.067</v>
      </c>
      <c r="P5158" s="2">
        <v>44805</v>
      </c>
      <c r="Q5158">
        <v>1</v>
      </c>
      <c r="R5158" s="1" t="s">
        <v>24</v>
      </c>
    </row>
    <row r="5159" spans="1:18" x14ac:dyDescent="0.25">
      <c r="A5159">
        <v>2022</v>
      </c>
      <c r="B5159">
        <v>10</v>
      </c>
      <c r="C5159" s="1" t="s">
        <v>33</v>
      </c>
      <c r="D5159" s="1" t="s">
        <v>19</v>
      </c>
      <c r="E5159" s="1" t="s">
        <v>54</v>
      </c>
      <c r="F5159">
        <v>2006</v>
      </c>
      <c r="G5159">
        <v>16</v>
      </c>
      <c r="H5159" s="1" t="s">
        <v>21</v>
      </c>
      <c r="I5159">
        <v>25</v>
      </c>
      <c r="J5159">
        <v>3154</v>
      </c>
      <c r="K5159" s="1" t="s">
        <v>55</v>
      </c>
      <c r="L5159" s="1" t="s">
        <v>45</v>
      </c>
      <c r="M5159">
        <v>2.2429999999999999</v>
      </c>
      <c r="N5159">
        <v>56086</v>
      </c>
      <c r="O5159">
        <v>56.085999999999999</v>
      </c>
      <c r="P5159" s="2">
        <v>44835</v>
      </c>
      <c r="Q5159">
        <v>1</v>
      </c>
      <c r="R5159" s="1" t="s">
        <v>24</v>
      </c>
    </row>
    <row r="5160" spans="1:18" x14ac:dyDescent="0.25">
      <c r="A5160">
        <v>2022</v>
      </c>
      <c r="B5160">
        <v>11</v>
      </c>
      <c r="C5160" s="1" t="s">
        <v>34</v>
      </c>
      <c r="D5160" s="1" t="s">
        <v>19</v>
      </c>
      <c r="E5160" s="1" t="s">
        <v>54</v>
      </c>
      <c r="F5160">
        <v>2006</v>
      </c>
      <c r="G5160">
        <v>16</v>
      </c>
      <c r="H5160" s="1" t="s">
        <v>21</v>
      </c>
      <c r="I5160">
        <v>25</v>
      </c>
      <c r="J5160">
        <v>3154</v>
      </c>
      <c r="K5160" s="1" t="s">
        <v>55</v>
      </c>
      <c r="L5160" s="1" t="s">
        <v>45</v>
      </c>
      <c r="M5160">
        <v>2.008</v>
      </c>
      <c r="N5160">
        <v>50195.9</v>
      </c>
      <c r="O5160">
        <v>50.195999999999998</v>
      </c>
      <c r="P5160" s="2">
        <v>44866</v>
      </c>
      <c r="Q5160">
        <v>1</v>
      </c>
      <c r="R5160" s="1" t="s">
        <v>24</v>
      </c>
    </row>
    <row r="5161" spans="1:18" x14ac:dyDescent="0.25">
      <c r="A5161">
        <v>2022</v>
      </c>
      <c r="B5161">
        <v>12</v>
      </c>
      <c r="C5161" s="1" t="s">
        <v>35</v>
      </c>
      <c r="D5161" s="1" t="s">
        <v>19</v>
      </c>
      <c r="E5161" s="1" t="s">
        <v>54</v>
      </c>
      <c r="F5161">
        <v>2006</v>
      </c>
      <c r="G5161">
        <v>16</v>
      </c>
      <c r="H5161" s="1" t="s">
        <v>21</v>
      </c>
      <c r="I5161">
        <v>25</v>
      </c>
      <c r="J5161">
        <v>3154</v>
      </c>
      <c r="K5161" s="1" t="s">
        <v>55</v>
      </c>
      <c r="L5161" s="1" t="s">
        <v>45</v>
      </c>
      <c r="M5161">
        <v>2.0310000000000001</v>
      </c>
      <c r="N5161">
        <v>50787.3</v>
      </c>
      <c r="O5161">
        <v>50.786999999999999</v>
      </c>
      <c r="P5161" s="2">
        <v>44896</v>
      </c>
      <c r="Q5161">
        <v>1</v>
      </c>
      <c r="R5161" s="1" t="s">
        <v>24</v>
      </c>
    </row>
    <row r="5162" spans="1:18" x14ac:dyDescent="0.25">
      <c r="A5162">
        <v>2022</v>
      </c>
      <c r="B5162">
        <v>1</v>
      </c>
      <c r="C5162" s="1" t="s">
        <v>18</v>
      </c>
      <c r="D5162" s="1" t="s">
        <v>19</v>
      </c>
      <c r="E5162" s="1" t="s">
        <v>56</v>
      </c>
      <c r="F5162">
        <v>2006</v>
      </c>
      <c r="G5162">
        <v>16</v>
      </c>
      <c r="H5162" s="1" t="s">
        <v>21</v>
      </c>
      <c r="I5162">
        <v>35</v>
      </c>
      <c r="J5162">
        <v>4204</v>
      </c>
      <c r="K5162" s="1" t="s">
        <v>57</v>
      </c>
      <c r="L5162" s="1" t="s">
        <v>45</v>
      </c>
      <c r="M5162">
        <v>0.42599999999999999</v>
      </c>
      <c r="N5162">
        <v>14913.7</v>
      </c>
      <c r="O5162">
        <v>14.914</v>
      </c>
      <c r="P5162" s="2">
        <v>44562</v>
      </c>
      <c r="Q5162">
        <v>1</v>
      </c>
      <c r="R5162" s="1" t="s">
        <v>24</v>
      </c>
    </row>
    <row r="5163" spans="1:18" x14ac:dyDescent="0.25">
      <c r="A5163">
        <v>2022</v>
      </c>
      <c r="B5163">
        <v>2</v>
      </c>
      <c r="C5163" s="1" t="s">
        <v>25</v>
      </c>
      <c r="D5163" s="1" t="s">
        <v>19</v>
      </c>
      <c r="E5163" s="1" t="s">
        <v>56</v>
      </c>
      <c r="F5163">
        <v>2006</v>
      </c>
      <c r="G5163">
        <v>16</v>
      </c>
      <c r="H5163" s="1" t="s">
        <v>21</v>
      </c>
      <c r="I5163">
        <v>35</v>
      </c>
      <c r="J5163">
        <v>4204</v>
      </c>
      <c r="K5163" s="1" t="s">
        <v>57</v>
      </c>
      <c r="L5163" s="1" t="s">
        <v>45</v>
      </c>
      <c r="M5163">
        <v>1.5309999999999999</v>
      </c>
      <c r="N5163">
        <v>53601</v>
      </c>
      <c r="O5163">
        <v>53.600999999999999</v>
      </c>
      <c r="P5163" s="2">
        <v>44593</v>
      </c>
      <c r="Q5163">
        <v>1</v>
      </c>
      <c r="R5163" s="1" t="s">
        <v>24</v>
      </c>
    </row>
    <row r="5164" spans="1:18" x14ac:dyDescent="0.25">
      <c r="A5164">
        <v>2022</v>
      </c>
      <c r="B5164">
        <v>3</v>
      </c>
      <c r="C5164" s="1" t="s">
        <v>26</v>
      </c>
      <c r="D5164" s="1" t="s">
        <v>19</v>
      </c>
      <c r="E5164" s="1" t="s">
        <v>56</v>
      </c>
      <c r="F5164">
        <v>2006</v>
      </c>
      <c r="G5164">
        <v>16</v>
      </c>
      <c r="H5164" s="1" t="s">
        <v>21</v>
      </c>
      <c r="I5164">
        <v>35</v>
      </c>
      <c r="J5164">
        <v>4204</v>
      </c>
      <c r="K5164" s="1" t="s">
        <v>57</v>
      </c>
      <c r="L5164" s="1" t="s">
        <v>45</v>
      </c>
      <c r="M5164">
        <v>1.835</v>
      </c>
      <c r="N5164">
        <v>64226.6</v>
      </c>
      <c r="O5164">
        <v>64.227000000000004</v>
      </c>
      <c r="P5164" s="2">
        <v>44621</v>
      </c>
      <c r="Q5164">
        <v>1</v>
      </c>
      <c r="R5164" s="1" t="s">
        <v>24</v>
      </c>
    </row>
    <row r="5165" spans="1:18" x14ac:dyDescent="0.25">
      <c r="A5165">
        <v>2022</v>
      </c>
      <c r="B5165">
        <v>4</v>
      </c>
      <c r="C5165" s="1" t="s">
        <v>27</v>
      </c>
      <c r="D5165" s="1" t="s">
        <v>19</v>
      </c>
      <c r="E5165" s="1" t="s">
        <v>56</v>
      </c>
      <c r="F5165">
        <v>2006</v>
      </c>
      <c r="G5165">
        <v>16</v>
      </c>
      <c r="H5165" s="1" t="s">
        <v>21</v>
      </c>
      <c r="I5165">
        <v>35</v>
      </c>
      <c r="J5165">
        <v>4204</v>
      </c>
      <c r="K5165" s="1" t="s">
        <v>57</v>
      </c>
      <c r="L5165" s="1" t="s">
        <v>45</v>
      </c>
      <c r="M5165">
        <v>2.0979999999999999</v>
      </c>
      <c r="N5165">
        <v>73433.399999999994</v>
      </c>
      <c r="O5165">
        <v>73.433000000000007</v>
      </c>
      <c r="P5165" s="2">
        <v>44652</v>
      </c>
      <c r="Q5165">
        <v>1</v>
      </c>
      <c r="R5165" s="1" t="s">
        <v>24</v>
      </c>
    </row>
    <row r="5166" spans="1:18" x14ac:dyDescent="0.25">
      <c r="A5166">
        <v>2022</v>
      </c>
      <c r="B5166">
        <v>5</v>
      </c>
      <c r="C5166" s="1" t="s">
        <v>28</v>
      </c>
      <c r="D5166" s="1" t="s">
        <v>19</v>
      </c>
      <c r="E5166" s="1" t="s">
        <v>56</v>
      </c>
      <c r="F5166">
        <v>2006</v>
      </c>
      <c r="G5166">
        <v>16</v>
      </c>
      <c r="H5166" s="1" t="s">
        <v>21</v>
      </c>
      <c r="I5166">
        <v>35</v>
      </c>
      <c r="J5166">
        <v>4204</v>
      </c>
      <c r="K5166" s="1" t="s">
        <v>57</v>
      </c>
      <c r="L5166" s="1" t="s">
        <v>45</v>
      </c>
      <c r="M5166">
        <v>1.927</v>
      </c>
      <c r="N5166">
        <v>67442.7</v>
      </c>
      <c r="O5166">
        <v>67.442999999999998</v>
      </c>
      <c r="P5166" s="2">
        <v>44682</v>
      </c>
      <c r="Q5166">
        <v>1</v>
      </c>
      <c r="R5166" s="1" t="s">
        <v>24</v>
      </c>
    </row>
    <row r="5167" spans="1:18" x14ac:dyDescent="0.25">
      <c r="A5167">
        <v>2022</v>
      </c>
      <c r="B5167">
        <v>6</v>
      </c>
      <c r="C5167" s="1" t="s">
        <v>29</v>
      </c>
      <c r="D5167" s="1" t="s">
        <v>19</v>
      </c>
      <c r="E5167" s="1" t="s">
        <v>56</v>
      </c>
      <c r="F5167">
        <v>2006</v>
      </c>
      <c r="G5167">
        <v>16</v>
      </c>
      <c r="H5167" s="1" t="s">
        <v>21</v>
      </c>
      <c r="I5167">
        <v>35</v>
      </c>
      <c r="J5167">
        <v>4204</v>
      </c>
      <c r="K5167" s="1" t="s">
        <v>57</v>
      </c>
      <c r="L5167" s="1" t="s">
        <v>45</v>
      </c>
      <c r="M5167">
        <v>2.1230000000000002</v>
      </c>
      <c r="N5167">
        <v>74316.2</v>
      </c>
      <c r="O5167">
        <v>74.316000000000003</v>
      </c>
      <c r="P5167" s="2">
        <v>44713</v>
      </c>
      <c r="Q5167">
        <v>1</v>
      </c>
      <c r="R5167" s="1" t="s">
        <v>24</v>
      </c>
    </row>
    <row r="5168" spans="1:18" x14ac:dyDescent="0.25">
      <c r="A5168">
        <v>2022</v>
      </c>
      <c r="B5168">
        <v>7</v>
      </c>
      <c r="C5168" s="1" t="s">
        <v>30</v>
      </c>
      <c r="D5168" s="1" t="s">
        <v>19</v>
      </c>
      <c r="E5168" s="1" t="s">
        <v>56</v>
      </c>
      <c r="F5168">
        <v>2006</v>
      </c>
      <c r="G5168">
        <v>16</v>
      </c>
      <c r="H5168" s="1" t="s">
        <v>21</v>
      </c>
      <c r="I5168">
        <v>35</v>
      </c>
      <c r="J5168">
        <v>4204</v>
      </c>
      <c r="K5168" s="1" t="s">
        <v>57</v>
      </c>
      <c r="L5168" s="1" t="s">
        <v>45</v>
      </c>
      <c r="M5168">
        <v>1.234</v>
      </c>
      <c r="N5168">
        <v>43196.1</v>
      </c>
      <c r="O5168">
        <v>43.195999999999998</v>
      </c>
      <c r="P5168" s="2">
        <v>44743</v>
      </c>
      <c r="Q5168">
        <v>1</v>
      </c>
      <c r="R5168" s="1" t="s">
        <v>24</v>
      </c>
    </row>
    <row r="5169" spans="1:18" x14ac:dyDescent="0.25">
      <c r="A5169">
        <v>2022</v>
      </c>
      <c r="B5169">
        <v>8</v>
      </c>
      <c r="C5169" s="1" t="s">
        <v>31</v>
      </c>
      <c r="D5169" s="1" t="s">
        <v>19</v>
      </c>
      <c r="E5169" s="1" t="s">
        <v>56</v>
      </c>
      <c r="F5169">
        <v>2006</v>
      </c>
      <c r="G5169">
        <v>16</v>
      </c>
      <c r="H5169" s="1" t="s">
        <v>21</v>
      </c>
      <c r="I5169">
        <v>35</v>
      </c>
      <c r="J5169">
        <v>4204</v>
      </c>
      <c r="K5169" s="1" t="s">
        <v>57</v>
      </c>
      <c r="L5169" s="1" t="s">
        <v>45</v>
      </c>
      <c r="M5169">
        <v>2.085</v>
      </c>
      <c r="N5169">
        <v>72960.399999999994</v>
      </c>
      <c r="O5169">
        <v>72.959999999999994</v>
      </c>
      <c r="P5169" s="2">
        <v>44774</v>
      </c>
      <c r="Q5169">
        <v>1</v>
      </c>
      <c r="R5169" s="1" t="s">
        <v>24</v>
      </c>
    </row>
    <row r="5170" spans="1:18" x14ac:dyDescent="0.25">
      <c r="A5170">
        <v>2022</v>
      </c>
      <c r="B5170">
        <v>9</v>
      </c>
      <c r="C5170" s="1" t="s">
        <v>32</v>
      </c>
      <c r="D5170" s="1" t="s">
        <v>19</v>
      </c>
      <c r="E5170" s="1" t="s">
        <v>56</v>
      </c>
      <c r="F5170">
        <v>2006</v>
      </c>
      <c r="G5170">
        <v>16</v>
      </c>
      <c r="H5170" s="1" t="s">
        <v>21</v>
      </c>
      <c r="I5170">
        <v>35</v>
      </c>
      <c r="J5170">
        <v>4204</v>
      </c>
      <c r="K5170" s="1" t="s">
        <v>57</v>
      </c>
      <c r="L5170" s="1" t="s">
        <v>45</v>
      </c>
      <c r="M5170">
        <v>2.2490000000000001</v>
      </c>
      <c r="N5170">
        <v>78730.399999999994</v>
      </c>
      <c r="O5170">
        <v>78.73</v>
      </c>
      <c r="P5170" s="2">
        <v>44805</v>
      </c>
      <c r="Q5170">
        <v>1</v>
      </c>
      <c r="R5170" s="1" t="s">
        <v>24</v>
      </c>
    </row>
    <row r="5171" spans="1:18" x14ac:dyDescent="0.25">
      <c r="A5171">
        <v>2022</v>
      </c>
      <c r="B5171">
        <v>10</v>
      </c>
      <c r="C5171" s="1" t="s">
        <v>33</v>
      </c>
      <c r="D5171" s="1" t="s">
        <v>19</v>
      </c>
      <c r="E5171" s="1" t="s">
        <v>56</v>
      </c>
      <c r="F5171">
        <v>2006</v>
      </c>
      <c r="G5171">
        <v>16</v>
      </c>
      <c r="H5171" s="1" t="s">
        <v>21</v>
      </c>
      <c r="I5171">
        <v>35</v>
      </c>
      <c r="J5171">
        <v>4204</v>
      </c>
      <c r="K5171" s="1" t="s">
        <v>57</v>
      </c>
      <c r="L5171" s="1" t="s">
        <v>45</v>
      </c>
      <c r="M5171">
        <v>2.1360000000000001</v>
      </c>
      <c r="N5171">
        <v>74757.600000000006</v>
      </c>
      <c r="O5171">
        <v>74.757999999999996</v>
      </c>
      <c r="P5171" s="2">
        <v>44835</v>
      </c>
      <c r="Q5171">
        <v>1</v>
      </c>
      <c r="R5171" s="1" t="s">
        <v>24</v>
      </c>
    </row>
    <row r="5172" spans="1:18" x14ac:dyDescent="0.25">
      <c r="A5172">
        <v>2022</v>
      </c>
      <c r="B5172">
        <v>11</v>
      </c>
      <c r="C5172" s="1" t="s">
        <v>34</v>
      </c>
      <c r="D5172" s="1" t="s">
        <v>19</v>
      </c>
      <c r="E5172" s="1" t="s">
        <v>56</v>
      </c>
      <c r="F5172">
        <v>2006</v>
      </c>
      <c r="G5172">
        <v>16</v>
      </c>
      <c r="H5172" s="1" t="s">
        <v>21</v>
      </c>
      <c r="I5172">
        <v>35</v>
      </c>
      <c r="J5172">
        <v>4204</v>
      </c>
      <c r="K5172" s="1" t="s">
        <v>57</v>
      </c>
      <c r="L5172" s="1" t="s">
        <v>45</v>
      </c>
      <c r="M5172">
        <v>1.9119999999999999</v>
      </c>
      <c r="N5172">
        <v>66906.7</v>
      </c>
      <c r="O5172">
        <v>66.906999999999996</v>
      </c>
      <c r="P5172" s="2">
        <v>44866</v>
      </c>
      <c r="Q5172">
        <v>1</v>
      </c>
      <c r="R5172" s="1" t="s">
        <v>24</v>
      </c>
    </row>
    <row r="5173" spans="1:18" x14ac:dyDescent="0.25">
      <c r="A5173">
        <v>2022</v>
      </c>
      <c r="B5173">
        <v>12</v>
      </c>
      <c r="C5173" s="1" t="s">
        <v>35</v>
      </c>
      <c r="D5173" s="1" t="s">
        <v>19</v>
      </c>
      <c r="E5173" s="1" t="s">
        <v>56</v>
      </c>
      <c r="F5173">
        <v>2006</v>
      </c>
      <c r="G5173">
        <v>16</v>
      </c>
      <c r="H5173" s="1" t="s">
        <v>21</v>
      </c>
      <c r="I5173">
        <v>35</v>
      </c>
      <c r="J5173">
        <v>4204</v>
      </c>
      <c r="K5173" s="1" t="s">
        <v>57</v>
      </c>
      <c r="L5173" s="1" t="s">
        <v>45</v>
      </c>
      <c r="M5173">
        <v>1.9339999999999999</v>
      </c>
      <c r="N5173">
        <v>67694.899999999994</v>
      </c>
      <c r="O5173">
        <v>67.694999999999993</v>
      </c>
      <c r="P5173" s="2">
        <v>44896</v>
      </c>
      <c r="Q5173">
        <v>1</v>
      </c>
      <c r="R5173" s="1" t="s">
        <v>24</v>
      </c>
    </row>
    <row r="5174" spans="1:18" x14ac:dyDescent="0.25">
      <c r="A5174">
        <v>2022</v>
      </c>
      <c r="B5174">
        <v>1</v>
      </c>
      <c r="C5174" s="1" t="s">
        <v>18</v>
      </c>
      <c r="D5174" s="1" t="s">
        <v>19</v>
      </c>
      <c r="E5174" s="1" t="s">
        <v>58</v>
      </c>
      <c r="F5174">
        <v>2012</v>
      </c>
      <c r="G5174">
        <v>10</v>
      </c>
      <c r="H5174" s="1" t="s">
        <v>21</v>
      </c>
      <c r="I5174">
        <v>10</v>
      </c>
      <c r="J5174">
        <v>1434</v>
      </c>
      <c r="K5174" s="1" t="s">
        <v>60</v>
      </c>
      <c r="L5174" s="1" t="s">
        <v>45</v>
      </c>
      <c r="M5174">
        <v>0.50900000000000001</v>
      </c>
      <c r="N5174">
        <v>5087.1000000000004</v>
      </c>
      <c r="O5174">
        <v>5.0869999999999997</v>
      </c>
      <c r="P5174" s="2">
        <v>44562</v>
      </c>
      <c r="Q5174">
        <v>1</v>
      </c>
      <c r="R5174" s="1" t="s">
        <v>40</v>
      </c>
    </row>
    <row r="5175" spans="1:18" x14ac:dyDescent="0.25">
      <c r="A5175">
        <v>2022</v>
      </c>
      <c r="B5175">
        <v>2</v>
      </c>
      <c r="C5175" s="1" t="s">
        <v>25</v>
      </c>
      <c r="D5175" s="1" t="s">
        <v>19</v>
      </c>
      <c r="E5175" s="1" t="s">
        <v>58</v>
      </c>
      <c r="F5175">
        <v>2012</v>
      </c>
      <c r="G5175">
        <v>10</v>
      </c>
      <c r="H5175" s="1" t="s">
        <v>21</v>
      </c>
      <c r="I5175">
        <v>10</v>
      </c>
      <c r="J5175">
        <v>1434</v>
      </c>
      <c r="K5175" s="1" t="s">
        <v>60</v>
      </c>
      <c r="L5175" s="1" t="s">
        <v>45</v>
      </c>
      <c r="M5175">
        <v>1.8280000000000001</v>
      </c>
      <c r="N5175">
        <v>18283.5</v>
      </c>
      <c r="O5175">
        <v>18.283999999999999</v>
      </c>
      <c r="P5175" s="2">
        <v>44593</v>
      </c>
      <c r="Q5175">
        <v>1</v>
      </c>
      <c r="R5175" s="1" t="s">
        <v>40</v>
      </c>
    </row>
    <row r="5176" spans="1:18" x14ac:dyDescent="0.25">
      <c r="A5176">
        <v>2022</v>
      </c>
      <c r="B5176">
        <v>3</v>
      </c>
      <c r="C5176" s="1" t="s">
        <v>26</v>
      </c>
      <c r="D5176" s="1" t="s">
        <v>19</v>
      </c>
      <c r="E5176" s="1" t="s">
        <v>58</v>
      </c>
      <c r="F5176">
        <v>2012</v>
      </c>
      <c r="G5176">
        <v>10</v>
      </c>
      <c r="H5176" s="1" t="s">
        <v>21</v>
      </c>
      <c r="I5176">
        <v>10</v>
      </c>
      <c r="J5176">
        <v>1434</v>
      </c>
      <c r="K5176" s="1" t="s">
        <v>60</v>
      </c>
      <c r="L5176" s="1" t="s">
        <v>45</v>
      </c>
      <c r="M5176">
        <v>2.1909999999999998</v>
      </c>
      <c r="N5176">
        <v>21907.9</v>
      </c>
      <c r="O5176">
        <v>21.908000000000001</v>
      </c>
      <c r="P5176" s="2">
        <v>44621</v>
      </c>
      <c r="Q5176">
        <v>1</v>
      </c>
      <c r="R5176" s="1" t="s">
        <v>40</v>
      </c>
    </row>
    <row r="5177" spans="1:18" x14ac:dyDescent="0.25">
      <c r="A5177">
        <v>2022</v>
      </c>
      <c r="B5177">
        <v>4</v>
      </c>
      <c r="C5177" s="1" t="s">
        <v>27</v>
      </c>
      <c r="D5177" s="1" t="s">
        <v>19</v>
      </c>
      <c r="E5177" s="1" t="s">
        <v>58</v>
      </c>
      <c r="F5177">
        <v>2012</v>
      </c>
      <c r="G5177">
        <v>10</v>
      </c>
      <c r="H5177" s="1" t="s">
        <v>21</v>
      </c>
      <c r="I5177">
        <v>10</v>
      </c>
      <c r="J5177">
        <v>1434</v>
      </c>
      <c r="K5177" s="1" t="s">
        <v>60</v>
      </c>
      <c r="L5177" s="1" t="s">
        <v>45</v>
      </c>
      <c r="M5177">
        <v>2.5049999999999999</v>
      </c>
      <c r="N5177">
        <v>25048.400000000001</v>
      </c>
      <c r="O5177">
        <v>25.047999999999998</v>
      </c>
      <c r="P5177" s="2">
        <v>44652</v>
      </c>
      <c r="Q5177">
        <v>1</v>
      </c>
      <c r="R5177" s="1" t="s">
        <v>40</v>
      </c>
    </row>
    <row r="5178" spans="1:18" x14ac:dyDescent="0.25">
      <c r="A5178">
        <v>2022</v>
      </c>
      <c r="B5178">
        <v>5</v>
      </c>
      <c r="C5178" s="1" t="s">
        <v>28</v>
      </c>
      <c r="D5178" s="1" t="s">
        <v>19</v>
      </c>
      <c r="E5178" s="1" t="s">
        <v>58</v>
      </c>
      <c r="F5178">
        <v>2012</v>
      </c>
      <c r="G5178">
        <v>10</v>
      </c>
      <c r="H5178" s="1" t="s">
        <v>21</v>
      </c>
      <c r="I5178">
        <v>10</v>
      </c>
      <c r="J5178">
        <v>1434</v>
      </c>
      <c r="K5178" s="1" t="s">
        <v>60</v>
      </c>
      <c r="L5178" s="1" t="s">
        <v>45</v>
      </c>
      <c r="M5178">
        <v>2.2999999999999998</v>
      </c>
      <c r="N5178">
        <v>23004.9</v>
      </c>
      <c r="O5178">
        <v>23.004999999999999</v>
      </c>
      <c r="P5178" s="2">
        <v>44682</v>
      </c>
      <c r="Q5178">
        <v>1</v>
      </c>
      <c r="R5178" s="1" t="s">
        <v>40</v>
      </c>
    </row>
    <row r="5179" spans="1:18" x14ac:dyDescent="0.25">
      <c r="A5179">
        <v>2022</v>
      </c>
      <c r="B5179">
        <v>6</v>
      </c>
      <c r="C5179" s="1" t="s">
        <v>29</v>
      </c>
      <c r="D5179" s="1" t="s">
        <v>19</v>
      </c>
      <c r="E5179" s="1" t="s">
        <v>58</v>
      </c>
      <c r="F5179">
        <v>2012</v>
      </c>
      <c r="G5179">
        <v>10</v>
      </c>
      <c r="H5179" s="1" t="s">
        <v>21</v>
      </c>
      <c r="I5179">
        <v>10</v>
      </c>
      <c r="J5179">
        <v>1434</v>
      </c>
      <c r="K5179" s="1" t="s">
        <v>60</v>
      </c>
      <c r="L5179" s="1" t="s">
        <v>45</v>
      </c>
      <c r="M5179">
        <v>2.5350000000000001</v>
      </c>
      <c r="N5179">
        <v>25349.5</v>
      </c>
      <c r="O5179">
        <v>25.35</v>
      </c>
      <c r="P5179" s="2">
        <v>44713</v>
      </c>
      <c r="Q5179">
        <v>1</v>
      </c>
      <c r="R5179" s="1" t="s">
        <v>40</v>
      </c>
    </row>
    <row r="5180" spans="1:18" x14ac:dyDescent="0.25">
      <c r="A5180">
        <v>2022</v>
      </c>
      <c r="B5180">
        <v>7</v>
      </c>
      <c r="C5180" s="1" t="s">
        <v>30</v>
      </c>
      <c r="D5180" s="1" t="s">
        <v>19</v>
      </c>
      <c r="E5180" s="1" t="s">
        <v>58</v>
      </c>
      <c r="F5180">
        <v>2012</v>
      </c>
      <c r="G5180">
        <v>10</v>
      </c>
      <c r="H5180" s="1" t="s">
        <v>21</v>
      </c>
      <c r="I5180">
        <v>10</v>
      </c>
      <c r="J5180">
        <v>1434</v>
      </c>
      <c r="K5180" s="1" t="s">
        <v>60</v>
      </c>
      <c r="L5180" s="1" t="s">
        <v>45</v>
      </c>
      <c r="M5180">
        <v>1.4730000000000001</v>
      </c>
      <c r="N5180">
        <v>14734.4</v>
      </c>
      <c r="O5180">
        <v>14.734</v>
      </c>
      <c r="P5180" s="2">
        <v>44743</v>
      </c>
      <c r="Q5180">
        <v>1</v>
      </c>
      <c r="R5180" s="1" t="s">
        <v>40</v>
      </c>
    </row>
    <row r="5181" spans="1:18" x14ac:dyDescent="0.25">
      <c r="A5181">
        <v>2022</v>
      </c>
      <c r="B5181">
        <v>8</v>
      </c>
      <c r="C5181" s="1" t="s">
        <v>31</v>
      </c>
      <c r="D5181" s="1" t="s">
        <v>19</v>
      </c>
      <c r="E5181" s="1" t="s">
        <v>58</v>
      </c>
      <c r="F5181">
        <v>2012</v>
      </c>
      <c r="G5181">
        <v>10</v>
      </c>
      <c r="H5181" s="1" t="s">
        <v>21</v>
      </c>
      <c r="I5181">
        <v>10</v>
      </c>
      <c r="J5181">
        <v>1434</v>
      </c>
      <c r="K5181" s="1" t="s">
        <v>60</v>
      </c>
      <c r="L5181" s="1" t="s">
        <v>45</v>
      </c>
      <c r="M5181">
        <v>2.4889999999999999</v>
      </c>
      <c r="N5181">
        <v>24887.1</v>
      </c>
      <c r="O5181">
        <v>24.887</v>
      </c>
      <c r="P5181" s="2">
        <v>44774</v>
      </c>
      <c r="Q5181">
        <v>1</v>
      </c>
      <c r="R5181" s="1" t="s">
        <v>40</v>
      </c>
    </row>
    <row r="5182" spans="1:18" x14ac:dyDescent="0.25">
      <c r="A5182">
        <v>2022</v>
      </c>
      <c r="B5182">
        <v>9</v>
      </c>
      <c r="C5182" s="1" t="s">
        <v>32</v>
      </c>
      <c r="D5182" s="1" t="s">
        <v>19</v>
      </c>
      <c r="E5182" s="1" t="s">
        <v>58</v>
      </c>
      <c r="F5182">
        <v>2012</v>
      </c>
      <c r="G5182">
        <v>10</v>
      </c>
      <c r="H5182" s="1" t="s">
        <v>21</v>
      </c>
      <c r="I5182">
        <v>10</v>
      </c>
      <c r="J5182">
        <v>1434</v>
      </c>
      <c r="K5182" s="1" t="s">
        <v>60</v>
      </c>
      <c r="L5182" s="1" t="s">
        <v>45</v>
      </c>
      <c r="M5182">
        <v>2.6859999999999999</v>
      </c>
      <c r="N5182">
        <v>26855.200000000001</v>
      </c>
      <c r="O5182">
        <v>26.855</v>
      </c>
      <c r="P5182" s="2">
        <v>44805</v>
      </c>
      <c r="Q5182">
        <v>1</v>
      </c>
      <c r="R5182" s="1" t="s">
        <v>40</v>
      </c>
    </row>
    <row r="5183" spans="1:18" x14ac:dyDescent="0.25">
      <c r="A5183">
        <v>2022</v>
      </c>
      <c r="B5183">
        <v>10</v>
      </c>
      <c r="C5183" s="1" t="s">
        <v>33</v>
      </c>
      <c r="D5183" s="1" t="s">
        <v>19</v>
      </c>
      <c r="E5183" s="1" t="s">
        <v>58</v>
      </c>
      <c r="F5183">
        <v>2012</v>
      </c>
      <c r="G5183">
        <v>10</v>
      </c>
      <c r="H5183" s="1" t="s">
        <v>21</v>
      </c>
      <c r="I5183">
        <v>10</v>
      </c>
      <c r="J5183">
        <v>1434</v>
      </c>
      <c r="K5183" s="1" t="s">
        <v>60</v>
      </c>
      <c r="L5183" s="1" t="s">
        <v>45</v>
      </c>
      <c r="M5183">
        <v>2.5499999999999998</v>
      </c>
      <c r="N5183">
        <v>25500.1</v>
      </c>
      <c r="O5183">
        <v>25.5</v>
      </c>
      <c r="P5183" s="2">
        <v>44835</v>
      </c>
      <c r="Q5183">
        <v>1</v>
      </c>
      <c r="R5183" s="1" t="s">
        <v>40</v>
      </c>
    </row>
    <row r="5184" spans="1:18" x14ac:dyDescent="0.25">
      <c r="A5184">
        <v>2022</v>
      </c>
      <c r="B5184">
        <v>11</v>
      </c>
      <c r="C5184" s="1" t="s">
        <v>34</v>
      </c>
      <c r="D5184" s="1" t="s">
        <v>19</v>
      </c>
      <c r="E5184" s="1" t="s">
        <v>58</v>
      </c>
      <c r="F5184">
        <v>2012</v>
      </c>
      <c r="G5184">
        <v>10</v>
      </c>
      <c r="H5184" s="1" t="s">
        <v>21</v>
      </c>
      <c r="I5184">
        <v>10</v>
      </c>
      <c r="J5184">
        <v>1434</v>
      </c>
      <c r="K5184" s="1" t="s">
        <v>60</v>
      </c>
      <c r="L5184" s="1" t="s">
        <v>45</v>
      </c>
      <c r="M5184">
        <v>2.282</v>
      </c>
      <c r="N5184">
        <v>22822.1</v>
      </c>
      <c r="O5184">
        <v>22.821999999999999</v>
      </c>
      <c r="P5184" s="2">
        <v>44866</v>
      </c>
      <c r="Q5184">
        <v>1</v>
      </c>
      <c r="R5184" s="1" t="s">
        <v>40</v>
      </c>
    </row>
    <row r="5185" spans="1:18" x14ac:dyDescent="0.25">
      <c r="A5185">
        <v>2022</v>
      </c>
      <c r="B5185">
        <v>12</v>
      </c>
      <c r="C5185" s="1" t="s">
        <v>35</v>
      </c>
      <c r="D5185" s="1" t="s">
        <v>19</v>
      </c>
      <c r="E5185" s="1" t="s">
        <v>58</v>
      </c>
      <c r="F5185">
        <v>2012</v>
      </c>
      <c r="G5185">
        <v>10</v>
      </c>
      <c r="H5185" s="1" t="s">
        <v>21</v>
      </c>
      <c r="I5185">
        <v>10</v>
      </c>
      <c r="J5185">
        <v>1434</v>
      </c>
      <c r="K5185" s="1" t="s">
        <v>60</v>
      </c>
      <c r="L5185" s="1" t="s">
        <v>45</v>
      </c>
      <c r="M5185">
        <v>2.3090000000000002</v>
      </c>
      <c r="N5185">
        <v>23091</v>
      </c>
      <c r="O5185">
        <v>23.091000000000001</v>
      </c>
      <c r="P5185" s="2">
        <v>44896</v>
      </c>
      <c r="Q5185">
        <v>1</v>
      </c>
      <c r="R5185" s="1" t="s">
        <v>40</v>
      </c>
    </row>
    <row r="5186" spans="1:18" x14ac:dyDescent="0.25">
      <c r="A5186">
        <v>2022</v>
      </c>
      <c r="B5186">
        <v>1</v>
      </c>
      <c r="C5186" s="1" t="s">
        <v>18</v>
      </c>
      <c r="D5186" s="1" t="s">
        <v>19</v>
      </c>
      <c r="E5186" s="1" t="s">
        <v>62</v>
      </c>
      <c r="F5186">
        <v>2012</v>
      </c>
      <c r="G5186">
        <v>10</v>
      </c>
      <c r="H5186" s="1" t="s">
        <v>21</v>
      </c>
      <c r="I5186">
        <v>24</v>
      </c>
      <c r="J5186">
        <v>3074</v>
      </c>
      <c r="K5186" s="1" t="s">
        <v>63</v>
      </c>
      <c r="L5186" s="1" t="s">
        <v>64</v>
      </c>
      <c r="M5186">
        <v>0.45400000000000001</v>
      </c>
      <c r="N5186">
        <v>10905</v>
      </c>
      <c r="O5186">
        <v>10.904999999999999</v>
      </c>
      <c r="P5186" s="2">
        <v>44562</v>
      </c>
      <c r="Q5186">
        <v>1</v>
      </c>
      <c r="R5186" s="1" t="s">
        <v>40</v>
      </c>
    </row>
    <row r="5187" spans="1:18" x14ac:dyDescent="0.25">
      <c r="A5187">
        <v>2022</v>
      </c>
      <c r="B5187">
        <v>2</v>
      </c>
      <c r="C5187" s="1" t="s">
        <v>25</v>
      </c>
      <c r="D5187" s="1" t="s">
        <v>19</v>
      </c>
      <c r="E5187" s="1" t="s">
        <v>62</v>
      </c>
      <c r="F5187">
        <v>2012</v>
      </c>
      <c r="G5187">
        <v>10</v>
      </c>
      <c r="H5187" s="1" t="s">
        <v>21</v>
      </c>
      <c r="I5187">
        <v>24</v>
      </c>
      <c r="J5187">
        <v>3074</v>
      </c>
      <c r="K5187" s="1" t="s">
        <v>63</v>
      </c>
      <c r="L5187" s="1" t="s">
        <v>64</v>
      </c>
      <c r="M5187">
        <v>1.633</v>
      </c>
      <c r="N5187">
        <v>39193.5</v>
      </c>
      <c r="O5187">
        <v>39.194000000000003</v>
      </c>
      <c r="P5187" s="2">
        <v>44593</v>
      </c>
      <c r="Q5187">
        <v>1</v>
      </c>
      <c r="R5187" s="1" t="s">
        <v>40</v>
      </c>
    </row>
    <row r="5188" spans="1:18" x14ac:dyDescent="0.25">
      <c r="A5188">
        <v>2022</v>
      </c>
      <c r="B5188">
        <v>3</v>
      </c>
      <c r="C5188" s="1" t="s">
        <v>26</v>
      </c>
      <c r="D5188" s="1" t="s">
        <v>19</v>
      </c>
      <c r="E5188" s="1" t="s">
        <v>62</v>
      </c>
      <c r="F5188">
        <v>2012</v>
      </c>
      <c r="G5188">
        <v>10</v>
      </c>
      <c r="H5188" s="1" t="s">
        <v>21</v>
      </c>
      <c r="I5188">
        <v>24</v>
      </c>
      <c r="J5188">
        <v>3074</v>
      </c>
      <c r="K5188" s="1" t="s">
        <v>63</v>
      </c>
      <c r="L5188" s="1" t="s">
        <v>64</v>
      </c>
      <c r="M5188">
        <v>1.9570000000000001</v>
      </c>
      <c r="N5188">
        <v>46963</v>
      </c>
      <c r="O5188">
        <v>46.963000000000001</v>
      </c>
      <c r="P5188" s="2">
        <v>44621</v>
      </c>
      <c r="Q5188">
        <v>1</v>
      </c>
      <c r="R5188" s="1" t="s">
        <v>40</v>
      </c>
    </row>
    <row r="5189" spans="1:18" x14ac:dyDescent="0.25">
      <c r="A5189">
        <v>2022</v>
      </c>
      <c r="B5189">
        <v>4</v>
      </c>
      <c r="C5189" s="1" t="s">
        <v>27</v>
      </c>
      <c r="D5189" s="1" t="s">
        <v>19</v>
      </c>
      <c r="E5189" s="1" t="s">
        <v>62</v>
      </c>
      <c r="F5189">
        <v>2012</v>
      </c>
      <c r="G5189">
        <v>10</v>
      </c>
      <c r="H5189" s="1" t="s">
        <v>21</v>
      </c>
      <c r="I5189">
        <v>24</v>
      </c>
      <c r="J5189">
        <v>3074</v>
      </c>
      <c r="K5189" s="1" t="s">
        <v>63</v>
      </c>
      <c r="L5189" s="1" t="s">
        <v>64</v>
      </c>
      <c r="M5189">
        <v>2.2370000000000001</v>
      </c>
      <c r="N5189">
        <v>53695.1</v>
      </c>
      <c r="O5189">
        <v>53.695</v>
      </c>
      <c r="P5189" s="2">
        <v>44652</v>
      </c>
      <c r="Q5189">
        <v>1</v>
      </c>
      <c r="R5189" s="1" t="s">
        <v>40</v>
      </c>
    </row>
    <row r="5190" spans="1:18" x14ac:dyDescent="0.25">
      <c r="A5190">
        <v>2022</v>
      </c>
      <c r="B5190">
        <v>5</v>
      </c>
      <c r="C5190" s="1" t="s">
        <v>28</v>
      </c>
      <c r="D5190" s="1" t="s">
        <v>19</v>
      </c>
      <c r="E5190" s="1" t="s">
        <v>62</v>
      </c>
      <c r="F5190">
        <v>2012</v>
      </c>
      <c r="G5190">
        <v>10</v>
      </c>
      <c r="H5190" s="1" t="s">
        <v>21</v>
      </c>
      <c r="I5190">
        <v>24</v>
      </c>
      <c r="J5190">
        <v>3074</v>
      </c>
      <c r="K5190" s="1" t="s">
        <v>63</v>
      </c>
      <c r="L5190" s="1" t="s">
        <v>64</v>
      </c>
      <c r="M5190">
        <v>2.0550000000000002</v>
      </c>
      <c r="N5190">
        <v>49314.6</v>
      </c>
      <c r="O5190">
        <v>49.314999999999998</v>
      </c>
      <c r="P5190" s="2">
        <v>44682</v>
      </c>
      <c r="Q5190">
        <v>1</v>
      </c>
      <c r="R5190" s="1" t="s">
        <v>40</v>
      </c>
    </row>
    <row r="5191" spans="1:18" x14ac:dyDescent="0.25">
      <c r="A5191">
        <v>2022</v>
      </c>
      <c r="B5191">
        <v>6</v>
      </c>
      <c r="C5191" s="1" t="s">
        <v>29</v>
      </c>
      <c r="D5191" s="1" t="s">
        <v>19</v>
      </c>
      <c r="E5191" s="1" t="s">
        <v>62</v>
      </c>
      <c r="F5191">
        <v>2012</v>
      </c>
      <c r="G5191">
        <v>10</v>
      </c>
      <c r="H5191" s="1" t="s">
        <v>21</v>
      </c>
      <c r="I5191">
        <v>24</v>
      </c>
      <c r="J5191">
        <v>3074</v>
      </c>
      <c r="K5191" s="1" t="s">
        <v>63</v>
      </c>
      <c r="L5191" s="1" t="s">
        <v>64</v>
      </c>
      <c r="M5191">
        <v>2.2639999999999998</v>
      </c>
      <c r="N5191">
        <v>54340.6</v>
      </c>
      <c r="O5191">
        <v>54.341000000000001</v>
      </c>
      <c r="P5191" s="2">
        <v>44713</v>
      </c>
      <c r="Q5191">
        <v>1</v>
      </c>
      <c r="R5191" s="1" t="s">
        <v>40</v>
      </c>
    </row>
    <row r="5192" spans="1:18" x14ac:dyDescent="0.25">
      <c r="A5192">
        <v>2022</v>
      </c>
      <c r="B5192">
        <v>7</v>
      </c>
      <c r="C5192" s="1" t="s">
        <v>30</v>
      </c>
      <c r="D5192" s="1" t="s">
        <v>19</v>
      </c>
      <c r="E5192" s="1" t="s">
        <v>62</v>
      </c>
      <c r="F5192">
        <v>2012</v>
      </c>
      <c r="G5192">
        <v>10</v>
      </c>
      <c r="H5192" s="1" t="s">
        <v>21</v>
      </c>
      <c r="I5192">
        <v>24</v>
      </c>
      <c r="J5192">
        <v>3074</v>
      </c>
      <c r="K5192" s="1" t="s">
        <v>63</v>
      </c>
      <c r="L5192" s="1" t="s">
        <v>64</v>
      </c>
      <c r="M5192">
        <v>1.3160000000000001</v>
      </c>
      <c r="N5192">
        <v>31585.4</v>
      </c>
      <c r="O5192">
        <v>31.585000000000001</v>
      </c>
      <c r="P5192" s="2">
        <v>44743</v>
      </c>
      <c r="Q5192">
        <v>1</v>
      </c>
      <c r="R5192" s="1" t="s">
        <v>40</v>
      </c>
    </row>
    <row r="5193" spans="1:18" x14ac:dyDescent="0.25">
      <c r="A5193">
        <v>2022</v>
      </c>
      <c r="B5193">
        <v>8</v>
      </c>
      <c r="C5193" s="1" t="s">
        <v>31</v>
      </c>
      <c r="D5193" s="1" t="s">
        <v>19</v>
      </c>
      <c r="E5193" s="1" t="s">
        <v>62</v>
      </c>
      <c r="F5193">
        <v>2012</v>
      </c>
      <c r="G5193">
        <v>10</v>
      </c>
      <c r="H5193" s="1" t="s">
        <v>21</v>
      </c>
      <c r="I5193">
        <v>24</v>
      </c>
      <c r="J5193">
        <v>3074</v>
      </c>
      <c r="K5193" s="1" t="s">
        <v>63</v>
      </c>
      <c r="L5193" s="1" t="s">
        <v>64</v>
      </c>
      <c r="M5193">
        <v>2.2229999999999999</v>
      </c>
      <c r="N5193">
        <v>53349.3</v>
      </c>
      <c r="O5193">
        <v>53.348999999999997</v>
      </c>
      <c r="P5193" s="2">
        <v>44774</v>
      </c>
      <c r="Q5193">
        <v>1</v>
      </c>
      <c r="R5193" s="1" t="s">
        <v>40</v>
      </c>
    </row>
    <row r="5194" spans="1:18" x14ac:dyDescent="0.25">
      <c r="A5194">
        <v>2022</v>
      </c>
      <c r="B5194">
        <v>9</v>
      </c>
      <c r="C5194" s="1" t="s">
        <v>32</v>
      </c>
      <c r="D5194" s="1" t="s">
        <v>19</v>
      </c>
      <c r="E5194" s="1" t="s">
        <v>62</v>
      </c>
      <c r="F5194">
        <v>2012</v>
      </c>
      <c r="G5194">
        <v>10</v>
      </c>
      <c r="H5194" s="1" t="s">
        <v>21</v>
      </c>
      <c r="I5194">
        <v>24</v>
      </c>
      <c r="J5194">
        <v>3074</v>
      </c>
      <c r="K5194" s="1" t="s">
        <v>63</v>
      </c>
      <c r="L5194" s="1" t="s">
        <v>64</v>
      </c>
      <c r="M5194">
        <v>2.399</v>
      </c>
      <c r="N5194">
        <v>57568.3</v>
      </c>
      <c r="O5194">
        <v>57.567999999999998</v>
      </c>
      <c r="P5194" s="2">
        <v>44805</v>
      </c>
      <c r="Q5194">
        <v>1</v>
      </c>
      <c r="R5194" s="1" t="s">
        <v>40</v>
      </c>
    </row>
    <row r="5195" spans="1:18" x14ac:dyDescent="0.25">
      <c r="A5195">
        <v>2022</v>
      </c>
      <c r="B5195">
        <v>10</v>
      </c>
      <c r="C5195" s="1" t="s">
        <v>33</v>
      </c>
      <c r="D5195" s="1" t="s">
        <v>19</v>
      </c>
      <c r="E5195" s="1" t="s">
        <v>62</v>
      </c>
      <c r="F5195">
        <v>2012</v>
      </c>
      <c r="G5195">
        <v>10</v>
      </c>
      <c r="H5195" s="1" t="s">
        <v>21</v>
      </c>
      <c r="I5195">
        <v>24</v>
      </c>
      <c r="J5195">
        <v>3074</v>
      </c>
      <c r="K5195" s="1" t="s">
        <v>63</v>
      </c>
      <c r="L5195" s="1" t="s">
        <v>64</v>
      </c>
      <c r="M5195">
        <v>2.278</v>
      </c>
      <c r="N5195">
        <v>54663.4</v>
      </c>
      <c r="O5195">
        <v>54.662999999999997</v>
      </c>
      <c r="P5195" s="2">
        <v>44835</v>
      </c>
      <c r="Q5195">
        <v>1</v>
      </c>
      <c r="R5195" s="1" t="s">
        <v>40</v>
      </c>
    </row>
    <row r="5196" spans="1:18" x14ac:dyDescent="0.25">
      <c r="A5196">
        <v>2022</v>
      </c>
      <c r="B5196">
        <v>11</v>
      </c>
      <c r="C5196" s="1" t="s">
        <v>34</v>
      </c>
      <c r="D5196" s="1" t="s">
        <v>19</v>
      </c>
      <c r="E5196" s="1" t="s">
        <v>62</v>
      </c>
      <c r="F5196">
        <v>2012</v>
      </c>
      <c r="G5196">
        <v>10</v>
      </c>
      <c r="H5196" s="1" t="s">
        <v>21</v>
      </c>
      <c r="I5196">
        <v>24</v>
      </c>
      <c r="J5196">
        <v>3074</v>
      </c>
      <c r="K5196" s="1" t="s">
        <v>63</v>
      </c>
      <c r="L5196" s="1" t="s">
        <v>64</v>
      </c>
      <c r="M5196">
        <v>2.0379999999999998</v>
      </c>
      <c r="N5196">
        <v>48922.7</v>
      </c>
      <c r="O5196">
        <v>48.923000000000002</v>
      </c>
      <c r="P5196" s="2">
        <v>44866</v>
      </c>
      <c r="Q5196">
        <v>1</v>
      </c>
      <c r="R5196" s="1" t="s">
        <v>40</v>
      </c>
    </row>
    <row r="5197" spans="1:18" x14ac:dyDescent="0.25">
      <c r="A5197">
        <v>2022</v>
      </c>
      <c r="B5197">
        <v>12</v>
      </c>
      <c r="C5197" s="1" t="s">
        <v>35</v>
      </c>
      <c r="D5197" s="1" t="s">
        <v>19</v>
      </c>
      <c r="E5197" s="1" t="s">
        <v>62</v>
      </c>
      <c r="F5197">
        <v>2012</v>
      </c>
      <c r="G5197">
        <v>10</v>
      </c>
      <c r="H5197" s="1" t="s">
        <v>21</v>
      </c>
      <c r="I5197">
        <v>24</v>
      </c>
      <c r="J5197">
        <v>3074</v>
      </c>
      <c r="K5197" s="1" t="s">
        <v>63</v>
      </c>
      <c r="L5197" s="1" t="s">
        <v>64</v>
      </c>
      <c r="M5197">
        <v>2.0619999999999998</v>
      </c>
      <c r="N5197">
        <v>49499.1</v>
      </c>
      <c r="O5197">
        <v>49.499000000000002</v>
      </c>
      <c r="P5197" s="2">
        <v>44896</v>
      </c>
      <c r="Q5197">
        <v>1</v>
      </c>
      <c r="R5197" s="1" t="s">
        <v>40</v>
      </c>
    </row>
    <row r="5198" spans="1:18" x14ac:dyDescent="0.25">
      <c r="A5198">
        <v>2022</v>
      </c>
      <c r="B5198">
        <v>1</v>
      </c>
      <c r="C5198" s="1" t="s">
        <v>18</v>
      </c>
      <c r="D5198" s="1" t="s">
        <v>19</v>
      </c>
      <c r="E5198" s="1" t="s">
        <v>65</v>
      </c>
      <c r="F5198">
        <v>2012</v>
      </c>
      <c r="G5198">
        <v>10</v>
      </c>
      <c r="H5198" s="1" t="s">
        <v>21</v>
      </c>
      <c r="I5198">
        <v>19</v>
      </c>
      <c r="J5198">
        <v>2418</v>
      </c>
      <c r="K5198" s="1" t="s">
        <v>66</v>
      </c>
      <c r="L5198" s="1" t="s">
        <v>64</v>
      </c>
      <c r="M5198">
        <v>0.45100000000000001</v>
      </c>
      <c r="N5198">
        <v>8577.9</v>
      </c>
      <c r="O5198">
        <v>8.5779999999999994</v>
      </c>
      <c r="P5198" s="2">
        <v>44562</v>
      </c>
      <c r="Q5198">
        <v>1</v>
      </c>
      <c r="R5198" s="1" t="s">
        <v>40</v>
      </c>
    </row>
    <row r="5199" spans="1:18" x14ac:dyDescent="0.25">
      <c r="A5199">
        <v>2022</v>
      </c>
      <c r="B5199">
        <v>2</v>
      </c>
      <c r="C5199" s="1" t="s">
        <v>25</v>
      </c>
      <c r="D5199" s="1" t="s">
        <v>19</v>
      </c>
      <c r="E5199" s="1" t="s">
        <v>65</v>
      </c>
      <c r="F5199">
        <v>2012</v>
      </c>
      <c r="G5199">
        <v>10</v>
      </c>
      <c r="H5199" s="1" t="s">
        <v>21</v>
      </c>
      <c r="I5199">
        <v>19</v>
      </c>
      <c r="J5199">
        <v>2418</v>
      </c>
      <c r="K5199" s="1" t="s">
        <v>66</v>
      </c>
      <c r="L5199" s="1" t="s">
        <v>64</v>
      </c>
      <c r="M5199">
        <v>1.623</v>
      </c>
      <c r="N5199">
        <v>30829.5</v>
      </c>
      <c r="O5199">
        <v>30.829000000000001</v>
      </c>
      <c r="P5199" s="2">
        <v>44593</v>
      </c>
      <c r="Q5199">
        <v>1</v>
      </c>
      <c r="R5199" s="1" t="s">
        <v>40</v>
      </c>
    </row>
    <row r="5200" spans="1:18" x14ac:dyDescent="0.25">
      <c r="A5200">
        <v>2022</v>
      </c>
      <c r="B5200">
        <v>3</v>
      </c>
      <c r="C5200" s="1" t="s">
        <v>26</v>
      </c>
      <c r="D5200" s="1" t="s">
        <v>19</v>
      </c>
      <c r="E5200" s="1" t="s">
        <v>65</v>
      </c>
      <c r="F5200">
        <v>2012</v>
      </c>
      <c r="G5200">
        <v>10</v>
      </c>
      <c r="H5200" s="1" t="s">
        <v>21</v>
      </c>
      <c r="I5200">
        <v>19</v>
      </c>
      <c r="J5200">
        <v>2418</v>
      </c>
      <c r="K5200" s="1" t="s">
        <v>66</v>
      </c>
      <c r="L5200" s="1" t="s">
        <v>64</v>
      </c>
      <c r="M5200">
        <v>1.944</v>
      </c>
      <c r="N5200">
        <v>36941</v>
      </c>
      <c r="O5200">
        <v>36.941000000000003</v>
      </c>
      <c r="P5200" s="2">
        <v>44621</v>
      </c>
      <c r="Q5200">
        <v>1</v>
      </c>
      <c r="R5200" s="1" t="s">
        <v>40</v>
      </c>
    </row>
    <row r="5201" spans="1:18" x14ac:dyDescent="0.25">
      <c r="A5201">
        <v>2022</v>
      </c>
      <c r="B5201">
        <v>4</v>
      </c>
      <c r="C5201" s="1" t="s">
        <v>27</v>
      </c>
      <c r="D5201" s="1" t="s">
        <v>19</v>
      </c>
      <c r="E5201" s="1" t="s">
        <v>65</v>
      </c>
      <c r="F5201">
        <v>2012</v>
      </c>
      <c r="G5201">
        <v>10</v>
      </c>
      <c r="H5201" s="1" t="s">
        <v>21</v>
      </c>
      <c r="I5201">
        <v>19</v>
      </c>
      <c r="J5201">
        <v>2418</v>
      </c>
      <c r="K5201" s="1" t="s">
        <v>66</v>
      </c>
      <c r="L5201" s="1" t="s">
        <v>64</v>
      </c>
      <c r="M5201">
        <v>2.2229999999999999</v>
      </c>
      <c r="N5201">
        <v>42236.4</v>
      </c>
      <c r="O5201">
        <v>42.235999999999997</v>
      </c>
      <c r="P5201" s="2">
        <v>44652</v>
      </c>
      <c r="Q5201">
        <v>1</v>
      </c>
      <c r="R5201" s="1" t="s">
        <v>40</v>
      </c>
    </row>
    <row r="5202" spans="1:18" x14ac:dyDescent="0.25">
      <c r="A5202">
        <v>2022</v>
      </c>
      <c r="B5202">
        <v>5</v>
      </c>
      <c r="C5202" s="1" t="s">
        <v>28</v>
      </c>
      <c r="D5202" s="1" t="s">
        <v>19</v>
      </c>
      <c r="E5202" s="1" t="s">
        <v>65</v>
      </c>
      <c r="F5202">
        <v>2012</v>
      </c>
      <c r="G5202">
        <v>10</v>
      </c>
      <c r="H5202" s="1" t="s">
        <v>21</v>
      </c>
      <c r="I5202">
        <v>19</v>
      </c>
      <c r="J5202">
        <v>2418</v>
      </c>
      <c r="K5202" s="1" t="s">
        <v>66</v>
      </c>
      <c r="L5202" s="1" t="s">
        <v>64</v>
      </c>
      <c r="M5202">
        <v>2.0419999999999998</v>
      </c>
      <c r="N5202">
        <v>38790.800000000003</v>
      </c>
      <c r="O5202">
        <v>38.790999999999997</v>
      </c>
      <c r="P5202" s="2">
        <v>44682</v>
      </c>
      <c r="Q5202">
        <v>1</v>
      </c>
      <c r="R5202" s="1" t="s">
        <v>40</v>
      </c>
    </row>
    <row r="5203" spans="1:18" x14ac:dyDescent="0.25">
      <c r="A5203">
        <v>2022</v>
      </c>
      <c r="B5203">
        <v>6</v>
      </c>
      <c r="C5203" s="1" t="s">
        <v>29</v>
      </c>
      <c r="D5203" s="1" t="s">
        <v>19</v>
      </c>
      <c r="E5203" s="1" t="s">
        <v>65</v>
      </c>
      <c r="F5203">
        <v>2012</v>
      </c>
      <c r="G5203">
        <v>10</v>
      </c>
      <c r="H5203" s="1" t="s">
        <v>21</v>
      </c>
      <c r="I5203">
        <v>19</v>
      </c>
      <c r="J5203">
        <v>2418</v>
      </c>
      <c r="K5203" s="1" t="s">
        <v>66</v>
      </c>
      <c r="L5203" s="1" t="s">
        <v>64</v>
      </c>
      <c r="M5203">
        <v>2.25</v>
      </c>
      <c r="N5203">
        <v>42744.2</v>
      </c>
      <c r="O5203">
        <v>42.744</v>
      </c>
      <c r="P5203" s="2">
        <v>44713</v>
      </c>
      <c r="Q5203">
        <v>1</v>
      </c>
      <c r="R5203" s="1" t="s">
        <v>40</v>
      </c>
    </row>
    <row r="5204" spans="1:18" x14ac:dyDescent="0.25">
      <c r="A5204">
        <v>2022</v>
      </c>
      <c r="B5204">
        <v>7</v>
      </c>
      <c r="C5204" s="1" t="s">
        <v>30</v>
      </c>
      <c r="D5204" s="1" t="s">
        <v>19</v>
      </c>
      <c r="E5204" s="1" t="s">
        <v>65</v>
      </c>
      <c r="F5204">
        <v>2012</v>
      </c>
      <c r="G5204">
        <v>10</v>
      </c>
      <c r="H5204" s="1" t="s">
        <v>21</v>
      </c>
      <c r="I5204">
        <v>19</v>
      </c>
      <c r="J5204">
        <v>2418</v>
      </c>
      <c r="K5204" s="1" t="s">
        <v>66</v>
      </c>
      <c r="L5204" s="1" t="s">
        <v>64</v>
      </c>
      <c r="M5204">
        <v>1.3080000000000001</v>
      </c>
      <c r="N5204">
        <v>24845</v>
      </c>
      <c r="O5204">
        <v>24.844999999999999</v>
      </c>
      <c r="P5204" s="2">
        <v>44743</v>
      </c>
      <c r="Q5204">
        <v>1</v>
      </c>
      <c r="R5204" s="1" t="s">
        <v>40</v>
      </c>
    </row>
    <row r="5205" spans="1:18" x14ac:dyDescent="0.25">
      <c r="A5205">
        <v>2022</v>
      </c>
      <c r="B5205">
        <v>8</v>
      </c>
      <c r="C5205" s="1" t="s">
        <v>31</v>
      </c>
      <c r="D5205" s="1" t="s">
        <v>19</v>
      </c>
      <c r="E5205" s="1" t="s">
        <v>65</v>
      </c>
      <c r="F5205">
        <v>2012</v>
      </c>
      <c r="G5205">
        <v>10</v>
      </c>
      <c r="H5205" s="1" t="s">
        <v>21</v>
      </c>
      <c r="I5205">
        <v>19</v>
      </c>
      <c r="J5205">
        <v>2418</v>
      </c>
      <c r="K5205" s="1" t="s">
        <v>66</v>
      </c>
      <c r="L5205" s="1" t="s">
        <v>64</v>
      </c>
      <c r="M5205">
        <v>2.2090000000000001</v>
      </c>
      <c r="N5205">
        <v>41964.4</v>
      </c>
      <c r="O5205">
        <v>41.963999999999999</v>
      </c>
      <c r="P5205" s="2">
        <v>44774</v>
      </c>
      <c r="Q5205">
        <v>1</v>
      </c>
      <c r="R5205" s="1" t="s">
        <v>40</v>
      </c>
    </row>
    <row r="5206" spans="1:18" x14ac:dyDescent="0.25">
      <c r="A5206">
        <v>2022</v>
      </c>
      <c r="B5206">
        <v>9</v>
      </c>
      <c r="C5206" s="1" t="s">
        <v>32</v>
      </c>
      <c r="D5206" s="1" t="s">
        <v>19</v>
      </c>
      <c r="E5206" s="1" t="s">
        <v>65</v>
      </c>
      <c r="F5206">
        <v>2012</v>
      </c>
      <c r="G5206">
        <v>10</v>
      </c>
      <c r="H5206" s="1" t="s">
        <v>21</v>
      </c>
      <c r="I5206">
        <v>19</v>
      </c>
      <c r="J5206">
        <v>2418</v>
      </c>
      <c r="K5206" s="1" t="s">
        <v>66</v>
      </c>
      <c r="L5206" s="1" t="s">
        <v>64</v>
      </c>
      <c r="M5206">
        <v>2.383</v>
      </c>
      <c r="N5206">
        <v>45283.1</v>
      </c>
      <c r="O5206">
        <v>45.283000000000001</v>
      </c>
      <c r="P5206" s="2">
        <v>44805</v>
      </c>
      <c r="Q5206">
        <v>1</v>
      </c>
      <c r="R5206" s="1" t="s">
        <v>40</v>
      </c>
    </row>
    <row r="5207" spans="1:18" x14ac:dyDescent="0.25">
      <c r="A5207">
        <v>2022</v>
      </c>
      <c r="B5207">
        <v>10</v>
      </c>
      <c r="C5207" s="1" t="s">
        <v>33</v>
      </c>
      <c r="D5207" s="1" t="s">
        <v>19</v>
      </c>
      <c r="E5207" s="1" t="s">
        <v>65</v>
      </c>
      <c r="F5207">
        <v>2012</v>
      </c>
      <c r="G5207">
        <v>10</v>
      </c>
      <c r="H5207" s="1" t="s">
        <v>21</v>
      </c>
      <c r="I5207">
        <v>19</v>
      </c>
      <c r="J5207">
        <v>2418</v>
      </c>
      <c r="K5207" s="1" t="s">
        <v>66</v>
      </c>
      <c r="L5207" s="1" t="s">
        <v>64</v>
      </c>
      <c r="M5207">
        <v>2.2629999999999999</v>
      </c>
      <c r="N5207">
        <v>42998.1</v>
      </c>
      <c r="O5207">
        <v>42.997999999999998</v>
      </c>
      <c r="P5207" s="2">
        <v>44835</v>
      </c>
      <c r="Q5207">
        <v>1</v>
      </c>
      <c r="R5207" s="1" t="s">
        <v>40</v>
      </c>
    </row>
    <row r="5208" spans="1:18" x14ac:dyDescent="0.25">
      <c r="A5208">
        <v>2022</v>
      </c>
      <c r="B5208">
        <v>11</v>
      </c>
      <c r="C5208" s="1" t="s">
        <v>34</v>
      </c>
      <c r="D5208" s="1" t="s">
        <v>19</v>
      </c>
      <c r="E5208" s="1" t="s">
        <v>65</v>
      </c>
      <c r="F5208">
        <v>2012</v>
      </c>
      <c r="G5208">
        <v>10</v>
      </c>
      <c r="H5208" s="1" t="s">
        <v>21</v>
      </c>
      <c r="I5208">
        <v>19</v>
      </c>
      <c r="J5208">
        <v>2418</v>
      </c>
      <c r="K5208" s="1" t="s">
        <v>66</v>
      </c>
      <c r="L5208" s="1" t="s">
        <v>64</v>
      </c>
      <c r="M5208">
        <v>2.0249999999999999</v>
      </c>
      <c r="N5208">
        <v>38482.5</v>
      </c>
      <c r="O5208">
        <v>38.481999999999999</v>
      </c>
      <c r="P5208" s="2">
        <v>44866</v>
      </c>
      <c r="Q5208">
        <v>1</v>
      </c>
      <c r="R5208" s="1" t="s">
        <v>40</v>
      </c>
    </row>
    <row r="5209" spans="1:18" x14ac:dyDescent="0.25">
      <c r="A5209">
        <v>2022</v>
      </c>
      <c r="B5209">
        <v>12</v>
      </c>
      <c r="C5209" s="1" t="s">
        <v>35</v>
      </c>
      <c r="D5209" s="1" t="s">
        <v>19</v>
      </c>
      <c r="E5209" s="1" t="s">
        <v>65</v>
      </c>
      <c r="F5209">
        <v>2012</v>
      </c>
      <c r="G5209">
        <v>10</v>
      </c>
      <c r="H5209" s="1" t="s">
        <v>21</v>
      </c>
      <c r="I5209">
        <v>19</v>
      </c>
      <c r="J5209">
        <v>2418</v>
      </c>
      <c r="K5209" s="1" t="s">
        <v>66</v>
      </c>
      <c r="L5209" s="1" t="s">
        <v>64</v>
      </c>
      <c r="M5209">
        <v>2.0489999999999999</v>
      </c>
      <c r="N5209">
        <v>38935.800000000003</v>
      </c>
      <c r="O5209">
        <v>38.936</v>
      </c>
      <c r="P5209" s="2">
        <v>44896</v>
      </c>
      <c r="Q5209">
        <v>1</v>
      </c>
      <c r="R5209" s="1" t="s">
        <v>40</v>
      </c>
    </row>
    <row r="5210" spans="1:18" x14ac:dyDescent="0.25">
      <c r="A5210">
        <v>2022</v>
      </c>
      <c r="B5210">
        <v>1</v>
      </c>
      <c r="C5210" s="1" t="s">
        <v>18</v>
      </c>
      <c r="D5210" s="1" t="s">
        <v>19</v>
      </c>
      <c r="E5210" s="1" t="s">
        <v>67</v>
      </c>
      <c r="F5210">
        <v>2012</v>
      </c>
      <c r="G5210">
        <v>10</v>
      </c>
      <c r="H5210" s="1" t="s">
        <v>21</v>
      </c>
      <c r="I5210">
        <v>25</v>
      </c>
      <c r="J5210">
        <v>3205</v>
      </c>
      <c r="K5210" s="1" t="s">
        <v>68</v>
      </c>
      <c r="L5210" s="1" t="s">
        <v>64</v>
      </c>
      <c r="M5210">
        <v>0.45500000000000002</v>
      </c>
      <c r="N5210">
        <v>11369.7</v>
      </c>
      <c r="O5210">
        <v>11.37</v>
      </c>
      <c r="P5210" s="2">
        <v>44562</v>
      </c>
      <c r="Q5210">
        <v>1</v>
      </c>
      <c r="R5210" s="1" t="s">
        <v>40</v>
      </c>
    </row>
    <row r="5211" spans="1:18" x14ac:dyDescent="0.25">
      <c r="A5211">
        <v>2022</v>
      </c>
      <c r="B5211">
        <v>2</v>
      </c>
      <c r="C5211" s="1" t="s">
        <v>25</v>
      </c>
      <c r="D5211" s="1" t="s">
        <v>19</v>
      </c>
      <c r="E5211" s="1" t="s">
        <v>67</v>
      </c>
      <c r="F5211">
        <v>2012</v>
      </c>
      <c r="G5211">
        <v>10</v>
      </c>
      <c r="H5211" s="1" t="s">
        <v>21</v>
      </c>
      <c r="I5211">
        <v>25</v>
      </c>
      <c r="J5211">
        <v>3205</v>
      </c>
      <c r="K5211" s="1" t="s">
        <v>68</v>
      </c>
      <c r="L5211" s="1" t="s">
        <v>64</v>
      </c>
      <c r="M5211">
        <v>1.635</v>
      </c>
      <c r="N5211">
        <v>40863.699999999997</v>
      </c>
      <c r="O5211">
        <v>40.863999999999997</v>
      </c>
      <c r="P5211" s="2">
        <v>44593</v>
      </c>
      <c r="Q5211">
        <v>1</v>
      </c>
      <c r="R5211" s="1" t="s">
        <v>40</v>
      </c>
    </row>
    <row r="5212" spans="1:18" x14ac:dyDescent="0.25">
      <c r="A5212">
        <v>2022</v>
      </c>
      <c r="B5212">
        <v>3</v>
      </c>
      <c r="C5212" s="1" t="s">
        <v>26</v>
      </c>
      <c r="D5212" s="1" t="s">
        <v>19</v>
      </c>
      <c r="E5212" s="1" t="s">
        <v>67</v>
      </c>
      <c r="F5212">
        <v>2012</v>
      </c>
      <c r="G5212">
        <v>10</v>
      </c>
      <c r="H5212" s="1" t="s">
        <v>21</v>
      </c>
      <c r="I5212">
        <v>25</v>
      </c>
      <c r="J5212">
        <v>3205</v>
      </c>
      <c r="K5212" s="1" t="s">
        <v>68</v>
      </c>
      <c r="L5212" s="1" t="s">
        <v>64</v>
      </c>
      <c r="M5212">
        <v>1.9590000000000001</v>
      </c>
      <c r="N5212">
        <v>48964.4</v>
      </c>
      <c r="O5212">
        <v>48.963999999999999</v>
      </c>
      <c r="P5212" s="2">
        <v>44621</v>
      </c>
      <c r="Q5212">
        <v>1</v>
      </c>
      <c r="R5212" s="1" t="s">
        <v>40</v>
      </c>
    </row>
    <row r="5213" spans="1:18" x14ac:dyDescent="0.25">
      <c r="A5213">
        <v>2022</v>
      </c>
      <c r="B5213">
        <v>4</v>
      </c>
      <c r="C5213" s="1" t="s">
        <v>27</v>
      </c>
      <c r="D5213" s="1" t="s">
        <v>19</v>
      </c>
      <c r="E5213" s="1" t="s">
        <v>67</v>
      </c>
      <c r="F5213">
        <v>2012</v>
      </c>
      <c r="G5213">
        <v>10</v>
      </c>
      <c r="H5213" s="1" t="s">
        <v>21</v>
      </c>
      <c r="I5213">
        <v>25</v>
      </c>
      <c r="J5213">
        <v>3205</v>
      </c>
      <c r="K5213" s="1" t="s">
        <v>68</v>
      </c>
      <c r="L5213" s="1" t="s">
        <v>64</v>
      </c>
      <c r="M5213">
        <v>2.2389999999999999</v>
      </c>
      <c r="N5213">
        <v>55983.3</v>
      </c>
      <c r="O5213">
        <v>55.982999999999997</v>
      </c>
      <c r="P5213" s="2">
        <v>44652</v>
      </c>
      <c r="Q5213">
        <v>1</v>
      </c>
      <c r="R5213" s="1" t="s">
        <v>40</v>
      </c>
    </row>
    <row r="5214" spans="1:18" x14ac:dyDescent="0.25">
      <c r="A5214">
        <v>2022</v>
      </c>
      <c r="B5214">
        <v>5</v>
      </c>
      <c r="C5214" s="1" t="s">
        <v>28</v>
      </c>
      <c r="D5214" s="1" t="s">
        <v>19</v>
      </c>
      <c r="E5214" s="1" t="s">
        <v>67</v>
      </c>
      <c r="F5214">
        <v>2012</v>
      </c>
      <c r="G5214">
        <v>10</v>
      </c>
      <c r="H5214" s="1" t="s">
        <v>21</v>
      </c>
      <c r="I5214">
        <v>25</v>
      </c>
      <c r="J5214">
        <v>3205</v>
      </c>
      <c r="K5214" s="1" t="s">
        <v>68</v>
      </c>
      <c r="L5214" s="1" t="s">
        <v>64</v>
      </c>
      <c r="M5214">
        <v>2.0569999999999999</v>
      </c>
      <c r="N5214">
        <v>51416.2</v>
      </c>
      <c r="O5214">
        <v>51.415999999999997</v>
      </c>
      <c r="P5214" s="2">
        <v>44682</v>
      </c>
      <c r="Q5214">
        <v>1</v>
      </c>
      <c r="R5214" s="1" t="s">
        <v>40</v>
      </c>
    </row>
    <row r="5215" spans="1:18" x14ac:dyDescent="0.25">
      <c r="A5215">
        <v>2022</v>
      </c>
      <c r="B5215">
        <v>6</v>
      </c>
      <c r="C5215" s="1" t="s">
        <v>29</v>
      </c>
      <c r="D5215" s="1" t="s">
        <v>19</v>
      </c>
      <c r="E5215" s="1" t="s">
        <v>67</v>
      </c>
      <c r="F5215">
        <v>2012</v>
      </c>
      <c r="G5215">
        <v>10</v>
      </c>
      <c r="H5215" s="1" t="s">
        <v>21</v>
      </c>
      <c r="I5215">
        <v>25</v>
      </c>
      <c r="J5215">
        <v>3205</v>
      </c>
      <c r="K5215" s="1" t="s">
        <v>68</v>
      </c>
      <c r="L5215" s="1" t="s">
        <v>64</v>
      </c>
      <c r="M5215">
        <v>2.266</v>
      </c>
      <c r="N5215">
        <v>56656.4</v>
      </c>
      <c r="O5215">
        <v>56.655999999999999</v>
      </c>
      <c r="P5215" s="2">
        <v>44713</v>
      </c>
      <c r="Q5215">
        <v>1</v>
      </c>
      <c r="R5215" s="1" t="s">
        <v>40</v>
      </c>
    </row>
    <row r="5216" spans="1:18" x14ac:dyDescent="0.25">
      <c r="A5216">
        <v>2022</v>
      </c>
      <c r="B5216">
        <v>7</v>
      </c>
      <c r="C5216" s="1" t="s">
        <v>30</v>
      </c>
      <c r="D5216" s="1" t="s">
        <v>19</v>
      </c>
      <c r="E5216" s="1" t="s">
        <v>67</v>
      </c>
      <c r="F5216">
        <v>2012</v>
      </c>
      <c r="G5216">
        <v>10</v>
      </c>
      <c r="H5216" s="1" t="s">
        <v>21</v>
      </c>
      <c r="I5216">
        <v>25</v>
      </c>
      <c r="J5216">
        <v>3205</v>
      </c>
      <c r="K5216" s="1" t="s">
        <v>68</v>
      </c>
      <c r="L5216" s="1" t="s">
        <v>64</v>
      </c>
      <c r="M5216">
        <v>1.3169999999999999</v>
      </c>
      <c r="N5216">
        <v>32931.4</v>
      </c>
      <c r="O5216">
        <v>32.930999999999997</v>
      </c>
      <c r="P5216" s="2">
        <v>44743</v>
      </c>
      <c r="Q5216">
        <v>1</v>
      </c>
      <c r="R5216" s="1" t="s">
        <v>40</v>
      </c>
    </row>
    <row r="5217" spans="1:18" x14ac:dyDescent="0.25">
      <c r="A5217">
        <v>2022</v>
      </c>
      <c r="B5217">
        <v>8</v>
      </c>
      <c r="C5217" s="1" t="s">
        <v>31</v>
      </c>
      <c r="D5217" s="1" t="s">
        <v>19</v>
      </c>
      <c r="E5217" s="1" t="s">
        <v>67</v>
      </c>
      <c r="F5217">
        <v>2012</v>
      </c>
      <c r="G5217">
        <v>10</v>
      </c>
      <c r="H5217" s="1" t="s">
        <v>21</v>
      </c>
      <c r="I5217">
        <v>25</v>
      </c>
      <c r="J5217">
        <v>3205</v>
      </c>
      <c r="K5217" s="1" t="s">
        <v>68</v>
      </c>
      <c r="L5217" s="1" t="s">
        <v>64</v>
      </c>
      <c r="M5217">
        <v>2.2250000000000001</v>
      </c>
      <c r="N5217">
        <v>55622.8</v>
      </c>
      <c r="O5217">
        <v>55.622999999999998</v>
      </c>
      <c r="P5217" s="2">
        <v>44774</v>
      </c>
      <c r="Q5217">
        <v>1</v>
      </c>
      <c r="R5217" s="1" t="s">
        <v>40</v>
      </c>
    </row>
    <row r="5218" spans="1:18" x14ac:dyDescent="0.25">
      <c r="A5218">
        <v>2022</v>
      </c>
      <c r="B5218">
        <v>9</v>
      </c>
      <c r="C5218" s="1" t="s">
        <v>32</v>
      </c>
      <c r="D5218" s="1" t="s">
        <v>19</v>
      </c>
      <c r="E5218" s="1" t="s">
        <v>67</v>
      </c>
      <c r="F5218">
        <v>2012</v>
      </c>
      <c r="G5218">
        <v>10</v>
      </c>
      <c r="H5218" s="1" t="s">
        <v>21</v>
      </c>
      <c r="I5218">
        <v>25</v>
      </c>
      <c r="J5218">
        <v>3205</v>
      </c>
      <c r="K5218" s="1" t="s">
        <v>68</v>
      </c>
      <c r="L5218" s="1" t="s">
        <v>64</v>
      </c>
      <c r="M5218">
        <v>2.4009999999999998</v>
      </c>
      <c r="N5218">
        <v>60021.599999999999</v>
      </c>
      <c r="O5218">
        <v>60.021999999999998</v>
      </c>
      <c r="P5218" s="2">
        <v>44805</v>
      </c>
      <c r="Q5218">
        <v>1</v>
      </c>
      <c r="R5218" s="1" t="s">
        <v>40</v>
      </c>
    </row>
    <row r="5219" spans="1:18" x14ac:dyDescent="0.25">
      <c r="A5219">
        <v>2022</v>
      </c>
      <c r="B5219">
        <v>10</v>
      </c>
      <c r="C5219" s="1" t="s">
        <v>33</v>
      </c>
      <c r="D5219" s="1" t="s">
        <v>19</v>
      </c>
      <c r="E5219" s="1" t="s">
        <v>67</v>
      </c>
      <c r="F5219">
        <v>2012</v>
      </c>
      <c r="G5219">
        <v>10</v>
      </c>
      <c r="H5219" s="1" t="s">
        <v>21</v>
      </c>
      <c r="I5219">
        <v>25</v>
      </c>
      <c r="J5219">
        <v>3205</v>
      </c>
      <c r="K5219" s="1" t="s">
        <v>68</v>
      </c>
      <c r="L5219" s="1" t="s">
        <v>64</v>
      </c>
      <c r="M5219">
        <v>2.2799999999999998</v>
      </c>
      <c r="N5219">
        <v>56992.9</v>
      </c>
      <c r="O5219">
        <v>56.993000000000002</v>
      </c>
      <c r="P5219" s="2">
        <v>44835</v>
      </c>
      <c r="Q5219">
        <v>1</v>
      </c>
      <c r="R5219" s="1" t="s">
        <v>40</v>
      </c>
    </row>
    <row r="5220" spans="1:18" x14ac:dyDescent="0.25">
      <c r="A5220">
        <v>2022</v>
      </c>
      <c r="B5220">
        <v>11</v>
      </c>
      <c r="C5220" s="1" t="s">
        <v>34</v>
      </c>
      <c r="D5220" s="1" t="s">
        <v>19</v>
      </c>
      <c r="E5220" s="1" t="s">
        <v>67</v>
      </c>
      <c r="F5220">
        <v>2012</v>
      </c>
      <c r="G5220">
        <v>10</v>
      </c>
      <c r="H5220" s="1" t="s">
        <v>21</v>
      </c>
      <c r="I5220">
        <v>25</v>
      </c>
      <c r="J5220">
        <v>3205</v>
      </c>
      <c r="K5220" s="1" t="s">
        <v>68</v>
      </c>
      <c r="L5220" s="1" t="s">
        <v>64</v>
      </c>
      <c r="M5220">
        <v>2.04</v>
      </c>
      <c r="N5220">
        <v>51007.6</v>
      </c>
      <c r="O5220">
        <v>51.008000000000003</v>
      </c>
      <c r="P5220" s="2">
        <v>44866</v>
      </c>
      <c r="Q5220">
        <v>1</v>
      </c>
      <c r="R5220" s="1" t="s">
        <v>40</v>
      </c>
    </row>
    <row r="5221" spans="1:18" x14ac:dyDescent="0.25">
      <c r="A5221">
        <v>2022</v>
      </c>
      <c r="B5221">
        <v>12</v>
      </c>
      <c r="C5221" s="1" t="s">
        <v>35</v>
      </c>
      <c r="D5221" s="1" t="s">
        <v>19</v>
      </c>
      <c r="E5221" s="1" t="s">
        <v>67</v>
      </c>
      <c r="F5221">
        <v>2012</v>
      </c>
      <c r="G5221">
        <v>10</v>
      </c>
      <c r="H5221" s="1" t="s">
        <v>21</v>
      </c>
      <c r="I5221">
        <v>25</v>
      </c>
      <c r="J5221">
        <v>3205</v>
      </c>
      <c r="K5221" s="1" t="s">
        <v>68</v>
      </c>
      <c r="L5221" s="1" t="s">
        <v>64</v>
      </c>
      <c r="M5221">
        <v>2.0640000000000001</v>
      </c>
      <c r="N5221">
        <v>51608.5</v>
      </c>
      <c r="O5221">
        <v>51.609000000000002</v>
      </c>
      <c r="P5221" s="2">
        <v>44896</v>
      </c>
      <c r="Q5221">
        <v>1</v>
      </c>
      <c r="R5221" s="1" t="s">
        <v>40</v>
      </c>
    </row>
    <row r="5222" spans="1:18" x14ac:dyDescent="0.25">
      <c r="A5222">
        <v>2022</v>
      </c>
      <c r="B5222">
        <v>1</v>
      </c>
      <c r="C5222" s="1" t="s">
        <v>18</v>
      </c>
      <c r="D5222" s="1" t="s">
        <v>19</v>
      </c>
      <c r="E5222" s="1" t="s">
        <v>69</v>
      </c>
      <c r="F5222">
        <v>2012</v>
      </c>
      <c r="G5222">
        <v>10</v>
      </c>
      <c r="H5222" s="1" t="s">
        <v>21</v>
      </c>
      <c r="I5222">
        <v>19</v>
      </c>
      <c r="J5222">
        <v>2469</v>
      </c>
      <c r="K5222" s="1" t="s">
        <v>70</v>
      </c>
      <c r="L5222" s="1" t="s">
        <v>45</v>
      </c>
      <c r="M5222">
        <v>0.46100000000000002</v>
      </c>
      <c r="N5222">
        <v>8758.7999999999993</v>
      </c>
      <c r="O5222">
        <v>8.7590000000000003</v>
      </c>
      <c r="P5222" s="2">
        <v>44562</v>
      </c>
      <c r="Q5222">
        <v>1</v>
      </c>
      <c r="R5222" s="1" t="s">
        <v>40</v>
      </c>
    </row>
    <row r="5223" spans="1:18" x14ac:dyDescent="0.25">
      <c r="A5223">
        <v>2022</v>
      </c>
      <c r="B5223">
        <v>2</v>
      </c>
      <c r="C5223" s="1" t="s">
        <v>25</v>
      </c>
      <c r="D5223" s="1" t="s">
        <v>19</v>
      </c>
      <c r="E5223" s="1" t="s">
        <v>69</v>
      </c>
      <c r="F5223">
        <v>2012</v>
      </c>
      <c r="G5223">
        <v>10</v>
      </c>
      <c r="H5223" s="1" t="s">
        <v>21</v>
      </c>
      <c r="I5223">
        <v>19</v>
      </c>
      <c r="J5223">
        <v>2469</v>
      </c>
      <c r="K5223" s="1" t="s">
        <v>70</v>
      </c>
      <c r="L5223" s="1" t="s">
        <v>45</v>
      </c>
      <c r="M5223">
        <v>1.657</v>
      </c>
      <c r="N5223">
        <v>31479.8</v>
      </c>
      <c r="O5223">
        <v>31.48</v>
      </c>
      <c r="P5223" s="2">
        <v>44593</v>
      </c>
      <c r="Q5223">
        <v>1</v>
      </c>
      <c r="R5223" s="1" t="s">
        <v>40</v>
      </c>
    </row>
    <row r="5224" spans="1:18" x14ac:dyDescent="0.25">
      <c r="A5224">
        <v>2022</v>
      </c>
      <c r="B5224">
        <v>3</v>
      </c>
      <c r="C5224" s="1" t="s">
        <v>26</v>
      </c>
      <c r="D5224" s="1" t="s">
        <v>19</v>
      </c>
      <c r="E5224" s="1" t="s">
        <v>69</v>
      </c>
      <c r="F5224">
        <v>2012</v>
      </c>
      <c r="G5224">
        <v>10</v>
      </c>
      <c r="H5224" s="1" t="s">
        <v>21</v>
      </c>
      <c r="I5224">
        <v>19</v>
      </c>
      <c r="J5224">
        <v>2469</v>
      </c>
      <c r="K5224" s="1" t="s">
        <v>70</v>
      </c>
      <c r="L5224" s="1" t="s">
        <v>45</v>
      </c>
      <c r="M5224">
        <v>1.9850000000000001</v>
      </c>
      <c r="N5224">
        <v>37720.1</v>
      </c>
      <c r="O5224">
        <v>37.72</v>
      </c>
      <c r="P5224" s="2">
        <v>44621</v>
      </c>
      <c r="Q5224">
        <v>1</v>
      </c>
      <c r="R5224" s="1" t="s">
        <v>40</v>
      </c>
    </row>
    <row r="5225" spans="1:18" x14ac:dyDescent="0.25">
      <c r="A5225">
        <v>2022</v>
      </c>
      <c r="B5225">
        <v>4</v>
      </c>
      <c r="C5225" s="1" t="s">
        <v>27</v>
      </c>
      <c r="D5225" s="1" t="s">
        <v>19</v>
      </c>
      <c r="E5225" s="1" t="s">
        <v>69</v>
      </c>
      <c r="F5225">
        <v>2012</v>
      </c>
      <c r="G5225">
        <v>10</v>
      </c>
      <c r="H5225" s="1" t="s">
        <v>21</v>
      </c>
      <c r="I5225">
        <v>19</v>
      </c>
      <c r="J5225">
        <v>2469</v>
      </c>
      <c r="K5225" s="1" t="s">
        <v>70</v>
      </c>
      <c r="L5225" s="1" t="s">
        <v>45</v>
      </c>
      <c r="M5225">
        <v>2.27</v>
      </c>
      <c r="N5225">
        <v>43127.3</v>
      </c>
      <c r="O5225">
        <v>43.127000000000002</v>
      </c>
      <c r="P5225" s="2">
        <v>44652</v>
      </c>
      <c r="Q5225">
        <v>1</v>
      </c>
      <c r="R5225" s="1" t="s">
        <v>40</v>
      </c>
    </row>
    <row r="5226" spans="1:18" x14ac:dyDescent="0.25">
      <c r="A5226">
        <v>2022</v>
      </c>
      <c r="B5226">
        <v>5</v>
      </c>
      <c r="C5226" s="1" t="s">
        <v>28</v>
      </c>
      <c r="D5226" s="1" t="s">
        <v>19</v>
      </c>
      <c r="E5226" s="1" t="s">
        <v>69</v>
      </c>
      <c r="F5226">
        <v>2012</v>
      </c>
      <c r="G5226">
        <v>10</v>
      </c>
      <c r="H5226" s="1" t="s">
        <v>21</v>
      </c>
      <c r="I5226">
        <v>19</v>
      </c>
      <c r="J5226">
        <v>2469</v>
      </c>
      <c r="K5226" s="1" t="s">
        <v>70</v>
      </c>
      <c r="L5226" s="1" t="s">
        <v>45</v>
      </c>
      <c r="M5226">
        <v>2.085</v>
      </c>
      <c r="N5226">
        <v>39608.9</v>
      </c>
      <c r="O5226">
        <v>39.609000000000002</v>
      </c>
      <c r="P5226" s="2">
        <v>44682</v>
      </c>
      <c r="Q5226">
        <v>1</v>
      </c>
      <c r="R5226" s="1" t="s">
        <v>40</v>
      </c>
    </row>
    <row r="5227" spans="1:18" x14ac:dyDescent="0.25">
      <c r="A5227">
        <v>2022</v>
      </c>
      <c r="B5227">
        <v>6</v>
      </c>
      <c r="C5227" s="1" t="s">
        <v>29</v>
      </c>
      <c r="D5227" s="1" t="s">
        <v>19</v>
      </c>
      <c r="E5227" s="1" t="s">
        <v>69</v>
      </c>
      <c r="F5227">
        <v>2012</v>
      </c>
      <c r="G5227">
        <v>10</v>
      </c>
      <c r="H5227" s="1" t="s">
        <v>21</v>
      </c>
      <c r="I5227">
        <v>19</v>
      </c>
      <c r="J5227">
        <v>2469</v>
      </c>
      <c r="K5227" s="1" t="s">
        <v>70</v>
      </c>
      <c r="L5227" s="1" t="s">
        <v>45</v>
      </c>
      <c r="M5227">
        <v>2.2970000000000002</v>
      </c>
      <c r="N5227">
        <v>43645.7</v>
      </c>
      <c r="O5227">
        <v>43.646000000000001</v>
      </c>
      <c r="P5227" s="2">
        <v>44713</v>
      </c>
      <c r="Q5227">
        <v>1</v>
      </c>
      <c r="R5227" s="1" t="s">
        <v>40</v>
      </c>
    </row>
    <row r="5228" spans="1:18" x14ac:dyDescent="0.25">
      <c r="A5228">
        <v>2022</v>
      </c>
      <c r="B5228">
        <v>7</v>
      </c>
      <c r="C5228" s="1" t="s">
        <v>30</v>
      </c>
      <c r="D5228" s="1" t="s">
        <v>19</v>
      </c>
      <c r="E5228" s="1" t="s">
        <v>69</v>
      </c>
      <c r="F5228">
        <v>2012</v>
      </c>
      <c r="G5228">
        <v>10</v>
      </c>
      <c r="H5228" s="1" t="s">
        <v>21</v>
      </c>
      <c r="I5228">
        <v>19</v>
      </c>
      <c r="J5228">
        <v>2469</v>
      </c>
      <c r="K5228" s="1" t="s">
        <v>70</v>
      </c>
      <c r="L5228" s="1" t="s">
        <v>45</v>
      </c>
      <c r="M5228">
        <v>1.335</v>
      </c>
      <c r="N5228">
        <v>25369</v>
      </c>
      <c r="O5228">
        <v>25.369</v>
      </c>
      <c r="P5228" s="2">
        <v>44743</v>
      </c>
      <c r="Q5228">
        <v>1</v>
      </c>
      <c r="R5228" s="1" t="s">
        <v>40</v>
      </c>
    </row>
    <row r="5229" spans="1:18" x14ac:dyDescent="0.25">
      <c r="A5229">
        <v>2022</v>
      </c>
      <c r="B5229">
        <v>8</v>
      </c>
      <c r="C5229" s="1" t="s">
        <v>31</v>
      </c>
      <c r="D5229" s="1" t="s">
        <v>19</v>
      </c>
      <c r="E5229" s="1" t="s">
        <v>69</v>
      </c>
      <c r="F5229">
        <v>2012</v>
      </c>
      <c r="G5229">
        <v>10</v>
      </c>
      <c r="H5229" s="1" t="s">
        <v>21</v>
      </c>
      <c r="I5229">
        <v>19</v>
      </c>
      <c r="J5229">
        <v>2469</v>
      </c>
      <c r="K5229" s="1" t="s">
        <v>70</v>
      </c>
      <c r="L5229" s="1" t="s">
        <v>45</v>
      </c>
      <c r="M5229">
        <v>2.2549999999999999</v>
      </c>
      <c r="N5229">
        <v>42849.5</v>
      </c>
      <c r="O5229">
        <v>42.848999999999997</v>
      </c>
      <c r="P5229" s="2">
        <v>44774</v>
      </c>
      <c r="Q5229">
        <v>1</v>
      </c>
      <c r="R5229" s="1" t="s">
        <v>40</v>
      </c>
    </row>
    <row r="5230" spans="1:18" x14ac:dyDescent="0.25">
      <c r="A5230">
        <v>2022</v>
      </c>
      <c r="B5230">
        <v>9</v>
      </c>
      <c r="C5230" s="1" t="s">
        <v>32</v>
      </c>
      <c r="D5230" s="1" t="s">
        <v>19</v>
      </c>
      <c r="E5230" s="1" t="s">
        <v>69</v>
      </c>
      <c r="F5230">
        <v>2012</v>
      </c>
      <c r="G5230">
        <v>10</v>
      </c>
      <c r="H5230" s="1" t="s">
        <v>21</v>
      </c>
      <c r="I5230">
        <v>19</v>
      </c>
      <c r="J5230">
        <v>2469</v>
      </c>
      <c r="K5230" s="1" t="s">
        <v>70</v>
      </c>
      <c r="L5230" s="1" t="s">
        <v>45</v>
      </c>
      <c r="M5230">
        <v>2.4340000000000002</v>
      </c>
      <c r="N5230">
        <v>46238.2</v>
      </c>
      <c r="O5230">
        <v>46.238</v>
      </c>
      <c r="P5230" s="2">
        <v>44805</v>
      </c>
      <c r="Q5230">
        <v>1</v>
      </c>
      <c r="R5230" s="1" t="s">
        <v>40</v>
      </c>
    </row>
    <row r="5231" spans="1:18" x14ac:dyDescent="0.25">
      <c r="A5231">
        <v>2022</v>
      </c>
      <c r="B5231">
        <v>10</v>
      </c>
      <c r="C5231" s="1" t="s">
        <v>33</v>
      </c>
      <c r="D5231" s="1" t="s">
        <v>19</v>
      </c>
      <c r="E5231" s="1" t="s">
        <v>69</v>
      </c>
      <c r="F5231">
        <v>2012</v>
      </c>
      <c r="G5231">
        <v>10</v>
      </c>
      <c r="H5231" s="1" t="s">
        <v>21</v>
      </c>
      <c r="I5231">
        <v>19</v>
      </c>
      <c r="J5231">
        <v>2469</v>
      </c>
      <c r="K5231" s="1" t="s">
        <v>70</v>
      </c>
      <c r="L5231" s="1" t="s">
        <v>45</v>
      </c>
      <c r="M5231">
        <v>2.3109999999999999</v>
      </c>
      <c r="N5231">
        <v>43905</v>
      </c>
      <c r="O5231">
        <v>43.905000000000001</v>
      </c>
      <c r="P5231" s="2">
        <v>44835</v>
      </c>
      <c r="Q5231">
        <v>1</v>
      </c>
      <c r="R5231" s="1" t="s">
        <v>40</v>
      </c>
    </row>
    <row r="5232" spans="1:18" x14ac:dyDescent="0.25">
      <c r="A5232">
        <v>2022</v>
      </c>
      <c r="B5232">
        <v>11</v>
      </c>
      <c r="C5232" s="1" t="s">
        <v>34</v>
      </c>
      <c r="D5232" s="1" t="s">
        <v>19</v>
      </c>
      <c r="E5232" s="1" t="s">
        <v>69</v>
      </c>
      <c r="F5232">
        <v>2012</v>
      </c>
      <c r="G5232">
        <v>10</v>
      </c>
      <c r="H5232" s="1" t="s">
        <v>21</v>
      </c>
      <c r="I5232">
        <v>19</v>
      </c>
      <c r="J5232">
        <v>2469</v>
      </c>
      <c r="K5232" s="1" t="s">
        <v>70</v>
      </c>
      <c r="L5232" s="1" t="s">
        <v>45</v>
      </c>
      <c r="M5232">
        <v>2.0680000000000001</v>
      </c>
      <c r="N5232">
        <v>39294.1</v>
      </c>
      <c r="O5232">
        <v>39.293999999999997</v>
      </c>
      <c r="P5232" s="2">
        <v>44866</v>
      </c>
      <c r="Q5232">
        <v>1</v>
      </c>
      <c r="R5232" s="1" t="s">
        <v>40</v>
      </c>
    </row>
    <row r="5233" spans="1:18" x14ac:dyDescent="0.25">
      <c r="A5233">
        <v>2022</v>
      </c>
      <c r="B5233">
        <v>12</v>
      </c>
      <c r="C5233" s="1" t="s">
        <v>35</v>
      </c>
      <c r="D5233" s="1" t="s">
        <v>19</v>
      </c>
      <c r="E5233" s="1" t="s">
        <v>69</v>
      </c>
      <c r="F5233">
        <v>2012</v>
      </c>
      <c r="G5233">
        <v>10</v>
      </c>
      <c r="H5233" s="1" t="s">
        <v>21</v>
      </c>
      <c r="I5233">
        <v>19</v>
      </c>
      <c r="J5233">
        <v>2469</v>
      </c>
      <c r="K5233" s="1" t="s">
        <v>70</v>
      </c>
      <c r="L5233" s="1" t="s">
        <v>45</v>
      </c>
      <c r="M5233">
        <v>2.0920000000000001</v>
      </c>
      <c r="N5233">
        <v>39757.1</v>
      </c>
      <c r="O5233">
        <v>39.756999999999998</v>
      </c>
      <c r="P5233" s="2">
        <v>44896</v>
      </c>
      <c r="Q5233">
        <v>1</v>
      </c>
      <c r="R5233" s="1" t="s">
        <v>40</v>
      </c>
    </row>
    <row r="5234" spans="1:18" x14ac:dyDescent="0.25">
      <c r="A5234">
        <v>2022</v>
      </c>
      <c r="B5234">
        <v>1</v>
      </c>
      <c r="C5234" s="1" t="s">
        <v>18</v>
      </c>
      <c r="D5234" s="1" t="s">
        <v>19</v>
      </c>
      <c r="E5234" s="1" t="s">
        <v>71</v>
      </c>
      <c r="F5234">
        <v>2012</v>
      </c>
      <c r="G5234">
        <v>10</v>
      </c>
      <c r="H5234" s="1" t="s">
        <v>21</v>
      </c>
      <c r="I5234">
        <v>20</v>
      </c>
      <c r="J5234">
        <v>2704</v>
      </c>
      <c r="K5234" s="1" t="s">
        <v>72</v>
      </c>
      <c r="L5234" s="1" t="s">
        <v>64</v>
      </c>
      <c r="M5234">
        <v>0.48</v>
      </c>
      <c r="N5234">
        <v>9592.4</v>
      </c>
      <c r="O5234">
        <v>9.5920000000000005</v>
      </c>
      <c r="P5234" s="2">
        <v>44562</v>
      </c>
      <c r="Q5234">
        <v>1</v>
      </c>
      <c r="R5234" s="1" t="s">
        <v>40</v>
      </c>
    </row>
    <row r="5235" spans="1:18" x14ac:dyDescent="0.25">
      <c r="A5235">
        <v>2022</v>
      </c>
      <c r="B5235">
        <v>2</v>
      </c>
      <c r="C5235" s="1" t="s">
        <v>25</v>
      </c>
      <c r="D5235" s="1" t="s">
        <v>19</v>
      </c>
      <c r="E5235" s="1" t="s">
        <v>71</v>
      </c>
      <c r="F5235">
        <v>2012</v>
      </c>
      <c r="G5235">
        <v>10</v>
      </c>
      <c r="H5235" s="1" t="s">
        <v>21</v>
      </c>
      <c r="I5235">
        <v>20</v>
      </c>
      <c r="J5235">
        <v>2704</v>
      </c>
      <c r="K5235" s="1" t="s">
        <v>72</v>
      </c>
      <c r="L5235" s="1" t="s">
        <v>64</v>
      </c>
      <c r="M5235">
        <v>1.724</v>
      </c>
      <c r="N5235">
        <v>34476</v>
      </c>
      <c r="O5235">
        <v>34.475999999999999</v>
      </c>
      <c r="P5235" s="2">
        <v>44593</v>
      </c>
      <c r="Q5235">
        <v>1</v>
      </c>
      <c r="R5235" s="1" t="s">
        <v>40</v>
      </c>
    </row>
    <row r="5236" spans="1:18" x14ac:dyDescent="0.25">
      <c r="A5236">
        <v>2022</v>
      </c>
      <c r="B5236">
        <v>3</v>
      </c>
      <c r="C5236" s="1" t="s">
        <v>26</v>
      </c>
      <c r="D5236" s="1" t="s">
        <v>19</v>
      </c>
      <c r="E5236" s="1" t="s">
        <v>71</v>
      </c>
      <c r="F5236">
        <v>2012</v>
      </c>
      <c r="G5236">
        <v>10</v>
      </c>
      <c r="H5236" s="1" t="s">
        <v>21</v>
      </c>
      <c r="I5236">
        <v>20</v>
      </c>
      <c r="J5236">
        <v>2704</v>
      </c>
      <c r="K5236" s="1" t="s">
        <v>72</v>
      </c>
      <c r="L5236" s="1" t="s">
        <v>64</v>
      </c>
      <c r="M5236">
        <v>2.0659999999999998</v>
      </c>
      <c r="N5236">
        <v>41310.400000000001</v>
      </c>
      <c r="O5236">
        <v>41.31</v>
      </c>
      <c r="P5236" s="2">
        <v>44621</v>
      </c>
      <c r="Q5236">
        <v>1</v>
      </c>
      <c r="R5236" s="1" t="s">
        <v>40</v>
      </c>
    </row>
    <row r="5237" spans="1:18" x14ac:dyDescent="0.25">
      <c r="A5237">
        <v>2022</v>
      </c>
      <c r="B5237">
        <v>4</v>
      </c>
      <c r="C5237" s="1" t="s">
        <v>27</v>
      </c>
      <c r="D5237" s="1" t="s">
        <v>19</v>
      </c>
      <c r="E5237" s="1" t="s">
        <v>71</v>
      </c>
      <c r="F5237">
        <v>2012</v>
      </c>
      <c r="G5237">
        <v>10</v>
      </c>
      <c r="H5237" s="1" t="s">
        <v>21</v>
      </c>
      <c r="I5237">
        <v>20</v>
      </c>
      <c r="J5237">
        <v>2704</v>
      </c>
      <c r="K5237" s="1" t="s">
        <v>72</v>
      </c>
      <c r="L5237" s="1" t="s">
        <v>64</v>
      </c>
      <c r="M5237">
        <v>2.3620000000000001</v>
      </c>
      <c r="N5237">
        <v>47232.1</v>
      </c>
      <c r="O5237">
        <v>47.231999999999999</v>
      </c>
      <c r="P5237" s="2">
        <v>44652</v>
      </c>
      <c r="Q5237">
        <v>1</v>
      </c>
      <c r="R5237" s="1" t="s">
        <v>40</v>
      </c>
    </row>
    <row r="5238" spans="1:18" x14ac:dyDescent="0.25">
      <c r="A5238">
        <v>2022</v>
      </c>
      <c r="B5238">
        <v>5</v>
      </c>
      <c r="C5238" s="1" t="s">
        <v>28</v>
      </c>
      <c r="D5238" s="1" t="s">
        <v>19</v>
      </c>
      <c r="E5238" s="1" t="s">
        <v>71</v>
      </c>
      <c r="F5238">
        <v>2012</v>
      </c>
      <c r="G5238">
        <v>10</v>
      </c>
      <c r="H5238" s="1" t="s">
        <v>21</v>
      </c>
      <c r="I5238">
        <v>20</v>
      </c>
      <c r="J5238">
        <v>2704</v>
      </c>
      <c r="K5238" s="1" t="s">
        <v>72</v>
      </c>
      <c r="L5238" s="1" t="s">
        <v>64</v>
      </c>
      <c r="M5238">
        <v>2.169</v>
      </c>
      <c r="N5238">
        <v>43378.9</v>
      </c>
      <c r="O5238">
        <v>43.378999999999998</v>
      </c>
      <c r="P5238" s="2">
        <v>44682</v>
      </c>
      <c r="Q5238">
        <v>1</v>
      </c>
      <c r="R5238" s="1" t="s">
        <v>40</v>
      </c>
    </row>
    <row r="5239" spans="1:18" x14ac:dyDescent="0.25">
      <c r="A5239">
        <v>2022</v>
      </c>
      <c r="B5239">
        <v>6</v>
      </c>
      <c r="C5239" s="1" t="s">
        <v>29</v>
      </c>
      <c r="D5239" s="1" t="s">
        <v>19</v>
      </c>
      <c r="E5239" s="1" t="s">
        <v>71</v>
      </c>
      <c r="F5239">
        <v>2012</v>
      </c>
      <c r="G5239">
        <v>10</v>
      </c>
      <c r="H5239" s="1" t="s">
        <v>21</v>
      </c>
      <c r="I5239">
        <v>20</v>
      </c>
      <c r="J5239">
        <v>2704</v>
      </c>
      <c r="K5239" s="1" t="s">
        <v>72</v>
      </c>
      <c r="L5239" s="1" t="s">
        <v>64</v>
      </c>
      <c r="M5239">
        <v>2.39</v>
      </c>
      <c r="N5239">
        <v>47800</v>
      </c>
      <c r="O5239">
        <v>47.8</v>
      </c>
      <c r="P5239" s="2">
        <v>44713</v>
      </c>
      <c r="Q5239">
        <v>1</v>
      </c>
      <c r="R5239" s="1" t="s">
        <v>40</v>
      </c>
    </row>
    <row r="5240" spans="1:18" x14ac:dyDescent="0.25">
      <c r="A5240">
        <v>2022</v>
      </c>
      <c r="B5240">
        <v>7</v>
      </c>
      <c r="C5240" s="1" t="s">
        <v>30</v>
      </c>
      <c r="D5240" s="1" t="s">
        <v>19</v>
      </c>
      <c r="E5240" s="1" t="s">
        <v>71</v>
      </c>
      <c r="F5240">
        <v>2012</v>
      </c>
      <c r="G5240">
        <v>10</v>
      </c>
      <c r="H5240" s="1" t="s">
        <v>21</v>
      </c>
      <c r="I5240">
        <v>20</v>
      </c>
      <c r="J5240">
        <v>2704</v>
      </c>
      <c r="K5240" s="1" t="s">
        <v>72</v>
      </c>
      <c r="L5240" s="1" t="s">
        <v>64</v>
      </c>
      <c r="M5240">
        <v>1.389</v>
      </c>
      <c r="N5240">
        <v>27783.599999999999</v>
      </c>
      <c r="O5240">
        <v>27.783999999999999</v>
      </c>
      <c r="P5240" s="2">
        <v>44743</v>
      </c>
      <c r="Q5240">
        <v>1</v>
      </c>
      <c r="R5240" s="1" t="s">
        <v>40</v>
      </c>
    </row>
    <row r="5241" spans="1:18" x14ac:dyDescent="0.25">
      <c r="A5241">
        <v>2022</v>
      </c>
      <c r="B5241">
        <v>8</v>
      </c>
      <c r="C5241" s="1" t="s">
        <v>31</v>
      </c>
      <c r="D5241" s="1" t="s">
        <v>19</v>
      </c>
      <c r="E5241" s="1" t="s">
        <v>71</v>
      </c>
      <c r="F5241">
        <v>2012</v>
      </c>
      <c r="G5241">
        <v>10</v>
      </c>
      <c r="H5241" s="1" t="s">
        <v>21</v>
      </c>
      <c r="I5241">
        <v>20</v>
      </c>
      <c r="J5241">
        <v>2704</v>
      </c>
      <c r="K5241" s="1" t="s">
        <v>72</v>
      </c>
      <c r="L5241" s="1" t="s">
        <v>64</v>
      </c>
      <c r="M5241">
        <v>2.3460000000000001</v>
      </c>
      <c r="N5241">
        <v>46927.9</v>
      </c>
      <c r="O5241">
        <v>46.927999999999997</v>
      </c>
      <c r="P5241" s="2">
        <v>44774</v>
      </c>
      <c r="Q5241">
        <v>1</v>
      </c>
      <c r="R5241" s="1" t="s">
        <v>40</v>
      </c>
    </row>
    <row r="5242" spans="1:18" x14ac:dyDescent="0.25">
      <c r="A5242">
        <v>2022</v>
      </c>
      <c r="B5242">
        <v>9</v>
      </c>
      <c r="C5242" s="1" t="s">
        <v>32</v>
      </c>
      <c r="D5242" s="1" t="s">
        <v>19</v>
      </c>
      <c r="E5242" s="1" t="s">
        <v>71</v>
      </c>
      <c r="F5242">
        <v>2012</v>
      </c>
      <c r="G5242">
        <v>10</v>
      </c>
      <c r="H5242" s="1" t="s">
        <v>21</v>
      </c>
      <c r="I5242">
        <v>20</v>
      </c>
      <c r="J5242">
        <v>2704</v>
      </c>
      <c r="K5242" s="1" t="s">
        <v>72</v>
      </c>
      <c r="L5242" s="1" t="s">
        <v>64</v>
      </c>
      <c r="M5242">
        <v>2.532</v>
      </c>
      <c r="N5242">
        <v>50639.199999999997</v>
      </c>
      <c r="O5242">
        <v>50.639000000000003</v>
      </c>
      <c r="P5242" s="2">
        <v>44805</v>
      </c>
      <c r="Q5242">
        <v>1</v>
      </c>
      <c r="R5242" s="1" t="s">
        <v>40</v>
      </c>
    </row>
    <row r="5243" spans="1:18" x14ac:dyDescent="0.25">
      <c r="A5243">
        <v>2022</v>
      </c>
      <c r="B5243">
        <v>10</v>
      </c>
      <c r="C5243" s="1" t="s">
        <v>33</v>
      </c>
      <c r="D5243" s="1" t="s">
        <v>19</v>
      </c>
      <c r="E5243" s="1" t="s">
        <v>71</v>
      </c>
      <c r="F5243">
        <v>2012</v>
      </c>
      <c r="G5243">
        <v>10</v>
      </c>
      <c r="H5243" s="1" t="s">
        <v>21</v>
      </c>
      <c r="I5243">
        <v>20</v>
      </c>
      <c r="J5243">
        <v>2704</v>
      </c>
      <c r="K5243" s="1" t="s">
        <v>72</v>
      </c>
      <c r="L5243" s="1" t="s">
        <v>64</v>
      </c>
      <c r="M5243">
        <v>2.4039999999999999</v>
      </c>
      <c r="N5243">
        <v>48083.9</v>
      </c>
      <c r="O5243">
        <v>48.084000000000003</v>
      </c>
      <c r="P5243" s="2">
        <v>44835</v>
      </c>
      <c r="Q5243">
        <v>1</v>
      </c>
      <c r="R5243" s="1" t="s">
        <v>40</v>
      </c>
    </row>
    <row r="5244" spans="1:18" x14ac:dyDescent="0.25">
      <c r="A5244">
        <v>2022</v>
      </c>
      <c r="B5244">
        <v>11</v>
      </c>
      <c r="C5244" s="1" t="s">
        <v>34</v>
      </c>
      <c r="D5244" s="1" t="s">
        <v>19</v>
      </c>
      <c r="E5244" s="1" t="s">
        <v>71</v>
      </c>
      <c r="F5244">
        <v>2012</v>
      </c>
      <c r="G5244">
        <v>10</v>
      </c>
      <c r="H5244" s="1" t="s">
        <v>21</v>
      </c>
      <c r="I5244">
        <v>20</v>
      </c>
      <c r="J5244">
        <v>2704</v>
      </c>
      <c r="K5244" s="1" t="s">
        <v>72</v>
      </c>
      <c r="L5244" s="1" t="s">
        <v>64</v>
      </c>
      <c r="M5244">
        <v>2.1520000000000001</v>
      </c>
      <c r="N5244">
        <v>43034.2</v>
      </c>
      <c r="O5244">
        <v>43.033999999999999</v>
      </c>
      <c r="P5244" s="2">
        <v>44866</v>
      </c>
      <c r="Q5244">
        <v>1</v>
      </c>
      <c r="R5244" s="1" t="s">
        <v>40</v>
      </c>
    </row>
    <row r="5245" spans="1:18" x14ac:dyDescent="0.25">
      <c r="A5245">
        <v>2022</v>
      </c>
      <c r="B5245">
        <v>12</v>
      </c>
      <c r="C5245" s="1" t="s">
        <v>35</v>
      </c>
      <c r="D5245" s="1" t="s">
        <v>19</v>
      </c>
      <c r="E5245" s="1" t="s">
        <v>71</v>
      </c>
      <c r="F5245">
        <v>2012</v>
      </c>
      <c r="G5245">
        <v>10</v>
      </c>
      <c r="H5245" s="1" t="s">
        <v>21</v>
      </c>
      <c r="I5245">
        <v>20</v>
      </c>
      <c r="J5245">
        <v>2704</v>
      </c>
      <c r="K5245" s="1" t="s">
        <v>72</v>
      </c>
      <c r="L5245" s="1" t="s">
        <v>64</v>
      </c>
      <c r="M5245">
        <v>2.177</v>
      </c>
      <c r="N5245">
        <v>43541.2</v>
      </c>
      <c r="O5245">
        <v>43.540999999999997</v>
      </c>
      <c r="P5245" s="2">
        <v>44896</v>
      </c>
      <c r="Q5245">
        <v>1</v>
      </c>
      <c r="R5245" s="1" t="s">
        <v>40</v>
      </c>
    </row>
    <row r="5246" spans="1:18" x14ac:dyDescent="0.25">
      <c r="A5246">
        <v>2022</v>
      </c>
      <c r="B5246">
        <v>1</v>
      </c>
      <c r="C5246" s="1" t="s">
        <v>18</v>
      </c>
      <c r="D5246" s="1" t="s">
        <v>19</v>
      </c>
      <c r="E5246" s="1" t="s">
        <v>73</v>
      </c>
      <c r="F5246">
        <v>2012</v>
      </c>
      <c r="G5246">
        <v>10</v>
      </c>
      <c r="H5246" s="1" t="s">
        <v>21</v>
      </c>
      <c r="I5246">
        <v>14</v>
      </c>
      <c r="J5246">
        <v>1833</v>
      </c>
      <c r="K5246" s="1" t="s">
        <v>74</v>
      </c>
      <c r="L5246" s="1" t="s">
        <v>64</v>
      </c>
      <c r="M5246">
        <v>0.46400000000000002</v>
      </c>
      <c r="N5246">
        <v>6502.6</v>
      </c>
      <c r="O5246">
        <v>6.5030000000000001</v>
      </c>
      <c r="P5246" s="2">
        <v>44562</v>
      </c>
      <c r="Q5246">
        <v>1</v>
      </c>
      <c r="R5246" s="1" t="s">
        <v>40</v>
      </c>
    </row>
    <row r="5247" spans="1:18" x14ac:dyDescent="0.25">
      <c r="A5247">
        <v>2022</v>
      </c>
      <c r="B5247">
        <v>2</v>
      </c>
      <c r="C5247" s="1" t="s">
        <v>25</v>
      </c>
      <c r="D5247" s="1" t="s">
        <v>19</v>
      </c>
      <c r="E5247" s="1" t="s">
        <v>73</v>
      </c>
      <c r="F5247">
        <v>2012</v>
      </c>
      <c r="G5247">
        <v>10</v>
      </c>
      <c r="H5247" s="1" t="s">
        <v>21</v>
      </c>
      <c r="I5247">
        <v>14</v>
      </c>
      <c r="J5247">
        <v>1833</v>
      </c>
      <c r="K5247" s="1" t="s">
        <v>74</v>
      </c>
      <c r="L5247" s="1" t="s">
        <v>64</v>
      </c>
      <c r="M5247">
        <v>1.669</v>
      </c>
      <c r="N5247">
        <v>23370.7</v>
      </c>
      <c r="O5247">
        <v>23.370999999999999</v>
      </c>
      <c r="P5247" s="2">
        <v>44593</v>
      </c>
      <c r="Q5247">
        <v>1</v>
      </c>
      <c r="R5247" s="1" t="s">
        <v>40</v>
      </c>
    </row>
    <row r="5248" spans="1:18" x14ac:dyDescent="0.25">
      <c r="A5248">
        <v>2022</v>
      </c>
      <c r="B5248">
        <v>3</v>
      </c>
      <c r="C5248" s="1" t="s">
        <v>26</v>
      </c>
      <c r="D5248" s="1" t="s">
        <v>19</v>
      </c>
      <c r="E5248" s="1" t="s">
        <v>73</v>
      </c>
      <c r="F5248">
        <v>2012</v>
      </c>
      <c r="G5248">
        <v>10</v>
      </c>
      <c r="H5248" s="1" t="s">
        <v>21</v>
      </c>
      <c r="I5248">
        <v>14</v>
      </c>
      <c r="J5248">
        <v>1833</v>
      </c>
      <c r="K5248" s="1" t="s">
        <v>74</v>
      </c>
      <c r="L5248" s="1" t="s">
        <v>64</v>
      </c>
      <c r="M5248">
        <v>2</v>
      </c>
      <c r="N5248">
        <v>28003.7</v>
      </c>
      <c r="O5248">
        <v>28.004000000000001</v>
      </c>
      <c r="P5248" s="2">
        <v>44621</v>
      </c>
      <c r="Q5248">
        <v>1</v>
      </c>
      <c r="R5248" s="1" t="s">
        <v>40</v>
      </c>
    </row>
    <row r="5249" spans="1:18" x14ac:dyDescent="0.25">
      <c r="A5249">
        <v>2022</v>
      </c>
      <c r="B5249">
        <v>4</v>
      </c>
      <c r="C5249" s="1" t="s">
        <v>27</v>
      </c>
      <c r="D5249" s="1" t="s">
        <v>19</v>
      </c>
      <c r="E5249" s="1" t="s">
        <v>73</v>
      </c>
      <c r="F5249">
        <v>2012</v>
      </c>
      <c r="G5249">
        <v>10</v>
      </c>
      <c r="H5249" s="1" t="s">
        <v>21</v>
      </c>
      <c r="I5249">
        <v>14</v>
      </c>
      <c r="J5249">
        <v>1833</v>
      </c>
      <c r="K5249" s="1" t="s">
        <v>74</v>
      </c>
      <c r="L5249" s="1" t="s">
        <v>64</v>
      </c>
      <c r="M5249">
        <v>2.2869999999999999</v>
      </c>
      <c r="N5249">
        <v>32017.9</v>
      </c>
      <c r="O5249">
        <v>32.018000000000001</v>
      </c>
      <c r="P5249" s="2">
        <v>44652</v>
      </c>
      <c r="Q5249">
        <v>1</v>
      </c>
      <c r="R5249" s="1" t="s">
        <v>40</v>
      </c>
    </row>
    <row r="5250" spans="1:18" x14ac:dyDescent="0.25">
      <c r="A5250">
        <v>2022</v>
      </c>
      <c r="B5250">
        <v>5</v>
      </c>
      <c r="C5250" s="1" t="s">
        <v>28</v>
      </c>
      <c r="D5250" s="1" t="s">
        <v>19</v>
      </c>
      <c r="E5250" s="1" t="s">
        <v>73</v>
      </c>
      <c r="F5250">
        <v>2012</v>
      </c>
      <c r="G5250">
        <v>10</v>
      </c>
      <c r="H5250" s="1" t="s">
        <v>21</v>
      </c>
      <c r="I5250">
        <v>14</v>
      </c>
      <c r="J5250">
        <v>1833</v>
      </c>
      <c r="K5250" s="1" t="s">
        <v>74</v>
      </c>
      <c r="L5250" s="1" t="s">
        <v>64</v>
      </c>
      <c r="M5250">
        <v>2.1</v>
      </c>
      <c r="N5250">
        <v>29405.9</v>
      </c>
      <c r="O5250">
        <v>29.405999999999999</v>
      </c>
      <c r="P5250" s="2">
        <v>44682</v>
      </c>
      <c r="Q5250">
        <v>1</v>
      </c>
      <c r="R5250" s="1" t="s">
        <v>40</v>
      </c>
    </row>
    <row r="5251" spans="1:18" x14ac:dyDescent="0.25">
      <c r="A5251">
        <v>2022</v>
      </c>
      <c r="B5251">
        <v>6</v>
      </c>
      <c r="C5251" s="1" t="s">
        <v>29</v>
      </c>
      <c r="D5251" s="1" t="s">
        <v>19</v>
      </c>
      <c r="E5251" s="1" t="s">
        <v>73</v>
      </c>
      <c r="F5251">
        <v>2012</v>
      </c>
      <c r="G5251">
        <v>10</v>
      </c>
      <c r="H5251" s="1" t="s">
        <v>21</v>
      </c>
      <c r="I5251">
        <v>14</v>
      </c>
      <c r="J5251">
        <v>1833</v>
      </c>
      <c r="K5251" s="1" t="s">
        <v>74</v>
      </c>
      <c r="L5251" s="1" t="s">
        <v>64</v>
      </c>
      <c r="M5251">
        <v>2.3140000000000001</v>
      </c>
      <c r="N5251">
        <v>32402.9</v>
      </c>
      <c r="O5251">
        <v>32.402999999999999</v>
      </c>
      <c r="P5251" s="2">
        <v>44713</v>
      </c>
      <c r="Q5251">
        <v>1</v>
      </c>
      <c r="R5251" s="1" t="s">
        <v>40</v>
      </c>
    </row>
    <row r="5252" spans="1:18" x14ac:dyDescent="0.25">
      <c r="A5252">
        <v>2022</v>
      </c>
      <c r="B5252">
        <v>7</v>
      </c>
      <c r="C5252" s="1" t="s">
        <v>30</v>
      </c>
      <c r="D5252" s="1" t="s">
        <v>19</v>
      </c>
      <c r="E5252" s="1" t="s">
        <v>73</v>
      </c>
      <c r="F5252">
        <v>2012</v>
      </c>
      <c r="G5252">
        <v>10</v>
      </c>
      <c r="H5252" s="1" t="s">
        <v>21</v>
      </c>
      <c r="I5252">
        <v>14</v>
      </c>
      <c r="J5252">
        <v>1833</v>
      </c>
      <c r="K5252" s="1" t="s">
        <v>74</v>
      </c>
      <c r="L5252" s="1" t="s">
        <v>64</v>
      </c>
      <c r="M5252">
        <v>1.345</v>
      </c>
      <c r="N5252">
        <v>18834.099999999999</v>
      </c>
      <c r="O5252">
        <v>18.834</v>
      </c>
      <c r="P5252" s="2">
        <v>44743</v>
      </c>
      <c r="Q5252">
        <v>1</v>
      </c>
      <c r="R5252" s="1" t="s">
        <v>40</v>
      </c>
    </row>
    <row r="5253" spans="1:18" x14ac:dyDescent="0.25">
      <c r="A5253">
        <v>2022</v>
      </c>
      <c r="B5253">
        <v>8</v>
      </c>
      <c r="C5253" s="1" t="s">
        <v>31</v>
      </c>
      <c r="D5253" s="1" t="s">
        <v>19</v>
      </c>
      <c r="E5253" s="1" t="s">
        <v>73</v>
      </c>
      <c r="F5253">
        <v>2012</v>
      </c>
      <c r="G5253">
        <v>10</v>
      </c>
      <c r="H5253" s="1" t="s">
        <v>21</v>
      </c>
      <c r="I5253">
        <v>14</v>
      </c>
      <c r="J5253">
        <v>1833</v>
      </c>
      <c r="K5253" s="1" t="s">
        <v>74</v>
      </c>
      <c r="L5253" s="1" t="s">
        <v>64</v>
      </c>
      <c r="M5253">
        <v>2.2719999999999998</v>
      </c>
      <c r="N5253">
        <v>31811.7</v>
      </c>
      <c r="O5253">
        <v>31.812000000000001</v>
      </c>
      <c r="P5253" s="2">
        <v>44774</v>
      </c>
      <c r="Q5253">
        <v>1</v>
      </c>
      <c r="R5253" s="1" t="s">
        <v>40</v>
      </c>
    </row>
    <row r="5254" spans="1:18" x14ac:dyDescent="0.25">
      <c r="A5254">
        <v>2022</v>
      </c>
      <c r="B5254">
        <v>9</v>
      </c>
      <c r="C5254" s="1" t="s">
        <v>32</v>
      </c>
      <c r="D5254" s="1" t="s">
        <v>19</v>
      </c>
      <c r="E5254" s="1" t="s">
        <v>73</v>
      </c>
      <c r="F5254">
        <v>2012</v>
      </c>
      <c r="G5254">
        <v>10</v>
      </c>
      <c r="H5254" s="1" t="s">
        <v>21</v>
      </c>
      <c r="I5254">
        <v>14</v>
      </c>
      <c r="J5254">
        <v>1833</v>
      </c>
      <c r="K5254" s="1" t="s">
        <v>74</v>
      </c>
      <c r="L5254" s="1" t="s">
        <v>64</v>
      </c>
      <c r="M5254">
        <v>2.452</v>
      </c>
      <c r="N5254">
        <v>34327.5</v>
      </c>
      <c r="O5254">
        <v>34.328000000000003</v>
      </c>
      <c r="P5254" s="2">
        <v>44805</v>
      </c>
      <c r="Q5254">
        <v>1</v>
      </c>
      <c r="R5254" s="1" t="s">
        <v>40</v>
      </c>
    </row>
    <row r="5255" spans="1:18" x14ac:dyDescent="0.25">
      <c r="A5255">
        <v>2022</v>
      </c>
      <c r="B5255">
        <v>10</v>
      </c>
      <c r="C5255" s="1" t="s">
        <v>33</v>
      </c>
      <c r="D5255" s="1" t="s">
        <v>19</v>
      </c>
      <c r="E5255" s="1" t="s">
        <v>73</v>
      </c>
      <c r="F5255">
        <v>2012</v>
      </c>
      <c r="G5255">
        <v>10</v>
      </c>
      <c r="H5255" s="1" t="s">
        <v>21</v>
      </c>
      <c r="I5255">
        <v>14</v>
      </c>
      <c r="J5255">
        <v>1833</v>
      </c>
      <c r="K5255" s="1" t="s">
        <v>74</v>
      </c>
      <c r="L5255" s="1" t="s">
        <v>64</v>
      </c>
      <c r="M5255">
        <v>2.3279999999999998</v>
      </c>
      <c r="N5255">
        <v>32595.3</v>
      </c>
      <c r="O5255">
        <v>32.594999999999999</v>
      </c>
      <c r="P5255" s="2">
        <v>44835</v>
      </c>
      <c r="Q5255">
        <v>1</v>
      </c>
      <c r="R5255" s="1" t="s">
        <v>40</v>
      </c>
    </row>
    <row r="5256" spans="1:18" x14ac:dyDescent="0.25">
      <c r="A5256">
        <v>2022</v>
      </c>
      <c r="B5256">
        <v>11</v>
      </c>
      <c r="C5256" s="1" t="s">
        <v>34</v>
      </c>
      <c r="D5256" s="1" t="s">
        <v>19</v>
      </c>
      <c r="E5256" s="1" t="s">
        <v>73</v>
      </c>
      <c r="F5256">
        <v>2012</v>
      </c>
      <c r="G5256">
        <v>10</v>
      </c>
      <c r="H5256" s="1" t="s">
        <v>21</v>
      </c>
      <c r="I5256">
        <v>14</v>
      </c>
      <c r="J5256">
        <v>1833</v>
      </c>
      <c r="K5256" s="1" t="s">
        <v>74</v>
      </c>
      <c r="L5256" s="1" t="s">
        <v>64</v>
      </c>
      <c r="M5256">
        <v>2.0840000000000001</v>
      </c>
      <c r="N5256">
        <v>29172.2</v>
      </c>
      <c r="O5256">
        <v>29.172000000000001</v>
      </c>
      <c r="P5256" s="2">
        <v>44866</v>
      </c>
      <c r="Q5256">
        <v>1</v>
      </c>
      <c r="R5256" s="1" t="s">
        <v>40</v>
      </c>
    </row>
    <row r="5257" spans="1:18" x14ac:dyDescent="0.25">
      <c r="A5257">
        <v>2022</v>
      </c>
      <c r="B5257">
        <v>12</v>
      </c>
      <c r="C5257" s="1" t="s">
        <v>35</v>
      </c>
      <c r="D5257" s="1" t="s">
        <v>19</v>
      </c>
      <c r="E5257" s="1" t="s">
        <v>73</v>
      </c>
      <c r="F5257">
        <v>2012</v>
      </c>
      <c r="G5257">
        <v>10</v>
      </c>
      <c r="H5257" s="1" t="s">
        <v>21</v>
      </c>
      <c r="I5257">
        <v>14</v>
      </c>
      <c r="J5257">
        <v>1833</v>
      </c>
      <c r="K5257" s="1" t="s">
        <v>74</v>
      </c>
      <c r="L5257" s="1" t="s">
        <v>64</v>
      </c>
      <c r="M5257">
        <v>2.1080000000000001</v>
      </c>
      <c r="N5257">
        <v>29515.9</v>
      </c>
      <c r="O5257">
        <v>29.515999999999998</v>
      </c>
      <c r="P5257" s="2">
        <v>44896</v>
      </c>
      <c r="Q5257">
        <v>1</v>
      </c>
      <c r="R5257" s="1" t="s">
        <v>40</v>
      </c>
    </row>
    <row r="5258" spans="1:18" x14ac:dyDescent="0.25">
      <c r="A5258">
        <v>2022</v>
      </c>
      <c r="B5258">
        <v>1</v>
      </c>
      <c r="C5258" s="1" t="s">
        <v>18</v>
      </c>
      <c r="D5258" s="1" t="s">
        <v>19</v>
      </c>
      <c r="E5258" s="1" t="s">
        <v>75</v>
      </c>
      <c r="F5258">
        <v>2012</v>
      </c>
      <c r="G5258">
        <v>10</v>
      </c>
      <c r="H5258" s="1" t="s">
        <v>21</v>
      </c>
      <c r="I5258">
        <v>20</v>
      </c>
      <c r="J5258">
        <v>1990</v>
      </c>
      <c r="K5258" s="1" t="s">
        <v>76</v>
      </c>
      <c r="L5258" s="1" t="s">
        <v>64</v>
      </c>
      <c r="M5258">
        <v>0.36199999999999999</v>
      </c>
      <c r="N5258">
        <v>7236.9</v>
      </c>
      <c r="O5258">
        <v>7.2370000000000001</v>
      </c>
      <c r="P5258" s="2">
        <v>44562</v>
      </c>
      <c r="Q5258">
        <v>1</v>
      </c>
      <c r="R5258" s="1" t="s">
        <v>40</v>
      </c>
    </row>
    <row r="5259" spans="1:18" x14ac:dyDescent="0.25">
      <c r="A5259">
        <v>2022</v>
      </c>
      <c r="B5259">
        <v>2</v>
      </c>
      <c r="C5259" s="1" t="s">
        <v>25</v>
      </c>
      <c r="D5259" s="1" t="s">
        <v>19</v>
      </c>
      <c r="E5259" s="1" t="s">
        <v>75</v>
      </c>
      <c r="F5259">
        <v>2012</v>
      </c>
      <c r="G5259">
        <v>10</v>
      </c>
      <c r="H5259" s="1" t="s">
        <v>21</v>
      </c>
      <c r="I5259">
        <v>20</v>
      </c>
      <c r="J5259">
        <v>1990</v>
      </c>
      <c r="K5259" s="1" t="s">
        <v>76</v>
      </c>
      <c r="L5259" s="1" t="s">
        <v>64</v>
      </c>
      <c r="M5259">
        <v>1.3</v>
      </c>
      <c r="N5259">
        <v>26010</v>
      </c>
      <c r="O5259">
        <v>26.01</v>
      </c>
      <c r="P5259" s="2">
        <v>44593</v>
      </c>
      <c r="Q5259">
        <v>1</v>
      </c>
      <c r="R5259" s="1" t="s">
        <v>40</v>
      </c>
    </row>
    <row r="5260" spans="1:18" x14ac:dyDescent="0.25">
      <c r="A5260">
        <v>2022</v>
      </c>
      <c r="B5260">
        <v>3</v>
      </c>
      <c r="C5260" s="1" t="s">
        <v>26</v>
      </c>
      <c r="D5260" s="1" t="s">
        <v>19</v>
      </c>
      <c r="E5260" s="1" t="s">
        <v>75</v>
      </c>
      <c r="F5260">
        <v>2012</v>
      </c>
      <c r="G5260">
        <v>10</v>
      </c>
      <c r="H5260" s="1" t="s">
        <v>21</v>
      </c>
      <c r="I5260">
        <v>20</v>
      </c>
      <c r="J5260">
        <v>1990</v>
      </c>
      <c r="K5260" s="1" t="s">
        <v>76</v>
      </c>
      <c r="L5260" s="1" t="s">
        <v>64</v>
      </c>
      <c r="M5260">
        <v>1.5580000000000001</v>
      </c>
      <c r="N5260">
        <v>31166.1</v>
      </c>
      <c r="O5260">
        <v>31.166</v>
      </c>
      <c r="P5260" s="2">
        <v>44621</v>
      </c>
      <c r="Q5260">
        <v>1</v>
      </c>
      <c r="R5260" s="1" t="s">
        <v>40</v>
      </c>
    </row>
    <row r="5261" spans="1:18" x14ac:dyDescent="0.25">
      <c r="A5261">
        <v>2022</v>
      </c>
      <c r="B5261">
        <v>4</v>
      </c>
      <c r="C5261" s="1" t="s">
        <v>27</v>
      </c>
      <c r="D5261" s="1" t="s">
        <v>19</v>
      </c>
      <c r="E5261" s="1" t="s">
        <v>75</v>
      </c>
      <c r="F5261">
        <v>2012</v>
      </c>
      <c r="G5261">
        <v>10</v>
      </c>
      <c r="H5261" s="1" t="s">
        <v>21</v>
      </c>
      <c r="I5261">
        <v>20</v>
      </c>
      <c r="J5261">
        <v>1990</v>
      </c>
      <c r="K5261" s="1" t="s">
        <v>76</v>
      </c>
      <c r="L5261" s="1" t="s">
        <v>64</v>
      </c>
      <c r="M5261">
        <v>1.782</v>
      </c>
      <c r="N5261">
        <v>35633.699999999997</v>
      </c>
      <c r="O5261">
        <v>35.634</v>
      </c>
      <c r="P5261" s="2">
        <v>44652</v>
      </c>
      <c r="Q5261">
        <v>1</v>
      </c>
      <c r="R5261" s="1" t="s">
        <v>40</v>
      </c>
    </row>
    <row r="5262" spans="1:18" x14ac:dyDescent="0.25">
      <c r="A5262">
        <v>2022</v>
      </c>
      <c r="B5262">
        <v>5</v>
      </c>
      <c r="C5262" s="1" t="s">
        <v>28</v>
      </c>
      <c r="D5262" s="1" t="s">
        <v>19</v>
      </c>
      <c r="E5262" s="1" t="s">
        <v>75</v>
      </c>
      <c r="F5262">
        <v>2012</v>
      </c>
      <c r="G5262">
        <v>10</v>
      </c>
      <c r="H5262" s="1" t="s">
        <v>21</v>
      </c>
      <c r="I5262">
        <v>20</v>
      </c>
      <c r="J5262">
        <v>1990</v>
      </c>
      <c r="K5262" s="1" t="s">
        <v>76</v>
      </c>
      <c r="L5262" s="1" t="s">
        <v>64</v>
      </c>
      <c r="M5262">
        <v>1.6359999999999999</v>
      </c>
      <c r="N5262">
        <v>32726.7</v>
      </c>
      <c r="O5262">
        <v>32.726999999999997</v>
      </c>
      <c r="P5262" s="2">
        <v>44682</v>
      </c>
      <c r="Q5262">
        <v>1</v>
      </c>
      <c r="R5262" s="1" t="s">
        <v>40</v>
      </c>
    </row>
    <row r="5263" spans="1:18" x14ac:dyDescent="0.25">
      <c r="A5263">
        <v>2022</v>
      </c>
      <c r="B5263">
        <v>6</v>
      </c>
      <c r="C5263" s="1" t="s">
        <v>29</v>
      </c>
      <c r="D5263" s="1" t="s">
        <v>19</v>
      </c>
      <c r="E5263" s="1" t="s">
        <v>75</v>
      </c>
      <c r="F5263">
        <v>2012</v>
      </c>
      <c r="G5263">
        <v>10</v>
      </c>
      <c r="H5263" s="1" t="s">
        <v>21</v>
      </c>
      <c r="I5263">
        <v>20</v>
      </c>
      <c r="J5263">
        <v>1990</v>
      </c>
      <c r="K5263" s="1" t="s">
        <v>76</v>
      </c>
      <c r="L5263" s="1" t="s">
        <v>64</v>
      </c>
      <c r="M5263">
        <v>1.8029999999999999</v>
      </c>
      <c r="N5263">
        <v>36062.1</v>
      </c>
      <c r="O5263">
        <v>36.061999999999998</v>
      </c>
      <c r="P5263" s="2">
        <v>44713</v>
      </c>
      <c r="Q5263">
        <v>1</v>
      </c>
      <c r="R5263" s="1" t="s">
        <v>40</v>
      </c>
    </row>
    <row r="5264" spans="1:18" x14ac:dyDescent="0.25">
      <c r="A5264">
        <v>2022</v>
      </c>
      <c r="B5264">
        <v>7</v>
      </c>
      <c r="C5264" s="1" t="s">
        <v>30</v>
      </c>
      <c r="D5264" s="1" t="s">
        <v>19</v>
      </c>
      <c r="E5264" s="1" t="s">
        <v>75</v>
      </c>
      <c r="F5264">
        <v>2012</v>
      </c>
      <c r="G5264">
        <v>10</v>
      </c>
      <c r="H5264" s="1" t="s">
        <v>21</v>
      </c>
      <c r="I5264">
        <v>20</v>
      </c>
      <c r="J5264">
        <v>1990</v>
      </c>
      <c r="K5264" s="1" t="s">
        <v>76</v>
      </c>
      <c r="L5264" s="1" t="s">
        <v>64</v>
      </c>
      <c r="M5264">
        <v>1.048</v>
      </c>
      <c r="N5264">
        <v>20961</v>
      </c>
      <c r="O5264">
        <v>20.960999999999999</v>
      </c>
      <c r="P5264" s="2">
        <v>44743</v>
      </c>
      <c r="Q5264">
        <v>1</v>
      </c>
      <c r="R5264" s="1" t="s">
        <v>40</v>
      </c>
    </row>
    <row r="5265" spans="1:18" x14ac:dyDescent="0.25">
      <c r="A5265">
        <v>2022</v>
      </c>
      <c r="B5265">
        <v>8</v>
      </c>
      <c r="C5265" s="1" t="s">
        <v>31</v>
      </c>
      <c r="D5265" s="1" t="s">
        <v>19</v>
      </c>
      <c r="E5265" s="1" t="s">
        <v>75</v>
      </c>
      <c r="F5265">
        <v>2012</v>
      </c>
      <c r="G5265">
        <v>10</v>
      </c>
      <c r="H5265" s="1" t="s">
        <v>21</v>
      </c>
      <c r="I5265">
        <v>20</v>
      </c>
      <c r="J5265">
        <v>1990</v>
      </c>
      <c r="K5265" s="1" t="s">
        <v>76</v>
      </c>
      <c r="L5265" s="1" t="s">
        <v>64</v>
      </c>
      <c r="M5265">
        <v>1.77</v>
      </c>
      <c r="N5265">
        <v>35404.199999999997</v>
      </c>
      <c r="O5265">
        <v>35.404000000000003</v>
      </c>
      <c r="P5265" s="2">
        <v>44774</v>
      </c>
      <c r="Q5265">
        <v>1</v>
      </c>
      <c r="R5265" s="1" t="s">
        <v>40</v>
      </c>
    </row>
    <row r="5266" spans="1:18" x14ac:dyDescent="0.25">
      <c r="A5266">
        <v>2022</v>
      </c>
      <c r="B5266">
        <v>9</v>
      </c>
      <c r="C5266" s="1" t="s">
        <v>32</v>
      </c>
      <c r="D5266" s="1" t="s">
        <v>19</v>
      </c>
      <c r="E5266" s="1" t="s">
        <v>75</v>
      </c>
      <c r="F5266">
        <v>2012</v>
      </c>
      <c r="G5266">
        <v>10</v>
      </c>
      <c r="H5266" s="1" t="s">
        <v>21</v>
      </c>
      <c r="I5266">
        <v>20</v>
      </c>
      <c r="J5266">
        <v>1990</v>
      </c>
      <c r="K5266" s="1" t="s">
        <v>76</v>
      </c>
      <c r="L5266" s="1" t="s">
        <v>64</v>
      </c>
      <c r="M5266">
        <v>1.91</v>
      </c>
      <c r="N5266">
        <v>38204.1</v>
      </c>
      <c r="O5266">
        <v>38.204000000000001</v>
      </c>
      <c r="P5266" s="2">
        <v>44805</v>
      </c>
      <c r="Q5266">
        <v>1</v>
      </c>
      <c r="R5266" s="1" t="s">
        <v>40</v>
      </c>
    </row>
    <row r="5267" spans="1:18" x14ac:dyDescent="0.25">
      <c r="A5267">
        <v>2022</v>
      </c>
      <c r="B5267">
        <v>10</v>
      </c>
      <c r="C5267" s="1" t="s">
        <v>33</v>
      </c>
      <c r="D5267" s="1" t="s">
        <v>19</v>
      </c>
      <c r="E5267" s="1" t="s">
        <v>75</v>
      </c>
      <c r="F5267">
        <v>2012</v>
      </c>
      <c r="G5267">
        <v>10</v>
      </c>
      <c r="H5267" s="1" t="s">
        <v>21</v>
      </c>
      <c r="I5267">
        <v>20</v>
      </c>
      <c r="J5267">
        <v>1990</v>
      </c>
      <c r="K5267" s="1" t="s">
        <v>76</v>
      </c>
      <c r="L5267" s="1" t="s">
        <v>64</v>
      </c>
      <c r="M5267">
        <v>1.8140000000000001</v>
      </c>
      <c r="N5267">
        <v>36276.300000000003</v>
      </c>
      <c r="O5267">
        <v>36.276000000000003</v>
      </c>
      <c r="P5267" s="2">
        <v>44835</v>
      </c>
      <c r="Q5267">
        <v>1</v>
      </c>
      <c r="R5267" s="1" t="s">
        <v>40</v>
      </c>
    </row>
    <row r="5268" spans="1:18" x14ac:dyDescent="0.25">
      <c r="A5268">
        <v>2022</v>
      </c>
      <c r="B5268">
        <v>11</v>
      </c>
      <c r="C5268" s="1" t="s">
        <v>34</v>
      </c>
      <c r="D5268" s="1" t="s">
        <v>19</v>
      </c>
      <c r="E5268" s="1" t="s">
        <v>75</v>
      </c>
      <c r="F5268">
        <v>2012</v>
      </c>
      <c r="G5268">
        <v>10</v>
      </c>
      <c r="H5268" s="1" t="s">
        <v>21</v>
      </c>
      <c r="I5268">
        <v>20</v>
      </c>
      <c r="J5268">
        <v>1990</v>
      </c>
      <c r="K5268" s="1" t="s">
        <v>76</v>
      </c>
      <c r="L5268" s="1" t="s">
        <v>64</v>
      </c>
      <c r="M5268">
        <v>1.623</v>
      </c>
      <c r="N5268">
        <v>32466.6</v>
      </c>
      <c r="O5268">
        <v>32.466999999999999</v>
      </c>
      <c r="P5268" s="2">
        <v>44866</v>
      </c>
      <c r="Q5268">
        <v>1</v>
      </c>
      <c r="R5268" s="1" t="s">
        <v>40</v>
      </c>
    </row>
    <row r="5269" spans="1:18" x14ac:dyDescent="0.25">
      <c r="A5269">
        <v>2022</v>
      </c>
      <c r="B5269">
        <v>12</v>
      </c>
      <c r="C5269" s="1" t="s">
        <v>35</v>
      </c>
      <c r="D5269" s="1" t="s">
        <v>19</v>
      </c>
      <c r="E5269" s="1" t="s">
        <v>75</v>
      </c>
      <c r="F5269">
        <v>2012</v>
      </c>
      <c r="G5269">
        <v>10</v>
      </c>
      <c r="H5269" s="1" t="s">
        <v>21</v>
      </c>
      <c r="I5269">
        <v>20</v>
      </c>
      <c r="J5269">
        <v>1990</v>
      </c>
      <c r="K5269" s="1" t="s">
        <v>76</v>
      </c>
      <c r="L5269" s="1" t="s">
        <v>64</v>
      </c>
      <c r="M5269">
        <v>1.6419999999999999</v>
      </c>
      <c r="N5269">
        <v>32849.1</v>
      </c>
      <c r="O5269">
        <v>32.848999999999997</v>
      </c>
      <c r="P5269" s="2">
        <v>44896</v>
      </c>
      <c r="Q5269">
        <v>1</v>
      </c>
      <c r="R5269" s="1" t="s">
        <v>40</v>
      </c>
    </row>
    <row r="5270" spans="1:18" x14ac:dyDescent="0.25">
      <c r="A5270">
        <v>2022</v>
      </c>
      <c r="B5270">
        <v>1</v>
      </c>
      <c r="C5270" s="1" t="s">
        <v>18</v>
      </c>
      <c r="D5270" s="1" t="s">
        <v>19</v>
      </c>
      <c r="E5270" s="1" t="s">
        <v>77</v>
      </c>
      <c r="F5270">
        <v>2012</v>
      </c>
      <c r="G5270">
        <v>10</v>
      </c>
      <c r="H5270" s="1" t="s">
        <v>21</v>
      </c>
      <c r="I5270">
        <v>22</v>
      </c>
      <c r="J5270">
        <v>2606</v>
      </c>
      <c r="K5270" s="1" t="s">
        <v>78</v>
      </c>
      <c r="L5270" s="1" t="s">
        <v>64</v>
      </c>
      <c r="M5270">
        <v>0.42</v>
      </c>
      <c r="N5270">
        <v>9244.7999999999993</v>
      </c>
      <c r="O5270">
        <v>9.2449999999999992</v>
      </c>
      <c r="P5270" s="2">
        <v>44562</v>
      </c>
      <c r="Q5270">
        <v>1</v>
      </c>
      <c r="R5270" s="1" t="s">
        <v>40</v>
      </c>
    </row>
    <row r="5271" spans="1:18" x14ac:dyDescent="0.25">
      <c r="A5271">
        <v>2022</v>
      </c>
      <c r="B5271">
        <v>2</v>
      </c>
      <c r="C5271" s="1" t="s">
        <v>25</v>
      </c>
      <c r="D5271" s="1" t="s">
        <v>19</v>
      </c>
      <c r="E5271" s="1" t="s">
        <v>77</v>
      </c>
      <c r="F5271">
        <v>2012</v>
      </c>
      <c r="G5271">
        <v>10</v>
      </c>
      <c r="H5271" s="1" t="s">
        <v>21</v>
      </c>
      <c r="I5271">
        <v>22</v>
      </c>
      <c r="J5271">
        <v>2606</v>
      </c>
      <c r="K5271" s="1" t="s">
        <v>78</v>
      </c>
      <c r="L5271" s="1" t="s">
        <v>64</v>
      </c>
      <c r="M5271">
        <v>1.51</v>
      </c>
      <c r="N5271">
        <v>33226.5</v>
      </c>
      <c r="O5271">
        <v>33.226999999999997</v>
      </c>
      <c r="P5271" s="2">
        <v>44593</v>
      </c>
      <c r="Q5271">
        <v>1</v>
      </c>
      <c r="R5271" s="1" t="s">
        <v>40</v>
      </c>
    </row>
    <row r="5272" spans="1:18" x14ac:dyDescent="0.25">
      <c r="A5272">
        <v>2022</v>
      </c>
      <c r="B5272">
        <v>3</v>
      </c>
      <c r="C5272" s="1" t="s">
        <v>26</v>
      </c>
      <c r="D5272" s="1" t="s">
        <v>19</v>
      </c>
      <c r="E5272" s="1" t="s">
        <v>77</v>
      </c>
      <c r="F5272">
        <v>2012</v>
      </c>
      <c r="G5272">
        <v>10</v>
      </c>
      <c r="H5272" s="1" t="s">
        <v>21</v>
      </c>
      <c r="I5272">
        <v>22</v>
      </c>
      <c r="J5272">
        <v>2606</v>
      </c>
      <c r="K5272" s="1" t="s">
        <v>78</v>
      </c>
      <c r="L5272" s="1" t="s">
        <v>64</v>
      </c>
      <c r="M5272">
        <v>1.81</v>
      </c>
      <c r="N5272">
        <v>39813.199999999997</v>
      </c>
      <c r="O5272">
        <v>39.813000000000002</v>
      </c>
      <c r="P5272" s="2">
        <v>44621</v>
      </c>
      <c r="Q5272">
        <v>1</v>
      </c>
      <c r="R5272" s="1" t="s">
        <v>40</v>
      </c>
    </row>
    <row r="5273" spans="1:18" x14ac:dyDescent="0.25">
      <c r="A5273">
        <v>2022</v>
      </c>
      <c r="B5273">
        <v>4</v>
      </c>
      <c r="C5273" s="1" t="s">
        <v>27</v>
      </c>
      <c r="D5273" s="1" t="s">
        <v>19</v>
      </c>
      <c r="E5273" s="1" t="s">
        <v>77</v>
      </c>
      <c r="F5273">
        <v>2012</v>
      </c>
      <c r="G5273">
        <v>10</v>
      </c>
      <c r="H5273" s="1" t="s">
        <v>21</v>
      </c>
      <c r="I5273">
        <v>22</v>
      </c>
      <c r="J5273">
        <v>2606</v>
      </c>
      <c r="K5273" s="1" t="s">
        <v>78</v>
      </c>
      <c r="L5273" s="1" t="s">
        <v>64</v>
      </c>
      <c r="M5273">
        <v>2.069</v>
      </c>
      <c r="N5273">
        <v>45520.3</v>
      </c>
      <c r="O5273">
        <v>45.52</v>
      </c>
      <c r="P5273" s="2">
        <v>44652</v>
      </c>
      <c r="Q5273">
        <v>1</v>
      </c>
      <c r="R5273" s="1" t="s">
        <v>40</v>
      </c>
    </row>
    <row r="5274" spans="1:18" x14ac:dyDescent="0.25">
      <c r="A5274">
        <v>2022</v>
      </c>
      <c r="B5274">
        <v>5</v>
      </c>
      <c r="C5274" s="1" t="s">
        <v>28</v>
      </c>
      <c r="D5274" s="1" t="s">
        <v>19</v>
      </c>
      <c r="E5274" s="1" t="s">
        <v>77</v>
      </c>
      <c r="F5274">
        <v>2012</v>
      </c>
      <c r="G5274">
        <v>10</v>
      </c>
      <c r="H5274" s="1" t="s">
        <v>21</v>
      </c>
      <c r="I5274">
        <v>22</v>
      </c>
      <c r="J5274">
        <v>2606</v>
      </c>
      <c r="K5274" s="1" t="s">
        <v>78</v>
      </c>
      <c r="L5274" s="1" t="s">
        <v>64</v>
      </c>
      <c r="M5274">
        <v>1.9</v>
      </c>
      <c r="N5274">
        <v>41806.800000000003</v>
      </c>
      <c r="O5274">
        <v>41.807000000000002</v>
      </c>
      <c r="P5274" s="2">
        <v>44682</v>
      </c>
      <c r="Q5274">
        <v>1</v>
      </c>
      <c r="R5274" s="1" t="s">
        <v>40</v>
      </c>
    </row>
    <row r="5275" spans="1:18" x14ac:dyDescent="0.25">
      <c r="A5275">
        <v>2022</v>
      </c>
      <c r="B5275">
        <v>6</v>
      </c>
      <c r="C5275" s="1" t="s">
        <v>29</v>
      </c>
      <c r="D5275" s="1" t="s">
        <v>19</v>
      </c>
      <c r="E5275" s="1" t="s">
        <v>77</v>
      </c>
      <c r="F5275">
        <v>2012</v>
      </c>
      <c r="G5275">
        <v>10</v>
      </c>
      <c r="H5275" s="1" t="s">
        <v>21</v>
      </c>
      <c r="I5275">
        <v>22</v>
      </c>
      <c r="J5275">
        <v>2606</v>
      </c>
      <c r="K5275" s="1" t="s">
        <v>78</v>
      </c>
      <c r="L5275" s="1" t="s">
        <v>64</v>
      </c>
      <c r="M5275">
        <v>2.0939999999999999</v>
      </c>
      <c r="N5275">
        <v>46067.6</v>
      </c>
      <c r="O5275">
        <v>46.067999999999998</v>
      </c>
      <c r="P5275" s="2">
        <v>44713</v>
      </c>
      <c r="Q5275">
        <v>1</v>
      </c>
      <c r="R5275" s="1" t="s">
        <v>40</v>
      </c>
    </row>
    <row r="5276" spans="1:18" x14ac:dyDescent="0.25">
      <c r="A5276">
        <v>2022</v>
      </c>
      <c r="B5276">
        <v>7</v>
      </c>
      <c r="C5276" s="1" t="s">
        <v>30</v>
      </c>
      <c r="D5276" s="1" t="s">
        <v>19</v>
      </c>
      <c r="E5276" s="1" t="s">
        <v>77</v>
      </c>
      <c r="F5276">
        <v>2012</v>
      </c>
      <c r="G5276">
        <v>10</v>
      </c>
      <c r="H5276" s="1" t="s">
        <v>21</v>
      </c>
      <c r="I5276">
        <v>22</v>
      </c>
      <c r="J5276">
        <v>2606</v>
      </c>
      <c r="K5276" s="1" t="s">
        <v>78</v>
      </c>
      <c r="L5276" s="1" t="s">
        <v>64</v>
      </c>
      <c r="M5276">
        <v>1.2170000000000001</v>
      </c>
      <c r="N5276">
        <v>26776.7</v>
      </c>
      <c r="O5276">
        <v>26.777000000000001</v>
      </c>
      <c r="P5276" s="2">
        <v>44743</v>
      </c>
      <c r="Q5276">
        <v>1</v>
      </c>
      <c r="R5276" s="1" t="s">
        <v>40</v>
      </c>
    </row>
    <row r="5277" spans="1:18" x14ac:dyDescent="0.25">
      <c r="A5277">
        <v>2022</v>
      </c>
      <c r="B5277">
        <v>8</v>
      </c>
      <c r="C5277" s="1" t="s">
        <v>31</v>
      </c>
      <c r="D5277" s="1" t="s">
        <v>19</v>
      </c>
      <c r="E5277" s="1" t="s">
        <v>77</v>
      </c>
      <c r="F5277">
        <v>2012</v>
      </c>
      <c r="G5277">
        <v>10</v>
      </c>
      <c r="H5277" s="1" t="s">
        <v>21</v>
      </c>
      <c r="I5277">
        <v>22</v>
      </c>
      <c r="J5277">
        <v>2606</v>
      </c>
      <c r="K5277" s="1" t="s">
        <v>78</v>
      </c>
      <c r="L5277" s="1" t="s">
        <v>64</v>
      </c>
      <c r="M5277">
        <v>2.056</v>
      </c>
      <c r="N5277">
        <v>45227.1</v>
      </c>
      <c r="O5277">
        <v>45.226999999999997</v>
      </c>
      <c r="P5277" s="2">
        <v>44774</v>
      </c>
      <c r="Q5277">
        <v>1</v>
      </c>
      <c r="R5277" s="1" t="s">
        <v>40</v>
      </c>
    </row>
    <row r="5278" spans="1:18" x14ac:dyDescent="0.25">
      <c r="A5278">
        <v>2022</v>
      </c>
      <c r="B5278">
        <v>9</v>
      </c>
      <c r="C5278" s="1" t="s">
        <v>32</v>
      </c>
      <c r="D5278" s="1" t="s">
        <v>19</v>
      </c>
      <c r="E5278" s="1" t="s">
        <v>77</v>
      </c>
      <c r="F5278">
        <v>2012</v>
      </c>
      <c r="G5278">
        <v>10</v>
      </c>
      <c r="H5278" s="1" t="s">
        <v>21</v>
      </c>
      <c r="I5278">
        <v>22</v>
      </c>
      <c r="J5278">
        <v>2606</v>
      </c>
      <c r="K5278" s="1" t="s">
        <v>78</v>
      </c>
      <c r="L5278" s="1" t="s">
        <v>64</v>
      </c>
      <c r="M5278">
        <v>2.218</v>
      </c>
      <c r="N5278">
        <v>48803.9</v>
      </c>
      <c r="O5278">
        <v>48.804000000000002</v>
      </c>
      <c r="P5278" s="2">
        <v>44805</v>
      </c>
      <c r="Q5278">
        <v>1</v>
      </c>
      <c r="R5278" s="1" t="s">
        <v>40</v>
      </c>
    </row>
    <row r="5279" spans="1:18" x14ac:dyDescent="0.25">
      <c r="A5279">
        <v>2022</v>
      </c>
      <c r="B5279">
        <v>10</v>
      </c>
      <c r="C5279" s="1" t="s">
        <v>33</v>
      </c>
      <c r="D5279" s="1" t="s">
        <v>19</v>
      </c>
      <c r="E5279" s="1" t="s">
        <v>77</v>
      </c>
      <c r="F5279">
        <v>2012</v>
      </c>
      <c r="G5279">
        <v>10</v>
      </c>
      <c r="H5279" s="1" t="s">
        <v>21</v>
      </c>
      <c r="I5279">
        <v>22</v>
      </c>
      <c r="J5279">
        <v>2606</v>
      </c>
      <c r="K5279" s="1" t="s">
        <v>78</v>
      </c>
      <c r="L5279" s="1" t="s">
        <v>64</v>
      </c>
      <c r="M5279">
        <v>2.1059999999999999</v>
      </c>
      <c r="N5279">
        <v>46341.2</v>
      </c>
      <c r="O5279">
        <v>46.341000000000001</v>
      </c>
      <c r="P5279" s="2">
        <v>44835</v>
      </c>
      <c r="Q5279">
        <v>1</v>
      </c>
      <c r="R5279" s="1" t="s">
        <v>40</v>
      </c>
    </row>
    <row r="5280" spans="1:18" x14ac:dyDescent="0.25">
      <c r="A5280">
        <v>2022</v>
      </c>
      <c r="B5280">
        <v>11</v>
      </c>
      <c r="C5280" s="1" t="s">
        <v>34</v>
      </c>
      <c r="D5280" s="1" t="s">
        <v>19</v>
      </c>
      <c r="E5280" s="1" t="s">
        <v>77</v>
      </c>
      <c r="F5280">
        <v>2012</v>
      </c>
      <c r="G5280">
        <v>10</v>
      </c>
      <c r="H5280" s="1" t="s">
        <v>21</v>
      </c>
      <c r="I5280">
        <v>22</v>
      </c>
      <c r="J5280">
        <v>2606</v>
      </c>
      <c r="K5280" s="1" t="s">
        <v>78</v>
      </c>
      <c r="L5280" s="1" t="s">
        <v>64</v>
      </c>
      <c r="M5280">
        <v>1.885</v>
      </c>
      <c r="N5280">
        <v>41474.5</v>
      </c>
      <c r="O5280">
        <v>41.473999999999997</v>
      </c>
      <c r="P5280" s="2">
        <v>44866</v>
      </c>
      <c r="Q5280">
        <v>1</v>
      </c>
      <c r="R5280" s="1" t="s">
        <v>40</v>
      </c>
    </row>
    <row r="5281" spans="1:18" x14ac:dyDescent="0.25">
      <c r="A5281">
        <v>2022</v>
      </c>
      <c r="B5281">
        <v>12</v>
      </c>
      <c r="C5281" s="1" t="s">
        <v>35</v>
      </c>
      <c r="D5281" s="1" t="s">
        <v>19</v>
      </c>
      <c r="E5281" s="1" t="s">
        <v>77</v>
      </c>
      <c r="F5281">
        <v>2012</v>
      </c>
      <c r="G5281">
        <v>10</v>
      </c>
      <c r="H5281" s="1" t="s">
        <v>21</v>
      </c>
      <c r="I5281">
        <v>22</v>
      </c>
      <c r="J5281">
        <v>2606</v>
      </c>
      <c r="K5281" s="1" t="s">
        <v>78</v>
      </c>
      <c r="L5281" s="1" t="s">
        <v>64</v>
      </c>
      <c r="M5281">
        <v>1.907</v>
      </c>
      <c r="N5281">
        <v>41963.1</v>
      </c>
      <c r="O5281">
        <v>41.963000000000001</v>
      </c>
      <c r="P5281" s="2">
        <v>44896</v>
      </c>
      <c r="Q5281">
        <v>1</v>
      </c>
      <c r="R5281" s="1" t="s">
        <v>40</v>
      </c>
    </row>
    <row r="5282" spans="1:18" x14ac:dyDescent="0.25">
      <c r="A5282">
        <v>2022</v>
      </c>
      <c r="B5282">
        <v>1</v>
      </c>
      <c r="C5282" s="1" t="s">
        <v>18</v>
      </c>
      <c r="D5282" s="1" t="s">
        <v>19</v>
      </c>
      <c r="E5282" s="1" t="s">
        <v>79</v>
      </c>
      <c r="F5282">
        <v>2012</v>
      </c>
      <c r="G5282">
        <v>10</v>
      </c>
      <c r="H5282" s="1" t="s">
        <v>21</v>
      </c>
      <c r="I5282">
        <v>22</v>
      </c>
      <c r="J5282">
        <v>2683</v>
      </c>
      <c r="K5282" s="1" t="s">
        <v>80</v>
      </c>
      <c r="L5282" s="1" t="s">
        <v>45</v>
      </c>
      <c r="M5282">
        <v>0.433</v>
      </c>
      <c r="N5282">
        <v>9517.9</v>
      </c>
      <c r="O5282">
        <v>9.5180000000000007</v>
      </c>
      <c r="P5282" s="2">
        <v>44562</v>
      </c>
      <c r="Q5282">
        <v>1</v>
      </c>
      <c r="R5282" s="1" t="s">
        <v>40</v>
      </c>
    </row>
    <row r="5283" spans="1:18" x14ac:dyDescent="0.25">
      <c r="A5283">
        <v>2022</v>
      </c>
      <c r="B5283">
        <v>2</v>
      </c>
      <c r="C5283" s="1" t="s">
        <v>25</v>
      </c>
      <c r="D5283" s="1" t="s">
        <v>19</v>
      </c>
      <c r="E5283" s="1" t="s">
        <v>79</v>
      </c>
      <c r="F5283">
        <v>2012</v>
      </c>
      <c r="G5283">
        <v>10</v>
      </c>
      <c r="H5283" s="1" t="s">
        <v>21</v>
      </c>
      <c r="I5283">
        <v>22</v>
      </c>
      <c r="J5283">
        <v>2683</v>
      </c>
      <c r="K5283" s="1" t="s">
        <v>80</v>
      </c>
      <c r="L5283" s="1" t="s">
        <v>45</v>
      </c>
      <c r="M5283">
        <v>1.5549999999999999</v>
      </c>
      <c r="N5283">
        <v>34208.199999999997</v>
      </c>
      <c r="O5283">
        <v>34.207999999999998</v>
      </c>
      <c r="P5283" s="2">
        <v>44593</v>
      </c>
      <c r="Q5283">
        <v>1</v>
      </c>
      <c r="R5283" s="1" t="s">
        <v>40</v>
      </c>
    </row>
    <row r="5284" spans="1:18" x14ac:dyDescent="0.25">
      <c r="A5284">
        <v>2022</v>
      </c>
      <c r="B5284">
        <v>3</v>
      </c>
      <c r="C5284" s="1" t="s">
        <v>26</v>
      </c>
      <c r="D5284" s="1" t="s">
        <v>19</v>
      </c>
      <c r="E5284" s="1" t="s">
        <v>79</v>
      </c>
      <c r="F5284">
        <v>2012</v>
      </c>
      <c r="G5284">
        <v>10</v>
      </c>
      <c r="H5284" s="1" t="s">
        <v>21</v>
      </c>
      <c r="I5284">
        <v>22</v>
      </c>
      <c r="J5284">
        <v>2683</v>
      </c>
      <c r="K5284" s="1" t="s">
        <v>80</v>
      </c>
      <c r="L5284" s="1" t="s">
        <v>45</v>
      </c>
      <c r="M5284">
        <v>1.863</v>
      </c>
      <c r="N5284">
        <v>40989.5</v>
      </c>
      <c r="O5284">
        <v>40.99</v>
      </c>
      <c r="P5284" s="2">
        <v>44621</v>
      </c>
      <c r="Q5284">
        <v>1</v>
      </c>
      <c r="R5284" s="1" t="s">
        <v>40</v>
      </c>
    </row>
    <row r="5285" spans="1:18" x14ac:dyDescent="0.25">
      <c r="A5285">
        <v>2022</v>
      </c>
      <c r="B5285">
        <v>4</v>
      </c>
      <c r="C5285" s="1" t="s">
        <v>27</v>
      </c>
      <c r="D5285" s="1" t="s">
        <v>19</v>
      </c>
      <c r="E5285" s="1" t="s">
        <v>79</v>
      </c>
      <c r="F5285">
        <v>2012</v>
      </c>
      <c r="G5285">
        <v>10</v>
      </c>
      <c r="H5285" s="1" t="s">
        <v>21</v>
      </c>
      <c r="I5285">
        <v>22</v>
      </c>
      <c r="J5285">
        <v>2683</v>
      </c>
      <c r="K5285" s="1" t="s">
        <v>80</v>
      </c>
      <c r="L5285" s="1" t="s">
        <v>45</v>
      </c>
      <c r="M5285">
        <v>2.13</v>
      </c>
      <c r="N5285">
        <v>46865.3</v>
      </c>
      <c r="O5285">
        <v>46.865000000000002</v>
      </c>
      <c r="P5285" s="2">
        <v>44652</v>
      </c>
      <c r="Q5285">
        <v>1</v>
      </c>
      <c r="R5285" s="1" t="s">
        <v>40</v>
      </c>
    </row>
    <row r="5286" spans="1:18" x14ac:dyDescent="0.25">
      <c r="A5286">
        <v>2022</v>
      </c>
      <c r="B5286">
        <v>5</v>
      </c>
      <c r="C5286" s="1" t="s">
        <v>28</v>
      </c>
      <c r="D5286" s="1" t="s">
        <v>19</v>
      </c>
      <c r="E5286" s="1" t="s">
        <v>79</v>
      </c>
      <c r="F5286">
        <v>2012</v>
      </c>
      <c r="G5286">
        <v>10</v>
      </c>
      <c r="H5286" s="1" t="s">
        <v>21</v>
      </c>
      <c r="I5286">
        <v>22</v>
      </c>
      <c r="J5286">
        <v>2683</v>
      </c>
      <c r="K5286" s="1" t="s">
        <v>80</v>
      </c>
      <c r="L5286" s="1" t="s">
        <v>45</v>
      </c>
      <c r="M5286">
        <v>1.956</v>
      </c>
      <c r="N5286">
        <v>43042</v>
      </c>
      <c r="O5286">
        <v>43.042000000000002</v>
      </c>
      <c r="P5286" s="2">
        <v>44682</v>
      </c>
      <c r="Q5286">
        <v>1</v>
      </c>
      <c r="R5286" s="1" t="s">
        <v>40</v>
      </c>
    </row>
    <row r="5287" spans="1:18" x14ac:dyDescent="0.25">
      <c r="A5287">
        <v>2022</v>
      </c>
      <c r="B5287">
        <v>6</v>
      </c>
      <c r="C5287" s="1" t="s">
        <v>29</v>
      </c>
      <c r="D5287" s="1" t="s">
        <v>19</v>
      </c>
      <c r="E5287" s="1" t="s">
        <v>79</v>
      </c>
      <c r="F5287">
        <v>2012</v>
      </c>
      <c r="G5287">
        <v>10</v>
      </c>
      <c r="H5287" s="1" t="s">
        <v>21</v>
      </c>
      <c r="I5287">
        <v>22</v>
      </c>
      <c r="J5287">
        <v>2683</v>
      </c>
      <c r="K5287" s="1" t="s">
        <v>80</v>
      </c>
      <c r="L5287" s="1" t="s">
        <v>45</v>
      </c>
      <c r="M5287">
        <v>2.1560000000000001</v>
      </c>
      <c r="N5287">
        <v>47428.7</v>
      </c>
      <c r="O5287">
        <v>47.429000000000002</v>
      </c>
      <c r="P5287" s="2">
        <v>44713</v>
      </c>
      <c r="Q5287">
        <v>1</v>
      </c>
      <c r="R5287" s="1" t="s">
        <v>40</v>
      </c>
    </row>
    <row r="5288" spans="1:18" x14ac:dyDescent="0.25">
      <c r="A5288">
        <v>2022</v>
      </c>
      <c r="B5288">
        <v>7</v>
      </c>
      <c r="C5288" s="1" t="s">
        <v>30</v>
      </c>
      <c r="D5288" s="1" t="s">
        <v>19</v>
      </c>
      <c r="E5288" s="1" t="s">
        <v>79</v>
      </c>
      <c r="F5288">
        <v>2012</v>
      </c>
      <c r="G5288">
        <v>10</v>
      </c>
      <c r="H5288" s="1" t="s">
        <v>21</v>
      </c>
      <c r="I5288">
        <v>22</v>
      </c>
      <c r="J5288">
        <v>2683</v>
      </c>
      <c r="K5288" s="1" t="s">
        <v>80</v>
      </c>
      <c r="L5288" s="1" t="s">
        <v>45</v>
      </c>
      <c r="M5288">
        <v>1.2529999999999999</v>
      </c>
      <c r="N5288">
        <v>27567.8</v>
      </c>
      <c r="O5288">
        <v>27.568000000000001</v>
      </c>
      <c r="P5288" s="2">
        <v>44743</v>
      </c>
      <c r="Q5288">
        <v>1</v>
      </c>
      <c r="R5288" s="1" t="s">
        <v>40</v>
      </c>
    </row>
    <row r="5289" spans="1:18" x14ac:dyDescent="0.25">
      <c r="A5289">
        <v>2022</v>
      </c>
      <c r="B5289">
        <v>8</v>
      </c>
      <c r="C5289" s="1" t="s">
        <v>31</v>
      </c>
      <c r="D5289" s="1" t="s">
        <v>19</v>
      </c>
      <c r="E5289" s="1" t="s">
        <v>79</v>
      </c>
      <c r="F5289">
        <v>2012</v>
      </c>
      <c r="G5289">
        <v>10</v>
      </c>
      <c r="H5289" s="1" t="s">
        <v>21</v>
      </c>
      <c r="I5289">
        <v>22</v>
      </c>
      <c r="J5289">
        <v>2683</v>
      </c>
      <c r="K5289" s="1" t="s">
        <v>80</v>
      </c>
      <c r="L5289" s="1" t="s">
        <v>45</v>
      </c>
      <c r="M5289">
        <v>2.117</v>
      </c>
      <c r="N5289">
        <v>46563.5</v>
      </c>
      <c r="O5289">
        <v>46.563000000000002</v>
      </c>
      <c r="P5289" s="2">
        <v>44774</v>
      </c>
      <c r="Q5289">
        <v>1</v>
      </c>
      <c r="R5289" s="1" t="s">
        <v>40</v>
      </c>
    </row>
    <row r="5290" spans="1:18" x14ac:dyDescent="0.25">
      <c r="A5290">
        <v>2022</v>
      </c>
      <c r="B5290">
        <v>9</v>
      </c>
      <c r="C5290" s="1" t="s">
        <v>32</v>
      </c>
      <c r="D5290" s="1" t="s">
        <v>19</v>
      </c>
      <c r="E5290" s="1" t="s">
        <v>79</v>
      </c>
      <c r="F5290">
        <v>2012</v>
      </c>
      <c r="G5290">
        <v>10</v>
      </c>
      <c r="H5290" s="1" t="s">
        <v>21</v>
      </c>
      <c r="I5290">
        <v>22</v>
      </c>
      <c r="J5290">
        <v>2683</v>
      </c>
      <c r="K5290" s="1" t="s">
        <v>80</v>
      </c>
      <c r="L5290" s="1" t="s">
        <v>45</v>
      </c>
      <c r="M5290">
        <v>2.2839999999999998</v>
      </c>
      <c r="N5290">
        <v>50245.9</v>
      </c>
      <c r="O5290">
        <v>50.246000000000002</v>
      </c>
      <c r="P5290" s="2">
        <v>44805</v>
      </c>
      <c r="Q5290">
        <v>1</v>
      </c>
      <c r="R5290" s="1" t="s">
        <v>40</v>
      </c>
    </row>
    <row r="5291" spans="1:18" x14ac:dyDescent="0.25">
      <c r="A5291">
        <v>2022</v>
      </c>
      <c r="B5291">
        <v>10</v>
      </c>
      <c r="C5291" s="1" t="s">
        <v>33</v>
      </c>
      <c r="D5291" s="1" t="s">
        <v>19</v>
      </c>
      <c r="E5291" s="1" t="s">
        <v>79</v>
      </c>
      <c r="F5291">
        <v>2012</v>
      </c>
      <c r="G5291">
        <v>10</v>
      </c>
      <c r="H5291" s="1" t="s">
        <v>21</v>
      </c>
      <c r="I5291">
        <v>22</v>
      </c>
      <c r="J5291">
        <v>2683</v>
      </c>
      <c r="K5291" s="1" t="s">
        <v>80</v>
      </c>
      <c r="L5291" s="1" t="s">
        <v>45</v>
      </c>
      <c r="M5291">
        <v>2.169</v>
      </c>
      <c r="N5291">
        <v>47710.400000000001</v>
      </c>
      <c r="O5291">
        <v>47.71</v>
      </c>
      <c r="P5291" s="2">
        <v>44835</v>
      </c>
      <c r="Q5291">
        <v>1</v>
      </c>
      <c r="R5291" s="1" t="s">
        <v>40</v>
      </c>
    </row>
    <row r="5292" spans="1:18" x14ac:dyDescent="0.25">
      <c r="A5292">
        <v>2022</v>
      </c>
      <c r="B5292">
        <v>11</v>
      </c>
      <c r="C5292" s="1" t="s">
        <v>34</v>
      </c>
      <c r="D5292" s="1" t="s">
        <v>19</v>
      </c>
      <c r="E5292" s="1" t="s">
        <v>79</v>
      </c>
      <c r="F5292">
        <v>2012</v>
      </c>
      <c r="G5292">
        <v>10</v>
      </c>
      <c r="H5292" s="1" t="s">
        <v>21</v>
      </c>
      <c r="I5292">
        <v>22</v>
      </c>
      <c r="J5292">
        <v>2683</v>
      </c>
      <c r="K5292" s="1" t="s">
        <v>80</v>
      </c>
      <c r="L5292" s="1" t="s">
        <v>45</v>
      </c>
      <c r="M5292">
        <v>1.9410000000000001</v>
      </c>
      <c r="N5292">
        <v>42699.9</v>
      </c>
      <c r="O5292">
        <v>42.7</v>
      </c>
      <c r="P5292" s="2">
        <v>44866</v>
      </c>
      <c r="Q5292">
        <v>1</v>
      </c>
      <c r="R5292" s="1" t="s">
        <v>40</v>
      </c>
    </row>
    <row r="5293" spans="1:18" x14ac:dyDescent="0.25">
      <c r="A5293">
        <v>2022</v>
      </c>
      <c r="B5293">
        <v>12</v>
      </c>
      <c r="C5293" s="1" t="s">
        <v>35</v>
      </c>
      <c r="D5293" s="1" t="s">
        <v>19</v>
      </c>
      <c r="E5293" s="1" t="s">
        <v>79</v>
      </c>
      <c r="F5293">
        <v>2012</v>
      </c>
      <c r="G5293">
        <v>10</v>
      </c>
      <c r="H5293" s="1" t="s">
        <v>21</v>
      </c>
      <c r="I5293">
        <v>22</v>
      </c>
      <c r="J5293">
        <v>2683</v>
      </c>
      <c r="K5293" s="1" t="s">
        <v>80</v>
      </c>
      <c r="L5293" s="1" t="s">
        <v>45</v>
      </c>
      <c r="M5293">
        <v>1.964</v>
      </c>
      <c r="N5293">
        <v>43203</v>
      </c>
      <c r="O5293">
        <v>43.203000000000003</v>
      </c>
      <c r="P5293" s="2">
        <v>44896</v>
      </c>
      <c r="Q5293">
        <v>1</v>
      </c>
      <c r="R5293" s="1" t="s">
        <v>40</v>
      </c>
    </row>
    <row r="5294" spans="1:18" x14ac:dyDescent="0.25">
      <c r="A5294">
        <v>2022</v>
      </c>
      <c r="B5294">
        <v>1</v>
      </c>
      <c r="C5294" s="1" t="s">
        <v>18</v>
      </c>
      <c r="D5294" s="1" t="s">
        <v>19</v>
      </c>
      <c r="E5294" s="1" t="s">
        <v>81</v>
      </c>
      <c r="F5294">
        <v>2012</v>
      </c>
      <c r="G5294">
        <v>10</v>
      </c>
      <c r="H5294" s="1" t="s">
        <v>21</v>
      </c>
      <c r="I5294">
        <v>28</v>
      </c>
      <c r="J5294">
        <v>3483</v>
      </c>
      <c r="K5294" s="1" t="s">
        <v>53</v>
      </c>
      <c r="L5294" s="1" t="s">
        <v>45</v>
      </c>
      <c r="M5294">
        <v>0.441</v>
      </c>
      <c r="N5294">
        <v>12355.9</v>
      </c>
      <c r="O5294">
        <v>12.356</v>
      </c>
      <c r="P5294" s="2">
        <v>44562</v>
      </c>
      <c r="Q5294">
        <v>1</v>
      </c>
      <c r="R5294" s="1" t="s">
        <v>40</v>
      </c>
    </row>
    <row r="5295" spans="1:18" x14ac:dyDescent="0.25">
      <c r="A5295">
        <v>2022</v>
      </c>
      <c r="B5295">
        <v>2</v>
      </c>
      <c r="C5295" s="1" t="s">
        <v>25</v>
      </c>
      <c r="D5295" s="1" t="s">
        <v>19</v>
      </c>
      <c r="E5295" s="1" t="s">
        <v>81</v>
      </c>
      <c r="F5295">
        <v>2012</v>
      </c>
      <c r="G5295">
        <v>10</v>
      </c>
      <c r="H5295" s="1" t="s">
        <v>21</v>
      </c>
      <c r="I5295">
        <v>28</v>
      </c>
      <c r="J5295">
        <v>3483</v>
      </c>
      <c r="K5295" s="1" t="s">
        <v>53</v>
      </c>
      <c r="L5295" s="1" t="s">
        <v>45</v>
      </c>
      <c r="M5295">
        <v>1.5860000000000001</v>
      </c>
      <c r="N5295">
        <v>44408.2</v>
      </c>
      <c r="O5295">
        <v>44.408000000000001</v>
      </c>
      <c r="P5295" s="2">
        <v>44593</v>
      </c>
      <c r="Q5295">
        <v>1</v>
      </c>
      <c r="R5295" s="1" t="s">
        <v>40</v>
      </c>
    </row>
    <row r="5296" spans="1:18" x14ac:dyDescent="0.25">
      <c r="A5296">
        <v>2022</v>
      </c>
      <c r="B5296">
        <v>3</v>
      </c>
      <c r="C5296" s="1" t="s">
        <v>26</v>
      </c>
      <c r="D5296" s="1" t="s">
        <v>19</v>
      </c>
      <c r="E5296" s="1" t="s">
        <v>81</v>
      </c>
      <c r="F5296">
        <v>2012</v>
      </c>
      <c r="G5296">
        <v>10</v>
      </c>
      <c r="H5296" s="1" t="s">
        <v>21</v>
      </c>
      <c r="I5296">
        <v>28</v>
      </c>
      <c r="J5296">
        <v>3483</v>
      </c>
      <c r="K5296" s="1" t="s">
        <v>53</v>
      </c>
      <c r="L5296" s="1" t="s">
        <v>45</v>
      </c>
      <c r="M5296">
        <v>1.9</v>
      </c>
      <c r="N5296">
        <v>53211.5</v>
      </c>
      <c r="O5296">
        <v>53.212000000000003</v>
      </c>
      <c r="P5296" s="2">
        <v>44621</v>
      </c>
      <c r="Q5296">
        <v>1</v>
      </c>
      <c r="R5296" s="1" t="s">
        <v>40</v>
      </c>
    </row>
    <row r="5297" spans="1:18" x14ac:dyDescent="0.25">
      <c r="A5297">
        <v>2022</v>
      </c>
      <c r="B5297">
        <v>4</v>
      </c>
      <c r="C5297" s="1" t="s">
        <v>27</v>
      </c>
      <c r="D5297" s="1" t="s">
        <v>19</v>
      </c>
      <c r="E5297" s="1" t="s">
        <v>81</v>
      </c>
      <c r="F5297">
        <v>2012</v>
      </c>
      <c r="G5297">
        <v>10</v>
      </c>
      <c r="H5297" s="1" t="s">
        <v>21</v>
      </c>
      <c r="I5297">
        <v>28</v>
      </c>
      <c r="J5297">
        <v>3483</v>
      </c>
      <c r="K5297" s="1" t="s">
        <v>53</v>
      </c>
      <c r="L5297" s="1" t="s">
        <v>45</v>
      </c>
      <c r="M5297">
        <v>2.173</v>
      </c>
      <c r="N5297">
        <v>60839.3</v>
      </c>
      <c r="O5297">
        <v>60.838999999999999</v>
      </c>
      <c r="P5297" s="2">
        <v>44652</v>
      </c>
      <c r="Q5297">
        <v>1</v>
      </c>
      <c r="R5297" s="1" t="s">
        <v>40</v>
      </c>
    </row>
    <row r="5298" spans="1:18" x14ac:dyDescent="0.25">
      <c r="A5298">
        <v>2022</v>
      </c>
      <c r="B5298">
        <v>5</v>
      </c>
      <c r="C5298" s="1" t="s">
        <v>28</v>
      </c>
      <c r="D5298" s="1" t="s">
        <v>19</v>
      </c>
      <c r="E5298" s="1" t="s">
        <v>81</v>
      </c>
      <c r="F5298">
        <v>2012</v>
      </c>
      <c r="G5298">
        <v>10</v>
      </c>
      <c r="H5298" s="1" t="s">
        <v>21</v>
      </c>
      <c r="I5298">
        <v>28</v>
      </c>
      <c r="J5298">
        <v>3483</v>
      </c>
      <c r="K5298" s="1" t="s">
        <v>53</v>
      </c>
      <c r="L5298" s="1" t="s">
        <v>45</v>
      </c>
      <c r="M5298">
        <v>1.996</v>
      </c>
      <c r="N5298">
        <v>55876</v>
      </c>
      <c r="O5298">
        <v>55.875999999999998</v>
      </c>
      <c r="P5298" s="2">
        <v>44682</v>
      </c>
      <c r="Q5298">
        <v>1</v>
      </c>
      <c r="R5298" s="1" t="s">
        <v>40</v>
      </c>
    </row>
    <row r="5299" spans="1:18" x14ac:dyDescent="0.25">
      <c r="A5299">
        <v>2022</v>
      </c>
      <c r="B5299">
        <v>6</v>
      </c>
      <c r="C5299" s="1" t="s">
        <v>29</v>
      </c>
      <c r="D5299" s="1" t="s">
        <v>19</v>
      </c>
      <c r="E5299" s="1" t="s">
        <v>81</v>
      </c>
      <c r="F5299">
        <v>2012</v>
      </c>
      <c r="G5299">
        <v>10</v>
      </c>
      <c r="H5299" s="1" t="s">
        <v>21</v>
      </c>
      <c r="I5299">
        <v>28</v>
      </c>
      <c r="J5299">
        <v>3483</v>
      </c>
      <c r="K5299" s="1" t="s">
        <v>53</v>
      </c>
      <c r="L5299" s="1" t="s">
        <v>45</v>
      </c>
      <c r="M5299">
        <v>2.1989999999999998</v>
      </c>
      <c r="N5299">
        <v>61570.7</v>
      </c>
      <c r="O5299">
        <v>61.570999999999998</v>
      </c>
      <c r="P5299" s="2">
        <v>44713</v>
      </c>
      <c r="Q5299">
        <v>1</v>
      </c>
      <c r="R5299" s="1" t="s">
        <v>40</v>
      </c>
    </row>
    <row r="5300" spans="1:18" x14ac:dyDescent="0.25">
      <c r="A5300">
        <v>2022</v>
      </c>
      <c r="B5300">
        <v>7</v>
      </c>
      <c r="C5300" s="1" t="s">
        <v>30</v>
      </c>
      <c r="D5300" s="1" t="s">
        <v>19</v>
      </c>
      <c r="E5300" s="1" t="s">
        <v>81</v>
      </c>
      <c r="F5300">
        <v>2012</v>
      </c>
      <c r="G5300">
        <v>10</v>
      </c>
      <c r="H5300" s="1" t="s">
        <v>21</v>
      </c>
      <c r="I5300">
        <v>28</v>
      </c>
      <c r="J5300">
        <v>3483</v>
      </c>
      <c r="K5300" s="1" t="s">
        <v>53</v>
      </c>
      <c r="L5300" s="1" t="s">
        <v>45</v>
      </c>
      <c r="M5300">
        <v>1.278</v>
      </c>
      <c r="N5300">
        <v>35787.800000000003</v>
      </c>
      <c r="O5300">
        <v>35.787999999999997</v>
      </c>
      <c r="P5300" s="2">
        <v>44743</v>
      </c>
      <c r="Q5300">
        <v>1</v>
      </c>
      <c r="R5300" s="1" t="s">
        <v>40</v>
      </c>
    </row>
    <row r="5301" spans="1:18" x14ac:dyDescent="0.25">
      <c r="A5301">
        <v>2022</v>
      </c>
      <c r="B5301">
        <v>8</v>
      </c>
      <c r="C5301" s="1" t="s">
        <v>31</v>
      </c>
      <c r="D5301" s="1" t="s">
        <v>19</v>
      </c>
      <c r="E5301" s="1" t="s">
        <v>81</v>
      </c>
      <c r="F5301">
        <v>2012</v>
      </c>
      <c r="G5301">
        <v>10</v>
      </c>
      <c r="H5301" s="1" t="s">
        <v>21</v>
      </c>
      <c r="I5301">
        <v>28</v>
      </c>
      <c r="J5301">
        <v>3483</v>
      </c>
      <c r="K5301" s="1" t="s">
        <v>53</v>
      </c>
      <c r="L5301" s="1" t="s">
        <v>45</v>
      </c>
      <c r="M5301">
        <v>2.1589999999999998</v>
      </c>
      <c r="N5301">
        <v>60447.5</v>
      </c>
      <c r="O5301">
        <v>60.447000000000003</v>
      </c>
      <c r="P5301" s="2">
        <v>44774</v>
      </c>
      <c r="Q5301">
        <v>1</v>
      </c>
      <c r="R5301" s="1" t="s">
        <v>40</v>
      </c>
    </row>
    <row r="5302" spans="1:18" x14ac:dyDescent="0.25">
      <c r="A5302">
        <v>2022</v>
      </c>
      <c r="B5302">
        <v>9</v>
      </c>
      <c r="C5302" s="1" t="s">
        <v>32</v>
      </c>
      <c r="D5302" s="1" t="s">
        <v>19</v>
      </c>
      <c r="E5302" s="1" t="s">
        <v>81</v>
      </c>
      <c r="F5302">
        <v>2012</v>
      </c>
      <c r="G5302">
        <v>10</v>
      </c>
      <c r="H5302" s="1" t="s">
        <v>21</v>
      </c>
      <c r="I5302">
        <v>28</v>
      </c>
      <c r="J5302">
        <v>3483</v>
      </c>
      <c r="K5302" s="1" t="s">
        <v>53</v>
      </c>
      <c r="L5302" s="1" t="s">
        <v>45</v>
      </c>
      <c r="M5302">
        <v>2.33</v>
      </c>
      <c r="N5302">
        <v>65227.9</v>
      </c>
      <c r="O5302">
        <v>65.227999999999994</v>
      </c>
      <c r="P5302" s="2">
        <v>44805</v>
      </c>
      <c r="Q5302">
        <v>1</v>
      </c>
      <c r="R5302" s="1" t="s">
        <v>40</v>
      </c>
    </row>
    <row r="5303" spans="1:18" x14ac:dyDescent="0.25">
      <c r="A5303">
        <v>2022</v>
      </c>
      <c r="B5303">
        <v>10</v>
      </c>
      <c r="C5303" s="1" t="s">
        <v>33</v>
      </c>
      <c r="D5303" s="1" t="s">
        <v>19</v>
      </c>
      <c r="E5303" s="1" t="s">
        <v>81</v>
      </c>
      <c r="F5303">
        <v>2012</v>
      </c>
      <c r="G5303">
        <v>10</v>
      </c>
      <c r="H5303" s="1" t="s">
        <v>21</v>
      </c>
      <c r="I5303">
        <v>28</v>
      </c>
      <c r="J5303">
        <v>3483</v>
      </c>
      <c r="K5303" s="1" t="s">
        <v>53</v>
      </c>
      <c r="L5303" s="1" t="s">
        <v>45</v>
      </c>
      <c r="M5303">
        <v>2.2120000000000002</v>
      </c>
      <c r="N5303">
        <v>61936.4</v>
      </c>
      <c r="O5303">
        <v>61.936</v>
      </c>
      <c r="P5303" s="2">
        <v>44835</v>
      </c>
      <c r="Q5303">
        <v>1</v>
      </c>
      <c r="R5303" s="1" t="s">
        <v>40</v>
      </c>
    </row>
    <row r="5304" spans="1:18" x14ac:dyDescent="0.25">
      <c r="A5304">
        <v>2022</v>
      </c>
      <c r="B5304">
        <v>11</v>
      </c>
      <c r="C5304" s="1" t="s">
        <v>34</v>
      </c>
      <c r="D5304" s="1" t="s">
        <v>19</v>
      </c>
      <c r="E5304" s="1" t="s">
        <v>81</v>
      </c>
      <c r="F5304">
        <v>2012</v>
      </c>
      <c r="G5304">
        <v>10</v>
      </c>
      <c r="H5304" s="1" t="s">
        <v>21</v>
      </c>
      <c r="I5304">
        <v>28</v>
      </c>
      <c r="J5304">
        <v>3483</v>
      </c>
      <c r="K5304" s="1" t="s">
        <v>53</v>
      </c>
      <c r="L5304" s="1" t="s">
        <v>45</v>
      </c>
      <c r="M5304">
        <v>1.98</v>
      </c>
      <c r="N5304">
        <v>55431.9</v>
      </c>
      <c r="O5304">
        <v>55.432000000000002</v>
      </c>
      <c r="P5304" s="2">
        <v>44866</v>
      </c>
      <c r="Q5304">
        <v>1</v>
      </c>
      <c r="R5304" s="1" t="s">
        <v>40</v>
      </c>
    </row>
    <row r="5305" spans="1:18" x14ac:dyDescent="0.25">
      <c r="A5305">
        <v>2022</v>
      </c>
      <c r="B5305">
        <v>12</v>
      </c>
      <c r="C5305" s="1" t="s">
        <v>35</v>
      </c>
      <c r="D5305" s="1" t="s">
        <v>19</v>
      </c>
      <c r="E5305" s="1" t="s">
        <v>81</v>
      </c>
      <c r="F5305">
        <v>2012</v>
      </c>
      <c r="G5305">
        <v>10</v>
      </c>
      <c r="H5305" s="1" t="s">
        <v>21</v>
      </c>
      <c r="I5305">
        <v>28</v>
      </c>
      <c r="J5305">
        <v>3483</v>
      </c>
      <c r="K5305" s="1" t="s">
        <v>53</v>
      </c>
      <c r="L5305" s="1" t="s">
        <v>45</v>
      </c>
      <c r="M5305">
        <v>2.0030000000000001</v>
      </c>
      <c r="N5305">
        <v>56085</v>
      </c>
      <c r="O5305">
        <v>56.085000000000001</v>
      </c>
      <c r="P5305" s="2">
        <v>44896</v>
      </c>
      <c r="Q5305">
        <v>1</v>
      </c>
      <c r="R5305" s="1" t="s">
        <v>40</v>
      </c>
    </row>
    <row r="5306" spans="1:18" x14ac:dyDescent="0.25">
      <c r="A5306">
        <v>2022</v>
      </c>
      <c r="B5306">
        <v>1</v>
      </c>
      <c r="C5306" s="1" t="s">
        <v>18</v>
      </c>
      <c r="D5306" s="1" t="s">
        <v>19</v>
      </c>
      <c r="E5306" s="1" t="s">
        <v>82</v>
      </c>
      <c r="F5306">
        <v>2013</v>
      </c>
      <c r="G5306">
        <v>9</v>
      </c>
      <c r="H5306" s="1" t="s">
        <v>21</v>
      </c>
      <c r="I5306">
        <v>24</v>
      </c>
      <c r="J5306">
        <v>2678</v>
      </c>
      <c r="K5306" s="1" t="s">
        <v>83</v>
      </c>
      <c r="L5306" s="1" t="s">
        <v>45</v>
      </c>
      <c r="M5306">
        <v>0.39600000000000002</v>
      </c>
      <c r="N5306">
        <v>9500.2000000000007</v>
      </c>
      <c r="O5306">
        <v>9.5</v>
      </c>
      <c r="P5306" s="2">
        <v>44562</v>
      </c>
      <c r="Q5306">
        <v>1</v>
      </c>
      <c r="R5306" s="1" t="s">
        <v>40</v>
      </c>
    </row>
    <row r="5307" spans="1:18" x14ac:dyDescent="0.25">
      <c r="A5307">
        <v>2022</v>
      </c>
      <c r="B5307">
        <v>2</v>
      </c>
      <c r="C5307" s="1" t="s">
        <v>25</v>
      </c>
      <c r="D5307" s="1" t="s">
        <v>19</v>
      </c>
      <c r="E5307" s="1" t="s">
        <v>82</v>
      </c>
      <c r="F5307">
        <v>2013</v>
      </c>
      <c r="G5307">
        <v>9</v>
      </c>
      <c r="H5307" s="1" t="s">
        <v>21</v>
      </c>
      <c r="I5307">
        <v>24</v>
      </c>
      <c r="J5307">
        <v>2678</v>
      </c>
      <c r="K5307" s="1" t="s">
        <v>83</v>
      </c>
      <c r="L5307" s="1" t="s">
        <v>45</v>
      </c>
      <c r="M5307">
        <v>1.423</v>
      </c>
      <c r="N5307">
        <v>34144.5</v>
      </c>
      <c r="O5307">
        <v>34.145000000000003</v>
      </c>
      <c r="P5307" s="2">
        <v>44593</v>
      </c>
      <c r="Q5307">
        <v>1</v>
      </c>
      <c r="R5307" s="1" t="s">
        <v>40</v>
      </c>
    </row>
    <row r="5308" spans="1:18" x14ac:dyDescent="0.25">
      <c r="A5308">
        <v>2022</v>
      </c>
      <c r="B5308">
        <v>3</v>
      </c>
      <c r="C5308" s="1" t="s">
        <v>26</v>
      </c>
      <c r="D5308" s="1" t="s">
        <v>19</v>
      </c>
      <c r="E5308" s="1" t="s">
        <v>82</v>
      </c>
      <c r="F5308">
        <v>2013</v>
      </c>
      <c r="G5308">
        <v>9</v>
      </c>
      <c r="H5308" s="1" t="s">
        <v>21</v>
      </c>
      <c r="I5308">
        <v>24</v>
      </c>
      <c r="J5308">
        <v>2678</v>
      </c>
      <c r="K5308" s="1" t="s">
        <v>83</v>
      </c>
      <c r="L5308" s="1" t="s">
        <v>45</v>
      </c>
      <c r="M5308">
        <v>1.7050000000000001</v>
      </c>
      <c r="N5308">
        <v>40913.1</v>
      </c>
      <c r="O5308">
        <v>40.912999999999997</v>
      </c>
      <c r="P5308" s="2">
        <v>44621</v>
      </c>
      <c r="Q5308">
        <v>1</v>
      </c>
      <c r="R5308" s="1" t="s">
        <v>40</v>
      </c>
    </row>
    <row r="5309" spans="1:18" x14ac:dyDescent="0.25">
      <c r="A5309">
        <v>2022</v>
      </c>
      <c r="B5309">
        <v>4</v>
      </c>
      <c r="C5309" s="1" t="s">
        <v>27</v>
      </c>
      <c r="D5309" s="1" t="s">
        <v>19</v>
      </c>
      <c r="E5309" s="1" t="s">
        <v>82</v>
      </c>
      <c r="F5309">
        <v>2013</v>
      </c>
      <c r="G5309">
        <v>9</v>
      </c>
      <c r="H5309" s="1" t="s">
        <v>21</v>
      </c>
      <c r="I5309">
        <v>24</v>
      </c>
      <c r="J5309">
        <v>2678</v>
      </c>
      <c r="K5309" s="1" t="s">
        <v>83</v>
      </c>
      <c r="L5309" s="1" t="s">
        <v>45</v>
      </c>
      <c r="M5309">
        <v>1.9490000000000001</v>
      </c>
      <c r="N5309">
        <v>46778</v>
      </c>
      <c r="O5309">
        <v>46.777999999999999</v>
      </c>
      <c r="P5309" s="2">
        <v>44652</v>
      </c>
      <c r="Q5309">
        <v>1</v>
      </c>
      <c r="R5309" s="1" t="s">
        <v>40</v>
      </c>
    </row>
    <row r="5310" spans="1:18" x14ac:dyDescent="0.25">
      <c r="A5310">
        <v>2022</v>
      </c>
      <c r="B5310">
        <v>5</v>
      </c>
      <c r="C5310" s="1" t="s">
        <v>28</v>
      </c>
      <c r="D5310" s="1" t="s">
        <v>19</v>
      </c>
      <c r="E5310" s="1" t="s">
        <v>82</v>
      </c>
      <c r="F5310">
        <v>2013</v>
      </c>
      <c r="G5310">
        <v>9</v>
      </c>
      <c r="H5310" s="1" t="s">
        <v>21</v>
      </c>
      <c r="I5310">
        <v>24</v>
      </c>
      <c r="J5310">
        <v>2678</v>
      </c>
      <c r="K5310" s="1" t="s">
        <v>83</v>
      </c>
      <c r="L5310" s="1" t="s">
        <v>45</v>
      </c>
      <c r="M5310">
        <v>1.79</v>
      </c>
      <c r="N5310">
        <v>42961.8</v>
      </c>
      <c r="O5310">
        <v>42.962000000000003</v>
      </c>
      <c r="P5310" s="2">
        <v>44682</v>
      </c>
      <c r="Q5310">
        <v>1</v>
      </c>
      <c r="R5310" s="1" t="s">
        <v>40</v>
      </c>
    </row>
    <row r="5311" spans="1:18" x14ac:dyDescent="0.25">
      <c r="A5311">
        <v>2022</v>
      </c>
      <c r="B5311">
        <v>6</v>
      </c>
      <c r="C5311" s="1" t="s">
        <v>29</v>
      </c>
      <c r="D5311" s="1" t="s">
        <v>19</v>
      </c>
      <c r="E5311" s="1" t="s">
        <v>82</v>
      </c>
      <c r="F5311">
        <v>2013</v>
      </c>
      <c r="G5311">
        <v>9</v>
      </c>
      <c r="H5311" s="1" t="s">
        <v>21</v>
      </c>
      <c r="I5311">
        <v>24</v>
      </c>
      <c r="J5311">
        <v>2678</v>
      </c>
      <c r="K5311" s="1" t="s">
        <v>83</v>
      </c>
      <c r="L5311" s="1" t="s">
        <v>45</v>
      </c>
      <c r="M5311">
        <v>1.9730000000000001</v>
      </c>
      <c r="N5311">
        <v>47340.3</v>
      </c>
      <c r="O5311">
        <v>47.34</v>
      </c>
      <c r="P5311" s="2">
        <v>44713</v>
      </c>
      <c r="Q5311">
        <v>1</v>
      </c>
      <c r="R5311" s="1" t="s">
        <v>40</v>
      </c>
    </row>
    <row r="5312" spans="1:18" x14ac:dyDescent="0.25">
      <c r="A5312">
        <v>2022</v>
      </c>
      <c r="B5312">
        <v>7</v>
      </c>
      <c r="C5312" s="1" t="s">
        <v>30</v>
      </c>
      <c r="D5312" s="1" t="s">
        <v>19</v>
      </c>
      <c r="E5312" s="1" t="s">
        <v>82</v>
      </c>
      <c r="F5312">
        <v>2013</v>
      </c>
      <c r="G5312">
        <v>9</v>
      </c>
      <c r="H5312" s="1" t="s">
        <v>21</v>
      </c>
      <c r="I5312">
        <v>24</v>
      </c>
      <c r="J5312">
        <v>2678</v>
      </c>
      <c r="K5312" s="1" t="s">
        <v>83</v>
      </c>
      <c r="L5312" s="1" t="s">
        <v>45</v>
      </c>
      <c r="M5312">
        <v>1.147</v>
      </c>
      <c r="N5312">
        <v>27516.5</v>
      </c>
      <c r="O5312">
        <v>27.515999999999998</v>
      </c>
      <c r="P5312" s="2">
        <v>44743</v>
      </c>
      <c r="Q5312">
        <v>1</v>
      </c>
      <c r="R5312" s="1" t="s">
        <v>40</v>
      </c>
    </row>
    <row r="5313" spans="1:18" x14ac:dyDescent="0.25">
      <c r="A5313">
        <v>2022</v>
      </c>
      <c r="B5313">
        <v>8</v>
      </c>
      <c r="C5313" s="1" t="s">
        <v>31</v>
      </c>
      <c r="D5313" s="1" t="s">
        <v>19</v>
      </c>
      <c r="E5313" s="1" t="s">
        <v>82</v>
      </c>
      <c r="F5313">
        <v>2013</v>
      </c>
      <c r="G5313">
        <v>9</v>
      </c>
      <c r="H5313" s="1" t="s">
        <v>21</v>
      </c>
      <c r="I5313">
        <v>24</v>
      </c>
      <c r="J5313">
        <v>2678</v>
      </c>
      <c r="K5313" s="1" t="s">
        <v>83</v>
      </c>
      <c r="L5313" s="1" t="s">
        <v>45</v>
      </c>
      <c r="M5313">
        <v>1.9370000000000001</v>
      </c>
      <c r="N5313">
        <v>46476.7</v>
      </c>
      <c r="O5313">
        <v>46.476999999999997</v>
      </c>
      <c r="P5313" s="2">
        <v>44774</v>
      </c>
      <c r="Q5313">
        <v>1</v>
      </c>
      <c r="R5313" s="1" t="s">
        <v>40</v>
      </c>
    </row>
    <row r="5314" spans="1:18" x14ac:dyDescent="0.25">
      <c r="A5314">
        <v>2022</v>
      </c>
      <c r="B5314">
        <v>9</v>
      </c>
      <c r="C5314" s="1" t="s">
        <v>32</v>
      </c>
      <c r="D5314" s="1" t="s">
        <v>19</v>
      </c>
      <c r="E5314" s="1" t="s">
        <v>82</v>
      </c>
      <c r="F5314">
        <v>2013</v>
      </c>
      <c r="G5314">
        <v>9</v>
      </c>
      <c r="H5314" s="1" t="s">
        <v>21</v>
      </c>
      <c r="I5314">
        <v>24</v>
      </c>
      <c r="J5314">
        <v>2678</v>
      </c>
      <c r="K5314" s="1" t="s">
        <v>83</v>
      </c>
      <c r="L5314" s="1" t="s">
        <v>45</v>
      </c>
      <c r="M5314">
        <v>2.09</v>
      </c>
      <c r="N5314">
        <v>50152.2</v>
      </c>
      <c r="O5314">
        <v>50.152000000000001</v>
      </c>
      <c r="P5314" s="2">
        <v>44805</v>
      </c>
      <c r="Q5314">
        <v>1</v>
      </c>
      <c r="R5314" s="1" t="s">
        <v>40</v>
      </c>
    </row>
    <row r="5315" spans="1:18" x14ac:dyDescent="0.25">
      <c r="A5315">
        <v>2022</v>
      </c>
      <c r="B5315">
        <v>10</v>
      </c>
      <c r="C5315" s="1" t="s">
        <v>33</v>
      </c>
      <c r="D5315" s="1" t="s">
        <v>19</v>
      </c>
      <c r="E5315" s="1" t="s">
        <v>82</v>
      </c>
      <c r="F5315">
        <v>2013</v>
      </c>
      <c r="G5315">
        <v>9</v>
      </c>
      <c r="H5315" s="1" t="s">
        <v>21</v>
      </c>
      <c r="I5315">
        <v>24</v>
      </c>
      <c r="J5315">
        <v>2678</v>
      </c>
      <c r="K5315" s="1" t="s">
        <v>83</v>
      </c>
      <c r="L5315" s="1" t="s">
        <v>45</v>
      </c>
      <c r="M5315">
        <v>1.984</v>
      </c>
      <c r="N5315">
        <v>47621.5</v>
      </c>
      <c r="O5315">
        <v>47.622</v>
      </c>
      <c r="P5315" s="2">
        <v>44835</v>
      </c>
      <c r="Q5315">
        <v>1</v>
      </c>
      <c r="R5315" s="1" t="s">
        <v>40</v>
      </c>
    </row>
    <row r="5316" spans="1:18" x14ac:dyDescent="0.25">
      <c r="A5316">
        <v>2022</v>
      </c>
      <c r="B5316">
        <v>11</v>
      </c>
      <c r="C5316" s="1" t="s">
        <v>34</v>
      </c>
      <c r="D5316" s="1" t="s">
        <v>19</v>
      </c>
      <c r="E5316" s="1" t="s">
        <v>82</v>
      </c>
      <c r="F5316">
        <v>2013</v>
      </c>
      <c r="G5316">
        <v>9</v>
      </c>
      <c r="H5316" s="1" t="s">
        <v>21</v>
      </c>
      <c r="I5316">
        <v>24</v>
      </c>
      <c r="J5316">
        <v>2678</v>
      </c>
      <c r="K5316" s="1" t="s">
        <v>83</v>
      </c>
      <c r="L5316" s="1" t="s">
        <v>45</v>
      </c>
      <c r="M5316">
        <v>1.776</v>
      </c>
      <c r="N5316">
        <v>42620.4</v>
      </c>
      <c r="O5316">
        <v>42.62</v>
      </c>
      <c r="P5316" s="2">
        <v>44866</v>
      </c>
      <c r="Q5316">
        <v>1</v>
      </c>
      <c r="R5316" s="1" t="s">
        <v>40</v>
      </c>
    </row>
    <row r="5317" spans="1:18" x14ac:dyDescent="0.25">
      <c r="A5317">
        <v>2022</v>
      </c>
      <c r="B5317">
        <v>12</v>
      </c>
      <c r="C5317" s="1" t="s">
        <v>35</v>
      </c>
      <c r="D5317" s="1" t="s">
        <v>19</v>
      </c>
      <c r="E5317" s="1" t="s">
        <v>82</v>
      </c>
      <c r="F5317">
        <v>2013</v>
      </c>
      <c r="G5317">
        <v>9</v>
      </c>
      <c r="H5317" s="1" t="s">
        <v>21</v>
      </c>
      <c r="I5317">
        <v>24</v>
      </c>
      <c r="J5317">
        <v>2678</v>
      </c>
      <c r="K5317" s="1" t="s">
        <v>83</v>
      </c>
      <c r="L5317" s="1" t="s">
        <v>45</v>
      </c>
      <c r="M5317">
        <v>1.7969999999999999</v>
      </c>
      <c r="N5317">
        <v>43122.5</v>
      </c>
      <c r="O5317">
        <v>43.122</v>
      </c>
      <c r="P5317" s="2">
        <v>44896</v>
      </c>
      <c r="Q5317">
        <v>1</v>
      </c>
      <c r="R5317" s="1" t="s">
        <v>40</v>
      </c>
    </row>
    <row r="5318" spans="1:18" x14ac:dyDescent="0.25">
      <c r="A5318">
        <v>2022</v>
      </c>
      <c r="B5318">
        <v>1</v>
      </c>
      <c r="C5318" s="1" t="s">
        <v>18</v>
      </c>
      <c r="D5318" s="1" t="s">
        <v>19</v>
      </c>
      <c r="E5318" s="1" t="s">
        <v>84</v>
      </c>
      <c r="F5318">
        <v>2013</v>
      </c>
      <c r="G5318">
        <v>9</v>
      </c>
      <c r="H5318" s="1" t="s">
        <v>21</v>
      </c>
      <c r="I5318">
        <v>23</v>
      </c>
      <c r="J5318">
        <v>2683</v>
      </c>
      <c r="K5318" s="1" t="s">
        <v>85</v>
      </c>
      <c r="L5318" s="1" t="s">
        <v>45</v>
      </c>
      <c r="M5318">
        <v>0.41399999999999998</v>
      </c>
      <c r="N5318">
        <v>9517.9</v>
      </c>
      <c r="O5318">
        <v>9.5180000000000007</v>
      </c>
      <c r="P5318" s="2">
        <v>44562</v>
      </c>
      <c r="Q5318">
        <v>1</v>
      </c>
      <c r="R5318" s="1" t="s">
        <v>40</v>
      </c>
    </row>
    <row r="5319" spans="1:18" x14ac:dyDescent="0.25">
      <c r="A5319">
        <v>2022</v>
      </c>
      <c r="B5319">
        <v>2</v>
      </c>
      <c r="C5319" s="1" t="s">
        <v>25</v>
      </c>
      <c r="D5319" s="1" t="s">
        <v>19</v>
      </c>
      <c r="E5319" s="1" t="s">
        <v>84</v>
      </c>
      <c r="F5319">
        <v>2013</v>
      </c>
      <c r="G5319">
        <v>9</v>
      </c>
      <c r="H5319" s="1" t="s">
        <v>21</v>
      </c>
      <c r="I5319">
        <v>23</v>
      </c>
      <c r="J5319">
        <v>2683</v>
      </c>
      <c r="K5319" s="1" t="s">
        <v>85</v>
      </c>
      <c r="L5319" s="1" t="s">
        <v>45</v>
      </c>
      <c r="M5319">
        <v>1.4870000000000001</v>
      </c>
      <c r="N5319">
        <v>34208.199999999997</v>
      </c>
      <c r="O5319">
        <v>34.207999999999998</v>
      </c>
      <c r="P5319" s="2">
        <v>44593</v>
      </c>
      <c r="Q5319">
        <v>1</v>
      </c>
      <c r="R5319" s="1" t="s">
        <v>40</v>
      </c>
    </row>
    <row r="5320" spans="1:18" x14ac:dyDescent="0.25">
      <c r="A5320">
        <v>2022</v>
      </c>
      <c r="B5320">
        <v>3</v>
      </c>
      <c r="C5320" s="1" t="s">
        <v>26</v>
      </c>
      <c r="D5320" s="1" t="s">
        <v>19</v>
      </c>
      <c r="E5320" s="1" t="s">
        <v>84</v>
      </c>
      <c r="F5320">
        <v>2013</v>
      </c>
      <c r="G5320">
        <v>9</v>
      </c>
      <c r="H5320" s="1" t="s">
        <v>21</v>
      </c>
      <c r="I5320">
        <v>23</v>
      </c>
      <c r="J5320">
        <v>2683</v>
      </c>
      <c r="K5320" s="1" t="s">
        <v>85</v>
      </c>
      <c r="L5320" s="1" t="s">
        <v>45</v>
      </c>
      <c r="M5320">
        <v>1.782</v>
      </c>
      <c r="N5320">
        <v>40989.5</v>
      </c>
      <c r="O5320">
        <v>40.99</v>
      </c>
      <c r="P5320" s="2">
        <v>44621</v>
      </c>
      <c r="Q5320">
        <v>1</v>
      </c>
      <c r="R5320" s="1" t="s">
        <v>40</v>
      </c>
    </row>
    <row r="5321" spans="1:18" x14ac:dyDescent="0.25">
      <c r="A5321">
        <v>2022</v>
      </c>
      <c r="B5321">
        <v>4</v>
      </c>
      <c r="C5321" s="1" t="s">
        <v>27</v>
      </c>
      <c r="D5321" s="1" t="s">
        <v>19</v>
      </c>
      <c r="E5321" s="1" t="s">
        <v>84</v>
      </c>
      <c r="F5321">
        <v>2013</v>
      </c>
      <c r="G5321">
        <v>9</v>
      </c>
      <c r="H5321" s="1" t="s">
        <v>21</v>
      </c>
      <c r="I5321">
        <v>23</v>
      </c>
      <c r="J5321">
        <v>2683</v>
      </c>
      <c r="K5321" s="1" t="s">
        <v>85</v>
      </c>
      <c r="L5321" s="1" t="s">
        <v>45</v>
      </c>
      <c r="M5321">
        <v>2.0379999999999998</v>
      </c>
      <c r="N5321">
        <v>46865.3</v>
      </c>
      <c r="O5321">
        <v>46.865000000000002</v>
      </c>
      <c r="P5321" s="2">
        <v>44652</v>
      </c>
      <c r="Q5321">
        <v>1</v>
      </c>
      <c r="R5321" s="1" t="s">
        <v>40</v>
      </c>
    </row>
    <row r="5322" spans="1:18" x14ac:dyDescent="0.25">
      <c r="A5322">
        <v>2022</v>
      </c>
      <c r="B5322">
        <v>5</v>
      </c>
      <c r="C5322" s="1" t="s">
        <v>28</v>
      </c>
      <c r="D5322" s="1" t="s">
        <v>19</v>
      </c>
      <c r="E5322" s="1" t="s">
        <v>84</v>
      </c>
      <c r="F5322">
        <v>2013</v>
      </c>
      <c r="G5322">
        <v>9</v>
      </c>
      <c r="H5322" s="1" t="s">
        <v>21</v>
      </c>
      <c r="I5322">
        <v>23</v>
      </c>
      <c r="J5322">
        <v>2683</v>
      </c>
      <c r="K5322" s="1" t="s">
        <v>85</v>
      </c>
      <c r="L5322" s="1" t="s">
        <v>45</v>
      </c>
      <c r="M5322">
        <v>1.871</v>
      </c>
      <c r="N5322">
        <v>43042</v>
      </c>
      <c r="O5322">
        <v>43.042000000000002</v>
      </c>
      <c r="P5322" s="2">
        <v>44682</v>
      </c>
      <c r="Q5322">
        <v>1</v>
      </c>
      <c r="R5322" s="1" t="s">
        <v>40</v>
      </c>
    </row>
    <row r="5323" spans="1:18" x14ac:dyDescent="0.25">
      <c r="A5323">
        <v>2022</v>
      </c>
      <c r="B5323">
        <v>6</v>
      </c>
      <c r="C5323" s="1" t="s">
        <v>29</v>
      </c>
      <c r="D5323" s="1" t="s">
        <v>19</v>
      </c>
      <c r="E5323" s="1" t="s">
        <v>84</v>
      </c>
      <c r="F5323">
        <v>2013</v>
      </c>
      <c r="G5323">
        <v>9</v>
      </c>
      <c r="H5323" s="1" t="s">
        <v>21</v>
      </c>
      <c r="I5323">
        <v>23</v>
      </c>
      <c r="J5323">
        <v>2683</v>
      </c>
      <c r="K5323" s="1" t="s">
        <v>85</v>
      </c>
      <c r="L5323" s="1" t="s">
        <v>45</v>
      </c>
      <c r="M5323">
        <v>2.0619999999999998</v>
      </c>
      <c r="N5323">
        <v>47428.7</v>
      </c>
      <c r="O5323">
        <v>47.429000000000002</v>
      </c>
      <c r="P5323" s="2">
        <v>44713</v>
      </c>
      <c r="Q5323">
        <v>1</v>
      </c>
      <c r="R5323" s="1" t="s">
        <v>40</v>
      </c>
    </row>
    <row r="5324" spans="1:18" x14ac:dyDescent="0.25">
      <c r="A5324">
        <v>2022</v>
      </c>
      <c r="B5324">
        <v>7</v>
      </c>
      <c r="C5324" s="1" t="s">
        <v>30</v>
      </c>
      <c r="D5324" s="1" t="s">
        <v>19</v>
      </c>
      <c r="E5324" s="1" t="s">
        <v>84</v>
      </c>
      <c r="F5324">
        <v>2013</v>
      </c>
      <c r="G5324">
        <v>9</v>
      </c>
      <c r="H5324" s="1" t="s">
        <v>21</v>
      </c>
      <c r="I5324">
        <v>23</v>
      </c>
      <c r="J5324">
        <v>2683</v>
      </c>
      <c r="K5324" s="1" t="s">
        <v>85</v>
      </c>
      <c r="L5324" s="1" t="s">
        <v>45</v>
      </c>
      <c r="M5324">
        <v>1.1990000000000001</v>
      </c>
      <c r="N5324">
        <v>27567.8</v>
      </c>
      <c r="O5324">
        <v>27.568000000000001</v>
      </c>
      <c r="P5324" s="2">
        <v>44743</v>
      </c>
      <c r="Q5324">
        <v>1</v>
      </c>
      <c r="R5324" s="1" t="s">
        <v>40</v>
      </c>
    </row>
    <row r="5325" spans="1:18" x14ac:dyDescent="0.25">
      <c r="A5325">
        <v>2022</v>
      </c>
      <c r="B5325">
        <v>8</v>
      </c>
      <c r="C5325" s="1" t="s">
        <v>31</v>
      </c>
      <c r="D5325" s="1" t="s">
        <v>19</v>
      </c>
      <c r="E5325" s="1" t="s">
        <v>84</v>
      </c>
      <c r="F5325">
        <v>2013</v>
      </c>
      <c r="G5325">
        <v>9</v>
      </c>
      <c r="H5325" s="1" t="s">
        <v>21</v>
      </c>
      <c r="I5325">
        <v>23</v>
      </c>
      <c r="J5325">
        <v>2683</v>
      </c>
      <c r="K5325" s="1" t="s">
        <v>85</v>
      </c>
      <c r="L5325" s="1" t="s">
        <v>45</v>
      </c>
      <c r="M5325">
        <v>2.024</v>
      </c>
      <c r="N5325">
        <v>46563.5</v>
      </c>
      <c r="O5325">
        <v>46.563000000000002</v>
      </c>
      <c r="P5325" s="2">
        <v>44774</v>
      </c>
      <c r="Q5325">
        <v>1</v>
      </c>
      <c r="R5325" s="1" t="s">
        <v>40</v>
      </c>
    </row>
    <row r="5326" spans="1:18" x14ac:dyDescent="0.25">
      <c r="A5326">
        <v>2022</v>
      </c>
      <c r="B5326">
        <v>9</v>
      </c>
      <c r="C5326" s="1" t="s">
        <v>32</v>
      </c>
      <c r="D5326" s="1" t="s">
        <v>19</v>
      </c>
      <c r="E5326" s="1" t="s">
        <v>84</v>
      </c>
      <c r="F5326">
        <v>2013</v>
      </c>
      <c r="G5326">
        <v>9</v>
      </c>
      <c r="H5326" s="1" t="s">
        <v>21</v>
      </c>
      <c r="I5326">
        <v>23</v>
      </c>
      <c r="J5326">
        <v>2683</v>
      </c>
      <c r="K5326" s="1" t="s">
        <v>85</v>
      </c>
      <c r="L5326" s="1" t="s">
        <v>45</v>
      </c>
      <c r="M5326">
        <v>2.1850000000000001</v>
      </c>
      <c r="N5326">
        <v>50245.9</v>
      </c>
      <c r="O5326">
        <v>50.246000000000002</v>
      </c>
      <c r="P5326" s="2">
        <v>44805</v>
      </c>
      <c r="Q5326">
        <v>1</v>
      </c>
      <c r="R5326" s="1" t="s">
        <v>40</v>
      </c>
    </row>
    <row r="5327" spans="1:18" x14ac:dyDescent="0.25">
      <c r="A5327">
        <v>2022</v>
      </c>
      <c r="B5327">
        <v>10</v>
      </c>
      <c r="C5327" s="1" t="s">
        <v>33</v>
      </c>
      <c r="D5327" s="1" t="s">
        <v>19</v>
      </c>
      <c r="E5327" s="1" t="s">
        <v>84</v>
      </c>
      <c r="F5327">
        <v>2013</v>
      </c>
      <c r="G5327">
        <v>9</v>
      </c>
      <c r="H5327" s="1" t="s">
        <v>21</v>
      </c>
      <c r="I5327">
        <v>23</v>
      </c>
      <c r="J5327">
        <v>2683</v>
      </c>
      <c r="K5327" s="1" t="s">
        <v>85</v>
      </c>
      <c r="L5327" s="1" t="s">
        <v>45</v>
      </c>
      <c r="M5327">
        <v>2.0739999999999998</v>
      </c>
      <c r="N5327">
        <v>47710.400000000001</v>
      </c>
      <c r="O5327">
        <v>47.71</v>
      </c>
      <c r="P5327" s="2">
        <v>44835</v>
      </c>
      <c r="Q5327">
        <v>1</v>
      </c>
      <c r="R5327" s="1" t="s">
        <v>40</v>
      </c>
    </row>
    <row r="5328" spans="1:18" x14ac:dyDescent="0.25">
      <c r="A5328">
        <v>2022</v>
      </c>
      <c r="B5328">
        <v>11</v>
      </c>
      <c r="C5328" s="1" t="s">
        <v>34</v>
      </c>
      <c r="D5328" s="1" t="s">
        <v>19</v>
      </c>
      <c r="E5328" s="1" t="s">
        <v>84</v>
      </c>
      <c r="F5328">
        <v>2013</v>
      </c>
      <c r="G5328">
        <v>9</v>
      </c>
      <c r="H5328" s="1" t="s">
        <v>21</v>
      </c>
      <c r="I5328">
        <v>23</v>
      </c>
      <c r="J5328">
        <v>2683</v>
      </c>
      <c r="K5328" s="1" t="s">
        <v>85</v>
      </c>
      <c r="L5328" s="1" t="s">
        <v>45</v>
      </c>
      <c r="M5328">
        <v>1.857</v>
      </c>
      <c r="N5328">
        <v>42699.9</v>
      </c>
      <c r="O5328">
        <v>42.7</v>
      </c>
      <c r="P5328" s="2">
        <v>44866</v>
      </c>
      <c r="Q5328">
        <v>1</v>
      </c>
      <c r="R5328" s="1" t="s">
        <v>40</v>
      </c>
    </row>
    <row r="5329" spans="1:18" x14ac:dyDescent="0.25">
      <c r="A5329">
        <v>2022</v>
      </c>
      <c r="B5329">
        <v>12</v>
      </c>
      <c r="C5329" s="1" t="s">
        <v>35</v>
      </c>
      <c r="D5329" s="1" t="s">
        <v>19</v>
      </c>
      <c r="E5329" s="1" t="s">
        <v>84</v>
      </c>
      <c r="F5329">
        <v>2013</v>
      </c>
      <c r="G5329">
        <v>9</v>
      </c>
      <c r="H5329" s="1" t="s">
        <v>21</v>
      </c>
      <c r="I5329">
        <v>23</v>
      </c>
      <c r="J5329">
        <v>2683</v>
      </c>
      <c r="K5329" s="1" t="s">
        <v>85</v>
      </c>
      <c r="L5329" s="1" t="s">
        <v>45</v>
      </c>
      <c r="M5329">
        <v>1.8779999999999999</v>
      </c>
      <c r="N5329">
        <v>43203</v>
      </c>
      <c r="O5329">
        <v>43.203000000000003</v>
      </c>
      <c r="P5329" s="2">
        <v>44896</v>
      </c>
      <c r="Q5329">
        <v>1</v>
      </c>
      <c r="R5329" s="1" t="s">
        <v>40</v>
      </c>
    </row>
    <row r="5330" spans="1:18" x14ac:dyDescent="0.25">
      <c r="A5330">
        <v>2022</v>
      </c>
      <c r="B5330">
        <v>1</v>
      </c>
      <c r="C5330" s="1" t="s">
        <v>18</v>
      </c>
      <c r="D5330" s="1" t="s">
        <v>19</v>
      </c>
      <c r="E5330" s="1" t="s">
        <v>86</v>
      </c>
      <c r="F5330">
        <v>2013</v>
      </c>
      <c r="G5330">
        <v>9</v>
      </c>
      <c r="H5330" s="1" t="s">
        <v>21</v>
      </c>
      <c r="I5330">
        <v>24</v>
      </c>
      <c r="J5330">
        <v>3445</v>
      </c>
      <c r="K5330" s="1" t="s">
        <v>87</v>
      </c>
      <c r="L5330" s="1" t="s">
        <v>45</v>
      </c>
      <c r="M5330">
        <v>0.50900000000000001</v>
      </c>
      <c r="N5330">
        <v>12221.1</v>
      </c>
      <c r="O5330">
        <v>12.221</v>
      </c>
      <c r="P5330" s="2">
        <v>44562</v>
      </c>
      <c r="Q5330">
        <v>1</v>
      </c>
      <c r="R5330" s="1" t="s">
        <v>40</v>
      </c>
    </row>
    <row r="5331" spans="1:18" x14ac:dyDescent="0.25">
      <c r="A5331">
        <v>2022</v>
      </c>
      <c r="B5331">
        <v>2</v>
      </c>
      <c r="C5331" s="1" t="s">
        <v>25</v>
      </c>
      <c r="D5331" s="1" t="s">
        <v>19</v>
      </c>
      <c r="E5331" s="1" t="s">
        <v>86</v>
      </c>
      <c r="F5331">
        <v>2013</v>
      </c>
      <c r="G5331">
        <v>9</v>
      </c>
      <c r="H5331" s="1" t="s">
        <v>21</v>
      </c>
      <c r="I5331">
        <v>24</v>
      </c>
      <c r="J5331">
        <v>3445</v>
      </c>
      <c r="K5331" s="1" t="s">
        <v>87</v>
      </c>
      <c r="L5331" s="1" t="s">
        <v>45</v>
      </c>
      <c r="M5331">
        <v>1.83</v>
      </c>
      <c r="N5331">
        <v>43923.8</v>
      </c>
      <c r="O5331">
        <v>43.923999999999999</v>
      </c>
      <c r="P5331" s="2">
        <v>44593</v>
      </c>
      <c r="Q5331">
        <v>1</v>
      </c>
      <c r="R5331" s="1" t="s">
        <v>40</v>
      </c>
    </row>
    <row r="5332" spans="1:18" x14ac:dyDescent="0.25">
      <c r="A5332">
        <v>2022</v>
      </c>
      <c r="B5332">
        <v>3</v>
      </c>
      <c r="C5332" s="1" t="s">
        <v>26</v>
      </c>
      <c r="D5332" s="1" t="s">
        <v>19</v>
      </c>
      <c r="E5332" s="1" t="s">
        <v>86</v>
      </c>
      <c r="F5332">
        <v>2013</v>
      </c>
      <c r="G5332">
        <v>9</v>
      </c>
      <c r="H5332" s="1" t="s">
        <v>21</v>
      </c>
      <c r="I5332">
        <v>24</v>
      </c>
      <c r="J5332">
        <v>3445</v>
      </c>
      <c r="K5332" s="1" t="s">
        <v>87</v>
      </c>
      <c r="L5332" s="1" t="s">
        <v>45</v>
      </c>
      <c r="M5332">
        <v>2.1930000000000001</v>
      </c>
      <c r="N5332">
        <v>52631</v>
      </c>
      <c r="O5332">
        <v>52.631</v>
      </c>
      <c r="P5332" s="2">
        <v>44621</v>
      </c>
      <c r="Q5332">
        <v>1</v>
      </c>
      <c r="R5332" s="1" t="s">
        <v>40</v>
      </c>
    </row>
    <row r="5333" spans="1:18" x14ac:dyDescent="0.25">
      <c r="A5333">
        <v>2022</v>
      </c>
      <c r="B5333">
        <v>4</v>
      </c>
      <c r="C5333" s="1" t="s">
        <v>27</v>
      </c>
      <c r="D5333" s="1" t="s">
        <v>19</v>
      </c>
      <c r="E5333" s="1" t="s">
        <v>86</v>
      </c>
      <c r="F5333">
        <v>2013</v>
      </c>
      <c r="G5333">
        <v>9</v>
      </c>
      <c r="H5333" s="1" t="s">
        <v>21</v>
      </c>
      <c r="I5333">
        <v>24</v>
      </c>
      <c r="J5333">
        <v>3445</v>
      </c>
      <c r="K5333" s="1" t="s">
        <v>87</v>
      </c>
      <c r="L5333" s="1" t="s">
        <v>45</v>
      </c>
      <c r="M5333">
        <v>2.5070000000000001</v>
      </c>
      <c r="N5333">
        <v>60175.5</v>
      </c>
      <c r="O5333">
        <v>60.176000000000002</v>
      </c>
      <c r="P5333" s="2">
        <v>44652</v>
      </c>
      <c r="Q5333">
        <v>1</v>
      </c>
      <c r="R5333" s="1" t="s">
        <v>40</v>
      </c>
    </row>
    <row r="5334" spans="1:18" x14ac:dyDescent="0.25">
      <c r="A5334">
        <v>2022</v>
      </c>
      <c r="B5334">
        <v>5</v>
      </c>
      <c r="C5334" s="1" t="s">
        <v>28</v>
      </c>
      <c r="D5334" s="1" t="s">
        <v>19</v>
      </c>
      <c r="E5334" s="1" t="s">
        <v>86</v>
      </c>
      <c r="F5334">
        <v>2013</v>
      </c>
      <c r="G5334">
        <v>9</v>
      </c>
      <c r="H5334" s="1" t="s">
        <v>21</v>
      </c>
      <c r="I5334">
        <v>24</v>
      </c>
      <c r="J5334">
        <v>3445</v>
      </c>
      <c r="K5334" s="1" t="s">
        <v>87</v>
      </c>
      <c r="L5334" s="1" t="s">
        <v>45</v>
      </c>
      <c r="M5334">
        <v>2.3029999999999999</v>
      </c>
      <c r="N5334">
        <v>55266.400000000001</v>
      </c>
      <c r="O5334">
        <v>55.265999999999998</v>
      </c>
      <c r="P5334" s="2">
        <v>44682</v>
      </c>
      <c r="Q5334">
        <v>1</v>
      </c>
      <c r="R5334" s="1" t="s">
        <v>40</v>
      </c>
    </row>
    <row r="5335" spans="1:18" x14ac:dyDescent="0.25">
      <c r="A5335">
        <v>2022</v>
      </c>
      <c r="B5335">
        <v>6</v>
      </c>
      <c r="C5335" s="1" t="s">
        <v>29</v>
      </c>
      <c r="D5335" s="1" t="s">
        <v>19</v>
      </c>
      <c r="E5335" s="1" t="s">
        <v>86</v>
      </c>
      <c r="F5335">
        <v>2013</v>
      </c>
      <c r="G5335">
        <v>9</v>
      </c>
      <c r="H5335" s="1" t="s">
        <v>21</v>
      </c>
      <c r="I5335">
        <v>24</v>
      </c>
      <c r="J5335">
        <v>3445</v>
      </c>
      <c r="K5335" s="1" t="s">
        <v>87</v>
      </c>
      <c r="L5335" s="1" t="s">
        <v>45</v>
      </c>
      <c r="M5335">
        <v>2.5369999999999999</v>
      </c>
      <c r="N5335">
        <v>60899</v>
      </c>
      <c r="O5335">
        <v>60.899000000000001</v>
      </c>
      <c r="P5335" s="2">
        <v>44713</v>
      </c>
      <c r="Q5335">
        <v>1</v>
      </c>
      <c r="R5335" s="1" t="s">
        <v>40</v>
      </c>
    </row>
    <row r="5336" spans="1:18" x14ac:dyDescent="0.25">
      <c r="A5336">
        <v>2022</v>
      </c>
      <c r="B5336">
        <v>7</v>
      </c>
      <c r="C5336" s="1" t="s">
        <v>30</v>
      </c>
      <c r="D5336" s="1" t="s">
        <v>19</v>
      </c>
      <c r="E5336" s="1" t="s">
        <v>86</v>
      </c>
      <c r="F5336">
        <v>2013</v>
      </c>
      <c r="G5336">
        <v>9</v>
      </c>
      <c r="H5336" s="1" t="s">
        <v>21</v>
      </c>
      <c r="I5336">
        <v>24</v>
      </c>
      <c r="J5336">
        <v>3445</v>
      </c>
      <c r="K5336" s="1" t="s">
        <v>87</v>
      </c>
      <c r="L5336" s="1" t="s">
        <v>45</v>
      </c>
      <c r="M5336">
        <v>1.4750000000000001</v>
      </c>
      <c r="N5336">
        <v>35397.4</v>
      </c>
      <c r="O5336">
        <v>35.396999999999998</v>
      </c>
      <c r="P5336" s="2">
        <v>44743</v>
      </c>
      <c r="Q5336">
        <v>1</v>
      </c>
      <c r="R5336" s="1" t="s">
        <v>40</v>
      </c>
    </row>
    <row r="5337" spans="1:18" x14ac:dyDescent="0.25">
      <c r="A5337">
        <v>2022</v>
      </c>
      <c r="B5337">
        <v>8</v>
      </c>
      <c r="C5337" s="1" t="s">
        <v>31</v>
      </c>
      <c r="D5337" s="1" t="s">
        <v>19</v>
      </c>
      <c r="E5337" s="1" t="s">
        <v>86</v>
      </c>
      <c r="F5337">
        <v>2013</v>
      </c>
      <c r="G5337">
        <v>9</v>
      </c>
      <c r="H5337" s="1" t="s">
        <v>21</v>
      </c>
      <c r="I5337">
        <v>24</v>
      </c>
      <c r="J5337">
        <v>3445</v>
      </c>
      <c r="K5337" s="1" t="s">
        <v>87</v>
      </c>
      <c r="L5337" s="1" t="s">
        <v>45</v>
      </c>
      <c r="M5337">
        <v>2.4910000000000001</v>
      </c>
      <c r="N5337">
        <v>59788</v>
      </c>
      <c r="O5337">
        <v>59.787999999999997</v>
      </c>
      <c r="P5337" s="2">
        <v>44774</v>
      </c>
      <c r="Q5337">
        <v>1</v>
      </c>
      <c r="R5337" s="1" t="s">
        <v>40</v>
      </c>
    </row>
    <row r="5338" spans="1:18" x14ac:dyDescent="0.25">
      <c r="A5338">
        <v>2022</v>
      </c>
      <c r="B5338">
        <v>9</v>
      </c>
      <c r="C5338" s="1" t="s">
        <v>32</v>
      </c>
      <c r="D5338" s="1" t="s">
        <v>19</v>
      </c>
      <c r="E5338" s="1" t="s">
        <v>86</v>
      </c>
      <c r="F5338">
        <v>2013</v>
      </c>
      <c r="G5338">
        <v>9</v>
      </c>
      <c r="H5338" s="1" t="s">
        <v>21</v>
      </c>
      <c r="I5338">
        <v>24</v>
      </c>
      <c r="J5338">
        <v>3445</v>
      </c>
      <c r="K5338" s="1" t="s">
        <v>87</v>
      </c>
      <c r="L5338" s="1" t="s">
        <v>45</v>
      </c>
      <c r="M5338">
        <v>2.6880000000000002</v>
      </c>
      <c r="N5338">
        <v>64516.2</v>
      </c>
      <c r="O5338">
        <v>64.516000000000005</v>
      </c>
      <c r="P5338" s="2">
        <v>44805</v>
      </c>
      <c r="Q5338">
        <v>1</v>
      </c>
      <c r="R5338" s="1" t="s">
        <v>40</v>
      </c>
    </row>
    <row r="5339" spans="1:18" x14ac:dyDescent="0.25">
      <c r="A5339">
        <v>2022</v>
      </c>
      <c r="B5339">
        <v>10</v>
      </c>
      <c r="C5339" s="1" t="s">
        <v>33</v>
      </c>
      <c r="D5339" s="1" t="s">
        <v>19</v>
      </c>
      <c r="E5339" s="1" t="s">
        <v>86</v>
      </c>
      <c r="F5339">
        <v>2013</v>
      </c>
      <c r="G5339">
        <v>9</v>
      </c>
      <c r="H5339" s="1" t="s">
        <v>21</v>
      </c>
      <c r="I5339">
        <v>24</v>
      </c>
      <c r="J5339">
        <v>3445</v>
      </c>
      <c r="K5339" s="1" t="s">
        <v>87</v>
      </c>
      <c r="L5339" s="1" t="s">
        <v>45</v>
      </c>
      <c r="M5339">
        <v>2.5529999999999999</v>
      </c>
      <c r="N5339">
        <v>61260.7</v>
      </c>
      <c r="O5339">
        <v>61.261000000000003</v>
      </c>
      <c r="P5339" s="2">
        <v>44835</v>
      </c>
      <c r="Q5339">
        <v>1</v>
      </c>
      <c r="R5339" s="1" t="s">
        <v>40</v>
      </c>
    </row>
    <row r="5340" spans="1:18" x14ac:dyDescent="0.25">
      <c r="A5340">
        <v>2022</v>
      </c>
      <c r="B5340">
        <v>11</v>
      </c>
      <c r="C5340" s="1" t="s">
        <v>34</v>
      </c>
      <c r="D5340" s="1" t="s">
        <v>19</v>
      </c>
      <c r="E5340" s="1" t="s">
        <v>86</v>
      </c>
      <c r="F5340">
        <v>2013</v>
      </c>
      <c r="G5340">
        <v>9</v>
      </c>
      <c r="H5340" s="1" t="s">
        <v>21</v>
      </c>
      <c r="I5340">
        <v>24</v>
      </c>
      <c r="J5340">
        <v>3445</v>
      </c>
      <c r="K5340" s="1" t="s">
        <v>87</v>
      </c>
      <c r="L5340" s="1" t="s">
        <v>45</v>
      </c>
      <c r="M5340">
        <v>2.2839999999999998</v>
      </c>
      <c r="N5340">
        <v>54827.199999999997</v>
      </c>
      <c r="O5340">
        <v>54.826999999999998</v>
      </c>
      <c r="P5340" s="2">
        <v>44866</v>
      </c>
      <c r="Q5340">
        <v>1</v>
      </c>
      <c r="R5340" s="1" t="s">
        <v>40</v>
      </c>
    </row>
    <row r="5341" spans="1:18" x14ac:dyDescent="0.25">
      <c r="A5341">
        <v>2022</v>
      </c>
      <c r="B5341">
        <v>12</v>
      </c>
      <c r="C5341" s="1" t="s">
        <v>35</v>
      </c>
      <c r="D5341" s="1" t="s">
        <v>19</v>
      </c>
      <c r="E5341" s="1" t="s">
        <v>86</v>
      </c>
      <c r="F5341">
        <v>2013</v>
      </c>
      <c r="G5341">
        <v>9</v>
      </c>
      <c r="H5341" s="1" t="s">
        <v>21</v>
      </c>
      <c r="I5341">
        <v>24</v>
      </c>
      <c r="J5341">
        <v>3445</v>
      </c>
      <c r="K5341" s="1" t="s">
        <v>87</v>
      </c>
      <c r="L5341" s="1" t="s">
        <v>45</v>
      </c>
      <c r="M5341">
        <v>2.3109999999999999</v>
      </c>
      <c r="N5341">
        <v>55473.1</v>
      </c>
      <c r="O5341">
        <v>55.472999999999999</v>
      </c>
      <c r="P5341" s="2">
        <v>44896</v>
      </c>
      <c r="Q5341">
        <v>1</v>
      </c>
      <c r="R5341" s="1" t="s">
        <v>40</v>
      </c>
    </row>
    <row r="5342" spans="1:18" x14ac:dyDescent="0.25">
      <c r="A5342">
        <v>2022</v>
      </c>
      <c r="B5342">
        <v>1</v>
      </c>
      <c r="C5342" s="1" t="s">
        <v>18</v>
      </c>
      <c r="D5342" s="1" t="s">
        <v>19</v>
      </c>
      <c r="E5342" s="1" t="s">
        <v>88</v>
      </c>
      <c r="F5342">
        <v>2013</v>
      </c>
      <c r="G5342">
        <v>9</v>
      </c>
      <c r="H5342" s="1" t="s">
        <v>21</v>
      </c>
      <c r="I5342">
        <v>24</v>
      </c>
      <c r="J5342">
        <v>3271</v>
      </c>
      <c r="K5342" s="1" t="s">
        <v>89</v>
      </c>
      <c r="L5342" s="1" t="s">
        <v>45</v>
      </c>
      <c r="M5342">
        <v>0.48299999999999998</v>
      </c>
      <c r="N5342">
        <v>11603.9</v>
      </c>
      <c r="O5342">
        <v>11.603999999999999</v>
      </c>
      <c r="P5342" s="2">
        <v>44562</v>
      </c>
      <c r="Q5342">
        <v>1</v>
      </c>
      <c r="R5342" s="1" t="s">
        <v>40</v>
      </c>
    </row>
    <row r="5343" spans="1:18" x14ac:dyDescent="0.25">
      <c r="A5343">
        <v>2022</v>
      </c>
      <c r="B5343">
        <v>2</v>
      </c>
      <c r="C5343" s="1" t="s">
        <v>25</v>
      </c>
      <c r="D5343" s="1" t="s">
        <v>19</v>
      </c>
      <c r="E5343" s="1" t="s">
        <v>88</v>
      </c>
      <c r="F5343">
        <v>2013</v>
      </c>
      <c r="G5343">
        <v>9</v>
      </c>
      <c r="H5343" s="1" t="s">
        <v>21</v>
      </c>
      <c r="I5343">
        <v>24</v>
      </c>
      <c r="J5343">
        <v>3271</v>
      </c>
      <c r="K5343" s="1" t="s">
        <v>89</v>
      </c>
      <c r="L5343" s="1" t="s">
        <v>45</v>
      </c>
      <c r="M5343">
        <v>1.738</v>
      </c>
      <c r="N5343">
        <v>41705.199999999997</v>
      </c>
      <c r="O5343">
        <v>41.704999999999998</v>
      </c>
      <c r="P5343" s="2">
        <v>44593</v>
      </c>
      <c r="Q5343">
        <v>1</v>
      </c>
      <c r="R5343" s="1" t="s">
        <v>40</v>
      </c>
    </row>
    <row r="5344" spans="1:18" x14ac:dyDescent="0.25">
      <c r="A5344">
        <v>2022</v>
      </c>
      <c r="B5344">
        <v>3</v>
      </c>
      <c r="C5344" s="1" t="s">
        <v>26</v>
      </c>
      <c r="D5344" s="1" t="s">
        <v>19</v>
      </c>
      <c r="E5344" s="1" t="s">
        <v>88</v>
      </c>
      <c r="F5344">
        <v>2013</v>
      </c>
      <c r="G5344">
        <v>9</v>
      </c>
      <c r="H5344" s="1" t="s">
        <v>21</v>
      </c>
      <c r="I5344">
        <v>24</v>
      </c>
      <c r="J5344">
        <v>3271</v>
      </c>
      <c r="K5344" s="1" t="s">
        <v>89</v>
      </c>
      <c r="L5344" s="1" t="s">
        <v>45</v>
      </c>
      <c r="M5344">
        <v>2.0819999999999999</v>
      </c>
      <c r="N5344">
        <v>49972.7</v>
      </c>
      <c r="O5344">
        <v>49.972999999999999</v>
      </c>
      <c r="P5344" s="2">
        <v>44621</v>
      </c>
      <c r="Q5344">
        <v>1</v>
      </c>
      <c r="R5344" s="1" t="s">
        <v>40</v>
      </c>
    </row>
    <row r="5345" spans="1:18" x14ac:dyDescent="0.25">
      <c r="A5345">
        <v>2022</v>
      </c>
      <c r="B5345">
        <v>4</v>
      </c>
      <c r="C5345" s="1" t="s">
        <v>27</v>
      </c>
      <c r="D5345" s="1" t="s">
        <v>19</v>
      </c>
      <c r="E5345" s="1" t="s">
        <v>88</v>
      </c>
      <c r="F5345">
        <v>2013</v>
      </c>
      <c r="G5345">
        <v>9</v>
      </c>
      <c r="H5345" s="1" t="s">
        <v>21</v>
      </c>
      <c r="I5345">
        <v>24</v>
      </c>
      <c r="J5345">
        <v>3271</v>
      </c>
      <c r="K5345" s="1" t="s">
        <v>89</v>
      </c>
      <c r="L5345" s="1" t="s">
        <v>45</v>
      </c>
      <c r="M5345">
        <v>2.3809999999999998</v>
      </c>
      <c r="N5345">
        <v>57136.2</v>
      </c>
      <c r="O5345">
        <v>57.136000000000003</v>
      </c>
      <c r="P5345" s="2">
        <v>44652</v>
      </c>
      <c r="Q5345">
        <v>1</v>
      </c>
      <c r="R5345" s="1" t="s">
        <v>40</v>
      </c>
    </row>
    <row r="5346" spans="1:18" x14ac:dyDescent="0.25">
      <c r="A5346">
        <v>2022</v>
      </c>
      <c r="B5346">
        <v>5</v>
      </c>
      <c r="C5346" s="1" t="s">
        <v>28</v>
      </c>
      <c r="D5346" s="1" t="s">
        <v>19</v>
      </c>
      <c r="E5346" s="1" t="s">
        <v>88</v>
      </c>
      <c r="F5346">
        <v>2013</v>
      </c>
      <c r="G5346">
        <v>9</v>
      </c>
      <c r="H5346" s="1" t="s">
        <v>21</v>
      </c>
      <c r="I5346">
        <v>24</v>
      </c>
      <c r="J5346">
        <v>3271</v>
      </c>
      <c r="K5346" s="1" t="s">
        <v>89</v>
      </c>
      <c r="L5346" s="1" t="s">
        <v>45</v>
      </c>
      <c r="M5346">
        <v>2.1859999999999999</v>
      </c>
      <c r="N5346">
        <v>52475</v>
      </c>
      <c r="O5346">
        <v>52.475000000000001</v>
      </c>
      <c r="P5346" s="2">
        <v>44682</v>
      </c>
      <c r="Q5346">
        <v>1</v>
      </c>
      <c r="R5346" s="1" t="s">
        <v>40</v>
      </c>
    </row>
    <row r="5347" spans="1:18" x14ac:dyDescent="0.25">
      <c r="A5347">
        <v>2022</v>
      </c>
      <c r="B5347">
        <v>6</v>
      </c>
      <c r="C5347" s="1" t="s">
        <v>29</v>
      </c>
      <c r="D5347" s="1" t="s">
        <v>19</v>
      </c>
      <c r="E5347" s="1" t="s">
        <v>88</v>
      </c>
      <c r="F5347">
        <v>2013</v>
      </c>
      <c r="G5347">
        <v>9</v>
      </c>
      <c r="H5347" s="1" t="s">
        <v>21</v>
      </c>
      <c r="I5347">
        <v>24</v>
      </c>
      <c r="J5347">
        <v>3271</v>
      </c>
      <c r="K5347" s="1" t="s">
        <v>89</v>
      </c>
      <c r="L5347" s="1" t="s">
        <v>45</v>
      </c>
      <c r="M5347">
        <v>2.4089999999999998</v>
      </c>
      <c r="N5347">
        <v>57823.1</v>
      </c>
      <c r="O5347">
        <v>57.823</v>
      </c>
      <c r="P5347" s="2">
        <v>44713</v>
      </c>
      <c r="Q5347">
        <v>1</v>
      </c>
      <c r="R5347" s="1" t="s">
        <v>40</v>
      </c>
    </row>
    <row r="5348" spans="1:18" x14ac:dyDescent="0.25">
      <c r="A5348">
        <v>2022</v>
      </c>
      <c r="B5348">
        <v>7</v>
      </c>
      <c r="C5348" s="1" t="s">
        <v>30</v>
      </c>
      <c r="D5348" s="1" t="s">
        <v>19</v>
      </c>
      <c r="E5348" s="1" t="s">
        <v>88</v>
      </c>
      <c r="F5348">
        <v>2013</v>
      </c>
      <c r="G5348">
        <v>9</v>
      </c>
      <c r="H5348" s="1" t="s">
        <v>21</v>
      </c>
      <c r="I5348">
        <v>24</v>
      </c>
      <c r="J5348">
        <v>3271</v>
      </c>
      <c r="K5348" s="1" t="s">
        <v>89</v>
      </c>
      <c r="L5348" s="1" t="s">
        <v>45</v>
      </c>
      <c r="M5348">
        <v>1.4</v>
      </c>
      <c r="N5348">
        <v>33609.5</v>
      </c>
      <c r="O5348">
        <v>33.61</v>
      </c>
      <c r="P5348" s="2">
        <v>44743</v>
      </c>
      <c r="Q5348">
        <v>1</v>
      </c>
      <c r="R5348" s="1" t="s">
        <v>40</v>
      </c>
    </row>
    <row r="5349" spans="1:18" x14ac:dyDescent="0.25">
      <c r="A5349">
        <v>2022</v>
      </c>
      <c r="B5349">
        <v>8</v>
      </c>
      <c r="C5349" s="1" t="s">
        <v>31</v>
      </c>
      <c r="D5349" s="1" t="s">
        <v>19</v>
      </c>
      <c r="E5349" s="1" t="s">
        <v>88</v>
      </c>
      <c r="F5349">
        <v>2013</v>
      </c>
      <c r="G5349">
        <v>9</v>
      </c>
      <c r="H5349" s="1" t="s">
        <v>21</v>
      </c>
      <c r="I5349">
        <v>24</v>
      </c>
      <c r="J5349">
        <v>3271</v>
      </c>
      <c r="K5349" s="1" t="s">
        <v>89</v>
      </c>
      <c r="L5349" s="1" t="s">
        <v>45</v>
      </c>
      <c r="M5349">
        <v>2.3650000000000002</v>
      </c>
      <c r="N5349">
        <v>56768.2</v>
      </c>
      <c r="O5349">
        <v>56.768000000000001</v>
      </c>
      <c r="P5349" s="2">
        <v>44774</v>
      </c>
      <c r="Q5349">
        <v>1</v>
      </c>
      <c r="R5349" s="1" t="s">
        <v>40</v>
      </c>
    </row>
    <row r="5350" spans="1:18" x14ac:dyDescent="0.25">
      <c r="A5350">
        <v>2022</v>
      </c>
      <c r="B5350">
        <v>9</v>
      </c>
      <c r="C5350" s="1" t="s">
        <v>32</v>
      </c>
      <c r="D5350" s="1" t="s">
        <v>19</v>
      </c>
      <c r="E5350" s="1" t="s">
        <v>88</v>
      </c>
      <c r="F5350">
        <v>2013</v>
      </c>
      <c r="G5350">
        <v>9</v>
      </c>
      <c r="H5350" s="1" t="s">
        <v>21</v>
      </c>
      <c r="I5350">
        <v>24</v>
      </c>
      <c r="J5350">
        <v>3271</v>
      </c>
      <c r="K5350" s="1" t="s">
        <v>89</v>
      </c>
      <c r="L5350" s="1" t="s">
        <v>45</v>
      </c>
      <c r="M5350">
        <v>2.552</v>
      </c>
      <c r="N5350">
        <v>61257.7</v>
      </c>
      <c r="O5350">
        <v>61.258000000000003</v>
      </c>
      <c r="P5350" s="2">
        <v>44805</v>
      </c>
      <c r="Q5350">
        <v>1</v>
      </c>
      <c r="R5350" s="1" t="s">
        <v>40</v>
      </c>
    </row>
    <row r="5351" spans="1:18" x14ac:dyDescent="0.25">
      <c r="A5351">
        <v>2022</v>
      </c>
      <c r="B5351">
        <v>10</v>
      </c>
      <c r="C5351" s="1" t="s">
        <v>33</v>
      </c>
      <c r="D5351" s="1" t="s">
        <v>19</v>
      </c>
      <c r="E5351" s="1" t="s">
        <v>88</v>
      </c>
      <c r="F5351">
        <v>2013</v>
      </c>
      <c r="G5351">
        <v>9</v>
      </c>
      <c r="H5351" s="1" t="s">
        <v>21</v>
      </c>
      <c r="I5351">
        <v>24</v>
      </c>
      <c r="J5351">
        <v>3271</v>
      </c>
      <c r="K5351" s="1" t="s">
        <v>89</v>
      </c>
      <c r="L5351" s="1" t="s">
        <v>45</v>
      </c>
      <c r="M5351">
        <v>2.4239999999999999</v>
      </c>
      <c r="N5351">
        <v>58166.6</v>
      </c>
      <c r="O5351">
        <v>58.167000000000002</v>
      </c>
      <c r="P5351" s="2">
        <v>44835</v>
      </c>
      <c r="Q5351">
        <v>1</v>
      </c>
      <c r="R5351" s="1" t="s">
        <v>40</v>
      </c>
    </row>
    <row r="5352" spans="1:18" x14ac:dyDescent="0.25">
      <c r="A5352">
        <v>2022</v>
      </c>
      <c r="B5352">
        <v>11</v>
      </c>
      <c r="C5352" s="1" t="s">
        <v>34</v>
      </c>
      <c r="D5352" s="1" t="s">
        <v>19</v>
      </c>
      <c r="E5352" s="1" t="s">
        <v>88</v>
      </c>
      <c r="F5352">
        <v>2013</v>
      </c>
      <c r="G5352">
        <v>9</v>
      </c>
      <c r="H5352" s="1" t="s">
        <v>21</v>
      </c>
      <c r="I5352">
        <v>24</v>
      </c>
      <c r="J5352">
        <v>3271</v>
      </c>
      <c r="K5352" s="1" t="s">
        <v>89</v>
      </c>
      <c r="L5352" s="1" t="s">
        <v>45</v>
      </c>
      <c r="M5352">
        <v>2.169</v>
      </c>
      <c r="N5352">
        <v>52058</v>
      </c>
      <c r="O5352">
        <v>52.058</v>
      </c>
      <c r="P5352" s="2">
        <v>44866</v>
      </c>
      <c r="Q5352">
        <v>1</v>
      </c>
      <c r="R5352" s="1" t="s">
        <v>40</v>
      </c>
    </row>
    <row r="5353" spans="1:18" x14ac:dyDescent="0.25">
      <c r="A5353">
        <v>2022</v>
      </c>
      <c r="B5353">
        <v>12</v>
      </c>
      <c r="C5353" s="1" t="s">
        <v>35</v>
      </c>
      <c r="D5353" s="1" t="s">
        <v>19</v>
      </c>
      <c r="E5353" s="1" t="s">
        <v>88</v>
      </c>
      <c r="F5353">
        <v>2013</v>
      </c>
      <c r="G5353">
        <v>9</v>
      </c>
      <c r="H5353" s="1" t="s">
        <v>21</v>
      </c>
      <c r="I5353">
        <v>24</v>
      </c>
      <c r="J5353">
        <v>3271</v>
      </c>
      <c r="K5353" s="1" t="s">
        <v>89</v>
      </c>
      <c r="L5353" s="1" t="s">
        <v>45</v>
      </c>
      <c r="M5353">
        <v>2.1949999999999998</v>
      </c>
      <c r="N5353">
        <v>52671.3</v>
      </c>
      <c r="O5353">
        <v>52.670999999999999</v>
      </c>
      <c r="P5353" s="2">
        <v>44896</v>
      </c>
      <c r="Q5353">
        <v>1</v>
      </c>
      <c r="R5353" s="1" t="s">
        <v>40</v>
      </c>
    </row>
    <row r="5354" spans="1:18" x14ac:dyDescent="0.25">
      <c r="A5354">
        <v>2022</v>
      </c>
      <c r="B5354">
        <v>1</v>
      </c>
      <c r="C5354" s="1" t="s">
        <v>18</v>
      </c>
      <c r="D5354" s="1" t="s">
        <v>19</v>
      </c>
      <c r="E5354" s="1" t="s">
        <v>90</v>
      </c>
      <c r="F5354">
        <v>2013</v>
      </c>
      <c r="G5354">
        <v>9</v>
      </c>
      <c r="H5354" s="1" t="s">
        <v>21</v>
      </c>
      <c r="I5354">
        <v>25</v>
      </c>
      <c r="J5354">
        <v>3291</v>
      </c>
      <c r="K5354" s="1" t="s">
        <v>91</v>
      </c>
      <c r="L5354" s="1" t="s">
        <v>45</v>
      </c>
      <c r="M5354">
        <v>0.46700000000000003</v>
      </c>
      <c r="N5354">
        <v>11674.8</v>
      </c>
      <c r="O5354">
        <v>11.675000000000001</v>
      </c>
      <c r="P5354" s="2">
        <v>44562</v>
      </c>
      <c r="Q5354">
        <v>1</v>
      </c>
      <c r="R5354" s="1" t="s">
        <v>40</v>
      </c>
    </row>
    <row r="5355" spans="1:18" x14ac:dyDescent="0.25">
      <c r="A5355">
        <v>2022</v>
      </c>
      <c r="B5355">
        <v>2</v>
      </c>
      <c r="C5355" s="1" t="s">
        <v>25</v>
      </c>
      <c r="D5355" s="1" t="s">
        <v>19</v>
      </c>
      <c r="E5355" s="1" t="s">
        <v>90</v>
      </c>
      <c r="F5355">
        <v>2013</v>
      </c>
      <c r="G5355">
        <v>9</v>
      </c>
      <c r="H5355" s="1" t="s">
        <v>21</v>
      </c>
      <c r="I5355">
        <v>25</v>
      </c>
      <c r="J5355">
        <v>3291</v>
      </c>
      <c r="K5355" s="1" t="s">
        <v>91</v>
      </c>
      <c r="L5355" s="1" t="s">
        <v>45</v>
      </c>
      <c r="M5355">
        <v>1.6779999999999999</v>
      </c>
      <c r="N5355">
        <v>41960.2</v>
      </c>
      <c r="O5355">
        <v>41.96</v>
      </c>
      <c r="P5355" s="2">
        <v>44593</v>
      </c>
      <c r="Q5355">
        <v>1</v>
      </c>
      <c r="R5355" s="1" t="s">
        <v>40</v>
      </c>
    </row>
    <row r="5356" spans="1:18" x14ac:dyDescent="0.25">
      <c r="A5356">
        <v>2022</v>
      </c>
      <c r="B5356">
        <v>3</v>
      </c>
      <c r="C5356" s="1" t="s">
        <v>26</v>
      </c>
      <c r="D5356" s="1" t="s">
        <v>19</v>
      </c>
      <c r="E5356" s="1" t="s">
        <v>90</v>
      </c>
      <c r="F5356">
        <v>2013</v>
      </c>
      <c r="G5356">
        <v>9</v>
      </c>
      <c r="H5356" s="1" t="s">
        <v>21</v>
      </c>
      <c r="I5356">
        <v>25</v>
      </c>
      <c r="J5356">
        <v>3291</v>
      </c>
      <c r="K5356" s="1" t="s">
        <v>91</v>
      </c>
      <c r="L5356" s="1" t="s">
        <v>45</v>
      </c>
      <c r="M5356">
        <v>2.0110000000000001</v>
      </c>
      <c r="N5356">
        <v>50278.3</v>
      </c>
      <c r="O5356">
        <v>50.277999999999999</v>
      </c>
      <c r="P5356" s="2">
        <v>44621</v>
      </c>
      <c r="Q5356">
        <v>1</v>
      </c>
      <c r="R5356" s="1" t="s">
        <v>40</v>
      </c>
    </row>
    <row r="5357" spans="1:18" x14ac:dyDescent="0.25">
      <c r="A5357">
        <v>2022</v>
      </c>
      <c r="B5357">
        <v>4</v>
      </c>
      <c r="C5357" s="1" t="s">
        <v>27</v>
      </c>
      <c r="D5357" s="1" t="s">
        <v>19</v>
      </c>
      <c r="E5357" s="1" t="s">
        <v>90</v>
      </c>
      <c r="F5357">
        <v>2013</v>
      </c>
      <c r="G5357">
        <v>9</v>
      </c>
      <c r="H5357" s="1" t="s">
        <v>21</v>
      </c>
      <c r="I5357">
        <v>25</v>
      </c>
      <c r="J5357">
        <v>3291</v>
      </c>
      <c r="K5357" s="1" t="s">
        <v>91</v>
      </c>
      <c r="L5357" s="1" t="s">
        <v>45</v>
      </c>
      <c r="M5357">
        <v>2.2989999999999999</v>
      </c>
      <c r="N5357">
        <v>57485.5</v>
      </c>
      <c r="O5357">
        <v>57.485999999999997</v>
      </c>
      <c r="P5357" s="2">
        <v>44652</v>
      </c>
      <c r="Q5357">
        <v>1</v>
      </c>
      <c r="R5357" s="1" t="s">
        <v>40</v>
      </c>
    </row>
    <row r="5358" spans="1:18" x14ac:dyDescent="0.25">
      <c r="A5358">
        <v>2022</v>
      </c>
      <c r="B5358">
        <v>5</v>
      </c>
      <c r="C5358" s="1" t="s">
        <v>28</v>
      </c>
      <c r="D5358" s="1" t="s">
        <v>19</v>
      </c>
      <c r="E5358" s="1" t="s">
        <v>90</v>
      </c>
      <c r="F5358">
        <v>2013</v>
      </c>
      <c r="G5358">
        <v>9</v>
      </c>
      <c r="H5358" s="1" t="s">
        <v>21</v>
      </c>
      <c r="I5358">
        <v>25</v>
      </c>
      <c r="J5358">
        <v>3291</v>
      </c>
      <c r="K5358" s="1" t="s">
        <v>91</v>
      </c>
      <c r="L5358" s="1" t="s">
        <v>45</v>
      </c>
      <c r="M5358">
        <v>2.1120000000000001</v>
      </c>
      <c r="N5358">
        <v>52795.9</v>
      </c>
      <c r="O5358">
        <v>52.795999999999999</v>
      </c>
      <c r="P5358" s="2">
        <v>44682</v>
      </c>
      <c r="Q5358">
        <v>1</v>
      </c>
      <c r="R5358" s="1" t="s">
        <v>40</v>
      </c>
    </row>
    <row r="5359" spans="1:18" x14ac:dyDescent="0.25">
      <c r="A5359">
        <v>2022</v>
      </c>
      <c r="B5359">
        <v>6</v>
      </c>
      <c r="C5359" s="1" t="s">
        <v>29</v>
      </c>
      <c r="D5359" s="1" t="s">
        <v>19</v>
      </c>
      <c r="E5359" s="1" t="s">
        <v>90</v>
      </c>
      <c r="F5359">
        <v>2013</v>
      </c>
      <c r="G5359">
        <v>9</v>
      </c>
      <c r="H5359" s="1" t="s">
        <v>21</v>
      </c>
      <c r="I5359">
        <v>25</v>
      </c>
      <c r="J5359">
        <v>3291</v>
      </c>
      <c r="K5359" s="1" t="s">
        <v>91</v>
      </c>
      <c r="L5359" s="1" t="s">
        <v>45</v>
      </c>
      <c r="M5359">
        <v>2.327</v>
      </c>
      <c r="N5359">
        <v>58176.7</v>
      </c>
      <c r="O5359">
        <v>58.177</v>
      </c>
      <c r="P5359" s="2">
        <v>44713</v>
      </c>
      <c r="Q5359">
        <v>1</v>
      </c>
      <c r="R5359" s="1" t="s">
        <v>40</v>
      </c>
    </row>
    <row r="5360" spans="1:18" x14ac:dyDescent="0.25">
      <c r="A5360">
        <v>2022</v>
      </c>
      <c r="B5360">
        <v>7</v>
      </c>
      <c r="C5360" s="1" t="s">
        <v>30</v>
      </c>
      <c r="D5360" s="1" t="s">
        <v>19</v>
      </c>
      <c r="E5360" s="1" t="s">
        <v>90</v>
      </c>
      <c r="F5360">
        <v>2013</v>
      </c>
      <c r="G5360">
        <v>9</v>
      </c>
      <c r="H5360" s="1" t="s">
        <v>21</v>
      </c>
      <c r="I5360">
        <v>25</v>
      </c>
      <c r="J5360">
        <v>3291</v>
      </c>
      <c r="K5360" s="1" t="s">
        <v>91</v>
      </c>
      <c r="L5360" s="1" t="s">
        <v>45</v>
      </c>
      <c r="M5360">
        <v>1.353</v>
      </c>
      <c r="N5360">
        <v>33815</v>
      </c>
      <c r="O5360">
        <v>33.814999999999998</v>
      </c>
      <c r="P5360" s="2">
        <v>44743</v>
      </c>
      <c r="Q5360">
        <v>1</v>
      </c>
      <c r="R5360" s="1" t="s">
        <v>40</v>
      </c>
    </row>
    <row r="5361" spans="1:18" x14ac:dyDescent="0.25">
      <c r="A5361">
        <v>2022</v>
      </c>
      <c r="B5361">
        <v>8</v>
      </c>
      <c r="C5361" s="1" t="s">
        <v>31</v>
      </c>
      <c r="D5361" s="1" t="s">
        <v>19</v>
      </c>
      <c r="E5361" s="1" t="s">
        <v>90</v>
      </c>
      <c r="F5361">
        <v>2013</v>
      </c>
      <c r="G5361">
        <v>9</v>
      </c>
      <c r="H5361" s="1" t="s">
        <v>21</v>
      </c>
      <c r="I5361">
        <v>25</v>
      </c>
      <c r="J5361">
        <v>3291</v>
      </c>
      <c r="K5361" s="1" t="s">
        <v>91</v>
      </c>
      <c r="L5361" s="1" t="s">
        <v>45</v>
      </c>
      <c r="M5361">
        <v>2.2850000000000001</v>
      </c>
      <c r="N5361">
        <v>57115.3</v>
      </c>
      <c r="O5361">
        <v>57.115000000000002</v>
      </c>
      <c r="P5361" s="2">
        <v>44774</v>
      </c>
      <c r="Q5361">
        <v>1</v>
      </c>
      <c r="R5361" s="1" t="s">
        <v>40</v>
      </c>
    </row>
    <row r="5362" spans="1:18" x14ac:dyDescent="0.25">
      <c r="A5362">
        <v>2022</v>
      </c>
      <c r="B5362">
        <v>9</v>
      </c>
      <c r="C5362" s="1" t="s">
        <v>32</v>
      </c>
      <c r="D5362" s="1" t="s">
        <v>19</v>
      </c>
      <c r="E5362" s="1" t="s">
        <v>90</v>
      </c>
      <c r="F5362">
        <v>2013</v>
      </c>
      <c r="G5362">
        <v>9</v>
      </c>
      <c r="H5362" s="1" t="s">
        <v>21</v>
      </c>
      <c r="I5362">
        <v>25</v>
      </c>
      <c r="J5362">
        <v>3291</v>
      </c>
      <c r="K5362" s="1" t="s">
        <v>91</v>
      </c>
      <c r="L5362" s="1" t="s">
        <v>45</v>
      </c>
      <c r="M5362">
        <v>2.4649999999999999</v>
      </c>
      <c r="N5362">
        <v>61632.2</v>
      </c>
      <c r="O5362">
        <v>61.631999999999998</v>
      </c>
      <c r="P5362" s="2">
        <v>44805</v>
      </c>
      <c r="Q5362">
        <v>1</v>
      </c>
      <c r="R5362" s="1" t="s">
        <v>40</v>
      </c>
    </row>
    <row r="5363" spans="1:18" x14ac:dyDescent="0.25">
      <c r="A5363">
        <v>2022</v>
      </c>
      <c r="B5363">
        <v>10</v>
      </c>
      <c r="C5363" s="1" t="s">
        <v>33</v>
      </c>
      <c r="D5363" s="1" t="s">
        <v>19</v>
      </c>
      <c r="E5363" s="1" t="s">
        <v>90</v>
      </c>
      <c r="F5363">
        <v>2013</v>
      </c>
      <c r="G5363">
        <v>9</v>
      </c>
      <c r="H5363" s="1" t="s">
        <v>21</v>
      </c>
      <c r="I5363">
        <v>25</v>
      </c>
      <c r="J5363">
        <v>3291</v>
      </c>
      <c r="K5363" s="1" t="s">
        <v>91</v>
      </c>
      <c r="L5363" s="1" t="s">
        <v>45</v>
      </c>
      <c r="M5363">
        <v>2.3410000000000002</v>
      </c>
      <c r="N5363">
        <v>58522.2</v>
      </c>
      <c r="O5363">
        <v>58.521999999999998</v>
      </c>
      <c r="P5363" s="2">
        <v>44835</v>
      </c>
      <c r="Q5363">
        <v>1</v>
      </c>
      <c r="R5363" s="1" t="s">
        <v>40</v>
      </c>
    </row>
    <row r="5364" spans="1:18" x14ac:dyDescent="0.25">
      <c r="A5364">
        <v>2022</v>
      </c>
      <c r="B5364">
        <v>11</v>
      </c>
      <c r="C5364" s="1" t="s">
        <v>34</v>
      </c>
      <c r="D5364" s="1" t="s">
        <v>19</v>
      </c>
      <c r="E5364" s="1" t="s">
        <v>90</v>
      </c>
      <c r="F5364">
        <v>2013</v>
      </c>
      <c r="G5364">
        <v>9</v>
      </c>
      <c r="H5364" s="1" t="s">
        <v>21</v>
      </c>
      <c r="I5364">
        <v>25</v>
      </c>
      <c r="J5364">
        <v>3291</v>
      </c>
      <c r="K5364" s="1" t="s">
        <v>91</v>
      </c>
      <c r="L5364" s="1" t="s">
        <v>45</v>
      </c>
      <c r="M5364">
        <v>2.0950000000000002</v>
      </c>
      <c r="N5364">
        <v>52376.3</v>
      </c>
      <c r="O5364">
        <v>52.375999999999998</v>
      </c>
      <c r="P5364" s="2">
        <v>44866</v>
      </c>
      <c r="Q5364">
        <v>1</v>
      </c>
      <c r="R5364" s="1" t="s">
        <v>40</v>
      </c>
    </row>
    <row r="5365" spans="1:18" x14ac:dyDescent="0.25">
      <c r="A5365">
        <v>2022</v>
      </c>
      <c r="B5365">
        <v>12</v>
      </c>
      <c r="C5365" s="1" t="s">
        <v>35</v>
      </c>
      <c r="D5365" s="1" t="s">
        <v>19</v>
      </c>
      <c r="E5365" s="1" t="s">
        <v>90</v>
      </c>
      <c r="F5365">
        <v>2013</v>
      </c>
      <c r="G5365">
        <v>9</v>
      </c>
      <c r="H5365" s="1" t="s">
        <v>21</v>
      </c>
      <c r="I5365">
        <v>25</v>
      </c>
      <c r="J5365">
        <v>3291</v>
      </c>
      <c r="K5365" s="1" t="s">
        <v>91</v>
      </c>
      <c r="L5365" s="1" t="s">
        <v>45</v>
      </c>
      <c r="M5365">
        <v>2.12</v>
      </c>
      <c r="N5365">
        <v>52993.3</v>
      </c>
      <c r="O5365">
        <v>52.993000000000002</v>
      </c>
      <c r="P5365" s="2">
        <v>44896</v>
      </c>
      <c r="Q5365">
        <v>1</v>
      </c>
      <c r="R5365" s="1" t="s">
        <v>40</v>
      </c>
    </row>
    <row r="5366" spans="1:18" x14ac:dyDescent="0.25">
      <c r="A5366">
        <v>2022</v>
      </c>
      <c r="B5366">
        <v>1</v>
      </c>
      <c r="C5366" s="1" t="s">
        <v>18</v>
      </c>
      <c r="D5366" s="1" t="s">
        <v>19</v>
      </c>
      <c r="E5366" s="1" t="s">
        <v>92</v>
      </c>
      <c r="F5366">
        <v>2014</v>
      </c>
      <c r="G5366">
        <v>8</v>
      </c>
      <c r="H5366" s="1" t="s">
        <v>21</v>
      </c>
      <c r="I5366">
        <v>24</v>
      </c>
      <c r="J5366">
        <v>2208</v>
      </c>
      <c r="K5366" s="1" t="s">
        <v>93</v>
      </c>
      <c r="L5366" s="1" t="s">
        <v>45</v>
      </c>
      <c r="M5366">
        <v>0.36199999999999999</v>
      </c>
      <c r="N5366">
        <v>8684.2999999999993</v>
      </c>
      <c r="O5366">
        <v>8.6839999999999993</v>
      </c>
      <c r="P5366" s="2">
        <v>44562</v>
      </c>
      <c r="Q5366">
        <v>1</v>
      </c>
      <c r="R5366" s="1" t="s">
        <v>40</v>
      </c>
    </row>
    <row r="5367" spans="1:18" x14ac:dyDescent="0.25">
      <c r="A5367">
        <v>2022</v>
      </c>
      <c r="B5367">
        <v>2</v>
      </c>
      <c r="C5367" s="1" t="s">
        <v>25</v>
      </c>
      <c r="D5367" s="1" t="s">
        <v>19</v>
      </c>
      <c r="E5367" s="1" t="s">
        <v>92</v>
      </c>
      <c r="F5367">
        <v>2014</v>
      </c>
      <c r="G5367">
        <v>8</v>
      </c>
      <c r="H5367" s="1" t="s">
        <v>21</v>
      </c>
      <c r="I5367">
        <v>24</v>
      </c>
      <c r="J5367">
        <v>2208</v>
      </c>
      <c r="K5367" s="1" t="s">
        <v>93</v>
      </c>
      <c r="L5367" s="1" t="s">
        <v>45</v>
      </c>
      <c r="M5367">
        <v>1.3</v>
      </c>
      <c r="N5367">
        <v>31212</v>
      </c>
      <c r="O5367">
        <v>31.212</v>
      </c>
      <c r="P5367" s="2">
        <v>44593</v>
      </c>
      <c r="Q5367">
        <v>1</v>
      </c>
      <c r="R5367" s="1" t="s">
        <v>40</v>
      </c>
    </row>
    <row r="5368" spans="1:18" x14ac:dyDescent="0.25">
      <c r="A5368">
        <v>2022</v>
      </c>
      <c r="B5368">
        <v>3</v>
      </c>
      <c r="C5368" s="1" t="s">
        <v>26</v>
      </c>
      <c r="D5368" s="1" t="s">
        <v>19</v>
      </c>
      <c r="E5368" s="1" t="s">
        <v>92</v>
      </c>
      <c r="F5368">
        <v>2014</v>
      </c>
      <c r="G5368">
        <v>8</v>
      </c>
      <c r="H5368" s="1" t="s">
        <v>21</v>
      </c>
      <c r="I5368">
        <v>24</v>
      </c>
      <c r="J5368">
        <v>2208</v>
      </c>
      <c r="K5368" s="1" t="s">
        <v>93</v>
      </c>
      <c r="L5368" s="1" t="s">
        <v>45</v>
      </c>
      <c r="M5368">
        <v>1.5580000000000001</v>
      </c>
      <c r="N5368">
        <v>37399.300000000003</v>
      </c>
      <c r="O5368">
        <v>37.399000000000001</v>
      </c>
      <c r="P5368" s="2">
        <v>44621</v>
      </c>
      <c r="Q5368">
        <v>1</v>
      </c>
      <c r="R5368" s="1" t="s">
        <v>40</v>
      </c>
    </row>
    <row r="5369" spans="1:18" x14ac:dyDescent="0.25">
      <c r="A5369">
        <v>2022</v>
      </c>
      <c r="B5369">
        <v>4</v>
      </c>
      <c r="C5369" s="1" t="s">
        <v>27</v>
      </c>
      <c r="D5369" s="1" t="s">
        <v>19</v>
      </c>
      <c r="E5369" s="1" t="s">
        <v>92</v>
      </c>
      <c r="F5369">
        <v>2014</v>
      </c>
      <c r="G5369">
        <v>8</v>
      </c>
      <c r="H5369" s="1" t="s">
        <v>21</v>
      </c>
      <c r="I5369">
        <v>24</v>
      </c>
      <c r="J5369">
        <v>2208</v>
      </c>
      <c r="K5369" s="1" t="s">
        <v>93</v>
      </c>
      <c r="L5369" s="1" t="s">
        <v>45</v>
      </c>
      <c r="M5369">
        <v>1.782</v>
      </c>
      <c r="N5369">
        <v>42760.4</v>
      </c>
      <c r="O5369">
        <v>42.76</v>
      </c>
      <c r="P5369" s="2">
        <v>44652</v>
      </c>
      <c r="Q5369">
        <v>1</v>
      </c>
      <c r="R5369" s="1" t="s">
        <v>40</v>
      </c>
    </row>
    <row r="5370" spans="1:18" x14ac:dyDescent="0.25">
      <c r="A5370">
        <v>2022</v>
      </c>
      <c r="B5370">
        <v>5</v>
      </c>
      <c r="C5370" s="1" t="s">
        <v>28</v>
      </c>
      <c r="D5370" s="1" t="s">
        <v>19</v>
      </c>
      <c r="E5370" s="1" t="s">
        <v>92</v>
      </c>
      <c r="F5370">
        <v>2014</v>
      </c>
      <c r="G5370">
        <v>8</v>
      </c>
      <c r="H5370" s="1" t="s">
        <v>21</v>
      </c>
      <c r="I5370">
        <v>24</v>
      </c>
      <c r="J5370">
        <v>2208</v>
      </c>
      <c r="K5370" s="1" t="s">
        <v>93</v>
      </c>
      <c r="L5370" s="1" t="s">
        <v>45</v>
      </c>
      <c r="M5370">
        <v>1.6359999999999999</v>
      </c>
      <c r="N5370">
        <v>39272</v>
      </c>
      <c r="O5370">
        <v>39.271999999999998</v>
      </c>
      <c r="P5370" s="2">
        <v>44682</v>
      </c>
      <c r="Q5370">
        <v>1</v>
      </c>
      <c r="R5370" s="1" t="s">
        <v>40</v>
      </c>
    </row>
    <row r="5371" spans="1:18" x14ac:dyDescent="0.25">
      <c r="A5371">
        <v>2022</v>
      </c>
      <c r="B5371">
        <v>6</v>
      </c>
      <c r="C5371" s="1" t="s">
        <v>29</v>
      </c>
      <c r="D5371" s="1" t="s">
        <v>19</v>
      </c>
      <c r="E5371" s="1" t="s">
        <v>92</v>
      </c>
      <c r="F5371">
        <v>2014</v>
      </c>
      <c r="G5371">
        <v>8</v>
      </c>
      <c r="H5371" s="1" t="s">
        <v>21</v>
      </c>
      <c r="I5371">
        <v>24</v>
      </c>
      <c r="J5371">
        <v>2208</v>
      </c>
      <c r="K5371" s="1" t="s">
        <v>93</v>
      </c>
      <c r="L5371" s="1" t="s">
        <v>45</v>
      </c>
      <c r="M5371">
        <v>1.8029999999999999</v>
      </c>
      <c r="N5371">
        <v>43274.5</v>
      </c>
      <c r="O5371">
        <v>43.274999999999999</v>
      </c>
      <c r="P5371" s="2">
        <v>44713</v>
      </c>
      <c r="Q5371">
        <v>1</v>
      </c>
      <c r="R5371" s="1" t="s">
        <v>40</v>
      </c>
    </row>
    <row r="5372" spans="1:18" x14ac:dyDescent="0.25">
      <c r="A5372">
        <v>2022</v>
      </c>
      <c r="B5372">
        <v>7</v>
      </c>
      <c r="C5372" s="1" t="s">
        <v>30</v>
      </c>
      <c r="D5372" s="1" t="s">
        <v>19</v>
      </c>
      <c r="E5372" s="1" t="s">
        <v>92</v>
      </c>
      <c r="F5372">
        <v>2014</v>
      </c>
      <c r="G5372">
        <v>8</v>
      </c>
      <c r="H5372" s="1" t="s">
        <v>21</v>
      </c>
      <c r="I5372">
        <v>24</v>
      </c>
      <c r="J5372">
        <v>2208</v>
      </c>
      <c r="K5372" s="1" t="s">
        <v>93</v>
      </c>
      <c r="L5372" s="1" t="s">
        <v>45</v>
      </c>
      <c r="M5372">
        <v>1.048</v>
      </c>
      <c r="N5372">
        <v>25153.200000000001</v>
      </c>
      <c r="O5372">
        <v>25.152999999999999</v>
      </c>
      <c r="P5372" s="2">
        <v>44743</v>
      </c>
      <c r="Q5372">
        <v>1</v>
      </c>
      <c r="R5372" s="1" t="s">
        <v>40</v>
      </c>
    </row>
    <row r="5373" spans="1:18" x14ac:dyDescent="0.25">
      <c r="A5373">
        <v>2022</v>
      </c>
      <c r="B5373">
        <v>8</v>
      </c>
      <c r="C5373" s="1" t="s">
        <v>31</v>
      </c>
      <c r="D5373" s="1" t="s">
        <v>19</v>
      </c>
      <c r="E5373" s="1" t="s">
        <v>92</v>
      </c>
      <c r="F5373">
        <v>2014</v>
      </c>
      <c r="G5373">
        <v>8</v>
      </c>
      <c r="H5373" s="1" t="s">
        <v>21</v>
      </c>
      <c r="I5373">
        <v>24</v>
      </c>
      <c r="J5373">
        <v>2208</v>
      </c>
      <c r="K5373" s="1" t="s">
        <v>93</v>
      </c>
      <c r="L5373" s="1" t="s">
        <v>45</v>
      </c>
      <c r="M5373">
        <v>1.77</v>
      </c>
      <c r="N5373">
        <v>42485</v>
      </c>
      <c r="O5373">
        <v>42.484999999999999</v>
      </c>
      <c r="P5373" s="2">
        <v>44774</v>
      </c>
      <c r="Q5373">
        <v>1</v>
      </c>
      <c r="R5373" s="1" t="s">
        <v>40</v>
      </c>
    </row>
    <row r="5374" spans="1:18" x14ac:dyDescent="0.25">
      <c r="A5374">
        <v>2022</v>
      </c>
      <c r="B5374">
        <v>9</v>
      </c>
      <c r="C5374" s="1" t="s">
        <v>32</v>
      </c>
      <c r="D5374" s="1" t="s">
        <v>19</v>
      </c>
      <c r="E5374" s="1" t="s">
        <v>92</v>
      </c>
      <c r="F5374">
        <v>2014</v>
      </c>
      <c r="G5374">
        <v>8</v>
      </c>
      <c r="H5374" s="1" t="s">
        <v>21</v>
      </c>
      <c r="I5374">
        <v>24</v>
      </c>
      <c r="J5374">
        <v>2208</v>
      </c>
      <c r="K5374" s="1" t="s">
        <v>93</v>
      </c>
      <c r="L5374" s="1" t="s">
        <v>45</v>
      </c>
      <c r="M5374">
        <v>1.91</v>
      </c>
      <c r="N5374">
        <v>45844.9</v>
      </c>
      <c r="O5374">
        <v>45.844999999999999</v>
      </c>
      <c r="P5374" s="2">
        <v>44805</v>
      </c>
      <c r="Q5374">
        <v>1</v>
      </c>
      <c r="R5374" s="1" t="s">
        <v>40</v>
      </c>
    </row>
    <row r="5375" spans="1:18" x14ac:dyDescent="0.25">
      <c r="A5375">
        <v>2022</v>
      </c>
      <c r="B5375">
        <v>10</v>
      </c>
      <c r="C5375" s="1" t="s">
        <v>33</v>
      </c>
      <c r="D5375" s="1" t="s">
        <v>19</v>
      </c>
      <c r="E5375" s="1" t="s">
        <v>92</v>
      </c>
      <c r="F5375">
        <v>2014</v>
      </c>
      <c r="G5375">
        <v>8</v>
      </c>
      <c r="H5375" s="1" t="s">
        <v>21</v>
      </c>
      <c r="I5375">
        <v>24</v>
      </c>
      <c r="J5375">
        <v>2208</v>
      </c>
      <c r="K5375" s="1" t="s">
        <v>93</v>
      </c>
      <c r="L5375" s="1" t="s">
        <v>45</v>
      </c>
      <c r="M5375">
        <v>1.8140000000000001</v>
      </c>
      <c r="N5375">
        <v>43531.6</v>
      </c>
      <c r="O5375">
        <v>43.531999999999996</v>
      </c>
      <c r="P5375" s="2">
        <v>44835</v>
      </c>
      <c r="Q5375">
        <v>1</v>
      </c>
      <c r="R5375" s="1" t="s">
        <v>40</v>
      </c>
    </row>
    <row r="5376" spans="1:18" x14ac:dyDescent="0.25">
      <c r="A5376">
        <v>2022</v>
      </c>
      <c r="B5376">
        <v>11</v>
      </c>
      <c r="C5376" s="1" t="s">
        <v>34</v>
      </c>
      <c r="D5376" s="1" t="s">
        <v>19</v>
      </c>
      <c r="E5376" s="1" t="s">
        <v>92</v>
      </c>
      <c r="F5376">
        <v>2014</v>
      </c>
      <c r="G5376">
        <v>8</v>
      </c>
      <c r="H5376" s="1" t="s">
        <v>21</v>
      </c>
      <c r="I5376">
        <v>24</v>
      </c>
      <c r="J5376">
        <v>2208</v>
      </c>
      <c r="K5376" s="1" t="s">
        <v>93</v>
      </c>
      <c r="L5376" s="1" t="s">
        <v>45</v>
      </c>
      <c r="M5376">
        <v>1.623</v>
      </c>
      <c r="N5376">
        <v>38959.9</v>
      </c>
      <c r="O5376">
        <v>38.96</v>
      </c>
      <c r="P5376" s="2">
        <v>44866</v>
      </c>
      <c r="Q5376">
        <v>1</v>
      </c>
      <c r="R5376" s="1" t="s">
        <v>40</v>
      </c>
    </row>
    <row r="5377" spans="1:18" x14ac:dyDescent="0.25">
      <c r="A5377">
        <v>2022</v>
      </c>
      <c r="B5377">
        <v>12</v>
      </c>
      <c r="C5377" s="1" t="s">
        <v>35</v>
      </c>
      <c r="D5377" s="1" t="s">
        <v>19</v>
      </c>
      <c r="E5377" s="1" t="s">
        <v>92</v>
      </c>
      <c r="F5377">
        <v>2014</v>
      </c>
      <c r="G5377">
        <v>8</v>
      </c>
      <c r="H5377" s="1" t="s">
        <v>21</v>
      </c>
      <c r="I5377">
        <v>24</v>
      </c>
      <c r="J5377">
        <v>2208</v>
      </c>
      <c r="K5377" s="1" t="s">
        <v>93</v>
      </c>
      <c r="L5377" s="1" t="s">
        <v>45</v>
      </c>
      <c r="M5377">
        <v>1.6419999999999999</v>
      </c>
      <c r="N5377">
        <v>39418.9</v>
      </c>
      <c r="O5377">
        <v>39.418999999999997</v>
      </c>
      <c r="P5377" s="2">
        <v>44896</v>
      </c>
      <c r="Q5377">
        <v>1</v>
      </c>
      <c r="R5377" s="1" t="s">
        <v>40</v>
      </c>
    </row>
    <row r="5378" spans="1:18" x14ac:dyDescent="0.25">
      <c r="A5378">
        <v>2022</v>
      </c>
      <c r="B5378">
        <v>1</v>
      </c>
      <c r="C5378" s="1" t="s">
        <v>18</v>
      </c>
      <c r="D5378" s="1" t="s">
        <v>19</v>
      </c>
      <c r="E5378" s="1" t="s">
        <v>94</v>
      </c>
      <c r="F5378">
        <v>2014</v>
      </c>
      <c r="G5378">
        <v>8</v>
      </c>
      <c r="H5378" s="1" t="s">
        <v>21</v>
      </c>
      <c r="I5378">
        <v>20</v>
      </c>
      <c r="J5378">
        <v>1954</v>
      </c>
      <c r="K5378" s="1" t="s">
        <v>95</v>
      </c>
      <c r="L5378" s="1" t="s">
        <v>45</v>
      </c>
      <c r="M5378">
        <v>0.36199999999999999</v>
      </c>
      <c r="N5378">
        <v>7236.9</v>
      </c>
      <c r="O5378">
        <v>7.2370000000000001</v>
      </c>
      <c r="P5378" s="2">
        <v>44562</v>
      </c>
      <c r="Q5378">
        <v>1</v>
      </c>
      <c r="R5378" s="1" t="s">
        <v>40</v>
      </c>
    </row>
    <row r="5379" spans="1:18" x14ac:dyDescent="0.25">
      <c r="A5379">
        <v>2022</v>
      </c>
      <c r="B5379">
        <v>2</v>
      </c>
      <c r="C5379" s="1" t="s">
        <v>25</v>
      </c>
      <c r="D5379" s="1" t="s">
        <v>19</v>
      </c>
      <c r="E5379" s="1" t="s">
        <v>94</v>
      </c>
      <c r="F5379">
        <v>2014</v>
      </c>
      <c r="G5379">
        <v>8</v>
      </c>
      <c r="H5379" s="1" t="s">
        <v>21</v>
      </c>
      <c r="I5379">
        <v>20</v>
      </c>
      <c r="J5379">
        <v>1954</v>
      </c>
      <c r="K5379" s="1" t="s">
        <v>95</v>
      </c>
      <c r="L5379" s="1" t="s">
        <v>45</v>
      </c>
      <c r="M5379">
        <v>1.3</v>
      </c>
      <c r="N5379">
        <v>26010</v>
      </c>
      <c r="O5379">
        <v>26.01</v>
      </c>
      <c r="P5379" s="2">
        <v>44593</v>
      </c>
      <c r="Q5379">
        <v>1</v>
      </c>
      <c r="R5379" s="1" t="s">
        <v>40</v>
      </c>
    </row>
    <row r="5380" spans="1:18" x14ac:dyDescent="0.25">
      <c r="A5380">
        <v>2022</v>
      </c>
      <c r="B5380">
        <v>3</v>
      </c>
      <c r="C5380" s="1" t="s">
        <v>26</v>
      </c>
      <c r="D5380" s="1" t="s">
        <v>19</v>
      </c>
      <c r="E5380" s="1" t="s">
        <v>94</v>
      </c>
      <c r="F5380">
        <v>2014</v>
      </c>
      <c r="G5380">
        <v>8</v>
      </c>
      <c r="H5380" s="1" t="s">
        <v>21</v>
      </c>
      <c r="I5380">
        <v>20</v>
      </c>
      <c r="J5380">
        <v>1954</v>
      </c>
      <c r="K5380" s="1" t="s">
        <v>95</v>
      </c>
      <c r="L5380" s="1" t="s">
        <v>45</v>
      </c>
      <c r="M5380">
        <v>1.5580000000000001</v>
      </c>
      <c r="N5380">
        <v>31166.1</v>
      </c>
      <c r="O5380">
        <v>31.166</v>
      </c>
      <c r="P5380" s="2">
        <v>44621</v>
      </c>
      <c r="Q5380">
        <v>1</v>
      </c>
      <c r="R5380" s="1" t="s">
        <v>40</v>
      </c>
    </row>
    <row r="5381" spans="1:18" x14ac:dyDescent="0.25">
      <c r="A5381">
        <v>2022</v>
      </c>
      <c r="B5381">
        <v>4</v>
      </c>
      <c r="C5381" s="1" t="s">
        <v>27</v>
      </c>
      <c r="D5381" s="1" t="s">
        <v>19</v>
      </c>
      <c r="E5381" s="1" t="s">
        <v>94</v>
      </c>
      <c r="F5381">
        <v>2014</v>
      </c>
      <c r="G5381">
        <v>8</v>
      </c>
      <c r="H5381" s="1" t="s">
        <v>21</v>
      </c>
      <c r="I5381">
        <v>20</v>
      </c>
      <c r="J5381">
        <v>1954</v>
      </c>
      <c r="K5381" s="1" t="s">
        <v>95</v>
      </c>
      <c r="L5381" s="1" t="s">
        <v>45</v>
      </c>
      <c r="M5381">
        <v>1.782</v>
      </c>
      <c r="N5381">
        <v>35633.699999999997</v>
      </c>
      <c r="O5381">
        <v>35.634</v>
      </c>
      <c r="P5381" s="2">
        <v>44652</v>
      </c>
      <c r="Q5381">
        <v>1</v>
      </c>
      <c r="R5381" s="1" t="s">
        <v>40</v>
      </c>
    </row>
    <row r="5382" spans="1:18" x14ac:dyDescent="0.25">
      <c r="A5382">
        <v>2022</v>
      </c>
      <c r="B5382">
        <v>5</v>
      </c>
      <c r="C5382" s="1" t="s">
        <v>28</v>
      </c>
      <c r="D5382" s="1" t="s">
        <v>19</v>
      </c>
      <c r="E5382" s="1" t="s">
        <v>94</v>
      </c>
      <c r="F5382">
        <v>2014</v>
      </c>
      <c r="G5382">
        <v>8</v>
      </c>
      <c r="H5382" s="1" t="s">
        <v>21</v>
      </c>
      <c r="I5382">
        <v>20</v>
      </c>
      <c r="J5382">
        <v>1954</v>
      </c>
      <c r="K5382" s="1" t="s">
        <v>95</v>
      </c>
      <c r="L5382" s="1" t="s">
        <v>45</v>
      </c>
      <c r="M5382">
        <v>1.6359999999999999</v>
      </c>
      <c r="N5382">
        <v>32726.7</v>
      </c>
      <c r="O5382">
        <v>32.726999999999997</v>
      </c>
      <c r="P5382" s="2">
        <v>44682</v>
      </c>
      <c r="Q5382">
        <v>1</v>
      </c>
      <c r="R5382" s="1" t="s">
        <v>40</v>
      </c>
    </row>
    <row r="5383" spans="1:18" x14ac:dyDescent="0.25">
      <c r="A5383">
        <v>2022</v>
      </c>
      <c r="B5383">
        <v>6</v>
      </c>
      <c r="C5383" s="1" t="s">
        <v>29</v>
      </c>
      <c r="D5383" s="1" t="s">
        <v>19</v>
      </c>
      <c r="E5383" s="1" t="s">
        <v>94</v>
      </c>
      <c r="F5383">
        <v>2014</v>
      </c>
      <c r="G5383">
        <v>8</v>
      </c>
      <c r="H5383" s="1" t="s">
        <v>21</v>
      </c>
      <c r="I5383">
        <v>20</v>
      </c>
      <c r="J5383">
        <v>1954</v>
      </c>
      <c r="K5383" s="1" t="s">
        <v>95</v>
      </c>
      <c r="L5383" s="1" t="s">
        <v>45</v>
      </c>
      <c r="M5383">
        <v>1.8029999999999999</v>
      </c>
      <c r="N5383">
        <v>36062.1</v>
      </c>
      <c r="O5383">
        <v>36.061999999999998</v>
      </c>
      <c r="P5383" s="2">
        <v>44713</v>
      </c>
      <c r="Q5383">
        <v>1</v>
      </c>
      <c r="R5383" s="1" t="s">
        <v>40</v>
      </c>
    </row>
    <row r="5384" spans="1:18" x14ac:dyDescent="0.25">
      <c r="A5384">
        <v>2022</v>
      </c>
      <c r="B5384">
        <v>7</v>
      </c>
      <c r="C5384" s="1" t="s">
        <v>30</v>
      </c>
      <c r="D5384" s="1" t="s">
        <v>19</v>
      </c>
      <c r="E5384" s="1" t="s">
        <v>94</v>
      </c>
      <c r="F5384">
        <v>2014</v>
      </c>
      <c r="G5384">
        <v>8</v>
      </c>
      <c r="H5384" s="1" t="s">
        <v>21</v>
      </c>
      <c r="I5384">
        <v>20</v>
      </c>
      <c r="J5384">
        <v>1954</v>
      </c>
      <c r="K5384" s="1" t="s">
        <v>95</v>
      </c>
      <c r="L5384" s="1" t="s">
        <v>45</v>
      </c>
      <c r="M5384">
        <v>1.048</v>
      </c>
      <c r="N5384">
        <v>20961</v>
      </c>
      <c r="O5384">
        <v>20.960999999999999</v>
      </c>
      <c r="P5384" s="2">
        <v>44743</v>
      </c>
      <c r="Q5384">
        <v>1</v>
      </c>
      <c r="R5384" s="1" t="s">
        <v>40</v>
      </c>
    </row>
    <row r="5385" spans="1:18" x14ac:dyDescent="0.25">
      <c r="A5385">
        <v>2022</v>
      </c>
      <c r="B5385">
        <v>8</v>
      </c>
      <c r="C5385" s="1" t="s">
        <v>31</v>
      </c>
      <c r="D5385" s="1" t="s">
        <v>19</v>
      </c>
      <c r="E5385" s="1" t="s">
        <v>94</v>
      </c>
      <c r="F5385">
        <v>2014</v>
      </c>
      <c r="G5385">
        <v>8</v>
      </c>
      <c r="H5385" s="1" t="s">
        <v>21</v>
      </c>
      <c r="I5385">
        <v>20</v>
      </c>
      <c r="J5385">
        <v>1954</v>
      </c>
      <c r="K5385" s="1" t="s">
        <v>95</v>
      </c>
      <c r="L5385" s="1" t="s">
        <v>45</v>
      </c>
      <c r="M5385">
        <v>1.77</v>
      </c>
      <c r="N5385">
        <v>35404.199999999997</v>
      </c>
      <c r="O5385">
        <v>35.404000000000003</v>
      </c>
      <c r="P5385" s="2">
        <v>44774</v>
      </c>
      <c r="Q5385">
        <v>1</v>
      </c>
      <c r="R5385" s="1" t="s">
        <v>40</v>
      </c>
    </row>
    <row r="5386" spans="1:18" x14ac:dyDescent="0.25">
      <c r="A5386">
        <v>2022</v>
      </c>
      <c r="B5386">
        <v>9</v>
      </c>
      <c r="C5386" s="1" t="s">
        <v>32</v>
      </c>
      <c r="D5386" s="1" t="s">
        <v>19</v>
      </c>
      <c r="E5386" s="1" t="s">
        <v>94</v>
      </c>
      <c r="F5386">
        <v>2014</v>
      </c>
      <c r="G5386">
        <v>8</v>
      </c>
      <c r="H5386" s="1" t="s">
        <v>21</v>
      </c>
      <c r="I5386">
        <v>20</v>
      </c>
      <c r="J5386">
        <v>1954</v>
      </c>
      <c r="K5386" s="1" t="s">
        <v>95</v>
      </c>
      <c r="L5386" s="1" t="s">
        <v>45</v>
      </c>
      <c r="M5386">
        <v>1.91</v>
      </c>
      <c r="N5386">
        <v>38204.1</v>
      </c>
      <c r="O5386">
        <v>38.204000000000001</v>
      </c>
      <c r="P5386" s="2">
        <v>44805</v>
      </c>
      <c r="Q5386">
        <v>1</v>
      </c>
      <c r="R5386" s="1" t="s">
        <v>40</v>
      </c>
    </row>
    <row r="5387" spans="1:18" x14ac:dyDescent="0.25">
      <c r="A5387">
        <v>2022</v>
      </c>
      <c r="B5387">
        <v>10</v>
      </c>
      <c r="C5387" s="1" t="s">
        <v>33</v>
      </c>
      <c r="D5387" s="1" t="s">
        <v>19</v>
      </c>
      <c r="E5387" s="1" t="s">
        <v>94</v>
      </c>
      <c r="F5387">
        <v>2014</v>
      </c>
      <c r="G5387">
        <v>8</v>
      </c>
      <c r="H5387" s="1" t="s">
        <v>21</v>
      </c>
      <c r="I5387">
        <v>20</v>
      </c>
      <c r="J5387">
        <v>1954</v>
      </c>
      <c r="K5387" s="1" t="s">
        <v>95</v>
      </c>
      <c r="L5387" s="1" t="s">
        <v>45</v>
      </c>
      <c r="M5387">
        <v>1.8140000000000001</v>
      </c>
      <c r="N5387">
        <v>36276.300000000003</v>
      </c>
      <c r="O5387">
        <v>36.276000000000003</v>
      </c>
      <c r="P5387" s="2">
        <v>44835</v>
      </c>
      <c r="Q5387">
        <v>1</v>
      </c>
      <c r="R5387" s="1" t="s">
        <v>40</v>
      </c>
    </row>
    <row r="5388" spans="1:18" x14ac:dyDescent="0.25">
      <c r="A5388">
        <v>2022</v>
      </c>
      <c r="B5388">
        <v>11</v>
      </c>
      <c r="C5388" s="1" t="s">
        <v>34</v>
      </c>
      <c r="D5388" s="1" t="s">
        <v>19</v>
      </c>
      <c r="E5388" s="1" t="s">
        <v>94</v>
      </c>
      <c r="F5388">
        <v>2014</v>
      </c>
      <c r="G5388">
        <v>8</v>
      </c>
      <c r="H5388" s="1" t="s">
        <v>21</v>
      </c>
      <c r="I5388">
        <v>20</v>
      </c>
      <c r="J5388">
        <v>1954</v>
      </c>
      <c r="K5388" s="1" t="s">
        <v>95</v>
      </c>
      <c r="L5388" s="1" t="s">
        <v>45</v>
      </c>
      <c r="M5388">
        <v>1.623</v>
      </c>
      <c r="N5388">
        <v>32466.6</v>
      </c>
      <c r="O5388">
        <v>32.466999999999999</v>
      </c>
      <c r="P5388" s="2">
        <v>44866</v>
      </c>
      <c r="Q5388">
        <v>1</v>
      </c>
      <c r="R5388" s="1" t="s">
        <v>40</v>
      </c>
    </row>
    <row r="5389" spans="1:18" x14ac:dyDescent="0.25">
      <c r="A5389">
        <v>2022</v>
      </c>
      <c r="B5389">
        <v>12</v>
      </c>
      <c r="C5389" s="1" t="s">
        <v>35</v>
      </c>
      <c r="D5389" s="1" t="s">
        <v>19</v>
      </c>
      <c r="E5389" s="1" t="s">
        <v>94</v>
      </c>
      <c r="F5389">
        <v>2014</v>
      </c>
      <c r="G5389">
        <v>8</v>
      </c>
      <c r="H5389" s="1" t="s">
        <v>21</v>
      </c>
      <c r="I5389">
        <v>20</v>
      </c>
      <c r="J5389">
        <v>1954</v>
      </c>
      <c r="K5389" s="1" t="s">
        <v>95</v>
      </c>
      <c r="L5389" s="1" t="s">
        <v>45</v>
      </c>
      <c r="M5389">
        <v>1.6419999999999999</v>
      </c>
      <c r="N5389">
        <v>32849.1</v>
      </c>
      <c r="O5389">
        <v>32.848999999999997</v>
      </c>
      <c r="P5389" s="2">
        <v>44896</v>
      </c>
      <c r="Q5389">
        <v>1</v>
      </c>
      <c r="R5389" s="1" t="s">
        <v>40</v>
      </c>
    </row>
    <row r="5390" spans="1:18" x14ac:dyDescent="0.25">
      <c r="A5390">
        <v>2022</v>
      </c>
      <c r="B5390">
        <v>1</v>
      </c>
      <c r="C5390" s="1" t="s">
        <v>18</v>
      </c>
      <c r="D5390" s="1" t="s">
        <v>19</v>
      </c>
      <c r="E5390" s="1" t="s">
        <v>96</v>
      </c>
      <c r="F5390">
        <v>2014</v>
      </c>
      <c r="G5390">
        <v>8</v>
      </c>
      <c r="H5390" s="1" t="s">
        <v>21</v>
      </c>
      <c r="I5390">
        <v>24</v>
      </c>
      <c r="J5390">
        <v>1329</v>
      </c>
      <c r="K5390" s="1" t="s">
        <v>97</v>
      </c>
      <c r="L5390" s="1" t="s">
        <v>45</v>
      </c>
      <c r="M5390">
        <v>0.36199999999999999</v>
      </c>
      <c r="N5390">
        <v>8684.2999999999993</v>
      </c>
      <c r="O5390">
        <v>8.6839999999999993</v>
      </c>
      <c r="P5390" s="2">
        <v>44562</v>
      </c>
      <c r="Q5390">
        <v>1</v>
      </c>
      <c r="R5390" s="1" t="s">
        <v>40</v>
      </c>
    </row>
    <row r="5391" spans="1:18" x14ac:dyDescent="0.25">
      <c r="A5391">
        <v>2022</v>
      </c>
      <c r="B5391">
        <v>2</v>
      </c>
      <c r="C5391" s="1" t="s">
        <v>25</v>
      </c>
      <c r="D5391" s="1" t="s">
        <v>19</v>
      </c>
      <c r="E5391" s="1" t="s">
        <v>96</v>
      </c>
      <c r="F5391">
        <v>2014</v>
      </c>
      <c r="G5391">
        <v>8</v>
      </c>
      <c r="H5391" s="1" t="s">
        <v>21</v>
      </c>
      <c r="I5391">
        <v>24</v>
      </c>
      <c r="J5391">
        <v>1329</v>
      </c>
      <c r="K5391" s="1" t="s">
        <v>97</v>
      </c>
      <c r="L5391" s="1" t="s">
        <v>45</v>
      </c>
      <c r="M5391">
        <v>1.3</v>
      </c>
      <c r="N5391">
        <v>31212</v>
      </c>
      <c r="O5391">
        <v>31.212</v>
      </c>
      <c r="P5391" s="2">
        <v>44593</v>
      </c>
      <c r="Q5391">
        <v>1</v>
      </c>
      <c r="R5391" s="1" t="s">
        <v>40</v>
      </c>
    </row>
    <row r="5392" spans="1:18" x14ac:dyDescent="0.25">
      <c r="A5392">
        <v>2022</v>
      </c>
      <c r="B5392">
        <v>3</v>
      </c>
      <c r="C5392" s="1" t="s">
        <v>26</v>
      </c>
      <c r="D5392" s="1" t="s">
        <v>19</v>
      </c>
      <c r="E5392" s="1" t="s">
        <v>96</v>
      </c>
      <c r="F5392">
        <v>2014</v>
      </c>
      <c r="G5392">
        <v>8</v>
      </c>
      <c r="H5392" s="1" t="s">
        <v>21</v>
      </c>
      <c r="I5392">
        <v>24</v>
      </c>
      <c r="J5392">
        <v>1329</v>
      </c>
      <c r="K5392" s="1" t="s">
        <v>97</v>
      </c>
      <c r="L5392" s="1" t="s">
        <v>45</v>
      </c>
      <c r="M5392">
        <v>1.5580000000000001</v>
      </c>
      <c r="N5392">
        <v>37399.300000000003</v>
      </c>
      <c r="O5392">
        <v>37.399000000000001</v>
      </c>
      <c r="P5392" s="2">
        <v>44621</v>
      </c>
      <c r="Q5392">
        <v>1</v>
      </c>
      <c r="R5392" s="1" t="s">
        <v>40</v>
      </c>
    </row>
    <row r="5393" spans="1:18" x14ac:dyDescent="0.25">
      <c r="A5393">
        <v>2022</v>
      </c>
      <c r="B5393">
        <v>4</v>
      </c>
      <c r="C5393" s="1" t="s">
        <v>27</v>
      </c>
      <c r="D5393" s="1" t="s">
        <v>19</v>
      </c>
      <c r="E5393" s="1" t="s">
        <v>96</v>
      </c>
      <c r="F5393">
        <v>2014</v>
      </c>
      <c r="G5393">
        <v>8</v>
      </c>
      <c r="H5393" s="1" t="s">
        <v>21</v>
      </c>
      <c r="I5393">
        <v>24</v>
      </c>
      <c r="J5393">
        <v>1329</v>
      </c>
      <c r="K5393" s="1" t="s">
        <v>97</v>
      </c>
      <c r="L5393" s="1" t="s">
        <v>45</v>
      </c>
      <c r="M5393">
        <v>1.782</v>
      </c>
      <c r="N5393">
        <v>42760.4</v>
      </c>
      <c r="O5393">
        <v>42.76</v>
      </c>
      <c r="P5393" s="2">
        <v>44652</v>
      </c>
      <c r="Q5393">
        <v>1</v>
      </c>
      <c r="R5393" s="1" t="s">
        <v>40</v>
      </c>
    </row>
    <row r="5394" spans="1:18" x14ac:dyDescent="0.25">
      <c r="A5394">
        <v>2022</v>
      </c>
      <c r="B5394">
        <v>5</v>
      </c>
      <c r="C5394" s="1" t="s">
        <v>28</v>
      </c>
      <c r="D5394" s="1" t="s">
        <v>19</v>
      </c>
      <c r="E5394" s="1" t="s">
        <v>96</v>
      </c>
      <c r="F5394">
        <v>2014</v>
      </c>
      <c r="G5394">
        <v>8</v>
      </c>
      <c r="H5394" s="1" t="s">
        <v>21</v>
      </c>
      <c r="I5394">
        <v>24</v>
      </c>
      <c r="J5394">
        <v>1329</v>
      </c>
      <c r="K5394" s="1" t="s">
        <v>97</v>
      </c>
      <c r="L5394" s="1" t="s">
        <v>45</v>
      </c>
      <c r="M5394">
        <v>1.6359999999999999</v>
      </c>
      <c r="N5394">
        <v>39272</v>
      </c>
      <c r="O5394">
        <v>39.271999999999998</v>
      </c>
      <c r="P5394" s="2">
        <v>44682</v>
      </c>
      <c r="Q5394">
        <v>1</v>
      </c>
      <c r="R5394" s="1" t="s">
        <v>40</v>
      </c>
    </row>
    <row r="5395" spans="1:18" x14ac:dyDescent="0.25">
      <c r="A5395">
        <v>2022</v>
      </c>
      <c r="B5395">
        <v>6</v>
      </c>
      <c r="C5395" s="1" t="s">
        <v>29</v>
      </c>
      <c r="D5395" s="1" t="s">
        <v>19</v>
      </c>
      <c r="E5395" s="1" t="s">
        <v>96</v>
      </c>
      <c r="F5395">
        <v>2014</v>
      </c>
      <c r="G5395">
        <v>8</v>
      </c>
      <c r="H5395" s="1" t="s">
        <v>21</v>
      </c>
      <c r="I5395">
        <v>24</v>
      </c>
      <c r="J5395">
        <v>1329</v>
      </c>
      <c r="K5395" s="1" t="s">
        <v>97</v>
      </c>
      <c r="L5395" s="1" t="s">
        <v>45</v>
      </c>
      <c r="M5395">
        <v>1.8029999999999999</v>
      </c>
      <c r="N5395">
        <v>43274.5</v>
      </c>
      <c r="O5395">
        <v>43.274999999999999</v>
      </c>
      <c r="P5395" s="2">
        <v>44713</v>
      </c>
      <c r="Q5395">
        <v>1</v>
      </c>
      <c r="R5395" s="1" t="s">
        <v>40</v>
      </c>
    </row>
    <row r="5396" spans="1:18" x14ac:dyDescent="0.25">
      <c r="A5396">
        <v>2022</v>
      </c>
      <c r="B5396">
        <v>7</v>
      </c>
      <c r="C5396" s="1" t="s">
        <v>30</v>
      </c>
      <c r="D5396" s="1" t="s">
        <v>19</v>
      </c>
      <c r="E5396" s="1" t="s">
        <v>96</v>
      </c>
      <c r="F5396">
        <v>2014</v>
      </c>
      <c r="G5396">
        <v>8</v>
      </c>
      <c r="H5396" s="1" t="s">
        <v>21</v>
      </c>
      <c r="I5396">
        <v>24</v>
      </c>
      <c r="J5396">
        <v>1329</v>
      </c>
      <c r="K5396" s="1" t="s">
        <v>97</v>
      </c>
      <c r="L5396" s="1" t="s">
        <v>45</v>
      </c>
      <c r="M5396">
        <v>1.048</v>
      </c>
      <c r="N5396">
        <v>25153.200000000001</v>
      </c>
      <c r="O5396">
        <v>25.152999999999999</v>
      </c>
      <c r="P5396" s="2">
        <v>44743</v>
      </c>
      <c r="Q5396">
        <v>1</v>
      </c>
      <c r="R5396" s="1" t="s">
        <v>40</v>
      </c>
    </row>
    <row r="5397" spans="1:18" x14ac:dyDescent="0.25">
      <c r="A5397">
        <v>2022</v>
      </c>
      <c r="B5397">
        <v>8</v>
      </c>
      <c r="C5397" s="1" t="s">
        <v>31</v>
      </c>
      <c r="D5397" s="1" t="s">
        <v>19</v>
      </c>
      <c r="E5397" s="1" t="s">
        <v>96</v>
      </c>
      <c r="F5397">
        <v>2014</v>
      </c>
      <c r="G5397">
        <v>8</v>
      </c>
      <c r="H5397" s="1" t="s">
        <v>21</v>
      </c>
      <c r="I5397">
        <v>24</v>
      </c>
      <c r="J5397">
        <v>1329</v>
      </c>
      <c r="K5397" s="1" t="s">
        <v>97</v>
      </c>
      <c r="L5397" s="1" t="s">
        <v>45</v>
      </c>
      <c r="M5397">
        <v>1.77</v>
      </c>
      <c r="N5397">
        <v>42485</v>
      </c>
      <c r="O5397">
        <v>42.484999999999999</v>
      </c>
      <c r="P5397" s="2">
        <v>44774</v>
      </c>
      <c r="Q5397">
        <v>1</v>
      </c>
      <c r="R5397" s="1" t="s">
        <v>40</v>
      </c>
    </row>
    <row r="5398" spans="1:18" x14ac:dyDescent="0.25">
      <c r="A5398">
        <v>2022</v>
      </c>
      <c r="B5398">
        <v>9</v>
      </c>
      <c r="C5398" s="1" t="s">
        <v>32</v>
      </c>
      <c r="D5398" s="1" t="s">
        <v>19</v>
      </c>
      <c r="E5398" s="1" t="s">
        <v>96</v>
      </c>
      <c r="F5398">
        <v>2014</v>
      </c>
      <c r="G5398">
        <v>8</v>
      </c>
      <c r="H5398" s="1" t="s">
        <v>21</v>
      </c>
      <c r="I5398">
        <v>24</v>
      </c>
      <c r="J5398">
        <v>1329</v>
      </c>
      <c r="K5398" s="1" t="s">
        <v>97</v>
      </c>
      <c r="L5398" s="1" t="s">
        <v>45</v>
      </c>
      <c r="M5398">
        <v>1.91</v>
      </c>
      <c r="N5398">
        <v>45844.9</v>
      </c>
      <c r="O5398">
        <v>45.844999999999999</v>
      </c>
      <c r="P5398" s="2">
        <v>44805</v>
      </c>
      <c r="Q5398">
        <v>1</v>
      </c>
      <c r="R5398" s="1" t="s">
        <v>40</v>
      </c>
    </row>
    <row r="5399" spans="1:18" x14ac:dyDescent="0.25">
      <c r="A5399">
        <v>2022</v>
      </c>
      <c r="B5399">
        <v>10</v>
      </c>
      <c r="C5399" s="1" t="s">
        <v>33</v>
      </c>
      <c r="D5399" s="1" t="s">
        <v>19</v>
      </c>
      <c r="E5399" s="1" t="s">
        <v>96</v>
      </c>
      <c r="F5399">
        <v>2014</v>
      </c>
      <c r="G5399">
        <v>8</v>
      </c>
      <c r="H5399" s="1" t="s">
        <v>21</v>
      </c>
      <c r="I5399">
        <v>24</v>
      </c>
      <c r="J5399">
        <v>1329</v>
      </c>
      <c r="K5399" s="1" t="s">
        <v>97</v>
      </c>
      <c r="L5399" s="1" t="s">
        <v>45</v>
      </c>
      <c r="M5399">
        <v>1.8140000000000001</v>
      </c>
      <c r="N5399">
        <v>43531.6</v>
      </c>
      <c r="O5399">
        <v>43.531999999999996</v>
      </c>
      <c r="P5399" s="2">
        <v>44835</v>
      </c>
      <c r="Q5399">
        <v>1</v>
      </c>
      <c r="R5399" s="1" t="s">
        <v>40</v>
      </c>
    </row>
    <row r="5400" spans="1:18" x14ac:dyDescent="0.25">
      <c r="A5400">
        <v>2022</v>
      </c>
      <c r="B5400">
        <v>11</v>
      </c>
      <c r="C5400" s="1" t="s">
        <v>34</v>
      </c>
      <c r="D5400" s="1" t="s">
        <v>19</v>
      </c>
      <c r="E5400" s="1" t="s">
        <v>96</v>
      </c>
      <c r="F5400">
        <v>2014</v>
      </c>
      <c r="G5400">
        <v>8</v>
      </c>
      <c r="H5400" s="1" t="s">
        <v>21</v>
      </c>
      <c r="I5400">
        <v>24</v>
      </c>
      <c r="J5400">
        <v>1329</v>
      </c>
      <c r="K5400" s="1" t="s">
        <v>97</v>
      </c>
      <c r="L5400" s="1" t="s">
        <v>45</v>
      </c>
      <c r="M5400">
        <v>1.623</v>
      </c>
      <c r="N5400">
        <v>38959.9</v>
      </c>
      <c r="O5400">
        <v>38.96</v>
      </c>
      <c r="P5400" s="2">
        <v>44866</v>
      </c>
      <c r="Q5400">
        <v>1</v>
      </c>
      <c r="R5400" s="1" t="s">
        <v>40</v>
      </c>
    </row>
    <row r="5401" spans="1:18" x14ac:dyDescent="0.25">
      <c r="A5401">
        <v>2022</v>
      </c>
      <c r="B5401">
        <v>12</v>
      </c>
      <c r="C5401" s="1" t="s">
        <v>35</v>
      </c>
      <c r="D5401" s="1" t="s">
        <v>19</v>
      </c>
      <c r="E5401" s="1" t="s">
        <v>96</v>
      </c>
      <c r="F5401">
        <v>2014</v>
      </c>
      <c r="G5401">
        <v>8</v>
      </c>
      <c r="H5401" s="1" t="s">
        <v>21</v>
      </c>
      <c r="I5401">
        <v>24</v>
      </c>
      <c r="J5401">
        <v>1329</v>
      </c>
      <c r="K5401" s="1" t="s">
        <v>97</v>
      </c>
      <c r="L5401" s="1" t="s">
        <v>45</v>
      </c>
      <c r="M5401">
        <v>1.6419999999999999</v>
      </c>
      <c r="N5401">
        <v>39418.9</v>
      </c>
      <c r="O5401">
        <v>39.418999999999997</v>
      </c>
      <c r="P5401" s="2">
        <v>44896</v>
      </c>
      <c r="Q5401">
        <v>1</v>
      </c>
      <c r="R5401" s="1" t="s">
        <v>40</v>
      </c>
    </row>
    <row r="5402" spans="1:18" x14ac:dyDescent="0.25">
      <c r="A5402">
        <v>2022</v>
      </c>
      <c r="B5402">
        <v>1</v>
      </c>
      <c r="C5402" s="1" t="s">
        <v>18</v>
      </c>
      <c r="D5402" s="1" t="s">
        <v>19</v>
      </c>
      <c r="E5402" s="1" t="s">
        <v>98</v>
      </c>
      <c r="F5402">
        <v>2014</v>
      </c>
      <c r="G5402">
        <v>8</v>
      </c>
      <c r="H5402" s="1" t="s">
        <v>21</v>
      </c>
      <c r="I5402">
        <v>24</v>
      </c>
      <c r="J5402">
        <v>1573</v>
      </c>
      <c r="K5402" s="1" t="s">
        <v>99</v>
      </c>
      <c r="L5402" s="1" t="s">
        <v>45</v>
      </c>
      <c r="M5402">
        <v>0.36199999999999999</v>
      </c>
      <c r="N5402">
        <v>8684.2999999999993</v>
      </c>
      <c r="O5402">
        <v>8.6839999999999993</v>
      </c>
      <c r="P5402" s="2">
        <v>44562</v>
      </c>
      <c r="Q5402">
        <v>1</v>
      </c>
      <c r="R5402" s="1" t="s">
        <v>40</v>
      </c>
    </row>
    <row r="5403" spans="1:18" x14ac:dyDescent="0.25">
      <c r="A5403">
        <v>2022</v>
      </c>
      <c r="B5403">
        <v>2</v>
      </c>
      <c r="C5403" s="1" t="s">
        <v>25</v>
      </c>
      <c r="D5403" s="1" t="s">
        <v>19</v>
      </c>
      <c r="E5403" s="1" t="s">
        <v>98</v>
      </c>
      <c r="F5403">
        <v>2014</v>
      </c>
      <c r="G5403">
        <v>8</v>
      </c>
      <c r="H5403" s="1" t="s">
        <v>21</v>
      </c>
      <c r="I5403">
        <v>24</v>
      </c>
      <c r="J5403">
        <v>1573</v>
      </c>
      <c r="K5403" s="1" t="s">
        <v>99</v>
      </c>
      <c r="L5403" s="1" t="s">
        <v>45</v>
      </c>
      <c r="M5403">
        <v>1.3</v>
      </c>
      <c r="N5403">
        <v>31212</v>
      </c>
      <c r="O5403">
        <v>31.212</v>
      </c>
      <c r="P5403" s="2">
        <v>44593</v>
      </c>
      <c r="Q5403">
        <v>1</v>
      </c>
      <c r="R5403" s="1" t="s">
        <v>40</v>
      </c>
    </row>
    <row r="5404" spans="1:18" x14ac:dyDescent="0.25">
      <c r="A5404">
        <v>2022</v>
      </c>
      <c r="B5404">
        <v>3</v>
      </c>
      <c r="C5404" s="1" t="s">
        <v>26</v>
      </c>
      <c r="D5404" s="1" t="s">
        <v>19</v>
      </c>
      <c r="E5404" s="1" t="s">
        <v>98</v>
      </c>
      <c r="F5404">
        <v>2014</v>
      </c>
      <c r="G5404">
        <v>8</v>
      </c>
      <c r="H5404" s="1" t="s">
        <v>21</v>
      </c>
      <c r="I5404">
        <v>24</v>
      </c>
      <c r="J5404">
        <v>1573</v>
      </c>
      <c r="K5404" s="1" t="s">
        <v>99</v>
      </c>
      <c r="L5404" s="1" t="s">
        <v>45</v>
      </c>
      <c r="M5404">
        <v>1.5580000000000001</v>
      </c>
      <c r="N5404">
        <v>37399.300000000003</v>
      </c>
      <c r="O5404">
        <v>37.399000000000001</v>
      </c>
      <c r="P5404" s="2">
        <v>44621</v>
      </c>
      <c r="Q5404">
        <v>1</v>
      </c>
      <c r="R5404" s="1" t="s">
        <v>40</v>
      </c>
    </row>
    <row r="5405" spans="1:18" x14ac:dyDescent="0.25">
      <c r="A5405">
        <v>2022</v>
      </c>
      <c r="B5405">
        <v>4</v>
      </c>
      <c r="C5405" s="1" t="s">
        <v>27</v>
      </c>
      <c r="D5405" s="1" t="s">
        <v>19</v>
      </c>
      <c r="E5405" s="1" t="s">
        <v>98</v>
      </c>
      <c r="F5405">
        <v>2014</v>
      </c>
      <c r="G5405">
        <v>8</v>
      </c>
      <c r="H5405" s="1" t="s">
        <v>21</v>
      </c>
      <c r="I5405">
        <v>24</v>
      </c>
      <c r="J5405">
        <v>1573</v>
      </c>
      <c r="K5405" s="1" t="s">
        <v>99</v>
      </c>
      <c r="L5405" s="1" t="s">
        <v>45</v>
      </c>
      <c r="M5405">
        <v>1.782</v>
      </c>
      <c r="N5405">
        <v>42760.4</v>
      </c>
      <c r="O5405">
        <v>42.76</v>
      </c>
      <c r="P5405" s="2">
        <v>44652</v>
      </c>
      <c r="Q5405">
        <v>1</v>
      </c>
      <c r="R5405" s="1" t="s">
        <v>40</v>
      </c>
    </row>
    <row r="5406" spans="1:18" x14ac:dyDescent="0.25">
      <c r="A5406">
        <v>2022</v>
      </c>
      <c r="B5406">
        <v>5</v>
      </c>
      <c r="C5406" s="1" t="s">
        <v>28</v>
      </c>
      <c r="D5406" s="1" t="s">
        <v>19</v>
      </c>
      <c r="E5406" s="1" t="s">
        <v>98</v>
      </c>
      <c r="F5406">
        <v>2014</v>
      </c>
      <c r="G5406">
        <v>8</v>
      </c>
      <c r="H5406" s="1" t="s">
        <v>21</v>
      </c>
      <c r="I5406">
        <v>24</v>
      </c>
      <c r="J5406">
        <v>1573</v>
      </c>
      <c r="K5406" s="1" t="s">
        <v>99</v>
      </c>
      <c r="L5406" s="1" t="s">
        <v>45</v>
      </c>
      <c r="M5406">
        <v>1.6359999999999999</v>
      </c>
      <c r="N5406">
        <v>39272</v>
      </c>
      <c r="O5406">
        <v>39.271999999999998</v>
      </c>
      <c r="P5406" s="2">
        <v>44682</v>
      </c>
      <c r="Q5406">
        <v>1</v>
      </c>
      <c r="R5406" s="1" t="s">
        <v>40</v>
      </c>
    </row>
    <row r="5407" spans="1:18" x14ac:dyDescent="0.25">
      <c r="A5407">
        <v>2022</v>
      </c>
      <c r="B5407">
        <v>6</v>
      </c>
      <c r="C5407" s="1" t="s">
        <v>29</v>
      </c>
      <c r="D5407" s="1" t="s">
        <v>19</v>
      </c>
      <c r="E5407" s="1" t="s">
        <v>98</v>
      </c>
      <c r="F5407">
        <v>2014</v>
      </c>
      <c r="G5407">
        <v>8</v>
      </c>
      <c r="H5407" s="1" t="s">
        <v>21</v>
      </c>
      <c r="I5407">
        <v>24</v>
      </c>
      <c r="J5407">
        <v>1573</v>
      </c>
      <c r="K5407" s="1" t="s">
        <v>99</v>
      </c>
      <c r="L5407" s="1" t="s">
        <v>45</v>
      </c>
      <c r="M5407">
        <v>1.8029999999999999</v>
      </c>
      <c r="N5407">
        <v>43274.5</v>
      </c>
      <c r="O5407">
        <v>43.274999999999999</v>
      </c>
      <c r="P5407" s="2">
        <v>44713</v>
      </c>
      <c r="Q5407">
        <v>1</v>
      </c>
      <c r="R5407" s="1" t="s">
        <v>40</v>
      </c>
    </row>
    <row r="5408" spans="1:18" x14ac:dyDescent="0.25">
      <c r="A5408">
        <v>2022</v>
      </c>
      <c r="B5408">
        <v>7</v>
      </c>
      <c r="C5408" s="1" t="s">
        <v>30</v>
      </c>
      <c r="D5408" s="1" t="s">
        <v>19</v>
      </c>
      <c r="E5408" s="1" t="s">
        <v>98</v>
      </c>
      <c r="F5408">
        <v>2014</v>
      </c>
      <c r="G5408">
        <v>8</v>
      </c>
      <c r="H5408" s="1" t="s">
        <v>21</v>
      </c>
      <c r="I5408">
        <v>24</v>
      </c>
      <c r="J5408">
        <v>1573</v>
      </c>
      <c r="K5408" s="1" t="s">
        <v>99</v>
      </c>
      <c r="L5408" s="1" t="s">
        <v>45</v>
      </c>
      <c r="M5408">
        <v>1.048</v>
      </c>
      <c r="N5408">
        <v>25153.200000000001</v>
      </c>
      <c r="O5408">
        <v>25.152999999999999</v>
      </c>
      <c r="P5408" s="2">
        <v>44743</v>
      </c>
      <c r="Q5408">
        <v>1</v>
      </c>
      <c r="R5408" s="1" t="s">
        <v>40</v>
      </c>
    </row>
    <row r="5409" spans="1:18" x14ac:dyDescent="0.25">
      <c r="A5409">
        <v>2022</v>
      </c>
      <c r="B5409">
        <v>8</v>
      </c>
      <c r="C5409" s="1" t="s">
        <v>31</v>
      </c>
      <c r="D5409" s="1" t="s">
        <v>19</v>
      </c>
      <c r="E5409" s="1" t="s">
        <v>98</v>
      </c>
      <c r="F5409">
        <v>2014</v>
      </c>
      <c r="G5409">
        <v>8</v>
      </c>
      <c r="H5409" s="1" t="s">
        <v>21</v>
      </c>
      <c r="I5409">
        <v>24</v>
      </c>
      <c r="J5409">
        <v>1573</v>
      </c>
      <c r="K5409" s="1" t="s">
        <v>99</v>
      </c>
      <c r="L5409" s="1" t="s">
        <v>45</v>
      </c>
      <c r="M5409">
        <v>1.77</v>
      </c>
      <c r="N5409">
        <v>42485</v>
      </c>
      <c r="O5409">
        <v>42.484999999999999</v>
      </c>
      <c r="P5409" s="2">
        <v>44774</v>
      </c>
      <c r="Q5409">
        <v>1</v>
      </c>
      <c r="R5409" s="1" t="s">
        <v>40</v>
      </c>
    </row>
    <row r="5410" spans="1:18" x14ac:dyDescent="0.25">
      <c r="A5410">
        <v>2022</v>
      </c>
      <c r="B5410">
        <v>9</v>
      </c>
      <c r="C5410" s="1" t="s">
        <v>32</v>
      </c>
      <c r="D5410" s="1" t="s">
        <v>19</v>
      </c>
      <c r="E5410" s="1" t="s">
        <v>98</v>
      </c>
      <c r="F5410">
        <v>2014</v>
      </c>
      <c r="G5410">
        <v>8</v>
      </c>
      <c r="H5410" s="1" t="s">
        <v>21</v>
      </c>
      <c r="I5410">
        <v>24</v>
      </c>
      <c r="J5410">
        <v>1573</v>
      </c>
      <c r="K5410" s="1" t="s">
        <v>99</v>
      </c>
      <c r="L5410" s="1" t="s">
        <v>45</v>
      </c>
      <c r="M5410">
        <v>1.91</v>
      </c>
      <c r="N5410">
        <v>45844.9</v>
      </c>
      <c r="O5410">
        <v>45.844999999999999</v>
      </c>
      <c r="P5410" s="2">
        <v>44805</v>
      </c>
      <c r="Q5410">
        <v>1</v>
      </c>
      <c r="R5410" s="1" t="s">
        <v>40</v>
      </c>
    </row>
    <row r="5411" spans="1:18" x14ac:dyDescent="0.25">
      <c r="A5411">
        <v>2022</v>
      </c>
      <c r="B5411">
        <v>10</v>
      </c>
      <c r="C5411" s="1" t="s">
        <v>33</v>
      </c>
      <c r="D5411" s="1" t="s">
        <v>19</v>
      </c>
      <c r="E5411" s="1" t="s">
        <v>98</v>
      </c>
      <c r="F5411">
        <v>2014</v>
      </c>
      <c r="G5411">
        <v>8</v>
      </c>
      <c r="H5411" s="1" t="s">
        <v>21</v>
      </c>
      <c r="I5411">
        <v>24</v>
      </c>
      <c r="J5411">
        <v>1573</v>
      </c>
      <c r="K5411" s="1" t="s">
        <v>99</v>
      </c>
      <c r="L5411" s="1" t="s">
        <v>45</v>
      </c>
      <c r="M5411">
        <v>1.8140000000000001</v>
      </c>
      <c r="N5411">
        <v>43531.6</v>
      </c>
      <c r="O5411">
        <v>43.531999999999996</v>
      </c>
      <c r="P5411" s="2">
        <v>44835</v>
      </c>
      <c r="Q5411">
        <v>1</v>
      </c>
      <c r="R5411" s="1" t="s">
        <v>40</v>
      </c>
    </row>
    <row r="5412" spans="1:18" x14ac:dyDescent="0.25">
      <c r="A5412">
        <v>2022</v>
      </c>
      <c r="B5412">
        <v>11</v>
      </c>
      <c r="C5412" s="1" t="s">
        <v>34</v>
      </c>
      <c r="D5412" s="1" t="s">
        <v>19</v>
      </c>
      <c r="E5412" s="1" t="s">
        <v>98</v>
      </c>
      <c r="F5412">
        <v>2014</v>
      </c>
      <c r="G5412">
        <v>8</v>
      </c>
      <c r="H5412" s="1" t="s">
        <v>21</v>
      </c>
      <c r="I5412">
        <v>24</v>
      </c>
      <c r="J5412">
        <v>1573</v>
      </c>
      <c r="K5412" s="1" t="s">
        <v>99</v>
      </c>
      <c r="L5412" s="1" t="s">
        <v>45</v>
      </c>
      <c r="M5412">
        <v>1.623</v>
      </c>
      <c r="N5412">
        <v>38959.9</v>
      </c>
      <c r="O5412">
        <v>38.96</v>
      </c>
      <c r="P5412" s="2">
        <v>44866</v>
      </c>
      <c r="Q5412">
        <v>1</v>
      </c>
      <c r="R5412" s="1" t="s">
        <v>40</v>
      </c>
    </row>
    <row r="5413" spans="1:18" x14ac:dyDescent="0.25">
      <c r="A5413">
        <v>2022</v>
      </c>
      <c r="B5413">
        <v>12</v>
      </c>
      <c r="C5413" s="1" t="s">
        <v>35</v>
      </c>
      <c r="D5413" s="1" t="s">
        <v>19</v>
      </c>
      <c r="E5413" s="1" t="s">
        <v>98</v>
      </c>
      <c r="F5413">
        <v>2014</v>
      </c>
      <c r="G5413">
        <v>8</v>
      </c>
      <c r="H5413" s="1" t="s">
        <v>21</v>
      </c>
      <c r="I5413">
        <v>24</v>
      </c>
      <c r="J5413">
        <v>1573</v>
      </c>
      <c r="K5413" s="1" t="s">
        <v>99</v>
      </c>
      <c r="L5413" s="1" t="s">
        <v>45</v>
      </c>
      <c r="M5413">
        <v>1.6419999999999999</v>
      </c>
      <c r="N5413">
        <v>39418.9</v>
      </c>
      <c r="O5413">
        <v>39.418999999999997</v>
      </c>
      <c r="P5413" s="2">
        <v>44896</v>
      </c>
      <c r="Q5413">
        <v>1</v>
      </c>
      <c r="R5413" s="1" t="s">
        <v>40</v>
      </c>
    </row>
    <row r="5414" spans="1:18" x14ac:dyDescent="0.25">
      <c r="A5414">
        <v>2022</v>
      </c>
      <c r="B5414">
        <v>1</v>
      </c>
      <c r="C5414" s="1" t="s">
        <v>18</v>
      </c>
      <c r="D5414" s="1" t="s">
        <v>19</v>
      </c>
      <c r="E5414" s="1" t="s">
        <v>100</v>
      </c>
      <c r="F5414">
        <v>2016</v>
      </c>
      <c r="G5414">
        <v>6</v>
      </c>
      <c r="H5414" s="1" t="s">
        <v>21</v>
      </c>
      <c r="I5414">
        <v>22</v>
      </c>
      <c r="J5414">
        <v>3137</v>
      </c>
      <c r="K5414" s="1" t="s">
        <v>101</v>
      </c>
      <c r="L5414" s="1" t="s">
        <v>23</v>
      </c>
      <c r="M5414">
        <v>0.50600000000000001</v>
      </c>
      <c r="N5414">
        <v>11128.5</v>
      </c>
      <c r="O5414">
        <v>11.129</v>
      </c>
      <c r="P5414" s="2">
        <v>44562</v>
      </c>
      <c r="Q5414">
        <v>1</v>
      </c>
      <c r="R5414" s="1" t="s">
        <v>40</v>
      </c>
    </row>
    <row r="5415" spans="1:18" x14ac:dyDescent="0.25">
      <c r="A5415">
        <v>2022</v>
      </c>
      <c r="B5415">
        <v>2</v>
      </c>
      <c r="C5415" s="1" t="s">
        <v>25</v>
      </c>
      <c r="D5415" s="1" t="s">
        <v>19</v>
      </c>
      <c r="E5415" s="1" t="s">
        <v>100</v>
      </c>
      <c r="F5415">
        <v>2016</v>
      </c>
      <c r="G5415">
        <v>6</v>
      </c>
      <c r="H5415" s="1" t="s">
        <v>21</v>
      </c>
      <c r="I5415">
        <v>22</v>
      </c>
      <c r="J5415">
        <v>3137</v>
      </c>
      <c r="K5415" s="1" t="s">
        <v>101</v>
      </c>
      <c r="L5415" s="1" t="s">
        <v>23</v>
      </c>
      <c r="M5415">
        <v>1.8180000000000001</v>
      </c>
      <c r="N5415">
        <v>39996.800000000003</v>
      </c>
      <c r="O5415">
        <v>39.997</v>
      </c>
      <c r="P5415" s="2">
        <v>44593</v>
      </c>
      <c r="Q5415">
        <v>1</v>
      </c>
      <c r="R5415" s="1" t="s">
        <v>40</v>
      </c>
    </row>
    <row r="5416" spans="1:18" x14ac:dyDescent="0.25">
      <c r="A5416">
        <v>2022</v>
      </c>
      <c r="B5416">
        <v>3</v>
      </c>
      <c r="C5416" s="1" t="s">
        <v>26</v>
      </c>
      <c r="D5416" s="1" t="s">
        <v>19</v>
      </c>
      <c r="E5416" s="1" t="s">
        <v>100</v>
      </c>
      <c r="F5416">
        <v>2016</v>
      </c>
      <c r="G5416">
        <v>6</v>
      </c>
      <c r="H5416" s="1" t="s">
        <v>21</v>
      </c>
      <c r="I5416">
        <v>22</v>
      </c>
      <c r="J5416">
        <v>3137</v>
      </c>
      <c r="K5416" s="1" t="s">
        <v>101</v>
      </c>
      <c r="L5416" s="1" t="s">
        <v>23</v>
      </c>
      <c r="M5416">
        <v>2.1779999999999999</v>
      </c>
      <c r="N5416">
        <v>47925.5</v>
      </c>
      <c r="O5416">
        <v>47.926000000000002</v>
      </c>
      <c r="P5416" s="2">
        <v>44621</v>
      </c>
      <c r="Q5416">
        <v>1</v>
      </c>
      <c r="R5416" s="1" t="s">
        <v>40</v>
      </c>
    </row>
    <row r="5417" spans="1:18" x14ac:dyDescent="0.25">
      <c r="A5417">
        <v>2022</v>
      </c>
      <c r="B5417">
        <v>4</v>
      </c>
      <c r="C5417" s="1" t="s">
        <v>27</v>
      </c>
      <c r="D5417" s="1" t="s">
        <v>19</v>
      </c>
      <c r="E5417" s="1" t="s">
        <v>100</v>
      </c>
      <c r="F5417">
        <v>2016</v>
      </c>
      <c r="G5417">
        <v>6</v>
      </c>
      <c r="H5417" s="1" t="s">
        <v>21</v>
      </c>
      <c r="I5417">
        <v>22</v>
      </c>
      <c r="J5417">
        <v>3137</v>
      </c>
      <c r="K5417" s="1" t="s">
        <v>101</v>
      </c>
      <c r="L5417" s="1" t="s">
        <v>23</v>
      </c>
      <c r="M5417">
        <v>2.4910000000000001</v>
      </c>
      <c r="N5417">
        <v>54795.5</v>
      </c>
      <c r="O5417">
        <v>54.795999999999999</v>
      </c>
      <c r="P5417" s="2">
        <v>44652</v>
      </c>
      <c r="Q5417">
        <v>1</v>
      </c>
      <c r="R5417" s="1" t="s">
        <v>40</v>
      </c>
    </row>
    <row r="5418" spans="1:18" x14ac:dyDescent="0.25">
      <c r="A5418">
        <v>2022</v>
      </c>
      <c r="B5418">
        <v>5</v>
      </c>
      <c r="C5418" s="1" t="s">
        <v>28</v>
      </c>
      <c r="D5418" s="1" t="s">
        <v>19</v>
      </c>
      <c r="E5418" s="1" t="s">
        <v>100</v>
      </c>
      <c r="F5418">
        <v>2016</v>
      </c>
      <c r="G5418">
        <v>6</v>
      </c>
      <c r="H5418" s="1" t="s">
        <v>21</v>
      </c>
      <c r="I5418">
        <v>22</v>
      </c>
      <c r="J5418">
        <v>3137</v>
      </c>
      <c r="K5418" s="1" t="s">
        <v>101</v>
      </c>
      <c r="L5418" s="1" t="s">
        <v>23</v>
      </c>
      <c r="M5418">
        <v>2.2879999999999998</v>
      </c>
      <c r="N5418">
        <v>50325.3</v>
      </c>
      <c r="O5418">
        <v>50.325000000000003</v>
      </c>
      <c r="P5418" s="2">
        <v>44682</v>
      </c>
      <c r="Q5418">
        <v>1</v>
      </c>
      <c r="R5418" s="1" t="s">
        <v>40</v>
      </c>
    </row>
    <row r="5419" spans="1:18" x14ac:dyDescent="0.25">
      <c r="A5419">
        <v>2022</v>
      </c>
      <c r="B5419">
        <v>6</v>
      </c>
      <c r="C5419" s="1" t="s">
        <v>29</v>
      </c>
      <c r="D5419" s="1" t="s">
        <v>19</v>
      </c>
      <c r="E5419" s="1" t="s">
        <v>100</v>
      </c>
      <c r="F5419">
        <v>2016</v>
      </c>
      <c r="G5419">
        <v>6</v>
      </c>
      <c r="H5419" s="1" t="s">
        <v>21</v>
      </c>
      <c r="I5419">
        <v>22</v>
      </c>
      <c r="J5419">
        <v>3137</v>
      </c>
      <c r="K5419" s="1" t="s">
        <v>101</v>
      </c>
      <c r="L5419" s="1" t="s">
        <v>23</v>
      </c>
      <c r="M5419">
        <v>2.5209999999999999</v>
      </c>
      <c r="N5419">
        <v>55454.3</v>
      </c>
      <c r="O5419">
        <v>55.454000000000001</v>
      </c>
      <c r="P5419" s="2">
        <v>44713</v>
      </c>
      <c r="Q5419">
        <v>1</v>
      </c>
      <c r="R5419" s="1" t="s">
        <v>40</v>
      </c>
    </row>
    <row r="5420" spans="1:18" x14ac:dyDescent="0.25">
      <c r="A5420">
        <v>2022</v>
      </c>
      <c r="B5420">
        <v>7</v>
      </c>
      <c r="C5420" s="1" t="s">
        <v>30</v>
      </c>
      <c r="D5420" s="1" t="s">
        <v>19</v>
      </c>
      <c r="E5420" s="1" t="s">
        <v>100</v>
      </c>
      <c r="F5420">
        <v>2016</v>
      </c>
      <c r="G5420">
        <v>6</v>
      </c>
      <c r="H5420" s="1" t="s">
        <v>21</v>
      </c>
      <c r="I5420">
        <v>22</v>
      </c>
      <c r="J5420">
        <v>3137</v>
      </c>
      <c r="K5420" s="1" t="s">
        <v>101</v>
      </c>
      <c r="L5420" s="1" t="s">
        <v>23</v>
      </c>
      <c r="M5420">
        <v>1.4650000000000001</v>
      </c>
      <c r="N5420">
        <v>32232.7</v>
      </c>
      <c r="O5420">
        <v>32.232999999999997</v>
      </c>
      <c r="P5420" s="2">
        <v>44743</v>
      </c>
      <c r="Q5420">
        <v>1</v>
      </c>
      <c r="R5420" s="1" t="s">
        <v>40</v>
      </c>
    </row>
    <row r="5421" spans="1:18" x14ac:dyDescent="0.25">
      <c r="A5421">
        <v>2022</v>
      </c>
      <c r="B5421">
        <v>8</v>
      </c>
      <c r="C5421" s="1" t="s">
        <v>31</v>
      </c>
      <c r="D5421" s="1" t="s">
        <v>19</v>
      </c>
      <c r="E5421" s="1" t="s">
        <v>100</v>
      </c>
      <c r="F5421">
        <v>2016</v>
      </c>
      <c r="G5421">
        <v>6</v>
      </c>
      <c r="H5421" s="1" t="s">
        <v>21</v>
      </c>
      <c r="I5421">
        <v>22</v>
      </c>
      <c r="J5421">
        <v>3137</v>
      </c>
      <c r="K5421" s="1" t="s">
        <v>101</v>
      </c>
      <c r="L5421" s="1" t="s">
        <v>23</v>
      </c>
      <c r="M5421">
        <v>2.4750000000000001</v>
      </c>
      <c r="N5421">
        <v>54442.6</v>
      </c>
      <c r="O5421">
        <v>54.442999999999998</v>
      </c>
      <c r="P5421" s="2">
        <v>44774</v>
      </c>
      <c r="Q5421">
        <v>1</v>
      </c>
      <c r="R5421" s="1" t="s">
        <v>40</v>
      </c>
    </row>
    <row r="5422" spans="1:18" x14ac:dyDescent="0.25">
      <c r="A5422">
        <v>2022</v>
      </c>
      <c r="B5422">
        <v>9</v>
      </c>
      <c r="C5422" s="1" t="s">
        <v>32</v>
      </c>
      <c r="D5422" s="1" t="s">
        <v>19</v>
      </c>
      <c r="E5422" s="1" t="s">
        <v>100</v>
      </c>
      <c r="F5422">
        <v>2016</v>
      </c>
      <c r="G5422">
        <v>6</v>
      </c>
      <c r="H5422" s="1" t="s">
        <v>21</v>
      </c>
      <c r="I5422">
        <v>22</v>
      </c>
      <c r="J5422">
        <v>3137</v>
      </c>
      <c r="K5422" s="1" t="s">
        <v>101</v>
      </c>
      <c r="L5422" s="1" t="s">
        <v>23</v>
      </c>
      <c r="M5422">
        <v>2.67</v>
      </c>
      <c r="N5422">
        <v>58748.2</v>
      </c>
      <c r="O5422">
        <v>58.747999999999998</v>
      </c>
      <c r="P5422" s="2">
        <v>44805</v>
      </c>
      <c r="Q5422">
        <v>1</v>
      </c>
      <c r="R5422" s="1" t="s">
        <v>40</v>
      </c>
    </row>
    <row r="5423" spans="1:18" x14ac:dyDescent="0.25">
      <c r="A5423">
        <v>2022</v>
      </c>
      <c r="B5423">
        <v>10</v>
      </c>
      <c r="C5423" s="1" t="s">
        <v>33</v>
      </c>
      <c r="D5423" s="1" t="s">
        <v>19</v>
      </c>
      <c r="E5423" s="1" t="s">
        <v>100</v>
      </c>
      <c r="F5423">
        <v>2016</v>
      </c>
      <c r="G5423">
        <v>6</v>
      </c>
      <c r="H5423" s="1" t="s">
        <v>21</v>
      </c>
      <c r="I5423">
        <v>22</v>
      </c>
      <c r="J5423">
        <v>3137</v>
      </c>
      <c r="K5423" s="1" t="s">
        <v>101</v>
      </c>
      <c r="L5423" s="1" t="s">
        <v>23</v>
      </c>
      <c r="M5423">
        <v>2.536</v>
      </c>
      <c r="N5423">
        <v>55783.7</v>
      </c>
      <c r="O5423">
        <v>55.783999999999999</v>
      </c>
      <c r="P5423" s="2">
        <v>44835</v>
      </c>
      <c r="Q5423">
        <v>1</v>
      </c>
      <c r="R5423" s="1" t="s">
        <v>40</v>
      </c>
    </row>
    <row r="5424" spans="1:18" x14ac:dyDescent="0.25">
      <c r="A5424">
        <v>2022</v>
      </c>
      <c r="B5424">
        <v>11</v>
      </c>
      <c r="C5424" s="1" t="s">
        <v>34</v>
      </c>
      <c r="D5424" s="1" t="s">
        <v>19</v>
      </c>
      <c r="E5424" s="1" t="s">
        <v>100</v>
      </c>
      <c r="F5424">
        <v>2016</v>
      </c>
      <c r="G5424">
        <v>6</v>
      </c>
      <c r="H5424" s="1" t="s">
        <v>21</v>
      </c>
      <c r="I5424">
        <v>22</v>
      </c>
      <c r="J5424">
        <v>3137</v>
      </c>
      <c r="K5424" s="1" t="s">
        <v>101</v>
      </c>
      <c r="L5424" s="1" t="s">
        <v>23</v>
      </c>
      <c r="M5424">
        <v>2.2690000000000001</v>
      </c>
      <c r="N5424">
        <v>49925.4</v>
      </c>
      <c r="O5424">
        <v>49.924999999999997</v>
      </c>
      <c r="P5424" s="2">
        <v>44866</v>
      </c>
      <c r="Q5424">
        <v>1</v>
      </c>
      <c r="R5424" s="1" t="s">
        <v>40</v>
      </c>
    </row>
    <row r="5425" spans="1:18" x14ac:dyDescent="0.25">
      <c r="A5425">
        <v>2022</v>
      </c>
      <c r="B5425">
        <v>12</v>
      </c>
      <c r="C5425" s="1" t="s">
        <v>35</v>
      </c>
      <c r="D5425" s="1" t="s">
        <v>19</v>
      </c>
      <c r="E5425" s="1" t="s">
        <v>100</v>
      </c>
      <c r="F5425">
        <v>2016</v>
      </c>
      <c r="G5425">
        <v>6</v>
      </c>
      <c r="H5425" s="1" t="s">
        <v>21</v>
      </c>
      <c r="I5425">
        <v>22</v>
      </c>
      <c r="J5425">
        <v>3137</v>
      </c>
      <c r="K5425" s="1" t="s">
        <v>101</v>
      </c>
      <c r="L5425" s="1" t="s">
        <v>23</v>
      </c>
      <c r="M5425">
        <v>2.2959999999999998</v>
      </c>
      <c r="N5425">
        <v>50513.5</v>
      </c>
      <c r="O5425">
        <v>50.514000000000003</v>
      </c>
      <c r="P5425" s="2">
        <v>44896</v>
      </c>
      <c r="Q5425">
        <v>1</v>
      </c>
      <c r="R5425" s="1" t="s">
        <v>40</v>
      </c>
    </row>
    <row r="5426" spans="1:18" x14ac:dyDescent="0.25">
      <c r="A5426">
        <v>2022</v>
      </c>
      <c r="B5426">
        <v>1</v>
      </c>
      <c r="C5426" s="1" t="s">
        <v>18</v>
      </c>
      <c r="D5426" s="1" t="s">
        <v>19</v>
      </c>
      <c r="E5426" s="1" t="s">
        <v>102</v>
      </c>
      <c r="F5426">
        <v>2016</v>
      </c>
      <c r="G5426">
        <v>6</v>
      </c>
      <c r="H5426" s="1" t="s">
        <v>21</v>
      </c>
      <c r="I5426">
        <v>22</v>
      </c>
      <c r="J5426">
        <v>3096</v>
      </c>
      <c r="K5426" s="1" t="s">
        <v>103</v>
      </c>
      <c r="L5426" s="1" t="s">
        <v>23</v>
      </c>
      <c r="M5426">
        <v>0.499</v>
      </c>
      <c r="N5426">
        <v>10983.1</v>
      </c>
      <c r="O5426">
        <v>10.983000000000001</v>
      </c>
      <c r="P5426" s="2">
        <v>44562</v>
      </c>
      <c r="Q5426">
        <v>1</v>
      </c>
      <c r="R5426" s="1" t="s">
        <v>40</v>
      </c>
    </row>
    <row r="5427" spans="1:18" x14ac:dyDescent="0.25">
      <c r="A5427">
        <v>2022</v>
      </c>
      <c r="B5427">
        <v>2</v>
      </c>
      <c r="C5427" s="1" t="s">
        <v>25</v>
      </c>
      <c r="D5427" s="1" t="s">
        <v>19</v>
      </c>
      <c r="E5427" s="1" t="s">
        <v>102</v>
      </c>
      <c r="F5427">
        <v>2016</v>
      </c>
      <c r="G5427">
        <v>6</v>
      </c>
      <c r="H5427" s="1" t="s">
        <v>21</v>
      </c>
      <c r="I5427">
        <v>22</v>
      </c>
      <c r="J5427">
        <v>3096</v>
      </c>
      <c r="K5427" s="1" t="s">
        <v>103</v>
      </c>
      <c r="L5427" s="1" t="s">
        <v>23</v>
      </c>
      <c r="M5427">
        <v>1.794</v>
      </c>
      <c r="N5427">
        <v>39474</v>
      </c>
      <c r="O5427">
        <v>39.473999999999997</v>
      </c>
      <c r="P5427" s="2">
        <v>44593</v>
      </c>
      <c r="Q5427">
        <v>1</v>
      </c>
      <c r="R5427" s="1" t="s">
        <v>40</v>
      </c>
    </row>
    <row r="5428" spans="1:18" x14ac:dyDescent="0.25">
      <c r="A5428">
        <v>2022</v>
      </c>
      <c r="B5428">
        <v>3</v>
      </c>
      <c r="C5428" s="1" t="s">
        <v>26</v>
      </c>
      <c r="D5428" s="1" t="s">
        <v>19</v>
      </c>
      <c r="E5428" s="1" t="s">
        <v>102</v>
      </c>
      <c r="F5428">
        <v>2016</v>
      </c>
      <c r="G5428">
        <v>6</v>
      </c>
      <c r="H5428" s="1" t="s">
        <v>21</v>
      </c>
      <c r="I5428">
        <v>22</v>
      </c>
      <c r="J5428">
        <v>3096</v>
      </c>
      <c r="K5428" s="1" t="s">
        <v>103</v>
      </c>
      <c r="L5428" s="1" t="s">
        <v>23</v>
      </c>
      <c r="M5428">
        <v>2.15</v>
      </c>
      <c r="N5428">
        <v>47299.1</v>
      </c>
      <c r="O5428">
        <v>47.298999999999999</v>
      </c>
      <c r="P5428" s="2">
        <v>44621</v>
      </c>
      <c r="Q5428">
        <v>1</v>
      </c>
      <c r="R5428" s="1" t="s">
        <v>40</v>
      </c>
    </row>
    <row r="5429" spans="1:18" x14ac:dyDescent="0.25">
      <c r="A5429">
        <v>2022</v>
      </c>
      <c r="B5429">
        <v>4</v>
      </c>
      <c r="C5429" s="1" t="s">
        <v>27</v>
      </c>
      <c r="D5429" s="1" t="s">
        <v>19</v>
      </c>
      <c r="E5429" s="1" t="s">
        <v>102</v>
      </c>
      <c r="F5429">
        <v>2016</v>
      </c>
      <c r="G5429">
        <v>6</v>
      </c>
      <c r="H5429" s="1" t="s">
        <v>21</v>
      </c>
      <c r="I5429">
        <v>22</v>
      </c>
      <c r="J5429">
        <v>3096</v>
      </c>
      <c r="K5429" s="1" t="s">
        <v>103</v>
      </c>
      <c r="L5429" s="1" t="s">
        <v>23</v>
      </c>
      <c r="M5429">
        <v>2.4580000000000002</v>
      </c>
      <c r="N5429">
        <v>54079.4</v>
      </c>
      <c r="O5429">
        <v>54.079000000000001</v>
      </c>
      <c r="P5429" s="2">
        <v>44652</v>
      </c>
      <c r="Q5429">
        <v>1</v>
      </c>
      <c r="R5429" s="1" t="s">
        <v>40</v>
      </c>
    </row>
    <row r="5430" spans="1:18" x14ac:dyDescent="0.25">
      <c r="A5430">
        <v>2022</v>
      </c>
      <c r="B5430">
        <v>5</v>
      </c>
      <c r="C5430" s="1" t="s">
        <v>28</v>
      </c>
      <c r="D5430" s="1" t="s">
        <v>19</v>
      </c>
      <c r="E5430" s="1" t="s">
        <v>102</v>
      </c>
      <c r="F5430">
        <v>2016</v>
      </c>
      <c r="G5430">
        <v>6</v>
      </c>
      <c r="H5430" s="1" t="s">
        <v>21</v>
      </c>
      <c r="I5430">
        <v>22</v>
      </c>
      <c r="J5430">
        <v>3096</v>
      </c>
      <c r="K5430" s="1" t="s">
        <v>103</v>
      </c>
      <c r="L5430" s="1" t="s">
        <v>23</v>
      </c>
      <c r="M5430">
        <v>2.258</v>
      </c>
      <c r="N5430">
        <v>49667.6</v>
      </c>
      <c r="O5430">
        <v>49.667999999999999</v>
      </c>
      <c r="P5430" s="2">
        <v>44682</v>
      </c>
      <c r="Q5430">
        <v>1</v>
      </c>
      <c r="R5430" s="1" t="s">
        <v>40</v>
      </c>
    </row>
    <row r="5431" spans="1:18" x14ac:dyDescent="0.25">
      <c r="A5431">
        <v>2022</v>
      </c>
      <c r="B5431">
        <v>6</v>
      </c>
      <c r="C5431" s="1" t="s">
        <v>29</v>
      </c>
      <c r="D5431" s="1" t="s">
        <v>19</v>
      </c>
      <c r="E5431" s="1" t="s">
        <v>102</v>
      </c>
      <c r="F5431">
        <v>2016</v>
      </c>
      <c r="G5431">
        <v>6</v>
      </c>
      <c r="H5431" s="1" t="s">
        <v>21</v>
      </c>
      <c r="I5431">
        <v>22</v>
      </c>
      <c r="J5431">
        <v>3096</v>
      </c>
      <c r="K5431" s="1" t="s">
        <v>103</v>
      </c>
      <c r="L5431" s="1" t="s">
        <v>23</v>
      </c>
      <c r="M5431">
        <v>2.488</v>
      </c>
      <c r="N5431">
        <v>54729.5</v>
      </c>
      <c r="O5431">
        <v>54.73</v>
      </c>
      <c r="P5431" s="2">
        <v>44713</v>
      </c>
      <c r="Q5431">
        <v>1</v>
      </c>
      <c r="R5431" s="1" t="s">
        <v>40</v>
      </c>
    </row>
    <row r="5432" spans="1:18" x14ac:dyDescent="0.25">
      <c r="A5432">
        <v>2022</v>
      </c>
      <c r="B5432">
        <v>7</v>
      </c>
      <c r="C5432" s="1" t="s">
        <v>30</v>
      </c>
      <c r="D5432" s="1" t="s">
        <v>19</v>
      </c>
      <c r="E5432" s="1" t="s">
        <v>102</v>
      </c>
      <c r="F5432">
        <v>2016</v>
      </c>
      <c r="G5432">
        <v>6</v>
      </c>
      <c r="H5432" s="1" t="s">
        <v>21</v>
      </c>
      <c r="I5432">
        <v>22</v>
      </c>
      <c r="J5432">
        <v>3096</v>
      </c>
      <c r="K5432" s="1" t="s">
        <v>103</v>
      </c>
      <c r="L5432" s="1" t="s">
        <v>23</v>
      </c>
      <c r="M5432">
        <v>1.446</v>
      </c>
      <c r="N5432">
        <v>31811.4</v>
      </c>
      <c r="O5432">
        <v>31.811</v>
      </c>
      <c r="P5432" s="2">
        <v>44743</v>
      </c>
      <c r="Q5432">
        <v>1</v>
      </c>
      <c r="R5432" s="1" t="s">
        <v>40</v>
      </c>
    </row>
    <row r="5433" spans="1:18" x14ac:dyDescent="0.25">
      <c r="A5433">
        <v>2022</v>
      </c>
      <c r="B5433">
        <v>8</v>
      </c>
      <c r="C5433" s="1" t="s">
        <v>31</v>
      </c>
      <c r="D5433" s="1" t="s">
        <v>19</v>
      </c>
      <c r="E5433" s="1" t="s">
        <v>102</v>
      </c>
      <c r="F5433">
        <v>2016</v>
      </c>
      <c r="G5433">
        <v>6</v>
      </c>
      <c r="H5433" s="1" t="s">
        <v>21</v>
      </c>
      <c r="I5433">
        <v>22</v>
      </c>
      <c r="J5433">
        <v>3096</v>
      </c>
      <c r="K5433" s="1" t="s">
        <v>103</v>
      </c>
      <c r="L5433" s="1" t="s">
        <v>23</v>
      </c>
      <c r="M5433">
        <v>2.4420000000000002</v>
      </c>
      <c r="N5433">
        <v>53731.1</v>
      </c>
      <c r="O5433">
        <v>53.731000000000002</v>
      </c>
      <c r="P5433" s="2">
        <v>44774</v>
      </c>
      <c r="Q5433">
        <v>1</v>
      </c>
      <c r="R5433" s="1" t="s">
        <v>40</v>
      </c>
    </row>
    <row r="5434" spans="1:18" x14ac:dyDescent="0.25">
      <c r="A5434">
        <v>2022</v>
      </c>
      <c r="B5434">
        <v>9</v>
      </c>
      <c r="C5434" s="1" t="s">
        <v>32</v>
      </c>
      <c r="D5434" s="1" t="s">
        <v>19</v>
      </c>
      <c r="E5434" s="1" t="s">
        <v>102</v>
      </c>
      <c r="F5434">
        <v>2016</v>
      </c>
      <c r="G5434">
        <v>6</v>
      </c>
      <c r="H5434" s="1" t="s">
        <v>21</v>
      </c>
      <c r="I5434">
        <v>22</v>
      </c>
      <c r="J5434">
        <v>3096</v>
      </c>
      <c r="K5434" s="1" t="s">
        <v>103</v>
      </c>
      <c r="L5434" s="1" t="s">
        <v>23</v>
      </c>
      <c r="M5434">
        <v>2.6349999999999998</v>
      </c>
      <c r="N5434">
        <v>57980.3</v>
      </c>
      <c r="O5434">
        <v>57.98</v>
      </c>
      <c r="P5434" s="2">
        <v>44805</v>
      </c>
      <c r="Q5434">
        <v>1</v>
      </c>
      <c r="R5434" s="1" t="s">
        <v>40</v>
      </c>
    </row>
    <row r="5435" spans="1:18" x14ac:dyDescent="0.25">
      <c r="A5435">
        <v>2022</v>
      </c>
      <c r="B5435">
        <v>10</v>
      </c>
      <c r="C5435" s="1" t="s">
        <v>33</v>
      </c>
      <c r="D5435" s="1" t="s">
        <v>19</v>
      </c>
      <c r="E5435" s="1" t="s">
        <v>102</v>
      </c>
      <c r="F5435">
        <v>2016</v>
      </c>
      <c r="G5435">
        <v>6</v>
      </c>
      <c r="H5435" s="1" t="s">
        <v>21</v>
      </c>
      <c r="I5435">
        <v>22</v>
      </c>
      <c r="J5435">
        <v>3096</v>
      </c>
      <c r="K5435" s="1" t="s">
        <v>103</v>
      </c>
      <c r="L5435" s="1" t="s">
        <v>23</v>
      </c>
      <c r="M5435">
        <v>2.5019999999999998</v>
      </c>
      <c r="N5435">
        <v>55054.6</v>
      </c>
      <c r="O5435">
        <v>55.055</v>
      </c>
      <c r="P5435" s="2">
        <v>44835</v>
      </c>
      <c r="Q5435">
        <v>1</v>
      </c>
      <c r="R5435" s="1" t="s">
        <v>40</v>
      </c>
    </row>
    <row r="5436" spans="1:18" x14ac:dyDescent="0.25">
      <c r="A5436">
        <v>2022</v>
      </c>
      <c r="B5436">
        <v>11</v>
      </c>
      <c r="C5436" s="1" t="s">
        <v>34</v>
      </c>
      <c r="D5436" s="1" t="s">
        <v>19</v>
      </c>
      <c r="E5436" s="1" t="s">
        <v>102</v>
      </c>
      <c r="F5436">
        <v>2016</v>
      </c>
      <c r="G5436">
        <v>6</v>
      </c>
      <c r="H5436" s="1" t="s">
        <v>21</v>
      </c>
      <c r="I5436">
        <v>22</v>
      </c>
      <c r="J5436">
        <v>3096</v>
      </c>
      <c r="K5436" s="1" t="s">
        <v>103</v>
      </c>
      <c r="L5436" s="1" t="s">
        <v>23</v>
      </c>
      <c r="M5436">
        <v>2.2400000000000002</v>
      </c>
      <c r="N5436">
        <v>49272.800000000003</v>
      </c>
      <c r="O5436">
        <v>49.273000000000003</v>
      </c>
      <c r="P5436" s="2">
        <v>44866</v>
      </c>
      <c r="Q5436">
        <v>1</v>
      </c>
      <c r="R5436" s="1" t="s">
        <v>40</v>
      </c>
    </row>
    <row r="5437" spans="1:18" x14ac:dyDescent="0.25">
      <c r="A5437">
        <v>2022</v>
      </c>
      <c r="B5437">
        <v>12</v>
      </c>
      <c r="C5437" s="1" t="s">
        <v>35</v>
      </c>
      <c r="D5437" s="1" t="s">
        <v>19</v>
      </c>
      <c r="E5437" s="1" t="s">
        <v>102</v>
      </c>
      <c r="F5437">
        <v>2016</v>
      </c>
      <c r="G5437">
        <v>6</v>
      </c>
      <c r="H5437" s="1" t="s">
        <v>21</v>
      </c>
      <c r="I5437">
        <v>22</v>
      </c>
      <c r="J5437">
        <v>3096</v>
      </c>
      <c r="K5437" s="1" t="s">
        <v>103</v>
      </c>
      <c r="L5437" s="1" t="s">
        <v>23</v>
      </c>
      <c r="M5437">
        <v>2.266</v>
      </c>
      <c r="N5437">
        <v>49853.3</v>
      </c>
      <c r="O5437">
        <v>49.853000000000002</v>
      </c>
      <c r="P5437" s="2">
        <v>44896</v>
      </c>
      <c r="Q5437">
        <v>1</v>
      </c>
      <c r="R5437" s="1" t="s">
        <v>40</v>
      </c>
    </row>
    <row r="5438" spans="1:18" x14ac:dyDescent="0.25">
      <c r="A5438">
        <v>2022</v>
      </c>
      <c r="B5438">
        <v>1</v>
      </c>
      <c r="C5438" s="1" t="s">
        <v>18</v>
      </c>
      <c r="D5438" s="1" t="s">
        <v>19</v>
      </c>
      <c r="E5438" s="1" t="s">
        <v>104</v>
      </c>
      <c r="F5438">
        <v>2016</v>
      </c>
      <c r="G5438">
        <v>6</v>
      </c>
      <c r="H5438" s="1" t="s">
        <v>21</v>
      </c>
      <c r="I5438">
        <v>24</v>
      </c>
      <c r="J5438">
        <v>3317</v>
      </c>
      <c r="K5438" s="1" t="s">
        <v>105</v>
      </c>
      <c r="L5438" s="1" t="s">
        <v>23</v>
      </c>
      <c r="M5438">
        <v>0.49</v>
      </c>
      <c r="N5438">
        <v>11767.1</v>
      </c>
      <c r="O5438">
        <v>11.766999999999999</v>
      </c>
      <c r="P5438" s="2">
        <v>44562</v>
      </c>
      <c r="Q5438">
        <v>1</v>
      </c>
      <c r="R5438" s="1" t="s">
        <v>40</v>
      </c>
    </row>
    <row r="5439" spans="1:18" x14ac:dyDescent="0.25">
      <c r="A5439">
        <v>2022</v>
      </c>
      <c r="B5439">
        <v>2</v>
      </c>
      <c r="C5439" s="1" t="s">
        <v>25</v>
      </c>
      <c r="D5439" s="1" t="s">
        <v>19</v>
      </c>
      <c r="E5439" s="1" t="s">
        <v>104</v>
      </c>
      <c r="F5439">
        <v>2016</v>
      </c>
      <c r="G5439">
        <v>6</v>
      </c>
      <c r="H5439" s="1" t="s">
        <v>21</v>
      </c>
      <c r="I5439">
        <v>24</v>
      </c>
      <c r="J5439">
        <v>3317</v>
      </c>
      <c r="K5439" s="1" t="s">
        <v>105</v>
      </c>
      <c r="L5439" s="1" t="s">
        <v>23</v>
      </c>
      <c r="M5439">
        <v>1.762</v>
      </c>
      <c r="N5439">
        <v>42291.8</v>
      </c>
      <c r="O5439">
        <v>42.292000000000002</v>
      </c>
      <c r="P5439" s="2">
        <v>44593</v>
      </c>
      <c r="Q5439">
        <v>1</v>
      </c>
      <c r="R5439" s="1" t="s">
        <v>40</v>
      </c>
    </row>
    <row r="5440" spans="1:18" x14ac:dyDescent="0.25">
      <c r="A5440">
        <v>2022</v>
      </c>
      <c r="B5440">
        <v>3</v>
      </c>
      <c r="C5440" s="1" t="s">
        <v>26</v>
      </c>
      <c r="D5440" s="1" t="s">
        <v>19</v>
      </c>
      <c r="E5440" s="1" t="s">
        <v>104</v>
      </c>
      <c r="F5440">
        <v>2016</v>
      </c>
      <c r="G5440">
        <v>6</v>
      </c>
      <c r="H5440" s="1" t="s">
        <v>21</v>
      </c>
      <c r="I5440">
        <v>24</v>
      </c>
      <c r="J5440">
        <v>3317</v>
      </c>
      <c r="K5440" s="1" t="s">
        <v>105</v>
      </c>
      <c r="L5440" s="1" t="s">
        <v>23</v>
      </c>
      <c r="M5440">
        <v>2.1110000000000002</v>
      </c>
      <c r="N5440">
        <v>50675.5</v>
      </c>
      <c r="O5440">
        <v>50.674999999999997</v>
      </c>
      <c r="P5440" s="2">
        <v>44621</v>
      </c>
      <c r="Q5440">
        <v>1</v>
      </c>
      <c r="R5440" s="1" t="s">
        <v>40</v>
      </c>
    </row>
    <row r="5441" spans="1:18" x14ac:dyDescent="0.25">
      <c r="A5441">
        <v>2022</v>
      </c>
      <c r="B5441">
        <v>4</v>
      </c>
      <c r="C5441" s="1" t="s">
        <v>27</v>
      </c>
      <c r="D5441" s="1" t="s">
        <v>19</v>
      </c>
      <c r="E5441" s="1" t="s">
        <v>104</v>
      </c>
      <c r="F5441">
        <v>2016</v>
      </c>
      <c r="G5441">
        <v>6</v>
      </c>
      <c r="H5441" s="1" t="s">
        <v>21</v>
      </c>
      <c r="I5441">
        <v>24</v>
      </c>
      <c r="J5441">
        <v>3317</v>
      </c>
      <c r="K5441" s="1" t="s">
        <v>105</v>
      </c>
      <c r="L5441" s="1" t="s">
        <v>23</v>
      </c>
      <c r="M5441">
        <v>2.4140000000000001</v>
      </c>
      <c r="N5441">
        <v>57939.7</v>
      </c>
      <c r="O5441">
        <v>57.94</v>
      </c>
      <c r="P5441" s="2">
        <v>44652</v>
      </c>
      <c r="Q5441">
        <v>1</v>
      </c>
      <c r="R5441" s="1" t="s">
        <v>40</v>
      </c>
    </row>
    <row r="5442" spans="1:18" x14ac:dyDescent="0.25">
      <c r="A5442">
        <v>2022</v>
      </c>
      <c r="B5442">
        <v>5</v>
      </c>
      <c r="C5442" s="1" t="s">
        <v>28</v>
      </c>
      <c r="D5442" s="1" t="s">
        <v>19</v>
      </c>
      <c r="E5442" s="1" t="s">
        <v>104</v>
      </c>
      <c r="F5442">
        <v>2016</v>
      </c>
      <c r="G5442">
        <v>6</v>
      </c>
      <c r="H5442" s="1" t="s">
        <v>21</v>
      </c>
      <c r="I5442">
        <v>24</v>
      </c>
      <c r="J5442">
        <v>3317</v>
      </c>
      <c r="K5442" s="1" t="s">
        <v>105</v>
      </c>
      <c r="L5442" s="1" t="s">
        <v>23</v>
      </c>
      <c r="M5442">
        <v>2.2170000000000001</v>
      </c>
      <c r="N5442">
        <v>53213</v>
      </c>
      <c r="O5442">
        <v>53.213000000000001</v>
      </c>
      <c r="P5442" s="2">
        <v>44682</v>
      </c>
      <c r="Q5442">
        <v>1</v>
      </c>
      <c r="R5442" s="1" t="s">
        <v>40</v>
      </c>
    </row>
    <row r="5443" spans="1:18" x14ac:dyDescent="0.25">
      <c r="A5443">
        <v>2022</v>
      </c>
      <c r="B5443">
        <v>6</v>
      </c>
      <c r="C5443" s="1" t="s">
        <v>29</v>
      </c>
      <c r="D5443" s="1" t="s">
        <v>19</v>
      </c>
      <c r="E5443" s="1" t="s">
        <v>104</v>
      </c>
      <c r="F5443">
        <v>2016</v>
      </c>
      <c r="G5443">
        <v>6</v>
      </c>
      <c r="H5443" s="1" t="s">
        <v>21</v>
      </c>
      <c r="I5443">
        <v>24</v>
      </c>
      <c r="J5443">
        <v>3317</v>
      </c>
      <c r="K5443" s="1" t="s">
        <v>105</v>
      </c>
      <c r="L5443" s="1" t="s">
        <v>23</v>
      </c>
      <c r="M5443">
        <v>2.4430000000000001</v>
      </c>
      <c r="N5443">
        <v>58636.3</v>
      </c>
      <c r="O5443">
        <v>58.636000000000003</v>
      </c>
      <c r="P5443" s="2">
        <v>44713</v>
      </c>
      <c r="Q5443">
        <v>1</v>
      </c>
      <c r="R5443" s="1" t="s">
        <v>40</v>
      </c>
    </row>
    <row r="5444" spans="1:18" x14ac:dyDescent="0.25">
      <c r="A5444">
        <v>2022</v>
      </c>
      <c r="B5444">
        <v>7</v>
      </c>
      <c r="C5444" s="1" t="s">
        <v>30</v>
      </c>
      <c r="D5444" s="1" t="s">
        <v>19</v>
      </c>
      <c r="E5444" s="1" t="s">
        <v>104</v>
      </c>
      <c r="F5444">
        <v>2016</v>
      </c>
      <c r="G5444">
        <v>6</v>
      </c>
      <c r="H5444" s="1" t="s">
        <v>21</v>
      </c>
      <c r="I5444">
        <v>24</v>
      </c>
      <c r="J5444">
        <v>3317</v>
      </c>
      <c r="K5444" s="1" t="s">
        <v>105</v>
      </c>
      <c r="L5444" s="1" t="s">
        <v>23</v>
      </c>
      <c r="M5444">
        <v>1.42</v>
      </c>
      <c r="N5444">
        <v>34082.199999999997</v>
      </c>
      <c r="O5444">
        <v>34.082000000000001</v>
      </c>
      <c r="P5444" s="2">
        <v>44743</v>
      </c>
      <c r="Q5444">
        <v>1</v>
      </c>
      <c r="R5444" s="1" t="s">
        <v>40</v>
      </c>
    </row>
    <row r="5445" spans="1:18" x14ac:dyDescent="0.25">
      <c r="A5445">
        <v>2022</v>
      </c>
      <c r="B5445">
        <v>8</v>
      </c>
      <c r="C5445" s="1" t="s">
        <v>31</v>
      </c>
      <c r="D5445" s="1" t="s">
        <v>19</v>
      </c>
      <c r="E5445" s="1" t="s">
        <v>104</v>
      </c>
      <c r="F5445">
        <v>2016</v>
      </c>
      <c r="G5445">
        <v>6</v>
      </c>
      <c r="H5445" s="1" t="s">
        <v>21</v>
      </c>
      <c r="I5445">
        <v>24</v>
      </c>
      <c r="J5445">
        <v>3317</v>
      </c>
      <c r="K5445" s="1" t="s">
        <v>105</v>
      </c>
      <c r="L5445" s="1" t="s">
        <v>23</v>
      </c>
      <c r="M5445">
        <v>2.399</v>
      </c>
      <c r="N5445">
        <v>57566.5</v>
      </c>
      <c r="O5445">
        <v>57.567</v>
      </c>
      <c r="P5445" s="2">
        <v>44774</v>
      </c>
      <c r="Q5445">
        <v>1</v>
      </c>
      <c r="R5445" s="1" t="s">
        <v>40</v>
      </c>
    </row>
    <row r="5446" spans="1:18" x14ac:dyDescent="0.25">
      <c r="A5446">
        <v>2022</v>
      </c>
      <c r="B5446">
        <v>9</v>
      </c>
      <c r="C5446" s="1" t="s">
        <v>32</v>
      </c>
      <c r="D5446" s="1" t="s">
        <v>19</v>
      </c>
      <c r="E5446" s="1" t="s">
        <v>104</v>
      </c>
      <c r="F5446">
        <v>2016</v>
      </c>
      <c r="G5446">
        <v>6</v>
      </c>
      <c r="H5446" s="1" t="s">
        <v>21</v>
      </c>
      <c r="I5446">
        <v>24</v>
      </c>
      <c r="J5446">
        <v>3317</v>
      </c>
      <c r="K5446" s="1" t="s">
        <v>105</v>
      </c>
      <c r="L5446" s="1" t="s">
        <v>23</v>
      </c>
      <c r="M5446">
        <v>2.5880000000000001</v>
      </c>
      <c r="N5446">
        <v>62119.1</v>
      </c>
      <c r="O5446">
        <v>62.119</v>
      </c>
      <c r="P5446" s="2">
        <v>44805</v>
      </c>
      <c r="Q5446">
        <v>1</v>
      </c>
      <c r="R5446" s="1" t="s">
        <v>40</v>
      </c>
    </row>
    <row r="5447" spans="1:18" x14ac:dyDescent="0.25">
      <c r="A5447">
        <v>2022</v>
      </c>
      <c r="B5447">
        <v>10</v>
      </c>
      <c r="C5447" s="1" t="s">
        <v>33</v>
      </c>
      <c r="D5447" s="1" t="s">
        <v>19</v>
      </c>
      <c r="E5447" s="1" t="s">
        <v>104</v>
      </c>
      <c r="F5447">
        <v>2016</v>
      </c>
      <c r="G5447">
        <v>6</v>
      </c>
      <c r="H5447" s="1" t="s">
        <v>21</v>
      </c>
      <c r="I5447">
        <v>24</v>
      </c>
      <c r="J5447">
        <v>3317</v>
      </c>
      <c r="K5447" s="1" t="s">
        <v>105</v>
      </c>
      <c r="L5447" s="1" t="s">
        <v>23</v>
      </c>
      <c r="M5447">
        <v>2.4580000000000002</v>
      </c>
      <c r="N5447">
        <v>58984.6</v>
      </c>
      <c r="O5447">
        <v>58.984999999999999</v>
      </c>
      <c r="P5447" s="2">
        <v>44835</v>
      </c>
      <c r="Q5447">
        <v>1</v>
      </c>
      <c r="R5447" s="1" t="s">
        <v>40</v>
      </c>
    </row>
    <row r="5448" spans="1:18" x14ac:dyDescent="0.25">
      <c r="A5448">
        <v>2022</v>
      </c>
      <c r="B5448">
        <v>11</v>
      </c>
      <c r="C5448" s="1" t="s">
        <v>34</v>
      </c>
      <c r="D5448" s="1" t="s">
        <v>19</v>
      </c>
      <c r="E5448" s="1" t="s">
        <v>104</v>
      </c>
      <c r="F5448">
        <v>2016</v>
      </c>
      <c r="G5448">
        <v>6</v>
      </c>
      <c r="H5448" s="1" t="s">
        <v>21</v>
      </c>
      <c r="I5448">
        <v>24</v>
      </c>
      <c r="J5448">
        <v>3317</v>
      </c>
      <c r="K5448" s="1" t="s">
        <v>105</v>
      </c>
      <c r="L5448" s="1" t="s">
        <v>23</v>
      </c>
      <c r="M5448">
        <v>2.2000000000000002</v>
      </c>
      <c r="N5448">
        <v>52790.1</v>
      </c>
      <c r="O5448">
        <v>52.79</v>
      </c>
      <c r="P5448" s="2">
        <v>44866</v>
      </c>
      <c r="Q5448">
        <v>1</v>
      </c>
      <c r="R5448" s="1" t="s">
        <v>40</v>
      </c>
    </row>
    <row r="5449" spans="1:18" x14ac:dyDescent="0.25">
      <c r="A5449">
        <v>2022</v>
      </c>
      <c r="B5449">
        <v>12</v>
      </c>
      <c r="C5449" s="1" t="s">
        <v>35</v>
      </c>
      <c r="D5449" s="1" t="s">
        <v>19</v>
      </c>
      <c r="E5449" s="1" t="s">
        <v>104</v>
      </c>
      <c r="F5449">
        <v>2016</v>
      </c>
      <c r="G5449">
        <v>6</v>
      </c>
      <c r="H5449" s="1" t="s">
        <v>21</v>
      </c>
      <c r="I5449">
        <v>24</v>
      </c>
      <c r="J5449">
        <v>3317</v>
      </c>
      <c r="K5449" s="1" t="s">
        <v>105</v>
      </c>
      <c r="L5449" s="1" t="s">
        <v>23</v>
      </c>
      <c r="M5449">
        <v>2.2250000000000001</v>
      </c>
      <c r="N5449">
        <v>53412</v>
      </c>
      <c r="O5449">
        <v>53.411999999999999</v>
      </c>
      <c r="P5449" s="2">
        <v>44896</v>
      </c>
      <c r="Q5449">
        <v>1</v>
      </c>
      <c r="R5449" s="1" t="s">
        <v>40</v>
      </c>
    </row>
    <row r="5450" spans="1:18" x14ac:dyDescent="0.25">
      <c r="A5450">
        <v>2022</v>
      </c>
      <c r="B5450">
        <v>1</v>
      </c>
      <c r="C5450" s="1" t="s">
        <v>18</v>
      </c>
      <c r="D5450" s="1" t="s">
        <v>19</v>
      </c>
      <c r="E5450" s="1" t="s">
        <v>106</v>
      </c>
      <c r="F5450">
        <v>2016</v>
      </c>
      <c r="G5450">
        <v>6</v>
      </c>
      <c r="H5450" s="1" t="s">
        <v>21</v>
      </c>
      <c r="I5450">
        <v>17</v>
      </c>
      <c r="J5450">
        <v>2219</v>
      </c>
      <c r="K5450" s="1" t="s">
        <v>107</v>
      </c>
      <c r="L5450" s="1" t="s">
        <v>23</v>
      </c>
      <c r="M5450">
        <v>0.46300000000000002</v>
      </c>
      <c r="N5450">
        <v>7871.9</v>
      </c>
      <c r="O5450">
        <v>7.8719999999999999</v>
      </c>
      <c r="P5450" s="2">
        <v>44562</v>
      </c>
      <c r="Q5450">
        <v>1</v>
      </c>
      <c r="R5450" s="1" t="s">
        <v>40</v>
      </c>
    </row>
    <row r="5451" spans="1:18" x14ac:dyDescent="0.25">
      <c r="A5451">
        <v>2022</v>
      </c>
      <c r="B5451">
        <v>2</v>
      </c>
      <c r="C5451" s="1" t="s">
        <v>25</v>
      </c>
      <c r="D5451" s="1" t="s">
        <v>19</v>
      </c>
      <c r="E5451" s="1" t="s">
        <v>106</v>
      </c>
      <c r="F5451">
        <v>2016</v>
      </c>
      <c r="G5451">
        <v>6</v>
      </c>
      <c r="H5451" s="1" t="s">
        <v>21</v>
      </c>
      <c r="I5451">
        <v>17</v>
      </c>
      <c r="J5451">
        <v>2219</v>
      </c>
      <c r="K5451" s="1" t="s">
        <v>107</v>
      </c>
      <c r="L5451" s="1" t="s">
        <v>23</v>
      </c>
      <c r="M5451">
        <v>1.6639999999999999</v>
      </c>
      <c r="N5451">
        <v>28292.2</v>
      </c>
      <c r="O5451">
        <v>28.292000000000002</v>
      </c>
      <c r="P5451" s="2">
        <v>44593</v>
      </c>
      <c r="Q5451">
        <v>1</v>
      </c>
      <c r="R5451" s="1" t="s">
        <v>40</v>
      </c>
    </row>
    <row r="5452" spans="1:18" x14ac:dyDescent="0.25">
      <c r="A5452">
        <v>2022</v>
      </c>
      <c r="B5452">
        <v>3</v>
      </c>
      <c r="C5452" s="1" t="s">
        <v>26</v>
      </c>
      <c r="D5452" s="1" t="s">
        <v>19</v>
      </c>
      <c r="E5452" s="1" t="s">
        <v>106</v>
      </c>
      <c r="F5452">
        <v>2016</v>
      </c>
      <c r="G5452">
        <v>6</v>
      </c>
      <c r="H5452" s="1" t="s">
        <v>21</v>
      </c>
      <c r="I5452">
        <v>17</v>
      </c>
      <c r="J5452">
        <v>2219</v>
      </c>
      <c r="K5452" s="1" t="s">
        <v>107</v>
      </c>
      <c r="L5452" s="1" t="s">
        <v>23</v>
      </c>
      <c r="M5452">
        <v>1.994</v>
      </c>
      <c r="N5452">
        <v>33900.800000000003</v>
      </c>
      <c r="O5452">
        <v>33.901000000000003</v>
      </c>
      <c r="P5452" s="2">
        <v>44621</v>
      </c>
      <c r="Q5452">
        <v>1</v>
      </c>
      <c r="R5452" s="1" t="s">
        <v>40</v>
      </c>
    </row>
    <row r="5453" spans="1:18" x14ac:dyDescent="0.25">
      <c r="A5453">
        <v>2022</v>
      </c>
      <c r="B5453">
        <v>4</v>
      </c>
      <c r="C5453" s="1" t="s">
        <v>27</v>
      </c>
      <c r="D5453" s="1" t="s">
        <v>19</v>
      </c>
      <c r="E5453" s="1" t="s">
        <v>106</v>
      </c>
      <c r="F5453">
        <v>2016</v>
      </c>
      <c r="G5453">
        <v>6</v>
      </c>
      <c r="H5453" s="1" t="s">
        <v>21</v>
      </c>
      <c r="I5453">
        <v>17</v>
      </c>
      <c r="J5453">
        <v>2219</v>
      </c>
      <c r="K5453" s="1" t="s">
        <v>107</v>
      </c>
      <c r="L5453" s="1" t="s">
        <v>23</v>
      </c>
      <c r="M5453">
        <v>2.2799999999999998</v>
      </c>
      <c r="N5453">
        <v>38760.400000000001</v>
      </c>
      <c r="O5453">
        <v>38.76</v>
      </c>
      <c r="P5453" s="2">
        <v>44652</v>
      </c>
      <c r="Q5453">
        <v>1</v>
      </c>
      <c r="R5453" s="1" t="s">
        <v>40</v>
      </c>
    </row>
    <row r="5454" spans="1:18" x14ac:dyDescent="0.25">
      <c r="A5454">
        <v>2022</v>
      </c>
      <c r="B5454">
        <v>5</v>
      </c>
      <c r="C5454" s="1" t="s">
        <v>28</v>
      </c>
      <c r="D5454" s="1" t="s">
        <v>19</v>
      </c>
      <c r="E5454" s="1" t="s">
        <v>106</v>
      </c>
      <c r="F5454">
        <v>2016</v>
      </c>
      <c r="G5454">
        <v>6</v>
      </c>
      <c r="H5454" s="1" t="s">
        <v>21</v>
      </c>
      <c r="I5454">
        <v>17</v>
      </c>
      <c r="J5454">
        <v>2219</v>
      </c>
      <c r="K5454" s="1" t="s">
        <v>107</v>
      </c>
      <c r="L5454" s="1" t="s">
        <v>23</v>
      </c>
      <c r="M5454">
        <v>2.0939999999999999</v>
      </c>
      <c r="N5454">
        <v>35598.300000000003</v>
      </c>
      <c r="O5454">
        <v>35.597999999999999</v>
      </c>
      <c r="P5454" s="2">
        <v>44682</v>
      </c>
      <c r="Q5454">
        <v>1</v>
      </c>
      <c r="R5454" s="1" t="s">
        <v>40</v>
      </c>
    </row>
    <row r="5455" spans="1:18" x14ac:dyDescent="0.25">
      <c r="A5455">
        <v>2022</v>
      </c>
      <c r="B5455">
        <v>6</v>
      </c>
      <c r="C5455" s="1" t="s">
        <v>29</v>
      </c>
      <c r="D5455" s="1" t="s">
        <v>19</v>
      </c>
      <c r="E5455" s="1" t="s">
        <v>106</v>
      </c>
      <c r="F5455">
        <v>2016</v>
      </c>
      <c r="G5455">
        <v>6</v>
      </c>
      <c r="H5455" s="1" t="s">
        <v>21</v>
      </c>
      <c r="I5455">
        <v>17</v>
      </c>
      <c r="J5455">
        <v>2219</v>
      </c>
      <c r="K5455" s="1" t="s">
        <v>107</v>
      </c>
      <c r="L5455" s="1" t="s">
        <v>23</v>
      </c>
      <c r="M5455">
        <v>2.3069999999999999</v>
      </c>
      <c r="N5455">
        <v>39226.400000000001</v>
      </c>
      <c r="O5455">
        <v>39.225999999999999</v>
      </c>
      <c r="P5455" s="2">
        <v>44713</v>
      </c>
      <c r="Q5455">
        <v>1</v>
      </c>
      <c r="R5455" s="1" t="s">
        <v>40</v>
      </c>
    </row>
    <row r="5456" spans="1:18" x14ac:dyDescent="0.25">
      <c r="A5456">
        <v>2022</v>
      </c>
      <c r="B5456">
        <v>7</v>
      </c>
      <c r="C5456" s="1" t="s">
        <v>30</v>
      </c>
      <c r="D5456" s="1" t="s">
        <v>19</v>
      </c>
      <c r="E5456" s="1" t="s">
        <v>106</v>
      </c>
      <c r="F5456">
        <v>2016</v>
      </c>
      <c r="G5456">
        <v>6</v>
      </c>
      <c r="H5456" s="1" t="s">
        <v>21</v>
      </c>
      <c r="I5456">
        <v>17</v>
      </c>
      <c r="J5456">
        <v>2219</v>
      </c>
      <c r="K5456" s="1" t="s">
        <v>107</v>
      </c>
      <c r="L5456" s="1" t="s">
        <v>23</v>
      </c>
      <c r="M5456">
        <v>1.341</v>
      </c>
      <c r="N5456">
        <v>22800.2</v>
      </c>
      <c r="O5456">
        <v>22.8</v>
      </c>
      <c r="P5456" s="2">
        <v>44743</v>
      </c>
      <c r="Q5456">
        <v>1</v>
      </c>
      <c r="R5456" s="1" t="s">
        <v>40</v>
      </c>
    </row>
    <row r="5457" spans="1:18" x14ac:dyDescent="0.25">
      <c r="A5457">
        <v>2022</v>
      </c>
      <c r="B5457">
        <v>8</v>
      </c>
      <c r="C5457" s="1" t="s">
        <v>31</v>
      </c>
      <c r="D5457" s="1" t="s">
        <v>19</v>
      </c>
      <c r="E5457" s="1" t="s">
        <v>106</v>
      </c>
      <c r="F5457">
        <v>2016</v>
      </c>
      <c r="G5457">
        <v>6</v>
      </c>
      <c r="H5457" s="1" t="s">
        <v>21</v>
      </c>
      <c r="I5457">
        <v>17</v>
      </c>
      <c r="J5457">
        <v>2219</v>
      </c>
      <c r="K5457" s="1" t="s">
        <v>107</v>
      </c>
      <c r="L5457" s="1" t="s">
        <v>23</v>
      </c>
      <c r="M5457">
        <v>2.2650000000000001</v>
      </c>
      <c r="N5457">
        <v>38510.699999999997</v>
      </c>
      <c r="O5457">
        <v>38.511000000000003</v>
      </c>
      <c r="P5457" s="2">
        <v>44774</v>
      </c>
      <c r="Q5457">
        <v>1</v>
      </c>
      <c r="R5457" s="1" t="s">
        <v>40</v>
      </c>
    </row>
    <row r="5458" spans="1:18" x14ac:dyDescent="0.25">
      <c r="A5458">
        <v>2022</v>
      </c>
      <c r="B5458">
        <v>9</v>
      </c>
      <c r="C5458" s="1" t="s">
        <v>32</v>
      </c>
      <c r="D5458" s="1" t="s">
        <v>19</v>
      </c>
      <c r="E5458" s="1" t="s">
        <v>106</v>
      </c>
      <c r="F5458">
        <v>2016</v>
      </c>
      <c r="G5458">
        <v>6</v>
      </c>
      <c r="H5458" s="1" t="s">
        <v>21</v>
      </c>
      <c r="I5458">
        <v>17</v>
      </c>
      <c r="J5458">
        <v>2219</v>
      </c>
      <c r="K5458" s="1" t="s">
        <v>107</v>
      </c>
      <c r="L5458" s="1" t="s">
        <v>23</v>
      </c>
      <c r="M5458">
        <v>2.444</v>
      </c>
      <c r="N5458">
        <v>41556.300000000003</v>
      </c>
      <c r="O5458">
        <v>41.555999999999997</v>
      </c>
      <c r="P5458" s="2">
        <v>44805</v>
      </c>
      <c r="Q5458">
        <v>1</v>
      </c>
      <c r="R5458" s="1" t="s">
        <v>40</v>
      </c>
    </row>
    <row r="5459" spans="1:18" x14ac:dyDescent="0.25">
      <c r="A5459">
        <v>2022</v>
      </c>
      <c r="B5459">
        <v>10</v>
      </c>
      <c r="C5459" s="1" t="s">
        <v>33</v>
      </c>
      <c r="D5459" s="1" t="s">
        <v>19</v>
      </c>
      <c r="E5459" s="1" t="s">
        <v>106</v>
      </c>
      <c r="F5459">
        <v>2016</v>
      </c>
      <c r="G5459">
        <v>6</v>
      </c>
      <c r="H5459" s="1" t="s">
        <v>21</v>
      </c>
      <c r="I5459">
        <v>17</v>
      </c>
      <c r="J5459">
        <v>2219</v>
      </c>
      <c r="K5459" s="1" t="s">
        <v>107</v>
      </c>
      <c r="L5459" s="1" t="s">
        <v>23</v>
      </c>
      <c r="M5459">
        <v>2.3210000000000002</v>
      </c>
      <c r="N5459">
        <v>39459.4</v>
      </c>
      <c r="O5459">
        <v>39.459000000000003</v>
      </c>
      <c r="P5459" s="2">
        <v>44835</v>
      </c>
      <c r="Q5459">
        <v>1</v>
      </c>
      <c r="R5459" s="1" t="s">
        <v>40</v>
      </c>
    </row>
    <row r="5460" spans="1:18" x14ac:dyDescent="0.25">
      <c r="A5460">
        <v>2022</v>
      </c>
      <c r="B5460">
        <v>11</v>
      </c>
      <c r="C5460" s="1" t="s">
        <v>34</v>
      </c>
      <c r="D5460" s="1" t="s">
        <v>19</v>
      </c>
      <c r="E5460" s="1" t="s">
        <v>106</v>
      </c>
      <c r="F5460">
        <v>2016</v>
      </c>
      <c r="G5460">
        <v>6</v>
      </c>
      <c r="H5460" s="1" t="s">
        <v>21</v>
      </c>
      <c r="I5460">
        <v>17</v>
      </c>
      <c r="J5460">
        <v>2219</v>
      </c>
      <c r="K5460" s="1" t="s">
        <v>107</v>
      </c>
      <c r="L5460" s="1" t="s">
        <v>23</v>
      </c>
      <c r="M5460">
        <v>2.077</v>
      </c>
      <c r="N5460">
        <v>35315.4</v>
      </c>
      <c r="O5460">
        <v>35.314999999999998</v>
      </c>
      <c r="P5460" s="2">
        <v>44866</v>
      </c>
      <c r="Q5460">
        <v>1</v>
      </c>
      <c r="R5460" s="1" t="s">
        <v>40</v>
      </c>
    </row>
    <row r="5461" spans="1:18" x14ac:dyDescent="0.25">
      <c r="A5461">
        <v>2022</v>
      </c>
      <c r="B5461">
        <v>12</v>
      </c>
      <c r="C5461" s="1" t="s">
        <v>35</v>
      </c>
      <c r="D5461" s="1" t="s">
        <v>19</v>
      </c>
      <c r="E5461" s="1" t="s">
        <v>106</v>
      </c>
      <c r="F5461">
        <v>2016</v>
      </c>
      <c r="G5461">
        <v>6</v>
      </c>
      <c r="H5461" s="1" t="s">
        <v>21</v>
      </c>
      <c r="I5461">
        <v>17</v>
      </c>
      <c r="J5461">
        <v>2219</v>
      </c>
      <c r="K5461" s="1" t="s">
        <v>107</v>
      </c>
      <c r="L5461" s="1" t="s">
        <v>23</v>
      </c>
      <c r="M5461">
        <v>2.1019999999999999</v>
      </c>
      <c r="N5461">
        <v>35731.4</v>
      </c>
      <c r="O5461">
        <v>35.731000000000002</v>
      </c>
      <c r="P5461" s="2">
        <v>44896</v>
      </c>
      <c r="Q5461">
        <v>1</v>
      </c>
      <c r="R5461" s="1" t="s">
        <v>40</v>
      </c>
    </row>
    <row r="5462" spans="1:18" x14ac:dyDescent="0.25">
      <c r="A5462">
        <v>2022</v>
      </c>
      <c r="B5462">
        <v>1</v>
      </c>
      <c r="C5462" s="1" t="s">
        <v>18</v>
      </c>
      <c r="D5462" s="1" t="s">
        <v>19</v>
      </c>
      <c r="E5462" s="1" t="s">
        <v>108</v>
      </c>
      <c r="F5462">
        <v>2016</v>
      </c>
      <c r="G5462">
        <v>6</v>
      </c>
      <c r="H5462" s="1" t="s">
        <v>21</v>
      </c>
      <c r="I5462">
        <v>15</v>
      </c>
      <c r="J5462">
        <v>2142</v>
      </c>
      <c r="K5462" s="1" t="s">
        <v>109</v>
      </c>
      <c r="L5462" s="1" t="s">
        <v>23</v>
      </c>
      <c r="M5462">
        <v>0.50700000000000001</v>
      </c>
      <c r="N5462">
        <v>7598.7</v>
      </c>
      <c r="O5462">
        <v>7.5990000000000002</v>
      </c>
      <c r="P5462" s="2">
        <v>44562</v>
      </c>
      <c r="Q5462">
        <v>1</v>
      </c>
      <c r="R5462" s="1" t="s">
        <v>40</v>
      </c>
    </row>
    <row r="5463" spans="1:18" x14ac:dyDescent="0.25">
      <c r="A5463">
        <v>2022</v>
      </c>
      <c r="B5463">
        <v>2</v>
      </c>
      <c r="C5463" s="1" t="s">
        <v>25</v>
      </c>
      <c r="D5463" s="1" t="s">
        <v>19</v>
      </c>
      <c r="E5463" s="1" t="s">
        <v>108</v>
      </c>
      <c r="F5463">
        <v>2016</v>
      </c>
      <c r="G5463">
        <v>6</v>
      </c>
      <c r="H5463" s="1" t="s">
        <v>21</v>
      </c>
      <c r="I5463">
        <v>15</v>
      </c>
      <c r="J5463">
        <v>2142</v>
      </c>
      <c r="K5463" s="1" t="s">
        <v>109</v>
      </c>
      <c r="L5463" s="1" t="s">
        <v>23</v>
      </c>
      <c r="M5463">
        <v>1.821</v>
      </c>
      <c r="N5463">
        <v>27310.5</v>
      </c>
      <c r="O5463">
        <v>27.311</v>
      </c>
      <c r="P5463" s="2">
        <v>44593</v>
      </c>
      <c r="Q5463">
        <v>1</v>
      </c>
      <c r="R5463" s="1" t="s">
        <v>40</v>
      </c>
    </row>
    <row r="5464" spans="1:18" x14ac:dyDescent="0.25">
      <c r="A5464">
        <v>2022</v>
      </c>
      <c r="B5464">
        <v>3</v>
      </c>
      <c r="C5464" s="1" t="s">
        <v>26</v>
      </c>
      <c r="D5464" s="1" t="s">
        <v>19</v>
      </c>
      <c r="E5464" s="1" t="s">
        <v>108</v>
      </c>
      <c r="F5464">
        <v>2016</v>
      </c>
      <c r="G5464">
        <v>6</v>
      </c>
      <c r="H5464" s="1" t="s">
        <v>21</v>
      </c>
      <c r="I5464">
        <v>15</v>
      </c>
      <c r="J5464">
        <v>2142</v>
      </c>
      <c r="K5464" s="1" t="s">
        <v>109</v>
      </c>
      <c r="L5464" s="1" t="s">
        <v>23</v>
      </c>
      <c r="M5464">
        <v>2.1819999999999999</v>
      </c>
      <c r="N5464">
        <v>32724.400000000001</v>
      </c>
      <c r="O5464">
        <v>32.723999999999997</v>
      </c>
      <c r="P5464" s="2">
        <v>44621</v>
      </c>
      <c r="Q5464">
        <v>1</v>
      </c>
      <c r="R5464" s="1" t="s">
        <v>40</v>
      </c>
    </row>
    <row r="5465" spans="1:18" x14ac:dyDescent="0.25">
      <c r="A5465">
        <v>2022</v>
      </c>
      <c r="B5465">
        <v>4</v>
      </c>
      <c r="C5465" s="1" t="s">
        <v>27</v>
      </c>
      <c r="D5465" s="1" t="s">
        <v>19</v>
      </c>
      <c r="E5465" s="1" t="s">
        <v>108</v>
      </c>
      <c r="F5465">
        <v>2016</v>
      </c>
      <c r="G5465">
        <v>6</v>
      </c>
      <c r="H5465" s="1" t="s">
        <v>21</v>
      </c>
      <c r="I5465">
        <v>15</v>
      </c>
      <c r="J5465">
        <v>2142</v>
      </c>
      <c r="K5465" s="1" t="s">
        <v>109</v>
      </c>
      <c r="L5465" s="1" t="s">
        <v>23</v>
      </c>
      <c r="M5465">
        <v>2.4940000000000002</v>
      </c>
      <c r="N5465">
        <v>37415.4</v>
      </c>
      <c r="O5465">
        <v>37.414999999999999</v>
      </c>
      <c r="P5465" s="2">
        <v>44652</v>
      </c>
      <c r="Q5465">
        <v>1</v>
      </c>
      <c r="R5465" s="1" t="s">
        <v>40</v>
      </c>
    </row>
    <row r="5466" spans="1:18" x14ac:dyDescent="0.25">
      <c r="A5466">
        <v>2022</v>
      </c>
      <c r="B5466">
        <v>5</v>
      </c>
      <c r="C5466" s="1" t="s">
        <v>28</v>
      </c>
      <c r="D5466" s="1" t="s">
        <v>19</v>
      </c>
      <c r="E5466" s="1" t="s">
        <v>108</v>
      </c>
      <c r="F5466">
        <v>2016</v>
      </c>
      <c r="G5466">
        <v>6</v>
      </c>
      <c r="H5466" s="1" t="s">
        <v>21</v>
      </c>
      <c r="I5466">
        <v>15</v>
      </c>
      <c r="J5466">
        <v>2142</v>
      </c>
      <c r="K5466" s="1" t="s">
        <v>109</v>
      </c>
      <c r="L5466" s="1" t="s">
        <v>23</v>
      </c>
      <c r="M5466">
        <v>2.2909999999999999</v>
      </c>
      <c r="N5466">
        <v>34363</v>
      </c>
      <c r="O5466">
        <v>34.363</v>
      </c>
      <c r="P5466" s="2">
        <v>44682</v>
      </c>
      <c r="Q5466">
        <v>1</v>
      </c>
      <c r="R5466" s="1" t="s">
        <v>40</v>
      </c>
    </row>
    <row r="5467" spans="1:18" x14ac:dyDescent="0.25">
      <c r="A5467">
        <v>2022</v>
      </c>
      <c r="B5467">
        <v>6</v>
      </c>
      <c r="C5467" s="1" t="s">
        <v>29</v>
      </c>
      <c r="D5467" s="1" t="s">
        <v>19</v>
      </c>
      <c r="E5467" s="1" t="s">
        <v>108</v>
      </c>
      <c r="F5467">
        <v>2016</v>
      </c>
      <c r="G5467">
        <v>6</v>
      </c>
      <c r="H5467" s="1" t="s">
        <v>21</v>
      </c>
      <c r="I5467">
        <v>15</v>
      </c>
      <c r="J5467">
        <v>2142</v>
      </c>
      <c r="K5467" s="1" t="s">
        <v>109</v>
      </c>
      <c r="L5467" s="1" t="s">
        <v>23</v>
      </c>
      <c r="M5467">
        <v>2.524</v>
      </c>
      <c r="N5467">
        <v>37865.199999999997</v>
      </c>
      <c r="O5467">
        <v>37.865000000000002</v>
      </c>
      <c r="P5467" s="2">
        <v>44713</v>
      </c>
      <c r="Q5467">
        <v>1</v>
      </c>
      <c r="R5467" s="1" t="s">
        <v>40</v>
      </c>
    </row>
    <row r="5468" spans="1:18" x14ac:dyDescent="0.25">
      <c r="A5468">
        <v>2022</v>
      </c>
      <c r="B5468">
        <v>7</v>
      </c>
      <c r="C5468" s="1" t="s">
        <v>30</v>
      </c>
      <c r="D5468" s="1" t="s">
        <v>19</v>
      </c>
      <c r="E5468" s="1" t="s">
        <v>108</v>
      </c>
      <c r="F5468">
        <v>2016</v>
      </c>
      <c r="G5468">
        <v>6</v>
      </c>
      <c r="H5468" s="1" t="s">
        <v>21</v>
      </c>
      <c r="I5468">
        <v>15</v>
      </c>
      <c r="J5468">
        <v>2142</v>
      </c>
      <c r="K5468" s="1" t="s">
        <v>109</v>
      </c>
      <c r="L5468" s="1" t="s">
        <v>23</v>
      </c>
      <c r="M5468">
        <v>1.4670000000000001</v>
      </c>
      <c r="N5468">
        <v>22009.1</v>
      </c>
      <c r="O5468">
        <v>22.009</v>
      </c>
      <c r="P5468" s="2">
        <v>44743</v>
      </c>
      <c r="Q5468">
        <v>1</v>
      </c>
      <c r="R5468" s="1" t="s">
        <v>40</v>
      </c>
    </row>
    <row r="5469" spans="1:18" x14ac:dyDescent="0.25">
      <c r="A5469">
        <v>2022</v>
      </c>
      <c r="B5469">
        <v>8</v>
      </c>
      <c r="C5469" s="1" t="s">
        <v>31</v>
      </c>
      <c r="D5469" s="1" t="s">
        <v>19</v>
      </c>
      <c r="E5469" s="1" t="s">
        <v>108</v>
      </c>
      <c r="F5469">
        <v>2016</v>
      </c>
      <c r="G5469">
        <v>6</v>
      </c>
      <c r="H5469" s="1" t="s">
        <v>21</v>
      </c>
      <c r="I5469">
        <v>15</v>
      </c>
      <c r="J5469">
        <v>2142</v>
      </c>
      <c r="K5469" s="1" t="s">
        <v>109</v>
      </c>
      <c r="L5469" s="1" t="s">
        <v>23</v>
      </c>
      <c r="M5469">
        <v>2.4780000000000002</v>
      </c>
      <c r="N5469">
        <v>37174.400000000001</v>
      </c>
      <c r="O5469">
        <v>37.173999999999999</v>
      </c>
      <c r="P5469" s="2">
        <v>44774</v>
      </c>
      <c r="Q5469">
        <v>1</v>
      </c>
      <c r="R5469" s="1" t="s">
        <v>40</v>
      </c>
    </row>
    <row r="5470" spans="1:18" x14ac:dyDescent="0.25">
      <c r="A5470">
        <v>2022</v>
      </c>
      <c r="B5470">
        <v>9</v>
      </c>
      <c r="C5470" s="1" t="s">
        <v>32</v>
      </c>
      <c r="D5470" s="1" t="s">
        <v>19</v>
      </c>
      <c r="E5470" s="1" t="s">
        <v>108</v>
      </c>
      <c r="F5470">
        <v>2016</v>
      </c>
      <c r="G5470">
        <v>6</v>
      </c>
      <c r="H5470" s="1" t="s">
        <v>21</v>
      </c>
      <c r="I5470">
        <v>15</v>
      </c>
      <c r="J5470">
        <v>2142</v>
      </c>
      <c r="K5470" s="1" t="s">
        <v>109</v>
      </c>
      <c r="L5470" s="1" t="s">
        <v>23</v>
      </c>
      <c r="M5470">
        <v>2.6739999999999999</v>
      </c>
      <c r="N5470">
        <v>40114.300000000003</v>
      </c>
      <c r="O5470">
        <v>40.113999999999997</v>
      </c>
      <c r="P5470" s="2">
        <v>44805</v>
      </c>
      <c r="Q5470">
        <v>1</v>
      </c>
      <c r="R5470" s="1" t="s">
        <v>40</v>
      </c>
    </row>
    <row r="5471" spans="1:18" x14ac:dyDescent="0.25">
      <c r="A5471">
        <v>2022</v>
      </c>
      <c r="B5471">
        <v>10</v>
      </c>
      <c r="C5471" s="1" t="s">
        <v>33</v>
      </c>
      <c r="D5471" s="1" t="s">
        <v>19</v>
      </c>
      <c r="E5471" s="1" t="s">
        <v>108</v>
      </c>
      <c r="F5471">
        <v>2016</v>
      </c>
      <c r="G5471">
        <v>6</v>
      </c>
      <c r="H5471" s="1" t="s">
        <v>21</v>
      </c>
      <c r="I5471">
        <v>15</v>
      </c>
      <c r="J5471">
        <v>2142</v>
      </c>
      <c r="K5471" s="1" t="s">
        <v>109</v>
      </c>
      <c r="L5471" s="1" t="s">
        <v>23</v>
      </c>
      <c r="M5471">
        <v>2.5390000000000001</v>
      </c>
      <c r="N5471">
        <v>38090.1</v>
      </c>
      <c r="O5471">
        <v>38.090000000000003</v>
      </c>
      <c r="P5471" s="2">
        <v>44835</v>
      </c>
      <c r="Q5471">
        <v>1</v>
      </c>
      <c r="R5471" s="1" t="s">
        <v>40</v>
      </c>
    </row>
    <row r="5472" spans="1:18" x14ac:dyDescent="0.25">
      <c r="A5472">
        <v>2022</v>
      </c>
      <c r="B5472">
        <v>11</v>
      </c>
      <c r="C5472" s="1" t="s">
        <v>34</v>
      </c>
      <c r="D5472" s="1" t="s">
        <v>19</v>
      </c>
      <c r="E5472" s="1" t="s">
        <v>108</v>
      </c>
      <c r="F5472">
        <v>2016</v>
      </c>
      <c r="G5472">
        <v>6</v>
      </c>
      <c r="H5472" s="1" t="s">
        <v>21</v>
      </c>
      <c r="I5472">
        <v>15</v>
      </c>
      <c r="J5472">
        <v>2142</v>
      </c>
      <c r="K5472" s="1" t="s">
        <v>109</v>
      </c>
      <c r="L5472" s="1" t="s">
        <v>23</v>
      </c>
      <c r="M5472">
        <v>2.2730000000000001</v>
      </c>
      <c r="N5472">
        <v>34089.9</v>
      </c>
      <c r="O5472">
        <v>34.090000000000003</v>
      </c>
      <c r="P5472" s="2">
        <v>44866</v>
      </c>
      <c r="Q5472">
        <v>1</v>
      </c>
      <c r="R5472" s="1" t="s">
        <v>40</v>
      </c>
    </row>
    <row r="5473" spans="1:18" x14ac:dyDescent="0.25">
      <c r="A5473">
        <v>2022</v>
      </c>
      <c r="B5473">
        <v>12</v>
      </c>
      <c r="C5473" s="1" t="s">
        <v>35</v>
      </c>
      <c r="D5473" s="1" t="s">
        <v>19</v>
      </c>
      <c r="E5473" s="1" t="s">
        <v>108</v>
      </c>
      <c r="F5473">
        <v>2016</v>
      </c>
      <c r="G5473">
        <v>6</v>
      </c>
      <c r="H5473" s="1" t="s">
        <v>21</v>
      </c>
      <c r="I5473">
        <v>15</v>
      </c>
      <c r="J5473">
        <v>2142</v>
      </c>
      <c r="K5473" s="1" t="s">
        <v>109</v>
      </c>
      <c r="L5473" s="1" t="s">
        <v>23</v>
      </c>
      <c r="M5473">
        <v>2.2989999999999999</v>
      </c>
      <c r="N5473">
        <v>34491.599999999999</v>
      </c>
      <c r="O5473">
        <v>34.491999999999997</v>
      </c>
      <c r="P5473" s="2">
        <v>44896</v>
      </c>
      <c r="Q5473">
        <v>1</v>
      </c>
      <c r="R5473" s="1" t="s">
        <v>40</v>
      </c>
    </row>
    <row r="5474" spans="1:18" x14ac:dyDescent="0.25">
      <c r="A5474">
        <v>2022</v>
      </c>
      <c r="B5474">
        <v>1</v>
      </c>
      <c r="C5474" s="1" t="s">
        <v>18</v>
      </c>
      <c r="D5474" s="1" t="s">
        <v>19</v>
      </c>
      <c r="E5474" s="1" t="s">
        <v>110</v>
      </c>
      <c r="F5474">
        <v>2016</v>
      </c>
      <c r="G5474">
        <v>6</v>
      </c>
      <c r="H5474" s="1" t="s">
        <v>21</v>
      </c>
      <c r="I5474">
        <v>24</v>
      </c>
      <c r="J5474">
        <v>3324</v>
      </c>
      <c r="K5474" s="1" t="s">
        <v>111</v>
      </c>
      <c r="L5474" s="1" t="s">
        <v>23</v>
      </c>
      <c r="M5474">
        <v>0.49099999999999999</v>
      </c>
      <c r="N5474">
        <v>11791.9</v>
      </c>
      <c r="O5474">
        <v>11.792</v>
      </c>
      <c r="P5474" s="2">
        <v>44562</v>
      </c>
      <c r="Q5474">
        <v>1</v>
      </c>
      <c r="R5474" s="1" t="s">
        <v>40</v>
      </c>
    </row>
    <row r="5475" spans="1:18" x14ac:dyDescent="0.25">
      <c r="A5475">
        <v>2022</v>
      </c>
      <c r="B5475">
        <v>2</v>
      </c>
      <c r="C5475" s="1" t="s">
        <v>25</v>
      </c>
      <c r="D5475" s="1" t="s">
        <v>19</v>
      </c>
      <c r="E5475" s="1" t="s">
        <v>110</v>
      </c>
      <c r="F5475">
        <v>2016</v>
      </c>
      <c r="G5475">
        <v>6</v>
      </c>
      <c r="H5475" s="1" t="s">
        <v>21</v>
      </c>
      <c r="I5475">
        <v>24</v>
      </c>
      <c r="J5475">
        <v>3324</v>
      </c>
      <c r="K5475" s="1" t="s">
        <v>111</v>
      </c>
      <c r="L5475" s="1" t="s">
        <v>23</v>
      </c>
      <c r="M5475">
        <v>1.766</v>
      </c>
      <c r="N5475">
        <v>42381</v>
      </c>
      <c r="O5475">
        <v>42.381</v>
      </c>
      <c r="P5475" s="2">
        <v>44593</v>
      </c>
      <c r="Q5475">
        <v>1</v>
      </c>
      <c r="R5475" s="1" t="s">
        <v>40</v>
      </c>
    </row>
    <row r="5476" spans="1:18" x14ac:dyDescent="0.25">
      <c r="A5476">
        <v>2022</v>
      </c>
      <c r="B5476">
        <v>3</v>
      </c>
      <c r="C5476" s="1" t="s">
        <v>26</v>
      </c>
      <c r="D5476" s="1" t="s">
        <v>19</v>
      </c>
      <c r="E5476" s="1" t="s">
        <v>110</v>
      </c>
      <c r="F5476">
        <v>2016</v>
      </c>
      <c r="G5476">
        <v>6</v>
      </c>
      <c r="H5476" s="1" t="s">
        <v>21</v>
      </c>
      <c r="I5476">
        <v>24</v>
      </c>
      <c r="J5476">
        <v>3324</v>
      </c>
      <c r="K5476" s="1" t="s">
        <v>111</v>
      </c>
      <c r="L5476" s="1" t="s">
        <v>23</v>
      </c>
      <c r="M5476">
        <v>2.1160000000000001</v>
      </c>
      <c r="N5476">
        <v>50782.400000000001</v>
      </c>
      <c r="O5476">
        <v>50.781999999999996</v>
      </c>
      <c r="P5476" s="2">
        <v>44621</v>
      </c>
      <c r="Q5476">
        <v>1</v>
      </c>
      <c r="R5476" s="1" t="s">
        <v>40</v>
      </c>
    </row>
    <row r="5477" spans="1:18" x14ac:dyDescent="0.25">
      <c r="A5477">
        <v>2022</v>
      </c>
      <c r="B5477">
        <v>4</v>
      </c>
      <c r="C5477" s="1" t="s">
        <v>27</v>
      </c>
      <c r="D5477" s="1" t="s">
        <v>19</v>
      </c>
      <c r="E5477" s="1" t="s">
        <v>110</v>
      </c>
      <c r="F5477">
        <v>2016</v>
      </c>
      <c r="G5477">
        <v>6</v>
      </c>
      <c r="H5477" s="1" t="s">
        <v>21</v>
      </c>
      <c r="I5477">
        <v>24</v>
      </c>
      <c r="J5477">
        <v>3324</v>
      </c>
      <c r="K5477" s="1" t="s">
        <v>111</v>
      </c>
      <c r="L5477" s="1" t="s">
        <v>23</v>
      </c>
      <c r="M5477">
        <v>2.419</v>
      </c>
      <c r="N5477">
        <v>58062</v>
      </c>
      <c r="O5477">
        <v>58.061999999999998</v>
      </c>
      <c r="P5477" s="2">
        <v>44652</v>
      </c>
      <c r="Q5477">
        <v>1</v>
      </c>
      <c r="R5477" s="1" t="s">
        <v>40</v>
      </c>
    </row>
    <row r="5478" spans="1:18" x14ac:dyDescent="0.25">
      <c r="A5478">
        <v>2022</v>
      </c>
      <c r="B5478">
        <v>5</v>
      </c>
      <c r="C5478" s="1" t="s">
        <v>28</v>
      </c>
      <c r="D5478" s="1" t="s">
        <v>19</v>
      </c>
      <c r="E5478" s="1" t="s">
        <v>110</v>
      </c>
      <c r="F5478">
        <v>2016</v>
      </c>
      <c r="G5478">
        <v>6</v>
      </c>
      <c r="H5478" s="1" t="s">
        <v>21</v>
      </c>
      <c r="I5478">
        <v>24</v>
      </c>
      <c r="J5478">
        <v>3324</v>
      </c>
      <c r="K5478" s="1" t="s">
        <v>111</v>
      </c>
      <c r="L5478" s="1" t="s">
        <v>23</v>
      </c>
      <c r="M5478">
        <v>2.222</v>
      </c>
      <c r="N5478">
        <v>53325.3</v>
      </c>
      <c r="O5478">
        <v>53.325000000000003</v>
      </c>
      <c r="P5478" s="2">
        <v>44682</v>
      </c>
      <c r="Q5478">
        <v>1</v>
      </c>
      <c r="R5478" s="1" t="s">
        <v>40</v>
      </c>
    </row>
    <row r="5479" spans="1:18" x14ac:dyDescent="0.25">
      <c r="A5479">
        <v>2022</v>
      </c>
      <c r="B5479">
        <v>6</v>
      </c>
      <c r="C5479" s="1" t="s">
        <v>29</v>
      </c>
      <c r="D5479" s="1" t="s">
        <v>19</v>
      </c>
      <c r="E5479" s="1" t="s">
        <v>110</v>
      </c>
      <c r="F5479">
        <v>2016</v>
      </c>
      <c r="G5479">
        <v>6</v>
      </c>
      <c r="H5479" s="1" t="s">
        <v>21</v>
      </c>
      <c r="I5479">
        <v>24</v>
      </c>
      <c r="J5479">
        <v>3324</v>
      </c>
      <c r="K5479" s="1" t="s">
        <v>111</v>
      </c>
      <c r="L5479" s="1" t="s">
        <v>23</v>
      </c>
      <c r="M5479">
        <v>2.448</v>
      </c>
      <c r="N5479">
        <v>58760</v>
      </c>
      <c r="O5479">
        <v>58.76</v>
      </c>
      <c r="P5479" s="2">
        <v>44713</v>
      </c>
      <c r="Q5479">
        <v>1</v>
      </c>
      <c r="R5479" s="1" t="s">
        <v>40</v>
      </c>
    </row>
    <row r="5480" spans="1:18" x14ac:dyDescent="0.25">
      <c r="A5480">
        <v>2022</v>
      </c>
      <c r="B5480">
        <v>7</v>
      </c>
      <c r="C5480" s="1" t="s">
        <v>30</v>
      </c>
      <c r="D5480" s="1" t="s">
        <v>19</v>
      </c>
      <c r="E5480" s="1" t="s">
        <v>110</v>
      </c>
      <c r="F5480">
        <v>2016</v>
      </c>
      <c r="G5480">
        <v>6</v>
      </c>
      <c r="H5480" s="1" t="s">
        <v>21</v>
      </c>
      <c r="I5480">
        <v>24</v>
      </c>
      <c r="J5480">
        <v>3324</v>
      </c>
      <c r="K5480" s="1" t="s">
        <v>111</v>
      </c>
      <c r="L5480" s="1" t="s">
        <v>23</v>
      </c>
      <c r="M5480">
        <v>1.423</v>
      </c>
      <c r="N5480">
        <v>34154.1</v>
      </c>
      <c r="O5480">
        <v>34.154000000000003</v>
      </c>
      <c r="P5480" s="2">
        <v>44743</v>
      </c>
      <c r="Q5480">
        <v>1</v>
      </c>
      <c r="R5480" s="1" t="s">
        <v>40</v>
      </c>
    </row>
    <row r="5481" spans="1:18" x14ac:dyDescent="0.25">
      <c r="A5481">
        <v>2022</v>
      </c>
      <c r="B5481">
        <v>8</v>
      </c>
      <c r="C5481" s="1" t="s">
        <v>31</v>
      </c>
      <c r="D5481" s="1" t="s">
        <v>19</v>
      </c>
      <c r="E5481" s="1" t="s">
        <v>110</v>
      </c>
      <c r="F5481">
        <v>2016</v>
      </c>
      <c r="G5481">
        <v>6</v>
      </c>
      <c r="H5481" s="1" t="s">
        <v>21</v>
      </c>
      <c r="I5481">
        <v>24</v>
      </c>
      <c r="J5481">
        <v>3324</v>
      </c>
      <c r="K5481" s="1" t="s">
        <v>111</v>
      </c>
      <c r="L5481" s="1" t="s">
        <v>23</v>
      </c>
      <c r="M5481">
        <v>2.4039999999999999</v>
      </c>
      <c r="N5481">
        <v>57688</v>
      </c>
      <c r="O5481">
        <v>57.688000000000002</v>
      </c>
      <c r="P5481" s="2">
        <v>44774</v>
      </c>
      <c r="Q5481">
        <v>1</v>
      </c>
      <c r="R5481" s="1" t="s">
        <v>40</v>
      </c>
    </row>
    <row r="5482" spans="1:18" x14ac:dyDescent="0.25">
      <c r="A5482">
        <v>2022</v>
      </c>
      <c r="B5482">
        <v>9</v>
      </c>
      <c r="C5482" s="1" t="s">
        <v>32</v>
      </c>
      <c r="D5482" s="1" t="s">
        <v>19</v>
      </c>
      <c r="E5482" s="1" t="s">
        <v>110</v>
      </c>
      <c r="F5482">
        <v>2016</v>
      </c>
      <c r="G5482">
        <v>6</v>
      </c>
      <c r="H5482" s="1" t="s">
        <v>21</v>
      </c>
      <c r="I5482">
        <v>24</v>
      </c>
      <c r="J5482">
        <v>3324</v>
      </c>
      <c r="K5482" s="1" t="s">
        <v>111</v>
      </c>
      <c r="L5482" s="1" t="s">
        <v>23</v>
      </c>
      <c r="M5482">
        <v>2.5939999999999999</v>
      </c>
      <c r="N5482">
        <v>62250.2</v>
      </c>
      <c r="O5482">
        <v>62.25</v>
      </c>
      <c r="P5482" s="2">
        <v>44805</v>
      </c>
      <c r="Q5482">
        <v>1</v>
      </c>
      <c r="R5482" s="1" t="s">
        <v>40</v>
      </c>
    </row>
    <row r="5483" spans="1:18" x14ac:dyDescent="0.25">
      <c r="A5483">
        <v>2022</v>
      </c>
      <c r="B5483">
        <v>10</v>
      </c>
      <c r="C5483" s="1" t="s">
        <v>33</v>
      </c>
      <c r="D5483" s="1" t="s">
        <v>19</v>
      </c>
      <c r="E5483" s="1" t="s">
        <v>110</v>
      </c>
      <c r="F5483">
        <v>2016</v>
      </c>
      <c r="G5483">
        <v>6</v>
      </c>
      <c r="H5483" s="1" t="s">
        <v>21</v>
      </c>
      <c r="I5483">
        <v>24</v>
      </c>
      <c r="J5483">
        <v>3324</v>
      </c>
      <c r="K5483" s="1" t="s">
        <v>111</v>
      </c>
      <c r="L5483" s="1" t="s">
        <v>23</v>
      </c>
      <c r="M5483">
        <v>2.4630000000000001</v>
      </c>
      <c r="N5483">
        <v>59109</v>
      </c>
      <c r="O5483">
        <v>59.109000000000002</v>
      </c>
      <c r="P5483" s="2">
        <v>44835</v>
      </c>
      <c r="Q5483">
        <v>1</v>
      </c>
      <c r="R5483" s="1" t="s">
        <v>40</v>
      </c>
    </row>
    <row r="5484" spans="1:18" x14ac:dyDescent="0.25">
      <c r="A5484">
        <v>2022</v>
      </c>
      <c r="B5484">
        <v>11</v>
      </c>
      <c r="C5484" s="1" t="s">
        <v>34</v>
      </c>
      <c r="D5484" s="1" t="s">
        <v>19</v>
      </c>
      <c r="E5484" s="1" t="s">
        <v>110</v>
      </c>
      <c r="F5484">
        <v>2016</v>
      </c>
      <c r="G5484">
        <v>6</v>
      </c>
      <c r="H5484" s="1" t="s">
        <v>21</v>
      </c>
      <c r="I5484">
        <v>24</v>
      </c>
      <c r="J5484">
        <v>3324</v>
      </c>
      <c r="K5484" s="1" t="s">
        <v>111</v>
      </c>
      <c r="L5484" s="1" t="s">
        <v>23</v>
      </c>
      <c r="M5484">
        <v>2.2040000000000002</v>
      </c>
      <c r="N5484">
        <v>52901.5</v>
      </c>
      <c r="O5484">
        <v>52.901000000000003</v>
      </c>
      <c r="P5484" s="2">
        <v>44866</v>
      </c>
      <c r="Q5484">
        <v>1</v>
      </c>
      <c r="R5484" s="1" t="s">
        <v>40</v>
      </c>
    </row>
    <row r="5485" spans="1:18" x14ac:dyDescent="0.25">
      <c r="A5485">
        <v>2022</v>
      </c>
      <c r="B5485">
        <v>12</v>
      </c>
      <c r="C5485" s="1" t="s">
        <v>35</v>
      </c>
      <c r="D5485" s="1" t="s">
        <v>19</v>
      </c>
      <c r="E5485" s="1" t="s">
        <v>110</v>
      </c>
      <c r="F5485">
        <v>2016</v>
      </c>
      <c r="G5485">
        <v>6</v>
      </c>
      <c r="H5485" s="1" t="s">
        <v>21</v>
      </c>
      <c r="I5485">
        <v>24</v>
      </c>
      <c r="J5485">
        <v>3324</v>
      </c>
      <c r="K5485" s="1" t="s">
        <v>111</v>
      </c>
      <c r="L5485" s="1" t="s">
        <v>23</v>
      </c>
      <c r="M5485">
        <v>2.23</v>
      </c>
      <c r="N5485">
        <v>53524.7</v>
      </c>
      <c r="O5485">
        <v>53.524999999999999</v>
      </c>
      <c r="P5485" s="2">
        <v>44896</v>
      </c>
      <c r="Q5485">
        <v>1</v>
      </c>
      <c r="R5485" s="1" t="s">
        <v>40</v>
      </c>
    </row>
    <row r="5486" spans="1:18" x14ac:dyDescent="0.25">
      <c r="A5486">
        <v>2022</v>
      </c>
      <c r="B5486">
        <v>1</v>
      </c>
      <c r="C5486" s="1" t="s">
        <v>18</v>
      </c>
      <c r="D5486" s="1" t="s">
        <v>19</v>
      </c>
      <c r="E5486" s="1" t="s">
        <v>112</v>
      </c>
      <c r="F5486">
        <v>2016</v>
      </c>
      <c r="G5486">
        <v>6</v>
      </c>
      <c r="H5486" s="1" t="s">
        <v>21</v>
      </c>
      <c r="I5486">
        <v>20</v>
      </c>
      <c r="J5486">
        <v>2663</v>
      </c>
      <c r="K5486" s="1" t="s">
        <v>113</v>
      </c>
      <c r="L5486" s="1" t="s">
        <v>23</v>
      </c>
      <c r="M5486">
        <v>0.47199999999999998</v>
      </c>
      <c r="N5486">
        <v>9447</v>
      </c>
      <c r="O5486">
        <v>9.4469999999999992</v>
      </c>
      <c r="P5486" s="2">
        <v>44562</v>
      </c>
      <c r="Q5486">
        <v>1</v>
      </c>
      <c r="R5486" s="1" t="s">
        <v>40</v>
      </c>
    </row>
    <row r="5487" spans="1:18" x14ac:dyDescent="0.25">
      <c r="A5487">
        <v>2022</v>
      </c>
      <c r="B5487">
        <v>2</v>
      </c>
      <c r="C5487" s="1" t="s">
        <v>25</v>
      </c>
      <c r="D5487" s="1" t="s">
        <v>19</v>
      </c>
      <c r="E5487" s="1" t="s">
        <v>112</v>
      </c>
      <c r="F5487">
        <v>2016</v>
      </c>
      <c r="G5487">
        <v>6</v>
      </c>
      <c r="H5487" s="1" t="s">
        <v>21</v>
      </c>
      <c r="I5487">
        <v>20</v>
      </c>
      <c r="J5487">
        <v>2663</v>
      </c>
      <c r="K5487" s="1" t="s">
        <v>113</v>
      </c>
      <c r="L5487" s="1" t="s">
        <v>23</v>
      </c>
      <c r="M5487">
        <v>1.698</v>
      </c>
      <c r="N5487">
        <v>33953.300000000003</v>
      </c>
      <c r="O5487">
        <v>33.953000000000003</v>
      </c>
      <c r="P5487" s="2">
        <v>44593</v>
      </c>
      <c r="Q5487">
        <v>1</v>
      </c>
      <c r="R5487" s="1" t="s">
        <v>40</v>
      </c>
    </row>
    <row r="5488" spans="1:18" x14ac:dyDescent="0.25">
      <c r="A5488">
        <v>2022</v>
      </c>
      <c r="B5488">
        <v>3</v>
      </c>
      <c r="C5488" s="1" t="s">
        <v>26</v>
      </c>
      <c r="D5488" s="1" t="s">
        <v>19</v>
      </c>
      <c r="E5488" s="1" t="s">
        <v>112</v>
      </c>
      <c r="F5488">
        <v>2016</v>
      </c>
      <c r="G5488">
        <v>6</v>
      </c>
      <c r="H5488" s="1" t="s">
        <v>21</v>
      </c>
      <c r="I5488">
        <v>20</v>
      </c>
      <c r="J5488">
        <v>2663</v>
      </c>
      <c r="K5488" s="1" t="s">
        <v>113</v>
      </c>
      <c r="L5488" s="1" t="s">
        <v>23</v>
      </c>
      <c r="M5488">
        <v>2.0339999999999998</v>
      </c>
      <c r="N5488">
        <v>40684</v>
      </c>
      <c r="O5488">
        <v>40.683999999999997</v>
      </c>
      <c r="P5488" s="2">
        <v>44621</v>
      </c>
      <c r="Q5488">
        <v>1</v>
      </c>
      <c r="R5488" s="1" t="s">
        <v>40</v>
      </c>
    </row>
    <row r="5489" spans="1:18" x14ac:dyDescent="0.25">
      <c r="A5489">
        <v>2022</v>
      </c>
      <c r="B5489">
        <v>4</v>
      </c>
      <c r="C5489" s="1" t="s">
        <v>27</v>
      </c>
      <c r="D5489" s="1" t="s">
        <v>19</v>
      </c>
      <c r="E5489" s="1" t="s">
        <v>112</v>
      </c>
      <c r="F5489">
        <v>2016</v>
      </c>
      <c r="G5489">
        <v>6</v>
      </c>
      <c r="H5489" s="1" t="s">
        <v>21</v>
      </c>
      <c r="I5489">
        <v>20</v>
      </c>
      <c r="J5489">
        <v>2663</v>
      </c>
      <c r="K5489" s="1" t="s">
        <v>113</v>
      </c>
      <c r="L5489" s="1" t="s">
        <v>23</v>
      </c>
      <c r="M5489">
        <v>2.3260000000000001</v>
      </c>
      <c r="N5489">
        <v>46516</v>
      </c>
      <c r="O5489">
        <v>46.515999999999998</v>
      </c>
      <c r="P5489" s="2">
        <v>44652</v>
      </c>
      <c r="Q5489">
        <v>1</v>
      </c>
      <c r="R5489" s="1" t="s">
        <v>40</v>
      </c>
    </row>
    <row r="5490" spans="1:18" x14ac:dyDescent="0.25">
      <c r="A5490">
        <v>2022</v>
      </c>
      <c r="B5490">
        <v>5</v>
      </c>
      <c r="C5490" s="1" t="s">
        <v>28</v>
      </c>
      <c r="D5490" s="1" t="s">
        <v>19</v>
      </c>
      <c r="E5490" s="1" t="s">
        <v>112</v>
      </c>
      <c r="F5490">
        <v>2016</v>
      </c>
      <c r="G5490">
        <v>6</v>
      </c>
      <c r="H5490" s="1" t="s">
        <v>21</v>
      </c>
      <c r="I5490">
        <v>20</v>
      </c>
      <c r="J5490">
        <v>2663</v>
      </c>
      <c r="K5490" s="1" t="s">
        <v>113</v>
      </c>
      <c r="L5490" s="1" t="s">
        <v>23</v>
      </c>
      <c r="M5490">
        <v>2.1360000000000001</v>
      </c>
      <c r="N5490">
        <v>42721.2</v>
      </c>
      <c r="O5490">
        <v>42.720999999999997</v>
      </c>
      <c r="P5490" s="2">
        <v>44682</v>
      </c>
      <c r="Q5490">
        <v>1</v>
      </c>
      <c r="R5490" s="1" t="s">
        <v>40</v>
      </c>
    </row>
    <row r="5491" spans="1:18" x14ac:dyDescent="0.25">
      <c r="A5491">
        <v>2022</v>
      </c>
      <c r="B5491">
        <v>6</v>
      </c>
      <c r="C5491" s="1" t="s">
        <v>29</v>
      </c>
      <c r="D5491" s="1" t="s">
        <v>19</v>
      </c>
      <c r="E5491" s="1" t="s">
        <v>112</v>
      </c>
      <c r="F5491">
        <v>2016</v>
      </c>
      <c r="G5491">
        <v>6</v>
      </c>
      <c r="H5491" s="1" t="s">
        <v>21</v>
      </c>
      <c r="I5491">
        <v>20</v>
      </c>
      <c r="J5491">
        <v>2663</v>
      </c>
      <c r="K5491" s="1" t="s">
        <v>113</v>
      </c>
      <c r="L5491" s="1" t="s">
        <v>23</v>
      </c>
      <c r="M5491">
        <v>2.3540000000000001</v>
      </c>
      <c r="N5491">
        <v>47075.199999999997</v>
      </c>
      <c r="O5491">
        <v>47.075000000000003</v>
      </c>
      <c r="P5491" s="2">
        <v>44713</v>
      </c>
      <c r="Q5491">
        <v>1</v>
      </c>
      <c r="R5491" s="1" t="s">
        <v>40</v>
      </c>
    </row>
    <row r="5492" spans="1:18" x14ac:dyDescent="0.25">
      <c r="A5492">
        <v>2022</v>
      </c>
      <c r="B5492">
        <v>7</v>
      </c>
      <c r="C5492" s="1" t="s">
        <v>30</v>
      </c>
      <c r="D5492" s="1" t="s">
        <v>19</v>
      </c>
      <c r="E5492" s="1" t="s">
        <v>112</v>
      </c>
      <c r="F5492">
        <v>2016</v>
      </c>
      <c r="G5492">
        <v>6</v>
      </c>
      <c r="H5492" s="1" t="s">
        <v>21</v>
      </c>
      <c r="I5492">
        <v>20</v>
      </c>
      <c r="J5492">
        <v>2663</v>
      </c>
      <c r="K5492" s="1" t="s">
        <v>113</v>
      </c>
      <c r="L5492" s="1" t="s">
        <v>23</v>
      </c>
      <c r="M5492">
        <v>1.3680000000000001</v>
      </c>
      <c r="N5492">
        <v>27362.3</v>
      </c>
      <c r="O5492">
        <v>27.361999999999998</v>
      </c>
      <c r="P5492" s="2">
        <v>44743</v>
      </c>
      <c r="Q5492">
        <v>1</v>
      </c>
      <c r="R5492" s="1" t="s">
        <v>40</v>
      </c>
    </row>
    <row r="5493" spans="1:18" x14ac:dyDescent="0.25">
      <c r="A5493">
        <v>2022</v>
      </c>
      <c r="B5493">
        <v>8</v>
      </c>
      <c r="C5493" s="1" t="s">
        <v>31</v>
      </c>
      <c r="D5493" s="1" t="s">
        <v>19</v>
      </c>
      <c r="E5493" s="1" t="s">
        <v>112</v>
      </c>
      <c r="F5493">
        <v>2016</v>
      </c>
      <c r="G5493">
        <v>6</v>
      </c>
      <c r="H5493" s="1" t="s">
        <v>21</v>
      </c>
      <c r="I5493">
        <v>20</v>
      </c>
      <c r="J5493">
        <v>2663</v>
      </c>
      <c r="K5493" s="1" t="s">
        <v>113</v>
      </c>
      <c r="L5493" s="1" t="s">
        <v>23</v>
      </c>
      <c r="M5493">
        <v>2.3109999999999999</v>
      </c>
      <c r="N5493">
        <v>46216.4</v>
      </c>
      <c r="O5493">
        <v>46.216000000000001</v>
      </c>
      <c r="P5493" s="2">
        <v>44774</v>
      </c>
      <c r="Q5493">
        <v>1</v>
      </c>
      <c r="R5493" s="1" t="s">
        <v>40</v>
      </c>
    </row>
    <row r="5494" spans="1:18" x14ac:dyDescent="0.25">
      <c r="A5494">
        <v>2022</v>
      </c>
      <c r="B5494">
        <v>9</v>
      </c>
      <c r="C5494" s="1" t="s">
        <v>32</v>
      </c>
      <c r="D5494" s="1" t="s">
        <v>19</v>
      </c>
      <c r="E5494" s="1" t="s">
        <v>112</v>
      </c>
      <c r="F5494">
        <v>2016</v>
      </c>
      <c r="G5494">
        <v>6</v>
      </c>
      <c r="H5494" s="1" t="s">
        <v>21</v>
      </c>
      <c r="I5494">
        <v>20</v>
      </c>
      <c r="J5494">
        <v>2663</v>
      </c>
      <c r="K5494" s="1" t="s">
        <v>113</v>
      </c>
      <c r="L5494" s="1" t="s">
        <v>23</v>
      </c>
      <c r="M5494">
        <v>2.4940000000000002</v>
      </c>
      <c r="N5494">
        <v>49871.3</v>
      </c>
      <c r="O5494">
        <v>49.871000000000002</v>
      </c>
      <c r="P5494" s="2">
        <v>44805</v>
      </c>
      <c r="Q5494">
        <v>1</v>
      </c>
      <c r="R5494" s="1" t="s">
        <v>40</v>
      </c>
    </row>
    <row r="5495" spans="1:18" x14ac:dyDescent="0.25">
      <c r="A5495">
        <v>2022</v>
      </c>
      <c r="B5495">
        <v>10</v>
      </c>
      <c r="C5495" s="1" t="s">
        <v>33</v>
      </c>
      <c r="D5495" s="1" t="s">
        <v>19</v>
      </c>
      <c r="E5495" s="1" t="s">
        <v>112</v>
      </c>
      <c r="F5495">
        <v>2016</v>
      </c>
      <c r="G5495">
        <v>6</v>
      </c>
      <c r="H5495" s="1" t="s">
        <v>21</v>
      </c>
      <c r="I5495">
        <v>20</v>
      </c>
      <c r="J5495">
        <v>2663</v>
      </c>
      <c r="K5495" s="1" t="s">
        <v>113</v>
      </c>
      <c r="L5495" s="1" t="s">
        <v>23</v>
      </c>
      <c r="M5495">
        <v>2.3679999999999999</v>
      </c>
      <c r="N5495">
        <v>47354.8</v>
      </c>
      <c r="O5495">
        <v>47.354999999999997</v>
      </c>
      <c r="P5495" s="2">
        <v>44835</v>
      </c>
      <c r="Q5495">
        <v>1</v>
      </c>
      <c r="R5495" s="1" t="s">
        <v>40</v>
      </c>
    </row>
    <row r="5496" spans="1:18" x14ac:dyDescent="0.25">
      <c r="A5496">
        <v>2022</v>
      </c>
      <c r="B5496">
        <v>11</v>
      </c>
      <c r="C5496" s="1" t="s">
        <v>34</v>
      </c>
      <c r="D5496" s="1" t="s">
        <v>19</v>
      </c>
      <c r="E5496" s="1" t="s">
        <v>112</v>
      </c>
      <c r="F5496">
        <v>2016</v>
      </c>
      <c r="G5496">
        <v>6</v>
      </c>
      <c r="H5496" s="1" t="s">
        <v>21</v>
      </c>
      <c r="I5496">
        <v>20</v>
      </c>
      <c r="J5496">
        <v>2663</v>
      </c>
      <c r="K5496" s="1" t="s">
        <v>113</v>
      </c>
      <c r="L5496" s="1" t="s">
        <v>23</v>
      </c>
      <c r="M5496">
        <v>2.1190000000000002</v>
      </c>
      <c r="N5496">
        <v>42381.599999999999</v>
      </c>
      <c r="O5496">
        <v>42.381999999999998</v>
      </c>
      <c r="P5496" s="2">
        <v>44866</v>
      </c>
      <c r="Q5496">
        <v>1</v>
      </c>
      <c r="R5496" s="1" t="s">
        <v>40</v>
      </c>
    </row>
    <row r="5497" spans="1:18" x14ac:dyDescent="0.25">
      <c r="A5497">
        <v>2022</v>
      </c>
      <c r="B5497">
        <v>12</v>
      </c>
      <c r="C5497" s="1" t="s">
        <v>35</v>
      </c>
      <c r="D5497" s="1" t="s">
        <v>19</v>
      </c>
      <c r="E5497" s="1" t="s">
        <v>112</v>
      </c>
      <c r="F5497">
        <v>2016</v>
      </c>
      <c r="G5497">
        <v>6</v>
      </c>
      <c r="H5497" s="1" t="s">
        <v>21</v>
      </c>
      <c r="I5497">
        <v>20</v>
      </c>
      <c r="J5497">
        <v>2663</v>
      </c>
      <c r="K5497" s="1" t="s">
        <v>113</v>
      </c>
      <c r="L5497" s="1" t="s">
        <v>23</v>
      </c>
      <c r="M5497">
        <v>2.1440000000000001</v>
      </c>
      <c r="N5497">
        <v>42881</v>
      </c>
      <c r="O5497">
        <v>42.881</v>
      </c>
      <c r="P5497" s="2">
        <v>44896</v>
      </c>
      <c r="Q5497">
        <v>1</v>
      </c>
      <c r="R5497" s="1" t="s">
        <v>40</v>
      </c>
    </row>
    <row r="5498" spans="1:18" x14ac:dyDescent="0.25">
      <c r="A5498">
        <v>2022</v>
      </c>
      <c r="B5498">
        <v>1</v>
      </c>
      <c r="C5498" s="1" t="s">
        <v>18</v>
      </c>
      <c r="D5498" s="1" t="s">
        <v>19</v>
      </c>
      <c r="E5498" s="1" t="s">
        <v>114</v>
      </c>
      <c r="F5498">
        <v>2016</v>
      </c>
      <c r="G5498">
        <v>6</v>
      </c>
      <c r="H5498" s="1" t="s">
        <v>21</v>
      </c>
      <c r="I5498">
        <v>14</v>
      </c>
      <c r="J5498">
        <v>1746</v>
      </c>
      <c r="K5498" s="1" t="s">
        <v>115</v>
      </c>
      <c r="L5498" s="1" t="s">
        <v>23</v>
      </c>
      <c r="M5498">
        <v>0.442</v>
      </c>
      <c r="N5498">
        <v>6193.9</v>
      </c>
      <c r="O5498">
        <v>6.194</v>
      </c>
      <c r="P5498" s="2">
        <v>44562</v>
      </c>
      <c r="Q5498">
        <v>1</v>
      </c>
      <c r="R5498" s="1" t="s">
        <v>40</v>
      </c>
    </row>
    <row r="5499" spans="1:18" x14ac:dyDescent="0.25">
      <c r="A5499">
        <v>2022</v>
      </c>
      <c r="B5499">
        <v>2</v>
      </c>
      <c r="C5499" s="1" t="s">
        <v>25</v>
      </c>
      <c r="D5499" s="1" t="s">
        <v>19</v>
      </c>
      <c r="E5499" s="1" t="s">
        <v>114</v>
      </c>
      <c r="F5499">
        <v>2016</v>
      </c>
      <c r="G5499">
        <v>6</v>
      </c>
      <c r="H5499" s="1" t="s">
        <v>21</v>
      </c>
      <c r="I5499">
        <v>14</v>
      </c>
      <c r="J5499">
        <v>1746</v>
      </c>
      <c r="K5499" s="1" t="s">
        <v>115</v>
      </c>
      <c r="L5499" s="1" t="s">
        <v>23</v>
      </c>
      <c r="M5499">
        <v>1.59</v>
      </c>
      <c r="N5499">
        <v>22261.5</v>
      </c>
      <c r="O5499">
        <v>22.262</v>
      </c>
      <c r="P5499" s="2">
        <v>44593</v>
      </c>
      <c r="Q5499">
        <v>1</v>
      </c>
      <c r="R5499" s="1" t="s">
        <v>40</v>
      </c>
    </row>
    <row r="5500" spans="1:18" x14ac:dyDescent="0.25">
      <c r="A5500">
        <v>2022</v>
      </c>
      <c r="B5500">
        <v>3</v>
      </c>
      <c r="C5500" s="1" t="s">
        <v>26</v>
      </c>
      <c r="D5500" s="1" t="s">
        <v>19</v>
      </c>
      <c r="E5500" s="1" t="s">
        <v>114</v>
      </c>
      <c r="F5500">
        <v>2016</v>
      </c>
      <c r="G5500">
        <v>6</v>
      </c>
      <c r="H5500" s="1" t="s">
        <v>21</v>
      </c>
      <c r="I5500">
        <v>14</v>
      </c>
      <c r="J5500">
        <v>1746</v>
      </c>
      <c r="K5500" s="1" t="s">
        <v>115</v>
      </c>
      <c r="L5500" s="1" t="s">
        <v>23</v>
      </c>
      <c r="M5500">
        <v>1.905</v>
      </c>
      <c r="N5500">
        <v>26674.5</v>
      </c>
      <c r="O5500">
        <v>26.675000000000001</v>
      </c>
      <c r="P5500" s="2">
        <v>44621</v>
      </c>
      <c r="Q5500">
        <v>1</v>
      </c>
      <c r="R5500" s="1" t="s">
        <v>40</v>
      </c>
    </row>
    <row r="5501" spans="1:18" x14ac:dyDescent="0.25">
      <c r="A5501">
        <v>2022</v>
      </c>
      <c r="B5501">
        <v>4</v>
      </c>
      <c r="C5501" s="1" t="s">
        <v>27</v>
      </c>
      <c r="D5501" s="1" t="s">
        <v>19</v>
      </c>
      <c r="E5501" s="1" t="s">
        <v>114</v>
      </c>
      <c r="F5501">
        <v>2016</v>
      </c>
      <c r="G5501">
        <v>6</v>
      </c>
      <c r="H5501" s="1" t="s">
        <v>21</v>
      </c>
      <c r="I5501">
        <v>14</v>
      </c>
      <c r="J5501">
        <v>1746</v>
      </c>
      <c r="K5501" s="1" t="s">
        <v>115</v>
      </c>
      <c r="L5501" s="1" t="s">
        <v>23</v>
      </c>
      <c r="M5501">
        <v>2.1779999999999999</v>
      </c>
      <c r="N5501">
        <v>30498.3</v>
      </c>
      <c r="O5501">
        <v>30.498000000000001</v>
      </c>
      <c r="P5501" s="2">
        <v>44652</v>
      </c>
      <c r="Q5501">
        <v>1</v>
      </c>
      <c r="R5501" s="1" t="s">
        <v>40</v>
      </c>
    </row>
    <row r="5502" spans="1:18" x14ac:dyDescent="0.25">
      <c r="A5502">
        <v>2022</v>
      </c>
      <c r="B5502">
        <v>5</v>
      </c>
      <c r="C5502" s="1" t="s">
        <v>28</v>
      </c>
      <c r="D5502" s="1" t="s">
        <v>19</v>
      </c>
      <c r="E5502" s="1" t="s">
        <v>114</v>
      </c>
      <c r="F5502">
        <v>2016</v>
      </c>
      <c r="G5502">
        <v>6</v>
      </c>
      <c r="H5502" s="1" t="s">
        <v>21</v>
      </c>
      <c r="I5502">
        <v>14</v>
      </c>
      <c r="J5502">
        <v>1746</v>
      </c>
      <c r="K5502" s="1" t="s">
        <v>115</v>
      </c>
      <c r="L5502" s="1" t="s">
        <v>23</v>
      </c>
      <c r="M5502">
        <v>2.0009999999999999</v>
      </c>
      <c r="N5502">
        <v>28010.2</v>
      </c>
      <c r="O5502">
        <v>28.01</v>
      </c>
      <c r="P5502" s="2">
        <v>44682</v>
      </c>
      <c r="Q5502">
        <v>1</v>
      </c>
      <c r="R5502" s="1" t="s">
        <v>40</v>
      </c>
    </row>
    <row r="5503" spans="1:18" x14ac:dyDescent="0.25">
      <c r="A5503">
        <v>2022</v>
      </c>
      <c r="B5503">
        <v>6</v>
      </c>
      <c r="C5503" s="1" t="s">
        <v>29</v>
      </c>
      <c r="D5503" s="1" t="s">
        <v>19</v>
      </c>
      <c r="E5503" s="1" t="s">
        <v>114</v>
      </c>
      <c r="F5503">
        <v>2016</v>
      </c>
      <c r="G5503">
        <v>6</v>
      </c>
      <c r="H5503" s="1" t="s">
        <v>21</v>
      </c>
      <c r="I5503">
        <v>14</v>
      </c>
      <c r="J5503">
        <v>1746</v>
      </c>
      <c r="K5503" s="1" t="s">
        <v>115</v>
      </c>
      <c r="L5503" s="1" t="s">
        <v>23</v>
      </c>
      <c r="M5503">
        <v>2.2050000000000001</v>
      </c>
      <c r="N5503">
        <v>30864.9</v>
      </c>
      <c r="O5503">
        <v>30.864999999999998</v>
      </c>
      <c r="P5503" s="2">
        <v>44713</v>
      </c>
      <c r="Q5503">
        <v>1</v>
      </c>
      <c r="R5503" s="1" t="s">
        <v>40</v>
      </c>
    </row>
    <row r="5504" spans="1:18" x14ac:dyDescent="0.25">
      <c r="A5504">
        <v>2022</v>
      </c>
      <c r="B5504">
        <v>7</v>
      </c>
      <c r="C5504" s="1" t="s">
        <v>30</v>
      </c>
      <c r="D5504" s="1" t="s">
        <v>19</v>
      </c>
      <c r="E5504" s="1" t="s">
        <v>114</v>
      </c>
      <c r="F5504">
        <v>2016</v>
      </c>
      <c r="G5504">
        <v>6</v>
      </c>
      <c r="H5504" s="1" t="s">
        <v>21</v>
      </c>
      <c r="I5504">
        <v>14</v>
      </c>
      <c r="J5504">
        <v>1746</v>
      </c>
      <c r="K5504" s="1" t="s">
        <v>115</v>
      </c>
      <c r="L5504" s="1" t="s">
        <v>23</v>
      </c>
      <c r="M5504">
        <v>1.2809999999999999</v>
      </c>
      <c r="N5504">
        <v>17940.2</v>
      </c>
      <c r="O5504">
        <v>17.940000000000001</v>
      </c>
      <c r="P5504" s="2">
        <v>44743</v>
      </c>
      <c r="Q5504">
        <v>1</v>
      </c>
      <c r="R5504" s="1" t="s">
        <v>40</v>
      </c>
    </row>
    <row r="5505" spans="1:18" x14ac:dyDescent="0.25">
      <c r="A5505">
        <v>2022</v>
      </c>
      <c r="B5505">
        <v>8</v>
      </c>
      <c r="C5505" s="1" t="s">
        <v>31</v>
      </c>
      <c r="D5505" s="1" t="s">
        <v>19</v>
      </c>
      <c r="E5505" s="1" t="s">
        <v>114</v>
      </c>
      <c r="F5505">
        <v>2016</v>
      </c>
      <c r="G5505">
        <v>6</v>
      </c>
      <c r="H5505" s="1" t="s">
        <v>21</v>
      </c>
      <c r="I5505">
        <v>14</v>
      </c>
      <c r="J5505">
        <v>1746</v>
      </c>
      <c r="K5505" s="1" t="s">
        <v>115</v>
      </c>
      <c r="L5505" s="1" t="s">
        <v>23</v>
      </c>
      <c r="M5505">
        <v>2.1640000000000001</v>
      </c>
      <c r="N5505">
        <v>30301.8</v>
      </c>
      <c r="O5505">
        <v>30.302</v>
      </c>
      <c r="P5505" s="2">
        <v>44774</v>
      </c>
      <c r="Q5505">
        <v>1</v>
      </c>
      <c r="R5505" s="1" t="s">
        <v>40</v>
      </c>
    </row>
    <row r="5506" spans="1:18" x14ac:dyDescent="0.25">
      <c r="A5506">
        <v>2022</v>
      </c>
      <c r="B5506">
        <v>9</v>
      </c>
      <c r="C5506" s="1" t="s">
        <v>32</v>
      </c>
      <c r="D5506" s="1" t="s">
        <v>19</v>
      </c>
      <c r="E5506" s="1" t="s">
        <v>114</v>
      </c>
      <c r="F5506">
        <v>2016</v>
      </c>
      <c r="G5506">
        <v>6</v>
      </c>
      <c r="H5506" s="1" t="s">
        <v>21</v>
      </c>
      <c r="I5506">
        <v>14</v>
      </c>
      <c r="J5506">
        <v>1746</v>
      </c>
      <c r="K5506" s="1" t="s">
        <v>115</v>
      </c>
      <c r="L5506" s="1" t="s">
        <v>23</v>
      </c>
      <c r="M5506">
        <v>2.3359999999999999</v>
      </c>
      <c r="N5506">
        <v>32698.2</v>
      </c>
      <c r="O5506">
        <v>32.698</v>
      </c>
      <c r="P5506" s="2">
        <v>44805</v>
      </c>
      <c r="Q5506">
        <v>1</v>
      </c>
      <c r="R5506" s="1" t="s">
        <v>40</v>
      </c>
    </row>
    <row r="5507" spans="1:18" x14ac:dyDescent="0.25">
      <c r="A5507">
        <v>2022</v>
      </c>
      <c r="B5507">
        <v>10</v>
      </c>
      <c r="C5507" s="1" t="s">
        <v>33</v>
      </c>
      <c r="D5507" s="1" t="s">
        <v>19</v>
      </c>
      <c r="E5507" s="1" t="s">
        <v>114</v>
      </c>
      <c r="F5507">
        <v>2016</v>
      </c>
      <c r="G5507">
        <v>6</v>
      </c>
      <c r="H5507" s="1" t="s">
        <v>21</v>
      </c>
      <c r="I5507">
        <v>14</v>
      </c>
      <c r="J5507">
        <v>1746</v>
      </c>
      <c r="K5507" s="1" t="s">
        <v>115</v>
      </c>
      <c r="L5507" s="1" t="s">
        <v>23</v>
      </c>
      <c r="M5507">
        <v>2.218</v>
      </c>
      <c r="N5507">
        <v>31048.2</v>
      </c>
      <c r="O5507">
        <v>31.047999999999998</v>
      </c>
      <c r="P5507" s="2">
        <v>44835</v>
      </c>
      <c r="Q5507">
        <v>1</v>
      </c>
      <c r="R5507" s="1" t="s">
        <v>40</v>
      </c>
    </row>
    <row r="5508" spans="1:18" x14ac:dyDescent="0.25">
      <c r="A5508">
        <v>2022</v>
      </c>
      <c r="B5508">
        <v>11</v>
      </c>
      <c r="C5508" s="1" t="s">
        <v>34</v>
      </c>
      <c r="D5508" s="1" t="s">
        <v>19</v>
      </c>
      <c r="E5508" s="1" t="s">
        <v>114</v>
      </c>
      <c r="F5508">
        <v>2016</v>
      </c>
      <c r="G5508">
        <v>6</v>
      </c>
      <c r="H5508" s="1" t="s">
        <v>21</v>
      </c>
      <c r="I5508">
        <v>14</v>
      </c>
      <c r="J5508">
        <v>1746</v>
      </c>
      <c r="K5508" s="1" t="s">
        <v>115</v>
      </c>
      <c r="L5508" s="1" t="s">
        <v>23</v>
      </c>
      <c r="M5508">
        <v>1.9850000000000001</v>
      </c>
      <c r="N5508">
        <v>27787.599999999999</v>
      </c>
      <c r="O5508">
        <v>27.788</v>
      </c>
      <c r="P5508" s="2">
        <v>44866</v>
      </c>
      <c r="Q5508">
        <v>1</v>
      </c>
      <c r="R5508" s="1" t="s">
        <v>40</v>
      </c>
    </row>
    <row r="5509" spans="1:18" x14ac:dyDescent="0.25">
      <c r="A5509">
        <v>2022</v>
      </c>
      <c r="B5509">
        <v>12</v>
      </c>
      <c r="C5509" s="1" t="s">
        <v>35</v>
      </c>
      <c r="D5509" s="1" t="s">
        <v>19</v>
      </c>
      <c r="E5509" s="1" t="s">
        <v>114</v>
      </c>
      <c r="F5509">
        <v>2016</v>
      </c>
      <c r="G5509">
        <v>6</v>
      </c>
      <c r="H5509" s="1" t="s">
        <v>21</v>
      </c>
      <c r="I5509">
        <v>14</v>
      </c>
      <c r="J5509">
        <v>1746</v>
      </c>
      <c r="K5509" s="1" t="s">
        <v>115</v>
      </c>
      <c r="L5509" s="1" t="s">
        <v>23</v>
      </c>
      <c r="M5509">
        <v>2.008</v>
      </c>
      <c r="N5509">
        <v>28115</v>
      </c>
      <c r="O5509">
        <v>28.114999999999998</v>
      </c>
      <c r="P5509" s="2">
        <v>44896</v>
      </c>
      <c r="Q5509">
        <v>1</v>
      </c>
      <c r="R5509" s="1" t="s">
        <v>40</v>
      </c>
    </row>
    <row r="5510" spans="1:18" x14ac:dyDescent="0.25">
      <c r="A5510">
        <v>2022</v>
      </c>
      <c r="B5510">
        <v>1</v>
      </c>
      <c r="C5510" s="1" t="s">
        <v>18</v>
      </c>
      <c r="D5510" s="1" t="s">
        <v>19</v>
      </c>
      <c r="E5510" s="1" t="s">
        <v>116</v>
      </c>
      <c r="F5510">
        <v>2016</v>
      </c>
      <c r="G5510">
        <v>6</v>
      </c>
      <c r="H5510" s="1" t="s">
        <v>21</v>
      </c>
      <c r="I5510">
        <v>24</v>
      </c>
      <c r="J5510">
        <v>3377</v>
      </c>
      <c r="K5510" s="1" t="s">
        <v>103</v>
      </c>
      <c r="L5510" s="1" t="s">
        <v>23</v>
      </c>
      <c r="M5510">
        <v>0.499</v>
      </c>
      <c r="N5510">
        <v>11979.9</v>
      </c>
      <c r="O5510">
        <v>11.98</v>
      </c>
      <c r="P5510" s="2">
        <v>44562</v>
      </c>
      <c r="Q5510">
        <v>1</v>
      </c>
      <c r="R5510" s="1" t="s">
        <v>40</v>
      </c>
    </row>
    <row r="5511" spans="1:18" x14ac:dyDescent="0.25">
      <c r="A5511">
        <v>2022</v>
      </c>
      <c r="B5511">
        <v>2</v>
      </c>
      <c r="C5511" s="1" t="s">
        <v>25</v>
      </c>
      <c r="D5511" s="1" t="s">
        <v>19</v>
      </c>
      <c r="E5511" s="1" t="s">
        <v>116</v>
      </c>
      <c r="F5511">
        <v>2016</v>
      </c>
      <c r="G5511">
        <v>6</v>
      </c>
      <c r="H5511" s="1" t="s">
        <v>21</v>
      </c>
      <c r="I5511">
        <v>24</v>
      </c>
      <c r="J5511">
        <v>3377</v>
      </c>
      <c r="K5511" s="1" t="s">
        <v>103</v>
      </c>
      <c r="L5511" s="1" t="s">
        <v>23</v>
      </c>
      <c r="M5511">
        <v>1.794</v>
      </c>
      <c r="N5511">
        <v>43056.800000000003</v>
      </c>
      <c r="O5511">
        <v>43.057000000000002</v>
      </c>
      <c r="P5511" s="2">
        <v>44593</v>
      </c>
      <c r="Q5511">
        <v>1</v>
      </c>
      <c r="R5511" s="1" t="s">
        <v>40</v>
      </c>
    </row>
    <row r="5512" spans="1:18" x14ac:dyDescent="0.25">
      <c r="A5512">
        <v>2022</v>
      </c>
      <c r="B5512">
        <v>3</v>
      </c>
      <c r="C5512" s="1" t="s">
        <v>26</v>
      </c>
      <c r="D5512" s="1" t="s">
        <v>19</v>
      </c>
      <c r="E5512" s="1" t="s">
        <v>116</v>
      </c>
      <c r="F5512">
        <v>2016</v>
      </c>
      <c r="G5512">
        <v>6</v>
      </c>
      <c r="H5512" s="1" t="s">
        <v>21</v>
      </c>
      <c r="I5512">
        <v>24</v>
      </c>
      <c r="J5512">
        <v>3377</v>
      </c>
      <c r="K5512" s="1" t="s">
        <v>103</v>
      </c>
      <c r="L5512" s="1" t="s">
        <v>23</v>
      </c>
      <c r="M5512">
        <v>2.15</v>
      </c>
      <c r="N5512">
        <v>51592.1</v>
      </c>
      <c r="O5512">
        <v>51.591999999999999</v>
      </c>
      <c r="P5512" s="2">
        <v>44621</v>
      </c>
      <c r="Q5512">
        <v>1</v>
      </c>
      <c r="R5512" s="1" t="s">
        <v>40</v>
      </c>
    </row>
    <row r="5513" spans="1:18" x14ac:dyDescent="0.25">
      <c r="A5513">
        <v>2022</v>
      </c>
      <c r="B5513">
        <v>4</v>
      </c>
      <c r="C5513" s="1" t="s">
        <v>27</v>
      </c>
      <c r="D5513" s="1" t="s">
        <v>19</v>
      </c>
      <c r="E5513" s="1" t="s">
        <v>116</v>
      </c>
      <c r="F5513">
        <v>2016</v>
      </c>
      <c r="G5513">
        <v>6</v>
      </c>
      <c r="H5513" s="1" t="s">
        <v>21</v>
      </c>
      <c r="I5513">
        <v>24</v>
      </c>
      <c r="J5513">
        <v>3377</v>
      </c>
      <c r="K5513" s="1" t="s">
        <v>103</v>
      </c>
      <c r="L5513" s="1" t="s">
        <v>23</v>
      </c>
      <c r="M5513">
        <v>2.4580000000000002</v>
      </c>
      <c r="N5513">
        <v>58987.7</v>
      </c>
      <c r="O5513">
        <v>58.988</v>
      </c>
      <c r="P5513" s="2">
        <v>44652</v>
      </c>
      <c r="Q5513">
        <v>1</v>
      </c>
      <c r="R5513" s="1" t="s">
        <v>40</v>
      </c>
    </row>
    <row r="5514" spans="1:18" x14ac:dyDescent="0.25">
      <c r="A5514">
        <v>2022</v>
      </c>
      <c r="B5514">
        <v>5</v>
      </c>
      <c r="C5514" s="1" t="s">
        <v>28</v>
      </c>
      <c r="D5514" s="1" t="s">
        <v>19</v>
      </c>
      <c r="E5514" s="1" t="s">
        <v>116</v>
      </c>
      <c r="F5514">
        <v>2016</v>
      </c>
      <c r="G5514">
        <v>6</v>
      </c>
      <c r="H5514" s="1" t="s">
        <v>21</v>
      </c>
      <c r="I5514">
        <v>24</v>
      </c>
      <c r="J5514">
        <v>3377</v>
      </c>
      <c r="K5514" s="1" t="s">
        <v>103</v>
      </c>
      <c r="L5514" s="1" t="s">
        <v>23</v>
      </c>
      <c r="M5514">
        <v>2.2570000000000001</v>
      </c>
      <c r="N5514">
        <v>54175.5</v>
      </c>
      <c r="O5514">
        <v>54.176000000000002</v>
      </c>
      <c r="P5514" s="2">
        <v>44682</v>
      </c>
      <c r="Q5514">
        <v>1</v>
      </c>
      <c r="R5514" s="1" t="s">
        <v>40</v>
      </c>
    </row>
    <row r="5515" spans="1:18" x14ac:dyDescent="0.25">
      <c r="A5515">
        <v>2022</v>
      </c>
      <c r="B5515">
        <v>6</v>
      </c>
      <c r="C5515" s="1" t="s">
        <v>29</v>
      </c>
      <c r="D5515" s="1" t="s">
        <v>19</v>
      </c>
      <c r="E5515" s="1" t="s">
        <v>116</v>
      </c>
      <c r="F5515">
        <v>2016</v>
      </c>
      <c r="G5515">
        <v>6</v>
      </c>
      <c r="H5515" s="1" t="s">
        <v>21</v>
      </c>
      <c r="I5515">
        <v>24</v>
      </c>
      <c r="J5515">
        <v>3377</v>
      </c>
      <c r="K5515" s="1" t="s">
        <v>103</v>
      </c>
      <c r="L5515" s="1" t="s">
        <v>23</v>
      </c>
      <c r="M5515">
        <v>2.4870000000000001</v>
      </c>
      <c r="N5515">
        <v>59696.9</v>
      </c>
      <c r="O5515">
        <v>59.697000000000003</v>
      </c>
      <c r="P5515" s="2">
        <v>44713</v>
      </c>
      <c r="Q5515">
        <v>1</v>
      </c>
      <c r="R5515" s="1" t="s">
        <v>40</v>
      </c>
    </row>
    <row r="5516" spans="1:18" x14ac:dyDescent="0.25">
      <c r="A5516">
        <v>2022</v>
      </c>
      <c r="B5516">
        <v>7</v>
      </c>
      <c r="C5516" s="1" t="s">
        <v>30</v>
      </c>
      <c r="D5516" s="1" t="s">
        <v>19</v>
      </c>
      <c r="E5516" s="1" t="s">
        <v>116</v>
      </c>
      <c r="F5516">
        <v>2016</v>
      </c>
      <c r="G5516">
        <v>6</v>
      </c>
      <c r="H5516" s="1" t="s">
        <v>21</v>
      </c>
      <c r="I5516">
        <v>24</v>
      </c>
      <c r="J5516">
        <v>3377</v>
      </c>
      <c r="K5516" s="1" t="s">
        <v>103</v>
      </c>
      <c r="L5516" s="1" t="s">
        <v>23</v>
      </c>
      <c r="M5516">
        <v>1.446</v>
      </c>
      <c r="N5516">
        <v>34698.699999999997</v>
      </c>
      <c r="O5516">
        <v>34.698999999999998</v>
      </c>
      <c r="P5516" s="2">
        <v>44743</v>
      </c>
      <c r="Q5516">
        <v>1</v>
      </c>
      <c r="R5516" s="1" t="s">
        <v>40</v>
      </c>
    </row>
    <row r="5517" spans="1:18" x14ac:dyDescent="0.25">
      <c r="A5517">
        <v>2022</v>
      </c>
      <c r="B5517">
        <v>8</v>
      </c>
      <c r="C5517" s="1" t="s">
        <v>31</v>
      </c>
      <c r="D5517" s="1" t="s">
        <v>19</v>
      </c>
      <c r="E5517" s="1" t="s">
        <v>116</v>
      </c>
      <c r="F5517">
        <v>2016</v>
      </c>
      <c r="G5517">
        <v>6</v>
      </c>
      <c r="H5517" s="1" t="s">
        <v>21</v>
      </c>
      <c r="I5517">
        <v>24</v>
      </c>
      <c r="J5517">
        <v>3377</v>
      </c>
      <c r="K5517" s="1" t="s">
        <v>103</v>
      </c>
      <c r="L5517" s="1" t="s">
        <v>23</v>
      </c>
      <c r="M5517">
        <v>2.4420000000000002</v>
      </c>
      <c r="N5517">
        <v>58607.8</v>
      </c>
      <c r="O5517">
        <v>58.607999999999997</v>
      </c>
      <c r="P5517" s="2">
        <v>44774</v>
      </c>
      <c r="Q5517">
        <v>1</v>
      </c>
      <c r="R5517" s="1" t="s">
        <v>40</v>
      </c>
    </row>
    <row r="5518" spans="1:18" x14ac:dyDescent="0.25">
      <c r="A5518">
        <v>2022</v>
      </c>
      <c r="B5518">
        <v>9</v>
      </c>
      <c r="C5518" s="1" t="s">
        <v>32</v>
      </c>
      <c r="D5518" s="1" t="s">
        <v>19</v>
      </c>
      <c r="E5518" s="1" t="s">
        <v>116</v>
      </c>
      <c r="F5518">
        <v>2016</v>
      </c>
      <c r="G5518">
        <v>6</v>
      </c>
      <c r="H5518" s="1" t="s">
        <v>21</v>
      </c>
      <c r="I5518">
        <v>24</v>
      </c>
      <c r="J5518">
        <v>3377</v>
      </c>
      <c r="K5518" s="1" t="s">
        <v>103</v>
      </c>
      <c r="L5518" s="1" t="s">
        <v>23</v>
      </c>
      <c r="M5518">
        <v>2.6349999999999998</v>
      </c>
      <c r="N5518">
        <v>63242.8</v>
      </c>
      <c r="O5518">
        <v>63.243000000000002</v>
      </c>
      <c r="P5518" s="2">
        <v>44805</v>
      </c>
      <c r="Q5518">
        <v>1</v>
      </c>
      <c r="R5518" s="1" t="s">
        <v>40</v>
      </c>
    </row>
    <row r="5519" spans="1:18" x14ac:dyDescent="0.25">
      <c r="A5519">
        <v>2022</v>
      </c>
      <c r="B5519">
        <v>10</v>
      </c>
      <c r="C5519" s="1" t="s">
        <v>33</v>
      </c>
      <c r="D5519" s="1" t="s">
        <v>19</v>
      </c>
      <c r="E5519" s="1" t="s">
        <v>116</v>
      </c>
      <c r="F5519">
        <v>2016</v>
      </c>
      <c r="G5519">
        <v>6</v>
      </c>
      <c r="H5519" s="1" t="s">
        <v>21</v>
      </c>
      <c r="I5519">
        <v>24</v>
      </c>
      <c r="J5519">
        <v>3377</v>
      </c>
      <c r="K5519" s="1" t="s">
        <v>103</v>
      </c>
      <c r="L5519" s="1" t="s">
        <v>23</v>
      </c>
      <c r="M5519">
        <v>2.5019999999999998</v>
      </c>
      <c r="N5519">
        <v>60051.5</v>
      </c>
      <c r="O5519">
        <v>60.052</v>
      </c>
      <c r="P5519" s="2">
        <v>44835</v>
      </c>
      <c r="Q5519">
        <v>1</v>
      </c>
      <c r="R5519" s="1" t="s">
        <v>40</v>
      </c>
    </row>
    <row r="5520" spans="1:18" x14ac:dyDescent="0.25">
      <c r="A5520">
        <v>2022</v>
      </c>
      <c r="B5520">
        <v>11</v>
      </c>
      <c r="C5520" s="1" t="s">
        <v>34</v>
      </c>
      <c r="D5520" s="1" t="s">
        <v>19</v>
      </c>
      <c r="E5520" s="1" t="s">
        <v>116</v>
      </c>
      <c r="F5520">
        <v>2016</v>
      </c>
      <c r="G5520">
        <v>6</v>
      </c>
      <c r="H5520" s="1" t="s">
        <v>21</v>
      </c>
      <c r="I5520">
        <v>24</v>
      </c>
      <c r="J5520">
        <v>3377</v>
      </c>
      <c r="K5520" s="1" t="s">
        <v>103</v>
      </c>
      <c r="L5520" s="1" t="s">
        <v>23</v>
      </c>
      <c r="M5520">
        <v>2.2389999999999999</v>
      </c>
      <c r="N5520">
        <v>53745</v>
      </c>
      <c r="O5520">
        <v>53.744999999999997</v>
      </c>
      <c r="P5520" s="2">
        <v>44866</v>
      </c>
      <c r="Q5520">
        <v>1</v>
      </c>
      <c r="R5520" s="1" t="s">
        <v>40</v>
      </c>
    </row>
    <row r="5521" spans="1:18" x14ac:dyDescent="0.25">
      <c r="A5521">
        <v>2022</v>
      </c>
      <c r="B5521">
        <v>12</v>
      </c>
      <c r="C5521" s="1" t="s">
        <v>35</v>
      </c>
      <c r="D5521" s="1" t="s">
        <v>19</v>
      </c>
      <c r="E5521" s="1" t="s">
        <v>116</v>
      </c>
      <c r="F5521">
        <v>2016</v>
      </c>
      <c r="G5521">
        <v>6</v>
      </c>
      <c r="H5521" s="1" t="s">
        <v>21</v>
      </c>
      <c r="I5521">
        <v>24</v>
      </c>
      <c r="J5521">
        <v>3377</v>
      </c>
      <c r="K5521" s="1" t="s">
        <v>103</v>
      </c>
      <c r="L5521" s="1" t="s">
        <v>23</v>
      </c>
      <c r="M5521">
        <v>2.266</v>
      </c>
      <c r="N5521">
        <v>54378.1</v>
      </c>
      <c r="O5521">
        <v>54.378</v>
      </c>
      <c r="P5521" s="2">
        <v>44896</v>
      </c>
      <c r="Q5521">
        <v>1</v>
      </c>
      <c r="R5521" s="1" t="s">
        <v>40</v>
      </c>
    </row>
    <row r="5522" spans="1:18" x14ac:dyDescent="0.25">
      <c r="A5522">
        <v>2022</v>
      </c>
      <c r="B5522">
        <v>1</v>
      </c>
      <c r="C5522" s="1" t="s">
        <v>18</v>
      </c>
      <c r="D5522" s="1" t="s">
        <v>19</v>
      </c>
      <c r="E5522" s="1" t="s">
        <v>117</v>
      </c>
      <c r="F5522">
        <v>2016</v>
      </c>
      <c r="G5522">
        <v>6</v>
      </c>
      <c r="H5522" s="1" t="s">
        <v>21</v>
      </c>
      <c r="I5522">
        <v>25</v>
      </c>
      <c r="J5522">
        <v>3431</v>
      </c>
      <c r="K5522" s="1" t="s">
        <v>118</v>
      </c>
      <c r="L5522" s="1" t="s">
        <v>23</v>
      </c>
      <c r="M5522">
        <v>0.48699999999999999</v>
      </c>
      <c r="N5522">
        <v>12171.5</v>
      </c>
      <c r="O5522">
        <v>12.170999999999999</v>
      </c>
      <c r="P5522" s="2">
        <v>44562</v>
      </c>
      <c r="Q5522">
        <v>1</v>
      </c>
      <c r="R5522" s="1" t="s">
        <v>40</v>
      </c>
    </row>
    <row r="5523" spans="1:18" x14ac:dyDescent="0.25">
      <c r="A5523">
        <v>2022</v>
      </c>
      <c r="B5523">
        <v>2</v>
      </c>
      <c r="C5523" s="1" t="s">
        <v>25</v>
      </c>
      <c r="D5523" s="1" t="s">
        <v>19</v>
      </c>
      <c r="E5523" s="1" t="s">
        <v>117</v>
      </c>
      <c r="F5523">
        <v>2016</v>
      </c>
      <c r="G5523">
        <v>6</v>
      </c>
      <c r="H5523" s="1" t="s">
        <v>21</v>
      </c>
      <c r="I5523">
        <v>25</v>
      </c>
      <c r="J5523">
        <v>3431</v>
      </c>
      <c r="K5523" s="1" t="s">
        <v>118</v>
      </c>
      <c r="L5523" s="1" t="s">
        <v>23</v>
      </c>
      <c r="M5523">
        <v>1.75</v>
      </c>
      <c r="N5523">
        <v>43745.2</v>
      </c>
      <c r="O5523">
        <v>43.744999999999997</v>
      </c>
      <c r="P5523" s="2">
        <v>44593</v>
      </c>
      <c r="Q5523">
        <v>1</v>
      </c>
      <c r="R5523" s="1" t="s">
        <v>40</v>
      </c>
    </row>
    <row r="5524" spans="1:18" x14ac:dyDescent="0.25">
      <c r="A5524">
        <v>2022</v>
      </c>
      <c r="B5524">
        <v>3</v>
      </c>
      <c r="C5524" s="1" t="s">
        <v>26</v>
      </c>
      <c r="D5524" s="1" t="s">
        <v>19</v>
      </c>
      <c r="E5524" s="1" t="s">
        <v>117</v>
      </c>
      <c r="F5524">
        <v>2016</v>
      </c>
      <c r="G5524">
        <v>6</v>
      </c>
      <c r="H5524" s="1" t="s">
        <v>21</v>
      </c>
      <c r="I5524">
        <v>25</v>
      </c>
      <c r="J5524">
        <v>3431</v>
      </c>
      <c r="K5524" s="1" t="s">
        <v>118</v>
      </c>
      <c r="L5524" s="1" t="s">
        <v>23</v>
      </c>
      <c r="M5524">
        <v>2.097</v>
      </c>
      <c r="N5524">
        <v>52417.1</v>
      </c>
      <c r="O5524">
        <v>52.417000000000002</v>
      </c>
      <c r="P5524" s="2">
        <v>44621</v>
      </c>
      <c r="Q5524">
        <v>1</v>
      </c>
      <c r="R5524" s="1" t="s">
        <v>40</v>
      </c>
    </row>
    <row r="5525" spans="1:18" x14ac:dyDescent="0.25">
      <c r="A5525">
        <v>2022</v>
      </c>
      <c r="B5525">
        <v>4</v>
      </c>
      <c r="C5525" s="1" t="s">
        <v>27</v>
      </c>
      <c r="D5525" s="1" t="s">
        <v>19</v>
      </c>
      <c r="E5525" s="1" t="s">
        <v>117</v>
      </c>
      <c r="F5525">
        <v>2016</v>
      </c>
      <c r="G5525">
        <v>6</v>
      </c>
      <c r="H5525" s="1" t="s">
        <v>21</v>
      </c>
      <c r="I5525">
        <v>25</v>
      </c>
      <c r="J5525">
        <v>3431</v>
      </c>
      <c r="K5525" s="1" t="s">
        <v>118</v>
      </c>
      <c r="L5525" s="1" t="s">
        <v>23</v>
      </c>
      <c r="M5525">
        <v>2.3969999999999998</v>
      </c>
      <c r="N5525">
        <v>59931</v>
      </c>
      <c r="O5525">
        <v>59.930999999999997</v>
      </c>
      <c r="P5525" s="2">
        <v>44652</v>
      </c>
      <c r="Q5525">
        <v>1</v>
      </c>
      <c r="R5525" s="1" t="s">
        <v>40</v>
      </c>
    </row>
    <row r="5526" spans="1:18" x14ac:dyDescent="0.25">
      <c r="A5526">
        <v>2022</v>
      </c>
      <c r="B5526">
        <v>5</v>
      </c>
      <c r="C5526" s="1" t="s">
        <v>28</v>
      </c>
      <c r="D5526" s="1" t="s">
        <v>19</v>
      </c>
      <c r="E5526" s="1" t="s">
        <v>117</v>
      </c>
      <c r="F5526">
        <v>2016</v>
      </c>
      <c r="G5526">
        <v>6</v>
      </c>
      <c r="H5526" s="1" t="s">
        <v>21</v>
      </c>
      <c r="I5526">
        <v>25</v>
      </c>
      <c r="J5526">
        <v>3431</v>
      </c>
      <c r="K5526" s="1" t="s">
        <v>118</v>
      </c>
      <c r="L5526" s="1" t="s">
        <v>23</v>
      </c>
      <c r="M5526">
        <v>2.202</v>
      </c>
      <c r="N5526">
        <v>55041.8</v>
      </c>
      <c r="O5526">
        <v>55.042000000000002</v>
      </c>
      <c r="P5526" s="2">
        <v>44682</v>
      </c>
      <c r="Q5526">
        <v>1</v>
      </c>
      <c r="R5526" s="1" t="s">
        <v>40</v>
      </c>
    </row>
    <row r="5527" spans="1:18" x14ac:dyDescent="0.25">
      <c r="A5527">
        <v>2022</v>
      </c>
      <c r="B5527">
        <v>6</v>
      </c>
      <c r="C5527" s="1" t="s">
        <v>29</v>
      </c>
      <c r="D5527" s="1" t="s">
        <v>19</v>
      </c>
      <c r="E5527" s="1" t="s">
        <v>117</v>
      </c>
      <c r="F5527">
        <v>2016</v>
      </c>
      <c r="G5527">
        <v>6</v>
      </c>
      <c r="H5527" s="1" t="s">
        <v>21</v>
      </c>
      <c r="I5527">
        <v>25</v>
      </c>
      <c r="J5527">
        <v>3431</v>
      </c>
      <c r="K5527" s="1" t="s">
        <v>118</v>
      </c>
      <c r="L5527" s="1" t="s">
        <v>23</v>
      </c>
      <c r="M5527">
        <v>2.4260000000000002</v>
      </c>
      <c r="N5527">
        <v>60651.5</v>
      </c>
      <c r="O5527">
        <v>60.652000000000001</v>
      </c>
      <c r="P5527" s="2">
        <v>44713</v>
      </c>
      <c r="Q5527">
        <v>1</v>
      </c>
      <c r="R5527" s="1" t="s">
        <v>40</v>
      </c>
    </row>
    <row r="5528" spans="1:18" x14ac:dyDescent="0.25">
      <c r="A5528">
        <v>2022</v>
      </c>
      <c r="B5528">
        <v>7</v>
      </c>
      <c r="C5528" s="1" t="s">
        <v>30</v>
      </c>
      <c r="D5528" s="1" t="s">
        <v>19</v>
      </c>
      <c r="E5528" s="1" t="s">
        <v>117</v>
      </c>
      <c r="F5528">
        <v>2016</v>
      </c>
      <c r="G5528">
        <v>6</v>
      </c>
      <c r="H5528" s="1" t="s">
        <v>21</v>
      </c>
      <c r="I5528">
        <v>25</v>
      </c>
      <c r="J5528">
        <v>3431</v>
      </c>
      <c r="K5528" s="1" t="s">
        <v>118</v>
      </c>
      <c r="L5528" s="1" t="s">
        <v>23</v>
      </c>
      <c r="M5528">
        <v>1.41</v>
      </c>
      <c r="N5528">
        <v>35253.5</v>
      </c>
      <c r="O5528">
        <v>35.253999999999998</v>
      </c>
      <c r="P5528" s="2">
        <v>44743</v>
      </c>
      <c r="Q5528">
        <v>1</v>
      </c>
      <c r="R5528" s="1" t="s">
        <v>40</v>
      </c>
    </row>
    <row r="5529" spans="1:18" x14ac:dyDescent="0.25">
      <c r="A5529">
        <v>2022</v>
      </c>
      <c r="B5529">
        <v>8</v>
      </c>
      <c r="C5529" s="1" t="s">
        <v>31</v>
      </c>
      <c r="D5529" s="1" t="s">
        <v>19</v>
      </c>
      <c r="E5529" s="1" t="s">
        <v>117</v>
      </c>
      <c r="F5529">
        <v>2016</v>
      </c>
      <c r="G5529">
        <v>6</v>
      </c>
      <c r="H5529" s="1" t="s">
        <v>21</v>
      </c>
      <c r="I5529">
        <v>25</v>
      </c>
      <c r="J5529">
        <v>3431</v>
      </c>
      <c r="K5529" s="1" t="s">
        <v>118</v>
      </c>
      <c r="L5529" s="1" t="s">
        <v>23</v>
      </c>
      <c r="M5529">
        <v>2.3820000000000001</v>
      </c>
      <c r="N5529">
        <v>59545</v>
      </c>
      <c r="O5529">
        <v>59.545000000000002</v>
      </c>
      <c r="P5529" s="2">
        <v>44774</v>
      </c>
      <c r="Q5529">
        <v>1</v>
      </c>
      <c r="R5529" s="1" t="s">
        <v>40</v>
      </c>
    </row>
    <row r="5530" spans="1:18" x14ac:dyDescent="0.25">
      <c r="A5530">
        <v>2022</v>
      </c>
      <c r="B5530">
        <v>9</v>
      </c>
      <c r="C5530" s="1" t="s">
        <v>32</v>
      </c>
      <c r="D5530" s="1" t="s">
        <v>19</v>
      </c>
      <c r="E5530" s="1" t="s">
        <v>117</v>
      </c>
      <c r="F5530">
        <v>2016</v>
      </c>
      <c r="G5530">
        <v>6</v>
      </c>
      <c r="H5530" s="1" t="s">
        <v>21</v>
      </c>
      <c r="I5530">
        <v>25</v>
      </c>
      <c r="J5530">
        <v>3431</v>
      </c>
      <c r="K5530" s="1" t="s">
        <v>118</v>
      </c>
      <c r="L5530" s="1" t="s">
        <v>23</v>
      </c>
      <c r="M5530">
        <v>2.57</v>
      </c>
      <c r="N5530">
        <v>64254.1</v>
      </c>
      <c r="O5530">
        <v>64.254000000000005</v>
      </c>
      <c r="P5530" s="2">
        <v>44805</v>
      </c>
      <c r="Q5530">
        <v>1</v>
      </c>
      <c r="R5530" s="1" t="s">
        <v>40</v>
      </c>
    </row>
    <row r="5531" spans="1:18" x14ac:dyDescent="0.25">
      <c r="A5531">
        <v>2022</v>
      </c>
      <c r="B5531">
        <v>10</v>
      </c>
      <c r="C5531" s="1" t="s">
        <v>33</v>
      </c>
      <c r="D5531" s="1" t="s">
        <v>19</v>
      </c>
      <c r="E5531" s="1" t="s">
        <v>117</v>
      </c>
      <c r="F5531">
        <v>2016</v>
      </c>
      <c r="G5531">
        <v>6</v>
      </c>
      <c r="H5531" s="1" t="s">
        <v>21</v>
      </c>
      <c r="I5531">
        <v>25</v>
      </c>
      <c r="J5531">
        <v>3431</v>
      </c>
      <c r="K5531" s="1" t="s">
        <v>118</v>
      </c>
      <c r="L5531" s="1" t="s">
        <v>23</v>
      </c>
      <c r="M5531">
        <v>2.44</v>
      </c>
      <c r="N5531">
        <v>61011.8</v>
      </c>
      <c r="O5531">
        <v>61.012</v>
      </c>
      <c r="P5531" s="2">
        <v>44835</v>
      </c>
      <c r="Q5531">
        <v>1</v>
      </c>
      <c r="R5531" s="1" t="s">
        <v>40</v>
      </c>
    </row>
    <row r="5532" spans="1:18" x14ac:dyDescent="0.25">
      <c r="A5532">
        <v>2022</v>
      </c>
      <c r="B5532">
        <v>11</v>
      </c>
      <c r="C5532" s="1" t="s">
        <v>34</v>
      </c>
      <c r="D5532" s="1" t="s">
        <v>19</v>
      </c>
      <c r="E5532" s="1" t="s">
        <v>117</v>
      </c>
      <c r="F5532">
        <v>2016</v>
      </c>
      <c r="G5532">
        <v>6</v>
      </c>
      <c r="H5532" s="1" t="s">
        <v>21</v>
      </c>
      <c r="I5532">
        <v>25</v>
      </c>
      <c r="J5532">
        <v>3431</v>
      </c>
      <c r="K5532" s="1" t="s">
        <v>118</v>
      </c>
      <c r="L5532" s="1" t="s">
        <v>23</v>
      </c>
      <c r="M5532">
        <v>2.1840000000000002</v>
      </c>
      <c r="N5532">
        <v>54604.4</v>
      </c>
      <c r="O5532">
        <v>54.603999999999999</v>
      </c>
      <c r="P5532" s="2">
        <v>44866</v>
      </c>
      <c r="Q5532">
        <v>1</v>
      </c>
      <c r="R5532" s="1" t="s">
        <v>40</v>
      </c>
    </row>
    <row r="5533" spans="1:18" x14ac:dyDescent="0.25">
      <c r="A5533">
        <v>2022</v>
      </c>
      <c r="B5533">
        <v>12</v>
      </c>
      <c r="C5533" s="1" t="s">
        <v>35</v>
      </c>
      <c r="D5533" s="1" t="s">
        <v>19</v>
      </c>
      <c r="E5533" s="1" t="s">
        <v>117</v>
      </c>
      <c r="F5533">
        <v>2016</v>
      </c>
      <c r="G5533">
        <v>6</v>
      </c>
      <c r="H5533" s="1" t="s">
        <v>21</v>
      </c>
      <c r="I5533">
        <v>25</v>
      </c>
      <c r="J5533">
        <v>3431</v>
      </c>
      <c r="K5533" s="1" t="s">
        <v>118</v>
      </c>
      <c r="L5533" s="1" t="s">
        <v>23</v>
      </c>
      <c r="M5533">
        <v>2.21</v>
      </c>
      <c r="N5533">
        <v>55247.7</v>
      </c>
      <c r="O5533">
        <v>55.247999999999998</v>
      </c>
      <c r="P5533" s="2">
        <v>44896</v>
      </c>
      <c r="Q5533">
        <v>1</v>
      </c>
      <c r="R5533" s="1" t="s">
        <v>40</v>
      </c>
    </row>
    <row r="5534" spans="1:18" x14ac:dyDescent="0.25">
      <c r="A5534">
        <v>2022</v>
      </c>
      <c r="B5534">
        <v>1</v>
      </c>
      <c r="C5534" s="1" t="s">
        <v>18</v>
      </c>
      <c r="D5534" s="1" t="s">
        <v>19</v>
      </c>
      <c r="E5534" s="1" t="s">
        <v>119</v>
      </c>
      <c r="F5534">
        <v>2016</v>
      </c>
      <c r="G5534">
        <v>6</v>
      </c>
      <c r="H5534" s="1" t="s">
        <v>21</v>
      </c>
      <c r="I5534">
        <v>21</v>
      </c>
      <c r="J5534">
        <v>2901</v>
      </c>
      <c r="K5534" s="1" t="s">
        <v>120</v>
      </c>
      <c r="L5534" s="1" t="s">
        <v>23</v>
      </c>
      <c r="M5534">
        <v>0.49</v>
      </c>
      <c r="N5534">
        <v>10291.299999999999</v>
      </c>
      <c r="O5534">
        <v>10.291</v>
      </c>
      <c r="P5534" s="2">
        <v>44562</v>
      </c>
      <c r="Q5534">
        <v>1</v>
      </c>
      <c r="R5534" s="1" t="s">
        <v>40</v>
      </c>
    </row>
    <row r="5535" spans="1:18" x14ac:dyDescent="0.25">
      <c r="A5535">
        <v>2022</v>
      </c>
      <c r="B5535">
        <v>2</v>
      </c>
      <c r="C5535" s="1" t="s">
        <v>25</v>
      </c>
      <c r="D5535" s="1" t="s">
        <v>19</v>
      </c>
      <c r="E5535" s="1" t="s">
        <v>119</v>
      </c>
      <c r="F5535">
        <v>2016</v>
      </c>
      <c r="G5535">
        <v>6</v>
      </c>
      <c r="H5535" s="1" t="s">
        <v>21</v>
      </c>
      <c r="I5535">
        <v>21</v>
      </c>
      <c r="J5535">
        <v>2901</v>
      </c>
      <c r="K5535" s="1" t="s">
        <v>120</v>
      </c>
      <c r="L5535" s="1" t="s">
        <v>23</v>
      </c>
      <c r="M5535">
        <v>1.7609999999999999</v>
      </c>
      <c r="N5535">
        <v>36987.800000000003</v>
      </c>
      <c r="O5535">
        <v>36.988</v>
      </c>
      <c r="P5535" s="2">
        <v>44593</v>
      </c>
      <c r="Q5535">
        <v>1</v>
      </c>
      <c r="R5535" s="1" t="s">
        <v>40</v>
      </c>
    </row>
    <row r="5536" spans="1:18" x14ac:dyDescent="0.25">
      <c r="A5536">
        <v>2022</v>
      </c>
      <c r="B5536">
        <v>3</v>
      </c>
      <c r="C5536" s="1" t="s">
        <v>26</v>
      </c>
      <c r="D5536" s="1" t="s">
        <v>19</v>
      </c>
      <c r="E5536" s="1" t="s">
        <v>119</v>
      </c>
      <c r="F5536">
        <v>2016</v>
      </c>
      <c r="G5536">
        <v>6</v>
      </c>
      <c r="H5536" s="1" t="s">
        <v>21</v>
      </c>
      <c r="I5536">
        <v>21</v>
      </c>
      <c r="J5536">
        <v>2901</v>
      </c>
      <c r="K5536" s="1" t="s">
        <v>120</v>
      </c>
      <c r="L5536" s="1" t="s">
        <v>23</v>
      </c>
      <c r="M5536">
        <v>2.11</v>
      </c>
      <c r="N5536">
        <v>44320</v>
      </c>
      <c r="O5536">
        <v>44.32</v>
      </c>
      <c r="P5536" s="2">
        <v>44621</v>
      </c>
      <c r="Q5536">
        <v>1</v>
      </c>
      <c r="R5536" s="1" t="s">
        <v>40</v>
      </c>
    </row>
    <row r="5537" spans="1:18" x14ac:dyDescent="0.25">
      <c r="A5537">
        <v>2022</v>
      </c>
      <c r="B5537">
        <v>4</v>
      </c>
      <c r="C5537" s="1" t="s">
        <v>27</v>
      </c>
      <c r="D5537" s="1" t="s">
        <v>19</v>
      </c>
      <c r="E5537" s="1" t="s">
        <v>119</v>
      </c>
      <c r="F5537">
        <v>2016</v>
      </c>
      <c r="G5537">
        <v>6</v>
      </c>
      <c r="H5537" s="1" t="s">
        <v>21</v>
      </c>
      <c r="I5537">
        <v>21</v>
      </c>
      <c r="J5537">
        <v>2901</v>
      </c>
      <c r="K5537" s="1" t="s">
        <v>120</v>
      </c>
      <c r="L5537" s="1" t="s">
        <v>23</v>
      </c>
      <c r="M5537">
        <v>2.4129999999999998</v>
      </c>
      <c r="N5537">
        <v>50673.2</v>
      </c>
      <c r="O5537">
        <v>50.673000000000002</v>
      </c>
      <c r="P5537" s="2">
        <v>44652</v>
      </c>
      <c r="Q5537">
        <v>1</v>
      </c>
      <c r="R5537" s="1" t="s">
        <v>40</v>
      </c>
    </row>
    <row r="5538" spans="1:18" x14ac:dyDescent="0.25">
      <c r="A5538">
        <v>2022</v>
      </c>
      <c r="B5538">
        <v>5</v>
      </c>
      <c r="C5538" s="1" t="s">
        <v>28</v>
      </c>
      <c r="D5538" s="1" t="s">
        <v>19</v>
      </c>
      <c r="E5538" s="1" t="s">
        <v>119</v>
      </c>
      <c r="F5538">
        <v>2016</v>
      </c>
      <c r="G5538">
        <v>6</v>
      </c>
      <c r="H5538" s="1" t="s">
        <v>21</v>
      </c>
      <c r="I5538">
        <v>21</v>
      </c>
      <c r="J5538">
        <v>2901</v>
      </c>
      <c r="K5538" s="1" t="s">
        <v>120</v>
      </c>
      <c r="L5538" s="1" t="s">
        <v>23</v>
      </c>
      <c r="M5538">
        <v>2.2160000000000002</v>
      </c>
      <c r="N5538">
        <v>46539.3</v>
      </c>
      <c r="O5538">
        <v>46.539000000000001</v>
      </c>
      <c r="P5538" s="2">
        <v>44682</v>
      </c>
      <c r="Q5538">
        <v>1</v>
      </c>
      <c r="R5538" s="1" t="s">
        <v>40</v>
      </c>
    </row>
    <row r="5539" spans="1:18" x14ac:dyDescent="0.25">
      <c r="A5539">
        <v>2022</v>
      </c>
      <c r="B5539">
        <v>6</v>
      </c>
      <c r="C5539" s="1" t="s">
        <v>29</v>
      </c>
      <c r="D5539" s="1" t="s">
        <v>19</v>
      </c>
      <c r="E5539" s="1" t="s">
        <v>119</v>
      </c>
      <c r="F5539">
        <v>2016</v>
      </c>
      <c r="G5539">
        <v>6</v>
      </c>
      <c r="H5539" s="1" t="s">
        <v>21</v>
      </c>
      <c r="I5539">
        <v>21</v>
      </c>
      <c r="J5539">
        <v>2901</v>
      </c>
      <c r="K5539" s="1" t="s">
        <v>120</v>
      </c>
      <c r="L5539" s="1" t="s">
        <v>23</v>
      </c>
      <c r="M5539">
        <v>2.4420000000000002</v>
      </c>
      <c r="N5539">
        <v>51282.400000000001</v>
      </c>
      <c r="O5539">
        <v>51.281999999999996</v>
      </c>
      <c r="P5539" s="2">
        <v>44713</v>
      </c>
      <c r="Q5539">
        <v>1</v>
      </c>
      <c r="R5539" s="1" t="s">
        <v>40</v>
      </c>
    </row>
    <row r="5540" spans="1:18" x14ac:dyDescent="0.25">
      <c r="A5540">
        <v>2022</v>
      </c>
      <c r="B5540">
        <v>7</v>
      </c>
      <c r="C5540" s="1" t="s">
        <v>30</v>
      </c>
      <c r="D5540" s="1" t="s">
        <v>19</v>
      </c>
      <c r="E5540" s="1" t="s">
        <v>119</v>
      </c>
      <c r="F5540">
        <v>2016</v>
      </c>
      <c r="G5540">
        <v>6</v>
      </c>
      <c r="H5540" s="1" t="s">
        <v>21</v>
      </c>
      <c r="I5540">
        <v>21</v>
      </c>
      <c r="J5540">
        <v>2901</v>
      </c>
      <c r="K5540" s="1" t="s">
        <v>120</v>
      </c>
      <c r="L5540" s="1" t="s">
        <v>23</v>
      </c>
      <c r="M5540">
        <v>1.419</v>
      </c>
      <c r="N5540">
        <v>29807.8</v>
      </c>
      <c r="O5540">
        <v>29.808</v>
      </c>
      <c r="P5540" s="2">
        <v>44743</v>
      </c>
      <c r="Q5540">
        <v>1</v>
      </c>
      <c r="R5540" s="1" t="s">
        <v>40</v>
      </c>
    </row>
    <row r="5541" spans="1:18" x14ac:dyDescent="0.25">
      <c r="A5541">
        <v>2022</v>
      </c>
      <c r="B5541">
        <v>8</v>
      </c>
      <c r="C5541" s="1" t="s">
        <v>31</v>
      </c>
      <c r="D5541" s="1" t="s">
        <v>19</v>
      </c>
      <c r="E5541" s="1" t="s">
        <v>119</v>
      </c>
      <c r="F5541">
        <v>2016</v>
      </c>
      <c r="G5541">
        <v>6</v>
      </c>
      <c r="H5541" s="1" t="s">
        <v>21</v>
      </c>
      <c r="I5541">
        <v>21</v>
      </c>
      <c r="J5541">
        <v>2901</v>
      </c>
      <c r="K5541" s="1" t="s">
        <v>120</v>
      </c>
      <c r="L5541" s="1" t="s">
        <v>23</v>
      </c>
      <c r="M5541">
        <v>2.3969999999999998</v>
      </c>
      <c r="N5541">
        <v>50346.9</v>
      </c>
      <c r="O5541">
        <v>50.347000000000001</v>
      </c>
      <c r="P5541" s="2">
        <v>44774</v>
      </c>
      <c r="Q5541">
        <v>1</v>
      </c>
      <c r="R5541" s="1" t="s">
        <v>40</v>
      </c>
    </row>
    <row r="5542" spans="1:18" x14ac:dyDescent="0.25">
      <c r="A5542">
        <v>2022</v>
      </c>
      <c r="B5542">
        <v>9</v>
      </c>
      <c r="C5542" s="1" t="s">
        <v>32</v>
      </c>
      <c r="D5542" s="1" t="s">
        <v>19</v>
      </c>
      <c r="E5542" s="1" t="s">
        <v>119</v>
      </c>
      <c r="F5542">
        <v>2016</v>
      </c>
      <c r="G5542">
        <v>6</v>
      </c>
      <c r="H5542" s="1" t="s">
        <v>21</v>
      </c>
      <c r="I5542">
        <v>21</v>
      </c>
      <c r="J5542">
        <v>2901</v>
      </c>
      <c r="K5542" s="1" t="s">
        <v>120</v>
      </c>
      <c r="L5542" s="1" t="s">
        <v>23</v>
      </c>
      <c r="M5542">
        <v>2.5870000000000002</v>
      </c>
      <c r="N5542">
        <v>54328.5</v>
      </c>
      <c r="O5542">
        <v>54.328000000000003</v>
      </c>
      <c r="P5542" s="2">
        <v>44805</v>
      </c>
      <c r="Q5542">
        <v>1</v>
      </c>
      <c r="R5542" s="1" t="s">
        <v>40</v>
      </c>
    </row>
    <row r="5543" spans="1:18" x14ac:dyDescent="0.25">
      <c r="A5543">
        <v>2022</v>
      </c>
      <c r="B5543">
        <v>10</v>
      </c>
      <c r="C5543" s="1" t="s">
        <v>33</v>
      </c>
      <c r="D5543" s="1" t="s">
        <v>19</v>
      </c>
      <c r="E5543" s="1" t="s">
        <v>119</v>
      </c>
      <c r="F5543">
        <v>2016</v>
      </c>
      <c r="G5543">
        <v>6</v>
      </c>
      <c r="H5543" s="1" t="s">
        <v>21</v>
      </c>
      <c r="I5543">
        <v>21</v>
      </c>
      <c r="J5543">
        <v>2901</v>
      </c>
      <c r="K5543" s="1" t="s">
        <v>120</v>
      </c>
      <c r="L5543" s="1" t="s">
        <v>23</v>
      </c>
      <c r="M5543">
        <v>2.4569999999999999</v>
      </c>
      <c r="N5543">
        <v>51587</v>
      </c>
      <c r="O5543">
        <v>51.587000000000003</v>
      </c>
      <c r="P5543" s="2">
        <v>44835</v>
      </c>
      <c r="Q5543">
        <v>1</v>
      </c>
      <c r="R5543" s="1" t="s">
        <v>40</v>
      </c>
    </row>
    <row r="5544" spans="1:18" x14ac:dyDescent="0.25">
      <c r="A5544">
        <v>2022</v>
      </c>
      <c r="B5544">
        <v>11</v>
      </c>
      <c r="C5544" s="1" t="s">
        <v>34</v>
      </c>
      <c r="D5544" s="1" t="s">
        <v>19</v>
      </c>
      <c r="E5544" s="1" t="s">
        <v>119</v>
      </c>
      <c r="F5544">
        <v>2016</v>
      </c>
      <c r="G5544">
        <v>6</v>
      </c>
      <c r="H5544" s="1" t="s">
        <v>21</v>
      </c>
      <c r="I5544">
        <v>21</v>
      </c>
      <c r="J5544">
        <v>2901</v>
      </c>
      <c r="K5544" s="1" t="s">
        <v>120</v>
      </c>
      <c r="L5544" s="1" t="s">
        <v>23</v>
      </c>
      <c r="M5544">
        <v>2.1989999999999998</v>
      </c>
      <c r="N5544">
        <v>46169.4</v>
      </c>
      <c r="O5544">
        <v>46.168999999999997</v>
      </c>
      <c r="P5544" s="2">
        <v>44866</v>
      </c>
      <c r="Q5544">
        <v>1</v>
      </c>
      <c r="R5544" s="1" t="s">
        <v>40</v>
      </c>
    </row>
    <row r="5545" spans="1:18" x14ac:dyDescent="0.25">
      <c r="A5545">
        <v>2022</v>
      </c>
      <c r="B5545">
        <v>12</v>
      </c>
      <c r="C5545" s="1" t="s">
        <v>35</v>
      </c>
      <c r="D5545" s="1" t="s">
        <v>19</v>
      </c>
      <c r="E5545" s="1" t="s">
        <v>119</v>
      </c>
      <c r="F5545">
        <v>2016</v>
      </c>
      <c r="G5545">
        <v>6</v>
      </c>
      <c r="H5545" s="1" t="s">
        <v>21</v>
      </c>
      <c r="I5545">
        <v>21</v>
      </c>
      <c r="J5545">
        <v>2901</v>
      </c>
      <c r="K5545" s="1" t="s">
        <v>120</v>
      </c>
      <c r="L5545" s="1" t="s">
        <v>23</v>
      </c>
      <c r="M5545">
        <v>2.2240000000000002</v>
      </c>
      <c r="N5545">
        <v>46713.4</v>
      </c>
      <c r="O5545">
        <v>46.713000000000001</v>
      </c>
      <c r="P5545" s="2">
        <v>44896</v>
      </c>
      <c r="Q5545">
        <v>1</v>
      </c>
      <c r="R5545" s="1" t="s">
        <v>40</v>
      </c>
    </row>
    <row r="5546" spans="1:18" x14ac:dyDescent="0.25">
      <c r="A5546">
        <v>2023</v>
      </c>
      <c r="B5546">
        <v>1</v>
      </c>
      <c r="C5546" s="1" t="s">
        <v>18</v>
      </c>
      <c r="D5546" s="1" t="s">
        <v>19</v>
      </c>
      <c r="E5546" s="1" t="s">
        <v>20</v>
      </c>
      <c r="F5546">
        <v>2000</v>
      </c>
      <c r="G5546">
        <v>23</v>
      </c>
      <c r="H5546" s="1" t="s">
        <v>124</v>
      </c>
      <c r="I5546">
        <v>19</v>
      </c>
      <c r="J5546">
        <v>1490</v>
      </c>
      <c r="K5546" s="1" t="s">
        <v>22</v>
      </c>
      <c r="L5546" s="1" t="s">
        <v>23</v>
      </c>
      <c r="M5546">
        <v>0.68799999999999994</v>
      </c>
      <c r="N5546">
        <v>13073.2</v>
      </c>
      <c r="O5546">
        <v>13.073</v>
      </c>
      <c r="P5546" s="2">
        <v>44927</v>
      </c>
      <c r="Q5546">
        <v>1</v>
      </c>
      <c r="R5546" s="1" t="s">
        <v>125</v>
      </c>
    </row>
    <row r="5547" spans="1:18" x14ac:dyDescent="0.25">
      <c r="A5547">
        <v>2023</v>
      </c>
      <c r="B5547">
        <v>2</v>
      </c>
      <c r="C5547" s="1" t="s">
        <v>25</v>
      </c>
      <c r="D5547" s="1" t="s">
        <v>19</v>
      </c>
      <c r="E5547" s="1" t="s">
        <v>20</v>
      </c>
      <c r="F5547">
        <v>2000</v>
      </c>
      <c r="G5547">
        <v>23</v>
      </c>
      <c r="H5547" s="1" t="s">
        <v>124</v>
      </c>
      <c r="I5547">
        <v>19</v>
      </c>
      <c r="J5547">
        <v>1490</v>
      </c>
      <c r="K5547" s="1" t="s">
        <v>22</v>
      </c>
      <c r="L5547" s="1" t="s">
        <v>23</v>
      </c>
      <c r="M5547">
        <v>0.98699999999999999</v>
      </c>
      <c r="N5547">
        <v>18755.400000000001</v>
      </c>
      <c r="O5547">
        <v>18.754999999999999</v>
      </c>
      <c r="P5547" s="2">
        <v>44958</v>
      </c>
      <c r="Q5547">
        <v>1</v>
      </c>
      <c r="R5547" s="1" t="s">
        <v>125</v>
      </c>
    </row>
    <row r="5548" spans="1:18" x14ac:dyDescent="0.25">
      <c r="A5548">
        <v>2023</v>
      </c>
      <c r="B5548">
        <v>3</v>
      </c>
      <c r="C5548" s="1" t="s">
        <v>26</v>
      </c>
      <c r="D5548" s="1" t="s">
        <v>19</v>
      </c>
      <c r="E5548" s="1" t="s">
        <v>20</v>
      </c>
      <c r="F5548">
        <v>2000</v>
      </c>
      <c r="G5548">
        <v>23</v>
      </c>
      <c r="H5548" s="1" t="s">
        <v>124</v>
      </c>
      <c r="I5548">
        <v>19</v>
      </c>
      <c r="J5548">
        <v>1490</v>
      </c>
      <c r="K5548" s="1" t="s">
        <v>22</v>
      </c>
      <c r="L5548" s="1" t="s">
        <v>23</v>
      </c>
      <c r="M5548">
        <v>1.1459999999999999</v>
      </c>
      <c r="N5548">
        <v>21778.5</v>
      </c>
      <c r="O5548">
        <v>21.777999999999999</v>
      </c>
      <c r="P5548" s="2">
        <v>44986</v>
      </c>
      <c r="Q5548">
        <v>1</v>
      </c>
      <c r="R5548" s="1" t="s">
        <v>125</v>
      </c>
    </row>
    <row r="5549" spans="1:18" x14ac:dyDescent="0.25">
      <c r="A5549">
        <v>2023</v>
      </c>
      <c r="B5549">
        <v>4</v>
      </c>
      <c r="C5549" s="1" t="s">
        <v>27</v>
      </c>
      <c r="D5549" s="1" t="s">
        <v>19</v>
      </c>
      <c r="E5549" s="1" t="s">
        <v>20</v>
      </c>
      <c r="F5549">
        <v>2000</v>
      </c>
      <c r="G5549">
        <v>23</v>
      </c>
      <c r="H5549" s="1" t="s">
        <v>124</v>
      </c>
      <c r="I5549">
        <v>19</v>
      </c>
      <c r="J5549">
        <v>1490</v>
      </c>
      <c r="K5549" s="1" t="s">
        <v>22</v>
      </c>
      <c r="L5549" s="1" t="s">
        <v>23</v>
      </c>
      <c r="M5549">
        <v>1.165</v>
      </c>
      <c r="N5549">
        <v>22132.400000000001</v>
      </c>
      <c r="O5549">
        <v>22.132000000000001</v>
      </c>
      <c r="P5549" s="2">
        <v>45017</v>
      </c>
      <c r="Q5549">
        <v>1</v>
      </c>
      <c r="R5549" s="1" t="s">
        <v>125</v>
      </c>
    </row>
    <row r="5550" spans="1:18" x14ac:dyDescent="0.25">
      <c r="A5550">
        <v>2023</v>
      </c>
      <c r="B5550">
        <v>5</v>
      </c>
      <c r="C5550" s="1" t="s">
        <v>28</v>
      </c>
      <c r="D5550" s="1" t="s">
        <v>19</v>
      </c>
      <c r="E5550" s="1" t="s">
        <v>20</v>
      </c>
      <c r="F5550">
        <v>2000</v>
      </c>
      <c r="G5550">
        <v>23</v>
      </c>
      <c r="H5550" s="1" t="s">
        <v>124</v>
      </c>
      <c r="I5550">
        <v>19</v>
      </c>
      <c r="J5550">
        <v>1490</v>
      </c>
      <c r="K5550" s="1" t="s">
        <v>22</v>
      </c>
      <c r="L5550" s="1" t="s">
        <v>23</v>
      </c>
      <c r="M5550">
        <v>1.157</v>
      </c>
      <c r="N5550">
        <v>21990.799999999999</v>
      </c>
      <c r="O5550">
        <v>21.991</v>
      </c>
      <c r="P5550" s="2">
        <v>45047</v>
      </c>
      <c r="Q5550">
        <v>1</v>
      </c>
      <c r="R5550" s="1" t="s">
        <v>125</v>
      </c>
    </row>
    <row r="5551" spans="1:18" x14ac:dyDescent="0.25">
      <c r="A5551">
        <v>2023</v>
      </c>
      <c r="B5551">
        <v>6</v>
      </c>
      <c r="C5551" s="1" t="s">
        <v>29</v>
      </c>
      <c r="D5551" s="1" t="s">
        <v>19</v>
      </c>
      <c r="E5551" s="1" t="s">
        <v>20</v>
      </c>
      <c r="F5551">
        <v>2000</v>
      </c>
      <c r="G5551">
        <v>23</v>
      </c>
      <c r="H5551" s="1" t="s">
        <v>124</v>
      </c>
      <c r="I5551">
        <v>19</v>
      </c>
      <c r="J5551">
        <v>1490</v>
      </c>
      <c r="K5551" s="1" t="s">
        <v>22</v>
      </c>
      <c r="L5551" s="1" t="s">
        <v>23</v>
      </c>
      <c r="M5551">
        <v>1.2809999999999999</v>
      </c>
      <c r="N5551">
        <v>24336.5</v>
      </c>
      <c r="O5551">
        <v>24.335999999999999</v>
      </c>
      <c r="P5551" s="2">
        <v>45078</v>
      </c>
      <c r="Q5551">
        <v>1</v>
      </c>
      <c r="R5551" s="1" t="s">
        <v>125</v>
      </c>
    </row>
    <row r="5552" spans="1:18" x14ac:dyDescent="0.25">
      <c r="A5552">
        <v>2023</v>
      </c>
      <c r="B5552">
        <v>7</v>
      </c>
      <c r="C5552" s="1" t="s">
        <v>30</v>
      </c>
      <c r="D5552" s="1" t="s">
        <v>19</v>
      </c>
      <c r="E5552" s="1" t="s">
        <v>20</v>
      </c>
      <c r="F5552">
        <v>2000</v>
      </c>
      <c r="G5552">
        <v>23</v>
      </c>
      <c r="H5552" s="1" t="s">
        <v>124</v>
      </c>
      <c r="I5552">
        <v>19</v>
      </c>
      <c r="J5552">
        <v>1490</v>
      </c>
      <c r="K5552" s="1" t="s">
        <v>22</v>
      </c>
      <c r="L5552" s="1" t="s">
        <v>23</v>
      </c>
      <c r="M5552">
        <v>1.1779999999999999</v>
      </c>
      <c r="N5552">
        <v>22375</v>
      </c>
      <c r="O5552">
        <v>22.375</v>
      </c>
      <c r="P5552" s="2">
        <v>45108</v>
      </c>
      <c r="Q5552">
        <v>1</v>
      </c>
      <c r="R5552" s="1" t="s">
        <v>125</v>
      </c>
    </row>
    <row r="5553" spans="1:18" x14ac:dyDescent="0.25">
      <c r="A5553">
        <v>2023</v>
      </c>
      <c r="B5553">
        <v>8</v>
      </c>
      <c r="C5553" s="1" t="s">
        <v>31</v>
      </c>
      <c r="D5553" s="1" t="s">
        <v>19</v>
      </c>
      <c r="E5553" s="1" t="s">
        <v>20</v>
      </c>
      <c r="F5553">
        <v>2000</v>
      </c>
      <c r="G5553">
        <v>23</v>
      </c>
      <c r="H5553" s="1" t="s">
        <v>124</v>
      </c>
      <c r="I5553">
        <v>19</v>
      </c>
      <c r="J5553">
        <v>1490</v>
      </c>
      <c r="K5553" s="1" t="s">
        <v>22</v>
      </c>
      <c r="L5553" s="1" t="s">
        <v>23</v>
      </c>
      <c r="M5553">
        <v>1.238</v>
      </c>
      <c r="N5553">
        <v>23527.599999999999</v>
      </c>
      <c r="O5553">
        <v>23.527999999999999</v>
      </c>
      <c r="P5553" s="2">
        <v>45139</v>
      </c>
      <c r="Q5553">
        <v>1</v>
      </c>
      <c r="R5553" s="1" t="s">
        <v>125</v>
      </c>
    </row>
    <row r="5554" spans="1:18" x14ac:dyDescent="0.25">
      <c r="A5554">
        <v>2023</v>
      </c>
      <c r="B5554">
        <v>9</v>
      </c>
      <c r="C5554" s="1" t="s">
        <v>32</v>
      </c>
      <c r="D5554" s="1" t="s">
        <v>19</v>
      </c>
      <c r="E5554" s="1" t="s">
        <v>20</v>
      </c>
      <c r="F5554">
        <v>2000</v>
      </c>
      <c r="G5554">
        <v>23</v>
      </c>
      <c r="H5554" s="1" t="s">
        <v>124</v>
      </c>
      <c r="I5554">
        <v>19</v>
      </c>
      <c r="J5554">
        <v>1490</v>
      </c>
      <c r="K5554" s="1" t="s">
        <v>22</v>
      </c>
      <c r="L5554" s="1" t="s">
        <v>23</v>
      </c>
      <c r="M5554">
        <v>1.28</v>
      </c>
      <c r="N5554">
        <v>24326.400000000001</v>
      </c>
      <c r="O5554">
        <v>24.326000000000001</v>
      </c>
      <c r="P5554" s="2">
        <v>45170</v>
      </c>
      <c r="Q5554">
        <v>1</v>
      </c>
      <c r="R5554" s="1" t="s">
        <v>125</v>
      </c>
    </row>
    <row r="5555" spans="1:18" x14ac:dyDescent="0.25">
      <c r="A5555">
        <v>2023</v>
      </c>
      <c r="B5555">
        <v>10</v>
      </c>
      <c r="C5555" s="1" t="s">
        <v>33</v>
      </c>
      <c r="D5555" s="1" t="s">
        <v>19</v>
      </c>
      <c r="E5555" s="1" t="s">
        <v>20</v>
      </c>
      <c r="F5555">
        <v>2000</v>
      </c>
      <c r="G5555">
        <v>23</v>
      </c>
      <c r="H5555" s="1" t="s">
        <v>124</v>
      </c>
      <c r="I5555">
        <v>19</v>
      </c>
      <c r="J5555">
        <v>1490</v>
      </c>
      <c r="K5555" s="1" t="s">
        <v>22</v>
      </c>
      <c r="L5555" s="1" t="s">
        <v>23</v>
      </c>
      <c r="M5555">
        <v>1.1359999999999999</v>
      </c>
      <c r="N5555">
        <v>21576.3</v>
      </c>
      <c r="O5555">
        <v>21.576000000000001</v>
      </c>
      <c r="P5555" s="2">
        <v>45200</v>
      </c>
      <c r="Q5555">
        <v>1</v>
      </c>
      <c r="R5555" s="1" t="s">
        <v>125</v>
      </c>
    </row>
    <row r="5556" spans="1:18" x14ac:dyDescent="0.25">
      <c r="A5556">
        <v>2023</v>
      </c>
      <c r="B5556">
        <v>11</v>
      </c>
      <c r="C5556" s="1" t="s">
        <v>34</v>
      </c>
      <c r="D5556" s="1" t="s">
        <v>19</v>
      </c>
      <c r="E5556" s="1" t="s">
        <v>20</v>
      </c>
      <c r="F5556">
        <v>2000</v>
      </c>
      <c r="G5556">
        <v>23</v>
      </c>
      <c r="H5556" s="1" t="s">
        <v>124</v>
      </c>
      <c r="I5556">
        <v>19</v>
      </c>
      <c r="J5556">
        <v>1490</v>
      </c>
      <c r="K5556" s="1" t="s">
        <v>22</v>
      </c>
      <c r="L5556" s="1" t="s">
        <v>23</v>
      </c>
      <c r="M5556">
        <v>0.93899999999999995</v>
      </c>
      <c r="N5556">
        <v>17845.400000000001</v>
      </c>
      <c r="O5556">
        <v>17.844999999999999</v>
      </c>
      <c r="P5556" s="2">
        <v>45231</v>
      </c>
      <c r="Q5556">
        <v>1</v>
      </c>
      <c r="R5556" s="1" t="s">
        <v>125</v>
      </c>
    </row>
    <row r="5557" spans="1:18" x14ac:dyDescent="0.25">
      <c r="A5557">
        <v>2023</v>
      </c>
      <c r="B5557">
        <v>12</v>
      </c>
      <c r="C5557" s="1" t="s">
        <v>35</v>
      </c>
      <c r="D5557" s="1" t="s">
        <v>19</v>
      </c>
      <c r="E5557" s="1" t="s">
        <v>20</v>
      </c>
      <c r="F5557">
        <v>2000</v>
      </c>
      <c r="G5557">
        <v>23</v>
      </c>
      <c r="H5557" s="1" t="s">
        <v>124</v>
      </c>
      <c r="I5557">
        <v>19</v>
      </c>
      <c r="J5557">
        <v>1490</v>
      </c>
      <c r="K5557" s="1" t="s">
        <v>22</v>
      </c>
      <c r="L5557" s="1" t="s">
        <v>23</v>
      </c>
      <c r="M5557">
        <v>0.45400000000000001</v>
      </c>
      <c r="N5557">
        <v>8624.4</v>
      </c>
      <c r="O5557">
        <v>8.6240000000000006</v>
      </c>
      <c r="P5557" s="2">
        <v>45261</v>
      </c>
      <c r="Q5557">
        <v>1</v>
      </c>
      <c r="R5557" s="1" t="s">
        <v>125</v>
      </c>
    </row>
    <row r="5558" spans="1:18" x14ac:dyDescent="0.25">
      <c r="A5558">
        <v>2023</v>
      </c>
      <c r="B5558">
        <v>1</v>
      </c>
      <c r="C5558" s="1" t="s">
        <v>18</v>
      </c>
      <c r="D5558" s="1" t="s">
        <v>19</v>
      </c>
      <c r="E5558" s="1" t="s">
        <v>36</v>
      </c>
      <c r="F5558">
        <v>2000</v>
      </c>
      <c r="G5558">
        <v>23</v>
      </c>
      <c r="H5558" s="1" t="s">
        <v>124</v>
      </c>
      <c r="I5558">
        <v>24</v>
      </c>
      <c r="J5558">
        <v>1675</v>
      </c>
      <c r="K5558" s="1" t="s">
        <v>37</v>
      </c>
      <c r="L5558" s="1" t="s">
        <v>23</v>
      </c>
      <c r="M5558">
        <v>0.61199999999999999</v>
      </c>
      <c r="N5558">
        <v>14696.3</v>
      </c>
      <c r="O5558">
        <v>14.696</v>
      </c>
      <c r="P5558" s="2">
        <v>44927</v>
      </c>
      <c r="Q5558">
        <v>1</v>
      </c>
      <c r="R5558" s="1" t="s">
        <v>125</v>
      </c>
    </row>
    <row r="5559" spans="1:18" x14ac:dyDescent="0.25">
      <c r="A5559">
        <v>2023</v>
      </c>
      <c r="B5559">
        <v>2</v>
      </c>
      <c r="C5559" s="1" t="s">
        <v>25</v>
      </c>
      <c r="D5559" s="1" t="s">
        <v>19</v>
      </c>
      <c r="E5559" s="1" t="s">
        <v>36</v>
      </c>
      <c r="F5559">
        <v>2000</v>
      </c>
      <c r="G5559">
        <v>23</v>
      </c>
      <c r="H5559" s="1" t="s">
        <v>124</v>
      </c>
      <c r="I5559">
        <v>24</v>
      </c>
      <c r="J5559">
        <v>1675</v>
      </c>
      <c r="K5559" s="1" t="s">
        <v>37</v>
      </c>
      <c r="L5559" s="1" t="s">
        <v>23</v>
      </c>
      <c r="M5559">
        <v>0.879</v>
      </c>
      <c r="N5559">
        <v>21084.1</v>
      </c>
      <c r="O5559">
        <v>21.084</v>
      </c>
      <c r="P5559" s="2">
        <v>44958</v>
      </c>
      <c r="Q5559">
        <v>1</v>
      </c>
      <c r="R5559" s="1" t="s">
        <v>125</v>
      </c>
    </row>
    <row r="5560" spans="1:18" x14ac:dyDescent="0.25">
      <c r="A5560">
        <v>2023</v>
      </c>
      <c r="B5560">
        <v>3</v>
      </c>
      <c r="C5560" s="1" t="s">
        <v>26</v>
      </c>
      <c r="D5560" s="1" t="s">
        <v>19</v>
      </c>
      <c r="E5560" s="1" t="s">
        <v>36</v>
      </c>
      <c r="F5560">
        <v>2000</v>
      </c>
      <c r="G5560">
        <v>23</v>
      </c>
      <c r="H5560" s="1" t="s">
        <v>124</v>
      </c>
      <c r="I5560">
        <v>24</v>
      </c>
      <c r="J5560">
        <v>1675</v>
      </c>
      <c r="K5560" s="1" t="s">
        <v>37</v>
      </c>
      <c r="L5560" s="1" t="s">
        <v>23</v>
      </c>
      <c r="M5560">
        <v>1.02</v>
      </c>
      <c r="N5560">
        <v>24482.5</v>
      </c>
      <c r="O5560">
        <v>24.483000000000001</v>
      </c>
      <c r="P5560" s="2">
        <v>44986</v>
      </c>
      <c r="Q5560">
        <v>1</v>
      </c>
      <c r="R5560" s="1" t="s">
        <v>125</v>
      </c>
    </row>
    <row r="5561" spans="1:18" x14ac:dyDescent="0.25">
      <c r="A5561">
        <v>2023</v>
      </c>
      <c r="B5561">
        <v>4</v>
      </c>
      <c r="C5561" s="1" t="s">
        <v>27</v>
      </c>
      <c r="D5561" s="1" t="s">
        <v>19</v>
      </c>
      <c r="E5561" s="1" t="s">
        <v>36</v>
      </c>
      <c r="F5561">
        <v>2000</v>
      </c>
      <c r="G5561">
        <v>23</v>
      </c>
      <c r="H5561" s="1" t="s">
        <v>124</v>
      </c>
      <c r="I5561">
        <v>24</v>
      </c>
      <c r="J5561">
        <v>1675</v>
      </c>
      <c r="K5561" s="1" t="s">
        <v>37</v>
      </c>
      <c r="L5561" s="1" t="s">
        <v>23</v>
      </c>
      <c r="M5561">
        <v>1.0369999999999999</v>
      </c>
      <c r="N5561">
        <v>24880.3</v>
      </c>
      <c r="O5561">
        <v>24.88</v>
      </c>
      <c r="P5561" s="2">
        <v>45017</v>
      </c>
      <c r="Q5561">
        <v>1</v>
      </c>
      <c r="R5561" s="1" t="s">
        <v>125</v>
      </c>
    </row>
    <row r="5562" spans="1:18" x14ac:dyDescent="0.25">
      <c r="A5562">
        <v>2023</v>
      </c>
      <c r="B5562">
        <v>5</v>
      </c>
      <c r="C5562" s="1" t="s">
        <v>28</v>
      </c>
      <c r="D5562" s="1" t="s">
        <v>19</v>
      </c>
      <c r="E5562" s="1" t="s">
        <v>36</v>
      </c>
      <c r="F5562">
        <v>2000</v>
      </c>
      <c r="G5562">
        <v>23</v>
      </c>
      <c r="H5562" s="1" t="s">
        <v>124</v>
      </c>
      <c r="I5562">
        <v>24</v>
      </c>
      <c r="J5562">
        <v>1675</v>
      </c>
      <c r="K5562" s="1" t="s">
        <v>37</v>
      </c>
      <c r="L5562" s="1" t="s">
        <v>23</v>
      </c>
      <c r="M5562">
        <v>1.03</v>
      </c>
      <c r="N5562">
        <v>24721.200000000001</v>
      </c>
      <c r="O5562">
        <v>24.721</v>
      </c>
      <c r="P5562" s="2">
        <v>45047</v>
      </c>
      <c r="Q5562">
        <v>1</v>
      </c>
      <c r="R5562" s="1" t="s">
        <v>125</v>
      </c>
    </row>
    <row r="5563" spans="1:18" x14ac:dyDescent="0.25">
      <c r="A5563">
        <v>2023</v>
      </c>
      <c r="B5563">
        <v>6</v>
      </c>
      <c r="C5563" s="1" t="s">
        <v>29</v>
      </c>
      <c r="D5563" s="1" t="s">
        <v>19</v>
      </c>
      <c r="E5563" s="1" t="s">
        <v>36</v>
      </c>
      <c r="F5563">
        <v>2000</v>
      </c>
      <c r="G5563">
        <v>23</v>
      </c>
      <c r="H5563" s="1" t="s">
        <v>124</v>
      </c>
      <c r="I5563">
        <v>24</v>
      </c>
      <c r="J5563">
        <v>1675</v>
      </c>
      <c r="K5563" s="1" t="s">
        <v>37</v>
      </c>
      <c r="L5563" s="1" t="s">
        <v>23</v>
      </c>
      <c r="M5563">
        <v>1.1399999999999999</v>
      </c>
      <c r="N5563">
        <v>27358.1</v>
      </c>
      <c r="O5563">
        <v>27.358000000000001</v>
      </c>
      <c r="P5563" s="2">
        <v>45078</v>
      </c>
      <c r="Q5563">
        <v>1</v>
      </c>
      <c r="R5563" s="1" t="s">
        <v>125</v>
      </c>
    </row>
    <row r="5564" spans="1:18" x14ac:dyDescent="0.25">
      <c r="A5564">
        <v>2023</v>
      </c>
      <c r="B5564">
        <v>7</v>
      </c>
      <c r="C5564" s="1" t="s">
        <v>30</v>
      </c>
      <c r="D5564" s="1" t="s">
        <v>19</v>
      </c>
      <c r="E5564" s="1" t="s">
        <v>36</v>
      </c>
      <c r="F5564">
        <v>2000</v>
      </c>
      <c r="G5564">
        <v>23</v>
      </c>
      <c r="H5564" s="1" t="s">
        <v>124</v>
      </c>
      <c r="I5564">
        <v>24</v>
      </c>
      <c r="J5564">
        <v>1675</v>
      </c>
      <c r="K5564" s="1" t="s">
        <v>37</v>
      </c>
      <c r="L5564" s="1" t="s">
        <v>23</v>
      </c>
      <c r="M5564">
        <v>1.048</v>
      </c>
      <c r="N5564">
        <v>25153.1</v>
      </c>
      <c r="O5564">
        <v>25.152999999999999</v>
      </c>
      <c r="P5564" s="2">
        <v>45108</v>
      </c>
      <c r="Q5564">
        <v>1</v>
      </c>
      <c r="R5564" s="1" t="s">
        <v>125</v>
      </c>
    </row>
    <row r="5565" spans="1:18" x14ac:dyDescent="0.25">
      <c r="A5565">
        <v>2023</v>
      </c>
      <c r="B5565">
        <v>8</v>
      </c>
      <c r="C5565" s="1" t="s">
        <v>31</v>
      </c>
      <c r="D5565" s="1" t="s">
        <v>19</v>
      </c>
      <c r="E5565" s="1" t="s">
        <v>36</v>
      </c>
      <c r="F5565">
        <v>2000</v>
      </c>
      <c r="G5565">
        <v>23</v>
      </c>
      <c r="H5565" s="1" t="s">
        <v>124</v>
      </c>
      <c r="I5565">
        <v>24</v>
      </c>
      <c r="J5565">
        <v>1675</v>
      </c>
      <c r="K5565" s="1" t="s">
        <v>37</v>
      </c>
      <c r="L5565" s="1" t="s">
        <v>23</v>
      </c>
      <c r="M5565">
        <v>1.1020000000000001</v>
      </c>
      <c r="N5565">
        <v>26448.799999999999</v>
      </c>
      <c r="O5565">
        <v>26.449000000000002</v>
      </c>
      <c r="P5565" s="2">
        <v>45139</v>
      </c>
      <c r="Q5565">
        <v>1</v>
      </c>
      <c r="R5565" s="1" t="s">
        <v>125</v>
      </c>
    </row>
    <row r="5566" spans="1:18" x14ac:dyDescent="0.25">
      <c r="A5566">
        <v>2023</v>
      </c>
      <c r="B5566">
        <v>9</v>
      </c>
      <c r="C5566" s="1" t="s">
        <v>32</v>
      </c>
      <c r="D5566" s="1" t="s">
        <v>19</v>
      </c>
      <c r="E5566" s="1" t="s">
        <v>36</v>
      </c>
      <c r="F5566">
        <v>2000</v>
      </c>
      <c r="G5566">
        <v>23</v>
      </c>
      <c r="H5566" s="1" t="s">
        <v>124</v>
      </c>
      <c r="I5566">
        <v>24</v>
      </c>
      <c r="J5566">
        <v>1675</v>
      </c>
      <c r="K5566" s="1" t="s">
        <v>37</v>
      </c>
      <c r="L5566" s="1" t="s">
        <v>23</v>
      </c>
      <c r="M5566">
        <v>1.139</v>
      </c>
      <c r="N5566">
        <v>27346.799999999999</v>
      </c>
      <c r="O5566">
        <v>27.347000000000001</v>
      </c>
      <c r="P5566" s="2">
        <v>45170</v>
      </c>
      <c r="Q5566">
        <v>1</v>
      </c>
      <c r="R5566" s="1" t="s">
        <v>125</v>
      </c>
    </row>
    <row r="5567" spans="1:18" x14ac:dyDescent="0.25">
      <c r="A5567">
        <v>2023</v>
      </c>
      <c r="B5567">
        <v>10</v>
      </c>
      <c r="C5567" s="1" t="s">
        <v>33</v>
      </c>
      <c r="D5567" s="1" t="s">
        <v>19</v>
      </c>
      <c r="E5567" s="1" t="s">
        <v>36</v>
      </c>
      <c r="F5567">
        <v>2000</v>
      </c>
      <c r="G5567">
        <v>23</v>
      </c>
      <c r="H5567" s="1" t="s">
        <v>124</v>
      </c>
      <c r="I5567">
        <v>24</v>
      </c>
      <c r="J5567">
        <v>1675</v>
      </c>
      <c r="K5567" s="1" t="s">
        <v>37</v>
      </c>
      <c r="L5567" s="1" t="s">
        <v>23</v>
      </c>
      <c r="M5567">
        <v>1.0109999999999999</v>
      </c>
      <c r="N5567">
        <v>24255.200000000001</v>
      </c>
      <c r="O5567">
        <v>24.254999999999999</v>
      </c>
      <c r="P5567" s="2">
        <v>45200</v>
      </c>
      <c r="Q5567">
        <v>1</v>
      </c>
      <c r="R5567" s="1" t="s">
        <v>125</v>
      </c>
    </row>
    <row r="5568" spans="1:18" x14ac:dyDescent="0.25">
      <c r="A5568">
        <v>2023</v>
      </c>
      <c r="B5568">
        <v>11</v>
      </c>
      <c r="C5568" s="1" t="s">
        <v>34</v>
      </c>
      <c r="D5568" s="1" t="s">
        <v>19</v>
      </c>
      <c r="E5568" s="1" t="s">
        <v>36</v>
      </c>
      <c r="F5568">
        <v>2000</v>
      </c>
      <c r="G5568">
        <v>23</v>
      </c>
      <c r="H5568" s="1" t="s">
        <v>124</v>
      </c>
      <c r="I5568">
        <v>24</v>
      </c>
      <c r="J5568">
        <v>1675</v>
      </c>
      <c r="K5568" s="1" t="s">
        <v>37</v>
      </c>
      <c r="L5568" s="1" t="s">
        <v>23</v>
      </c>
      <c r="M5568">
        <v>0.83599999999999997</v>
      </c>
      <c r="N5568">
        <v>20061.099999999999</v>
      </c>
      <c r="O5568">
        <v>20.061</v>
      </c>
      <c r="P5568" s="2">
        <v>45231</v>
      </c>
      <c r="Q5568">
        <v>1</v>
      </c>
      <c r="R5568" s="1" t="s">
        <v>125</v>
      </c>
    </row>
    <row r="5569" spans="1:18" x14ac:dyDescent="0.25">
      <c r="A5569">
        <v>2023</v>
      </c>
      <c r="B5569">
        <v>12</v>
      </c>
      <c r="C5569" s="1" t="s">
        <v>35</v>
      </c>
      <c r="D5569" s="1" t="s">
        <v>19</v>
      </c>
      <c r="E5569" s="1" t="s">
        <v>36</v>
      </c>
      <c r="F5569">
        <v>2000</v>
      </c>
      <c r="G5569">
        <v>23</v>
      </c>
      <c r="H5569" s="1" t="s">
        <v>124</v>
      </c>
      <c r="I5569">
        <v>24</v>
      </c>
      <c r="J5569">
        <v>1675</v>
      </c>
      <c r="K5569" s="1" t="s">
        <v>37</v>
      </c>
      <c r="L5569" s="1" t="s">
        <v>23</v>
      </c>
      <c r="M5569">
        <v>0.40400000000000003</v>
      </c>
      <c r="N5569">
        <v>9695.2999999999993</v>
      </c>
      <c r="O5569">
        <v>9.6950000000000003</v>
      </c>
      <c r="P5569" s="2">
        <v>45261</v>
      </c>
      <c r="Q5569">
        <v>1</v>
      </c>
      <c r="R5569" s="1" t="s">
        <v>125</v>
      </c>
    </row>
    <row r="5570" spans="1:18" x14ac:dyDescent="0.25">
      <c r="A5570">
        <v>2023</v>
      </c>
      <c r="B5570">
        <v>1</v>
      </c>
      <c r="C5570" s="1" t="s">
        <v>18</v>
      </c>
      <c r="D5570" s="1" t="s">
        <v>19</v>
      </c>
      <c r="E5570" s="1" t="s">
        <v>38</v>
      </c>
      <c r="F5570">
        <v>2005</v>
      </c>
      <c r="G5570">
        <v>18</v>
      </c>
      <c r="H5570" s="1" t="s">
        <v>124</v>
      </c>
      <c r="I5570">
        <v>18</v>
      </c>
      <c r="J5570">
        <v>1922</v>
      </c>
      <c r="K5570" s="1" t="s">
        <v>39</v>
      </c>
      <c r="L5570" s="1" t="s">
        <v>23</v>
      </c>
      <c r="M5570">
        <v>0.93700000000000006</v>
      </c>
      <c r="N5570">
        <v>16863.5</v>
      </c>
      <c r="O5570">
        <v>16.863</v>
      </c>
      <c r="P5570" s="2">
        <v>44927</v>
      </c>
      <c r="Q5570">
        <v>1</v>
      </c>
      <c r="R5570" s="1" t="s">
        <v>125</v>
      </c>
    </row>
    <row r="5571" spans="1:18" x14ac:dyDescent="0.25">
      <c r="A5571">
        <v>2023</v>
      </c>
      <c r="B5571">
        <v>2</v>
      </c>
      <c r="C5571" s="1" t="s">
        <v>25</v>
      </c>
      <c r="D5571" s="1" t="s">
        <v>19</v>
      </c>
      <c r="E5571" s="1" t="s">
        <v>38</v>
      </c>
      <c r="F5571">
        <v>2005</v>
      </c>
      <c r="G5571">
        <v>18</v>
      </c>
      <c r="H5571" s="1" t="s">
        <v>124</v>
      </c>
      <c r="I5571">
        <v>18</v>
      </c>
      <c r="J5571">
        <v>1922</v>
      </c>
      <c r="K5571" s="1" t="s">
        <v>39</v>
      </c>
      <c r="L5571" s="1" t="s">
        <v>23</v>
      </c>
      <c r="M5571">
        <v>1.3440000000000001</v>
      </c>
      <c r="N5571">
        <v>24193.200000000001</v>
      </c>
      <c r="O5571">
        <v>24.193000000000001</v>
      </c>
      <c r="P5571" s="2">
        <v>44958</v>
      </c>
      <c r="Q5571">
        <v>1</v>
      </c>
      <c r="R5571" s="1" t="s">
        <v>125</v>
      </c>
    </row>
    <row r="5572" spans="1:18" x14ac:dyDescent="0.25">
      <c r="A5572">
        <v>2023</v>
      </c>
      <c r="B5572">
        <v>3</v>
      </c>
      <c r="C5572" s="1" t="s">
        <v>26</v>
      </c>
      <c r="D5572" s="1" t="s">
        <v>19</v>
      </c>
      <c r="E5572" s="1" t="s">
        <v>38</v>
      </c>
      <c r="F5572">
        <v>2005</v>
      </c>
      <c r="G5572">
        <v>18</v>
      </c>
      <c r="H5572" s="1" t="s">
        <v>124</v>
      </c>
      <c r="I5572">
        <v>18</v>
      </c>
      <c r="J5572">
        <v>1922</v>
      </c>
      <c r="K5572" s="1" t="s">
        <v>39</v>
      </c>
      <c r="L5572" s="1" t="s">
        <v>23</v>
      </c>
      <c r="M5572">
        <v>1.5609999999999999</v>
      </c>
      <c r="N5572">
        <v>28092.799999999999</v>
      </c>
      <c r="O5572">
        <v>28.093</v>
      </c>
      <c r="P5572" s="2">
        <v>44986</v>
      </c>
      <c r="Q5572">
        <v>1</v>
      </c>
      <c r="R5572" s="1" t="s">
        <v>125</v>
      </c>
    </row>
    <row r="5573" spans="1:18" x14ac:dyDescent="0.25">
      <c r="A5573">
        <v>2023</v>
      </c>
      <c r="B5573">
        <v>4</v>
      </c>
      <c r="C5573" s="1" t="s">
        <v>27</v>
      </c>
      <c r="D5573" s="1" t="s">
        <v>19</v>
      </c>
      <c r="E5573" s="1" t="s">
        <v>38</v>
      </c>
      <c r="F5573">
        <v>2005</v>
      </c>
      <c r="G5573">
        <v>18</v>
      </c>
      <c r="H5573" s="1" t="s">
        <v>124</v>
      </c>
      <c r="I5573">
        <v>18</v>
      </c>
      <c r="J5573">
        <v>1922</v>
      </c>
      <c r="K5573" s="1" t="s">
        <v>39</v>
      </c>
      <c r="L5573" s="1" t="s">
        <v>23</v>
      </c>
      <c r="M5573">
        <v>1.5860000000000001</v>
      </c>
      <c r="N5573">
        <v>28549.3</v>
      </c>
      <c r="O5573">
        <v>28.548999999999999</v>
      </c>
      <c r="P5573" s="2">
        <v>45017</v>
      </c>
      <c r="Q5573">
        <v>1</v>
      </c>
      <c r="R5573" s="1" t="s">
        <v>125</v>
      </c>
    </row>
    <row r="5574" spans="1:18" x14ac:dyDescent="0.25">
      <c r="A5574">
        <v>2023</v>
      </c>
      <c r="B5574">
        <v>5</v>
      </c>
      <c r="C5574" s="1" t="s">
        <v>28</v>
      </c>
      <c r="D5574" s="1" t="s">
        <v>19</v>
      </c>
      <c r="E5574" s="1" t="s">
        <v>38</v>
      </c>
      <c r="F5574">
        <v>2005</v>
      </c>
      <c r="G5574">
        <v>18</v>
      </c>
      <c r="H5574" s="1" t="s">
        <v>124</v>
      </c>
      <c r="I5574">
        <v>18</v>
      </c>
      <c r="J5574">
        <v>1922</v>
      </c>
      <c r="K5574" s="1" t="s">
        <v>39</v>
      </c>
      <c r="L5574" s="1" t="s">
        <v>23</v>
      </c>
      <c r="M5574">
        <v>1.5760000000000001</v>
      </c>
      <c r="N5574">
        <v>28366.7</v>
      </c>
      <c r="O5574">
        <v>28.367000000000001</v>
      </c>
      <c r="P5574" s="2">
        <v>45047</v>
      </c>
      <c r="Q5574">
        <v>1</v>
      </c>
      <c r="R5574" s="1" t="s">
        <v>125</v>
      </c>
    </row>
    <row r="5575" spans="1:18" x14ac:dyDescent="0.25">
      <c r="A5575">
        <v>2023</v>
      </c>
      <c r="B5575">
        <v>6</v>
      </c>
      <c r="C5575" s="1" t="s">
        <v>29</v>
      </c>
      <c r="D5575" s="1" t="s">
        <v>19</v>
      </c>
      <c r="E5575" s="1" t="s">
        <v>38</v>
      </c>
      <c r="F5575">
        <v>2005</v>
      </c>
      <c r="G5575">
        <v>18</v>
      </c>
      <c r="H5575" s="1" t="s">
        <v>124</v>
      </c>
      <c r="I5575">
        <v>18</v>
      </c>
      <c r="J5575">
        <v>1922</v>
      </c>
      <c r="K5575" s="1" t="s">
        <v>39</v>
      </c>
      <c r="L5575" s="1" t="s">
        <v>23</v>
      </c>
      <c r="M5575">
        <v>1.744</v>
      </c>
      <c r="N5575">
        <v>31392.400000000001</v>
      </c>
      <c r="O5575">
        <v>31.391999999999999</v>
      </c>
      <c r="P5575" s="2">
        <v>45078</v>
      </c>
      <c r="Q5575">
        <v>1</v>
      </c>
      <c r="R5575" s="1" t="s">
        <v>125</v>
      </c>
    </row>
    <row r="5576" spans="1:18" x14ac:dyDescent="0.25">
      <c r="A5576">
        <v>2023</v>
      </c>
      <c r="B5576">
        <v>7</v>
      </c>
      <c r="C5576" s="1" t="s">
        <v>30</v>
      </c>
      <c r="D5576" s="1" t="s">
        <v>19</v>
      </c>
      <c r="E5576" s="1" t="s">
        <v>38</v>
      </c>
      <c r="F5576">
        <v>2005</v>
      </c>
      <c r="G5576">
        <v>18</v>
      </c>
      <c r="H5576" s="1" t="s">
        <v>124</v>
      </c>
      <c r="I5576">
        <v>18</v>
      </c>
      <c r="J5576">
        <v>1922</v>
      </c>
      <c r="K5576" s="1" t="s">
        <v>39</v>
      </c>
      <c r="L5576" s="1" t="s">
        <v>23</v>
      </c>
      <c r="M5576">
        <v>1.603</v>
      </c>
      <c r="N5576">
        <v>28862.3</v>
      </c>
      <c r="O5576">
        <v>28.861999999999998</v>
      </c>
      <c r="P5576" s="2">
        <v>45108</v>
      </c>
      <c r="Q5576">
        <v>1</v>
      </c>
      <c r="R5576" s="1" t="s">
        <v>125</v>
      </c>
    </row>
    <row r="5577" spans="1:18" x14ac:dyDescent="0.25">
      <c r="A5577">
        <v>2023</v>
      </c>
      <c r="B5577">
        <v>8</v>
      </c>
      <c r="C5577" s="1" t="s">
        <v>31</v>
      </c>
      <c r="D5577" s="1" t="s">
        <v>19</v>
      </c>
      <c r="E5577" s="1" t="s">
        <v>38</v>
      </c>
      <c r="F5577">
        <v>2005</v>
      </c>
      <c r="G5577">
        <v>18</v>
      </c>
      <c r="H5577" s="1" t="s">
        <v>124</v>
      </c>
      <c r="I5577">
        <v>18</v>
      </c>
      <c r="J5577">
        <v>1922</v>
      </c>
      <c r="K5577" s="1" t="s">
        <v>39</v>
      </c>
      <c r="L5577" s="1" t="s">
        <v>23</v>
      </c>
      <c r="M5577">
        <v>1.6859999999999999</v>
      </c>
      <c r="N5577">
        <v>30349.1</v>
      </c>
      <c r="O5577">
        <v>30.349</v>
      </c>
      <c r="P5577" s="2">
        <v>45139</v>
      </c>
      <c r="Q5577">
        <v>1</v>
      </c>
      <c r="R5577" s="1" t="s">
        <v>125</v>
      </c>
    </row>
    <row r="5578" spans="1:18" x14ac:dyDescent="0.25">
      <c r="A5578">
        <v>2023</v>
      </c>
      <c r="B5578">
        <v>9</v>
      </c>
      <c r="C5578" s="1" t="s">
        <v>32</v>
      </c>
      <c r="D5578" s="1" t="s">
        <v>19</v>
      </c>
      <c r="E5578" s="1" t="s">
        <v>38</v>
      </c>
      <c r="F5578">
        <v>2005</v>
      </c>
      <c r="G5578">
        <v>18</v>
      </c>
      <c r="H5578" s="1" t="s">
        <v>124</v>
      </c>
      <c r="I5578">
        <v>18</v>
      </c>
      <c r="J5578">
        <v>1922</v>
      </c>
      <c r="K5578" s="1" t="s">
        <v>39</v>
      </c>
      <c r="L5578" s="1" t="s">
        <v>23</v>
      </c>
      <c r="M5578">
        <v>1.7430000000000001</v>
      </c>
      <c r="N5578">
        <v>31379.4</v>
      </c>
      <c r="O5578">
        <v>31.379000000000001</v>
      </c>
      <c r="P5578" s="2">
        <v>45170</v>
      </c>
      <c r="Q5578">
        <v>1</v>
      </c>
      <c r="R5578" s="1" t="s">
        <v>125</v>
      </c>
    </row>
    <row r="5579" spans="1:18" x14ac:dyDescent="0.25">
      <c r="A5579">
        <v>2023</v>
      </c>
      <c r="B5579">
        <v>10</v>
      </c>
      <c r="C5579" s="1" t="s">
        <v>33</v>
      </c>
      <c r="D5579" s="1" t="s">
        <v>19</v>
      </c>
      <c r="E5579" s="1" t="s">
        <v>38</v>
      </c>
      <c r="F5579">
        <v>2005</v>
      </c>
      <c r="G5579">
        <v>18</v>
      </c>
      <c r="H5579" s="1" t="s">
        <v>124</v>
      </c>
      <c r="I5579">
        <v>18</v>
      </c>
      <c r="J5579">
        <v>1922</v>
      </c>
      <c r="K5579" s="1" t="s">
        <v>39</v>
      </c>
      <c r="L5579" s="1" t="s">
        <v>23</v>
      </c>
      <c r="M5579">
        <v>1.546</v>
      </c>
      <c r="N5579">
        <v>27831.9</v>
      </c>
      <c r="O5579">
        <v>27.832000000000001</v>
      </c>
      <c r="P5579" s="2">
        <v>45200</v>
      </c>
      <c r="Q5579">
        <v>1</v>
      </c>
      <c r="R5579" s="1" t="s">
        <v>125</v>
      </c>
    </row>
    <row r="5580" spans="1:18" x14ac:dyDescent="0.25">
      <c r="A5580">
        <v>2023</v>
      </c>
      <c r="B5580">
        <v>11</v>
      </c>
      <c r="C5580" s="1" t="s">
        <v>34</v>
      </c>
      <c r="D5580" s="1" t="s">
        <v>19</v>
      </c>
      <c r="E5580" s="1" t="s">
        <v>38</v>
      </c>
      <c r="F5580">
        <v>2005</v>
      </c>
      <c r="G5580">
        <v>18</v>
      </c>
      <c r="H5580" s="1" t="s">
        <v>124</v>
      </c>
      <c r="I5580">
        <v>18</v>
      </c>
      <c r="J5580">
        <v>1922</v>
      </c>
      <c r="K5580" s="1" t="s">
        <v>39</v>
      </c>
      <c r="L5580" s="1" t="s">
        <v>23</v>
      </c>
      <c r="M5580">
        <v>1.2789999999999999</v>
      </c>
      <c r="N5580">
        <v>23019.4</v>
      </c>
      <c r="O5580">
        <v>23.018999999999998</v>
      </c>
      <c r="P5580" s="2">
        <v>45231</v>
      </c>
      <c r="Q5580">
        <v>1</v>
      </c>
      <c r="R5580" s="1" t="s">
        <v>125</v>
      </c>
    </row>
    <row r="5581" spans="1:18" x14ac:dyDescent="0.25">
      <c r="A5581">
        <v>2023</v>
      </c>
      <c r="B5581">
        <v>12</v>
      </c>
      <c r="C5581" s="1" t="s">
        <v>35</v>
      </c>
      <c r="D5581" s="1" t="s">
        <v>19</v>
      </c>
      <c r="E5581" s="1" t="s">
        <v>38</v>
      </c>
      <c r="F5581">
        <v>2005</v>
      </c>
      <c r="G5581">
        <v>18</v>
      </c>
      <c r="H5581" s="1" t="s">
        <v>124</v>
      </c>
      <c r="I5581">
        <v>18</v>
      </c>
      <c r="J5581">
        <v>1922</v>
      </c>
      <c r="K5581" s="1" t="s">
        <v>39</v>
      </c>
      <c r="L5581" s="1" t="s">
        <v>23</v>
      </c>
      <c r="M5581">
        <v>0.61799999999999999</v>
      </c>
      <c r="N5581">
        <v>11124.9</v>
      </c>
      <c r="O5581">
        <v>11.125</v>
      </c>
      <c r="P5581" s="2">
        <v>45261</v>
      </c>
      <c r="Q5581">
        <v>1</v>
      </c>
      <c r="R5581" s="1" t="s">
        <v>125</v>
      </c>
    </row>
    <row r="5582" spans="1:18" x14ac:dyDescent="0.25">
      <c r="A5582">
        <v>2023</v>
      </c>
      <c r="B5582">
        <v>1</v>
      </c>
      <c r="C5582" s="1" t="s">
        <v>18</v>
      </c>
      <c r="D5582" s="1" t="s">
        <v>19</v>
      </c>
      <c r="E5582" s="1" t="s">
        <v>41</v>
      </c>
      <c r="F5582">
        <v>2005</v>
      </c>
      <c r="G5582">
        <v>18</v>
      </c>
      <c r="H5582" s="1" t="s">
        <v>124</v>
      </c>
      <c r="I5582">
        <v>26</v>
      </c>
      <c r="J5582">
        <v>2827</v>
      </c>
      <c r="K5582" s="1" t="s">
        <v>42</v>
      </c>
      <c r="L5582" s="1" t="s">
        <v>23</v>
      </c>
      <c r="M5582">
        <v>0.95399999999999996</v>
      </c>
      <c r="N5582">
        <v>24803.9</v>
      </c>
      <c r="O5582">
        <v>24.803999999999998</v>
      </c>
      <c r="P5582" s="2">
        <v>44927</v>
      </c>
      <c r="Q5582">
        <v>1</v>
      </c>
      <c r="R5582" s="1" t="s">
        <v>125</v>
      </c>
    </row>
    <row r="5583" spans="1:18" x14ac:dyDescent="0.25">
      <c r="A5583">
        <v>2023</v>
      </c>
      <c r="B5583">
        <v>2</v>
      </c>
      <c r="C5583" s="1" t="s">
        <v>25</v>
      </c>
      <c r="D5583" s="1" t="s">
        <v>19</v>
      </c>
      <c r="E5583" s="1" t="s">
        <v>41</v>
      </c>
      <c r="F5583">
        <v>2005</v>
      </c>
      <c r="G5583">
        <v>18</v>
      </c>
      <c r="H5583" s="1" t="s">
        <v>124</v>
      </c>
      <c r="I5583">
        <v>26</v>
      </c>
      <c r="J5583">
        <v>2827</v>
      </c>
      <c r="K5583" s="1" t="s">
        <v>42</v>
      </c>
      <c r="L5583" s="1" t="s">
        <v>23</v>
      </c>
      <c r="M5583">
        <v>1.369</v>
      </c>
      <c r="N5583">
        <v>35584.9</v>
      </c>
      <c r="O5583">
        <v>35.585000000000001</v>
      </c>
      <c r="P5583" s="2">
        <v>44958</v>
      </c>
      <c r="Q5583">
        <v>1</v>
      </c>
      <c r="R5583" s="1" t="s">
        <v>125</v>
      </c>
    </row>
    <row r="5584" spans="1:18" x14ac:dyDescent="0.25">
      <c r="A5584">
        <v>2023</v>
      </c>
      <c r="B5584">
        <v>3</v>
      </c>
      <c r="C5584" s="1" t="s">
        <v>26</v>
      </c>
      <c r="D5584" s="1" t="s">
        <v>19</v>
      </c>
      <c r="E5584" s="1" t="s">
        <v>41</v>
      </c>
      <c r="F5584">
        <v>2005</v>
      </c>
      <c r="G5584">
        <v>18</v>
      </c>
      <c r="H5584" s="1" t="s">
        <v>124</v>
      </c>
      <c r="I5584">
        <v>26</v>
      </c>
      <c r="J5584">
        <v>2827</v>
      </c>
      <c r="K5584" s="1" t="s">
        <v>42</v>
      </c>
      <c r="L5584" s="1" t="s">
        <v>23</v>
      </c>
      <c r="M5584">
        <v>1.589</v>
      </c>
      <c r="N5584">
        <v>41320.6</v>
      </c>
      <c r="O5584">
        <v>41.320999999999998</v>
      </c>
      <c r="P5584" s="2">
        <v>44986</v>
      </c>
      <c r="Q5584">
        <v>1</v>
      </c>
      <c r="R5584" s="1" t="s">
        <v>125</v>
      </c>
    </row>
    <row r="5585" spans="1:18" x14ac:dyDescent="0.25">
      <c r="A5585">
        <v>2023</v>
      </c>
      <c r="B5585">
        <v>4</v>
      </c>
      <c r="C5585" s="1" t="s">
        <v>27</v>
      </c>
      <c r="D5585" s="1" t="s">
        <v>19</v>
      </c>
      <c r="E5585" s="1" t="s">
        <v>41</v>
      </c>
      <c r="F5585">
        <v>2005</v>
      </c>
      <c r="G5585">
        <v>18</v>
      </c>
      <c r="H5585" s="1" t="s">
        <v>124</v>
      </c>
      <c r="I5585">
        <v>26</v>
      </c>
      <c r="J5585">
        <v>2827</v>
      </c>
      <c r="K5585" s="1" t="s">
        <v>42</v>
      </c>
      <c r="L5585" s="1" t="s">
        <v>23</v>
      </c>
      <c r="M5585">
        <v>1.615</v>
      </c>
      <c r="N5585">
        <v>41992.1</v>
      </c>
      <c r="O5585">
        <v>41.991999999999997</v>
      </c>
      <c r="P5585" s="2">
        <v>45017</v>
      </c>
      <c r="Q5585">
        <v>1</v>
      </c>
      <c r="R5585" s="1" t="s">
        <v>125</v>
      </c>
    </row>
    <row r="5586" spans="1:18" x14ac:dyDescent="0.25">
      <c r="A5586">
        <v>2023</v>
      </c>
      <c r="B5586">
        <v>5</v>
      </c>
      <c r="C5586" s="1" t="s">
        <v>28</v>
      </c>
      <c r="D5586" s="1" t="s">
        <v>19</v>
      </c>
      <c r="E5586" s="1" t="s">
        <v>41</v>
      </c>
      <c r="F5586">
        <v>2005</v>
      </c>
      <c r="G5586">
        <v>18</v>
      </c>
      <c r="H5586" s="1" t="s">
        <v>124</v>
      </c>
      <c r="I5586">
        <v>26</v>
      </c>
      <c r="J5586">
        <v>2827</v>
      </c>
      <c r="K5586" s="1" t="s">
        <v>42</v>
      </c>
      <c r="L5586" s="1" t="s">
        <v>23</v>
      </c>
      <c r="M5586">
        <v>1.605</v>
      </c>
      <c r="N5586">
        <v>41723.5</v>
      </c>
      <c r="O5586">
        <v>41.722999999999999</v>
      </c>
      <c r="P5586" s="2">
        <v>45047</v>
      </c>
      <c r="Q5586">
        <v>1</v>
      </c>
      <c r="R5586" s="1" t="s">
        <v>125</v>
      </c>
    </row>
    <row r="5587" spans="1:18" x14ac:dyDescent="0.25">
      <c r="A5587">
        <v>2023</v>
      </c>
      <c r="B5587">
        <v>6</v>
      </c>
      <c r="C5587" s="1" t="s">
        <v>29</v>
      </c>
      <c r="D5587" s="1" t="s">
        <v>19</v>
      </c>
      <c r="E5587" s="1" t="s">
        <v>41</v>
      </c>
      <c r="F5587">
        <v>2005</v>
      </c>
      <c r="G5587">
        <v>18</v>
      </c>
      <c r="H5587" s="1" t="s">
        <v>124</v>
      </c>
      <c r="I5587">
        <v>26</v>
      </c>
      <c r="J5587">
        <v>2827</v>
      </c>
      <c r="K5587" s="1" t="s">
        <v>42</v>
      </c>
      <c r="L5587" s="1" t="s">
        <v>23</v>
      </c>
      <c r="M5587">
        <v>1.776</v>
      </c>
      <c r="N5587">
        <v>46174</v>
      </c>
      <c r="O5587">
        <v>46.173999999999999</v>
      </c>
      <c r="P5587" s="2">
        <v>45078</v>
      </c>
      <c r="Q5587">
        <v>1</v>
      </c>
      <c r="R5587" s="1" t="s">
        <v>125</v>
      </c>
    </row>
    <row r="5588" spans="1:18" x14ac:dyDescent="0.25">
      <c r="A5588">
        <v>2023</v>
      </c>
      <c r="B5588">
        <v>7</v>
      </c>
      <c r="C5588" s="1" t="s">
        <v>30</v>
      </c>
      <c r="D5588" s="1" t="s">
        <v>19</v>
      </c>
      <c r="E5588" s="1" t="s">
        <v>41</v>
      </c>
      <c r="F5588">
        <v>2005</v>
      </c>
      <c r="G5588">
        <v>18</v>
      </c>
      <c r="H5588" s="1" t="s">
        <v>124</v>
      </c>
      <c r="I5588">
        <v>26</v>
      </c>
      <c r="J5588">
        <v>2827</v>
      </c>
      <c r="K5588" s="1" t="s">
        <v>42</v>
      </c>
      <c r="L5588" s="1" t="s">
        <v>23</v>
      </c>
      <c r="M5588">
        <v>1.633</v>
      </c>
      <c r="N5588">
        <v>42452.5</v>
      </c>
      <c r="O5588">
        <v>42.451999999999998</v>
      </c>
      <c r="P5588" s="2">
        <v>45108</v>
      </c>
      <c r="Q5588">
        <v>1</v>
      </c>
      <c r="R5588" s="1" t="s">
        <v>125</v>
      </c>
    </row>
    <row r="5589" spans="1:18" x14ac:dyDescent="0.25">
      <c r="A5589">
        <v>2023</v>
      </c>
      <c r="B5589">
        <v>8</v>
      </c>
      <c r="C5589" s="1" t="s">
        <v>31</v>
      </c>
      <c r="D5589" s="1" t="s">
        <v>19</v>
      </c>
      <c r="E5589" s="1" t="s">
        <v>41</v>
      </c>
      <c r="F5589">
        <v>2005</v>
      </c>
      <c r="G5589">
        <v>18</v>
      </c>
      <c r="H5589" s="1" t="s">
        <v>124</v>
      </c>
      <c r="I5589">
        <v>26</v>
      </c>
      <c r="J5589">
        <v>2827</v>
      </c>
      <c r="K5589" s="1" t="s">
        <v>42</v>
      </c>
      <c r="L5589" s="1" t="s">
        <v>23</v>
      </c>
      <c r="M5589">
        <v>1.7170000000000001</v>
      </c>
      <c r="N5589">
        <v>44639.3</v>
      </c>
      <c r="O5589">
        <v>44.639000000000003</v>
      </c>
      <c r="P5589" s="2">
        <v>45139</v>
      </c>
      <c r="Q5589">
        <v>1</v>
      </c>
      <c r="R5589" s="1" t="s">
        <v>125</v>
      </c>
    </row>
    <row r="5590" spans="1:18" x14ac:dyDescent="0.25">
      <c r="A5590">
        <v>2023</v>
      </c>
      <c r="B5590">
        <v>9</v>
      </c>
      <c r="C5590" s="1" t="s">
        <v>32</v>
      </c>
      <c r="D5590" s="1" t="s">
        <v>19</v>
      </c>
      <c r="E5590" s="1" t="s">
        <v>41</v>
      </c>
      <c r="F5590">
        <v>2005</v>
      </c>
      <c r="G5590">
        <v>18</v>
      </c>
      <c r="H5590" s="1" t="s">
        <v>124</v>
      </c>
      <c r="I5590">
        <v>26</v>
      </c>
      <c r="J5590">
        <v>2827</v>
      </c>
      <c r="K5590" s="1" t="s">
        <v>42</v>
      </c>
      <c r="L5590" s="1" t="s">
        <v>23</v>
      </c>
      <c r="M5590">
        <v>1.7749999999999999</v>
      </c>
      <c r="N5590">
        <v>46154.8</v>
      </c>
      <c r="O5590">
        <v>46.155000000000001</v>
      </c>
      <c r="P5590" s="2">
        <v>45170</v>
      </c>
      <c r="Q5590">
        <v>1</v>
      </c>
      <c r="R5590" s="1" t="s">
        <v>125</v>
      </c>
    </row>
    <row r="5591" spans="1:18" x14ac:dyDescent="0.25">
      <c r="A5591">
        <v>2023</v>
      </c>
      <c r="B5591">
        <v>10</v>
      </c>
      <c r="C5591" s="1" t="s">
        <v>33</v>
      </c>
      <c r="D5591" s="1" t="s">
        <v>19</v>
      </c>
      <c r="E5591" s="1" t="s">
        <v>41</v>
      </c>
      <c r="F5591">
        <v>2005</v>
      </c>
      <c r="G5591">
        <v>18</v>
      </c>
      <c r="H5591" s="1" t="s">
        <v>124</v>
      </c>
      <c r="I5591">
        <v>26</v>
      </c>
      <c r="J5591">
        <v>2827</v>
      </c>
      <c r="K5591" s="1" t="s">
        <v>42</v>
      </c>
      <c r="L5591" s="1" t="s">
        <v>23</v>
      </c>
      <c r="M5591">
        <v>1.5740000000000001</v>
      </c>
      <c r="N5591">
        <v>40937</v>
      </c>
      <c r="O5591">
        <v>40.936999999999998</v>
      </c>
      <c r="P5591" s="2">
        <v>45200</v>
      </c>
      <c r="Q5591">
        <v>1</v>
      </c>
      <c r="R5591" s="1" t="s">
        <v>125</v>
      </c>
    </row>
    <row r="5592" spans="1:18" x14ac:dyDescent="0.25">
      <c r="A5592">
        <v>2023</v>
      </c>
      <c r="B5592">
        <v>11</v>
      </c>
      <c r="C5592" s="1" t="s">
        <v>34</v>
      </c>
      <c r="D5592" s="1" t="s">
        <v>19</v>
      </c>
      <c r="E5592" s="1" t="s">
        <v>41</v>
      </c>
      <c r="F5592">
        <v>2005</v>
      </c>
      <c r="G5592">
        <v>18</v>
      </c>
      <c r="H5592" s="1" t="s">
        <v>124</v>
      </c>
      <c r="I5592">
        <v>26</v>
      </c>
      <c r="J5592">
        <v>2827</v>
      </c>
      <c r="K5592" s="1" t="s">
        <v>42</v>
      </c>
      <c r="L5592" s="1" t="s">
        <v>23</v>
      </c>
      <c r="M5592">
        <v>1.302</v>
      </c>
      <c r="N5592">
        <v>33858.400000000001</v>
      </c>
      <c r="O5592">
        <v>33.857999999999997</v>
      </c>
      <c r="P5592" s="2">
        <v>45231</v>
      </c>
      <c r="Q5592">
        <v>1</v>
      </c>
      <c r="R5592" s="1" t="s">
        <v>125</v>
      </c>
    </row>
    <row r="5593" spans="1:18" x14ac:dyDescent="0.25">
      <c r="A5593">
        <v>2023</v>
      </c>
      <c r="B5593">
        <v>12</v>
      </c>
      <c r="C5593" s="1" t="s">
        <v>35</v>
      </c>
      <c r="D5593" s="1" t="s">
        <v>19</v>
      </c>
      <c r="E5593" s="1" t="s">
        <v>41</v>
      </c>
      <c r="F5593">
        <v>2005</v>
      </c>
      <c r="G5593">
        <v>18</v>
      </c>
      <c r="H5593" s="1" t="s">
        <v>124</v>
      </c>
      <c r="I5593">
        <v>26</v>
      </c>
      <c r="J5593">
        <v>2827</v>
      </c>
      <c r="K5593" s="1" t="s">
        <v>42</v>
      </c>
      <c r="L5593" s="1" t="s">
        <v>23</v>
      </c>
      <c r="M5593">
        <v>0.629</v>
      </c>
      <c r="N5593">
        <v>16363.3</v>
      </c>
      <c r="O5593">
        <v>16.363</v>
      </c>
      <c r="P5593" s="2">
        <v>45261</v>
      </c>
      <c r="Q5593">
        <v>1</v>
      </c>
      <c r="R5593" s="1" t="s">
        <v>125</v>
      </c>
    </row>
    <row r="5594" spans="1:18" x14ac:dyDescent="0.25">
      <c r="A5594">
        <v>2023</v>
      </c>
      <c r="B5594">
        <v>1</v>
      </c>
      <c r="C5594" s="1" t="s">
        <v>18</v>
      </c>
      <c r="D5594" s="1" t="s">
        <v>19</v>
      </c>
      <c r="E5594" s="1" t="s">
        <v>43</v>
      </c>
      <c r="F5594">
        <v>2005</v>
      </c>
      <c r="G5594">
        <v>18</v>
      </c>
      <c r="H5594" s="1" t="s">
        <v>124</v>
      </c>
      <c r="I5594">
        <v>24</v>
      </c>
      <c r="J5594">
        <v>1947</v>
      </c>
      <c r="K5594" s="1" t="s">
        <v>44</v>
      </c>
      <c r="L5594" s="1" t="s">
        <v>45</v>
      </c>
      <c r="M5594">
        <v>0.71199999999999997</v>
      </c>
      <c r="N5594">
        <v>17082.8</v>
      </c>
      <c r="O5594">
        <v>17.082999999999998</v>
      </c>
      <c r="P5594" s="2">
        <v>44927</v>
      </c>
      <c r="Q5594">
        <v>1</v>
      </c>
      <c r="R5594" s="1" t="s">
        <v>125</v>
      </c>
    </row>
    <row r="5595" spans="1:18" x14ac:dyDescent="0.25">
      <c r="A5595">
        <v>2023</v>
      </c>
      <c r="B5595">
        <v>2</v>
      </c>
      <c r="C5595" s="1" t="s">
        <v>25</v>
      </c>
      <c r="D5595" s="1" t="s">
        <v>19</v>
      </c>
      <c r="E5595" s="1" t="s">
        <v>43</v>
      </c>
      <c r="F5595">
        <v>2005</v>
      </c>
      <c r="G5595">
        <v>18</v>
      </c>
      <c r="H5595" s="1" t="s">
        <v>124</v>
      </c>
      <c r="I5595">
        <v>24</v>
      </c>
      <c r="J5595">
        <v>1947</v>
      </c>
      <c r="K5595" s="1" t="s">
        <v>44</v>
      </c>
      <c r="L5595" s="1" t="s">
        <v>45</v>
      </c>
      <c r="M5595">
        <v>1.0209999999999999</v>
      </c>
      <c r="N5595">
        <v>24507.9</v>
      </c>
      <c r="O5595">
        <v>24.507999999999999</v>
      </c>
      <c r="P5595" s="2">
        <v>44958</v>
      </c>
      <c r="Q5595">
        <v>1</v>
      </c>
      <c r="R5595" s="1" t="s">
        <v>125</v>
      </c>
    </row>
    <row r="5596" spans="1:18" x14ac:dyDescent="0.25">
      <c r="A5596">
        <v>2023</v>
      </c>
      <c r="B5596">
        <v>3</v>
      </c>
      <c r="C5596" s="1" t="s">
        <v>26</v>
      </c>
      <c r="D5596" s="1" t="s">
        <v>19</v>
      </c>
      <c r="E5596" s="1" t="s">
        <v>43</v>
      </c>
      <c r="F5596">
        <v>2005</v>
      </c>
      <c r="G5596">
        <v>18</v>
      </c>
      <c r="H5596" s="1" t="s">
        <v>124</v>
      </c>
      <c r="I5596">
        <v>24</v>
      </c>
      <c r="J5596">
        <v>1947</v>
      </c>
      <c r="K5596" s="1" t="s">
        <v>44</v>
      </c>
      <c r="L5596" s="1" t="s">
        <v>45</v>
      </c>
      <c r="M5596">
        <v>1.1859999999999999</v>
      </c>
      <c r="N5596">
        <v>28458.2</v>
      </c>
      <c r="O5596">
        <v>28.457999999999998</v>
      </c>
      <c r="P5596" s="2">
        <v>44986</v>
      </c>
      <c r="Q5596">
        <v>1</v>
      </c>
      <c r="R5596" s="1" t="s">
        <v>125</v>
      </c>
    </row>
    <row r="5597" spans="1:18" x14ac:dyDescent="0.25">
      <c r="A5597">
        <v>2023</v>
      </c>
      <c r="B5597">
        <v>4</v>
      </c>
      <c r="C5597" s="1" t="s">
        <v>27</v>
      </c>
      <c r="D5597" s="1" t="s">
        <v>19</v>
      </c>
      <c r="E5597" s="1" t="s">
        <v>43</v>
      </c>
      <c r="F5597">
        <v>2005</v>
      </c>
      <c r="G5597">
        <v>18</v>
      </c>
      <c r="H5597" s="1" t="s">
        <v>124</v>
      </c>
      <c r="I5597">
        <v>24</v>
      </c>
      <c r="J5597">
        <v>1947</v>
      </c>
      <c r="K5597" s="1" t="s">
        <v>44</v>
      </c>
      <c r="L5597" s="1" t="s">
        <v>45</v>
      </c>
      <c r="M5597">
        <v>1.2050000000000001</v>
      </c>
      <c r="N5597">
        <v>28920.6</v>
      </c>
      <c r="O5597">
        <v>28.920999999999999</v>
      </c>
      <c r="P5597" s="2">
        <v>45017</v>
      </c>
      <c r="Q5597">
        <v>1</v>
      </c>
      <c r="R5597" s="1" t="s">
        <v>125</v>
      </c>
    </row>
    <row r="5598" spans="1:18" x14ac:dyDescent="0.25">
      <c r="A5598">
        <v>2023</v>
      </c>
      <c r="B5598">
        <v>5</v>
      </c>
      <c r="C5598" s="1" t="s">
        <v>28</v>
      </c>
      <c r="D5598" s="1" t="s">
        <v>19</v>
      </c>
      <c r="E5598" s="1" t="s">
        <v>43</v>
      </c>
      <c r="F5598">
        <v>2005</v>
      </c>
      <c r="G5598">
        <v>18</v>
      </c>
      <c r="H5598" s="1" t="s">
        <v>124</v>
      </c>
      <c r="I5598">
        <v>24</v>
      </c>
      <c r="J5598">
        <v>1947</v>
      </c>
      <c r="K5598" s="1" t="s">
        <v>44</v>
      </c>
      <c r="L5598" s="1" t="s">
        <v>45</v>
      </c>
      <c r="M5598">
        <v>1.1970000000000001</v>
      </c>
      <c r="N5598">
        <v>28735.599999999999</v>
      </c>
      <c r="O5598">
        <v>28.736000000000001</v>
      </c>
      <c r="P5598" s="2">
        <v>45047</v>
      </c>
      <c r="Q5598">
        <v>1</v>
      </c>
      <c r="R5598" s="1" t="s">
        <v>125</v>
      </c>
    </row>
    <row r="5599" spans="1:18" x14ac:dyDescent="0.25">
      <c r="A5599">
        <v>2023</v>
      </c>
      <c r="B5599">
        <v>6</v>
      </c>
      <c r="C5599" s="1" t="s">
        <v>29</v>
      </c>
      <c r="D5599" s="1" t="s">
        <v>19</v>
      </c>
      <c r="E5599" s="1" t="s">
        <v>43</v>
      </c>
      <c r="F5599">
        <v>2005</v>
      </c>
      <c r="G5599">
        <v>18</v>
      </c>
      <c r="H5599" s="1" t="s">
        <v>124</v>
      </c>
      <c r="I5599">
        <v>24</v>
      </c>
      <c r="J5599">
        <v>1947</v>
      </c>
      <c r="K5599" s="1" t="s">
        <v>44</v>
      </c>
      <c r="L5599" s="1" t="s">
        <v>45</v>
      </c>
      <c r="M5599">
        <v>1.325</v>
      </c>
      <c r="N5599">
        <v>31800.799999999999</v>
      </c>
      <c r="O5599">
        <v>31.800999999999998</v>
      </c>
      <c r="P5599" s="2">
        <v>45078</v>
      </c>
      <c r="Q5599">
        <v>1</v>
      </c>
      <c r="R5599" s="1" t="s">
        <v>125</v>
      </c>
    </row>
    <row r="5600" spans="1:18" x14ac:dyDescent="0.25">
      <c r="A5600">
        <v>2023</v>
      </c>
      <c r="B5600">
        <v>7</v>
      </c>
      <c r="C5600" s="1" t="s">
        <v>30</v>
      </c>
      <c r="D5600" s="1" t="s">
        <v>19</v>
      </c>
      <c r="E5600" s="1" t="s">
        <v>43</v>
      </c>
      <c r="F5600">
        <v>2005</v>
      </c>
      <c r="G5600">
        <v>18</v>
      </c>
      <c r="H5600" s="1" t="s">
        <v>124</v>
      </c>
      <c r="I5600">
        <v>24</v>
      </c>
      <c r="J5600">
        <v>1947</v>
      </c>
      <c r="K5600" s="1" t="s">
        <v>44</v>
      </c>
      <c r="L5600" s="1" t="s">
        <v>45</v>
      </c>
      <c r="M5600">
        <v>1.218</v>
      </c>
      <c r="N5600">
        <v>29237.7</v>
      </c>
      <c r="O5600">
        <v>29.238</v>
      </c>
      <c r="P5600" s="2">
        <v>45108</v>
      </c>
      <c r="Q5600">
        <v>1</v>
      </c>
      <c r="R5600" s="1" t="s">
        <v>125</v>
      </c>
    </row>
    <row r="5601" spans="1:18" x14ac:dyDescent="0.25">
      <c r="A5601">
        <v>2023</v>
      </c>
      <c r="B5601">
        <v>8</v>
      </c>
      <c r="C5601" s="1" t="s">
        <v>31</v>
      </c>
      <c r="D5601" s="1" t="s">
        <v>19</v>
      </c>
      <c r="E5601" s="1" t="s">
        <v>43</v>
      </c>
      <c r="F5601">
        <v>2005</v>
      </c>
      <c r="G5601">
        <v>18</v>
      </c>
      <c r="H5601" s="1" t="s">
        <v>124</v>
      </c>
      <c r="I5601">
        <v>24</v>
      </c>
      <c r="J5601">
        <v>1947</v>
      </c>
      <c r="K5601" s="1" t="s">
        <v>44</v>
      </c>
      <c r="L5601" s="1" t="s">
        <v>45</v>
      </c>
      <c r="M5601">
        <v>1.2809999999999999</v>
      </c>
      <c r="N5601">
        <v>30743.8</v>
      </c>
      <c r="O5601">
        <v>30.744</v>
      </c>
      <c r="P5601" s="2">
        <v>45139</v>
      </c>
      <c r="Q5601">
        <v>1</v>
      </c>
      <c r="R5601" s="1" t="s">
        <v>125</v>
      </c>
    </row>
    <row r="5602" spans="1:18" x14ac:dyDescent="0.25">
      <c r="A5602">
        <v>2023</v>
      </c>
      <c r="B5602">
        <v>9</v>
      </c>
      <c r="C5602" s="1" t="s">
        <v>32</v>
      </c>
      <c r="D5602" s="1" t="s">
        <v>19</v>
      </c>
      <c r="E5602" s="1" t="s">
        <v>43</v>
      </c>
      <c r="F5602">
        <v>2005</v>
      </c>
      <c r="G5602">
        <v>18</v>
      </c>
      <c r="H5602" s="1" t="s">
        <v>124</v>
      </c>
      <c r="I5602">
        <v>24</v>
      </c>
      <c r="J5602">
        <v>1947</v>
      </c>
      <c r="K5602" s="1" t="s">
        <v>44</v>
      </c>
      <c r="L5602" s="1" t="s">
        <v>45</v>
      </c>
      <c r="M5602">
        <v>1.3240000000000001</v>
      </c>
      <c r="N5602">
        <v>31787.599999999999</v>
      </c>
      <c r="O5602">
        <v>31.788</v>
      </c>
      <c r="P5602" s="2">
        <v>45170</v>
      </c>
      <c r="Q5602">
        <v>1</v>
      </c>
      <c r="R5602" s="1" t="s">
        <v>125</v>
      </c>
    </row>
    <row r="5603" spans="1:18" x14ac:dyDescent="0.25">
      <c r="A5603">
        <v>2023</v>
      </c>
      <c r="B5603">
        <v>10</v>
      </c>
      <c r="C5603" s="1" t="s">
        <v>33</v>
      </c>
      <c r="D5603" s="1" t="s">
        <v>19</v>
      </c>
      <c r="E5603" s="1" t="s">
        <v>43</v>
      </c>
      <c r="F5603">
        <v>2005</v>
      </c>
      <c r="G5603">
        <v>18</v>
      </c>
      <c r="H5603" s="1" t="s">
        <v>124</v>
      </c>
      <c r="I5603">
        <v>24</v>
      </c>
      <c r="J5603">
        <v>1947</v>
      </c>
      <c r="K5603" s="1" t="s">
        <v>44</v>
      </c>
      <c r="L5603" s="1" t="s">
        <v>45</v>
      </c>
      <c r="M5603">
        <v>1.175</v>
      </c>
      <c r="N5603">
        <v>28194</v>
      </c>
      <c r="O5603">
        <v>28.193999999999999</v>
      </c>
      <c r="P5603" s="2">
        <v>45200</v>
      </c>
      <c r="Q5603">
        <v>1</v>
      </c>
      <c r="R5603" s="1" t="s">
        <v>125</v>
      </c>
    </row>
    <row r="5604" spans="1:18" x14ac:dyDescent="0.25">
      <c r="A5604">
        <v>2023</v>
      </c>
      <c r="B5604">
        <v>11</v>
      </c>
      <c r="C5604" s="1" t="s">
        <v>34</v>
      </c>
      <c r="D5604" s="1" t="s">
        <v>19</v>
      </c>
      <c r="E5604" s="1" t="s">
        <v>43</v>
      </c>
      <c r="F5604">
        <v>2005</v>
      </c>
      <c r="G5604">
        <v>18</v>
      </c>
      <c r="H5604" s="1" t="s">
        <v>124</v>
      </c>
      <c r="I5604">
        <v>24</v>
      </c>
      <c r="J5604">
        <v>1947</v>
      </c>
      <c r="K5604" s="1" t="s">
        <v>44</v>
      </c>
      <c r="L5604" s="1" t="s">
        <v>45</v>
      </c>
      <c r="M5604">
        <v>0.97199999999999998</v>
      </c>
      <c r="N5604">
        <v>23318.799999999999</v>
      </c>
      <c r="O5604">
        <v>23.318999999999999</v>
      </c>
      <c r="P5604" s="2">
        <v>45231</v>
      </c>
      <c r="Q5604">
        <v>1</v>
      </c>
      <c r="R5604" s="1" t="s">
        <v>125</v>
      </c>
    </row>
    <row r="5605" spans="1:18" x14ac:dyDescent="0.25">
      <c r="A5605">
        <v>2023</v>
      </c>
      <c r="B5605">
        <v>12</v>
      </c>
      <c r="C5605" s="1" t="s">
        <v>35</v>
      </c>
      <c r="D5605" s="1" t="s">
        <v>19</v>
      </c>
      <c r="E5605" s="1" t="s">
        <v>43</v>
      </c>
      <c r="F5605">
        <v>2005</v>
      </c>
      <c r="G5605">
        <v>18</v>
      </c>
      <c r="H5605" s="1" t="s">
        <v>124</v>
      </c>
      <c r="I5605">
        <v>24</v>
      </c>
      <c r="J5605">
        <v>1947</v>
      </c>
      <c r="K5605" s="1" t="s">
        <v>44</v>
      </c>
      <c r="L5605" s="1" t="s">
        <v>45</v>
      </c>
      <c r="M5605">
        <v>0.47</v>
      </c>
      <c r="N5605">
        <v>11269.7</v>
      </c>
      <c r="O5605">
        <v>11.27</v>
      </c>
      <c r="P5605" s="2">
        <v>45261</v>
      </c>
      <c r="Q5605">
        <v>1</v>
      </c>
      <c r="R5605" s="1" t="s">
        <v>125</v>
      </c>
    </row>
    <row r="5606" spans="1:18" x14ac:dyDescent="0.25">
      <c r="A5606">
        <v>2023</v>
      </c>
      <c r="B5606">
        <v>1</v>
      </c>
      <c r="C5606" s="1" t="s">
        <v>18</v>
      </c>
      <c r="D5606" s="1" t="s">
        <v>19</v>
      </c>
      <c r="E5606" s="1" t="s">
        <v>46</v>
      </c>
      <c r="F5606">
        <v>2006</v>
      </c>
      <c r="G5606">
        <v>17</v>
      </c>
      <c r="H5606" s="1" t="s">
        <v>124</v>
      </c>
      <c r="I5606">
        <v>25</v>
      </c>
      <c r="J5606">
        <v>2740</v>
      </c>
      <c r="K5606" s="1" t="s">
        <v>47</v>
      </c>
      <c r="L5606" s="1" t="s">
        <v>45</v>
      </c>
      <c r="M5606">
        <v>0.96199999999999997</v>
      </c>
      <c r="N5606">
        <v>24040.6</v>
      </c>
      <c r="O5606">
        <v>24.041</v>
      </c>
      <c r="P5606" s="2">
        <v>44927</v>
      </c>
      <c r="Q5606">
        <v>1</v>
      </c>
      <c r="R5606" s="1" t="s">
        <v>125</v>
      </c>
    </row>
    <row r="5607" spans="1:18" x14ac:dyDescent="0.25">
      <c r="A5607">
        <v>2023</v>
      </c>
      <c r="B5607">
        <v>2</v>
      </c>
      <c r="C5607" s="1" t="s">
        <v>25</v>
      </c>
      <c r="D5607" s="1" t="s">
        <v>19</v>
      </c>
      <c r="E5607" s="1" t="s">
        <v>46</v>
      </c>
      <c r="F5607">
        <v>2006</v>
      </c>
      <c r="G5607">
        <v>17</v>
      </c>
      <c r="H5607" s="1" t="s">
        <v>124</v>
      </c>
      <c r="I5607">
        <v>25</v>
      </c>
      <c r="J5607">
        <v>2740</v>
      </c>
      <c r="K5607" s="1" t="s">
        <v>47</v>
      </c>
      <c r="L5607" s="1" t="s">
        <v>45</v>
      </c>
      <c r="M5607">
        <v>1.38</v>
      </c>
      <c r="N5607">
        <v>34489.699999999997</v>
      </c>
      <c r="O5607">
        <v>34.49</v>
      </c>
      <c r="P5607" s="2">
        <v>44958</v>
      </c>
      <c r="Q5607">
        <v>1</v>
      </c>
      <c r="R5607" s="1" t="s">
        <v>125</v>
      </c>
    </row>
    <row r="5608" spans="1:18" x14ac:dyDescent="0.25">
      <c r="A5608">
        <v>2023</v>
      </c>
      <c r="B5608">
        <v>3</v>
      </c>
      <c r="C5608" s="1" t="s">
        <v>26</v>
      </c>
      <c r="D5608" s="1" t="s">
        <v>19</v>
      </c>
      <c r="E5608" s="1" t="s">
        <v>46</v>
      </c>
      <c r="F5608">
        <v>2006</v>
      </c>
      <c r="G5608">
        <v>17</v>
      </c>
      <c r="H5608" s="1" t="s">
        <v>124</v>
      </c>
      <c r="I5608">
        <v>25</v>
      </c>
      <c r="J5608">
        <v>2740</v>
      </c>
      <c r="K5608" s="1" t="s">
        <v>47</v>
      </c>
      <c r="L5608" s="1" t="s">
        <v>45</v>
      </c>
      <c r="M5608">
        <v>1.6020000000000001</v>
      </c>
      <c r="N5608">
        <v>40049</v>
      </c>
      <c r="O5608">
        <v>40.048999999999999</v>
      </c>
      <c r="P5608" s="2">
        <v>44986</v>
      </c>
      <c r="Q5608">
        <v>1</v>
      </c>
      <c r="R5608" s="1" t="s">
        <v>125</v>
      </c>
    </row>
    <row r="5609" spans="1:18" x14ac:dyDescent="0.25">
      <c r="A5609">
        <v>2023</v>
      </c>
      <c r="B5609">
        <v>4</v>
      </c>
      <c r="C5609" s="1" t="s">
        <v>27</v>
      </c>
      <c r="D5609" s="1" t="s">
        <v>19</v>
      </c>
      <c r="E5609" s="1" t="s">
        <v>46</v>
      </c>
      <c r="F5609">
        <v>2006</v>
      </c>
      <c r="G5609">
        <v>17</v>
      </c>
      <c r="H5609" s="1" t="s">
        <v>124</v>
      </c>
      <c r="I5609">
        <v>25</v>
      </c>
      <c r="J5609">
        <v>2740</v>
      </c>
      <c r="K5609" s="1" t="s">
        <v>47</v>
      </c>
      <c r="L5609" s="1" t="s">
        <v>45</v>
      </c>
      <c r="M5609">
        <v>1.6279999999999999</v>
      </c>
      <c r="N5609">
        <v>40699.800000000003</v>
      </c>
      <c r="O5609">
        <v>40.700000000000003</v>
      </c>
      <c r="P5609" s="2">
        <v>45017</v>
      </c>
      <c r="Q5609">
        <v>1</v>
      </c>
      <c r="R5609" s="1" t="s">
        <v>125</v>
      </c>
    </row>
    <row r="5610" spans="1:18" x14ac:dyDescent="0.25">
      <c r="A5610">
        <v>2023</v>
      </c>
      <c r="B5610">
        <v>5</v>
      </c>
      <c r="C5610" s="1" t="s">
        <v>28</v>
      </c>
      <c r="D5610" s="1" t="s">
        <v>19</v>
      </c>
      <c r="E5610" s="1" t="s">
        <v>46</v>
      </c>
      <c r="F5610">
        <v>2006</v>
      </c>
      <c r="G5610">
        <v>17</v>
      </c>
      <c r="H5610" s="1" t="s">
        <v>124</v>
      </c>
      <c r="I5610">
        <v>25</v>
      </c>
      <c r="J5610">
        <v>2740</v>
      </c>
      <c r="K5610" s="1" t="s">
        <v>47</v>
      </c>
      <c r="L5610" s="1" t="s">
        <v>45</v>
      </c>
      <c r="M5610">
        <v>1.6180000000000001</v>
      </c>
      <c r="N5610">
        <v>40439.5</v>
      </c>
      <c r="O5610">
        <v>40.439</v>
      </c>
      <c r="P5610" s="2">
        <v>45047</v>
      </c>
      <c r="Q5610">
        <v>1</v>
      </c>
      <c r="R5610" s="1" t="s">
        <v>125</v>
      </c>
    </row>
    <row r="5611" spans="1:18" x14ac:dyDescent="0.25">
      <c r="A5611">
        <v>2023</v>
      </c>
      <c r="B5611">
        <v>6</v>
      </c>
      <c r="C5611" s="1" t="s">
        <v>29</v>
      </c>
      <c r="D5611" s="1" t="s">
        <v>19</v>
      </c>
      <c r="E5611" s="1" t="s">
        <v>46</v>
      </c>
      <c r="F5611">
        <v>2006</v>
      </c>
      <c r="G5611">
        <v>17</v>
      </c>
      <c r="H5611" s="1" t="s">
        <v>124</v>
      </c>
      <c r="I5611">
        <v>25</v>
      </c>
      <c r="J5611">
        <v>2740</v>
      </c>
      <c r="K5611" s="1" t="s">
        <v>47</v>
      </c>
      <c r="L5611" s="1" t="s">
        <v>45</v>
      </c>
      <c r="M5611">
        <v>1.79</v>
      </c>
      <c r="N5611">
        <v>44753</v>
      </c>
      <c r="O5611">
        <v>44.753</v>
      </c>
      <c r="P5611" s="2">
        <v>45078</v>
      </c>
      <c r="Q5611">
        <v>1</v>
      </c>
      <c r="R5611" s="1" t="s">
        <v>125</v>
      </c>
    </row>
    <row r="5612" spans="1:18" x14ac:dyDescent="0.25">
      <c r="A5612">
        <v>2023</v>
      </c>
      <c r="B5612">
        <v>7</v>
      </c>
      <c r="C5612" s="1" t="s">
        <v>30</v>
      </c>
      <c r="D5612" s="1" t="s">
        <v>19</v>
      </c>
      <c r="E5612" s="1" t="s">
        <v>46</v>
      </c>
      <c r="F5612">
        <v>2006</v>
      </c>
      <c r="G5612">
        <v>17</v>
      </c>
      <c r="H5612" s="1" t="s">
        <v>124</v>
      </c>
      <c r="I5612">
        <v>25</v>
      </c>
      <c r="J5612">
        <v>2740</v>
      </c>
      <c r="K5612" s="1" t="s">
        <v>47</v>
      </c>
      <c r="L5612" s="1" t="s">
        <v>45</v>
      </c>
      <c r="M5612">
        <v>1.6459999999999999</v>
      </c>
      <c r="N5612">
        <v>41146</v>
      </c>
      <c r="O5612">
        <v>41.146000000000001</v>
      </c>
      <c r="P5612" s="2">
        <v>45108</v>
      </c>
      <c r="Q5612">
        <v>1</v>
      </c>
      <c r="R5612" s="1" t="s">
        <v>125</v>
      </c>
    </row>
    <row r="5613" spans="1:18" x14ac:dyDescent="0.25">
      <c r="A5613">
        <v>2023</v>
      </c>
      <c r="B5613">
        <v>8</v>
      </c>
      <c r="C5613" s="1" t="s">
        <v>31</v>
      </c>
      <c r="D5613" s="1" t="s">
        <v>19</v>
      </c>
      <c r="E5613" s="1" t="s">
        <v>46</v>
      </c>
      <c r="F5613">
        <v>2006</v>
      </c>
      <c r="G5613">
        <v>17</v>
      </c>
      <c r="H5613" s="1" t="s">
        <v>124</v>
      </c>
      <c r="I5613">
        <v>25</v>
      </c>
      <c r="J5613">
        <v>2740</v>
      </c>
      <c r="K5613" s="1" t="s">
        <v>47</v>
      </c>
      <c r="L5613" s="1" t="s">
        <v>45</v>
      </c>
      <c r="M5613">
        <v>1.7310000000000001</v>
      </c>
      <c r="N5613">
        <v>43265.599999999999</v>
      </c>
      <c r="O5613">
        <v>43.265999999999998</v>
      </c>
      <c r="P5613" s="2">
        <v>45139</v>
      </c>
      <c r="Q5613">
        <v>1</v>
      </c>
      <c r="R5613" s="1" t="s">
        <v>125</v>
      </c>
    </row>
    <row r="5614" spans="1:18" x14ac:dyDescent="0.25">
      <c r="A5614">
        <v>2023</v>
      </c>
      <c r="B5614">
        <v>9</v>
      </c>
      <c r="C5614" s="1" t="s">
        <v>32</v>
      </c>
      <c r="D5614" s="1" t="s">
        <v>19</v>
      </c>
      <c r="E5614" s="1" t="s">
        <v>46</v>
      </c>
      <c r="F5614">
        <v>2006</v>
      </c>
      <c r="G5614">
        <v>17</v>
      </c>
      <c r="H5614" s="1" t="s">
        <v>124</v>
      </c>
      <c r="I5614">
        <v>25</v>
      </c>
      <c r="J5614">
        <v>2740</v>
      </c>
      <c r="K5614" s="1" t="s">
        <v>47</v>
      </c>
      <c r="L5614" s="1" t="s">
        <v>45</v>
      </c>
      <c r="M5614">
        <v>1.7889999999999999</v>
      </c>
      <c r="N5614">
        <v>44734.400000000001</v>
      </c>
      <c r="O5614">
        <v>44.734000000000002</v>
      </c>
      <c r="P5614" s="2">
        <v>45170</v>
      </c>
      <c r="Q5614">
        <v>1</v>
      </c>
      <c r="R5614" s="1" t="s">
        <v>125</v>
      </c>
    </row>
    <row r="5615" spans="1:18" x14ac:dyDescent="0.25">
      <c r="A5615">
        <v>2023</v>
      </c>
      <c r="B5615">
        <v>10</v>
      </c>
      <c r="C5615" s="1" t="s">
        <v>33</v>
      </c>
      <c r="D5615" s="1" t="s">
        <v>19</v>
      </c>
      <c r="E5615" s="1" t="s">
        <v>46</v>
      </c>
      <c r="F5615">
        <v>2006</v>
      </c>
      <c r="G5615">
        <v>17</v>
      </c>
      <c r="H5615" s="1" t="s">
        <v>124</v>
      </c>
      <c r="I5615">
        <v>25</v>
      </c>
      <c r="J5615">
        <v>2740</v>
      </c>
      <c r="K5615" s="1" t="s">
        <v>47</v>
      </c>
      <c r="L5615" s="1" t="s">
        <v>45</v>
      </c>
      <c r="M5615">
        <v>1.587</v>
      </c>
      <c r="N5615">
        <v>39677.199999999997</v>
      </c>
      <c r="O5615">
        <v>39.677</v>
      </c>
      <c r="P5615" s="2">
        <v>45200</v>
      </c>
      <c r="Q5615">
        <v>1</v>
      </c>
      <c r="R5615" s="1" t="s">
        <v>125</v>
      </c>
    </row>
    <row r="5616" spans="1:18" x14ac:dyDescent="0.25">
      <c r="A5616">
        <v>2023</v>
      </c>
      <c r="B5616">
        <v>11</v>
      </c>
      <c r="C5616" s="1" t="s">
        <v>34</v>
      </c>
      <c r="D5616" s="1" t="s">
        <v>19</v>
      </c>
      <c r="E5616" s="1" t="s">
        <v>46</v>
      </c>
      <c r="F5616">
        <v>2006</v>
      </c>
      <c r="G5616">
        <v>17</v>
      </c>
      <c r="H5616" s="1" t="s">
        <v>124</v>
      </c>
      <c r="I5616">
        <v>25</v>
      </c>
      <c r="J5616">
        <v>2740</v>
      </c>
      <c r="K5616" s="1" t="s">
        <v>47</v>
      </c>
      <c r="L5616" s="1" t="s">
        <v>45</v>
      </c>
      <c r="M5616">
        <v>1.3129999999999999</v>
      </c>
      <c r="N5616">
        <v>32816.400000000001</v>
      </c>
      <c r="O5616">
        <v>32.816000000000003</v>
      </c>
      <c r="P5616" s="2">
        <v>45231</v>
      </c>
      <c r="Q5616">
        <v>1</v>
      </c>
      <c r="R5616" s="1" t="s">
        <v>125</v>
      </c>
    </row>
    <row r="5617" spans="1:18" x14ac:dyDescent="0.25">
      <c r="A5617">
        <v>2023</v>
      </c>
      <c r="B5617">
        <v>12</v>
      </c>
      <c r="C5617" s="1" t="s">
        <v>35</v>
      </c>
      <c r="D5617" s="1" t="s">
        <v>19</v>
      </c>
      <c r="E5617" s="1" t="s">
        <v>46</v>
      </c>
      <c r="F5617">
        <v>2006</v>
      </c>
      <c r="G5617">
        <v>17</v>
      </c>
      <c r="H5617" s="1" t="s">
        <v>124</v>
      </c>
      <c r="I5617">
        <v>25</v>
      </c>
      <c r="J5617">
        <v>2740</v>
      </c>
      <c r="K5617" s="1" t="s">
        <v>47</v>
      </c>
      <c r="L5617" s="1" t="s">
        <v>45</v>
      </c>
      <c r="M5617">
        <v>0.63400000000000001</v>
      </c>
      <c r="N5617">
        <v>15859.7</v>
      </c>
      <c r="O5617">
        <v>15.86</v>
      </c>
      <c r="P5617" s="2">
        <v>45261</v>
      </c>
      <c r="Q5617">
        <v>1</v>
      </c>
      <c r="R5617" s="1" t="s">
        <v>125</v>
      </c>
    </row>
    <row r="5618" spans="1:18" x14ac:dyDescent="0.25">
      <c r="A5618">
        <v>2023</v>
      </c>
      <c r="B5618">
        <v>1</v>
      </c>
      <c r="C5618" s="1" t="s">
        <v>18</v>
      </c>
      <c r="D5618" s="1" t="s">
        <v>19</v>
      </c>
      <c r="E5618" s="1" t="s">
        <v>48</v>
      </c>
      <c r="F5618">
        <v>2006</v>
      </c>
      <c r="G5618">
        <v>17</v>
      </c>
      <c r="H5618" s="1" t="s">
        <v>124</v>
      </c>
      <c r="I5618">
        <v>24</v>
      </c>
      <c r="J5618">
        <v>3230</v>
      </c>
      <c r="K5618" s="1" t="s">
        <v>49</v>
      </c>
      <c r="L5618" s="1" t="s">
        <v>45</v>
      </c>
      <c r="M5618">
        <v>1.181</v>
      </c>
      <c r="N5618">
        <v>28339.8</v>
      </c>
      <c r="O5618">
        <v>28.34</v>
      </c>
      <c r="P5618" s="2">
        <v>44927</v>
      </c>
      <c r="Q5618">
        <v>1</v>
      </c>
      <c r="R5618" s="1" t="s">
        <v>125</v>
      </c>
    </row>
    <row r="5619" spans="1:18" x14ac:dyDescent="0.25">
      <c r="A5619">
        <v>2023</v>
      </c>
      <c r="B5619">
        <v>2</v>
      </c>
      <c r="C5619" s="1" t="s">
        <v>25</v>
      </c>
      <c r="D5619" s="1" t="s">
        <v>19</v>
      </c>
      <c r="E5619" s="1" t="s">
        <v>48</v>
      </c>
      <c r="F5619">
        <v>2006</v>
      </c>
      <c r="G5619">
        <v>17</v>
      </c>
      <c r="H5619" s="1" t="s">
        <v>124</v>
      </c>
      <c r="I5619">
        <v>24</v>
      </c>
      <c r="J5619">
        <v>3230</v>
      </c>
      <c r="K5619" s="1" t="s">
        <v>49</v>
      </c>
      <c r="L5619" s="1" t="s">
        <v>45</v>
      </c>
      <c r="M5619">
        <v>1.694</v>
      </c>
      <c r="N5619">
        <v>40657.599999999999</v>
      </c>
      <c r="O5619">
        <v>40.658000000000001</v>
      </c>
      <c r="P5619" s="2">
        <v>44958</v>
      </c>
      <c r="Q5619">
        <v>1</v>
      </c>
      <c r="R5619" s="1" t="s">
        <v>125</v>
      </c>
    </row>
    <row r="5620" spans="1:18" x14ac:dyDescent="0.25">
      <c r="A5620">
        <v>2023</v>
      </c>
      <c r="B5620">
        <v>3</v>
      </c>
      <c r="C5620" s="1" t="s">
        <v>26</v>
      </c>
      <c r="D5620" s="1" t="s">
        <v>19</v>
      </c>
      <c r="E5620" s="1" t="s">
        <v>48</v>
      </c>
      <c r="F5620">
        <v>2006</v>
      </c>
      <c r="G5620">
        <v>17</v>
      </c>
      <c r="H5620" s="1" t="s">
        <v>124</v>
      </c>
      <c r="I5620">
        <v>24</v>
      </c>
      <c r="J5620">
        <v>3230</v>
      </c>
      <c r="K5620" s="1" t="s">
        <v>49</v>
      </c>
      <c r="L5620" s="1" t="s">
        <v>45</v>
      </c>
      <c r="M5620">
        <v>1.9670000000000001</v>
      </c>
      <c r="N5620">
        <v>47211.1</v>
      </c>
      <c r="O5620">
        <v>47.210999999999999</v>
      </c>
      <c r="P5620" s="2">
        <v>44986</v>
      </c>
      <c r="Q5620">
        <v>1</v>
      </c>
      <c r="R5620" s="1" t="s">
        <v>125</v>
      </c>
    </row>
    <row r="5621" spans="1:18" x14ac:dyDescent="0.25">
      <c r="A5621">
        <v>2023</v>
      </c>
      <c r="B5621">
        <v>4</v>
      </c>
      <c r="C5621" s="1" t="s">
        <v>27</v>
      </c>
      <c r="D5621" s="1" t="s">
        <v>19</v>
      </c>
      <c r="E5621" s="1" t="s">
        <v>48</v>
      </c>
      <c r="F5621">
        <v>2006</v>
      </c>
      <c r="G5621">
        <v>17</v>
      </c>
      <c r="H5621" s="1" t="s">
        <v>124</v>
      </c>
      <c r="I5621">
        <v>24</v>
      </c>
      <c r="J5621">
        <v>3230</v>
      </c>
      <c r="K5621" s="1" t="s">
        <v>49</v>
      </c>
      <c r="L5621" s="1" t="s">
        <v>45</v>
      </c>
      <c r="M5621">
        <v>1.9990000000000001</v>
      </c>
      <c r="N5621">
        <v>47978.2</v>
      </c>
      <c r="O5621">
        <v>47.978000000000002</v>
      </c>
      <c r="P5621" s="2">
        <v>45017</v>
      </c>
      <c r="Q5621">
        <v>1</v>
      </c>
      <c r="R5621" s="1" t="s">
        <v>125</v>
      </c>
    </row>
    <row r="5622" spans="1:18" x14ac:dyDescent="0.25">
      <c r="A5622">
        <v>2023</v>
      </c>
      <c r="B5622">
        <v>5</v>
      </c>
      <c r="C5622" s="1" t="s">
        <v>28</v>
      </c>
      <c r="D5622" s="1" t="s">
        <v>19</v>
      </c>
      <c r="E5622" s="1" t="s">
        <v>48</v>
      </c>
      <c r="F5622">
        <v>2006</v>
      </c>
      <c r="G5622">
        <v>17</v>
      </c>
      <c r="H5622" s="1" t="s">
        <v>124</v>
      </c>
      <c r="I5622">
        <v>24</v>
      </c>
      <c r="J5622">
        <v>3230</v>
      </c>
      <c r="K5622" s="1" t="s">
        <v>49</v>
      </c>
      <c r="L5622" s="1" t="s">
        <v>45</v>
      </c>
      <c r="M5622">
        <v>1.986</v>
      </c>
      <c r="N5622">
        <v>47671.3</v>
      </c>
      <c r="O5622">
        <v>47.670999999999999</v>
      </c>
      <c r="P5622" s="2">
        <v>45047</v>
      </c>
      <c r="Q5622">
        <v>1</v>
      </c>
      <c r="R5622" s="1" t="s">
        <v>125</v>
      </c>
    </row>
    <row r="5623" spans="1:18" x14ac:dyDescent="0.25">
      <c r="A5623">
        <v>2023</v>
      </c>
      <c r="B5623">
        <v>6</v>
      </c>
      <c r="C5623" s="1" t="s">
        <v>29</v>
      </c>
      <c r="D5623" s="1" t="s">
        <v>19</v>
      </c>
      <c r="E5623" s="1" t="s">
        <v>48</v>
      </c>
      <c r="F5623">
        <v>2006</v>
      </c>
      <c r="G5623">
        <v>17</v>
      </c>
      <c r="H5623" s="1" t="s">
        <v>124</v>
      </c>
      <c r="I5623">
        <v>24</v>
      </c>
      <c r="J5623">
        <v>3230</v>
      </c>
      <c r="K5623" s="1" t="s">
        <v>49</v>
      </c>
      <c r="L5623" s="1" t="s">
        <v>45</v>
      </c>
      <c r="M5623">
        <v>2.198</v>
      </c>
      <c r="N5623">
        <v>52756.3</v>
      </c>
      <c r="O5623">
        <v>52.756</v>
      </c>
      <c r="P5623" s="2">
        <v>45078</v>
      </c>
      <c r="Q5623">
        <v>1</v>
      </c>
      <c r="R5623" s="1" t="s">
        <v>125</v>
      </c>
    </row>
    <row r="5624" spans="1:18" x14ac:dyDescent="0.25">
      <c r="A5624">
        <v>2023</v>
      </c>
      <c r="B5624">
        <v>7</v>
      </c>
      <c r="C5624" s="1" t="s">
        <v>30</v>
      </c>
      <c r="D5624" s="1" t="s">
        <v>19</v>
      </c>
      <c r="E5624" s="1" t="s">
        <v>48</v>
      </c>
      <c r="F5624">
        <v>2006</v>
      </c>
      <c r="G5624">
        <v>17</v>
      </c>
      <c r="H5624" s="1" t="s">
        <v>124</v>
      </c>
      <c r="I5624">
        <v>24</v>
      </c>
      <c r="J5624">
        <v>3230</v>
      </c>
      <c r="K5624" s="1" t="s">
        <v>49</v>
      </c>
      <c r="L5624" s="1" t="s">
        <v>45</v>
      </c>
      <c r="M5624">
        <v>2.0209999999999999</v>
      </c>
      <c r="N5624">
        <v>48504.2</v>
      </c>
      <c r="O5624">
        <v>48.503999999999998</v>
      </c>
      <c r="P5624" s="2">
        <v>45108</v>
      </c>
      <c r="Q5624">
        <v>1</v>
      </c>
      <c r="R5624" s="1" t="s">
        <v>125</v>
      </c>
    </row>
    <row r="5625" spans="1:18" x14ac:dyDescent="0.25">
      <c r="A5625">
        <v>2023</v>
      </c>
      <c r="B5625">
        <v>8</v>
      </c>
      <c r="C5625" s="1" t="s">
        <v>31</v>
      </c>
      <c r="D5625" s="1" t="s">
        <v>19</v>
      </c>
      <c r="E5625" s="1" t="s">
        <v>48</v>
      </c>
      <c r="F5625">
        <v>2006</v>
      </c>
      <c r="G5625">
        <v>17</v>
      </c>
      <c r="H5625" s="1" t="s">
        <v>124</v>
      </c>
      <c r="I5625">
        <v>24</v>
      </c>
      <c r="J5625">
        <v>3230</v>
      </c>
      <c r="K5625" s="1" t="s">
        <v>49</v>
      </c>
      <c r="L5625" s="1" t="s">
        <v>45</v>
      </c>
      <c r="M5625">
        <v>2.125</v>
      </c>
      <c r="N5625">
        <v>51002.9</v>
      </c>
      <c r="O5625">
        <v>51.003</v>
      </c>
      <c r="P5625" s="2">
        <v>45139</v>
      </c>
      <c r="Q5625">
        <v>1</v>
      </c>
      <c r="R5625" s="1" t="s">
        <v>125</v>
      </c>
    </row>
    <row r="5626" spans="1:18" x14ac:dyDescent="0.25">
      <c r="A5626">
        <v>2023</v>
      </c>
      <c r="B5626">
        <v>9</v>
      </c>
      <c r="C5626" s="1" t="s">
        <v>32</v>
      </c>
      <c r="D5626" s="1" t="s">
        <v>19</v>
      </c>
      <c r="E5626" s="1" t="s">
        <v>48</v>
      </c>
      <c r="F5626">
        <v>2006</v>
      </c>
      <c r="G5626">
        <v>17</v>
      </c>
      <c r="H5626" s="1" t="s">
        <v>124</v>
      </c>
      <c r="I5626">
        <v>24</v>
      </c>
      <c r="J5626">
        <v>3230</v>
      </c>
      <c r="K5626" s="1" t="s">
        <v>49</v>
      </c>
      <c r="L5626" s="1" t="s">
        <v>45</v>
      </c>
      <c r="M5626">
        <v>2.1970000000000001</v>
      </c>
      <c r="N5626">
        <v>52734.400000000001</v>
      </c>
      <c r="O5626">
        <v>52.734000000000002</v>
      </c>
      <c r="P5626" s="2">
        <v>45170</v>
      </c>
      <c r="Q5626">
        <v>1</v>
      </c>
      <c r="R5626" s="1" t="s">
        <v>125</v>
      </c>
    </row>
    <row r="5627" spans="1:18" x14ac:dyDescent="0.25">
      <c r="A5627">
        <v>2023</v>
      </c>
      <c r="B5627">
        <v>10</v>
      </c>
      <c r="C5627" s="1" t="s">
        <v>33</v>
      </c>
      <c r="D5627" s="1" t="s">
        <v>19</v>
      </c>
      <c r="E5627" s="1" t="s">
        <v>48</v>
      </c>
      <c r="F5627">
        <v>2006</v>
      </c>
      <c r="G5627">
        <v>17</v>
      </c>
      <c r="H5627" s="1" t="s">
        <v>124</v>
      </c>
      <c r="I5627">
        <v>24</v>
      </c>
      <c r="J5627">
        <v>3230</v>
      </c>
      <c r="K5627" s="1" t="s">
        <v>49</v>
      </c>
      <c r="L5627" s="1" t="s">
        <v>45</v>
      </c>
      <c r="M5627">
        <v>1.9490000000000001</v>
      </c>
      <c r="N5627">
        <v>46772.7</v>
      </c>
      <c r="O5627">
        <v>46.773000000000003</v>
      </c>
      <c r="P5627" s="2">
        <v>45200</v>
      </c>
      <c r="Q5627">
        <v>1</v>
      </c>
      <c r="R5627" s="1" t="s">
        <v>125</v>
      </c>
    </row>
    <row r="5628" spans="1:18" x14ac:dyDescent="0.25">
      <c r="A5628">
        <v>2023</v>
      </c>
      <c r="B5628">
        <v>11</v>
      </c>
      <c r="C5628" s="1" t="s">
        <v>34</v>
      </c>
      <c r="D5628" s="1" t="s">
        <v>19</v>
      </c>
      <c r="E5628" s="1" t="s">
        <v>48</v>
      </c>
      <c r="F5628">
        <v>2006</v>
      </c>
      <c r="G5628">
        <v>17</v>
      </c>
      <c r="H5628" s="1" t="s">
        <v>124</v>
      </c>
      <c r="I5628">
        <v>24</v>
      </c>
      <c r="J5628">
        <v>3230</v>
      </c>
      <c r="K5628" s="1" t="s">
        <v>49</v>
      </c>
      <c r="L5628" s="1" t="s">
        <v>45</v>
      </c>
      <c r="M5628">
        <v>1.6120000000000001</v>
      </c>
      <c r="N5628">
        <v>38685</v>
      </c>
      <c r="O5628">
        <v>38.685000000000002</v>
      </c>
      <c r="P5628" s="2">
        <v>45231</v>
      </c>
      <c r="Q5628">
        <v>1</v>
      </c>
      <c r="R5628" s="1" t="s">
        <v>125</v>
      </c>
    </row>
    <row r="5629" spans="1:18" x14ac:dyDescent="0.25">
      <c r="A5629">
        <v>2023</v>
      </c>
      <c r="B5629">
        <v>12</v>
      </c>
      <c r="C5629" s="1" t="s">
        <v>35</v>
      </c>
      <c r="D5629" s="1" t="s">
        <v>19</v>
      </c>
      <c r="E5629" s="1" t="s">
        <v>48</v>
      </c>
      <c r="F5629">
        <v>2006</v>
      </c>
      <c r="G5629">
        <v>17</v>
      </c>
      <c r="H5629" s="1" t="s">
        <v>124</v>
      </c>
      <c r="I5629">
        <v>24</v>
      </c>
      <c r="J5629">
        <v>3230</v>
      </c>
      <c r="K5629" s="1" t="s">
        <v>49</v>
      </c>
      <c r="L5629" s="1" t="s">
        <v>45</v>
      </c>
      <c r="M5629">
        <v>0.77900000000000003</v>
      </c>
      <c r="N5629">
        <v>18695.900000000001</v>
      </c>
      <c r="O5629">
        <v>18.696000000000002</v>
      </c>
      <c r="P5629" s="2">
        <v>45261</v>
      </c>
      <c r="Q5629">
        <v>1</v>
      </c>
      <c r="R5629" s="1" t="s">
        <v>125</v>
      </c>
    </row>
    <row r="5630" spans="1:18" x14ac:dyDescent="0.25">
      <c r="A5630">
        <v>2023</v>
      </c>
      <c r="B5630">
        <v>1</v>
      </c>
      <c r="C5630" s="1" t="s">
        <v>18</v>
      </c>
      <c r="D5630" s="1" t="s">
        <v>19</v>
      </c>
      <c r="E5630" s="1" t="s">
        <v>50</v>
      </c>
      <c r="F5630">
        <v>2006</v>
      </c>
      <c r="G5630">
        <v>17</v>
      </c>
      <c r="H5630" s="1" t="s">
        <v>124</v>
      </c>
      <c r="I5630">
        <v>22</v>
      </c>
      <c r="J5630">
        <v>2447</v>
      </c>
      <c r="K5630" s="1" t="s">
        <v>51</v>
      </c>
      <c r="L5630" s="1" t="s">
        <v>45</v>
      </c>
      <c r="M5630">
        <v>0.97599999999999998</v>
      </c>
      <c r="N5630">
        <v>21469.8</v>
      </c>
      <c r="O5630">
        <v>21.47</v>
      </c>
      <c r="P5630" s="2">
        <v>44927</v>
      </c>
      <c r="Q5630">
        <v>1</v>
      </c>
      <c r="R5630" s="1" t="s">
        <v>125</v>
      </c>
    </row>
    <row r="5631" spans="1:18" x14ac:dyDescent="0.25">
      <c r="A5631">
        <v>2023</v>
      </c>
      <c r="B5631">
        <v>2</v>
      </c>
      <c r="C5631" s="1" t="s">
        <v>25</v>
      </c>
      <c r="D5631" s="1" t="s">
        <v>19</v>
      </c>
      <c r="E5631" s="1" t="s">
        <v>50</v>
      </c>
      <c r="F5631">
        <v>2006</v>
      </c>
      <c r="G5631">
        <v>17</v>
      </c>
      <c r="H5631" s="1" t="s">
        <v>124</v>
      </c>
      <c r="I5631">
        <v>22</v>
      </c>
      <c r="J5631">
        <v>2447</v>
      </c>
      <c r="K5631" s="1" t="s">
        <v>51</v>
      </c>
      <c r="L5631" s="1" t="s">
        <v>45</v>
      </c>
      <c r="M5631">
        <v>1.4</v>
      </c>
      <c r="N5631">
        <v>30801.599999999999</v>
      </c>
      <c r="O5631">
        <v>30.802</v>
      </c>
      <c r="P5631" s="2">
        <v>44958</v>
      </c>
      <c r="Q5631">
        <v>1</v>
      </c>
      <c r="R5631" s="1" t="s">
        <v>125</v>
      </c>
    </row>
    <row r="5632" spans="1:18" x14ac:dyDescent="0.25">
      <c r="A5632">
        <v>2023</v>
      </c>
      <c r="B5632">
        <v>3</v>
      </c>
      <c r="C5632" s="1" t="s">
        <v>26</v>
      </c>
      <c r="D5632" s="1" t="s">
        <v>19</v>
      </c>
      <c r="E5632" s="1" t="s">
        <v>50</v>
      </c>
      <c r="F5632">
        <v>2006</v>
      </c>
      <c r="G5632">
        <v>17</v>
      </c>
      <c r="H5632" s="1" t="s">
        <v>124</v>
      </c>
      <c r="I5632">
        <v>22</v>
      </c>
      <c r="J5632">
        <v>2447</v>
      </c>
      <c r="K5632" s="1" t="s">
        <v>51</v>
      </c>
      <c r="L5632" s="1" t="s">
        <v>45</v>
      </c>
      <c r="M5632">
        <v>1.6259999999999999</v>
      </c>
      <c r="N5632">
        <v>35766.400000000001</v>
      </c>
      <c r="O5632">
        <v>35.765999999999998</v>
      </c>
      <c r="P5632" s="2">
        <v>44986</v>
      </c>
      <c r="Q5632">
        <v>1</v>
      </c>
      <c r="R5632" s="1" t="s">
        <v>125</v>
      </c>
    </row>
    <row r="5633" spans="1:18" x14ac:dyDescent="0.25">
      <c r="A5633">
        <v>2023</v>
      </c>
      <c r="B5633">
        <v>4</v>
      </c>
      <c r="C5633" s="1" t="s">
        <v>27</v>
      </c>
      <c r="D5633" s="1" t="s">
        <v>19</v>
      </c>
      <c r="E5633" s="1" t="s">
        <v>50</v>
      </c>
      <c r="F5633">
        <v>2006</v>
      </c>
      <c r="G5633">
        <v>17</v>
      </c>
      <c r="H5633" s="1" t="s">
        <v>124</v>
      </c>
      <c r="I5633">
        <v>22</v>
      </c>
      <c r="J5633">
        <v>2447</v>
      </c>
      <c r="K5633" s="1" t="s">
        <v>51</v>
      </c>
      <c r="L5633" s="1" t="s">
        <v>45</v>
      </c>
      <c r="M5633">
        <v>1.6519999999999999</v>
      </c>
      <c r="N5633">
        <v>36347.599999999999</v>
      </c>
      <c r="O5633">
        <v>36.347999999999999</v>
      </c>
      <c r="P5633" s="2">
        <v>45017</v>
      </c>
      <c r="Q5633">
        <v>1</v>
      </c>
      <c r="R5633" s="1" t="s">
        <v>125</v>
      </c>
    </row>
    <row r="5634" spans="1:18" x14ac:dyDescent="0.25">
      <c r="A5634">
        <v>2023</v>
      </c>
      <c r="B5634">
        <v>5</v>
      </c>
      <c r="C5634" s="1" t="s">
        <v>28</v>
      </c>
      <c r="D5634" s="1" t="s">
        <v>19</v>
      </c>
      <c r="E5634" s="1" t="s">
        <v>50</v>
      </c>
      <c r="F5634">
        <v>2006</v>
      </c>
      <c r="G5634">
        <v>17</v>
      </c>
      <c r="H5634" s="1" t="s">
        <v>124</v>
      </c>
      <c r="I5634">
        <v>22</v>
      </c>
      <c r="J5634">
        <v>2447</v>
      </c>
      <c r="K5634" s="1" t="s">
        <v>51</v>
      </c>
      <c r="L5634" s="1" t="s">
        <v>45</v>
      </c>
      <c r="M5634">
        <v>1.6419999999999999</v>
      </c>
      <c r="N5634">
        <v>36115.1</v>
      </c>
      <c r="O5634">
        <v>36.115000000000002</v>
      </c>
      <c r="P5634" s="2">
        <v>45047</v>
      </c>
      <c r="Q5634">
        <v>1</v>
      </c>
      <c r="R5634" s="1" t="s">
        <v>125</v>
      </c>
    </row>
    <row r="5635" spans="1:18" x14ac:dyDescent="0.25">
      <c r="A5635">
        <v>2023</v>
      </c>
      <c r="B5635">
        <v>6</v>
      </c>
      <c r="C5635" s="1" t="s">
        <v>29</v>
      </c>
      <c r="D5635" s="1" t="s">
        <v>19</v>
      </c>
      <c r="E5635" s="1" t="s">
        <v>50</v>
      </c>
      <c r="F5635">
        <v>2006</v>
      </c>
      <c r="G5635">
        <v>17</v>
      </c>
      <c r="H5635" s="1" t="s">
        <v>124</v>
      </c>
      <c r="I5635">
        <v>22</v>
      </c>
      <c r="J5635">
        <v>2447</v>
      </c>
      <c r="K5635" s="1" t="s">
        <v>51</v>
      </c>
      <c r="L5635" s="1" t="s">
        <v>45</v>
      </c>
      <c r="M5635">
        <v>1.8169999999999999</v>
      </c>
      <c r="N5635">
        <v>39967.4</v>
      </c>
      <c r="O5635">
        <v>39.966999999999999</v>
      </c>
      <c r="P5635" s="2">
        <v>45078</v>
      </c>
      <c r="Q5635">
        <v>1</v>
      </c>
      <c r="R5635" s="1" t="s">
        <v>125</v>
      </c>
    </row>
    <row r="5636" spans="1:18" x14ac:dyDescent="0.25">
      <c r="A5636">
        <v>2023</v>
      </c>
      <c r="B5636">
        <v>7</v>
      </c>
      <c r="C5636" s="1" t="s">
        <v>30</v>
      </c>
      <c r="D5636" s="1" t="s">
        <v>19</v>
      </c>
      <c r="E5636" s="1" t="s">
        <v>50</v>
      </c>
      <c r="F5636">
        <v>2006</v>
      </c>
      <c r="G5636">
        <v>17</v>
      </c>
      <c r="H5636" s="1" t="s">
        <v>124</v>
      </c>
      <c r="I5636">
        <v>22</v>
      </c>
      <c r="J5636">
        <v>2447</v>
      </c>
      <c r="K5636" s="1" t="s">
        <v>51</v>
      </c>
      <c r="L5636" s="1" t="s">
        <v>45</v>
      </c>
      <c r="M5636">
        <v>1.67</v>
      </c>
      <c r="N5636">
        <v>36746.1</v>
      </c>
      <c r="O5636">
        <v>36.746000000000002</v>
      </c>
      <c r="P5636" s="2">
        <v>45108</v>
      </c>
      <c r="Q5636">
        <v>1</v>
      </c>
      <c r="R5636" s="1" t="s">
        <v>125</v>
      </c>
    </row>
    <row r="5637" spans="1:18" x14ac:dyDescent="0.25">
      <c r="A5637">
        <v>2023</v>
      </c>
      <c r="B5637">
        <v>8</v>
      </c>
      <c r="C5637" s="1" t="s">
        <v>31</v>
      </c>
      <c r="D5637" s="1" t="s">
        <v>19</v>
      </c>
      <c r="E5637" s="1" t="s">
        <v>50</v>
      </c>
      <c r="F5637">
        <v>2006</v>
      </c>
      <c r="G5637">
        <v>17</v>
      </c>
      <c r="H5637" s="1" t="s">
        <v>124</v>
      </c>
      <c r="I5637">
        <v>22</v>
      </c>
      <c r="J5637">
        <v>2447</v>
      </c>
      <c r="K5637" s="1" t="s">
        <v>51</v>
      </c>
      <c r="L5637" s="1" t="s">
        <v>45</v>
      </c>
      <c r="M5637">
        <v>1.756</v>
      </c>
      <c r="N5637">
        <v>38639</v>
      </c>
      <c r="O5637">
        <v>38.639000000000003</v>
      </c>
      <c r="P5637" s="2">
        <v>45139</v>
      </c>
      <c r="Q5637">
        <v>1</v>
      </c>
      <c r="R5637" s="1" t="s">
        <v>125</v>
      </c>
    </row>
    <row r="5638" spans="1:18" x14ac:dyDescent="0.25">
      <c r="A5638">
        <v>2023</v>
      </c>
      <c r="B5638">
        <v>9</v>
      </c>
      <c r="C5638" s="1" t="s">
        <v>32</v>
      </c>
      <c r="D5638" s="1" t="s">
        <v>19</v>
      </c>
      <c r="E5638" s="1" t="s">
        <v>50</v>
      </c>
      <c r="F5638">
        <v>2006</v>
      </c>
      <c r="G5638">
        <v>17</v>
      </c>
      <c r="H5638" s="1" t="s">
        <v>124</v>
      </c>
      <c r="I5638">
        <v>22</v>
      </c>
      <c r="J5638">
        <v>2447</v>
      </c>
      <c r="K5638" s="1" t="s">
        <v>51</v>
      </c>
      <c r="L5638" s="1" t="s">
        <v>45</v>
      </c>
      <c r="M5638">
        <v>1.8160000000000001</v>
      </c>
      <c r="N5638">
        <v>39950.800000000003</v>
      </c>
      <c r="O5638">
        <v>39.951000000000001</v>
      </c>
      <c r="P5638" s="2">
        <v>45170</v>
      </c>
      <c r="Q5638">
        <v>1</v>
      </c>
      <c r="R5638" s="1" t="s">
        <v>125</v>
      </c>
    </row>
    <row r="5639" spans="1:18" x14ac:dyDescent="0.25">
      <c r="A5639">
        <v>2023</v>
      </c>
      <c r="B5639">
        <v>10</v>
      </c>
      <c r="C5639" s="1" t="s">
        <v>33</v>
      </c>
      <c r="D5639" s="1" t="s">
        <v>19</v>
      </c>
      <c r="E5639" s="1" t="s">
        <v>50</v>
      </c>
      <c r="F5639">
        <v>2006</v>
      </c>
      <c r="G5639">
        <v>17</v>
      </c>
      <c r="H5639" s="1" t="s">
        <v>124</v>
      </c>
      <c r="I5639">
        <v>22</v>
      </c>
      <c r="J5639">
        <v>2447</v>
      </c>
      <c r="K5639" s="1" t="s">
        <v>51</v>
      </c>
      <c r="L5639" s="1" t="s">
        <v>45</v>
      </c>
      <c r="M5639">
        <v>1.611</v>
      </c>
      <c r="N5639">
        <v>35434.300000000003</v>
      </c>
      <c r="O5639">
        <v>35.433999999999997</v>
      </c>
      <c r="P5639" s="2">
        <v>45200</v>
      </c>
      <c r="Q5639">
        <v>1</v>
      </c>
      <c r="R5639" s="1" t="s">
        <v>125</v>
      </c>
    </row>
    <row r="5640" spans="1:18" x14ac:dyDescent="0.25">
      <c r="A5640">
        <v>2023</v>
      </c>
      <c r="B5640">
        <v>11</v>
      </c>
      <c r="C5640" s="1" t="s">
        <v>34</v>
      </c>
      <c r="D5640" s="1" t="s">
        <v>19</v>
      </c>
      <c r="E5640" s="1" t="s">
        <v>50</v>
      </c>
      <c r="F5640">
        <v>2006</v>
      </c>
      <c r="G5640">
        <v>17</v>
      </c>
      <c r="H5640" s="1" t="s">
        <v>124</v>
      </c>
      <c r="I5640">
        <v>22</v>
      </c>
      <c r="J5640">
        <v>2447</v>
      </c>
      <c r="K5640" s="1" t="s">
        <v>51</v>
      </c>
      <c r="L5640" s="1" t="s">
        <v>45</v>
      </c>
      <c r="M5640">
        <v>1.3320000000000001</v>
      </c>
      <c r="N5640">
        <v>29307.200000000001</v>
      </c>
      <c r="O5640">
        <v>29.306999999999999</v>
      </c>
      <c r="P5640" s="2">
        <v>45231</v>
      </c>
      <c r="Q5640">
        <v>1</v>
      </c>
      <c r="R5640" s="1" t="s">
        <v>125</v>
      </c>
    </row>
    <row r="5641" spans="1:18" x14ac:dyDescent="0.25">
      <c r="A5641">
        <v>2023</v>
      </c>
      <c r="B5641">
        <v>12</v>
      </c>
      <c r="C5641" s="1" t="s">
        <v>35</v>
      </c>
      <c r="D5641" s="1" t="s">
        <v>19</v>
      </c>
      <c r="E5641" s="1" t="s">
        <v>50</v>
      </c>
      <c r="F5641">
        <v>2006</v>
      </c>
      <c r="G5641">
        <v>17</v>
      </c>
      <c r="H5641" s="1" t="s">
        <v>124</v>
      </c>
      <c r="I5641">
        <v>22</v>
      </c>
      <c r="J5641">
        <v>2447</v>
      </c>
      <c r="K5641" s="1" t="s">
        <v>51</v>
      </c>
      <c r="L5641" s="1" t="s">
        <v>45</v>
      </c>
      <c r="M5641">
        <v>0.64400000000000002</v>
      </c>
      <c r="N5641">
        <v>14163.8</v>
      </c>
      <c r="O5641">
        <v>14.164</v>
      </c>
      <c r="P5641" s="2">
        <v>45261</v>
      </c>
      <c r="Q5641">
        <v>1</v>
      </c>
      <c r="R5641" s="1" t="s">
        <v>125</v>
      </c>
    </row>
    <row r="5642" spans="1:18" x14ac:dyDescent="0.25">
      <c r="A5642">
        <v>2023</v>
      </c>
      <c r="B5642">
        <v>1</v>
      </c>
      <c r="C5642" s="1" t="s">
        <v>18</v>
      </c>
      <c r="D5642" s="1" t="s">
        <v>19</v>
      </c>
      <c r="E5642" s="1" t="s">
        <v>52</v>
      </c>
      <c r="F5642">
        <v>2006</v>
      </c>
      <c r="G5642">
        <v>17</v>
      </c>
      <c r="H5642" s="1" t="s">
        <v>124</v>
      </c>
      <c r="I5642">
        <v>15</v>
      </c>
      <c r="J5642">
        <v>1866</v>
      </c>
      <c r="K5642" s="1" t="s">
        <v>53</v>
      </c>
      <c r="L5642" s="1" t="s">
        <v>45</v>
      </c>
      <c r="M5642">
        <v>1.091</v>
      </c>
      <c r="N5642">
        <v>16372.2</v>
      </c>
      <c r="O5642">
        <v>16.372</v>
      </c>
      <c r="P5642" s="2">
        <v>44927</v>
      </c>
      <c r="Q5642">
        <v>1</v>
      </c>
      <c r="R5642" s="1" t="s">
        <v>125</v>
      </c>
    </row>
    <row r="5643" spans="1:18" x14ac:dyDescent="0.25">
      <c r="A5643">
        <v>2023</v>
      </c>
      <c r="B5643">
        <v>2</v>
      </c>
      <c r="C5643" s="1" t="s">
        <v>25</v>
      </c>
      <c r="D5643" s="1" t="s">
        <v>19</v>
      </c>
      <c r="E5643" s="1" t="s">
        <v>52</v>
      </c>
      <c r="F5643">
        <v>2006</v>
      </c>
      <c r="G5643">
        <v>17</v>
      </c>
      <c r="H5643" s="1" t="s">
        <v>124</v>
      </c>
      <c r="I5643">
        <v>15</v>
      </c>
      <c r="J5643">
        <v>1866</v>
      </c>
      <c r="K5643" s="1" t="s">
        <v>53</v>
      </c>
      <c r="L5643" s="1" t="s">
        <v>45</v>
      </c>
      <c r="M5643">
        <v>1.5660000000000001</v>
      </c>
      <c r="N5643">
        <v>23488.3</v>
      </c>
      <c r="O5643">
        <v>23.488</v>
      </c>
      <c r="P5643" s="2">
        <v>44958</v>
      </c>
      <c r="Q5643">
        <v>1</v>
      </c>
      <c r="R5643" s="1" t="s">
        <v>125</v>
      </c>
    </row>
    <row r="5644" spans="1:18" x14ac:dyDescent="0.25">
      <c r="A5644">
        <v>2023</v>
      </c>
      <c r="B5644">
        <v>3</v>
      </c>
      <c r="C5644" s="1" t="s">
        <v>26</v>
      </c>
      <c r="D5644" s="1" t="s">
        <v>19</v>
      </c>
      <c r="E5644" s="1" t="s">
        <v>52</v>
      </c>
      <c r="F5644">
        <v>2006</v>
      </c>
      <c r="G5644">
        <v>17</v>
      </c>
      <c r="H5644" s="1" t="s">
        <v>124</v>
      </c>
      <c r="I5644">
        <v>15</v>
      </c>
      <c r="J5644">
        <v>1866</v>
      </c>
      <c r="K5644" s="1" t="s">
        <v>53</v>
      </c>
      <c r="L5644" s="1" t="s">
        <v>45</v>
      </c>
      <c r="M5644">
        <v>1.8180000000000001</v>
      </c>
      <c r="N5644">
        <v>27274.3</v>
      </c>
      <c r="O5644">
        <v>27.274000000000001</v>
      </c>
      <c r="P5644" s="2">
        <v>44986</v>
      </c>
      <c r="Q5644">
        <v>1</v>
      </c>
      <c r="R5644" s="1" t="s">
        <v>125</v>
      </c>
    </row>
    <row r="5645" spans="1:18" x14ac:dyDescent="0.25">
      <c r="A5645">
        <v>2023</v>
      </c>
      <c r="B5645">
        <v>4</v>
      </c>
      <c r="C5645" s="1" t="s">
        <v>27</v>
      </c>
      <c r="D5645" s="1" t="s">
        <v>19</v>
      </c>
      <c r="E5645" s="1" t="s">
        <v>52</v>
      </c>
      <c r="F5645">
        <v>2006</v>
      </c>
      <c r="G5645">
        <v>17</v>
      </c>
      <c r="H5645" s="1" t="s">
        <v>124</v>
      </c>
      <c r="I5645">
        <v>15</v>
      </c>
      <c r="J5645">
        <v>1866</v>
      </c>
      <c r="K5645" s="1" t="s">
        <v>53</v>
      </c>
      <c r="L5645" s="1" t="s">
        <v>45</v>
      </c>
      <c r="M5645">
        <v>1.8480000000000001</v>
      </c>
      <c r="N5645">
        <v>27717.4</v>
      </c>
      <c r="O5645">
        <v>27.716999999999999</v>
      </c>
      <c r="P5645" s="2">
        <v>45017</v>
      </c>
      <c r="Q5645">
        <v>1</v>
      </c>
      <c r="R5645" s="1" t="s">
        <v>125</v>
      </c>
    </row>
    <row r="5646" spans="1:18" x14ac:dyDescent="0.25">
      <c r="A5646">
        <v>2023</v>
      </c>
      <c r="B5646">
        <v>5</v>
      </c>
      <c r="C5646" s="1" t="s">
        <v>28</v>
      </c>
      <c r="D5646" s="1" t="s">
        <v>19</v>
      </c>
      <c r="E5646" s="1" t="s">
        <v>52</v>
      </c>
      <c r="F5646">
        <v>2006</v>
      </c>
      <c r="G5646">
        <v>17</v>
      </c>
      <c r="H5646" s="1" t="s">
        <v>124</v>
      </c>
      <c r="I5646">
        <v>15</v>
      </c>
      <c r="J5646">
        <v>1866</v>
      </c>
      <c r="K5646" s="1" t="s">
        <v>53</v>
      </c>
      <c r="L5646" s="1" t="s">
        <v>45</v>
      </c>
      <c r="M5646">
        <v>1.8360000000000001</v>
      </c>
      <c r="N5646">
        <v>27540.2</v>
      </c>
      <c r="O5646">
        <v>27.54</v>
      </c>
      <c r="P5646" s="2">
        <v>45047</v>
      </c>
      <c r="Q5646">
        <v>1</v>
      </c>
      <c r="R5646" s="1" t="s">
        <v>125</v>
      </c>
    </row>
    <row r="5647" spans="1:18" x14ac:dyDescent="0.25">
      <c r="A5647">
        <v>2023</v>
      </c>
      <c r="B5647">
        <v>6</v>
      </c>
      <c r="C5647" s="1" t="s">
        <v>29</v>
      </c>
      <c r="D5647" s="1" t="s">
        <v>19</v>
      </c>
      <c r="E5647" s="1" t="s">
        <v>52</v>
      </c>
      <c r="F5647">
        <v>2006</v>
      </c>
      <c r="G5647">
        <v>17</v>
      </c>
      <c r="H5647" s="1" t="s">
        <v>124</v>
      </c>
      <c r="I5647">
        <v>15</v>
      </c>
      <c r="J5647">
        <v>1866</v>
      </c>
      <c r="K5647" s="1" t="s">
        <v>53</v>
      </c>
      <c r="L5647" s="1" t="s">
        <v>45</v>
      </c>
      <c r="M5647">
        <v>2.032</v>
      </c>
      <c r="N5647">
        <v>30477.8</v>
      </c>
      <c r="O5647">
        <v>30.478000000000002</v>
      </c>
      <c r="P5647" s="2">
        <v>45078</v>
      </c>
      <c r="Q5647">
        <v>1</v>
      </c>
      <c r="R5647" s="1" t="s">
        <v>125</v>
      </c>
    </row>
    <row r="5648" spans="1:18" x14ac:dyDescent="0.25">
      <c r="A5648">
        <v>2023</v>
      </c>
      <c r="B5648">
        <v>7</v>
      </c>
      <c r="C5648" s="1" t="s">
        <v>30</v>
      </c>
      <c r="D5648" s="1" t="s">
        <v>19</v>
      </c>
      <c r="E5648" s="1" t="s">
        <v>52</v>
      </c>
      <c r="F5648">
        <v>2006</v>
      </c>
      <c r="G5648">
        <v>17</v>
      </c>
      <c r="H5648" s="1" t="s">
        <v>124</v>
      </c>
      <c r="I5648">
        <v>15</v>
      </c>
      <c r="J5648">
        <v>1866</v>
      </c>
      <c r="K5648" s="1" t="s">
        <v>53</v>
      </c>
      <c r="L5648" s="1" t="s">
        <v>45</v>
      </c>
      <c r="M5648">
        <v>1.8680000000000001</v>
      </c>
      <c r="N5648">
        <v>28021.3</v>
      </c>
      <c r="O5648">
        <v>28.021000000000001</v>
      </c>
      <c r="P5648" s="2">
        <v>45108</v>
      </c>
      <c r="Q5648">
        <v>1</v>
      </c>
      <c r="R5648" s="1" t="s">
        <v>125</v>
      </c>
    </row>
    <row r="5649" spans="1:18" x14ac:dyDescent="0.25">
      <c r="A5649">
        <v>2023</v>
      </c>
      <c r="B5649">
        <v>8</v>
      </c>
      <c r="C5649" s="1" t="s">
        <v>31</v>
      </c>
      <c r="D5649" s="1" t="s">
        <v>19</v>
      </c>
      <c r="E5649" s="1" t="s">
        <v>52</v>
      </c>
      <c r="F5649">
        <v>2006</v>
      </c>
      <c r="G5649">
        <v>17</v>
      </c>
      <c r="H5649" s="1" t="s">
        <v>124</v>
      </c>
      <c r="I5649">
        <v>15</v>
      </c>
      <c r="J5649">
        <v>1866</v>
      </c>
      <c r="K5649" s="1" t="s">
        <v>53</v>
      </c>
      <c r="L5649" s="1" t="s">
        <v>45</v>
      </c>
      <c r="M5649">
        <v>1.964</v>
      </c>
      <c r="N5649">
        <v>29464.799999999999</v>
      </c>
      <c r="O5649">
        <v>29.465</v>
      </c>
      <c r="P5649" s="2">
        <v>45139</v>
      </c>
      <c r="Q5649">
        <v>1</v>
      </c>
      <c r="R5649" s="1" t="s">
        <v>125</v>
      </c>
    </row>
    <row r="5650" spans="1:18" x14ac:dyDescent="0.25">
      <c r="A5650">
        <v>2023</v>
      </c>
      <c r="B5650">
        <v>9</v>
      </c>
      <c r="C5650" s="1" t="s">
        <v>32</v>
      </c>
      <c r="D5650" s="1" t="s">
        <v>19</v>
      </c>
      <c r="E5650" s="1" t="s">
        <v>52</v>
      </c>
      <c r="F5650">
        <v>2006</v>
      </c>
      <c r="G5650">
        <v>17</v>
      </c>
      <c r="H5650" s="1" t="s">
        <v>124</v>
      </c>
      <c r="I5650">
        <v>15</v>
      </c>
      <c r="J5650">
        <v>1866</v>
      </c>
      <c r="K5650" s="1" t="s">
        <v>53</v>
      </c>
      <c r="L5650" s="1" t="s">
        <v>45</v>
      </c>
      <c r="M5650">
        <v>2.0310000000000001</v>
      </c>
      <c r="N5650">
        <v>30465.1</v>
      </c>
      <c r="O5650">
        <v>30.465</v>
      </c>
      <c r="P5650" s="2">
        <v>45170</v>
      </c>
      <c r="Q5650">
        <v>1</v>
      </c>
      <c r="R5650" s="1" t="s">
        <v>125</v>
      </c>
    </row>
    <row r="5651" spans="1:18" x14ac:dyDescent="0.25">
      <c r="A5651">
        <v>2023</v>
      </c>
      <c r="B5651">
        <v>10</v>
      </c>
      <c r="C5651" s="1" t="s">
        <v>33</v>
      </c>
      <c r="D5651" s="1" t="s">
        <v>19</v>
      </c>
      <c r="E5651" s="1" t="s">
        <v>52</v>
      </c>
      <c r="F5651">
        <v>2006</v>
      </c>
      <c r="G5651">
        <v>17</v>
      </c>
      <c r="H5651" s="1" t="s">
        <v>124</v>
      </c>
      <c r="I5651">
        <v>15</v>
      </c>
      <c r="J5651">
        <v>1866</v>
      </c>
      <c r="K5651" s="1" t="s">
        <v>53</v>
      </c>
      <c r="L5651" s="1" t="s">
        <v>45</v>
      </c>
      <c r="M5651">
        <v>1.8009999999999999</v>
      </c>
      <c r="N5651">
        <v>27021</v>
      </c>
      <c r="O5651">
        <v>27.021000000000001</v>
      </c>
      <c r="P5651" s="2">
        <v>45200</v>
      </c>
      <c r="Q5651">
        <v>1</v>
      </c>
      <c r="R5651" s="1" t="s">
        <v>125</v>
      </c>
    </row>
    <row r="5652" spans="1:18" x14ac:dyDescent="0.25">
      <c r="A5652">
        <v>2023</v>
      </c>
      <c r="B5652">
        <v>11</v>
      </c>
      <c r="C5652" s="1" t="s">
        <v>34</v>
      </c>
      <c r="D5652" s="1" t="s">
        <v>19</v>
      </c>
      <c r="E5652" s="1" t="s">
        <v>52</v>
      </c>
      <c r="F5652">
        <v>2006</v>
      </c>
      <c r="G5652">
        <v>17</v>
      </c>
      <c r="H5652" s="1" t="s">
        <v>124</v>
      </c>
      <c r="I5652">
        <v>15</v>
      </c>
      <c r="J5652">
        <v>1866</v>
      </c>
      <c r="K5652" s="1" t="s">
        <v>53</v>
      </c>
      <c r="L5652" s="1" t="s">
        <v>45</v>
      </c>
      <c r="M5652">
        <v>1.49</v>
      </c>
      <c r="N5652">
        <v>22348.7</v>
      </c>
      <c r="O5652">
        <v>22.349</v>
      </c>
      <c r="P5652" s="2">
        <v>45231</v>
      </c>
      <c r="Q5652">
        <v>1</v>
      </c>
      <c r="R5652" s="1" t="s">
        <v>125</v>
      </c>
    </row>
    <row r="5653" spans="1:18" x14ac:dyDescent="0.25">
      <c r="A5653">
        <v>2023</v>
      </c>
      <c r="B5653">
        <v>12</v>
      </c>
      <c r="C5653" s="1" t="s">
        <v>35</v>
      </c>
      <c r="D5653" s="1" t="s">
        <v>19</v>
      </c>
      <c r="E5653" s="1" t="s">
        <v>52</v>
      </c>
      <c r="F5653">
        <v>2006</v>
      </c>
      <c r="G5653">
        <v>17</v>
      </c>
      <c r="H5653" s="1" t="s">
        <v>124</v>
      </c>
      <c r="I5653">
        <v>15</v>
      </c>
      <c r="J5653">
        <v>1866</v>
      </c>
      <c r="K5653" s="1" t="s">
        <v>53</v>
      </c>
      <c r="L5653" s="1" t="s">
        <v>45</v>
      </c>
      <c r="M5653">
        <v>0.72</v>
      </c>
      <c r="N5653">
        <v>10800.8</v>
      </c>
      <c r="O5653">
        <v>10.801</v>
      </c>
      <c r="P5653" s="2">
        <v>45261</v>
      </c>
      <c r="Q5653">
        <v>1</v>
      </c>
      <c r="R5653" s="1" t="s">
        <v>125</v>
      </c>
    </row>
    <row r="5654" spans="1:18" x14ac:dyDescent="0.25">
      <c r="A5654">
        <v>2023</v>
      </c>
      <c r="B5654">
        <v>1</v>
      </c>
      <c r="C5654" s="1" t="s">
        <v>18</v>
      </c>
      <c r="D5654" s="1" t="s">
        <v>19</v>
      </c>
      <c r="E5654" s="1" t="s">
        <v>54</v>
      </c>
      <c r="F5654">
        <v>2006</v>
      </c>
      <c r="G5654">
        <v>17</v>
      </c>
      <c r="H5654" s="1" t="s">
        <v>124</v>
      </c>
      <c r="I5654">
        <v>25</v>
      </c>
      <c r="J5654">
        <v>3154</v>
      </c>
      <c r="K5654" s="1" t="s">
        <v>55</v>
      </c>
      <c r="L5654" s="1" t="s">
        <v>45</v>
      </c>
      <c r="M5654">
        <v>1.107</v>
      </c>
      <c r="N5654">
        <v>27673</v>
      </c>
      <c r="O5654">
        <v>27.672999999999998</v>
      </c>
      <c r="P5654" s="2">
        <v>44927</v>
      </c>
      <c r="Q5654">
        <v>1</v>
      </c>
      <c r="R5654" s="1" t="s">
        <v>125</v>
      </c>
    </row>
    <row r="5655" spans="1:18" x14ac:dyDescent="0.25">
      <c r="A5655">
        <v>2023</v>
      </c>
      <c r="B5655">
        <v>2</v>
      </c>
      <c r="C5655" s="1" t="s">
        <v>25</v>
      </c>
      <c r="D5655" s="1" t="s">
        <v>19</v>
      </c>
      <c r="E5655" s="1" t="s">
        <v>54</v>
      </c>
      <c r="F5655">
        <v>2006</v>
      </c>
      <c r="G5655">
        <v>17</v>
      </c>
      <c r="H5655" s="1" t="s">
        <v>124</v>
      </c>
      <c r="I5655">
        <v>25</v>
      </c>
      <c r="J5655">
        <v>3154</v>
      </c>
      <c r="K5655" s="1" t="s">
        <v>55</v>
      </c>
      <c r="L5655" s="1" t="s">
        <v>45</v>
      </c>
      <c r="M5655">
        <v>1.5880000000000001</v>
      </c>
      <c r="N5655">
        <v>39701</v>
      </c>
      <c r="O5655">
        <v>39.701000000000001</v>
      </c>
      <c r="P5655" s="2">
        <v>44958</v>
      </c>
      <c r="Q5655">
        <v>1</v>
      </c>
      <c r="R5655" s="1" t="s">
        <v>125</v>
      </c>
    </row>
    <row r="5656" spans="1:18" x14ac:dyDescent="0.25">
      <c r="A5656">
        <v>2023</v>
      </c>
      <c r="B5656">
        <v>3</v>
      </c>
      <c r="C5656" s="1" t="s">
        <v>26</v>
      </c>
      <c r="D5656" s="1" t="s">
        <v>19</v>
      </c>
      <c r="E5656" s="1" t="s">
        <v>54</v>
      </c>
      <c r="F5656">
        <v>2006</v>
      </c>
      <c r="G5656">
        <v>17</v>
      </c>
      <c r="H5656" s="1" t="s">
        <v>124</v>
      </c>
      <c r="I5656">
        <v>25</v>
      </c>
      <c r="J5656">
        <v>3154</v>
      </c>
      <c r="K5656" s="1" t="s">
        <v>55</v>
      </c>
      <c r="L5656" s="1" t="s">
        <v>45</v>
      </c>
      <c r="M5656">
        <v>1.8440000000000001</v>
      </c>
      <c r="N5656">
        <v>46100.2</v>
      </c>
      <c r="O5656">
        <v>46.1</v>
      </c>
      <c r="P5656" s="2">
        <v>44986</v>
      </c>
      <c r="Q5656">
        <v>1</v>
      </c>
      <c r="R5656" s="1" t="s">
        <v>125</v>
      </c>
    </row>
    <row r="5657" spans="1:18" x14ac:dyDescent="0.25">
      <c r="A5657">
        <v>2023</v>
      </c>
      <c r="B5657">
        <v>4</v>
      </c>
      <c r="C5657" s="1" t="s">
        <v>27</v>
      </c>
      <c r="D5657" s="1" t="s">
        <v>19</v>
      </c>
      <c r="E5657" s="1" t="s">
        <v>54</v>
      </c>
      <c r="F5657">
        <v>2006</v>
      </c>
      <c r="G5657">
        <v>17</v>
      </c>
      <c r="H5657" s="1" t="s">
        <v>124</v>
      </c>
      <c r="I5657">
        <v>25</v>
      </c>
      <c r="J5657">
        <v>3154</v>
      </c>
      <c r="K5657" s="1" t="s">
        <v>55</v>
      </c>
      <c r="L5657" s="1" t="s">
        <v>45</v>
      </c>
      <c r="M5657">
        <v>1.8740000000000001</v>
      </c>
      <c r="N5657">
        <v>46849.3</v>
      </c>
      <c r="O5657">
        <v>46.848999999999997</v>
      </c>
      <c r="P5657" s="2">
        <v>45017</v>
      </c>
      <c r="Q5657">
        <v>1</v>
      </c>
      <c r="R5657" s="1" t="s">
        <v>125</v>
      </c>
    </row>
    <row r="5658" spans="1:18" x14ac:dyDescent="0.25">
      <c r="A5658">
        <v>2023</v>
      </c>
      <c r="B5658">
        <v>5</v>
      </c>
      <c r="C5658" s="1" t="s">
        <v>28</v>
      </c>
      <c r="D5658" s="1" t="s">
        <v>19</v>
      </c>
      <c r="E5658" s="1" t="s">
        <v>54</v>
      </c>
      <c r="F5658">
        <v>2006</v>
      </c>
      <c r="G5658">
        <v>17</v>
      </c>
      <c r="H5658" s="1" t="s">
        <v>124</v>
      </c>
      <c r="I5658">
        <v>25</v>
      </c>
      <c r="J5658">
        <v>3154</v>
      </c>
      <c r="K5658" s="1" t="s">
        <v>55</v>
      </c>
      <c r="L5658" s="1" t="s">
        <v>45</v>
      </c>
      <c r="M5658">
        <v>1.8620000000000001</v>
      </c>
      <c r="N5658">
        <v>46549.7</v>
      </c>
      <c r="O5658">
        <v>46.55</v>
      </c>
      <c r="P5658" s="2">
        <v>45047</v>
      </c>
      <c r="Q5658">
        <v>1</v>
      </c>
      <c r="R5658" s="1" t="s">
        <v>125</v>
      </c>
    </row>
    <row r="5659" spans="1:18" x14ac:dyDescent="0.25">
      <c r="A5659">
        <v>2023</v>
      </c>
      <c r="B5659">
        <v>6</v>
      </c>
      <c r="C5659" s="1" t="s">
        <v>29</v>
      </c>
      <c r="D5659" s="1" t="s">
        <v>19</v>
      </c>
      <c r="E5659" s="1" t="s">
        <v>54</v>
      </c>
      <c r="F5659">
        <v>2006</v>
      </c>
      <c r="G5659">
        <v>17</v>
      </c>
      <c r="H5659" s="1" t="s">
        <v>124</v>
      </c>
      <c r="I5659">
        <v>25</v>
      </c>
      <c r="J5659">
        <v>3154</v>
      </c>
      <c r="K5659" s="1" t="s">
        <v>55</v>
      </c>
      <c r="L5659" s="1" t="s">
        <v>45</v>
      </c>
      <c r="M5659">
        <v>2.0609999999999999</v>
      </c>
      <c r="N5659">
        <v>51515</v>
      </c>
      <c r="O5659">
        <v>51.515000000000001</v>
      </c>
      <c r="P5659" s="2">
        <v>45078</v>
      </c>
      <c r="Q5659">
        <v>1</v>
      </c>
      <c r="R5659" s="1" t="s">
        <v>125</v>
      </c>
    </row>
    <row r="5660" spans="1:18" x14ac:dyDescent="0.25">
      <c r="A5660">
        <v>2023</v>
      </c>
      <c r="B5660">
        <v>7</v>
      </c>
      <c r="C5660" s="1" t="s">
        <v>30</v>
      </c>
      <c r="D5660" s="1" t="s">
        <v>19</v>
      </c>
      <c r="E5660" s="1" t="s">
        <v>54</v>
      </c>
      <c r="F5660">
        <v>2006</v>
      </c>
      <c r="G5660">
        <v>17</v>
      </c>
      <c r="H5660" s="1" t="s">
        <v>124</v>
      </c>
      <c r="I5660">
        <v>25</v>
      </c>
      <c r="J5660">
        <v>3154</v>
      </c>
      <c r="K5660" s="1" t="s">
        <v>55</v>
      </c>
      <c r="L5660" s="1" t="s">
        <v>45</v>
      </c>
      <c r="M5660">
        <v>1.895</v>
      </c>
      <c r="N5660">
        <v>47362.9</v>
      </c>
      <c r="O5660">
        <v>47.363</v>
      </c>
      <c r="P5660" s="2">
        <v>45108</v>
      </c>
      <c r="Q5660">
        <v>1</v>
      </c>
      <c r="R5660" s="1" t="s">
        <v>125</v>
      </c>
    </row>
    <row r="5661" spans="1:18" x14ac:dyDescent="0.25">
      <c r="A5661">
        <v>2023</v>
      </c>
      <c r="B5661">
        <v>8</v>
      </c>
      <c r="C5661" s="1" t="s">
        <v>31</v>
      </c>
      <c r="D5661" s="1" t="s">
        <v>19</v>
      </c>
      <c r="E5661" s="1" t="s">
        <v>54</v>
      </c>
      <c r="F5661">
        <v>2006</v>
      </c>
      <c r="G5661">
        <v>17</v>
      </c>
      <c r="H5661" s="1" t="s">
        <v>124</v>
      </c>
      <c r="I5661">
        <v>25</v>
      </c>
      <c r="J5661">
        <v>3154</v>
      </c>
      <c r="K5661" s="1" t="s">
        <v>55</v>
      </c>
      <c r="L5661" s="1" t="s">
        <v>45</v>
      </c>
      <c r="M5661">
        <v>1.992</v>
      </c>
      <c r="N5661">
        <v>49802.8</v>
      </c>
      <c r="O5661">
        <v>49.802999999999997</v>
      </c>
      <c r="P5661" s="2">
        <v>45139</v>
      </c>
      <c r="Q5661">
        <v>1</v>
      </c>
      <c r="R5661" s="1" t="s">
        <v>125</v>
      </c>
    </row>
    <row r="5662" spans="1:18" x14ac:dyDescent="0.25">
      <c r="A5662">
        <v>2023</v>
      </c>
      <c r="B5662">
        <v>9</v>
      </c>
      <c r="C5662" s="1" t="s">
        <v>32</v>
      </c>
      <c r="D5662" s="1" t="s">
        <v>19</v>
      </c>
      <c r="E5662" s="1" t="s">
        <v>54</v>
      </c>
      <c r="F5662">
        <v>2006</v>
      </c>
      <c r="G5662">
        <v>17</v>
      </c>
      <c r="H5662" s="1" t="s">
        <v>124</v>
      </c>
      <c r="I5662">
        <v>25</v>
      </c>
      <c r="J5662">
        <v>3154</v>
      </c>
      <c r="K5662" s="1" t="s">
        <v>55</v>
      </c>
      <c r="L5662" s="1" t="s">
        <v>45</v>
      </c>
      <c r="M5662">
        <v>2.06</v>
      </c>
      <c r="N5662">
        <v>51493.599999999999</v>
      </c>
      <c r="O5662">
        <v>51.494</v>
      </c>
      <c r="P5662" s="2">
        <v>45170</v>
      </c>
      <c r="Q5662">
        <v>1</v>
      </c>
      <c r="R5662" s="1" t="s">
        <v>125</v>
      </c>
    </row>
    <row r="5663" spans="1:18" x14ac:dyDescent="0.25">
      <c r="A5663">
        <v>2023</v>
      </c>
      <c r="B5663">
        <v>10</v>
      </c>
      <c r="C5663" s="1" t="s">
        <v>33</v>
      </c>
      <c r="D5663" s="1" t="s">
        <v>19</v>
      </c>
      <c r="E5663" s="1" t="s">
        <v>54</v>
      </c>
      <c r="F5663">
        <v>2006</v>
      </c>
      <c r="G5663">
        <v>17</v>
      </c>
      <c r="H5663" s="1" t="s">
        <v>124</v>
      </c>
      <c r="I5663">
        <v>25</v>
      </c>
      <c r="J5663">
        <v>3154</v>
      </c>
      <c r="K5663" s="1" t="s">
        <v>55</v>
      </c>
      <c r="L5663" s="1" t="s">
        <v>45</v>
      </c>
      <c r="M5663">
        <v>1.827</v>
      </c>
      <c r="N5663">
        <v>45672.2</v>
      </c>
      <c r="O5663">
        <v>45.671999999999997</v>
      </c>
      <c r="P5663" s="2">
        <v>45200</v>
      </c>
      <c r="Q5663">
        <v>1</v>
      </c>
      <c r="R5663" s="1" t="s">
        <v>125</v>
      </c>
    </row>
    <row r="5664" spans="1:18" x14ac:dyDescent="0.25">
      <c r="A5664">
        <v>2023</v>
      </c>
      <c r="B5664">
        <v>11</v>
      </c>
      <c r="C5664" s="1" t="s">
        <v>34</v>
      </c>
      <c r="D5664" s="1" t="s">
        <v>19</v>
      </c>
      <c r="E5664" s="1" t="s">
        <v>54</v>
      </c>
      <c r="F5664">
        <v>2006</v>
      </c>
      <c r="G5664">
        <v>17</v>
      </c>
      <c r="H5664" s="1" t="s">
        <v>124</v>
      </c>
      <c r="I5664">
        <v>25</v>
      </c>
      <c r="J5664">
        <v>3154</v>
      </c>
      <c r="K5664" s="1" t="s">
        <v>55</v>
      </c>
      <c r="L5664" s="1" t="s">
        <v>45</v>
      </c>
      <c r="M5664">
        <v>1.5109999999999999</v>
      </c>
      <c r="N5664">
        <v>37774.800000000003</v>
      </c>
      <c r="O5664">
        <v>37.774999999999999</v>
      </c>
      <c r="P5664" s="2">
        <v>45231</v>
      </c>
      <c r="Q5664">
        <v>1</v>
      </c>
      <c r="R5664" s="1" t="s">
        <v>125</v>
      </c>
    </row>
    <row r="5665" spans="1:18" x14ac:dyDescent="0.25">
      <c r="A5665">
        <v>2023</v>
      </c>
      <c r="B5665">
        <v>12</v>
      </c>
      <c r="C5665" s="1" t="s">
        <v>35</v>
      </c>
      <c r="D5665" s="1" t="s">
        <v>19</v>
      </c>
      <c r="E5665" s="1" t="s">
        <v>54</v>
      </c>
      <c r="F5665">
        <v>2006</v>
      </c>
      <c r="G5665">
        <v>17</v>
      </c>
      <c r="H5665" s="1" t="s">
        <v>124</v>
      </c>
      <c r="I5665">
        <v>25</v>
      </c>
      <c r="J5665">
        <v>3154</v>
      </c>
      <c r="K5665" s="1" t="s">
        <v>55</v>
      </c>
      <c r="L5665" s="1" t="s">
        <v>45</v>
      </c>
      <c r="M5665">
        <v>0.73</v>
      </c>
      <c r="N5665">
        <v>18256</v>
      </c>
      <c r="O5665">
        <v>18.256</v>
      </c>
      <c r="P5665" s="2">
        <v>45261</v>
      </c>
      <c r="Q5665">
        <v>1</v>
      </c>
      <c r="R5665" s="1" t="s">
        <v>125</v>
      </c>
    </row>
    <row r="5666" spans="1:18" x14ac:dyDescent="0.25">
      <c r="A5666">
        <v>2023</v>
      </c>
      <c r="B5666">
        <v>1</v>
      </c>
      <c r="C5666" s="1" t="s">
        <v>18</v>
      </c>
      <c r="D5666" s="1" t="s">
        <v>19</v>
      </c>
      <c r="E5666" s="1" t="s">
        <v>56</v>
      </c>
      <c r="F5666">
        <v>2006</v>
      </c>
      <c r="G5666">
        <v>17</v>
      </c>
      <c r="H5666" s="1" t="s">
        <v>124</v>
      </c>
      <c r="I5666">
        <v>35</v>
      </c>
      <c r="J5666">
        <v>4204</v>
      </c>
      <c r="K5666" s="1" t="s">
        <v>57</v>
      </c>
      <c r="L5666" s="1" t="s">
        <v>45</v>
      </c>
      <c r="M5666">
        <v>1.054</v>
      </c>
      <c r="N5666">
        <v>36885.599999999999</v>
      </c>
      <c r="O5666">
        <v>36.886000000000003</v>
      </c>
      <c r="P5666" s="2">
        <v>44927</v>
      </c>
      <c r="Q5666">
        <v>1</v>
      </c>
      <c r="R5666" s="1" t="s">
        <v>125</v>
      </c>
    </row>
    <row r="5667" spans="1:18" x14ac:dyDescent="0.25">
      <c r="A5667">
        <v>2023</v>
      </c>
      <c r="B5667">
        <v>2</v>
      </c>
      <c r="C5667" s="1" t="s">
        <v>25</v>
      </c>
      <c r="D5667" s="1" t="s">
        <v>19</v>
      </c>
      <c r="E5667" s="1" t="s">
        <v>56</v>
      </c>
      <c r="F5667">
        <v>2006</v>
      </c>
      <c r="G5667">
        <v>17</v>
      </c>
      <c r="H5667" s="1" t="s">
        <v>124</v>
      </c>
      <c r="I5667">
        <v>35</v>
      </c>
      <c r="J5667">
        <v>4204</v>
      </c>
      <c r="K5667" s="1" t="s">
        <v>57</v>
      </c>
      <c r="L5667" s="1" t="s">
        <v>45</v>
      </c>
      <c r="M5667">
        <v>1.512</v>
      </c>
      <c r="N5667">
        <v>52917.8</v>
      </c>
      <c r="O5667">
        <v>52.917999999999999</v>
      </c>
      <c r="P5667" s="2">
        <v>44958</v>
      </c>
      <c r="Q5667">
        <v>1</v>
      </c>
      <c r="R5667" s="1" t="s">
        <v>125</v>
      </c>
    </row>
    <row r="5668" spans="1:18" x14ac:dyDescent="0.25">
      <c r="A5668">
        <v>2023</v>
      </c>
      <c r="B5668">
        <v>3</v>
      </c>
      <c r="C5668" s="1" t="s">
        <v>26</v>
      </c>
      <c r="D5668" s="1" t="s">
        <v>19</v>
      </c>
      <c r="E5668" s="1" t="s">
        <v>56</v>
      </c>
      <c r="F5668">
        <v>2006</v>
      </c>
      <c r="G5668">
        <v>17</v>
      </c>
      <c r="H5668" s="1" t="s">
        <v>124</v>
      </c>
      <c r="I5668">
        <v>35</v>
      </c>
      <c r="J5668">
        <v>4204</v>
      </c>
      <c r="K5668" s="1" t="s">
        <v>57</v>
      </c>
      <c r="L5668" s="1" t="s">
        <v>45</v>
      </c>
      <c r="M5668">
        <v>1.756</v>
      </c>
      <c r="N5668">
        <v>61447.5</v>
      </c>
      <c r="O5668">
        <v>61.447000000000003</v>
      </c>
      <c r="P5668" s="2">
        <v>44986</v>
      </c>
      <c r="Q5668">
        <v>1</v>
      </c>
      <c r="R5668" s="1" t="s">
        <v>125</v>
      </c>
    </row>
    <row r="5669" spans="1:18" x14ac:dyDescent="0.25">
      <c r="A5669">
        <v>2023</v>
      </c>
      <c r="B5669">
        <v>4</v>
      </c>
      <c r="C5669" s="1" t="s">
        <v>27</v>
      </c>
      <c r="D5669" s="1" t="s">
        <v>19</v>
      </c>
      <c r="E5669" s="1" t="s">
        <v>56</v>
      </c>
      <c r="F5669">
        <v>2006</v>
      </c>
      <c r="G5669">
        <v>17</v>
      </c>
      <c r="H5669" s="1" t="s">
        <v>124</v>
      </c>
      <c r="I5669">
        <v>35</v>
      </c>
      <c r="J5669">
        <v>4204</v>
      </c>
      <c r="K5669" s="1" t="s">
        <v>57</v>
      </c>
      <c r="L5669" s="1" t="s">
        <v>45</v>
      </c>
      <c r="M5669">
        <v>1.784</v>
      </c>
      <c r="N5669">
        <v>62445.9</v>
      </c>
      <c r="O5669">
        <v>62.445999999999998</v>
      </c>
      <c r="P5669" s="2">
        <v>45017</v>
      </c>
      <c r="Q5669">
        <v>1</v>
      </c>
      <c r="R5669" s="1" t="s">
        <v>125</v>
      </c>
    </row>
    <row r="5670" spans="1:18" x14ac:dyDescent="0.25">
      <c r="A5670">
        <v>2023</v>
      </c>
      <c r="B5670">
        <v>5</v>
      </c>
      <c r="C5670" s="1" t="s">
        <v>28</v>
      </c>
      <c r="D5670" s="1" t="s">
        <v>19</v>
      </c>
      <c r="E5670" s="1" t="s">
        <v>56</v>
      </c>
      <c r="F5670">
        <v>2006</v>
      </c>
      <c r="G5670">
        <v>17</v>
      </c>
      <c r="H5670" s="1" t="s">
        <v>124</v>
      </c>
      <c r="I5670">
        <v>35</v>
      </c>
      <c r="J5670">
        <v>4204</v>
      </c>
      <c r="K5670" s="1" t="s">
        <v>57</v>
      </c>
      <c r="L5670" s="1" t="s">
        <v>45</v>
      </c>
      <c r="M5670">
        <v>1.7729999999999999</v>
      </c>
      <c r="N5670">
        <v>62046.5</v>
      </c>
      <c r="O5670">
        <v>62.046999999999997</v>
      </c>
      <c r="P5670" s="2">
        <v>45047</v>
      </c>
      <c r="Q5670">
        <v>1</v>
      </c>
      <c r="R5670" s="1" t="s">
        <v>125</v>
      </c>
    </row>
    <row r="5671" spans="1:18" x14ac:dyDescent="0.25">
      <c r="A5671">
        <v>2023</v>
      </c>
      <c r="B5671">
        <v>6</v>
      </c>
      <c r="C5671" s="1" t="s">
        <v>29</v>
      </c>
      <c r="D5671" s="1" t="s">
        <v>19</v>
      </c>
      <c r="E5671" s="1" t="s">
        <v>56</v>
      </c>
      <c r="F5671">
        <v>2006</v>
      </c>
      <c r="G5671">
        <v>17</v>
      </c>
      <c r="H5671" s="1" t="s">
        <v>124</v>
      </c>
      <c r="I5671">
        <v>35</v>
      </c>
      <c r="J5671">
        <v>4204</v>
      </c>
      <c r="K5671" s="1" t="s">
        <v>57</v>
      </c>
      <c r="L5671" s="1" t="s">
        <v>45</v>
      </c>
      <c r="M5671">
        <v>1.962</v>
      </c>
      <c r="N5671">
        <v>68664.800000000003</v>
      </c>
      <c r="O5671">
        <v>68.665000000000006</v>
      </c>
      <c r="P5671" s="2">
        <v>45078</v>
      </c>
      <c r="Q5671">
        <v>1</v>
      </c>
      <c r="R5671" s="1" t="s">
        <v>125</v>
      </c>
    </row>
    <row r="5672" spans="1:18" x14ac:dyDescent="0.25">
      <c r="A5672">
        <v>2023</v>
      </c>
      <c r="B5672">
        <v>7</v>
      </c>
      <c r="C5672" s="1" t="s">
        <v>30</v>
      </c>
      <c r="D5672" s="1" t="s">
        <v>19</v>
      </c>
      <c r="E5672" s="1" t="s">
        <v>56</v>
      </c>
      <c r="F5672">
        <v>2006</v>
      </c>
      <c r="G5672">
        <v>17</v>
      </c>
      <c r="H5672" s="1" t="s">
        <v>124</v>
      </c>
      <c r="I5672">
        <v>35</v>
      </c>
      <c r="J5672">
        <v>4204</v>
      </c>
      <c r="K5672" s="1" t="s">
        <v>57</v>
      </c>
      <c r="L5672" s="1" t="s">
        <v>45</v>
      </c>
      <c r="M5672">
        <v>1.804</v>
      </c>
      <c r="N5672">
        <v>63130.6</v>
      </c>
      <c r="O5672">
        <v>63.131</v>
      </c>
      <c r="P5672" s="2">
        <v>45108</v>
      </c>
      <c r="Q5672">
        <v>1</v>
      </c>
      <c r="R5672" s="1" t="s">
        <v>125</v>
      </c>
    </row>
    <row r="5673" spans="1:18" x14ac:dyDescent="0.25">
      <c r="A5673">
        <v>2023</v>
      </c>
      <c r="B5673">
        <v>8</v>
      </c>
      <c r="C5673" s="1" t="s">
        <v>31</v>
      </c>
      <c r="D5673" s="1" t="s">
        <v>19</v>
      </c>
      <c r="E5673" s="1" t="s">
        <v>56</v>
      </c>
      <c r="F5673">
        <v>2006</v>
      </c>
      <c r="G5673">
        <v>17</v>
      </c>
      <c r="H5673" s="1" t="s">
        <v>124</v>
      </c>
      <c r="I5673">
        <v>35</v>
      </c>
      <c r="J5673">
        <v>4204</v>
      </c>
      <c r="K5673" s="1" t="s">
        <v>57</v>
      </c>
      <c r="L5673" s="1" t="s">
        <v>45</v>
      </c>
      <c r="M5673">
        <v>1.897</v>
      </c>
      <c r="N5673">
        <v>66382.7</v>
      </c>
      <c r="O5673">
        <v>66.382999999999996</v>
      </c>
      <c r="P5673" s="2">
        <v>45139</v>
      </c>
      <c r="Q5673">
        <v>1</v>
      </c>
      <c r="R5673" s="1" t="s">
        <v>125</v>
      </c>
    </row>
    <row r="5674" spans="1:18" x14ac:dyDescent="0.25">
      <c r="A5674">
        <v>2023</v>
      </c>
      <c r="B5674">
        <v>9</v>
      </c>
      <c r="C5674" s="1" t="s">
        <v>32</v>
      </c>
      <c r="D5674" s="1" t="s">
        <v>19</v>
      </c>
      <c r="E5674" s="1" t="s">
        <v>56</v>
      </c>
      <c r="F5674">
        <v>2006</v>
      </c>
      <c r="G5674">
        <v>17</v>
      </c>
      <c r="H5674" s="1" t="s">
        <v>124</v>
      </c>
      <c r="I5674">
        <v>35</v>
      </c>
      <c r="J5674">
        <v>4204</v>
      </c>
      <c r="K5674" s="1" t="s">
        <v>57</v>
      </c>
      <c r="L5674" s="1" t="s">
        <v>45</v>
      </c>
      <c r="M5674">
        <v>1.9610000000000001</v>
      </c>
      <c r="N5674">
        <v>68636.3</v>
      </c>
      <c r="O5674">
        <v>68.635999999999996</v>
      </c>
      <c r="P5674" s="2">
        <v>45170</v>
      </c>
      <c r="Q5674">
        <v>1</v>
      </c>
      <c r="R5674" s="1" t="s">
        <v>125</v>
      </c>
    </row>
    <row r="5675" spans="1:18" x14ac:dyDescent="0.25">
      <c r="A5675">
        <v>2023</v>
      </c>
      <c r="B5675">
        <v>10</v>
      </c>
      <c r="C5675" s="1" t="s">
        <v>33</v>
      </c>
      <c r="D5675" s="1" t="s">
        <v>19</v>
      </c>
      <c r="E5675" s="1" t="s">
        <v>56</v>
      </c>
      <c r="F5675">
        <v>2006</v>
      </c>
      <c r="G5675">
        <v>17</v>
      </c>
      <c r="H5675" s="1" t="s">
        <v>124</v>
      </c>
      <c r="I5675">
        <v>35</v>
      </c>
      <c r="J5675">
        <v>4204</v>
      </c>
      <c r="K5675" s="1" t="s">
        <v>57</v>
      </c>
      <c r="L5675" s="1" t="s">
        <v>45</v>
      </c>
      <c r="M5675">
        <v>1.7390000000000001</v>
      </c>
      <c r="N5675">
        <v>60876.9</v>
      </c>
      <c r="O5675">
        <v>60.877000000000002</v>
      </c>
      <c r="P5675" s="2">
        <v>45200</v>
      </c>
      <c r="Q5675">
        <v>1</v>
      </c>
      <c r="R5675" s="1" t="s">
        <v>125</v>
      </c>
    </row>
    <row r="5676" spans="1:18" x14ac:dyDescent="0.25">
      <c r="A5676">
        <v>2023</v>
      </c>
      <c r="B5676">
        <v>11</v>
      </c>
      <c r="C5676" s="1" t="s">
        <v>34</v>
      </c>
      <c r="D5676" s="1" t="s">
        <v>19</v>
      </c>
      <c r="E5676" s="1" t="s">
        <v>56</v>
      </c>
      <c r="F5676">
        <v>2006</v>
      </c>
      <c r="G5676">
        <v>17</v>
      </c>
      <c r="H5676" s="1" t="s">
        <v>124</v>
      </c>
      <c r="I5676">
        <v>35</v>
      </c>
      <c r="J5676">
        <v>4204</v>
      </c>
      <c r="K5676" s="1" t="s">
        <v>57</v>
      </c>
      <c r="L5676" s="1" t="s">
        <v>45</v>
      </c>
      <c r="M5676">
        <v>1.4390000000000001</v>
      </c>
      <c r="N5676">
        <v>50350.400000000001</v>
      </c>
      <c r="O5676">
        <v>50.35</v>
      </c>
      <c r="P5676" s="2">
        <v>45231</v>
      </c>
      <c r="Q5676">
        <v>1</v>
      </c>
      <c r="R5676" s="1" t="s">
        <v>125</v>
      </c>
    </row>
    <row r="5677" spans="1:18" x14ac:dyDescent="0.25">
      <c r="A5677">
        <v>2023</v>
      </c>
      <c r="B5677">
        <v>12</v>
      </c>
      <c r="C5677" s="1" t="s">
        <v>35</v>
      </c>
      <c r="D5677" s="1" t="s">
        <v>19</v>
      </c>
      <c r="E5677" s="1" t="s">
        <v>56</v>
      </c>
      <c r="F5677">
        <v>2006</v>
      </c>
      <c r="G5677">
        <v>17</v>
      </c>
      <c r="H5677" s="1" t="s">
        <v>124</v>
      </c>
      <c r="I5677">
        <v>35</v>
      </c>
      <c r="J5677">
        <v>4204</v>
      </c>
      <c r="K5677" s="1" t="s">
        <v>57</v>
      </c>
      <c r="L5677" s="1" t="s">
        <v>45</v>
      </c>
      <c r="M5677">
        <v>0.69499999999999995</v>
      </c>
      <c r="N5677">
        <v>24333.7</v>
      </c>
      <c r="O5677">
        <v>24.334</v>
      </c>
      <c r="P5677" s="2">
        <v>45261</v>
      </c>
      <c r="Q5677">
        <v>1</v>
      </c>
      <c r="R5677" s="1" t="s">
        <v>125</v>
      </c>
    </row>
    <row r="5678" spans="1:18" x14ac:dyDescent="0.25">
      <c r="A5678">
        <v>2023</v>
      </c>
      <c r="B5678">
        <v>1</v>
      </c>
      <c r="C5678" s="1" t="s">
        <v>18</v>
      </c>
      <c r="D5678" s="1" t="s">
        <v>19</v>
      </c>
      <c r="E5678" s="1" t="s">
        <v>58</v>
      </c>
      <c r="F5678">
        <v>2012</v>
      </c>
      <c r="G5678">
        <v>11</v>
      </c>
      <c r="H5678" s="1" t="s">
        <v>21</v>
      </c>
      <c r="I5678">
        <v>10</v>
      </c>
      <c r="J5678">
        <v>1434</v>
      </c>
      <c r="K5678" s="1" t="s">
        <v>60</v>
      </c>
      <c r="L5678" s="1" t="s">
        <v>45</v>
      </c>
      <c r="M5678">
        <v>1.391</v>
      </c>
      <c r="N5678">
        <v>13906.2</v>
      </c>
      <c r="O5678">
        <v>13.906000000000001</v>
      </c>
      <c r="P5678" s="2">
        <v>44927</v>
      </c>
      <c r="Q5678">
        <v>1</v>
      </c>
      <c r="R5678" s="1" t="s">
        <v>24</v>
      </c>
    </row>
    <row r="5679" spans="1:18" x14ac:dyDescent="0.25">
      <c r="A5679">
        <v>2023</v>
      </c>
      <c r="B5679">
        <v>2</v>
      </c>
      <c r="C5679" s="1" t="s">
        <v>25</v>
      </c>
      <c r="D5679" s="1" t="s">
        <v>19</v>
      </c>
      <c r="E5679" s="1" t="s">
        <v>58</v>
      </c>
      <c r="F5679">
        <v>2012</v>
      </c>
      <c r="G5679">
        <v>11</v>
      </c>
      <c r="H5679" s="1" t="s">
        <v>21</v>
      </c>
      <c r="I5679">
        <v>10</v>
      </c>
      <c r="J5679">
        <v>1434</v>
      </c>
      <c r="K5679" s="1" t="s">
        <v>60</v>
      </c>
      <c r="L5679" s="1" t="s">
        <v>45</v>
      </c>
      <c r="M5679">
        <v>1.9950000000000001</v>
      </c>
      <c r="N5679">
        <v>19950.5</v>
      </c>
      <c r="O5679">
        <v>19.951000000000001</v>
      </c>
      <c r="P5679" s="2">
        <v>44958</v>
      </c>
      <c r="Q5679">
        <v>1</v>
      </c>
      <c r="R5679" s="1" t="s">
        <v>24</v>
      </c>
    </row>
    <row r="5680" spans="1:18" x14ac:dyDescent="0.25">
      <c r="A5680">
        <v>2023</v>
      </c>
      <c r="B5680">
        <v>3</v>
      </c>
      <c r="C5680" s="1" t="s">
        <v>26</v>
      </c>
      <c r="D5680" s="1" t="s">
        <v>19</v>
      </c>
      <c r="E5680" s="1" t="s">
        <v>58</v>
      </c>
      <c r="F5680">
        <v>2012</v>
      </c>
      <c r="G5680">
        <v>11</v>
      </c>
      <c r="H5680" s="1" t="s">
        <v>21</v>
      </c>
      <c r="I5680">
        <v>10</v>
      </c>
      <c r="J5680">
        <v>1434</v>
      </c>
      <c r="K5680" s="1" t="s">
        <v>60</v>
      </c>
      <c r="L5680" s="1" t="s">
        <v>45</v>
      </c>
      <c r="M5680">
        <v>2.3170000000000002</v>
      </c>
      <c r="N5680">
        <v>23166.3</v>
      </c>
      <c r="O5680">
        <v>23.166</v>
      </c>
      <c r="P5680" s="2">
        <v>44986</v>
      </c>
      <c r="Q5680">
        <v>1</v>
      </c>
      <c r="R5680" s="1" t="s">
        <v>24</v>
      </c>
    </row>
    <row r="5681" spans="1:18" x14ac:dyDescent="0.25">
      <c r="A5681">
        <v>2023</v>
      </c>
      <c r="B5681">
        <v>4</v>
      </c>
      <c r="C5681" s="1" t="s">
        <v>27</v>
      </c>
      <c r="D5681" s="1" t="s">
        <v>19</v>
      </c>
      <c r="E5681" s="1" t="s">
        <v>58</v>
      </c>
      <c r="F5681">
        <v>2012</v>
      </c>
      <c r="G5681">
        <v>11</v>
      </c>
      <c r="H5681" s="1" t="s">
        <v>21</v>
      </c>
      <c r="I5681">
        <v>10</v>
      </c>
      <c r="J5681">
        <v>1434</v>
      </c>
      <c r="K5681" s="1" t="s">
        <v>60</v>
      </c>
      <c r="L5681" s="1" t="s">
        <v>45</v>
      </c>
      <c r="M5681">
        <v>2.3540000000000001</v>
      </c>
      <c r="N5681">
        <v>23542.7</v>
      </c>
      <c r="O5681">
        <v>23.542999999999999</v>
      </c>
      <c r="P5681" s="2">
        <v>45017</v>
      </c>
      <c r="Q5681">
        <v>1</v>
      </c>
      <c r="R5681" s="1" t="s">
        <v>24</v>
      </c>
    </row>
    <row r="5682" spans="1:18" x14ac:dyDescent="0.25">
      <c r="A5682">
        <v>2023</v>
      </c>
      <c r="B5682">
        <v>5</v>
      </c>
      <c r="C5682" s="1" t="s">
        <v>28</v>
      </c>
      <c r="D5682" s="1" t="s">
        <v>19</v>
      </c>
      <c r="E5682" s="1" t="s">
        <v>58</v>
      </c>
      <c r="F5682">
        <v>2012</v>
      </c>
      <c r="G5682">
        <v>11</v>
      </c>
      <c r="H5682" s="1" t="s">
        <v>21</v>
      </c>
      <c r="I5682">
        <v>10</v>
      </c>
      <c r="J5682">
        <v>1434</v>
      </c>
      <c r="K5682" s="1" t="s">
        <v>60</v>
      </c>
      <c r="L5682" s="1" t="s">
        <v>45</v>
      </c>
      <c r="M5682">
        <v>2.339</v>
      </c>
      <c r="N5682">
        <v>23392.1</v>
      </c>
      <c r="O5682">
        <v>23.391999999999999</v>
      </c>
      <c r="P5682" s="2">
        <v>45047</v>
      </c>
      <c r="Q5682">
        <v>1</v>
      </c>
      <c r="R5682" s="1" t="s">
        <v>24</v>
      </c>
    </row>
    <row r="5683" spans="1:18" x14ac:dyDescent="0.25">
      <c r="A5683">
        <v>2023</v>
      </c>
      <c r="B5683">
        <v>6</v>
      </c>
      <c r="C5683" s="1" t="s">
        <v>29</v>
      </c>
      <c r="D5683" s="1" t="s">
        <v>19</v>
      </c>
      <c r="E5683" s="1" t="s">
        <v>58</v>
      </c>
      <c r="F5683">
        <v>2012</v>
      </c>
      <c r="G5683">
        <v>11</v>
      </c>
      <c r="H5683" s="1" t="s">
        <v>21</v>
      </c>
      <c r="I5683">
        <v>10</v>
      </c>
      <c r="J5683">
        <v>1434</v>
      </c>
      <c r="K5683" s="1" t="s">
        <v>60</v>
      </c>
      <c r="L5683" s="1" t="s">
        <v>45</v>
      </c>
      <c r="M5683">
        <v>2.589</v>
      </c>
      <c r="N5683">
        <v>25887.3</v>
      </c>
      <c r="O5683">
        <v>25.887</v>
      </c>
      <c r="P5683" s="2">
        <v>45078</v>
      </c>
      <c r="Q5683">
        <v>1</v>
      </c>
      <c r="R5683" s="1" t="s">
        <v>24</v>
      </c>
    </row>
    <row r="5684" spans="1:18" x14ac:dyDescent="0.25">
      <c r="A5684">
        <v>2023</v>
      </c>
      <c r="B5684">
        <v>7</v>
      </c>
      <c r="C5684" s="1" t="s">
        <v>30</v>
      </c>
      <c r="D5684" s="1" t="s">
        <v>19</v>
      </c>
      <c r="E5684" s="1" t="s">
        <v>58</v>
      </c>
      <c r="F5684">
        <v>2012</v>
      </c>
      <c r="G5684">
        <v>11</v>
      </c>
      <c r="H5684" s="1" t="s">
        <v>21</v>
      </c>
      <c r="I5684">
        <v>10</v>
      </c>
      <c r="J5684">
        <v>1434</v>
      </c>
      <c r="K5684" s="1" t="s">
        <v>60</v>
      </c>
      <c r="L5684" s="1" t="s">
        <v>45</v>
      </c>
      <c r="M5684">
        <v>2.38</v>
      </c>
      <c r="N5684">
        <v>23800.799999999999</v>
      </c>
      <c r="O5684">
        <v>23.800999999999998</v>
      </c>
      <c r="P5684" s="2">
        <v>45108</v>
      </c>
      <c r="Q5684">
        <v>1</v>
      </c>
      <c r="R5684" s="1" t="s">
        <v>24</v>
      </c>
    </row>
    <row r="5685" spans="1:18" x14ac:dyDescent="0.25">
      <c r="A5685">
        <v>2023</v>
      </c>
      <c r="B5685">
        <v>8</v>
      </c>
      <c r="C5685" s="1" t="s">
        <v>31</v>
      </c>
      <c r="D5685" s="1" t="s">
        <v>19</v>
      </c>
      <c r="E5685" s="1" t="s">
        <v>58</v>
      </c>
      <c r="F5685">
        <v>2012</v>
      </c>
      <c r="G5685">
        <v>11</v>
      </c>
      <c r="H5685" s="1" t="s">
        <v>21</v>
      </c>
      <c r="I5685">
        <v>10</v>
      </c>
      <c r="J5685">
        <v>1434</v>
      </c>
      <c r="K5685" s="1" t="s">
        <v>60</v>
      </c>
      <c r="L5685" s="1" t="s">
        <v>45</v>
      </c>
      <c r="M5685">
        <v>2.5030000000000001</v>
      </c>
      <c r="N5685">
        <v>25026.9</v>
      </c>
      <c r="O5685">
        <v>25.027000000000001</v>
      </c>
      <c r="P5685" s="2">
        <v>45139</v>
      </c>
      <c r="Q5685">
        <v>1</v>
      </c>
      <c r="R5685" s="1" t="s">
        <v>24</v>
      </c>
    </row>
    <row r="5686" spans="1:18" x14ac:dyDescent="0.25">
      <c r="A5686">
        <v>2023</v>
      </c>
      <c r="B5686">
        <v>9</v>
      </c>
      <c r="C5686" s="1" t="s">
        <v>32</v>
      </c>
      <c r="D5686" s="1" t="s">
        <v>19</v>
      </c>
      <c r="E5686" s="1" t="s">
        <v>58</v>
      </c>
      <c r="F5686">
        <v>2012</v>
      </c>
      <c r="G5686">
        <v>11</v>
      </c>
      <c r="H5686" s="1" t="s">
        <v>21</v>
      </c>
      <c r="I5686">
        <v>10</v>
      </c>
      <c r="J5686">
        <v>1434</v>
      </c>
      <c r="K5686" s="1" t="s">
        <v>60</v>
      </c>
      <c r="L5686" s="1" t="s">
        <v>45</v>
      </c>
      <c r="M5686">
        <v>2.5880000000000001</v>
      </c>
      <c r="N5686">
        <v>25876.5</v>
      </c>
      <c r="O5686">
        <v>25.876999999999999</v>
      </c>
      <c r="P5686" s="2">
        <v>45170</v>
      </c>
      <c r="Q5686">
        <v>1</v>
      </c>
      <c r="R5686" s="1" t="s">
        <v>24</v>
      </c>
    </row>
    <row r="5687" spans="1:18" x14ac:dyDescent="0.25">
      <c r="A5687">
        <v>2023</v>
      </c>
      <c r="B5687">
        <v>10</v>
      </c>
      <c r="C5687" s="1" t="s">
        <v>33</v>
      </c>
      <c r="D5687" s="1" t="s">
        <v>19</v>
      </c>
      <c r="E5687" s="1" t="s">
        <v>58</v>
      </c>
      <c r="F5687">
        <v>2012</v>
      </c>
      <c r="G5687">
        <v>11</v>
      </c>
      <c r="H5687" s="1" t="s">
        <v>21</v>
      </c>
      <c r="I5687">
        <v>10</v>
      </c>
      <c r="J5687">
        <v>1434</v>
      </c>
      <c r="K5687" s="1" t="s">
        <v>60</v>
      </c>
      <c r="L5687" s="1" t="s">
        <v>45</v>
      </c>
      <c r="M5687">
        <v>2.2949999999999999</v>
      </c>
      <c r="N5687">
        <v>22951.200000000001</v>
      </c>
      <c r="O5687">
        <v>22.951000000000001</v>
      </c>
      <c r="P5687" s="2">
        <v>45200</v>
      </c>
      <c r="Q5687">
        <v>1</v>
      </c>
      <c r="R5687" s="1" t="s">
        <v>24</v>
      </c>
    </row>
    <row r="5688" spans="1:18" x14ac:dyDescent="0.25">
      <c r="A5688">
        <v>2023</v>
      </c>
      <c r="B5688">
        <v>11</v>
      </c>
      <c r="C5688" s="1" t="s">
        <v>34</v>
      </c>
      <c r="D5688" s="1" t="s">
        <v>19</v>
      </c>
      <c r="E5688" s="1" t="s">
        <v>58</v>
      </c>
      <c r="F5688">
        <v>2012</v>
      </c>
      <c r="G5688">
        <v>11</v>
      </c>
      <c r="H5688" s="1" t="s">
        <v>21</v>
      </c>
      <c r="I5688">
        <v>10</v>
      </c>
      <c r="J5688">
        <v>1434</v>
      </c>
      <c r="K5688" s="1" t="s">
        <v>60</v>
      </c>
      <c r="L5688" s="1" t="s">
        <v>45</v>
      </c>
      <c r="M5688">
        <v>1.8979999999999999</v>
      </c>
      <c r="N5688">
        <v>18982.599999999999</v>
      </c>
      <c r="O5688">
        <v>18.983000000000001</v>
      </c>
      <c r="P5688" s="2">
        <v>45231</v>
      </c>
      <c r="Q5688">
        <v>1</v>
      </c>
      <c r="R5688" s="1" t="s">
        <v>24</v>
      </c>
    </row>
    <row r="5689" spans="1:18" x14ac:dyDescent="0.25">
      <c r="A5689">
        <v>2023</v>
      </c>
      <c r="B5689">
        <v>12</v>
      </c>
      <c r="C5689" s="1" t="s">
        <v>35</v>
      </c>
      <c r="D5689" s="1" t="s">
        <v>19</v>
      </c>
      <c r="E5689" s="1" t="s">
        <v>58</v>
      </c>
      <c r="F5689">
        <v>2012</v>
      </c>
      <c r="G5689">
        <v>11</v>
      </c>
      <c r="H5689" s="1" t="s">
        <v>21</v>
      </c>
      <c r="I5689">
        <v>10</v>
      </c>
      <c r="J5689">
        <v>1434</v>
      </c>
      <c r="K5689" s="1" t="s">
        <v>60</v>
      </c>
      <c r="L5689" s="1" t="s">
        <v>45</v>
      </c>
      <c r="M5689">
        <v>0.91700000000000004</v>
      </c>
      <c r="N5689">
        <v>9174</v>
      </c>
      <c r="O5689">
        <v>9.1739999999999995</v>
      </c>
      <c r="P5689" s="2">
        <v>45261</v>
      </c>
      <c r="Q5689">
        <v>1</v>
      </c>
      <c r="R5689" s="1" t="s">
        <v>24</v>
      </c>
    </row>
    <row r="5690" spans="1:18" x14ac:dyDescent="0.25">
      <c r="A5690">
        <v>2023</v>
      </c>
      <c r="B5690">
        <v>1</v>
      </c>
      <c r="C5690" s="1" t="s">
        <v>18</v>
      </c>
      <c r="D5690" s="1" t="s">
        <v>19</v>
      </c>
      <c r="E5690" s="1" t="s">
        <v>62</v>
      </c>
      <c r="F5690">
        <v>2012</v>
      </c>
      <c r="G5690">
        <v>11</v>
      </c>
      <c r="H5690" s="1" t="s">
        <v>21</v>
      </c>
      <c r="I5690">
        <v>24</v>
      </c>
      <c r="J5690">
        <v>3074</v>
      </c>
      <c r="K5690" s="1" t="s">
        <v>63</v>
      </c>
      <c r="L5690" s="1" t="s">
        <v>64</v>
      </c>
      <c r="M5690">
        <v>1.242</v>
      </c>
      <c r="N5690">
        <v>29810.1</v>
      </c>
      <c r="O5690">
        <v>29.81</v>
      </c>
      <c r="P5690" s="2">
        <v>44927</v>
      </c>
      <c r="Q5690">
        <v>1</v>
      </c>
      <c r="R5690" s="1" t="s">
        <v>24</v>
      </c>
    </row>
    <row r="5691" spans="1:18" x14ac:dyDescent="0.25">
      <c r="A5691">
        <v>2023</v>
      </c>
      <c r="B5691">
        <v>2</v>
      </c>
      <c r="C5691" s="1" t="s">
        <v>25</v>
      </c>
      <c r="D5691" s="1" t="s">
        <v>19</v>
      </c>
      <c r="E5691" s="1" t="s">
        <v>62</v>
      </c>
      <c r="F5691">
        <v>2012</v>
      </c>
      <c r="G5691">
        <v>11</v>
      </c>
      <c r="H5691" s="1" t="s">
        <v>21</v>
      </c>
      <c r="I5691">
        <v>24</v>
      </c>
      <c r="J5691">
        <v>3074</v>
      </c>
      <c r="K5691" s="1" t="s">
        <v>63</v>
      </c>
      <c r="L5691" s="1" t="s">
        <v>64</v>
      </c>
      <c r="M5691">
        <v>1.782</v>
      </c>
      <c r="N5691">
        <v>42767</v>
      </c>
      <c r="O5691">
        <v>42.767000000000003</v>
      </c>
      <c r="P5691" s="2">
        <v>44958</v>
      </c>
      <c r="Q5691">
        <v>1</v>
      </c>
      <c r="R5691" s="1" t="s">
        <v>24</v>
      </c>
    </row>
    <row r="5692" spans="1:18" x14ac:dyDescent="0.25">
      <c r="A5692">
        <v>2023</v>
      </c>
      <c r="B5692">
        <v>3</v>
      </c>
      <c r="C5692" s="1" t="s">
        <v>26</v>
      </c>
      <c r="D5692" s="1" t="s">
        <v>19</v>
      </c>
      <c r="E5692" s="1" t="s">
        <v>62</v>
      </c>
      <c r="F5692">
        <v>2012</v>
      </c>
      <c r="G5692">
        <v>11</v>
      </c>
      <c r="H5692" s="1" t="s">
        <v>21</v>
      </c>
      <c r="I5692">
        <v>24</v>
      </c>
      <c r="J5692">
        <v>3074</v>
      </c>
      <c r="K5692" s="1" t="s">
        <v>63</v>
      </c>
      <c r="L5692" s="1" t="s">
        <v>64</v>
      </c>
      <c r="M5692">
        <v>2.069</v>
      </c>
      <c r="N5692">
        <v>49660.5</v>
      </c>
      <c r="O5692">
        <v>49.66</v>
      </c>
      <c r="P5692" s="2">
        <v>44986</v>
      </c>
      <c r="Q5692">
        <v>1</v>
      </c>
      <c r="R5692" s="1" t="s">
        <v>24</v>
      </c>
    </row>
    <row r="5693" spans="1:18" x14ac:dyDescent="0.25">
      <c r="A5693">
        <v>2023</v>
      </c>
      <c r="B5693">
        <v>4</v>
      </c>
      <c r="C5693" s="1" t="s">
        <v>27</v>
      </c>
      <c r="D5693" s="1" t="s">
        <v>19</v>
      </c>
      <c r="E5693" s="1" t="s">
        <v>62</v>
      </c>
      <c r="F5693">
        <v>2012</v>
      </c>
      <c r="G5693">
        <v>11</v>
      </c>
      <c r="H5693" s="1" t="s">
        <v>21</v>
      </c>
      <c r="I5693">
        <v>24</v>
      </c>
      <c r="J5693">
        <v>3074</v>
      </c>
      <c r="K5693" s="1" t="s">
        <v>63</v>
      </c>
      <c r="L5693" s="1" t="s">
        <v>64</v>
      </c>
      <c r="M5693">
        <v>2.1030000000000002</v>
      </c>
      <c r="N5693">
        <v>50467.4</v>
      </c>
      <c r="O5693">
        <v>50.466999999999999</v>
      </c>
      <c r="P5693" s="2">
        <v>45017</v>
      </c>
      <c r="Q5693">
        <v>1</v>
      </c>
      <c r="R5693" s="1" t="s">
        <v>24</v>
      </c>
    </row>
    <row r="5694" spans="1:18" x14ac:dyDescent="0.25">
      <c r="A5694">
        <v>2023</v>
      </c>
      <c r="B5694">
        <v>5</v>
      </c>
      <c r="C5694" s="1" t="s">
        <v>28</v>
      </c>
      <c r="D5694" s="1" t="s">
        <v>19</v>
      </c>
      <c r="E5694" s="1" t="s">
        <v>62</v>
      </c>
      <c r="F5694">
        <v>2012</v>
      </c>
      <c r="G5694">
        <v>11</v>
      </c>
      <c r="H5694" s="1" t="s">
        <v>21</v>
      </c>
      <c r="I5694">
        <v>24</v>
      </c>
      <c r="J5694">
        <v>3074</v>
      </c>
      <c r="K5694" s="1" t="s">
        <v>63</v>
      </c>
      <c r="L5694" s="1" t="s">
        <v>64</v>
      </c>
      <c r="M5694">
        <v>2.089</v>
      </c>
      <c r="N5694">
        <v>50144.6</v>
      </c>
      <c r="O5694">
        <v>50.145000000000003</v>
      </c>
      <c r="P5694" s="2">
        <v>45047</v>
      </c>
      <c r="Q5694">
        <v>1</v>
      </c>
      <c r="R5694" s="1" t="s">
        <v>24</v>
      </c>
    </row>
    <row r="5695" spans="1:18" x14ac:dyDescent="0.25">
      <c r="A5695">
        <v>2023</v>
      </c>
      <c r="B5695">
        <v>6</v>
      </c>
      <c r="C5695" s="1" t="s">
        <v>29</v>
      </c>
      <c r="D5695" s="1" t="s">
        <v>19</v>
      </c>
      <c r="E5695" s="1" t="s">
        <v>62</v>
      </c>
      <c r="F5695">
        <v>2012</v>
      </c>
      <c r="G5695">
        <v>11</v>
      </c>
      <c r="H5695" s="1" t="s">
        <v>21</v>
      </c>
      <c r="I5695">
        <v>24</v>
      </c>
      <c r="J5695">
        <v>3074</v>
      </c>
      <c r="K5695" s="1" t="s">
        <v>63</v>
      </c>
      <c r="L5695" s="1" t="s">
        <v>64</v>
      </c>
      <c r="M5695">
        <v>2.3119999999999998</v>
      </c>
      <c r="N5695">
        <v>55493.4</v>
      </c>
      <c r="O5695">
        <v>55.493000000000002</v>
      </c>
      <c r="P5695" s="2">
        <v>45078</v>
      </c>
      <c r="Q5695">
        <v>1</v>
      </c>
      <c r="R5695" s="1" t="s">
        <v>24</v>
      </c>
    </row>
    <row r="5696" spans="1:18" x14ac:dyDescent="0.25">
      <c r="A5696">
        <v>2023</v>
      </c>
      <c r="B5696">
        <v>7</v>
      </c>
      <c r="C5696" s="1" t="s">
        <v>30</v>
      </c>
      <c r="D5696" s="1" t="s">
        <v>19</v>
      </c>
      <c r="E5696" s="1" t="s">
        <v>62</v>
      </c>
      <c r="F5696">
        <v>2012</v>
      </c>
      <c r="G5696">
        <v>11</v>
      </c>
      <c r="H5696" s="1" t="s">
        <v>21</v>
      </c>
      <c r="I5696">
        <v>24</v>
      </c>
      <c r="J5696">
        <v>3074</v>
      </c>
      <c r="K5696" s="1" t="s">
        <v>63</v>
      </c>
      <c r="L5696" s="1" t="s">
        <v>64</v>
      </c>
      <c r="M5696">
        <v>2.1259999999999999</v>
      </c>
      <c r="N5696">
        <v>51020.7</v>
      </c>
      <c r="O5696">
        <v>51.021000000000001</v>
      </c>
      <c r="P5696" s="2">
        <v>45108</v>
      </c>
      <c r="Q5696">
        <v>1</v>
      </c>
      <c r="R5696" s="1" t="s">
        <v>24</v>
      </c>
    </row>
    <row r="5697" spans="1:18" x14ac:dyDescent="0.25">
      <c r="A5697">
        <v>2023</v>
      </c>
      <c r="B5697">
        <v>8</v>
      </c>
      <c r="C5697" s="1" t="s">
        <v>31</v>
      </c>
      <c r="D5697" s="1" t="s">
        <v>19</v>
      </c>
      <c r="E5697" s="1" t="s">
        <v>62</v>
      </c>
      <c r="F5697">
        <v>2012</v>
      </c>
      <c r="G5697">
        <v>11</v>
      </c>
      <c r="H5697" s="1" t="s">
        <v>21</v>
      </c>
      <c r="I5697">
        <v>24</v>
      </c>
      <c r="J5697">
        <v>3074</v>
      </c>
      <c r="K5697" s="1" t="s">
        <v>63</v>
      </c>
      <c r="L5697" s="1" t="s">
        <v>64</v>
      </c>
      <c r="M5697">
        <v>2.2349999999999999</v>
      </c>
      <c r="N5697">
        <v>53649</v>
      </c>
      <c r="O5697">
        <v>53.649000000000001</v>
      </c>
      <c r="P5697" s="2">
        <v>45139</v>
      </c>
      <c r="Q5697">
        <v>1</v>
      </c>
      <c r="R5697" s="1" t="s">
        <v>24</v>
      </c>
    </row>
    <row r="5698" spans="1:18" x14ac:dyDescent="0.25">
      <c r="A5698">
        <v>2023</v>
      </c>
      <c r="B5698">
        <v>9</v>
      </c>
      <c r="C5698" s="1" t="s">
        <v>32</v>
      </c>
      <c r="D5698" s="1" t="s">
        <v>19</v>
      </c>
      <c r="E5698" s="1" t="s">
        <v>62</v>
      </c>
      <c r="F5698">
        <v>2012</v>
      </c>
      <c r="G5698">
        <v>11</v>
      </c>
      <c r="H5698" s="1" t="s">
        <v>21</v>
      </c>
      <c r="I5698">
        <v>24</v>
      </c>
      <c r="J5698">
        <v>3074</v>
      </c>
      <c r="K5698" s="1" t="s">
        <v>63</v>
      </c>
      <c r="L5698" s="1" t="s">
        <v>64</v>
      </c>
      <c r="M5698">
        <v>2.3109999999999999</v>
      </c>
      <c r="N5698">
        <v>55470.3</v>
      </c>
      <c r="O5698">
        <v>55.47</v>
      </c>
      <c r="P5698" s="2">
        <v>45170</v>
      </c>
      <c r="Q5698">
        <v>1</v>
      </c>
      <c r="R5698" s="1" t="s">
        <v>24</v>
      </c>
    </row>
    <row r="5699" spans="1:18" x14ac:dyDescent="0.25">
      <c r="A5699">
        <v>2023</v>
      </c>
      <c r="B5699">
        <v>10</v>
      </c>
      <c r="C5699" s="1" t="s">
        <v>33</v>
      </c>
      <c r="D5699" s="1" t="s">
        <v>19</v>
      </c>
      <c r="E5699" s="1" t="s">
        <v>62</v>
      </c>
      <c r="F5699">
        <v>2012</v>
      </c>
      <c r="G5699">
        <v>11</v>
      </c>
      <c r="H5699" s="1" t="s">
        <v>21</v>
      </c>
      <c r="I5699">
        <v>24</v>
      </c>
      <c r="J5699">
        <v>3074</v>
      </c>
      <c r="K5699" s="1" t="s">
        <v>63</v>
      </c>
      <c r="L5699" s="1" t="s">
        <v>64</v>
      </c>
      <c r="M5699">
        <v>2.0499999999999998</v>
      </c>
      <c r="N5699">
        <v>49199.4</v>
      </c>
      <c r="O5699">
        <v>49.198999999999998</v>
      </c>
      <c r="P5699" s="2">
        <v>45200</v>
      </c>
      <c r="Q5699">
        <v>1</v>
      </c>
      <c r="R5699" s="1" t="s">
        <v>24</v>
      </c>
    </row>
    <row r="5700" spans="1:18" x14ac:dyDescent="0.25">
      <c r="A5700">
        <v>2023</v>
      </c>
      <c r="B5700">
        <v>11</v>
      </c>
      <c r="C5700" s="1" t="s">
        <v>34</v>
      </c>
      <c r="D5700" s="1" t="s">
        <v>19</v>
      </c>
      <c r="E5700" s="1" t="s">
        <v>62</v>
      </c>
      <c r="F5700">
        <v>2012</v>
      </c>
      <c r="G5700">
        <v>11</v>
      </c>
      <c r="H5700" s="1" t="s">
        <v>21</v>
      </c>
      <c r="I5700">
        <v>24</v>
      </c>
      <c r="J5700">
        <v>3074</v>
      </c>
      <c r="K5700" s="1" t="s">
        <v>63</v>
      </c>
      <c r="L5700" s="1" t="s">
        <v>64</v>
      </c>
      <c r="M5700">
        <v>1.696</v>
      </c>
      <c r="N5700">
        <v>40692.1</v>
      </c>
      <c r="O5700">
        <v>40.692</v>
      </c>
      <c r="P5700" s="2">
        <v>45231</v>
      </c>
      <c r="Q5700">
        <v>1</v>
      </c>
      <c r="R5700" s="1" t="s">
        <v>24</v>
      </c>
    </row>
    <row r="5701" spans="1:18" x14ac:dyDescent="0.25">
      <c r="A5701">
        <v>2023</v>
      </c>
      <c r="B5701">
        <v>12</v>
      </c>
      <c r="C5701" s="1" t="s">
        <v>35</v>
      </c>
      <c r="D5701" s="1" t="s">
        <v>19</v>
      </c>
      <c r="E5701" s="1" t="s">
        <v>62</v>
      </c>
      <c r="F5701">
        <v>2012</v>
      </c>
      <c r="G5701">
        <v>11</v>
      </c>
      <c r="H5701" s="1" t="s">
        <v>21</v>
      </c>
      <c r="I5701">
        <v>24</v>
      </c>
      <c r="J5701">
        <v>3074</v>
      </c>
      <c r="K5701" s="1" t="s">
        <v>63</v>
      </c>
      <c r="L5701" s="1" t="s">
        <v>64</v>
      </c>
      <c r="M5701">
        <v>0.81899999999999995</v>
      </c>
      <c r="N5701">
        <v>19665.900000000001</v>
      </c>
      <c r="O5701">
        <v>19.666</v>
      </c>
      <c r="P5701" s="2">
        <v>45261</v>
      </c>
      <c r="Q5701">
        <v>1</v>
      </c>
      <c r="R5701" s="1" t="s">
        <v>24</v>
      </c>
    </row>
    <row r="5702" spans="1:18" x14ac:dyDescent="0.25">
      <c r="A5702">
        <v>2023</v>
      </c>
      <c r="B5702">
        <v>1</v>
      </c>
      <c r="C5702" s="1" t="s">
        <v>18</v>
      </c>
      <c r="D5702" s="1" t="s">
        <v>19</v>
      </c>
      <c r="E5702" s="1" t="s">
        <v>65</v>
      </c>
      <c r="F5702">
        <v>2012</v>
      </c>
      <c r="G5702">
        <v>11</v>
      </c>
      <c r="H5702" s="1" t="s">
        <v>21</v>
      </c>
      <c r="I5702">
        <v>19</v>
      </c>
      <c r="J5702">
        <v>2418</v>
      </c>
      <c r="K5702" s="1" t="s">
        <v>66</v>
      </c>
      <c r="L5702" s="1" t="s">
        <v>64</v>
      </c>
      <c r="M5702">
        <v>1.234</v>
      </c>
      <c r="N5702">
        <v>23448.6</v>
      </c>
      <c r="O5702">
        <v>23.449000000000002</v>
      </c>
      <c r="P5702" s="2">
        <v>44927</v>
      </c>
      <c r="Q5702">
        <v>1</v>
      </c>
      <c r="R5702" s="1" t="s">
        <v>24</v>
      </c>
    </row>
    <row r="5703" spans="1:18" x14ac:dyDescent="0.25">
      <c r="A5703">
        <v>2023</v>
      </c>
      <c r="B5703">
        <v>2</v>
      </c>
      <c r="C5703" s="1" t="s">
        <v>25</v>
      </c>
      <c r="D5703" s="1" t="s">
        <v>19</v>
      </c>
      <c r="E5703" s="1" t="s">
        <v>65</v>
      </c>
      <c r="F5703">
        <v>2012</v>
      </c>
      <c r="G5703">
        <v>11</v>
      </c>
      <c r="H5703" s="1" t="s">
        <v>21</v>
      </c>
      <c r="I5703">
        <v>19</v>
      </c>
      <c r="J5703">
        <v>2418</v>
      </c>
      <c r="K5703" s="1" t="s">
        <v>66</v>
      </c>
      <c r="L5703" s="1" t="s">
        <v>64</v>
      </c>
      <c r="M5703">
        <v>1.7709999999999999</v>
      </c>
      <c r="N5703">
        <v>33640.400000000001</v>
      </c>
      <c r="O5703">
        <v>33.64</v>
      </c>
      <c r="P5703" s="2">
        <v>44958</v>
      </c>
      <c r="Q5703">
        <v>1</v>
      </c>
      <c r="R5703" s="1" t="s">
        <v>24</v>
      </c>
    </row>
    <row r="5704" spans="1:18" x14ac:dyDescent="0.25">
      <c r="A5704">
        <v>2023</v>
      </c>
      <c r="B5704">
        <v>3</v>
      </c>
      <c r="C5704" s="1" t="s">
        <v>26</v>
      </c>
      <c r="D5704" s="1" t="s">
        <v>19</v>
      </c>
      <c r="E5704" s="1" t="s">
        <v>65</v>
      </c>
      <c r="F5704">
        <v>2012</v>
      </c>
      <c r="G5704">
        <v>11</v>
      </c>
      <c r="H5704" s="1" t="s">
        <v>21</v>
      </c>
      <c r="I5704">
        <v>19</v>
      </c>
      <c r="J5704">
        <v>2418</v>
      </c>
      <c r="K5704" s="1" t="s">
        <v>66</v>
      </c>
      <c r="L5704" s="1" t="s">
        <v>64</v>
      </c>
      <c r="M5704">
        <v>2.056</v>
      </c>
      <c r="N5704">
        <v>39062.800000000003</v>
      </c>
      <c r="O5704">
        <v>39.063000000000002</v>
      </c>
      <c r="P5704" s="2">
        <v>44986</v>
      </c>
      <c r="Q5704">
        <v>1</v>
      </c>
      <c r="R5704" s="1" t="s">
        <v>24</v>
      </c>
    </row>
    <row r="5705" spans="1:18" x14ac:dyDescent="0.25">
      <c r="A5705">
        <v>2023</v>
      </c>
      <c r="B5705">
        <v>4</v>
      </c>
      <c r="C5705" s="1" t="s">
        <v>27</v>
      </c>
      <c r="D5705" s="1" t="s">
        <v>19</v>
      </c>
      <c r="E5705" s="1" t="s">
        <v>65</v>
      </c>
      <c r="F5705">
        <v>2012</v>
      </c>
      <c r="G5705">
        <v>11</v>
      </c>
      <c r="H5705" s="1" t="s">
        <v>21</v>
      </c>
      <c r="I5705">
        <v>19</v>
      </c>
      <c r="J5705">
        <v>2418</v>
      </c>
      <c r="K5705" s="1" t="s">
        <v>66</v>
      </c>
      <c r="L5705" s="1" t="s">
        <v>64</v>
      </c>
      <c r="M5705">
        <v>2.089</v>
      </c>
      <c r="N5705">
        <v>39697.5</v>
      </c>
      <c r="O5705">
        <v>39.698</v>
      </c>
      <c r="P5705" s="2">
        <v>45017</v>
      </c>
      <c r="Q5705">
        <v>1</v>
      </c>
      <c r="R5705" s="1" t="s">
        <v>24</v>
      </c>
    </row>
    <row r="5706" spans="1:18" x14ac:dyDescent="0.25">
      <c r="A5706">
        <v>2023</v>
      </c>
      <c r="B5706">
        <v>5</v>
      </c>
      <c r="C5706" s="1" t="s">
        <v>28</v>
      </c>
      <c r="D5706" s="1" t="s">
        <v>19</v>
      </c>
      <c r="E5706" s="1" t="s">
        <v>65</v>
      </c>
      <c r="F5706">
        <v>2012</v>
      </c>
      <c r="G5706">
        <v>11</v>
      </c>
      <c r="H5706" s="1" t="s">
        <v>21</v>
      </c>
      <c r="I5706">
        <v>19</v>
      </c>
      <c r="J5706">
        <v>2418</v>
      </c>
      <c r="K5706" s="1" t="s">
        <v>66</v>
      </c>
      <c r="L5706" s="1" t="s">
        <v>64</v>
      </c>
      <c r="M5706">
        <v>2.0760000000000001</v>
      </c>
      <c r="N5706">
        <v>39443.599999999999</v>
      </c>
      <c r="O5706">
        <v>39.444000000000003</v>
      </c>
      <c r="P5706" s="2">
        <v>45047</v>
      </c>
      <c r="Q5706">
        <v>1</v>
      </c>
      <c r="R5706" s="1" t="s">
        <v>24</v>
      </c>
    </row>
    <row r="5707" spans="1:18" x14ac:dyDescent="0.25">
      <c r="A5707">
        <v>2023</v>
      </c>
      <c r="B5707">
        <v>6</v>
      </c>
      <c r="C5707" s="1" t="s">
        <v>29</v>
      </c>
      <c r="D5707" s="1" t="s">
        <v>19</v>
      </c>
      <c r="E5707" s="1" t="s">
        <v>65</v>
      </c>
      <c r="F5707">
        <v>2012</v>
      </c>
      <c r="G5707">
        <v>11</v>
      </c>
      <c r="H5707" s="1" t="s">
        <v>21</v>
      </c>
      <c r="I5707">
        <v>19</v>
      </c>
      <c r="J5707">
        <v>2418</v>
      </c>
      <c r="K5707" s="1" t="s">
        <v>66</v>
      </c>
      <c r="L5707" s="1" t="s">
        <v>64</v>
      </c>
      <c r="M5707">
        <v>2.2970000000000002</v>
      </c>
      <c r="N5707">
        <v>43650.9</v>
      </c>
      <c r="O5707">
        <v>43.651000000000003</v>
      </c>
      <c r="P5707" s="2">
        <v>45078</v>
      </c>
      <c r="Q5707">
        <v>1</v>
      </c>
      <c r="R5707" s="1" t="s">
        <v>24</v>
      </c>
    </row>
    <row r="5708" spans="1:18" x14ac:dyDescent="0.25">
      <c r="A5708">
        <v>2023</v>
      </c>
      <c r="B5708">
        <v>7</v>
      </c>
      <c r="C5708" s="1" t="s">
        <v>30</v>
      </c>
      <c r="D5708" s="1" t="s">
        <v>19</v>
      </c>
      <c r="E5708" s="1" t="s">
        <v>65</v>
      </c>
      <c r="F5708">
        <v>2012</v>
      </c>
      <c r="G5708">
        <v>11</v>
      </c>
      <c r="H5708" s="1" t="s">
        <v>21</v>
      </c>
      <c r="I5708">
        <v>19</v>
      </c>
      <c r="J5708">
        <v>2418</v>
      </c>
      <c r="K5708" s="1" t="s">
        <v>66</v>
      </c>
      <c r="L5708" s="1" t="s">
        <v>64</v>
      </c>
      <c r="M5708">
        <v>2.1120000000000001</v>
      </c>
      <c r="N5708">
        <v>40132.800000000003</v>
      </c>
      <c r="O5708">
        <v>40.133000000000003</v>
      </c>
      <c r="P5708" s="2">
        <v>45108</v>
      </c>
      <c r="Q5708">
        <v>1</v>
      </c>
      <c r="R5708" s="1" t="s">
        <v>24</v>
      </c>
    </row>
    <row r="5709" spans="1:18" x14ac:dyDescent="0.25">
      <c r="A5709">
        <v>2023</v>
      </c>
      <c r="B5709">
        <v>8</v>
      </c>
      <c r="C5709" s="1" t="s">
        <v>31</v>
      </c>
      <c r="D5709" s="1" t="s">
        <v>19</v>
      </c>
      <c r="E5709" s="1" t="s">
        <v>65</v>
      </c>
      <c r="F5709">
        <v>2012</v>
      </c>
      <c r="G5709">
        <v>11</v>
      </c>
      <c r="H5709" s="1" t="s">
        <v>21</v>
      </c>
      <c r="I5709">
        <v>19</v>
      </c>
      <c r="J5709">
        <v>2418</v>
      </c>
      <c r="K5709" s="1" t="s">
        <v>66</v>
      </c>
      <c r="L5709" s="1" t="s">
        <v>64</v>
      </c>
      <c r="M5709">
        <v>2.2210000000000001</v>
      </c>
      <c r="N5709">
        <v>42200.1</v>
      </c>
      <c r="O5709">
        <v>42.2</v>
      </c>
      <c r="P5709" s="2">
        <v>45139</v>
      </c>
      <c r="Q5709">
        <v>1</v>
      </c>
      <c r="R5709" s="1" t="s">
        <v>24</v>
      </c>
    </row>
    <row r="5710" spans="1:18" x14ac:dyDescent="0.25">
      <c r="A5710">
        <v>2023</v>
      </c>
      <c r="B5710">
        <v>9</v>
      </c>
      <c r="C5710" s="1" t="s">
        <v>32</v>
      </c>
      <c r="D5710" s="1" t="s">
        <v>19</v>
      </c>
      <c r="E5710" s="1" t="s">
        <v>65</v>
      </c>
      <c r="F5710">
        <v>2012</v>
      </c>
      <c r="G5710">
        <v>11</v>
      </c>
      <c r="H5710" s="1" t="s">
        <v>21</v>
      </c>
      <c r="I5710">
        <v>19</v>
      </c>
      <c r="J5710">
        <v>2418</v>
      </c>
      <c r="K5710" s="1" t="s">
        <v>66</v>
      </c>
      <c r="L5710" s="1" t="s">
        <v>64</v>
      </c>
      <c r="M5710">
        <v>2.2959999999999998</v>
      </c>
      <c r="N5710">
        <v>43632.800000000003</v>
      </c>
      <c r="O5710">
        <v>43.633000000000003</v>
      </c>
      <c r="P5710" s="2">
        <v>45170</v>
      </c>
      <c r="Q5710">
        <v>1</v>
      </c>
      <c r="R5710" s="1" t="s">
        <v>24</v>
      </c>
    </row>
    <row r="5711" spans="1:18" x14ac:dyDescent="0.25">
      <c r="A5711">
        <v>2023</v>
      </c>
      <c r="B5711">
        <v>10</v>
      </c>
      <c r="C5711" s="1" t="s">
        <v>33</v>
      </c>
      <c r="D5711" s="1" t="s">
        <v>19</v>
      </c>
      <c r="E5711" s="1" t="s">
        <v>65</v>
      </c>
      <c r="F5711">
        <v>2012</v>
      </c>
      <c r="G5711">
        <v>11</v>
      </c>
      <c r="H5711" s="1" t="s">
        <v>21</v>
      </c>
      <c r="I5711">
        <v>19</v>
      </c>
      <c r="J5711">
        <v>2418</v>
      </c>
      <c r="K5711" s="1" t="s">
        <v>66</v>
      </c>
      <c r="L5711" s="1" t="s">
        <v>64</v>
      </c>
      <c r="M5711">
        <v>2.0369999999999999</v>
      </c>
      <c r="N5711">
        <v>38700.1</v>
      </c>
      <c r="O5711">
        <v>38.700000000000003</v>
      </c>
      <c r="P5711" s="2">
        <v>45200</v>
      </c>
      <c r="Q5711">
        <v>1</v>
      </c>
      <c r="R5711" s="1" t="s">
        <v>24</v>
      </c>
    </row>
    <row r="5712" spans="1:18" x14ac:dyDescent="0.25">
      <c r="A5712">
        <v>2023</v>
      </c>
      <c r="B5712">
        <v>11</v>
      </c>
      <c r="C5712" s="1" t="s">
        <v>34</v>
      </c>
      <c r="D5712" s="1" t="s">
        <v>19</v>
      </c>
      <c r="E5712" s="1" t="s">
        <v>65</v>
      </c>
      <c r="F5712">
        <v>2012</v>
      </c>
      <c r="G5712">
        <v>11</v>
      </c>
      <c r="H5712" s="1" t="s">
        <v>21</v>
      </c>
      <c r="I5712">
        <v>19</v>
      </c>
      <c r="J5712">
        <v>2418</v>
      </c>
      <c r="K5712" s="1" t="s">
        <v>66</v>
      </c>
      <c r="L5712" s="1" t="s">
        <v>64</v>
      </c>
      <c r="M5712">
        <v>1.6850000000000001</v>
      </c>
      <c r="N5712">
        <v>32008.3</v>
      </c>
      <c r="O5712">
        <v>32.008000000000003</v>
      </c>
      <c r="P5712" s="2">
        <v>45231</v>
      </c>
      <c r="Q5712">
        <v>1</v>
      </c>
      <c r="R5712" s="1" t="s">
        <v>24</v>
      </c>
    </row>
    <row r="5713" spans="1:18" x14ac:dyDescent="0.25">
      <c r="A5713">
        <v>2023</v>
      </c>
      <c r="B5713">
        <v>12</v>
      </c>
      <c r="C5713" s="1" t="s">
        <v>35</v>
      </c>
      <c r="D5713" s="1" t="s">
        <v>19</v>
      </c>
      <c r="E5713" s="1" t="s">
        <v>65</v>
      </c>
      <c r="F5713">
        <v>2012</v>
      </c>
      <c r="G5713">
        <v>11</v>
      </c>
      <c r="H5713" s="1" t="s">
        <v>21</v>
      </c>
      <c r="I5713">
        <v>19</v>
      </c>
      <c r="J5713">
        <v>2418</v>
      </c>
      <c r="K5713" s="1" t="s">
        <v>66</v>
      </c>
      <c r="L5713" s="1" t="s">
        <v>64</v>
      </c>
      <c r="M5713">
        <v>0.81399999999999995</v>
      </c>
      <c r="N5713">
        <v>15469.2</v>
      </c>
      <c r="O5713">
        <v>15.468999999999999</v>
      </c>
      <c r="P5713" s="2">
        <v>45261</v>
      </c>
      <c r="Q5713">
        <v>1</v>
      </c>
      <c r="R5713" s="1" t="s">
        <v>24</v>
      </c>
    </row>
    <row r="5714" spans="1:18" x14ac:dyDescent="0.25">
      <c r="A5714">
        <v>2023</v>
      </c>
      <c r="B5714">
        <v>1</v>
      </c>
      <c r="C5714" s="1" t="s">
        <v>18</v>
      </c>
      <c r="D5714" s="1" t="s">
        <v>19</v>
      </c>
      <c r="E5714" s="1" t="s">
        <v>67</v>
      </c>
      <c r="F5714">
        <v>2012</v>
      </c>
      <c r="G5714">
        <v>11</v>
      </c>
      <c r="H5714" s="1" t="s">
        <v>21</v>
      </c>
      <c r="I5714">
        <v>25</v>
      </c>
      <c r="J5714">
        <v>3205</v>
      </c>
      <c r="K5714" s="1" t="s">
        <v>68</v>
      </c>
      <c r="L5714" s="1" t="s">
        <v>64</v>
      </c>
      <c r="M5714">
        <v>1.2430000000000001</v>
      </c>
      <c r="N5714">
        <v>31080.5</v>
      </c>
      <c r="O5714">
        <v>31.08</v>
      </c>
      <c r="P5714" s="2">
        <v>44927</v>
      </c>
      <c r="Q5714">
        <v>1</v>
      </c>
      <c r="R5714" s="1" t="s">
        <v>24</v>
      </c>
    </row>
    <row r="5715" spans="1:18" x14ac:dyDescent="0.25">
      <c r="A5715">
        <v>2023</v>
      </c>
      <c r="B5715">
        <v>2</v>
      </c>
      <c r="C5715" s="1" t="s">
        <v>25</v>
      </c>
      <c r="D5715" s="1" t="s">
        <v>19</v>
      </c>
      <c r="E5715" s="1" t="s">
        <v>67</v>
      </c>
      <c r="F5715">
        <v>2012</v>
      </c>
      <c r="G5715">
        <v>11</v>
      </c>
      <c r="H5715" s="1" t="s">
        <v>21</v>
      </c>
      <c r="I5715">
        <v>25</v>
      </c>
      <c r="J5715">
        <v>3205</v>
      </c>
      <c r="K5715" s="1" t="s">
        <v>68</v>
      </c>
      <c r="L5715" s="1" t="s">
        <v>64</v>
      </c>
      <c r="M5715">
        <v>1.784</v>
      </c>
      <c r="N5715">
        <v>44589.599999999999</v>
      </c>
      <c r="O5715">
        <v>44.59</v>
      </c>
      <c r="P5715" s="2">
        <v>44958</v>
      </c>
      <c r="Q5715">
        <v>1</v>
      </c>
      <c r="R5715" s="1" t="s">
        <v>24</v>
      </c>
    </row>
    <row r="5716" spans="1:18" x14ac:dyDescent="0.25">
      <c r="A5716">
        <v>2023</v>
      </c>
      <c r="B5716">
        <v>3</v>
      </c>
      <c r="C5716" s="1" t="s">
        <v>26</v>
      </c>
      <c r="D5716" s="1" t="s">
        <v>19</v>
      </c>
      <c r="E5716" s="1" t="s">
        <v>67</v>
      </c>
      <c r="F5716">
        <v>2012</v>
      </c>
      <c r="G5716">
        <v>11</v>
      </c>
      <c r="H5716" s="1" t="s">
        <v>21</v>
      </c>
      <c r="I5716">
        <v>25</v>
      </c>
      <c r="J5716">
        <v>3205</v>
      </c>
      <c r="K5716" s="1" t="s">
        <v>68</v>
      </c>
      <c r="L5716" s="1" t="s">
        <v>64</v>
      </c>
      <c r="M5716">
        <v>2.0710000000000002</v>
      </c>
      <c r="N5716">
        <v>51776.800000000003</v>
      </c>
      <c r="O5716">
        <v>51.777000000000001</v>
      </c>
      <c r="P5716" s="2">
        <v>44986</v>
      </c>
      <c r="Q5716">
        <v>1</v>
      </c>
      <c r="R5716" s="1" t="s">
        <v>24</v>
      </c>
    </row>
    <row r="5717" spans="1:18" x14ac:dyDescent="0.25">
      <c r="A5717">
        <v>2023</v>
      </c>
      <c r="B5717">
        <v>4</v>
      </c>
      <c r="C5717" s="1" t="s">
        <v>27</v>
      </c>
      <c r="D5717" s="1" t="s">
        <v>19</v>
      </c>
      <c r="E5717" s="1" t="s">
        <v>67</v>
      </c>
      <c r="F5717">
        <v>2012</v>
      </c>
      <c r="G5717">
        <v>11</v>
      </c>
      <c r="H5717" s="1" t="s">
        <v>21</v>
      </c>
      <c r="I5717">
        <v>25</v>
      </c>
      <c r="J5717">
        <v>3205</v>
      </c>
      <c r="K5717" s="1" t="s">
        <v>68</v>
      </c>
      <c r="L5717" s="1" t="s">
        <v>64</v>
      </c>
      <c r="M5717">
        <v>2.105</v>
      </c>
      <c r="N5717">
        <v>52618.1</v>
      </c>
      <c r="O5717">
        <v>52.618000000000002</v>
      </c>
      <c r="P5717" s="2">
        <v>45017</v>
      </c>
      <c r="Q5717">
        <v>1</v>
      </c>
      <c r="R5717" s="1" t="s">
        <v>24</v>
      </c>
    </row>
    <row r="5718" spans="1:18" x14ac:dyDescent="0.25">
      <c r="A5718">
        <v>2023</v>
      </c>
      <c r="B5718">
        <v>5</v>
      </c>
      <c r="C5718" s="1" t="s">
        <v>28</v>
      </c>
      <c r="D5718" s="1" t="s">
        <v>19</v>
      </c>
      <c r="E5718" s="1" t="s">
        <v>67</v>
      </c>
      <c r="F5718">
        <v>2012</v>
      </c>
      <c r="G5718">
        <v>11</v>
      </c>
      <c r="H5718" s="1" t="s">
        <v>21</v>
      </c>
      <c r="I5718">
        <v>25</v>
      </c>
      <c r="J5718">
        <v>3205</v>
      </c>
      <c r="K5718" s="1" t="s">
        <v>68</v>
      </c>
      <c r="L5718" s="1" t="s">
        <v>64</v>
      </c>
      <c r="M5718">
        <v>2.0910000000000002</v>
      </c>
      <c r="N5718">
        <v>52281.599999999999</v>
      </c>
      <c r="O5718">
        <v>52.281999999999996</v>
      </c>
      <c r="P5718" s="2">
        <v>45047</v>
      </c>
      <c r="Q5718">
        <v>1</v>
      </c>
      <c r="R5718" s="1" t="s">
        <v>24</v>
      </c>
    </row>
    <row r="5719" spans="1:18" x14ac:dyDescent="0.25">
      <c r="A5719">
        <v>2023</v>
      </c>
      <c r="B5719">
        <v>6</v>
      </c>
      <c r="C5719" s="1" t="s">
        <v>29</v>
      </c>
      <c r="D5719" s="1" t="s">
        <v>19</v>
      </c>
      <c r="E5719" s="1" t="s">
        <v>67</v>
      </c>
      <c r="F5719">
        <v>2012</v>
      </c>
      <c r="G5719">
        <v>11</v>
      </c>
      <c r="H5719" s="1" t="s">
        <v>21</v>
      </c>
      <c r="I5719">
        <v>25</v>
      </c>
      <c r="J5719">
        <v>3205</v>
      </c>
      <c r="K5719" s="1" t="s">
        <v>68</v>
      </c>
      <c r="L5719" s="1" t="s">
        <v>64</v>
      </c>
      <c r="M5719">
        <v>2.3140000000000001</v>
      </c>
      <c r="N5719">
        <v>57858.3</v>
      </c>
      <c r="O5719">
        <v>57.857999999999997</v>
      </c>
      <c r="P5719" s="2">
        <v>45078</v>
      </c>
      <c r="Q5719">
        <v>1</v>
      </c>
      <c r="R5719" s="1" t="s">
        <v>24</v>
      </c>
    </row>
    <row r="5720" spans="1:18" x14ac:dyDescent="0.25">
      <c r="A5720">
        <v>2023</v>
      </c>
      <c r="B5720">
        <v>7</v>
      </c>
      <c r="C5720" s="1" t="s">
        <v>30</v>
      </c>
      <c r="D5720" s="1" t="s">
        <v>19</v>
      </c>
      <c r="E5720" s="1" t="s">
        <v>67</v>
      </c>
      <c r="F5720">
        <v>2012</v>
      </c>
      <c r="G5720">
        <v>11</v>
      </c>
      <c r="H5720" s="1" t="s">
        <v>21</v>
      </c>
      <c r="I5720">
        <v>25</v>
      </c>
      <c r="J5720">
        <v>3205</v>
      </c>
      <c r="K5720" s="1" t="s">
        <v>68</v>
      </c>
      <c r="L5720" s="1" t="s">
        <v>64</v>
      </c>
      <c r="M5720">
        <v>2.1280000000000001</v>
      </c>
      <c r="N5720">
        <v>53195</v>
      </c>
      <c r="O5720">
        <v>53.195</v>
      </c>
      <c r="P5720" s="2">
        <v>45108</v>
      </c>
      <c r="Q5720">
        <v>1</v>
      </c>
      <c r="R5720" s="1" t="s">
        <v>24</v>
      </c>
    </row>
    <row r="5721" spans="1:18" x14ac:dyDescent="0.25">
      <c r="A5721">
        <v>2023</v>
      </c>
      <c r="B5721">
        <v>8</v>
      </c>
      <c r="C5721" s="1" t="s">
        <v>31</v>
      </c>
      <c r="D5721" s="1" t="s">
        <v>19</v>
      </c>
      <c r="E5721" s="1" t="s">
        <v>67</v>
      </c>
      <c r="F5721">
        <v>2012</v>
      </c>
      <c r="G5721">
        <v>11</v>
      </c>
      <c r="H5721" s="1" t="s">
        <v>21</v>
      </c>
      <c r="I5721">
        <v>25</v>
      </c>
      <c r="J5721">
        <v>3205</v>
      </c>
      <c r="K5721" s="1" t="s">
        <v>68</v>
      </c>
      <c r="L5721" s="1" t="s">
        <v>64</v>
      </c>
      <c r="M5721">
        <v>2.2370000000000001</v>
      </c>
      <c r="N5721">
        <v>55935.3</v>
      </c>
      <c r="O5721">
        <v>55.935000000000002</v>
      </c>
      <c r="P5721" s="2">
        <v>45139</v>
      </c>
      <c r="Q5721">
        <v>1</v>
      </c>
      <c r="R5721" s="1" t="s">
        <v>24</v>
      </c>
    </row>
    <row r="5722" spans="1:18" x14ac:dyDescent="0.25">
      <c r="A5722">
        <v>2023</v>
      </c>
      <c r="B5722">
        <v>9</v>
      </c>
      <c r="C5722" s="1" t="s">
        <v>32</v>
      </c>
      <c r="D5722" s="1" t="s">
        <v>19</v>
      </c>
      <c r="E5722" s="1" t="s">
        <v>67</v>
      </c>
      <c r="F5722">
        <v>2012</v>
      </c>
      <c r="G5722">
        <v>11</v>
      </c>
      <c r="H5722" s="1" t="s">
        <v>21</v>
      </c>
      <c r="I5722">
        <v>25</v>
      </c>
      <c r="J5722">
        <v>3205</v>
      </c>
      <c r="K5722" s="1" t="s">
        <v>68</v>
      </c>
      <c r="L5722" s="1" t="s">
        <v>64</v>
      </c>
      <c r="M5722">
        <v>2.3130000000000002</v>
      </c>
      <c r="N5722">
        <v>57834.2</v>
      </c>
      <c r="O5722">
        <v>57.834000000000003</v>
      </c>
      <c r="P5722" s="2">
        <v>45170</v>
      </c>
      <c r="Q5722">
        <v>1</v>
      </c>
      <c r="R5722" s="1" t="s">
        <v>24</v>
      </c>
    </row>
    <row r="5723" spans="1:18" x14ac:dyDescent="0.25">
      <c r="A5723">
        <v>2023</v>
      </c>
      <c r="B5723">
        <v>10</v>
      </c>
      <c r="C5723" s="1" t="s">
        <v>33</v>
      </c>
      <c r="D5723" s="1" t="s">
        <v>19</v>
      </c>
      <c r="E5723" s="1" t="s">
        <v>67</v>
      </c>
      <c r="F5723">
        <v>2012</v>
      </c>
      <c r="G5723">
        <v>11</v>
      </c>
      <c r="H5723" s="1" t="s">
        <v>21</v>
      </c>
      <c r="I5723">
        <v>25</v>
      </c>
      <c r="J5723">
        <v>3205</v>
      </c>
      <c r="K5723" s="1" t="s">
        <v>68</v>
      </c>
      <c r="L5723" s="1" t="s">
        <v>64</v>
      </c>
      <c r="M5723">
        <v>2.052</v>
      </c>
      <c r="N5723">
        <v>51296</v>
      </c>
      <c r="O5723">
        <v>51.295999999999999</v>
      </c>
      <c r="P5723" s="2">
        <v>45200</v>
      </c>
      <c r="Q5723">
        <v>1</v>
      </c>
      <c r="R5723" s="1" t="s">
        <v>24</v>
      </c>
    </row>
    <row r="5724" spans="1:18" x14ac:dyDescent="0.25">
      <c r="A5724">
        <v>2023</v>
      </c>
      <c r="B5724">
        <v>11</v>
      </c>
      <c r="C5724" s="1" t="s">
        <v>34</v>
      </c>
      <c r="D5724" s="1" t="s">
        <v>19</v>
      </c>
      <c r="E5724" s="1" t="s">
        <v>67</v>
      </c>
      <c r="F5724">
        <v>2012</v>
      </c>
      <c r="G5724">
        <v>11</v>
      </c>
      <c r="H5724" s="1" t="s">
        <v>21</v>
      </c>
      <c r="I5724">
        <v>25</v>
      </c>
      <c r="J5724">
        <v>3205</v>
      </c>
      <c r="K5724" s="1" t="s">
        <v>68</v>
      </c>
      <c r="L5724" s="1" t="s">
        <v>64</v>
      </c>
      <c r="M5724">
        <v>1.6970000000000001</v>
      </c>
      <c r="N5724">
        <v>42426.2</v>
      </c>
      <c r="O5724">
        <v>42.426000000000002</v>
      </c>
      <c r="P5724" s="2">
        <v>45231</v>
      </c>
      <c r="Q5724">
        <v>1</v>
      </c>
      <c r="R5724" s="1" t="s">
        <v>24</v>
      </c>
    </row>
    <row r="5725" spans="1:18" x14ac:dyDescent="0.25">
      <c r="A5725">
        <v>2023</v>
      </c>
      <c r="B5725">
        <v>12</v>
      </c>
      <c r="C5725" s="1" t="s">
        <v>35</v>
      </c>
      <c r="D5725" s="1" t="s">
        <v>19</v>
      </c>
      <c r="E5725" s="1" t="s">
        <v>67</v>
      </c>
      <c r="F5725">
        <v>2012</v>
      </c>
      <c r="G5725">
        <v>11</v>
      </c>
      <c r="H5725" s="1" t="s">
        <v>21</v>
      </c>
      <c r="I5725">
        <v>25</v>
      </c>
      <c r="J5725">
        <v>3205</v>
      </c>
      <c r="K5725" s="1" t="s">
        <v>68</v>
      </c>
      <c r="L5725" s="1" t="s">
        <v>64</v>
      </c>
      <c r="M5725">
        <v>0.82</v>
      </c>
      <c r="N5725">
        <v>20504</v>
      </c>
      <c r="O5725">
        <v>20.504000000000001</v>
      </c>
      <c r="P5725" s="2">
        <v>45261</v>
      </c>
      <c r="Q5725">
        <v>1</v>
      </c>
      <c r="R5725" s="1" t="s">
        <v>24</v>
      </c>
    </row>
    <row r="5726" spans="1:18" x14ac:dyDescent="0.25">
      <c r="A5726">
        <v>2023</v>
      </c>
      <c r="B5726">
        <v>1</v>
      </c>
      <c r="C5726" s="1" t="s">
        <v>18</v>
      </c>
      <c r="D5726" s="1" t="s">
        <v>19</v>
      </c>
      <c r="E5726" s="1" t="s">
        <v>69</v>
      </c>
      <c r="F5726">
        <v>2012</v>
      </c>
      <c r="G5726">
        <v>11</v>
      </c>
      <c r="H5726" s="1" t="s">
        <v>21</v>
      </c>
      <c r="I5726">
        <v>19</v>
      </c>
      <c r="J5726">
        <v>2469</v>
      </c>
      <c r="K5726" s="1" t="s">
        <v>70</v>
      </c>
      <c r="L5726" s="1" t="s">
        <v>45</v>
      </c>
      <c r="M5726">
        <v>1.26</v>
      </c>
      <c r="N5726">
        <v>23943.1</v>
      </c>
      <c r="O5726">
        <v>23.943000000000001</v>
      </c>
      <c r="P5726" s="2">
        <v>44927</v>
      </c>
      <c r="Q5726">
        <v>1</v>
      </c>
      <c r="R5726" s="1" t="s">
        <v>24</v>
      </c>
    </row>
    <row r="5727" spans="1:18" x14ac:dyDescent="0.25">
      <c r="A5727">
        <v>2023</v>
      </c>
      <c r="B5727">
        <v>2</v>
      </c>
      <c r="C5727" s="1" t="s">
        <v>25</v>
      </c>
      <c r="D5727" s="1" t="s">
        <v>19</v>
      </c>
      <c r="E5727" s="1" t="s">
        <v>69</v>
      </c>
      <c r="F5727">
        <v>2012</v>
      </c>
      <c r="G5727">
        <v>11</v>
      </c>
      <c r="H5727" s="1" t="s">
        <v>21</v>
      </c>
      <c r="I5727">
        <v>19</v>
      </c>
      <c r="J5727">
        <v>2469</v>
      </c>
      <c r="K5727" s="1" t="s">
        <v>70</v>
      </c>
      <c r="L5727" s="1" t="s">
        <v>45</v>
      </c>
      <c r="M5727">
        <v>1.8080000000000001</v>
      </c>
      <c r="N5727">
        <v>34350</v>
      </c>
      <c r="O5727">
        <v>34.35</v>
      </c>
      <c r="P5727" s="2">
        <v>44958</v>
      </c>
      <c r="Q5727">
        <v>1</v>
      </c>
      <c r="R5727" s="1" t="s">
        <v>24</v>
      </c>
    </row>
    <row r="5728" spans="1:18" x14ac:dyDescent="0.25">
      <c r="A5728">
        <v>2023</v>
      </c>
      <c r="B5728">
        <v>3</v>
      </c>
      <c r="C5728" s="1" t="s">
        <v>26</v>
      </c>
      <c r="D5728" s="1" t="s">
        <v>19</v>
      </c>
      <c r="E5728" s="1" t="s">
        <v>69</v>
      </c>
      <c r="F5728">
        <v>2012</v>
      </c>
      <c r="G5728">
        <v>11</v>
      </c>
      <c r="H5728" s="1" t="s">
        <v>21</v>
      </c>
      <c r="I5728">
        <v>19</v>
      </c>
      <c r="J5728">
        <v>2469</v>
      </c>
      <c r="K5728" s="1" t="s">
        <v>70</v>
      </c>
      <c r="L5728" s="1" t="s">
        <v>45</v>
      </c>
      <c r="M5728">
        <v>2.0990000000000002</v>
      </c>
      <c r="N5728">
        <v>39886.699999999997</v>
      </c>
      <c r="O5728">
        <v>39.887</v>
      </c>
      <c r="P5728" s="2">
        <v>44986</v>
      </c>
      <c r="Q5728">
        <v>1</v>
      </c>
      <c r="R5728" s="1" t="s">
        <v>24</v>
      </c>
    </row>
    <row r="5729" spans="1:18" x14ac:dyDescent="0.25">
      <c r="A5729">
        <v>2023</v>
      </c>
      <c r="B5729">
        <v>4</v>
      </c>
      <c r="C5729" s="1" t="s">
        <v>27</v>
      </c>
      <c r="D5729" s="1" t="s">
        <v>19</v>
      </c>
      <c r="E5729" s="1" t="s">
        <v>69</v>
      </c>
      <c r="F5729">
        <v>2012</v>
      </c>
      <c r="G5729">
        <v>11</v>
      </c>
      <c r="H5729" s="1" t="s">
        <v>21</v>
      </c>
      <c r="I5729">
        <v>19</v>
      </c>
      <c r="J5729">
        <v>2469</v>
      </c>
      <c r="K5729" s="1" t="s">
        <v>70</v>
      </c>
      <c r="L5729" s="1" t="s">
        <v>45</v>
      </c>
      <c r="M5729">
        <v>2.133</v>
      </c>
      <c r="N5729">
        <v>40534.800000000003</v>
      </c>
      <c r="O5729">
        <v>40.534999999999997</v>
      </c>
      <c r="P5729" s="2">
        <v>45017</v>
      </c>
      <c r="Q5729">
        <v>1</v>
      </c>
      <c r="R5729" s="1" t="s">
        <v>24</v>
      </c>
    </row>
    <row r="5730" spans="1:18" x14ac:dyDescent="0.25">
      <c r="A5730">
        <v>2023</v>
      </c>
      <c r="B5730">
        <v>5</v>
      </c>
      <c r="C5730" s="1" t="s">
        <v>28</v>
      </c>
      <c r="D5730" s="1" t="s">
        <v>19</v>
      </c>
      <c r="E5730" s="1" t="s">
        <v>69</v>
      </c>
      <c r="F5730">
        <v>2012</v>
      </c>
      <c r="G5730">
        <v>11</v>
      </c>
      <c r="H5730" s="1" t="s">
        <v>21</v>
      </c>
      <c r="I5730">
        <v>19</v>
      </c>
      <c r="J5730">
        <v>2469</v>
      </c>
      <c r="K5730" s="1" t="s">
        <v>70</v>
      </c>
      <c r="L5730" s="1" t="s">
        <v>45</v>
      </c>
      <c r="M5730">
        <v>2.12</v>
      </c>
      <c r="N5730">
        <v>40275.599999999999</v>
      </c>
      <c r="O5730">
        <v>40.276000000000003</v>
      </c>
      <c r="P5730" s="2">
        <v>45047</v>
      </c>
      <c r="Q5730">
        <v>1</v>
      </c>
      <c r="R5730" s="1" t="s">
        <v>24</v>
      </c>
    </row>
    <row r="5731" spans="1:18" x14ac:dyDescent="0.25">
      <c r="A5731">
        <v>2023</v>
      </c>
      <c r="B5731">
        <v>6</v>
      </c>
      <c r="C5731" s="1" t="s">
        <v>29</v>
      </c>
      <c r="D5731" s="1" t="s">
        <v>19</v>
      </c>
      <c r="E5731" s="1" t="s">
        <v>69</v>
      </c>
      <c r="F5731">
        <v>2012</v>
      </c>
      <c r="G5731">
        <v>11</v>
      </c>
      <c r="H5731" s="1" t="s">
        <v>21</v>
      </c>
      <c r="I5731">
        <v>19</v>
      </c>
      <c r="J5731">
        <v>2469</v>
      </c>
      <c r="K5731" s="1" t="s">
        <v>70</v>
      </c>
      <c r="L5731" s="1" t="s">
        <v>45</v>
      </c>
      <c r="M5731">
        <v>2.3460000000000001</v>
      </c>
      <c r="N5731">
        <v>44571.6</v>
      </c>
      <c r="O5731">
        <v>44.572000000000003</v>
      </c>
      <c r="P5731" s="2">
        <v>45078</v>
      </c>
      <c r="Q5731">
        <v>1</v>
      </c>
      <c r="R5731" s="1" t="s">
        <v>24</v>
      </c>
    </row>
    <row r="5732" spans="1:18" x14ac:dyDescent="0.25">
      <c r="A5732">
        <v>2023</v>
      </c>
      <c r="B5732">
        <v>7</v>
      </c>
      <c r="C5732" s="1" t="s">
        <v>30</v>
      </c>
      <c r="D5732" s="1" t="s">
        <v>19</v>
      </c>
      <c r="E5732" s="1" t="s">
        <v>69</v>
      </c>
      <c r="F5732">
        <v>2012</v>
      </c>
      <c r="G5732">
        <v>11</v>
      </c>
      <c r="H5732" s="1" t="s">
        <v>21</v>
      </c>
      <c r="I5732">
        <v>19</v>
      </c>
      <c r="J5732">
        <v>2469</v>
      </c>
      <c r="K5732" s="1" t="s">
        <v>70</v>
      </c>
      <c r="L5732" s="1" t="s">
        <v>45</v>
      </c>
      <c r="M5732">
        <v>2.157</v>
      </c>
      <c r="N5732">
        <v>40979.199999999997</v>
      </c>
      <c r="O5732">
        <v>40.978999999999999</v>
      </c>
      <c r="P5732" s="2">
        <v>45108</v>
      </c>
      <c r="Q5732">
        <v>1</v>
      </c>
      <c r="R5732" s="1" t="s">
        <v>24</v>
      </c>
    </row>
    <row r="5733" spans="1:18" x14ac:dyDescent="0.25">
      <c r="A5733">
        <v>2023</v>
      </c>
      <c r="B5733">
        <v>8</v>
      </c>
      <c r="C5733" s="1" t="s">
        <v>31</v>
      </c>
      <c r="D5733" s="1" t="s">
        <v>19</v>
      </c>
      <c r="E5733" s="1" t="s">
        <v>69</v>
      </c>
      <c r="F5733">
        <v>2012</v>
      </c>
      <c r="G5733">
        <v>11</v>
      </c>
      <c r="H5733" s="1" t="s">
        <v>21</v>
      </c>
      <c r="I5733">
        <v>19</v>
      </c>
      <c r="J5733">
        <v>2469</v>
      </c>
      <c r="K5733" s="1" t="s">
        <v>70</v>
      </c>
      <c r="L5733" s="1" t="s">
        <v>45</v>
      </c>
      <c r="M5733">
        <v>2.2679999999999998</v>
      </c>
      <c r="N5733">
        <v>43090.2</v>
      </c>
      <c r="O5733">
        <v>43.09</v>
      </c>
      <c r="P5733" s="2">
        <v>45139</v>
      </c>
      <c r="Q5733">
        <v>1</v>
      </c>
      <c r="R5733" s="1" t="s">
        <v>24</v>
      </c>
    </row>
    <row r="5734" spans="1:18" x14ac:dyDescent="0.25">
      <c r="A5734">
        <v>2023</v>
      </c>
      <c r="B5734">
        <v>9</v>
      </c>
      <c r="C5734" s="1" t="s">
        <v>32</v>
      </c>
      <c r="D5734" s="1" t="s">
        <v>19</v>
      </c>
      <c r="E5734" s="1" t="s">
        <v>69</v>
      </c>
      <c r="F5734">
        <v>2012</v>
      </c>
      <c r="G5734">
        <v>11</v>
      </c>
      <c r="H5734" s="1" t="s">
        <v>21</v>
      </c>
      <c r="I5734">
        <v>19</v>
      </c>
      <c r="J5734">
        <v>2469</v>
      </c>
      <c r="K5734" s="1" t="s">
        <v>70</v>
      </c>
      <c r="L5734" s="1" t="s">
        <v>45</v>
      </c>
      <c r="M5734">
        <v>2.3450000000000002</v>
      </c>
      <c r="N5734">
        <v>44553.1</v>
      </c>
      <c r="O5734">
        <v>44.552999999999997</v>
      </c>
      <c r="P5734" s="2">
        <v>45170</v>
      </c>
      <c r="Q5734">
        <v>1</v>
      </c>
      <c r="R5734" s="1" t="s">
        <v>24</v>
      </c>
    </row>
    <row r="5735" spans="1:18" x14ac:dyDescent="0.25">
      <c r="A5735">
        <v>2023</v>
      </c>
      <c r="B5735">
        <v>10</v>
      </c>
      <c r="C5735" s="1" t="s">
        <v>33</v>
      </c>
      <c r="D5735" s="1" t="s">
        <v>19</v>
      </c>
      <c r="E5735" s="1" t="s">
        <v>69</v>
      </c>
      <c r="F5735">
        <v>2012</v>
      </c>
      <c r="G5735">
        <v>11</v>
      </c>
      <c r="H5735" s="1" t="s">
        <v>21</v>
      </c>
      <c r="I5735">
        <v>19</v>
      </c>
      <c r="J5735">
        <v>2469</v>
      </c>
      <c r="K5735" s="1" t="s">
        <v>70</v>
      </c>
      <c r="L5735" s="1" t="s">
        <v>45</v>
      </c>
      <c r="M5735">
        <v>2.08</v>
      </c>
      <c r="N5735">
        <v>39516.300000000003</v>
      </c>
      <c r="O5735">
        <v>39.515999999999998</v>
      </c>
      <c r="P5735" s="2">
        <v>45200</v>
      </c>
      <c r="Q5735">
        <v>1</v>
      </c>
      <c r="R5735" s="1" t="s">
        <v>24</v>
      </c>
    </row>
    <row r="5736" spans="1:18" x14ac:dyDescent="0.25">
      <c r="A5736">
        <v>2023</v>
      </c>
      <c r="B5736">
        <v>11</v>
      </c>
      <c r="C5736" s="1" t="s">
        <v>34</v>
      </c>
      <c r="D5736" s="1" t="s">
        <v>19</v>
      </c>
      <c r="E5736" s="1" t="s">
        <v>69</v>
      </c>
      <c r="F5736">
        <v>2012</v>
      </c>
      <c r="G5736">
        <v>11</v>
      </c>
      <c r="H5736" s="1" t="s">
        <v>21</v>
      </c>
      <c r="I5736">
        <v>19</v>
      </c>
      <c r="J5736">
        <v>2469</v>
      </c>
      <c r="K5736" s="1" t="s">
        <v>70</v>
      </c>
      <c r="L5736" s="1" t="s">
        <v>45</v>
      </c>
      <c r="M5736">
        <v>1.72</v>
      </c>
      <c r="N5736">
        <v>32683.4</v>
      </c>
      <c r="O5736">
        <v>32.683</v>
      </c>
      <c r="P5736" s="2">
        <v>45231</v>
      </c>
      <c r="Q5736">
        <v>1</v>
      </c>
      <c r="R5736" s="1" t="s">
        <v>24</v>
      </c>
    </row>
    <row r="5737" spans="1:18" x14ac:dyDescent="0.25">
      <c r="A5737">
        <v>2023</v>
      </c>
      <c r="B5737">
        <v>12</v>
      </c>
      <c r="C5737" s="1" t="s">
        <v>35</v>
      </c>
      <c r="D5737" s="1" t="s">
        <v>19</v>
      </c>
      <c r="E5737" s="1" t="s">
        <v>69</v>
      </c>
      <c r="F5737">
        <v>2012</v>
      </c>
      <c r="G5737">
        <v>11</v>
      </c>
      <c r="H5737" s="1" t="s">
        <v>21</v>
      </c>
      <c r="I5737">
        <v>19</v>
      </c>
      <c r="J5737">
        <v>2469</v>
      </c>
      <c r="K5737" s="1" t="s">
        <v>70</v>
      </c>
      <c r="L5737" s="1" t="s">
        <v>45</v>
      </c>
      <c r="M5737">
        <v>0.83099999999999996</v>
      </c>
      <c r="N5737">
        <v>15795.4</v>
      </c>
      <c r="O5737">
        <v>15.795</v>
      </c>
      <c r="P5737" s="2">
        <v>45261</v>
      </c>
      <c r="Q5737">
        <v>1</v>
      </c>
      <c r="R5737" s="1" t="s">
        <v>24</v>
      </c>
    </row>
    <row r="5738" spans="1:18" x14ac:dyDescent="0.25">
      <c r="A5738">
        <v>2023</v>
      </c>
      <c r="B5738">
        <v>1</v>
      </c>
      <c r="C5738" s="1" t="s">
        <v>18</v>
      </c>
      <c r="D5738" s="1" t="s">
        <v>19</v>
      </c>
      <c r="E5738" s="1" t="s">
        <v>71</v>
      </c>
      <c r="F5738">
        <v>2012</v>
      </c>
      <c r="G5738">
        <v>11</v>
      </c>
      <c r="H5738" s="1" t="s">
        <v>21</v>
      </c>
      <c r="I5738">
        <v>20</v>
      </c>
      <c r="J5738">
        <v>2704</v>
      </c>
      <c r="K5738" s="1" t="s">
        <v>72</v>
      </c>
      <c r="L5738" s="1" t="s">
        <v>64</v>
      </c>
      <c r="M5738">
        <v>1.3109999999999999</v>
      </c>
      <c r="N5738">
        <v>26222</v>
      </c>
      <c r="O5738">
        <v>26.222000000000001</v>
      </c>
      <c r="P5738" s="2">
        <v>44927</v>
      </c>
      <c r="Q5738">
        <v>1</v>
      </c>
      <c r="R5738" s="1" t="s">
        <v>24</v>
      </c>
    </row>
    <row r="5739" spans="1:18" x14ac:dyDescent="0.25">
      <c r="A5739">
        <v>2023</v>
      </c>
      <c r="B5739">
        <v>2</v>
      </c>
      <c r="C5739" s="1" t="s">
        <v>25</v>
      </c>
      <c r="D5739" s="1" t="s">
        <v>19</v>
      </c>
      <c r="E5739" s="1" t="s">
        <v>71</v>
      </c>
      <c r="F5739">
        <v>2012</v>
      </c>
      <c r="G5739">
        <v>11</v>
      </c>
      <c r="H5739" s="1" t="s">
        <v>21</v>
      </c>
      <c r="I5739">
        <v>20</v>
      </c>
      <c r="J5739">
        <v>2704</v>
      </c>
      <c r="K5739" s="1" t="s">
        <v>72</v>
      </c>
      <c r="L5739" s="1" t="s">
        <v>64</v>
      </c>
      <c r="M5739">
        <v>1.881</v>
      </c>
      <c r="N5739">
        <v>37619.4</v>
      </c>
      <c r="O5739">
        <v>37.619</v>
      </c>
      <c r="P5739" s="2">
        <v>44958</v>
      </c>
      <c r="Q5739">
        <v>1</v>
      </c>
      <c r="R5739" s="1" t="s">
        <v>24</v>
      </c>
    </row>
    <row r="5740" spans="1:18" x14ac:dyDescent="0.25">
      <c r="A5740">
        <v>2023</v>
      </c>
      <c r="B5740">
        <v>3</v>
      </c>
      <c r="C5740" s="1" t="s">
        <v>26</v>
      </c>
      <c r="D5740" s="1" t="s">
        <v>19</v>
      </c>
      <c r="E5740" s="1" t="s">
        <v>71</v>
      </c>
      <c r="F5740">
        <v>2012</v>
      </c>
      <c r="G5740">
        <v>11</v>
      </c>
      <c r="H5740" s="1" t="s">
        <v>21</v>
      </c>
      <c r="I5740">
        <v>20</v>
      </c>
      <c r="J5740">
        <v>2704</v>
      </c>
      <c r="K5740" s="1" t="s">
        <v>72</v>
      </c>
      <c r="L5740" s="1" t="s">
        <v>64</v>
      </c>
      <c r="M5740">
        <v>2.1840000000000002</v>
      </c>
      <c r="N5740">
        <v>43683.1</v>
      </c>
      <c r="O5740">
        <v>43.683</v>
      </c>
      <c r="P5740" s="2">
        <v>44986</v>
      </c>
      <c r="Q5740">
        <v>1</v>
      </c>
      <c r="R5740" s="1" t="s">
        <v>24</v>
      </c>
    </row>
    <row r="5741" spans="1:18" x14ac:dyDescent="0.25">
      <c r="A5741">
        <v>2023</v>
      </c>
      <c r="B5741">
        <v>4</v>
      </c>
      <c r="C5741" s="1" t="s">
        <v>27</v>
      </c>
      <c r="D5741" s="1" t="s">
        <v>19</v>
      </c>
      <c r="E5741" s="1" t="s">
        <v>71</v>
      </c>
      <c r="F5741">
        <v>2012</v>
      </c>
      <c r="G5741">
        <v>11</v>
      </c>
      <c r="H5741" s="1" t="s">
        <v>21</v>
      </c>
      <c r="I5741">
        <v>20</v>
      </c>
      <c r="J5741">
        <v>2704</v>
      </c>
      <c r="K5741" s="1" t="s">
        <v>72</v>
      </c>
      <c r="L5741" s="1" t="s">
        <v>64</v>
      </c>
      <c r="M5741">
        <v>2.2200000000000002</v>
      </c>
      <c r="N5741">
        <v>44392.9</v>
      </c>
      <c r="O5741">
        <v>44.393000000000001</v>
      </c>
      <c r="P5741" s="2">
        <v>45017</v>
      </c>
      <c r="Q5741">
        <v>1</v>
      </c>
      <c r="R5741" s="1" t="s">
        <v>24</v>
      </c>
    </row>
    <row r="5742" spans="1:18" x14ac:dyDescent="0.25">
      <c r="A5742">
        <v>2023</v>
      </c>
      <c r="B5742">
        <v>5</v>
      </c>
      <c r="C5742" s="1" t="s">
        <v>28</v>
      </c>
      <c r="D5742" s="1" t="s">
        <v>19</v>
      </c>
      <c r="E5742" s="1" t="s">
        <v>71</v>
      </c>
      <c r="F5742">
        <v>2012</v>
      </c>
      <c r="G5742">
        <v>11</v>
      </c>
      <c r="H5742" s="1" t="s">
        <v>21</v>
      </c>
      <c r="I5742">
        <v>20</v>
      </c>
      <c r="J5742">
        <v>2704</v>
      </c>
      <c r="K5742" s="1" t="s">
        <v>72</v>
      </c>
      <c r="L5742" s="1" t="s">
        <v>64</v>
      </c>
      <c r="M5742">
        <v>2.2050000000000001</v>
      </c>
      <c r="N5742">
        <v>44109</v>
      </c>
      <c r="O5742">
        <v>44.109000000000002</v>
      </c>
      <c r="P5742" s="2">
        <v>45047</v>
      </c>
      <c r="Q5742">
        <v>1</v>
      </c>
      <c r="R5742" s="1" t="s">
        <v>24</v>
      </c>
    </row>
    <row r="5743" spans="1:18" x14ac:dyDescent="0.25">
      <c r="A5743">
        <v>2023</v>
      </c>
      <c r="B5743">
        <v>6</v>
      </c>
      <c r="C5743" s="1" t="s">
        <v>29</v>
      </c>
      <c r="D5743" s="1" t="s">
        <v>19</v>
      </c>
      <c r="E5743" s="1" t="s">
        <v>71</v>
      </c>
      <c r="F5743">
        <v>2012</v>
      </c>
      <c r="G5743">
        <v>11</v>
      </c>
      <c r="H5743" s="1" t="s">
        <v>21</v>
      </c>
      <c r="I5743">
        <v>20</v>
      </c>
      <c r="J5743">
        <v>2704</v>
      </c>
      <c r="K5743" s="1" t="s">
        <v>72</v>
      </c>
      <c r="L5743" s="1" t="s">
        <v>64</v>
      </c>
      <c r="M5743">
        <v>2.4409999999999998</v>
      </c>
      <c r="N5743">
        <v>48814</v>
      </c>
      <c r="O5743">
        <v>48.814</v>
      </c>
      <c r="P5743" s="2">
        <v>45078</v>
      </c>
      <c r="Q5743">
        <v>1</v>
      </c>
      <c r="R5743" s="1" t="s">
        <v>24</v>
      </c>
    </row>
    <row r="5744" spans="1:18" x14ac:dyDescent="0.25">
      <c r="A5744">
        <v>2023</v>
      </c>
      <c r="B5744">
        <v>7</v>
      </c>
      <c r="C5744" s="1" t="s">
        <v>30</v>
      </c>
      <c r="D5744" s="1" t="s">
        <v>19</v>
      </c>
      <c r="E5744" s="1" t="s">
        <v>71</v>
      </c>
      <c r="F5744">
        <v>2012</v>
      </c>
      <c r="G5744">
        <v>11</v>
      </c>
      <c r="H5744" s="1" t="s">
        <v>21</v>
      </c>
      <c r="I5744">
        <v>20</v>
      </c>
      <c r="J5744">
        <v>2704</v>
      </c>
      <c r="K5744" s="1" t="s">
        <v>72</v>
      </c>
      <c r="L5744" s="1" t="s">
        <v>64</v>
      </c>
      <c r="M5744">
        <v>2.2440000000000002</v>
      </c>
      <c r="N5744">
        <v>44879.6</v>
      </c>
      <c r="O5744">
        <v>44.88</v>
      </c>
      <c r="P5744" s="2">
        <v>45108</v>
      </c>
      <c r="Q5744">
        <v>1</v>
      </c>
      <c r="R5744" s="1" t="s">
        <v>24</v>
      </c>
    </row>
    <row r="5745" spans="1:18" x14ac:dyDescent="0.25">
      <c r="A5745">
        <v>2023</v>
      </c>
      <c r="B5745">
        <v>8</v>
      </c>
      <c r="C5745" s="1" t="s">
        <v>31</v>
      </c>
      <c r="D5745" s="1" t="s">
        <v>19</v>
      </c>
      <c r="E5745" s="1" t="s">
        <v>71</v>
      </c>
      <c r="F5745">
        <v>2012</v>
      </c>
      <c r="G5745">
        <v>11</v>
      </c>
      <c r="H5745" s="1" t="s">
        <v>21</v>
      </c>
      <c r="I5745">
        <v>20</v>
      </c>
      <c r="J5745">
        <v>2704</v>
      </c>
      <c r="K5745" s="1" t="s">
        <v>72</v>
      </c>
      <c r="L5745" s="1" t="s">
        <v>64</v>
      </c>
      <c r="M5745">
        <v>2.36</v>
      </c>
      <c r="N5745">
        <v>47191.6</v>
      </c>
      <c r="O5745">
        <v>47.192</v>
      </c>
      <c r="P5745" s="2">
        <v>45139</v>
      </c>
      <c r="Q5745">
        <v>1</v>
      </c>
      <c r="R5745" s="1" t="s">
        <v>24</v>
      </c>
    </row>
    <row r="5746" spans="1:18" x14ac:dyDescent="0.25">
      <c r="A5746">
        <v>2023</v>
      </c>
      <c r="B5746">
        <v>9</v>
      </c>
      <c r="C5746" s="1" t="s">
        <v>32</v>
      </c>
      <c r="D5746" s="1" t="s">
        <v>19</v>
      </c>
      <c r="E5746" s="1" t="s">
        <v>71</v>
      </c>
      <c r="F5746">
        <v>2012</v>
      </c>
      <c r="G5746">
        <v>11</v>
      </c>
      <c r="H5746" s="1" t="s">
        <v>21</v>
      </c>
      <c r="I5746">
        <v>20</v>
      </c>
      <c r="J5746">
        <v>2704</v>
      </c>
      <c r="K5746" s="1" t="s">
        <v>72</v>
      </c>
      <c r="L5746" s="1" t="s">
        <v>64</v>
      </c>
      <c r="M5746">
        <v>2.44</v>
      </c>
      <c r="N5746">
        <v>48793.7</v>
      </c>
      <c r="O5746">
        <v>48.793999999999997</v>
      </c>
      <c r="P5746" s="2">
        <v>45170</v>
      </c>
      <c r="Q5746">
        <v>1</v>
      </c>
      <c r="R5746" s="1" t="s">
        <v>24</v>
      </c>
    </row>
    <row r="5747" spans="1:18" x14ac:dyDescent="0.25">
      <c r="A5747">
        <v>2023</v>
      </c>
      <c r="B5747">
        <v>10</v>
      </c>
      <c r="C5747" s="1" t="s">
        <v>33</v>
      </c>
      <c r="D5747" s="1" t="s">
        <v>19</v>
      </c>
      <c r="E5747" s="1" t="s">
        <v>71</v>
      </c>
      <c r="F5747">
        <v>2012</v>
      </c>
      <c r="G5747">
        <v>11</v>
      </c>
      <c r="H5747" s="1" t="s">
        <v>21</v>
      </c>
      <c r="I5747">
        <v>20</v>
      </c>
      <c r="J5747">
        <v>2704</v>
      </c>
      <c r="K5747" s="1" t="s">
        <v>72</v>
      </c>
      <c r="L5747" s="1" t="s">
        <v>64</v>
      </c>
      <c r="M5747">
        <v>2.1640000000000001</v>
      </c>
      <c r="N5747">
        <v>43277.5</v>
      </c>
      <c r="O5747">
        <v>43.277999999999999</v>
      </c>
      <c r="P5747" s="2">
        <v>45200</v>
      </c>
      <c r="Q5747">
        <v>1</v>
      </c>
      <c r="R5747" s="1" t="s">
        <v>24</v>
      </c>
    </row>
    <row r="5748" spans="1:18" x14ac:dyDescent="0.25">
      <c r="A5748">
        <v>2023</v>
      </c>
      <c r="B5748">
        <v>11</v>
      </c>
      <c r="C5748" s="1" t="s">
        <v>34</v>
      </c>
      <c r="D5748" s="1" t="s">
        <v>19</v>
      </c>
      <c r="E5748" s="1" t="s">
        <v>71</v>
      </c>
      <c r="F5748">
        <v>2012</v>
      </c>
      <c r="G5748">
        <v>11</v>
      </c>
      <c r="H5748" s="1" t="s">
        <v>21</v>
      </c>
      <c r="I5748">
        <v>20</v>
      </c>
      <c r="J5748">
        <v>2704</v>
      </c>
      <c r="K5748" s="1" t="s">
        <v>72</v>
      </c>
      <c r="L5748" s="1" t="s">
        <v>64</v>
      </c>
      <c r="M5748">
        <v>1.79</v>
      </c>
      <c r="N5748">
        <v>35794.199999999997</v>
      </c>
      <c r="O5748">
        <v>35.793999999999997</v>
      </c>
      <c r="P5748" s="2">
        <v>45231</v>
      </c>
      <c r="Q5748">
        <v>1</v>
      </c>
      <c r="R5748" s="1" t="s">
        <v>24</v>
      </c>
    </row>
    <row r="5749" spans="1:18" x14ac:dyDescent="0.25">
      <c r="A5749">
        <v>2023</v>
      </c>
      <c r="B5749">
        <v>12</v>
      </c>
      <c r="C5749" s="1" t="s">
        <v>35</v>
      </c>
      <c r="D5749" s="1" t="s">
        <v>19</v>
      </c>
      <c r="E5749" s="1" t="s">
        <v>71</v>
      </c>
      <c r="F5749">
        <v>2012</v>
      </c>
      <c r="G5749">
        <v>11</v>
      </c>
      <c r="H5749" s="1" t="s">
        <v>21</v>
      </c>
      <c r="I5749">
        <v>20</v>
      </c>
      <c r="J5749">
        <v>2704</v>
      </c>
      <c r="K5749" s="1" t="s">
        <v>72</v>
      </c>
      <c r="L5749" s="1" t="s">
        <v>64</v>
      </c>
      <c r="M5749">
        <v>0.86499999999999999</v>
      </c>
      <c r="N5749">
        <v>17298.8</v>
      </c>
      <c r="O5749">
        <v>17.298999999999999</v>
      </c>
      <c r="P5749" s="2">
        <v>45261</v>
      </c>
      <c r="Q5749">
        <v>1</v>
      </c>
      <c r="R5749" s="1" t="s">
        <v>24</v>
      </c>
    </row>
    <row r="5750" spans="1:18" x14ac:dyDescent="0.25">
      <c r="A5750">
        <v>2023</v>
      </c>
      <c r="B5750">
        <v>1</v>
      </c>
      <c r="C5750" s="1" t="s">
        <v>18</v>
      </c>
      <c r="D5750" s="1" t="s">
        <v>19</v>
      </c>
      <c r="E5750" s="1" t="s">
        <v>73</v>
      </c>
      <c r="F5750">
        <v>2012</v>
      </c>
      <c r="G5750">
        <v>11</v>
      </c>
      <c r="H5750" s="1" t="s">
        <v>21</v>
      </c>
      <c r="I5750">
        <v>14</v>
      </c>
      <c r="J5750">
        <v>1833</v>
      </c>
      <c r="K5750" s="1" t="s">
        <v>74</v>
      </c>
      <c r="L5750" s="1" t="s">
        <v>64</v>
      </c>
      <c r="M5750">
        <v>1.27</v>
      </c>
      <c r="N5750">
        <v>17775.5</v>
      </c>
      <c r="O5750">
        <v>17.776</v>
      </c>
      <c r="P5750" s="2">
        <v>44927</v>
      </c>
      <c r="Q5750">
        <v>1</v>
      </c>
      <c r="R5750" s="1" t="s">
        <v>24</v>
      </c>
    </row>
    <row r="5751" spans="1:18" x14ac:dyDescent="0.25">
      <c r="A5751">
        <v>2023</v>
      </c>
      <c r="B5751">
        <v>2</v>
      </c>
      <c r="C5751" s="1" t="s">
        <v>25</v>
      </c>
      <c r="D5751" s="1" t="s">
        <v>19</v>
      </c>
      <c r="E5751" s="1" t="s">
        <v>73</v>
      </c>
      <c r="F5751">
        <v>2012</v>
      </c>
      <c r="G5751">
        <v>11</v>
      </c>
      <c r="H5751" s="1" t="s">
        <v>21</v>
      </c>
      <c r="I5751">
        <v>14</v>
      </c>
      <c r="J5751">
        <v>1833</v>
      </c>
      <c r="K5751" s="1" t="s">
        <v>74</v>
      </c>
      <c r="L5751" s="1" t="s">
        <v>64</v>
      </c>
      <c r="M5751">
        <v>1.8220000000000001</v>
      </c>
      <c r="N5751">
        <v>25501.599999999999</v>
      </c>
      <c r="O5751">
        <v>25.501999999999999</v>
      </c>
      <c r="P5751" s="2">
        <v>44958</v>
      </c>
      <c r="Q5751">
        <v>1</v>
      </c>
      <c r="R5751" s="1" t="s">
        <v>24</v>
      </c>
    </row>
    <row r="5752" spans="1:18" x14ac:dyDescent="0.25">
      <c r="A5752">
        <v>2023</v>
      </c>
      <c r="B5752">
        <v>3</v>
      </c>
      <c r="C5752" s="1" t="s">
        <v>26</v>
      </c>
      <c r="D5752" s="1" t="s">
        <v>19</v>
      </c>
      <c r="E5752" s="1" t="s">
        <v>73</v>
      </c>
      <c r="F5752">
        <v>2012</v>
      </c>
      <c r="G5752">
        <v>11</v>
      </c>
      <c r="H5752" s="1" t="s">
        <v>21</v>
      </c>
      <c r="I5752">
        <v>14</v>
      </c>
      <c r="J5752">
        <v>1833</v>
      </c>
      <c r="K5752" s="1" t="s">
        <v>74</v>
      </c>
      <c r="L5752" s="1" t="s">
        <v>64</v>
      </c>
      <c r="M5752">
        <v>2.1150000000000002</v>
      </c>
      <c r="N5752">
        <v>29612.1</v>
      </c>
      <c r="O5752">
        <v>29.611999999999998</v>
      </c>
      <c r="P5752" s="2">
        <v>44986</v>
      </c>
      <c r="Q5752">
        <v>1</v>
      </c>
      <c r="R5752" s="1" t="s">
        <v>24</v>
      </c>
    </row>
    <row r="5753" spans="1:18" x14ac:dyDescent="0.25">
      <c r="A5753">
        <v>2023</v>
      </c>
      <c r="B5753">
        <v>4</v>
      </c>
      <c r="C5753" s="1" t="s">
        <v>27</v>
      </c>
      <c r="D5753" s="1" t="s">
        <v>19</v>
      </c>
      <c r="E5753" s="1" t="s">
        <v>73</v>
      </c>
      <c r="F5753">
        <v>2012</v>
      </c>
      <c r="G5753">
        <v>11</v>
      </c>
      <c r="H5753" s="1" t="s">
        <v>21</v>
      </c>
      <c r="I5753">
        <v>14</v>
      </c>
      <c r="J5753">
        <v>1833</v>
      </c>
      <c r="K5753" s="1" t="s">
        <v>74</v>
      </c>
      <c r="L5753" s="1" t="s">
        <v>64</v>
      </c>
      <c r="M5753">
        <v>2.15</v>
      </c>
      <c r="N5753">
        <v>30093.3</v>
      </c>
      <c r="O5753">
        <v>30.093</v>
      </c>
      <c r="P5753" s="2">
        <v>45017</v>
      </c>
      <c r="Q5753">
        <v>1</v>
      </c>
      <c r="R5753" s="1" t="s">
        <v>24</v>
      </c>
    </row>
    <row r="5754" spans="1:18" x14ac:dyDescent="0.25">
      <c r="A5754">
        <v>2023</v>
      </c>
      <c r="B5754">
        <v>5</v>
      </c>
      <c r="C5754" s="1" t="s">
        <v>28</v>
      </c>
      <c r="D5754" s="1" t="s">
        <v>19</v>
      </c>
      <c r="E5754" s="1" t="s">
        <v>73</v>
      </c>
      <c r="F5754">
        <v>2012</v>
      </c>
      <c r="G5754">
        <v>11</v>
      </c>
      <c r="H5754" s="1" t="s">
        <v>21</v>
      </c>
      <c r="I5754">
        <v>14</v>
      </c>
      <c r="J5754">
        <v>1833</v>
      </c>
      <c r="K5754" s="1" t="s">
        <v>74</v>
      </c>
      <c r="L5754" s="1" t="s">
        <v>64</v>
      </c>
      <c r="M5754">
        <v>2.1360000000000001</v>
      </c>
      <c r="N5754">
        <v>29900.799999999999</v>
      </c>
      <c r="O5754">
        <v>29.901</v>
      </c>
      <c r="P5754" s="2">
        <v>45047</v>
      </c>
      <c r="Q5754">
        <v>1</v>
      </c>
      <c r="R5754" s="1" t="s">
        <v>24</v>
      </c>
    </row>
    <row r="5755" spans="1:18" x14ac:dyDescent="0.25">
      <c r="A5755">
        <v>2023</v>
      </c>
      <c r="B5755">
        <v>6</v>
      </c>
      <c r="C5755" s="1" t="s">
        <v>29</v>
      </c>
      <c r="D5755" s="1" t="s">
        <v>19</v>
      </c>
      <c r="E5755" s="1" t="s">
        <v>73</v>
      </c>
      <c r="F5755">
        <v>2012</v>
      </c>
      <c r="G5755">
        <v>11</v>
      </c>
      <c r="H5755" s="1" t="s">
        <v>21</v>
      </c>
      <c r="I5755">
        <v>14</v>
      </c>
      <c r="J5755">
        <v>1833</v>
      </c>
      <c r="K5755" s="1" t="s">
        <v>74</v>
      </c>
      <c r="L5755" s="1" t="s">
        <v>64</v>
      </c>
      <c r="M5755">
        <v>2.3639999999999999</v>
      </c>
      <c r="N5755">
        <v>33090.199999999997</v>
      </c>
      <c r="O5755">
        <v>33.090000000000003</v>
      </c>
      <c r="P5755" s="2">
        <v>45078</v>
      </c>
      <c r="Q5755">
        <v>1</v>
      </c>
      <c r="R5755" s="1" t="s">
        <v>24</v>
      </c>
    </row>
    <row r="5756" spans="1:18" x14ac:dyDescent="0.25">
      <c r="A5756">
        <v>2023</v>
      </c>
      <c r="B5756">
        <v>7</v>
      </c>
      <c r="C5756" s="1" t="s">
        <v>30</v>
      </c>
      <c r="D5756" s="1" t="s">
        <v>19</v>
      </c>
      <c r="E5756" s="1" t="s">
        <v>73</v>
      </c>
      <c r="F5756">
        <v>2012</v>
      </c>
      <c r="G5756">
        <v>11</v>
      </c>
      <c r="H5756" s="1" t="s">
        <v>21</v>
      </c>
      <c r="I5756">
        <v>14</v>
      </c>
      <c r="J5756">
        <v>1833</v>
      </c>
      <c r="K5756" s="1" t="s">
        <v>74</v>
      </c>
      <c r="L5756" s="1" t="s">
        <v>64</v>
      </c>
      <c r="M5756">
        <v>2.173</v>
      </c>
      <c r="N5756">
        <v>30423.200000000001</v>
      </c>
      <c r="O5756">
        <v>30.422999999999998</v>
      </c>
      <c r="P5756" s="2">
        <v>45108</v>
      </c>
      <c r="Q5756">
        <v>1</v>
      </c>
      <c r="R5756" s="1" t="s">
        <v>24</v>
      </c>
    </row>
    <row r="5757" spans="1:18" x14ac:dyDescent="0.25">
      <c r="A5757">
        <v>2023</v>
      </c>
      <c r="B5757">
        <v>8</v>
      </c>
      <c r="C5757" s="1" t="s">
        <v>31</v>
      </c>
      <c r="D5757" s="1" t="s">
        <v>19</v>
      </c>
      <c r="E5757" s="1" t="s">
        <v>73</v>
      </c>
      <c r="F5757">
        <v>2012</v>
      </c>
      <c r="G5757">
        <v>11</v>
      </c>
      <c r="H5757" s="1" t="s">
        <v>21</v>
      </c>
      <c r="I5757">
        <v>14</v>
      </c>
      <c r="J5757">
        <v>1833</v>
      </c>
      <c r="K5757" s="1" t="s">
        <v>74</v>
      </c>
      <c r="L5757" s="1" t="s">
        <v>64</v>
      </c>
      <c r="M5757">
        <v>2.2850000000000001</v>
      </c>
      <c r="N5757">
        <v>31990.400000000001</v>
      </c>
      <c r="O5757">
        <v>31.99</v>
      </c>
      <c r="P5757" s="2">
        <v>45139</v>
      </c>
      <c r="Q5757">
        <v>1</v>
      </c>
      <c r="R5757" s="1" t="s">
        <v>24</v>
      </c>
    </row>
    <row r="5758" spans="1:18" x14ac:dyDescent="0.25">
      <c r="A5758">
        <v>2023</v>
      </c>
      <c r="B5758">
        <v>9</v>
      </c>
      <c r="C5758" s="1" t="s">
        <v>32</v>
      </c>
      <c r="D5758" s="1" t="s">
        <v>19</v>
      </c>
      <c r="E5758" s="1" t="s">
        <v>73</v>
      </c>
      <c r="F5758">
        <v>2012</v>
      </c>
      <c r="G5758">
        <v>11</v>
      </c>
      <c r="H5758" s="1" t="s">
        <v>21</v>
      </c>
      <c r="I5758">
        <v>14</v>
      </c>
      <c r="J5758">
        <v>1833</v>
      </c>
      <c r="K5758" s="1" t="s">
        <v>74</v>
      </c>
      <c r="L5758" s="1" t="s">
        <v>64</v>
      </c>
      <c r="M5758">
        <v>2.363</v>
      </c>
      <c r="N5758">
        <v>33076.5</v>
      </c>
      <c r="O5758">
        <v>33.076000000000001</v>
      </c>
      <c r="P5758" s="2">
        <v>45170</v>
      </c>
      <c r="Q5758">
        <v>1</v>
      </c>
      <c r="R5758" s="1" t="s">
        <v>24</v>
      </c>
    </row>
    <row r="5759" spans="1:18" x14ac:dyDescent="0.25">
      <c r="A5759">
        <v>2023</v>
      </c>
      <c r="B5759">
        <v>10</v>
      </c>
      <c r="C5759" s="1" t="s">
        <v>33</v>
      </c>
      <c r="D5759" s="1" t="s">
        <v>19</v>
      </c>
      <c r="E5759" s="1" t="s">
        <v>73</v>
      </c>
      <c r="F5759">
        <v>2012</v>
      </c>
      <c r="G5759">
        <v>11</v>
      </c>
      <c r="H5759" s="1" t="s">
        <v>21</v>
      </c>
      <c r="I5759">
        <v>14</v>
      </c>
      <c r="J5759">
        <v>1833</v>
      </c>
      <c r="K5759" s="1" t="s">
        <v>74</v>
      </c>
      <c r="L5759" s="1" t="s">
        <v>64</v>
      </c>
      <c r="M5759">
        <v>2.0960000000000001</v>
      </c>
      <c r="N5759">
        <v>29337.200000000001</v>
      </c>
      <c r="O5759">
        <v>29.337</v>
      </c>
      <c r="P5759" s="2">
        <v>45200</v>
      </c>
      <c r="Q5759">
        <v>1</v>
      </c>
      <c r="R5759" s="1" t="s">
        <v>24</v>
      </c>
    </row>
    <row r="5760" spans="1:18" x14ac:dyDescent="0.25">
      <c r="A5760">
        <v>2023</v>
      </c>
      <c r="B5760">
        <v>11</v>
      </c>
      <c r="C5760" s="1" t="s">
        <v>34</v>
      </c>
      <c r="D5760" s="1" t="s">
        <v>19</v>
      </c>
      <c r="E5760" s="1" t="s">
        <v>73</v>
      </c>
      <c r="F5760">
        <v>2012</v>
      </c>
      <c r="G5760">
        <v>11</v>
      </c>
      <c r="H5760" s="1" t="s">
        <v>21</v>
      </c>
      <c r="I5760">
        <v>14</v>
      </c>
      <c r="J5760">
        <v>1833</v>
      </c>
      <c r="K5760" s="1" t="s">
        <v>74</v>
      </c>
      <c r="L5760" s="1" t="s">
        <v>64</v>
      </c>
      <c r="M5760">
        <v>1.7330000000000001</v>
      </c>
      <c r="N5760">
        <v>24264.3</v>
      </c>
      <c r="O5760">
        <v>24.263999999999999</v>
      </c>
      <c r="P5760" s="2">
        <v>45231</v>
      </c>
      <c r="Q5760">
        <v>1</v>
      </c>
      <c r="R5760" s="1" t="s">
        <v>24</v>
      </c>
    </row>
    <row r="5761" spans="1:18" x14ac:dyDescent="0.25">
      <c r="A5761">
        <v>2023</v>
      </c>
      <c r="B5761">
        <v>12</v>
      </c>
      <c r="C5761" s="1" t="s">
        <v>35</v>
      </c>
      <c r="D5761" s="1" t="s">
        <v>19</v>
      </c>
      <c r="E5761" s="1" t="s">
        <v>73</v>
      </c>
      <c r="F5761">
        <v>2012</v>
      </c>
      <c r="G5761">
        <v>11</v>
      </c>
      <c r="H5761" s="1" t="s">
        <v>21</v>
      </c>
      <c r="I5761">
        <v>14</v>
      </c>
      <c r="J5761">
        <v>1833</v>
      </c>
      <c r="K5761" s="1" t="s">
        <v>74</v>
      </c>
      <c r="L5761" s="1" t="s">
        <v>64</v>
      </c>
      <c r="M5761">
        <v>0.83799999999999997</v>
      </c>
      <c r="N5761">
        <v>11726.6</v>
      </c>
      <c r="O5761">
        <v>11.727</v>
      </c>
      <c r="P5761" s="2">
        <v>45261</v>
      </c>
      <c r="Q5761">
        <v>1</v>
      </c>
      <c r="R5761" s="1" t="s">
        <v>24</v>
      </c>
    </row>
    <row r="5762" spans="1:18" x14ac:dyDescent="0.25">
      <c r="A5762">
        <v>2023</v>
      </c>
      <c r="B5762">
        <v>1</v>
      </c>
      <c r="C5762" s="1" t="s">
        <v>18</v>
      </c>
      <c r="D5762" s="1" t="s">
        <v>19</v>
      </c>
      <c r="E5762" s="1" t="s">
        <v>75</v>
      </c>
      <c r="F5762">
        <v>2012</v>
      </c>
      <c r="G5762">
        <v>11</v>
      </c>
      <c r="H5762" s="1" t="s">
        <v>21</v>
      </c>
      <c r="I5762">
        <v>20</v>
      </c>
      <c r="J5762">
        <v>1990</v>
      </c>
      <c r="K5762" s="1" t="s">
        <v>76</v>
      </c>
      <c r="L5762" s="1" t="s">
        <v>64</v>
      </c>
      <c r="M5762">
        <v>0.98899999999999999</v>
      </c>
      <c r="N5762">
        <v>19782.900000000001</v>
      </c>
      <c r="O5762">
        <v>19.783000000000001</v>
      </c>
      <c r="P5762" s="2">
        <v>44927</v>
      </c>
      <c r="Q5762">
        <v>1</v>
      </c>
      <c r="R5762" s="1" t="s">
        <v>24</v>
      </c>
    </row>
    <row r="5763" spans="1:18" x14ac:dyDescent="0.25">
      <c r="A5763">
        <v>2023</v>
      </c>
      <c r="B5763">
        <v>2</v>
      </c>
      <c r="C5763" s="1" t="s">
        <v>25</v>
      </c>
      <c r="D5763" s="1" t="s">
        <v>19</v>
      </c>
      <c r="E5763" s="1" t="s">
        <v>75</v>
      </c>
      <c r="F5763">
        <v>2012</v>
      </c>
      <c r="G5763">
        <v>11</v>
      </c>
      <c r="H5763" s="1" t="s">
        <v>21</v>
      </c>
      <c r="I5763">
        <v>20</v>
      </c>
      <c r="J5763">
        <v>1990</v>
      </c>
      <c r="K5763" s="1" t="s">
        <v>76</v>
      </c>
      <c r="L5763" s="1" t="s">
        <v>64</v>
      </c>
      <c r="M5763">
        <v>1.419</v>
      </c>
      <c r="N5763">
        <v>28381.5</v>
      </c>
      <c r="O5763">
        <v>28.382000000000001</v>
      </c>
      <c r="P5763" s="2">
        <v>44958</v>
      </c>
      <c r="Q5763">
        <v>1</v>
      </c>
      <c r="R5763" s="1" t="s">
        <v>24</v>
      </c>
    </row>
    <row r="5764" spans="1:18" x14ac:dyDescent="0.25">
      <c r="A5764">
        <v>2023</v>
      </c>
      <c r="B5764">
        <v>3</v>
      </c>
      <c r="C5764" s="1" t="s">
        <v>26</v>
      </c>
      <c r="D5764" s="1" t="s">
        <v>19</v>
      </c>
      <c r="E5764" s="1" t="s">
        <v>75</v>
      </c>
      <c r="F5764">
        <v>2012</v>
      </c>
      <c r="G5764">
        <v>11</v>
      </c>
      <c r="H5764" s="1" t="s">
        <v>21</v>
      </c>
      <c r="I5764">
        <v>20</v>
      </c>
      <c r="J5764">
        <v>1990</v>
      </c>
      <c r="K5764" s="1" t="s">
        <v>76</v>
      </c>
      <c r="L5764" s="1" t="s">
        <v>64</v>
      </c>
      <c r="M5764">
        <v>1.6479999999999999</v>
      </c>
      <c r="N5764">
        <v>32956.199999999997</v>
      </c>
      <c r="O5764">
        <v>32.956000000000003</v>
      </c>
      <c r="P5764" s="2">
        <v>44986</v>
      </c>
      <c r="Q5764">
        <v>1</v>
      </c>
      <c r="R5764" s="1" t="s">
        <v>24</v>
      </c>
    </row>
    <row r="5765" spans="1:18" x14ac:dyDescent="0.25">
      <c r="A5765">
        <v>2023</v>
      </c>
      <c r="B5765">
        <v>4</v>
      </c>
      <c r="C5765" s="1" t="s">
        <v>27</v>
      </c>
      <c r="D5765" s="1" t="s">
        <v>19</v>
      </c>
      <c r="E5765" s="1" t="s">
        <v>75</v>
      </c>
      <c r="F5765">
        <v>2012</v>
      </c>
      <c r="G5765">
        <v>11</v>
      </c>
      <c r="H5765" s="1" t="s">
        <v>21</v>
      </c>
      <c r="I5765">
        <v>20</v>
      </c>
      <c r="J5765">
        <v>1990</v>
      </c>
      <c r="K5765" s="1" t="s">
        <v>76</v>
      </c>
      <c r="L5765" s="1" t="s">
        <v>64</v>
      </c>
      <c r="M5765">
        <v>1.675</v>
      </c>
      <c r="N5765">
        <v>33491.699999999997</v>
      </c>
      <c r="O5765">
        <v>33.491999999999997</v>
      </c>
      <c r="P5765" s="2">
        <v>45017</v>
      </c>
      <c r="Q5765">
        <v>1</v>
      </c>
      <c r="R5765" s="1" t="s">
        <v>24</v>
      </c>
    </row>
    <row r="5766" spans="1:18" x14ac:dyDescent="0.25">
      <c r="A5766">
        <v>2023</v>
      </c>
      <c r="B5766">
        <v>5</v>
      </c>
      <c r="C5766" s="1" t="s">
        <v>28</v>
      </c>
      <c r="D5766" s="1" t="s">
        <v>19</v>
      </c>
      <c r="E5766" s="1" t="s">
        <v>75</v>
      </c>
      <c r="F5766">
        <v>2012</v>
      </c>
      <c r="G5766">
        <v>11</v>
      </c>
      <c r="H5766" s="1" t="s">
        <v>21</v>
      </c>
      <c r="I5766">
        <v>20</v>
      </c>
      <c r="J5766">
        <v>1990</v>
      </c>
      <c r="K5766" s="1" t="s">
        <v>76</v>
      </c>
      <c r="L5766" s="1" t="s">
        <v>64</v>
      </c>
      <c r="M5766">
        <v>1.6639999999999999</v>
      </c>
      <c r="N5766">
        <v>33277.5</v>
      </c>
      <c r="O5766">
        <v>33.277999999999999</v>
      </c>
      <c r="P5766" s="2">
        <v>45047</v>
      </c>
      <c r="Q5766">
        <v>1</v>
      </c>
      <c r="R5766" s="1" t="s">
        <v>24</v>
      </c>
    </row>
    <row r="5767" spans="1:18" x14ac:dyDescent="0.25">
      <c r="A5767">
        <v>2023</v>
      </c>
      <c r="B5767">
        <v>6</v>
      </c>
      <c r="C5767" s="1" t="s">
        <v>29</v>
      </c>
      <c r="D5767" s="1" t="s">
        <v>19</v>
      </c>
      <c r="E5767" s="1" t="s">
        <v>75</v>
      </c>
      <c r="F5767">
        <v>2012</v>
      </c>
      <c r="G5767">
        <v>11</v>
      </c>
      <c r="H5767" s="1" t="s">
        <v>21</v>
      </c>
      <c r="I5767">
        <v>20</v>
      </c>
      <c r="J5767">
        <v>1990</v>
      </c>
      <c r="K5767" s="1" t="s">
        <v>76</v>
      </c>
      <c r="L5767" s="1" t="s">
        <v>64</v>
      </c>
      <c r="M5767">
        <v>1.841</v>
      </c>
      <c r="N5767">
        <v>36827.1</v>
      </c>
      <c r="O5767">
        <v>36.826999999999998</v>
      </c>
      <c r="P5767" s="2">
        <v>45078</v>
      </c>
      <c r="Q5767">
        <v>1</v>
      </c>
      <c r="R5767" s="1" t="s">
        <v>24</v>
      </c>
    </row>
    <row r="5768" spans="1:18" x14ac:dyDescent="0.25">
      <c r="A5768">
        <v>2023</v>
      </c>
      <c r="B5768">
        <v>7</v>
      </c>
      <c r="C5768" s="1" t="s">
        <v>30</v>
      </c>
      <c r="D5768" s="1" t="s">
        <v>19</v>
      </c>
      <c r="E5768" s="1" t="s">
        <v>75</v>
      </c>
      <c r="F5768">
        <v>2012</v>
      </c>
      <c r="G5768">
        <v>11</v>
      </c>
      <c r="H5768" s="1" t="s">
        <v>21</v>
      </c>
      <c r="I5768">
        <v>20</v>
      </c>
      <c r="J5768">
        <v>1990</v>
      </c>
      <c r="K5768" s="1" t="s">
        <v>76</v>
      </c>
      <c r="L5768" s="1" t="s">
        <v>64</v>
      </c>
      <c r="M5768">
        <v>1.6930000000000001</v>
      </c>
      <c r="N5768">
        <v>33858.9</v>
      </c>
      <c r="O5768">
        <v>33.859000000000002</v>
      </c>
      <c r="P5768" s="2">
        <v>45108</v>
      </c>
      <c r="Q5768">
        <v>1</v>
      </c>
      <c r="R5768" s="1" t="s">
        <v>24</v>
      </c>
    </row>
    <row r="5769" spans="1:18" x14ac:dyDescent="0.25">
      <c r="A5769">
        <v>2023</v>
      </c>
      <c r="B5769">
        <v>8</v>
      </c>
      <c r="C5769" s="1" t="s">
        <v>31</v>
      </c>
      <c r="D5769" s="1" t="s">
        <v>19</v>
      </c>
      <c r="E5769" s="1" t="s">
        <v>75</v>
      </c>
      <c r="F5769">
        <v>2012</v>
      </c>
      <c r="G5769">
        <v>11</v>
      </c>
      <c r="H5769" s="1" t="s">
        <v>21</v>
      </c>
      <c r="I5769">
        <v>20</v>
      </c>
      <c r="J5769">
        <v>1990</v>
      </c>
      <c r="K5769" s="1" t="s">
        <v>76</v>
      </c>
      <c r="L5769" s="1" t="s">
        <v>64</v>
      </c>
      <c r="M5769">
        <v>1.78</v>
      </c>
      <c r="N5769">
        <v>35603.1</v>
      </c>
      <c r="O5769">
        <v>35.603000000000002</v>
      </c>
      <c r="P5769" s="2">
        <v>45139</v>
      </c>
      <c r="Q5769">
        <v>1</v>
      </c>
      <c r="R5769" s="1" t="s">
        <v>24</v>
      </c>
    </row>
    <row r="5770" spans="1:18" x14ac:dyDescent="0.25">
      <c r="A5770">
        <v>2023</v>
      </c>
      <c r="B5770">
        <v>9</v>
      </c>
      <c r="C5770" s="1" t="s">
        <v>32</v>
      </c>
      <c r="D5770" s="1" t="s">
        <v>19</v>
      </c>
      <c r="E5770" s="1" t="s">
        <v>75</v>
      </c>
      <c r="F5770">
        <v>2012</v>
      </c>
      <c r="G5770">
        <v>11</v>
      </c>
      <c r="H5770" s="1" t="s">
        <v>21</v>
      </c>
      <c r="I5770">
        <v>20</v>
      </c>
      <c r="J5770">
        <v>1990</v>
      </c>
      <c r="K5770" s="1" t="s">
        <v>76</v>
      </c>
      <c r="L5770" s="1" t="s">
        <v>64</v>
      </c>
      <c r="M5770">
        <v>1.841</v>
      </c>
      <c r="N5770">
        <v>36811.800000000003</v>
      </c>
      <c r="O5770">
        <v>36.811999999999998</v>
      </c>
      <c r="P5770" s="2">
        <v>45170</v>
      </c>
      <c r="Q5770">
        <v>1</v>
      </c>
      <c r="R5770" s="1" t="s">
        <v>24</v>
      </c>
    </row>
    <row r="5771" spans="1:18" x14ac:dyDescent="0.25">
      <c r="A5771">
        <v>2023</v>
      </c>
      <c r="B5771">
        <v>10</v>
      </c>
      <c r="C5771" s="1" t="s">
        <v>33</v>
      </c>
      <c r="D5771" s="1" t="s">
        <v>19</v>
      </c>
      <c r="E5771" s="1" t="s">
        <v>75</v>
      </c>
      <c r="F5771">
        <v>2012</v>
      </c>
      <c r="G5771">
        <v>11</v>
      </c>
      <c r="H5771" s="1" t="s">
        <v>21</v>
      </c>
      <c r="I5771">
        <v>20</v>
      </c>
      <c r="J5771">
        <v>1990</v>
      </c>
      <c r="K5771" s="1" t="s">
        <v>76</v>
      </c>
      <c r="L5771" s="1" t="s">
        <v>64</v>
      </c>
      <c r="M5771">
        <v>1.633</v>
      </c>
      <c r="N5771">
        <v>32650.2</v>
      </c>
      <c r="O5771">
        <v>32.65</v>
      </c>
      <c r="P5771" s="2">
        <v>45200</v>
      </c>
      <c r="Q5771">
        <v>1</v>
      </c>
      <c r="R5771" s="1" t="s">
        <v>24</v>
      </c>
    </row>
    <row r="5772" spans="1:18" x14ac:dyDescent="0.25">
      <c r="A5772">
        <v>2023</v>
      </c>
      <c r="B5772">
        <v>11</v>
      </c>
      <c r="C5772" s="1" t="s">
        <v>34</v>
      </c>
      <c r="D5772" s="1" t="s">
        <v>19</v>
      </c>
      <c r="E5772" s="1" t="s">
        <v>75</v>
      </c>
      <c r="F5772">
        <v>2012</v>
      </c>
      <c r="G5772">
        <v>11</v>
      </c>
      <c r="H5772" s="1" t="s">
        <v>21</v>
      </c>
      <c r="I5772">
        <v>20</v>
      </c>
      <c r="J5772">
        <v>1990</v>
      </c>
      <c r="K5772" s="1" t="s">
        <v>76</v>
      </c>
      <c r="L5772" s="1" t="s">
        <v>64</v>
      </c>
      <c r="M5772">
        <v>1.35</v>
      </c>
      <c r="N5772">
        <v>27004.5</v>
      </c>
      <c r="O5772">
        <v>27.004999999999999</v>
      </c>
      <c r="P5772" s="2">
        <v>45231</v>
      </c>
      <c r="Q5772">
        <v>1</v>
      </c>
      <c r="R5772" s="1" t="s">
        <v>24</v>
      </c>
    </row>
    <row r="5773" spans="1:18" x14ac:dyDescent="0.25">
      <c r="A5773">
        <v>2023</v>
      </c>
      <c r="B5773">
        <v>12</v>
      </c>
      <c r="C5773" s="1" t="s">
        <v>35</v>
      </c>
      <c r="D5773" s="1" t="s">
        <v>19</v>
      </c>
      <c r="E5773" s="1" t="s">
        <v>75</v>
      </c>
      <c r="F5773">
        <v>2012</v>
      </c>
      <c r="G5773">
        <v>11</v>
      </c>
      <c r="H5773" s="1" t="s">
        <v>21</v>
      </c>
      <c r="I5773">
        <v>20</v>
      </c>
      <c r="J5773">
        <v>1990</v>
      </c>
      <c r="K5773" s="1" t="s">
        <v>76</v>
      </c>
      <c r="L5773" s="1" t="s">
        <v>64</v>
      </c>
      <c r="M5773">
        <v>0.65300000000000002</v>
      </c>
      <c r="N5773">
        <v>13050.9</v>
      </c>
      <c r="O5773">
        <v>13.051</v>
      </c>
      <c r="P5773" s="2">
        <v>45261</v>
      </c>
      <c r="Q5773">
        <v>1</v>
      </c>
      <c r="R5773" s="1" t="s">
        <v>24</v>
      </c>
    </row>
    <row r="5774" spans="1:18" x14ac:dyDescent="0.25">
      <c r="A5774">
        <v>2023</v>
      </c>
      <c r="B5774">
        <v>1</v>
      </c>
      <c r="C5774" s="1" t="s">
        <v>18</v>
      </c>
      <c r="D5774" s="1" t="s">
        <v>19</v>
      </c>
      <c r="E5774" s="1" t="s">
        <v>77</v>
      </c>
      <c r="F5774">
        <v>2012</v>
      </c>
      <c r="G5774">
        <v>11</v>
      </c>
      <c r="H5774" s="1" t="s">
        <v>21</v>
      </c>
      <c r="I5774">
        <v>22</v>
      </c>
      <c r="J5774">
        <v>2606</v>
      </c>
      <c r="K5774" s="1" t="s">
        <v>78</v>
      </c>
      <c r="L5774" s="1" t="s">
        <v>64</v>
      </c>
      <c r="M5774">
        <v>1.149</v>
      </c>
      <c r="N5774">
        <v>25271.7</v>
      </c>
      <c r="O5774">
        <v>25.271999999999998</v>
      </c>
      <c r="P5774" s="2">
        <v>44927</v>
      </c>
      <c r="Q5774">
        <v>1</v>
      </c>
      <c r="R5774" s="1" t="s">
        <v>24</v>
      </c>
    </row>
    <row r="5775" spans="1:18" x14ac:dyDescent="0.25">
      <c r="A5775">
        <v>2023</v>
      </c>
      <c r="B5775">
        <v>2</v>
      </c>
      <c r="C5775" s="1" t="s">
        <v>25</v>
      </c>
      <c r="D5775" s="1" t="s">
        <v>19</v>
      </c>
      <c r="E5775" s="1" t="s">
        <v>77</v>
      </c>
      <c r="F5775">
        <v>2012</v>
      </c>
      <c r="G5775">
        <v>11</v>
      </c>
      <c r="H5775" s="1" t="s">
        <v>21</v>
      </c>
      <c r="I5775">
        <v>22</v>
      </c>
      <c r="J5775">
        <v>2606</v>
      </c>
      <c r="K5775" s="1" t="s">
        <v>78</v>
      </c>
      <c r="L5775" s="1" t="s">
        <v>64</v>
      </c>
      <c r="M5775">
        <v>1.6479999999999999</v>
      </c>
      <c r="N5775">
        <v>36256</v>
      </c>
      <c r="O5775">
        <v>36.256</v>
      </c>
      <c r="P5775" s="2">
        <v>44958</v>
      </c>
      <c r="Q5775">
        <v>1</v>
      </c>
      <c r="R5775" s="1" t="s">
        <v>24</v>
      </c>
    </row>
    <row r="5776" spans="1:18" x14ac:dyDescent="0.25">
      <c r="A5776">
        <v>2023</v>
      </c>
      <c r="B5776">
        <v>3</v>
      </c>
      <c r="C5776" s="1" t="s">
        <v>26</v>
      </c>
      <c r="D5776" s="1" t="s">
        <v>19</v>
      </c>
      <c r="E5776" s="1" t="s">
        <v>77</v>
      </c>
      <c r="F5776">
        <v>2012</v>
      </c>
      <c r="G5776">
        <v>11</v>
      </c>
      <c r="H5776" s="1" t="s">
        <v>21</v>
      </c>
      <c r="I5776">
        <v>22</v>
      </c>
      <c r="J5776">
        <v>2606</v>
      </c>
      <c r="K5776" s="1" t="s">
        <v>78</v>
      </c>
      <c r="L5776" s="1" t="s">
        <v>64</v>
      </c>
      <c r="M5776">
        <v>1.9139999999999999</v>
      </c>
      <c r="N5776">
        <v>42099.9</v>
      </c>
      <c r="O5776">
        <v>42.1</v>
      </c>
      <c r="P5776" s="2">
        <v>44986</v>
      </c>
      <c r="Q5776">
        <v>1</v>
      </c>
      <c r="R5776" s="1" t="s">
        <v>24</v>
      </c>
    </row>
    <row r="5777" spans="1:18" x14ac:dyDescent="0.25">
      <c r="A5777">
        <v>2023</v>
      </c>
      <c r="B5777">
        <v>4</v>
      </c>
      <c r="C5777" s="1" t="s">
        <v>27</v>
      </c>
      <c r="D5777" s="1" t="s">
        <v>19</v>
      </c>
      <c r="E5777" s="1" t="s">
        <v>77</v>
      </c>
      <c r="F5777">
        <v>2012</v>
      </c>
      <c r="G5777">
        <v>11</v>
      </c>
      <c r="H5777" s="1" t="s">
        <v>21</v>
      </c>
      <c r="I5777">
        <v>22</v>
      </c>
      <c r="J5777">
        <v>2606</v>
      </c>
      <c r="K5777" s="1" t="s">
        <v>78</v>
      </c>
      <c r="L5777" s="1" t="s">
        <v>64</v>
      </c>
      <c r="M5777">
        <v>1.9450000000000001</v>
      </c>
      <c r="N5777">
        <v>42784</v>
      </c>
      <c r="O5777">
        <v>42.783999999999999</v>
      </c>
      <c r="P5777" s="2">
        <v>45017</v>
      </c>
      <c r="Q5777">
        <v>1</v>
      </c>
      <c r="R5777" s="1" t="s">
        <v>24</v>
      </c>
    </row>
    <row r="5778" spans="1:18" x14ac:dyDescent="0.25">
      <c r="A5778">
        <v>2023</v>
      </c>
      <c r="B5778">
        <v>5</v>
      </c>
      <c r="C5778" s="1" t="s">
        <v>28</v>
      </c>
      <c r="D5778" s="1" t="s">
        <v>19</v>
      </c>
      <c r="E5778" s="1" t="s">
        <v>77</v>
      </c>
      <c r="F5778">
        <v>2012</v>
      </c>
      <c r="G5778">
        <v>11</v>
      </c>
      <c r="H5778" s="1" t="s">
        <v>21</v>
      </c>
      <c r="I5778">
        <v>22</v>
      </c>
      <c r="J5778">
        <v>2606</v>
      </c>
      <c r="K5778" s="1" t="s">
        <v>78</v>
      </c>
      <c r="L5778" s="1" t="s">
        <v>64</v>
      </c>
      <c r="M5778">
        <v>1.9319999999999999</v>
      </c>
      <c r="N5778">
        <v>42510.400000000001</v>
      </c>
      <c r="O5778">
        <v>42.51</v>
      </c>
      <c r="P5778" s="2">
        <v>45047</v>
      </c>
      <c r="Q5778">
        <v>1</v>
      </c>
      <c r="R5778" s="1" t="s">
        <v>24</v>
      </c>
    </row>
    <row r="5779" spans="1:18" x14ac:dyDescent="0.25">
      <c r="A5779">
        <v>2023</v>
      </c>
      <c r="B5779">
        <v>6</v>
      </c>
      <c r="C5779" s="1" t="s">
        <v>29</v>
      </c>
      <c r="D5779" s="1" t="s">
        <v>19</v>
      </c>
      <c r="E5779" s="1" t="s">
        <v>77</v>
      </c>
      <c r="F5779">
        <v>2012</v>
      </c>
      <c r="G5779">
        <v>11</v>
      </c>
      <c r="H5779" s="1" t="s">
        <v>21</v>
      </c>
      <c r="I5779">
        <v>22</v>
      </c>
      <c r="J5779">
        <v>2606</v>
      </c>
      <c r="K5779" s="1" t="s">
        <v>78</v>
      </c>
      <c r="L5779" s="1" t="s">
        <v>64</v>
      </c>
      <c r="M5779">
        <v>2.1379999999999999</v>
      </c>
      <c r="N5779">
        <v>47044.800000000003</v>
      </c>
      <c r="O5779">
        <v>47.045000000000002</v>
      </c>
      <c r="P5779" s="2">
        <v>45078</v>
      </c>
      <c r="Q5779">
        <v>1</v>
      </c>
      <c r="R5779" s="1" t="s">
        <v>24</v>
      </c>
    </row>
    <row r="5780" spans="1:18" x14ac:dyDescent="0.25">
      <c r="A5780">
        <v>2023</v>
      </c>
      <c r="B5780">
        <v>7</v>
      </c>
      <c r="C5780" s="1" t="s">
        <v>30</v>
      </c>
      <c r="D5780" s="1" t="s">
        <v>19</v>
      </c>
      <c r="E5780" s="1" t="s">
        <v>77</v>
      </c>
      <c r="F5780">
        <v>2012</v>
      </c>
      <c r="G5780">
        <v>11</v>
      </c>
      <c r="H5780" s="1" t="s">
        <v>21</v>
      </c>
      <c r="I5780">
        <v>22</v>
      </c>
      <c r="J5780">
        <v>2606</v>
      </c>
      <c r="K5780" s="1" t="s">
        <v>78</v>
      </c>
      <c r="L5780" s="1" t="s">
        <v>64</v>
      </c>
      <c r="M5780">
        <v>1.966</v>
      </c>
      <c r="N5780">
        <v>43253.1</v>
      </c>
      <c r="O5780">
        <v>43.253</v>
      </c>
      <c r="P5780" s="2">
        <v>45108</v>
      </c>
      <c r="Q5780">
        <v>1</v>
      </c>
      <c r="R5780" s="1" t="s">
        <v>24</v>
      </c>
    </row>
    <row r="5781" spans="1:18" x14ac:dyDescent="0.25">
      <c r="A5781">
        <v>2023</v>
      </c>
      <c r="B5781">
        <v>8</v>
      </c>
      <c r="C5781" s="1" t="s">
        <v>31</v>
      </c>
      <c r="D5781" s="1" t="s">
        <v>19</v>
      </c>
      <c r="E5781" s="1" t="s">
        <v>77</v>
      </c>
      <c r="F5781">
        <v>2012</v>
      </c>
      <c r="G5781">
        <v>11</v>
      </c>
      <c r="H5781" s="1" t="s">
        <v>21</v>
      </c>
      <c r="I5781">
        <v>22</v>
      </c>
      <c r="J5781">
        <v>2606</v>
      </c>
      <c r="K5781" s="1" t="s">
        <v>78</v>
      </c>
      <c r="L5781" s="1" t="s">
        <v>64</v>
      </c>
      <c r="M5781">
        <v>2.0670000000000002</v>
      </c>
      <c r="N5781">
        <v>45481.2</v>
      </c>
      <c r="O5781">
        <v>45.481000000000002</v>
      </c>
      <c r="P5781" s="2">
        <v>45139</v>
      </c>
      <c r="Q5781">
        <v>1</v>
      </c>
      <c r="R5781" s="1" t="s">
        <v>24</v>
      </c>
    </row>
    <row r="5782" spans="1:18" x14ac:dyDescent="0.25">
      <c r="A5782">
        <v>2023</v>
      </c>
      <c r="B5782">
        <v>9</v>
      </c>
      <c r="C5782" s="1" t="s">
        <v>32</v>
      </c>
      <c r="D5782" s="1" t="s">
        <v>19</v>
      </c>
      <c r="E5782" s="1" t="s">
        <v>77</v>
      </c>
      <c r="F5782">
        <v>2012</v>
      </c>
      <c r="G5782">
        <v>11</v>
      </c>
      <c r="H5782" s="1" t="s">
        <v>21</v>
      </c>
      <c r="I5782">
        <v>22</v>
      </c>
      <c r="J5782">
        <v>2606</v>
      </c>
      <c r="K5782" s="1" t="s">
        <v>78</v>
      </c>
      <c r="L5782" s="1" t="s">
        <v>64</v>
      </c>
      <c r="M5782">
        <v>2.1379999999999999</v>
      </c>
      <c r="N5782">
        <v>47025.3</v>
      </c>
      <c r="O5782">
        <v>47.024999999999999</v>
      </c>
      <c r="P5782" s="2">
        <v>45170</v>
      </c>
      <c r="Q5782">
        <v>1</v>
      </c>
      <c r="R5782" s="1" t="s">
        <v>24</v>
      </c>
    </row>
    <row r="5783" spans="1:18" x14ac:dyDescent="0.25">
      <c r="A5783">
        <v>2023</v>
      </c>
      <c r="B5783">
        <v>10</v>
      </c>
      <c r="C5783" s="1" t="s">
        <v>33</v>
      </c>
      <c r="D5783" s="1" t="s">
        <v>19</v>
      </c>
      <c r="E5783" s="1" t="s">
        <v>77</v>
      </c>
      <c r="F5783">
        <v>2012</v>
      </c>
      <c r="G5783">
        <v>11</v>
      </c>
      <c r="H5783" s="1" t="s">
        <v>21</v>
      </c>
      <c r="I5783">
        <v>22</v>
      </c>
      <c r="J5783">
        <v>2606</v>
      </c>
      <c r="K5783" s="1" t="s">
        <v>78</v>
      </c>
      <c r="L5783" s="1" t="s">
        <v>64</v>
      </c>
      <c r="M5783">
        <v>1.8959999999999999</v>
      </c>
      <c r="N5783">
        <v>41709</v>
      </c>
      <c r="O5783">
        <v>41.709000000000003</v>
      </c>
      <c r="P5783" s="2">
        <v>45200</v>
      </c>
      <c r="Q5783">
        <v>1</v>
      </c>
      <c r="R5783" s="1" t="s">
        <v>24</v>
      </c>
    </row>
    <row r="5784" spans="1:18" x14ac:dyDescent="0.25">
      <c r="A5784">
        <v>2023</v>
      </c>
      <c r="B5784">
        <v>11</v>
      </c>
      <c r="C5784" s="1" t="s">
        <v>34</v>
      </c>
      <c r="D5784" s="1" t="s">
        <v>19</v>
      </c>
      <c r="E5784" s="1" t="s">
        <v>77</v>
      </c>
      <c r="F5784">
        <v>2012</v>
      </c>
      <c r="G5784">
        <v>11</v>
      </c>
      <c r="H5784" s="1" t="s">
        <v>21</v>
      </c>
      <c r="I5784">
        <v>22</v>
      </c>
      <c r="J5784">
        <v>2606</v>
      </c>
      <c r="K5784" s="1" t="s">
        <v>78</v>
      </c>
      <c r="L5784" s="1" t="s">
        <v>64</v>
      </c>
      <c r="M5784">
        <v>1.5680000000000001</v>
      </c>
      <c r="N5784">
        <v>34496.9</v>
      </c>
      <c r="O5784">
        <v>34.497</v>
      </c>
      <c r="P5784" s="2">
        <v>45231</v>
      </c>
      <c r="Q5784">
        <v>1</v>
      </c>
      <c r="R5784" s="1" t="s">
        <v>24</v>
      </c>
    </row>
    <row r="5785" spans="1:18" x14ac:dyDescent="0.25">
      <c r="A5785">
        <v>2023</v>
      </c>
      <c r="B5785">
        <v>12</v>
      </c>
      <c r="C5785" s="1" t="s">
        <v>35</v>
      </c>
      <c r="D5785" s="1" t="s">
        <v>19</v>
      </c>
      <c r="E5785" s="1" t="s">
        <v>77</v>
      </c>
      <c r="F5785">
        <v>2012</v>
      </c>
      <c r="G5785">
        <v>11</v>
      </c>
      <c r="H5785" s="1" t="s">
        <v>21</v>
      </c>
      <c r="I5785">
        <v>22</v>
      </c>
      <c r="J5785">
        <v>2606</v>
      </c>
      <c r="K5785" s="1" t="s">
        <v>78</v>
      </c>
      <c r="L5785" s="1" t="s">
        <v>64</v>
      </c>
      <c r="M5785">
        <v>0.75800000000000001</v>
      </c>
      <c r="N5785">
        <v>16671.900000000001</v>
      </c>
      <c r="O5785">
        <v>16.672000000000001</v>
      </c>
      <c r="P5785" s="2">
        <v>45261</v>
      </c>
      <c r="Q5785">
        <v>1</v>
      </c>
      <c r="R5785" s="1" t="s">
        <v>24</v>
      </c>
    </row>
    <row r="5786" spans="1:18" x14ac:dyDescent="0.25">
      <c r="A5786">
        <v>2023</v>
      </c>
      <c r="B5786">
        <v>1</v>
      </c>
      <c r="C5786" s="1" t="s">
        <v>18</v>
      </c>
      <c r="D5786" s="1" t="s">
        <v>19</v>
      </c>
      <c r="E5786" s="1" t="s">
        <v>79</v>
      </c>
      <c r="F5786">
        <v>2012</v>
      </c>
      <c r="G5786">
        <v>11</v>
      </c>
      <c r="H5786" s="1" t="s">
        <v>21</v>
      </c>
      <c r="I5786">
        <v>22</v>
      </c>
      <c r="J5786">
        <v>2683</v>
      </c>
      <c r="K5786" s="1" t="s">
        <v>80</v>
      </c>
      <c r="L5786" s="1" t="s">
        <v>45</v>
      </c>
      <c r="M5786">
        <v>1.1830000000000001</v>
      </c>
      <c r="N5786">
        <v>26018.400000000001</v>
      </c>
      <c r="O5786">
        <v>26.018000000000001</v>
      </c>
      <c r="P5786" s="2">
        <v>44927</v>
      </c>
      <c r="Q5786">
        <v>1</v>
      </c>
      <c r="R5786" s="1" t="s">
        <v>24</v>
      </c>
    </row>
    <row r="5787" spans="1:18" x14ac:dyDescent="0.25">
      <c r="A5787">
        <v>2023</v>
      </c>
      <c r="B5787">
        <v>2</v>
      </c>
      <c r="C5787" s="1" t="s">
        <v>25</v>
      </c>
      <c r="D5787" s="1" t="s">
        <v>19</v>
      </c>
      <c r="E5787" s="1" t="s">
        <v>79</v>
      </c>
      <c r="F5787">
        <v>2012</v>
      </c>
      <c r="G5787">
        <v>11</v>
      </c>
      <c r="H5787" s="1" t="s">
        <v>21</v>
      </c>
      <c r="I5787">
        <v>22</v>
      </c>
      <c r="J5787">
        <v>2683</v>
      </c>
      <c r="K5787" s="1" t="s">
        <v>80</v>
      </c>
      <c r="L5787" s="1" t="s">
        <v>45</v>
      </c>
      <c r="M5787">
        <v>1.6970000000000001</v>
      </c>
      <c r="N5787">
        <v>37327.199999999997</v>
      </c>
      <c r="O5787">
        <v>37.326999999999998</v>
      </c>
      <c r="P5787" s="2">
        <v>44958</v>
      </c>
      <c r="Q5787">
        <v>1</v>
      </c>
      <c r="R5787" s="1" t="s">
        <v>24</v>
      </c>
    </row>
    <row r="5788" spans="1:18" x14ac:dyDescent="0.25">
      <c r="A5788">
        <v>2023</v>
      </c>
      <c r="B5788">
        <v>3</v>
      </c>
      <c r="C5788" s="1" t="s">
        <v>26</v>
      </c>
      <c r="D5788" s="1" t="s">
        <v>19</v>
      </c>
      <c r="E5788" s="1" t="s">
        <v>79</v>
      </c>
      <c r="F5788">
        <v>2012</v>
      </c>
      <c r="G5788">
        <v>11</v>
      </c>
      <c r="H5788" s="1" t="s">
        <v>21</v>
      </c>
      <c r="I5788">
        <v>22</v>
      </c>
      <c r="J5788">
        <v>2683</v>
      </c>
      <c r="K5788" s="1" t="s">
        <v>80</v>
      </c>
      <c r="L5788" s="1" t="s">
        <v>45</v>
      </c>
      <c r="M5788">
        <v>1.97</v>
      </c>
      <c r="N5788">
        <v>43343.9</v>
      </c>
      <c r="O5788">
        <v>43.344000000000001</v>
      </c>
      <c r="P5788" s="2">
        <v>44986</v>
      </c>
      <c r="Q5788">
        <v>1</v>
      </c>
      <c r="R5788" s="1" t="s">
        <v>24</v>
      </c>
    </row>
    <row r="5789" spans="1:18" x14ac:dyDescent="0.25">
      <c r="A5789">
        <v>2023</v>
      </c>
      <c r="B5789">
        <v>4</v>
      </c>
      <c r="C5789" s="1" t="s">
        <v>27</v>
      </c>
      <c r="D5789" s="1" t="s">
        <v>19</v>
      </c>
      <c r="E5789" s="1" t="s">
        <v>79</v>
      </c>
      <c r="F5789">
        <v>2012</v>
      </c>
      <c r="G5789">
        <v>11</v>
      </c>
      <c r="H5789" s="1" t="s">
        <v>21</v>
      </c>
      <c r="I5789">
        <v>22</v>
      </c>
      <c r="J5789">
        <v>2683</v>
      </c>
      <c r="K5789" s="1" t="s">
        <v>80</v>
      </c>
      <c r="L5789" s="1" t="s">
        <v>45</v>
      </c>
      <c r="M5789">
        <v>2.0019999999999998</v>
      </c>
      <c r="N5789">
        <v>44048.2</v>
      </c>
      <c r="O5789">
        <v>44.048000000000002</v>
      </c>
      <c r="P5789" s="2">
        <v>45017</v>
      </c>
      <c r="Q5789">
        <v>1</v>
      </c>
      <c r="R5789" s="1" t="s">
        <v>24</v>
      </c>
    </row>
    <row r="5790" spans="1:18" x14ac:dyDescent="0.25">
      <c r="A5790">
        <v>2023</v>
      </c>
      <c r="B5790">
        <v>5</v>
      </c>
      <c r="C5790" s="1" t="s">
        <v>28</v>
      </c>
      <c r="D5790" s="1" t="s">
        <v>19</v>
      </c>
      <c r="E5790" s="1" t="s">
        <v>79</v>
      </c>
      <c r="F5790">
        <v>2012</v>
      </c>
      <c r="G5790">
        <v>11</v>
      </c>
      <c r="H5790" s="1" t="s">
        <v>21</v>
      </c>
      <c r="I5790">
        <v>22</v>
      </c>
      <c r="J5790">
        <v>2683</v>
      </c>
      <c r="K5790" s="1" t="s">
        <v>80</v>
      </c>
      <c r="L5790" s="1" t="s">
        <v>45</v>
      </c>
      <c r="M5790">
        <v>1.9890000000000001</v>
      </c>
      <c r="N5790">
        <v>43766.400000000001</v>
      </c>
      <c r="O5790">
        <v>43.765999999999998</v>
      </c>
      <c r="P5790" s="2">
        <v>45047</v>
      </c>
      <c r="Q5790">
        <v>1</v>
      </c>
      <c r="R5790" s="1" t="s">
        <v>24</v>
      </c>
    </row>
    <row r="5791" spans="1:18" x14ac:dyDescent="0.25">
      <c r="A5791">
        <v>2023</v>
      </c>
      <c r="B5791">
        <v>6</v>
      </c>
      <c r="C5791" s="1" t="s">
        <v>29</v>
      </c>
      <c r="D5791" s="1" t="s">
        <v>19</v>
      </c>
      <c r="E5791" s="1" t="s">
        <v>79</v>
      </c>
      <c r="F5791">
        <v>2012</v>
      </c>
      <c r="G5791">
        <v>11</v>
      </c>
      <c r="H5791" s="1" t="s">
        <v>21</v>
      </c>
      <c r="I5791">
        <v>22</v>
      </c>
      <c r="J5791">
        <v>2683</v>
      </c>
      <c r="K5791" s="1" t="s">
        <v>80</v>
      </c>
      <c r="L5791" s="1" t="s">
        <v>45</v>
      </c>
      <c r="M5791">
        <v>2.202</v>
      </c>
      <c r="N5791">
        <v>48434.9</v>
      </c>
      <c r="O5791">
        <v>48.435000000000002</v>
      </c>
      <c r="P5791" s="2">
        <v>45078</v>
      </c>
      <c r="Q5791">
        <v>1</v>
      </c>
      <c r="R5791" s="1" t="s">
        <v>24</v>
      </c>
    </row>
    <row r="5792" spans="1:18" x14ac:dyDescent="0.25">
      <c r="A5792">
        <v>2023</v>
      </c>
      <c r="B5792">
        <v>7</v>
      </c>
      <c r="C5792" s="1" t="s">
        <v>30</v>
      </c>
      <c r="D5792" s="1" t="s">
        <v>19</v>
      </c>
      <c r="E5792" s="1" t="s">
        <v>79</v>
      </c>
      <c r="F5792">
        <v>2012</v>
      </c>
      <c r="G5792">
        <v>11</v>
      </c>
      <c r="H5792" s="1" t="s">
        <v>21</v>
      </c>
      <c r="I5792">
        <v>22</v>
      </c>
      <c r="J5792">
        <v>2683</v>
      </c>
      <c r="K5792" s="1" t="s">
        <v>80</v>
      </c>
      <c r="L5792" s="1" t="s">
        <v>45</v>
      </c>
      <c r="M5792">
        <v>2.024</v>
      </c>
      <c r="N5792">
        <v>44531.1</v>
      </c>
      <c r="O5792">
        <v>44.530999999999999</v>
      </c>
      <c r="P5792" s="2">
        <v>45108</v>
      </c>
      <c r="Q5792">
        <v>1</v>
      </c>
      <c r="R5792" s="1" t="s">
        <v>24</v>
      </c>
    </row>
    <row r="5793" spans="1:18" x14ac:dyDescent="0.25">
      <c r="A5793">
        <v>2023</v>
      </c>
      <c r="B5793">
        <v>8</v>
      </c>
      <c r="C5793" s="1" t="s">
        <v>31</v>
      </c>
      <c r="D5793" s="1" t="s">
        <v>19</v>
      </c>
      <c r="E5793" s="1" t="s">
        <v>79</v>
      </c>
      <c r="F5793">
        <v>2012</v>
      </c>
      <c r="G5793">
        <v>11</v>
      </c>
      <c r="H5793" s="1" t="s">
        <v>21</v>
      </c>
      <c r="I5793">
        <v>22</v>
      </c>
      <c r="J5793">
        <v>2683</v>
      </c>
      <c r="K5793" s="1" t="s">
        <v>80</v>
      </c>
      <c r="L5793" s="1" t="s">
        <v>45</v>
      </c>
      <c r="M5793">
        <v>2.1280000000000001</v>
      </c>
      <c r="N5793">
        <v>46825.1</v>
      </c>
      <c r="O5793">
        <v>46.825000000000003</v>
      </c>
      <c r="P5793" s="2">
        <v>45139</v>
      </c>
      <c r="Q5793">
        <v>1</v>
      </c>
      <c r="R5793" s="1" t="s">
        <v>24</v>
      </c>
    </row>
    <row r="5794" spans="1:18" x14ac:dyDescent="0.25">
      <c r="A5794">
        <v>2023</v>
      </c>
      <c r="B5794">
        <v>9</v>
      </c>
      <c r="C5794" s="1" t="s">
        <v>32</v>
      </c>
      <c r="D5794" s="1" t="s">
        <v>19</v>
      </c>
      <c r="E5794" s="1" t="s">
        <v>79</v>
      </c>
      <c r="F5794">
        <v>2012</v>
      </c>
      <c r="G5794">
        <v>11</v>
      </c>
      <c r="H5794" s="1" t="s">
        <v>21</v>
      </c>
      <c r="I5794">
        <v>22</v>
      </c>
      <c r="J5794">
        <v>2683</v>
      </c>
      <c r="K5794" s="1" t="s">
        <v>80</v>
      </c>
      <c r="L5794" s="1" t="s">
        <v>45</v>
      </c>
      <c r="M5794">
        <v>2.2010000000000001</v>
      </c>
      <c r="N5794">
        <v>48414.7</v>
      </c>
      <c r="O5794">
        <v>48.414999999999999</v>
      </c>
      <c r="P5794" s="2">
        <v>45170</v>
      </c>
      <c r="Q5794">
        <v>1</v>
      </c>
      <c r="R5794" s="1" t="s">
        <v>24</v>
      </c>
    </row>
    <row r="5795" spans="1:18" x14ac:dyDescent="0.25">
      <c r="A5795">
        <v>2023</v>
      </c>
      <c r="B5795">
        <v>10</v>
      </c>
      <c r="C5795" s="1" t="s">
        <v>33</v>
      </c>
      <c r="D5795" s="1" t="s">
        <v>19</v>
      </c>
      <c r="E5795" s="1" t="s">
        <v>79</v>
      </c>
      <c r="F5795">
        <v>2012</v>
      </c>
      <c r="G5795">
        <v>11</v>
      </c>
      <c r="H5795" s="1" t="s">
        <v>21</v>
      </c>
      <c r="I5795">
        <v>22</v>
      </c>
      <c r="J5795">
        <v>2683</v>
      </c>
      <c r="K5795" s="1" t="s">
        <v>80</v>
      </c>
      <c r="L5795" s="1" t="s">
        <v>45</v>
      </c>
      <c r="M5795">
        <v>1.952</v>
      </c>
      <c r="N5795">
        <v>42941.4</v>
      </c>
      <c r="O5795">
        <v>42.941000000000003</v>
      </c>
      <c r="P5795" s="2">
        <v>45200</v>
      </c>
      <c r="Q5795">
        <v>1</v>
      </c>
      <c r="R5795" s="1" t="s">
        <v>24</v>
      </c>
    </row>
    <row r="5796" spans="1:18" x14ac:dyDescent="0.25">
      <c r="A5796">
        <v>2023</v>
      </c>
      <c r="B5796">
        <v>11</v>
      </c>
      <c r="C5796" s="1" t="s">
        <v>34</v>
      </c>
      <c r="D5796" s="1" t="s">
        <v>19</v>
      </c>
      <c r="E5796" s="1" t="s">
        <v>79</v>
      </c>
      <c r="F5796">
        <v>2012</v>
      </c>
      <c r="G5796">
        <v>11</v>
      </c>
      <c r="H5796" s="1" t="s">
        <v>21</v>
      </c>
      <c r="I5796">
        <v>22</v>
      </c>
      <c r="J5796">
        <v>2683</v>
      </c>
      <c r="K5796" s="1" t="s">
        <v>80</v>
      </c>
      <c r="L5796" s="1" t="s">
        <v>45</v>
      </c>
      <c r="M5796">
        <v>1.6140000000000001</v>
      </c>
      <c r="N5796">
        <v>35516.199999999997</v>
      </c>
      <c r="O5796">
        <v>35.515999999999998</v>
      </c>
      <c r="P5796" s="2">
        <v>45231</v>
      </c>
      <c r="Q5796">
        <v>1</v>
      </c>
      <c r="R5796" s="1" t="s">
        <v>24</v>
      </c>
    </row>
    <row r="5797" spans="1:18" x14ac:dyDescent="0.25">
      <c r="A5797">
        <v>2023</v>
      </c>
      <c r="B5797">
        <v>12</v>
      </c>
      <c r="C5797" s="1" t="s">
        <v>35</v>
      </c>
      <c r="D5797" s="1" t="s">
        <v>19</v>
      </c>
      <c r="E5797" s="1" t="s">
        <v>79</v>
      </c>
      <c r="F5797">
        <v>2012</v>
      </c>
      <c r="G5797">
        <v>11</v>
      </c>
      <c r="H5797" s="1" t="s">
        <v>21</v>
      </c>
      <c r="I5797">
        <v>22</v>
      </c>
      <c r="J5797">
        <v>2683</v>
      </c>
      <c r="K5797" s="1" t="s">
        <v>80</v>
      </c>
      <c r="L5797" s="1" t="s">
        <v>45</v>
      </c>
      <c r="M5797">
        <v>0.78</v>
      </c>
      <c r="N5797">
        <v>17164.5</v>
      </c>
      <c r="O5797">
        <v>17.164000000000001</v>
      </c>
      <c r="P5797" s="2">
        <v>45261</v>
      </c>
      <c r="Q5797">
        <v>1</v>
      </c>
      <c r="R5797" s="1" t="s">
        <v>24</v>
      </c>
    </row>
    <row r="5798" spans="1:18" x14ac:dyDescent="0.25">
      <c r="A5798">
        <v>2023</v>
      </c>
      <c r="B5798">
        <v>1</v>
      </c>
      <c r="C5798" s="1" t="s">
        <v>18</v>
      </c>
      <c r="D5798" s="1" t="s">
        <v>19</v>
      </c>
      <c r="E5798" s="1" t="s">
        <v>81</v>
      </c>
      <c r="F5798">
        <v>2012</v>
      </c>
      <c r="G5798">
        <v>11</v>
      </c>
      <c r="H5798" s="1" t="s">
        <v>21</v>
      </c>
      <c r="I5798">
        <v>28</v>
      </c>
      <c r="J5798">
        <v>3483</v>
      </c>
      <c r="K5798" s="1" t="s">
        <v>53</v>
      </c>
      <c r="L5798" s="1" t="s">
        <v>45</v>
      </c>
      <c r="M5798">
        <v>1.206</v>
      </c>
      <c r="N5798">
        <v>33776.400000000001</v>
      </c>
      <c r="O5798">
        <v>33.776000000000003</v>
      </c>
      <c r="P5798" s="2">
        <v>44927</v>
      </c>
      <c r="Q5798">
        <v>1</v>
      </c>
      <c r="R5798" s="1" t="s">
        <v>24</v>
      </c>
    </row>
    <row r="5799" spans="1:18" x14ac:dyDescent="0.25">
      <c r="A5799">
        <v>2023</v>
      </c>
      <c r="B5799">
        <v>2</v>
      </c>
      <c r="C5799" s="1" t="s">
        <v>25</v>
      </c>
      <c r="D5799" s="1" t="s">
        <v>19</v>
      </c>
      <c r="E5799" s="1" t="s">
        <v>81</v>
      </c>
      <c r="F5799">
        <v>2012</v>
      </c>
      <c r="G5799">
        <v>11</v>
      </c>
      <c r="H5799" s="1" t="s">
        <v>21</v>
      </c>
      <c r="I5799">
        <v>28</v>
      </c>
      <c r="J5799">
        <v>3483</v>
      </c>
      <c r="K5799" s="1" t="s">
        <v>53</v>
      </c>
      <c r="L5799" s="1" t="s">
        <v>45</v>
      </c>
      <c r="M5799">
        <v>1.7310000000000001</v>
      </c>
      <c r="N5799">
        <v>48457.2</v>
      </c>
      <c r="O5799">
        <v>48.457000000000001</v>
      </c>
      <c r="P5799" s="2">
        <v>44958</v>
      </c>
      <c r="Q5799">
        <v>1</v>
      </c>
      <c r="R5799" s="1" t="s">
        <v>24</v>
      </c>
    </row>
    <row r="5800" spans="1:18" x14ac:dyDescent="0.25">
      <c r="A5800">
        <v>2023</v>
      </c>
      <c r="B5800">
        <v>3</v>
      </c>
      <c r="C5800" s="1" t="s">
        <v>26</v>
      </c>
      <c r="D5800" s="1" t="s">
        <v>19</v>
      </c>
      <c r="E5800" s="1" t="s">
        <v>81</v>
      </c>
      <c r="F5800">
        <v>2012</v>
      </c>
      <c r="G5800">
        <v>11</v>
      </c>
      <c r="H5800" s="1" t="s">
        <v>21</v>
      </c>
      <c r="I5800">
        <v>28</v>
      </c>
      <c r="J5800">
        <v>3483</v>
      </c>
      <c r="K5800" s="1" t="s">
        <v>53</v>
      </c>
      <c r="L5800" s="1" t="s">
        <v>45</v>
      </c>
      <c r="M5800">
        <v>2.0099999999999998</v>
      </c>
      <c r="N5800">
        <v>56267.9</v>
      </c>
      <c r="O5800">
        <v>56.268000000000001</v>
      </c>
      <c r="P5800" s="2">
        <v>44986</v>
      </c>
      <c r="Q5800">
        <v>1</v>
      </c>
      <c r="R5800" s="1" t="s">
        <v>24</v>
      </c>
    </row>
    <row r="5801" spans="1:18" x14ac:dyDescent="0.25">
      <c r="A5801">
        <v>2023</v>
      </c>
      <c r="B5801">
        <v>4</v>
      </c>
      <c r="C5801" s="1" t="s">
        <v>27</v>
      </c>
      <c r="D5801" s="1" t="s">
        <v>19</v>
      </c>
      <c r="E5801" s="1" t="s">
        <v>81</v>
      </c>
      <c r="F5801">
        <v>2012</v>
      </c>
      <c r="G5801">
        <v>11</v>
      </c>
      <c r="H5801" s="1" t="s">
        <v>21</v>
      </c>
      <c r="I5801">
        <v>28</v>
      </c>
      <c r="J5801">
        <v>3483</v>
      </c>
      <c r="K5801" s="1" t="s">
        <v>53</v>
      </c>
      <c r="L5801" s="1" t="s">
        <v>45</v>
      </c>
      <c r="M5801">
        <v>2.0419999999999998</v>
      </c>
      <c r="N5801">
        <v>57182.2</v>
      </c>
      <c r="O5801">
        <v>57.182000000000002</v>
      </c>
      <c r="P5801" s="2">
        <v>45017</v>
      </c>
      <c r="Q5801">
        <v>1</v>
      </c>
      <c r="R5801" s="1" t="s">
        <v>24</v>
      </c>
    </row>
    <row r="5802" spans="1:18" x14ac:dyDescent="0.25">
      <c r="A5802">
        <v>2023</v>
      </c>
      <c r="B5802">
        <v>5</v>
      </c>
      <c r="C5802" s="1" t="s">
        <v>28</v>
      </c>
      <c r="D5802" s="1" t="s">
        <v>19</v>
      </c>
      <c r="E5802" s="1" t="s">
        <v>81</v>
      </c>
      <c r="F5802">
        <v>2012</v>
      </c>
      <c r="G5802">
        <v>11</v>
      </c>
      <c r="H5802" s="1" t="s">
        <v>21</v>
      </c>
      <c r="I5802">
        <v>28</v>
      </c>
      <c r="J5802">
        <v>3483</v>
      </c>
      <c r="K5802" s="1" t="s">
        <v>53</v>
      </c>
      <c r="L5802" s="1" t="s">
        <v>45</v>
      </c>
      <c r="M5802">
        <v>2.0289999999999999</v>
      </c>
      <c r="N5802">
        <v>56816.4</v>
      </c>
      <c r="O5802">
        <v>56.816000000000003</v>
      </c>
      <c r="P5802" s="2">
        <v>45047</v>
      </c>
      <c r="Q5802">
        <v>1</v>
      </c>
      <c r="R5802" s="1" t="s">
        <v>24</v>
      </c>
    </row>
    <row r="5803" spans="1:18" x14ac:dyDescent="0.25">
      <c r="A5803">
        <v>2023</v>
      </c>
      <c r="B5803">
        <v>6</v>
      </c>
      <c r="C5803" s="1" t="s">
        <v>29</v>
      </c>
      <c r="D5803" s="1" t="s">
        <v>19</v>
      </c>
      <c r="E5803" s="1" t="s">
        <v>81</v>
      </c>
      <c r="F5803">
        <v>2012</v>
      </c>
      <c r="G5803">
        <v>11</v>
      </c>
      <c r="H5803" s="1" t="s">
        <v>21</v>
      </c>
      <c r="I5803">
        <v>28</v>
      </c>
      <c r="J5803">
        <v>3483</v>
      </c>
      <c r="K5803" s="1" t="s">
        <v>53</v>
      </c>
      <c r="L5803" s="1" t="s">
        <v>45</v>
      </c>
      <c r="M5803">
        <v>2.246</v>
      </c>
      <c r="N5803">
        <v>62876.9</v>
      </c>
      <c r="O5803">
        <v>62.877000000000002</v>
      </c>
      <c r="P5803" s="2">
        <v>45078</v>
      </c>
      <c r="Q5803">
        <v>1</v>
      </c>
      <c r="R5803" s="1" t="s">
        <v>24</v>
      </c>
    </row>
    <row r="5804" spans="1:18" x14ac:dyDescent="0.25">
      <c r="A5804">
        <v>2023</v>
      </c>
      <c r="B5804">
        <v>7</v>
      </c>
      <c r="C5804" s="1" t="s">
        <v>30</v>
      </c>
      <c r="D5804" s="1" t="s">
        <v>19</v>
      </c>
      <c r="E5804" s="1" t="s">
        <v>81</v>
      </c>
      <c r="F5804">
        <v>2012</v>
      </c>
      <c r="G5804">
        <v>11</v>
      </c>
      <c r="H5804" s="1" t="s">
        <v>21</v>
      </c>
      <c r="I5804">
        <v>28</v>
      </c>
      <c r="J5804">
        <v>3483</v>
      </c>
      <c r="K5804" s="1" t="s">
        <v>53</v>
      </c>
      <c r="L5804" s="1" t="s">
        <v>45</v>
      </c>
      <c r="M5804">
        <v>2.0649999999999999</v>
      </c>
      <c r="N5804">
        <v>57809.1</v>
      </c>
      <c r="O5804">
        <v>57.808999999999997</v>
      </c>
      <c r="P5804" s="2">
        <v>45108</v>
      </c>
      <c r="Q5804">
        <v>1</v>
      </c>
      <c r="R5804" s="1" t="s">
        <v>24</v>
      </c>
    </row>
    <row r="5805" spans="1:18" x14ac:dyDescent="0.25">
      <c r="A5805">
        <v>2023</v>
      </c>
      <c r="B5805">
        <v>8</v>
      </c>
      <c r="C5805" s="1" t="s">
        <v>31</v>
      </c>
      <c r="D5805" s="1" t="s">
        <v>19</v>
      </c>
      <c r="E5805" s="1" t="s">
        <v>81</v>
      </c>
      <c r="F5805">
        <v>2012</v>
      </c>
      <c r="G5805">
        <v>11</v>
      </c>
      <c r="H5805" s="1" t="s">
        <v>21</v>
      </c>
      <c r="I5805">
        <v>28</v>
      </c>
      <c r="J5805">
        <v>3483</v>
      </c>
      <c r="K5805" s="1" t="s">
        <v>53</v>
      </c>
      <c r="L5805" s="1" t="s">
        <v>45</v>
      </c>
      <c r="M5805">
        <v>2.1709999999999998</v>
      </c>
      <c r="N5805">
        <v>60787.1</v>
      </c>
      <c r="O5805">
        <v>60.786999999999999</v>
      </c>
      <c r="P5805" s="2">
        <v>45139</v>
      </c>
      <c r="Q5805">
        <v>1</v>
      </c>
      <c r="R5805" s="1" t="s">
        <v>24</v>
      </c>
    </row>
    <row r="5806" spans="1:18" x14ac:dyDescent="0.25">
      <c r="A5806">
        <v>2023</v>
      </c>
      <c r="B5806">
        <v>9</v>
      </c>
      <c r="C5806" s="1" t="s">
        <v>32</v>
      </c>
      <c r="D5806" s="1" t="s">
        <v>19</v>
      </c>
      <c r="E5806" s="1" t="s">
        <v>81</v>
      </c>
      <c r="F5806">
        <v>2012</v>
      </c>
      <c r="G5806">
        <v>11</v>
      </c>
      <c r="H5806" s="1" t="s">
        <v>21</v>
      </c>
      <c r="I5806">
        <v>28</v>
      </c>
      <c r="J5806">
        <v>3483</v>
      </c>
      <c r="K5806" s="1" t="s">
        <v>53</v>
      </c>
      <c r="L5806" s="1" t="s">
        <v>45</v>
      </c>
      <c r="M5806">
        <v>2.2450000000000001</v>
      </c>
      <c r="N5806">
        <v>62850.7</v>
      </c>
      <c r="O5806">
        <v>62.850999999999999</v>
      </c>
      <c r="P5806" s="2">
        <v>45170</v>
      </c>
      <c r="Q5806">
        <v>1</v>
      </c>
      <c r="R5806" s="1" t="s">
        <v>24</v>
      </c>
    </row>
    <row r="5807" spans="1:18" x14ac:dyDescent="0.25">
      <c r="A5807">
        <v>2023</v>
      </c>
      <c r="B5807">
        <v>10</v>
      </c>
      <c r="C5807" s="1" t="s">
        <v>33</v>
      </c>
      <c r="D5807" s="1" t="s">
        <v>19</v>
      </c>
      <c r="E5807" s="1" t="s">
        <v>81</v>
      </c>
      <c r="F5807">
        <v>2012</v>
      </c>
      <c r="G5807">
        <v>11</v>
      </c>
      <c r="H5807" s="1" t="s">
        <v>21</v>
      </c>
      <c r="I5807">
        <v>28</v>
      </c>
      <c r="J5807">
        <v>3483</v>
      </c>
      <c r="K5807" s="1" t="s">
        <v>53</v>
      </c>
      <c r="L5807" s="1" t="s">
        <v>45</v>
      </c>
      <c r="M5807">
        <v>1.9910000000000001</v>
      </c>
      <c r="N5807">
        <v>55745.4</v>
      </c>
      <c r="O5807">
        <v>55.744999999999997</v>
      </c>
      <c r="P5807" s="2">
        <v>45200</v>
      </c>
      <c r="Q5807">
        <v>1</v>
      </c>
      <c r="R5807" s="1" t="s">
        <v>24</v>
      </c>
    </row>
    <row r="5808" spans="1:18" x14ac:dyDescent="0.25">
      <c r="A5808">
        <v>2023</v>
      </c>
      <c r="B5808">
        <v>11</v>
      </c>
      <c r="C5808" s="1" t="s">
        <v>34</v>
      </c>
      <c r="D5808" s="1" t="s">
        <v>19</v>
      </c>
      <c r="E5808" s="1" t="s">
        <v>81</v>
      </c>
      <c r="F5808">
        <v>2012</v>
      </c>
      <c r="G5808">
        <v>11</v>
      </c>
      <c r="H5808" s="1" t="s">
        <v>21</v>
      </c>
      <c r="I5808">
        <v>28</v>
      </c>
      <c r="J5808">
        <v>3483</v>
      </c>
      <c r="K5808" s="1" t="s">
        <v>53</v>
      </c>
      <c r="L5808" s="1" t="s">
        <v>45</v>
      </c>
      <c r="M5808">
        <v>1.647</v>
      </c>
      <c r="N5808">
        <v>46106.2</v>
      </c>
      <c r="O5808">
        <v>46.106000000000002</v>
      </c>
      <c r="P5808" s="2">
        <v>45231</v>
      </c>
      <c r="Q5808">
        <v>1</v>
      </c>
      <c r="R5808" s="1" t="s">
        <v>24</v>
      </c>
    </row>
    <row r="5809" spans="1:18" x14ac:dyDescent="0.25">
      <c r="A5809">
        <v>2023</v>
      </c>
      <c r="B5809">
        <v>12</v>
      </c>
      <c r="C5809" s="1" t="s">
        <v>35</v>
      </c>
      <c r="D5809" s="1" t="s">
        <v>19</v>
      </c>
      <c r="E5809" s="1" t="s">
        <v>81</v>
      </c>
      <c r="F5809">
        <v>2012</v>
      </c>
      <c r="G5809">
        <v>11</v>
      </c>
      <c r="H5809" s="1" t="s">
        <v>21</v>
      </c>
      <c r="I5809">
        <v>28</v>
      </c>
      <c r="J5809">
        <v>3483</v>
      </c>
      <c r="K5809" s="1" t="s">
        <v>53</v>
      </c>
      <c r="L5809" s="1" t="s">
        <v>45</v>
      </c>
      <c r="M5809">
        <v>0.79600000000000004</v>
      </c>
      <c r="N5809">
        <v>22282.5</v>
      </c>
      <c r="O5809">
        <v>22.282</v>
      </c>
      <c r="P5809" s="2">
        <v>45261</v>
      </c>
      <c r="Q5809">
        <v>1</v>
      </c>
      <c r="R5809" s="1" t="s">
        <v>24</v>
      </c>
    </row>
    <row r="5810" spans="1:18" x14ac:dyDescent="0.25">
      <c r="A5810">
        <v>2023</v>
      </c>
      <c r="B5810">
        <v>1</v>
      </c>
      <c r="C5810" s="1" t="s">
        <v>18</v>
      </c>
      <c r="D5810" s="1" t="s">
        <v>19</v>
      </c>
      <c r="E5810" s="1" t="s">
        <v>82</v>
      </c>
      <c r="F5810">
        <v>2013</v>
      </c>
      <c r="G5810">
        <v>10</v>
      </c>
      <c r="H5810" s="1" t="s">
        <v>21</v>
      </c>
      <c r="I5810">
        <v>24</v>
      </c>
      <c r="J5810">
        <v>2678</v>
      </c>
      <c r="K5810" s="1" t="s">
        <v>83</v>
      </c>
      <c r="L5810" s="1" t="s">
        <v>45</v>
      </c>
      <c r="M5810">
        <v>1.0820000000000001</v>
      </c>
      <c r="N5810">
        <v>25969.9</v>
      </c>
      <c r="O5810">
        <v>25.97</v>
      </c>
      <c r="P5810" s="2">
        <v>44927</v>
      </c>
      <c r="Q5810">
        <v>1</v>
      </c>
      <c r="R5810" s="1" t="s">
        <v>40</v>
      </c>
    </row>
    <row r="5811" spans="1:18" x14ac:dyDescent="0.25">
      <c r="A5811">
        <v>2023</v>
      </c>
      <c r="B5811">
        <v>2</v>
      </c>
      <c r="C5811" s="1" t="s">
        <v>25</v>
      </c>
      <c r="D5811" s="1" t="s">
        <v>19</v>
      </c>
      <c r="E5811" s="1" t="s">
        <v>82</v>
      </c>
      <c r="F5811">
        <v>2013</v>
      </c>
      <c r="G5811">
        <v>10</v>
      </c>
      <c r="H5811" s="1" t="s">
        <v>21</v>
      </c>
      <c r="I5811">
        <v>24</v>
      </c>
      <c r="J5811">
        <v>2678</v>
      </c>
      <c r="K5811" s="1" t="s">
        <v>83</v>
      </c>
      <c r="L5811" s="1" t="s">
        <v>45</v>
      </c>
      <c r="M5811">
        <v>1.552</v>
      </c>
      <c r="N5811">
        <v>37257.699999999997</v>
      </c>
      <c r="O5811">
        <v>37.258000000000003</v>
      </c>
      <c r="P5811" s="2">
        <v>44958</v>
      </c>
      <c r="Q5811">
        <v>1</v>
      </c>
      <c r="R5811" s="1" t="s">
        <v>40</v>
      </c>
    </row>
    <row r="5812" spans="1:18" x14ac:dyDescent="0.25">
      <c r="A5812">
        <v>2023</v>
      </c>
      <c r="B5812">
        <v>3</v>
      </c>
      <c r="C5812" s="1" t="s">
        <v>26</v>
      </c>
      <c r="D5812" s="1" t="s">
        <v>19</v>
      </c>
      <c r="E5812" s="1" t="s">
        <v>82</v>
      </c>
      <c r="F5812">
        <v>2013</v>
      </c>
      <c r="G5812">
        <v>10</v>
      </c>
      <c r="H5812" s="1" t="s">
        <v>21</v>
      </c>
      <c r="I5812">
        <v>24</v>
      </c>
      <c r="J5812">
        <v>2678</v>
      </c>
      <c r="K5812" s="1" t="s">
        <v>83</v>
      </c>
      <c r="L5812" s="1" t="s">
        <v>45</v>
      </c>
      <c r="M5812">
        <v>1.8029999999999999</v>
      </c>
      <c r="N5812">
        <v>43263.1</v>
      </c>
      <c r="O5812">
        <v>43.262999999999998</v>
      </c>
      <c r="P5812" s="2">
        <v>44986</v>
      </c>
      <c r="Q5812">
        <v>1</v>
      </c>
      <c r="R5812" s="1" t="s">
        <v>40</v>
      </c>
    </row>
    <row r="5813" spans="1:18" x14ac:dyDescent="0.25">
      <c r="A5813">
        <v>2023</v>
      </c>
      <c r="B5813">
        <v>4</v>
      </c>
      <c r="C5813" s="1" t="s">
        <v>27</v>
      </c>
      <c r="D5813" s="1" t="s">
        <v>19</v>
      </c>
      <c r="E5813" s="1" t="s">
        <v>82</v>
      </c>
      <c r="F5813">
        <v>2013</v>
      </c>
      <c r="G5813">
        <v>10</v>
      </c>
      <c r="H5813" s="1" t="s">
        <v>21</v>
      </c>
      <c r="I5813">
        <v>24</v>
      </c>
      <c r="J5813">
        <v>2678</v>
      </c>
      <c r="K5813" s="1" t="s">
        <v>83</v>
      </c>
      <c r="L5813" s="1" t="s">
        <v>45</v>
      </c>
      <c r="M5813">
        <v>1.8320000000000001</v>
      </c>
      <c r="N5813">
        <v>43966.1</v>
      </c>
      <c r="O5813">
        <v>43.966000000000001</v>
      </c>
      <c r="P5813" s="2">
        <v>45017</v>
      </c>
      <c r="Q5813">
        <v>1</v>
      </c>
      <c r="R5813" s="1" t="s">
        <v>40</v>
      </c>
    </row>
    <row r="5814" spans="1:18" x14ac:dyDescent="0.25">
      <c r="A5814">
        <v>2023</v>
      </c>
      <c r="B5814">
        <v>5</v>
      </c>
      <c r="C5814" s="1" t="s">
        <v>28</v>
      </c>
      <c r="D5814" s="1" t="s">
        <v>19</v>
      </c>
      <c r="E5814" s="1" t="s">
        <v>82</v>
      </c>
      <c r="F5814">
        <v>2013</v>
      </c>
      <c r="G5814">
        <v>10</v>
      </c>
      <c r="H5814" s="1" t="s">
        <v>21</v>
      </c>
      <c r="I5814">
        <v>24</v>
      </c>
      <c r="J5814">
        <v>2678</v>
      </c>
      <c r="K5814" s="1" t="s">
        <v>83</v>
      </c>
      <c r="L5814" s="1" t="s">
        <v>45</v>
      </c>
      <c r="M5814">
        <v>1.82</v>
      </c>
      <c r="N5814">
        <v>43684.9</v>
      </c>
      <c r="O5814">
        <v>43.685000000000002</v>
      </c>
      <c r="P5814" s="2">
        <v>45047</v>
      </c>
      <c r="Q5814">
        <v>1</v>
      </c>
      <c r="R5814" s="1" t="s">
        <v>40</v>
      </c>
    </row>
    <row r="5815" spans="1:18" x14ac:dyDescent="0.25">
      <c r="A5815">
        <v>2023</v>
      </c>
      <c r="B5815">
        <v>6</v>
      </c>
      <c r="C5815" s="1" t="s">
        <v>29</v>
      </c>
      <c r="D5815" s="1" t="s">
        <v>19</v>
      </c>
      <c r="E5815" s="1" t="s">
        <v>82</v>
      </c>
      <c r="F5815">
        <v>2013</v>
      </c>
      <c r="G5815">
        <v>10</v>
      </c>
      <c r="H5815" s="1" t="s">
        <v>21</v>
      </c>
      <c r="I5815">
        <v>24</v>
      </c>
      <c r="J5815">
        <v>2678</v>
      </c>
      <c r="K5815" s="1" t="s">
        <v>83</v>
      </c>
      <c r="L5815" s="1" t="s">
        <v>45</v>
      </c>
      <c r="M5815">
        <v>2.0139999999999998</v>
      </c>
      <c r="N5815">
        <v>48344.6</v>
      </c>
      <c r="O5815">
        <v>48.344999999999999</v>
      </c>
      <c r="P5815" s="2">
        <v>45078</v>
      </c>
      <c r="Q5815">
        <v>1</v>
      </c>
      <c r="R5815" s="1" t="s">
        <v>40</v>
      </c>
    </row>
    <row r="5816" spans="1:18" x14ac:dyDescent="0.25">
      <c r="A5816">
        <v>2023</v>
      </c>
      <c r="B5816">
        <v>7</v>
      </c>
      <c r="C5816" s="1" t="s">
        <v>30</v>
      </c>
      <c r="D5816" s="1" t="s">
        <v>19</v>
      </c>
      <c r="E5816" s="1" t="s">
        <v>82</v>
      </c>
      <c r="F5816">
        <v>2013</v>
      </c>
      <c r="G5816">
        <v>10</v>
      </c>
      <c r="H5816" s="1" t="s">
        <v>21</v>
      </c>
      <c r="I5816">
        <v>24</v>
      </c>
      <c r="J5816">
        <v>2678</v>
      </c>
      <c r="K5816" s="1" t="s">
        <v>83</v>
      </c>
      <c r="L5816" s="1" t="s">
        <v>45</v>
      </c>
      <c r="M5816">
        <v>1.8520000000000001</v>
      </c>
      <c r="N5816">
        <v>44448.1</v>
      </c>
      <c r="O5816">
        <v>44.448</v>
      </c>
      <c r="P5816" s="2">
        <v>45108</v>
      </c>
      <c r="Q5816">
        <v>1</v>
      </c>
      <c r="R5816" s="1" t="s">
        <v>40</v>
      </c>
    </row>
    <row r="5817" spans="1:18" x14ac:dyDescent="0.25">
      <c r="A5817">
        <v>2023</v>
      </c>
      <c r="B5817">
        <v>8</v>
      </c>
      <c r="C5817" s="1" t="s">
        <v>31</v>
      </c>
      <c r="D5817" s="1" t="s">
        <v>19</v>
      </c>
      <c r="E5817" s="1" t="s">
        <v>82</v>
      </c>
      <c r="F5817">
        <v>2013</v>
      </c>
      <c r="G5817">
        <v>10</v>
      </c>
      <c r="H5817" s="1" t="s">
        <v>21</v>
      </c>
      <c r="I5817">
        <v>24</v>
      </c>
      <c r="J5817">
        <v>2678</v>
      </c>
      <c r="K5817" s="1" t="s">
        <v>83</v>
      </c>
      <c r="L5817" s="1" t="s">
        <v>45</v>
      </c>
      <c r="M5817">
        <v>1.9470000000000001</v>
      </c>
      <c r="N5817">
        <v>46737.8</v>
      </c>
      <c r="O5817">
        <v>46.738</v>
      </c>
      <c r="P5817" s="2">
        <v>45139</v>
      </c>
      <c r="Q5817">
        <v>1</v>
      </c>
      <c r="R5817" s="1" t="s">
        <v>40</v>
      </c>
    </row>
    <row r="5818" spans="1:18" x14ac:dyDescent="0.25">
      <c r="A5818">
        <v>2023</v>
      </c>
      <c r="B5818">
        <v>9</v>
      </c>
      <c r="C5818" s="1" t="s">
        <v>32</v>
      </c>
      <c r="D5818" s="1" t="s">
        <v>19</v>
      </c>
      <c r="E5818" s="1" t="s">
        <v>82</v>
      </c>
      <c r="F5818">
        <v>2013</v>
      </c>
      <c r="G5818">
        <v>10</v>
      </c>
      <c r="H5818" s="1" t="s">
        <v>21</v>
      </c>
      <c r="I5818">
        <v>24</v>
      </c>
      <c r="J5818">
        <v>2678</v>
      </c>
      <c r="K5818" s="1" t="s">
        <v>83</v>
      </c>
      <c r="L5818" s="1" t="s">
        <v>45</v>
      </c>
      <c r="M5818">
        <v>2.0139999999999998</v>
      </c>
      <c r="N5818">
        <v>48324.5</v>
      </c>
      <c r="O5818">
        <v>48.325000000000003</v>
      </c>
      <c r="P5818" s="2">
        <v>45170</v>
      </c>
      <c r="Q5818">
        <v>1</v>
      </c>
      <c r="R5818" s="1" t="s">
        <v>40</v>
      </c>
    </row>
    <row r="5819" spans="1:18" x14ac:dyDescent="0.25">
      <c r="A5819">
        <v>2023</v>
      </c>
      <c r="B5819">
        <v>10</v>
      </c>
      <c r="C5819" s="1" t="s">
        <v>33</v>
      </c>
      <c r="D5819" s="1" t="s">
        <v>19</v>
      </c>
      <c r="E5819" s="1" t="s">
        <v>82</v>
      </c>
      <c r="F5819">
        <v>2013</v>
      </c>
      <c r="G5819">
        <v>10</v>
      </c>
      <c r="H5819" s="1" t="s">
        <v>21</v>
      </c>
      <c r="I5819">
        <v>24</v>
      </c>
      <c r="J5819">
        <v>2678</v>
      </c>
      <c r="K5819" s="1" t="s">
        <v>83</v>
      </c>
      <c r="L5819" s="1" t="s">
        <v>45</v>
      </c>
      <c r="M5819">
        <v>1.786</v>
      </c>
      <c r="N5819">
        <v>42861.4</v>
      </c>
      <c r="O5819">
        <v>42.860999999999997</v>
      </c>
      <c r="P5819" s="2">
        <v>45200</v>
      </c>
      <c r="Q5819">
        <v>1</v>
      </c>
      <c r="R5819" s="1" t="s">
        <v>40</v>
      </c>
    </row>
    <row r="5820" spans="1:18" x14ac:dyDescent="0.25">
      <c r="A5820">
        <v>2023</v>
      </c>
      <c r="B5820">
        <v>11</v>
      </c>
      <c r="C5820" s="1" t="s">
        <v>34</v>
      </c>
      <c r="D5820" s="1" t="s">
        <v>19</v>
      </c>
      <c r="E5820" s="1" t="s">
        <v>82</v>
      </c>
      <c r="F5820">
        <v>2013</v>
      </c>
      <c r="G5820">
        <v>10</v>
      </c>
      <c r="H5820" s="1" t="s">
        <v>21</v>
      </c>
      <c r="I5820">
        <v>24</v>
      </c>
      <c r="J5820">
        <v>2678</v>
      </c>
      <c r="K5820" s="1" t="s">
        <v>83</v>
      </c>
      <c r="L5820" s="1" t="s">
        <v>45</v>
      </c>
      <c r="M5820">
        <v>1.4770000000000001</v>
      </c>
      <c r="N5820">
        <v>35450</v>
      </c>
      <c r="O5820">
        <v>35.450000000000003</v>
      </c>
      <c r="P5820" s="2">
        <v>45231</v>
      </c>
      <c r="Q5820">
        <v>1</v>
      </c>
      <c r="R5820" s="1" t="s">
        <v>40</v>
      </c>
    </row>
    <row r="5821" spans="1:18" x14ac:dyDescent="0.25">
      <c r="A5821">
        <v>2023</v>
      </c>
      <c r="B5821">
        <v>12</v>
      </c>
      <c r="C5821" s="1" t="s">
        <v>35</v>
      </c>
      <c r="D5821" s="1" t="s">
        <v>19</v>
      </c>
      <c r="E5821" s="1" t="s">
        <v>82</v>
      </c>
      <c r="F5821">
        <v>2013</v>
      </c>
      <c r="G5821">
        <v>10</v>
      </c>
      <c r="H5821" s="1" t="s">
        <v>21</v>
      </c>
      <c r="I5821">
        <v>24</v>
      </c>
      <c r="J5821">
        <v>2678</v>
      </c>
      <c r="K5821" s="1" t="s">
        <v>83</v>
      </c>
      <c r="L5821" s="1" t="s">
        <v>45</v>
      </c>
      <c r="M5821">
        <v>0.71399999999999997</v>
      </c>
      <c r="N5821">
        <v>17132.5</v>
      </c>
      <c r="O5821">
        <v>17.132999999999999</v>
      </c>
      <c r="P5821" s="2">
        <v>45261</v>
      </c>
      <c r="Q5821">
        <v>1</v>
      </c>
      <c r="R5821" s="1" t="s">
        <v>40</v>
      </c>
    </row>
    <row r="5822" spans="1:18" x14ac:dyDescent="0.25">
      <c r="A5822">
        <v>2023</v>
      </c>
      <c r="B5822">
        <v>1</v>
      </c>
      <c r="C5822" s="1" t="s">
        <v>18</v>
      </c>
      <c r="D5822" s="1" t="s">
        <v>19</v>
      </c>
      <c r="E5822" s="1" t="s">
        <v>84</v>
      </c>
      <c r="F5822">
        <v>2013</v>
      </c>
      <c r="G5822">
        <v>10</v>
      </c>
      <c r="H5822" s="1" t="s">
        <v>21</v>
      </c>
      <c r="I5822">
        <v>23</v>
      </c>
      <c r="J5822">
        <v>2683</v>
      </c>
      <c r="K5822" s="1" t="s">
        <v>85</v>
      </c>
      <c r="L5822" s="1" t="s">
        <v>45</v>
      </c>
      <c r="M5822">
        <v>1.131</v>
      </c>
      <c r="N5822">
        <v>26018.400000000001</v>
      </c>
      <c r="O5822">
        <v>26.018000000000001</v>
      </c>
      <c r="P5822" s="2">
        <v>44927</v>
      </c>
      <c r="Q5822">
        <v>1</v>
      </c>
      <c r="R5822" s="1" t="s">
        <v>40</v>
      </c>
    </row>
    <row r="5823" spans="1:18" x14ac:dyDescent="0.25">
      <c r="A5823">
        <v>2023</v>
      </c>
      <c r="B5823">
        <v>2</v>
      </c>
      <c r="C5823" s="1" t="s">
        <v>25</v>
      </c>
      <c r="D5823" s="1" t="s">
        <v>19</v>
      </c>
      <c r="E5823" s="1" t="s">
        <v>84</v>
      </c>
      <c r="F5823">
        <v>2013</v>
      </c>
      <c r="G5823">
        <v>10</v>
      </c>
      <c r="H5823" s="1" t="s">
        <v>21</v>
      </c>
      <c r="I5823">
        <v>23</v>
      </c>
      <c r="J5823">
        <v>2683</v>
      </c>
      <c r="K5823" s="1" t="s">
        <v>85</v>
      </c>
      <c r="L5823" s="1" t="s">
        <v>45</v>
      </c>
      <c r="M5823">
        <v>1.623</v>
      </c>
      <c r="N5823">
        <v>37327.199999999997</v>
      </c>
      <c r="O5823">
        <v>37.326999999999998</v>
      </c>
      <c r="P5823" s="2">
        <v>44958</v>
      </c>
      <c r="Q5823">
        <v>1</v>
      </c>
      <c r="R5823" s="1" t="s">
        <v>40</v>
      </c>
    </row>
    <row r="5824" spans="1:18" x14ac:dyDescent="0.25">
      <c r="A5824">
        <v>2023</v>
      </c>
      <c r="B5824">
        <v>3</v>
      </c>
      <c r="C5824" s="1" t="s">
        <v>26</v>
      </c>
      <c r="D5824" s="1" t="s">
        <v>19</v>
      </c>
      <c r="E5824" s="1" t="s">
        <v>84</v>
      </c>
      <c r="F5824">
        <v>2013</v>
      </c>
      <c r="G5824">
        <v>10</v>
      </c>
      <c r="H5824" s="1" t="s">
        <v>21</v>
      </c>
      <c r="I5824">
        <v>23</v>
      </c>
      <c r="J5824">
        <v>2683</v>
      </c>
      <c r="K5824" s="1" t="s">
        <v>85</v>
      </c>
      <c r="L5824" s="1" t="s">
        <v>45</v>
      </c>
      <c r="M5824">
        <v>1.885</v>
      </c>
      <c r="N5824">
        <v>43343.9</v>
      </c>
      <c r="O5824">
        <v>43.344000000000001</v>
      </c>
      <c r="P5824" s="2">
        <v>44986</v>
      </c>
      <c r="Q5824">
        <v>1</v>
      </c>
      <c r="R5824" s="1" t="s">
        <v>40</v>
      </c>
    </row>
    <row r="5825" spans="1:18" x14ac:dyDescent="0.25">
      <c r="A5825">
        <v>2023</v>
      </c>
      <c r="B5825">
        <v>4</v>
      </c>
      <c r="C5825" s="1" t="s">
        <v>27</v>
      </c>
      <c r="D5825" s="1" t="s">
        <v>19</v>
      </c>
      <c r="E5825" s="1" t="s">
        <v>84</v>
      </c>
      <c r="F5825">
        <v>2013</v>
      </c>
      <c r="G5825">
        <v>10</v>
      </c>
      <c r="H5825" s="1" t="s">
        <v>21</v>
      </c>
      <c r="I5825">
        <v>23</v>
      </c>
      <c r="J5825">
        <v>2683</v>
      </c>
      <c r="K5825" s="1" t="s">
        <v>85</v>
      </c>
      <c r="L5825" s="1" t="s">
        <v>45</v>
      </c>
      <c r="M5825">
        <v>1.915</v>
      </c>
      <c r="N5825">
        <v>44048.2</v>
      </c>
      <c r="O5825">
        <v>44.048000000000002</v>
      </c>
      <c r="P5825" s="2">
        <v>45017</v>
      </c>
      <c r="Q5825">
        <v>1</v>
      </c>
      <c r="R5825" s="1" t="s">
        <v>40</v>
      </c>
    </row>
    <row r="5826" spans="1:18" x14ac:dyDescent="0.25">
      <c r="A5826">
        <v>2023</v>
      </c>
      <c r="B5826">
        <v>5</v>
      </c>
      <c r="C5826" s="1" t="s">
        <v>28</v>
      </c>
      <c r="D5826" s="1" t="s">
        <v>19</v>
      </c>
      <c r="E5826" s="1" t="s">
        <v>84</v>
      </c>
      <c r="F5826">
        <v>2013</v>
      </c>
      <c r="G5826">
        <v>10</v>
      </c>
      <c r="H5826" s="1" t="s">
        <v>21</v>
      </c>
      <c r="I5826">
        <v>23</v>
      </c>
      <c r="J5826">
        <v>2683</v>
      </c>
      <c r="K5826" s="1" t="s">
        <v>85</v>
      </c>
      <c r="L5826" s="1" t="s">
        <v>45</v>
      </c>
      <c r="M5826">
        <v>1.903</v>
      </c>
      <c r="N5826">
        <v>43766.400000000001</v>
      </c>
      <c r="O5826">
        <v>43.765999999999998</v>
      </c>
      <c r="P5826" s="2">
        <v>45047</v>
      </c>
      <c r="Q5826">
        <v>1</v>
      </c>
      <c r="R5826" s="1" t="s">
        <v>40</v>
      </c>
    </row>
    <row r="5827" spans="1:18" x14ac:dyDescent="0.25">
      <c r="A5827">
        <v>2023</v>
      </c>
      <c r="B5827">
        <v>6</v>
      </c>
      <c r="C5827" s="1" t="s">
        <v>29</v>
      </c>
      <c r="D5827" s="1" t="s">
        <v>19</v>
      </c>
      <c r="E5827" s="1" t="s">
        <v>84</v>
      </c>
      <c r="F5827">
        <v>2013</v>
      </c>
      <c r="G5827">
        <v>10</v>
      </c>
      <c r="H5827" s="1" t="s">
        <v>21</v>
      </c>
      <c r="I5827">
        <v>23</v>
      </c>
      <c r="J5827">
        <v>2683</v>
      </c>
      <c r="K5827" s="1" t="s">
        <v>85</v>
      </c>
      <c r="L5827" s="1" t="s">
        <v>45</v>
      </c>
      <c r="M5827">
        <v>2.1059999999999999</v>
      </c>
      <c r="N5827">
        <v>48434.9</v>
      </c>
      <c r="O5827">
        <v>48.435000000000002</v>
      </c>
      <c r="P5827" s="2">
        <v>45078</v>
      </c>
      <c r="Q5827">
        <v>1</v>
      </c>
      <c r="R5827" s="1" t="s">
        <v>40</v>
      </c>
    </row>
    <row r="5828" spans="1:18" x14ac:dyDescent="0.25">
      <c r="A5828">
        <v>2023</v>
      </c>
      <c r="B5828">
        <v>7</v>
      </c>
      <c r="C5828" s="1" t="s">
        <v>30</v>
      </c>
      <c r="D5828" s="1" t="s">
        <v>19</v>
      </c>
      <c r="E5828" s="1" t="s">
        <v>84</v>
      </c>
      <c r="F5828">
        <v>2013</v>
      </c>
      <c r="G5828">
        <v>10</v>
      </c>
      <c r="H5828" s="1" t="s">
        <v>21</v>
      </c>
      <c r="I5828">
        <v>23</v>
      </c>
      <c r="J5828">
        <v>2683</v>
      </c>
      <c r="K5828" s="1" t="s">
        <v>85</v>
      </c>
      <c r="L5828" s="1" t="s">
        <v>45</v>
      </c>
      <c r="M5828">
        <v>1.9359999999999999</v>
      </c>
      <c r="N5828">
        <v>44531.1</v>
      </c>
      <c r="O5828">
        <v>44.530999999999999</v>
      </c>
      <c r="P5828" s="2">
        <v>45108</v>
      </c>
      <c r="Q5828">
        <v>1</v>
      </c>
      <c r="R5828" s="1" t="s">
        <v>40</v>
      </c>
    </row>
    <row r="5829" spans="1:18" x14ac:dyDescent="0.25">
      <c r="A5829">
        <v>2023</v>
      </c>
      <c r="B5829">
        <v>8</v>
      </c>
      <c r="C5829" s="1" t="s">
        <v>31</v>
      </c>
      <c r="D5829" s="1" t="s">
        <v>19</v>
      </c>
      <c r="E5829" s="1" t="s">
        <v>84</v>
      </c>
      <c r="F5829">
        <v>2013</v>
      </c>
      <c r="G5829">
        <v>10</v>
      </c>
      <c r="H5829" s="1" t="s">
        <v>21</v>
      </c>
      <c r="I5829">
        <v>23</v>
      </c>
      <c r="J5829">
        <v>2683</v>
      </c>
      <c r="K5829" s="1" t="s">
        <v>85</v>
      </c>
      <c r="L5829" s="1" t="s">
        <v>45</v>
      </c>
      <c r="M5829">
        <v>2.036</v>
      </c>
      <c r="N5829">
        <v>46825.1</v>
      </c>
      <c r="O5829">
        <v>46.825000000000003</v>
      </c>
      <c r="P5829" s="2">
        <v>45139</v>
      </c>
      <c r="Q5829">
        <v>1</v>
      </c>
      <c r="R5829" s="1" t="s">
        <v>40</v>
      </c>
    </row>
    <row r="5830" spans="1:18" x14ac:dyDescent="0.25">
      <c r="A5830">
        <v>2023</v>
      </c>
      <c r="B5830">
        <v>9</v>
      </c>
      <c r="C5830" s="1" t="s">
        <v>32</v>
      </c>
      <c r="D5830" s="1" t="s">
        <v>19</v>
      </c>
      <c r="E5830" s="1" t="s">
        <v>84</v>
      </c>
      <c r="F5830">
        <v>2013</v>
      </c>
      <c r="G5830">
        <v>10</v>
      </c>
      <c r="H5830" s="1" t="s">
        <v>21</v>
      </c>
      <c r="I5830">
        <v>23</v>
      </c>
      <c r="J5830">
        <v>2683</v>
      </c>
      <c r="K5830" s="1" t="s">
        <v>85</v>
      </c>
      <c r="L5830" s="1" t="s">
        <v>45</v>
      </c>
      <c r="M5830">
        <v>2.105</v>
      </c>
      <c r="N5830">
        <v>48414.7</v>
      </c>
      <c r="O5830">
        <v>48.414999999999999</v>
      </c>
      <c r="P5830" s="2">
        <v>45170</v>
      </c>
      <c r="Q5830">
        <v>1</v>
      </c>
      <c r="R5830" s="1" t="s">
        <v>40</v>
      </c>
    </row>
    <row r="5831" spans="1:18" x14ac:dyDescent="0.25">
      <c r="A5831">
        <v>2023</v>
      </c>
      <c r="B5831">
        <v>10</v>
      </c>
      <c r="C5831" s="1" t="s">
        <v>33</v>
      </c>
      <c r="D5831" s="1" t="s">
        <v>19</v>
      </c>
      <c r="E5831" s="1" t="s">
        <v>84</v>
      </c>
      <c r="F5831">
        <v>2013</v>
      </c>
      <c r="G5831">
        <v>10</v>
      </c>
      <c r="H5831" s="1" t="s">
        <v>21</v>
      </c>
      <c r="I5831">
        <v>23</v>
      </c>
      <c r="J5831">
        <v>2683</v>
      </c>
      <c r="K5831" s="1" t="s">
        <v>85</v>
      </c>
      <c r="L5831" s="1" t="s">
        <v>45</v>
      </c>
      <c r="M5831">
        <v>1.867</v>
      </c>
      <c r="N5831">
        <v>42941.4</v>
      </c>
      <c r="O5831">
        <v>42.941000000000003</v>
      </c>
      <c r="P5831" s="2">
        <v>45200</v>
      </c>
      <c r="Q5831">
        <v>1</v>
      </c>
      <c r="R5831" s="1" t="s">
        <v>40</v>
      </c>
    </row>
    <row r="5832" spans="1:18" x14ac:dyDescent="0.25">
      <c r="A5832">
        <v>2023</v>
      </c>
      <c r="B5832">
        <v>11</v>
      </c>
      <c r="C5832" s="1" t="s">
        <v>34</v>
      </c>
      <c r="D5832" s="1" t="s">
        <v>19</v>
      </c>
      <c r="E5832" s="1" t="s">
        <v>84</v>
      </c>
      <c r="F5832">
        <v>2013</v>
      </c>
      <c r="G5832">
        <v>10</v>
      </c>
      <c r="H5832" s="1" t="s">
        <v>21</v>
      </c>
      <c r="I5832">
        <v>23</v>
      </c>
      <c r="J5832">
        <v>2683</v>
      </c>
      <c r="K5832" s="1" t="s">
        <v>85</v>
      </c>
      <c r="L5832" s="1" t="s">
        <v>45</v>
      </c>
      <c r="M5832">
        <v>1.544</v>
      </c>
      <c r="N5832">
        <v>35516.199999999997</v>
      </c>
      <c r="O5832">
        <v>35.515999999999998</v>
      </c>
      <c r="P5832" s="2">
        <v>45231</v>
      </c>
      <c r="Q5832">
        <v>1</v>
      </c>
      <c r="R5832" s="1" t="s">
        <v>40</v>
      </c>
    </row>
    <row r="5833" spans="1:18" x14ac:dyDescent="0.25">
      <c r="A5833">
        <v>2023</v>
      </c>
      <c r="B5833">
        <v>12</v>
      </c>
      <c r="C5833" s="1" t="s">
        <v>35</v>
      </c>
      <c r="D5833" s="1" t="s">
        <v>19</v>
      </c>
      <c r="E5833" s="1" t="s">
        <v>84</v>
      </c>
      <c r="F5833">
        <v>2013</v>
      </c>
      <c r="G5833">
        <v>10</v>
      </c>
      <c r="H5833" s="1" t="s">
        <v>21</v>
      </c>
      <c r="I5833">
        <v>23</v>
      </c>
      <c r="J5833">
        <v>2683</v>
      </c>
      <c r="K5833" s="1" t="s">
        <v>85</v>
      </c>
      <c r="L5833" s="1" t="s">
        <v>45</v>
      </c>
      <c r="M5833">
        <v>0.746</v>
      </c>
      <c r="N5833">
        <v>17164.5</v>
      </c>
      <c r="O5833">
        <v>17.164000000000001</v>
      </c>
      <c r="P5833" s="2">
        <v>45261</v>
      </c>
      <c r="Q5833">
        <v>1</v>
      </c>
      <c r="R5833" s="1" t="s">
        <v>40</v>
      </c>
    </row>
    <row r="5834" spans="1:18" x14ac:dyDescent="0.25">
      <c r="A5834">
        <v>2023</v>
      </c>
      <c r="B5834">
        <v>1</v>
      </c>
      <c r="C5834" s="1" t="s">
        <v>18</v>
      </c>
      <c r="D5834" s="1" t="s">
        <v>19</v>
      </c>
      <c r="E5834" s="1" t="s">
        <v>86</v>
      </c>
      <c r="F5834">
        <v>2013</v>
      </c>
      <c r="G5834">
        <v>10</v>
      </c>
      <c r="H5834" s="1" t="s">
        <v>21</v>
      </c>
      <c r="I5834">
        <v>24</v>
      </c>
      <c r="J5834">
        <v>3445</v>
      </c>
      <c r="K5834" s="1" t="s">
        <v>87</v>
      </c>
      <c r="L5834" s="1" t="s">
        <v>45</v>
      </c>
      <c r="M5834">
        <v>1.3919999999999999</v>
      </c>
      <c r="N5834">
        <v>33407.9</v>
      </c>
      <c r="O5834">
        <v>33.408000000000001</v>
      </c>
      <c r="P5834" s="2">
        <v>44927</v>
      </c>
      <c r="Q5834">
        <v>1</v>
      </c>
      <c r="R5834" s="1" t="s">
        <v>40</v>
      </c>
    </row>
    <row r="5835" spans="1:18" x14ac:dyDescent="0.25">
      <c r="A5835">
        <v>2023</v>
      </c>
      <c r="B5835">
        <v>2</v>
      </c>
      <c r="C5835" s="1" t="s">
        <v>25</v>
      </c>
      <c r="D5835" s="1" t="s">
        <v>19</v>
      </c>
      <c r="E5835" s="1" t="s">
        <v>86</v>
      </c>
      <c r="F5835">
        <v>2013</v>
      </c>
      <c r="G5835">
        <v>10</v>
      </c>
      <c r="H5835" s="1" t="s">
        <v>21</v>
      </c>
      <c r="I5835">
        <v>24</v>
      </c>
      <c r="J5835">
        <v>3445</v>
      </c>
      <c r="K5835" s="1" t="s">
        <v>87</v>
      </c>
      <c r="L5835" s="1" t="s">
        <v>45</v>
      </c>
      <c r="M5835">
        <v>1.9970000000000001</v>
      </c>
      <c r="N5835">
        <v>47928.6</v>
      </c>
      <c r="O5835">
        <v>47.929000000000002</v>
      </c>
      <c r="P5835" s="2">
        <v>44958</v>
      </c>
      <c r="Q5835">
        <v>1</v>
      </c>
      <c r="R5835" s="1" t="s">
        <v>40</v>
      </c>
    </row>
    <row r="5836" spans="1:18" x14ac:dyDescent="0.25">
      <c r="A5836">
        <v>2023</v>
      </c>
      <c r="B5836">
        <v>3</v>
      </c>
      <c r="C5836" s="1" t="s">
        <v>26</v>
      </c>
      <c r="D5836" s="1" t="s">
        <v>19</v>
      </c>
      <c r="E5836" s="1" t="s">
        <v>86</v>
      </c>
      <c r="F5836">
        <v>2013</v>
      </c>
      <c r="G5836">
        <v>10</v>
      </c>
      <c r="H5836" s="1" t="s">
        <v>21</v>
      </c>
      <c r="I5836">
        <v>24</v>
      </c>
      <c r="J5836">
        <v>3445</v>
      </c>
      <c r="K5836" s="1" t="s">
        <v>87</v>
      </c>
      <c r="L5836" s="1" t="s">
        <v>45</v>
      </c>
      <c r="M5836">
        <v>2.319</v>
      </c>
      <c r="N5836">
        <v>55654</v>
      </c>
      <c r="O5836">
        <v>55.654000000000003</v>
      </c>
      <c r="P5836" s="2">
        <v>44986</v>
      </c>
      <c r="Q5836">
        <v>1</v>
      </c>
      <c r="R5836" s="1" t="s">
        <v>40</v>
      </c>
    </row>
    <row r="5837" spans="1:18" x14ac:dyDescent="0.25">
      <c r="A5837">
        <v>2023</v>
      </c>
      <c r="B5837">
        <v>4</v>
      </c>
      <c r="C5837" s="1" t="s">
        <v>27</v>
      </c>
      <c r="D5837" s="1" t="s">
        <v>19</v>
      </c>
      <c r="E5837" s="1" t="s">
        <v>86</v>
      </c>
      <c r="F5837">
        <v>2013</v>
      </c>
      <c r="G5837">
        <v>10</v>
      </c>
      <c r="H5837" s="1" t="s">
        <v>21</v>
      </c>
      <c r="I5837">
        <v>24</v>
      </c>
      <c r="J5837">
        <v>3445</v>
      </c>
      <c r="K5837" s="1" t="s">
        <v>87</v>
      </c>
      <c r="L5837" s="1" t="s">
        <v>45</v>
      </c>
      <c r="M5837">
        <v>2.3570000000000002</v>
      </c>
      <c r="N5837">
        <v>56558.3</v>
      </c>
      <c r="O5837">
        <v>56.558</v>
      </c>
      <c r="P5837" s="2">
        <v>45017</v>
      </c>
      <c r="Q5837">
        <v>1</v>
      </c>
      <c r="R5837" s="1" t="s">
        <v>40</v>
      </c>
    </row>
    <row r="5838" spans="1:18" x14ac:dyDescent="0.25">
      <c r="A5838">
        <v>2023</v>
      </c>
      <c r="B5838">
        <v>5</v>
      </c>
      <c r="C5838" s="1" t="s">
        <v>28</v>
      </c>
      <c r="D5838" s="1" t="s">
        <v>19</v>
      </c>
      <c r="E5838" s="1" t="s">
        <v>86</v>
      </c>
      <c r="F5838">
        <v>2013</v>
      </c>
      <c r="G5838">
        <v>10</v>
      </c>
      <c r="H5838" s="1" t="s">
        <v>21</v>
      </c>
      <c r="I5838">
        <v>24</v>
      </c>
      <c r="J5838">
        <v>3445</v>
      </c>
      <c r="K5838" s="1" t="s">
        <v>87</v>
      </c>
      <c r="L5838" s="1" t="s">
        <v>45</v>
      </c>
      <c r="M5838">
        <v>2.3420000000000001</v>
      </c>
      <c r="N5838">
        <v>56196.6</v>
      </c>
      <c r="O5838">
        <v>56.197000000000003</v>
      </c>
      <c r="P5838" s="2">
        <v>45047</v>
      </c>
      <c r="Q5838">
        <v>1</v>
      </c>
      <c r="R5838" s="1" t="s">
        <v>40</v>
      </c>
    </row>
    <row r="5839" spans="1:18" x14ac:dyDescent="0.25">
      <c r="A5839">
        <v>2023</v>
      </c>
      <c r="B5839">
        <v>6</v>
      </c>
      <c r="C5839" s="1" t="s">
        <v>29</v>
      </c>
      <c r="D5839" s="1" t="s">
        <v>19</v>
      </c>
      <c r="E5839" s="1" t="s">
        <v>86</v>
      </c>
      <c r="F5839">
        <v>2013</v>
      </c>
      <c r="G5839">
        <v>10</v>
      </c>
      <c r="H5839" s="1" t="s">
        <v>21</v>
      </c>
      <c r="I5839">
        <v>24</v>
      </c>
      <c r="J5839">
        <v>3445</v>
      </c>
      <c r="K5839" s="1" t="s">
        <v>87</v>
      </c>
      <c r="L5839" s="1" t="s">
        <v>45</v>
      </c>
      <c r="M5839">
        <v>2.5910000000000002</v>
      </c>
      <c r="N5839">
        <v>62190.9</v>
      </c>
      <c r="O5839">
        <v>62.191000000000003</v>
      </c>
      <c r="P5839" s="2">
        <v>45078</v>
      </c>
      <c r="Q5839">
        <v>1</v>
      </c>
      <c r="R5839" s="1" t="s">
        <v>40</v>
      </c>
    </row>
    <row r="5840" spans="1:18" x14ac:dyDescent="0.25">
      <c r="A5840">
        <v>2023</v>
      </c>
      <c r="B5840">
        <v>7</v>
      </c>
      <c r="C5840" s="1" t="s">
        <v>30</v>
      </c>
      <c r="D5840" s="1" t="s">
        <v>19</v>
      </c>
      <c r="E5840" s="1" t="s">
        <v>86</v>
      </c>
      <c r="F5840">
        <v>2013</v>
      </c>
      <c r="G5840">
        <v>10</v>
      </c>
      <c r="H5840" s="1" t="s">
        <v>21</v>
      </c>
      <c r="I5840">
        <v>24</v>
      </c>
      <c r="J5840">
        <v>3445</v>
      </c>
      <c r="K5840" s="1" t="s">
        <v>87</v>
      </c>
      <c r="L5840" s="1" t="s">
        <v>45</v>
      </c>
      <c r="M5840">
        <v>2.3820000000000001</v>
      </c>
      <c r="N5840">
        <v>57178.400000000001</v>
      </c>
      <c r="O5840">
        <v>57.177999999999997</v>
      </c>
      <c r="P5840" s="2">
        <v>45108</v>
      </c>
      <c r="Q5840">
        <v>1</v>
      </c>
      <c r="R5840" s="1" t="s">
        <v>40</v>
      </c>
    </row>
    <row r="5841" spans="1:18" x14ac:dyDescent="0.25">
      <c r="A5841">
        <v>2023</v>
      </c>
      <c r="B5841">
        <v>8</v>
      </c>
      <c r="C5841" s="1" t="s">
        <v>31</v>
      </c>
      <c r="D5841" s="1" t="s">
        <v>19</v>
      </c>
      <c r="E5841" s="1" t="s">
        <v>86</v>
      </c>
      <c r="F5841">
        <v>2013</v>
      </c>
      <c r="G5841">
        <v>10</v>
      </c>
      <c r="H5841" s="1" t="s">
        <v>21</v>
      </c>
      <c r="I5841">
        <v>24</v>
      </c>
      <c r="J5841">
        <v>3445</v>
      </c>
      <c r="K5841" s="1" t="s">
        <v>87</v>
      </c>
      <c r="L5841" s="1" t="s">
        <v>45</v>
      </c>
      <c r="M5841">
        <v>2.5049999999999999</v>
      </c>
      <c r="N5841">
        <v>60123.9</v>
      </c>
      <c r="O5841">
        <v>60.124000000000002</v>
      </c>
      <c r="P5841" s="2">
        <v>45139</v>
      </c>
      <c r="Q5841">
        <v>1</v>
      </c>
      <c r="R5841" s="1" t="s">
        <v>40</v>
      </c>
    </row>
    <row r="5842" spans="1:18" x14ac:dyDescent="0.25">
      <c r="A5842">
        <v>2023</v>
      </c>
      <c r="B5842">
        <v>9</v>
      </c>
      <c r="C5842" s="1" t="s">
        <v>32</v>
      </c>
      <c r="D5842" s="1" t="s">
        <v>19</v>
      </c>
      <c r="E5842" s="1" t="s">
        <v>86</v>
      </c>
      <c r="F5842">
        <v>2013</v>
      </c>
      <c r="G5842">
        <v>10</v>
      </c>
      <c r="H5842" s="1" t="s">
        <v>21</v>
      </c>
      <c r="I5842">
        <v>24</v>
      </c>
      <c r="J5842">
        <v>3445</v>
      </c>
      <c r="K5842" s="1" t="s">
        <v>87</v>
      </c>
      <c r="L5842" s="1" t="s">
        <v>45</v>
      </c>
      <c r="M5842">
        <v>2.59</v>
      </c>
      <c r="N5842">
        <v>62165</v>
      </c>
      <c r="O5842">
        <v>62.164999999999999</v>
      </c>
      <c r="P5842" s="2">
        <v>45170</v>
      </c>
      <c r="Q5842">
        <v>1</v>
      </c>
      <c r="R5842" s="1" t="s">
        <v>40</v>
      </c>
    </row>
    <row r="5843" spans="1:18" x14ac:dyDescent="0.25">
      <c r="A5843">
        <v>2023</v>
      </c>
      <c r="B5843">
        <v>10</v>
      </c>
      <c r="C5843" s="1" t="s">
        <v>33</v>
      </c>
      <c r="D5843" s="1" t="s">
        <v>19</v>
      </c>
      <c r="E5843" s="1" t="s">
        <v>86</v>
      </c>
      <c r="F5843">
        <v>2013</v>
      </c>
      <c r="G5843">
        <v>10</v>
      </c>
      <c r="H5843" s="1" t="s">
        <v>21</v>
      </c>
      <c r="I5843">
        <v>24</v>
      </c>
      <c r="J5843">
        <v>3445</v>
      </c>
      <c r="K5843" s="1" t="s">
        <v>87</v>
      </c>
      <c r="L5843" s="1" t="s">
        <v>45</v>
      </c>
      <c r="M5843">
        <v>2.2970000000000002</v>
      </c>
      <c r="N5843">
        <v>55137.2</v>
      </c>
      <c r="O5843">
        <v>55.137</v>
      </c>
      <c r="P5843" s="2">
        <v>45200</v>
      </c>
      <c r="Q5843">
        <v>1</v>
      </c>
      <c r="R5843" s="1" t="s">
        <v>40</v>
      </c>
    </row>
    <row r="5844" spans="1:18" x14ac:dyDescent="0.25">
      <c r="A5844">
        <v>2023</v>
      </c>
      <c r="B5844">
        <v>11</v>
      </c>
      <c r="C5844" s="1" t="s">
        <v>34</v>
      </c>
      <c r="D5844" s="1" t="s">
        <v>19</v>
      </c>
      <c r="E5844" s="1" t="s">
        <v>86</v>
      </c>
      <c r="F5844">
        <v>2013</v>
      </c>
      <c r="G5844">
        <v>10</v>
      </c>
      <c r="H5844" s="1" t="s">
        <v>21</v>
      </c>
      <c r="I5844">
        <v>24</v>
      </c>
      <c r="J5844">
        <v>3445</v>
      </c>
      <c r="K5844" s="1" t="s">
        <v>87</v>
      </c>
      <c r="L5844" s="1" t="s">
        <v>45</v>
      </c>
      <c r="M5844">
        <v>1.9</v>
      </c>
      <c r="N5844">
        <v>45603.199999999997</v>
      </c>
      <c r="O5844">
        <v>45.603000000000002</v>
      </c>
      <c r="P5844" s="2">
        <v>45231</v>
      </c>
      <c r="Q5844">
        <v>1</v>
      </c>
      <c r="R5844" s="1" t="s">
        <v>40</v>
      </c>
    </row>
    <row r="5845" spans="1:18" x14ac:dyDescent="0.25">
      <c r="A5845">
        <v>2023</v>
      </c>
      <c r="B5845">
        <v>12</v>
      </c>
      <c r="C5845" s="1" t="s">
        <v>35</v>
      </c>
      <c r="D5845" s="1" t="s">
        <v>19</v>
      </c>
      <c r="E5845" s="1" t="s">
        <v>86</v>
      </c>
      <c r="F5845">
        <v>2013</v>
      </c>
      <c r="G5845">
        <v>10</v>
      </c>
      <c r="H5845" s="1" t="s">
        <v>21</v>
      </c>
      <c r="I5845">
        <v>24</v>
      </c>
      <c r="J5845">
        <v>3445</v>
      </c>
      <c r="K5845" s="1" t="s">
        <v>87</v>
      </c>
      <c r="L5845" s="1" t="s">
        <v>45</v>
      </c>
      <c r="M5845">
        <v>0.91800000000000004</v>
      </c>
      <c r="N5845">
        <v>22039.4</v>
      </c>
      <c r="O5845">
        <v>22.039000000000001</v>
      </c>
      <c r="P5845" s="2">
        <v>45261</v>
      </c>
      <c r="Q5845">
        <v>1</v>
      </c>
      <c r="R5845" s="1" t="s">
        <v>40</v>
      </c>
    </row>
    <row r="5846" spans="1:18" x14ac:dyDescent="0.25">
      <c r="A5846">
        <v>2023</v>
      </c>
      <c r="B5846">
        <v>1</v>
      </c>
      <c r="C5846" s="1" t="s">
        <v>18</v>
      </c>
      <c r="D5846" s="1" t="s">
        <v>19</v>
      </c>
      <c r="E5846" s="1" t="s">
        <v>88</v>
      </c>
      <c r="F5846">
        <v>2013</v>
      </c>
      <c r="G5846">
        <v>10</v>
      </c>
      <c r="H5846" s="1" t="s">
        <v>21</v>
      </c>
      <c r="I5846">
        <v>24</v>
      </c>
      <c r="J5846">
        <v>3271</v>
      </c>
      <c r="K5846" s="1" t="s">
        <v>89</v>
      </c>
      <c r="L5846" s="1" t="s">
        <v>45</v>
      </c>
      <c r="M5846">
        <v>1.3220000000000001</v>
      </c>
      <c r="N5846">
        <v>31720.5</v>
      </c>
      <c r="O5846">
        <v>31.721</v>
      </c>
      <c r="P5846" s="2">
        <v>44927</v>
      </c>
      <c r="Q5846">
        <v>1</v>
      </c>
      <c r="R5846" s="1" t="s">
        <v>40</v>
      </c>
    </row>
    <row r="5847" spans="1:18" x14ac:dyDescent="0.25">
      <c r="A5847">
        <v>2023</v>
      </c>
      <c r="B5847">
        <v>2</v>
      </c>
      <c r="C5847" s="1" t="s">
        <v>25</v>
      </c>
      <c r="D5847" s="1" t="s">
        <v>19</v>
      </c>
      <c r="E5847" s="1" t="s">
        <v>88</v>
      </c>
      <c r="F5847">
        <v>2013</v>
      </c>
      <c r="G5847">
        <v>10</v>
      </c>
      <c r="H5847" s="1" t="s">
        <v>21</v>
      </c>
      <c r="I5847">
        <v>24</v>
      </c>
      <c r="J5847">
        <v>3271</v>
      </c>
      <c r="K5847" s="1" t="s">
        <v>89</v>
      </c>
      <c r="L5847" s="1" t="s">
        <v>45</v>
      </c>
      <c r="M5847">
        <v>1.8959999999999999</v>
      </c>
      <c r="N5847">
        <v>45507.8</v>
      </c>
      <c r="O5847">
        <v>45.508000000000003</v>
      </c>
      <c r="P5847" s="2">
        <v>44958</v>
      </c>
      <c r="Q5847">
        <v>1</v>
      </c>
      <c r="R5847" s="1" t="s">
        <v>40</v>
      </c>
    </row>
    <row r="5848" spans="1:18" x14ac:dyDescent="0.25">
      <c r="A5848">
        <v>2023</v>
      </c>
      <c r="B5848">
        <v>3</v>
      </c>
      <c r="C5848" s="1" t="s">
        <v>26</v>
      </c>
      <c r="D5848" s="1" t="s">
        <v>19</v>
      </c>
      <c r="E5848" s="1" t="s">
        <v>88</v>
      </c>
      <c r="F5848">
        <v>2013</v>
      </c>
      <c r="G5848">
        <v>10</v>
      </c>
      <c r="H5848" s="1" t="s">
        <v>21</v>
      </c>
      <c r="I5848">
        <v>24</v>
      </c>
      <c r="J5848">
        <v>3271</v>
      </c>
      <c r="K5848" s="1" t="s">
        <v>89</v>
      </c>
      <c r="L5848" s="1" t="s">
        <v>45</v>
      </c>
      <c r="M5848">
        <v>2.202</v>
      </c>
      <c r="N5848">
        <v>52843</v>
      </c>
      <c r="O5848">
        <v>52.843000000000004</v>
      </c>
      <c r="P5848" s="2">
        <v>44986</v>
      </c>
      <c r="Q5848">
        <v>1</v>
      </c>
      <c r="R5848" s="1" t="s">
        <v>40</v>
      </c>
    </row>
    <row r="5849" spans="1:18" x14ac:dyDescent="0.25">
      <c r="A5849">
        <v>2023</v>
      </c>
      <c r="B5849">
        <v>4</v>
      </c>
      <c r="C5849" s="1" t="s">
        <v>27</v>
      </c>
      <c r="D5849" s="1" t="s">
        <v>19</v>
      </c>
      <c r="E5849" s="1" t="s">
        <v>88</v>
      </c>
      <c r="F5849">
        <v>2013</v>
      </c>
      <c r="G5849">
        <v>10</v>
      </c>
      <c r="H5849" s="1" t="s">
        <v>21</v>
      </c>
      <c r="I5849">
        <v>24</v>
      </c>
      <c r="J5849">
        <v>3271</v>
      </c>
      <c r="K5849" s="1" t="s">
        <v>89</v>
      </c>
      <c r="L5849" s="1" t="s">
        <v>45</v>
      </c>
      <c r="M5849">
        <v>2.238</v>
      </c>
      <c r="N5849">
        <v>53701.599999999999</v>
      </c>
      <c r="O5849">
        <v>53.701999999999998</v>
      </c>
      <c r="P5849" s="2">
        <v>45017</v>
      </c>
      <c r="Q5849">
        <v>1</v>
      </c>
      <c r="R5849" s="1" t="s">
        <v>40</v>
      </c>
    </row>
    <row r="5850" spans="1:18" x14ac:dyDescent="0.25">
      <c r="A5850">
        <v>2023</v>
      </c>
      <c r="B5850">
        <v>5</v>
      </c>
      <c r="C5850" s="1" t="s">
        <v>28</v>
      </c>
      <c r="D5850" s="1" t="s">
        <v>19</v>
      </c>
      <c r="E5850" s="1" t="s">
        <v>88</v>
      </c>
      <c r="F5850">
        <v>2013</v>
      </c>
      <c r="G5850">
        <v>10</v>
      </c>
      <c r="H5850" s="1" t="s">
        <v>21</v>
      </c>
      <c r="I5850">
        <v>24</v>
      </c>
      <c r="J5850">
        <v>3271</v>
      </c>
      <c r="K5850" s="1" t="s">
        <v>89</v>
      </c>
      <c r="L5850" s="1" t="s">
        <v>45</v>
      </c>
      <c r="M5850">
        <v>2.2229999999999999</v>
      </c>
      <c r="N5850">
        <v>53358.2</v>
      </c>
      <c r="O5850">
        <v>53.357999999999997</v>
      </c>
      <c r="P5850" s="2">
        <v>45047</v>
      </c>
      <c r="Q5850">
        <v>1</v>
      </c>
      <c r="R5850" s="1" t="s">
        <v>40</v>
      </c>
    </row>
    <row r="5851" spans="1:18" x14ac:dyDescent="0.25">
      <c r="A5851">
        <v>2023</v>
      </c>
      <c r="B5851">
        <v>6</v>
      </c>
      <c r="C5851" s="1" t="s">
        <v>29</v>
      </c>
      <c r="D5851" s="1" t="s">
        <v>19</v>
      </c>
      <c r="E5851" s="1" t="s">
        <v>88</v>
      </c>
      <c r="F5851">
        <v>2013</v>
      </c>
      <c r="G5851">
        <v>10</v>
      </c>
      <c r="H5851" s="1" t="s">
        <v>21</v>
      </c>
      <c r="I5851">
        <v>24</v>
      </c>
      <c r="J5851">
        <v>3271</v>
      </c>
      <c r="K5851" s="1" t="s">
        <v>89</v>
      </c>
      <c r="L5851" s="1" t="s">
        <v>45</v>
      </c>
      <c r="M5851">
        <v>2.46</v>
      </c>
      <c r="N5851">
        <v>59049.7</v>
      </c>
      <c r="O5851">
        <v>59.05</v>
      </c>
      <c r="P5851" s="2">
        <v>45078</v>
      </c>
      <c r="Q5851">
        <v>1</v>
      </c>
      <c r="R5851" s="1" t="s">
        <v>40</v>
      </c>
    </row>
    <row r="5852" spans="1:18" x14ac:dyDescent="0.25">
      <c r="A5852">
        <v>2023</v>
      </c>
      <c r="B5852">
        <v>7</v>
      </c>
      <c r="C5852" s="1" t="s">
        <v>30</v>
      </c>
      <c r="D5852" s="1" t="s">
        <v>19</v>
      </c>
      <c r="E5852" s="1" t="s">
        <v>88</v>
      </c>
      <c r="F5852">
        <v>2013</v>
      </c>
      <c r="G5852">
        <v>10</v>
      </c>
      <c r="H5852" s="1" t="s">
        <v>21</v>
      </c>
      <c r="I5852">
        <v>24</v>
      </c>
      <c r="J5852">
        <v>3271</v>
      </c>
      <c r="K5852" s="1" t="s">
        <v>89</v>
      </c>
      <c r="L5852" s="1" t="s">
        <v>45</v>
      </c>
      <c r="M5852">
        <v>2.262</v>
      </c>
      <c r="N5852">
        <v>54290.400000000001</v>
      </c>
      <c r="O5852">
        <v>54.29</v>
      </c>
      <c r="P5852" s="2">
        <v>45108</v>
      </c>
      <c r="Q5852">
        <v>1</v>
      </c>
      <c r="R5852" s="1" t="s">
        <v>40</v>
      </c>
    </row>
    <row r="5853" spans="1:18" x14ac:dyDescent="0.25">
      <c r="A5853">
        <v>2023</v>
      </c>
      <c r="B5853">
        <v>8</v>
      </c>
      <c r="C5853" s="1" t="s">
        <v>31</v>
      </c>
      <c r="D5853" s="1" t="s">
        <v>19</v>
      </c>
      <c r="E5853" s="1" t="s">
        <v>88</v>
      </c>
      <c r="F5853">
        <v>2013</v>
      </c>
      <c r="G5853">
        <v>10</v>
      </c>
      <c r="H5853" s="1" t="s">
        <v>21</v>
      </c>
      <c r="I5853">
        <v>24</v>
      </c>
      <c r="J5853">
        <v>3271</v>
      </c>
      <c r="K5853" s="1" t="s">
        <v>89</v>
      </c>
      <c r="L5853" s="1" t="s">
        <v>45</v>
      </c>
      <c r="M5853">
        <v>2.379</v>
      </c>
      <c r="N5853">
        <v>57087.1</v>
      </c>
      <c r="O5853">
        <v>57.087000000000003</v>
      </c>
      <c r="P5853" s="2">
        <v>45139</v>
      </c>
      <c r="Q5853">
        <v>1</v>
      </c>
      <c r="R5853" s="1" t="s">
        <v>40</v>
      </c>
    </row>
    <row r="5854" spans="1:18" x14ac:dyDescent="0.25">
      <c r="A5854">
        <v>2023</v>
      </c>
      <c r="B5854">
        <v>9</v>
      </c>
      <c r="C5854" s="1" t="s">
        <v>32</v>
      </c>
      <c r="D5854" s="1" t="s">
        <v>19</v>
      </c>
      <c r="E5854" s="1" t="s">
        <v>88</v>
      </c>
      <c r="F5854">
        <v>2013</v>
      </c>
      <c r="G5854">
        <v>10</v>
      </c>
      <c r="H5854" s="1" t="s">
        <v>21</v>
      </c>
      <c r="I5854">
        <v>24</v>
      </c>
      <c r="J5854">
        <v>3271</v>
      </c>
      <c r="K5854" s="1" t="s">
        <v>89</v>
      </c>
      <c r="L5854" s="1" t="s">
        <v>45</v>
      </c>
      <c r="M5854">
        <v>2.4590000000000001</v>
      </c>
      <c r="N5854">
        <v>59025.2</v>
      </c>
      <c r="O5854">
        <v>59.024999999999999</v>
      </c>
      <c r="P5854" s="2">
        <v>45170</v>
      </c>
      <c r="Q5854">
        <v>1</v>
      </c>
      <c r="R5854" s="1" t="s">
        <v>40</v>
      </c>
    </row>
    <row r="5855" spans="1:18" x14ac:dyDescent="0.25">
      <c r="A5855">
        <v>2023</v>
      </c>
      <c r="B5855">
        <v>10</v>
      </c>
      <c r="C5855" s="1" t="s">
        <v>33</v>
      </c>
      <c r="D5855" s="1" t="s">
        <v>19</v>
      </c>
      <c r="E5855" s="1" t="s">
        <v>88</v>
      </c>
      <c r="F5855">
        <v>2013</v>
      </c>
      <c r="G5855">
        <v>10</v>
      </c>
      <c r="H5855" s="1" t="s">
        <v>21</v>
      </c>
      <c r="I5855">
        <v>24</v>
      </c>
      <c r="J5855">
        <v>3271</v>
      </c>
      <c r="K5855" s="1" t="s">
        <v>89</v>
      </c>
      <c r="L5855" s="1" t="s">
        <v>45</v>
      </c>
      <c r="M5855">
        <v>2.181</v>
      </c>
      <c r="N5855">
        <v>52352.4</v>
      </c>
      <c r="O5855">
        <v>52.351999999999997</v>
      </c>
      <c r="P5855" s="2">
        <v>45200</v>
      </c>
      <c r="Q5855">
        <v>1</v>
      </c>
      <c r="R5855" s="1" t="s">
        <v>40</v>
      </c>
    </row>
    <row r="5856" spans="1:18" x14ac:dyDescent="0.25">
      <c r="A5856">
        <v>2023</v>
      </c>
      <c r="B5856">
        <v>11</v>
      </c>
      <c r="C5856" s="1" t="s">
        <v>34</v>
      </c>
      <c r="D5856" s="1" t="s">
        <v>19</v>
      </c>
      <c r="E5856" s="1" t="s">
        <v>88</v>
      </c>
      <c r="F5856">
        <v>2013</v>
      </c>
      <c r="G5856">
        <v>10</v>
      </c>
      <c r="H5856" s="1" t="s">
        <v>21</v>
      </c>
      <c r="I5856">
        <v>24</v>
      </c>
      <c r="J5856">
        <v>3271</v>
      </c>
      <c r="K5856" s="1" t="s">
        <v>89</v>
      </c>
      <c r="L5856" s="1" t="s">
        <v>45</v>
      </c>
      <c r="M5856">
        <v>1.804</v>
      </c>
      <c r="N5856">
        <v>43299.9</v>
      </c>
      <c r="O5856">
        <v>43.3</v>
      </c>
      <c r="P5856" s="2">
        <v>45231</v>
      </c>
      <c r="Q5856">
        <v>1</v>
      </c>
      <c r="R5856" s="1" t="s">
        <v>40</v>
      </c>
    </row>
    <row r="5857" spans="1:18" x14ac:dyDescent="0.25">
      <c r="A5857">
        <v>2023</v>
      </c>
      <c r="B5857">
        <v>12</v>
      </c>
      <c r="C5857" s="1" t="s">
        <v>35</v>
      </c>
      <c r="D5857" s="1" t="s">
        <v>19</v>
      </c>
      <c r="E5857" s="1" t="s">
        <v>88</v>
      </c>
      <c r="F5857">
        <v>2013</v>
      </c>
      <c r="G5857">
        <v>10</v>
      </c>
      <c r="H5857" s="1" t="s">
        <v>21</v>
      </c>
      <c r="I5857">
        <v>24</v>
      </c>
      <c r="J5857">
        <v>3271</v>
      </c>
      <c r="K5857" s="1" t="s">
        <v>89</v>
      </c>
      <c r="L5857" s="1" t="s">
        <v>45</v>
      </c>
      <c r="M5857">
        <v>0.872</v>
      </c>
      <c r="N5857">
        <v>20926.2</v>
      </c>
      <c r="O5857">
        <v>20.925999999999998</v>
      </c>
      <c r="P5857" s="2">
        <v>45261</v>
      </c>
      <c r="Q5857">
        <v>1</v>
      </c>
      <c r="R5857" s="1" t="s">
        <v>40</v>
      </c>
    </row>
    <row r="5858" spans="1:18" x14ac:dyDescent="0.25">
      <c r="A5858">
        <v>2023</v>
      </c>
      <c r="B5858">
        <v>1</v>
      </c>
      <c r="C5858" s="1" t="s">
        <v>18</v>
      </c>
      <c r="D5858" s="1" t="s">
        <v>19</v>
      </c>
      <c r="E5858" s="1" t="s">
        <v>90</v>
      </c>
      <c r="F5858">
        <v>2013</v>
      </c>
      <c r="G5858">
        <v>10</v>
      </c>
      <c r="H5858" s="1" t="s">
        <v>21</v>
      </c>
      <c r="I5858">
        <v>25</v>
      </c>
      <c r="J5858">
        <v>3291</v>
      </c>
      <c r="K5858" s="1" t="s">
        <v>91</v>
      </c>
      <c r="L5858" s="1" t="s">
        <v>45</v>
      </c>
      <c r="M5858">
        <v>1.2769999999999999</v>
      </c>
      <c r="N5858">
        <v>31914.5</v>
      </c>
      <c r="O5858">
        <v>31.914000000000001</v>
      </c>
      <c r="P5858" s="2">
        <v>44927</v>
      </c>
      <c r="Q5858">
        <v>1</v>
      </c>
      <c r="R5858" s="1" t="s">
        <v>40</v>
      </c>
    </row>
    <row r="5859" spans="1:18" x14ac:dyDescent="0.25">
      <c r="A5859">
        <v>2023</v>
      </c>
      <c r="B5859">
        <v>2</v>
      </c>
      <c r="C5859" s="1" t="s">
        <v>25</v>
      </c>
      <c r="D5859" s="1" t="s">
        <v>19</v>
      </c>
      <c r="E5859" s="1" t="s">
        <v>90</v>
      </c>
      <c r="F5859">
        <v>2013</v>
      </c>
      <c r="G5859">
        <v>10</v>
      </c>
      <c r="H5859" s="1" t="s">
        <v>21</v>
      </c>
      <c r="I5859">
        <v>25</v>
      </c>
      <c r="J5859">
        <v>3291</v>
      </c>
      <c r="K5859" s="1" t="s">
        <v>91</v>
      </c>
      <c r="L5859" s="1" t="s">
        <v>45</v>
      </c>
      <c r="M5859">
        <v>1.831</v>
      </c>
      <c r="N5859">
        <v>45786</v>
      </c>
      <c r="O5859">
        <v>45.786000000000001</v>
      </c>
      <c r="P5859" s="2">
        <v>44958</v>
      </c>
      <c r="Q5859">
        <v>1</v>
      </c>
      <c r="R5859" s="1" t="s">
        <v>40</v>
      </c>
    </row>
    <row r="5860" spans="1:18" x14ac:dyDescent="0.25">
      <c r="A5860">
        <v>2023</v>
      </c>
      <c r="B5860">
        <v>3</v>
      </c>
      <c r="C5860" s="1" t="s">
        <v>26</v>
      </c>
      <c r="D5860" s="1" t="s">
        <v>19</v>
      </c>
      <c r="E5860" s="1" t="s">
        <v>90</v>
      </c>
      <c r="F5860">
        <v>2013</v>
      </c>
      <c r="G5860">
        <v>10</v>
      </c>
      <c r="H5860" s="1" t="s">
        <v>21</v>
      </c>
      <c r="I5860">
        <v>25</v>
      </c>
      <c r="J5860">
        <v>3291</v>
      </c>
      <c r="K5860" s="1" t="s">
        <v>91</v>
      </c>
      <c r="L5860" s="1" t="s">
        <v>45</v>
      </c>
      <c r="M5860">
        <v>2.1269999999999998</v>
      </c>
      <c r="N5860">
        <v>53166.1</v>
      </c>
      <c r="O5860">
        <v>53.165999999999997</v>
      </c>
      <c r="P5860" s="2">
        <v>44986</v>
      </c>
      <c r="Q5860">
        <v>1</v>
      </c>
      <c r="R5860" s="1" t="s">
        <v>40</v>
      </c>
    </row>
    <row r="5861" spans="1:18" x14ac:dyDescent="0.25">
      <c r="A5861">
        <v>2023</v>
      </c>
      <c r="B5861">
        <v>4</v>
      </c>
      <c r="C5861" s="1" t="s">
        <v>27</v>
      </c>
      <c r="D5861" s="1" t="s">
        <v>19</v>
      </c>
      <c r="E5861" s="1" t="s">
        <v>90</v>
      </c>
      <c r="F5861">
        <v>2013</v>
      </c>
      <c r="G5861">
        <v>10</v>
      </c>
      <c r="H5861" s="1" t="s">
        <v>21</v>
      </c>
      <c r="I5861">
        <v>25</v>
      </c>
      <c r="J5861">
        <v>3291</v>
      </c>
      <c r="K5861" s="1" t="s">
        <v>91</v>
      </c>
      <c r="L5861" s="1" t="s">
        <v>45</v>
      </c>
      <c r="M5861">
        <v>2.161</v>
      </c>
      <c r="N5861">
        <v>54030</v>
      </c>
      <c r="O5861">
        <v>54.03</v>
      </c>
      <c r="P5861" s="2">
        <v>45017</v>
      </c>
      <c r="Q5861">
        <v>1</v>
      </c>
      <c r="R5861" s="1" t="s">
        <v>40</v>
      </c>
    </row>
    <row r="5862" spans="1:18" x14ac:dyDescent="0.25">
      <c r="A5862">
        <v>2023</v>
      </c>
      <c r="B5862">
        <v>5</v>
      </c>
      <c r="C5862" s="1" t="s">
        <v>28</v>
      </c>
      <c r="D5862" s="1" t="s">
        <v>19</v>
      </c>
      <c r="E5862" s="1" t="s">
        <v>90</v>
      </c>
      <c r="F5862">
        <v>2013</v>
      </c>
      <c r="G5862">
        <v>10</v>
      </c>
      <c r="H5862" s="1" t="s">
        <v>21</v>
      </c>
      <c r="I5862">
        <v>25</v>
      </c>
      <c r="J5862">
        <v>3291</v>
      </c>
      <c r="K5862" s="1" t="s">
        <v>91</v>
      </c>
      <c r="L5862" s="1" t="s">
        <v>45</v>
      </c>
      <c r="M5862">
        <v>2.1469999999999998</v>
      </c>
      <c r="N5862">
        <v>53684.4</v>
      </c>
      <c r="O5862">
        <v>53.683999999999997</v>
      </c>
      <c r="P5862" s="2">
        <v>45047</v>
      </c>
      <c r="Q5862">
        <v>1</v>
      </c>
      <c r="R5862" s="1" t="s">
        <v>40</v>
      </c>
    </row>
    <row r="5863" spans="1:18" x14ac:dyDescent="0.25">
      <c r="A5863">
        <v>2023</v>
      </c>
      <c r="B5863">
        <v>6</v>
      </c>
      <c r="C5863" s="1" t="s">
        <v>29</v>
      </c>
      <c r="D5863" s="1" t="s">
        <v>19</v>
      </c>
      <c r="E5863" s="1" t="s">
        <v>90</v>
      </c>
      <c r="F5863">
        <v>2013</v>
      </c>
      <c r="G5863">
        <v>10</v>
      </c>
      <c r="H5863" s="1" t="s">
        <v>21</v>
      </c>
      <c r="I5863">
        <v>25</v>
      </c>
      <c r="J5863">
        <v>3291</v>
      </c>
      <c r="K5863" s="1" t="s">
        <v>91</v>
      </c>
      <c r="L5863" s="1" t="s">
        <v>45</v>
      </c>
      <c r="M5863">
        <v>2.3759999999999999</v>
      </c>
      <c r="N5863">
        <v>59410.8</v>
      </c>
      <c r="O5863">
        <v>59.411000000000001</v>
      </c>
      <c r="P5863" s="2">
        <v>45078</v>
      </c>
      <c r="Q5863">
        <v>1</v>
      </c>
      <c r="R5863" s="1" t="s">
        <v>40</v>
      </c>
    </row>
    <row r="5864" spans="1:18" x14ac:dyDescent="0.25">
      <c r="A5864">
        <v>2023</v>
      </c>
      <c r="B5864">
        <v>7</v>
      </c>
      <c r="C5864" s="1" t="s">
        <v>30</v>
      </c>
      <c r="D5864" s="1" t="s">
        <v>19</v>
      </c>
      <c r="E5864" s="1" t="s">
        <v>90</v>
      </c>
      <c r="F5864">
        <v>2013</v>
      </c>
      <c r="G5864">
        <v>10</v>
      </c>
      <c r="H5864" s="1" t="s">
        <v>21</v>
      </c>
      <c r="I5864">
        <v>25</v>
      </c>
      <c r="J5864">
        <v>3291</v>
      </c>
      <c r="K5864" s="1" t="s">
        <v>91</v>
      </c>
      <c r="L5864" s="1" t="s">
        <v>45</v>
      </c>
      <c r="M5864">
        <v>2.1850000000000001</v>
      </c>
      <c r="N5864">
        <v>54622.400000000001</v>
      </c>
      <c r="O5864">
        <v>54.622</v>
      </c>
      <c r="P5864" s="2">
        <v>45108</v>
      </c>
      <c r="Q5864">
        <v>1</v>
      </c>
      <c r="R5864" s="1" t="s">
        <v>40</v>
      </c>
    </row>
    <row r="5865" spans="1:18" x14ac:dyDescent="0.25">
      <c r="A5865">
        <v>2023</v>
      </c>
      <c r="B5865">
        <v>8</v>
      </c>
      <c r="C5865" s="1" t="s">
        <v>31</v>
      </c>
      <c r="D5865" s="1" t="s">
        <v>19</v>
      </c>
      <c r="E5865" s="1" t="s">
        <v>90</v>
      </c>
      <c r="F5865">
        <v>2013</v>
      </c>
      <c r="G5865">
        <v>10</v>
      </c>
      <c r="H5865" s="1" t="s">
        <v>21</v>
      </c>
      <c r="I5865">
        <v>25</v>
      </c>
      <c r="J5865">
        <v>3291</v>
      </c>
      <c r="K5865" s="1" t="s">
        <v>91</v>
      </c>
      <c r="L5865" s="1" t="s">
        <v>45</v>
      </c>
      <c r="M5865">
        <v>2.2970000000000002</v>
      </c>
      <c r="N5865">
        <v>57436.2</v>
      </c>
      <c r="O5865">
        <v>57.436</v>
      </c>
      <c r="P5865" s="2">
        <v>45139</v>
      </c>
      <c r="Q5865">
        <v>1</v>
      </c>
      <c r="R5865" s="1" t="s">
        <v>40</v>
      </c>
    </row>
    <row r="5866" spans="1:18" x14ac:dyDescent="0.25">
      <c r="A5866">
        <v>2023</v>
      </c>
      <c r="B5866">
        <v>9</v>
      </c>
      <c r="C5866" s="1" t="s">
        <v>32</v>
      </c>
      <c r="D5866" s="1" t="s">
        <v>19</v>
      </c>
      <c r="E5866" s="1" t="s">
        <v>90</v>
      </c>
      <c r="F5866">
        <v>2013</v>
      </c>
      <c r="G5866">
        <v>10</v>
      </c>
      <c r="H5866" s="1" t="s">
        <v>21</v>
      </c>
      <c r="I5866">
        <v>25</v>
      </c>
      <c r="J5866">
        <v>3291</v>
      </c>
      <c r="K5866" s="1" t="s">
        <v>91</v>
      </c>
      <c r="L5866" s="1" t="s">
        <v>45</v>
      </c>
      <c r="M5866">
        <v>2.375</v>
      </c>
      <c r="N5866">
        <v>59386.1</v>
      </c>
      <c r="O5866">
        <v>59.386000000000003</v>
      </c>
      <c r="P5866" s="2">
        <v>45170</v>
      </c>
      <c r="Q5866">
        <v>1</v>
      </c>
      <c r="R5866" s="1" t="s">
        <v>40</v>
      </c>
    </row>
    <row r="5867" spans="1:18" x14ac:dyDescent="0.25">
      <c r="A5867">
        <v>2023</v>
      </c>
      <c r="B5867">
        <v>10</v>
      </c>
      <c r="C5867" s="1" t="s">
        <v>33</v>
      </c>
      <c r="D5867" s="1" t="s">
        <v>19</v>
      </c>
      <c r="E5867" s="1" t="s">
        <v>90</v>
      </c>
      <c r="F5867">
        <v>2013</v>
      </c>
      <c r="G5867">
        <v>10</v>
      </c>
      <c r="H5867" s="1" t="s">
        <v>21</v>
      </c>
      <c r="I5867">
        <v>25</v>
      </c>
      <c r="J5867">
        <v>3291</v>
      </c>
      <c r="K5867" s="1" t="s">
        <v>91</v>
      </c>
      <c r="L5867" s="1" t="s">
        <v>45</v>
      </c>
      <c r="M5867">
        <v>2.1070000000000002</v>
      </c>
      <c r="N5867">
        <v>52672.5</v>
      </c>
      <c r="O5867">
        <v>52.671999999999997</v>
      </c>
      <c r="P5867" s="2">
        <v>45200</v>
      </c>
      <c r="Q5867">
        <v>1</v>
      </c>
      <c r="R5867" s="1" t="s">
        <v>40</v>
      </c>
    </row>
    <row r="5868" spans="1:18" x14ac:dyDescent="0.25">
      <c r="A5868">
        <v>2023</v>
      </c>
      <c r="B5868">
        <v>11</v>
      </c>
      <c r="C5868" s="1" t="s">
        <v>34</v>
      </c>
      <c r="D5868" s="1" t="s">
        <v>19</v>
      </c>
      <c r="E5868" s="1" t="s">
        <v>90</v>
      </c>
      <c r="F5868">
        <v>2013</v>
      </c>
      <c r="G5868">
        <v>10</v>
      </c>
      <c r="H5868" s="1" t="s">
        <v>21</v>
      </c>
      <c r="I5868">
        <v>25</v>
      </c>
      <c r="J5868">
        <v>3291</v>
      </c>
      <c r="K5868" s="1" t="s">
        <v>91</v>
      </c>
      <c r="L5868" s="1" t="s">
        <v>45</v>
      </c>
      <c r="M5868">
        <v>1.7430000000000001</v>
      </c>
      <c r="N5868">
        <v>43564.6</v>
      </c>
      <c r="O5868">
        <v>43.564999999999998</v>
      </c>
      <c r="P5868" s="2">
        <v>45231</v>
      </c>
      <c r="Q5868">
        <v>1</v>
      </c>
      <c r="R5868" s="1" t="s">
        <v>40</v>
      </c>
    </row>
    <row r="5869" spans="1:18" x14ac:dyDescent="0.25">
      <c r="A5869">
        <v>2023</v>
      </c>
      <c r="B5869">
        <v>12</v>
      </c>
      <c r="C5869" s="1" t="s">
        <v>35</v>
      </c>
      <c r="D5869" s="1" t="s">
        <v>19</v>
      </c>
      <c r="E5869" s="1" t="s">
        <v>90</v>
      </c>
      <c r="F5869">
        <v>2013</v>
      </c>
      <c r="G5869">
        <v>10</v>
      </c>
      <c r="H5869" s="1" t="s">
        <v>21</v>
      </c>
      <c r="I5869">
        <v>25</v>
      </c>
      <c r="J5869">
        <v>3291</v>
      </c>
      <c r="K5869" s="1" t="s">
        <v>91</v>
      </c>
      <c r="L5869" s="1" t="s">
        <v>45</v>
      </c>
      <c r="M5869">
        <v>0.84199999999999997</v>
      </c>
      <c r="N5869">
        <v>21054.2</v>
      </c>
      <c r="O5869">
        <v>21.053999999999998</v>
      </c>
      <c r="P5869" s="2">
        <v>45261</v>
      </c>
      <c r="Q5869">
        <v>1</v>
      </c>
      <c r="R5869" s="1" t="s">
        <v>40</v>
      </c>
    </row>
    <row r="5870" spans="1:18" x14ac:dyDescent="0.25">
      <c r="A5870">
        <v>2023</v>
      </c>
      <c r="B5870">
        <v>1</v>
      </c>
      <c r="C5870" s="1" t="s">
        <v>18</v>
      </c>
      <c r="D5870" s="1" t="s">
        <v>19</v>
      </c>
      <c r="E5870" s="1" t="s">
        <v>92</v>
      </c>
      <c r="F5870">
        <v>2014</v>
      </c>
      <c r="G5870">
        <v>9</v>
      </c>
      <c r="H5870" s="1" t="s">
        <v>21</v>
      </c>
      <c r="I5870">
        <v>24</v>
      </c>
      <c r="J5870">
        <v>2208</v>
      </c>
      <c r="K5870" s="1" t="s">
        <v>93</v>
      </c>
      <c r="L5870" s="1" t="s">
        <v>45</v>
      </c>
      <c r="M5870">
        <v>0.98899999999999999</v>
      </c>
      <c r="N5870">
        <v>23739.5</v>
      </c>
      <c r="O5870">
        <v>23.739000000000001</v>
      </c>
      <c r="P5870" s="2">
        <v>44927</v>
      </c>
      <c r="Q5870">
        <v>1</v>
      </c>
      <c r="R5870" s="1" t="s">
        <v>40</v>
      </c>
    </row>
    <row r="5871" spans="1:18" x14ac:dyDescent="0.25">
      <c r="A5871">
        <v>2023</v>
      </c>
      <c r="B5871">
        <v>2</v>
      </c>
      <c r="C5871" s="1" t="s">
        <v>25</v>
      </c>
      <c r="D5871" s="1" t="s">
        <v>19</v>
      </c>
      <c r="E5871" s="1" t="s">
        <v>92</v>
      </c>
      <c r="F5871">
        <v>2014</v>
      </c>
      <c r="G5871">
        <v>9</v>
      </c>
      <c r="H5871" s="1" t="s">
        <v>21</v>
      </c>
      <c r="I5871">
        <v>24</v>
      </c>
      <c r="J5871">
        <v>2208</v>
      </c>
      <c r="K5871" s="1" t="s">
        <v>93</v>
      </c>
      <c r="L5871" s="1" t="s">
        <v>45</v>
      </c>
      <c r="M5871">
        <v>1.419</v>
      </c>
      <c r="N5871">
        <v>34057.800000000003</v>
      </c>
      <c r="O5871">
        <v>34.058</v>
      </c>
      <c r="P5871" s="2">
        <v>44958</v>
      </c>
      <c r="Q5871">
        <v>1</v>
      </c>
      <c r="R5871" s="1" t="s">
        <v>40</v>
      </c>
    </row>
    <row r="5872" spans="1:18" x14ac:dyDescent="0.25">
      <c r="A5872">
        <v>2023</v>
      </c>
      <c r="B5872">
        <v>3</v>
      </c>
      <c r="C5872" s="1" t="s">
        <v>26</v>
      </c>
      <c r="D5872" s="1" t="s">
        <v>19</v>
      </c>
      <c r="E5872" s="1" t="s">
        <v>92</v>
      </c>
      <c r="F5872">
        <v>2014</v>
      </c>
      <c r="G5872">
        <v>9</v>
      </c>
      <c r="H5872" s="1" t="s">
        <v>21</v>
      </c>
      <c r="I5872">
        <v>24</v>
      </c>
      <c r="J5872">
        <v>2208</v>
      </c>
      <c r="K5872" s="1" t="s">
        <v>93</v>
      </c>
      <c r="L5872" s="1" t="s">
        <v>45</v>
      </c>
      <c r="M5872">
        <v>1.6479999999999999</v>
      </c>
      <c r="N5872">
        <v>39547.4</v>
      </c>
      <c r="O5872">
        <v>39.546999999999997</v>
      </c>
      <c r="P5872" s="2">
        <v>44986</v>
      </c>
      <c r="Q5872">
        <v>1</v>
      </c>
      <c r="R5872" s="1" t="s">
        <v>40</v>
      </c>
    </row>
    <row r="5873" spans="1:18" x14ac:dyDescent="0.25">
      <c r="A5873">
        <v>2023</v>
      </c>
      <c r="B5873">
        <v>4</v>
      </c>
      <c r="C5873" s="1" t="s">
        <v>27</v>
      </c>
      <c r="D5873" s="1" t="s">
        <v>19</v>
      </c>
      <c r="E5873" s="1" t="s">
        <v>92</v>
      </c>
      <c r="F5873">
        <v>2014</v>
      </c>
      <c r="G5873">
        <v>9</v>
      </c>
      <c r="H5873" s="1" t="s">
        <v>21</v>
      </c>
      <c r="I5873">
        <v>24</v>
      </c>
      <c r="J5873">
        <v>2208</v>
      </c>
      <c r="K5873" s="1" t="s">
        <v>93</v>
      </c>
      <c r="L5873" s="1" t="s">
        <v>45</v>
      </c>
      <c r="M5873">
        <v>1.675</v>
      </c>
      <c r="N5873">
        <v>40190</v>
      </c>
      <c r="O5873">
        <v>40.19</v>
      </c>
      <c r="P5873" s="2">
        <v>45017</v>
      </c>
      <c r="Q5873">
        <v>1</v>
      </c>
      <c r="R5873" s="1" t="s">
        <v>40</v>
      </c>
    </row>
    <row r="5874" spans="1:18" x14ac:dyDescent="0.25">
      <c r="A5874">
        <v>2023</v>
      </c>
      <c r="B5874">
        <v>5</v>
      </c>
      <c r="C5874" s="1" t="s">
        <v>28</v>
      </c>
      <c r="D5874" s="1" t="s">
        <v>19</v>
      </c>
      <c r="E5874" s="1" t="s">
        <v>92</v>
      </c>
      <c r="F5874">
        <v>2014</v>
      </c>
      <c r="G5874">
        <v>9</v>
      </c>
      <c r="H5874" s="1" t="s">
        <v>21</v>
      </c>
      <c r="I5874">
        <v>24</v>
      </c>
      <c r="J5874">
        <v>2208</v>
      </c>
      <c r="K5874" s="1" t="s">
        <v>93</v>
      </c>
      <c r="L5874" s="1" t="s">
        <v>45</v>
      </c>
      <c r="M5874">
        <v>1.6639999999999999</v>
      </c>
      <c r="N5874">
        <v>39933</v>
      </c>
      <c r="O5874">
        <v>39.933</v>
      </c>
      <c r="P5874" s="2">
        <v>45047</v>
      </c>
      <c r="Q5874">
        <v>1</v>
      </c>
      <c r="R5874" s="1" t="s">
        <v>40</v>
      </c>
    </row>
    <row r="5875" spans="1:18" x14ac:dyDescent="0.25">
      <c r="A5875">
        <v>2023</v>
      </c>
      <c r="B5875">
        <v>6</v>
      </c>
      <c r="C5875" s="1" t="s">
        <v>29</v>
      </c>
      <c r="D5875" s="1" t="s">
        <v>19</v>
      </c>
      <c r="E5875" s="1" t="s">
        <v>92</v>
      </c>
      <c r="F5875">
        <v>2014</v>
      </c>
      <c r="G5875">
        <v>9</v>
      </c>
      <c r="H5875" s="1" t="s">
        <v>21</v>
      </c>
      <c r="I5875">
        <v>24</v>
      </c>
      <c r="J5875">
        <v>2208</v>
      </c>
      <c r="K5875" s="1" t="s">
        <v>93</v>
      </c>
      <c r="L5875" s="1" t="s">
        <v>45</v>
      </c>
      <c r="M5875">
        <v>1.841</v>
      </c>
      <c r="N5875">
        <v>44192.5</v>
      </c>
      <c r="O5875">
        <v>44.192999999999998</v>
      </c>
      <c r="P5875" s="2">
        <v>45078</v>
      </c>
      <c r="Q5875">
        <v>1</v>
      </c>
      <c r="R5875" s="1" t="s">
        <v>40</v>
      </c>
    </row>
    <row r="5876" spans="1:18" x14ac:dyDescent="0.25">
      <c r="A5876">
        <v>2023</v>
      </c>
      <c r="B5876">
        <v>7</v>
      </c>
      <c r="C5876" s="1" t="s">
        <v>30</v>
      </c>
      <c r="D5876" s="1" t="s">
        <v>19</v>
      </c>
      <c r="E5876" s="1" t="s">
        <v>92</v>
      </c>
      <c r="F5876">
        <v>2014</v>
      </c>
      <c r="G5876">
        <v>9</v>
      </c>
      <c r="H5876" s="1" t="s">
        <v>21</v>
      </c>
      <c r="I5876">
        <v>24</v>
      </c>
      <c r="J5876">
        <v>2208</v>
      </c>
      <c r="K5876" s="1" t="s">
        <v>93</v>
      </c>
      <c r="L5876" s="1" t="s">
        <v>45</v>
      </c>
      <c r="M5876">
        <v>1.6930000000000001</v>
      </c>
      <c r="N5876">
        <v>40630.699999999997</v>
      </c>
      <c r="O5876">
        <v>40.631</v>
      </c>
      <c r="P5876" s="2">
        <v>45108</v>
      </c>
      <c r="Q5876">
        <v>1</v>
      </c>
      <c r="R5876" s="1" t="s">
        <v>40</v>
      </c>
    </row>
    <row r="5877" spans="1:18" x14ac:dyDescent="0.25">
      <c r="A5877">
        <v>2023</v>
      </c>
      <c r="B5877">
        <v>8</v>
      </c>
      <c r="C5877" s="1" t="s">
        <v>31</v>
      </c>
      <c r="D5877" s="1" t="s">
        <v>19</v>
      </c>
      <c r="E5877" s="1" t="s">
        <v>92</v>
      </c>
      <c r="F5877">
        <v>2014</v>
      </c>
      <c r="G5877">
        <v>9</v>
      </c>
      <c r="H5877" s="1" t="s">
        <v>21</v>
      </c>
      <c r="I5877">
        <v>24</v>
      </c>
      <c r="J5877">
        <v>2208</v>
      </c>
      <c r="K5877" s="1" t="s">
        <v>93</v>
      </c>
      <c r="L5877" s="1" t="s">
        <v>45</v>
      </c>
      <c r="M5877">
        <v>1.78</v>
      </c>
      <c r="N5877">
        <v>42723.7</v>
      </c>
      <c r="O5877">
        <v>42.723999999999997</v>
      </c>
      <c r="P5877" s="2">
        <v>45139</v>
      </c>
      <c r="Q5877">
        <v>1</v>
      </c>
      <c r="R5877" s="1" t="s">
        <v>40</v>
      </c>
    </row>
    <row r="5878" spans="1:18" x14ac:dyDescent="0.25">
      <c r="A5878">
        <v>2023</v>
      </c>
      <c r="B5878">
        <v>9</v>
      </c>
      <c r="C5878" s="1" t="s">
        <v>32</v>
      </c>
      <c r="D5878" s="1" t="s">
        <v>19</v>
      </c>
      <c r="E5878" s="1" t="s">
        <v>92</v>
      </c>
      <c r="F5878">
        <v>2014</v>
      </c>
      <c r="G5878">
        <v>9</v>
      </c>
      <c r="H5878" s="1" t="s">
        <v>21</v>
      </c>
      <c r="I5878">
        <v>24</v>
      </c>
      <c r="J5878">
        <v>2208</v>
      </c>
      <c r="K5878" s="1" t="s">
        <v>93</v>
      </c>
      <c r="L5878" s="1" t="s">
        <v>45</v>
      </c>
      <c r="M5878">
        <v>1.841</v>
      </c>
      <c r="N5878">
        <v>44174.2</v>
      </c>
      <c r="O5878">
        <v>44.173999999999999</v>
      </c>
      <c r="P5878" s="2">
        <v>45170</v>
      </c>
      <c r="Q5878">
        <v>1</v>
      </c>
      <c r="R5878" s="1" t="s">
        <v>40</v>
      </c>
    </row>
    <row r="5879" spans="1:18" x14ac:dyDescent="0.25">
      <c r="A5879">
        <v>2023</v>
      </c>
      <c r="B5879">
        <v>10</v>
      </c>
      <c r="C5879" s="1" t="s">
        <v>33</v>
      </c>
      <c r="D5879" s="1" t="s">
        <v>19</v>
      </c>
      <c r="E5879" s="1" t="s">
        <v>92</v>
      </c>
      <c r="F5879">
        <v>2014</v>
      </c>
      <c r="G5879">
        <v>9</v>
      </c>
      <c r="H5879" s="1" t="s">
        <v>21</v>
      </c>
      <c r="I5879">
        <v>24</v>
      </c>
      <c r="J5879">
        <v>2208</v>
      </c>
      <c r="K5879" s="1" t="s">
        <v>93</v>
      </c>
      <c r="L5879" s="1" t="s">
        <v>45</v>
      </c>
      <c r="M5879">
        <v>1.633</v>
      </c>
      <c r="N5879">
        <v>39180.199999999997</v>
      </c>
      <c r="O5879">
        <v>39.18</v>
      </c>
      <c r="P5879" s="2">
        <v>45200</v>
      </c>
      <c r="Q5879">
        <v>1</v>
      </c>
      <c r="R5879" s="1" t="s">
        <v>40</v>
      </c>
    </row>
    <row r="5880" spans="1:18" x14ac:dyDescent="0.25">
      <c r="A5880">
        <v>2023</v>
      </c>
      <c r="B5880">
        <v>11</v>
      </c>
      <c r="C5880" s="1" t="s">
        <v>34</v>
      </c>
      <c r="D5880" s="1" t="s">
        <v>19</v>
      </c>
      <c r="E5880" s="1" t="s">
        <v>92</v>
      </c>
      <c r="F5880">
        <v>2014</v>
      </c>
      <c r="G5880">
        <v>9</v>
      </c>
      <c r="H5880" s="1" t="s">
        <v>21</v>
      </c>
      <c r="I5880">
        <v>24</v>
      </c>
      <c r="J5880">
        <v>2208</v>
      </c>
      <c r="K5880" s="1" t="s">
        <v>93</v>
      </c>
      <c r="L5880" s="1" t="s">
        <v>45</v>
      </c>
      <c r="M5880">
        <v>1.35</v>
      </c>
      <c r="N5880">
        <v>32405.4</v>
      </c>
      <c r="O5880">
        <v>32.405000000000001</v>
      </c>
      <c r="P5880" s="2">
        <v>45231</v>
      </c>
      <c r="Q5880">
        <v>1</v>
      </c>
      <c r="R5880" s="1" t="s">
        <v>40</v>
      </c>
    </row>
    <row r="5881" spans="1:18" x14ac:dyDescent="0.25">
      <c r="A5881">
        <v>2023</v>
      </c>
      <c r="B5881">
        <v>12</v>
      </c>
      <c r="C5881" s="1" t="s">
        <v>35</v>
      </c>
      <c r="D5881" s="1" t="s">
        <v>19</v>
      </c>
      <c r="E5881" s="1" t="s">
        <v>92</v>
      </c>
      <c r="F5881">
        <v>2014</v>
      </c>
      <c r="G5881">
        <v>9</v>
      </c>
      <c r="H5881" s="1" t="s">
        <v>21</v>
      </c>
      <c r="I5881">
        <v>24</v>
      </c>
      <c r="J5881">
        <v>2208</v>
      </c>
      <c r="K5881" s="1" t="s">
        <v>93</v>
      </c>
      <c r="L5881" s="1" t="s">
        <v>45</v>
      </c>
      <c r="M5881">
        <v>0.65300000000000002</v>
      </c>
      <c r="N5881">
        <v>15661.1</v>
      </c>
      <c r="O5881">
        <v>15.661</v>
      </c>
      <c r="P5881" s="2">
        <v>45261</v>
      </c>
      <c r="Q5881">
        <v>1</v>
      </c>
      <c r="R5881" s="1" t="s">
        <v>40</v>
      </c>
    </row>
    <row r="5882" spans="1:18" x14ac:dyDescent="0.25">
      <c r="A5882">
        <v>2023</v>
      </c>
      <c r="B5882">
        <v>1</v>
      </c>
      <c r="C5882" s="1" t="s">
        <v>18</v>
      </c>
      <c r="D5882" s="1" t="s">
        <v>19</v>
      </c>
      <c r="E5882" s="1" t="s">
        <v>94</v>
      </c>
      <c r="F5882">
        <v>2014</v>
      </c>
      <c r="G5882">
        <v>9</v>
      </c>
      <c r="H5882" s="1" t="s">
        <v>21</v>
      </c>
      <c r="I5882">
        <v>20</v>
      </c>
      <c r="J5882">
        <v>1954</v>
      </c>
      <c r="K5882" s="1" t="s">
        <v>95</v>
      </c>
      <c r="L5882" s="1" t="s">
        <v>45</v>
      </c>
      <c r="M5882">
        <v>0.98899999999999999</v>
      </c>
      <c r="N5882">
        <v>19782.900000000001</v>
      </c>
      <c r="O5882">
        <v>19.783000000000001</v>
      </c>
      <c r="P5882" s="2">
        <v>44927</v>
      </c>
      <c r="Q5882">
        <v>1</v>
      </c>
      <c r="R5882" s="1" t="s">
        <v>40</v>
      </c>
    </row>
    <row r="5883" spans="1:18" x14ac:dyDescent="0.25">
      <c r="A5883">
        <v>2023</v>
      </c>
      <c r="B5883">
        <v>2</v>
      </c>
      <c r="C5883" s="1" t="s">
        <v>25</v>
      </c>
      <c r="D5883" s="1" t="s">
        <v>19</v>
      </c>
      <c r="E5883" s="1" t="s">
        <v>94</v>
      </c>
      <c r="F5883">
        <v>2014</v>
      </c>
      <c r="G5883">
        <v>9</v>
      </c>
      <c r="H5883" s="1" t="s">
        <v>21</v>
      </c>
      <c r="I5883">
        <v>20</v>
      </c>
      <c r="J5883">
        <v>1954</v>
      </c>
      <c r="K5883" s="1" t="s">
        <v>95</v>
      </c>
      <c r="L5883" s="1" t="s">
        <v>45</v>
      </c>
      <c r="M5883">
        <v>1.419</v>
      </c>
      <c r="N5883">
        <v>28381.5</v>
      </c>
      <c r="O5883">
        <v>28.382000000000001</v>
      </c>
      <c r="P5883" s="2">
        <v>44958</v>
      </c>
      <c r="Q5883">
        <v>1</v>
      </c>
      <c r="R5883" s="1" t="s">
        <v>40</v>
      </c>
    </row>
    <row r="5884" spans="1:18" x14ac:dyDescent="0.25">
      <c r="A5884">
        <v>2023</v>
      </c>
      <c r="B5884">
        <v>3</v>
      </c>
      <c r="C5884" s="1" t="s">
        <v>26</v>
      </c>
      <c r="D5884" s="1" t="s">
        <v>19</v>
      </c>
      <c r="E5884" s="1" t="s">
        <v>94</v>
      </c>
      <c r="F5884">
        <v>2014</v>
      </c>
      <c r="G5884">
        <v>9</v>
      </c>
      <c r="H5884" s="1" t="s">
        <v>21</v>
      </c>
      <c r="I5884">
        <v>20</v>
      </c>
      <c r="J5884">
        <v>1954</v>
      </c>
      <c r="K5884" s="1" t="s">
        <v>95</v>
      </c>
      <c r="L5884" s="1" t="s">
        <v>45</v>
      </c>
      <c r="M5884">
        <v>1.6479999999999999</v>
      </c>
      <c r="N5884">
        <v>32956.199999999997</v>
      </c>
      <c r="O5884">
        <v>32.956000000000003</v>
      </c>
      <c r="P5884" s="2">
        <v>44986</v>
      </c>
      <c r="Q5884">
        <v>1</v>
      </c>
      <c r="R5884" s="1" t="s">
        <v>40</v>
      </c>
    </row>
    <row r="5885" spans="1:18" x14ac:dyDescent="0.25">
      <c r="A5885">
        <v>2023</v>
      </c>
      <c r="B5885">
        <v>4</v>
      </c>
      <c r="C5885" s="1" t="s">
        <v>27</v>
      </c>
      <c r="D5885" s="1" t="s">
        <v>19</v>
      </c>
      <c r="E5885" s="1" t="s">
        <v>94</v>
      </c>
      <c r="F5885">
        <v>2014</v>
      </c>
      <c r="G5885">
        <v>9</v>
      </c>
      <c r="H5885" s="1" t="s">
        <v>21</v>
      </c>
      <c r="I5885">
        <v>20</v>
      </c>
      <c r="J5885">
        <v>1954</v>
      </c>
      <c r="K5885" s="1" t="s">
        <v>95</v>
      </c>
      <c r="L5885" s="1" t="s">
        <v>45</v>
      </c>
      <c r="M5885">
        <v>1.675</v>
      </c>
      <c r="N5885">
        <v>33491.699999999997</v>
      </c>
      <c r="O5885">
        <v>33.491999999999997</v>
      </c>
      <c r="P5885" s="2">
        <v>45017</v>
      </c>
      <c r="Q5885">
        <v>1</v>
      </c>
      <c r="R5885" s="1" t="s">
        <v>40</v>
      </c>
    </row>
    <row r="5886" spans="1:18" x14ac:dyDescent="0.25">
      <c r="A5886">
        <v>2023</v>
      </c>
      <c r="B5886">
        <v>5</v>
      </c>
      <c r="C5886" s="1" t="s">
        <v>28</v>
      </c>
      <c r="D5886" s="1" t="s">
        <v>19</v>
      </c>
      <c r="E5886" s="1" t="s">
        <v>94</v>
      </c>
      <c r="F5886">
        <v>2014</v>
      </c>
      <c r="G5886">
        <v>9</v>
      </c>
      <c r="H5886" s="1" t="s">
        <v>21</v>
      </c>
      <c r="I5886">
        <v>20</v>
      </c>
      <c r="J5886">
        <v>1954</v>
      </c>
      <c r="K5886" s="1" t="s">
        <v>95</v>
      </c>
      <c r="L5886" s="1" t="s">
        <v>45</v>
      </c>
      <c r="M5886">
        <v>1.6639999999999999</v>
      </c>
      <c r="N5886">
        <v>33277.5</v>
      </c>
      <c r="O5886">
        <v>33.277999999999999</v>
      </c>
      <c r="P5886" s="2">
        <v>45047</v>
      </c>
      <c r="Q5886">
        <v>1</v>
      </c>
      <c r="R5886" s="1" t="s">
        <v>40</v>
      </c>
    </row>
    <row r="5887" spans="1:18" x14ac:dyDescent="0.25">
      <c r="A5887">
        <v>2023</v>
      </c>
      <c r="B5887">
        <v>6</v>
      </c>
      <c r="C5887" s="1" t="s">
        <v>29</v>
      </c>
      <c r="D5887" s="1" t="s">
        <v>19</v>
      </c>
      <c r="E5887" s="1" t="s">
        <v>94</v>
      </c>
      <c r="F5887">
        <v>2014</v>
      </c>
      <c r="G5887">
        <v>9</v>
      </c>
      <c r="H5887" s="1" t="s">
        <v>21</v>
      </c>
      <c r="I5887">
        <v>20</v>
      </c>
      <c r="J5887">
        <v>1954</v>
      </c>
      <c r="K5887" s="1" t="s">
        <v>95</v>
      </c>
      <c r="L5887" s="1" t="s">
        <v>45</v>
      </c>
      <c r="M5887">
        <v>1.841</v>
      </c>
      <c r="N5887">
        <v>36827.1</v>
      </c>
      <c r="O5887">
        <v>36.826999999999998</v>
      </c>
      <c r="P5887" s="2">
        <v>45078</v>
      </c>
      <c r="Q5887">
        <v>1</v>
      </c>
      <c r="R5887" s="1" t="s">
        <v>40</v>
      </c>
    </row>
    <row r="5888" spans="1:18" x14ac:dyDescent="0.25">
      <c r="A5888">
        <v>2023</v>
      </c>
      <c r="B5888">
        <v>7</v>
      </c>
      <c r="C5888" s="1" t="s">
        <v>30</v>
      </c>
      <c r="D5888" s="1" t="s">
        <v>19</v>
      </c>
      <c r="E5888" s="1" t="s">
        <v>94</v>
      </c>
      <c r="F5888">
        <v>2014</v>
      </c>
      <c r="G5888">
        <v>9</v>
      </c>
      <c r="H5888" s="1" t="s">
        <v>21</v>
      </c>
      <c r="I5888">
        <v>20</v>
      </c>
      <c r="J5888">
        <v>1954</v>
      </c>
      <c r="K5888" s="1" t="s">
        <v>95</v>
      </c>
      <c r="L5888" s="1" t="s">
        <v>45</v>
      </c>
      <c r="M5888">
        <v>1.6930000000000001</v>
      </c>
      <c r="N5888">
        <v>33858.9</v>
      </c>
      <c r="O5888">
        <v>33.859000000000002</v>
      </c>
      <c r="P5888" s="2">
        <v>45108</v>
      </c>
      <c r="Q5888">
        <v>1</v>
      </c>
      <c r="R5888" s="1" t="s">
        <v>40</v>
      </c>
    </row>
    <row r="5889" spans="1:18" x14ac:dyDescent="0.25">
      <c r="A5889">
        <v>2023</v>
      </c>
      <c r="B5889">
        <v>8</v>
      </c>
      <c r="C5889" s="1" t="s">
        <v>31</v>
      </c>
      <c r="D5889" s="1" t="s">
        <v>19</v>
      </c>
      <c r="E5889" s="1" t="s">
        <v>94</v>
      </c>
      <c r="F5889">
        <v>2014</v>
      </c>
      <c r="G5889">
        <v>9</v>
      </c>
      <c r="H5889" s="1" t="s">
        <v>21</v>
      </c>
      <c r="I5889">
        <v>20</v>
      </c>
      <c r="J5889">
        <v>1954</v>
      </c>
      <c r="K5889" s="1" t="s">
        <v>95</v>
      </c>
      <c r="L5889" s="1" t="s">
        <v>45</v>
      </c>
      <c r="M5889">
        <v>1.78</v>
      </c>
      <c r="N5889">
        <v>35603.1</v>
      </c>
      <c r="O5889">
        <v>35.603000000000002</v>
      </c>
      <c r="P5889" s="2">
        <v>45139</v>
      </c>
      <c r="Q5889">
        <v>1</v>
      </c>
      <c r="R5889" s="1" t="s">
        <v>40</v>
      </c>
    </row>
    <row r="5890" spans="1:18" x14ac:dyDescent="0.25">
      <c r="A5890">
        <v>2023</v>
      </c>
      <c r="B5890">
        <v>9</v>
      </c>
      <c r="C5890" s="1" t="s">
        <v>32</v>
      </c>
      <c r="D5890" s="1" t="s">
        <v>19</v>
      </c>
      <c r="E5890" s="1" t="s">
        <v>94</v>
      </c>
      <c r="F5890">
        <v>2014</v>
      </c>
      <c r="G5890">
        <v>9</v>
      </c>
      <c r="H5890" s="1" t="s">
        <v>21</v>
      </c>
      <c r="I5890">
        <v>20</v>
      </c>
      <c r="J5890">
        <v>1954</v>
      </c>
      <c r="K5890" s="1" t="s">
        <v>95</v>
      </c>
      <c r="L5890" s="1" t="s">
        <v>45</v>
      </c>
      <c r="M5890">
        <v>1.841</v>
      </c>
      <c r="N5890">
        <v>36811.800000000003</v>
      </c>
      <c r="O5890">
        <v>36.811999999999998</v>
      </c>
      <c r="P5890" s="2">
        <v>45170</v>
      </c>
      <c r="Q5890">
        <v>1</v>
      </c>
      <c r="R5890" s="1" t="s">
        <v>40</v>
      </c>
    </row>
    <row r="5891" spans="1:18" x14ac:dyDescent="0.25">
      <c r="A5891">
        <v>2023</v>
      </c>
      <c r="B5891">
        <v>10</v>
      </c>
      <c r="C5891" s="1" t="s">
        <v>33</v>
      </c>
      <c r="D5891" s="1" t="s">
        <v>19</v>
      </c>
      <c r="E5891" s="1" t="s">
        <v>94</v>
      </c>
      <c r="F5891">
        <v>2014</v>
      </c>
      <c r="G5891">
        <v>9</v>
      </c>
      <c r="H5891" s="1" t="s">
        <v>21</v>
      </c>
      <c r="I5891">
        <v>20</v>
      </c>
      <c r="J5891">
        <v>1954</v>
      </c>
      <c r="K5891" s="1" t="s">
        <v>95</v>
      </c>
      <c r="L5891" s="1" t="s">
        <v>45</v>
      </c>
      <c r="M5891">
        <v>1.633</v>
      </c>
      <c r="N5891">
        <v>32650.2</v>
      </c>
      <c r="O5891">
        <v>32.65</v>
      </c>
      <c r="P5891" s="2">
        <v>45200</v>
      </c>
      <c r="Q5891">
        <v>1</v>
      </c>
      <c r="R5891" s="1" t="s">
        <v>40</v>
      </c>
    </row>
    <row r="5892" spans="1:18" x14ac:dyDescent="0.25">
      <c r="A5892">
        <v>2023</v>
      </c>
      <c r="B5892">
        <v>11</v>
      </c>
      <c r="C5892" s="1" t="s">
        <v>34</v>
      </c>
      <c r="D5892" s="1" t="s">
        <v>19</v>
      </c>
      <c r="E5892" s="1" t="s">
        <v>94</v>
      </c>
      <c r="F5892">
        <v>2014</v>
      </c>
      <c r="G5892">
        <v>9</v>
      </c>
      <c r="H5892" s="1" t="s">
        <v>21</v>
      </c>
      <c r="I5892">
        <v>20</v>
      </c>
      <c r="J5892">
        <v>1954</v>
      </c>
      <c r="K5892" s="1" t="s">
        <v>95</v>
      </c>
      <c r="L5892" s="1" t="s">
        <v>45</v>
      </c>
      <c r="M5892">
        <v>1.35</v>
      </c>
      <c r="N5892">
        <v>27004.5</v>
      </c>
      <c r="O5892">
        <v>27.004999999999999</v>
      </c>
      <c r="P5892" s="2">
        <v>45231</v>
      </c>
      <c r="Q5892">
        <v>1</v>
      </c>
      <c r="R5892" s="1" t="s">
        <v>40</v>
      </c>
    </row>
    <row r="5893" spans="1:18" x14ac:dyDescent="0.25">
      <c r="A5893">
        <v>2023</v>
      </c>
      <c r="B5893">
        <v>12</v>
      </c>
      <c r="C5893" s="1" t="s">
        <v>35</v>
      </c>
      <c r="D5893" s="1" t="s">
        <v>19</v>
      </c>
      <c r="E5893" s="1" t="s">
        <v>94</v>
      </c>
      <c r="F5893">
        <v>2014</v>
      </c>
      <c r="G5893">
        <v>9</v>
      </c>
      <c r="H5893" s="1" t="s">
        <v>21</v>
      </c>
      <c r="I5893">
        <v>20</v>
      </c>
      <c r="J5893">
        <v>1954</v>
      </c>
      <c r="K5893" s="1" t="s">
        <v>95</v>
      </c>
      <c r="L5893" s="1" t="s">
        <v>45</v>
      </c>
      <c r="M5893">
        <v>0.65300000000000002</v>
      </c>
      <c r="N5893">
        <v>13050.9</v>
      </c>
      <c r="O5893">
        <v>13.051</v>
      </c>
      <c r="P5893" s="2">
        <v>45261</v>
      </c>
      <c r="Q5893">
        <v>1</v>
      </c>
      <c r="R5893" s="1" t="s">
        <v>40</v>
      </c>
    </row>
    <row r="5894" spans="1:18" x14ac:dyDescent="0.25">
      <c r="A5894">
        <v>2023</v>
      </c>
      <c r="B5894">
        <v>1</v>
      </c>
      <c r="C5894" s="1" t="s">
        <v>18</v>
      </c>
      <c r="D5894" s="1" t="s">
        <v>19</v>
      </c>
      <c r="E5894" s="1" t="s">
        <v>96</v>
      </c>
      <c r="F5894">
        <v>2014</v>
      </c>
      <c r="G5894">
        <v>9</v>
      </c>
      <c r="H5894" s="1" t="s">
        <v>21</v>
      </c>
      <c r="I5894">
        <v>24</v>
      </c>
      <c r="J5894">
        <v>1329</v>
      </c>
      <c r="K5894" s="1" t="s">
        <v>97</v>
      </c>
      <c r="L5894" s="1" t="s">
        <v>45</v>
      </c>
      <c r="M5894">
        <v>0.98899999999999999</v>
      </c>
      <c r="N5894">
        <v>23739.5</v>
      </c>
      <c r="O5894">
        <v>23.739000000000001</v>
      </c>
      <c r="P5894" s="2">
        <v>44927</v>
      </c>
      <c r="Q5894">
        <v>1</v>
      </c>
      <c r="R5894" s="1" t="s">
        <v>40</v>
      </c>
    </row>
    <row r="5895" spans="1:18" x14ac:dyDescent="0.25">
      <c r="A5895">
        <v>2023</v>
      </c>
      <c r="B5895">
        <v>2</v>
      </c>
      <c r="C5895" s="1" t="s">
        <v>25</v>
      </c>
      <c r="D5895" s="1" t="s">
        <v>19</v>
      </c>
      <c r="E5895" s="1" t="s">
        <v>96</v>
      </c>
      <c r="F5895">
        <v>2014</v>
      </c>
      <c r="G5895">
        <v>9</v>
      </c>
      <c r="H5895" s="1" t="s">
        <v>21</v>
      </c>
      <c r="I5895">
        <v>24</v>
      </c>
      <c r="J5895">
        <v>1329</v>
      </c>
      <c r="K5895" s="1" t="s">
        <v>97</v>
      </c>
      <c r="L5895" s="1" t="s">
        <v>45</v>
      </c>
      <c r="M5895">
        <v>1.419</v>
      </c>
      <c r="N5895">
        <v>34057.800000000003</v>
      </c>
      <c r="O5895">
        <v>34.058</v>
      </c>
      <c r="P5895" s="2">
        <v>44958</v>
      </c>
      <c r="Q5895">
        <v>1</v>
      </c>
      <c r="R5895" s="1" t="s">
        <v>40</v>
      </c>
    </row>
    <row r="5896" spans="1:18" x14ac:dyDescent="0.25">
      <c r="A5896">
        <v>2023</v>
      </c>
      <c r="B5896">
        <v>3</v>
      </c>
      <c r="C5896" s="1" t="s">
        <v>26</v>
      </c>
      <c r="D5896" s="1" t="s">
        <v>19</v>
      </c>
      <c r="E5896" s="1" t="s">
        <v>96</v>
      </c>
      <c r="F5896">
        <v>2014</v>
      </c>
      <c r="G5896">
        <v>9</v>
      </c>
      <c r="H5896" s="1" t="s">
        <v>21</v>
      </c>
      <c r="I5896">
        <v>24</v>
      </c>
      <c r="J5896">
        <v>1329</v>
      </c>
      <c r="K5896" s="1" t="s">
        <v>97</v>
      </c>
      <c r="L5896" s="1" t="s">
        <v>45</v>
      </c>
      <c r="M5896">
        <v>1.6479999999999999</v>
      </c>
      <c r="N5896">
        <v>39547.4</v>
      </c>
      <c r="O5896">
        <v>39.546999999999997</v>
      </c>
      <c r="P5896" s="2">
        <v>44986</v>
      </c>
      <c r="Q5896">
        <v>1</v>
      </c>
      <c r="R5896" s="1" t="s">
        <v>40</v>
      </c>
    </row>
    <row r="5897" spans="1:18" x14ac:dyDescent="0.25">
      <c r="A5897">
        <v>2023</v>
      </c>
      <c r="B5897">
        <v>4</v>
      </c>
      <c r="C5897" s="1" t="s">
        <v>27</v>
      </c>
      <c r="D5897" s="1" t="s">
        <v>19</v>
      </c>
      <c r="E5897" s="1" t="s">
        <v>96</v>
      </c>
      <c r="F5897">
        <v>2014</v>
      </c>
      <c r="G5897">
        <v>9</v>
      </c>
      <c r="H5897" s="1" t="s">
        <v>21</v>
      </c>
      <c r="I5897">
        <v>24</v>
      </c>
      <c r="J5897">
        <v>1329</v>
      </c>
      <c r="K5897" s="1" t="s">
        <v>97</v>
      </c>
      <c r="L5897" s="1" t="s">
        <v>45</v>
      </c>
      <c r="M5897">
        <v>1.675</v>
      </c>
      <c r="N5897">
        <v>40190</v>
      </c>
      <c r="O5897">
        <v>40.19</v>
      </c>
      <c r="P5897" s="2">
        <v>45017</v>
      </c>
      <c r="Q5897">
        <v>1</v>
      </c>
      <c r="R5897" s="1" t="s">
        <v>40</v>
      </c>
    </row>
    <row r="5898" spans="1:18" x14ac:dyDescent="0.25">
      <c r="A5898">
        <v>2023</v>
      </c>
      <c r="B5898">
        <v>5</v>
      </c>
      <c r="C5898" s="1" t="s">
        <v>28</v>
      </c>
      <c r="D5898" s="1" t="s">
        <v>19</v>
      </c>
      <c r="E5898" s="1" t="s">
        <v>96</v>
      </c>
      <c r="F5898">
        <v>2014</v>
      </c>
      <c r="G5898">
        <v>9</v>
      </c>
      <c r="H5898" s="1" t="s">
        <v>21</v>
      </c>
      <c r="I5898">
        <v>24</v>
      </c>
      <c r="J5898">
        <v>1329</v>
      </c>
      <c r="K5898" s="1" t="s">
        <v>97</v>
      </c>
      <c r="L5898" s="1" t="s">
        <v>45</v>
      </c>
      <c r="M5898">
        <v>1.6639999999999999</v>
      </c>
      <c r="N5898">
        <v>39933</v>
      </c>
      <c r="O5898">
        <v>39.933</v>
      </c>
      <c r="P5898" s="2">
        <v>45047</v>
      </c>
      <c r="Q5898">
        <v>1</v>
      </c>
      <c r="R5898" s="1" t="s">
        <v>40</v>
      </c>
    </row>
    <row r="5899" spans="1:18" x14ac:dyDescent="0.25">
      <c r="A5899">
        <v>2023</v>
      </c>
      <c r="B5899">
        <v>6</v>
      </c>
      <c r="C5899" s="1" t="s">
        <v>29</v>
      </c>
      <c r="D5899" s="1" t="s">
        <v>19</v>
      </c>
      <c r="E5899" s="1" t="s">
        <v>96</v>
      </c>
      <c r="F5899">
        <v>2014</v>
      </c>
      <c r="G5899">
        <v>9</v>
      </c>
      <c r="H5899" s="1" t="s">
        <v>21</v>
      </c>
      <c r="I5899">
        <v>24</v>
      </c>
      <c r="J5899">
        <v>1329</v>
      </c>
      <c r="K5899" s="1" t="s">
        <v>97</v>
      </c>
      <c r="L5899" s="1" t="s">
        <v>45</v>
      </c>
      <c r="M5899">
        <v>1.841</v>
      </c>
      <c r="N5899">
        <v>44192.5</v>
      </c>
      <c r="O5899">
        <v>44.192999999999998</v>
      </c>
      <c r="P5899" s="2">
        <v>45078</v>
      </c>
      <c r="Q5899">
        <v>1</v>
      </c>
      <c r="R5899" s="1" t="s">
        <v>40</v>
      </c>
    </row>
    <row r="5900" spans="1:18" x14ac:dyDescent="0.25">
      <c r="A5900">
        <v>2023</v>
      </c>
      <c r="B5900">
        <v>7</v>
      </c>
      <c r="C5900" s="1" t="s">
        <v>30</v>
      </c>
      <c r="D5900" s="1" t="s">
        <v>19</v>
      </c>
      <c r="E5900" s="1" t="s">
        <v>96</v>
      </c>
      <c r="F5900">
        <v>2014</v>
      </c>
      <c r="G5900">
        <v>9</v>
      </c>
      <c r="H5900" s="1" t="s">
        <v>21</v>
      </c>
      <c r="I5900">
        <v>24</v>
      </c>
      <c r="J5900">
        <v>1329</v>
      </c>
      <c r="K5900" s="1" t="s">
        <v>97</v>
      </c>
      <c r="L5900" s="1" t="s">
        <v>45</v>
      </c>
      <c r="M5900">
        <v>1.6930000000000001</v>
      </c>
      <c r="N5900">
        <v>40630.699999999997</v>
      </c>
      <c r="O5900">
        <v>40.631</v>
      </c>
      <c r="P5900" s="2">
        <v>45108</v>
      </c>
      <c r="Q5900">
        <v>1</v>
      </c>
      <c r="R5900" s="1" t="s">
        <v>40</v>
      </c>
    </row>
    <row r="5901" spans="1:18" x14ac:dyDescent="0.25">
      <c r="A5901">
        <v>2023</v>
      </c>
      <c r="B5901">
        <v>8</v>
      </c>
      <c r="C5901" s="1" t="s">
        <v>31</v>
      </c>
      <c r="D5901" s="1" t="s">
        <v>19</v>
      </c>
      <c r="E5901" s="1" t="s">
        <v>96</v>
      </c>
      <c r="F5901">
        <v>2014</v>
      </c>
      <c r="G5901">
        <v>9</v>
      </c>
      <c r="H5901" s="1" t="s">
        <v>21</v>
      </c>
      <c r="I5901">
        <v>24</v>
      </c>
      <c r="J5901">
        <v>1329</v>
      </c>
      <c r="K5901" s="1" t="s">
        <v>97</v>
      </c>
      <c r="L5901" s="1" t="s">
        <v>45</v>
      </c>
      <c r="M5901">
        <v>1.78</v>
      </c>
      <c r="N5901">
        <v>42723.7</v>
      </c>
      <c r="O5901">
        <v>42.723999999999997</v>
      </c>
      <c r="P5901" s="2">
        <v>45139</v>
      </c>
      <c r="Q5901">
        <v>1</v>
      </c>
      <c r="R5901" s="1" t="s">
        <v>40</v>
      </c>
    </row>
    <row r="5902" spans="1:18" x14ac:dyDescent="0.25">
      <c r="A5902">
        <v>2023</v>
      </c>
      <c r="B5902">
        <v>9</v>
      </c>
      <c r="C5902" s="1" t="s">
        <v>32</v>
      </c>
      <c r="D5902" s="1" t="s">
        <v>19</v>
      </c>
      <c r="E5902" s="1" t="s">
        <v>96</v>
      </c>
      <c r="F5902">
        <v>2014</v>
      </c>
      <c r="G5902">
        <v>9</v>
      </c>
      <c r="H5902" s="1" t="s">
        <v>21</v>
      </c>
      <c r="I5902">
        <v>24</v>
      </c>
      <c r="J5902">
        <v>1329</v>
      </c>
      <c r="K5902" s="1" t="s">
        <v>97</v>
      </c>
      <c r="L5902" s="1" t="s">
        <v>45</v>
      </c>
      <c r="M5902">
        <v>1.841</v>
      </c>
      <c r="N5902">
        <v>44174.2</v>
      </c>
      <c r="O5902">
        <v>44.173999999999999</v>
      </c>
      <c r="P5902" s="2">
        <v>45170</v>
      </c>
      <c r="Q5902">
        <v>1</v>
      </c>
      <c r="R5902" s="1" t="s">
        <v>40</v>
      </c>
    </row>
    <row r="5903" spans="1:18" x14ac:dyDescent="0.25">
      <c r="A5903">
        <v>2023</v>
      </c>
      <c r="B5903">
        <v>10</v>
      </c>
      <c r="C5903" s="1" t="s">
        <v>33</v>
      </c>
      <c r="D5903" s="1" t="s">
        <v>19</v>
      </c>
      <c r="E5903" s="1" t="s">
        <v>96</v>
      </c>
      <c r="F5903">
        <v>2014</v>
      </c>
      <c r="G5903">
        <v>9</v>
      </c>
      <c r="H5903" s="1" t="s">
        <v>21</v>
      </c>
      <c r="I5903">
        <v>24</v>
      </c>
      <c r="J5903">
        <v>1329</v>
      </c>
      <c r="K5903" s="1" t="s">
        <v>97</v>
      </c>
      <c r="L5903" s="1" t="s">
        <v>45</v>
      </c>
      <c r="M5903">
        <v>1.633</v>
      </c>
      <c r="N5903">
        <v>39180.199999999997</v>
      </c>
      <c r="O5903">
        <v>39.18</v>
      </c>
      <c r="P5903" s="2">
        <v>45200</v>
      </c>
      <c r="Q5903">
        <v>1</v>
      </c>
      <c r="R5903" s="1" t="s">
        <v>40</v>
      </c>
    </row>
    <row r="5904" spans="1:18" x14ac:dyDescent="0.25">
      <c r="A5904">
        <v>2023</v>
      </c>
      <c r="B5904">
        <v>11</v>
      </c>
      <c r="C5904" s="1" t="s">
        <v>34</v>
      </c>
      <c r="D5904" s="1" t="s">
        <v>19</v>
      </c>
      <c r="E5904" s="1" t="s">
        <v>96</v>
      </c>
      <c r="F5904">
        <v>2014</v>
      </c>
      <c r="G5904">
        <v>9</v>
      </c>
      <c r="H5904" s="1" t="s">
        <v>21</v>
      </c>
      <c r="I5904">
        <v>24</v>
      </c>
      <c r="J5904">
        <v>1329</v>
      </c>
      <c r="K5904" s="1" t="s">
        <v>97</v>
      </c>
      <c r="L5904" s="1" t="s">
        <v>45</v>
      </c>
      <c r="M5904">
        <v>1.35</v>
      </c>
      <c r="N5904">
        <v>32405.4</v>
      </c>
      <c r="O5904">
        <v>32.405000000000001</v>
      </c>
      <c r="P5904" s="2">
        <v>45231</v>
      </c>
      <c r="Q5904">
        <v>1</v>
      </c>
      <c r="R5904" s="1" t="s">
        <v>40</v>
      </c>
    </row>
    <row r="5905" spans="1:18" x14ac:dyDescent="0.25">
      <c r="A5905">
        <v>2023</v>
      </c>
      <c r="B5905">
        <v>12</v>
      </c>
      <c r="C5905" s="1" t="s">
        <v>35</v>
      </c>
      <c r="D5905" s="1" t="s">
        <v>19</v>
      </c>
      <c r="E5905" s="1" t="s">
        <v>96</v>
      </c>
      <c r="F5905">
        <v>2014</v>
      </c>
      <c r="G5905">
        <v>9</v>
      </c>
      <c r="H5905" s="1" t="s">
        <v>21</v>
      </c>
      <c r="I5905">
        <v>24</v>
      </c>
      <c r="J5905">
        <v>1329</v>
      </c>
      <c r="K5905" s="1" t="s">
        <v>97</v>
      </c>
      <c r="L5905" s="1" t="s">
        <v>45</v>
      </c>
      <c r="M5905">
        <v>0.65300000000000002</v>
      </c>
      <c r="N5905">
        <v>15661.1</v>
      </c>
      <c r="O5905">
        <v>15.661</v>
      </c>
      <c r="P5905" s="2">
        <v>45261</v>
      </c>
      <c r="Q5905">
        <v>1</v>
      </c>
      <c r="R5905" s="1" t="s">
        <v>40</v>
      </c>
    </row>
    <row r="5906" spans="1:18" x14ac:dyDescent="0.25">
      <c r="A5906">
        <v>2023</v>
      </c>
      <c r="B5906">
        <v>1</v>
      </c>
      <c r="C5906" s="1" t="s">
        <v>18</v>
      </c>
      <c r="D5906" s="1" t="s">
        <v>19</v>
      </c>
      <c r="E5906" s="1" t="s">
        <v>98</v>
      </c>
      <c r="F5906">
        <v>2014</v>
      </c>
      <c r="G5906">
        <v>9</v>
      </c>
      <c r="H5906" s="1" t="s">
        <v>21</v>
      </c>
      <c r="I5906">
        <v>24</v>
      </c>
      <c r="J5906">
        <v>1573</v>
      </c>
      <c r="K5906" s="1" t="s">
        <v>99</v>
      </c>
      <c r="L5906" s="1" t="s">
        <v>45</v>
      </c>
      <c r="M5906">
        <v>0.98899999999999999</v>
      </c>
      <c r="N5906">
        <v>23739.5</v>
      </c>
      <c r="O5906">
        <v>23.739000000000001</v>
      </c>
      <c r="P5906" s="2">
        <v>44927</v>
      </c>
      <c r="Q5906">
        <v>1</v>
      </c>
      <c r="R5906" s="1" t="s">
        <v>40</v>
      </c>
    </row>
    <row r="5907" spans="1:18" x14ac:dyDescent="0.25">
      <c r="A5907">
        <v>2023</v>
      </c>
      <c r="B5907">
        <v>2</v>
      </c>
      <c r="C5907" s="1" t="s">
        <v>25</v>
      </c>
      <c r="D5907" s="1" t="s">
        <v>19</v>
      </c>
      <c r="E5907" s="1" t="s">
        <v>98</v>
      </c>
      <c r="F5907">
        <v>2014</v>
      </c>
      <c r="G5907">
        <v>9</v>
      </c>
      <c r="H5907" s="1" t="s">
        <v>21</v>
      </c>
      <c r="I5907">
        <v>24</v>
      </c>
      <c r="J5907">
        <v>1573</v>
      </c>
      <c r="K5907" s="1" t="s">
        <v>99</v>
      </c>
      <c r="L5907" s="1" t="s">
        <v>45</v>
      </c>
      <c r="M5907">
        <v>1.419</v>
      </c>
      <c r="N5907">
        <v>34057.800000000003</v>
      </c>
      <c r="O5907">
        <v>34.058</v>
      </c>
      <c r="P5907" s="2">
        <v>44958</v>
      </c>
      <c r="Q5907">
        <v>1</v>
      </c>
      <c r="R5907" s="1" t="s">
        <v>40</v>
      </c>
    </row>
    <row r="5908" spans="1:18" x14ac:dyDescent="0.25">
      <c r="A5908">
        <v>2023</v>
      </c>
      <c r="B5908">
        <v>3</v>
      </c>
      <c r="C5908" s="1" t="s">
        <v>26</v>
      </c>
      <c r="D5908" s="1" t="s">
        <v>19</v>
      </c>
      <c r="E5908" s="1" t="s">
        <v>98</v>
      </c>
      <c r="F5908">
        <v>2014</v>
      </c>
      <c r="G5908">
        <v>9</v>
      </c>
      <c r="H5908" s="1" t="s">
        <v>21</v>
      </c>
      <c r="I5908">
        <v>24</v>
      </c>
      <c r="J5908">
        <v>1573</v>
      </c>
      <c r="K5908" s="1" t="s">
        <v>99</v>
      </c>
      <c r="L5908" s="1" t="s">
        <v>45</v>
      </c>
      <c r="M5908">
        <v>1.6479999999999999</v>
      </c>
      <c r="N5908">
        <v>39547.4</v>
      </c>
      <c r="O5908">
        <v>39.546999999999997</v>
      </c>
      <c r="P5908" s="2">
        <v>44986</v>
      </c>
      <c r="Q5908">
        <v>1</v>
      </c>
      <c r="R5908" s="1" t="s">
        <v>40</v>
      </c>
    </row>
    <row r="5909" spans="1:18" x14ac:dyDescent="0.25">
      <c r="A5909">
        <v>2023</v>
      </c>
      <c r="B5909">
        <v>4</v>
      </c>
      <c r="C5909" s="1" t="s">
        <v>27</v>
      </c>
      <c r="D5909" s="1" t="s">
        <v>19</v>
      </c>
      <c r="E5909" s="1" t="s">
        <v>98</v>
      </c>
      <c r="F5909">
        <v>2014</v>
      </c>
      <c r="G5909">
        <v>9</v>
      </c>
      <c r="H5909" s="1" t="s">
        <v>21</v>
      </c>
      <c r="I5909">
        <v>24</v>
      </c>
      <c r="J5909">
        <v>1573</v>
      </c>
      <c r="K5909" s="1" t="s">
        <v>99</v>
      </c>
      <c r="L5909" s="1" t="s">
        <v>45</v>
      </c>
      <c r="M5909">
        <v>1.675</v>
      </c>
      <c r="N5909">
        <v>40190</v>
      </c>
      <c r="O5909">
        <v>40.19</v>
      </c>
      <c r="P5909" s="2">
        <v>45017</v>
      </c>
      <c r="Q5909">
        <v>1</v>
      </c>
      <c r="R5909" s="1" t="s">
        <v>40</v>
      </c>
    </row>
    <row r="5910" spans="1:18" x14ac:dyDescent="0.25">
      <c r="A5910">
        <v>2023</v>
      </c>
      <c r="B5910">
        <v>5</v>
      </c>
      <c r="C5910" s="1" t="s">
        <v>28</v>
      </c>
      <c r="D5910" s="1" t="s">
        <v>19</v>
      </c>
      <c r="E5910" s="1" t="s">
        <v>98</v>
      </c>
      <c r="F5910">
        <v>2014</v>
      </c>
      <c r="G5910">
        <v>9</v>
      </c>
      <c r="H5910" s="1" t="s">
        <v>21</v>
      </c>
      <c r="I5910">
        <v>24</v>
      </c>
      <c r="J5910">
        <v>1573</v>
      </c>
      <c r="K5910" s="1" t="s">
        <v>99</v>
      </c>
      <c r="L5910" s="1" t="s">
        <v>45</v>
      </c>
      <c r="M5910">
        <v>1.6639999999999999</v>
      </c>
      <c r="N5910">
        <v>39933</v>
      </c>
      <c r="O5910">
        <v>39.933</v>
      </c>
      <c r="P5910" s="2">
        <v>45047</v>
      </c>
      <c r="Q5910">
        <v>1</v>
      </c>
      <c r="R5910" s="1" t="s">
        <v>40</v>
      </c>
    </row>
    <row r="5911" spans="1:18" x14ac:dyDescent="0.25">
      <c r="A5911">
        <v>2023</v>
      </c>
      <c r="B5911">
        <v>6</v>
      </c>
      <c r="C5911" s="1" t="s">
        <v>29</v>
      </c>
      <c r="D5911" s="1" t="s">
        <v>19</v>
      </c>
      <c r="E5911" s="1" t="s">
        <v>98</v>
      </c>
      <c r="F5911">
        <v>2014</v>
      </c>
      <c r="G5911">
        <v>9</v>
      </c>
      <c r="H5911" s="1" t="s">
        <v>21</v>
      </c>
      <c r="I5911">
        <v>24</v>
      </c>
      <c r="J5911">
        <v>1573</v>
      </c>
      <c r="K5911" s="1" t="s">
        <v>99</v>
      </c>
      <c r="L5911" s="1" t="s">
        <v>45</v>
      </c>
      <c r="M5911">
        <v>1.841</v>
      </c>
      <c r="N5911">
        <v>44192.5</v>
      </c>
      <c r="O5911">
        <v>44.192999999999998</v>
      </c>
      <c r="P5911" s="2">
        <v>45078</v>
      </c>
      <c r="Q5911">
        <v>1</v>
      </c>
      <c r="R5911" s="1" t="s">
        <v>40</v>
      </c>
    </row>
    <row r="5912" spans="1:18" x14ac:dyDescent="0.25">
      <c r="A5912">
        <v>2023</v>
      </c>
      <c r="B5912">
        <v>7</v>
      </c>
      <c r="C5912" s="1" t="s">
        <v>30</v>
      </c>
      <c r="D5912" s="1" t="s">
        <v>19</v>
      </c>
      <c r="E5912" s="1" t="s">
        <v>98</v>
      </c>
      <c r="F5912">
        <v>2014</v>
      </c>
      <c r="G5912">
        <v>9</v>
      </c>
      <c r="H5912" s="1" t="s">
        <v>21</v>
      </c>
      <c r="I5912">
        <v>24</v>
      </c>
      <c r="J5912">
        <v>1573</v>
      </c>
      <c r="K5912" s="1" t="s">
        <v>99</v>
      </c>
      <c r="L5912" s="1" t="s">
        <v>45</v>
      </c>
      <c r="M5912">
        <v>1.6930000000000001</v>
      </c>
      <c r="N5912">
        <v>40630.699999999997</v>
      </c>
      <c r="O5912">
        <v>40.631</v>
      </c>
      <c r="P5912" s="2">
        <v>45108</v>
      </c>
      <c r="Q5912">
        <v>1</v>
      </c>
      <c r="R5912" s="1" t="s">
        <v>40</v>
      </c>
    </row>
    <row r="5913" spans="1:18" x14ac:dyDescent="0.25">
      <c r="A5913">
        <v>2023</v>
      </c>
      <c r="B5913">
        <v>8</v>
      </c>
      <c r="C5913" s="1" t="s">
        <v>31</v>
      </c>
      <c r="D5913" s="1" t="s">
        <v>19</v>
      </c>
      <c r="E5913" s="1" t="s">
        <v>98</v>
      </c>
      <c r="F5913">
        <v>2014</v>
      </c>
      <c r="G5913">
        <v>9</v>
      </c>
      <c r="H5913" s="1" t="s">
        <v>21</v>
      </c>
      <c r="I5913">
        <v>24</v>
      </c>
      <c r="J5913">
        <v>1573</v>
      </c>
      <c r="K5913" s="1" t="s">
        <v>99</v>
      </c>
      <c r="L5913" s="1" t="s">
        <v>45</v>
      </c>
      <c r="M5913">
        <v>1.78</v>
      </c>
      <c r="N5913">
        <v>42723.7</v>
      </c>
      <c r="O5913">
        <v>42.723999999999997</v>
      </c>
      <c r="P5913" s="2">
        <v>45139</v>
      </c>
      <c r="Q5913">
        <v>1</v>
      </c>
      <c r="R5913" s="1" t="s">
        <v>40</v>
      </c>
    </row>
    <row r="5914" spans="1:18" x14ac:dyDescent="0.25">
      <c r="A5914">
        <v>2023</v>
      </c>
      <c r="B5914">
        <v>9</v>
      </c>
      <c r="C5914" s="1" t="s">
        <v>32</v>
      </c>
      <c r="D5914" s="1" t="s">
        <v>19</v>
      </c>
      <c r="E5914" s="1" t="s">
        <v>98</v>
      </c>
      <c r="F5914">
        <v>2014</v>
      </c>
      <c r="G5914">
        <v>9</v>
      </c>
      <c r="H5914" s="1" t="s">
        <v>21</v>
      </c>
      <c r="I5914">
        <v>24</v>
      </c>
      <c r="J5914">
        <v>1573</v>
      </c>
      <c r="K5914" s="1" t="s">
        <v>99</v>
      </c>
      <c r="L5914" s="1" t="s">
        <v>45</v>
      </c>
      <c r="M5914">
        <v>1.841</v>
      </c>
      <c r="N5914">
        <v>44174.2</v>
      </c>
      <c r="O5914">
        <v>44.173999999999999</v>
      </c>
      <c r="P5914" s="2">
        <v>45170</v>
      </c>
      <c r="Q5914">
        <v>1</v>
      </c>
      <c r="R5914" s="1" t="s">
        <v>40</v>
      </c>
    </row>
    <row r="5915" spans="1:18" x14ac:dyDescent="0.25">
      <c r="A5915">
        <v>2023</v>
      </c>
      <c r="B5915">
        <v>10</v>
      </c>
      <c r="C5915" s="1" t="s">
        <v>33</v>
      </c>
      <c r="D5915" s="1" t="s">
        <v>19</v>
      </c>
      <c r="E5915" s="1" t="s">
        <v>98</v>
      </c>
      <c r="F5915">
        <v>2014</v>
      </c>
      <c r="G5915">
        <v>9</v>
      </c>
      <c r="H5915" s="1" t="s">
        <v>21</v>
      </c>
      <c r="I5915">
        <v>24</v>
      </c>
      <c r="J5915">
        <v>1573</v>
      </c>
      <c r="K5915" s="1" t="s">
        <v>99</v>
      </c>
      <c r="L5915" s="1" t="s">
        <v>45</v>
      </c>
      <c r="M5915">
        <v>1.633</v>
      </c>
      <c r="N5915">
        <v>39180.199999999997</v>
      </c>
      <c r="O5915">
        <v>39.18</v>
      </c>
      <c r="P5915" s="2">
        <v>45200</v>
      </c>
      <c r="Q5915">
        <v>1</v>
      </c>
      <c r="R5915" s="1" t="s">
        <v>40</v>
      </c>
    </row>
    <row r="5916" spans="1:18" x14ac:dyDescent="0.25">
      <c r="A5916">
        <v>2023</v>
      </c>
      <c r="B5916">
        <v>11</v>
      </c>
      <c r="C5916" s="1" t="s">
        <v>34</v>
      </c>
      <c r="D5916" s="1" t="s">
        <v>19</v>
      </c>
      <c r="E5916" s="1" t="s">
        <v>98</v>
      </c>
      <c r="F5916">
        <v>2014</v>
      </c>
      <c r="G5916">
        <v>9</v>
      </c>
      <c r="H5916" s="1" t="s">
        <v>21</v>
      </c>
      <c r="I5916">
        <v>24</v>
      </c>
      <c r="J5916">
        <v>1573</v>
      </c>
      <c r="K5916" s="1" t="s">
        <v>99</v>
      </c>
      <c r="L5916" s="1" t="s">
        <v>45</v>
      </c>
      <c r="M5916">
        <v>1.35</v>
      </c>
      <c r="N5916">
        <v>32405.4</v>
      </c>
      <c r="O5916">
        <v>32.405000000000001</v>
      </c>
      <c r="P5916" s="2">
        <v>45231</v>
      </c>
      <c r="Q5916">
        <v>1</v>
      </c>
      <c r="R5916" s="1" t="s">
        <v>40</v>
      </c>
    </row>
    <row r="5917" spans="1:18" x14ac:dyDescent="0.25">
      <c r="A5917">
        <v>2023</v>
      </c>
      <c r="B5917">
        <v>12</v>
      </c>
      <c r="C5917" s="1" t="s">
        <v>35</v>
      </c>
      <c r="D5917" s="1" t="s">
        <v>19</v>
      </c>
      <c r="E5917" s="1" t="s">
        <v>98</v>
      </c>
      <c r="F5917">
        <v>2014</v>
      </c>
      <c r="G5917">
        <v>9</v>
      </c>
      <c r="H5917" s="1" t="s">
        <v>21</v>
      </c>
      <c r="I5917">
        <v>24</v>
      </c>
      <c r="J5917">
        <v>1573</v>
      </c>
      <c r="K5917" s="1" t="s">
        <v>99</v>
      </c>
      <c r="L5917" s="1" t="s">
        <v>45</v>
      </c>
      <c r="M5917">
        <v>0.65300000000000002</v>
      </c>
      <c r="N5917">
        <v>15661.1</v>
      </c>
      <c r="O5917">
        <v>15.661</v>
      </c>
      <c r="P5917" s="2">
        <v>45261</v>
      </c>
      <c r="Q5917">
        <v>1</v>
      </c>
      <c r="R5917" s="1" t="s">
        <v>40</v>
      </c>
    </row>
    <row r="5918" spans="1:18" x14ac:dyDescent="0.25">
      <c r="A5918">
        <v>2023</v>
      </c>
      <c r="B5918">
        <v>1</v>
      </c>
      <c r="C5918" s="1" t="s">
        <v>18</v>
      </c>
      <c r="D5918" s="1" t="s">
        <v>19</v>
      </c>
      <c r="E5918" s="1" t="s">
        <v>100</v>
      </c>
      <c r="F5918">
        <v>2016</v>
      </c>
      <c r="G5918">
        <v>7</v>
      </c>
      <c r="H5918" s="1" t="s">
        <v>21</v>
      </c>
      <c r="I5918">
        <v>22</v>
      </c>
      <c r="J5918">
        <v>3137</v>
      </c>
      <c r="K5918" s="1" t="s">
        <v>101</v>
      </c>
      <c r="L5918" s="1" t="s">
        <v>23</v>
      </c>
      <c r="M5918">
        <v>1.383</v>
      </c>
      <c r="N5918">
        <v>30421.1</v>
      </c>
      <c r="O5918">
        <v>30.420999999999999</v>
      </c>
      <c r="P5918" s="2">
        <v>44927</v>
      </c>
      <c r="Q5918">
        <v>1</v>
      </c>
      <c r="R5918" s="1" t="s">
        <v>40</v>
      </c>
    </row>
    <row r="5919" spans="1:18" x14ac:dyDescent="0.25">
      <c r="A5919">
        <v>2023</v>
      </c>
      <c r="B5919">
        <v>2</v>
      </c>
      <c r="C5919" s="1" t="s">
        <v>25</v>
      </c>
      <c r="D5919" s="1" t="s">
        <v>19</v>
      </c>
      <c r="E5919" s="1" t="s">
        <v>100</v>
      </c>
      <c r="F5919">
        <v>2016</v>
      </c>
      <c r="G5919">
        <v>7</v>
      </c>
      <c r="H5919" s="1" t="s">
        <v>21</v>
      </c>
      <c r="I5919">
        <v>22</v>
      </c>
      <c r="J5919">
        <v>3137</v>
      </c>
      <c r="K5919" s="1" t="s">
        <v>101</v>
      </c>
      <c r="L5919" s="1" t="s">
        <v>23</v>
      </c>
      <c r="M5919">
        <v>1.984</v>
      </c>
      <c r="N5919">
        <v>43643.5</v>
      </c>
      <c r="O5919">
        <v>43.643999999999998</v>
      </c>
      <c r="P5919" s="2">
        <v>44958</v>
      </c>
      <c r="Q5919">
        <v>1</v>
      </c>
      <c r="R5919" s="1" t="s">
        <v>40</v>
      </c>
    </row>
    <row r="5920" spans="1:18" x14ac:dyDescent="0.25">
      <c r="A5920">
        <v>2023</v>
      </c>
      <c r="B5920">
        <v>3</v>
      </c>
      <c r="C5920" s="1" t="s">
        <v>26</v>
      </c>
      <c r="D5920" s="1" t="s">
        <v>19</v>
      </c>
      <c r="E5920" s="1" t="s">
        <v>100</v>
      </c>
      <c r="F5920">
        <v>2016</v>
      </c>
      <c r="G5920">
        <v>7</v>
      </c>
      <c r="H5920" s="1" t="s">
        <v>21</v>
      </c>
      <c r="I5920">
        <v>22</v>
      </c>
      <c r="J5920">
        <v>3137</v>
      </c>
      <c r="K5920" s="1" t="s">
        <v>101</v>
      </c>
      <c r="L5920" s="1" t="s">
        <v>23</v>
      </c>
      <c r="M5920">
        <v>2.3039999999999998</v>
      </c>
      <c r="N5920">
        <v>50678.2</v>
      </c>
      <c r="O5920">
        <v>50.677999999999997</v>
      </c>
      <c r="P5920" s="2">
        <v>44986</v>
      </c>
      <c r="Q5920">
        <v>1</v>
      </c>
      <c r="R5920" s="1" t="s">
        <v>40</v>
      </c>
    </row>
    <row r="5921" spans="1:18" x14ac:dyDescent="0.25">
      <c r="A5921">
        <v>2023</v>
      </c>
      <c r="B5921">
        <v>4</v>
      </c>
      <c r="C5921" s="1" t="s">
        <v>27</v>
      </c>
      <c r="D5921" s="1" t="s">
        <v>19</v>
      </c>
      <c r="E5921" s="1" t="s">
        <v>100</v>
      </c>
      <c r="F5921">
        <v>2016</v>
      </c>
      <c r="G5921">
        <v>7</v>
      </c>
      <c r="H5921" s="1" t="s">
        <v>21</v>
      </c>
      <c r="I5921">
        <v>22</v>
      </c>
      <c r="J5921">
        <v>3137</v>
      </c>
      <c r="K5921" s="1" t="s">
        <v>101</v>
      </c>
      <c r="L5921" s="1" t="s">
        <v>23</v>
      </c>
      <c r="M5921">
        <v>2.3410000000000002</v>
      </c>
      <c r="N5921">
        <v>51501.7</v>
      </c>
      <c r="O5921">
        <v>51.502000000000002</v>
      </c>
      <c r="P5921" s="2">
        <v>45017</v>
      </c>
      <c r="Q5921">
        <v>1</v>
      </c>
      <c r="R5921" s="1" t="s">
        <v>40</v>
      </c>
    </row>
    <row r="5922" spans="1:18" x14ac:dyDescent="0.25">
      <c r="A5922">
        <v>2023</v>
      </c>
      <c r="B5922">
        <v>5</v>
      </c>
      <c r="C5922" s="1" t="s">
        <v>28</v>
      </c>
      <c r="D5922" s="1" t="s">
        <v>19</v>
      </c>
      <c r="E5922" s="1" t="s">
        <v>100</v>
      </c>
      <c r="F5922">
        <v>2016</v>
      </c>
      <c r="G5922">
        <v>7</v>
      </c>
      <c r="H5922" s="1" t="s">
        <v>21</v>
      </c>
      <c r="I5922">
        <v>22</v>
      </c>
      <c r="J5922">
        <v>3137</v>
      </c>
      <c r="K5922" s="1" t="s">
        <v>101</v>
      </c>
      <c r="L5922" s="1" t="s">
        <v>23</v>
      </c>
      <c r="M5922">
        <v>2.3260000000000001</v>
      </c>
      <c r="N5922">
        <v>51172.3</v>
      </c>
      <c r="O5922">
        <v>51.171999999999997</v>
      </c>
      <c r="P5922" s="2">
        <v>45047</v>
      </c>
      <c r="Q5922">
        <v>1</v>
      </c>
      <c r="R5922" s="1" t="s">
        <v>40</v>
      </c>
    </row>
    <row r="5923" spans="1:18" x14ac:dyDescent="0.25">
      <c r="A5923">
        <v>2023</v>
      </c>
      <c r="B5923">
        <v>6</v>
      </c>
      <c r="C5923" s="1" t="s">
        <v>29</v>
      </c>
      <c r="D5923" s="1" t="s">
        <v>19</v>
      </c>
      <c r="E5923" s="1" t="s">
        <v>100</v>
      </c>
      <c r="F5923">
        <v>2016</v>
      </c>
      <c r="G5923">
        <v>7</v>
      </c>
      <c r="H5923" s="1" t="s">
        <v>21</v>
      </c>
      <c r="I5923">
        <v>22</v>
      </c>
      <c r="J5923">
        <v>3137</v>
      </c>
      <c r="K5923" s="1" t="s">
        <v>101</v>
      </c>
      <c r="L5923" s="1" t="s">
        <v>23</v>
      </c>
      <c r="M5923">
        <v>2.5739999999999998</v>
      </c>
      <c r="N5923">
        <v>56630.7</v>
      </c>
      <c r="O5923">
        <v>56.631</v>
      </c>
      <c r="P5923" s="2">
        <v>45078</v>
      </c>
      <c r="Q5923">
        <v>1</v>
      </c>
      <c r="R5923" s="1" t="s">
        <v>40</v>
      </c>
    </row>
    <row r="5924" spans="1:18" x14ac:dyDescent="0.25">
      <c r="A5924">
        <v>2023</v>
      </c>
      <c r="B5924">
        <v>7</v>
      </c>
      <c r="C5924" s="1" t="s">
        <v>30</v>
      </c>
      <c r="D5924" s="1" t="s">
        <v>19</v>
      </c>
      <c r="E5924" s="1" t="s">
        <v>100</v>
      </c>
      <c r="F5924">
        <v>2016</v>
      </c>
      <c r="G5924">
        <v>7</v>
      </c>
      <c r="H5924" s="1" t="s">
        <v>21</v>
      </c>
      <c r="I5924">
        <v>22</v>
      </c>
      <c r="J5924">
        <v>3137</v>
      </c>
      <c r="K5924" s="1" t="s">
        <v>101</v>
      </c>
      <c r="L5924" s="1" t="s">
        <v>23</v>
      </c>
      <c r="M5924">
        <v>2.367</v>
      </c>
      <c r="N5924">
        <v>52066.400000000001</v>
      </c>
      <c r="O5924">
        <v>52.066000000000003</v>
      </c>
      <c r="P5924" s="2">
        <v>45108</v>
      </c>
      <c r="Q5924">
        <v>1</v>
      </c>
      <c r="R5924" s="1" t="s">
        <v>40</v>
      </c>
    </row>
    <row r="5925" spans="1:18" x14ac:dyDescent="0.25">
      <c r="A5925">
        <v>2023</v>
      </c>
      <c r="B5925">
        <v>8</v>
      </c>
      <c r="C5925" s="1" t="s">
        <v>31</v>
      </c>
      <c r="D5925" s="1" t="s">
        <v>19</v>
      </c>
      <c r="E5925" s="1" t="s">
        <v>100</v>
      </c>
      <c r="F5925">
        <v>2016</v>
      </c>
      <c r="G5925">
        <v>7</v>
      </c>
      <c r="H5925" s="1" t="s">
        <v>21</v>
      </c>
      <c r="I5925">
        <v>22</v>
      </c>
      <c r="J5925">
        <v>3137</v>
      </c>
      <c r="K5925" s="1" t="s">
        <v>101</v>
      </c>
      <c r="L5925" s="1" t="s">
        <v>23</v>
      </c>
      <c r="M5925">
        <v>2.4889999999999999</v>
      </c>
      <c r="N5925">
        <v>54748.5</v>
      </c>
      <c r="O5925">
        <v>54.747999999999998</v>
      </c>
      <c r="P5925" s="2">
        <v>45139</v>
      </c>
      <c r="Q5925">
        <v>1</v>
      </c>
      <c r="R5925" s="1" t="s">
        <v>40</v>
      </c>
    </row>
    <row r="5926" spans="1:18" x14ac:dyDescent="0.25">
      <c r="A5926">
        <v>2023</v>
      </c>
      <c r="B5926">
        <v>9</v>
      </c>
      <c r="C5926" s="1" t="s">
        <v>32</v>
      </c>
      <c r="D5926" s="1" t="s">
        <v>19</v>
      </c>
      <c r="E5926" s="1" t="s">
        <v>100</v>
      </c>
      <c r="F5926">
        <v>2016</v>
      </c>
      <c r="G5926">
        <v>7</v>
      </c>
      <c r="H5926" s="1" t="s">
        <v>21</v>
      </c>
      <c r="I5926">
        <v>22</v>
      </c>
      <c r="J5926">
        <v>3137</v>
      </c>
      <c r="K5926" s="1" t="s">
        <v>101</v>
      </c>
      <c r="L5926" s="1" t="s">
        <v>23</v>
      </c>
      <c r="M5926">
        <v>2.573</v>
      </c>
      <c r="N5926">
        <v>56607.199999999997</v>
      </c>
      <c r="O5926">
        <v>56.606999999999999</v>
      </c>
      <c r="P5926" s="2">
        <v>45170</v>
      </c>
      <c r="Q5926">
        <v>1</v>
      </c>
      <c r="R5926" s="1" t="s">
        <v>40</v>
      </c>
    </row>
    <row r="5927" spans="1:18" x14ac:dyDescent="0.25">
      <c r="A5927">
        <v>2023</v>
      </c>
      <c r="B5927">
        <v>10</v>
      </c>
      <c r="C5927" s="1" t="s">
        <v>33</v>
      </c>
      <c r="D5927" s="1" t="s">
        <v>19</v>
      </c>
      <c r="E5927" s="1" t="s">
        <v>100</v>
      </c>
      <c r="F5927">
        <v>2016</v>
      </c>
      <c r="G5927">
        <v>7</v>
      </c>
      <c r="H5927" s="1" t="s">
        <v>21</v>
      </c>
      <c r="I5927">
        <v>22</v>
      </c>
      <c r="J5927">
        <v>3137</v>
      </c>
      <c r="K5927" s="1" t="s">
        <v>101</v>
      </c>
      <c r="L5927" s="1" t="s">
        <v>23</v>
      </c>
      <c r="M5927">
        <v>2.282</v>
      </c>
      <c r="N5927">
        <v>50207.7</v>
      </c>
      <c r="O5927">
        <v>50.207999999999998</v>
      </c>
      <c r="P5927" s="2">
        <v>45200</v>
      </c>
      <c r="Q5927">
        <v>1</v>
      </c>
      <c r="R5927" s="1" t="s">
        <v>40</v>
      </c>
    </row>
    <row r="5928" spans="1:18" x14ac:dyDescent="0.25">
      <c r="A5928">
        <v>2023</v>
      </c>
      <c r="B5928">
        <v>11</v>
      </c>
      <c r="C5928" s="1" t="s">
        <v>34</v>
      </c>
      <c r="D5928" s="1" t="s">
        <v>19</v>
      </c>
      <c r="E5928" s="1" t="s">
        <v>100</v>
      </c>
      <c r="F5928">
        <v>2016</v>
      </c>
      <c r="G5928">
        <v>7</v>
      </c>
      <c r="H5928" s="1" t="s">
        <v>21</v>
      </c>
      <c r="I5928">
        <v>22</v>
      </c>
      <c r="J5928">
        <v>3137</v>
      </c>
      <c r="K5928" s="1" t="s">
        <v>101</v>
      </c>
      <c r="L5928" s="1" t="s">
        <v>23</v>
      </c>
      <c r="M5928">
        <v>1.8879999999999999</v>
      </c>
      <c r="N5928">
        <v>41526</v>
      </c>
      <c r="O5928">
        <v>41.526000000000003</v>
      </c>
      <c r="P5928" s="2">
        <v>45231</v>
      </c>
      <c r="Q5928">
        <v>1</v>
      </c>
      <c r="R5928" s="1" t="s">
        <v>40</v>
      </c>
    </row>
    <row r="5929" spans="1:18" x14ac:dyDescent="0.25">
      <c r="A5929">
        <v>2023</v>
      </c>
      <c r="B5929">
        <v>12</v>
      </c>
      <c r="C5929" s="1" t="s">
        <v>35</v>
      </c>
      <c r="D5929" s="1" t="s">
        <v>19</v>
      </c>
      <c r="E5929" s="1" t="s">
        <v>100</v>
      </c>
      <c r="F5929">
        <v>2016</v>
      </c>
      <c r="G5929">
        <v>7</v>
      </c>
      <c r="H5929" s="1" t="s">
        <v>21</v>
      </c>
      <c r="I5929">
        <v>22</v>
      </c>
      <c r="J5929">
        <v>3137</v>
      </c>
      <c r="K5929" s="1" t="s">
        <v>101</v>
      </c>
      <c r="L5929" s="1" t="s">
        <v>23</v>
      </c>
      <c r="M5929">
        <v>0.91200000000000003</v>
      </c>
      <c r="N5929">
        <v>20069</v>
      </c>
      <c r="O5929">
        <v>20.068999999999999</v>
      </c>
      <c r="P5929" s="2">
        <v>45261</v>
      </c>
      <c r="Q5929">
        <v>1</v>
      </c>
      <c r="R5929" s="1" t="s">
        <v>40</v>
      </c>
    </row>
    <row r="5930" spans="1:18" x14ac:dyDescent="0.25">
      <c r="A5930">
        <v>2023</v>
      </c>
      <c r="B5930">
        <v>1</v>
      </c>
      <c r="C5930" s="1" t="s">
        <v>18</v>
      </c>
      <c r="D5930" s="1" t="s">
        <v>19</v>
      </c>
      <c r="E5930" s="1" t="s">
        <v>102</v>
      </c>
      <c r="F5930">
        <v>2016</v>
      </c>
      <c r="G5930">
        <v>7</v>
      </c>
      <c r="H5930" s="1" t="s">
        <v>21</v>
      </c>
      <c r="I5930">
        <v>22</v>
      </c>
      <c r="J5930">
        <v>3096</v>
      </c>
      <c r="K5930" s="1" t="s">
        <v>103</v>
      </c>
      <c r="L5930" s="1" t="s">
        <v>23</v>
      </c>
      <c r="M5930">
        <v>1.365</v>
      </c>
      <c r="N5930">
        <v>30023.5</v>
      </c>
      <c r="O5930">
        <v>30.023</v>
      </c>
      <c r="P5930" s="2">
        <v>44927</v>
      </c>
      <c r="Q5930">
        <v>1</v>
      </c>
      <c r="R5930" s="1" t="s">
        <v>40</v>
      </c>
    </row>
    <row r="5931" spans="1:18" x14ac:dyDescent="0.25">
      <c r="A5931">
        <v>2023</v>
      </c>
      <c r="B5931">
        <v>2</v>
      </c>
      <c r="C5931" s="1" t="s">
        <v>25</v>
      </c>
      <c r="D5931" s="1" t="s">
        <v>19</v>
      </c>
      <c r="E5931" s="1" t="s">
        <v>102</v>
      </c>
      <c r="F5931">
        <v>2016</v>
      </c>
      <c r="G5931">
        <v>7</v>
      </c>
      <c r="H5931" s="1" t="s">
        <v>21</v>
      </c>
      <c r="I5931">
        <v>22</v>
      </c>
      <c r="J5931">
        <v>3096</v>
      </c>
      <c r="K5931" s="1" t="s">
        <v>103</v>
      </c>
      <c r="L5931" s="1" t="s">
        <v>23</v>
      </c>
      <c r="M5931">
        <v>1.958</v>
      </c>
      <c r="N5931">
        <v>43073.1</v>
      </c>
      <c r="O5931">
        <v>43.073</v>
      </c>
      <c r="P5931" s="2">
        <v>44958</v>
      </c>
      <c r="Q5931">
        <v>1</v>
      </c>
      <c r="R5931" s="1" t="s">
        <v>40</v>
      </c>
    </row>
    <row r="5932" spans="1:18" x14ac:dyDescent="0.25">
      <c r="A5932">
        <v>2023</v>
      </c>
      <c r="B5932">
        <v>3</v>
      </c>
      <c r="C5932" s="1" t="s">
        <v>26</v>
      </c>
      <c r="D5932" s="1" t="s">
        <v>19</v>
      </c>
      <c r="E5932" s="1" t="s">
        <v>102</v>
      </c>
      <c r="F5932">
        <v>2016</v>
      </c>
      <c r="G5932">
        <v>7</v>
      </c>
      <c r="H5932" s="1" t="s">
        <v>21</v>
      </c>
      <c r="I5932">
        <v>22</v>
      </c>
      <c r="J5932">
        <v>3096</v>
      </c>
      <c r="K5932" s="1" t="s">
        <v>103</v>
      </c>
      <c r="L5932" s="1" t="s">
        <v>23</v>
      </c>
      <c r="M5932">
        <v>2.2730000000000001</v>
      </c>
      <c r="N5932">
        <v>50015.9</v>
      </c>
      <c r="O5932">
        <v>50.015999999999998</v>
      </c>
      <c r="P5932" s="2">
        <v>44986</v>
      </c>
      <c r="Q5932">
        <v>1</v>
      </c>
      <c r="R5932" s="1" t="s">
        <v>40</v>
      </c>
    </row>
    <row r="5933" spans="1:18" x14ac:dyDescent="0.25">
      <c r="A5933">
        <v>2023</v>
      </c>
      <c r="B5933">
        <v>4</v>
      </c>
      <c r="C5933" s="1" t="s">
        <v>27</v>
      </c>
      <c r="D5933" s="1" t="s">
        <v>19</v>
      </c>
      <c r="E5933" s="1" t="s">
        <v>102</v>
      </c>
      <c r="F5933">
        <v>2016</v>
      </c>
      <c r="G5933">
        <v>7</v>
      </c>
      <c r="H5933" s="1" t="s">
        <v>21</v>
      </c>
      <c r="I5933">
        <v>22</v>
      </c>
      <c r="J5933">
        <v>3096</v>
      </c>
      <c r="K5933" s="1" t="s">
        <v>103</v>
      </c>
      <c r="L5933" s="1" t="s">
        <v>23</v>
      </c>
      <c r="M5933">
        <v>2.31</v>
      </c>
      <c r="N5933">
        <v>50828.6</v>
      </c>
      <c r="O5933">
        <v>50.829000000000001</v>
      </c>
      <c r="P5933" s="2">
        <v>45017</v>
      </c>
      <c r="Q5933">
        <v>1</v>
      </c>
      <c r="R5933" s="1" t="s">
        <v>40</v>
      </c>
    </row>
    <row r="5934" spans="1:18" x14ac:dyDescent="0.25">
      <c r="A5934">
        <v>2023</v>
      </c>
      <c r="B5934">
        <v>5</v>
      </c>
      <c r="C5934" s="1" t="s">
        <v>28</v>
      </c>
      <c r="D5934" s="1" t="s">
        <v>19</v>
      </c>
      <c r="E5934" s="1" t="s">
        <v>102</v>
      </c>
      <c r="F5934">
        <v>2016</v>
      </c>
      <c r="G5934">
        <v>7</v>
      </c>
      <c r="H5934" s="1" t="s">
        <v>21</v>
      </c>
      <c r="I5934">
        <v>22</v>
      </c>
      <c r="J5934">
        <v>3096</v>
      </c>
      <c r="K5934" s="1" t="s">
        <v>103</v>
      </c>
      <c r="L5934" s="1" t="s">
        <v>23</v>
      </c>
      <c r="M5934">
        <v>2.2959999999999998</v>
      </c>
      <c r="N5934">
        <v>50503.5</v>
      </c>
      <c r="O5934">
        <v>50.503</v>
      </c>
      <c r="P5934" s="2">
        <v>45047</v>
      </c>
      <c r="Q5934">
        <v>1</v>
      </c>
      <c r="R5934" s="1" t="s">
        <v>40</v>
      </c>
    </row>
    <row r="5935" spans="1:18" x14ac:dyDescent="0.25">
      <c r="A5935">
        <v>2023</v>
      </c>
      <c r="B5935">
        <v>6</v>
      </c>
      <c r="C5935" s="1" t="s">
        <v>29</v>
      </c>
      <c r="D5935" s="1" t="s">
        <v>19</v>
      </c>
      <c r="E5935" s="1" t="s">
        <v>102</v>
      </c>
      <c r="F5935">
        <v>2016</v>
      </c>
      <c r="G5935">
        <v>7</v>
      </c>
      <c r="H5935" s="1" t="s">
        <v>21</v>
      </c>
      <c r="I5935">
        <v>22</v>
      </c>
      <c r="J5935">
        <v>3096</v>
      </c>
      <c r="K5935" s="1" t="s">
        <v>103</v>
      </c>
      <c r="L5935" s="1" t="s">
        <v>23</v>
      </c>
      <c r="M5935">
        <v>2.54</v>
      </c>
      <c r="N5935">
        <v>55890.5</v>
      </c>
      <c r="O5935">
        <v>55.890999999999998</v>
      </c>
      <c r="P5935" s="2">
        <v>45078</v>
      </c>
      <c r="Q5935">
        <v>1</v>
      </c>
      <c r="R5935" s="1" t="s">
        <v>40</v>
      </c>
    </row>
    <row r="5936" spans="1:18" x14ac:dyDescent="0.25">
      <c r="A5936">
        <v>2023</v>
      </c>
      <c r="B5936">
        <v>7</v>
      </c>
      <c r="C5936" s="1" t="s">
        <v>30</v>
      </c>
      <c r="D5936" s="1" t="s">
        <v>19</v>
      </c>
      <c r="E5936" s="1" t="s">
        <v>102</v>
      </c>
      <c r="F5936">
        <v>2016</v>
      </c>
      <c r="G5936">
        <v>7</v>
      </c>
      <c r="H5936" s="1" t="s">
        <v>21</v>
      </c>
      <c r="I5936">
        <v>22</v>
      </c>
      <c r="J5936">
        <v>3096</v>
      </c>
      <c r="K5936" s="1" t="s">
        <v>103</v>
      </c>
      <c r="L5936" s="1" t="s">
        <v>23</v>
      </c>
      <c r="M5936">
        <v>2.3359999999999999</v>
      </c>
      <c r="N5936">
        <v>51385.9</v>
      </c>
      <c r="O5936">
        <v>51.386000000000003</v>
      </c>
      <c r="P5936" s="2">
        <v>45108</v>
      </c>
      <c r="Q5936">
        <v>1</v>
      </c>
      <c r="R5936" s="1" t="s">
        <v>40</v>
      </c>
    </row>
    <row r="5937" spans="1:18" x14ac:dyDescent="0.25">
      <c r="A5937">
        <v>2023</v>
      </c>
      <c r="B5937">
        <v>8</v>
      </c>
      <c r="C5937" s="1" t="s">
        <v>31</v>
      </c>
      <c r="D5937" s="1" t="s">
        <v>19</v>
      </c>
      <c r="E5937" s="1" t="s">
        <v>102</v>
      </c>
      <c r="F5937">
        <v>2016</v>
      </c>
      <c r="G5937">
        <v>7</v>
      </c>
      <c r="H5937" s="1" t="s">
        <v>21</v>
      </c>
      <c r="I5937">
        <v>22</v>
      </c>
      <c r="J5937">
        <v>3096</v>
      </c>
      <c r="K5937" s="1" t="s">
        <v>103</v>
      </c>
      <c r="L5937" s="1" t="s">
        <v>23</v>
      </c>
      <c r="M5937">
        <v>2.456</v>
      </c>
      <c r="N5937">
        <v>54032.9</v>
      </c>
      <c r="O5937">
        <v>54.033000000000001</v>
      </c>
      <c r="P5937" s="2">
        <v>45139</v>
      </c>
      <c r="Q5937">
        <v>1</v>
      </c>
      <c r="R5937" s="1" t="s">
        <v>40</v>
      </c>
    </row>
    <row r="5938" spans="1:18" x14ac:dyDescent="0.25">
      <c r="A5938">
        <v>2023</v>
      </c>
      <c r="B5938">
        <v>9</v>
      </c>
      <c r="C5938" s="1" t="s">
        <v>32</v>
      </c>
      <c r="D5938" s="1" t="s">
        <v>19</v>
      </c>
      <c r="E5938" s="1" t="s">
        <v>102</v>
      </c>
      <c r="F5938">
        <v>2016</v>
      </c>
      <c r="G5938">
        <v>7</v>
      </c>
      <c r="H5938" s="1" t="s">
        <v>21</v>
      </c>
      <c r="I5938">
        <v>22</v>
      </c>
      <c r="J5938">
        <v>3096</v>
      </c>
      <c r="K5938" s="1" t="s">
        <v>103</v>
      </c>
      <c r="L5938" s="1" t="s">
        <v>23</v>
      </c>
      <c r="M5938">
        <v>2.5390000000000001</v>
      </c>
      <c r="N5938">
        <v>55867.3</v>
      </c>
      <c r="O5938">
        <v>55.866999999999997</v>
      </c>
      <c r="P5938" s="2">
        <v>45170</v>
      </c>
      <c r="Q5938">
        <v>1</v>
      </c>
      <c r="R5938" s="1" t="s">
        <v>40</v>
      </c>
    </row>
    <row r="5939" spans="1:18" x14ac:dyDescent="0.25">
      <c r="A5939">
        <v>2023</v>
      </c>
      <c r="B5939">
        <v>10</v>
      </c>
      <c r="C5939" s="1" t="s">
        <v>33</v>
      </c>
      <c r="D5939" s="1" t="s">
        <v>19</v>
      </c>
      <c r="E5939" s="1" t="s">
        <v>102</v>
      </c>
      <c r="F5939">
        <v>2016</v>
      </c>
      <c r="G5939">
        <v>7</v>
      </c>
      <c r="H5939" s="1" t="s">
        <v>21</v>
      </c>
      <c r="I5939">
        <v>22</v>
      </c>
      <c r="J5939">
        <v>3096</v>
      </c>
      <c r="K5939" s="1" t="s">
        <v>103</v>
      </c>
      <c r="L5939" s="1" t="s">
        <v>23</v>
      </c>
      <c r="M5939">
        <v>2.2519999999999998</v>
      </c>
      <c r="N5939">
        <v>49551.5</v>
      </c>
      <c r="O5939">
        <v>49.551000000000002</v>
      </c>
      <c r="P5939" s="2">
        <v>45200</v>
      </c>
      <c r="Q5939">
        <v>1</v>
      </c>
      <c r="R5939" s="1" t="s">
        <v>40</v>
      </c>
    </row>
    <row r="5940" spans="1:18" x14ac:dyDescent="0.25">
      <c r="A5940">
        <v>2023</v>
      </c>
      <c r="B5940">
        <v>11</v>
      </c>
      <c r="C5940" s="1" t="s">
        <v>34</v>
      </c>
      <c r="D5940" s="1" t="s">
        <v>19</v>
      </c>
      <c r="E5940" s="1" t="s">
        <v>102</v>
      </c>
      <c r="F5940">
        <v>2016</v>
      </c>
      <c r="G5940">
        <v>7</v>
      </c>
      <c r="H5940" s="1" t="s">
        <v>21</v>
      </c>
      <c r="I5940">
        <v>22</v>
      </c>
      <c r="J5940">
        <v>3096</v>
      </c>
      <c r="K5940" s="1" t="s">
        <v>103</v>
      </c>
      <c r="L5940" s="1" t="s">
        <v>23</v>
      </c>
      <c r="M5940">
        <v>1.863</v>
      </c>
      <c r="N5940">
        <v>40983.300000000003</v>
      </c>
      <c r="O5940">
        <v>40.982999999999997</v>
      </c>
      <c r="P5940" s="2">
        <v>45231</v>
      </c>
      <c r="Q5940">
        <v>1</v>
      </c>
      <c r="R5940" s="1" t="s">
        <v>40</v>
      </c>
    </row>
    <row r="5941" spans="1:18" x14ac:dyDescent="0.25">
      <c r="A5941">
        <v>2023</v>
      </c>
      <c r="B5941">
        <v>12</v>
      </c>
      <c r="C5941" s="1" t="s">
        <v>35</v>
      </c>
      <c r="D5941" s="1" t="s">
        <v>19</v>
      </c>
      <c r="E5941" s="1" t="s">
        <v>102</v>
      </c>
      <c r="F5941">
        <v>2016</v>
      </c>
      <c r="G5941">
        <v>7</v>
      </c>
      <c r="H5941" s="1" t="s">
        <v>21</v>
      </c>
      <c r="I5941">
        <v>22</v>
      </c>
      <c r="J5941">
        <v>3096</v>
      </c>
      <c r="K5941" s="1" t="s">
        <v>103</v>
      </c>
      <c r="L5941" s="1" t="s">
        <v>23</v>
      </c>
      <c r="M5941">
        <v>0.9</v>
      </c>
      <c r="N5941">
        <v>19806.7</v>
      </c>
      <c r="O5941">
        <v>19.806999999999999</v>
      </c>
      <c r="P5941" s="2">
        <v>45261</v>
      </c>
      <c r="Q5941">
        <v>1</v>
      </c>
      <c r="R5941" s="1" t="s">
        <v>40</v>
      </c>
    </row>
    <row r="5942" spans="1:18" x14ac:dyDescent="0.25">
      <c r="A5942">
        <v>2023</v>
      </c>
      <c r="B5942">
        <v>1</v>
      </c>
      <c r="C5942" s="1" t="s">
        <v>18</v>
      </c>
      <c r="D5942" s="1" t="s">
        <v>19</v>
      </c>
      <c r="E5942" s="1" t="s">
        <v>104</v>
      </c>
      <c r="F5942">
        <v>2016</v>
      </c>
      <c r="G5942">
        <v>7</v>
      </c>
      <c r="H5942" s="1" t="s">
        <v>21</v>
      </c>
      <c r="I5942">
        <v>24</v>
      </c>
      <c r="J5942">
        <v>3317</v>
      </c>
      <c r="K5942" s="1" t="s">
        <v>105</v>
      </c>
      <c r="L5942" s="1" t="s">
        <v>23</v>
      </c>
      <c r="M5942">
        <v>1.34</v>
      </c>
      <c r="N5942">
        <v>32166.6</v>
      </c>
      <c r="O5942">
        <v>32.167000000000002</v>
      </c>
      <c r="P5942" s="2">
        <v>44927</v>
      </c>
      <c r="Q5942">
        <v>1</v>
      </c>
      <c r="R5942" s="1" t="s">
        <v>40</v>
      </c>
    </row>
    <row r="5943" spans="1:18" x14ac:dyDescent="0.25">
      <c r="A5943">
        <v>2023</v>
      </c>
      <c r="B5943">
        <v>2</v>
      </c>
      <c r="C5943" s="1" t="s">
        <v>25</v>
      </c>
      <c r="D5943" s="1" t="s">
        <v>19</v>
      </c>
      <c r="E5943" s="1" t="s">
        <v>104</v>
      </c>
      <c r="F5943">
        <v>2016</v>
      </c>
      <c r="G5943">
        <v>7</v>
      </c>
      <c r="H5943" s="1" t="s">
        <v>21</v>
      </c>
      <c r="I5943">
        <v>24</v>
      </c>
      <c r="J5943">
        <v>3317</v>
      </c>
      <c r="K5943" s="1" t="s">
        <v>105</v>
      </c>
      <c r="L5943" s="1" t="s">
        <v>23</v>
      </c>
      <c r="M5943">
        <v>1.923</v>
      </c>
      <c r="N5943">
        <v>46147.8</v>
      </c>
      <c r="O5943">
        <v>46.148000000000003</v>
      </c>
      <c r="P5943" s="2">
        <v>44958</v>
      </c>
      <c r="Q5943">
        <v>1</v>
      </c>
      <c r="R5943" s="1" t="s">
        <v>40</v>
      </c>
    </row>
    <row r="5944" spans="1:18" x14ac:dyDescent="0.25">
      <c r="A5944">
        <v>2023</v>
      </c>
      <c r="B5944">
        <v>3</v>
      </c>
      <c r="C5944" s="1" t="s">
        <v>26</v>
      </c>
      <c r="D5944" s="1" t="s">
        <v>19</v>
      </c>
      <c r="E5944" s="1" t="s">
        <v>104</v>
      </c>
      <c r="F5944">
        <v>2016</v>
      </c>
      <c r="G5944">
        <v>7</v>
      </c>
      <c r="H5944" s="1" t="s">
        <v>21</v>
      </c>
      <c r="I5944">
        <v>24</v>
      </c>
      <c r="J5944">
        <v>3317</v>
      </c>
      <c r="K5944" s="1" t="s">
        <v>105</v>
      </c>
      <c r="L5944" s="1" t="s">
        <v>23</v>
      </c>
      <c r="M5944">
        <v>2.2330000000000001</v>
      </c>
      <c r="N5944">
        <v>53586.1</v>
      </c>
      <c r="O5944">
        <v>53.585999999999999</v>
      </c>
      <c r="P5944" s="2">
        <v>44986</v>
      </c>
      <c r="Q5944">
        <v>1</v>
      </c>
      <c r="R5944" s="1" t="s">
        <v>40</v>
      </c>
    </row>
    <row r="5945" spans="1:18" x14ac:dyDescent="0.25">
      <c r="A5945">
        <v>2023</v>
      </c>
      <c r="B5945">
        <v>4</v>
      </c>
      <c r="C5945" s="1" t="s">
        <v>27</v>
      </c>
      <c r="D5945" s="1" t="s">
        <v>19</v>
      </c>
      <c r="E5945" s="1" t="s">
        <v>104</v>
      </c>
      <c r="F5945">
        <v>2016</v>
      </c>
      <c r="G5945">
        <v>7</v>
      </c>
      <c r="H5945" s="1" t="s">
        <v>21</v>
      </c>
      <c r="I5945">
        <v>24</v>
      </c>
      <c r="J5945">
        <v>3317</v>
      </c>
      <c r="K5945" s="1" t="s">
        <v>105</v>
      </c>
      <c r="L5945" s="1" t="s">
        <v>23</v>
      </c>
      <c r="M5945">
        <v>2.2690000000000001</v>
      </c>
      <c r="N5945">
        <v>54456.800000000003</v>
      </c>
      <c r="O5945">
        <v>54.457000000000001</v>
      </c>
      <c r="P5945" s="2">
        <v>45017</v>
      </c>
      <c r="Q5945">
        <v>1</v>
      </c>
      <c r="R5945" s="1" t="s">
        <v>40</v>
      </c>
    </row>
    <row r="5946" spans="1:18" x14ac:dyDescent="0.25">
      <c r="A5946">
        <v>2023</v>
      </c>
      <c r="B5946">
        <v>5</v>
      </c>
      <c r="C5946" s="1" t="s">
        <v>28</v>
      </c>
      <c r="D5946" s="1" t="s">
        <v>19</v>
      </c>
      <c r="E5946" s="1" t="s">
        <v>104</v>
      </c>
      <c r="F5946">
        <v>2016</v>
      </c>
      <c r="G5946">
        <v>7</v>
      </c>
      <c r="H5946" s="1" t="s">
        <v>21</v>
      </c>
      <c r="I5946">
        <v>24</v>
      </c>
      <c r="J5946">
        <v>3317</v>
      </c>
      <c r="K5946" s="1" t="s">
        <v>105</v>
      </c>
      <c r="L5946" s="1" t="s">
        <v>23</v>
      </c>
      <c r="M5946">
        <v>2.2549999999999999</v>
      </c>
      <c r="N5946">
        <v>54108.6</v>
      </c>
      <c r="O5946">
        <v>54.109000000000002</v>
      </c>
      <c r="P5946" s="2">
        <v>45047</v>
      </c>
      <c r="Q5946">
        <v>1</v>
      </c>
      <c r="R5946" s="1" t="s">
        <v>40</v>
      </c>
    </row>
    <row r="5947" spans="1:18" x14ac:dyDescent="0.25">
      <c r="A5947">
        <v>2023</v>
      </c>
      <c r="B5947">
        <v>6</v>
      </c>
      <c r="C5947" s="1" t="s">
        <v>29</v>
      </c>
      <c r="D5947" s="1" t="s">
        <v>19</v>
      </c>
      <c r="E5947" s="1" t="s">
        <v>104</v>
      </c>
      <c r="F5947">
        <v>2016</v>
      </c>
      <c r="G5947">
        <v>7</v>
      </c>
      <c r="H5947" s="1" t="s">
        <v>21</v>
      </c>
      <c r="I5947">
        <v>24</v>
      </c>
      <c r="J5947">
        <v>3317</v>
      </c>
      <c r="K5947" s="1" t="s">
        <v>105</v>
      </c>
      <c r="L5947" s="1" t="s">
        <v>23</v>
      </c>
      <c r="M5947">
        <v>2.4950000000000001</v>
      </c>
      <c r="N5947">
        <v>59880.1</v>
      </c>
      <c r="O5947">
        <v>59.88</v>
      </c>
      <c r="P5947" s="2">
        <v>45078</v>
      </c>
      <c r="Q5947">
        <v>1</v>
      </c>
      <c r="R5947" s="1" t="s">
        <v>40</v>
      </c>
    </row>
    <row r="5948" spans="1:18" x14ac:dyDescent="0.25">
      <c r="A5948">
        <v>2023</v>
      </c>
      <c r="B5948">
        <v>7</v>
      </c>
      <c r="C5948" s="1" t="s">
        <v>30</v>
      </c>
      <c r="D5948" s="1" t="s">
        <v>19</v>
      </c>
      <c r="E5948" s="1" t="s">
        <v>104</v>
      </c>
      <c r="F5948">
        <v>2016</v>
      </c>
      <c r="G5948">
        <v>7</v>
      </c>
      <c r="H5948" s="1" t="s">
        <v>21</v>
      </c>
      <c r="I5948">
        <v>24</v>
      </c>
      <c r="J5948">
        <v>3317</v>
      </c>
      <c r="K5948" s="1" t="s">
        <v>105</v>
      </c>
      <c r="L5948" s="1" t="s">
        <v>23</v>
      </c>
      <c r="M5948">
        <v>2.294</v>
      </c>
      <c r="N5948">
        <v>55053.9</v>
      </c>
      <c r="O5948">
        <v>55.054000000000002</v>
      </c>
      <c r="P5948" s="2">
        <v>45108</v>
      </c>
      <c r="Q5948">
        <v>1</v>
      </c>
      <c r="R5948" s="1" t="s">
        <v>40</v>
      </c>
    </row>
    <row r="5949" spans="1:18" x14ac:dyDescent="0.25">
      <c r="A5949">
        <v>2023</v>
      </c>
      <c r="B5949">
        <v>8</v>
      </c>
      <c r="C5949" s="1" t="s">
        <v>31</v>
      </c>
      <c r="D5949" s="1" t="s">
        <v>19</v>
      </c>
      <c r="E5949" s="1" t="s">
        <v>104</v>
      </c>
      <c r="F5949">
        <v>2016</v>
      </c>
      <c r="G5949">
        <v>7</v>
      </c>
      <c r="H5949" s="1" t="s">
        <v>21</v>
      </c>
      <c r="I5949">
        <v>24</v>
      </c>
      <c r="J5949">
        <v>3317</v>
      </c>
      <c r="K5949" s="1" t="s">
        <v>105</v>
      </c>
      <c r="L5949" s="1" t="s">
        <v>23</v>
      </c>
      <c r="M5949">
        <v>2.4119999999999999</v>
      </c>
      <c r="N5949">
        <v>57889.9</v>
      </c>
      <c r="O5949">
        <v>57.89</v>
      </c>
      <c r="P5949" s="2">
        <v>45139</v>
      </c>
      <c r="Q5949">
        <v>1</v>
      </c>
      <c r="R5949" s="1" t="s">
        <v>40</v>
      </c>
    </row>
    <row r="5950" spans="1:18" x14ac:dyDescent="0.25">
      <c r="A5950">
        <v>2023</v>
      </c>
      <c r="B5950">
        <v>9</v>
      </c>
      <c r="C5950" s="1" t="s">
        <v>32</v>
      </c>
      <c r="D5950" s="1" t="s">
        <v>19</v>
      </c>
      <c r="E5950" s="1" t="s">
        <v>104</v>
      </c>
      <c r="F5950">
        <v>2016</v>
      </c>
      <c r="G5950">
        <v>7</v>
      </c>
      <c r="H5950" s="1" t="s">
        <v>21</v>
      </c>
      <c r="I5950">
        <v>24</v>
      </c>
      <c r="J5950">
        <v>3317</v>
      </c>
      <c r="K5950" s="1" t="s">
        <v>105</v>
      </c>
      <c r="L5950" s="1" t="s">
        <v>23</v>
      </c>
      <c r="M5950">
        <v>2.4940000000000002</v>
      </c>
      <c r="N5950">
        <v>59855.3</v>
      </c>
      <c r="O5950">
        <v>59.854999999999997</v>
      </c>
      <c r="P5950" s="2">
        <v>45170</v>
      </c>
      <c r="Q5950">
        <v>1</v>
      </c>
      <c r="R5950" s="1" t="s">
        <v>40</v>
      </c>
    </row>
    <row r="5951" spans="1:18" x14ac:dyDescent="0.25">
      <c r="A5951">
        <v>2023</v>
      </c>
      <c r="B5951">
        <v>10</v>
      </c>
      <c r="C5951" s="1" t="s">
        <v>33</v>
      </c>
      <c r="D5951" s="1" t="s">
        <v>19</v>
      </c>
      <c r="E5951" s="1" t="s">
        <v>104</v>
      </c>
      <c r="F5951">
        <v>2016</v>
      </c>
      <c r="G5951">
        <v>7</v>
      </c>
      <c r="H5951" s="1" t="s">
        <v>21</v>
      </c>
      <c r="I5951">
        <v>24</v>
      </c>
      <c r="J5951">
        <v>3317</v>
      </c>
      <c r="K5951" s="1" t="s">
        <v>105</v>
      </c>
      <c r="L5951" s="1" t="s">
        <v>23</v>
      </c>
      <c r="M5951">
        <v>2.2120000000000002</v>
      </c>
      <c r="N5951">
        <v>53088.6</v>
      </c>
      <c r="O5951">
        <v>53.088999999999999</v>
      </c>
      <c r="P5951" s="2">
        <v>45200</v>
      </c>
      <c r="Q5951">
        <v>1</v>
      </c>
      <c r="R5951" s="1" t="s">
        <v>40</v>
      </c>
    </row>
    <row r="5952" spans="1:18" x14ac:dyDescent="0.25">
      <c r="A5952">
        <v>2023</v>
      </c>
      <c r="B5952">
        <v>11</v>
      </c>
      <c r="C5952" s="1" t="s">
        <v>34</v>
      </c>
      <c r="D5952" s="1" t="s">
        <v>19</v>
      </c>
      <c r="E5952" s="1" t="s">
        <v>104</v>
      </c>
      <c r="F5952">
        <v>2016</v>
      </c>
      <c r="G5952">
        <v>7</v>
      </c>
      <c r="H5952" s="1" t="s">
        <v>21</v>
      </c>
      <c r="I5952">
        <v>24</v>
      </c>
      <c r="J5952">
        <v>3317</v>
      </c>
      <c r="K5952" s="1" t="s">
        <v>105</v>
      </c>
      <c r="L5952" s="1" t="s">
        <v>23</v>
      </c>
      <c r="M5952">
        <v>1.83</v>
      </c>
      <c r="N5952">
        <v>43908.800000000003</v>
      </c>
      <c r="O5952">
        <v>43.908999999999999</v>
      </c>
      <c r="P5952" s="2">
        <v>45231</v>
      </c>
      <c r="Q5952">
        <v>1</v>
      </c>
      <c r="R5952" s="1" t="s">
        <v>40</v>
      </c>
    </row>
    <row r="5953" spans="1:18" x14ac:dyDescent="0.25">
      <c r="A5953">
        <v>2023</v>
      </c>
      <c r="B5953">
        <v>12</v>
      </c>
      <c r="C5953" s="1" t="s">
        <v>35</v>
      </c>
      <c r="D5953" s="1" t="s">
        <v>19</v>
      </c>
      <c r="E5953" s="1" t="s">
        <v>104</v>
      </c>
      <c r="F5953">
        <v>2016</v>
      </c>
      <c r="G5953">
        <v>7</v>
      </c>
      <c r="H5953" s="1" t="s">
        <v>21</v>
      </c>
      <c r="I5953">
        <v>24</v>
      </c>
      <c r="J5953">
        <v>3317</v>
      </c>
      <c r="K5953" s="1" t="s">
        <v>105</v>
      </c>
      <c r="L5953" s="1" t="s">
        <v>23</v>
      </c>
      <c r="M5953">
        <v>0.88400000000000001</v>
      </c>
      <c r="N5953">
        <v>21220.5</v>
      </c>
      <c r="O5953">
        <v>21.221</v>
      </c>
      <c r="P5953" s="2">
        <v>45261</v>
      </c>
      <c r="Q5953">
        <v>1</v>
      </c>
      <c r="R5953" s="1" t="s">
        <v>40</v>
      </c>
    </row>
    <row r="5954" spans="1:18" x14ac:dyDescent="0.25">
      <c r="A5954">
        <v>2023</v>
      </c>
      <c r="B5954">
        <v>1</v>
      </c>
      <c r="C5954" s="1" t="s">
        <v>18</v>
      </c>
      <c r="D5954" s="1" t="s">
        <v>19</v>
      </c>
      <c r="E5954" s="1" t="s">
        <v>106</v>
      </c>
      <c r="F5954">
        <v>2016</v>
      </c>
      <c r="G5954">
        <v>7</v>
      </c>
      <c r="H5954" s="1" t="s">
        <v>21</v>
      </c>
      <c r="I5954">
        <v>17</v>
      </c>
      <c r="J5954">
        <v>2219</v>
      </c>
      <c r="K5954" s="1" t="s">
        <v>107</v>
      </c>
      <c r="L5954" s="1" t="s">
        <v>23</v>
      </c>
      <c r="M5954">
        <v>1.266</v>
      </c>
      <c r="N5954">
        <v>21518.799999999999</v>
      </c>
      <c r="O5954">
        <v>21.518999999999998</v>
      </c>
      <c r="P5954" s="2">
        <v>44927</v>
      </c>
      <c r="Q5954">
        <v>1</v>
      </c>
      <c r="R5954" s="1" t="s">
        <v>40</v>
      </c>
    </row>
    <row r="5955" spans="1:18" x14ac:dyDescent="0.25">
      <c r="A5955">
        <v>2023</v>
      </c>
      <c r="B5955">
        <v>2</v>
      </c>
      <c r="C5955" s="1" t="s">
        <v>25</v>
      </c>
      <c r="D5955" s="1" t="s">
        <v>19</v>
      </c>
      <c r="E5955" s="1" t="s">
        <v>106</v>
      </c>
      <c r="F5955">
        <v>2016</v>
      </c>
      <c r="G5955">
        <v>7</v>
      </c>
      <c r="H5955" s="1" t="s">
        <v>21</v>
      </c>
      <c r="I5955">
        <v>17</v>
      </c>
      <c r="J5955">
        <v>2219</v>
      </c>
      <c r="K5955" s="1" t="s">
        <v>107</v>
      </c>
      <c r="L5955" s="1" t="s">
        <v>23</v>
      </c>
      <c r="M5955">
        <v>1.8160000000000001</v>
      </c>
      <c r="N5955">
        <v>30871.8</v>
      </c>
      <c r="O5955">
        <v>30.872</v>
      </c>
      <c r="P5955" s="2">
        <v>44958</v>
      </c>
      <c r="Q5955">
        <v>1</v>
      </c>
      <c r="R5955" s="1" t="s">
        <v>40</v>
      </c>
    </row>
    <row r="5956" spans="1:18" x14ac:dyDescent="0.25">
      <c r="A5956">
        <v>2023</v>
      </c>
      <c r="B5956">
        <v>3</v>
      </c>
      <c r="C5956" s="1" t="s">
        <v>26</v>
      </c>
      <c r="D5956" s="1" t="s">
        <v>19</v>
      </c>
      <c r="E5956" s="1" t="s">
        <v>106</v>
      </c>
      <c r="F5956">
        <v>2016</v>
      </c>
      <c r="G5956">
        <v>7</v>
      </c>
      <c r="H5956" s="1" t="s">
        <v>21</v>
      </c>
      <c r="I5956">
        <v>17</v>
      </c>
      <c r="J5956">
        <v>2219</v>
      </c>
      <c r="K5956" s="1" t="s">
        <v>107</v>
      </c>
      <c r="L5956" s="1" t="s">
        <v>23</v>
      </c>
      <c r="M5956">
        <v>2.109</v>
      </c>
      <c r="N5956">
        <v>35847.9</v>
      </c>
      <c r="O5956">
        <v>35.847999999999999</v>
      </c>
      <c r="P5956" s="2">
        <v>44986</v>
      </c>
      <c r="Q5956">
        <v>1</v>
      </c>
      <c r="R5956" s="1" t="s">
        <v>40</v>
      </c>
    </row>
    <row r="5957" spans="1:18" x14ac:dyDescent="0.25">
      <c r="A5957">
        <v>2023</v>
      </c>
      <c r="B5957">
        <v>4</v>
      </c>
      <c r="C5957" s="1" t="s">
        <v>27</v>
      </c>
      <c r="D5957" s="1" t="s">
        <v>19</v>
      </c>
      <c r="E5957" s="1" t="s">
        <v>106</v>
      </c>
      <c r="F5957">
        <v>2016</v>
      </c>
      <c r="G5957">
        <v>7</v>
      </c>
      <c r="H5957" s="1" t="s">
        <v>21</v>
      </c>
      <c r="I5957">
        <v>17</v>
      </c>
      <c r="J5957">
        <v>2219</v>
      </c>
      <c r="K5957" s="1" t="s">
        <v>107</v>
      </c>
      <c r="L5957" s="1" t="s">
        <v>23</v>
      </c>
      <c r="M5957">
        <v>2.1429999999999998</v>
      </c>
      <c r="N5957">
        <v>36430.400000000001</v>
      </c>
      <c r="O5957">
        <v>36.43</v>
      </c>
      <c r="P5957" s="2">
        <v>45017</v>
      </c>
      <c r="Q5957">
        <v>1</v>
      </c>
      <c r="R5957" s="1" t="s">
        <v>40</v>
      </c>
    </row>
    <row r="5958" spans="1:18" x14ac:dyDescent="0.25">
      <c r="A5958">
        <v>2023</v>
      </c>
      <c r="B5958">
        <v>5</v>
      </c>
      <c r="C5958" s="1" t="s">
        <v>28</v>
      </c>
      <c r="D5958" s="1" t="s">
        <v>19</v>
      </c>
      <c r="E5958" s="1" t="s">
        <v>106</v>
      </c>
      <c r="F5958">
        <v>2016</v>
      </c>
      <c r="G5958">
        <v>7</v>
      </c>
      <c r="H5958" s="1" t="s">
        <v>21</v>
      </c>
      <c r="I5958">
        <v>17</v>
      </c>
      <c r="J5958">
        <v>2219</v>
      </c>
      <c r="K5958" s="1" t="s">
        <v>107</v>
      </c>
      <c r="L5958" s="1" t="s">
        <v>23</v>
      </c>
      <c r="M5958">
        <v>2.129</v>
      </c>
      <c r="N5958">
        <v>36197.4</v>
      </c>
      <c r="O5958">
        <v>36.197000000000003</v>
      </c>
      <c r="P5958" s="2">
        <v>45047</v>
      </c>
      <c r="Q5958">
        <v>1</v>
      </c>
      <c r="R5958" s="1" t="s">
        <v>40</v>
      </c>
    </row>
    <row r="5959" spans="1:18" x14ac:dyDescent="0.25">
      <c r="A5959">
        <v>2023</v>
      </c>
      <c r="B5959">
        <v>6</v>
      </c>
      <c r="C5959" s="1" t="s">
        <v>29</v>
      </c>
      <c r="D5959" s="1" t="s">
        <v>19</v>
      </c>
      <c r="E5959" s="1" t="s">
        <v>106</v>
      </c>
      <c r="F5959">
        <v>2016</v>
      </c>
      <c r="G5959">
        <v>7</v>
      </c>
      <c r="H5959" s="1" t="s">
        <v>21</v>
      </c>
      <c r="I5959">
        <v>17</v>
      </c>
      <c r="J5959">
        <v>2219</v>
      </c>
      <c r="K5959" s="1" t="s">
        <v>107</v>
      </c>
      <c r="L5959" s="1" t="s">
        <v>23</v>
      </c>
      <c r="M5959">
        <v>2.3559999999999999</v>
      </c>
      <c r="N5959">
        <v>40058.5</v>
      </c>
      <c r="O5959">
        <v>40.058</v>
      </c>
      <c r="P5959" s="2">
        <v>45078</v>
      </c>
      <c r="Q5959">
        <v>1</v>
      </c>
      <c r="R5959" s="1" t="s">
        <v>40</v>
      </c>
    </row>
    <row r="5960" spans="1:18" x14ac:dyDescent="0.25">
      <c r="A5960">
        <v>2023</v>
      </c>
      <c r="B5960">
        <v>7</v>
      </c>
      <c r="C5960" s="1" t="s">
        <v>30</v>
      </c>
      <c r="D5960" s="1" t="s">
        <v>19</v>
      </c>
      <c r="E5960" s="1" t="s">
        <v>106</v>
      </c>
      <c r="F5960">
        <v>2016</v>
      </c>
      <c r="G5960">
        <v>7</v>
      </c>
      <c r="H5960" s="1" t="s">
        <v>21</v>
      </c>
      <c r="I5960">
        <v>17</v>
      </c>
      <c r="J5960">
        <v>2219</v>
      </c>
      <c r="K5960" s="1" t="s">
        <v>107</v>
      </c>
      <c r="L5960" s="1" t="s">
        <v>23</v>
      </c>
      <c r="M5960">
        <v>2.1659999999999999</v>
      </c>
      <c r="N5960">
        <v>36829.9</v>
      </c>
      <c r="O5960">
        <v>36.83</v>
      </c>
      <c r="P5960" s="2">
        <v>45108</v>
      </c>
      <c r="Q5960">
        <v>1</v>
      </c>
      <c r="R5960" s="1" t="s">
        <v>40</v>
      </c>
    </row>
    <row r="5961" spans="1:18" x14ac:dyDescent="0.25">
      <c r="A5961">
        <v>2023</v>
      </c>
      <c r="B5961">
        <v>8</v>
      </c>
      <c r="C5961" s="1" t="s">
        <v>31</v>
      </c>
      <c r="D5961" s="1" t="s">
        <v>19</v>
      </c>
      <c r="E5961" s="1" t="s">
        <v>106</v>
      </c>
      <c r="F5961">
        <v>2016</v>
      </c>
      <c r="G5961">
        <v>7</v>
      </c>
      <c r="H5961" s="1" t="s">
        <v>21</v>
      </c>
      <c r="I5961">
        <v>17</v>
      </c>
      <c r="J5961">
        <v>2219</v>
      </c>
      <c r="K5961" s="1" t="s">
        <v>107</v>
      </c>
      <c r="L5961" s="1" t="s">
        <v>23</v>
      </c>
      <c r="M5961">
        <v>2.278</v>
      </c>
      <c r="N5961">
        <v>38727.1</v>
      </c>
      <c r="O5961">
        <v>38.726999999999997</v>
      </c>
      <c r="P5961" s="2">
        <v>45139</v>
      </c>
      <c r="Q5961">
        <v>1</v>
      </c>
      <c r="R5961" s="1" t="s">
        <v>40</v>
      </c>
    </row>
    <row r="5962" spans="1:18" x14ac:dyDescent="0.25">
      <c r="A5962">
        <v>2023</v>
      </c>
      <c r="B5962">
        <v>9</v>
      </c>
      <c r="C5962" s="1" t="s">
        <v>32</v>
      </c>
      <c r="D5962" s="1" t="s">
        <v>19</v>
      </c>
      <c r="E5962" s="1" t="s">
        <v>106</v>
      </c>
      <c r="F5962">
        <v>2016</v>
      </c>
      <c r="G5962">
        <v>7</v>
      </c>
      <c r="H5962" s="1" t="s">
        <v>21</v>
      </c>
      <c r="I5962">
        <v>17</v>
      </c>
      <c r="J5962">
        <v>2219</v>
      </c>
      <c r="K5962" s="1" t="s">
        <v>107</v>
      </c>
      <c r="L5962" s="1" t="s">
        <v>23</v>
      </c>
      <c r="M5962">
        <v>2.355</v>
      </c>
      <c r="N5962">
        <v>40041.9</v>
      </c>
      <c r="O5962">
        <v>40.042000000000002</v>
      </c>
      <c r="P5962" s="2">
        <v>45170</v>
      </c>
      <c r="Q5962">
        <v>1</v>
      </c>
      <c r="R5962" s="1" t="s">
        <v>40</v>
      </c>
    </row>
    <row r="5963" spans="1:18" x14ac:dyDescent="0.25">
      <c r="A5963">
        <v>2023</v>
      </c>
      <c r="B5963">
        <v>10</v>
      </c>
      <c r="C5963" s="1" t="s">
        <v>33</v>
      </c>
      <c r="D5963" s="1" t="s">
        <v>19</v>
      </c>
      <c r="E5963" s="1" t="s">
        <v>106</v>
      </c>
      <c r="F5963">
        <v>2016</v>
      </c>
      <c r="G5963">
        <v>7</v>
      </c>
      <c r="H5963" s="1" t="s">
        <v>21</v>
      </c>
      <c r="I5963">
        <v>17</v>
      </c>
      <c r="J5963">
        <v>2219</v>
      </c>
      <c r="K5963" s="1" t="s">
        <v>107</v>
      </c>
      <c r="L5963" s="1" t="s">
        <v>23</v>
      </c>
      <c r="M5963">
        <v>2.089</v>
      </c>
      <c r="N5963">
        <v>35515.1</v>
      </c>
      <c r="O5963">
        <v>35.515000000000001</v>
      </c>
      <c r="P5963" s="2">
        <v>45200</v>
      </c>
      <c r="Q5963">
        <v>1</v>
      </c>
      <c r="R5963" s="1" t="s">
        <v>40</v>
      </c>
    </row>
    <row r="5964" spans="1:18" x14ac:dyDescent="0.25">
      <c r="A5964">
        <v>2023</v>
      </c>
      <c r="B5964">
        <v>11</v>
      </c>
      <c r="C5964" s="1" t="s">
        <v>34</v>
      </c>
      <c r="D5964" s="1" t="s">
        <v>19</v>
      </c>
      <c r="E5964" s="1" t="s">
        <v>106</v>
      </c>
      <c r="F5964">
        <v>2016</v>
      </c>
      <c r="G5964">
        <v>7</v>
      </c>
      <c r="H5964" s="1" t="s">
        <v>21</v>
      </c>
      <c r="I5964">
        <v>17</v>
      </c>
      <c r="J5964">
        <v>2219</v>
      </c>
      <c r="K5964" s="1" t="s">
        <v>107</v>
      </c>
      <c r="L5964" s="1" t="s">
        <v>23</v>
      </c>
      <c r="M5964">
        <v>1.728</v>
      </c>
      <c r="N5964">
        <v>29374</v>
      </c>
      <c r="O5964">
        <v>29.373999999999999</v>
      </c>
      <c r="P5964" s="2">
        <v>45231</v>
      </c>
      <c r="Q5964">
        <v>1</v>
      </c>
      <c r="R5964" s="1" t="s">
        <v>40</v>
      </c>
    </row>
    <row r="5965" spans="1:18" x14ac:dyDescent="0.25">
      <c r="A5965">
        <v>2023</v>
      </c>
      <c r="B5965">
        <v>12</v>
      </c>
      <c r="C5965" s="1" t="s">
        <v>35</v>
      </c>
      <c r="D5965" s="1" t="s">
        <v>19</v>
      </c>
      <c r="E5965" s="1" t="s">
        <v>106</v>
      </c>
      <c r="F5965">
        <v>2016</v>
      </c>
      <c r="G5965">
        <v>7</v>
      </c>
      <c r="H5965" s="1" t="s">
        <v>21</v>
      </c>
      <c r="I5965">
        <v>17</v>
      </c>
      <c r="J5965">
        <v>2219</v>
      </c>
      <c r="K5965" s="1" t="s">
        <v>107</v>
      </c>
      <c r="L5965" s="1" t="s">
        <v>23</v>
      </c>
      <c r="M5965">
        <v>0.83499999999999996</v>
      </c>
      <c r="N5965">
        <v>14196.1</v>
      </c>
      <c r="O5965">
        <v>14.196</v>
      </c>
      <c r="P5965" s="2">
        <v>45261</v>
      </c>
      <c r="Q5965">
        <v>1</v>
      </c>
      <c r="R5965" s="1" t="s">
        <v>40</v>
      </c>
    </row>
    <row r="5966" spans="1:18" x14ac:dyDescent="0.25">
      <c r="A5966">
        <v>2023</v>
      </c>
      <c r="B5966">
        <v>1</v>
      </c>
      <c r="C5966" s="1" t="s">
        <v>18</v>
      </c>
      <c r="D5966" s="1" t="s">
        <v>19</v>
      </c>
      <c r="E5966" s="1" t="s">
        <v>108</v>
      </c>
      <c r="F5966">
        <v>2016</v>
      </c>
      <c r="G5966">
        <v>7</v>
      </c>
      <c r="H5966" s="1" t="s">
        <v>21</v>
      </c>
      <c r="I5966">
        <v>15</v>
      </c>
      <c r="J5966">
        <v>2142</v>
      </c>
      <c r="K5966" s="1" t="s">
        <v>109</v>
      </c>
      <c r="L5966" s="1" t="s">
        <v>23</v>
      </c>
      <c r="M5966">
        <v>1.385</v>
      </c>
      <c r="N5966">
        <v>20772</v>
      </c>
      <c r="O5966">
        <v>20.771999999999998</v>
      </c>
      <c r="P5966" s="2">
        <v>44927</v>
      </c>
      <c r="Q5966">
        <v>1</v>
      </c>
      <c r="R5966" s="1" t="s">
        <v>40</v>
      </c>
    </row>
    <row r="5967" spans="1:18" x14ac:dyDescent="0.25">
      <c r="A5967">
        <v>2023</v>
      </c>
      <c r="B5967">
        <v>2</v>
      </c>
      <c r="C5967" s="1" t="s">
        <v>25</v>
      </c>
      <c r="D5967" s="1" t="s">
        <v>19</v>
      </c>
      <c r="E5967" s="1" t="s">
        <v>108</v>
      </c>
      <c r="F5967">
        <v>2016</v>
      </c>
      <c r="G5967">
        <v>7</v>
      </c>
      <c r="H5967" s="1" t="s">
        <v>21</v>
      </c>
      <c r="I5967">
        <v>15</v>
      </c>
      <c r="J5967">
        <v>2142</v>
      </c>
      <c r="K5967" s="1" t="s">
        <v>109</v>
      </c>
      <c r="L5967" s="1" t="s">
        <v>23</v>
      </c>
      <c r="M5967">
        <v>1.9870000000000001</v>
      </c>
      <c r="N5967">
        <v>29800.6</v>
      </c>
      <c r="O5967">
        <v>29.800999999999998</v>
      </c>
      <c r="P5967" s="2">
        <v>44958</v>
      </c>
      <c r="Q5967">
        <v>1</v>
      </c>
      <c r="R5967" s="1" t="s">
        <v>40</v>
      </c>
    </row>
    <row r="5968" spans="1:18" x14ac:dyDescent="0.25">
      <c r="A5968">
        <v>2023</v>
      </c>
      <c r="B5968">
        <v>3</v>
      </c>
      <c r="C5968" s="1" t="s">
        <v>26</v>
      </c>
      <c r="D5968" s="1" t="s">
        <v>19</v>
      </c>
      <c r="E5968" s="1" t="s">
        <v>108</v>
      </c>
      <c r="F5968">
        <v>2016</v>
      </c>
      <c r="G5968">
        <v>7</v>
      </c>
      <c r="H5968" s="1" t="s">
        <v>21</v>
      </c>
      <c r="I5968">
        <v>15</v>
      </c>
      <c r="J5968">
        <v>2142</v>
      </c>
      <c r="K5968" s="1" t="s">
        <v>109</v>
      </c>
      <c r="L5968" s="1" t="s">
        <v>23</v>
      </c>
      <c r="M5968">
        <v>2.3069999999999999</v>
      </c>
      <c r="N5968">
        <v>34604</v>
      </c>
      <c r="O5968">
        <v>34.603999999999999</v>
      </c>
      <c r="P5968" s="2">
        <v>44986</v>
      </c>
      <c r="Q5968">
        <v>1</v>
      </c>
      <c r="R5968" s="1" t="s">
        <v>40</v>
      </c>
    </row>
    <row r="5969" spans="1:18" x14ac:dyDescent="0.25">
      <c r="A5969">
        <v>2023</v>
      </c>
      <c r="B5969">
        <v>4</v>
      </c>
      <c r="C5969" s="1" t="s">
        <v>27</v>
      </c>
      <c r="D5969" s="1" t="s">
        <v>19</v>
      </c>
      <c r="E5969" s="1" t="s">
        <v>108</v>
      </c>
      <c r="F5969">
        <v>2016</v>
      </c>
      <c r="G5969">
        <v>7</v>
      </c>
      <c r="H5969" s="1" t="s">
        <v>21</v>
      </c>
      <c r="I5969">
        <v>15</v>
      </c>
      <c r="J5969">
        <v>2142</v>
      </c>
      <c r="K5969" s="1" t="s">
        <v>109</v>
      </c>
      <c r="L5969" s="1" t="s">
        <v>23</v>
      </c>
      <c r="M5969">
        <v>2.3439999999999999</v>
      </c>
      <c r="N5969">
        <v>35166.300000000003</v>
      </c>
      <c r="O5969">
        <v>35.165999999999997</v>
      </c>
      <c r="P5969" s="2">
        <v>45017</v>
      </c>
      <c r="Q5969">
        <v>1</v>
      </c>
      <c r="R5969" s="1" t="s">
        <v>40</v>
      </c>
    </row>
    <row r="5970" spans="1:18" x14ac:dyDescent="0.25">
      <c r="A5970">
        <v>2023</v>
      </c>
      <c r="B5970">
        <v>5</v>
      </c>
      <c r="C5970" s="1" t="s">
        <v>28</v>
      </c>
      <c r="D5970" s="1" t="s">
        <v>19</v>
      </c>
      <c r="E5970" s="1" t="s">
        <v>108</v>
      </c>
      <c r="F5970">
        <v>2016</v>
      </c>
      <c r="G5970">
        <v>7</v>
      </c>
      <c r="H5970" s="1" t="s">
        <v>21</v>
      </c>
      <c r="I5970">
        <v>15</v>
      </c>
      <c r="J5970">
        <v>2142</v>
      </c>
      <c r="K5970" s="1" t="s">
        <v>109</v>
      </c>
      <c r="L5970" s="1" t="s">
        <v>23</v>
      </c>
      <c r="M5970">
        <v>2.3290000000000002</v>
      </c>
      <c r="N5970">
        <v>34941.4</v>
      </c>
      <c r="O5970">
        <v>34.941000000000003</v>
      </c>
      <c r="P5970" s="2">
        <v>45047</v>
      </c>
      <c r="Q5970">
        <v>1</v>
      </c>
      <c r="R5970" s="1" t="s">
        <v>40</v>
      </c>
    </row>
    <row r="5971" spans="1:18" x14ac:dyDescent="0.25">
      <c r="A5971">
        <v>2023</v>
      </c>
      <c r="B5971">
        <v>6</v>
      </c>
      <c r="C5971" s="1" t="s">
        <v>29</v>
      </c>
      <c r="D5971" s="1" t="s">
        <v>19</v>
      </c>
      <c r="E5971" s="1" t="s">
        <v>108</v>
      </c>
      <c r="F5971">
        <v>2016</v>
      </c>
      <c r="G5971">
        <v>7</v>
      </c>
      <c r="H5971" s="1" t="s">
        <v>21</v>
      </c>
      <c r="I5971">
        <v>15</v>
      </c>
      <c r="J5971">
        <v>2142</v>
      </c>
      <c r="K5971" s="1" t="s">
        <v>109</v>
      </c>
      <c r="L5971" s="1" t="s">
        <v>23</v>
      </c>
      <c r="M5971">
        <v>2.5779999999999998</v>
      </c>
      <c r="N5971">
        <v>38668.5</v>
      </c>
      <c r="O5971">
        <v>38.667999999999999</v>
      </c>
      <c r="P5971" s="2">
        <v>45078</v>
      </c>
      <c r="Q5971">
        <v>1</v>
      </c>
      <c r="R5971" s="1" t="s">
        <v>40</v>
      </c>
    </row>
    <row r="5972" spans="1:18" x14ac:dyDescent="0.25">
      <c r="A5972">
        <v>2023</v>
      </c>
      <c r="B5972">
        <v>7</v>
      </c>
      <c r="C5972" s="1" t="s">
        <v>30</v>
      </c>
      <c r="D5972" s="1" t="s">
        <v>19</v>
      </c>
      <c r="E5972" s="1" t="s">
        <v>108</v>
      </c>
      <c r="F5972">
        <v>2016</v>
      </c>
      <c r="G5972">
        <v>7</v>
      </c>
      <c r="H5972" s="1" t="s">
        <v>21</v>
      </c>
      <c r="I5972">
        <v>15</v>
      </c>
      <c r="J5972">
        <v>2142</v>
      </c>
      <c r="K5972" s="1" t="s">
        <v>109</v>
      </c>
      <c r="L5972" s="1" t="s">
        <v>23</v>
      </c>
      <c r="M5972">
        <v>2.37</v>
      </c>
      <c r="N5972">
        <v>35551.800000000003</v>
      </c>
      <c r="O5972">
        <v>35.552</v>
      </c>
      <c r="P5972" s="2">
        <v>45108</v>
      </c>
      <c r="Q5972">
        <v>1</v>
      </c>
      <c r="R5972" s="1" t="s">
        <v>40</v>
      </c>
    </row>
    <row r="5973" spans="1:18" x14ac:dyDescent="0.25">
      <c r="A5973">
        <v>2023</v>
      </c>
      <c r="B5973">
        <v>8</v>
      </c>
      <c r="C5973" s="1" t="s">
        <v>31</v>
      </c>
      <c r="D5973" s="1" t="s">
        <v>19</v>
      </c>
      <c r="E5973" s="1" t="s">
        <v>108</v>
      </c>
      <c r="F5973">
        <v>2016</v>
      </c>
      <c r="G5973">
        <v>7</v>
      </c>
      <c r="H5973" s="1" t="s">
        <v>21</v>
      </c>
      <c r="I5973">
        <v>15</v>
      </c>
      <c r="J5973">
        <v>2142</v>
      </c>
      <c r="K5973" s="1" t="s">
        <v>109</v>
      </c>
      <c r="L5973" s="1" t="s">
        <v>23</v>
      </c>
      <c r="M5973">
        <v>2.492</v>
      </c>
      <c r="N5973">
        <v>37383.300000000003</v>
      </c>
      <c r="O5973">
        <v>37.383000000000003</v>
      </c>
      <c r="P5973" s="2">
        <v>45139</v>
      </c>
      <c r="Q5973">
        <v>1</v>
      </c>
      <c r="R5973" s="1" t="s">
        <v>40</v>
      </c>
    </row>
    <row r="5974" spans="1:18" x14ac:dyDescent="0.25">
      <c r="A5974">
        <v>2023</v>
      </c>
      <c r="B5974">
        <v>9</v>
      </c>
      <c r="C5974" s="1" t="s">
        <v>32</v>
      </c>
      <c r="D5974" s="1" t="s">
        <v>19</v>
      </c>
      <c r="E5974" s="1" t="s">
        <v>108</v>
      </c>
      <c r="F5974">
        <v>2016</v>
      </c>
      <c r="G5974">
        <v>7</v>
      </c>
      <c r="H5974" s="1" t="s">
        <v>21</v>
      </c>
      <c r="I5974">
        <v>15</v>
      </c>
      <c r="J5974">
        <v>2142</v>
      </c>
      <c r="K5974" s="1" t="s">
        <v>109</v>
      </c>
      <c r="L5974" s="1" t="s">
        <v>23</v>
      </c>
      <c r="M5974">
        <v>2.577</v>
      </c>
      <c r="N5974">
        <v>38652.400000000001</v>
      </c>
      <c r="O5974">
        <v>38.652000000000001</v>
      </c>
      <c r="P5974" s="2">
        <v>45170</v>
      </c>
      <c r="Q5974">
        <v>1</v>
      </c>
      <c r="R5974" s="1" t="s">
        <v>40</v>
      </c>
    </row>
    <row r="5975" spans="1:18" x14ac:dyDescent="0.25">
      <c r="A5975">
        <v>2023</v>
      </c>
      <c r="B5975">
        <v>10</v>
      </c>
      <c r="C5975" s="1" t="s">
        <v>33</v>
      </c>
      <c r="D5975" s="1" t="s">
        <v>19</v>
      </c>
      <c r="E5975" s="1" t="s">
        <v>108</v>
      </c>
      <c r="F5975">
        <v>2016</v>
      </c>
      <c r="G5975">
        <v>7</v>
      </c>
      <c r="H5975" s="1" t="s">
        <v>21</v>
      </c>
      <c r="I5975">
        <v>15</v>
      </c>
      <c r="J5975">
        <v>2142</v>
      </c>
      <c r="K5975" s="1" t="s">
        <v>109</v>
      </c>
      <c r="L5975" s="1" t="s">
        <v>23</v>
      </c>
      <c r="M5975">
        <v>2.286</v>
      </c>
      <c r="N5975">
        <v>34282.699999999997</v>
      </c>
      <c r="O5975">
        <v>34.283000000000001</v>
      </c>
      <c r="P5975" s="2">
        <v>45200</v>
      </c>
      <c r="Q5975">
        <v>1</v>
      </c>
      <c r="R5975" s="1" t="s">
        <v>40</v>
      </c>
    </row>
    <row r="5976" spans="1:18" x14ac:dyDescent="0.25">
      <c r="A5976">
        <v>2023</v>
      </c>
      <c r="B5976">
        <v>11</v>
      </c>
      <c r="C5976" s="1" t="s">
        <v>34</v>
      </c>
      <c r="D5976" s="1" t="s">
        <v>19</v>
      </c>
      <c r="E5976" s="1" t="s">
        <v>108</v>
      </c>
      <c r="F5976">
        <v>2016</v>
      </c>
      <c r="G5976">
        <v>7</v>
      </c>
      <c r="H5976" s="1" t="s">
        <v>21</v>
      </c>
      <c r="I5976">
        <v>15</v>
      </c>
      <c r="J5976">
        <v>2142</v>
      </c>
      <c r="K5976" s="1" t="s">
        <v>109</v>
      </c>
      <c r="L5976" s="1" t="s">
        <v>23</v>
      </c>
      <c r="M5976">
        <v>1.89</v>
      </c>
      <c r="N5976">
        <v>28354.7</v>
      </c>
      <c r="O5976">
        <v>28.355</v>
      </c>
      <c r="P5976" s="2">
        <v>45231</v>
      </c>
      <c r="Q5976">
        <v>1</v>
      </c>
      <c r="R5976" s="1" t="s">
        <v>40</v>
      </c>
    </row>
    <row r="5977" spans="1:18" x14ac:dyDescent="0.25">
      <c r="A5977">
        <v>2023</v>
      </c>
      <c r="B5977">
        <v>12</v>
      </c>
      <c r="C5977" s="1" t="s">
        <v>35</v>
      </c>
      <c r="D5977" s="1" t="s">
        <v>19</v>
      </c>
      <c r="E5977" s="1" t="s">
        <v>108</v>
      </c>
      <c r="F5977">
        <v>2016</v>
      </c>
      <c r="G5977">
        <v>7</v>
      </c>
      <c r="H5977" s="1" t="s">
        <v>21</v>
      </c>
      <c r="I5977">
        <v>15</v>
      </c>
      <c r="J5977">
        <v>2142</v>
      </c>
      <c r="K5977" s="1" t="s">
        <v>109</v>
      </c>
      <c r="L5977" s="1" t="s">
        <v>23</v>
      </c>
      <c r="M5977">
        <v>0.91400000000000003</v>
      </c>
      <c r="N5977">
        <v>13703.4</v>
      </c>
      <c r="O5977">
        <v>13.702999999999999</v>
      </c>
      <c r="P5977" s="2">
        <v>45261</v>
      </c>
      <c r="Q5977">
        <v>1</v>
      </c>
      <c r="R5977" s="1" t="s">
        <v>40</v>
      </c>
    </row>
    <row r="5978" spans="1:18" x14ac:dyDescent="0.25">
      <c r="A5978">
        <v>2023</v>
      </c>
      <c r="B5978">
        <v>1</v>
      </c>
      <c r="C5978" s="1" t="s">
        <v>18</v>
      </c>
      <c r="D5978" s="1" t="s">
        <v>19</v>
      </c>
      <c r="E5978" s="1" t="s">
        <v>110</v>
      </c>
      <c r="F5978">
        <v>2016</v>
      </c>
      <c r="G5978">
        <v>7</v>
      </c>
      <c r="H5978" s="1" t="s">
        <v>21</v>
      </c>
      <c r="I5978">
        <v>24</v>
      </c>
      <c r="J5978">
        <v>3324</v>
      </c>
      <c r="K5978" s="1" t="s">
        <v>111</v>
      </c>
      <c r="L5978" s="1" t="s">
        <v>23</v>
      </c>
      <c r="M5978">
        <v>1.343</v>
      </c>
      <c r="N5978">
        <v>32234.5</v>
      </c>
      <c r="O5978">
        <v>32.234000000000002</v>
      </c>
      <c r="P5978" s="2">
        <v>44927</v>
      </c>
      <c r="Q5978">
        <v>1</v>
      </c>
      <c r="R5978" s="1" t="s">
        <v>40</v>
      </c>
    </row>
    <row r="5979" spans="1:18" x14ac:dyDescent="0.25">
      <c r="A5979">
        <v>2023</v>
      </c>
      <c r="B5979">
        <v>2</v>
      </c>
      <c r="C5979" s="1" t="s">
        <v>25</v>
      </c>
      <c r="D5979" s="1" t="s">
        <v>19</v>
      </c>
      <c r="E5979" s="1" t="s">
        <v>110</v>
      </c>
      <c r="F5979">
        <v>2016</v>
      </c>
      <c r="G5979">
        <v>7</v>
      </c>
      <c r="H5979" s="1" t="s">
        <v>21</v>
      </c>
      <c r="I5979">
        <v>24</v>
      </c>
      <c r="J5979">
        <v>3324</v>
      </c>
      <c r="K5979" s="1" t="s">
        <v>111</v>
      </c>
      <c r="L5979" s="1" t="s">
        <v>23</v>
      </c>
      <c r="M5979">
        <v>1.927</v>
      </c>
      <c r="N5979">
        <v>46245.2</v>
      </c>
      <c r="O5979">
        <v>46.244999999999997</v>
      </c>
      <c r="P5979" s="2">
        <v>44958</v>
      </c>
      <c r="Q5979">
        <v>1</v>
      </c>
      <c r="R5979" s="1" t="s">
        <v>40</v>
      </c>
    </row>
    <row r="5980" spans="1:18" x14ac:dyDescent="0.25">
      <c r="A5980">
        <v>2023</v>
      </c>
      <c r="B5980">
        <v>3</v>
      </c>
      <c r="C5980" s="1" t="s">
        <v>26</v>
      </c>
      <c r="D5980" s="1" t="s">
        <v>19</v>
      </c>
      <c r="E5980" s="1" t="s">
        <v>110</v>
      </c>
      <c r="F5980">
        <v>2016</v>
      </c>
      <c r="G5980">
        <v>7</v>
      </c>
      <c r="H5980" s="1" t="s">
        <v>21</v>
      </c>
      <c r="I5980">
        <v>24</v>
      </c>
      <c r="J5980">
        <v>3324</v>
      </c>
      <c r="K5980" s="1" t="s">
        <v>111</v>
      </c>
      <c r="L5980" s="1" t="s">
        <v>23</v>
      </c>
      <c r="M5980">
        <v>2.2370000000000001</v>
      </c>
      <c r="N5980">
        <v>53699.199999999997</v>
      </c>
      <c r="O5980">
        <v>53.698999999999998</v>
      </c>
      <c r="P5980" s="2">
        <v>44986</v>
      </c>
      <c r="Q5980">
        <v>1</v>
      </c>
      <c r="R5980" s="1" t="s">
        <v>40</v>
      </c>
    </row>
    <row r="5981" spans="1:18" x14ac:dyDescent="0.25">
      <c r="A5981">
        <v>2023</v>
      </c>
      <c r="B5981">
        <v>4</v>
      </c>
      <c r="C5981" s="1" t="s">
        <v>27</v>
      </c>
      <c r="D5981" s="1" t="s">
        <v>19</v>
      </c>
      <c r="E5981" s="1" t="s">
        <v>110</v>
      </c>
      <c r="F5981">
        <v>2016</v>
      </c>
      <c r="G5981">
        <v>7</v>
      </c>
      <c r="H5981" s="1" t="s">
        <v>21</v>
      </c>
      <c r="I5981">
        <v>24</v>
      </c>
      <c r="J5981">
        <v>3324</v>
      </c>
      <c r="K5981" s="1" t="s">
        <v>111</v>
      </c>
      <c r="L5981" s="1" t="s">
        <v>23</v>
      </c>
      <c r="M5981">
        <v>2.274</v>
      </c>
      <c r="N5981">
        <v>54571.8</v>
      </c>
      <c r="O5981">
        <v>54.572000000000003</v>
      </c>
      <c r="P5981" s="2">
        <v>45017</v>
      </c>
      <c r="Q5981">
        <v>1</v>
      </c>
      <c r="R5981" s="1" t="s">
        <v>40</v>
      </c>
    </row>
    <row r="5982" spans="1:18" x14ac:dyDescent="0.25">
      <c r="A5982">
        <v>2023</v>
      </c>
      <c r="B5982">
        <v>5</v>
      </c>
      <c r="C5982" s="1" t="s">
        <v>28</v>
      </c>
      <c r="D5982" s="1" t="s">
        <v>19</v>
      </c>
      <c r="E5982" s="1" t="s">
        <v>110</v>
      </c>
      <c r="F5982">
        <v>2016</v>
      </c>
      <c r="G5982">
        <v>7</v>
      </c>
      <c r="H5982" s="1" t="s">
        <v>21</v>
      </c>
      <c r="I5982">
        <v>24</v>
      </c>
      <c r="J5982">
        <v>3324</v>
      </c>
      <c r="K5982" s="1" t="s">
        <v>111</v>
      </c>
      <c r="L5982" s="1" t="s">
        <v>23</v>
      </c>
      <c r="M5982">
        <v>2.2589999999999999</v>
      </c>
      <c r="N5982">
        <v>54222.8</v>
      </c>
      <c r="O5982">
        <v>54.222999999999999</v>
      </c>
      <c r="P5982" s="2">
        <v>45047</v>
      </c>
      <c r="Q5982">
        <v>1</v>
      </c>
      <c r="R5982" s="1" t="s">
        <v>40</v>
      </c>
    </row>
    <row r="5983" spans="1:18" x14ac:dyDescent="0.25">
      <c r="A5983">
        <v>2023</v>
      </c>
      <c r="B5983">
        <v>6</v>
      </c>
      <c r="C5983" s="1" t="s">
        <v>29</v>
      </c>
      <c r="D5983" s="1" t="s">
        <v>19</v>
      </c>
      <c r="E5983" s="1" t="s">
        <v>110</v>
      </c>
      <c r="F5983">
        <v>2016</v>
      </c>
      <c r="G5983">
        <v>7</v>
      </c>
      <c r="H5983" s="1" t="s">
        <v>21</v>
      </c>
      <c r="I5983">
        <v>24</v>
      </c>
      <c r="J5983">
        <v>3324</v>
      </c>
      <c r="K5983" s="1" t="s">
        <v>111</v>
      </c>
      <c r="L5983" s="1" t="s">
        <v>23</v>
      </c>
      <c r="M5983">
        <v>2.5</v>
      </c>
      <c r="N5983">
        <v>60006.5</v>
      </c>
      <c r="O5983">
        <v>60.006999999999998</v>
      </c>
      <c r="P5983" s="2">
        <v>45078</v>
      </c>
      <c r="Q5983">
        <v>1</v>
      </c>
      <c r="R5983" s="1" t="s">
        <v>40</v>
      </c>
    </row>
    <row r="5984" spans="1:18" x14ac:dyDescent="0.25">
      <c r="A5984">
        <v>2023</v>
      </c>
      <c r="B5984">
        <v>7</v>
      </c>
      <c r="C5984" s="1" t="s">
        <v>30</v>
      </c>
      <c r="D5984" s="1" t="s">
        <v>19</v>
      </c>
      <c r="E5984" s="1" t="s">
        <v>110</v>
      </c>
      <c r="F5984">
        <v>2016</v>
      </c>
      <c r="G5984">
        <v>7</v>
      </c>
      <c r="H5984" s="1" t="s">
        <v>21</v>
      </c>
      <c r="I5984">
        <v>24</v>
      </c>
      <c r="J5984">
        <v>3324</v>
      </c>
      <c r="K5984" s="1" t="s">
        <v>111</v>
      </c>
      <c r="L5984" s="1" t="s">
        <v>23</v>
      </c>
      <c r="M5984">
        <v>2.2989999999999999</v>
      </c>
      <c r="N5984">
        <v>55170.1</v>
      </c>
      <c r="O5984">
        <v>55.17</v>
      </c>
      <c r="P5984" s="2">
        <v>45108</v>
      </c>
      <c r="Q5984">
        <v>1</v>
      </c>
      <c r="R5984" s="1" t="s">
        <v>40</v>
      </c>
    </row>
    <row r="5985" spans="1:18" x14ac:dyDescent="0.25">
      <c r="A5985">
        <v>2023</v>
      </c>
      <c r="B5985">
        <v>8</v>
      </c>
      <c r="C5985" s="1" t="s">
        <v>31</v>
      </c>
      <c r="D5985" s="1" t="s">
        <v>19</v>
      </c>
      <c r="E5985" s="1" t="s">
        <v>110</v>
      </c>
      <c r="F5985">
        <v>2016</v>
      </c>
      <c r="G5985">
        <v>7</v>
      </c>
      <c r="H5985" s="1" t="s">
        <v>21</v>
      </c>
      <c r="I5985">
        <v>24</v>
      </c>
      <c r="J5985">
        <v>3324</v>
      </c>
      <c r="K5985" s="1" t="s">
        <v>111</v>
      </c>
      <c r="L5985" s="1" t="s">
        <v>23</v>
      </c>
      <c r="M5985">
        <v>2.4169999999999998</v>
      </c>
      <c r="N5985">
        <v>58012.1</v>
      </c>
      <c r="O5985">
        <v>58.012</v>
      </c>
      <c r="P5985" s="2">
        <v>45139</v>
      </c>
      <c r="Q5985">
        <v>1</v>
      </c>
      <c r="R5985" s="1" t="s">
        <v>40</v>
      </c>
    </row>
    <row r="5986" spans="1:18" x14ac:dyDescent="0.25">
      <c r="A5986">
        <v>2023</v>
      </c>
      <c r="B5986">
        <v>9</v>
      </c>
      <c r="C5986" s="1" t="s">
        <v>32</v>
      </c>
      <c r="D5986" s="1" t="s">
        <v>19</v>
      </c>
      <c r="E5986" s="1" t="s">
        <v>110</v>
      </c>
      <c r="F5986">
        <v>2016</v>
      </c>
      <c r="G5986">
        <v>7</v>
      </c>
      <c r="H5986" s="1" t="s">
        <v>21</v>
      </c>
      <c r="I5986">
        <v>24</v>
      </c>
      <c r="J5986">
        <v>3324</v>
      </c>
      <c r="K5986" s="1" t="s">
        <v>111</v>
      </c>
      <c r="L5986" s="1" t="s">
        <v>23</v>
      </c>
      <c r="M5986">
        <v>2.4990000000000001</v>
      </c>
      <c r="N5986">
        <v>59981.599999999999</v>
      </c>
      <c r="O5986">
        <v>59.981999999999999</v>
      </c>
      <c r="P5986" s="2">
        <v>45170</v>
      </c>
      <c r="Q5986">
        <v>1</v>
      </c>
      <c r="R5986" s="1" t="s">
        <v>40</v>
      </c>
    </row>
    <row r="5987" spans="1:18" x14ac:dyDescent="0.25">
      <c r="A5987">
        <v>2023</v>
      </c>
      <c r="B5987">
        <v>10</v>
      </c>
      <c r="C5987" s="1" t="s">
        <v>33</v>
      </c>
      <c r="D5987" s="1" t="s">
        <v>19</v>
      </c>
      <c r="E5987" s="1" t="s">
        <v>110</v>
      </c>
      <c r="F5987">
        <v>2016</v>
      </c>
      <c r="G5987">
        <v>7</v>
      </c>
      <c r="H5987" s="1" t="s">
        <v>21</v>
      </c>
      <c r="I5987">
        <v>24</v>
      </c>
      <c r="J5987">
        <v>3324</v>
      </c>
      <c r="K5987" s="1" t="s">
        <v>111</v>
      </c>
      <c r="L5987" s="1" t="s">
        <v>23</v>
      </c>
      <c r="M5987">
        <v>2.2170000000000001</v>
      </c>
      <c r="N5987">
        <v>53200.6</v>
      </c>
      <c r="O5987">
        <v>53.201000000000001</v>
      </c>
      <c r="P5987" s="2">
        <v>45200</v>
      </c>
      <c r="Q5987">
        <v>1</v>
      </c>
      <c r="R5987" s="1" t="s">
        <v>40</v>
      </c>
    </row>
    <row r="5988" spans="1:18" x14ac:dyDescent="0.25">
      <c r="A5988">
        <v>2023</v>
      </c>
      <c r="B5988">
        <v>11</v>
      </c>
      <c r="C5988" s="1" t="s">
        <v>34</v>
      </c>
      <c r="D5988" s="1" t="s">
        <v>19</v>
      </c>
      <c r="E5988" s="1" t="s">
        <v>110</v>
      </c>
      <c r="F5988">
        <v>2016</v>
      </c>
      <c r="G5988">
        <v>7</v>
      </c>
      <c r="H5988" s="1" t="s">
        <v>21</v>
      </c>
      <c r="I5988">
        <v>24</v>
      </c>
      <c r="J5988">
        <v>3324</v>
      </c>
      <c r="K5988" s="1" t="s">
        <v>111</v>
      </c>
      <c r="L5988" s="1" t="s">
        <v>23</v>
      </c>
      <c r="M5988">
        <v>1.833</v>
      </c>
      <c r="N5988">
        <v>44001.4</v>
      </c>
      <c r="O5988">
        <v>44.000999999999998</v>
      </c>
      <c r="P5988" s="2">
        <v>45231</v>
      </c>
      <c r="Q5988">
        <v>1</v>
      </c>
      <c r="R5988" s="1" t="s">
        <v>40</v>
      </c>
    </row>
    <row r="5989" spans="1:18" x14ac:dyDescent="0.25">
      <c r="A5989">
        <v>2023</v>
      </c>
      <c r="B5989">
        <v>12</v>
      </c>
      <c r="C5989" s="1" t="s">
        <v>35</v>
      </c>
      <c r="D5989" s="1" t="s">
        <v>19</v>
      </c>
      <c r="E5989" s="1" t="s">
        <v>110</v>
      </c>
      <c r="F5989">
        <v>2016</v>
      </c>
      <c r="G5989">
        <v>7</v>
      </c>
      <c r="H5989" s="1" t="s">
        <v>21</v>
      </c>
      <c r="I5989">
        <v>24</v>
      </c>
      <c r="J5989">
        <v>3324</v>
      </c>
      <c r="K5989" s="1" t="s">
        <v>111</v>
      </c>
      <c r="L5989" s="1" t="s">
        <v>23</v>
      </c>
      <c r="M5989">
        <v>0.88600000000000001</v>
      </c>
      <c r="N5989">
        <v>21265.3</v>
      </c>
      <c r="O5989">
        <v>21.265000000000001</v>
      </c>
      <c r="P5989" s="2">
        <v>45261</v>
      </c>
      <c r="Q5989">
        <v>1</v>
      </c>
      <c r="R5989" s="1" t="s">
        <v>40</v>
      </c>
    </row>
    <row r="5990" spans="1:18" x14ac:dyDescent="0.25">
      <c r="A5990">
        <v>2023</v>
      </c>
      <c r="B5990">
        <v>1</v>
      </c>
      <c r="C5990" s="1" t="s">
        <v>18</v>
      </c>
      <c r="D5990" s="1" t="s">
        <v>19</v>
      </c>
      <c r="E5990" s="1" t="s">
        <v>112</v>
      </c>
      <c r="F5990">
        <v>2016</v>
      </c>
      <c r="G5990">
        <v>7</v>
      </c>
      <c r="H5990" s="1" t="s">
        <v>21</v>
      </c>
      <c r="I5990">
        <v>20</v>
      </c>
      <c r="J5990">
        <v>2663</v>
      </c>
      <c r="K5990" s="1" t="s">
        <v>113</v>
      </c>
      <c r="L5990" s="1" t="s">
        <v>23</v>
      </c>
      <c r="M5990">
        <v>1.2909999999999999</v>
      </c>
      <c r="N5990">
        <v>25824.400000000001</v>
      </c>
      <c r="O5990">
        <v>25.824000000000002</v>
      </c>
      <c r="P5990" s="2">
        <v>44927</v>
      </c>
      <c r="Q5990">
        <v>1</v>
      </c>
      <c r="R5990" s="1" t="s">
        <v>40</v>
      </c>
    </row>
    <row r="5991" spans="1:18" x14ac:dyDescent="0.25">
      <c r="A5991">
        <v>2023</v>
      </c>
      <c r="B5991">
        <v>2</v>
      </c>
      <c r="C5991" s="1" t="s">
        <v>25</v>
      </c>
      <c r="D5991" s="1" t="s">
        <v>19</v>
      </c>
      <c r="E5991" s="1" t="s">
        <v>112</v>
      </c>
      <c r="F5991">
        <v>2016</v>
      </c>
      <c r="G5991">
        <v>7</v>
      </c>
      <c r="H5991" s="1" t="s">
        <v>21</v>
      </c>
      <c r="I5991">
        <v>20</v>
      </c>
      <c r="J5991">
        <v>2663</v>
      </c>
      <c r="K5991" s="1" t="s">
        <v>113</v>
      </c>
      <c r="L5991" s="1" t="s">
        <v>23</v>
      </c>
      <c r="M5991">
        <v>1.8520000000000001</v>
      </c>
      <c r="N5991">
        <v>37049</v>
      </c>
      <c r="O5991">
        <v>37.048999999999999</v>
      </c>
      <c r="P5991" s="2">
        <v>44958</v>
      </c>
      <c r="Q5991">
        <v>1</v>
      </c>
      <c r="R5991" s="1" t="s">
        <v>40</v>
      </c>
    </row>
    <row r="5992" spans="1:18" x14ac:dyDescent="0.25">
      <c r="A5992">
        <v>2023</v>
      </c>
      <c r="B5992">
        <v>3</v>
      </c>
      <c r="C5992" s="1" t="s">
        <v>26</v>
      </c>
      <c r="D5992" s="1" t="s">
        <v>19</v>
      </c>
      <c r="E5992" s="1" t="s">
        <v>112</v>
      </c>
      <c r="F5992">
        <v>2016</v>
      </c>
      <c r="G5992">
        <v>7</v>
      </c>
      <c r="H5992" s="1" t="s">
        <v>21</v>
      </c>
      <c r="I5992">
        <v>20</v>
      </c>
      <c r="J5992">
        <v>2663</v>
      </c>
      <c r="K5992" s="1" t="s">
        <v>113</v>
      </c>
      <c r="L5992" s="1" t="s">
        <v>23</v>
      </c>
      <c r="M5992">
        <v>2.1509999999999998</v>
      </c>
      <c r="N5992">
        <v>43020.800000000003</v>
      </c>
      <c r="O5992">
        <v>43.021000000000001</v>
      </c>
      <c r="P5992" s="2">
        <v>44986</v>
      </c>
      <c r="Q5992">
        <v>1</v>
      </c>
      <c r="R5992" s="1" t="s">
        <v>40</v>
      </c>
    </row>
    <row r="5993" spans="1:18" x14ac:dyDescent="0.25">
      <c r="A5993">
        <v>2023</v>
      </c>
      <c r="B5993">
        <v>4</v>
      </c>
      <c r="C5993" s="1" t="s">
        <v>27</v>
      </c>
      <c r="D5993" s="1" t="s">
        <v>19</v>
      </c>
      <c r="E5993" s="1" t="s">
        <v>112</v>
      </c>
      <c r="F5993">
        <v>2016</v>
      </c>
      <c r="G5993">
        <v>7</v>
      </c>
      <c r="H5993" s="1" t="s">
        <v>21</v>
      </c>
      <c r="I5993">
        <v>20</v>
      </c>
      <c r="J5993">
        <v>2663</v>
      </c>
      <c r="K5993" s="1" t="s">
        <v>113</v>
      </c>
      <c r="L5993" s="1" t="s">
        <v>23</v>
      </c>
      <c r="M5993">
        <v>2.1859999999999999</v>
      </c>
      <c r="N5993">
        <v>43719.8</v>
      </c>
      <c r="O5993">
        <v>43.72</v>
      </c>
      <c r="P5993" s="2">
        <v>45017</v>
      </c>
      <c r="Q5993">
        <v>1</v>
      </c>
      <c r="R5993" s="1" t="s">
        <v>40</v>
      </c>
    </row>
    <row r="5994" spans="1:18" x14ac:dyDescent="0.25">
      <c r="A5994">
        <v>2023</v>
      </c>
      <c r="B5994">
        <v>5</v>
      </c>
      <c r="C5994" s="1" t="s">
        <v>28</v>
      </c>
      <c r="D5994" s="1" t="s">
        <v>19</v>
      </c>
      <c r="E5994" s="1" t="s">
        <v>112</v>
      </c>
      <c r="F5994">
        <v>2016</v>
      </c>
      <c r="G5994">
        <v>7</v>
      </c>
      <c r="H5994" s="1" t="s">
        <v>21</v>
      </c>
      <c r="I5994">
        <v>20</v>
      </c>
      <c r="J5994">
        <v>2663</v>
      </c>
      <c r="K5994" s="1" t="s">
        <v>113</v>
      </c>
      <c r="L5994" s="1" t="s">
        <v>23</v>
      </c>
      <c r="M5994">
        <v>2.1720000000000002</v>
      </c>
      <c r="N5994">
        <v>43440.2</v>
      </c>
      <c r="O5994">
        <v>43.44</v>
      </c>
      <c r="P5994" s="2">
        <v>45047</v>
      </c>
      <c r="Q5994">
        <v>1</v>
      </c>
      <c r="R5994" s="1" t="s">
        <v>40</v>
      </c>
    </row>
    <row r="5995" spans="1:18" x14ac:dyDescent="0.25">
      <c r="A5995">
        <v>2023</v>
      </c>
      <c r="B5995">
        <v>6</v>
      </c>
      <c r="C5995" s="1" t="s">
        <v>29</v>
      </c>
      <c r="D5995" s="1" t="s">
        <v>19</v>
      </c>
      <c r="E5995" s="1" t="s">
        <v>112</v>
      </c>
      <c r="F5995">
        <v>2016</v>
      </c>
      <c r="G5995">
        <v>7</v>
      </c>
      <c r="H5995" s="1" t="s">
        <v>21</v>
      </c>
      <c r="I5995">
        <v>20</v>
      </c>
      <c r="J5995">
        <v>2663</v>
      </c>
      <c r="K5995" s="1" t="s">
        <v>113</v>
      </c>
      <c r="L5995" s="1" t="s">
        <v>23</v>
      </c>
      <c r="M5995">
        <v>2.4039999999999999</v>
      </c>
      <c r="N5995">
        <v>48073.8</v>
      </c>
      <c r="O5995">
        <v>48.073999999999998</v>
      </c>
      <c r="P5995" s="2">
        <v>45078</v>
      </c>
      <c r="Q5995">
        <v>1</v>
      </c>
      <c r="R5995" s="1" t="s">
        <v>40</v>
      </c>
    </row>
    <row r="5996" spans="1:18" x14ac:dyDescent="0.25">
      <c r="A5996">
        <v>2023</v>
      </c>
      <c r="B5996">
        <v>7</v>
      </c>
      <c r="C5996" s="1" t="s">
        <v>30</v>
      </c>
      <c r="D5996" s="1" t="s">
        <v>19</v>
      </c>
      <c r="E5996" s="1" t="s">
        <v>112</v>
      </c>
      <c r="F5996">
        <v>2016</v>
      </c>
      <c r="G5996">
        <v>7</v>
      </c>
      <c r="H5996" s="1" t="s">
        <v>21</v>
      </c>
      <c r="I5996">
        <v>20</v>
      </c>
      <c r="J5996">
        <v>2663</v>
      </c>
      <c r="K5996" s="1" t="s">
        <v>113</v>
      </c>
      <c r="L5996" s="1" t="s">
        <v>23</v>
      </c>
      <c r="M5996">
        <v>2.21</v>
      </c>
      <c r="N5996">
        <v>44199.1</v>
      </c>
      <c r="O5996">
        <v>44.198999999999998</v>
      </c>
      <c r="P5996" s="2">
        <v>45108</v>
      </c>
      <c r="Q5996">
        <v>1</v>
      </c>
      <c r="R5996" s="1" t="s">
        <v>40</v>
      </c>
    </row>
    <row r="5997" spans="1:18" x14ac:dyDescent="0.25">
      <c r="A5997">
        <v>2023</v>
      </c>
      <c r="B5997">
        <v>8</v>
      </c>
      <c r="C5997" s="1" t="s">
        <v>31</v>
      </c>
      <c r="D5997" s="1" t="s">
        <v>19</v>
      </c>
      <c r="E5997" s="1" t="s">
        <v>112</v>
      </c>
      <c r="F5997">
        <v>2016</v>
      </c>
      <c r="G5997">
        <v>7</v>
      </c>
      <c r="H5997" s="1" t="s">
        <v>21</v>
      </c>
      <c r="I5997">
        <v>20</v>
      </c>
      <c r="J5997">
        <v>2663</v>
      </c>
      <c r="K5997" s="1" t="s">
        <v>113</v>
      </c>
      <c r="L5997" s="1" t="s">
        <v>23</v>
      </c>
      <c r="M5997">
        <v>2.3239999999999998</v>
      </c>
      <c r="N5997">
        <v>46476</v>
      </c>
      <c r="O5997">
        <v>46.475999999999999</v>
      </c>
      <c r="P5997" s="2">
        <v>45139</v>
      </c>
      <c r="Q5997">
        <v>1</v>
      </c>
      <c r="R5997" s="1" t="s">
        <v>40</v>
      </c>
    </row>
    <row r="5998" spans="1:18" x14ac:dyDescent="0.25">
      <c r="A5998">
        <v>2023</v>
      </c>
      <c r="B5998">
        <v>9</v>
      </c>
      <c r="C5998" s="1" t="s">
        <v>32</v>
      </c>
      <c r="D5998" s="1" t="s">
        <v>19</v>
      </c>
      <c r="E5998" s="1" t="s">
        <v>112</v>
      </c>
      <c r="F5998">
        <v>2016</v>
      </c>
      <c r="G5998">
        <v>7</v>
      </c>
      <c r="H5998" s="1" t="s">
        <v>21</v>
      </c>
      <c r="I5998">
        <v>20</v>
      </c>
      <c r="J5998">
        <v>2663</v>
      </c>
      <c r="K5998" s="1" t="s">
        <v>113</v>
      </c>
      <c r="L5998" s="1" t="s">
        <v>23</v>
      </c>
      <c r="M5998">
        <v>2.403</v>
      </c>
      <c r="N5998">
        <v>48053.8</v>
      </c>
      <c r="O5998">
        <v>48.054000000000002</v>
      </c>
      <c r="P5998" s="2">
        <v>45170</v>
      </c>
      <c r="Q5998">
        <v>1</v>
      </c>
      <c r="R5998" s="1" t="s">
        <v>40</v>
      </c>
    </row>
    <row r="5999" spans="1:18" x14ac:dyDescent="0.25">
      <c r="A5999">
        <v>2023</v>
      </c>
      <c r="B5999">
        <v>10</v>
      </c>
      <c r="C5999" s="1" t="s">
        <v>33</v>
      </c>
      <c r="D5999" s="1" t="s">
        <v>19</v>
      </c>
      <c r="E5999" s="1" t="s">
        <v>112</v>
      </c>
      <c r="F5999">
        <v>2016</v>
      </c>
      <c r="G5999">
        <v>7</v>
      </c>
      <c r="H5999" s="1" t="s">
        <v>21</v>
      </c>
      <c r="I5999">
        <v>20</v>
      </c>
      <c r="J5999">
        <v>2663</v>
      </c>
      <c r="K5999" s="1" t="s">
        <v>113</v>
      </c>
      <c r="L5999" s="1" t="s">
        <v>23</v>
      </c>
      <c r="M5999">
        <v>2.1309999999999998</v>
      </c>
      <c r="N5999">
        <v>42621.3</v>
      </c>
      <c r="O5999">
        <v>42.621000000000002</v>
      </c>
      <c r="P5999" s="2">
        <v>45200</v>
      </c>
      <c r="Q5999">
        <v>1</v>
      </c>
      <c r="R5999" s="1" t="s">
        <v>40</v>
      </c>
    </row>
    <row r="6000" spans="1:18" x14ac:dyDescent="0.25">
      <c r="A6000">
        <v>2023</v>
      </c>
      <c r="B6000">
        <v>11</v>
      </c>
      <c r="C6000" s="1" t="s">
        <v>34</v>
      </c>
      <c r="D6000" s="1" t="s">
        <v>19</v>
      </c>
      <c r="E6000" s="1" t="s">
        <v>112</v>
      </c>
      <c r="F6000">
        <v>2016</v>
      </c>
      <c r="G6000">
        <v>7</v>
      </c>
      <c r="H6000" s="1" t="s">
        <v>21</v>
      </c>
      <c r="I6000">
        <v>20</v>
      </c>
      <c r="J6000">
        <v>2663</v>
      </c>
      <c r="K6000" s="1" t="s">
        <v>113</v>
      </c>
      <c r="L6000" s="1" t="s">
        <v>23</v>
      </c>
      <c r="M6000">
        <v>1.7629999999999999</v>
      </c>
      <c r="N6000">
        <v>35251.5</v>
      </c>
      <c r="O6000">
        <v>35.250999999999998</v>
      </c>
      <c r="P6000" s="2">
        <v>45231</v>
      </c>
      <c r="Q6000">
        <v>1</v>
      </c>
      <c r="R6000" s="1" t="s">
        <v>40</v>
      </c>
    </row>
    <row r="6001" spans="1:18" x14ac:dyDescent="0.25">
      <c r="A6001">
        <v>2023</v>
      </c>
      <c r="B6001">
        <v>12</v>
      </c>
      <c r="C6001" s="1" t="s">
        <v>35</v>
      </c>
      <c r="D6001" s="1" t="s">
        <v>19</v>
      </c>
      <c r="E6001" s="1" t="s">
        <v>112</v>
      </c>
      <c r="F6001">
        <v>2016</v>
      </c>
      <c r="G6001">
        <v>7</v>
      </c>
      <c r="H6001" s="1" t="s">
        <v>21</v>
      </c>
      <c r="I6001">
        <v>20</v>
      </c>
      <c r="J6001">
        <v>2663</v>
      </c>
      <c r="K6001" s="1" t="s">
        <v>113</v>
      </c>
      <c r="L6001" s="1" t="s">
        <v>23</v>
      </c>
      <c r="M6001">
        <v>0.85199999999999998</v>
      </c>
      <c r="N6001">
        <v>17036.5</v>
      </c>
      <c r="O6001">
        <v>17.036999999999999</v>
      </c>
      <c r="P6001" s="2">
        <v>45261</v>
      </c>
      <c r="Q6001">
        <v>1</v>
      </c>
      <c r="R6001" s="1" t="s">
        <v>40</v>
      </c>
    </row>
    <row r="6002" spans="1:18" x14ac:dyDescent="0.25">
      <c r="A6002">
        <v>2023</v>
      </c>
      <c r="B6002">
        <v>1</v>
      </c>
      <c r="C6002" s="1" t="s">
        <v>18</v>
      </c>
      <c r="D6002" s="1" t="s">
        <v>19</v>
      </c>
      <c r="E6002" s="1" t="s">
        <v>114</v>
      </c>
      <c r="F6002">
        <v>2016</v>
      </c>
      <c r="G6002">
        <v>7</v>
      </c>
      <c r="H6002" s="1" t="s">
        <v>21</v>
      </c>
      <c r="I6002">
        <v>14</v>
      </c>
      <c r="J6002">
        <v>1746</v>
      </c>
      <c r="K6002" s="1" t="s">
        <v>115</v>
      </c>
      <c r="L6002" s="1" t="s">
        <v>23</v>
      </c>
      <c r="M6002">
        <v>1.2090000000000001</v>
      </c>
      <c r="N6002">
        <v>16931.8</v>
      </c>
      <c r="O6002">
        <v>16.931999999999999</v>
      </c>
      <c r="P6002" s="2">
        <v>44927</v>
      </c>
      <c r="Q6002">
        <v>1</v>
      </c>
      <c r="R6002" s="1" t="s">
        <v>40</v>
      </c>
    </row>
    <row r="6003" spans="1:18" x14ac:dyDescent="0.25">
      <c r="A6003">
        <v>2023</v>
      </c>
      <c r="B6003">
        <v>2</v>
      </c>
      <c r="C6003" s="1" t="s">
        <v>25</v>
      </c>
      <c r="D6003" s="1" t="s">
        <v>19</v>
      </c>
      <c r="E6003" s="1" t="s">
        <v>114</v>
      </c>
      <c r="F6003">
        <v>2016</v>
      </c>
      <c r="G6003">
        <v>7</v>
      </c>
      <c r="H6003" s="1" t="s">
        <v>21</v>
      </c>
      <c r="I6003">
        <v>14</v>
      </c>
      <c r="J6003">
        <v>1746</v>
      </c>
      <c r="K6003" s="1" t="s">
        <v>115</v>
      </c>
      <c r="L6003" s="1" t="s">
        <v>23</v>
      </c>
      <c r="M6003">
        <v>1.7350000000000001</v>
      </c>
      <c r="N6003">
        <v>24291.200000000001</v>
      </c>
      <c r="O6003">
        <v>24.291</v>
      </c>
      <c r="P6003" s="2">
        <v>44958</v>
      </c>
      <c r="Q6003">
        <v>1</v>
      </c>
      <c r="R6003" s="1" t="s">
        <v>40</v>
      </c>
    </row>
    <row r="6004" spans="1:18" x14ac:dyDescent="0.25">
      <c r="A6004">
        <v>2023</v>
      </c>
      <c r="B6004">
        <v>3</v>
      </c>
      <c r="C6004" s="1" t="s">
        <v>26</v>
      </c>
      <c r="D6004" s="1" t="s">
        <v>19</v>
      </c>
      <c r="E6004" s="1" t="s">
        <v>114</v>
      </c>
      <c r="F6004">
        <v>2016</v>
      </c>
      <c r="G6004">
        <v>7</v>
      </c>
      <c r="H6004" s="1" t="s">
        <v>21</v>
      </c>
      <c r="I6004">
        <v>14</v>
      </c>
      <c r="J6004">
        <v>1746</v>
      </c>
      <c r="K6004" s="1" t="s">
        <v>115</v>
      </c>
      <c r="L6004" s="1" t="s">
        <v>23</v>
      </c>
      <c r="M6004">
        <v>2.0150000000000001</v>
      </c>
      <c r="N6004">
        <v>28206.6</v>
      </c>
      <c r="O6004">
        <v>28.207000000000001</v>
      </c>
      <c r="P6004" s="2">
        <v>44986</v>
      </c>
      <c r="Q6004">
        <v>1</v>
      </c>
      <c r="R6004" s="1" t="s">
        <v>40</v>
      </c>
    </row>
    <row r="6005" spans="1:18" x14ac:dyDescent="0.25">
      <c r="A6005">
        <v>2023</v>
      </c>
      <c r="B6005">
        <v>4</v>
      </c>
      <c r="C6005" s="1" t="s">
        <v>27</v>
      </c>
      <c r="D6005" s="1" t="s">
        <v>19</v>
      </c>
      <c r="E6005" s="1" t="s">
        <v>114</v>
      </c>
      <c r="F6005">
        <v>2016</v>
      </c>
      <c r="G6005">
        <v>7</v>
      </c>
      <c r="H6005" s="1" t="s">
        <v>21</v>
      </c>
      <c r="I6005">
        <v>14</v>
      </c>
      <c r="J6005">
        <v>1746</v>
      </c>
      <c r="K6005" s="1" t="s">
        <v>115</v>
      </c>
      <c r="L6005" s="1" t="s">
        <v>23</v>
      </c>
      <c r="M6005">
        <v>2.0470000000000002</v>
      </c>
      <c r="N6005">
        <v>28665</v>
      </c>
      <c r="O6005">
        <v>28.664999999999999</v>
      </c>
      <c r="P6005" s="2">
        <v>45017</v>
      </c>
      <c r="Q6005">
        <v>1</v>
      </c>
      <c r="R6005" s="1" t="s">
        <v>40</v>
      </c>
    </row>
    <row r="6006" spans="1:18" x14ac:dyDescent="0.25">
      <c r="A6006">
        <v>2023</v>
      </c>
      <c r="B6006">
        <v>5</v>
      </c>
      <c r="C6006" s="1" t="s">
        <v>28</v>
      </c>
      <c r="D6006" s="1" t="s">
        <v>19</v>
      </c>
      <c r="E6006" s="1" t="s">
        <v>114</v>
      </c>
      <c r="F6006">
        <v>2016</v>
      </c>
      <c r="G6006">
        <v>7</v>
      </c>
      <c r="H6006" s="1" t="s">
        <v>21</v>
      </c>
      <c r="I6006">
        <v>14</v>
      </c>
      <c r="J6006">
        <v>1746</v>
      </c>
      <c r="K6006" s="1" t="s">
        <v>115</v>
      </c>
      <c r="L6006" s="1" t="s">
        <v>23</v>
      </c>
      <c r="M6006">
        <v>2.0339999999999998</v>
      </c>
      <c r="N6006">
        <v>28481.599999999999</v>
      </c>
      <c r="O6006">
        <v>28.481999999999999</v>
      </c>
      <c r="P6006" s="2">
        <v>45047</v>
      </c>
      <c r="Q6006">
        <v>1</v>
      </c>
      <c r="R6006" s="1" t="s">
        <v>40</v>
      </c>
    </row>
    <row r="6007" spans="1:18" x14ac:dyDescent="0.25">
      <c r="A6007">
        <v>2023</v>
      </c>
      <c r="B6007">
        <v>6</v>
      </c>
      <c r="C6007" s="1" t="s">
        <v>29</v>
      </c>
      <c r="D6007" s="1" t="s">
        <v>19</v>
      </c>
      <c r="E6007" s="1" t="s">
        <v>114</v>
      </c>
      <c r="F6007">
        <v>2016</v>
      </c>
      <c r="G6007">
        <v>7</v>
      </c>
      <c r="H6007" s="1" t="s">
        <v>21</v>
      </c>
      <c r="I6007">
        <v>14</v>
      </c>
      <c r="J6007">
        <v>1746</v>
      </c>
      <c r="K6007" s="1" t="s">
        <v>115</v>
      </c>
      <c r="L6007" s="1" t="s">
        <v>23</v>
      </c>
      <c r="M6007">
        <v>2.2509999999999999</v>
      </c>
      <c r="N6007">
        <v>31519.7</v>
      </c>
      <c r="O6007">
        <v>31.52</v>
      </c>
      <c r="P6007" s="2">
        <v>45078</v>
      </c>
      <c r="Q6007">
        <v>1</v>
      </c>
      <c r="R6007" s="1" t="s">
        <v>40</v>
      </c>
    </row>
    <row r="6008" spans="1:18" x14ac:dyDescent="0.25">
      <c r="A6008">
        <v>2023</v>
      </c>
      <c r="B6008">
        <v>7</v>
      </c>
      <c r="C6008" s="1" t="s">
        <v>30</v>
      </c>
      <c r="D6008" s="1" t="s">
        <v>19</v>
      </c>
      <c r="E6008" s="1" t="s">
        <v>114</v>
      </c>
      <c r="F6008">
        <v>2016</v>
      </c>
      <c r="G6008">
        <v>7</v>
      </c>
      <c r="H6008" s="1" t="s">
        <v>21</v>
      </c>
      <c r="I6008">
        <v>14</v>
      </c>
      <c r="J6008">
        <v>1746</v>
      </c>
      <c r="K6008" s="1" t="s">
        <v>115</v>
      </c>
      <c r="L6008" s="1" t="s">
        <v>23</v>
      </c>
      <c r="M6008">
        <v>2.0699999999999998</v>
      </c>
      <c r="N6008">
        <v>28979.200000000001</v>
      </c>
      <c r="O6008">
        <v>28.978999999999999</v>
      </c>
      <c r="P6008" s="2">
        <v>45108</v>
      </c>
      <c r="Q6008">
        <v>1</v>
      </c>
      <c r="R6008" s="1" t="s">
        <v>40</v>
      </c>
    </row>
    <row r="6009" spans="1:18" x14ac:dyDescent="0.25">
      <c r="A6009">
        <v>2023</v>
      </c>
      <c r="B6009">
        <v>8</v>
      </c>
      <c r="C6009" s="1" t="s">
        <v>31</v>
      </c>
      <c r="D6009" s="1" t="s">
        <v>19</v>
      </c>
      <c r="E6009" s="1" t="s">
        <v>114</v>
      </c>
      <c r="F6009">
        <v>2016</v>
      </c>
      <c r="G6009">
        <v>7</v>
      </c>
      <c r="H6009" s="1" t="s">
        <v>21</v>
      </c>
      <c r="I6009">
        <v>14</v>
      </c>
      <c r="J6009">
        <v>1746</v>
      </c>
      <c r="K6009" s="1" t="s">
        <v>115</v>
      </c>
      <c r="L6009" s="1" t="s">
        <v>23</v>
      </c>
      <c r="M6009">
        <v>2.177</v>
      </c>
      <c r="N6009">
        <v>30472.1</v>
      </c>
      <c r="O6009">
        <v>30.472000000000001</v>
      </c>
      <c r="P6009" s="2">
        <v>45139</v>
      </c>
      <c r="Q6009">
        <v>1</v>
      </c>
      <c r="R6009" s="1" t="s">
        <v>40</v>
      </c>
    </row>
    <row r="6010" spans="1:18" x14ac:dyDescent="0.25">
      <c r="A6010">
        <v>2023</v>
      </c>
      <c r="B6010">
        <v>9</v>
      </c>
      <c r="C6010" s="1" t="s">
        <v>32</v>
      </c>
      <c r="D6010" s="1" t="s">
        <v>19</v>
      </c>
      <c r="E6010" s="1" t="s">
        <v>114</v>
      </c>
      <c r="F6010">
        <v>2016</v>
      </c>
      <c r="G6010">
        <v>7</v>
      </c>
      <c r="H6010" s="1" t="s">
        <v>21</v>
      </c>
      <c r="I6010">
        <v>14</v>
      </c>
      <c r="J6010">
        <v>1746</v>
      </c>
      <c r="K6010" s="1" t="s">
        <v>115</v>
      </c>
      <c r="L6010" s="1" t="s">
        <v>23</v>
      </c>
      <c r="M6010">
        <v>2.25</v>
      </c>
      <c r="N6010">
        <v>31506.6</v>
      </c>
      <c r="O6010">
        <v>31.507000000000001</v>
      </c>
      <c r="P6010" s="2">
        <v>45170</v>
      </c>
      <c r="Q6010">
        <v>1</v>
      </c>
      <c r="R6010" s="1" t="s">
        <v>40</v>
      </c>
    </row>
    <row r="6011" spans="1:18" x14ac:dyDescent="0.25">
      <c r="A6011">
        <v>2023</v>
      </c>
      <c r="B6011">
        <v>10</v>
      </c>
      <c r="C6011" s="1" t="s">
        <v>33</v>
      </c>
      <c r="D6011" s="1" t="s">
        <v>19</v>
      </c>
      <c r="E6011" s="1" t="s">
        <v>114</v>
      </c>
      <c r="F6011">
        <v>2016</v>
      </c>
      <c r="G6011">
        <v>7</v>
      </c>
      <c r="H6011" s="1" t="s">
        <v>21</v>
      </c>
      <c r="I6011">
        <v>14</v>
      </c>
      <c r="J6011">
        <v>1746</v>
      </c>
      <c r="K6011" s="1" t="s">
        <v>115</v>
      </c>
      <c r="L6011" s="1" t="s">
        <v>23</v>
      </c>
      <c r="M6011">
        <v>1.996</v>
      </c>
      <c r="N6011">
        <v>27944.7</v>
      </c>
      <c r="O6011">
        <v>27.945</v>
      </c>
      <c r="P6011" s="2">
        <v>45200</v>
      </c>
      <c r="Q6011">
        <v>1</v>
      </c>
      <c r="R6011" s="1" t="s">
        <v>40</v>
      </c>
    </row>
    <row r="6012" spans="1:18" x14ac:dyDescent="0.25">
      <c r="A6012">
        <v>2023</v>
      </c>
      <c r="B6012">
        <v>11</v>
      </c>
      <c r="C6012" s="1" t="s">
        <v>34</v>
      </c>
      <c r="D6012" s="1" t="s">
        <v>19</v>
      </c>
      <c r="E6012" s="1" t="s">
        <v>114</v>
      </c>
      <c r="F6012">
        <v>2016</v>
      </c>
      <c r="G6012">
        <v>7</v>
      </c>
      <c r="H6012" s="1" t="s">
        <v>21</v>
      </c>
      <c r="I6012">
        <v>14</v>
      </c>
      <c r="J6012">
        <v>1746</v>
      </c>
      <c r="K6012" s="1" t="s">
        <v>115</v>
      </c>
      <c r="L6012" s="1" t="s">
        <v>23</v>
      </c>
      <c r="M6012">
        <v>1.651</v>
      </c>
      <c r="N6012">
        <v>23112.7</v>
      </c>
      <c r="O6012">
        <v>23.113</v>
      </c>
      <c r="P6012" s="2">
        <v>45231</v>
      </c>
      <c r="Q6012">
        <v>1</v>
      </c>
      <c r="R6012" s="1" t="s">
        <v>40</v>
      </c>
    </row>
    <row r="6013" spans="1:18" x14ac:dyDescent="0.25">
      <c r="A6013">
        <v>2023</v>
      </c>
      <c r="B6013">
        <v>12</v>
      </c>
      <c r="C6013" s="1" t="s">
        <v>35</v>
      </c>
      <c r="D6013" s="1" t="s">
        <v>19</v>
      </c>
      <c r="E6013" s="1" t="s">
        <v>114</v>
      </c>
      <c r="F6013">
        <v>2016</v>
      </c>
      <c r="G6013">
        <v>7</v>
      </c>
      <c r="H6013" s="1" t="s">
        <v>21</v>
      </c>
      <c r="I6013">
        <v>14</v>
      </c>
      <c r="J6013">
        <v>1746</v>
      </c>
      <c r="K6013" s="1" t="s">
        <v>115</v>
      </c>
      <c r="L6013" s="1" t="s">
        <v>23</v>
      </c>
      <c r="M6013">
        <v>0.79800000000000004</v>
      </c>
      <c r="N6013">
        <v>11170</v>
      </c>
      <c r="O6013">
        <v>11.17</v>
      </c>
      <c r="P6013" s="2">
        <v>45261</v>
      </c>
      <c r="Q6013">
        <v>1</v>
      </c>
      <c r="R6013" s="1" t="s">
        <v>40</v>
      </c>
    </row>
    <row r="6014" spans="1:18" x14ac:dyDescent="0.25">
      <c r="A6014">
        <v>2023</v>
      </c>
      <c r="B6014">
        <v>1</v>
      </c>
      <c r="C6014" s="1" t="s">
        <v>18</v>
      </c>
      <c r="D6014" s="1" t="s">
        <v>19</v>
      </c>
      <c r="E6014" s="1" t="s">
        <v>116</v>
      </c>
      <c r="F6014">
        <v>2016</v>
      </c>
      <c r="G6014">
        <v>7</v>
      </c>
      <c r="H6014" s="1" t="s">
        <v>21</v>
      </c>
      <c r="I6014">
        <v>24</v>
      </c>
      <c r="J6014">
        <v>3377</v>
      </c>
      <c r="K6014" s="1" t="s">
        <v>103</v>
      </c>
      <c r="L6014" s="1" t="s">
        <v>23</v>
      </c>
      <c r="M6014">
        <v>1.365</v>
      </c>
      <c r="N6014">
        <v>32748.5</v>
      </c>
      <c r="O6014">
        <v>32.747999999999998</v>
      </c>
      <c r="P6014" s="2">
        <v>44927</v>
      </c>
      <c r="Q6014">
        <v>1</v>
      </c>
      <c r="R6014" s="1" t="s">
        <v>40</v>
      </c>
    </row>
    <row r="6015" spans="1:18" x14ac:dyDescent="0.25">
      <c r="A6015">
        <v>2023</v>
      </c>
      <c r="B6015">
        <v>2</v>
      </c>
      <c r="C6015" s="1" t="s">
        <v>25</v>
      </c>
      <c r="D6015" s="1" t="s">
        <v>19</v>
      </c>
      <c r="E6015" s="1" t="s">
        <v>116</v>
      </c>
      <c r="F6015">
        <v>2016</v>
      </c>
      <c r="G6015">
        <v>7</v>
      </c>
      <c r="H6015" s="1" t="s">
        <v>21</v>
      </c>
      <c r="I6015">
        <v>24</v>
      </c>
      <c r="J6015">
        <v>3377</v>
      </c>
      <c r="K6015" s="1" t="s">
        <v>103</v>
      </c>
      <c r="L6015" s="1" t="s">
        <v>23</v>
      </c>
      <c r="M6015">
        <v>1.958</v>
      </c>
      <c r="N6015">
        <v>46982.5</v>
      </c>
      <c r="O6015">
        <v>46.982999999999997</v>
      </c>
      <c r="P6015" s="2">
        <v>44958</v>
      </c>
      <c r="Q6015">
        <v>1</v>
      </c>
      <c r="R6015" s="1" t="s">
        <v>40</v>
      </c>
    </row>
    <row r="6016" spans="1:18" x14ac:dyDescent="0.25">
      <c r="A6016">
        <v>2023</v>
      </c>
      <c r="B6016">
        <v>3</v>
      </c>
      <c r="C6016" s="1" t="s">
        <v>26</v>
      </c>
      <c r="D6016" s="1" t="s">
        <v>19</v>
      </c>
      <c r="E6016" s="1" t="s">
        <v>116</v>
      </c>
      <c r="F6016">
        <v>2016</v>
      </c>
      <c r="G6016">
        <v>7</v>
      </c>
      <c r="H6016" s="1" t="s">
        <v>21</v>
      </c>
      <c r="I6016">
        <v>24</v>
      </c>
      <c r="J6016">
        <v>3377</v>
      </c>
      <c r="K6016" s="1" t="s">
        <v>103</v>
      </c>
      <c r="L6016" s="1" t="s">
        <v>23</v>
      </c>
      <c r="M6016">
        <v>2.2730000000000001</v>
      </c>
      <c r="N6016">
        <v>54555.4</v>
      </c>
      <c r="O6016">
        <v>54.555</v>
      </c>
      <c r="P6016" s="2">
        <v>44986</v>
      </c>
      <c r="Q6016">
        <v>1</v>
      </c>
      <c r="R6016" s="1" t="s">
        <v>40</v>
      </c>
    </row>
    <row r="6017" spans="1:18" x14ac:dyDescent="0.25">
      <c r="A6017">
        <v>2023</v>
      </c>
      <c r="B6017">
        <v>4</v>
      </c>
      <c r="C6017" s="1" t="s">
        <v>27</v>
      </c>
      <c r="D6017" s="1" t="s">
        <v>19</v>
      </c>
      <c r="E6017" s="1" t="s">
        <v>116</v>
      </c>
      <c r="F6017">
        <v>2016</v>
      </c>
      <c r="G6017">
        <v>7</v>
      </c>
      <c r="H6017" s="1" t="s">
        <v>21</v>
      </c>
      <c r="I6017">
        <v>24</v>
      </c>
      <c r="J6017">
        <v>3377</v>
      </c>
      <c r="K6017" s="1" t="s">
        <v>103</v>
      </c>
      <c r="L6017" s="1" t="s">
        <v>23</v>
      </c>
      <c r="M6017">
        <v>2.31</v>
      </c>
      <c r="N6017">
        <v>55441.9</v>
      </c>
      <c r="O6017">
        <v>55.442</v>
      </c>
      <c r="P6017" s="2">
        <v>45017</v>
      </c>
      <c r="Q6017">
        <v>1</v>
      </c>
      <c r="R6017" s="1" t="s">
        <v>40</v>
      </c>
    </row>
    <row r="6018" spans="1:18" x14ac:dyDescent="0.25">
      <c r="A6018">
        <v>2023</v>
      </c>
      <c r="B6018">
        <v>5</v>
      </c>
      <c r="C6018" s="1" t="s">
        <v>28</v>
      </c>
      <c r="D6018" s="1" t="s">
        <v>19</v>
      </c>
      <c r="E6018" s="1" t="s">
        <v>116</v>
      </c>
      <c r="F6018">
        <v>2016</v>
      </c>
      <c r="G6018">
        <v>7</v>
      </c>
      <c r="H6018" s="1" t="s">
        <v>21</v>
      </c>
      <c r="I6018">
        <v>24</v>
      </c>
      <c r="J6018">
        <v>3377</v>
      </c>
      <c r="K6018" s="1" t="s">
        <v>103</v>
      </c>
      <c r="L6018" s="1" t="s">
        <v>23</v>
      </c>
      <c r="M6018">
        <v>2.2949999999999999</v>
      </c>
      <c r="N6018">
        <v>55087.3</v>
      </c>
      <c r="O6018">
        <v>55.087000000000003</v>
      </c>
      <c r="P6018" s="2">
        <v>45047</v>
      </c>
      <c r="Q6018">
        <v>1</v>
      </c>
      <c r="R6018" s="1" t="s">
        <v>40</v>
      </c>
    </row>
    <row r="6019" spans="1:18" x14ac:dyDescent="0.25">
      <c r="A6019">
        <v>2023</v>
      </c>
      <c r="B6019">
        <v>6</v>
      </c>
      <c r="C6019" s="1" t="s">
        <v>29</v>
      </c>
      <c r="D6019" s="1" t="s">
        <v>19</v>
      </c>
      <c r="E6019" s="1" t="s">
        <v>116</v>
      </c>
      <c r="F6019">
        <v>2016</v>
      </c>
      <c r="G6019">
        <v>7</v>
      </c>
      <c r="H6019" s="1" t="s">
        <v>21</v>
      </c>
      <c r="I6019">
        <v>24</v>
      </c>
      <c r="J6019">
        <v>3377</v>
      </c>
      <c r="K6019" s="1" t="s">
        <v>103</v>
      </c>
      <c r="L6019" s="1" t="s">
        <v>23</v>
      </c>
      <c r="M6019">
        <v>2.54</v>
      </c>
      <c r="N6019">
        <v>60963.3</v>
      </c>
      <c r="O6019">
        <v>60.963000000000001</v>
      </c>
      <c r="P6019" s="2">
        <v>45078</v>
      </c>
      <c r="Q6019">
        <v>1</v>
      </c>
      <c r="R6019" s="1" t="s">
        <v>40</v>
      </c>
    </row>
    <row r="6020" spans="1:18" x14ac:dyDescent="0.25">
      <c r="A6020">
        <v>2023</v>
      </c>
      <c r="B6020">
        <v>7</v>
      </c>
      <c r="C6020" s="1" t="s">
        <v>30</v>
      </c>
      <c r="D6020" s="1" t="s">
        <v>19</v>
      </c>
      <c r="E6020" s="1" t="s">
        <v>116</v>
      </c>
      <c r="F6020">
        <v>2016</v>
      </c>
      <c r="G6020">
        <v>7</v>
      </c>
      <c r="H6020" s="1" t="s">
        <v>21</v>
      </c>
      <c r="I6020">
        <v>24</v>
      </c>
      <c r="J6020">
        <v>3377</v>
      </c>
      <c r="K6020" s="1" t="s">
        <v>103</v>
      </c>
      <c r="L6020" s="1" t="s">
        <v>23</v>
      </c>
      <c r="M6020">
        <v>2.335</v>
      </c>
      <c r="N6020">
        <v>56049.8</v>
      </c>
      <c r="O6020">
        <v>56.05</v>
      </c>
      <c r="P6020" s="2">
        <v>45108</v>
      </c>
      <c r="Q6020">
        <v>1</v>
      </c>
      <c r="R6020" s="1" t="s">
        <v>40</v>
      </c>
    </row>
    <row r="6021" spans="1:18" x14ac:dyDescent="0.25">
      <c r="A6021">
        <v>2023</v>
      </c>
      <c r="B6021">
        <v>8</v>
      </c>
      <c r="C6021" s="1" t="s">
        <v>31</v>
      </c>
      <c r="D6021" s="1" t="s">
        <v>19</v>
      </c>
      <c r="E6021" s="1" t="s">
        <v>116</v>
      </c>
      <c r="F6021">
        <v>2016</v>
      </c>
      <c r="G6021">
        <v>7</v>
      </c>
      <c r="H6021" s="1" t="s">
        <v>21</v>
      </c>
      <c r="I6021">
        <v>24</v>
      </c>
      <c r="J6021">
        <v>3377</v>
      </c>
      <c r="K6021" s="1" t="s">
        <v>103</v>
      </c>
      <c r="L6021" s="1" t="s">
        <v>23</v>
      </c>
      <c r="M6021">
        <v>2.456</v>
      </c>
      <c r="N6021">
        <v>58937.1</v>
      </c>
      <c r="O6021">
        <v>58.936999999999998</v>
      </c>
      <c r="P6021" s="2">
        <v>45139</v>
      </c>
      <c r="Q6021">
        <v>1</v>
      </c>
      <c r="R6021" s="1" t="s">
        <v>40</v>
      </c>
    </row>
    <row r="6022" spans="1:18" x14ac:dyDescent="0.25">
      <c r="A6022">
        <v>2023</v>
      </c>
      <c r="B6022">
        <v>9</v>
      </c>
      <c r="C6022" s="1" t="s">
        <v>32</v>
      </c>
      <c r="D6022" s="1" t="s">
        <v>19</v>
      </c>
      <c r="E6022" s="1" t="s">
        <v>116</v>
      </c>
      <c r="F6022">
        <v>2016</v>
      </c>
      <c r="G6022">
        <v>7</v>
      </c>
      <c r="H6022" s="1" t="s">
        <v>21</v>
      </c>
      <c r="I6022">
        <v>24</v>
      </c>
      <c r="J6022">
        <v>3377</v>
      </c>
      <c r="K6022" s="1" t="s">
        <v>103</v>
      </c>
      <c r="L6022" s="1" t="s">
        <v>23</v>
      </c>
      <c r="M6022">
        <v>2.5390000000000001</v>
      </c>
      <c r="N6022">
        <v>60938</v>
      </c>
      <c r="O6022">
        <v>60.938000000000002</v>
      </c>
      <c r="P6022" s="2">
        <v>45170</v>
      </c>
      <c r="Q6022">
        <v>1</v>
      </c>
      <c r="R6022" s="1" t="s">
        <v>40</v>
      </c>
    </row>
    <row r="6023" spans="1:18" x14ac:dyDescent="0.25">
      <c r="A6023">
        <v>2023</v>
      </c>
      <c r="B6023">
        <v>10</v>
      </c>
      <c r="C6023" s="1" t="s">
        <v>33</v>
      </c>
      <c r="D6023" s="1" t="s">
        <v>19</v>
      </c>
      <c r="E6023" s="1" t="s">
        <v>116</v>
      </c>
      <c r="F6023">
        <v>2016</v>
      </c>
      <c r="G6023">
        <v>7</v>
      </c>
      <c r="H6023" s="1" t="s">
        <v>21</v>
      </c>
      <c r="I6023">
        <v>24</v>
      </c>
      <c r="J6023">
        <v>3377</v>
      </c>
      <c r="K6023" s="1" t="s">
        <v>103</v>
      </c>
      <c r="L6023" s="1" t="s">
        <v>23</v>
      </c>
      <c r="M6023">
        <v>2.2519999999999998</v>
      </c>
      <c r="N6023">
        <v>54048.9</v>
      </c>
      <c r="O6023">
        <v>54.048999999999999</v>
      </c>
      <c r="P6023" s="2">
        <v>45200</v>
      </c>
      <c r="Q6023">
        <v>1</v>
      </c>
      <c r="R6023" s="1" t="s">
        <v>40</v>
      </c>
    </row>
    <row r="6024" spans="1:18" x14ac:dyDescent="0.25">
      <c r="A6024">
        <v>2023</v>
      </c>
      <c r="B6024">
        <v>11</v>
      </c>
      <c r="C6024" s="1" t="s">
        <v>34</v>
      </c>
      <c r="D6024" s="1" t="s">
        <v>19</v>
      </c>
      <c r="E6024" s="1" t="s">
        <v>116</v>
      </c>
      <c r="F6024">
        <v>2016</v>
      </c>
      <c r="G6024">
        <v>7</v>
      </c>
      <c r="H6024" s="1" t="s">
        <v>21</v>
      </c>
      <c r="I6024">
        <v>24</v>
      </c>
      <c r="J6024">
        <v>3377</v>
      </c>
      <c r="K6024" s="1" t="s">
        <v>103</v>
      </c>
      <c r="L6024" s="1" t="s">
        <v>23</v>
      </c>
      <c r="M6024">
        <v>1.863</v>
      </c>
      <c r="N6024">
        <v>44703</v>
      </c>
      <c r="O6024">
        <v>44.703000000000003</v>
      </c>
      <c r="P6024" s="2">
        <v>45231</v>
      </c>
      <c r="Q6024">
        <v>1</v>
      </c>
      <c r="R6024" s="1" t="s">
        <v>40</v>
      </c>
    </row>
    <row r="6025" spans="1:18" x14ac:dyDescent="0.25">
      <c r="A6025">
        <v>2023</v>
      </c>
      <c r="B6025">
        <v>12</v>
      </c>
      <c r="C6025" s="1" t="s">
        <v>35</v>
      </c>
      <c r="D6025" s="1" t="s">
        <v>19</v>
      </c>
      <c r="E6025" s="1" t="s">
        <v>116</v>
      </c>
      <c r="F6025">
        <v>2016</v>
      </c>
      <c r="G6025">
        <v>7</v>
      </c>
      <c r="H6025" s="1" t="s">
        <v>21</v>
      </c>
      <c r="I6025">
        <v>24</v>
      </c>
      <c r="J6025">
        <v>3377</v>
      </c>
      <c r="K6025" s="1" t="s">
        <v>103</v>
      </c>
      <c r="L6025" s="1" t="s">
        <v>23</v>
      </c>
      <c r="M6025">
        <v>0.9</v>
      </c>
      <c r="N6025">
        <v>21604.400000000001</v>
      </c>
      <c r="O6025">
        <v>21.603999999999999</v>
      </c>
      <c r="P6025" s="2">
        <v>45261</v>
      </c>
      <c r="Q6025">
        <v>1</v>
      </c>
      <c r="R6025" s="1" t="s">
        <v>40</v>
      </c>
    </row>
    <row r="6026" spans="1:18" x14ac:dyDescent="0.25">
      <c r="A6026">
        <v>2023</v>
      </c>
      <c r="B6026">
        <v>1</v>
      </c>
      <c r="C6026" s="1" t="s">
        <v>18</v>
      </c>
      <c r="D6026" s="1" t="s">
        <v>19</v>
      </c>
      <c r="E6026" s="1" t="s">
        <v>117</v>
      </c>
      <c r="F6026">
        <v>2016</v>
      </c>
      <c r="G6026">
        <v>7</v>
      </c>
      <c r="H6026" s="1" t="s">
        <v>21</v>
      </c>
      <c r="I6026">
        <v>25</v>
      </c>
      <c r="J6026">
        <v>3431</v>
      </c>
      <c r="K6026" s="1" t="s">
        <v>118</v>
      </c>
      <c r="L6026" s="1" t="s">
        <v>23</v>
      </c>
      <c r="M6026">
        <v>1.331</v>
      </c>
      <c r="N6026">
        <v>33272.1</v>
      </c>
      <c r="O6026">
        <v>33.271999999999998</v>
      </c>
      <c r="P6026" s="2">
        <v>44927</v>
      </c>
      <c r="Q6026">
        <v>1</v>
      </c>
      <c r="R6026" s="1" t="s">
        <v>40</v>
      </c>
    </row>
    <row r="6027" spans="1:18" x14ac:dyDescent="0.25">
      <c r="A6027">
        <v>2023</v>
      </c>
      <c r="B6027">
        <v>2</v>
      </c>
      <c r="C6027" s="1" t="s">
        <v>25</v>
      </c>
      <c r="D6027" s="1" t="s">
        <v>19</v>
      </c>
      <c r="E6027" s="1" t="s">
        <v>117</v>
      </c>
      <c r="F6027">
        <v>2016</v>
      </c>
      <c r="G6027">
        <v>7</v>
      </c>
      <c r="H6027" s="1" t="s">
        <v>21</v>
      </c>
      <c r="I6027">
        <v>25</v>
      </c>
      <c r="J6027">
        <v>3431</v>
      </c>
      <c r="K6027" s="1" t="s">
        <v>118</v>
      </c>
      <c r="L6027" s="1" t="s">
        <v>23</v>
      </c>
      <c r="M6027">
        <v>1.909</v>
      </c>
      <c r="N6027">
        <v>47733.8</v>
      </c>
      <c r="O6027">
        <v>47.734000000000002</v>
      </c>
      <c r="P6027" s="2">
        <v>44958</v>
      </c>
      <c r="Q6027">
        <v>1</v>
      </c>
      <c r="R6027" s="1" t="s">
        <v>40</v>
      </c>
    </row>
    <row r="6028" spans="1:18" x14ac:dyDescent="0.25">
      <c r="A6028">
        <v>2023</v>
      </c>
      <c r="B6028">
        <v>3</v>
      </c>
      <c r="C6028" s="1" t="s">
        <v>26</v>
      </c>
      <c r="D6028" s="1" t="s">
        <v>19</v>
      </c>
      <c r="E6028" s="1" t="s">
        <v>117</v>
      </c>
      <c r="F6028">
        <v>2016</v>
      </c>
      <c r="G6028">
        <v>7</v>
      </c>
      <c r="H6028" s="1" t="s">
        <v>21</v>
      </c>
      <c r="I6028">
        <v>25</v>
      </c>
      <c r="J6028">
        <v>3431</v>
      </c>
      <c r="K6028" s="1" t="s">
        <v>118</v>
      </c>
      <c r="L6028" s="1" t="s">
        <v>23</v>
      </c>
      <c r="M6028">
        <v>2.2170000000000001</v>
      </c>
      <c r="N6028">
        <v>55427.8</v>
      </c>
      <c r="O6028">
        <v>55.427999999999997</v>
      </c>
      <c r="P6028" s="2">
        <v>44986</v>
      </c>
      <c r="Q6028">
        <v>1</v>
      </c>
      <c r="R6028" s="1" t="s">
        <v>40</v>
      </c>
    </row>
    <row r="6029" spans="1:18" x14ac:dyDescent="0.25">
      <c r="A6029">
        <v>2023</v>
      </c>
      <c r="B6029">
        <v>4</v>
      </c>
      <c r="C6029" s="1" t="s">
        <v>27</v>
      </c>
      <c r="D6029" s="1" t="s">
        <v>19</v>
      </c>
      <c r="E6029" s="1" t="s">
        <v>117</v>
      </c>
      <c r="F6029">
        <v>2016</v>
      </c>
      <c r="G6029">
        <v>7</v>
      </c>
      <c r="H6029" s="1" t="s">
        <v>21</v>
      </c>
      <c r="I6029">
        <v>25</v>
      </c>
      <c r="J6029">
        <v>3431</v>
      </c>
      <c r="K6029" s="1" t="s">
        <v>118</v>
      </c>
      <c r="L6029" s="1" t="s">
        <v>23</v>
      </c>
      <c r="M6029">
        <v>2.2530000000000001</v>
      </c>
      <c r="N6029">
        <v>56328.4</v>
      </c>
      <c r="O6029">
        <v>56.328000000000003</v>
      </c>
      <c r="P6029" s="2">
        <v>45017</v>
      </c>
      <c r="Q6029">
        <v>1</v>
      </c>
      <c r="R6029" s="1" t="s">
        <v>40</v>
      </c>
    </row>
    <row r="6030" spans="1:18" x14ac:dyDescent="0.25">
      <c r="A6030">
        <v>2023</v>
      </c>
      <c r="B6030">
        <v>5</v>
      </c>
      <c r="C6030" s="1" t="s">
        <v>28</v>
      </c>
      <c r="D6030" s="1" t="s">
        <v>19</v>
      </c>
      <c r="E6030" s="1" t="s">
        <v>117</v>
      </c>
      <c r="F6030">
        <v>2016</v>
      </c>
      <c r="G6030">
        <v>7</v>
      </c>
      <c r="H6030" s="1" t="s">
        <v>21</v>
      </c>
      <c r="I6030">
        <v>25</v>
      </c>
      <c r="J6030">
        <v>3431</v>
      </c>
      <c r="K6030" s="1" t="s">
        <v>118</v>
      </c>
      <c r="L6030" s="1" t="s">
        <v>23</v>
      </c>
      <c r="M6030">
        <v>2.2389999999999999</v>
      </c>
      <c r="N6030">
        <v>55968.2</v>
      </c>
      <c r="O6030">
        <v>55.968000000000004</v>
      </c>
      <c r="P6030" s="2">
        <v>45047</v>
      </c>
      <c r="Q6030">
        <v>1</v>
      </c>
      <c r="R6030" s="1" t="s">
        <v>40</v>
      </c>
    </row>
    <row r="6031" spans="1:18" x14ac:dyDescent="0.25">
      <c r="A6031">
        <v>2023</v>
      </c>
      <c r="B6031">
        <v>6</v>
      </c>
      <c r="C6031" s="1" t="s">
        <v>29</v>
      </c>
      <c r="D6031" s="1" t="s">
        <v>19</v>
      </c>
      <c r="E6031" s="1" t="s">
        <v>117</v>
      </c>
      <c r="F6031">
        <v>2016</v>
      </c>
      <c r="G6031">
        <v>7</v>
      </c>
      <c r="H6031" s="1" t="s">
        <v>21</v>
      </c>
      <c r="I6031">
        <v>25</v>
      </c>
      <c r="J6031">
        <v>3431</v>
      </c>
      <c r="K6031" s="1" t="s">
        <v>118</v>
      </c>
      <c r="L6031" s="1" t="s">
        <v>23</v>
      </c>
      <c r="M6031">
        <v>2.4780000000000002</v>
      </c>
      <c r="N6031">
        <v>61938.1</v>
      </c>
      <c r="O6031">
        <v>61.938000000000002</v>
      </c>
      <c r="P6031" s="2">
        <v>45078</v>
      </c>
      <c r="Q6031">
        <v>1</v>
      </c>
      <c r="R6031" s="1" t="s">
        <v>40</v>
      </c>
    </row>
    <row r="6032" spans="1:18" x14ac:dyDescent="0.25">
      <c r="A6032">
        <v>2023</v>
      </c>
      <c r="B6032">
        <v>7</v>
      </c>
      <c r="C6032" s="1" t="s">
        <v>30</v>
      </c>
      <c r="D6032" s="1" t="s">
        <v>19</v>
      </c>
      <c r="E6032" s="1" t="s">
        <v>117</v>
      </c>
      <c r="F6032">
        <v>2016</v>
      </c>
      <c r="G6032">
        <v>7</v>
      </c>
      <c r="H6032" s="1" t="s">
        <v>21</v>
      </c>
      <c r="I6032">
        <v>25</v>
      </c>
      <c r="J6032">
        <v>3431</v>
      </c>
      <c r="K6032" s="1" t="s">
        <v>118</v>
      </c>
      <c r="L6032" s="1" t="s">
        <v>23</v>
      </c>
      <c r="M6032">
        <v>2.278</v>
      </c>
      <c r="N6032">
        <v>56946</v>
      </c>
      <c r="O6032">
        <v>56.945999999999998</v>
      </c>
      <c r="P6032" s="2">
        <v>45108</v>
      </c>
      <c r="Q6032">
        <v>1</v>
      </c>
      <c r="R6032" s="1" t="s">
        <v>40</v>
      </c>
    </row>
    <row r="6033" spans="1:18" x14ac:dyDescent="0.25">
      <c r="A6033">
        <v>2023</v>
      </c>
      <c r="B6033">
        <v>8</v>
      </c>
      <c r="C6033" s="1" t="s">
        <v>31</v>
      </c>
      <c r="D6033" s="1" t="s">
        <v>19</v>
      </c>
      <c r="E6033" s="1" t="s">
        <v>117</v>
      </c>
      <c r="F6033">
        <v>2016</v>
      </c>
      <c r="G6033">
        <v>7</v>
      </c>
      <c r="H6033" s="1" t="s">
        <v>21</v>
      </c>
      <c r="I6033">
        <v>25</v>
      </c>
      <c r="J6033">
        <v>3431</v>
      </c>
      <c r="K6033" s="1" t="s">
        <v>118</v>
      </c>
      <c r="L6033" s="1" t="s">
        <v>23</v>
      </c>
      <c r="M6033">
        <v>2.395</v>
      </c>
      <c r="N6033">
        <v>59879.5</v>
      </c>
      <c r="O6033">
        <v>59.88</v>
      </c>
      <c r="P6033" s="2">
        <v>45139</v>
      </c>
      <c r="Q6033">
        <v>1</v>
      </c>
      <c r="R6033" s="1" t="s">
        <v>40</v>
      </c>
    </row>
    <row r="6034" spans="1:18" x14ac:dyDescent="0.25">
      <c r="A6034">
        <v>2023</v>
      </c>
      <c r="B6034">
        <v>9</v>
      </c>
      <c r="C6034" s="1" t="s">
        <v>32</v>
      </c>
      <c r="D6034" s="1" t="s">
        <v>19</v>
      </c>
      <c r="E6034" s="1" t="s">
        <v>117</v>
      </c>
      <c r="F6034">
        <v>2016</v>
      </c>
      <c r="G6034">
        <v>7</v>
      </c>
      <c r="H6034" s="1" t="s">
        <v>21</v>
      </c>
      <c r="I6034">
        <v>25</v>
      </c>
      <c r="J6034">
        <v>3431</v>
      </c>
      <c r="K6034" s="1" t="s">
        <v>118</v>
      </c>
      <c r="L6034" s="1" t="s">
        <v>23</v>
      </c>
      <c r="M6034">
        <v>2.476</v>
      </c>
      <c r="N6034">
        <v>61912.4</v>
      </c>
      <c r="O6034">
        <v>61.911999999999999</v>
      </c>
      <c r="P6034" s="2">
        <v>45170</v>
      </c>
      <c r="Q6034">
        <v>1</v>
      </c>
      <c r="R6034" s="1" t="s">
        <v>40</v>
      </c>
    </row>
    <row r="6035" spans="1:18" x14ac:dyDescent="0.25">
      <c r="A6035">
        <v>2023</v>
      </c>
      <c r="B6035">
        <v>10</v>
      </c>
      <c r="C6035" s="1" t="s">
        <v>33</v>
      </c>
      <c r="D6035" s="1" t="s">
        <v>19</v>
      </c>
      <c r="E6035" s="1" t="s">
        <v>117</v>
      </c>
      <c r="F6035">
        <v>2016</v>
      </c>
      <c r="G6035">
        <v>7</v>
      </c>
      <c r="H6035" s="1" t="s">
        <v>21</v>
      </c>
      <c r="I6035">
        <v>25</v>
      </c>
      <c r="J6035">
        <v>3431</v>
      </c>
      <c r="K6035" s="1" t="s">
        <v>118</v>
      </c>
      <c r="L6035" s="1" t="s">
        <v>23</v>
      </c>
      <c r="M6035">
        <v>2.1970000000000001</v>
      </c>
      <c r="N6035">
        <v>54913.2</v>
      </c>
      <c r="O6035">
        <v>54.912999999999997</v>
      </c>
      <c r="P6035" s="2">
        <v>45200</v>
      </c>
      <c r="Q6035">
        <v>1</v>
      </c>
      <c r="R6035" s="1" t="s">
        <v>40</v>
      </c>
    </row>
    <row r="6036" spans="1:18" x14ac:dyDescent="0.25">
      <c r="A6036">
        <v>2023</v>
      </c>
      <c r="B6036">
        <v>11</v>
      </c>
      <c r="C6036" s="1" t="s">
        <v>34</v>
      </c>
      <c r="D6036" s="1" t="s">
        <v>19</v>
      </c>
      <c r="E6036" s="1" t="s">
        <v>117</v>
      </c>
      <c r="F6036">
        <v>2016</v>
      </c>
      <c r="G6036">
        <v>7</v>
      </c>
      <c r="H6036" s="1" t="s">
        <v>21</v>
      </c>
      <c r="I6036">
        <v>25</v>
      </c>
      <c r="J6036">
        <v>3431</v>
      </c>
      <c r="K6036" s="1" t="s">
        <v>118</v>
      </c>
      <c r="L6036" s="1" t="s">
        <v>23</v>
      </c>
      <c r="M6036">
        <v>1.8169999999999999</v>
      </c>
      <c r="N6036">
        <v>45417.9</v>
      </c>
      <c r="O6036">
        <v>45.417999999999999</v>
      </c>
      <c r="P6036" s="2">
        <v>45231</v>
      </c>
      <c r="Q6036">
        <v>1</v>
      </c>
      <c r="R6036" s="1" t="s">
        <v>40</v>
      </c>
    </row>
    <row r="6037" spans="1:18" x14ac:dyDescent="0.25">
      <c r="A6037">
        <v>2023</v>
      </c>
      <c r="B6037">
        <v>12</v>
      </c>
      <c r="C6037" s="1" t="s">
        <v>35</v>
      </c>
      <c r="D6037" s="1" t="s">
        <v>19</v>
      </c>
      <c r="E6037" s="1" t="s">
        <v>117</v>
      </c>
      <c r="F6037">
        <v>2016</v>
      </c>
      <c r="G6037">
        <v>7</v>
      </c>
      <c r="H6037" s="1" t="s">
        <v>21</v>
      </c>
      <c r="I6037">
        <v>25</v>
      </c>
      <c r="J6037">
        <v>3431</v>
      </c>
      <c r="K6037" s="1" t="s">
        <v>118</v>
      </c>
      <c r="L6037" s="1" t="s">
        <v>23</v>
      </c>
      <c r="M6037">
        <v>0.878</v>
      </c>
      <c r="N6037">
        <v>21949.8</v>
      </c>
      <c r="O6037">
        <v>21.95</v>
      </c>
      <c r="P6037" s="2">
        <v>45261</v>
      </c>
      <c r="Q6037">
        <v>1</v>
      </c>
      <c r="R6037" s="1" t="s">
        <v>40</v>
      </c>
    </row>
    <row r="6038" spans="1:18" x14ac:dyDescent="0.25">
      <c r="A6038">
        <v>2023</v>
      </c>
      <c r="B6038">
        <v>1</v>
      </c>
      <c r="C6038" s="1" t="s">
        <v>18</v>
      </c>
      <c r="D6038" s="1" t="s">
        <v>19</v>
      </c>
      <c r="E6038" s="1" t="s">
        <v>119</v>
      </c>
      <c r="F6038">
        <v>2016</v>
      </c>
      <c r="G6038">
        <v>7</v>
      </c>
      <c r="H6038" s="1" t="s">
        <v>21</v>
      </c>
      <c r="I6038">
        <v>21</v>
      </c>
      <c r="J6038">
        <v>2901</v>
      </c>
      <c r="K6038" s="1" t="s">
        <v>120</v>
      </c>
      <c r="L6038" s="1" t="s">
        <v>23</v>
      </c>
      <c r="M6038">
        <v>1.34</v>
      </c>
      <c r="N6038">
        <v>28132.400000000001</v>
      </c>
      <c r="O6038">
        <v>28.132000000000001</v>
      </c>
      <c r="P6038" s="2">
        <v>44927</v>
      </c>
      <c r="Q6038">
        <v>1</v>
      </c>
      <c r="R6038" s="1" t="s">
        <v>40</v>
      </c>
    </row>
    <row r="6039" spans="1:18" x14ac:dyDescent="0.25">
      <c r="A6039">
        <v>2023</v>
      </c>
      <c r="B6039">
        <v>2</v>
      </c>
      <c r="C6039" s="1" t="s">
        <v>25</v>
      </c>
      <c r="D6039" s="1" t="s">
        <v>19</v>
      </c>
      <c r="E6039" s="1" t="s">
        <v>119</v>
      </c>
      <c r="F6039">
        <v>2016</v>
      </c>
      <c r="G6039">
        <v>7</v>
      </c>
      <c r="H6039" s="1" t="s">
        <v>21</v>
      </c>
      <c r="I6039">
        <v>21</v>
      </c>
      <c r="J6039">
        <v>2901</v>
      </c>
      <c r="K6039" s="1" t="s">
        <v>120</v>
      </c>
      <c r="L6039" s="1" t="s">
        <v>23</v>
      </c>
      <c r="M6039">
        <v>1.9219999999999999</v>
      </c>
      <c r="N6039">
        <v>40360.199999999997</v>
      </c>
      <c r="O6039">
        <v>40.36</v>
      </c>
      <c r="P6039" s="2">
        <v>44958</v>
      </c>
      <c r="Q6039">
        <v>1</v>
      </c>
      <c r="R6039" s="1" t="s">
        <v>40</v>
      </c>
    </row>
    <row r="6040" spans="1:18" x14ac:dyDescent="0.25">
      <c r="A6040">
        <v>2023</v>
      </c>
      <c r="B6040">
        <v>3</v>
      </c>
      <c r="C6040" s="1" t="s">
        <v>26</v>
      </c>
      <c r="D6040" s="1" t="s">
        <v>19</v>
      </c>
      <c r="E6040" s="1" t="s">
        <v>119</v>
      </c>
      <c r="F6040">
        <v>2016</v>
      </c>
      <c r="G6040">
        <v>7</v>
      </c>
      <c r="H6040" s="1" t="s">
        <v>21</v>
      </c>
      <c r="I6040">
        <v>21</v>
      </c>
      <c r="J6040">
        <v>2901</v>
      </c>
      <c r="K6040" s="1" t="s">
        <v>120</v>
      </c>
      <c r="L6040" s="1" t="s">
        <v>23</v>
      </c>
      <c r="M6040">
        <v>2.2320000000000002</v>
      </c>
      <c r="N6040">
        <v>46865.7</v>
      </c>
      <c r="O6040">
        <v>46.866</v>
      </c>
      <c r="P6040" s="2">
        <v>44986</v>
      </c>
      <c r="Q6040">
        <v>1</v>
      </c>
      <c r="R6040" s="1" t="s">
        <v>40</v>
      </c>
    </row>
    <row r="6041" spans="1:18" x14ac:dyDescent="0.25">
      <c r="A6041">
        <v>2023</v>
      </c>
      <c r="B6041">
        <v>4</v>
      </c>
      <c r="C6041" s="1" t="s">
        <v>27</v>
      </c>
      <c r="D6041" s="1" t="s">
        <v>19</v>
      </c>
      <c r="E6041" s="1" t="s">
        <v>119</v>
      </c>
      <c r="F6041">
        <v>2016</v>
      </c>
      <c r="G6041">
        <v>7</v>
      </c>
      <c r="H6041" s="1" t="s">
        <v>21</v>
      </c>
      <c r="I6041">
        <v>21</v>
      </c>
      <c r="J6041">
        <v>2901</v>
      </c>
      <c r="K6041" s="1" t="s">
        <v>120</v>
      </c>
      <c r="L6041" s="1" t="s">
        <v>23</v>
      </c>
      <c r="M6041">
        <v>2.2679999999999998</v>
      </c>
      <c r="N6041">
        <v>47627.199999999997</v>
      </c>
      <c r="O6041">
        <v>47.627000000000002</v>
      </c>
      <c r="P6041" s="2">
        <v>45017</v>
      </c>
      <c r="Q6041">
        <v>1</v>
      </c>
      <c r="R6041" s="1" t="s">
        <v>40</v>
      </c>
    </row>
    <row r="6042" spans="1:18" x14ac:dyDescent="0.25">
      <c r="A6042">
        <v>2023</v>
      </c>
      <c r="B6042">
        <v>5</v>
      </c>
      <c r="C6042" s="1" t="s">
        <v>28</v>
      </c>
      <c r="D6042" s="1" t="s">
        <v>19</v>
      </c>
      <c r="E6042" s="1" t="s">
        <v>119</v>
      </c>
      <c r="F6042">
        <v>2016</v>
      </c>
      <c r="G6042">
        <v>7</v>
      </c>
      <c r="H6042" s="1" t="s">
        <v>21</v>
      </c>
      <c r="I6042">
        <v>21</v>
      </c>
      <c r="J6042">
        <v>2901</v>
      </c>
      <c r="K6042" s="1" t="s">
        <v>120</v>
      </c>
      <c r="L6042" s="1" t="s">
        <v>23</v>
      </c>
      <c r="M6042">
        <v>2.2530000000000001</v>
      </c>
      <c r="N6042">
        <v>47322.6</v>
      </c>
      <c r="O6042">
        <v>47.323</v>
      </c>
      <c r="P6042" s="2">
        <v>45047</v>
      </c>
      <c r="Q6042">
        <v>1</v>
      </c>
      <c r="R6042" s="1" t="s">
        <v>40</v>
      </c>
    </row>
    <row r="6043" spans="1:18" x14ac:dyDescent="0.25">
      <c r="A6043">
        <v>2023</v>
      </c>
      <c r="B6043">
        <v>6</v>
      </c>
      <c r="C6043" s="1" t="s">
        <v>29</v>
      </c>
      <c r="D6043" s="1" t="s">
        <v>19</v>
      </c>
      <c r="E6043" s="1" t="s">
        <v>119</v>
      </c>
      <c r="F6043">
        <v>2016</v>
      </c>
      <c r="G6043">
        <v>7</v>
      </c>
      <c r="H6043" s="1" t="s">
        <v>21</v>
      </c>
      <c r="I6043">
        <v>21</v>
      </c>
      <c r="J6043">
        <v>2901</v>
      </c>
      <c r="K6043" s="1" t="s">
        <v>120</v>
      </c>
      <c r="L6043" s="1" t="s">
        <v>23</v>
      </c>
      <c r="M6043">
        <v>2.4940000000000002</v>
      </c>
      <c r="N6043">
        <v>52370.3</v>
      </c>
      <c r="O6043">
        <v>52.37</v>
      </c>
      <c r="P6043" s="2">
        <v>45078</v>
      </c>
      <c r="Q6043">
        <v>1</v>
      </c>
      <c r="R6043" s="1" t="s">
        <v>40</v>
      </c>
    </row>
    <row r="6044" spans="1:18" x14ac:dyDescent="0.25">
      <c r="A6044">
        <v>2023</v>
      </c>
      <c r="B6044">
        <v>7</v>
      </c>
      <c r="C6044" s="1" t="s">
        <v>30</v>
      </c>
      <c r="D6044" s="1" t="s">
        <v>19</v>
      </c>
      <c r="E6044" s="1" t="s">
        <v>119</v>
      </c>
      <c r="F6044">
        <v>2016</v>
      </c>
      <c r="G6044">
        <v>7</v>
      </c>
      <c r="H6044" s="1" t="s">
        <v>21</v>
      </c>
      <c r="I6044">
        <v>21</v>
      </c>
      <c r="J6044">
        <v>2901</v>
      </c>
      <c r="K6044" s="1" t="s">
        <v>120</v>
      </c>
      <c r="L6044" s="1" t="s">
        <v>23</v>
      </c>
      <c r="M6044">
        <v>2.2930000000000001</v>
      </c>
      <c r="N6044">
        <v>48149.3</v>
      </c>
      <c r="O6044">
        <v>48.149000000000001</v>
      </c>
      <c r="P6044" s="2">
        <v>45108</v>
      </c>
      <c r="Q6044">
        <v>1</v>
      </c>
      <c r="R6044" s="1" t="s">
        <v>40</v>
      </c>
    </row>
    <row r="6045" spans="1:18" x14ac:dyDescent="0.25">
      <c r="A6045">
        <v>2023</v>
      </c>
      <c r="B6045">
        <v>8</v>
      </c>
      <c r="C6045" s="1" t="s">
        <v>31</v>
      </c>
      <c r="D6045" s="1" t="s">
        <v>19</v>
      </c>
      <c r="E6045" s="1" t="s">
        <v>119</v>
      </c>
      <c r="F6045">
        <v>2016</v>
      </c>
      <c r="G6045">
        <v>7</v>
      </c>
      <c r="H6045" s="1" t="s">
        <v>21</v>
      </c>
      <c r="I6045">
        <v>21</v>
      </c>
      <c r="J6045">
        <v>2901</v>
      </c>
      <c r="K6045" s="1" t="s">
        <v>120</v>
      </c>
      <c r="L6045" s="1" t="s">
        <v>23</v>
      </c>
      <c r="M6045">
        <v>2.411</v>
      </c>
      <c r="N6045">
        <v>50629.7</v>
      </c>
      <c r="O6045">
        <v>50.63</v>
      </c>
      <c r="P6045" s="2">
        <v>45139</v>
      </c>
      <c r="Q6045">
        <v>1</v>
      </c>
      <c r="R6045" s="1" t="s">
        <v>40</v>
      </c>
    </row>
    <row r="6046" spans="1:18" x14ac:dyDescent="0.25">
      <c r="A6046">
        <v>2023</v>
      </c>
      <c r="B6046">
        <v>9</v>
      </c>
      <c r="C6046" s="1" t="s">
        <v>32</v>
      </c>
      <c r="D6046" s="1" t="s">
        <v>19</v>
      </c>
      <c r="E6046" s="1" t="s">
        <v>119</v>
      </c>
      <c r="F6046">
        <v>2016</v>
      </c>
      <c r="G6046">
        <v>7</v>
      </c>
      <c r="H6046" s="1" t="s">
        <v>21</v>
      </c>
      <c r="I6046">
        <v>21</v>
      </c>
      <c r="J6046">
        <v>2901</v>
      </c>
      <c r="K6046" s="1" t="s">
        <v>120</v>
      </c>
      <c r="L6046" s="1" t="s">
        <v>23</v>
      </c>
      <c r="M6046">
        <v>2.4929999999999999</v>
      </c>
      <c r="N6046">
        <v>52348.5</v>
      </c>
      <c r="O6046">
        <v>52.348999999999997</v>
      </c>
      <c r="P6046" s="2">
        <v>45170</v>
      </c>
      <c r="Q6046">
        <v>1</v>
      </c>
      <c r="R6046" s="1" t="s">
        <v>40</v>
      </c>
    </row>
    <row r="6047" spans="1:18" x14ac:dyDescent="0.25">
      <c r="A6047">
        <v>2023</v>
      </c>
      <c r="B6047">
        <v>10</v>
      </c>
      <c r="C6047" s="1" t="s">
        <v>33</v>
      </c>
      <c r="D6047" s="1" t="s">
        <v>19</v>
      </c>
      <c r="E6047" s="1" t="s">
        <v>119</v>
      </c>
      <c r="F6047">
        <v>2016</v>
      </c>
      <c r="G6047">
        <v>7</v>
      </c>
      <c r="H6047" s="1" t="s">
        <v>21</v>
      </c>
      <c r="I6047">
        <v>21</v>
      </c>
      <c r="J6047">
        <v>2901</v>
      </c>
      <c r="K6047" s="1" t="s">
        <v>120</v>
      </c>
      <c r="L6047" s="1" t="s">
        <v>23</v>
      </c>
      <c r="M6047">
        <v>2.2109999999999999</v>
      </c>
      <c r="N6047">
        <v>46430.5</v>
      </c>
      <c r="O6047">
        <v>46.430999999999997</v>
      </c>
      <c r="P6047" s="2">
        <v>45200</v>
      </c>
      <c r="Q6047">
        <v>1</v>
      </c>
      <c r="R6047" s="1" t="s">
        <v>40</v>
      </c>
    </row>
    <row r="6048" spans="1:18" x14ac:dyDescent="0.25">
      <c r="A6048">
        <v>2023</v>
      </c>
      <c r="B6048">
        <v>11</v>
      </c>
      <c r="C6048" s="1" t="s">
        <v>34</v>
      </c>
      <c r="D6048" s="1" t="s">
        <v>19</v>
      </c>
      <c r="E6048" s="1" t="s">
        <v>119</v>
      </c>
      <c r="F6048">
        <v>2016</v>
      </c>
      <c r="G6048">
        <v>7</v>
      </c>
      <c r="H6048" s="1" t="s">
        <v>21</v>
      </c>
      <c r="I6048">
        <v>21</v>
      </c>
      <c r="J6048">
        <v>2901</v>
      </c>
      <c r="K6048" s="1" t="s">
        <v>120</v>
      </c>
      <c r="L6048" s="1" t="s">
        <v>23</v>
      </c>
      <c r="M6048">
        <v>1.829</v>
      </c>
      <c r="N6048">
        <v>38402</v>
      </c>
      <c r="O6048">
        <v>38.402000000000001</v>
      </c>
      <c r="P6048" s="2">
        <v>45231</v>
      </c>
      <c r="Q6048">
        <v>1</v>
      </c>
      <c r="R6048" s="1" t="s">
        <v>40</v>
      </c>
    </row>
    <row r="6049" spans="1:18" x14ac:dyDescent="0.25">
      <c r="A6049">
        <v>2023</v>
      </c>
      <c r="B6049">
        <v>12</v>
      </c>
      <c r="C6049" s="1" t="s">
        <v>35</v>
      </c>
      <c r="D6049" s="1" t="s">
        <v>19</v>
      </c>
      <c r="E6049" s="1" t="s">
        <v>119</v>
      </c>
      <c r="F6049">
        <v>2016</v>
      </c>
      <c r="G6049">
        <v>7</v>
      </c>
      <c r="H6049" s="1" t="s">
        <v>21</v>
      </c>
      <c r="I6049">
        <v>21</v>
      </c>
      <c r="J6049">
        <v>2901</v>
      </c>
      <c r="K6049" s="1" t="s">
        <v>120</v>
      </c>
      <c r="L6049" s="1" t="s">
        <v>23</v>
      </c>
      <c r="M6049">
        <v>0.88400000000000001</v>
      </c>
      <c r="N6049">
        <v>18559.099999999999</v>
      </c>
      <c r="O6049">
        <v>18.559000000000001</v>
      </c>
      <c r="P6049" s="2">
        <v>45261</v>
      </c>
      <c r="Q6049">
        <v>1</v>
      </c>
      <c r="R6049" s="1" t="s">
        <v>40</v>
      </c>
    </row>
    <row r="6050" spans="1:18" x14ac:dyDescent="0.25">
      <c r="A6050">
        <v>2024</v>
      </c>
      <c r="B6050">
        <v>1</v>
      </c>
      <c r="C6050" s="1" t="s">
        <v>18</v>
      </c>
      <c r="D6050" s="1" t="s">
        <v>19</v>
      </c>
      <c r="E6050" s="1" t="s">
        <v>20</v>
      </c>
      <c r="F6050">
        <v>2000</v>
      </c>
      <c r="G6050">
        <v>24</v>
      </c>
      <c r="H6050" s="1" t="s">
        <v>124</v>
      </c>
      <c r="I6050">
        <v>19</v>
      </c>
      <c r="J6050">
        <v>1490</v>
      </c>
      <c r="K6050" s="1" t="s">
        <v>22</v>
      </c>
      <c r="L6050" s="1" t="s">
        <v>23</v>
      </c>
      <c r="M6050">
        <v>0.71099999999999997</v>
      </c>
      <c r="N6050">
        <v>13518</v>
      </c>
      <c r="O6050">
        <v>13.518000000000001</v>
      </c>
      <c r="P6050" s="2">
        <v>45292</v>
      </c>
      <c r="Q6050">
        <v>1</v>
      </c>
      <c r="R6050" s="1" t="s">
        <v>125</v>
      </c>
    </row>
    <row r="6051" spans="1:18" x14ac:dyDescent="0.25">
      <c r="A6051">
        <v>2024</v>
      </c>
      <c r="B6051">
        <v>2</v>
      </c>
      <c r="C6051" s="1" t="s">
        <v>25</v>
      </c>
      <c r="D6051" s="1" t="s">
        <v>19</v>
      </c>
      <c r="E6051" s="1" t="s">
        <v>20</v>
      </c>
      <c r="F6051">
        <v>2000</v>
      </c>
      <c r="G6051">
        <v>24</v>
      </c>
      <c r="H6051" s="1" t="s">
        <v>124</v>
      </c>
      <c r="I6051">
        <v>19</v>
      </c>
      <c r="J6051">
        <v>1490</v>
      </c>
      <c r="K6051" s="1" t="s">
        <v>22</v>
      </c>
      <c r="L6051" s="1" t="s">
        <v>23</v>
      </c>
      <c r="M6051">
        <v>0.754</v>
      </c>
      <c r="N6051">
        <v>14326.9</v>
      </c>
      <c r="O6051">
        <v>14.327</v>
      </c>
      <c r="P6051" s="2">
        <v>45323</v>
      </c>
      <c r="Q6051">
        <v>1</v>
      </c>
      <c r="R6051" s="1" t="s">
        <v>125</v>
      </c>
    </row>
    <row r="6052" spans="1:18" x14ac:dyDescent="0.25">
      <c r="A6052">
        <v>2024</v>
      </c>
      <c r="B6052">
        <v>3</v>
      </c>
      <c r="C6052" s="1" t="s">
        <v>26</v>
      </c>
      <c r="D6052" s="1" t="s">
        <v>19</v>
      </c>
      <c r="E6052" s="1" t="s">
        <v>20</v>
      </c>
      <c r="F6052">
        <v>2000</v>
      </c>
      <c r="G6052">
        <v>24</v>
      </c>
      <c r="H6052" s="1" t="s">
        <v>124</v>
      </c>
      <c r="I6052">
        <v>19</v>
      </c>
      <c r="J6052">
        <v>1490</v>
      </c>
      <c r="K6052" s="1" t="s">
        <v>22</v>
      </c>
      <c r="L6052" s="1" t="s">
        <v>23</v>
      </c>
      <c r="M6052">
        <v>1.0209999999999999</v>
      </c>
      <c r="N6052">
        <v>19392.400000000001</v>
      </c>
      <c r="O6052">
        <v>19.391999999999999</v>
      </c>
      <c r="P6052" s="2">
        <v>45352</v>
      </c>
      <c r="Q6052">
        <v>1</v>
      </c>
      <c r="R6052" s="1" t="s">
        <v>125</v>
      </c>
    </row>
    <row r="6053" spans="1:18" x14ac:dyDescent="0.25">
      <c r="A6053">
        <v>2024</v>
      </c>
      <c r="B6053">
        <v>4</v>
      </c>
      <c r="C6053" s="1" t="s">
        <v>27</v>
      </c>
      <c r="D6053" s="1" t="s">
        <v>19</v>
      </c>
      <c r="E6053" s="1" t="s">
        <v>20</v>
      </c>
      <c r="F6053">
        <v>2000</v>
      </c>
      <c r="G6053">
        <v>24</v>
      </c>
      <c r="H6053" s="1" t="s">
        <v>124</v>
      </c>
      <c r="I6053">
        <v>19</v>
      </c>
      <c r="J6053">
        <v>1490</v>
      </c>
      <c r="K6053" s="1" t="s">
        <v>22</v>
      </c>
      <c r="L6053" s="1" t="s">
        <v>23</v>
      </c>
      <c r="M6053">
        <v>0.93200000000000005</v>
      </c>
      <c r="N6053">
        <v>17714</v>
      </c>
      <c r="O6053">
        <v>17.713999999999999</v>
      </c>
      <c r="P6053" s="2">
        <v>45383</v>
      </c>
      <c r="Q6053">
        <v>1</v>
      </c>
      <c r="R6053" s="1" t="s">
        <v>125</v>
      </c>
    </row>
    <row r="6054" spans="1:18" x14ac:dyDescent="0.25">
      <c r="A6054">
        <v>2024</v>
      </c>
      <c r="B6054">
        <v>5</v>
      </c>
      <c r="C6054" s="1" t="s">
        <v>28</v>
      </c>
      <c r="D6054" s="1" t="s">
        <v>19</v>
      </c>
      <c r="E6054" s="1" t="s">
        <v>20</v>
      </c>
      <c r="F6054">
        <v>2000</v>
      </c>
      <c r="G6054">
        <v>24</v>
      </c>
      <c r="H6054" s="1" t="s">
        <v>124</v>
      </c>
      <c r="I6054">
        <v>19</v>
      </c>
      <c r="J6054">
        <v>1490</v>
      </c>
      <c r="K6054" s="1" t="s">
        <v>22</v>
      </c>
      <c r="L6054" s="1" t="s">
        <v>23</v>
      </c>
      <c r="M6054">
        <v>1.083</v>
      </c>
      <c r="N6054">
        <v>20585.400000000001</v>
      </c>
      <c r="O6054">
        <v>20.585000000000001</v>
      </c>
      <c r="P6054" s="2">
        <v>45413</v>
      </c>
      <c r="Q6054">
        <v>1</v>
      </c>
      <c r="R6054" s="1" t="s">
        <v>125</v>
      </c>
    </row>
    <row r="6055" spans="1:18" x14ac:dyDescent="0.25">
      <c r="A6055">
        <v>2024</v>
      </c>
      <c r="B6055">
        <v>6</v>
      </c>
      <c r="C6055" s="1" t="s">
        <v>29</v>
      </c>
      <c r="D6055" s="1" t="s">
        <v>19</v>
      </c>
      <c r="E6055" s="1" t="s">
        <v>20</v>
      </c>
      <c r="F6055">
        <v>2000</v>
      </c>
      <c r="G6055">
        <v>24</v>
      </c>
      <c r="H6055" s="1" t="s">
        <v>124</v>
      </c>
      <c r="I6055">
        <v>19</v>
      </c>
      <c r="J6055">
        <v>1490</v>
      </c>
      <c r="K6055" s="1" t="s">
        <v>22</v>
      </c>
      <c r="L6055" s="1" t="s">
        <v>23</v>
      </c>
      <c r="M6055">
        <v>1.1859999999999999</v>
      </c>
      <c r="N6055">
        <v>22536.799999999999</v>
      </c>
      <c r="O6055">
        <v>22.536999999999999</v>
      </c>
      <c r="P6055" s="2">
        <v>45444</v>
      </c>
      <c r="Q6055">
        <v>1</v>
      </c>
      <c r="R6055" s="1" t="s">
        <v>125</v>
      </c>
    </row>
    <row r="6056" spans="1:18" x14ac:dyDescent="0.25">
      <c r="A6056">
        <v>2024</v>
      </c>
      <c r="B6056">
        <v>7</v>
      </c>
      <c r="C6056" s="1" t="s">
        <v>30</v>
      </c>
      <c r="D6056" s="1" t="s">
        <v>19</v>
      </c>
      <c r="E6056" s="1" t="s">
        <v>20</v>
      </c>
      <c r="F6056">
        <v>2000</v>
      </c>
      <c r="G6056">
        <v>24</v>
      </c>
      <c r="H6056" s="1" t="s">
        <v>124</v>
      </c>
      <c r="I6056">
        <v>19</v>
      </c>
      <c r="J6056">
        <v>1490</v>
      </c>
      <c r="K6056" s="1" t="s">
        <v>22</v>
      </c>
      <c r="L6056" s="1" t="s">
        <v>23</v>
      </c>
      <c r="M6056">
        <v>1.087</v>
      </c>
      <c r="N6056">
        <v>20646.099999999999</v>
      </c>
      <c r="O6056">
        <v>20.646000000000001</v>
      </c>
      <c r="P6056" s="2">
        <v>45474</v>
      </c>
      <c r="Q6056">
        <v>1</v>
      </c>
      <c r="R6056" s="1" t="s">
        <v>125</v>
      </c>
    </row>
    <row r="6057" spans="1:18" x14ac:dyDescent="0.25">
      <c r="A6057">
        <v>2024</v>
      </c>
      <c r="B6057">
        <v>8</v>
      </c>
      <c r="C6057" s="1" t="s">
        <v>31</v>
      </c>
      <c r="D6057" s="1" t="s">
        <v>19</v>
      </c>
      <c r="E6057" s="1" t="s">
        <v>20</v>
      </c>
      <c r="F6057">
        <v>2000</v>
      </c>
      <c r="G6057">
        <v>24</v>
      </c>
      <c r="H6057" s="1" t="s">
        <v>124</v>
      </c>
      <c r="I6057">
        <v>19</v>
      </c>
      <c r="J6057">
        <v>1490</v>
      </c>
      <c r="K6057" s="1" t="s">
        <v>22</v>
      </c>
      <c r="L6057" s="1" t="s">
        <v>23</v>
      </c>
      <c r="M6057">
        <v>0.98199999999999998</v>
      </c>
      <c r="N6057">
        <v>18664.400000000001</v>
      </c>
      <c r="O6057">
        <v>18.664000000000001</v>
      </c>
      <c r="P6057" s="2">
        <v>45505</v>
      </c>
      <c r="Q6057">
        <v>1</v>
      </c>
      <c r="R6057" s="1" t="s">
        <v>125</v>
      </c>
    </row>
    <row r="6058" spans="1:18" x14ac:dyDescent="0.25">
      <c r="A6058">
        <v>2024</v>
      </c>
      <c r="B6058">
        <v>9</v>
      </c>
      <c r="C6058" s="1" t="s">
        <v>32</v>
      </c>
      <c r="D6058" s="1" t="s">
        <v>19</v>
      </c>
      <c r="E6058" s="1" t="s">
        <v>20</v>
      </c>
      <c r="F6058">
        <v>2000</v>
      </c>
      <c r="G6058">
        <v>24</v>
      </c>
      <c r="H6058" s="1" t="s">
        <v>124</v>
      </c>
      <c r="I6058">
        <v>19</v>
      </c>
      <c r="J6058">
        <v>1490</v>
      </c>
      <c r="K6058" s="1" t="s">
        <v>22</v>
      </c>
      <c r="L6058" s="1" t="s">
        <v>23</v>
      </c>
      <c r="M6058">
        <v>1.0629999999999999</v>
      </c>
      <c r="N6058">
        <v>20191.099999999999</v>
      </c>
      <c r="O6058">
        <v>20.190999999999999</v>
      </c>
      <c r="P6058" s="2">
        <v>45536</v>
      </c>
      <c r="Q6058">
        <v>1</v>
      </c>
      <c r="R6058" s="1" t="s">
        <v>125</v>
      </c>
    </row>
    <row r="6059" spans="1:18" x14ac:dyDescent="0.25">
      <c r="A6059">
        <v>2024</v>
      </c>
      <c r="B6059">
        <v>10</v>
      </c>
      <c r="C6059" s="1" t="s">
        <v>33</v>
      </c>
      <c r="D6059" s="1" t="s">
        <v>19</v>
      </c>
      <c r="E6059" s="1" t="s">
        <v>20</v>
      </c>
      <c r="F6059">
        <v>2000</v>
      </c>
      <c r="G6059">
        <v>24</v>
      </c>
      <c r="H6059" s="1" t="s">
        <v>124</v>
      </c>
      <c r="I6059">
        <v>19</v>
      </c>
      <c r="J6059">
        <v>1490</v>
      </c>
      <c r="K6059" s="1" t="s">
        <v>22</v>
      </c>
      <c r="L6059" s="1" t="s">
        <v>23</v>
      </c>
      <c r="M6059">
        <v>0.70199999999999996</v>
      </c>
      <c r="N6059">
        <v>13336</v>
      </c>
      <c r="O6059">
        <v>13.336</v>
      </c>
      <c r="P6059" s="2">
        <v>45566</v>
      </c>
      <c r="Q6059">
        <v>1</v>
      </c>
      <c r="R6059" s="1" t="s">
        <v>125</v>
      </c>
    </row>
    <row r="6060" spans="1:18" x14ac:dyDescent="0.25">
      <c r="A6060">
        <v>2024</v>
      </c>
      <c r="B6060">
        <v>11</v>
      </c>
      <c r="C6060" s="1" t="s">
        <v>34</v>
      </c>
      <c r="D6060" s="1" t="s">
        <v>19</v>
      </c>
      <c r="E6060" s="1" t="s">
        <v>20</v>
      </c>
      <c r="F6060">
        <v>2000</v>
      </c>
      <c r="G6060">
        <v>24</v>
      </c>
      <c r="H6060" s="1" t="s">
        <v>124</v>
      </c>
      <c r="I6060">
        <v>19</v>
      </c>
      <c r="J6060">
        <v>1490</v>
      </c>
      <c r="K6060" s="1" t="s">
        <v>22</v>
      </c>
      <c r="L6060" s="1" t="s">
        <v>23</v>
      </c>
      <c r="M6060">
        <v>0.498</v>
      </c>
      <c r="N6060">
        <v>9463.6</v>
      </c>
      <c r="O6060">
        <v>9.4640000000000004</v>
      </c>
      <c r="P6060" s="2">
        <v>45597</v>
      </c>
      <c r="Q6060">
        <v>1</v>
      </c>
      <c r="R6060" s="1" t="s">
        <v>125</v>
      </c>
    </row>
    <row r="6061" spans="1:18" x14ac:dyDescent="0.25">
      <c r="A6061">
        <v>2024</v>
      </c>
      <c r="B6061">
        <v>12</v>
      </c>
      <c r="C6061" s="1" t="s">
        <v>35</v>
      </c>
      <c r="D6061" s="1" t="s">
        <v>19</v>
      </c>
      <c r="E6061" s="1" t="s">
        <v>20</v>
      </c>
      <c r="F6061">
        <v>2000</v>
      </c>
      <c r="G6061">
        <v>24</v>
      </c>
      <c r="H6061" s="1" t="s">
        <v>124</v>
      </c>
      <c r="I6061">
        <v>19</v>
      </c>
      <c r="J6061">
        <v>1490</v>
      </c>
      <c r="K6061" s="1" t="s">
        <v>22</v>
      </c>
      <c r="L6061" s="1" t="s">
        <v>23</v>
      </c>
      <c r="M6061">
        <v>0.63800000000000001</v>
      </c>
      <c r="N6061">
        <v>12112.6</v>
      </c>
      <c r="O6061">
        <v>12.113</v>
      </c>
      <c r="P6061" s="2">
        <v>45627</v>
      </c>
      <c r="Q6061">
        <v>1</v>
      </c>
      <c r="R6061" s="1" t="s">
        <v>125</v>
      </c>
    </row>
    <row r="6062" spans="1:18" x14ac:dyDescent="0.25">
      <c r="A6062">
        <v>2024</v>
      </c>
      <c r="B6062">
        <v>1</v>
      </c>
      <c r="C6062" s="1" t="s">
        <v>18</v>
      </c>
      <c r="D6062" s="1" t="s">
        <v>19</v>
      </c>
      <c r="E6062" s="1" t="s">
        <v>36</v>
      </c>
      <c r="F6062">
        <v>2000</v>
      </c>
      <c r="G6062">
        <v>24</v>
      </c>
      <c r="H6062" s="1" t="s">
        <v>124</v>
      </c>
      <c r="I6062">
        <v>24</v>
      </c>
      <c r="J6062">
        <v>1675</v>
      </c>
      <c r="K6062" s="1" t="s">
        <v>37</v>
      </c>
      <c r="L6062" s="1" t="s">
        <v>23</v>
      </c>
      <c r="M6062">
        <v>0.63300000000000001</v>
      </c>
      <c r="N6062">
        <v>15196.4</v>
      </c>
      <c r="O6062">
        <v>15.196</v>
      </c>
      <c r="P6062" s="2">
        <v>45292</v>
      </c>
      <c r="Q6062">
        <v>1</v>
      </c>
      <c r="R6062" s="1" t="s">
        <v>125</v>
      </c>
    </row>
    <row r="6063" spans="1:18" x14ac:dyDescent="0.25">
      <c r="A6063">
        <v>2024</v>
      </c>
      <c r="B6063">
        <v>2</v>
      </c>
      <c r="C6063" s="1" t="s">
        <v>25</v>
      </c>
      <c r="D6063" s="1" t="s">
        <v>19</v>
      </c>
      <c r="E6063" s="1" t="s">
        <v>36</v>
      </c>
      <c r="F6063">
        <v>2000</v>
      </c>
      <c r="G6063">
        <v>24</v>
      </c>
      <c r="H6063" s="1" t="s">
        <v>124</v>
      </c>
      <c r="I6063">
        <v>24</v>
      </c>
      <c r="J6063">
        <v>1675</v>
      </c>
      <c r="K6063" s="1" t="s">
        <v>37</v>
      </c>
      <c r="L6063" s="1" t="s">
        <v>23</v>
      </c>
      <c r="M6063">
        <v>0.67100000000000004</v>
      </c>
      <c r="N6063">
        <v>16105.7</v>
      </c>
      <c r="O6063">
        <v>16.106000000000002</v>
      </c>
      <c r="P6063" s="2">
        <v>45323</v>
      </c>
      <c r="Q6063">
        <v>1</v>
      </c>
      <c r="R6063" s="1" t="s">
        <v>125</v>
      </c>
    </row>
    <row r="6064" spans="1:18" x14ac:dyDescent="0.25">
      <c r="A6064">
        <v>2024</v>
      </c>
      <c r="B6064">
        <v>3</v>
      </c>
      <c r="C6064" s="1" t="s">
        <v>26</v>
      </c>
      <c r="D6064" s="1" t="s">
        <v>19</v>
      </c>
      <c r="E6064" s="1" t="s">
        <v>36</v>
      </c>
      <c r="F6064">
        <v>2000</v>
      </c>
      <c r="G6064">
        <v>24</v>
      </c>
      <c r="H6064" s="1" t="s">
        <v>124</v>
      </c>
      <c r="I6064">
        <v>24</v>
      </c>
      <c r="J6064">
        <v>1675</v>
      </c>
      <c r="K6064" s="1" t="s">
        <v>37</v>
      </c>
      <c r="L6064" s="1" t="s">
        <v>23</v>
      </c>
      <c r="M6064">
        <v>0.90800000000000003</v>
      </c>
      <c r="N6064">
        <v>21800.1</v>
      </c>
      <c r="O6064">
        <v>21.8</v>
      </c>
      <c r="P6064" s="2">
        <v>45352</v>
      </c>
      <c r="Q6064">
        <v>1</v>
      </c>
      <c r="R6064" s="1" t="s">
        <v>125</v>
      </c>
    </row>
    <row r="6065" spans="1:18" x14ac:dyDescent="0.25">
      <c r="A6065">
        <v>2024</v>
      </c>
      <c r="B6065">
        <v>4</v>
      </c>
      <c r="C6065" s="1" t="s">
        <v>27</v>
      </c>
      <c r="D6065" s="1" t="s">
        <v>19</v>
      </c>
      <c r="E6065" s="1" t="s">
        <v>36</v>
      </c>
      <c r="F6065">
        <v>2000</v>
      </c>
      <c r="G6065">
        <v>24</v>
      </c>
      <c r="H6065" s="1" t="s">
        <v>124</v>
      </c>
      <c r="I6065">
        <v>24</v>
      </c>
      <c r="J6065">
        <v>1675</v>
      </c>
      <c r="K6065" s="1" t="s">
        <v>37</v>
      </c>
      <c r="L6065" s="1" t="s">
        <v>23</v>
      </c>
      <c r="M6065">
        <v>0.83</v>
      </c>
      <c r="N6065">
        <v>19913.400000000001</v>
      </c>
      <c r="O6065">
        <v>19.913</v>
      </c>
      <c r="P6065" s="2">
        <v>45383</v>
      </c>
      <c r="Q6065">
        <v>1</v>
      </c>
      <c r="R6065" s="1" t="s">
        <v>125</v>
      </c>
    </row>
    <row r="6066" spans="1:18" x14ac:dyDescent="0.25">
      <c r="A6066">
        <v>2024</v>
      </c>
      <c r="B6066">
        <v>5</v>
      </c>
      <c r="C6066" s="1" t="s">
        <v>28</v>
      </c>
      <c r="D6066" s="1" t="s">
        <v>19</v>
      </c>
      <c r="E6066" s="1" t="s">
        <v>36</v>
      </c>
      <c r="F6066">
        <v>2000</v>
      </c>
      <c r="G6066">
        <v>24</v>
      </c>
      <c r="H6066" s="1" t="s">
        <v>124</v>
      </c>
      <c r="I6066">
        <v>24</v>
      </c>
      <c r="J6066">
        <v>1675</v>
      </c>
      <c r="K6066" s="1" t="s">
        <v>37</v>
      </c>
      <c r="L6066" s="1" t="s">
        <v>23</v>
      </c>
      <c r="M6066">
        <v>0.96399999999999997</v>
      </c>
      <c r="N6066">
        <v>23141.3</v>
      </c>
      <c r="O6066">
        <v>23.140999999999998</v>
      </c>
      <c r="P6066" s="2">
        <v>45413</v>
      </c>
      <c r="Q6066">
        <v>1</v>
      </c>
      <c r="R6066" s="1" t="s">
        <v>125</v>
      </c>
    </row>
    <row r="6067" spans="1:18" x14ac:dyDescent="0.25">
      <c r="A6067">
        <v>2024</v>
      </c>
      <c r="B6067">
        <v>6</v>
      </c>
      <c r="C6067" s="1" t="s">
        <v>29</v>
      </c>
      <c r="D6067" s="1" t="s">
        <v>19</v>
      </c>
      <c r="E6067" s="1" t="s">
        <v>36</v>
      </c>
      <c r="F6067">
        <v>2000</v>
      </c>
      <c r="G6067">
        <v>24</v>
      </c>
      <c r="H6067" s="1" t="s">
        <v>124</v>
      </c>
      <c r="I6067">
        <v>24</v>
      </c>
      <c r="J6067">
        <v>1675</v>
      </c>
      <c r="K6067" s="1" t="s">
        <v>37</v>
      </c>
      <c r="L6067" s="1" t="s">
        <v>23</v>
      </c>
      <c r="M6067">
        <v>1.056</v>
      </c>
      <c r="N6067">
        <v>25335</v>
      </c>
      <c r="O6067">
        <v>25.335000000000001</v>
      </c>
      <c r="P6067" s="2">
        <v>45444</v>
      </c>
      <c r="Q6067">
        <v>1</v>
      </c>
      <c r="R6067" s="1" t="s">
        <v>125</v>
      </c>
    </row>
    <row r="6068" spans="1:18" x14ac:dyDescent="0.25">
      <c r="A6068">
        <v>2024</v>
      </c>
      <c r="B6068">
        <v>7</v>
      </c>
      <c r="C6068" s="1" t="s">
        <v>30</v>
      </c>
      <c r="D6068" s="1" t="s">
        <v>19</v>
      </c>
      <c r="E6068" s="1" t="s">
        <v>36</v>
      </c>
      <c r="F6068">
        <v>2000</v>
      </c>
      <c r="G6068">
        <v>24</v>
      </c>
      <c r="H6068" s="1" t="s">
        <v>124</v>
      </c>
      <c r="I6068">
        <v>24</v>
      </c>
      <c r="J6068">
        <v>1675</v>
      </c>
      <c r="K6068" s="1" t="s">
        <v>37</v>
      </c>
      <c r="L6068" s="1" t="s">
        <v>23</v>
      </c>
      <c r="M6068">
        <v>0.96699999999999997</v>
      </c>
      <c r="N6068">
        <v>23209.5</v>
      </c>
      <c r="O6068">
        <v>23.21</v>
      </c>
      <c r="P6068" s="2">
        <v>45474</v>
      </c>
      <c r="Q6068">
        <v>1</v>
      </c>
      <c r="R6068" s="1" t="s">
        <v>125</v>
      </c>
    </row>
    <row r="6069" spans="1:18" x14ac:dyDescent="0.25">
      <c r="A6069">
        <v>2024</v>
      </c>
      <c r="B6069">
        <v>8</v>
      </c>
      <c r="C6069" s="1" t="s">
        <v>31</v>
      </c>
      <c r="D6069" s="1" t="s">
        <v>19</v>
      </c>
      <c r="E6069" s="1" t="s">
        <v>36</v>
      </c>
      <c r="F6069">
        <v>2000</v>
      </c>
      <c r="G6069">
        <v>24</v>
      </c>
      <c r="H6069" s="1" t="s">
        <v>124</v>
      </c>
      <c r="I6069">
        <v>24</v>
      </c>
      <c r="J6069">
        <v>1675</v>
      </c>
      <c r="K6069" s="1" t="s">
        <v>37</v>
      </c>
      <c r="L6069" s="1" t="s">
        <v>23</v>
      </c>
      <c r="M6069">
        <v>0.874</v>
      </c>
      <c r="N6069">
        <v>20981.8</v>
      </c>
      <c r="O6069">
        <v>20.981999999999999</v>
      </c>
      <c r="P6069" s="2">
        <v>45505</v>
      </c>
      <c r="Q6069">
        <v>1</v>
      </c>
      <c r="R6069" s="1" t="s">
        <v>125</v>
      </c>
    </row>
    <row r="6070" spans="1:18" x14ac:dyDescent="0.25">
      <c r="A6070">
        <v>2024</v>
      </c>
      <c r="B6070">
        <v>9</v>
      </c>
      <c r="C6070" s="1" t="s">
        <v>32</v>
      </c>
      <c r="D6070" s="1" t="s">
        <v>19</v>
      </c>
      <c r="E6070" s="1" t="s">
        <v>36</v>
      </c>
      <c r="F6070">
        <v>2000</v>
      </c>
      <c r="G6070">
        <v>24</v>
      </c>
      <c r="H6070" s="1" t="s">
        <v>124</v>
      </c>
      <c r="I6070">
        <v>24</v>
      </c>
      <c r="J6070">
        <v>1675</v>
      </c>
      <c r="K6070" s="1" t="s">
        <v>37</v>
      </c>
      <c r="L6070" s="1" t="s">
        <v>23</v>
      </c>
      <c r="M6070">
        <v>0.94599999999999995</v>
      </c>
      <c r="N6070">
        <v>22698</v>
      </c>
      <c r="O6070">
        <v>22.698</v>
      </c>
      <c r="P6070" s="2">
        <v>45536</v>
      </c>
      <c r="Q6070">
        <v>1</v>
      </c>
      <c r="R6070" s="1" t="s">
        <v>125</v>
      </c>
    </row>
    <row r="6071" spans="1:18" x14ac:dyDescent="0.25">
      <c r="A6071">
        <v>2024</v>
      </c>
      <c r="B6071">
        <v>10</v>
      </c>
      <c r="C6071" s="1" t="s">
        <v>33</v>
      </c>
      <c r="D6071" s="1" t="s">
        <v>19</v>
      </c>
      <c r="E6071" s="1" t="s">
        <v>36</v>
      </c>
      <c r="F6071">
        <v>2000</v>
      </c>
      <c r="G6071">
        <v>24</v>
      </c>
      <c r="H6071" s="1" t="s">
        <v>124</v>
      </c>
      <c r="I6071">
        <v>24</v>
      </c>
      <c r="J6071">
        <v>1675</v>
      </c>
      <c r="K6071" s="1" t="s">
        <v>37</v>
      </c>
      <c r="L6071" s="1" t="s">
        <v>23</v>
      </c>
      <c r="M6071">
        <v>0.625</v>
      </c>
      <c r="N6071">
        <v>14991.8</v>
      </c>
      <c r="O6071">
        <v>14.992000000000001</v>
      </c>
      <c r="P6071" s="2">
        <v>45566</v>
      </c>
      <c r="Q6071">
        <v>1</v>
      </c>
      <c r="R6071" s="1" t="s">
        <v>125</v>
      </c>
    </row>
    <row r="6072" spans="1:18" x14ac:dyDescent="0.25">
      <c r="A6072">
        <v>2024</v>
      </c>
      <c r="B6072">
        <v>11</v>
      </c>
      <c r="C6072" s="1" t="s">
        <v>34</v>
      </c>
      <c r="D6072" s="1" t="s">
        <v>19</v>
      </c>
      <c r="E6072" s="1" t="s">
        <v>36</v>
      </c>
      <c r="F6072">
        <v>2000</v>
      </c>
      <c r="G6072">
        <v>24</v>
      </c>
      <c r="H6072" s="1" t="s">
        <v>124</v>
      </c>
      <c r="I6072">
        <v>24</v>
      </c>
      <c r="J6072">
        <v>1675</v>
      </c>
      <c r="K6072" s="1" t="s">
        <v>37</v>
      </c>
      <c r="L6072" s="1" t="s">
        <v>23</v>
      </c>
      <c r="M6072">
        <v>0.443</v>
      </c>
      <c r="N6072">
        <v>10638.6</v>
      </c>
      <c r="O6072">
        <v>10.638999999999999</v>
      </c>
      <c r="P6072" s="2">
        <v>45597</v>
      </c>
      <c r="Q6072">
        <v>1</v>
      </c>
      <c r="R6072" s="1" t="s">
        <v>125</v>
      </c>
    </row>
    <row r="6073" spans="1:18" x14ac:dyDescent="0.25">
      <c r="A6073">
        <v>2024</v>
      </c>
      <c r="B6073">
        <v>12</v>
      </c>
      <c r="C6073" s="1" t="s">
        <v>35</v>
      </c>
      <c r="D6073" s="1" t="s">
        <v>19</v>
      </c>
      <c r="E6073" s="1" t="s">
        <v>36</v>
      </c>
      <c r="F6073">
        <v>2000</v>
      </c>
      <c r="G6073">
        <v>24</v>
      </c>
      <c r="H6073" s="1" t="s">
        <v>124</v>
      </c>
      <c r="I6073">
        <v>24</v>
      </c>
      <c r="J6073">
        <v>1675</v>
      </c>
      <c r="K6073" s="1" t="s">
        <v>37</v>
      </c>
      <c r="L6073" s="1" t="s">
        <v>23</v>
      </c>
      <c r="M6073">
        <v>0.56699999999999995</v>
      </c>
      <c r="N6073">
        <v>13616.6</v>
      </c>
      <c r="O6073">
        <v>13.617000000000001</v>
      </c>
      <c r="P6073" s="2">
        <v>45627</v>
      </c>
      <c r="Q6073">
        <v>1</v>
      </c>
      <c r="R6073" s="1" t="s">
        <v>125</v>
      </c>
    </row>
    <row r="6074" spans="1:18" x14ac:dyDescent="0.25">
      <c r="A6074">
        <v>2024</v>
      </c>
      <c r="B6074">
        <v>1</v>
      </c>
      <c r="C6074" s="1" t="s">
        <v>18</v>
      </c>
      <c r="D6074" s="1" t="s">
        <v>19</v>
      </c>
      <c r="E6074" s="1" t="s">
        <v>38</v>
      </c>
      <c r="F6074">
        <v>2005</v>
      </c>
      <c r="G6074">
        <v>19</v>
      </c>
      <c r="H6074" s="1" t="s">
        <v>124</v>
      </c>
      <c r="I6074">
        <v>18</v>
      </c>
      <c r="J6074">
        <v>1922</v>
      </c>
      <c r="K6074" s="1" t="s">
        <v>39</v>
      </c>
      <c r="L6074" s="1" t="s">
        <v>23</v>
      </c>
      <c r="M6074">
        <v>0.96899999999999997</v>
      </c>
      <c r="N6074">
        <v>17437.3</v>
      </c>
      <c r="O6074">
        <v>17.437000000000001</v>
      </c>
      <c r="P6074" s="2">
        <v>45292</v>
      </c>
      <c r="Q6074">
        <v>1</v>
      </c>
      <c r="R6074" s="1" t="s">
        <v>125</v>
      </c>
    </row>
    <row r="6075" spans="1:18" x14ac:dyDescent="0.25">
      <c r="A6075">
        <v>2024</v>
      </c>
      <c r="B6075">
        <v>2</v>
      </c>
      <c r="C6075" s="1" t="s">
        <v>25</v>
      </c>
      <c r="D6075" s="1" t="s">
        <v>19</v>
      </c>
      <c r="E6075" s="1" t="s">
        <v>38</v>
      </c>
      <c r="F6075">
        <v>2005</v>
      </c>
      <c r="G6075">
        <v>19</v>
      </c>
      <c r="H6075" s="1" t="s">
        <v>124</v>
      </c>
      <c r="I6075">
        <v>18</v>
      </c>
      <c r="J6075">
        <v>1922</v>
      </c>
      <c r="K6075" s="1" t="s">
        <v>39</v>
      </c>
      <c r="L6075" s="1" t="s">
        <v>23</v>
      </c>
      <c r="M6075">
        <v>1.0269999999999999</v>
      </c>
      <c r="N6075">
        <v>18480.7</v>
      </c>
      <c r="O6075">
        <v>18.481000000000002</v>
      </c>
      <c r="P6075" s="2">
        <v>45323</v>
      </c>
      <c r="Q6075">
        <v>1</v>
      </c>
      <c r="R6075" s="1" t="s">
        <v>125</v>
      </c>
    </row>
    <row r="6076" spans="1:18" x14ac:dyDescent="0.25">
      <c r="A6076">
        <v>2024</v>
      </c>
      <c r="B6076">
        <v>3</v>
      </c>
      <c r="C6076" s="1" t="s">
        <v>26</v>
      </c>
      <c r="D6076" s="1" t="s">
        <v>19</v>
      </c>
      <c r="E6076" s="1" t="s">
        <v>38</v>
      </c>
      <c r="F6076">
        <v>2005</v>
      </c>
      <c r="G6076">
        <v>19</v>
      </c>
      <c r="H6076" s="1" t="s">
        <v>124</v>
      </c>
      <c r="I6076">
        <v>18</v>
      </c>
      <c r="J6076">
        <v>1922</v>
      </c>
      <c r="K6076" s="1" t="s">
        <v>39</v>
      </c>
      <c r="L6076" s="1" t="s">
        <v>23</v>
      </c>
      <c r="M6076">
        <v>1.39</v>
      </c>
      <c r="N6076">
        <v>25014.799999999999</v>
      </c>
      <c r="O6076">
        <v>25.015000000000001</v>
      </c>
      <c r="P6076" s="2">
        <v>45352</v>
      </c>
      <c r="Q6076">
        <v>1</v>
      </c>
      <c r="R6076" s="1" t="s">
        <v>125</v>
      </c>
    </row>
    <row r="6077" spans="1:18" x14ac:dyDescent="0.25">
      <c r="A6077">
        <v>2024</v>
      </c>
      <c r="B6077">
        <v>4</v>
      </c>
      <c r="C6077" s="1" t="s">
        <v>27</v>
      </c>
      <c r="D6077" s="1" t="s">
        <v>19</v>
      </c>
      <c r="E6077" s="1" t="s">
        <v>38</v>
      </c>
      <c r="F6077">
        <v>2005</v>
      </c>
      <c r="G6077">
        <v>19</v>
      </c>
      <c r="H6077" s="1" t="s">
        <v>124</v>
      </c>
      <c r="I6077">
        <v>18</v>
      </c>
      <c r="J6077">
        <v>1922</v>
      </c>
      <c r="K6077" s="1" t="s">
        <v>39</v>
      </c>
      <c r="L6077" s="1" t="s">
        <v>23</v>
      </c>
      <c r="M6077">
        <v>1.2689999999999999</v>
      </c>
      <c r="N6077">
        <v>22849.8</v>
      </c>
      <c r="O6077">
        <v>22.85</v>
      </c>
      <c r="P6077" s="2">
        <v>45383</v>
      </c>
      <c r="Q6077">
        <v>1</v>
      </c>
      <c r="R6077" s="1" t="s">
        <v>125</v>
      </c>
    </row>
    <row r="6078" spans="1:18" x14ac:dyDescent="0.25">
      <c r="A6078">
        <v>2024</v>
      </c>
      <c r="B6078">
        <v>5</v>
      </c>
      <c r="C6078" s="1" t="s">
        <v>28</v>
      </c>
      <c r="D6078" s="1" t="s">
        <v>19</v>
      </c>
      <c r="E6078" s="1" t="s">
        <v>38</v>
      </c>
      <c r="F6078">
        <v>2005</v>
      </c>
      <c r="G6078">
        <v>19</v>
      </c>
      <c r="H6078" s="1" t="s">
        <v>124</v>
      </c>
      <c r="I6078">
        <v>18</v>
      </c>
      <c r="J6078">
        <v>1922</v>
      </c>
      <c r="K6078" s="1" t="s">
        <v>39</v>
      </c>
      <c r="L6078" s="1" t="s">
        <v>23</v>
      </c>
      <c r="M6078">
        <v>1.4750000000000001</v>
      </c>
      <c r="N6078">
        <v>26553.8</v>
      </c>
      <c r="O6078">
        <v>26.553999999999998</v>
      </c>
      <c r="P6078" s="2">
        <v>45413</v>
      </c>
      <c r="Q6078">
        <v>1</v>
      </c>
      <c r="R6078" s="1" t="s">
        <v>125</v>
      </c>
    </row>
    <row r="6079" spans="1:18" x14ac:dyDescent="0.25">
      <c r="A6079">
        <v>2024</v>
      </c>
      <c r="B6079">
        <v>6</v>
      </c>
      <c r="C6079" s="1" t="s">
        <v>29</v>
      </c>
      <c r="D6079" s="1" t="s">
        <v>19</v>
      </c>
      <c r="E6079" s="1" t="s">
        <v>38</v>
      </c>
      <c r="F6079">
        <v>2005</v>
      </c>
      <c r="G6079">
        <v>19</v>
      </c>
      <c r="H6079" s="1" t="s">
        <v>124</v>
      </c>
      <c r="I6079">
        <v>18</v>
      </c>
      <c r="J6079">
        <v>1922</v>
      </c>
      <c r="K6079" s="1" t="s">
        <v>39</v>
      </c>
      <c r="L6079" s="1" t="s">
        <v>23</v>
      </c>
      <c r="M6079">
        <v>1.615</v>
      </c>
      <c r="N6079">
        <v>29070.9</v>
      </c>
      <c r="O6079">
        <v>29.071000000000002</v>
      </c>
      <c r="P6079" s="2">
        <v>45444</v>
      </c>
      <c r="Q6079">
        <v>1</v>
      </c>
      <c r="R6079" s="1" t="s">
        <v>125</v>
      </c>
    </row>
    <row r="6080" spans="1:18" x14ac:dyDescent="0.25">
      <c r="A6080">
        <v>2024</v>
      </c>
      <c r="B6080">
        <v>7</v>
      </c>
      <c r="C6080" s="1" t="s">
        <v>30</v>
      </c>
      <c r="D6080" s="1" t="s">
        <v>19</v>
      </c>
      <c r="E6080" s="1" t="s">
        <v>38</v>
      </c>
      <c r="F6080">
        <v>2005</v>
      </c>
      <c r="G6080">
        <v>19</v>
      </c>
      <c r="H6080" s="1" t="s">
        <v>124</v>
      </c>
      <c r="I6080">
        <v>18</v>
      </c>
      <c r="J6080">
        <v>1922</v>
      </c>
      <c r="K6080" s="1" t="s">
        <v>39</v>
      </c>
      <c r="L6080" s="1" t="s">
        <v>23</v>
      </c>
      <c r="M6080">
        <v>1.48</v>
      </c>
      <c r="N6080">
        <v>26632.1</v>
      </c>
      <c r="O6080">
        <v>26.632000000000001</v>
      </c>
      <c r="P6080" s="2">
        <v>45474</v>
      </c>
      <c r="Q6080">
        <v>1</v>
      </c>
      <c r="R6080" s="1" t="s">
        <v>125</v>
      </c>
    </row>
    <row r="6081" spans="1:18" x14ac:dyDescent="0.25">
      <c r="A6081">
        <v>2024</v>
      </c>
      <c r="B6081">
        <v>8</v>
      </c>
      <c r="C6081" s="1" t="s">
        <v>31</v>
      </c>
      <c r="D6081" s="1" t="s">
        <v>19</v>
      </c>
      <c r="E6081" s="1" t="s">
        <v>38</v>
      </c>
      <c r="F6081">
        <v>2005</v>
      </c>
      <c r="G6081">
        <v>19</v>
      </c>
      <c r="H6081" s="1" t="s">
        <v>124</v>
      </c>
      <c r="I6081">
        <v>18</v>
      </c>
      <c r="J6081">
        <v>1922</v>
      </c>
      <c r="K6081" s="1" t="s">
        <v>39</v>
      </c>
      <c r="L6081" s="1" t="s">
        <v>23</v>
      </c>
      <c r="M6081">
        <v>1.3380000000000001</v>
      </c>
      <c r="N6081">
        <v>24075.8</v>
      </c>
      <c r="O6081">
        <v>24.076000000000001</v>
      </c>
      <c r="P6081" s="2">
        <v>45505</v>
      </c>
      <c r="Q6081">
        <v>1</v>
      </c>
      <c r="R6081" s="1" t="s">
        <v>125</v>
      </c>
    </row>
    <row r="6082" spans="1:18" x14ac:dyDescent="0.25">
      <c r="A6082">
        <v>2024</v>
      </c>
      <c r="B6082">
        <v>9</v>
      </c>
      <c r="C6082" s="1" t="s">
        <v>32</v>
      </c>
      <c r="D6082" s="1" t="s">
        <v>19</v>
      </c>
      <c r="E6082" s="1" t="s">
        <v>38</v>
      </c>
      <c r="F6082">
        <v>2005</v>
      </c>
      <c r="G6082">
        <v>19</v>
      </c>
      <c r="H6082" s="1" t="s">
        <v>124</v>
      </c>
      <c r="I6082">
        <v>18</v>
      </c>
      <c r="J6082">
        <v>1922</v>
      </c>
      <c r="K6082" s="1" t="s">
        <v>39</v>
      </c>
      <c r="L6082" s="1" t="s">
        <v>23</v>
      </c>
      <c r="M6082">
        <v>1.4470000000000001</v>
      </c>
      <c r="N6082">
        <v>26045.200000000001</v>
      </c>
      <c r="O6082">
        <v>26.045000000000002</v>
      </c>
      <c r="P6082" s="2">
        <v>45536</v>
      </c>
      <c r="Q6082">
        <v>1</v>
      </c>
      <c r="R6082" s="1" t="s">
        <v>125</v>
      </c>
    </row>
    <row r="6083" spans="1:18" x14ac:dyDescent="0.25">
      <c r="A6083">
        <v>2024</v>
      </c>
      <c r="B6083">
        <v>10</v>
      </c>
      <c r="C6083" s="1" t="s">
        <v>33</v>
      </c>
      <c r="D6083" s="1" t="s">
        <v>19</v>
      </c>
      <c r="E6083" s="1" t="s">
        <v>38</v>
      </c>
      <c r="F6083">
        <v>2005</v>
      </c>
      <c r="G6083">
        <v>19</v>
      </c>
      <c r="H6083" s="1" t="s">
        <v>124</v>
      </c>
      <c r="I6083">
        <v>18</v>
      </c>
      <c r="J6083">
        <v>1922</v>
      </c>
      <c r="K6083" s="1" t="s">
        <v>39</v>
      </c>
      <c r="L6083" s="1" t="s">
        <v>23</v>
      </c>
      <c r="M6083">
        <v>0.95599999999999996</v>
      </c>
      <c r="N6083">
        <v>17202.599999999999</v>
      </c>
      <c r="O6083">
        <v>17.202999999999999</v>
      </c>
      <c r="P6083" s="2">
        <v>45566</v>
      </c>
      <c r="Q6083">
        <v>1</v>
      </c>
      <c r="R6083" s="1" t="s">
        <v>125</v>
      </c>
    </row>
    <row r="6084" spans="1:18" x14ac:dyDescent="0.25">
      <c r="A6084">
        <v>2024</v>
      </c>
      <c r="B6084">
        <v>11</v>
      </c>
      <c r="C6084" s="1" t="s">
        <v>34</v>
      </c>
      <c r="D6084" s="1" t="s">
        <v>19</v>
      </c>
      <c r="E6084" s="1" t="s">
        <v>38</v>
      </c>
      <c r="F6084">
        <v>2005</v>
      </c>
      <c r="G6084">
        <v>19</v>
      </c>
      <c r="H6084" s="1" t="s">
        <v>124</v>
      </c>
      <c r="I6084">
        <v>18</v>
      </c>
      <c r="J6084">
        <v>1922</v>
      </c>
      <c r="K6084" s="1" t="s">
        <v>39</v>
      </c>
      <c r="L6084" s="1" t="s">
        <v>23</v>
      </c>
      <c r="M6084">
        <v>0.67800000000000005</v>
      </c>
      <c r="N6084">
        <v>12207.4</v>
      </c>
      <c r="O6084">
        <v>12.207000000000001</v>
      </c>
      <c r="P6084" s="2">
        <v>45597</v>
      </c>
      <c r="Q6084">
        <v>1</v>
      </c>
      <c r="R6084" s="1" t="s">
        <v>125</v>
      </c>
    </row>
    <row r="6085" spans="1:18" x14ac:dyDescent="0.25">
      <c r="A6085">
        <v>2024</v>
      </c>
      <c r="B6085">
        <v>12</v>
      </c>
      <c r="C6085" s="1" t="s">
        <v>35</v>
      </c>
      <c r="D6085" s="1" t="s">
        <v>19</v>
      </c>
      <c r="E6085" s="1" t="s">
        <v>38</v>
      </c>
      <c r="F6085">
        <v>2005</v>
      </c>
      <c r="G6085">
        <v>19</v>
      </c>
      <c r="H6085" s="1" t="s">
        <v>124</v>
      </c>
      <c r="I6085">
        <v>18</v>
      </c>
      <c r="J6085">
        <v>1922</v>
      </c>
      <c r="K6085" s="1" t="s">
        <v>39</v>
      </c>
      <c r="L6085" s="1" t="s">
        <v>23</v>
      </c>
      <c r="M6085">
        <v>0.86799999999999999</v>
      </c>
      <c r="N6085">
        <v>15624.5</v>
      </c>
      <c r="O6085">
        <v>15.624000000000001</v>
      </c>
      <c r="P6085" s="2">
        <v>45627</v>
      </c>
      <c r="Q6085">
        <v>1</v>
      </c>
      <c r="R6085" s="1" t="s">
        <v>125</v>
      </c>
    </row>
    <row r="6086" spans="1:18" x14ac:dyDescent="0.25">
      <c r="A6086">
        <v>2024</v>
      </c>
      <c r="B6086">
        <v>1</v>
      </c>
      <c r="C6086" s="1" t="s">
        <v>18</v>
      </c>
      <c r="D6086" s="1" t="s">
        <v>19</v>
      </c>
      <c r="E6086" s="1" t="s">
        <v>41</v>
      </c>
      <c r="F6086">
        <v>2005</v>
      </c>
      <c r="G6086">
        <v>19</v>
      </c>
      <c r="H6086" s="1" t="s">
        <v>124</v>
      </c>
      <c r="I6086">
        <v>26</v>
      </c>
      <c r="J6086">
        <v>2827</v>
      </c>
      <c r="K6086" s="1" t="s">
        <v>42</v>
      </c>
      <c r="L6086" s="1" t="s">
        <v>23</v>
      </c>
      <c r="M6086">
        <v>0.98599999999999999</v>
      </c>
      <c r="N6086">
        <v>25648</v>
      </c>
      <c r="O6086">
        <v>25.648</v>
      </c>
      <c r="P6086" s="2">
        <v>45292</v>
      </c>
      <c r="Q6086">
        <v>1</v>
      </c>
      <c r="R6086" s="1" t="s">
        <v>125</v>
      </c>
    </row>
    <row r="6087" spans="1:18" x14ac:dyDescent="0.25">
      <c r="A6087">
        <v>2024</v>
      </c>
      <c r="B6087">
        <v>2</v>
      </c>
      <c r="C6087" s="1" t="s">
        <v>25</v>
      </c>
      <c r="D6087" s="1" t="s">
        <v>19</v>
      </c>
      <c r="E6087" s="1" t="s">
        <v>41</v>
      </c>
      <c r="F6087">
        <v>2005</v>
      </c>
      <c r="G6087">
        <v>19</v>
      </c>
      <c r="H6087" s="1" t="s">
        <v>124</v>
      </c>
      <c r="I6087">
        <v>26</v>
      </c>
      <c r="J6087">
        <v>2827</v>
      </c>
      <c r="K6087" s="1" t="s">
        <v>42</v>
      </c>
      <c r="L6087" s="1" t="s">
        <v>23</v>
      </c>
      <c r="M6087">
        <v>1.0449999999999999</v>
      </c>
      <c r="N6087">
        <v>27182.6</v>
      </c>
      <c r="O6087">
        <v>27.183</v>
      </c>
      <c r="P6087" s="2">
        <v>45323</v>
      </c>
      <c r="Q6087">
        <v>1</v>
      </c>
      <c r="R6087" s="1" t="s">
        <v>125</v>
      </c>
    </row>
    <row r="6088" spans="1:18" x14ac:dyDescent="0.25">
      <c r="A6088">
        <v>2024</v>
      </c>
      <c r="B6088">
        <v>3</v>
      </c>
      <c r="C6088" s="1" t="s">
        <v>26</v>
      </c>
      <c r="D6088" s="1" t="s">
        <v>19</v>
      </c>
      <c r="E6088" s="1" t="s">
        <v>41</v>
      </c>
      <c r="F6088">
        <v>2005</v>
      </c>
      <c r="G6088">
        <v>19</v>
      </c>
      <c r="H6088" s="1" t="s">
        <v>124</v>
      </c>
      <c r="I6088">
        <v>26</v>
      </c>
      <c r="J6088">
        <v>2827</v>
      </c>
      <c r="K6088" s="1" t="s">
        <v>42</v>
      </c>
      <c r="L6088" s="1" t="s">
        <v>23</v>
      </c>
      <c r="M6088">
        <v>1.415</v>
      </c>
      <c r="N6088">
        <v>36793.4</v>
      </c>
      <c r="O6088">
        <v>36.792999999999999</v>
      </c>
      <c r="P6088" s="2">
        <v>45352</v>
      </c>
      <c r="Q6088">
        <v>1</v>
      </c>
      <c r="R6088" s="1" t="s">
        <v>125</v>
      </c>
    </row>
    <row r="6089" spans="1:18" x14ac:dyDescent="0.25">
      <c r="A6089">
        <v>2024</v>
      </c>
      <c r="B6089">
        <v>4</v>
      </c>
      <c r="C6089" s="1" t="s">
        <v>27</v>
      </c>
      <c r="D6089" s="1" t="s">
        <v>19</v>
      </c>
      <c r="E6089" s="1" t="s">
        <v>41</v>
      </c>
      <c r="F6089">
        <v>2005</v>
      </c>
      <c r="G6089">
        <v>19</v>
      </c>
      <c r="H6089" s="1" t="s">
        <v>124</v>
      </c>
      <c r="I6089">
        <v>26</v>
      </c>
      <c r="J6089">
        <v>2827</v>
      </c>
      <c r="K6089" s="1" t="s">
        <v>42</v>
      </c>
      <c r="L6089" s="1" t="s">
        <v>23</v>
      </c>
      <c r="M6089">
        <v>1.2929999999999999</v>
      </c>
      <c r="N6089">
        <v>33609</v>
      </c>
      <c r="O6089">
        <v>33.609000000000002</v>
      </c>
      <c r="P6089" s="2">
        <v>45383</v>
      </c>
      <c r="Q6089">
        <v>1</v>
      </c>
      <c r="R6089" s="1" t="s">
        <v>125</v>
      </c>
    </row>
    <row r="6090" spans="1:18" x14ac:dyDescent="0.25">
      <c r="A6090">
        <v>2024</v>
      </c>
      <c r="B6090">
        <v>5</v>
      </c>
      <c r="C6090" s="1" t="s">
        <v>28</v>
      </c>
      <c r="D6090" s="1" t="s">
        <v>19</v>
      </c>
      <c r="E6090" s="1" t="s">
        <v>41</v>
      </c>
      <c r="F6090">
        <v>2005</v>
      </c>
      <c r="G6090">
        <v>19</v>
      </c>
      <c r="H6090" s="1" t="s">
        <v>124</v>
      </c>
      <c r="I6090">
        <v>26</v>
      </c>
      <c r="J6090">
        <v>2827</v>
      </c>
      <c r="K6090" s="1" t="s">
        <v>42</v>
      </c>
      <c r="L6090" s="1" t="s">
        <v>23</v>
      </c>
      <c r="M6090">
        <v>1.502</v>
      </c>
      <c r="N6090">
        <v>39057</v>
      </c>
      <c r="O6090">
        <v>39.057000000000002</v>
      </c>
      <c r="P6090" s="2">
        <v>45413</v>
      </c>
      <c r="Q6090">
        <v>1</v>
      </c>
      <c r="R6090" s="1" t="s">
        <v>125</v>
      </c>
    </row>
    <row r="6091" spans="1:18" x14ac:dyDescent="0.25">
      <c r="A6091">
        <v>2024</v>
      </c>
      <c r="B6091">
        <v>6</v>
      </c>
      <c r="C6091" s="1" t="s">
        <v>29</v>
      </c>
      <c r="D6091" s="1" t="s">
        <v>19</v>
      </c>
      <c r="E6091" s="1" t="s">
        <v>41</v>
      </c>
      <c r="F6091">
        <v>2005</v>
      </c>
      <c r="G6091">
        <v>19</v>
      </c>
      <c r="H6091" s="1" t="s">
        <v>124</v>
      </c>
      <c r="I6091">
        <v>26</v>
      </c>
      <c r="J6091">
        <v>2827</v>
      </c>
      <c r="K6091" s="1" t="s">
        <v>42</v>
      </c>
      <c r="L6091" s="1" t="s">
        <v>23</v>
      </c>
      <c r="M6091">
        <v>1.645</v>
      </c>
      <c r="N6091">
        <v>42759.4</v>
      </c>
      <c r="O6091">
        <v>42.759</v>
      </c>
      <c r="P6091" s="2">
        <v>45444</v>
      </c>
      <c r="Q6091">
        <v>1</v>
      </c>
      <c r="R6091" s="1" t="s">
        <v>125</v>
      </c>
    </row>
    <row r="6092" spans="1:18" x14ac:dyDescent="0.25">
      <c r="A6092">
        <v>2024</v>
      </c>
      <c r="B6092">
        <v>7</v>
      </c>
      <c r="C6092" s="1" t="s">
        <v>30</v>
      </c>
      <c r="D6092" s="1" t="s">
        <v>19</v>
      </c>
      <c r="E6092" s="1" t="s">
        <v>41</v>
      </c>
      <c r="F6092">
        <v>2005</v>
      </c>
      <c r="G6092">
        <v>19</v>
      </c>
      <c r="H6092" s="1" t="s">
        <v>124</v>
      </c>
      <c r="I6092">
        <v>26</v>
      </c>
      <c r="J6092">
        <v>2827</v>
      </c>
      <c r="K6092" s="1" t="s">
        <v>42</v>
      </c>
      <c r="L6092" s="1" t="s">
        <v>23</v>
      </c>
      <c r="M6092">
        <v>1.5069999999999999</v>
      </c>
      <c r="N6092">
        <v>39172.1</v>
      </c>
      <c r="O6092">
        <v>39.171999999999997</v>
      </c>
      <c r="P6092" s="2">
        <v>45474</v>
      </c>
      <c r="Q6092">
        <v>1</v>
      </c>
      <c r="R6092" s="1" t="s">
        <v>125</v>
      </c>
    </row>
    <row r="6093" spans="1:18" x14ac:dyDescent="0.25">
      <c r="A6093">
        <v>2024</v>
      </c>
      <c r="B6093">
        <v>8</v>
      </c>
      <c r="C6093" s="1" t="s">
        <v>31</v>
      </c>
      <c r="D6093" s="1" t="s">
        <v>19</v>
      </c>
      <c r="E6093" s="1" t="s">
        <v>41</v>
      </c>
      <c r="F6093">
        <v>2005</v>
      </c>
      <c r="G6093">
        <v>19</v>
      </c>
      <c r="H6093" s="1" t="s">
        <v>124</v>
      </c>
      <c r="I6093">
        <v>26</v>
      </c>
      <c r="J6093">
        <v>2827</v>
      </c>
      <c r="K6093" s="1" t="s">
        <v>42</v>
      </c>
      <c r="L6093" s="1" t="s">
        <v>23</v>
      </c>
      <c r="M6093">
        <v>1.3620000000000001</v>
      </c>
      <c r="N6093">
        <v>35412.199999999997</v>
      </c>
      <c r="O6093">
        <v>35.411999999999999</v>
      </c>
      <c r="P6093" s="2">
        <v>45505</v>
      </c>
      <c r="Q6093">
        <v>1</v>
      </c>
      <c r="R6093" s="1" t="s">
        <v>125</v>
      </c>
    </row>
    <row r="6094" spans="1:18" x14ac:dyDescent="0.25">
      <c r="A6094">
        <v>2024</v>
      </c>
      <c r="B6094">
        <v>9</v>
      </c>
      <c r="C6094" s="1" t="s">
        <v>32</v>
      </c>
      <c r="D6094" s="1" t="s">
        <v>19</v>
      </c>
      <c r="E6094" s="1" t="s">
        <v>41</v>
      </c>
      <c r="F6094">
        <v>2005</v>
      </c>
      <c r="G6094">
        <v>19</v>
      </c>
      <c r="H6094" s="1" t="s">
        <v>124</v>
      </c>
      <c r="I6094">
        <v>26</v>
      </c>
      <c r="J6094">
        <v>2827</v>
      </c>
      <c r="K6094" s="1" t="s">
        <v>42</v>
      </c>
      <c r="L6094" s="1" t="s">
        <v>23</v>
      </c>
      <c r="M6094">
        <v>1.4730000000000001</v>
      </c>
      <c r="N6094">
        <v>38308.9</v>
      </c>
      <c r="O6094">
        <v>38.308999999999997</v>
      </c>
      <c r="P6094" s="2">
        <v>45536</v>
      </c>
      <c r="Q6094">
        <v>1</v>
      </c>
      <c r="R6094" s="1" t="s">
        <v>125</v>
      </c>
    </row>
    <row r="6095" spans="1:18" x14ac:dyDescent="0.25">
      <c r="A6095">
        <v>2024</v>
      </c>
      <c r="B6095">
        <v>10</v>
      </c>
      <c r="C6095" s="1" t="s">
        <v>33</v>
      </c>
      <c r="D6095" s="1" t="s">
        <v>19</v>
      </c>
      <c r="E6095" s="1" t="s">
        <v>41</v>
      </c>
      <c r="F6095">
        <v>2005</v>
      </c>
      <c r="G6095">
        <v>19</v>
      </c>
      <c r="H6095" s="1" t="s">
        <v>124</v>
      </c>
      <c r="I6095">
        <v>26</v>
      </c>
      <c r="J6095">
        <v>2827</v>
      </c>
      <c r="K6095" s="1" t="s">
        <v>42</v>
      </c>
      <c r="L6095" s="1" t="s">
        <v>23</v>
      </c>
      <c r="M6095">
        <v>0.97299999999999998</v>
      </c>
      <c r="N6095">
        <v>25302.7</v>
      </c>
      <c r="O6095">
        <v>25.303000000000001</v>
      </c>
      <c r="P6095" s="2">
        <v>45566</v>
      </c>
      <c r="Q6095">
        <v>1</v>
      </c>
      <c r="R6095" s="1" t="s">
        <v>125</v>
      </c>
    </row>
    <row r="6096" spans="1:18" x14ac:dyDescent="0.25">
      <c r="A6096">
        <v>2024</v>
      </c>
      <c r="B6096">
        <v>11</v>
      </c>
      <c r="C6096" s="1" t="s">
        <v>34</v>
      </c>
      <c r="D6096" s="1" t="s">
        <v>19</v>
      </c>
      <c r="E6096" s="1" t="s">
        <v>41</v>
      </c>
      <c r="F6096">
        <v>2005</v>
      </c>
      <c r="G6096">
        <v>19</v>
      </c>
      <c r="H6096" s="1" t="s">
        <v>124</v>
      </c>
      <c r="I6096">
        <v>26</v>
      </c>
      <c r="J6096">
        <v>2827</v>
      </c>
      <c r="K6096" s="1" t="s">
        <v>42</v>
      </c>
      <c r="L6096" s="1" t="s">
        <v>23</v>
      </c>
      <c r="M6096">
        <v>0.69099999999999995</v>
      </c>
      <c r="N6096">
        <v>17955.5</v>
      </c>
      <c r="O6096">
        <v>17.954999999999998</v>
      </c>
      <c r="P6096" s="2">
        <v>45597</v>
      </c>
      <c r="Q6096">
        <v>1</v>
      </c>
      <c r="R6096" s="1" t="s">
        <v>125</v>
      </c>
    </row>
    <row r="6097" spans="1:18" x14ac:dyDescent="0.25">
      <c r="A6097">
        <v>2024</v>
      </c>
      <c r="B6097">
        <v>12</v>
      </c>
      <c r="C6097" s="1" t="s">
        <v>35</v>
      </c>
      <c r="D6097" s="1" t="s">
        <v>19</v>
      </c>
      <c r="E6097" s="1" t="s">
        <v>41</v>
      </c>
      <c r="F6097">
        <v>2005</v>
      </c>
      <c r="G6097">
        <v>19</v>
      </c>
      <c r="H6097" s="1" t="s">
        <v>124</v>
      </c>
      <c r="I6097">
        <v>26</v>
      </c>
      <c r="J6097">
        <v>2827</v>
      </c>
      <c r="K6097" s="1" t="s">
        <v>42</v>
      </c>
      <c r="L6097" s="1" t="s">
        <v>23</v>
      </c>
      <c r="M6097">
        <v>0.88400000000000001</v>
      </c>
      <c r="N6097">
        <v>22981.5</v>
      </c>
      <c r="O6097">
        <v>22.981000000000002</v>
      </c>
      <c r="P6097" s="2">
        <v>45627</v>
      </c>
      <c r="Q6097">
        <v>1</v>
      </c>
      <c r="R6097" s="1" t="s">
        <v>125</v>
      </c>
    </row>
    <row r="6098" spans="1:18" x14ac:dyDescent="0.25">
      <c r="A6098">
        <v>2024</v>
      </c>
      <c r="B6098">
        <v>1</v>
      </c>
      <c r="C6098" s="1" t="s">
        <v>18</v>
      </c>
      <c r="D6098" s="1" t="s">
        <v>19</v>
      </c>
      <c r="E6098" s="1" t="s">
        <v>43</v>
      </c>
      <c r="F6098">
        <v>2005</v>
      </c>
      <c r="G6098">
        <v>19</v>
      </c>
      <c r="H6098" s="1" t="s">
        <v>124</v>
      </c>
      <c r="I6098">
        <v>24</v>
      </c>
      <c r="J6098">
        <v>1947</v>
      </c>
      <c r="K6098" s="1" t="s">
        <v>44</v>
      </c>
      <c r="L6098" s="1" t="s">
        <v>45</v>
      </c>
      <c r="M6098">
        <v>0.73599999999999999</v>
      </c>
      <c r="N6098">
        <v>17664.2</v>
      </c>
      <c r="O6098">
        <v>17.664000000000001</v>
      </c>
      <c r="P6098" s="2">
        <v>45292</v>
      </c>
      <c r="Q6098">
        <v>1</v>
      </c>
      <c r="R6098" s="1" t="s">
        <v>125</v>
      </c>
    </row>
    <row r="6099" spans="1:18" x14ac:dyDescent="0.25">
      <c r="A6099">
        <v>2024</v>
      </c>
      <c r="B6099">
        <v>2</v>
      </c>
      <c r="C6099" s="1" t="s">
        <v>25</v>
      </c>
      <c r="D6099" s="1" t="s">
        <v>19</v>
      </c>
      <c r="E6099" s="1" t="s">
        <v>43</v>
      </c>
      <c r="F6099">
        <v>2005</v>
      </c>
      <c r="G6099">
        <v>19</v>
      </c>
      <c r="H6099" s="1" t="s">
        <v>124</v>
      </c>
      <c r="I6099">
        <v>24</v>
      </c>
      <c r="J6099">
        <v>1947</v>
      </c>
      <c r="K6099" s="1" t="s">
        <v>44</v>
      </c>
      <c r="L6099" s="1" t="s">
        <v>45</v>
      </c>
      <c r="M6099">
        <v>0.78</v>
      </c>
      <c r="N6099">
        <v>18721.099999999999</v>
      </c>
      <c r="O6099">
        <v>18.721</v>
      </c>
      <c r="P6099" s="2">
        <v>45323</v>
      </c>
      <c r="Q6099">
        <v>1</v>
      </c>
      <c r="R6099" s="1" t="s">
        <v>125</v>
      </c>
    </row>
    <row r="6100" spans="1:18" x14ac:dyDescent="0.25">
      <c r="A6100">
        <v>2024</v>
      </c>
      <c r="B6100">
        <v>3</v>
      </c>
      <c r="C6100" s="1" t="s">
        <v>26</v>
      </c>
      <c r="D6100" s="1" t="s">
        <v>19</v>
      </c>
      <c r="E6100" s="1" t="s">
        <v>43</v>
      </c>
      <c r="F6100">
        <v>2005</v>
      </c>
      <c r="G6100">
        <v>19</v>
      </c>
      <c r="H6100" s="1" t="s">
        <v>124</v>
      </c>
      <c r="I6100">
        <v>24</v>
      </c>
      <c r="J6100">
        <v>1947</v>
      </c>
      <c r="K6100" s="1" t="s">
        <v>44</v>
      </c>
      <c r="L6100" s="1" t="s">
        <v>45</v>
      </c>
      <c r="M6100">
        <v>1.056</v>
      </c>
      <c r="N6100">
        <v>25340.2</v>
      </c>
      <c r="O6100">
        <v>25.34</v>
      </c>
      <c r="P6100" s="2">
        <v>45352</v>
      </c>
      <c r="Q6100">
        <v>1</v>
      </c>
      <c r="R6100" s="1" t="s">
        <v>125</v>
      </c>
    </row>
    <row r="6101" spans="1:18" x14ac:dyDescent="0.25">
      <c r="A6101">
        <v>2024</v>
      </c>
      <c r="B6101">
        <v>4</v>
      </c>
      <c r="C6101" s="1" t="s">
        <v>27</v>
      </c>
      <c r="D6101" s="1" t="s">
        <v>19</v>
      </c>
      <c r="E6101" s="1" t="s">
        <v>43</v>
      </c>
      <c r="F6101">
        <v>2005</v>
      </c>
      <c r="G6101">
        <v>19</v>
      </c>
      <c r="H6101" s="1" t="s">
        <v>124</v>
      </c>
      <c r="I6101">
        <v>24</v>
      </c>
      <c r="J6101">
        <v>1947</v>
      </c>
      <c r="K6101" s="1" t="s">
        <v>44</v>
      </c>
      <c r="L6101" s="1" t="s">
        <v>45</v>
      </c>
      <c r="M6101">
        <v>0.96399999999999997</v>
      </c>
      <c r="N6101">
        <v>23147</v>
      </c>
      <c r="O6101">
        <v>23.146999999999998</v>
      </c>
      <c r="P6101" s="2">
        <v>45383</v>
      </c>
      <c r="Q6101">
        <v>1</v>
      </c>
      <c r="R6101" s="1" t="s">
        <v>125</v>
      </c>
    </row>
    <row r="6102" spans="1:18" x14ac:dyDescent="0.25">
      <c r="A6102">
        <v>2024</v>
      </c>
      <c r="B6102">
        <v>5</v>
      </c>
      <c r="C6102" s="1" t="s">
        <v>28</v>
      </c>
      <c r="D6102" s="1" t="s">
        <v>19</v>
      </c>
      <c r="E6102" s="1" t="s">
        <v>43</v>
      </c>
      <c r="F6102">
        <v>2005</v>
      </c>
      <c r="G6102">
        <v>19</v>
      </c>
      <c r="H6102" s="1" t="s">
        <v>124</v>
      </c>
      <c r="I6102">
        <v>24</v>
      </c>
      <c r="J6102">
        <v>1947</v>
      </c>
      <c r="K6102" s="1" t="s">
        <v>44</v>
      </c>
      <c r="L6102" s="1" t="s">
        <v>45</v>
      </c>
      <c r="M6102">
        <v>1.121</v>
      </c>
      <c r="N6102">
        <v>26899.200000000001</v>
      </c>
      <c r="O6102">
        <v>26.899000000000001</v>
      </c>
      <c r="P6102" s="2">
        <v>45413</v>
      </c>
      <c r="Q6102">
        <v>1</v>
      </c>
      <c r="R6102" s="1" t="s">
        <v>125</v>
      </c>
    </row>
    <row r="6103" spans="1:18" x14ac:dyDescent="0.25">
      <c r="A6103">
        <v>2024</v>
      </c>
      <c r="B6103">
        <v>6</v>
      </c>
      <c r="C6103" s="1" t="s">
        <v>29</v>
      </c>
      <c r="D6103" s="1" t="s">
        <v>19</v>
      </c>
      <c r="E6103" s="1" t="s">
        <v>43</v>
      </c>
      <c r="F6103">
        <v>2005</v>
      </c>
      <c r="G6103">
        <v>19</v>
      </c>
      <c r="H6103" s="1" t="s">
        <v>124</v>
      </c>
      <c r="I6103">
        <v>24</v>
      </c>
      <c r="J6103">
        <v>1947</v>
      </c>
      <c r="K6103" s="1" t="s">
        <v>44</v>
      </c>
      <c r="L6103" s="1" t="s">
        <v>45</v>
      </c>
      <c r="M6103">
        <v>1.2270000000000001</v>
      </c>
      <c r="N6103">
        <v>29449.1</v>
      </c>
      <c r="O6103">
        <v>29.449000000000002</v>
      </c>
      <c r="P6103" s="2">
        <v>45444</v>
      </c>
      <c r="Q6103">
        <v>1</v>
      </c>
      <c r="R6103" s="1" t="s">
        <v>125</v>
      </c>
    </row>
    <row r="6104" spans="1:18" x14ac:dyDescent="0.25">
      <c r="A6104">
        <v>2024</v>
      </c>
      <c r="B6104">
        <v>7</v>
      </c>
      <c r="C6104" s="1" t="s">
        <v>30</v>
      </c>
      <c r="D6104" s="1" t="s">
        <v>19</v>
      </c>
      <c r="E6104" s="1" t="s">
        <v>43</v>
      </c>
      <c r="F6104">
        <v>2005</v>
      </c>
      <c r="G6104">
        <v>19</v>
      </c>
      <c r="H6104" s="1" t="s">
        <v>124</v>
      </c>
      <c r="I6104">
        <v>24</v>
      </c>
      <c r="J6104">
        <v>1947</v>
      </c>
      <c r="K6104" s="1" t="s">
        <v>44</v>
      </c>
      <c r="L6104" s="1" t="s">
        <v>45</v>
      </c>
      <c r="M6104">
        <v>1.1240000000000001</v>
      </c>
      <c r="N6104">
        <v>26978.5</v>
      </c>
      <c r="O6104">
        <v>26.978000000000002</v>
      </c>
      <c r="P6104" s="2">
        <v>45474</v>
      </c>
      <c r="Q6104">
        <v>1</v>
      </c>
      <c r="R6104" s="1" t="s">
        <v>125</v>
      </c>
    </row>
    <row r="6105" spans="1:18" x14ac:dyDescent="0.25">
      <c r="A6105">
        <v>2024</v>
      </c>
      <c r="B6105">
        <v>8</v>
      </c>
      <c r="C6105" s="1" t="s">
        <v>31</v>
      </c>
      <c r="D6105" s="1" t="s">
        <v>19</v>
      </c>
      <c r="E6105" s="1" t="s">
        <v>43</v>
      </c>
      <c r="F6105">
        <v>2005</v>
      </c>
      <c r="G6105">
        <v>19</v>
      </c>
      <c r="H6105" s="1" t="s">
        <v>124</v>
      </c>
      <c r="I6105">
        <v>24</v>
      </c>
      <c r="J6105">
        <v>1947</v>
      </c>
      <c r="K6105" s="1" t="s">
        <v>44</v>
      </c>
      <c r="L6105" s="1" t="s">
        <v>45</v>
      </c>
      <c r="M6105">
        <v>1.016</v>
      </c>
      <c r="N6105">
        <v>24389</v>
      </c>
      <c r="O6105">
        <v>24.388999999999999</v>
      </c>
      <c r="P6105" s="2">
        <v>45505</v>
      </c>
      <c r="Q6105">
        <v>1</v>
      </c>
      <c r="R6105" s="1" t="s">
        <v>125</v>
      </c>
    </row>
    <row r="6106" spans="1:18" x14ac:dyDescent="0.25">
      <c r="A6106">
        <v>2024</v>
      </c>
      <c r="B6106">
        <v>9</v>
      </c>
      <c r="C6106" s="1" t="s">
        <v>32</v>
      </c>
      <c r="D6106" s="1" t="s">
        <v>19</v>
      </c>
      <c r="E6106" s="1" t="s">
        <v>43</v>
      </c>
      <c r="F6106">
        <v>2005</v>
      </c>
      <c r="G6106">
        <v>19</v>
      </c>
      <c r="H6106" s="1" t="s">
        <v>124</v>
      </c>
      <c r="I6106">
        <v>24</v>
      </c>
      <c r="J6106">
        <v>1947</v>
      </c>
      <c r="K6106" s="1" t="s">
        <v>44</v>
      </c>
      <c r="L6106" s="1" t="s">
        <v>45</v>
      </c>
      <c r="M6106">
        <v>1.099</v>
      </c>
      <c r="N6106">
        <v>26383.9</v>
      </c>
      <c r="O6106">
        <v>26.384</v>
      </c>
      <c r="P6106" s="2">
        <v>45536</v>
      </c>
      <c r="Q6106">
        <v>1</v>
      </c>
      <c r="R6106" s="1" t="s">
        <v>125</v>
      </c>
    </row>
    <row r="6107" spans="1:18" x14ac:dyDescent="0.25">
      <c r="A6107">
        <v>2024</v>
      </c>
      <c r="B6107">
        <v>10</v>
      </c>
      <c r="C6107" s="1" t="s">
        <v>33</v>
      </c>
      <c r="D6107" s="1" t="s">
        <v>19</v>
      </c>
      <c r="E6107" s="1" t="s">
        <v>43</v>
      </c>
      <c r="F6107">
        <v>2005</v>
      </c>
      <c r="G6107">
        <v>19</v>
      </c>
      <c r="H6107" s="1" t="s">
        <v>124</v>
      </c>
      <c r="I6107">
        <v>24</v>
      </c>
      <c r="J6107">
        <v>1947</v>
      </c>
      <c r="K6107" s="1" t="s">
        <v>44</v>
      </c>
      <c r="L6107" s="1" t="s">
        <v>45</v>
      </c>
      <c r="M6107">
        <v>0.72599999999999998</v>
      </c>
      <c r="N6107">
        <v>17426.3</v>
      </c>
      <c r="O6107">
        <v>17.425999999999998</v>
      </c>
      <c r="P6107" s="2">
        <v>45566</v>
      </c>
      <c r="Q6107">
        <v>1</v>
      </c>
      <c r="R6107" s="1" t="s">
        <v>125</v>
      </c>
    </row>
    <row r="6108" spans="1:18" x14ac:dyDescent="0.25">
      <c r="A6108">
        <v>2024</v>
      </c>
      <c r="B6108">
        <v>11</v>
      </c>
      <c r="C6108" s="1" t="s">
        <v>34</v>
      </c>
      <c r="D6108" s="1" t="s">
        <v>19</v>
      </c>
      <c r="E6108" s="1" t="s">
        <v>43</v>
      </c>
      <c r="F6108">
        <v>2005</v>
      </c>
      <c r="G6108">
        <v>19</v>
      </c>
      <c r="H6108" s="1" t="s">
        <v>124</v>
      </c>
      <c r="I6108">
        <v>24</v>
      </c>
      <c r="J6108">
        <v>1947</v>
      </c>
      <c r="K6108" s="1" t="s">
        <v>44</v>
      </c>
      <c r="L6108" s="1" t="s">
        <v>45</v>
      </c>
      <c r="M6108">
        <v>0.51500000000000001</v>
      </c>
      <c r="N6108">
        <v>12366.2</v>
      </c>
      <c r="O6108">
        <v>12.366</v>
      </c>
      <c r="P6108" s="2">
        <v>45597</v>
      </c>
      <c r="Q6108">
        <v>1</v>
      </c>
      <c r="R6108" s="1" t="s">
        <v>125</v>
      </c>
    </row>
    <row r="6109" spans="1:18" x14ac:dyDescent="0.25">
      <c r="A6109">
        <v>2024</v>
      </c>
      <c r="B6109">
        <v>12</v>
      </c>
      <c r="C6109" s="1" t="s">
        <v>35</v>
      </c>
      <c r="D6109" s="1" t="s">
        <v>19</v>
      </c>
      <c r="E6109" s="1" t="s">
        <v>43</v>
      </c>
      <c r="F6109">
        <v>2005</v>
      </c>
      <c r="G6109">
        <v>19</v>
      </c>
      <c r="H6109" s="1" t="s">
        <v>124</v>
      </c>
      <c r="I6109">
        <v>24</v>
      </c>
      <c r="J6109">
        <v>1947</v>
      </c>
      <c r="K6109" s="1" t="s">
        <v>44</v>
      </c>
      <c r="L6109" s="1" t="s">
        <v>45</v>
      </c>
      <c r="M6109">
        <v>0.65900000000000003</v>
      </c>
      <c r="N6109">
        <v>15827.7</v>
      </c>
      <c r="O6109">
        <v>15.827999999999999</v>
      </c>
      <c r="P6109" s="2">
        <v>45627</v>
      </c>
      <c r="Q6109">
        <v>1</v>
      </c>
      <c r="R6109" s="1" t="s">
        <v>125</v>
      </c>
    </row>
    <row r="6110" spans="1:18" x14ac:dyDescent="0.25">
      <c r="A6110">
        <v>2024</v>
      </c>
      <c r="B6110">
        <v>1</v>
      </c>
      <c r="C6110" s="1" t="s">
        <v>18</v>
      </c>
      <c r="D6110" s="1" t="s">
        <v>19</v>
      </c>
      <c r="E6110" s="1" t="s">
        <v>46</v>
      </c>
      <c r="F6110">
        <v>2006</v>
      </c>
      <c r="G6110">
        <v>18</v>
      </c>
      <c r="H6110" s="1" t="s">
        <v>124</v>
      </c>
      <c r="I6110">
        <v>25</v>
      </c>
      <c r="J6110">
        <v>2740</v>
      </c>
      <c r="K6110" s="1" t="s">
        <v>47</v>
      </c>
      <c r="L6110" s="1" t="s">
        <v>45</v>
      </c>
      <c r="M6110">
        <v>0.99399999999999999</v>
      </c>
      <c r="N6110">
        <v>24858.6</v>
      </c>
      <c r="O6110">
        <v>24.859000000000002</v>
      </c>
      <c r="P6110" s="2">
        <v>45292</v>
      </c>
      <c r="Q6110">
        <v>1</v>
      </c>
      <c r="R6110" s="1" t="s">
        <v>125</v>
      </c>
    </row>
    <row r="6111" spans="1:18" x14ac:dyDescent="0.25">
      <c r="A6111">
        <v>2024</v>
      </c>
      <c r="B6111">
        <v>2</v>
      </c>
      <c r="C6111" s="1" t="s">
        <v>25</v>
      </c>
      <c r="D6111" s="1" t="s">
        <v>19</v>
      </c>
      <c r="E6111" s="1" t="s">
        <v>46</v>
      </c>
      <c r="F6111">
        <v>2006</v>
      </c>
      <c r="G6111">
        <v>18</v>
      </c>
      <c r="H6111" s="1" t="s">
        <v>124</v>
      </c>
      <c r="I6111">
        <v>25</v>
      </c>
      <c r="J6111">
        <v>2740</v>
      </c>
      <c r="K6111" s="1" t="s">
        <v>47</v>
      </c>
      <c r="L6111" s="1" t="s">
        <v>45</v>
      </c>
      <c r="M6111">
        <v>1.054</v>
      </c>
      <c r="N6111">
        <v>26346.1</v>
      </c>
      <c r="O6111">
        <v>26.346</v>
      </c>
      <c r="P6111" s="2">
        <v>45323</v>
      </c>
      <c r="Q6111">
        <v>1</v>
      </c>
      <c r="R6111" s="1" t="s">
        <v>125</v>
      </c>
    </row>
    <row r="6112" spans="1:18" x14ac:dyDescent="0.25">
      <c r="A6112">
        <v>2024</v>
      </c>
      <c r="B6112">
        <v>3</v>
      </c>
      <c r="C6112" s="1" t="s">
        <v>26</v>
      </c>
      <c r="D6112" s="1" t="s">
        <v>19</v>
      </c>
      <c r="E6112" s="1" t="s">
        <v>46</v>
      </c>
      <c r="F6112">
        <v>2006</v>
      </c>
      <c r="G6112">
        <v>18</v>
      </c>
      <c r="H6112" s="1" t="s">
        <v>124</v>
      </c>
      <c r="I6112">
        <v>25</v>
      </c>
      <c r="J6112">
        <v>2740</v>
      </c>
      <c r="K6112" s="1" t="s">
        <v>47</v>
      </c>
      <c r="L6112" s="1" t="s">
        <v>45</v>
      </c>
      <c r="M6112">
        <v>1.4259999999999999</v>
      </c>
      <c r="N6112">
        <v>35661.1</v>
      </c>
      <c r="O6112">
        <v>35.661000000000001</v>
      </c>
      <c r="P6112" s="2">
        <v>45352</v>
      </c>
      <c r="Q6112">
        <v>1</v>
      </c>
      <c r="R6112" s="1" t="s">
        <v>125</v>
      </c>
    </row>
    <row r="6113" spans="1:18" x14ac:dyDescent="0.25">
      <c r="A6113">
        <v>2024</v>
      </c>
      <c r="B6113">
        <v>4</v>
      </c>
      <c r="C6113" s="1" t="s">
        <v>27</v>
      </c>
      <c r="D6113" s="1" t="s">
        <v>19</v>
      </c>
      <c r="E6113" s="1" t="s">
        <v>46</v>
      </c>
      <c r="F6113">
        <v>2006</v>
      </c>
      <c r="G6113">
        <v>18</v>
      </c>
      <c r="H6113" s="1" t="s">
        <v>124</v>
      </c>
      <c r="I6113">
        <v>25</v>
      </c>
      <c r="J6113">
        <v>2740</v>
      </c>
      <c r="K6113" s="1" t="s">
        <v>47</v>
      </c>
      <c r="L6113" s="1" t="s">
        <v>45</v>
      </c>
      <c r="M6113">
        <v>1.3029999999999999</v>
      </c>
      <c r="N6113">
        <v>32574.7</v>
      </c>
      <c r="O6113">
        <v>32.575000000000003</v>
      </c>
      <c r="P6113" s="2">
        <v>45383</v>
      </c>
      <c r="Q6113">
        <v>1</v>
      </c>
      <c r="R6113" s="1" t="s">
        <v>125</v>
      </c>
    </row>
    <row r="6114" spans="1:18" x14ac:dyDescent="0.25">
      <c r="A6114">
        <v>2024</v>
      </c>
      <c r="B6114">
        <v>5</v>
      </c>
      <c r="C6114" s="1" t="s">
        <v>28</v>
      </c>
      <c r="D6114" s="1" t="s">
        <v>19</v>
      </c>
      <c r="E6114" s="1" t="s">
        <v>46</v>
      </c>
      <c r="F6114">
        <v>2006</v>
      </c>
      <c r="G6114">
        <v>18</v>
      </c>
      <c r="H6114" s="1" t="s">
        <v>124</v>
      </c>
      <c r="I6114">
        <v>25</v>
      </c>
      <c r="J6114">
        <v>2740</v>
      </c>
      <c r="K6114" s="1" t="s">
        <v>47</v>
      </c>
      <c r="L6114" s="1" t="s">
        <v>45</v>
      </c>
      <c r="M6114">
        <v>1.514</v>
      </c>
      <c r="N6114">
        <v>37855.1</v>
      </c>
      <c r="O6114">
        <v>37.854999999999997</v>
      </c>
      <c r="P6114" s="2">
        <v>45413</v>
      </c>
      <c r="Q6114">
        <v>1</v>
      </c>
      <c r="R6114" s="1" t="s">
        <v>125</v>
      </c>
    </row>
    <row r="6115" spans="1:18" x14ac:dyDescent="0.25">
      <c r="A6115">
        <v>2024</v>
      </c>
      <c r="B6115">
        <v>6</v>
      </c>
      <c r="C6115" s="1" t="s">
        <v>29</v>
      </c>
      <c r="D6115" s="1" t="s">
        <v>19</v>
      </c>
      <c r="E6115" s="1" t="s">
        <v>46</v>
      </c>
      <c r="F6115">
        <v>2006</v>
      </c>
      <c r="G6115">
        <v>18</v>
      </c>
      <c r="H6115" s="1" t="s">
        <v>124</v>
      </c>
      <c r="I6115">
        <v>25</v>
      </c>
      <c r="J6115">
        <v>2740</v>
      </c>
      <c r="K6115" s="1" t="s">
        <v>47</v>
      </c>
      <c r="L6115" s="1" t="s">
        <v>45</v>
      </c>
      <c r="M6115">
        <v>1.6579999999999999</v>
      </c>
      <c r="N6115">
        <v>41443.5</v>
      </c>
      <c r="O6115">
        <v>41.442999999999998</v>
      </c>
      <c r="P6115" s="2">
        <v>45444</v>
      </c>
      <c r="Q6115">
        <v>1</v>
      </c>
      <c r="R6115" s="1" t="s">
        <v>125</v>
      </c>
    </row>
    <row r="6116" spans="1:18" x14ac:dyDescent="0.25">
      <c r="A6116">
        <v>2024</v>
      </c>
      <c r="B6116">
        <v>7</v>
      </c>
      <c r="C6116" s="1" t="s">
        <v>30</v>
      </c>
      <c r="D6116" s="1" t="s">
        <v>19</v>
      </c>
      <c r="E6116" s="1" t="s">
        <v>46</v>
      </c>
      <c r="F6116">
        <v>2006</v>
      </c>
      <c r="G6116">
        <v>18</v>
      </c>
      <c r="H6116" s="1" t="s">
        <v>124</v>
      </c>
      <c r="I6116">
        <v>25</v>
      </c>
      <c r="J6116">
        <v>2740</v>
      </c>
      <c r="K6116" s="1" t="s">
        <v>47</v>
      </c>
      <c r="L6116" s="1" t="s">
        <v>45</v>
      </c>
      <c r="M6116">
        <v>1.5189999999999999</v>
      </c>
      <c r="N6116">
        <v>37966.6</v>
      </c>
      <c r="O6116">
        <v>37.966999999999999</v>
      </c>
      <c r="P6116" s="2">
        <v>45474</v>
      </c>
      <c r="Q6116">
        <v>1</v>
      </c>
      <c r="R6116" s="1" t="s">
        <v>125</v>
      </c>
    </row>
    <row r="6117" spans="1:18" x14ac:dyDescent="0.25">
      <c r="A6117">
        <v>2024</v>
      </c>
      <c r="B6117">
        <v>8</v>
      </c>
      <c r="C6117" s="1" t="s">
        <v>31</v>
      </c>
      <c r="D6117" s="1" t="s">
        <v>19</v>
      </c>
      <c r="E6117" s="1" t="s">
        <v>46</v>
      </c>
      <c r="F6117">
        <v>2006</v>
      </c>
      <c r="G6117">
        <v>18</v>
      </c>
      <c r="H6117" s="1" t="s">
        <v>124</v>
      </c>
      <c r="I6117">
        <v>25</v>
      </c>
      <c r="J6117">
        <v>2740</v>
      </c>
      <c r="K6117" s="1" t="s">
        <v>47</v>
      </c>
      <c r="L6117" s="1" t="s">
        <v>45</v>
      </c>
      <c r="M6117">
        <v>1.373</v>
      </c>
      <c r="N6117">
        <v>34322.400000000001</v>
      </c>
      <c r="O6117">
        <v>34.322000000000003</v>
      </c>
      <c r="P6117" s="2">
        <v>45505</v>
      </c>
      <c r="Q6117">
        <v>1</v>
      </c>
      <c r="R6117" s="1" t="s">
        <v>125</v>
      </c>
    </row>
    <row r="6118" spans="1:18" x14ac:dyDescent="0.25">
      <c r="A6118">
        <v>2024</v>
      </c>
      <c r="B6118">
        <v>9</v>
      </c>
      <c r="C6118" s="1" t="s">
        <v>32</v>
      </c>
      <c r="D6118" s="1" t="s">
        <v>19</v>
      </c>
      <c r="E6118" s="1" t="s">
        <v>46</v>
      </c>
      <c r="F6118">
        <v>2006</v>
      </c>
      <c r="G6118">
        <v>18</v>
      </c>
      <c r="H6118" s="1" t="s">
        <v>124</v>
      </c>
      <c r="I6118">
        <v>25</v>
      </c>
      <c r="J6118">
        <v>2740</v>
      </c>
      <c r="K6118" s="1" t="s">
        <v>47</v>
      </c>
      <c r="L6118" s="1" t="s">
        <v>45</v>
      </c>
      <c r="M6118">
        <v>1.4850000000000001</v>
      </c>
      <c r="N6118">
        <v>37129.9</v>
      </c>
      <c r="O6118">
        <v>37.130000000000003</v>
      </c>
      <c r="P6118" s="2">
        <v>45536</v>
      </c>
      <c r="Q6118">
        <v>1</v>
      </c>
      <c r="R6118" s="1" t="s">
        <v>125</v>
      </c>
    </row>
    <row r="6119" spans="1:18" x14ac:dyDescent="0.25">
      <c r="A6119">
        <v>2024</v>
      </c>
      <c r="B6119">
        <v>10</v>
      </c>
      <c r="C6119" s="1" t="s">
        <v>33</v>
      </c>
      <c r="D6119" s="1" t="s">
        <v>19</v>
      </c>
      <c r="E6119" s="1" t="s">
        <v>46</v>
      </c>
      <c r="F6119">
        <v>2006</v>
      </c>
      <c r="G6119">
        <v>18</v>
      </c>
      <c r="H6119" s="1" t="s">
        <v>124</v>
      </c>
      <c r="I6119">
        <v>25</v>
      </c>
      <c r="J6119">
        <v>2740</v>
      </c>
      <c r="K6119" s="1" t="s">
        <v>47</v>
      </c>
      <c r="L6119" s="1" t="s">
        <v>45</v>
      </c>
      <c r="M6119">
        <v>0.98099999999999998</v>
      </c>
      <c r="N6119">
        <v>24524</v>
      </c>
      <c r="O6119">
        <v>24.524000000000001</v>
      </c>
      <c r="P6119" s="2">
        <v>45566</v>
      </c>
      <c r="Q6119">
        <v>1</v>
      </c>
      <c r="R6119" s="1" t="s">
        <v>125</v>
      </c>
    </row>
    <row r="6120" spans="1:18" x14ac:dyDescent="0.25">
      <c r="A6120">
        <v>2024</v>
      </c>
      <c r="B6120">
        <v>11</v>
      </c>
      <c r="C6120" s="1" t="s">
        <v>34</v>
      </c>
      <c r="D6120" s="1" t="s">
        <v>19</v>
      </c>
      <c r="E6120" s="1" t="s">
        <v>46</v>
      </c>
      <c r="F6120">
        <v>2006</v>
      </c>
      <c r="G6120">
        <v>18</v>
      </c>
      <c r="H6120" s="1" t="s">
        <v>124</v>
      </c>
      <c r="I6120">
        <v>25</v>
      </c>
      <c r="J6120">
        <v>2740</v>
      </c>
      <c r="K6120" s="1" t="s">
        <v>47</v>
      </c>
      <c r="L6120" s="1" t="s">
        <v>45</v>
      </c>
      <c r="M6120">
        <v>0.69599999999999995</v>
      </c>
      <c r="N6120">
        <v>17402.900000000001</v>
      </c>
      <c r="O6120">
        <v>17.402999999999999</v>
      </c>
      <c r="P6120" s="2">
        <v>45597</v>
      </c>
      <c r="Q6120">
        <v>1</v>
      </c>
      <c r="R6120" s="1" t="s">
        <v>125</v>
      </c>
    </row>
    <row r="6121" spans="1:18" x14ac:dyDescent="0.25">
      <c r="A6121">
        <v>2024</v>
      </c>
      <c r="B6121">
        <v>12</v>
      </c>
      <c r="C6121" s="1" t="s">
        <v>35</v>
      </c>
      <c r="D6121" s="1" t="s">
        <v>19</v>
      </c>
      <c r="E6121" s="1" t="s">
        <v>46</v>
      </c>
      <c r="F6121">
        <v>2006</v>
      </c>
      <c r="G6121">
        <v>18</v>
      </c>
      <c r="H6121" s="1" t="s">
        <v>124</v>
      </c>
      <c r="I6121">
        <v>25</v>
      </c>
      <c r="J6121">
        <v>2740</v>
      </c>
      <c r="K6121" s="1" t="s">
        <v>47</v>
      </c>
      <c r="L6121" s="1" t="s">
        <v>45</v>
      </c>
      <c r="M6121">
        <v>0.89100000000000001</v>
      </c>
      <c r="N6121">
        <v>22274.2</v>
      </c>
      <c r="O6121">
        <v>22.274000000000001</v>
      </c>
      <c r="P6121" s="2">
        <v>45627</v>
      </c>
      <c r="Q6121">
        <v>1</v>
      </c>
      <c r="R6121" s="1" t="s">
        <v>125</v>
      </c>
    </row>
    <row r="6122" spans="1:18" x14ac:dyDescent="0.25">
      <c r="A6122">
        <v>2024</v>
      </c>
      <c r="B6122">
        <v>1</v>
      </c>
      <c r="C6122" s="1" t="s">
        <v>18</v>
      </c>
      <c r="D6122" s="1" t="s">
        <v>19</v>
      </c>
      <c r="E6122" s="1" t="s">
        <v>48</v>
      </c>
      <c r="F6122">
        <v>2006</v>
      </c>
      <c r="G6122">
        <v>18</v>
      </c>
      <c r="H6122" s="1" t="s">
        <v>124</v>
      </c>
      <c r="I6122">
        <v>24</v>
      </c>
      <c r="J6122">
        <v>3230</v>
      </c>
      <c r="K6122" s="1" t="s">
        <v>49</v>
      </c>
      <c r="L6122" s="1" t="s">
        <v>45</v>
      </c>
      <c r="M6122">
        <v>1.2210000000000001</v>
      </c>
      <c r="N6122">
        <v>29304.2</v>
      </c>
      <c r="O6122">
        <v>29.303999999999998</v>
      </c>
      <c r="P6122" s="2">
        <v>45292</v>
      </c>
      <c r="Q6122">
        <v>1</v>
      </c>
      <c r="R6122" s="1" t="s">
        <v>125</v>
      </c>
    </row>
    <row r="6123" spans="1:18" x14ac:dyDescent="0.25">
      <c r="A6123">
        <v>2024</v>
      </c>
      <c r="B6123">
        <v>2</v>
      </c>
      <c r="C6123" s="1" t="s">
        <v>25</v>
      </c>
      <c r="D6123" s="1" t="s">
        <v>19</v>
      </c>
      <c r="E6123" s="1" t="s">
        <v>48</v>
      </c>
      <c r="F6123">
        <v>2006</v>
      </c>
      <c r="G6123">
        <v>18</v>
      </c>
      <c r="H6123" s="1" t="s">
        <v>124</v>
      </c>
      <c r="I6123">
        <v>24</v>
      </c>
      <c r="J6123">
        <v>3230</v>
      </c>
      <c r="K6123" s="1" t="s">
        <v>49</v>
      </c>
      <c r="L6123" s="1" t="s">
        <v>45</v>
      </c>
      <c r="M6123">
        <v>1.294</v>
      </c>
      <c r="N6123">
        <v>31057.599999999999</v>
      </c>
      <c r="O6123">
        <v>31.058</v>
      </c>
      <c r="P6123" s="2">
        <v>45323</v>
      </c>
      <c r="Q6123">
        <v>1</v>
      </c>
      <c r="R6123" s="1" t="s">
        <v>125</v>
      </c>
    </row>
    <row r="6124" spans="1:18" x14ac:dyDescent="0.25">
      <c r="A6124">
        <v>2024</v>
      </c>
      <c r="B6124">
        <v>3</v>
      </c>
      <c r="C6124" s="1" t="s">
        <v>26</v>
      </c>
      <c r="D6124" s="1" t="s">
        <v>19</v>
      </c>
      <c r="E6124" s="1" t="s">
        <v>48</v>
      </c>
      <c r="F6124">
        <v>2006</v>
      </c>
      <c r="G6124">
        <v>18</v>
      </c>
      <c r="H6124" s="1" t="s">
        <v>124</v>
      </c>
      <c r="I6124">
        <v>24</v>
      </c>
      <c r="J6124">
        <v>3230</v>
      </c>
      <c r="K6124" s="1" t="s">
        <v>49</v>
      </c>
      <c r="L6124" s="1" t="s">
        <v>45</v>
      </c>
      <c r="M6124">
        <v>1.752</v>
      </c>
      <c r="N6124">
        <v>42038.400000000001</v>
      </c>
      <c r="O6124">
        <v>42.037999999999997</v>
      </c>
      <c r="P6124" s="2">
        <v>45352</v>
      </c>
      <c r="Q6124">
        <v>1</v>
      </c>
      <c r="R6124" s="1" t="s">
        <v>125</v>
      </c>
    </row>
    <row r="6125" spans="1:18" x14ac:dyDescent="0.25">
      <c r="A6125">
        <v>2024</v>
      </c>
      <c r="B6125">
        <v>4</v>
      </c>
      <c r="C6125" s="1" t="s">
        <v>27</v>
      </c>
      <c r="D6125" s="1" t="s">
        <v>19</v>
      </c>
      <c r="E6125" s="1" t="s">
        <v>48</v>
      </c>
      <c r="F6125">
        <v>2006</v>
      </c>
      <c r="G6125">
        <v>18</v>
      </c>
      <c r="H6125" s="1" t="s">
        <v>124</v>
      </c>
      <c r="I6125">
        <v>24</v>
      </c>
      <c r="J6125">
        <v>3230</v>
      </c>
      <c r="K6125" s="1" t="s">
        <v>49</v>
      </c>
      <c r="L6125" s="1" t="s">
        <v>45</v>
      </c>
      <c r="M6125">
        <v>1.6</v>
      </c>
      <c r="N6125">
        <v>38400.1</v>
      </c>
      <c r="O6125">
        <v>38.4</v>
      </c>
      <c r="P6125" s="2">
        <v>45383</v>
      </c>
      <c r="Q6125">
        <v>1</v>
      </c>
      <c r="R6125" s="1" t="s">
        <v>125</v>
      </c>
    </row>
    <row r="6126" spans="1:18" x14ac:dyDescent="0.25">
      <c r="A6126">
        <v>2024</v>
      </c>
      <c r="B6126">
        <v>5</v>
      </c>
      <c r="C6126" s="1" t="s">
        <v>28</v>
      </c>
      <c r="D6126" s="1" t="s">
        <v>19</v>
      </c>
      <c r="E6126" s="1" t="s">
        <v>48</v>
      </c>
      <c r="F6126">
        <v>2006</v>
      </c>
      <c r="G6126">
        <v>18</v>
      </c>
      <c r="H6126" s="1" t="s">
        <v>124</v>
      </c>
      <c r="I6126">
        <v>24</v>
      </c>
      <c r="J6126">
        <v>3230</v>
      </c>
      <c r="K6126" s="1" t="s">
        <v>49</v>
      </c>
      <c r="L6126" s="1" t="s">
        <v>45</v>
      </c>
      <c r="M6126">
        <v>1.859</v>
      </c>
      <c r="N6126">
        <v>44624.800000000003</v>
      </c>
      <c r="O6126">
        <v>44.625</v>
      </c>
      <c r="P6126" s="2">
        <v>45413</v>
      </c>
      <c r="Q6126">
        <v>1</v>
      </c>
      <c r="R6126" s="1" t="s">
        <v>125</v>
      </c>
    </row>
    <row r="6127" spans="1:18" x14ac:dyDescent="0.25">
      <c r="A6127">
        <v>2024</v>
      </c>
      <c r="B6127">
        <v>6</v>
      </c>
      <c r="C6127" s="1" t="s">
        <v>29</v>
      </c>
      <c r="D6127" s="1" t="s">
        <v>19</v>
      </c>
      <c r="E6127" s="1" t="s">
        <v>48</v>
      </c>
      <c r="F6127">
        <v>2006</v>
      </c>
      <c r="G6127">
        <v>18</v>
      </c>
      <c r="H6127" s="1" t="s">
        <v>124</v>
      </c>
      <c r="I6127">
        <v>24</v>
      </c>
      <c r="J6127">
        <v>3230</v>
      </c>
      <c r="K6127" s="1" t="s">
        <v>49</v>
      </c>
      <c r="L6127" s="1" t="s">
        <v>45</v>
      </c>
      <c r="M6127">
        <v>2.036</v>
      </c>
      <c r="N6127">
        <v>48854.9</v>
      </c>
      <c r="O6127">
        <v>48.854999999999997</v>
      </c>
      <c r="P6127" s="2">
        <v>45444</v>
      </c>
      <c r="Q6127">
        <v>1</v>
      </c>
      <c r="R6127" s="1" t="s">
        <v>125</v>
      </c>
    </row>
    <row r="6128" spans="1:18" x14ac:dyDescent="0.25">
      <c r="A6128">
        <v>2024</v>
      </c>
      <c r="B6128">
        <v>7</v>
      </c>
      <c r="C6128" s="1" t="s">
        <v>30</v>
      </c>
      <c r="D6128" s="1" t="s">
        <v>19</v>
      </c>
      <c r="E6128" s="1" t="s">
        <v>48</v>
      </c>
      <c r="F6128">
        <v>2006</v>
      </c>
      <c r="G6128">
        <v>18</v>
      </c>
      <c r="H6128" s="1" t="s">
        <v>124</v>
      </c>
      <c r="I6128">
        <v>24</v>
      </c>
      <c r="J6128">
        <v>3230</v>
      </c>
      <c r="K6128" s="1" t="s">
        <v>49</v>
      </c>
      <c r="L6128" s="1" t="s">
        <v>45</v>
      </c>
      <c r="M6128">
        <v>1.865</v>
      </c>
      <c r="N6128">
        <v>44756.3</v>
      </c>
      <c r="O6128">
        <v>44.756</v>
      </c>
      <c r="P6128" s="2">
        <v>45474</v>
      </c>
      <c r="Q6128">
        <v>1</v>
      </c>
      <c r="R6128" s="1" t="s">
        <v>125</v>
      </c>
    </row>
    <row r="6129" spans="1:18" x14ac:dyDescent="0.25">
      <c r="A6129">
        <v>2024</v>
      </c>
      <c r="B6129">
        <v>8</v>
      </c>
      <c r="C6129" s="1" t="s">
        <v>31</v>
      </c>
      <c r="D6129" s="1" t="s">
        <v>19</v>
      </c>
      <c r="E6129" s="1" t="s">
        <v>48</v>
      </c>
      <c r="F6129">
        <v>2006</v>
      </c>
      <c r="G6129">
        <v>18</v>
      </c>
      <c r="H6129" s="1" t="s">
        <v>124</v>
      </c>
      <c r="I6129">
        <v>24</v>
      </c>
      <c r="J6129">
        <v>3230</v>
      </c>
      <c r="K6129" s="1" t="s">
        <v>49</v>
      </c>
      <c r="L6129" s="1" t="s">
        <v>45</v>
      </c>
      <c r="M6129">
        <v>1.6859999999999999</v>
      </c>
      <c r="N6129">
        <v>40460.400000000001</v>
      </c>
      <c r="O6129">
        <v>40.46</v>
      </c>
      <c r="P6129" s="2">
        <v>45505</v>
      </c>
      <c r="Q6129">
        <v>1</v>
      </c>
      <c r="R6129" s="1" t="s">
        <v>125</v>
      </c>
    </row>
    <row r="6130" spans="1:18" x14ac:dyDescent="0.25">
      <c r="A6130">
        <v>2024</v>
      </c>
      <c r="B6130">
        <v>9</v>
      </c>
      <c r="C6130" s="1" t="s">
        <v>32</v>
      </c>
      <c r="D6130" s="1" t="s">
        <v>19</v>
      </c>
      <c r="E6130" s="1" t="s">
        <v>48</v>
      </c>
      <c r="F6130">
        <v>2006</v>
      </c>
      <c r="G6130">
        <v>18</v>
      </c>
      <c r="H6130" s="1" t="s">
        <v>124</v>
      </c>
      <c r="I6130">
        <v>24</v>
      </c>
      <c r="J6130">
        <v>3230</v>
      </c>
      <c r="K6130" s="1" t="s">
        <v>49</v>
      </c>
      <c r="L6130" s="1" t="s">
        <v>45</v>
      </c>
      <c r="M6130">
        <v>1.8240000000000001</v>
      </c>
      <c r="N6130">
        <v>43770</v>
      </c>
      <c r="O6130">
        <v>43.77</v>
      </c>
      <c r="P6130" s="2">
        <v>45536</v>
      </c>
      <c r="Q6130">
        <v>1</v>
      </c>
      <c r="R6130" s="1" t="s">
        <v>125</v>
      </c>
    </row>
    <row r="6131" spans="1:18" x14ac:dyDescent="0.25">
      <c r="A6131">
        <v>2024</v>
      </c>
      <c r="B6131">
        <v>10</v>
      </c>
      <c r="C6131" s="1" t="s">
        <v>33</v>
      </c>
      <c r="D6131" s="1" t="s">
        <v>19</v>
      </c>
      <c r="E6131" s="1" t="s">
        <v>48</v>
      </c>
      <c r="F6131">
        <v>2006</v>
      </c>
      <c r="G6131">
        <v>18</v>
      </c>
      <c r="H6131" s="1" t="s">
        <v>124</v>
      </c>
      <c r="I6131">
        <v>24</v>
      </c>
      <c r="J6131">
        <v>3230</v>
      </c>
      <c r="K6131" s="1" t="s">
        <v>49</v>
      </c>
      <c r="L6131" s="1" t="s">
        <v>45</v>
      </c>
      <c r="M6131">
        <v>1.2050000000000001</v>
      </c>
      <c r="N6131">
        <v>28909.7</v>
      </c>
      <c r="O6131">
        <v>28.91</v>
      </c>
      <c r="P6131" s="2">
        <v>45566</v>
      </c>
      <c r="Q6131">
        <v>1</v>
      </c>
      <c r="R6131" s="1" t="s">
        <v>125</v>
      </c>
    </row>
    <row r="6132" spans="1:18" x14ac:dyDescent="0.25">
      <c r="A6132">
        <v>2024</v>
      </c>
      <c r="B6132">
        <v>11</v>
      </c>
      <c r="C6132" s="1" t="s">
        <v>34</v>
      </c>
      <c r="D6132" s="1" t="s">
        <v>19</v>
      </c>
      <c r="E6132" s="1" t="s">
        <v>48</v>
      </c>
      <c r="F6132">
        <v>2006</v>
      </c>
      <c r="G6132">
        <v>18</v>
      </c>
      <c r="H6132" s="1" t="s">
        <v>124</v>
      </c>
      <c r="I6132">
        <v>24</v>
      </c>
      <c r="J6132">
        <v>3230</v>
      </c>
      <c r="K6132" s="1" t="s">
        <v>49</v>
      </c>
      <c r="L6132" s="1" t="s">
        <v>45</v>
      </c>
      <c r="M6132">
        <v>0.85499999999999998</v>
      </c>
      <c r="N6132">
        <v>20515.099999999999</v>
      </c>
      <c r="O6132">
        <v>20.515000000000001</v>
      </c>
      <c r="P6132" s="2">
        <v>45597</v>
      </c>
      <c r="Q6132">
        <v>1</v>
      </c>
      <c r="R6132" s="1" t="s">
        <v>125</v>
      </c>
    </row>
    <row r="6133" spans="1:18" x14ac:dyDescent="0.25">
      <c r="A6133">
        <v>2024</v>
      </c>
      <c r="B6133">
        <v>12</v>
      </c>
      <c r="C6133" s="1" t="s">
        <v>35</v>
      </c>
      <c r="D6133" s="1" t="s">
        <v>19</v>
      </c>
      <c r="E6133" s="1" t="s">
        <v>48</v>
      </c>
      <c r="F6133">
        <v>2006</v>
      </c>
      <c r="G6133">
        <v>18</v>
      </c>
      <c r="H6133" s="1" t="s">
        <v>124</v>
      </c>
      <c r="I6133">
        <v>24</v>
      </c>
      <c r="J6133">
        <v>3230</v>
      </c>
      <c r="K6133" s="1" t="s">
        <v>49</v>
      </c>
      <c r="L6133" s="1" t="s">
        <v>45</v>
      </c>
      <c r="M6133">
        <v>1.0940000000000001</v>
      </c>
      <c r="N6133">
        <v>26257.599999999999</v>
      </c>
      <c r="O6133">
        <v>26.257999999999999</v>
      </c>
      <c r="P6133" s="2">
        <v>45627</v>
      </c>
      <c r="Q6133">
        <v>1</v>
      </c>
      <c r="R6133" s="1" t="s">
        <v>125</v>
      </c>
    </row>
    <row r="6134" spans="1:18" x14ac:dyDescent="0.25">
      <c r="A6134">
        <v>2024</v>
      </c>
      <c r="B6134">
        <v>1</v>
      </c>
      <c r="C6134" s="1" t="s">
        <v>18</v>
      </c>
      <c r="D6134" s="1" t="s">
        <v>19</v>
      </c>
      <c r="E6134" s="1" t="s">
        <v>50</v>
      </c>
      <c r="F6134">
        <v>2006</v>
      </c>
      <c r="G6134">
        <v>18</v>
      </c>
      <c r="H6134" s="1" t="s">
        <v>124</v>
      </c>
      <c r="I6134">
        <v>22</v>
      </c>
      <c r="J6134">
        <v>2447</v>
      </c>
      <c r="K6134" s="1" t="s">
        <v>51</v>
      </c>
      <c r="L6134" s="1" t="s">
        <v>45</v>
      </c>
      <c r="M6134">
        <v>1.0089999999999999</v>
      </c>
      <c r="N6134">
        <v>22200.400000000001</v>
      </c>
      <c r="O6134">
        <v>22.2</v>
      </c>
      <c r="P6134" s="2">
        <v>45292</v>
      </c>
      <c r="Q6134">
        <v>1</v>
      </c>
      <c r="R6134" s="1" t="s">
        <v>125</v>
      </c>
    </row>
    <row r="6135" spans="1:18" x14ac:dyDescent="0.25">
      <c r="A6135">
        <v>2024</v>
      </c>
      <c r="B6135">
        <v>2</v>
      </c>
      <c r="C6135" s="1" t="s">
        <v>25</v>
      </c>
      <c r="D6135" s="1" t="s">
        <v>19</v>
      </c>
      <c r="E6135" s="1" t="s">
        <v>50</v>
      </c>
      <c r="F6135">
        <v>2006</v>
      </c>
      <c r="G6135">
        <v>18</v>
      </c>
      <c r="H6135" s="1" t="s">
        <v>124</v>
      </c>
      <c r="I6135">
        <v>22</v>
      </c>
      <c r="J6135">
        <v>2447</v>
      </c>
      <c r="K6135" s="1" t="s">
        <v>51</v>
      </c>
      <c r="L6135" s="1" t="s">
        <v>45</v>
      </c>
      <c r="M6135">
        <v>1.069</v>
      </c>
      <c r="N6135">
        <v>23528.799999999999</v>
      </c>
      <c r="O6135">
        <v>23.529</v>
      </c>
      <c r="P6135" s="2">
        <v>45323</v>
      </c>
      <c r="Q6135">
        <v>1</v>
      </c>
      <c r="R6135" s="1" t="s">
        <v>125</v>
      </c>
    </row>
    <row r="6136" spans="1:18" x14ac:dyDescent="0.25">
      <c r="A6136">
        <v>2024</v>
      </c>
      <c r="B6136">
        <v>3</v>
      </c>
      <c r="C6136" s="1" t="s">
        <v>26</v>
      </c>
      <c r="D6136" s="1" t="s">
        <v>19</v>
      </c>
      <c r="E6136" s="1" t="s">
        <v>50</v>
      </c>
      <c r="F6136">
        <v>2006</v>
      </c>
      <c r="G6136">
        <v>18</v>
      </c>
      <c r="H6136" s="1" t="s">
        <v>124</v>
      </c>
      <c r="I6136">
        <v>22</v>
      </c>
      <c r="J6136">
        <v>2447</v>
      </c>
      <c r="K6136" s="1" t="s">
        <v>51</v>
      </c>
      <c r="L6136" s="1" t="s">
        <v>45</v>
      </c>
      <c r="M6136">
        <v>1.448</v>
      </c>
      <c r="N6136">
        <v>31847.7</v>
      </c>
      <c r="O6136">
        <v>31.847999999999999</v>
      </c>
      <c r="P6136" s="2">
        <v>45352</v>
      </c>
      <c r="Q6136">
        <v>1</v>
      </c>
      <c r="R6136" s="1" t="s">
        <v>125</v>
      </c>
    </row>
    <row r="6137" spans="1:18" x14ac:dyDescent="0.25">
      <c r="A6137">
        <v>2024</v>
      </c>
      <c r="B6137">
        <v>4</v>
      </c>
      <c r="C6137" s="1" t="s">
        <v>27</v>
      </c>
      <c r="D6137" s="1" t="s">
        <v>19</v>
      </c>
      <c r="E6137" s="1" t="s">
        <v>50</v>
      </c>
      <c r="F6137">
        <v>2006</v>
      </c>
      <c r="G6137">
        <v>18</v>
      </c>
      <c r="H6137" s="1" t="s">
        <v>124</v>
      </c>
      <c r="I6137">
        <v>22</v>
      </c>
      <c r="J6137">
        <v>2447</v>
      </c>
      <c r="K6137" s="1" t="s">
        <v>51</v>
      </c>
      <c r="L6137" s="1" t="s">
        <v>45</v>
      </c>
      <c r="M6137">
        <v>1.3220000000000001</v>
      </c>
      <c r="N6137">
        <v>29091.3</v>
      </c>
      <c r="O6137">
        <v>29.091000000000001</v>
      </c>
      <c r="P6137" s="2">
        <v>45383</v>
      </c>
      <c r="Q6137">
        <v>1</v>
      </c>
      <c r="R6137" s="1" t="s">
        <v>125</v>
      </c>
    </row>
    <row r="6138" spans="1:18" x14ac:dyDescent="0.25">
      <c r="A6138">
        <v>2024</v>
      </c>
      <c r="B6138">
        <v>5</v>
      </c>
      <c r="C6138" s="1" t="s">
        <v>28</v>
      </c>
      <c r="D6138" s="1" t="s">
        <v>19</v>
      </c>
      <c r="E6138" s="1" t="s">
        <v>50</v>
      </c>
      <c r="F6138">
        <v>2006</v>
      </c>
      <c r="G6138">
        <v>18</v>
      </c>
      <c r="H6138" s="1" t="s">
        <v>124</v>
      </c>
      <c r="I6138">
        <v>22</v>
      </c>
      <c r="J6138">
        <v>2447</v>
      </c>
      <c r="K6138" s="1" t="s">
        <v>51</v>
      </c>
      <c r="L6138" s="1" t="s">
        <v>45</v>
      </c>
      <c r="M6138">
        <v>1.5369999999999999</v>
      </c>
      <c r="N6138">
        <v>33807.1</v>
      </c>
      <c r="O6138">
        <v>33.807000000000002</v>
      </c>
      <c r="P6138" s="2">
        <v>45413</v>
      </c>
      <c r="Q6138">
        <v>1</v>
      </c>
      <c r="R6138" s="1" t="s">
        <v>125</v>
      </c>
    </row>
    <row r="6139" spans="1:18" x14ac:dyDescent="0.25">
      <c r="A6139">
        <v>2024</v>
      </c>
      <c r="B6139">
        <v>6</v>
      </c>
      <c r="C6139" s="1" t="s">
        <v>29</v>
      </c>
      <c r="D6139" s="1" t="s">
        <v>19</v>
      </c>
      <c r="E6139" s="1" t="s">
        <v>50</v>
      </c>
      <c r="F6139">
        <v>2006</v>
      </c>
      <c r="G6139">
        <v>18</v>
      </c>
      <c r="H6139" s="1" t="s">
        <v>124</v>
      </c>
      <c r="I6139">
        <v>22</v>
      </c>
      <c r="J6139">
        <v>2447</v>
      </c>
      <c r="K6139" s="1" t="s">
        <v>51</v>
      </c>
      <c r="L6139" s="1" t="s">
        <v>45</v>
      </c>
      <c r="M6139">
        <v>1.6819999999999999</v>
      </c>
      <c r="N6139">
        <v>37011.699999999997</v>
      </c>
      <c r="O6139">
        <v>37.012</v>
      </c>
      <c r="P6139" s="2">
        <v>45444</v>
      </c>
      <c r="Q6139">
        <v>1</v>
      </c>
      <c r="R6139" s="1" t="s">
        <v>125</v>
      </c>
    </row>
    <row r="6140" spans="1:18" x14ac:dyDescent="0.25">
      <c r="A6140">
        <v>2024</v>
      </c>
      <c r="B6140">
        <v>7</v>
      </c>
      <c r="C6140" s="1" t="s">
        <v>30</v>
      </c>
      <c r="D6140" s="1" t="s">
        <v>19</v>
      </c>
      <c r="E6140" s="1" t="s">
        <v>50</v>
      </c>
      <c r="F6140">
        <v>2006</v>
      </c>
      <c r="G6140">
        <v>18</v>
      </c>
      <c r="H6140" s="1" t="s">
        <v>124</v>
      </c>
      <c r="I6140">
        <v>22</v>
      </c>
      <c r="J6140">
        <v>2447</v>
      </c>
      <c r="K6140" s="1" t="s">
        <v>51</v>
      </c>
      <c r="L6140" s="1" t="s">
        <v>45</v>
      </c>
      <c r="M6140">
        <v>1.5409999999999999</v>
      </c>
      <c r="N6140">
        <v>33906.699999999997</v>
      </c>
      <c r="O6140">
        <v>33.906999999999996</v>
      </c>
      <c r="P6140" s="2">
        <v>45474</v>
      </c>
      <c r="Q6140">
        <v>1</v>
      </c>
      <c r="R6140" s="1" t="s">
        <v>125</v>
      </c>
    </row>
    <row r="6141" spans="1:18" x14ac:dyDescent="0.25">
      <c r="A6141">
        <v>2024</v>
      </c>
      <c r="B6141">
        <v>8</v>
      </c>
      <c r="C6141" s="1" t="s">
        <v>31</v>
      </c>
      <c r="D6141" s="1" t="s">
        <v>19</v>
      </c>
      <c r="E6141" s="1" t="s">
        <v>50</v>
      </c>
      <c r="F6141">
        <v>2006</v>
      </c>
      <c r="G6141">
        <v>18</v>
      </c>
      <c r="H6141" s="1" t="s">
        <v>124</v>
      </c>
      <c r="I6141">
        <v>22</v>
      </c>
      <c r="J6141">
        <v>2447</v>
      </c>
      <c r="K6141" s="1" t="s">
        <v>51</v>
      </c>
      <c r="L6141" s="1" t="s">
        <v>45</v>
      </c>
      <c r="M6141">
        <v>1.393</v>
      </c>
      <c r="N6141">
        <v>30652.2</v>
      </c>
      <c r="O6141">
        <v>30.652000000000001</v>
      </c>
      <c r="P6141" s="2">
        <v>45505</v>
      </c>
      <c r="Q6141">
        <v>1</v>
      </c>
      <c r="R6141" s="1" t="s">
        <v>125</v>
      </c>
    </row>
    <row r="6142" spans="1:18" x14ac:dyDescent="0.25">
      <c r="A6142">
        <v>2024</v>
      </c>
      <c r="B6142">
        <v>9</v>
      </c>
      <c r="C6142" s="1" t="s">
        <v>32</v>
      </c>
      <c r="D6142" s="1" t="s">
        <v>19</v>
      </c>
      <c r="E6142" s="1" t="s">
        <v>50</v>
      </c>
      <c r="F6142">
        <v>2006</v>
      </c>
      <c r="G6142">
        <v>18</v>
      </c>
      <c r="H6142" s="1" t="s">
        <v>124</v>
      </c>
      <c r="I6142">
        <v>22</v>
      </c>
      <c r="J6142">
        <v>2447</v>
      </c>
      <c r="K6142" s="1" t="s">
        <v>51</v>
      </c>
      <c r="L6142" s="1" t="s">
        <v>45</v>
      </c>
      <c r="M6142">
        <v>1.5069999999999999</v>
      </c>
      <c r="N6142">
        <v>33159.5</v>
      </c>
      <c r="O6142">
        <v>33.158999999999999</v>
      </c>
      <c r="P6142" s="2">
        <v>45536</v>
      </c>
      <c r="Q6142">
        <v>1</v>
      </c>
      <c r="R6142" s="1" t="s">
        <v>125</v>
      </c>
    </row>
    <row r="6143" spans="1:18" x14ac:dyDescent="0.25">
      <c r="A6143">
        <v>2024</v>
      </c>
      <c r="B6143">
        <v>10</v>
      </c>
      <c r="C6143" s="1" t="s">
        <v>33</v>
      </c>
      <c r="D6143" s="1" t="s">
        <v>19</v>
      </c>
      <c r="E6143" s="1" t="s">
        <v>50</v>
      </c>
      <c r="F6143">
        <v>2006</v>
      </c>
      <c r="G6143">
        <v>18</v>
      </c>
      <c r="H6143" s="1" t="s">
        <v>124</v>
      </c>
      <c r="I6143">
        <v>22</v>
      </c>
      <c r="J6143">
        <v>2447</v>
      </c>
      <c r="K6143" s="1" t="s">
        <v>51</v>
      </c>
      <c r="L6143" s="1" t="s">
        <v>45</v>
      </c>
      <c r="M6143">
        <v>0.996</v>
      </c>
      <c r="N6143">
        <v>21901.5</v>
      </c>
      <c r="O6143">
        <v>21.902000000000001</v>
      </c>
      <c r="P6143" s="2">
        <v>45566</v>
      </c>
      <c r="Q6143">
        <v>1</v>
      </c>
      <c r="R6143" s="1" t="s">
        <v>125</v>
      </c>
    </row>
    <row r="6144" spans="1:18" x14ac:dyDescent="0.25">
      <c r="A6144">
        <v>2024</v>
      </c>
      <c r="B6144">
        <v>11</v>
      </c>
      <c r="C6144" s="1" t="s">
        <v>34</v>
      </c>
      <c r="D6144" s="1" t="s">
        <v>19</v>
      </c>
      <c r="E6144" s="1" t="s">
        <v>50</v>
      </c>
      <c r="F6144">
        <v>2006</v>
      </c>
      <c r="G6144">
        <v>18</v>
      </c>
      <c r="H6144" s="1" t="s">
        <v>124</v>
      </c>
      <c r="I6144">
        <v>22</v>
      </c>
      <c r="J6144">
        <v>2447</v>
      </c>
      <c r="K6144" s="1" t="s">
        <v>51</v>
      </c>
      <c r="L6144" s="1" t="s">
        <v>45</v>
      </c>
      <c r="M6144">
        <v>0.70599999999999996</v>
      </c>
      <c r="N6144">
        <v>15541.9</v>
      </c>
      <c r="O6144">
        <v>15.542</v>
      </c>
      <c r="P6144" s="2">
        <v>45597</v>
      </c>
      <c r="Q6144">
        <v>1</v>
      </c>
      <c r="R6144" s="1" t="s">
        <v>125</v>
      </c>
    </row>
    <row r="6145" spans="1:18" x14ac:dyDescent="0.25">
      <c r="A6145">
        <v>2024</v>
      </c>
      <c r="B6145">
        <v>12</v>
      </c>
      <c r="C6145" s="1" t="s">
        <v>35</v>
      </c>
      <c r="D6145" s="1" t="s">
        <v>19</v>
      </c>
      <c r="E6145" s="1" t="s">
        <v>50</v>
      </c>
      <c r="F6145">
        <v>2006</v>
      </c>
      <c r="G6145">
        <v>18</v>
      </c>
      <c r="H6145" s="1" t="s">
        <v>124</v>
      </c>
      <c r="I6145">
        <v>22</v>
      </c>
      <c r="J6145">
        <v>2447</v>
      </c>
      <c r="K6145" s="1" t="s">
        <v>51</v>
      </c>
      <c r="L6145" s="1" t="s">
        <v>45</v>
      </c>
      <c r="M6145">
        <v>0.90400000000000003</v>
      </c>
      <c r="N6145">
        <v>19892.400000000001</v>
      </c>
      <c r="O6145">
        <v>19.891999999999999</v>
      </c>
      <c r="P6145" s="2">
        <v>45627</v>
      </c>
      <c r="Q6145">
        <v>1</v>
      </c>
      <c r="R6145" s="1" t="s">
        <v>125</v>
      </c>
    </row>
    <row r="6146" spans="1:18" x14ac:dyDescent="0.25">
      <c r="A6146">
        <v>2024</v>
      </c>
      <c r="B6146">
        <v>1</v>
      </c>
      <c r="C6146" s="1" t="s">
        <v>18</v>
      </c>
      <c r="D6146" s="1" t="s">
        <v>19</v>
      </c>
      <c r="E6146" s="1" t="s">
        <v>52</v>
      </c>
      <c r="F6146">
        <v>2006</v>
      </c>
      <c r="G6146">
        <v>18</v>
      </c>
      <c r="H6146" s="1" t="s">
        <v>124</v>
      </c>
      <c r="I6146">
        <v>15</v>
      </c>
      <c r="J6146">
        <v>1866</v>
      </c>
      <c r="K6146" s="1" t="s">
        <v>53</v>
      </c>
      <c r="L6146" s="1" t="s">
        <v>45</v>
      </c>
      <c r="M6146">
        <v>1.129</v>
      </c>
      <c r="N6146">
        <v>16929.3</v>
      </c>
      <c r="O6146">
        <v>16.928999999999998</v>
      </c>
      <c r="P6146" s="2">
        <v>45292</v>
      </c>
      <c r="Q6146">
        <v>1</v>
      </c>
      <c r="R6146" s="1" t="s">
        <v>125</v>
      </c>
    </row>
    <row r="6147" spans="1:18" x14ac:dyDescent="0.25">
      <c r="A6147">
        <v>2024</v>
      </c>
      <c r="B6147">
        <v>2</v>
      </c>
      <c r="C6147" s="1" t="s">
        <v>25</v>
      </c>
      <c r="D6147" s="1" t="s">
        <v>19</v>
      </c>
      <c r="E6147" s="1" t="s">
        <v>52</v>
      </c>
      <c r="F6147">
        <v>2006</v>
      </c>
      <c r="G6147">
        <v>18</v>
      </c>
      <c r="H6147" s="1" t="s">
        <v>124</v>
      </c>
      <c r="I6147">
        <v>15</v>
      </c>
      <c r="J6147">
        <v>1866</v>
      </c>
      <c r="K6147" s="1" t="s">
        <v>53</v>
      </c>
      <c r="L6147" s="1" t="s">
        <v>45</v>
      </c>
      <c r="M6147">
        <v>1.196</v>
      </c>
      <c r="N6147">
        <v>17942.3</v>
      </c>
      <c r="O6147">
        <v>17.942</v>
      </c>
      <c r="P6147" s="2">
        <v>45323</v>
      </c>
      <c r="Q6147">
        <v>1</v>
      </c>
      <c r="R6147" s="1" t="s">
        <v>125</v>
      </c>
    </row>
    <row r="6148" spans="1:18" x14ac:dyDescent="0.25">
      <c r="A6148">
        <v>2024</v>
      </c>
      <c r="B6148">
        <v>3</v>
      </c>
      <c r="C6148" s="1" t="s">
        <v>26</v>
      </c>
      <c r="D6148" s="1" t="s">
        <v>19</v>
      </c>
      <c r="E6148" s="1" t="s">
        <v>52</v>
      </c>
      <c r="F6148">
        <v>2006</v>
      </c>
      <c r="G6148">
        <v>18</v>
      </c>
      <c r="H6148" s="1" t="s">
        <v>124</v>
      </c>
      <c r="I6148">
        <v>15</v>
      </c>
      <c r="J6148">
        <v>1866</v>
      </c>
      <c r="K6148" s="1" t="s">
        <v>53</v>
      </c>
      <c r="L6148" s="1" t="s">
        <v>45</v>
      </c>
      <c r="M6148">
        <v>1.619</v>
      </c>
      <c r="N6148">
        <v>24286</v>
      </c>
      <c r="O6148">
        <v>24.286000000000001</v>
      </c>
      <c r="P6148" s="2">
        <v>45352</v>
      </c>
      <c r="Q6148">
        <v>1</v>
      </c>
      <c r="R6148" s="1" t="s">
        <v>125</v>
      </c>
    </row>
    <row r="6149" spans="1:18" x14ac:dyDescent="0.25">
      <c r="A6149">
        <v>2024</v>
      </c>
      <c r="B6149">
        <v>4</v>
      </c>
      <c r="C6149" s="1" t="s">
        <v>27</v>
      </c>
      <c r="D6149" s="1" t="s">
        <v>19</v>
      </c>
      <c r="E6149" s="1" t="s">
        <v>52</v>
      </c>
      <c r="F6149">
        <v>2006</v>
      </c>
      <c r="G6149">
        <v>18</v>
      </c>
      <c r="H6149" s="1" t="s">
        <v>124</v>
      </c>
      <c r="I6149">
        <v>15</v>
      </c>
      <c r="J6149">
        <v>1866</v>
      </c>
      <c r="K6149" s="1" t="s">
        <v>53</v>
      </c>
      <c r="L6149" s="1" t="s">
        <v>45</v>
      </c>
      <c r="M6149">
        <v>1.4790000000000001</v>
      </c>
      <c r="N6149">
        <v>22184.1</v>
      </c>
      <c r="O6149">
        <v>22.184000000000001</v>
      </c>
      <c r="P6149" s="2">
        <v>45383</v>
      </c>
      <c r="Q6149">
        <v>1</v>
      </c>
      <c r="R6149" s="1" t="s">
        <v>125</v>
      </c>
    </row>
    <row r="6150" spans="1:18" x14ac:dyDescent="0.25">
      <c r="A6150">
        <v>2024</v>
      </c>
      <c r="B6150">
        <v>5</v>
      </c>
      <c r="C6150" s="1" t="s">
        <v>28</v>
      </c>
      <c r="D6150" s="1" t="s">
        <v>19</v>
      </c>
      <c r="E6150" s="1" t="s">
        <v>52</v>
      </c>
      <c r="F6150">
        <v>2006</v>
      </c>
      <c r="G6150">
        <v>18</v>
      </c>
      <c r="H6150" s="1" t="s">
        <v>124</v>
      </c>
      <c r="I6150">
        <v>15</v>
      </c>
      <c r="J6150">
        <v>1866</v>
      </c>
      <c r="K6150" s="1" t="s">
        <v>53</v>
      </c>
      <c r="L6150" s="1" t="s">
        <v>45</v>
      </c>
      <c r="M6150">
        <v>1.7190000000000001</v>
      </c>
      <c r="N6150">
        <v>25780.1</v>
      </c>
      <c r="O6150">
        <v>25.78</v>
      </c>
      <c r="P6150" s="2">
        <v>45413</v>
      </c>
      <c r="Q6150">
        <v>1</v>
      </c>
      <c r="R6150" s="1" t="s">
        <v>125</v>
      </c>
    </row>
    <row r="6151" spans="1:18" x14ac:dyDescent="0.25">
      <c r="A6151">
        <v>2024</v>
      </c>
      <c r="B6151">
        <v>6</v>
      </c>
      <c r="C6151" s="1" t="s">
        <v>29</v>
      </c>
      <c r="D6151" s="1" t="s">
        <v>19</v>
      </c>
      <c r="E6151" s="1" t="s">
        <v>52</v>
      </c>
      <c r="F6151">
        <v>2006</v>
      </c>
      <c r="G6151">
        <v>18</v>
      </c>
      <c r="H6151" s="1" t="s">
        <v>124</v>
      </c>
      <c r="I6151">
        <v>15</v>
      </c>
      <c r="J6151">
        <v>1866</v>
      </c>
      <c r="K6151" s="1" t="s">
        <v>53</v>
      </c>
      <c r="L6151" s="1" t="s">
        <v>45</v>
      </c>
      <c r="M6151">
        <v>1.8819999999999999</v>
      </c>
      <c r="N6151">
        <v>28223.9</v>
      </c>
      <c r="O6151">
        <v>28.224</v>
      </c>
      <c r="P6151" s="2">
        <v>45444</v>
      </c>
      <c r="Q6151">
        <v>1</v>
      </c>
      <c r="R6151" s="1" t="s">
        <v>125</v>
      </c>
    </row>
    <row r="6152" spans="1:18" x14ac:dyDescent="0.25">
      <c r="A6152">
        <v>2024</v>
      </c>
      <c r="B6152">
        <v>7</v>
      </c>
      <c r="C6152" s="1" t="s">
        <v>30</v>
      </c>
      <c r="D6152" s="1" t="s">
        <v>19</v>
      </c>
      <c r="E6152" s="1" t="s">
        <v>52</v>
      </c>
      <c r="F6152">
        <v>2006</v>
      </c>
      <c r="G6152">
        <v>18</v>
      </c>
      <c r="H6152" s="1" t="s">
        <v>124</v>
      </c>
      <c r="I6152">
        <v>15</v>
      </c>
      <c r="J6152">
        <v>1866</v>
      </c>
      <c r="K6152" s="1" t="s">
        <v>53</v>
      </c>
      <c r="L6152" s="1" t="s">
        <v>45</v>
      </c>
      <c r="M6152">
        <v>1.724</v>
      </c>
      <c r="N6152">
        <v>25856.1</v>
      </c>
      <c r="O6152">
        <v>25.856000000000002</v>
      </c>
      <c r="P6152" s="2">
        <v>45474</v>
      </c>
      <c r="Q6152">
        <v>1</v>
      </c>
      <c r="R6152" s="1" t="s">
        <v>125</v>
      </c>
    </row>
    <row r="6153" spans="1:18" x14ac:dyDescent="0.25">
      <c r="A6153">
        <v>2024</v>
      </c>
      <c r="B6153">
        <v>8</v>
      </c>
      <c r="C6153" s="1" t="s">
        <v>31</v>
      </c>
      <c r="D6153" s="1" t="s">
        <v>19</v>
      </c>
      <c r="E6153" s="1" t="s">
        <v>52</v>
      </c>
      <c r="F6153">
        <v>2006</v>
      </c>
      <c r="G6153">
        <v>18</v>
      </c>
      <c r="H6153" s="1" t="s">
        <v>124</v>
      </c>
      <c r="I6153">
        <v>15</v>
      </c>
      <c r="J6153">
        <v>1866</v>
      </c>
      <c r="K6153" s="1" t="s">
        <v>53</v>
      </c>
      <c r="L6153" s="1" t="s">
        <v>45</v>
      </c>
      <c r="M6153">
        <v>1.5580000000000001</v>
      </c>
      <c r="N6153">
        <v>23374.3</v>
      </c>
      <c r="O6153">
        <v>23.373999999999999</v>
      </c>
      <c r="P6153" s="2">
        <v>45505</v>
      </c>
      <c r="Q6153">
        <v>1</v>
      </c>
      <c r="R6153" s="1" t="s">
        <v>125</v>
      </c>
    </row>
    <row r="6154" spans="1:18" x14ac:dyDescent="0.25">
      <c r="A6154">
        <v>2024</v>
      </c>
      <c r="B6154">
        <v>9</v>
      </c>
      <c r="C6154" s="1" t="s">
        <v>32</v>
      </c>
      <c r="D6154" s="1" t="s">
        <v>19</v>
      </c>
      <c r="E6154" s="1" t="s">
        <v>52</v>
      </c>
      <c r="F6154">
        <v>2006</v>
      </c>
      <c r="G6154">
        <v>18</v>
      </c>
      <c r="H6154" s="1" t="s">
        <v>124</v>
      </c>
      <c r="I6154">
        <v>15</v>
      </c>
      <c r="J6154">
        <v>1866</v>
      </c>
      <c r="K6154" s="1" t="s">
        <v>53</v>
      </c>
      <c r="L6154" s="1" t="s">
        <v>45</v>
      </c>
      <c r="M6154">
        <v>1.6859999999999999</v>
      </c>
      <c r="N6154">
        <v>25286.3</v>
      </c>
      <c r="O6154">
        <v>25.286000000000001</v>
      </c>
      <c r="P6154" s="2">
        <v>45536</v>
      </c>
      <c r="Q6154">
        <v>1</v>
      </c>
      <c r="R6154" s="1" t="s">
        <v>125</v>
      </c>
    </row>
    <row r="6155" spans="1:18" x14ac:dyDescent="0.25">
      <c r="A6155">
        <v>2024</v>
      </c>
      <c r="B6155">
        <v>10</v>
      </c>
      <c r="C6155" s="1" t="s">
        <v>33</v>
      </c>
      <c r="D6155" s="1" t="s">
        <v>19</v>
      </c>
      <c r="E6155" s="1" t="s">
        <v>52</v>
      </c>
      <c r="F6155">
        <v>2006</v>
      </c>
      <c r="G6155">
        <v>18</v>
      </c>
      <c r="H6155" s="1" t="s">
        <v>124</v>
      </c>
      <c r="I6155">
        <v>15</v>
      </c>
      <c r="J6155">
        <v>1866</v>
      </c>
      <c r="K6155" s="1" t="s">
        <v>53</v>
      </c>
      <c r="L6155" s="1" t="s">
        <v>45</v>
      </c>
      <c r="M6155">
        <v>1.113</v>
      </c>
      <c r="N6155">
        <v>16701.400000000001</v>
      </c>
      <c r="O6155">
        <v>16.701000000000001</v>
      </c>
      <c r="P6155" s="2">
        <v>45566</v>
      </c>
      <c r="Q6155">
        <v>1</v>
      </c>
      <c r="R6155" s="1" t="s">
        <v>125</v>
      </c>
    </row>
    <row r="6156" spans="1:18" x14ac:dyDescent="0.25">
      <c r="A6156">
        <v>2024</v>
      </c>
      <c r="B6156">
        <v>11</v>
      </c>
      <c r="C6156" s="1" t="s">
        <v>34</v>
      </c>
      <c r="D6156" s="1" t="s">
        <v>19</v>
      </c>
      <c r="E6156" s="1" t="s">
        <v>52</v>
      </c>
      <c r="F6156">
        <v>2006</v>
      </c>
      <c r="G6156">
        <v>18</v>
      </c>
      <c r="H6156" s="1" t="s">
        <v>124</v>
      </c>
      <c r="I6156">
        <v>15</v>
      </c>
      <c r="J6156">
        <v>1866</v>
      </c>
      <c r="K6156" s="1" t="s">
        <v>53</v>
      </c>
      <c r="L6156" s="1" t="s">
        <v>45</v>
      </c>
      <c r="M6156">
        <v>0.79</v>
      </c>
      <c r="N6156">
        <v>11851.8</v>
      </c>
      <c r="O6156">
        <v>11.852</v>
      </c>
      <c r="P6156" s="2">
        <v>45597</v>
      </c>
      <c r="Q6156">
        <v>1</v>
      </c>
      <c r="R6156" s="1" t="s">
        <v>125</v>
      </c>
    </row>
    <row r="6157" spans="1:18" x14ac:dyDescent="0.25">
      <c r="A6157">
        <v>2024</v>
      </c>
      <c r="B6157">
        <v>12</v>
      </c>
      <c r="C6157" s="1" t="s">
        <v>35</v>
      </c>
      <c r="D6157" s="1" t="s">
        <v>19</v>
      </c>
      <c r="E6157" s="1" t="s">
        <v>52</v>
      </c>
      <c r="F6157">
        <v>2006</v>
      </c>
      <c r="G6157">
        <v>18</v>
      </c>
      <c r="H6157" s="1" t="s">
        <v>124</v>
      </c>
      <c r="I6157">
        <v>15</v>
      </c>
      <c r="J6157">
        <v>1866</v>
      </c>
      <c r="K6157" s="1" t="s">
        <v>53</v>
      </c>
      <c r="L6157" s="1" t="s">
        <v>45</v>
      </c>
      <c r="M6157">
        <v>1.0109999999999999</v>
      </c>
      <c r="N6157">
        <v>15169.2</v>
      </c>
      <c r="O6157">
        <v>15.169</v>
      </c>
      <c r="P6157" s="2">
        <v>45627</v>
      </c>
      <c r="Q6157">
        <v>1</v>
      </c>
      <c r="R6157" s="1" t="s">
        <v>125</v>
      </c>
    </row>
    <row r="6158" spans="1:18" x14ac:dyDescent="0.25">
      <c r="A6158">
        <v>2024</v>
      </c>
      <c r="B6158">
        <v>1</v>
      </c>
      <c r="C6158" s="1" t="s">
        <v>18</v>
      </c>
      <c r="D6158" s="1" t="s">
        <v>19</v>
      </c>
      <c r="E6158" s="1" t="s">
        <v>54</v>
      </c>
      <c r="F6158">
        <v>2006</v>
      </c>
      <c r="G6158">
        <v>18</v>
      </c>
      <c r="H6158" s="1" t="s">
        <v>124</v>
      </c>
      <c r="I6158">
        <v>25</v>
      </c>
      <c r="J6158">
        <v>3154</v>
      </c>
      <c r="K6158" s="1" t="s">
        <v>55</v>
      </c>
      <c r="L6158" s="1" t="s">
        <v>45</v>
      </c>
      <c r="M6158">
        <v>1.145</v>
      </c>
      <c r="N6158">
        <v>28614.7</v>
      </c>
      <c r="O6158">
        <v>28.614999999999998</v>
      </c>
      <c r="P6158" s="2">
        <v>45292</v>
      </c>
      <c r="Q6158">
        <v>1</v>
      </c>
      <c r="R6158" s="1" t="s">
        <v>125</v>
      </c>
    </row>
    <row r="6159" spans="1:18" x14ac:dyDescent="0.25">
      <c r="A6159">
        <v>2024</v>
      </c>
      <c r="B6159">
        <v>2</v>
      </c>
      <c r="C6159" s="1" t="s">
        <v>25</v>
      </c>
      <c r="D6159" s="1" t="s">
        <v>19</v>
      </c>
      <c r="E6159" s="1" t="s">
        <v>54</v>
      </c>
      <c r="F6159">
        <v>2006</v>
      </c>
      <c r="G6159">
        <v>18</v>
      </c>
      <c r="H6159" s="1" t="s">
        <v>124</v>
      </c>
      <c r="I6159">
        <v>25</v>
      </c>
      <c r="J6159">
        <v>3154</v>
      </c>
      <c r="K6159" s="1" t="s">
        <v>55</v>
      </c>
      <c r="L6159" s="1" t="s">
        <v>45</v>
      </c>
      <c r="M6159">
        <v>1.2130000000000001</v>
      </c>
      <c r="N6159">
        <v>30326.799999999999</v>
      </c>
      <c r="O6159">
        <v>30.327000000000002</v>
      </c>
      <c r="P6159" s="2">
        <v>45323</v>
      </c>
      <c r="Q6159">
        <v>1</v>
      </c>
      <c r="R6159" s="1" t="s">
        <v>125</v>
      </c>
    </row>
    <row r="6160" spans="1:18" x14ac:dyDescent="0.25">
      <c r="A6160">
        <v>2024</v>
      </c>
      <c r="B6160">
        <v>3</v>
      </c>
      <c r="C6160" s="1" t="s">
        <v>26</v>
      </c>
      <c r="D6160" s="1" t="s">
        <v>19</v>
      </c>
      <c r="E6160" s="1" t="s">
        <v>54</v>
      </c>
      <c r="F6160">
        <v>2006</v>
      </c>
      <c r="G6160">
        <v>18</v>
      </c>
      <c r="H6160" s="1" t="s">
        <v>124</v>
      </c>
      <c r="I6160">
        <v>25</v>
      </c>
      <c r="J6160">
        <v>3154</v>
      </c>
      <c r="K6160" s="1" t="s">
        <v>55</v>
      </c>
      <c r="L6160" s="1" t="s">
        <v>45</v>
      </c>
      <c r="M6160">
        <v>1.6419999999999999</v>
      </c>
      <c r="N6160">
        <v>41049.300000000003</v>
      </c>
      <c r="O6160">
        <v>41.048999999999999</v>
      </c>
      <c r="P6160" s="2">
        <v>45352</v>
      </c>
      <c r="Q6160">
        <v>1</v>
      </c>
      <c r="R6160" s="1" t="s">
        <v>125</v>
      </c>
    </row>
    <row r="6161" spans="1:18" x14ac:dyDescent="0.25">
      <c r="A6161">
        <v>2024</v>
      </c>
      <c r="B6161">
        <v>4</v>
      </c>
      <c r="C6161" s="1" t="s">
        <v>27</v>
      </c>
      <c r="D6161" s="1" t="s">
        <v>19</v>
      </c>
      <c r="E6161" s="1" t="s">
        <v>54</v>
      </c>
      <c r="F6161">
        <v>2006</v>
      </c>
      <c r="G6161">
        <v>18</v>
      </c>
      <c r="H6161" s="1" t="s">
        <v>124</v>
      </c>
      <c r="I6161">
        <v>25</v>
      </c>
      <c r="J6161">
        <v>3154</v>
      </c>
      <c r="K6161" s="1" t="s">
        <v>55</v>
      </c>
      <c r="L6161" s="1" t="s">
        <v>45</v>
      </c>
      <c r="M6161">
        <v>1.5</v>
      </c>
      <c r="N6161">
        <v>37496.6</v>
      </c>
      <c r="O6161">
        <v>37.497</v>
      </c>
      <c r="P6161" s="2">
        <v>45383</v>
      </c>
      <c r="Q6161">
        <v>1</v>
      </c>
      <c r="R6161" s="1" t="s">
        <v>125</v>
      </c>
    </row>
    <row r="6162" spans="1:18" x14ac:dyDescent="0.25">
      <c r="A6162">
        <v>2024</v>
      </c>
      <c r="B6162">
        <v>5</v>
      </c>
      <c r="C6162" s="1" t="s">
        <v>28</v>
      </c>
      <c r="D6162" s="1" t="s">
        <v>19</v>
      </c>
      <c r="E6162" s="1" t="s">
        <v>54</v>
      </c>
      <c r="F6162">
        <v>2006</v>
      </c>
      <c r="G6162">
        <v>18</v>
      </c>
      <c r="H6162" s="1" t="s">
        <v>124</v>
      </c>
      <c r="I6162">
        <v>25</v>
      </c>
      <c r="J6162">
        <v>3154</v>
      </c>
      <c r="K6162" s="1" t="s">
        <v>55</v>
      </c>
      <c r="L6162" s="1" t="s">
        <v>45</v>
      </c>
      <c r="M6162">
        <v>1.7430000000000001</v>
      </c>
      <c r="N6162">
        <v>43574.8</v>
      </c>
      <c r="O6162">
        <v>43.575000000000003</v>
      </c>
      <c r="P6162" s="2">
        <v>45413</v>
      </c>
      <c r="Q6162">
        <v>1</v>
      </c>
      <c r="R6162" s="1" t="s">
        <v>125</v>
      </c>
    </row>
    <row r="6163" spans="1:18" x14ac:dyDescent="0.25">
      <c r="A6163">
        <v>2024</v>
      </c>
      <c r="B6163">
        <v>6</v>
      </c>
      <c r="C6163" s="1" t="s">
        <v>29</v>
      </c>
      <c r="D6163" s="1" t="s">
        <v>19</v>
      </c>
      <c r="E6163" s="1" t="s">
        <v>54</v>
      </c>
      <c r="F6163">
        <v>2006</v>
      </c>
      <c r="G6163">
        <v>18</v>
      </c>
      <c r="H6163" s="1" t="s">
        <v>124</v>
      </c>
      <c r="I6163">
        <v>25</v>
      </c>
      <c r="J6163">
        <v>3154</v>
      </c>
      <c r="K6163" s="1" t="s">
        <v>55</v>
      </c>
      <c r="L6163" s="1" t="s">
        <v>45</v>
      </c>
      <c r="M6163">
        <v>1.9079999999999999</v>
      </c>
      <c r="N6163">
        <v>47705.4</v>
      </c>
      <c r="O6163">
        <v>47.704999999999998</v>
      </c>
      <c r="P6163" s="2">
        <v>45444</v>
      </c>
      <c r="Q6163">
        <v>1</v>
      </c>
      <c r="R6163" s="1" t="s">
        <v>125</v>
      </c>
    </row>
    <row r="6164" spans="1:18" x14ac:dyDescent="0.25">
      <c r="A6164">
        <v>2024</v>
      </c>
      <c r="B6164">
        <v>7</v>
      </c>
      <c r="C6164" s="1" t="s">
        <v>30</v>
      </c>
      <c r="D6164" s="1" t="s">
        <v>19</v>
      </c>
      <c r="E6164" s="1" t="s">
        <v>54</v>
      </c>
      <c r="F6164">
        <v>2006</v>
      </c>
      <c r="G6164">
        <v>18</v>
      </c>
      <c r="H6164" s="1" t="s">
        <v>124</v>
      </c>
      <c r="I6164">
        <v>25</v>
      </c>
      <c r="J6164">
        <v>3154</v>
      </c>
      <c r="K6164" s="1" t="s">
        <v>55</v>
      </c>
      <c r="L6164" s="1" t="s">
        <v>45</v>
      </c>
      <c r="M6164">
        <v>1.748</v>
      </c>
      <c r="N6164">
        <v>43703.199999999997</v>
      </c>
      <c r="O6164">
        <v>43.703000000000003</v>
      </c>
      <c r="P6164" s="2">
        <v>45474</v>
      </c>
      <c r="Q6164">
        <v>1</v>
      </c>
      <c r="R6164" s="1" t="s">
        <v>125</v>
      </c>
    </row>
    <row r="6165" spans="1:18" x14ac:dyDescent="0.25">
      <c r="A6165">
        <v>2024</v>
      </c>
      <c r="B6165">
        <v>8</v>
      </c>
      <c r="C6165" s="1" t="s">
        <v>31</v>
      </c>
      <c r="D6165" s="1" t="s">
        <v>19</v>
      </c>
      <c r="E6165" s="1" t="s">
        <v>54</v>
      </c>
      <c r="F6165">
        <v>2006</v>
      </c>
      <c r="G6165">
        <v>18</v>
      </c>
      <c r="H6165" s="1" t="s">
        <v>124</v>
      </c>
      <c r="I6165">
        <v>25</v>
      </c>
      <c r="J6165">
        <v>3154</v>
      </c>
      <c r="K6165" s="1" t="s">
        <v>55</v>
      </c>
      <c r="L6165" s="1" t="s">
        <v>45</v>
      </c>
      <c r="M6165">
        <v>1.58</v>
      </c>
      <c r="N6165">
        <v>39508.400000000001</v>
      </c>
      <c r="O6165">
        <v>39.508000000000003</v>
      </c>
      <c r="P6165" s="2">
        <v>45505</v>
      </c>
      <c r="Q6165">
        <v>1</v>
      </c>
      <c r="R6165" s="1" t="s">
        <v>125</v>
      </c>
    </row>
    <row r="6166" spans="1:18" x14ac:dyDescent="0.25">
      <c r="A6166">
        <v>2024</v>
      </c>
      <c r="B6166">
        <v>9</v>
      </c>
      <c r="C6166" s="1" t="s">
        <v>32</v>
      </c>
      <c r="D6166" s="1" t="s">
        <v>19</v>
      </c>
      <c r="E6166" s="1" t="s">
        <v>54</v>
      </c>
      <c r="F6166">
        <v>2006</v>
      </c>
      <c r="G6166">
        <v>18</v>
      </c>
      <c r="H6166" s="1" t="s">
        <v>124</v>
      </c>
      <c r="I6166">
        <v>25</v>
      </c>
      <c r="J6166">
        <v>3154</v>
      </c>
      <c r="K6166" s="1" t="s">
        <v>55</v>
      </c>
      <c r="L6166" s="1" t="s">
        <v>45</v>
      </c>
      <c r="M6166">
        <v>1.71</v>
      </c>
      <c r="N6166">
        <v>42740.1</v>
      </c>
      <c r="O6166">
        <v>42.74</v>
      </c>
      <c r="P6166" s="2">
        <v>45536</v>
      </c>
      <c r="Q6166">
        <v>1</v>
      </c>
      <c r="R6166" s="1" t="s">
        <v>125</v>
      </c>
    </row>
    <row r="6167" spans="1:18" x14ac:dyDescent="0.25">
      <c r="A6167">
        <v>2024</v>
      </c>
      <c r="B6167">
        <v>10</v>
      </c>
      <c r="C6167" s="1" t="s">
        <v>33</v>
      </c>
      <c r="D6167" s="1" t="s">
        <v>19</v>
      </c>
      <c r="E6167" s="1" t="s">
        <v>54</v>
      </c>
      <c r="F6167">
        <v>2006</v>
      </c>
      <c r="G6167">
        <v>18</v>
      </c>
      <c r="H6167" s="1" t="s">
        <v>124</v>
      </c>
      <c r="I6167">
        <v>25</v>
      </c>
      <c r="J6167">
        <v>3154</v>
      </c>
      <c r="K6167" s="1" t="s">
        <v>55</v>
      </c>
      <c r="L6167" s="1" t="s">
        <v>45</v>
      </c>
      <c r="M6167">
        <v>1.129</v>
      </c>
      <c r="N6167">
        <v>28229.4</v>
      </c>
      <c r="O6167">
        <v>28.228999999999999</v>
      </c>
      <c r="P6167" s="2">
        <v>45566</v>
      </c>
      <c r="Q6167">
        <v>1</v>
      </c>
      <c r="R6167" s="1" t="s">
        <v>125</v>
      </c>
    </row>
    <row r="6168" spans="1:18" x14ac:dyDescent="0.25">
      <c r="A6168">
        <v>2024</v>
      </c>
      <c r="B6168">
        <v>11</v>
      </c>
      <c r="C6168" s="1" t="s">
        <v>34</v>
      </c>
      <c r="D6168" s="1" t="s">
        <v>19</v>
      </c>
      <c r="E6168" s="1" t="s">
        <v>54</v>
      </c>
      <c r="F6168">
        <v>2006</v>
      </c>
      <c r="G6168">
        <v>18</v>
      </c>
      <c r="H6168" s="1" t="s">
        <v>124</v>
      </c>
      <c r="I6168">
        <v>25</v>
      </c>
      <c r="J6168">
        <v>3154</v>
      </c>
      <c r="K6168" s="1" t="s">
        <v>55</v>
      </c>
      <c r="L6168" s="1" t="s">
        <v>45</v>
      </c>
      <c r="M6168">
        <v>0.80100000000000005</v>
      </c>
      <c r="N6168">
        <v>20032.400000000001</v>
      </c>
      <c r="O6168">
        <v>20.032</v>
      </c>
      <c r="P6168" s="2">
        <v>45597</v>
      </c>
      <c r="Q6168">
        <v>1</v>
      </c>
      <c r="R6168" s="1" t="s">
        <v>125</v>
      </c>
    </row>
    <row r="6169" spans="1:18" x14ac:dyDescent="0.25">
      <c r="A6169">
        <v>2024</v>
      </c>
      <c r="B6169">
        <v>12</v>
      </c>
      <c r="C6169" s="1" t="s">
        <v>35</v>
      </c>
      <c r="D6169" s="1" t="s">
        <v>19</v>
      </c>
      <c r="E6169" s="1" t="s">
        <v>54</v>
      </c>
      <c r="F6169">
        <v>2006</v>
      </c>
      <c r="G6169">
        <v>18</v>
      </c>
      <c r="H6169" s="1" t="s">
        <v>124</v>
      </c>
      <c r="I6169">
        <v>25</v>
      </c>
      <c r="J6169">
        <v>3154</v>
      </c>
      <c r="K6169" s="1" t="s">
        <v>55</v>
      </c>
      <c r="L6169" s="1" t="s">
        <v>45</v>
      </c>
      <c r="M6169">
        <v>1.026</v>
      </c>
      <c r="N6169">
        <v>25639.8</v>
      </c>
      <c r="O6169">
        <v>25.64</v>
      </c>
      <c r="P6169" s="2">
        <v>45627</v>
      </c>
      <c r="Q6169">
        <v>1</v>
      </c>
      <c r="R6169" s="1" t="s">
        <v>125</v>
      </c>
    </row>
    <row r="6170" spans="1:18" x14ac:dyDescent="0.25">
      <c r="A6170">
        <v>2024</v>
      </c>
      <c r="B6170">
        <v>1</v>
      </c>
      <c r="C6170" s="1" t="s">
        <v>18</v>
      </c>
      <c r="D6170" s="1" t="s">
        <v>19</v>
      </c>
      <c r="E6170" s="1" t="s">
        <v>56</v>
      </c>
      <c r="F6170">
        <v>2006</v>
      </c>
      <c r="G6170">
        <v>18</v>
      </c>
      <c r="H6170" s="1" t="s">
        <v>124</v>
      </c>
      <c r="I6170">
        <v>35</v>
      </c>
      <c r="J6170">
        <v>4204</v>
      </c>
      <c r="K6170" s="1" t="s">
        <v>57</v>
      </c>
      <c r="L6170" s="1" t="s">
        <v>45</v>
      </c>
      <c r="M6170">
        <v>1.0900000000000001</v>
      </c>
      <c r="N6170">
        <v>38140.800000000003</v>
      </c>
      <c r="O6170">
        <v>38.140999999999998</v>
      </c>
      <c r="P6170" s="2">
        <v>45292</v>
      </c>
      <c r="Q6170">
        <v>1</v>
      </c>
      <c r="R6170" s="1" t="s">
        <v>125</v>
      </c>
    </row>
    <row r="6171" spans="1:18" x14ac:dyDescent="0.25">
      <c r="A6171">
        <v>2024</v>
      </c>
      <c r="B6171">
        <v>2</v>
      </c>
      <c r="C6171" s="1" t="s">
        <v>25</v>
      </c>
      <c r="D6171" s="1" t="s">
        <v>19</v>
      </c>
      <c r="E6171" s="1" t="s">
        <v>56</v>
      </c>
      <c r="F6171">
        <v>2006</v>
      </c>
      <c r="G6171">
        <v>18</v>
      </c>
      <c r="H6171" s="1" t="s">
        <v>124</v>
      </c>
      <c r="I6171">
        <v>35</v>
      </c>
      <c r="J6171">
        <v>4204</v>
      </c>
      <c r="K6171" s="1" t="s">
        <v>57</v>
      </c>
      <c r="L6171" s="1" t="s">
        <v>45</v>
      </c>
      <c r="M6171">
        <v>1.155</v>
      </c>
      <c r="N6171">
        <v>40423</v>
      </c>
      <c r="O6171">
        <v>40.423000000000002</v>
      </c>
      <c r="P6171" s="2">
        <v>45323</v>
      </c>
      <c r="Q6171">
        <v>1</v>
      </c>
      <c r="R6171" s="1" t="s">
        <v>125</v>
      </c>
    </row>
    <row r="6172" spans="1:18" x14ac:dyDescent="0.25">
      <c r="A6172">
        <v>2024</v>
      </c>
      <c r="B6172">
        <v>3</v>
      </c>
      <c r="C6172" s="1" t="s">
        <v>26</v>
      </c>
      <c r="D6172" s="1" t="s">
        <v>19</v>
      </c>
      <c r="E6172" s="1" t="s">
        <v>56</v>
      </c>
      <c r="F6172">
        <v>2006</v>
      </c>
      <c r="G6172">
        <v>18</v>
      </c>
      <c r="H6172" s="1" t="s">
        <v>124</v>
      </c>
      <c r="I6172">
        <v>35</v>
      </c>
      <c r="J6172">
        <v>4204</v>
      </c>
      <c r="K6172" s="1" t="s">
        <v>57</v>
      </c>
      <c r="L6172" s="1" t="s">
        <v>45</v>
      </c>
      <c r="M6172">
        <v>1.5629999999999999</v>
      </c>
      <c r="N6172">
        <v>54715.1</v>
      </c>
      <c r="O6172">
        <v>54.715000000000003</v>
      </c>
      <c r="P6172" s="2">
        <v>45352</v>
      </c>
      <c r="Q6172">
        <v>1</v>
      </c>
      <c r="R6172" s="1" t="s">
        <v>125</v>
      </c>
    </row>
    <row r="6173" spans="1:18" x14ac:dyDescent="0.25">
      <c r="A6173">
        <v>2024</v>
      </c>
      <c r="B6173">
        <v>4</v>
      </c>
      <c r="C6173" s="1" t="s">
        <v>27</v>
      </c>
      <c r="D6173" s="1" t="s">
        <v>19</v>
      </c>
      <c r="E6173" s="1" t="s">
        <v>56</v>
      </c>
      <c r="F6173">
        <v>2006</v>
      </c>
      <c r="G6173">
        <v>18</v>
      </c>
      <c r="H6173" s="1" t="s">
        <v>124</v>
      </c>
      <c r="I6173">
        <v>35</v>
      </c>
      <c r="J6173">
        <v>4204</v>
      </c>
      <c r="K6173" s="1" t="s">
        <v>57</v>
      </c>
      <c r="L6173" s="1" t="s">
        <v>45</v>
      </c>
      <c r="M6173">
        <v>1.4279999999999999</v>
      </c>
      <c r="N6173">
        <v>49979.6</v>
      </c>
      <c r="O6173">
        <v>49.98</v>
      </c>
      <c r="P6173" s="2">
        <v>45383</v>
      </c>
      <c r="Q6173">
        <v>1</v>
      </c>
      <c r="R6173" s="1" t="s">
        <v>125</v>
      </c>
    </row>
    <row r="6174" spans="1:18" x14ac:dyDescent="0.25">
      <c r="A6174">
        <v>2024</v>
      </c>
      <c r="B6174">
        <v>5</v>
      </c>
      <c r="C6174" s="1" t="s">
        <v>28</v>
      </c>
      <c r="D6174" s="1" t="s">
        <v>19</v>
      </c>
      <c r="E6174" s="1" t="s">
        <v>56</v>
      </c>
      <c r="F6174">
        <v>2006</v>
      </c>
      <c r="G6174">
        <v>18</v>
      </c>
      <c r="H6174" s="1" t="s">
        <v>124</v>
      </c>
      <c r="I6174">
        <v>35</v>
      </c>
      <c r="J6174">
        <v>4204</v>
      </c>
      <c r="K6174" s="1" t="s">
        <v>57</v>
      </c>
      <c r="L6174" s="1" t="s">
        <v>45</v>
      </c>
      <c r="M6174">
        <v>1.659</v>
      </c>
      <c r="N6174">
        <v>58081.3</v>
      </c>
      <c r="O6174">
        <v>58.081000000000003</v>
      </c>
      <c r="P6174" s="2">
        <v>45413</v>
      </c>
      <c r="Q6174">
        <v>1</v>
      </c>
      <c r="R6174" s="1" t="s">
        <v>125</v>
      </c>
    </row>
    <row r="6175" spans="1:18" x14ac:dyDescent="0.25">
      <c r="A6175">
        <v>2024</v>
      </c>
      <c r="B6175">
        <v>6</v>
      </c>
      <c r="C6175" s="1" t="s">
        <v>29</v>
      </c>
      <c r="D6175" s="1" t="s">
        <v>19</v>
      </c>
      <c r="E6175" s="1" t="s">
        <v>56</v>
      </c>
      <c r="F6175">
        <v>2006</v>
      </c>
      <c r="G6175">
        <v>18</v>
      </c>
      <c r="H6175" s="1" t="s">
        <v>124</v>
      </c>
      <c r="I6175">
        <v>35</v>
      </c>
      <c r="J6175">
        <v>4204</v>
      </c>
      <c r="K6175" s="1" t="s">
        <v>57</v>
      </c>
      <c r="L6175" s="1" t="s">
        <v>45</v>
      </c>
      <c r="M6175">
        <v>1.8169999999999999</v>
      </c>
      <c r="N6175">
        <v>63587</v>
      </c>
      <c r="O6175">
        <v>63.587000000000003</v>
      </c>
      <c r="P6175" s="2">
        <v>45444</v>
      </c>
      <c r="Q6175">
        <v>1</v>
      </c>
      <c r="R6175" s="1" t="s">
        <v>125</v>
      </c>
    </row>
    <row r="6176" spans="1:18" x14ac:dyDescent="0.25">
      <c r="A6176">
        <v>2024</v>
      </c>
      <c r="B6176">
        <v>7</v>
      </c>
      <c r="C6176" s="1" t="s">
        <v>30</v>
      </c>
      <c r="D6176" s="1" t="s">
        <v>19</v>
      </c>
      <c r="E6176" s="1" t="s">
        <v>56</v>
      </c>
      <c r="F6176">
        <v>2006</v>
      </c>
      <c r="G6176">
        <v>18</v>
      </c>
      <c r="H6176" s="1" t="s">
        <v>124</v>
      </c>
      <c r="I6176">
        <v>35</v>
      </c>
      <c r="J6176">
        <v>4204</v>
      </c>
      <c r="K6176" s="1" t="s">
        <v>57</v>
      </c>
      <c r="L6176" s="1" t="s">
        <v>45</v>
      </c>
      <c r="M6176">
        <v>1.6639999999999999</v>
      </c>
      <c r="N6176">
        <v>58252.4</v>
      </c>
      <c r="O6176">
        <v>58.252000000000002</v>
      </c>
      <c r="P6176" s="2">
        <v>45474</v>
      </c>
      <c r="Q6176">
        <v>1</v>
      </c>
      <c r="R6176" s="1" t="s">
        <v>125</v>
      </c>
    </row>
    <row r="6177" spans="1:18" x14ac:dyDescent="0.25">
      <c r="A6177">
        <v>2024</v>
      </c>
      <c r="B6177">
        <v>8</v>
      </c>
      <c r="C6177" s="1" t="s">
        <v>31</v>
      </c>
      <c r="D6177" s="1" t="s">
        <v>19</v>
      </c>
      <c r="E6177" s="1" t="s">
        <v>56</v>
      </c>
      <c r="F6177">
        <v>2006</v>
      </c>
      <c r="G6177">
        <v>18</v>
      </c>
      <c r="H6177" s="1" t="s">
        <v>124</v>
      </c>
      <c r="I6177">
        <v>35</v>
      </c>
      <c r="J6177">
        <v>4204</v>
      </c>
      <c r="K6177" s="1" t="s">
        <v>57</v>
      </c>
      <c r="L6177" s="1" t="s">
        <v>45</v>
      </c>
      <c r="M6177">
        <v>1.5049999999999999</v>
      </c>
      <c r="N6177">
        <v>52661.1</v>
      </c>
      <c r="O6177">
        <v>52.661000000000001</v>
      </c>
      <c r="P6177" s="2">
        <v>45505</v>
      </c>
      <c r="Q6177">
        <v>1</v>
      </c>
      <c r="R6177" s="1" t="s">
        <v>125</v>
      </c>
    </row>
    <row r="6178" spans="1:18" x14ac:dyDescent="0.25">
      <c r="A6178">
        <v>2024</v>
      </c>
      <c r="B6178">
        <v>9</v>
      </c>
      <c r="C6178" s="1" t="s">
        <v>32</v>
      </c>
      <c r="D6178" s="1" t="s">
        <v>19</v>
      </c>
      <c r="E6178" s="1" t="s">
        <v>56</v>
      </c>
      <c r="F6178">
        <v>2006</v>
      </c>
      <c r="G6178">
        <v>18</v>
      </c>
      <c r="H6178" s="1" t="s">
        <v>124</v>
      </c>
      <c r="I6178">
        <v>35</v>
      </c>
      <c r="J6178">
        <v>4204</v>
      </c>
      <c r="K6178" s="1" t="s">
        <v>57</v>
      </c>
      <c r="L6178" s="1" t="s">
        <v>45</v>
      </c>
      <c r="M6178">
        <v>1.6279999999999999</v>
      </c>
      <c r="N6178">
        <v>56968.7</v>
      </c>
      <c r="O6178">
        <v>56.969000000000001</v>
      </c>
      <c r="P6178" s="2">
        <v>45536</v>
      </c>
      <c r="Q6178">
        <v>1</v>
      </c>
      <c r="R6178" s="1" t="s">
        <v>125</v>
      </c>
    </row>
    <row r="6179" spans="1:18" x14ac:dyDescent="0.25">
      <c r="A6179">
        <v>2024</v>
      </c>
      <c r="B6179">
        <v>10</v>
      </c>
      <c r="C6179" s="1" t="s">
        <v>33</v>
      </c>
      <c r="D6179" s="1" t="s">
        <v>19</v>
      </c>
      <c r="E6179" s="1" t="s">
        <v>56</v>
      </c>
      <c r="F6179">
        <v>2006</v>
      </c>
      <c r="G6179">
        <v>18</v>
      </c>
      <c r="H6179" s="1" t="s">
        <v>124</v>
      </c>
      <c r="I6179">
        <v>35</v>
      </c>
      <c r="J6179">
        <v>4204</v>
      </c>
      <c r="K6179" s="1" t="s">
        <v>57</v>
      </c>
      <c r="L6179" s="1" t="s">
        <v>45</v>
      </c>
      <c r="M6179">
        <v>1.075</v>
      </c>
      <c r="N6179">
        <v>37627.300000000003</v>
      </c>
      <c r="O6179">
        <v>37.627000000000002</v>
      </c>
      <c r="P6179" s="2">
        <v>45566</v>
      </c>
      <c r="Q6179">
        <v>1</v>
      </c>
      <c r="R6179" s="1" t="s">
        <v>125</v>
      </c>
    </row>
    <row r="6180" spans="1:18" x14ac:dyDescent="0.25">
      <c r="A6180">
        <v>2024</v>
      </c>
      <c r="B6180">
        <v>11</v>
      </c>
      <c r="C6180" s="1" t="s">
        <v>34</v>
      </c>
      <c r="D6180" s="1" t="s">
        <v>19</v>
      </c>
      <c r="E6180" s="1" t="s">
        <v>56</v>
      </c>
      <c r="F6180">
        <v>2006</v>
      </c>
      <c r="G6180">
        <v>18</v>
      </c>
      <c r="H6180" s="1" t="s">
        <v>124</v>
      </c>
      <c r="I6180">
        <v>35</v>
      </c>
      <c r="J6180">
        <v>4204</v>
      </c>
      <c r="K6180" s="1" t="s">
        <v>57</v>
      </c>
      <c r="L6180" s="1" t="s">
        <v>45</v>
      </c>
      <c r="M6180">
        <v>0.76300000000000001</v>
      </c>
      <c r="N6180">
        <v>26701.4</v>
      </c>
      <c r="O6180">
        <v>26.701000000000001</v>
      </c>
      <c r="P6180" s="2">
        <v>45597</v>
      </c>
      <c r="Q6180">
        <v>1</v>
      </c>
      <c r="R6180" s="1" t="s">
        <v>125</v>
      </c>
    </row>
    <row r="6181" spans="1:18" x14ac:dyDescent="0.25">
      <c r="A6181">
        <v>2024</v>
      </c>
      <c r="B6181">
        <v>12</v>
      </c>
      <c r="C6181" s="1" t="s">
        <v>35</v>
      </c>
      <c r="D6181" s="1" t="s">
        <v>19</v>
      </c>
      <c r="E6181" s="1" t="s">
        <v>56</v>
      </c>
      <c r="F6181">
        <v>2006</v>
      </c>
      <c r="G6181">
        <v>18</v>
      </c>
      <c r="H6181" s="1" t="s">
        <v>124</v>
      </c>
      <c r="I6181">
        <v>35</v>
      </c>
      <c r="J6181">
        <v>4204</v>
      </c>
      <c r="K6181" s="1" t="s">
        <v>57</v>
      </c>
      <c r="L6181" s="1" t="s">
        <v>45</v>
      </c>
      <c r="M6181">
        <v>0.97599999999999998</v>
      </c>
      <c r="N6181">
        <v>34175.5</v>
      </c>
      <c r="O6181">
        <v>34.176000000000002</v>
      </c>
      <c r="P6181" s="2">
        <v>45627</v>
      </c>
      <c r="Q6181">
        <v>1</v>
      </c>
      <c r="R6181" s="1" t="s">
        <v>125</v>
      </c>
    </row>
    <row r="6182" spans="1:18" x14ac:dyDescent="0.25">
      <c r="A6182">
        <v>2024</v>
      </c>
      <c r="B6182">
        <v>1</v>
      </c>
      <c r="C6182" s="1" t="s">
        <v>18</v>
      </c>
      <c r="D6182" s="1" t="s">
        <v>19</v>
      </c>
      <c r="E6182" s="1" t="s">
        <v>58</v>
      </c>
      <c r="F6182">
        <v>2012</v>
      </c>
      <c r="G6182">
        <v>12</v>
      </c>
      <c r="H6182" s="1" t="s">
        <v>21</v>
      </c>
      <c r="I6182">
        <v>10</v>
      </c>
      <c r="J6182">
        <v>1434</v>
      </c>
      <c r="K6182" s="1" t="s">
        <v>60</v>
      </c>
      <c r="L6182" s="1" t="s">
        <v>45</v>
      </c>
      <c r="M6182">
        <v>1.4379999999999999</v>
      </c>
      <c r="N6182">
        <v>14379.4</v>
      </c>
      <c r="O6182">
        <v>14.379</v>
      </c>
      <c r="P6182" s="2">
        <v>45292</v>
      </c>
      <c r="Q6182">
        <v>1</v>
      </c>
      <c r="R6182" s="1" t="s">
        <v>24</v>
      </c>
    </row>
    <row r="6183" spans="1:18" x14ac:dyDescent="0.25">
      <c r="A6183">
        <v>2024</v>
      </c>
      <c r="B6183">
        <v>2</v>
      </c>
      <c r="C6183" s="1" t="s">
        <v>25</v>
      </c>
      <c r="D6183" s="1" t="s">
        <v>19</v>
      </c>
      <c r="E6183" s="1" t="s">
        <v>58</v>
      </c>
      <c r="F6183">
        <v>2012</v>
      </c>
      <c r="G6183">
        <v>12</v>
      </c>
      <c r="H6183" s="1" t="s">
        <v>21</v>
      </c>
      <c r="I6183">
        <v>10</v>
      </c>
      <c r="J6183">
        <v>1434</v>
      </c>
      <c r="K6183" s="1" t="s">
        <v>60</v>
      </c>
      <c r="L6183" s="1" t="s">
        <v>45</v>
      </c>
      <c r="M6183">
        <v>1.524</v>
      </c>
      <c r="N6183">
        <v>15239.8</v>
      </c>
      <c r="O6183">
        <v>15.24</v>
      </c>
      <c r="P6183" s="2">
        <v>45323</v>
      </c>
      <c r="Q6183">
        <v>1</v>
      </c>
      <c r="R6183" s="1" t="s">
        <v>24</v>
      </c>
    </row>
    <row r="6184" spans="1:18" x14ac:dyDescent="0.25">
      <c r="A6184">
        <v>2024</v>
      </c>
      <c r="B6184">
        <v>3</v>
      </c>
      <c r="C6184" s="1" t="s">
        <v>26</v>
      </c>
      <c r="D6184" s="1" t="s">
        <v>19</v>
      </c>
      <c r="E6184" s="1" t="s">
        <v>58</v>
      </c>
      <c r="F6184">
        <v>2012</v>
      </c>
      <c r="G6184">
        <v>12</v>
      </c>
      <c r="H6184" s="1" t="s">
        <v>21</v>
      </c>
      <c r="I6184">
        <v>10</v>
      </c>
      <c r="J6184">
        <v>1434</v>
      </c>
      <c r="K6184" s="1" t="s">
        <v>60</v>
      </c>
      <c r="L6184" s="1" t="s">
        <v>45</v>
      </c>
      <c r="M6184">
        <v>2.0630000000000002</v>
      </c>
      <c r="N6184">
        <v>20628.099999999999</v>
      </c>
      <c r="O6184">
        <v>20.628</v>
      </c>
      <c r="P6184" s="2">
        <v>45352</v>
      </c>
      <c r="Q6184">
        <v>1</v>
      </c>
      <c r="R6184" s="1" t="s">
        <v>24</v>
      </c>
    </row>
    <row r="6185" spans="1:18" x14ac:dyDescent="0.25">
      <c r="A6185">
        <v>2024</v>
      </c>
      <c r="B6185">
        <v>4</v>
      </c>
      <c r="C6185" s="1" t="s">
        <v>27</v>
      </c>
      <c r="D6185" s="1" t="s">
        <v>19</v>
      </c>
      <c r="E6185" s="1" t="s">
        <v>58</v>
      </c>
      <c r="F6185">
        <v>2012</v>
      </c>
      <c r="G6185">
        <v>12</v>
      </c>
      <c r="H6185" s="1" t="s">
        <v>21</v>
      </c>
      <c r="I6185">
        <v>10</v>
      </c>
      <c r="J6185">
        <v>1434</v>
      </c>
      <c r="K6185" s="1" t="s">
        <v>60</v>
      </c>
      <c r="L6185" s="1" t="s">
        <v>45</v>
      </c>
      <c r="M6185">
        <v>1.8839999999999999</v>
      </c>
      <c r="N6185">
        <v>18842.8</v>
      </c>
      <c r="O6185">
        <v>18.843</v>
      </c>
      <c r="P6185" s="2">
        <v>45383</v>
      </c>
      <c r="Q6185">
        <v>1</v>
      </c>
      <c r="R6185" s="1" t="s">
        <v>24</v>
      </c>
    </row>
    <row r="6186" spans="1:18" x14ac:dyDescent="0.25">
      <c r="A6186">
        <v>2024</v>
      </c>
      <c r="B6186">
        <v>5</v>
      </c>
      <c r="C6186" s="1" t="s">
        <v>28</v>
      </c>
      <c r="D6186" s="1" t="s">
        <v>19</v>
      </c>
      <c r="E6186" s="1" t="s">
        <v>58</v>
      </c>
      <c r="F6186">
        <v>2012</v>
      </c>
      <c r="G6186">
        <v>12</v>
      </c>
      <c r="H6186" s="1" t="s">
        <v>21</v>
      </c>
      <c r="I6186">
        <v>10</v>
      </c>
      <c r="J6186">
        <v>1434</v>
      </c>
      <c r="K6186" s="1" t="s">
        <v>60</v>
      </c>
      <c r="L6186" s="1" t="s">
        <v>45</v>
      </c>
      <c r="M6186">
        <v>2.19</v>
      </c>
      <c r="N6186">
        <v>21897.200000000001</v>
      </c>
      <c r="O6186">
        <v>21.896999999999998</v>
      </c>
      <c r="P6186" s="2">
        <v>45413</v>
      </c>
      <c r="Q6186">
        <v>1</v>
      </c>
      <c r="R6186" s="1" t="s">
        <v>24</v>
      </c>
    </row>
    <row r="6187" spans="1:18" x14ac:dyDescent="0.25">
      <c r="A6187">
        <v>2024</v>
      </c>
      <c r="B6187">
        <v>6</v>
      </c>
      <c r="C6187" s="1" t="s">
        <v>29</v>
      </c>
      <c r="D6187" s="1" t="s">
        <v>19</v>
      </c>
      <c r="E6187" s="1" t="s">
        <v>58</v>
      </c>
      <c r="F6187">
        <v>2012</v>
      </c>
      <c r="G6187">
        <v>12</v>
      </c>
      <c r="H6187" s="1" t="s">
        <v>21</v>
      </c>
      <c r="I6187">
        <v>10</v>
      </c>
      <c r="J6187">
        <v>1434</v>
      </c>
      <c r="K6187" s="1" t="s">
        <v>60</v>
      </c>
      <c r="L6187" s="1" t="s">
        <v>45</v>
      </c>
      <c r="M6187">
        <v>2.3969999999999998</v>
      </c>
      <c r="N6187">
        <v>23972.9</v>
      </c>
      <c r="O6187">
        <v>23.972999999999999</v>
      </c>
      <c r="P6187" s="2">
        <v>45444</v>
      </c>
      <c r="Q6187">
        <v>1</v>
      </c>
      <c r="R6187" s="1" t="s">
        <v>24</v>
      </c>
    </row>
    <row r="6188" spans="1:18" x14ac:dyDescent="0.25">
      <c r="A6188">
        <v>2024</v>
      </c>
      <c r="B6188">
        <v>7</v>
      </c>
      <c r="C6188" s="1" t="s">
        <v>30</v>
      </c>
      <c r="D6188" s="1" t="s">
        <v>19</v>
      </c>
      <c r="E6188" s="1" t="s">
        <v>58</v>
      </c>
      <c r="F6188">
        <v>2012</v>
      </c>
      <c r="G6188">
        <v>12</v>
      </c>
      <c r="H6188" s="1" t="s">
        <v>21</v>
      </c>
      <c r="I6188">
        <v>10</v>
      </c>
      <c r="J6188">
        <v>1434</v>
      </c>
      <c r="K6188" s="1" t="s">
        <v>60</v>
      </c>
      <c r="L6188" s="1" t="s">
        <v>45</v>
      </c>
      <c r="M6188">
        <v>2.1960000000000002</v>
      </c>
      <c r="N6188">
        <v>21961.7</v>
      </c>
      <c r="O6188">
        <v>21.962</v>
      </c>
      <c r="P6188" s="2">
        <v>45474</v>
      </c>
      <c r="Q6188">
        <v>1</v>
      </c>
      <c r="R6188" s="1" t="s">
        <v>24</v>
      </c>
    </row>
    <row r="6189" spans="1:18" x14ac:dyDescent="0.25">
      <c r="A6189">
        <v>2024</v>
      </c>
      <c r="B6189">
        <v>8</v>
      </c>
      <c r="C6189" s="1" t="s">
        <v>31</v>
      </c>
      <c r="D6189" s="1" t="s">
        <v>19</v>
      </c>
      <c r="E6189" s="1" t="s">
        <v>58</v>
      </c>
      <c r="F6189">
        <v>2012</v>
      </c>
      <c r="G6189">
        <v>12</v>
      </c>
      <c r="H6189" s="1" t="s">
        <v>21</v>
      </c>
      <c r="I6189">
        <v>10</v>
      </c>
      <c r="J6189">
        <v>1434</v>
      </c>
      <c r="K6189" s="1" t="s">
        <v>60</v>
      </c>
      <c r="L6189" s="1" t="s">
        <v>45</v>
      </c>
      <c r="M6189">
        <v>1.9850000000000001</v>
      </c>
      <c r="N6189">
        <v>19853.7</v>
      </c>
      <c r="O6189">
        <v>19.853999999999999</v>
      </c>
      <c r="P6189" s="2">
        <v>45505</v>
      </c>
      <c r="Q6189">
        <v>1</v>
      </c>
      <c r="R6189" s="1" t="s">
        <v>24</v>
      </c>
    </row>
    <row r="6190" spans="1:18" x14ac:dyDescent="0.25">
      <c r="A6190">
        <v>2024</v>
      </c>
      <c r="B6190">
        <v>9</v>
      </c>
      <c r="C6190" s="1" t="s">
        <v>32</v>
      </c>
      <c r="D6190" s="1" t="s">
        <v>19</v>
      </c>
      <c r="E6190" s="1" t="s">
        <v>58</v>
      </c>
      <c r="F6190">
        <v>2012</v>
      </c>
      <c r="G6190">
        <v>12</v>
      </c>
      <c r="H6190" s="1" t="s">
        <v>21</v>
      </c>
      <c r="I6190">
        <v>10</v>
      </c>
      <c r="J6190">
        <v>1434</v>
      </c>
      <c r="K6190" s="1" t="s">
        <v>60</v>
      </c>
      <c r="L6190" s="1" t="s">
        <v>45</v>
      </c>
      <c r="M6190">
        <v>2.1480000000000001</v>
      </c>
      <c r="N6190">
        <v>21477.7</v>
      </c>
      <c r="O6190">
        <v>21.478000000000002</v>
      </c>
      <c r="P6190" s="2">
        <v>45536</v>
      </c>
      <c r="Q6190">
        <v>1</v>
      </c>
      <c r="R6190" s="1" t="s">
        <v>24</v>
      </c>
    </row>
    <row r="6191" spans="1:18" x14ac:dyDescent="0.25">
      <c r="A6191">
        <v>2024</v>
      </c>
      <c r="B6191">
        <v>10</v>
      </c>
      <c r="C6191" s="1" t="s">
        <v>33</v>
      </c>
      <c r="D6191" s="1" t="s">
        <v>19</v>
      </c>
      <c r="E6191" s="1" t="s">
        <v>58</v>
      </c>
      <c r="F6191">
        <v>2012</v>
      </c>
      <c r="G6191">
        <v>12</v>
      </c>
      <c r="H6191" s="1" t="s">
        <v>21</v>
      </c>
      <c r="I6191">
        <v>10</v>
      </c>
      <c r="J6191">
        <v>1434</v>
      </c>
      <c r="K6191" s="1" t="s">
        <v>60</v>
      </c>
      <c r="L6191" s="1" t="s">
        <v>45</v>
      </c>
      <c r="M6191">
        <v>1.419</v>
      </c>
      <c r="N6191">
        <v>14185.8</v>
      </c>
      <c r="O6191">
        <v>14.186</v>
      </c>
      <c r="P6191" s="2">
        <v>45566</v>
      </c>
      <c r="Q6191">
        <v>1</v>
      </c>
      <c r="R6191" s="1" t="s">
        <v>24</v>
      </c>
    </row>
    <row r="6192" spans="1:18" x14ac:dyDescent="0.25">
      <c r="A6192">
        <v>2024</v>
      </c>
      <c r="B6192">
        <v>11</v>
      </c>
      <c r="C6192" s="1" t="s">
        <v>34</v>
      </c>
      <c r="D6192" s="1" t="s">
        <v>19</v>
      </c>
      <c r="E6192" s="1" t="s">
        <v>58</v>
      </c>
      <c r="F6192">
        <v>2012</v>
      </c>
      <c r="G6192">
        <v>12</v>
      </c>
      <c r="H6192" s="1" t="s">
        <v>21</v>
      </c>
      <c r="I6192">
        <v>10</v>
      </c>
      <c r="J6192">
        <v>1434</v>
      </c>
      <c r="K6192" s="1" t="s">
        <v>60</v>
      </c>
      <c r="L6192" s="1" t="s">
        <v>45</v>
      </c>
      <c r="M6192">
        <v>1.0069999999999999</v>
      </c>
      <c r="N6192">
        <v>10066.700000000001</v>
      </c>
      <c r="O6192">
        <v>10.067</v>
      </c>
      <c r="P6192" s="2">
        <v>45597</v>
      </c>
      <c r="Q6192">
        <v>1</v>
      </c>
      <c r="R6192" s="1" t="s">
        <v>24</v>
      </c>
    </row>
    <row r="6193" spans="1:18" x14ac:dyDescent="0.25">
      <c r="A6193">
        <v>2024</v>
      </c>
      <c r="B6193">
        <v>12</v>
      </c>
      <c r="C6193" s="1" t="s">
        <v>35</v>
      </c>
      <c r="D6193" s="1" t="s">
        <v>19</v>
      </c>
      <c r="E6193" s="1" t="s">
        <v>58</v>
      </c>
      <c r="F6193">
        <v>2012</v>
      </c>
      <c r="G6193">
        <v>12</v>
      </c>
      <c r="H6193" s="1" t="s">
        <v>21</v>
      </c>
      <c r="I6193">
        <v>10</v>
      </c>
      <c r="J6193">
        <v>1434</v>
      </c>
      <c r="K6193" s="1" t="s">
        <v>60</v>
      </c>
      <c r="L6193" s="1" t="s">
        <v>45</v>
      </c>
      <c r="M6193">
        <v>1.288</v>
      </c>
      <c r="N6193">
        <v>12884.5</v>
      </c>
      <c r="O6193">
        <v>12.884</v>
      </c>
      <c r="P6193" s="2">
        <v>45627</v>
      </c>
      <c r="Q6193">
        <v>1</v>
      </c>
      <c r="R6193" s="1" t="s">
        <v>24</v>
      </c>
    </row>
    <row r="6194" spans="1:18" x14ac:dyDescent="0.25">
      <c r="A6194">
        <v>2024</v>
      </c>
      <c r="B6194">
        <v>1</v>
      </c>
      <c r="C6194" s="1" t="s">
        <v>18</v>
      </c>
      <c r="D6194" s="1" t="s">
        <v>19</v>
      </c>
      <c r="E6194" s="1" t="s">
        <v>62</v>
      </c>
      <c r="F6194">
        <v>2012</v>
      </c>
      <c r="G6194">
        <v>12</v>
      </c>
      <c r="H6194" s="1" t="s">
        <v>21</v>
      </c>
      <c r="I6194">
        <v>24</v>
      </c>
      <c r="J6194">
        <v>3074</v>
      </c>
      <c r="K6194" s="1" t="s">
        <v>63</v>
      </c>
      <c r="L6194" s="1" t="s">
        <v>64</v>
      </c>
      <c r="M6194">
        <v>1.284</v>
      </c>
      <c r="N6194">
        <v>30824.5</v>
      </c>
      <c r="O6194">
        <v>30.824999999999999</v>
      </c>
      <c r="P6194" s="2">
        <v>45292</v>
      </c>
      <c r="Q6194">
        <v>1</v>
      </c>
      <c r="R6194" s="1" t="s">
        <v>24</v>
      </c>
    </row>
    <row r="6195" spans="1:18" x14ac:dyDescent="0.25">
      <c r="A6195">
        <v>2024</v>
      </c>
      <c r="B6195">
        <v>2</v>
      </c>
      <c r="C6195" s="1" t="s">
        <v>25</v>
      </c>
      <c r="D6195" s="1" t="s">
        <v>19</v>
      </c>
      <c r="E6195" s="1" t="s">
        <v>62</v>
      </c>
      <c r="F6195">
        <v>2012</v>
      </c>
      <c r="G6195">
        <v>12</v>
      </c>
      <c r="H6195" s="1" t="s">
        <v>21</v>
      </c>
      <c r="I6195">
        <v>24</v>
      </c>
      <c r="J6195">
        <v>3074</v>
      </c>
      <c r="K6195" s="1" t="s">
        <v>63</v>
      </c>
      <c r="L6195" s="1" t="s">
        <v>64</v>
      </c>
      <c r="M6195">
        <v>1.361</v>
      </c>
      <c r="N6195">
        <v>32668.9</v>
      </c>
      <c r="O6195">
        <v>32.668999999999997</v>
      </c>
      <c r="P6195" s="2">
        <v>45323</v>
      </c>
      <c r="Q6195">
        <v>1</v>
      </c>
      <c r="R6195" s="1" t="s">
        <v>24</v>
      </c>
    </row>
    <row r="6196" spans="1:18" x14ac:dyDescent="0.25">
      <c r="A6196">
        <v>2024</v>
      </c>
      <c r="B6196">
        <v>3</v>
      </c>
      <c r="C6196" s="1" t="s">
        <v>26</v>
      </c>
      <c r="D6196" s="1" t="s">
        <v>19</v>
      </c>
      <c r="E6196" s="1" t="s">
        <v>62</v>
      </c>
      <c r="F6196">
        <v>2012</v>
      </c>
      <c r="G6196">
        <v>12</v>
      </c>
      <c r="H6196" s="1" t="s">
        <v>21</v>
      </c>
      <c r="I6196">
        <v>24</v>
      </c>
      <c r="J6196">
        <v>3074</v>
      </c>
      <c r="K6196" s="1" t="s">
        <v>63</v>
      </c>
      <c r="L6196" s="1" t="s">
        <v>64</v>
      </c>
      <c r="M6196">
        <v>1.8420000000000001</v>
      </c>
      <c r="N6196">
        <v>44219.5</v>
      </c>
      <c r="O6196">
        <v>44.219000000000001</v>
      </c>
      <c r="P6196" s="2">
        <v>45352</v>
      </c>
      <c r="Q6196">
        <v>1</v>
      </c>
      <c r="R6196" s="1" t="s">
        <v>24</v>
      </c>
    </row>
    <row r="6197" spans="1:18" x14ac:dyDescent="0.25">
      <c r="A6197">
        <v>2024</v>
      </c>
      <c r="B6197">
        <v>4</v>
      </c>
      <c r="C6197" s="1" t="s">
        <v>27</v>
      </c>
      <c r="D6197" s="1" t="s">
        <v>19</v>
      </c>
      <c r="E6197" s="1" t="s">
        <v>62</v>
      </c>
      <c r="F6197">
        <v>2012</v>
      </c>
      <c r="G6197">
        <v>12</v>
      </c>
      <c r="H6197" s="1" t="s">
        <v>21</v>
      </c>
      <c r="I6197">
        <v>24</v>
      </c>
      <c r="J6197">
        <v>3074</v>
      </c>
      <c r="K6197" s="1" t="s">
        <v>63</v>
      </c>
      <c r="L6197" s="1" t="s">
        <v>64</v>
      </c>
      <c r="M6197">
        <v>1.6830000000000001</v>
      </c>
      <c r="N6197">
        <v>40392.400000000001</v>
      </c>
      <c r="O6197">
        <v>40.392000000000003</v>
      </c>
      <c r="P6197" s="2">
        <v>45383</v>
      </c>
      <c r="Q6197">
        <v>1</v>
      </c>
      <c r="R6197" s="1" t="s">
        <v>24</v>
      </c>
    </row>
    <row r="6198" spans="1:18" x14ac:dyDescent="0.25">
      <c r="A6198">
        <v>2024</v>
      </c>
      <c r="B6198">
        <v>5</v>
      </c>
      <c r="C6198" s="1" t="s">
        <v>28</v>
      </c>
      <c r="D6198" s="1" t="s">
        <v>19</v>
      </c>
      <c r="E6198" s="1" t="s">
        <v>62</v>
      </c>
      <c r="F6198">
        <v>2012</v>
      </c>
      <c r="G6198">
        <v>12</v>
      </c>
      <c r="H6198" s="1" t="s">
        <v>21</v>
      </c>
      <c r="I6198">
        <v>24</v>
      </c>
      <c r="J6198">
        <v>3074</v>
      </c>
      <c r="K6198" s="1" t="s">
        <v>63</v>
      </c>
      <c r="L6198" s="1" t="s">
        <v>64</v>
      </c>
      <c r="M6198">
        <v>1.956</v>
      </c>
      <c r="N6198">
        <v>46940</v>
      </c>
      <c r="O6198">
        <v>46.94</v>
      </c>
      <c r="P6198" s="2">
        <v>45413</v>
      </c>
      <c r="Q6198">
        <v>1</v>
      </c>
      <c r="R6198" s="1" t="s">
        <v>24</v>
      </c>
    </row>
    <row r="6199" spans="1:18" x14ac:dyDescent="0.25">
      <c r="A6199">
        <v>2024</v>
      </c>
      <c r="B6199">
        <v>6</v>
      </c>
      <c r="C6199" s="1" t="s">
        <v>29</v>
      </c>
      <c r="D6199" s="1" t="s">
        <v>19</v>
      </c>
      <c r="E6199" s="1" t="s">
        <v>62</v>
      </c>
      <c r="F6199">
        <v>2012</v>
      </c>
      <c r="G6199">
        <v>12</v>
      </c>
      <c r="H6199" s="1" t="s">
        <v>21</v>
      </c>
      <c r="I6199">
        <v>24</v>
      </c>
      <c r="J6199">
        <v>3074</v>
      </c>
      <c r="K6199" s="1" t="s">
        <v>63</v>
      </c>
      <c r="L6199" s="1" t="s">
        <v>64</v>
      </c>
      <c r="M6199">
        <v>2.141</v>
      </c>
      <c r="N6199">
        <v>51389.599999999999</v>
      </c>
      <c r="O6199">
        <v>51.39</v>
      </c>
      <c r="P6199" s="2">
        <v>45444</v>
      </c>
      <c r="Q6199">
        <v>1</v>
      </c>
      <c r="R6199" s="1" t="s">
        <v>24</v>
      </c>
    </row>
    <row r="6200" spans="1:18" x14ac:dyDescent="0.25">
      <c r="A6200">
        <v>2024</v>
      </c>
      <c r="B6200">
        <v>7</v>
      </c>
      <c r="C6200" s="1" t="s">
        <v>30</v>
      </c>
      <c r="D6200" s="1" t="s">
        <v>19</v>
      </c>
      <c r="E6200" s="1" t="s">
        <v>62</v>
      </c>
      <c r="F6200">
        <v>2012</v>
      </c>
      <c r="G6200">
        <v>12</v>
      </c>
      <c r="H6200" s="1" t="s">
        <v>21</v>
      </c>
      <c r="I6200">
        <v>24</v>
      </c>
      <c r="J6200">
        <v>3074</v>
      </c>
      <c r="K6200" s="1" t="s">
        <v>63</v>
      </c>
      <c r="L6200" s="1" t="s">
        <v>64</v>
      </c>
      <c r="M6200">
        <v>1.962</v>
      </c>
      <c r="N6200">
        <v>47078.3</v>
      </c>
      <c r="O6200">
        <v>47.078000000000003</v>
      </c>
      <c r="P6200" s="2">
        <v>45474</v>
      </c>
      <c r="Q6200">
        <v>1</v>
      </c>
      <c r="R6200" s="1" t="s">
        <v>24</v>
      </c>
    </row>
    <row r="6201" spans="1:18" x14ac:dyDescent="0.25">
      <c r="A6201">
        <v>2024</v>
      </c>
      <c r="B6201">
        <v>8</v>
      </c>
      <c r="C6201" s="1" t="s">
        <v>31</v>
      </c>
      <c r="D6201" s="1" t="s">
        <v>19</v>
      </c>
      <c r="E6201" s="1" t="s">
        <v>62</v>
      </c>
      <c r="F6201">
        <v>2012</v>
      </c>
      <c r="G6201">
        <v>12</v>
      </c>
      <c r="H6201" s="1" t="s">
        <v>21</v>
      </c>
      <c r="I6201">
        <v>24</v>
      </c>
      <c r="J6201">
        <v>3074</v>
      </c>
      <c r="K6201" s="1" t="s">
        <v>63</v>
      </c>
      <c r="L6201" s="1" t="s">
        <v>64</v>
      </c>
      <c r="M6201">
        <v>1.7729999999999999</v>
      </c>
      <c r="N6201">
        <v>42559.5</v>
      </c>
      <c r="O6201">
        <v>42.56</v>
      </c>
      <c r="P6201" s="2">
        <v>45505</v>
      </c>
      <c r="Q6201">
        <v>1</v>
      </c>
      <c r="R6201" s="1" t="s">
        <v>24</v>
      </c>
    </row>
    <row r="6202" spans="1:18" x14ac:dyDescent="0.25">
      <c r="A6202">
        <v>2024</v>
      </c>
      <c r="B6202">
        <v>9</v>
      </c>
      <c r="C6202" s="1" t="s">
        <v>32</v>
      </c>
      <c r="D6202" s="1" t="s">
        <v>19</v>
      </c>
      <c r="E6202" s="1" t="s">
        <v>62</v>
      </c>
      <c r="F6202">
        <v>2012</v>
      </c>
      <c r="G6202">
        <v>12</v>
      </c>
      <c r="H6202" s="1" t="s">
        <v>21</v>
      </c>
      <c r="I6202">
        <v>24</v>
      </c>
      <c r="J6202">
        <v>3074</v>
      </c>
      <c r="K6202" s="1" t="s">
        <v>63</v>
      </c>
      <c r="L6202" s="1" t="s">
        <v>64</v>
      </c>
      <c r="M6202">
        <v>1.9179999999999999</v>
      </c>
      <c r="N6202">
        <v>46040.800000000003</v>
      </c>
      <c r="O6202">
        <v>46.040999999999997</v>
      </c>
      <c r="P6202" s="2">
        <v>45536</v>
      </c>
      <c r="Q6202">
        <v>1</v>
      </c>
      <c r="R6202" s="1" t="s">
        <v>24</v>
      </c>
    </row>
    <row r="6203" spans="1:18" x14ac:dyDescent="0.25">
      <c r="A6203">
        <v>2024</v>
      </c>
      <c r="B6203">
        <v>10</v>
      </c>
      <c r="C6203" s="1" t="s">
        <v>33</v>
      </c>
      <c r="D6203" s="1" t="s">
        <v>19</v>
      </c>
      <c r="E6203" s="1" t="s">
        <v>62</v>
      </c>
      <c r="F6203">
        <v>2012</v>
      </c>
      <c r="G6203">
        <v>12</v>
      </c>
      <c r="H6203" s="1" t="s">
        <v>21</v>
      </c>
      <c r="I6203">
        <v>24</v>
      </c>
      <c r="J6203">
        <v>3074</v>
      </c>
      <c r="K6203" s="1" t="s">
        <v>63</v>
      </c>
      <c r="L6203" s="1" t="s">
        <v>64</v>
      </c>
      <c r="M6203">
        <v>1.2669999999999999</v>
      </c>
      <c r="N6203">
        <v>30409.5</v>
      </c>
      <c r="O6203">
        <v>30.41</v>
      </c>
      <c r="P6203" s="2">
        <v>45566</v>
      </c>
      <c r="Q6203">
        <v>1</v>
      </c>
      <c r="R6203" s="1" t="s">
        <v>24</v>
      </c>
    </row>
    <row r="6204" spans="1:18" x14ac:dyDescent="0.25">
      <c r="A6204">
        <v>2024</v>
      </c>
      <c r="B6204">
        <v>11</v>
      </c>
      <c r="C6204" s="1" t="s">
        <v>34</v>
      </c>
      <c r="D6204" s="1" t="s">
        <v>19</v>
      </c>
      <c r="E6204" s="1" t="s">
        <v>62</v>
      </c>
      <c r="F6204">
        <v>2012</v>
      </c>
      <c r="G6204">
        <v>12</v>
      </c>
      <c r="H6204" s="1" t="s">
        <v>21</v>
      </c>
      <c r="I6204">
        <v>24</v>
      </c>
      <c r="J6204">
        <v>3074</v>
      </c>
      <c r="K6204" s="1" t="s">
        <v>63</v>
      </c>
      <c r="L6204" s="1" t="s">
        <v>64</v>
      </c>
      <c r="M6204">
        <v>0.89900000000000002</v>
      </c>
      <c r="N6204">
        <v>21579.5</v>
      </c>
      <c r="O6204">
        <v>21.579000000000001</v>
      </c>
      <c r="P6204" s="2">
        <v>45597</v>
      </c>
      <c r="Q6204">
        <v>1</v>
      </c>
      <c r="R6204" s="1" t="s">
        <v>24</v>
      </c>
    </row>
    <row r="6205" spans="1:18" x14ac:dyDescent="0.25">
      <c r="A6205">
        <v>2024</v>
      </c>
      <c r="B6205">
        <v>12</v>
      </c>
      <c r="C6205" s="1" t="s">
        <v>35</v>
      </c>
      <c r="D6205" s="1" t="s">
        <v>19</v>
      </c>
      <c r="E6205" s="1" t="s">
        <v>62</v>
      </c>
      <c r="F6205">
        <v>2012</v>
      </c>
      <c r="G6205">
        <v>12</v>
      </c>
      <c r="H6205" s="1" t="s">
        <v>21</v>
      </c>
      <c r="I6205">
        <v>24</v>
      </c>
      <c r="J6205">
        <v>3074</v>
      </c>
      <c r="K6205" s="1" t="s">
        <v>63</v>
      </c>
      <c r="L6205" s="1" t="s">
        <v>64</v>
      </c>
      <c r="M6205">
        <v>1.151</v>
      </c>
      <c r="N6205">
        <v>27619.9</v>
      </c>
      <c r="O6205">
        <v>27.62</v>
      </c>
      <c r="P6205" s="2">
        <v>45627</v>
      </c>
      <c r="Q6205">
        <v>1</v>
      </c>
      <c r="R6205" s="1" t="s">
        <v>24</v>
      </c>
    </row>
    <row r="6206" spans="1:18" x14ac:dyDescent="0.25">
      <c r="A6206">
        <v>2024</v>
      </c>
      <c r="B6206">
        <v>1</v>
      </c>
      <c r="C6206" s="1" t="s">
        <v>18</v>
      </c>
      <c r="D6206" s="1" t="s">
        <v>19</v>
      </c>
      <c r="E6206" s="1" t="s">
        <v>65</v>
      </c>
      <c r="F6206">
        <v>2012</v>
      </c>
      <c r="G6206">
        <v>12</v>
      </c>
      <c r="H6206" s="1" t="s">
        <v>21</v>
      </c>
      <c r="I6206">
        <v>19</v>
      </c>
      <c r="J6206">
        <v>2418</v>
      </c>
      <c r="K6206" s="1" t="s">
        <v>66</v>
      </c>
      <c r="L6206" s="1" t="s">
        <v>64</v>
      </c>
      <c r="M6206">
        <v>1.276</v>
      </c>
      <c r="N6206">
        <v>24246.5</v>
      </c>
      <c r="O6206">
        <v>24.245999999999999</v>
      </c>
      <c r="P6206" s="2">
        <v>45292</v>
      </c>
      <c r="Q6206">
        <v>1</v>
      </c>
      <c r="R6206" s="1" t="s">
        <v>24</v>
      </c>
    </row>
    <row r="6207" spans="1:18" x14ac:dyDescent="0.25">
      <c r="A6207">
        <v>2024</v>
      </c>
      <c r="B6207">
        <v>2</v>
      </c>
      <c r="C6207" s="1" t="s">
        <v>25</v>
      </c>
      <c r="D6207" s="1" t="s">
        <v>19</v>
      </c>
      <c r="E6207" s="1" t="s">
        <v>65</v>
      </c>
      <c r="F6207">
        <v>2012</v>
      </c>
      <c r="G6207">
        <v>12</v>
      </c>
      <c r="H6207" s="1" t="s">
        <v>21</v>
      </c>
      <c r="I6207">
        <v>19</v>
      </c>
      <c r="J6207">
        <v>2418</v>
      </c>
      <c r="K6207" s="1" t="s">
        <v>66</v>
      </c>
      <c r="L6207" s="1" t="s">
        <v>64</v>
      </c>
      <c r="M6207">
        <v>1.3520000000000001</v>
      </c>
      <c r="N6207">
        <v>25697.3</v>
      </c>
      <c r="O6207">
        <v>25.696999999999999</v>
      </c>
      <c r="P6207" s="2">
        <v>45323</v>
      </c>
      <c r="Q6207">
        <v>1</v>
      </c>
      <c r="R6207" s="1" t="s">
        <v>24</v>
      </c>
    </row>
    <row r="6208" spans="1:18" x14ac:dyDescent="0.25">
      <c r="A6208">
        <v>2024</v>
      </c>
      <c r="B6208">
        <v>3</v>
      </c>
      <c r="C6208" s="1" t="s">
        <v>26</v>
      </c>
      <c r="D6208" s="1" t="s">
        <v>19</v>
      </c>
      <c r="E6208" s="1" t="s">
        <v>65</v>
      </c>
      <c r="F6208">
        <v>2012</v>
      </c>
      <c r="G6208">
        <v>12</v>
      </c>
      <c r="H6208" s="1" t="s">
        <v>21</v>
      </c>
      <c r="I6208">
        <v>19</v>
      </c>
      <c r="J6208">
        <v>2418</v>
      </c>
      <c r="K6208" s="1" t="s">
        <v>66</v>
      </c>
      <c r="L6208" s="1" t="s">
        <v>64</v>
      </c>
      <c r="M6208">
        <v>1.831</v>
      </c>
      <c r="N6208">
        <v>34782.9</v>
      </c>
      <c r="O6208">
        <v>34.783000000000001</v>
      </c>
      <c r="P6208" s="2">
        <v>45352</v>
      </c>
      <c r="Q6208">
        <v>1</v>
      </c>
      <c r="R6208" s="1" t="s">
        <v>24</v>
      </c>
    </row>
    <row r="6209" spans="1:18" x14ac:dyDescent="0.25">
      <c r="A6209">
        <v>2024</v>
      </c>
      <c r="B6209">
        <v>4</v>
      </c>
      <c r="C6209" s="1" t="s">
        <v>27</v>
      </c>
      <c r="D6209" s="1" t="s">
        <v>19</v>
      </c>
      <c r="E6209" s="1" t="s">
        <v>65</v>
      </c>
      <c r="F6209">
        <v>2012</v>
      </c>
      <c r="G6209">
        <v>12</v>
      </c>
      <c r="H6209" s="1" t="s">
        <v>21</v>
      </c>
      <c r="I6209">
        <v>19</v>
      </c>
      <c r="J6209">
        <v>2418</v>
      </c>
      <c r="K6209" s="1" t="s">
        <v>66</v>
      </c>
      <c r="L6209" s="1" t="s">
        <v>64</v>
      </c>
      <c r="M6209">
        <v>1.6719999999999999</v>
      </c>
      <c r="N6209">
        <v>31772.5</v>
      </c>
      <c r="O6209">
        <v>31.773</v>
      </c>
      <c r="P6209" s="2">
        <v>45383</v>
      </c>
      <c r="Q6209">
        <v>1</v>
      </c>
      <c r="R6209" s="1" t="s">
        <v>24</v>
      </c>
    </row>
    <row r="6210" spans="1:18" x14ac:dyDescent="0.25">
      <c r="A6210">
        <v>2024</v>
      </c>
      <c r="B6210">
        <v>5</v>
      </c>
      <c r="C6210" s="1" t="s">
        <v>28</v>
      </c>
      <c r="D6210" s="1" t="s">
        <v>19</v>
      </c>
      <c r="E6210" s="1" t="s">
        <v>65</v>
      </c>
      <c r="F6210">
        <v>2012</v>
      </c>
      <c r="G6210">
        <v>12</v>
      </c>
      <c r="H6210" s="1" t="s">
        <v>21</v>
      </c>
      <c r="I6210">
        <v>19</v>
      </c>
      <c r="J6210">
        <v>2418</v>
      </c>
      <c r="K6210" s="1" t="s">
        <v>66</v>
      </c>
      <c r="L6210" s="1" t="s">
        <v>64</v>
      </c>
      <c r="M6210">
        <v>1.9430000000000001</v>
      </c>
      <c r="N6210">
        <v>36922.9</v>
      </c>
      <c r="O6210">
        <v>36.923000000000002</v>
      </c>
      <c r="P6210" s="2">
        <v>45413</v>
      </c>
      <c r="Q6210">
        <v>1</v>
      </c>
      <c r="R6210" s="1" t="s">
        <v>24</v>
      </c>
    </row>
    <row r="6211" spans="1:18" x14ac:dyDescent="0.25">
      <c r="A6211">
        <v>2024</v>
      </c>
      <c r="B6211">
        <v>6</v>
      </c>
      <c r="C6211" s="1" t="s">
        <v>29</v>
      </c>
      <c r="D6211" s="1" t="s">
        <v>19</v>
      </c>
      <c r="E6211" s="1" t="s">
        <v>65</v>
      </c>
      <c r="F6211">
        <v>2012</v>
      </c>
      <c r="G6211">
        <v>12</v>
      </c>
      <c r="H6211" s="1" t="s">
        <v>21</v>
      </c>
      <c r="I6211">
        <v>19</v>
      </c>
      <c r="J6211">
        <v>2418</v>
      </c>
      <c r="K6211" s="1" t="s">
        <v>66</v>
      </c>
      <c r="L6211" s="1" t="s">
        <v>64</v>
      </c>
      <c r="M6211">
        <v>2.1280000000000001</v>
      </c>
      <c r="N6211">
        <v>40422.9</v>
      </c>
      <c r="O6211">
        <v>40.423000000000002</v>
      </c>
      <c r="P6211" s="2">
        <v>45444</v>
      </c>
      <c r="Q6211">
        <v>1</v>
      </c>
      <c r="R6211" s="1" t="s">
        <v>24</v>
      </c>
    </row>
    <row r="6212" spans="1:18" x14ac:dyDescent="0.25">
      <c r="A6212">
        <v>2024</v>
      </c>
      <c r="B6212">
        <v>7</v>
      </c>
      <c r="C6212" s="1" t="s">
        <v>30</v>
      </c>
      <c r="D6212" s="1" t="s">
        <v>19</v>
      </c>
      <c r="E6212" s="1" t="s">
        <v>65</v>
      </c>
      <c r="F6212">
        <v>2012</v>
      </c>
      <c r="G6212">
        <v>12</v>
      </c>
      <c r="H6212" s="1" t="s">
        <v>21</v>
      </c>
      <c r="I6212">
        <v>19</v>
      </c>
      <c r="J6212">
        <v>2418</v>
      </c>
      <c r="K6212" s="1" t="s">
        <v>66</v>
      </c>
      <c r="L6212" s="1" t="s">
        <v>64</v>
      </c>
      <c r="M6212">
        <v>1.9490000000000001</v>
      </c>
      <c r="N6212">
        <v>37031.699999999997</v>
      </c>
      <c r="O6212">
        <v>37.031999999999996</v>
      </c>
      <c r="P6212" s="2">
        <v>45474</v>
      </c>
      <c r="Q6212">
        <v>1</v>
      </c>
      <c r="R6212" s="1" t="s">
        <v>24</v>
      </c>
    </row>
    <row r="6213" spans="1:18" x14ac:dyDescent="0.25">
      <c r="A6213">
        <v>2024</v>
      </c>
      <c r="B6213">
        <v>8</v>
      </c>
      <c r="C6213" s="1" t="s">
        <v>31</v>
      </c>
      <c r="D6213" s="1" t="s">
        <v>19</v>
      </c>
      <c r="E6213" s="1" t="s">
        <v>65</v>
      </c>
      <c r="F6213">
        <v>2012</v>
      </c>
      <c r="G6213">
        <v>12</v>
      </c>
      <c r="H6213" s="1" t="s">
        <v>21</v>
      </c>
      <c r="I6213">
        <v>19</v>
      </c>
      <c r="J6213">
        <v>2418</v>
      </c>
      <c r="K6213" s="1" t="s">
        <v>66</v>
      </c>
      <c r="L6213" s="1" t="s">
        <v>64</v>
      </c>
      <c r="M6213">
        <v>1.762</v>
      </c>
      <c r="N6213">
        <v>33477.199999999997</v>
      </c>
      <c r="O6213">
        <v>33.476999999999997</v>
      </c>
      <c r="P6213" s="2">
        <v>45505</v>
      </c>
      <c r="Q6213">
        <v>1</v>
      </c>
      <c r="R6213" s="1" t="s">
        <v>24</v>
      </c>
    </row>
    <row r="6214" spans="1:18" x14ac:dyDescent="0.25">
      <c r="A6214">
        <v>2024</v>
      </c>
      <c r="B6214">
        <v>9</v>
      </c>
      <c r="C6214" s="1" t="s">
        <v>32</v>
      </c>
      <c r="D6214" s="1" t="s">
        <v>19</v>
      </c>
      <c r="E6214" s="1" t="s">
        <v>65</v>
      </c>
      <c r="F6214">
        <v>2012</v>
      </c>
      <c r="G6214">
        <v>12</v>
      </c>
      <c r="H6214" s="1" t="s">
        <v>21</v>
      </c>
      <c r="I6214">
        <v>19</v>
      </c>
      <c r="J6214">
        <v>2418</v>
      </c>
      <c r="K6214" s="1" t="s">
        <v>66</v>
      </c>
      <c r="L6214" s="1" t="s">
        <v>64</v>
      </c>
      <c r="M6214">
        <v>1.9059999999999999</v>
      </c>
      <c r="N6214">
        <v>36215.599999999999</v>
      </c>
      <c r="O6214">
        <v>36.216000000000001</v>
      </c>
      <c r="P6214" s="2">
        <v>45536</v>
      </c>
      <c r="Q6214">
        <v>1</v>
      </c>
      <c r="R6214" s="1" t="s">
        <v>24</v>
      </c>
    </row>
    <row r="6215" spans="1:18" x14ac:dyDescent="0.25">
      <c r="A6215">
        <v>2024</v>
      </c>
      <c r="B6215">
        <v>10</v>
      </c>
      <c r="C6215" s="1" t="s">
        <v>33</v>
      </c>
      <c r="D6215" s="1" t="s">
        <v>19</v>
      </c>
      <c r="E6215" s="1" t="s">
        <v>65</v>
      </c>
      <c r="F6215">
        <v>2012</v>
      </c>
      <c r="G6215">
        <v>12</v>
      </c>
      <c r="H6215" s="1" t="s">
        <v>21</v>
      </c>
      <c r="I6215">
        <v>19</v>
      </c>
      <c r="J6215">
        <v>2418</v>
      </c>
      <c r="K6215" s="1" t="s">
        <v>66</v>
      </c>
      <c r="L6215" s="1" t="s">
        <v>64</v>
      </c>
      <c r="M6215">
        <v>1.2589999999999999</v>
      </c>
      <c r="N6215">
        <v>23920.1</v>
      </c>
      <c r="O6215">
        <v>23.92</v>
      </c>
      <c r="P6215" s="2">
        <v>45566</v>
      </c>
      <c r="Q6215">
        <v>1</v>
      </c>
      <c r="R6215" s="1" t="s">
        <v>24</v>
      </c>
    </row>
    <row r="6216" spans="1:18" x14ac:dyDescent="0.25">
      <c r="A6216">
        <v>2024</v>
      </c>
      <c r="B6216">
        <v>11</v>
      </c>
      <c r="C6216" s="1" t="s">
        <v>34</v>
      </c>
      <c r="D6216" s="1" t="s">
        <v>19</v>
      </c>
      <c r="E6216" s="1" t="s">
        <v>65</v>
      </c>
      <c r="F6216">
        <v>2012</v>
      </c>
      <c r="G6216">
        <v>12</v>
      </c>
      <c r="H6216" s="1" t="s">
        <v>21</v>
      </c>
      <c r="I6216">
        <v>19</v>
      </c>
      <c r="J6216">
        <v>2418</v>
      </c>
      <c r="K6216" s="1" t="s">
        <v>66</v>
      </c>
      <c r="L6216" s="1" t="s">
        <v>64</v>
      </c>
      <c r="M6216">
        <v>0.89300000000000002</v>
      </c>
      <c r="N6216">
        <v>16974.400000000001</v>
      </c>
      <c r="O6216">
        <v>16.974</v>
      </c>
      <c r="P6216" s="2">
        <v>45597</v>
      </c>
      <c r="Q6216">
        <v>1</v>
      </c>
      <c r="R6216" s="1" t="s">
        <v>24</v>
      </c>
    </row>
    <row r="6217" spans="1:18" x14ac:dyDescent="0.25">
      <c r="A6217">
        <v>2024</v>
      </c>
      <c r="B6217">
        <v>12</v>
      </c>
      <c r="C6217" s="1" t="s">
        <v>35</v>
      </c>
      <c r="D6217" s="1" t="s">
        <v>19</v>
      </c>
      <c r="E6217" s="1" t="s">
        <v>65</v>
      </c>
      <c r="F6217">
        <v>2012</v>
      </c>
      <c r="G6217">
        <v>12</v>
      </c>
      <c r="H6217" s="1" t="s">
        <v>21</v>
      </c>
      <c r="I6217">
        <v>19</v>
      </c>
      <c r="J6217">
        <v>2418</v>
      </c>
      <c r="K6217" s="1" t="s">
        <v>66</v>
      </c>
      <c r="L6217" s="1" t="s">
        <v>64</v>
      </c>
      <c r="M6217">
        <v>1.143</v>
      </c>
      <c r="N6217">
        <v>21725.7</v>
      </c>
      <c r="O6217">
        <v>21.725999999999999</v>
      </c>
      <c r="P6217" s="2">
        <v>45627</v>
      </c>
      <c r="Q6217">
        <v>1</v>
      </c>
      <c r="R6217" s="1" t="s">
        <v>24</v>
      </c>
    </row>
    <row r="6218" spans="1:18" x14ac:dyDescent="0.25">
      <c r="A6218">
        <v>2024</v>
      </c>
      <c r="B6218">
        <v>1</v>
      </c>
      <c r="C6218" s="1" t="s">
        <v>18</v>
      </c>
      <c r="D6218" s="1" t="s">
        <v>19</v>
      </c>
      <c r="E6218" s="1" t="s">
        <v>67</v>
      </c>
      <c r="F6218">
        <v>2012</v>
      </c>
      <c r="G6218">
        <v>12</v>
      </c>
      <c r="H6218" s="1" t="s">
        <v>21</v>
      </c>
      <c r="I6218">
        <v>25</v>
      </c>
      <c r="J6218">
        <v>3205</v>
      </c>
      <c r="K6218" s="1" t="s">
        <v>68</v>
      </c>
      <c r="L6218" s="1" t="s">
        <v>64</v>
      </c>
      <c r="M6218">
        <v>1.286</v>
      </c>
      <c r="N6218">
        <v>32138.1</v>
      </c>
      <c r="O6218">
        <v>32.137999999999998</v>
      </c>
      <c r="P6218" s="2">
        <v>45292</v>
      </c>
      <c r="Q6218">
        <v>1</v>
      </c>
      <c r="R6218" s="1" t="s">
        <v>24</v>
      </c>
    </row>
    <row r="6219" spans="1:18" x14ac:dyDescent="0.25">
      <c r="A6219">
        <v>2024</v>
      </c>
      <c r="B6219">
        <v>2</v>
      </c>
      <c r="C6219" s="1" t="s">
        <v>25</v>
      </c>
      <c r="D6219" s="1" t="s">
        <v>19</v>
      </c>
      <c r="E6219" s="1" t="s">
        <v>67</v>
      </c>
      <c r="F6219">
        <v>2012</v>
      </c>
      <c r="G6219">
        <v>12</v>
      </c>
      <c r="H6219" s="1" t="s">
        <v>21</v>
      </c>
      <c r="I6219">
        <v>25</v>
      </c>
      <c r="J6219">
        <v>3205</v>
      </c>
      <c r="K6219" s="1" t="s">
        <v>68</v>
      </c>
      <c r="L6219" s="1" t="s">
        <v>64</v>
      </c>
      <c r="M6219">
        <v>1.3620000000000001</v>
      </c>
      <c r="N6219">
        <v>34061.1</v>
      </c>
      <c r="O6219">
        <v>34.061</v>
      </c>
      <c r="P6219" s="2">
        <v>45323</v>
      </c>
      <c r="Q6219">
        <v>1</v>
      </c>
      <c r="R6219" s="1" t="s">
        <v>24</v>
      </c>
    </row>
    <row r="6220" spans="1:18" x14ac:dyDescent="0.25">
      <c r="A6220">
        <v>2024</v>
      </c>
      <c r="B6220">
        <v>3</v>
      </c>
      <c r="C6220" s="1" t="s">
        <v>26</v>
      </c>
      <c r="D6220" s="1" t="s">
        <v>19</v>
      </c>
      <c r="E6220" s="1" t="s">
        <v>67</v>
      </c>
      <c r="F6220">
        <v>2012</v>
      </c>
      <c r="G6220">
        <v>12</v>
      </c>
      <c r="H6220" s="1" t="s">
        <v>21</v>
      </c>
      <c r="I6220">
        <v>25</v>
      </c>
      <c r="J6220">
        <v>3205</v>
      </c>
      <c r="K6220" s="1" t="s">
        <v>68</v>
      </c>
      <c r="L6220" s="1" t="s">
        <v>64</v>
      </c>
      <c r="M6220">
        <v>1.8440000000000001</v>
      </c>
      <c r="N6220">
        <v>46103.9</v>
      </c>
      <c r="O6220">
        <v>46.103999999999999</v>
      </c>
      <c r="P6220" s="2">
        <v>45352</v>
      </c>
      <c r="Q6220">
        <v>1</v>
      </c>
      <c r="R6220" s="1" t="s">
        <v>24</v>
      </c>
    </row>
    <row r="6221" spans="1:18" x14ac:dyDescent="0.25">
      <c r="A6221">
        <v>2024</v>
      </c>
      <c r="B6221">
        <v>4</v>
      </c>
      <c r="C6221" s="1" t="s">
        <v>27</v>
      </c>
      <c r="D6221" s="1" t="s">
        <v>19</v>
      </c>
      <c r="E6221" s="1" t="s">
        <v>67</v>
      </c>
      <c r="F6221">
        <v>2012</v>
      </c>
      <c r="G6221">
        <v>12</v>
      </c>
      <c r="H6221" s="1" t="s">
        <v>21</v>
      </c>
      <c r="I6221">
        <v>25</v>
      </c>
      <c r="J6221">
        <v>3205</v>
      </c>
      <c r="K6221" s="1" t="s">
        <v>68</v>
      </c>
      <c r="L6221" s="1" t="s">
        <v>64</v>
      </c>
      <c r="M6221">
        <v>1.6850000000000001</v>
      </c>
      <c r="N6221">
        <v>42113.7</v>
      </c>
      <c r="O6221">
        <v>42.113999999999997</v>
      </c>
      <c r="P6221" s="2">
        <v>45383</v>
      </c>
      <c r="Q6221">
        <v>1</v>
      </c>
      <c r="R6221" s="1" t="s">
        <v>24</v>
      </c>
    </row>
    <row r="6222" spans="1:18" x14ac:dyDescent="0.25">
      <c r="A6222">
        <v>2024</v>
      </c>
      <c r="B6222">
        <v>5</v>
      </c>
      <c r="C6222" s="1" t="s">
        <v>28</v>
      </c>
      <c r="D6222" s="1" t="s">
        <v>19</v>
      </c>
      <c r="E6222" s="1" t="s">
        <v>67</v>
      </c>
      <c r="F6222">
        <v>2012</v>
      </c>
      <c r="G6222">
        <v>12</v>
      </c>
      <c r="H6222" s="1" t="s">
        <v>21</v>
      </c>
      <c r="I6222">
        <v>25</v>
      </c>
      <c r="J6222">
        <v>3205</v>
      </c>
      <c r="K6222" s="1" t="s">
        <v>68</v>
      </c>
      <c r="L6222" s="1" t="s">
        <v>64</v>
      </c>
      <c r="M6222">
        <v>1.958</v>
      </c>
      <c r="N6222">
        <v>48940.3</v>
      </c>
      <c r="O6222">
        <v>48.94</v>
      </c>
      <c r="P6222" s="2">
        <v>45413</v>
      </c>
      <c r="Q6222">
        <v>1</v>
      </c>
      <c r="R6222" s="1" t="s">
        <v>24</v>
      </c>
    </row>
    <row r="6223" spans="1:18" x14ac:dyDescent="0.25">
      <c r="A6223">
        <v>2024</v>
      </c>
      <c r="B6223">
        <v>6</v>
      </c>
      <c r="C6223" s="1" t="s">
        <v>29</v>
      </c>
      <c r="D6223" s="1" t="s">
        <v>19</v>
      </c>
      <c r="E6223" s="1" t="s">
        <v>67</v>
      </c>
      <c r="F6223">
        <v>2012</v>
      </c>
      <c r="G6223">
        <v>12</v>
      </c>
      <c r="H6223" s="1" t="s">
        <v>21</v>
      </c>
      <c r="I6223">
        <v>25</v>
      </c>
      <c r="J6223">
        <v>3205</v>
      </c>
      <c r="K6223" s="1" t="s">
        <v>68</v>
      </c>
      <c r="L6223" s="1" t="s">
        <v>64</v>
      </c>
      <c r="M6223">
        <v>2.1429999999999998</v>
      </c>
      <c r="N6223">
        <v>53579.6</v>
      </c>
      <c r="O6223">
        <v>53.58</v>
      </c>
      <c r="P6223" s="2">
        <v>45444</v>
      </c>
      <c r="Q6223">
        <v>1</v>
      </c>
      <c r="R6223" s="1" t="s">
        <v>24</v>
      </c>
    </row>
    <row r="6224" spans="1:18" x14ac:dyDescent="0.25">
      <c r="A6224">
        <v>2024</v>
      </c>
      <c r="B6224">
        <v>7</v>
      </c>
      <c r="C6224" s="1" t="s">
        <v>30</v>
      </c>
      <c r="D6224" s="1" t="s">
        <v>19</v>
      </c>
      <c r="E6224" s="1" t="s">
        <v>67</v>
      </c>
      <c r="F6224">
        <v>2012</v>
      </c>
      <c r="G6224">
        <v>12</v>
      </c>
      <c r="H6224" s="1" t="s">
        <v>21</v>
      </c>
      <c r="I6224">
        <v>25</v>
      </c>
      <c r="J6224">
        <v>3205</v>
      </c>
      <c r="K6224" s="1" t="s">
        <v>68</v>
      </c>
      <c r="L6224" s="1" t="s">
        <v>64</v>
      </c>
      <c r="M6224">
        <v>1.9630000000000001</v>
      </c>
      <c r="N6224">
        <v>49084.6</v>
      </c>
      <c r="O6224">
        <v>49.085000000000001</v>
      </c>
      <c r="P6224" s="2">
        <v>45474</v>
      </c>
      <c r="Q6224">
        <v>1</v>
      </c>
      <c r="R6224" s="1" t="s">
        <v>24</v>
      </c>
    </row>
    <row r="6225" spans="1:18" x14ac:dyDescent="0.25">
      <c r="A6225">
        <v>2024</v>
      </c>
      <c r="B6225">
        <v>8</v>
      </c>
      <c r="C6225" s="1" t="s">
        <v>31</v>
      </c>
      <c r="D6225" s="1" t="s">
        <v>19</v>
      </c>
      <c r="E6225" s="1" t="s">
        <v>67</v>
      </c>
      <c r="F6225">
        <v>2012</v>
      </c>
      <c r="G6225">
        <v>12</v>
      </c>
      <c r="H6225" s="1" t="s">
        <v>21</v>
      </c>
      <c r="I6225">
        <v>25</v>
      </c>
      <c r="J6225">
        <v>3205</v>
      </c>
      <c r="K6225" s="1" t="s">
        <v>68</v>
      </c>
      <c r="L6225" s="1" t="s">
        <v>64</v>
      </c>
      <c r="M6225">
        <v>1.7749999999999999</v>
      </c>
      <c r="N6225">
        <v>44373.2</v>
      </c>
      <c r="O6225">
        <v>44.372999999999998</v>
      </c>
      <c r="P6225" s="2">
        <v>45505</v>
      </c>
      <c r="Q6225">
        <v>1</v>
      </c>
      <c r="R6225" s="1" t="s">
        <v>24</v>
      </c>
    </row>
    <row r="6226" spans="1:18" x14ac:dyDescent="0.25">
      <c r="A6226">
        <v>2024</v>
      </c>
      <c r="B6226">
        <v>9</v>
      </c>
      <c r="C6226" s="1" t="s">
        <v>32</v>
      </c>
      <c r="D6226" s="1" t="s">
        <v>19</v>
      </c>
      <c r="E6226" s="1" t="s">
        <v>67</v>
      </c>
      <c r="F6226">
        <v>2012</v>
      </c>
      <c r="G6226">
        <v>12</v>
      </c>
      <c r="H6226" s="1" t="s">
        <v>21</v>
      </c>
      <c r="I6226">
        <v>25</v>
      </c>
      <c r="J6226">
        <v>3205</v>
      </c>
      <c r="K6226" s="1" t="s">
        <v>68</v>
      </c>
      <c r="L6226" s="1" t="s">
        <v>64</v>
      </c>
      <c r="M6226">
        <v>1.92</v>
      </c>
      <c r="N6226">
        <v>48002.9</v>
      </c>
      <c r="O6226">
        <v>48.003</v>
      </c>
      <c r="P6226" s="2">
        <v>45536</v>
      </c>
      <c r="Q6226">
        <v>1</v>
      </c>
      <c r="R6226" s="1" t="s">
        <v>24</v>
      </c>
    </row>
    <row r="6227" spans="1:18" x14ac:dyDescent="0.25">
      <c r="A6227">
        <v>2024</v>
      </c>
      <c r="B6227">
        <v>10</v>
      </c>
      <c r="C6227" s="1" t="s">
        <v>33</v>
      </c>
      <c r="D6227" s="1" t="s">
        <v>19</v>
      </c>
      <c r="E6227" s="1" t="s">
        <v>67</v>
      </c>
      <c r="F6227">
        <v>2012</v>
      </c>
      <c r="G6227">
        <v>12</v>
      </c>
      <c r="H6227" s="1" t="s">
        <v>21</v>
      </c>
      <c r="I6227">
        <v>25</v>
      </c>
      <c r="J6227">
        <v>3205</v>
      </c>
      <c r="K6227" s="1" t="s">
        <v>68</v>
      </c>
      <c r="L6227" s="1" t="s">
        <v>64</v>
      </c>
      <c r="M6227">
        <v>1.268</v>
      </c>
      <c r="N6227">
        <v>31705.5</v>
      </c>
      <c r="O6227">
        <v>31.704999999999998</v>
      </c>
      <c r="P6227" s="2">
        <v>45566</v>
      </c>
      <c r="Q6227">
        <v>1</v>
      </c>
      <c r="R6227" s="1" t="s">
        <v>24</v>
      </c>
    </row>
    <row r="6228" spans="1:18" x14ac:dyDescent="0.25">
      <c r="A6228">
        <v>2024</v>
      </c>
      <c r="B6228">
        <v>11</v>
      </c>
      <c r="C6228" s="1" t="s">
        <v>34</v>
      </c>
      <c r="D6228" s="1" t="s">
        <v>19</v>
      </c>
      <c r="E6228" s="1" t="s">
        <v>67</v>
      </c>
      <c r="F6228">
        <v>2012</v>
      </c>
      <c r="G6228">
        <v>12</v>
      </c>
      <c r="H6228" s="1" t="s">
        <v>21</v>
      </c>
      <c r="I6228">
        <v>25</v>
      </c>
      <c r="J6228">
        <v>3205</v>
      </c>
      <c r="K6228" s="1" t="s">
        <v>68</v>
      </c>
      <c r="L6228" s="1" t="s">
        <v>64</v>
      </c>
      <c r="M6228">
        <v>0.9</v>
      </c>
      <c r="N6228">
        <v>22499.1</v>
      </c>
      <c r="O6228">
        <v>22.498999999999999</v>
      </c>
      <c r="P6228" s="2">
        <v>45597</v>
      </c>
      <c r="Q6228">
        <v>1</v>
      </c>
      <c r="R6228" s="1" t="s">
        <v>24</v>
      </c>
    </row>
    <row r="6229" spans="1:18" x14ac:dyDescent="0.25">
      <c r="A6229">
        <v>2024</v>
      </c>
      <c r="B6229">
        <v>12</v>
      </c>
      <c r="C6229" s="1" t="s">
        <v>35</v>
      </c>
      <c r="D6229" s="1" t="s">
        <v>19</v>
      </c>
      <c r="E6229" s="1" t="s">
        <v>67</v>
      </c>
      <c r="F6229">
        <v>2012</v>
      </c>
      <c r="G6229">
        <v>12</v>
      </c>
      <c r="H6229" s="1" t="s">
        <v>21</v>
      </c>
      <c r="I6229">
        <v>25</v>
      </c>
      <c r="J6229">
        <v>3205</v>
      </c>
      <c r="K6229" s="1" t="s">
        <v>68</v>
      </c>
      <c r="L6229" s="1" t="s">
        <v>64</v>
      </c>
      <c r="M6229">
        <v>1.1519999999999999</v>
      </c>
      <c r="N6229">
        <v>28796.9</v>
      </c>
      <c r="O6229">
        <v>28.797000000000001</v>
      </c>
      <c r="P6229" s="2">
        <v>45627</v>
      </c>
      <c r="Q6229">
        <v>1</v>
      </c>
      <c r="R6229" s="1" t="s">
        <v>24</v>
      </c>
    </row>
    <row r="6230" spans="1:18" x14ac:dyDescent="0.25">
      <c r="A6230">
        <v>2024</v>
      </c>
      <c r="B6230">
        <v>1</v>
      </c>
      <c r="C6230" s="1" t="s">
        <v>18</v>
      </c>
      <c r="D6230" s="1" t="s">
        <v>19</v>
      </c>
      <c r="E6230" s="1" t="s">
        <v>69</v>
      </c>
      <c r="F6230">
        <v>2012</v>
      </c>
      <c r="G6230">
        <v>12</v>
      </c>
      <c r="H6230" s="1" t="s">
        <v>21</v>
      </c>
      <c r="I6230">
        <v>19</v>
      </c>
      <c r="J6230">
        <v>2469</v>
      </c>
      <c r="K6230" s="1" t="s">
        <v>70</v>
      </c>
      <c r="L6230" s="1" t="s">
        <v>45</v>
      </c>
      <c r="M6230">
        <v>1.3029999999999999</v>
      </c>
      <c r="N6230">
        <v>24757.9</v>
      </c>
      <c r="O6230">
        <v>24.757999999999999</v>
      </c>
      <c r="P6230" s="2">
        <v>45292</v>
      </c>
      <c r="Q6230">
        <v>1</v>
      </c>
      <c r="R6230" s="1" t="s">
        <v>24</v>
      </c>
    </row>
    <row r="6231" spans="1:18" x14ac:dyDescent="0.25">
      <c r="A6231">
        <v>2024</v>
      </c>
      <c r="B6231">
        <v>2</v>
      </c>
      <c r="C6231" s="1" t="s">
        <v>25</v>
      </c>
      <c r="D6231" s="1" t="s">
        <v>19</v>
      </c>
      <c r="E6231" s="1" t="s">
        <v>69</v>
      </c>
      <c r="F6231">
        <v>2012</v>
      </c>
      <c r="G6231">
        <v>12</v>
      </c>
      <c r="H6231" s="1" t="s">
        <v>21</v>
      </c>
      <c r="I6231">
        <v>19</v>
      </c>
      <c r="J6231">
        <v>2469</v>
      </c>
      <c r="K6231" s="1" t="s">
        <v>70</v>
      </c>
      <c r="L6231" s="1" t="s">
        <v>45</v>
      </c>
      <c r="M6231">
        <v>1.381</v>
      </c>
      <c r="N6231">
        <v>26239.3</v>
      </c>
      <c r="O6231">
        <v>26.239000000000001</v>
      </c>
      <c r="P6231" s="2">
        <v>45323</v>
      </c>
      <c r="Q6231">
        <v>1</v>
      </c>
      <c r="R6231" s="1" t="s">
        <v>24</v>
      </c>
    </row>
    <row r="6232" spans="1:18" x14ac:dyDescent="0.25">
      <c r="A6232">
        <v>2024</v>
      </c>
      <c r="B6232">
        <v>3</v>
      </c>
      <c r="C6232" s="1" t="s">
        <v>26</v>
      </c>
      <c r="D6232" s="1" t="s">
        <v>19</v>
      </c>
      <c r="E6232" s="1" t="s">
        <v>69</v>
      </c>
      <c r="F6232">
        <v>2012</v>
      </c>
      <c r="G6232">
        <v>12</v>
      </c>
      <c r="H6232" s="1" t="s">
        <v>21</v>
      </c>
      <c r="I6232">
        <v>19</v>
      </c>
      <c r="J6232">
        <v>2469</v>
      </c>
      <c r="K6232" s="1" t="s">
        <v>70</v>
      </c>
      <c r="L6232" s="1" t="s">
        <v>45</v>
      </c>
      <c r="M6232">
        <v>1.869</v>
      </c>
      <c r="N6232">
        <v>35516.6</v>
      </c>
      <c r="O6232">
        <v>35.517000000000003</v>
      </c>
      <c r="P6232" s="2">
        <v>45352</v>
      </c>
      <c r="Q6232">
        <v>1</v>
      </c>
      <c r="R6232" s="1" t="s">
        <v>24</v>
      </c>
    </row>
    <row r="6233" spans="1:18" x14ac:dyDescent="0.25">
      <c r="A6233">
        <v>2024</v>
      </c>
      <c r="B6233">
        <v>4</v>
      </c>
      <c r="C6233" s="1" t="s">
        <v>27</v>
      </c>
      <c r="D6233" s="1" t="s">
        <v>19</v>
      </c>
      <c r="E6233" s="1" t="s">
        <v>69</v>
      </c>
      <c r="F6233">
        <v>2012</v>
      </c>
      <c r="G6233">
        <v>12</v>
      </c>
      <c r="H6233" s="1" t="s">
        <v>21</v>
      </c>
      <c r="I6233">
        <v>19</v>
      </c>
      <c r="J6233">
        <v>2469</v>
      </c>
      <c r="K6233" s="1" t="s">
        <v>70</v>
      </c>
      <c r="L6233" s="1" t="s">
        <v>45</v>
      </c>
      <c r="M6233">
        <v>1.708</v>
      </c>
      <c r="N6233">
        <v>32442.7</v>
      </c>
      <c r="O6233">
        <v>32.442999999999998</v>
      </c>
      <c r="P6233" s="2">
        <v>45383</v>
      </c>
      <c r="Q6233">
        <v>1</v>
      </c>
      <c r="R6233" s="1" t="s">
        <v>24</v>
      </c>
    </row>
    <row r="6234" spans="1:18" x14ac:dyDescent="0.25">
      <c r="A6234">
        <v>2024</v>
      </c>
      <c r="B6234">
        <v>5</v>
      </c>
      <c r="C6234" s="1" t="s">
        <v>28</v>
      </c>
      <c r="D6234" s="1" t="s">
        <v>19</v>
      </c>
      <c r="E6234" s="1" t="s">
        <v>69</v>
      </c>
      <c r="F6234">
        <v>2012</v>
      </c>
      <c r="G6234">
        <v>12</v>
      </c>
      <c r="H6234" s="1" t="s">
        <v>21</v>
      </c>
      <c r="I6234">
        <v>19</v>
      </c>
      <c r="J6234">
        <v>2469</v>
      </c>
      <c r="K6234" s="1" t="s">
        <v>70</v>
      </c>
      <c r="L6234" s="1" t="s">
        <v>45</v>
      </c>
      <c r="M6234">
        <v>1.984</v>
      </c>
      <c r="N6234">
        <v>37701.599999999999</v>
      </c>
      <c r="O6234">
        <v>37.701999999999998</v>
      </c>
      <c r="P6234" s="2">
        <v>45413</v>
      </c>
      <c r="Q6234">
        <v>1</v>
      </c>
      <c r="R6234" s="1" t="s">
        <v>24</v>
      </c>
    </row>
    <row r="6235" spans="1:18" x14ac:dyDescent="0.25">
      <c r="A6235">
        <v>2024</v>
      </c>
      <c r="B6235">
        <v>6</v>
      </c>
      <c r="C6235" s="1" t="s">
        <v>29</v>
      </c>
      <c r="D6235" s="1" t="s">
        <v>19</v>
      </c>
      <c r="E6235" s="1" t="s">
        <v>69</v>
      </c>
      <c r="F6235">
        <v>2012</v>
      </c>
      <c r="G6235">
        <v>12</v>
      </c>
      <c r="H6235" s="1" t="s">
        <v>21</v>
      </c>
      <c r="I6235">
        <v>19</v>
      </c>
      <c r="J6235">
        <v>2469</v>
      </c>
      <c r="K6235" s="1" t="s">
        <v>70</v>
      </c>
      <c r="L6235" s="1" t="s">
        <v>45</v>
      </c>
      <c r="M6235">
        <v>2.1720000000000002</v>
      </c>
      <c r="N6235">
        <v>41275.5</v>
      </c>
      <c r="O6235">
        <v>41.276000000000003</v>
      </c>
      <c r="P6235" s="2">
        <v>45444</v>
      </c>
      <c r="Q6235">
        <v>1</v>
      </c>
      <c r="R6235" s="1" t="s">
        <v>24</v>
      </c>
    </row>
    <row r="6236" spans="1:18" x14ac:dyDescent="0.25">
      <c r="A6236">
        <v>2024</v>
      </c>
      <c r="B6236">
        <v>7</v>
      </c>
      <c r="C6236" s="1" t="s">
        <v>30</v>
      </c>
      <c r="D6236" s="1" t="s">
        <v>19</v>
      </c>
      <c r="E6236" s="1" t="s">
        <v>69</v>
      </c>
      <c r="F6236">
        <v>2012</v>
      </c>
      <c r="G6236">
        <v>12</v>
      </c>
      <c r="H6236" s="1" t="s">
        <v>21</v>
      </c>
      <c r="I6236">
        <v>19</v>
      </c>
      <c r="J6236">
        <v>2469</v>
      </c>
      <c r="K6236" s="1" t="s">
        <v>70</v>
      </c>
      <c r="L6236" s="1" t="s">
        <v>45</v>
      </c>
      <c r="M6236">
        <v>1.99</v>
      </c>
      <c r="N6236">
        <v>37812.699999999997</v>
      </c>
      <c r="O6236">
        <v>37.813000000000002</v>
      </c>
      <c r="P6236" s="2">
        <v>45474</v>
      </c>
      <c r="Q6236">
        <v>1</v>
      </c>
      <c r="R6236" s="1" t="s">
        <v>24</v>
      </c>
    </row>
    <row r="6237" spans="1:18" x14ac:dyDescent="0.25">
      <c r="A6237">
        <v>2024</v>
      </c>
      <c r="B6237">
        <v>8</v>
      </c>
      <c r="C6237" s="1" t="s">
        <v>31</v>
      </c>
      <c r="D6237" s="1" t="s">
        <v>19</v>
      </c>
      <c r="E6237" s="1" t="s">
        <v>69</v>
      </c>
      <c r="F6237">
        <v>2012</v>
      </c>
      <c r="G6237">
        <v>12</v>
      </c>
      <c r="H6237" s="1" t="s">
        <v>21</v>
      </c>
      <c r="I6237">
        <v>19</v>
      </c>
      <c r="J6237">
        <v>2469</v>
      </c>
      <c r="K6237" s="1" t="s">
        <v>70</v>
      </c>
      <c r="L6237" s="1" t="s">
        <v>45</v>
      </c>
      <c r="M6237">
        <v>1.7989999999999999</v>
      </c>
      <c r="N6237">
        <v>34183.300000000003</v>
      </c>
      <c r="O6237">
        <v>34.183</v>
      </c>
      <c r="P6237" s="2">
        <v>45505</v>
      </c>
      <c r="Q6237">
        <v>1</v>
      </c>
      <c r="R6237" s="1" t="s">
        <v>24</v>
      </c>
    </row>
    <row r="6238" spans="1:18" x14ac:dyDescent="0.25">
      <c r="A6238">
        <v>2024</v>
      </c>
      <c r="B6238">
        <v>9</v>
      </c>
      <c r="C6238" s="1" t="s">
        <v>32</v>
      </c>
      <c r="D6238" s="1" t="s">
        <v>19</v>
      </c>
      <c r="E6238" s="1" t="s">
        <v>69</v>
      </c>
      <c r="F6238">
        <v>2012</v>
      </c>
      <c r="G6238">
        <v>12</v>
      </c>
      <c r="H6238" s="1" t="s">
        <v>21</v>
      </c>
      <c r="I6238">
        <v>19</v>
      </c>
      <c r="J6238">
        <v>2469</v>
      </c>
      <c r="K6238" s="1" t="s">
        <v>70</v>
      </c>
      <c r="L6238" s="1" t="s">
        <v>45</v>
      </c>
      <c r="M6238">
        <v>1.946</v>
      </c>
      <c r="N6238">
        <v>36979.4</v>
      </c>
      <c r="O6238">
        <v>36.978999999999999</v>
      </c>
      <c r="P6238" s="2">
        <v>45536</v>
      </c>
      <c r="Q6238">
        <v>1</v>
      </c>
      <c r="R6238" s="1" t="s">
        <v>24</v>
      </c>
    </row>
    <row r="6239" spans="1:18" x14ac:dyDescent="0.25">
      <c r="A6239">
        <v>2024</v>
      </c>
      <c r="B6239">
        <v>10</v>
      </c>
      <c r="C6239" s="1" t="s">
        <v>33</v>
      </c>
      <c r="D6239" s="1" t="s">
        <v>19</v>
      </c>
      <c r="E6239" s="1" t="s">
        <v>69</v>
      </c>
      <c r="F6239">
        <v>2012</v>
      </c>
      <c r="G6239">
        <v>12</v>
      </c>
      <c r="H6239" s="1" t="s">
        <v>21</v>
      </c>
      <c r="I6239">
        <v>19</v>
      </c>
      <c r="J6239">
        <v>2469</v>
      </c>
      <c r="K6239" s="1" t="s">
        <v>70</v>
      </c>
      <c r="L6239" s="1" t="s">
        <v>45</v>
      </c>
      <c r="M6239">
        <v>1.286</v>
      </c>
      <c r="N6239">
        <v>24424.6</v>
      </c>
      <c r="O6239">
        <v>24.425000000000001</v>
      </c>
      <c r="P6239" s="2">
        <v>45566</v>
      </c>
      <c r="Q6239">
        <v>1</v>
      </c>
      <c r="R6239" s="1" t="s">
        <v>24</v>
      </c>
    </row>
    <row r="6240" spans="1:18" x14ac:dyDescent="0.25">
      <c r="A6240">
        <v>2024</v>
      </c>
      <c r="B6240">
        <v>11</v>
      </c>
      <c r="C6240" s="1" t="s">
        <v>34</v>
      </c>
      <c r="D6240" s="1" t="s">
        <v>19</v>
      </c>
      <c r="E6240" s="1" t="s">
        <v>69</v>
      </c>
      <c r="F6240">
        <v>2012</v>
      </c>
      <c r="G6240">
        <v>12</v>
      </c>
      <c r="H6240" s="1" t="s">
        <v>21</v>
      </c>
      <c r="I6240">
        <v>19</v>
      </c>
      <c r="J6240">
        <v>2469</v>
      </c>
      <c r="K6240" s="1" t="s">
        <v>70</v>
      </c>
      <c r="L6240" s="1" t="s">
        <v>45</v>
      </c>
      <c r="M6240">
        <v>0.91200000000000003</v>
      </c>
      <c r="N6240">
        <v>17332.400000000001</v>
      </c>
      <c r="O6240">
        <v>17.332000000000001</v>
      </c>
      <c r="P6240" s="2">
        <v>45597</v>
      </c>
      <c r="Q6240">
        <v>1</v>
      </c>
      <c r="R6240" s="1" t="s">
        <v>24</v>
      </c>
    </row>
    <row r="6241" spans="1:18" x14ac:dyDescent="0.25">
      <c r="A6241">
        <v>2024</v>
      </c>
      <c r="B6241">
        <v>12</v>
      </c>
      <c r="C6241" s="1" t="s">
        <v>35</v>
      </c>
      <c r="D6241" s="1" t="s">
        <v>19</v>
      </c>
      <c r="E6241" s="1" t="s">
        <v>69</v>
      </c>
      <c r="F6241">
        <v>2012</v>
      </c>
      <c r="G6241">
        <v>12</v>
      </c>
      <c r="H6241" s="1" t="s">
        <v>21</v>
      </c>
      <c r="I6241">
        <v>19</v>
      </c>
      <c r="J6241">
        <v>2469</v>
      </c>
      <c r="K6241" s="1" t="s">
        <v>70</v>
      </c>
      <c r="L6241" s="1" t="s">
        <v>45</v>
      </c>
      <c r="M6241">
        <v>1.1679999999999999</v>
      </c>
      <c r="N6241">
        <v>22184</v>
      </c>
      <c r="O6241">
        <v>22.184000000000001</v>
      </c>
      <c r="P6241" s="2">
        <v>45627</v>
      </c>
      <c r="Q6241">
        <v>1</v>
      </c>
      <c r="R6241" s="1" t="s">
        <v>24</v>
      </c>
    </row>
    <row r="6242" spans="1:18" x14ac:dyDescent="0.25">
      <c r="A6242">
        <v>2024</v>
      </c>
      <c r="B6242">
        <v>1</v>
      </c>
      <c r="C6242" s="1" t="s">
        <v>18</v>
      </c>
      <c r="D6242" s="1" t="s">
        <v>19</v>
      </c>
      <c r="E6242" s="1" t="s">
        <v>71</v>
      </c>
      <c r="F6242">
        <v>2012</v>
      </c>
      <c r="G6242">
        <v>12</v>
      </c>
      <c r="H6242" s="1" t="s">
        <v>21</v>
      </c>
      <c r="I6242">
        <v>20</v>
      </c>
      <c r="J6242">
        <v>2704</v>
      </c>
      <c r="K6242" s="1" t="s">
        <v>72</v>
      </c>
      <c r="L6242" s="1" t="s">
        <v>64</v>
      </c>
      <c r="M6242">
        <v>1.3560000000000001</v>
      </c>
      <c r="N6242">
        <v>27114.400000000001</v>
      </c>
      <c r="O6242">
        <v>27.114000000000001</v>
      </c>
      <c r="P6242" s="2">
        <v>45292</v>
      </c>
      <c r="Q6242">
        <v>1</v>
      </c>
      <c r="R6242" s="1" t="s">
        <v>24</v>
      </c>
    </row>
    <row r="6243" spans="1:18" x14ac:dyDescent="0.25">
      <c r="A6243">
        <v>2024</v>
      </c>
      <c r="B6243">
        <v>2</v>
      </c>
      <c r="C6243" s="1" t="s">
        <v>25</v>
      </c>
      <c r="D6243" s="1" t="s">
        <v>19</v>
      </c>
      <c r="E6243" s="1" t="s">
        <v>71</v>
      </c>
      <c r="F6243">
        <v>2012</v>
      </c>
      <c r="G6243">
        <v>12</v>
      </c>
      <c r="H6243" s="1" t="s">
        <v>21</v>
      </c>
      <c r="I6243">
        <v>20</v>
      </c>
      <c r="J6243">
        <v>2704</v>
      </c>
      <c r="K6243" s="1" t="s">
        <v>72</v>
      </c>
      <c r="L6243" s="1" t="s">
        <v>64</v>
      </c>
      <c r="M6243">
        <v>1.4370000000000001</v>
      </c>
      <c r="N6243">
        <v>28736.799999999999</v>
      </c>
      <c r="O6243">
        <v>28.736999999999998</v>
      </c>
      <c r="P6243" s="2">
        <v>45323</v>
      </c>
      <c r="Q6243">
        <v>1</v>
      </c>
      <c r="R6243" s="1" t="s">
        <v>24</v>
      </c>
    </row>
    <row r="6244" spans="1:18" x14ac:dyDescent="0.25">
      <c r="A6244">
        <v>2024</v>
      </c>
      <c r="B6244">
        <v>3</v>
      </c>
      <c r="C6244" s="1" t="s">
        <v>26</v>
      </c>
      <c r="D6244" s="1" t="s">
        <v>19</v>
      </c>
      <c r="E6244" s="1" t="s">
        <v>71</v>
      </c>
      <c r="F6244">
        <v>2012</v>
      </c>
      <c r="G6244">
        <v>12</v>
      </c>
      <c r="H6244" s="1" t="s">
        <v>21</v>
      </c>
      <c r="I6244">
        <v>20</v>
      </c>
      <c r="J6244">
        <v>2704</v>
      </c>
      <c r="K6244" s="1" t="s">
        <v>72</v>
      </c>
      <c r="L6244" s="1" t="s">
        <v>64</v>
      </c>
      <c r="M6244">
        <v>1.9450000000000001</v>
      </c>
      <c r="N6244">
        <v>38897</v>
      </c>
      <c r="O6244">
        <v>38.896999999999998</v>
      </c>
      <c r="P6244" s="2">
        <v>45352</v>
      </c>
      <c r="Q6244">
        <v>1</v>
      </c>
      <c r="R6244" s="1" t="s">
        <v>24</v>
      </c>
    </row>
    <row r="6245" spans="1:18" x14ac:dyDescent="0.25">
      <c r="A6245">
        <v>2024</v>
      </c>
      <c r="B6245">
        <v>4</v>
      </c>
      <c r="C6245" s="1" t="s">
        <v>27</v>
      </c>
      <c r="D6245" s="1" t="s">
        <v>19</v>
      </c>
      <c r="E6245" s="1" t="s">
        <v>71</v>
      </c>
      <c r="F6245">
        <v>2012</v>
      </c>
      <c r="G6245">
        <v>12</v>
      </c>
      <c r="H6245" s="1" t="s">
        <v>21</v>
      </c>
      <c r="I6245">
        <v>20</v>
      </c>
      <c r="J6245">
        <v>2704</v>
      </c>
      <c r="K6245" s="1" t="s">
        <v>72</v>
      </c>
      <c r="L6245" s="1" t="s">
        <v>64</v>
      </c>
      <c r="M6245">
        <v>1.7769999999999999</v>
      </c>
      <c r="N6245">
        <v>35530.6</v>
      </c>
      <c r="O6245">
        <v>35.530999999999999</v>
      </c>
      <c r="P6245" s="2">
        <v>45383</v>
      </c>
      <c r="Q6245">
        <v>1</v>
      </c>
      <c r="R6245" s="1" t="s">
        <v>24</v>
      </c>
    </row>
    <row r="6246" spans="1:18" x14ac:dyDescent="0.25">
      <c r="A6246">
        <v>2024</v>
      </c>
      <c r="B6246">
        <v>5</v>
      </c>
      <c r="C6246" s="1" t="s">
        <v>28</v>
      </c>
      <c r="D6246" s="1" t="s">
        <v>19</v>
      </c>
      <c r="E6246" s="1" t="s">
        <v>71</v>
      </c>
      <c r="F6246">
        <v>2012</v>
      </c>
      <c r="G6246">
        <v>12</v>
      </c>
      <c r="H6246" s="1" t="s">
        <v>21</v>
      </c>
      <c r="I6246">
        <v>20</v>
      </c>
      <c r="J6246">
        <v>2704</v>
      </c>
      <c r="K6246" s="1" t="s">
        <v>72</v>
      </c>
      <c r="L6246" s="1" t="s">
        <v>64</v>
      </c>
      <c r="M6246">
        <v>2.0649999999999999</v>
      </c>
      <c r="N6246">
        <v>41290.1</v>
      </c>
      <c r="O6246">
        <v>41.29</v>
      </c>
      <c r="P6246" s="2">
        <v>45413</v>
      </c>
      <c r="Q6246">
        <v>1</v>
      </c>
      <c r="R6246" s="1" t="s">
        <v>24</v>
      </c>
    </row>
    <row r="6247" spans="1:18" x14ac:dyDescent="0.25">
      <c r="A6247">
        <v>2024</v>
      </c>
      <c r="B6247">
        <v>6</v>
      </c>
      <c r="C6247" s="1" t="s">
        <v>29</v>
      </c>
      <c r="D6247" s="1" t="s">
        <v>19</v>
      </c>
      <c r="E6247" s="1" t="s">
        <v>71</v>
      </c>
      <c r="F6247">
        <v>2012</v>
      </c>
      <c r="G6247">
        <v>12</v>
      </c>
      <c r="H6247" s="1" t="s">
        <v>21</v>
      </c>
      <c r="I6247">
        <v>20</v>
      </c>
      <c r="J6247">
        <v>2704</v>
      </c>
      <c r="K6247" s="1" t="s">
        <v>72</v>
      </c>
      <c r="L6247" s="1" t="s">
        <v>64</v>
      </c>
      <c r="M6247">
        <v>2.2599999999999998</v>
      </c>
      <c r="N6247">
        <v>45204.1</v>
      </c>
      <c r="O6247">
        <v>45.204000000000001</v>
      </c>
      <c r="P6247" s="2">
        <v>45444</v>
      </c>
      <c r="Q6247">
        <v>1</v>
      </c>
      <c r="R6247" s="1" t="s">
        <v>24</v>
      </c>
    </row>
    <row r="6248" spans="1:18" x14ac:dyDescent="0.25">
      <c r="A6248">
        <v>2024</v>
      </c>
      <c r="B6248">
        <v>7</v>
      </c>
      <c r="C6248" s="1" t="s">
        <v>30</v>
      </c>
      <c r="D6248" s="1" t="s">
        <v>19</v>
      </c>
      <c r="E6248" s="1" t="s">
        <v>71</v>
      </c>
      <c r="F6248">
        <v>2012</v>
      </c>
      <c r="G6248">
        <v>12</v>
      </c>
      <c r="H6248" s="1" t="s">
        <v>21</v>
      </c>
      <c r="I6248">
        <v>20</v>
      </c>
      <c r="J6248">
        <v>2704</v>
      </c>
      <c r="K6248" s="1" t="s">
        <v>72</v>
      </c>
      <c r="L6248" s="1" t="s">
        <v>64</v>
      </c>
      <c r="M6248">
        <v>2.0710000000000002</v>
      </c>
      <c r="N6248">
        <v>41411.800000000003</v>
      </c>
      <c r="O6248">
        <v>41.411999999999999</v>
      </c>
      <c r="P6248" s="2">
        <v>45474</v>
      </c>
      <c r="Q6248">
        <v>1</v>
      </c>
      <c r="R6248" s="1" t="s">
        <v>24</v>
      </c>
    </row>
    <row r="6249" spans="1:18" x14ac:dyDescent="0.25">
      <c r="A6249">
        <v>2024</v>
      </c>
      <c r="B6249">
        <v>8</v>
      </c>
      <c r="C6249" s="1" t="s">
        <v>31</v>
      </c>
      <c r="D6249" s="1" t="s">
        <v>19</v>
      </c>
      <c r="E6249" s="1" t="s">
        <v>71</v>
      </c>
      <c r="F6249">
        <v>2012</v>
      </c>
      <c r="G6249">
        <v>12</v>
      </c>
      <c r="H6249" s="1" t="s">
        <v>21</v>
      </c>
      <c r="I6249">
        <v>20</v>
      </c>
      <c r="J6249">
        <v>2704</v>
      </c>
      <c r="K6249" s="1" t="s">
        <v>72</v>
      </c>
      <c r="L6249" s="1" t="s">
        <v>64</v>
      </c>
      <c r="M6249">
        <v>1.8720000000000001</v>
      </c>
      <c r="N6249">
        <v>37436.9</v>
      </c>
      <c r="O6249">
        <v>37.436999999999998</v>
      </c>
      <c r="P6249" s="2">
        <v>45505</v>
      </c>
      <c r="Q6249">
        <v>1</v>
      </c>
      <c r="R6249" s="1" t="s">
        <v>24</v>
      </c>
    </row>
    <row r="6250" spans="1:18" x14ac:dyDescent="0.25">
      <c r="A6250">
        <v>2024</v>
      </c>
      <c r="B6250">
        <v>9</v>
      </c>
      <c r="C6250" s="1" t="s">
        <v>32</v>
      </c>
      <c r="D6250" s="1" t="s">
        <v>19</v>
      </c>
      <c r="E6250" s="1" t="s">
        <v>71</v>
      </c>
      <c r="F6250">
        <v>2012</v>
      </c>
      <c r="G6250">
        <v>12</v>
      </c>
      <c r="H6250" s="1" t="s">
        <v>21</v>
      </c>
      <c r="I6250">
        <v>20</v>
      </c>
      <c r="J6250">
        <v>2704</v>
      </c>
      <c r="K6250" s="1" t="s">
        <v>72</v>
      </c>
      <c r="L6250" s="1" t="s">
        <v>64</v>
      </c>
      <c r="M6250">
        <v>2.0249999999999999</v>
      </c>
      <c r="N6250">
        <v>40499.199999999997</v>
      </c>
      <c r="O6250">
        <v>40.499000000000002</v>
      </c>
      <c r="P6250" s="2">
        <v>45536</v>
      </c>
      <c r="Q6250">
        <v>1</v>
      </c>
      <c r="R6250" s="1" t="s">
        <v>24</v>
      </c>
    </row>
    <row r="6251" spans="1:18" x14ac:dyDescent="0.25">
      <c r="A6251">
        <v>2024</v>
      </c>
      <c r="B6251">
        <v>10</v>
      </c>
      <c r="C6251" s="1" t="s">
        <v>33</v>
      </c>
      <c r="D6251" s="1" t="s">
        <v>19</v>
      </c>
      <c r="E6251" s="1" t="s">
        <v>71</v>
      </c>
      <c r="F6251">
        <v>2012</v>
      </c>
      <c r="G6251">
        <v>12</v>
      </c>
      <c r="H6251" s="1" t="s">
        <v>21</v>
      </c>
      <c r="I6251">
        <v>20</v>
      </c>
      <c r="J6251">
        <v>2704</v>
      </c>
      <c r="K6251" s="1" t="s">
        <v>72</v>
      </c>
      <c r="L6251" s="1" t="s">
        <v>64</v>
      </c>
      <c r="M6251">
        <v>1.337</v>
      </c>
      <c r="N6251">
        <v>26749.3</v>
      </c>
      <c r="O6251">
        <v>26.748999999999999</v>
      </c>
      <c r="P6251" s="2">
        <v>45566</v>
      </c>
      <c r="Q6251">
        <v>1</v>
      </c>
      <c r="R6251" s="1" t="s">
        <v>24</v>
      </c>
    </row>
    <row r="6252" spans="1:18" x14ac:dyDescent="0.25">
      <c r="A6252">
        <v>2024</v>
      </c>
      <c r="B6252">
        <v>11</v>
      </c>
      <c r="C6252" s="1" t="s">
        <v>34</v>
      </c>
      <c r="D6252" s="1" t="s">
        <v>19</v>
      </c>
      <c r="E6252" s="1" t="s">
        <v>71</v>
      </c>
      <c r="F6252">
        <v>2012</v>
      </c>
      <c r="G6252">
        <v>12</v>
      </c>
      <c r="H6252" s="1" t="s">
        <v>21</v>
      </c>
      <c r="I6252">
        <v>20</v>
      </c>
      <c r="J6252">
        <v>2704</v>
      </c>
      <c r="K6252" s="1" t="s">
        <v>72</v>
      </c>
      <c r="L6252" s="1" t="s">
        <v>64</v>
      </c>
      <c r="M6252">
        <v>0.94899999999999995</v>
      </c>
      <c r="N6252">
        <v>18982.099999999999</v>
      </c>
      <c r="O6252">
        <v>18.981999999999999</v>
      </c>
      <c r="P6252" s="2">
        <v>45597</v>
      </c>
      <c r="Q6252">
        <v>1</v>
      </c>
      <c r="R6252" s="1" t="s">
        <v>24</v>
      </c>
    </row>
    <row r="6253" spans="1:18" x14ac:dyDescent="0.25">
      <c r="A6253">
        <v>2024</v>
      </c>
      <c r="B6253">
        <v>12</v>
      </c>
      <c r="C6253" s="1" t="s">
        <v>35</v>
      </c>
      <c r="D6253" s="1" t="s">
        <v>19</v>
      </c>
      <c r="E6253" s="1" t="s">
        <v>71</v>
      </c>
      <c r="F6253">
        <v>2012</v>
      </c>
      <c r="G6253">
        <v>12</v>
      </c>
      <c r="H6253" s="1" t="s">
        <v>21</v>
      </c>
      <c r="I6253">
        <v>20</v>
      </c>
      <c r="J6253">
        <v>2704</v>
      </c>
      <c r="K6253" s="1" t="s">
        <v>72</v>
      </c>
      <c r="L6253" s="1" t="s">
        <v>64</v>
      </c>
      <c r="M6253">
        <v>1.2150000000000001</v>
      </c>
      <c r="N6253">
        <v>24295.4</v>
      </c>
      <c r="O6253">
        <v>24.295000000000002</v>
      </c>
      <c r="P6253" s="2">
        <v>45627</v>
      </c>
      <c r="Q6253">
        <v>1</v>
      </c>
      <c r="R6253" s="1" t="s">
        <v>24</v>
      </c>
    </row>
    <row r="6254" spans="1:18" x14ac:dyDescent="0.25">
      <c r="A6254">
        <v>2024</v>
      </c>
      <c r="B6254">
        <v>1</v>
      </c>
      <c r="C6254" s="1" t="s">
        <v>18</v>
      </c>
      <c r="D6254" s="1" t="s">
        <v>19</v>
      </c>
      <c r="E6254" s="1" t="s">
        <v>73</v>
      </c>
      <c r="F6254">
        <v>2012</v>
      </c>
      <c r="G6254">
        <v>12</v>
      </c>
      <c r="H6254" s="1" t="s">
        <v>21</v>
      </c>
      <c r="I6254">
        <v>14</v>
      </c>
      <c r="J6254">
        <v>1833</v>
      </c>
      <c r="K6254" s="1" t="s">
        <v>74</v>
      </c>
      <c r="L6254" s="1" t="s">
        <v>64</v>
      </c>
      <c r="M6254">
        <v>1.3129999999999999</v>
      </c>
      <c r="N6254">
        <v>18380.400000000001</v>
      </c>
      <c r="O6254">
        <v>18.38</v>
      </c>
      <c r="P6254" s="2">
        <v>45292</v>
      </c>
      <c r="Q6254">
        <v>1</v>
      </c>
      <c r="R6254" s="1" t="s">
        <v>24</v>
      </c>
    </row>
    <row r="6255" spans="1:18" x14ac:dyDescent="0.25">
      <c r="A6255">
        <v>2024</v>
      </c>
      <c r="B6255">
        <v>2</v>
      </c>
      <c r="C6255" s="1" t="s">
        <v>25</v>
      </c>
      <c r="D6255" s="1" t="s">
        <v>19</v>
      </c>
      <c r="E6255" s="1" t="s">
        <v>73</v>
      </c>
      <c r="F6255">
        <v>2012</v>
      </c>
      <c r="G6255">
        <v>12</v>
      </c>
      <c r="H6255" s="1" t="s">
        <v>21</v>
      </c>
      <c r="I6255">
        <v>14</v>
      </c>
      <c r="J6255">
        <v>1833</v>
      </c>
      <c r="K6255" s="1" t="s">
        <v>74</v>
      </c>
      <c r="L6255" s="1" t="s">
        <v>64</v>
      </c>
      <c r="M6255">
        <v>1.391</v>
      </c>
      <c r="N6255">
        <v>19480.2</v>
      </c>
      <c r="O6255">
        <v>19.48</v>
      </c>
      <c r="P6255" s="2">
        <v>45323</v>
      </c>
      <c r="Q6255">
        <v>1</v>
      </c>
      <c r="R6255" s="1" t="s">
        <v>24</v>
      </c>
    </row>
    <row r="6256" spans="1:18" x14ac:dyDescent="0.25">
      <c r="A6256">
        <v>2024</v>
      </c>
      <c r="B6256">
        <v>3</v>
      </c>
      <c r="C6256" s="1" t="s">
        <v>26</v>
      </c>
      <c r="D6256" s="1" t="s">
        <v>19</v>
      </c>
      <c r="E6256" s="1" t="s">
        <v>73</v>
      </c>
      <c r="F6256">
        <v>2012</v>
      </c>
      <c r="G6256">
        <v>12</v>
      </c>
      <c r="H6256" s="1" t="s">
        <v>21</v>
      </c>
      <c r="I6256">
        <v>14</v>
      </c>
      <c r="J6256">
        <v>1833</v>
      </c>
      <c r="K6256" s="1" t="s">
        <v>74</v>
      </c>
      <c r="L6256" s="1" t="s">
        <v>64</v>
      </c>
      <c r="M6256">
        <v>1.883</v>
      </c>
      <c r="N6256">
        <v>26367.7</v>
      </c>
      <c r="O6256">
        <v>26.367999999999999</v>
      </c>
      <c r="P6256" s="2">
        <v>45352</v>
      </c>
      <c r="Q6256">
        <v>1</v>
      </c>
      <c r="R6256" s="1" t="s">
        <v>24</v>
      </c>
    </row>
    <row r="6257" spans="1:18" x14ac:dyDescent="0.25">
      <c r="A6257">
        <v>2024</v>
      </c>
      <c r="B6257">
        <v>4</v>
      </c>
      <c r="C6257" s="1" t="s">
        <v>27</v>
      </c>
      <c r="D6257" s="1" t="s">
        <v>19</v>
      </c>
      <c r="E6257" s="1" t="s">
        <v>73</v>
      </c>
      <c r="F6257">
        <v>2012</v>
      </c>
      <c r="G6257">
        <v>12</v>
      </c>
      <c r="H6257" s="1" t="s">
        <v>21</v>
      </c>
      <c r="I6257">
        <v>14</v>
      </c>
      <c r="J6257">
        <v>1833</v>
      </c>
      <c r="K6257" s="1" t="s">
        <v>74</v>
      </c>
      <c r="L6257" s="1" t="s">
        <v>64</v>
      </c>
      <c r="M6257">
        <v>1.72</v>
      </c>
      <c r="N6257">
        <v>24085.599999999999</v>
      </c>
      <c r="O6257">
        <v>24.085999999999999</v>
      </c>
      <c r="P6257" s="2">
        <v>45383</v>
      </c>
      <c r="Q6257">
        <v>1</v>
      </c>
      <c r="R6257" s="1" t="s">
        <v>24</v>
      </c>
    </row>
    <row r="6258" spans="1:18" x14ac:dyDescent="0.25">
      <c r="A6258">
        <v>2024</v>
      </c>
      <c r="B6258">
        <v>5</v>
      </c>
      <c r="C6258" s="1" t="s">
        <v>28</v>
      </c>
      <c r="D6258" s="1" t="s">
        <v>19</v>
      </c>
      <c r="E6258" s="1" t="s">
        <v>73</v>
      </c>
      <c r="F6258">
        <v>2012</v>
      </c>
      <c r="G6258">
        <v>12</v>
      </c>
      <c r="H6258" s="1" t="s">
        <v>21</v>
      </c>
      <c r="I6258">
        <v>14</v>
      </c>
      <c r="J6258">
        <v>1833</v>
      </c>
      <c r="K6258" s="1" t="s">
        <v>74</v>
      </c>
      <c r="L6258" s="1" t="s">
        <v>64</v>
      </c>
      <c r="M6258">
        <v>1.9990000000000001</v>
      </c>
      <c r="N6258">
        <v>27989.9</v>
      </c>
      <c r="O6258">
        <v>27.99</v>
      </c>
      <c r="P6258" s="2">
        <v>45413</v>
      </c>
      <c r="Q6258">
        <v>1</v>
      </c>
      <c r="R6258" s="1" t="s">
        <v>24</v>
      </c>
    </row>
    <row r="6259" spans="1:18" x14ac:dyDescent="0.25">
      <c r="A6259">
        <v>2024</v>
      </c>
      <c r="B6259">
        <v>6</v>
      </c>
      <c r="C6259" s="1" t="s">
        <v>29</v>
      </c>
      <c r="D6259" s="1" t="s">
        <v>19</v>
      </c>
      <c r="E6259" s="1" t="s">
        <v>73</v>
      </c>
      <c r="F6259">
        <v>2012</v>
      </c>
      <c r="G6259">
        <v>12</v>
      </c>
      <c r="H6259" s="1" t="s">
        <v>21</v>
      </c>
      <c r="I6259">
        <v>14</v>
      </c>
      <c r="J6259">
        <v>1833</v>
      </c>
      <c r="K6259" s="1" t="s">
        <v>74</v>
      </c>
      <c r="L6259" s="1" t="s">
        <v>64</v>
      </c>
      <c r="M6259">
        <v>2.1890000000000001</v>
      </c>
      <c r="N6259">
        <v>30643.200000000001</v>
      </c>
      <c r="O6259">
        <v>30.643000000000001</v>
      </c>
      <c r="P6259" s="2">
        <v>45444</v>
      </c>
      <c r="Q6259">
        <v>1</v>
      </c>
      <c r="R6259" s="1" t="s">
        <v>24</v>
      </c>
    </row>
    <row r="6260" spans="1:18" x14ac:dyDescent="0.25">
      <c r="A6260">
        <v>2024</v>
      </c>
      <c r="B6260">
        <v>7</v>
      </c>
      <c r="C6260" s="1" t="s">
        <v>30</v>
      </c>
      <c r="D6260" s="1" t="s">
        <v>19</v>
      </c>
      <c r="E6260" s="1" t="s">
        <v>73</v>
      </c>
      <c r="F6260">
        <v>2012</v>
      </c>
      <c r="G6260">
        <v>12</v>
      </c>
      <c r="H6260" s="1" t="s">
        <v>21</v>
      </c>
      <c r="I6260">
        <v>14</v>
      </c>
      <c r="J6260">
        <v>1833</v>
      </c>
      <c r="K6260" s="1" t="s">
        <v>74</v>
      </c>
      <c r="L6260" s="1" t="s">
        <v>64</v>
      </c>
      <c r="M6260">
        <v>2.0049999999999999</v>
      </c>
      <c r="N6260">
        <v>28072.400000000001</v>
      </c>
      <c r="O6260">
        <v>28.071999999999999</v>
      </c>
      <c r="P6260" s="2">
        <v>45474</v>
      </c>
      <c r="Q6260">
        <v>1</v>
      </c>
      <c r="R6260" s="1" t="s">
        <v>24</v>
      </c>
    </row>
    <row r="6261" spans="1:18" x14ac:dyDescent="0.25">
      <c r="A6261">
        <v>2024</v>
      </c>
      <c r="B6261">
        <v>8</v>
      </c>
      <c r="C6261" s="1" t="s">
        <v>31</v>
      </c>
      <c r="D6261" s="1" t="s">
        <v>19</v>
      </c>
      <c r="E6261" s="1" t="s">
        <v>73</v>
      </c>
      <c r="F6261">
        <v>2012</v>
      </c>
      <c r="G6261">
        <v>12</v>
      </c>
      <c r="H6261" s="1" t="s">
        <v>21</v>
      </c>
      <c r="I6261">
        <v>14</v>
      </c>
      <c r="J6261">
        <v>1833</v>
      </c>
      <c r="K6261" s="1" t="s">
        <v>74</v>
      </c>
      <c r="L6261" s="1" t="s">
        <v>64</v>
      </c>
      <c r="M6261">
        <v>1.8129999999999999</v>
      </c>
      <c r="N6261">
        <v>25377.9</v>
      </c>
      <c r="O6261">
        <v>25.378</v>
      </c>
      <c r="P6261" s="2">
        <v>45505</v>
      </c>
      <c r="Q6261">
        <v>1</v>
      </c>
      <c r="R6261" s="1" t="s">
        <v>24</v>
      </c>
    </row>
    <row r="6262" spans="1:18" x14ac:dyDescent="0.25">
      <c r="A6262">
        <v>2024</v>
      </c>
      <c r="B6262">
        <v>9</v>
      </c>
      <c r="C6262" s="1" t="s">
        <v>32</v>
      </c>
      <c r="D6262" s="1" t="s">
        <v>19</v>
      </c>
      <c r="E6262" s="1" t="s">
        <v>73</v>
      </c>
      <c r="F6262">
        <v>2012</v>
      </c>
      <c r="G6262">
        <v>12</v>
      </c>
      <c r="H6262" s="1" t="s">
        <v>21</v>
      </c>
      <c r="I6262">
        <v>14</v>
      </c>
      <c r="J6262">
        <v>1833</v>
      </c>
      <c r="K6262" s="1" t="s">
        <v>74</v>
      </c>
      <c r="L6262" s="1" t="s">
        <v>64</v>
      </c>
      <c r="M6262">
        <v>1.9610000000000001</v>
      </c>
      <c r="N6262">
        <v>27453.8</v>
      </c>
      <c r="O6262">
        <v>27.454000000000001</v>
      </c>
      <c r="P6262" s="2">
        <v>45536</v>
      </c>
      <c r="Q6262">
        <v>1</v>
      </c>
      <c r="R6262" s="1" t="s">
        <v>24</v>
      </c>
    </row>
    <row r="6263" spans="1:18" x14ac:dyDescent="0.25">
      <c r="A6263">
        <v>2024</v>
      </c>
      <c r="B6263">
        <v>10</v>
      </c>
      <c r="C6263" s="1" t="s">
        <v>33</v>
      </c>
      <c r="D6263" s="1" t="s">
        <v>19</v>
      </c>
      <c r="E6263" s="1" t="s">
        <v>73</v>
      </c>
      <c r="F6263">
        <v>2012</v>
      </c>
      <c r="G6263">
        <v>12</v>
      </c>
      <c r="H6263" s="1" t="s">
        <v>21</v>
      </c>
      <c r="I6263">
        <v>14</v>
      </c>
      <c r="J6263">
        <v>1833</v>
      </c>
      <c r="K6263" s="1" t="s">
        <v>74</v>
      </c>
      <c r="L6263" s="1" t="s">
        <v>64</v>
      </c>
      <c r="M6263">
        <v>1.2949999999999999</v>
      </c>
      <c r="N6263">
        <v>18133</v>
      </c>
      <c r="O6263">
        <v>18.132999999999999</v>
      </c>
      <c r="P6263" s="2">
        <v>45566</v>
      </c>
      <c r="Q6263">
        <v>1</v>
      </c>
      <c r="R6263" s="1" t="s">
        <v>24</v>
      </c>
    </row>
    <row r="6264" spans="1:18" x14ac:dyDescent="0.25">
      <c r="A6264">
        <v>2024</v>
      </c>
      <c r="B6264">
        <v>11</v>
      </c>
      <c r="C6264" s="1" t="s">
        <v>34</v>
      </c>
      <c r="D6264" s="1" t="s">
        <v>19</v>
      </c>
      <c r="E6264" s="1" t="s">
        <v>73</v>
      </c>
      <c r="F6264">
        <v>2012</v>
      </c>
      <c r="G6264">
        <v>12</v>
      </c>
      <c r="H6264" s="1" t="s">
        <v>21</v>
      </c>
      <c r="I6264">
        <v>14</v>
      </c>
      <c r="J6264">
        <v>1833</v>
      </c>
      <c r="K6264" s="1" t="s">
        <v>74</v>
      </c>
      <c r="L6264" s="1" t="s">
        <v>64</v>
      </c>
      <c r="M6264">
        <v>0.91900000000000004</v>
      </c>
      <c r="N6264">
        <v>12867.7</v>
      </c>
      <c r="O6264">
        <v>12.868</v>
      </c>
      <c r="P6264" s="2">
        <v>45597</v>
      </c>
      <c r="Q6264">
        <v>1</v>
      </c>
      <c r="R6264" s="1" t="s">
        <v>24</v>
      </c>
    </row>
    <row r="6265" spans="1:18" x14ac:dyDescent="0.25">
      <c r="A6265">
        <v>2024</v>
      </c>
      <c r="B6265">
        <v>12</v>
      </c>
      <c r="C6265" s="1" t="s">
        <v>35</v>
      </c>
      <c r="D6265" s="1" t="s">
        <v>19</v>
      </c>
      <c r="E6265" s="1" t="s">
        <v>73</v>
      </c>
      <c r="F6265">
        <v>2012</v>
      </c>
      <c r="G6265">
        <v>12</v>
      </c>
      <c r="H6265" s="1" t="s">
        <v>21</v>
      </c>
      <c r="I6265">
        <v>14</v>
      </c>
      <c r="J6265">
        <v>1833</v>
      </c>
      <c r="K6265" s="1" t="s">
        <v>74</v>
      </c>
      <c r="L6265" s="1" t="s">
        <v>64</v>
      </c>
      <c r="M6265">
        <v>1.1759999999999999</v>
      </c>
      <c r="N6265">
        <v>16469.5</v>
      </c>
      <c r="O6265">
        <v>16.47</v>
      </c>
      <c r="P6265" s="2">
        <v>45627</v>
      </c>
      <c r="Q6265">
        <v>1</v>
      </c>
      <c r="R6265" s="1" t="s">
        <v>24</v>
      </c>
    </row>
    <row r="6266" spans="1:18" x14ac:dyDescent="0.25">
      <c r="A6266">
        <v>2024</v>
      </c>
      <c r="B6266">
        <v>1</v>
      </c>
      <c r="C6266" s="1" t="s">
        <v>18</v>
      </c>
      <c r="D6266" s="1" t="s">
        <v>19</v>
      </c>
      <c r="E6266" s="1" t="s">
        <v>75</v>
      </c>
      <c r="F6266">
        <v>2012</v>
      </c>
      <c r="G6266">
        <v>12</v>
      </c>
      <c r="H6266" s="1" t="s">
        <v>21</v>
      </c>
      <c r="I6266">
        <v>20</v>
      </c>
      <c r="J6266">
        <v>1990</v>
      </c>
      <c r="K6266" s="1" t="s">
        <v>76</v>
      </c>
      <c r="L6266" s="1" t="s">
        <v>64</v>
      </c>
      <c r="M6266">
        <v>1.0229999999999999</v>
      </c>
      <c r="N6266">
        <v>20456.099999999999</v>
      </c>
      <c r="O6266">
        <v>20.456</v>
      </c>
      <c r="P6266" s="2">
        <v>45292</v>
      </c>
      <c r="Q6266">
        <v>1</v>
      </c>
      <c r="R6266" s="1" t="s">
        <v>24</v>
      </c>
    </row>
    <row r="6267" spans="1:18" x14ac:dyDescent="0.25">
      <c r="A6267">
        <v>2024</v>
      </c>
      <c r="B6267">
        <v>2</v>
      </c>
      <c r="C6267" s="1" t="s">
        <v>25</v>
      </c>
      <c r="D6267" s="1" t="s">
        <v>19</v>
      </c>
      <c r="E6267" s="1" t="s">
        <v>75</v>
      </c>
      <c r="F6267">
        <v>2012</v>
      </c>
      <c r="G6267">
        <v>12</v>
      </c>
      <c r="H6267" s="1" t="s">
        <v>21</v>
      </c>
      <c r="I6267">
        <v>20</v>
      </c>
      <c r="J6267">
        <v>1990</v>
      </c>
      <c r="K6267" s="1" t="s">
        <v>76</v>
      </c>
      <c r="L6267" s="1" t="s">
        <v>64</v>
      </c>
      <c r="M6267">
        <v>1.0840000000000001</v>
      </c>
      <c r="N6267">
        <v>21680.1</v>
      </c>
      <c r="O6267">
        <v>21.68</v>
      </c>
      <c r="P6267" s="2">
        <v>45323</v>
      </c>
      <c r="Q6267">
        <v>1</v>
      </c>
      <c r="R6267" s="1" t="s">
        <v>24</v>
      </c>
    </row>
    <row r="6268" spans="1:18" x14ac:dyDescent="0.25">
      <c r="A6268">
        <v>2024</v>
      </c>
      <c r="B6268">
        <v>3</v>
      </c>
      <c r="C6268" s="1" t="s">
        <v>26</v>
      </c>
      <c r="D6268" s="1" t="s">
        <v>19</v>
      </c>
      <c r="E6268" s="1" t="s">
        <v>75</v>
      </c>
      <c r="F6268">
        <v>2012</v>
      </c>
      <c r="G6268">
        <v>12</v>
      </c>
      <c r="H6268" s="1" t="s">
        <v>21</v>
      </c>
      <c r="I6268">
        <v>20</v>
      </c>
      <c r="J6268">
        <v>1990</v>
      </c>
      <c r="K6268" s="1" t="s">
        <v>76</v>
      </c>
      <c r="L6268" s="1" t="s">
        <v>64</v>
      </c>
      <c r="M6268">
        <v>1.4670000000000001</v>
      </c>
      <c r="N6268">
        <v>29345.4</v>
      </c>
      <c r="O6268">
        <v>29.344999999999999</v>
      </c>
      <c r="P6268" s="2">
        <v>45352</v>
      </c>
      <c r="Q6268">
        <v>1</v>
      </c>
      <c r="R6268" s="1" t="s">
        <v>24</v>
      </c>
    </row>
    <row r="6269" spans="1:18" x14ac:dyDescent="0.25">
      <c r="A6269">
        <v>2024</v>
      </c>
      <c r="B6269">
        <v>4</v>
      </c>
      <c r="C6269" s="1" t="s">
        <v>27</v>
      </c>
      <c r="D6269" s="1" t="s">
        <v>19</v>
      </c>
      <c r="E6269" s="1" t="s">
        <v>75</v>
      </c>
      <c r="F6269">
        <v>2012</v>
      </c>
      <c r="G6269">
        <v>12</v>
      </c>
      <c r="H6269" s="1" t="s">
        <v>21</v>
      </c>
      <c r="I6269">
        <v>20</v>
      </c>
      <c r="J6269">
        <v>1990</v>
      </c>
      <c r="K6269" s="1" t="s">
        <v>76</v>
      </c>
      <c r="L6269" s="1" t="s">
        <v>64</v>
      </c>
      <c r="M6269">
        <v>1.34</v>
      </c>
      <c r="N6269">
        <v>26805.599999999999</v>
      </c>
      <c r="O6269">
        <v>26.806000000000001</v>
      </c>
      <c r="P6269" s="2">
        <v>45383</v>
      </c>
      <c r="Q6269">
        <v>1</v>
      </c>
      <c r="R6269" s="1" t="s">
        <v>24</v>
      </c>
    </row>
    <row r="6270" spans="1:18" x14ac:dyDescent="0.25">
      <c r="A6270">
        <v>2024</v>
      </c>
      <c r="B6270">
        <v>5</v>
      </c>
      <c r="C6270" s="1" t="s">
        <v>28</v>
      </c>
      <c r="D6270" s="1" t="s">
        <v>19</v>
      </c>
      <c r="E6270" s="1" t="s">
        <v>75</v>
      </c>
      <c r="F6270">
        <v>2012</v>
      </c>
      <c r="G6270">
        <v>12</v>
      </c>
      <c r="H6270" s="1" t="s">
        <v>21</v>
      </c>
      <c r="I6270">
        <v>20</v>
      </c>
      <c r="J6270">
        <v>1990</v>
      </c>
      <c r="K6270" s="1" t="s">
        <v>76</v>
      </c>
      <c r="L6270" s="1" t="s">
        <v>64</v>
      </c>
      <c r="M6270">
        <v>1.5580000000000001</v>
      </c>
      <c r="N6270">
        <v>31150.799999999999</v>
      </c>
      <c r="O6270">
        <v>31.151</v>
      </c>
      <c r="P6270" s="2">
        <v>45413</v>
      </c>
      <c r="Q6270">
        <v>1</v>
      </c>
      <c r="R6270" s="1" t="s">
        <v>24</v>
      </c>
    </row>
    <row r="6271" spans="1:18" x14ac:dyDescent="0.25">
      <c r="A6271">
        <v>2024</v>
      </c>
      <c r="B6271">
        <v>6</v>
      </c>
      <c r="C6271" s="1" t="s">
        <v>29</v>
      </c>
      <c r="D6271" s="1" t="s">
        <v>19</v>
      </c>
      <c r="E6271" s="1" t="s">
        <v>75</v>
      </c>
      <c r="F6271">
        <v>2012</v>
      </c>
      <c r="G6271">
        <v>12</v>
      </c>
      <c r="H6271" s="1" t="s">
        <v>21</v>
      </c>
      <c r="I6271">
        <v>20</v>
      </c>
      <c r="J6271">
        <v>1990</v>
      </c>
      <c r="K6271" s="1" t="s">
        <v>76</v>
      </c>
      <c r="L6271" s="1" t="s">
        <v>64</v>
      </c>
      <c r="M6271">
        <v>1.7050000000000001</v>
      </c>
      <c r="N6271">
        <v>34103.699999999997</v>
      </c>
      <c r="O6271">
        <v>34.103999999999999</v>
      </c>
      <c r="P6271" s="2">
        <v>45444</v>
      </c>
      <c r="Q6271">
        <v>1</v>
      </c>
      <c r="R6271" s="1" t="s">
        <v>24</v>
      </c>
    </row>
    <row r="6272" spans="1:18" x14ac:dyDescent="0.25">
      <c r="A6272">
        <v>2024</v>
      </c>
      <c r="B6272">
        <v>7</v>
      </c>
      <c r="C6272" s="1" t="s">
        <v>30</v>
      </c>
      <c r="D6272" s="1" t="s">
        <v>19</v>
      </c>
      <c r="E6272" s="1" t="s">
        <v>75</v>
      </c>
      <c r="F6272">
        <v>2012</v>
      </c>
      <c r="G6272">
        <v>12</v>
      </c>
      <c r="H6272" s="1" t="s">
        <v>21</v>
      </c>
      <c r="I6272">
        <v>20</v>
      </c>
      <c r="J6272">
        <v>1990</v>
      </c>
      <c r="K6272" s="1" t="s">
        <v>76</v>
      </c>
      <c r="L6272" s="1" t="s">
        <v>64</v>
      </c>
      <c r="M6272">
        <v>1.5620000000000001</v>
      </c>
      <c r="N6272">
        <v>31242.6</v>
      </c>
      <c r="O6272">
        <v>31.242999999999999</v>
      </c>
      <c r="P6272" s="2">
        <v>45474</v>
      </c>
      <c r="Q6272">
        <v>1</v>
      </c>
      <c r="R6272" s="1" t="s">
        <v>24</v>
      </c>
    </row>
    <row r="6273" spans="1:18" x14ac:dyDescent="0.25">
      <c r="A6273">
        <v>2024</v>
      </c>
      <c r="B6273">
        <v>8</v>
      </c>
      <c r="C6273" s="1" t="s">
        <v>31</v>
      </c>
      <c r="D6273" s="1" t="s">
        <v>19</v>
      </c>
      <c r="E6273" s="1" t="s">
        <v>75</v>
      </c>
      <c r="F6273">
        <v>2012</v>
      </c>
      <c r="G6273">
        <v>12</v>
      </c>
      <c r="H6273" s="1" t="s">
        <v>21</v>
      </c>
      <c r="I6273">
        <v>20</v>
      </c>
      <c r="J6273">
        <v>1990</v>
      </c>
      <c r="K6273" s="1" t="s">
        <v>76</v>
      </c>
      <c r="L6273" s="1" t="s">
        <v>64</v>
      </c>
      <c r="M6273">
        <v>1.4119999999999999</v>
      </c>
      <c r="N6273">
        <v>28243.8</v>
      </c>
      <c r="O6273">
        <v>28.244</v>
      </c>
      <c r="P6273" s="2">
        <v>45505</v>
      </c>
      <c r="Q6273">
        <v>1</v>
      </c>
      <c r="R6273" s="1" t="s">
        <v>24</v>
      </c>
    </row>
    <row r="6274" spans="1:18" x14ac:dyDescent="0.25">
      <c r="A6274">
        <v>2024</v>
      </c>
      <c r="B6274">
        <v>9</v>
      </c>
      <c r="C6274" s="1" t="s">
        <v>32</v>
      </c>
      <c r="D6274" s="1" t="s">
        <v>19</v>
      </c>
      <c r="E6274" s="1" t="s">
        <v>75</v>
      </c>
      <c r="F6274">
        <v>2012</v>
      </c>
      <c r="G6274">
        <v>12</v>
      </c>
      <c r="H6274" s="1" t="s">
        <v>21</v>
      </c>
      <c r="I6274">
        <v>20</v>
      </c>
      <c r="J6274">
        <v>1990</v>
      </c>
      <c r="K6274" s="1" t="s">
        <v>76</v>
      </c>
      <c r="L6274" s="1" t="s">
        <v>64</v>
      </c>
      <c r="M6274">
        <v>1.528</v>
      </c>
      <c r="N6274">
        <v>30554.1</v>
      </c>
      <c r="O6274">
        <v>30.553999999999998</v>
      </c>
      <c r="P6274" s="2">
        <v>45536</v>
      </c>
      <c r="Q6274">
        <v>1</v>
      </c>
      <c r="R6274" s="1" t="s">
        <v>24</v>
      </c>
    </row>
    <row r="6275" spans="1:18" x14ac:dyDescent="0.25">
      <c r="A6275">
        <v>2024</v>
      </c>
      <c r="B6275">
        <v>10</v>
      </c>
      <c r="C6275" s="1" t="s">
        <v>33</v>
      </c>
      <c r="D6275" s="1" t="s">
        <v>19</v>
      </c>
      <c r="E6275" s="1" t="s">
        <v>75</v>
      </c>
      <c r="F6275">
        <v>2012</v>
      </c>
      <c r="G6275">
        <v>12</v>
      </c>
      <c r="H6275" s="1" t="s">
        <v>21</v>
      </c>
      <c r="I6275">
        <v>20</v>
      </c>
      <c r="J6275">
        <v>1990</v>
      </c>
      <c r="K6275" s="1" t="s">
        <v>76</v>
      </c>
      <c r="L6275" s="1" t="s">
        <v>64</v>
      </c>
      <c r="M6275">
        <v>1.0089999999999999</v>
      </c>
      <c r="N6275">
        <v>20180.7</v>
      </c>
      <c r="O6275">
        <v>20.181000000000001</v>
      </c>
      <c r="P6275" s="2">
        <v>45566</v>
      </c>
      <c r="Q6275">
        <v>1</v>
      </c>
      <c r="R6275" s="1" t="s">
        <v>24</v>
      </c>
    </row>
    <row r="6276" spans="1:18" x14ac:dyDescent="0.25">
      <c r="A6276">
        <v>2024</v>
      </c>
      <c r="B6276">
        <v>11</v>
      </c>
      <c r="C6276" s="1" t="s">
        <v>34</v>
      </c>
      <c r="D6276" s="1" t="s">
        <v>19</v>
      </c>
      <c r="E6276" s="1" t="s">
        <v>75</v>
      </c>
      <c r="F6276">
        <v>2012</v>
      </c>
      <c r="G6276">
        <v>12</v>
      </c>
      <c r="H6276" s="1" t="s">
        <v>21</v>
      </c>
      <c r="I6276">
        <v>20</v>
      </c>
      <c r="J6276">
        <v>1990</v>
      </c>
      <c r="K6276" s="1" t="s">
        <v>76</v>
      </c>
      <c r="L6276" s="1" t="s">
        <v>64</v>
      </c>
      <c r="M6276">
        <v>0.71599999999999997</v>
      </c>
      <c r="N6276">
        <v>14320.8</v>
      </c>
      <c r="O6276">
        <v>14.321</v>
      </c>
      <c r="P6276" s="2">
        <v>45597</v>
      </c>
      <c r="Q6276">
        <v>1</v>
      </c>
      <c r="R6276" s="1" t="s">
        <v>24</v>
      </c>
    </row>
    <row r="6277" spans="1:18" x14ac:dyDescent="0.25">
      <c r="A6277">
        <v>2024</v>
      </c>
      <c r="B6277">
        <v>12</v>
      </c>
      <c r="C6277" s="1" t="s">
        <v>35</v>
      </c>
      <c r="D6277" s="1" t="s">
        <v>19</v>
      </c>
      <c r="E6277" s="1" t="s">
        <v>75</v>
      </c>
      <c r="F6277">
        <v>2012</v>
      </c>
      <c r="G6277">
        <v>12</v>
      </c>
      <c r="H6277" s="1" t="s">
        <v>21</v>
      </c>
      <c r="I6277">
        <v>20</v>
      </c>
      <c r="J6277">
        <v>1990</v>
      </c>
      <c r="K6277" s="1" t="s">
        <v>76</v>
      </c>
      <c r="L6277" s="1" t="s">
        <v>64</v>
      </c>
      <c r="M6277">
        <v>0.91600000000000004</v>
      </c>
      <c r="N6277">
        <v>18329.400000000001</v>
      </c>
      <c r="O6277">
        <v>18.329000000000001</v>
      </c>
      <c r="P6277" s="2">
        <v>45627</v>
      </c>
      <c r="Q6277">
        <v>1</v>
      </c>
      <c r="R6277" s="1" t="s">
        <v>24</v>
      </c>
    </row>
    <row r="6278" spans="1:18" x14ac:dyDescent="0.25">
      <c r="A6278">
        <v>2024</v>
      </c>
      <c r="B6278">
        <v>1</v>
      </c>
      <c r="C6278" s="1" t="s">
        <v>18</v>
      </c>
      <c r="D6278" s="1" t="s">
        <v>19</v>
      </c>
      <c r="E6278" s="1" t="s">
        <v>77</v>
      </c>
      <c r="F6278">
        <v>2012</v>
      </c>
      <c r="G6278">
        <v>12</v>
      </c>
      <c r="H6278" s="1" t="s">
        <v>21</v>
      </c>
      <c r="I6278">
        <v>22</v>
      </c>
      <c r="J6278">
        <v>2606</v>
      </c>
      <c r="K6278" s="1" t="s">
        <v>78</v>
      </c>
      <c r="L6278" s="1" t="s">
        <v>64</v>
      </c>
      <c r="M6278">
        <v>1.1879999999999999</v>
      </c>
      <c r="N6278">
        <v>26131.7</v>
      </c>
      <c r="O6278">
        <v>26.132000000000001</v>
      </c>
      <c r="P6278" s="2">
        <v>45292</v>
      </c>
      <c r="Q6278">
        <v>1</v>
      </c>
      <c r="R6278" s="1" t="s">
        <v>24</v>
      </c>
    </row>
    <row r="6279" spans="1:18" x14ac:dyDescent="0.25">
      <c r="A6279">
        <v>2024</v>
      </c>
      <c r="B6279">
        <v>2</v>
      </c>
      <c r="C6279" s="1" t="s">
        <v>25</v>
      </c>
      <c r="D6279" s="1" t="s">
        <v>19</v>
      </c>
      <c r="E6279" s="1" t="s">
        <v>77</v>
      </c>
      <c r="F6279">
        <v>2012</v>
      </c>
      <c r="G6279">
        <v>12</v>
      </c>
      <c r="H6279" s="1" t="s">
        <v>21</v>
      </c>
      <c r="I6279">
        <v>22</v>
      </c>
      <c r="J6279">
        <v>2606</v>
      </c>
      <c r="K6279" s="1" t="s">
        <v>78</v>
      </c>
      <c r="L6279" s="1" t="s">
        <v>64</v>
      </c>
      <c r="M6279">
        <v>1.2589999999999999</v>
      </c>
      <c r="N6279">
        <v>27695.3</v>
      </c>
      <c r="O6279">
        <v>27.695</v>
      </c>
      <c r="P6279" s="2">
        <v>45323</v>
      </c>
      <c r="Q6279">
        <v>1</v>
      </c>
      <c r="R6279" s="1" t="s">
        <v>24</v>
      </c>
    </row>
    <row r="6280" spans="1:18" x14ac:dyDescent="0.25">
      <c r="A6280">
        <v>2024</v>
      </c>
      <c r="B6280">
        <v>3</v>
      </c>
      <c r="C6280" s="1" t="s">
        <v>26</v>
      </c>
      <c r="D6280" s="1" t="s">
        <v>19</v>
      </c>
      <c r="E6280" s="1" t="s">
        <v>77</v>
      </c>
      <c r="F6280">
        <v>2012</v>
      </c>
      <c r="G6280">
        <v>12</v>
      </c>
      <c r="H6280" s="1" t="s">
        <v>21</v>
      </c>
      <c r="I6280">
        <v>22</v>
      </c>
      <c r="J6280">
        <v>2606</v>
      </c>
      <c r="K6280" s="1" t="s">
        <v>78</v>
      </c>
      <c r="L6280" s="1" t="s">
        <v>64</v>
      </c>
      <c r="M6280">
        <v>1.704</v>
      </c>
      <c r="N6280">
        <v>37487.300000000003</v>
      </c>
      <c r="O6280">
        <v>37.487000000000002</v>
      </c>
      <c r="P6280" s="2">
        <v>45352</v>
      </c>
      <c r="Q6280">
        <v>1</v>
      </c>
      <c r="R6280" s="1" t="s">
        <v>24</v>
      </c>
    </row>
    <row r="6281" spans="1:18" x14ac:dyDescent="0.25">
      <c r="A6281">
        <v>2024</v>
      </c>
      <c r="B6281">
        <v>4</v>
      </c>
      <c r="C6281" s="1" t="s">
        <v>27</v>
      </c>
      <c r="D6281" s="1" t="s">
        <v>19</v>
      </c>
      <c r="E6281" s="1" t="s">
        <v>77</v>
      </c>
      <c r="F6281">
        <v>2012</v>
      </c>
      <c r="G6281">
        <v>12</v>
      </c>
      <c r="H6281" s="1" t="s">
        <v>21</v>
      </c>
      <c r="I6281">
        <v>22</v>
      </c>
      <c r="J6281">
        <v>2606</v>
      </c>
      <c r="K6281" s="1" t="s">
        <v>78</v>
      </c>
      <c r="L6281" s="1" t="s">
        <v>64</v>
      </c>
      <c r="M6281">
        <v>1.556</v>
      </c>
      <c r="N6281">
        <v>34242.800000000003</v>
      </c>
      <c r="O6281">
        <v>34.243000000000002</v>
      </c>
      <c r="P6281" s="2">
        <v>45383</v>
      </c>
      <c r="Q6281">
        <v>1</v>
      </c>
      <c r="R6281" s="1" t="s">
        <v>24</v>
      </c>
    </row>
    <row r="6282" spans="1:18" x14ac:dyDescent="0.25">
      <c r="A6282">
        <v>2024</v>
      </c>
      <c r="B6282">
        <v>5</v>
      </c>
      <c r="C6282" s="1" t="s">
        <v>28</v>
      </c>
      <c r="D6282" s="1" t="s">
        <v>19</v>
      </c>
      <c r="E6282" s="1" t="s">
        <v>77</v>
      </c>
      <c r="F6282">
        <v>2012</v>
      </c>
      <c r="G6282">
        <v>12</v>
      </c>
      <c r="H6282" s="1" t="s">
        <v>21</v>
      </c>
      <c r="I6282">
        <v>22</v>
      </c>
      <c r="J6282">
        <v>2606</v>
      </c>
      <c r="K6282" s="1" t="s">
        <v>78</v>
      </c>
      <c r="L6282" s="1" t="s">
        <v>64</v>
      </c>
      <c r="M6282">
        <v>1.8089999999999999</v>
      </c>
      <c r="N6282">
        <v>39793.599999999999</v>
      </c>
      <c r="O6282">
        <v>39.793999999999997</v>
      </c>
      <c r="P6282" s="2">
        <v>45413</v>
      </c>
      <c r="Q6282">
        <v>1</v>
      </c>
      <c r="R6282" s="1" t="s">
        <v>24</v>
      </c>
    </row>
    <row r="6283" spans="1:18" x14ac:dyDescent="0.25">
      <c r="A6283">
        <v>2024</v>
      </c>
      <c r="B6283">
        <v>6</v>
      </c>
      <c r="C6283" s="1" t="s">
        <v>29</v>
      </c>
      <c r="D6283" s="1" t="s">
        <v>19</v>
      </c>
      <c r="E6283" s="1" t="s">
        <v>77</v>
      </c>
      <c r="F6283">
        <v>2012</v>
      </c>
      <c r="G6283">
        <v>12</v>
      </c>
      <c r="H6283" s="1" t="s">
        <v>21</v>
      </c>
      <c r="I6283">
        <v>22</v>
      </c>
      <c r="J6283">
        <v>2606</v>
      </c>
      <c r="K6283" s="1" t="s">
        <v>78</v>
      </c>
      <c r="L6283" s="1" t="s">
        <v>64</v>
      </c>
      <c r="M6283">
        <v>1.98</v>
      </c>
      <c r="N6283">
        <v>43565.8</v>
      </c>
      <c r="O6283">
        <v>43.566000000000003</v>
      </c>
      <c r="P6283" s="2">
        <v>45444</v>
      </c>
      <c r="Q6283">
        <v>1</v>
      </c>
      <c r="R6283" s="1" t="s">
        <v>24</v>
      </c>
    </row>
    <row r="6284" spans="1:18" x14ac:dyDescent="0.25">
      <c r="A6284">
        <v>2024</v>
      </c>
      <c r="B6284">
        <v>7</v>
      </c>
      <c r="C6284" s="1" t="s">
        <v>30</v>
      </c>
      <c r="D6284" s="1" t="s">
        <v>19</v>
      </c>
      <c r="E6284" s="1" t="s">
        <v>77</v>
      </c>
      <c r="F6284">
        <v>2012</v>
      </c>
      <c r="G6284">
        <v>12</v>
      </c>
      <c r="H6284" s="1" t="s">
        <v>21</v>
      </c>
      <c r="I6284">
        <v>22</v>
      </c>
      <c r="J6284">
        <v>2606</v>
      </c>
      <c r="K6284" s="1" t="s">
        <v>78</v>
      </c>
      <c r="L6284" s="1" t="s">
        <v>64</v>
      </c>
      <c r="M6284">
        <v>1.8140000000000001</v>
      </c>
      <c r="N6284">
        <v>39910.9</v>
      </c>
      <c r="O6284">
        <v>39.911000000000001</v>
      </c>
      <c r="P6284" s="2">
        <v>45474</v>
      </c>
      <c r="Q6284">
        <v>1</v>
      </c>
      <c r="R6284" s="1" t="s">
        <v>24</v>
      </c>
    </row>
    <row r="6285" spans="1:18" x14ac:dyDescent="0.25">
      <c r="A6285">
        <v>2024</v>
      </c>
      <c r="B6285">
        <v>8</v>
      </c>
      <c r="C6285" s="1" t="s">
        <v>31</v>
      </c>
      <c r="D6285" s="1" t="s">
        <v>19</v>
      </c>
      <c r="E6285" s="1" t="s">
        <v>77</v>
      </c>
      <c r="F6285">
        <v>2012</v>
      </c>
      <c r="G6285">
        <v>12</v>
      </c>
      <c r="H6285" s="1" t="s">
        <v>21</v>
      </c>
      <c r="I6285">
        <v>22</v>
      </c>
      <c r="J6285">
        <v>2606</v>
      </c>
      <c r="K6285" s="1" t="s">
        <v>78</v>
      </c>
      <c r="L6285" s="1" t="s">
        <v>64</v>
      </c>
      <c r="M6285">
        <v>1.64</v>
      </c>
      <c r="N6285">
        <v>36080.1</v>
      </c>
      <c r="O6285">
        <v>36.08</v>
      </c>
      <c r="P6285" s="2">
        <v>45505</v>
      </c>
      <c r="Q6285">
        <v>1</v>
      </c>
      <c r="R6285" s="1" t="s">
        <v>24</v>
      </c>
    </row>
    <row r="6286" spans="1:18" x14ac:dyDescent="0.25">
      <c r="A6286">
        <v>2024</v>
      </c>
      <c r="B6286">
        <v>9</v>
      </c>
      <c r="C6286" s="1" t="s">
        <v>32</v>
      </c>
      <c r="D6286" s="1" t="s">
        <v>19</v>
      </c>
      <c r="E6286" s="1" t="s">
        <v>77</v>
      </c>
      <c r="F6286">
        <v>2012</v>
      </c>
      <c r="G6286">
        <v>12</v>
      </c>
      <c r="H6286" s="1" t="s">
        <v>21</v>
      </c>
      <c r="I6286">
        <v>22</v>
      </c>
      <c r="J6286">
        <v>2606</v>
      </c>
      <c r="K6286" s="1" t="s">
        <v>78</v>
      </c>
      <c r="L6286" s="1" t="s">
        <v>64</v>
      </c>
      <c r="M6286">
        <v>1.774</v>
      </c>
      <c r="N6286">
        <v>39031.4</v>
      </c>
      <c r="O6286">
        <v>39.030999999999999</v>
      </c>
      <c r="P6286" s="2">
        <v>45536</v>
      </c>
      <c r="Q6286">
        <v>1</v>
      </c>
      <c r="R6286" s="1" t="s">
        <v>24</v>
      </c>
    </row>
    <row r="6287" spans="1:18" x14ac:dyDescent="0.25">
      <c r="A6287">
        <v>2024</v>
      </c>
      <c r="B6287">
        <v>10</v>
      </c>
      <c r="C6287" s="1" t="s">
        <v>33</v>
      </c>
      <c r="D6287" s="1" t="s">
        <v>19</v>
      </c>
      <c r="E6287" s="1" t="s">
        <v>77</v>
      </c>
      <c r="F6287">
        <v>2012</v>
      </c>
      <c r="G6287">
        <v>12</v>
      </c>
      <c r="H6287" s="1" t="s">
        <v>21</v>
      </c>
      <c r="I6287">
        <v>22</v>
      </c>
      <c r="J6287">
        <v>2606</v>
      </c>
      <c r="K6287" s="1" t="s">
        <v>78</v>
      </c>
      <c r="L6287" s="1" t="s">
        <v>64</v>
      </c>
      <c r="M6287">
        <v>1.1719999999999999</v>
      </c>
      <c r="N6287">
        <v>25779.9</v>
      </c>
      <c r="O6287">
        <v>25.78</v>
      </c>
      <c r="P6287" s="2">
        <v>45566</v>
      </c>
      <c r="Q6287">
        <v>1</v>
      </c>
      <c r="R6287" s="1" t="s">
        <v>24</v>
      </c>
    </row>
    <row r="6288" spans="1:18" x14ac:dyDescent="0.25">
      <c r="A6288">
        <v>2024</v>
      </c>
      <c r="B6288">
        <v>11</v>
      </c>
      <c r="C6288" s="1" t="s">
        <v>34</v>
      </c>
      <c r="D6288" s="1" t="s">
        <v>19</v>
      </c>
      <c r="E6288" s="1" t="s">
        <v>77</v>
      </c>
      <c r="F6288">
        <v>2012</v>
      </c>
      <c r="G6288">
        <v>12</v>
      </c>
      <c r="H6288" s="1" t="s">
        <v>21</v>
      </c>
      <c r="I6288">
        <v>22</v>
      </c>
      <c r="J6288">
        <v>2606</v>
      </c>
      <c r="K6288" s="1" t="s">
        <v>78</v>
      </c>
      <c r="L6288" s="1" t="s">
        <v>64</v>
      </c>
      <c r="M6288">
        <v>0.83199999999999996</v>
      </c>
      <c r="N6288">
        <v>18294.099999999999</v>
      </c>
      <c r="O6288">
        <v>18.294</v>
      </c>
      <c r="P6288" s="2">
        <v>45597</v>
      </c>
      <c r="Q6288">
        <v>1</v>
      </c>
      <c r="R6288" s="1" t="s">
        <v>24</v>
      </c>
    </row>
    <row r="6289" spans="1:18" x14ac:dyDescent="0.25">
      <c r="A6289">
        <v>2024</v>
      </c>
      <c r="B6289">
        <v>12</v>
      </c>
      <c r="C6289" s="1" t="s">
        <v>35</v>
      </c>
      <c r="D6289" s="1" t="s">
        <v>19</v>
      </c>
      <c r="E6289" s="1" t="s">
        <v>77</v>
      </c>
      <c r="F6289">
        <v>2012</v>
      </c>
      <c r="G6289">
        <v>12</v>
      </c>
      <c r="H6289" s="1" t="s">
        <v>21</v>
      </c>
      <c r="I6289">
        <v>22</v>
      </c>
      <c r="J6289">
        <v>2606</v>
      </c>
      <c r="K6289" s="1" t="s">
        <v>78</v>
      </c>
      <c r="L6289" s="1" t="s">
        <v>64</v>
      </c>
      <c r="M6289">
        <v>1.0640000000000001</v>
      </c>
      <c r="N6289">
        <v>23414.9</v>
      </c>
      <c r="O6289">
        <v>23.414999999999999</v>
      </c>
      <c r="P6289" s="2">
        <v>45627</v>
      </c>
      <c r="Q6289">
        <v>1</v>
      </c>
      <c r="R6289" s="1" t="s">
        <v>24</v>
      </c>
    </row>
    <row r="6290" spans="1:18" x14ac:dyDescent="0.25">
      <c r="A6290">
        <v>2024</v>
      </c>
      <c r="B6290">
        <v>1</v>
      </c>
      <c r="C6290" s="1" t="s">
        <v>18</v>
      </c>
      <c r="D6290" s="1" t="s">
        <v>19</v>
      </c>
      <c r="E6290" s="1" t="s">
        <v>79</v>
      </c>
      <c r="F6290">
        <v>2012</v>
      </c>
      <c r="G6290">
        <v>12</v>
      </c>
      <c r="H6290" s="1" t="s">
        <v>21</v>
      </c>
      <c r="I6290">
        <v>22</v>
      </c>
      <c r="J6290">
        <v>2683</v>
      </c>
      <c r="K6290" s="1" t="s">
        <v>80</v>
      </c>
      <c r="L6290" s="1" t="s">
        <v>45</v>
      </c>
      <c r="M6290">
        <v>1.2230000000000001</v>
      </c>
      <c r="N6290">
        <v>26903.8</v>
      </c>
      <c r="O6290">
        <v>26.904</v>
      </c>
      <c r="P6290" s="2">
        <v>45292</v>
      </c>
      <c r="Q6290">
        <v>1</v>
      </c>
      <c r="R6290" s="1" t="s">
        <v>24</v>
      </c>
    </row>
    <row r="6291" spans="1:18" x14ac:dyDescent="0.25">
      <c r="A6291">
        <v>2024</v>
      </c>
      <c r="B6291">
        <v>2</v>
      </c>
      <c r="C6291" s="1" t="s">
        <v>25</v>
      </c>
      <c r="D6291" s="1" t="s">
        <v>19</v>
      </c>
      <c r="E6291" s="1" t="s">
        <v>79</v>
      </c>
      <c r="F6291">
        <v>2012</v>
      </c>
      <c r="G6291">
        <v>12</v>
      </c>
      <c r="H6291" s="1" t="s">
        <v>21</v>
      </c>
      <c r="I6291">
        <v>22</v>
      </c>
      <c r="J6291">
        <v>2683</v>
      </c>
      <c r="K6291" s="1" t="s">
        <v>80</v>
      </c>
      <c r="L6291" s="1" t="s">
        <v>45</v>
      </c>
      <c r="M6291">
        <v>1.296</v>
      </c>
      <c r="N6291">
        <v>28513.599999999999</v>
      </c>
      <c r="O6291">
        <v>28.513999999999999</v>
      </c>
      <c r="P6291" s="2">
        <v>45323</v>
      </c>
      <c r="Q6291">
        <v>1</v>
      </c>
      <c r="R6291" s="1" t="s">
        <v>24</v>
      </c>
    </row>
    <row r="6292" spans="1:18" x14ac:dyDescent="0.25">
      <c r="A6292">
        <v>2024</v>
      </c>
      <c r="B6292">
        <v>3</v>
      </c>
      <c r="C6292" s="1" t="s">
        <v>26</v>
      </c>
      <c r="D6292" s="1" t="s">
        <v>19</v>
      </c>
      <c r="E6292" s="1" t="s">
        <v>79</v>
      </c>
      <c r="F6292">
        <v>2012</v>
      </c>
      <c r="G6292">
        <v>12</v>
      </c>
      <c r="H6292" s="1" t="s">
        <v>21</v>
      </c>
      <c r="I6292">
        <v>22</v>
      </c>
      <c r="J6292">
        <v>2683</v>
      </c>
      <c r="K6292" s="1" t="s">
        <v>80</v>
      </c>
      <c r="L6292" s="1" t="s">
        <v>45</v>
      </c>
      <c r="M6292">
        <v>1.754</v>
      </c>
      <c r="N6292">
        <v>38595</v>
      </c>
      <c r="O6292">
        <v>38.594999999999999</v>
      </c>
      <c r="P6292" s="2">
        <v>45352</v>
      </c>
      <c r="Q6292">
        <v>1</v>
      </c>
      <c r="R6292" s="1" t="s">
        <v>24</v>
      </c>
    </row>
    <row r="6293" spans="1:18" x14ac:dyDescent="0.25">
      <c r="A6293">
        <v>2024</v>
      </c>
      <c r="B6293">
        <v>4</v>
      </c>
      <c r="C6293" s="1" t="s">
        <v>27</v>
      </c>
      <c r="D6293" s="1" t="s">
        <v>19</v>
      </c>
      <c r="E6293" s="1" t="s">
        <v>79</v>
      </c>
      <c r="F6293">
        <v>2012</v>
      </c>
      <c r="G6293">
        <v>12</v>
      </c>
      <c r="H6293" s="1" t="s">
        <v>21</v>
      </c>
      <c r="I6293">
        <v>22</v>
      </c>
      <c r="J6293">
        <v>2683</v>
      </c>
      <c r="K6293" s="1" t="s">
        <v>80</v>
      </c>
      <c r="L6293" s="1" t="s">
        <v>45</v>
      </c>
      <c r="M6293">
        <v>1.6020000000000001</v>
      </c>
      <c r="N6293">
        <v>35254.6</v>
      </c>
      <c r="O6293">
        <v>35.255000000000003</v>
      </c>
      <c r="P6293" s="2">
        <v>45383</v>
      </c>
      <c r="Q6293">
        <v>1</v>
      </c>
      <c r="R6293" s="1" t="s">
        <v>24</v>
      </c>
    </row>
    <row r="6294" spans="1:18" x14ac:dyDescent="0.25">
      <c r="A6294">
        <v>2024</v>
      </c>
      <c r="B6294">
        <v>5</v>
      </c>
      <c r="C6294" s="1" t="s">
        <v>28</v>
      </c>
      <c r="D6294" s="1" t="s">
        <v>19</v>
      </c>
      <c r="E6294" s="1" t="s">
        <v>79</v>
      </c>
      <c r="F6294">
        <v>2012</v>
      </c>
      <c r="G6294">
        <v>12</v>
      </c>
      <c r="H6294" s="1" t="s">
        <v>21</v>
      </c>
      <c r="I6294">
        <v>22</v>
      </c>
      <c r="J6294">
        <v>2683</v>
      </c>
      <c r="K6294" s="1" t="s">
        <v>80</v>
      </c>
      <c r="L6294" s="1" t="s">
        <v>45</v>
      </c>
      <c r="M6294">
        <v>1.8620000000000001</v>
      </c>
      <c r="N6294">
        <v>40969.4</v>
      </c>
      <c r="O6294">
        <v>40.969000000000001</v>
      </c>
      <c r="P6294" s="2">
        <v>45413</v>
      </c>
      <c r="Q6294">
        <v>1</v>
      </c>
      <c r="R6294" s="1" t="s">
        <v>24</v>
      </c>
    </row>
    <row r="6295" spans="1:18" x14ac:dyDescent="0.25">
      <c r="A6295">
        <v>2024</v>
      </c>
      <c r="B6295">
        <v>6</v>
      </c>
      <c r="C6295" s="1" t="s">
        <v>29</v>
      </c>
      <c r="D6295" s="1" t="s">
        <v>19</v>
      </c>
      <c r="E6295" s="1" t="s">
        <v>79</v>
      </c>
      <c r="F6295">
        <v>2012</v>
      </c>
      <c r="G6295">
        <v>12</v>
      </c>
      <c r="H6295" s="1" t="s">
        <v>21</v>
      </c>
      <c r="I6295">
        <v>22</v>
      </c>
      <c r="J6295">
        <v>2683</v>
      </c>
      <c r="K6295" s="1" t="s">
        <v>80</v>
      </c>
      <c r="L6295" s="1" t="s">
        <v>45</v>
      </c>
      <c r="M6295">
        <v>2.0390000000000001</v>
      </c>
      <c r="N6295">
        <v>44853.1</v>
      </c>
      <c r="O6295">
        <v>44.853000000000002</v>
      </c>
      <c r="P6295" s="2">
        <v>45444</v>
      </c>
      <c r="Q6295">
        <v>1</v>
      </c>
      <c r="R6295" s="1" t="s">
        <v>24</v>
      </c>
    </row>
    <row r="6296" spans="1:18" x14ac:dyDescent="0.25">
      <c r="A6296">
        <v>2024</v>
      </c>
      <c r="B6296">
        <v>7</v>
      </c>
      <c r="C6296" s="1" t="s">
        <v>30</v>
      </c>
      <c r="D6296" s="1" t="s">
        <v>19</v>
      </c>
      <c r="E6296" s="1" t="s">
        <v>79</v>
      </c>
      <c r="F6296">
        <v>2012</v>
      </c>
      <c r="G6296">
        <v>12</v>
      </c>
      <c r="H6296" s="1" t="s">
        <v>21</v>
      </c>
      <c r="I6296">
        <v>22</v>
      </c>
      <c r="J6296">
        <v>2683</v>
      </c>
      <c r="K6296" s="1" t="s">
        <v>80</v>
      </c>
      <c r="L6296" s="1" t="s">
        <v>45</v>
      </c>
      <c r="M6296">
        <v>1.8680000000000001</v>
      </c>
      <c r="N6296">
        <v>41090.1</v>
      </c>
      <c r="O6296">
        <v>41.09</v>
      </c>
      <c r="P6296" s="2">
        <v>45474</v>
      </c>
      <c r="Q6296">
        <v>1</v>
      </c>
      <c r="R6296" s="1" t="s">
        <v>24</v>
      </c>
    </row>
    <row r="6297" spans="1:18" x14ac:dyDescent="0.25">
      <c r="A6297">
        <v>2024</v>
      </c>
      <c r="B6297">
        <v>8</v>
      </c>
      <c r="C6297" s="1" t="s">
        <v>31</v>
      </c>
      <c r="D6297" s="1" t="s">
        <v>19</v>
      </c>
      <c r="E6297" s="1" t="s">
        <v>79</v>
      </c>
      <c r="F6297">
        <v>2012</v>
      </c>
      <c r="G6297">
        <v>12</v>
      </c>
      <c r="H6297" s="1" t="s">
        <v>21</v>
      </c>
      <c r="I6297">
        <v>22</v>
      </c>
      <c r="J6297">
        <v>2683</v>
      </c>
      <c r="K6297" s="1" t="s">
        <v>80</v>
      </c>
      <c r="L6297" s="1" t="s">
        <v>45</v>
      </c>
      <c r="M6297">
        <v>1.6879999999999999</v>
      </c>
      <c r="N6297">
        <v>37146.1</v>
      </c>
      <c r="O6297">
        <v>37.146000000000001</v>
      </c>
      <c r="P6297" s="2">
        <v>45505</v>
      </c>
      <c r="Q6297">
        <v>1</v>
      </c>
      <c r="R6297" s="1" t="s">
        <v>24</v>
      </c>
    </row>
    <row r="6298" spans="1:18" x14ac:dyDescent="0.25">
      <c r="A6298">
        <v>2024</v>
      </c>
      <c r="B6298">
        <v>9</v>
      </c>
      <c r="C6298" s="1" t="s">
        <v>32</v>
      </c>
      <c r="D6298" s="1" t="s">
        <v>19</v>
      </c>
      <c r="E6298" s="1" t="s">
        <v>79</v>
      </c>
      <c r="F6298">
        <v>2012</v>
      </c>
      <c r="G6298">
        <v>12</v>
      </c>
      <c r="H6298" s="1" t="s">
        <v>21</v>
      </c>
      <c r="I6298">
        <v>22</v>
      </c>
      <c r="J6298">
        <v>2683</v>
      </c>
      <c r="K6298" s="1" t="s">
        <v>80</v>
      </c>
      <c r="L6298" s="1" t="s">
        <v>45</v>
      </c>
      <c r="M6298">
        <v>1.827</v>
      </c>
      <c r="N6298">
        <v>40184.6</v>
      </c>
      <c r="O6298">
        <v>40.185000000000002</v>
      </c>
      <c r="P6298" s="2">
        <v>45536</v>
      </c>
      <c r="Q6298">
        <v>1</v>
      </c>
      <c r="R6298" s="1" t="s">
        <v>24</v>
      </c>
    </row>
    <row r="6299" spans="1:18" x14ac:dyDescent="0.25">
      <c r="A6299">
        <v>2024</v>
      </c>
      <c r="B6299">
        <v>10</v>
      </c>
      <c r="C6299" s="1" t="s">
        <v>33</v>
      </c>
      <c r="D6299" s="1" t="s">
        <v>19</v>
      </c>
      <c r="E6299" s="1" t="s">
        <v>79</v>
      </c>
      <c r="F6299">
        <v>2012</v>
      </c>
      <c r="G6299">
        <v>12</v>
      </c>
      <c r="H6299" s="1" t="s">
        <v>21</v>
      </c>
      <c r="I6299">
        <v>22</v>
      </c>
      <c r="J6299">
        <v>2683</v>
      </c>
      <c r="K6299" s="1" t="s">
        <v>80</v>
      </c>
      <c r="L6299" s="1" t="s">
        <v>45</v>
      </c>
      <c r="M6299">
        <v>1.206</v>
      </c>
      <c r="N6299">
        <v>26541.599999999999</v>
      </c>
      <c r="O6299">
        <v>26.542000000000002</v>
      </c>
      <c r="P6299" s="2">
        <v>45566</v>
      </c>
      <c r="Q6299">
        <v>1</v>
      </c>
      <c r="R6299" s="1" t="s">
        <v>24</v>
      </c>
    </row>
    <row r="6300" spans="1:18" x14ac:dyDescent="0.25">
      <c r="A6300">
        <v>2024</v>
      </c>
      <c r="B6300">
        <v>11</v>
      </c>
      <c r="C6300" s="1" t="s">
        <v>34</v>
      </c>
      <c r="D6300" s="1" t="s">
        <v>19</v>
      </c>
      <c r="E6300" s="1" t="s">
        <v>79</v>
      </c>
      <c r="F6300">
        <v>2012</v>
      </c>
      <c r="G6300">
        <v>12</v>
      </c>
      <c r="H6300" s="1" t="s">
        <v>21</v>
      </c>
      <c r="I6300">
        <v>22</v>
      </c>
      <c r="J6300">
        <v>2683</v>
      </c>
      <c r="K6300" s="1" t="s">
        <v>80</v>
      </c>
      <c r="L6300" s="1" t="s">
        <v>45</v>
      </c>
      <c r="M6300">
        <v>0.85599999999999998</v>
      </c>
      <c r="N6300">
        <v>18834.7</v>
      </c>
      <c r="O6300">
        <v>18.835000000000001</v>
      </c>
      <c r="P6300" s="2">
        <v>45597</v>
      </c>
      <c r="Q6300">
        <v>1</v>
      </c>
      <c r="R6300" s="1" t="s">
        <v>24</v>
      </c>
    </row>
    <row r="6301" spans="1:18" x14ac:dyDescent="0.25">
      <c r="A6301">
        <v>2024</v>
      </c>
      <c r="B6301">
        <v>12</v>
      </c>
      <c r="C6301" s="1" t="s">
        <v>35</v>
      </c>
      <c r="D6301" s="1" t="s">
        <v>19</v>
      </c>
      <c r="E6301" s="1" t="s">
        <v>79</v>
      </c>
      <c r="F6301">
        <v>2012</v>
      </c>
      <c r="G6301">
        <v>12</v>
      </c>
      <c r="H6301" s="1" t="s">
        <v>21</v>
      </c>
      <c r="I6301">
        <v>22</v>
      </c>
      <c r="J6301">
        <v>2683</v>
      </c>
      <c r="K6301" s="1" t="s">
        <v>80</v>
      </c>
      <c r="L6301" s="1" t="s">
        <v>45</v>
      </c>
      <c r="M6301">
        <v>1.0960000000000001</v>
      </c>
      <c r="N6301">
        <v>24106.799999999999</v>
      </c>
      <c r="O6301">
        <v>24.106999999999999</v>
      </c>
      <c r="P6301" s="2">
        <v>45627</v>
      </c>
      <c r="Q6301">
        <v>1</v>
      </c>
      <c r="R6301" s="1" t="s">
        <v>24</v>
      </c>
    </row>
    <row r="6302" spans="1:18" x14ac:dyDescent="0.25">
      <c r="A6302">
        <v>2024</v>
      </c>
      <c r="B6302">
        <v>1</v>
      </c>
      <c r="C6302" s="1" t="s">
        <v>18</v>
      </c>
      <c r="D6302" s="1" t="s">
        <v>19</v>
      </c>
      <c r="E6302" s="1" t="s">
        <v>81</v>
      </c>
      <c r="F6302">
        <v>2012</v>
      </c>
      <c r="G6302">
        <v>12</v>
      </c>
      <c r="H6302" s="1" t="s">
        <v>21</v>
      </c>
      <c r="I6302">
        <v>28</v>
      </c>
      <c r="J6302">
        <v>3483</v>
      </c>
      <c r="K6302" s="1" t="s">
        <v>53</v>
      </c>
      <c r="L6302" s="1" t="s">
        <v>45</v>
      </c>
      <c r="M6302">
        <v>1.2470000000000001</v>
      </c>
      <c r="N6302">
        <v>34925.800000000003</v>
      </c>
      <c r="O6302">
        <v>34.926000000000002</v>
      </c>
      <c r="P6302" s="2">
        <v>45292</v>
      </c>
      <c r="Q6302">
        <v>1</v>
      </c>
      <c r="R6302" s="1" t="s">
        <v>24</v>
      </c>
    </row>
    <row r="6303" spans="1:18" x14ac:dyDescent="0.25">
      <c r="A6303">
        <v>2024</v>
      </c>
      <c r="B6303">
        <v>2</v>
      </c>
      <c r="C6303" s="1" t="s">
        <v>25</v>
      </c>
      <c r="D6303" s="1" t="s">
        <v>19</v>
      </c>
      <c r="E6303" s="1" t="s">
        <v>81</v>
      </c>
      <c r="F6303">
        <v>2012</v>
      </c>
      <c r="G6303">
        <v>12</v>
      </c>
      <c r="H6303" s="1" t="s">
        <v>21</v>
      </c>
      <c r="I6303">
        <v>28</v>
      </c>
      <c r="J6303">
        <v>3483</v>
      </c>
      <c r="K6303" s="1" t="s">
        <v>53</v>
      </c>
      <c r="L6303" s="1" t="s">
        <v>45</v>
      </c>
      <c r="M6303">
        <v>1.3220000000000001</v>
      </c>
      <c r="N6303">
        <v>37015.599999999999</v>
      </c>
      <c r="O6303">
        <v>37.015999999999998</v>
      </c>
      <c r="P6303" s="2">
        <v>45323</v>
      </c>
      <c r="Q6303">
        <v>1</v>
      </c>
      <c r="R6303" s="1" t="s">
        <v>24</v>
      </c>
    </row>
    <row r="6304" spans="1:18" x14ac:dyDescent="0.25">
      <c r="A6304">
        <v>2024</v>
      </c>
      <c r="B6304">
        <v>3</v>
      </c>
      <c r="C6304" s="1" t="s">
        <v>26</v>
      </c>
      <c r="D6304" s="1" t="s">
        <v>19</v>
      </c>
      <c r="E6304" s="1" t="s">
        <v>81</v>
      </c>
      <c r="F6304">
        <v>2012</v>
      </c>
      <c r="G6304">
        <v>12</v>
      </c>
      <c r="H6304" s="1" t="s">
        <v>21</v>
      </c>
      <c r="I6304">
        <v>28</v>
      </c>
      <c r="J6304">
        <v>3483</v>
      </c>
      <c r="K6304" s="1" t="s">
        <v>53</v>
      </c>
      <c r="L6304" s="1" t="s">
        <v>45</v>
      </c>
      <c r="M6304">
        <v>1.7889999999999999</v>
      </c>
      <c r="N6304">
        <v>50103</v>
      </c>
      <c r="O6304">
        <v>50.103000000000002</v>
      </c>
      <c r="P6304" s="2">
        <v>45352</v>
      </c>
      <c r="Q6304">
        <v>1</v>
      </c>
      <c r="R6304" s="1" t="s">
        <v>24</v>
      </c>
    </row>
    <row r="6305" spans="1:18" x14ac:dyDescent="0.25">
      <c r="A6305">
        <v>2024</v>
      </c>
      <c r="B6305">
        <v>4</v>
      </c>
      <c r="C6305" s="1" t="s">
        <v>27</v>
      </c>
      <c r="D6305" s="1" t="s">
        <v>19</v>
      </c>
      <c r="E6305" s="1" t="s">
        <v>81</v>
      </c>
      <c r="F6305">
        <v>2012</v>
      </c>
      <c r="G6305">
        <v>12</v>
      </c>
      <c r="H6305" s="1" t="s">
        <v>21</v>
      </c>
      <c r="I6305">
        <v>28</v>
      </c>
      <c r="J6305">
        <v>3483</v>
      </c>
      <c r="K6305" s="1" t="s">
        <v>53</v>
      </c>
      <c r="L6305" s="1" t="s">
        <v>45</v>
      </c>
      <c r="M6305">
        <v>1.635</v>
      </c>
      <c r="N6305">
        <v>45766.6</v>
      </c>
      <c r="O6305">
        <v>45.767000000000003</v>
      </c>
      <c r="P6305" s="2">
        <v>45383</v>
      </c>
      <c r="Q6305">
        <v>1</v>
      </c>
      <c r="R6305" s="1" t="s">
        <v>24</v>
      </c>
    </row>
    <row r="6306" spans="1:18" x14ac:dyDescent="0.25">
      <c r="A6306">
        <v>2024</v>
      </c>
      <c r="B6306">
        <v>5</v>
      </c>
      <c r="C6306" s="1" t="s">
        <v>28</v>
      </c>
      <c r="D6306" s="1" t="s">
        <v>19</v>
      </c>
      <c r="E6306" s="1" t="s">
        <v>81</v>
      </c>
      <c r="F6306">
        <v>2012</v>
      </c>
      <c r="G6306">
        <v>12</v>
      </c>
      <c r="H6306" s="1" t="s">
        <v>21</v>
      </c>
      <c r="I6306">
        <v>28</v>
      </c>
      <c r="J6306">
        <v>3483</v>
      </c>
      <c r="K6306" s="1" t="s">
        <v>53</v>
      </c>
      <c r="L6306" s="1" t="s">
        <v>45</v>
      </c>
      <c r="M6306">
        <v>1.899</v>
      </c>
      <c r="N6306">
        <v>53185.4</v>
      </c>
      <c r="O6306">
        <v>53.185000000000002</v>
      </c>
      <c r="P6306" s="2">
        <v>45413</v>
      </c>
      <c r="Q6306">
        <v>1</v>
      </c>
      <c r="R6306" s="1" t="s">
        <v>24</v>
      </c>
    </row>
    <row r="6307" spans="1:18" x14ac:dyDescent="0.25">
      <c r="A6307">
        <v>2024</v>
      </c>
      <c r="B6307">
        <v>6</v>
      </c>
      <c r="C6307" s="1" t="s">
        <v>29</v>
      </c>
      <c r="D6307" s="1" t="s">
        <v>19</v>
      </c>
      <c r="E6307" s="1" t="s">
        <v>81</v>
      </c>
      <c r="F6307">
        <v>2012</v>
      </c>
      <c r="G6307">
        <v>12</v>
      </c>
      <c r="H6307" s="1" t="s">
        <v>21</v>
      </c>
      <c r="I6307">
        <v>28</v>
      </c>
      <c r="J6307">
        <v>3483</v>
      </c>
      <c r="K6307" s="1" t="s">
        <v>53</v>
      </c>
      <c r="L6307" s="1" t="s">
        <v>45</v>
      </c>
      <c r="M6307">
        <v>2.08</v>
      </c>
      <c r="N6307">
        <v>58227.1</v>
      </c>
      <c r="O6307">
        <v>58.226999999999997</v>
      </c>
      <c r="P6307" s="2">
        <v>45444</v>
      </c>
      <c r="Q6307">
        <v>1</v>
      </c>
      <c r="R6307" s="1" t="s">
        <v>24</v>
      </c>
    </row>
    <row r="6308" spans="1:18" x14ac:dyDescent="0.25">
      <c r="A6308">
        <v>2024</v>
      </c>
      <c r="B6308">
        <v>7</v>
      </c>
      <c r="C6308" s="1" t="s">
        <v>30</v>
      </c>
      <c r="D6308" s="1" t="s">
        <v>19</v>
      </c>
      <c r="E6308" s="1" t="s">
        <v>81</v>
      </c>
      <c r="F6308">
        <v>2012</v>
      </c>
      <c r="G6308">
        <v>12</v>
      </c>
      <c r="H6308" s="1" t="s">
        <v>21</v>
      </c>
      <c r="I6308">
        <v>28</v>
      </c>
      <c r="J6308">
        <v>3483</v>
      </c>
      <c r="K6308" s="1" t="s">
        <v>53</v>
      </c>
      <c r="L6308" s="1" t="s">
        <v>45</v>
      </c>
      <c r="M6308">
        <v>1.905</v>
      </c>
      <c r="N6308">
        <v>53342.1</v>
      </c>
      <c r="O6308">
        <v>53.341999999999999</v>
      </c>
      <c r="P6308" s="2">
        <v>45474</v>
      </c>
      <c r="Q6308">
        <v>1</v>
      </c>
      <c r="R6308" s="1" t="s">
        <v>24</v>
      </c>
    </row>
    <row r="6309" spans="1:18" x14ac:dyDescent="0.25">
      <c r="A6309">
        <v>2024</v>
      </c>
      <c r="B6309">
        <v>8</v>
      </c>
      <c r="C6309" s="1" t="s">
        <v>31</v>
      </c>
      <c r="D6309" s="1" t="s">
        <v>19</v>
      </c>
      <c r="E6309" s="1" t="s">
        <v>81</v>
      </c>
      <c r="F6309">
        <v>2012</v>
      </c>
      <c r="G6309">
        <v>12</v>
      </c>
      <c r="H6309" s="1" t="s">
        <v>21</v>
      </c>
      <c r="I6309">
        <v>28</v>
      </c>
      <c r="J6309">
        <v>3483</v>
      </c>
      <c r="K6309" s="1" t="s">
        <v>53</v>
      </c>
      <c r="L6309" s="1" t="s">
        <v>45</v>
      </c>
      <c r="M6309">
        <v>1.722</v>
      </c>
      <c r="N6309">
        <v>48222.1</v>
      </c>
      <c r="O6309">
        <v>48.222000000000001</v>
      </c>
      <c r="P6309" s="2">
        <v>45505</v>
      </c>
      <c r="Q6309">
        <v>1</v>
      </c>
      <c r="R6309" s="1" t="s">
        <v>24</v>
      </c>
    </row>
    <row r="6310" spans="1:18" x14ac:dyDescent="0.25">
      <c r="A6310">
        <v>2024</v>
      </c>
      <c r="B6310">
        <v>9</v>
      </c>
      <c r="C6310" s="1" t="s">
        <v>32</v>
      </c>
      <c r="D6310" s="1" t="s">
        <v>19</v>
      </c>
      <c r="E6310" s="1" t="s">
        <v>81</v>
      </c>
      <c r="F6310">
        <v>2012</v>
      </c>
      <c r="G6310">
        <v>12</v>
      </c>
      <c r="H6310" s="1" t="s">
        <v>21</v>
      </c>
      <c r="I6310">
        <v>28</v>
      </c>
      <c r="J6310">
        <v>3483</v>
      </c>
      <c r="K6310" s="1" t="s">
        <v>53</v>
      </c>
      <c r="L6310" s="1" t="s">
        <v>45</v>
      </c>
      <c r="M6310">
        <v>1.863</v>
      </c>
      <c r="N6310">
        <v>52166.6</v>
      </c>
      <c r="O6310">
        <v>52.167000000000002</v>
      </c>
      <c r="P6310" s="2">
        <v>45536</v>
      </c>
      <c r="Q6310">
        <v>1</v>
      </c>
      <c r="R6310" s="1" t="s">
        <v>24</v>
      </c>
    </row>
    <row r="6311" spans="1:18" x14ac:dyDescent="0.25">
      <c r="A6311">
        <v>2024</v>
      </c>
      <c r="B6311">
        <v>10</v>
      </c>
      <c r="C6311" s="1" t="s">
        <v>33</v>
      </c>
      <c r="D6311" s="1" t="s">
        <v>19</v>
      </c>
      <c r="E6311" s="1" t="s">
        <v>81</v>
      </c>
      <c r="F6311">
        <v>2012</v>
      </c>
      <c r="G6311">
        <v>12</v>
      </c>
      <c r="H6311" s="1" t="s">
        <v>21</v>
      </c>
      <c r="I6311">
        <v>28</v>
      </c>
      <c r="J6311">
        <v>3483</v>
      </c>
      <c r="K6311" s="1" t="s">
        <v>53</v>
      </c>
      <c r="L6311" s="1" t="s">
        <v>45</v>
      </c>
      <c r="M6311">
        <v>1.2310000000000001</v>
      </c>
      <c r="N6311">
        <v>34455.599999999999</v>
      </c>
      <c r="O6311">
        <v>34.456000000000003</v>
      </c>
      <c r="P6311" s="2">
        <v>45566</v>
      </c>
      <c r="Q6311">
        <v>1</v>
      </c>
      <c r="R6311" s="1" t="s">
        <v>24</v>
      </c>
    </row>
    <row r="6312" spans="1:18" x14ac:dyDescent="0.25">
      <c r="A6312">
        <v>2024</v>
      </c>
      <c r="B6312">
        <v>11</v>
      </c>
      <c r="C6312" s="1" t="s">
        <v>34</v>
      </c>
      <c r="D6312" s="1" t="s">
        <v>19</v>
      </c>
      <c r="E6312" s="1" t="s">
        <v>81</v>
      </c>
      <c r="F6312">
        <v>2012</v>
      </c>
      <c r="G6312">
        <v>12</v>
      </c>
      <c r="H6312" s="1" t="s">
        <v>21</v>
      </c>
      <c r="I6312">
        <v>28</v>
      </c>
      <c r="J6312">
        <v>3483</v>
      </c>
      <c r="K6312" s="1" t="s">
        <v>53</v>
      </c>
      <c r="L6312" s="1" t="s">
        <v>45</v>
      </c>
      <c r="M6312">
        <v>0.873</v>
      </c>
      <c r="N6312">
        <v>24450.7</v>
      </c>
      <c r="O6312">
        <v>24.451000000000001</v>
      </c>
      <c r="P6312" s="2">
        <v>45597</v>
      </c>
      <c r="Q6312">
        <v>1</v>
      </c>
      <c r="R6312" s="1" t="s">
        <v>24</v>
      </c>
    </row>
    <row r="6313" spans="1:18" x14ac:dyDescent="0.25">
      <c r="A6313">
        <v>2024</v>
      </c>
      <c r="B6313">
        <v>12</v>
      </c>
      <c r="C6313" s="1" t="s">
        <v>35</v>
      </c>
      <c r="D6313" s="1" t="s">
        <v>19</v>
      </c>
      <c r="E6313" s="1" t="s">
        <v>81</v>
      </c>
      <c r="F6313">
        <v>2012</v>
      </c>
      <c r="G6313">
        <v>12</v>
      </c>
      <c r="H6313" s="1" t="s">
        <v>21</v>
      </c>
      <c r="I6313">
        <v>28</v>
      </c>
      <c r="J6313">
        <v>3483</v>
      </c>
      <c r="K6313" s="1" t="s">
        <v>53</v>
      </c>
      <c r="L6313" s="1" t="s">
        <v>45</v>
      </c>
      <c r="M6313">
        <v>1.1180000000000001</v>
      </c>
      <c r="N6313">
        <v>31294.799999999999</v>
      </c>
      <c r="O6313">
        <v>31.295000000000002</v>
      </c>
      <c r="P6313" s="2">
        <v>45627</v>
      </c>
      <c r="Q6313">
        <v>1</v>
      </c>
      <c r="R6313" s="1" t="s">
        <v>24</v>
      </c>
    </row>
    <row r="6314" spans="1:18" x14ac:dyDescent="0.25">
      <c r="A6314">
        <v>2024</v>
      </c>
      <c r="B6314">
        <v>1</v>
      </c>
      <c r="C6314" s="1" t="s">
        <v>18</v>
      </c>
      <c r="D6314" s="1" t="s">
        <v>19</v>
      </c>
      <c r="E6314" s="1" t="s">
        <v>82</v>
      </c>
      <c r="F6314">
        <v>2013</v>
      </c>
      <c r="G6314">
        <v>11</v>
      </c>
      <c r="H6314" s="1" t="s">
        <v>21</v>
      </c>
      <c r="I6314">
        <v>24</v>
      </c>
      <c r="J6314">
        <v>2678</v>
      </c>
      <c r="K6314" s="1" t="s">
        <v>83</v>
      </c>
      <c r="L6314" s="1" t="s">
        <v>45</v>
      </c>
      <c r="M6314">
        <v>1.119</v>
      </c>
      <c r="N6314">
        <v>26853.599999999999</v>
      </c>
      <c r="O6314">
        <v>26.853999999999999</v>
      </c>
      <c r="P6314" s="2">
        <v>45292</v>
      </c>
      <c r="Q6314">
        <v>1</v>
      </c>
      <c r="R6314" s="1" t="s">
        <v>24</v>
      </c>
    </row>
    <row r="6315" spans="1:18" x14ac:dyDescent="0.25">
      <c r="A6315">
        <v>2024</v>
      </c>
      <c r="B6315">
        <v>2</v>
      </c>
      <c r="C6315" s="1" t="s">
        <v>25</v>
      </c>
      <c r="D6315" s="1" t="s">
        <v>19</v>
      </c>
      <c r="E6315" s="1" t="s">
        <v>82</v>
      </c>
      <c r="F6315">
        <v>2013</v>
      </c>
      <c r="G6315">
        <v>11</v>
      </c>
      <c r="H6315" s="1" t="s">
        <v>21</v>
      </c>
      <c r="I6315">
        <v>24</v>
      </c>
      <c r="J6315">
        <v>2678</v>
      </c>
      <c r="K6315" s="1" t="s">
        <v>83</v>
      </c>
      <c r="L6315" s="1" t="s">
        <v>45</v>
      </c>
      <c r="M6315">
        <v>1.1859999999999999</v>
      </c>
      <c r="N6315">
        <v>28460.400000000001</v>
      </c>
      <c r="O6315">
        <v>28.46</v>
      </c>
      <c r="P6315" s="2">
        <v>45323</v>
      </c>
      <c r="Q6315">
        <v>1</v>
      </c>
      <c r="R6315" s="1" t="s">
        <v>24</v>
      </c>
    </row>
    <row r="6316" spans="1:18" x14ac:dyDescent="0.25">
      <c r="A6316">
        <v>2024</v>
      </c>
      <c r="B6316">
        <v>3</v>
      </c>
      <c r="C6316" s="1" t="s">
        <v>26</v>
      </c>
      <c r="D6316" s="1" t="s">
        <v>19</v>
      </c>
      <c r="E6316" s="1" t="s">
        <v>82</v>
      </c>
      <c r="F6316">
        <v>2013</v>
      </c>
      <c r="G6316">
        <v>11</v>
      </c>
      <c r="H6316" s="1" t="s">
        <v>21</v>
      </c>
      <c r="I6316">
        <v>24</v>
      </c>
      <c r="J6316">
        <v>2678</v>
      </c>
      <c r="K6316" s="1" t="s">
        <v>83</v>
      </c>
      <c r="L6316" s="1" t="s">
        <v>45</v>
      </c>
      <c r="M6316">
        <v>1.605</v>
      </c>
      <c r="N6316">
        <v>38523</v>
      </c>
      <c r="O6316">
        <v>38.523000000000003</v>
      </c>
      <c r="P6316" s="2">
        <v>45352</v>
      </c>
      <c r="Q6316">
        <v>1</v>
      </c>
      <c r="R6316" s="1" t="s">
        <v>24</v>
      </c>
    </row>
    <row r="6317" spans="1:18" x14ac:dyDescent="0.25">
      <c r="A6317">
        <v>2024</v>
      </c>
      <c r="B6317">
        <v>4</v>
      </c>
      <c r="C6317" s="1" t="s">
        <v>27</v>
      </c>
      <c r="D6317" s="1" t="s">
        <v>19</v>
      </c>
      <c r="E6317" s="1" t="s">
        <v>82</v>
      </c>
      <c r="F6317">
        <v>2013</v>
      </c>
      <c r="G6317">
        <v>11</v>
      </c>
      <c r="H6317" s="1" t="s">
        <v>21</v>
      </c>
      <c r="I6317">
        <v>24</v>
      </c>
      <c r="J6317">
        <v>2678</v>
      </c>
      <c r="K6317" s="1" t="s">
        <v>83</v>
      </c>
      <c r="L6317" s="1" t="s">
        <v>45</v>
      </c>
      <c r="M6317">
        <v>1.466</v>
      </c>
      <c r="N6317">
        <v>35188.9</v>
      </c>
      <c r="O6317">
        <v>35.189</v>
      </c>
      <c r="P6317" s="2">
        <v>45383</v>
      </c>
      <c r="Q6317">
        <v>1</v>
      </c>
      <c r="R6317" s="1" t="s">
        <v>24</v>
      </c>
    </row>
    <row r="6318" spans="1:18" x14ac:dyDescent="0.25">
      <c r="A6318">
        <v>2024</v>
      </c>
      <c r="B6318">
        <v>5</v>
      </c>
      <c r="C6318" s="1" t="s">
        <v>28</v>
      </c>
      <c r="D6318" s="1" t="s">
        <v>19</v>
      </c>
      <c r="E6318" s="1" t="s">
        <v>82</v>
      </c>
      <c r="F6318">
        <v>2013</v>
      </c>
      <c r="G6318">
        <v>11</v>
      </c>
      <c r="H6318" s="1" t="s">
        <v>21</v>
      </c>
      <c r="I6318">
        <v>24</v>
      </c>
      <c r="J6318">
        <v>2678</v>
      </c>
      <c r="K6318" s="1" t="s">
        <v>83</v>
      </c>
      <c r="L6318" s="1" t="s">
        <v>45</v>
      </c>
      <c r="M6318">
        <v>1.704</v>
      </c>
      <c r="N6318">
        <v>40893.1</v>
      </c>
      <c r="O6318">
        <v>40.893000000000001</v>
      </c>
      <c r="P6318" s="2">
        <v>45413</v>
      </c>
      <c r="Q6318">
        <v>1</v>
      </c>
      <c r="R6318" s="1" t="s">
        <v>24</v>
      </c>
    </row>
    <row r="6319" spans="1:18" x14ac:dyDescent="0.25">
      <c r="A6319">
        <v>2024</v>
      </c>
      <c r="B6319">
        <v>6</v>
      </c>
      <c r="C6319" s="1" t="s">
        <v>29</v>
      </c>
      <c r="D6319" s="1" t="s">
        <v>19</v>
      </c>
      <c r="E6319" s="1" t="s">
        <v>82</v>
      </c>
      <c r="F6319">
        <v>2013</v>
      </c>
      <c r="G6319">
        <v>11</v>
      </c>
      <c r="H6319" s="1" t="s">
        <v>21</v>
      </c>
      <c r="I6319">
        <v>24</v>
      </c>
      <c r="J6319">
        <v>2678</v>
      </c>
      <c r="K6319" s="1" t="s">
        <v>83</v>
      </c>
      <c r="L6319" s="1" t="s">
        <v>45</v>
      </c>
      <c r="M6319">
        <v>1.865</v>
      </c>
      <c r="N6319">
        <v>44769.5</v>
      </c>
      <c r="O6319">
        <v>44.768999999999998</v>
      </c>
      <c r="P6319" s="2">
        <v>45444</v>
      </c>
      <c r="Q6319">
        <v>1</v>
      </c>
      <c r="R6319" s="1" t="s">
        <v>24</v>
      </c>
    </row>
    <row r="6320" spans="1:18" x14ac:dyDescent="0.25">
      <c r="A6320">
        <v>2024</v>
      </c>
      <c r="B6320">
        <v>7</v>
      </c>
      <c r="C6320" s="1" t="s">
        <v>30</v>
      </c>
      <c r="D6320" s="1" t="s">
        <v>19</v>
      </c>
      <c r="E6320" s="1" t="s">
        <v>82</v>
      </c>
      <c r="F6320">
        <v>2013</v>
      </c>
      <c r="G6320">
        <v>11</v>
      </c>
      <c r="H6320" s="1" t="s">
        <v>21</v>
      </c>
      <c r="I6320">
        <v>24</v>
      </c>
      <c r="J6320">
        <v>2678</v>
      </c>
      <c r="K6320" s="1" t="s">
        <v>83</v>
      </c>
      <c r="L6320" s="1" t="s">
        <v>45</v>
      </c>
      <c r="M6320">
        <v>1.7090000000000001</v>
      </c>
      <c r="N6320">
        <v>41013.599999999999</v>
      </c>
      <c r="O6320">
        <v>41.014000000000003</v>
      </c>
      <c r="P6320" s="2">
        <v>45474</v>
      </c>
      <c r="Q6320">
        <v>1</v>
      </c>
      <c r="R6320" s="1" t="s">
        <v>24</v>
      </c>
    </row>
    <row r="6321" spans="1:18" x14ac:dyDescent="0.25">
      <c r="A6321">
        <v>2024</v>
      </c>
      <c r="B6321">
        <v>8</v>
      </c>
      <c r="C6321" s="1" t="s">
        <v>31</v>
      </c>
      <c r="D6321" s="1" t="s">
        <v>19</v>
      </c>
      <c r="E6321" s="1" t="s">
        <v>82</v>
      </c>
      <c r="F6321">
        <v>2013</v>
      </c>
      <c r="G6321">
        <v>11</v>
      </c>
      <c r="H6321" s="1" t="s">
        <v>21</v>
      </c>
      <c r="I6321">
        <v>24</v>
      </c>
      <c r="J6321">
        <v>2678</v>
      </c>
      <c r="K6321" s="1" t="s">
        <v>83</v>
      </c>
      <c r="L6321" s="1" t="s">
        <v>45</v>
      </c>
      <c r="M6321">
        <v>1.5449999999999999</v>
      </c>
      <c r="N6321">
        <v>37076.9</v>
      </c>
      <c r="O6321">
        <v>37.076999999999998</v>
      </c>
      <c r="P6321" s="2">
        <v>45505</v>
      </c>
      <c r="Q6321">
        <v>1</v>
      </c>
      <c r="R6321" s="1" t="s">
        <v>24</v>
      </c>
    </row>
    <row r="6322" spans="1:18" x14ac:dyDescent="0.25">
      <c r="A6322">
        <v>2024</v>
      </c>
      <c r="B6322">
        <v>9</v>
      </c>
      <c r="C6322" s="1" t="s">
        <v>32</v>
      </c>
      <c r="D6322" s="1" t="s">
        <v>19</v>
      </c>
      <c r="E6322" s="1" t="s">
        <v>82</v>
      </c>
      <c r="F6322">
        <v>2013</v>
      </c>
      <c r="G6322">
        <v>11</v>
      </c>
      <c r="H6322" s="1" t="s">
        <v>21</v>
      </c>
      <c r="I6322">
        <v>24</v>
      </c>
      <c r="J6322">
        <v>2678</v>
      </c>
      <c r="K6322" s="1" t="s">
        <v>83</v>
      </c>
      <c r="L6322" s="1" t="s">
        <v>45</v>
      </c>
      <c r="M6322">
        <v>1.671</v>
      </c>
      <c r="N6322">
        <v>40109.699999999997</v>
      </c>
      <c r="O6322">
        <v>40.11</v>
      </c>
      <c r="P6322" s="2">
        <v>45536</v>
      </c>
      <c r="Q6322">
        <v>1</v>
      </c>
      <c r="R6322" s="1" t="s">
        <v>24</v>
      </c>
    </row>
    <row r="6323" spans="1:18" x14ac:dyDescent="0.25">
      <c r="A6323">
        <v>2024</v>
      </c>
      <c r="B6323">
        <v>10</v>
      </c>
      <c r="C6323" s="1" t="s">
        <v>33</v>
      </c>
      <c r="D6323" s="1" t="s">
        <v>19</v>
      </c>
      <c r="E6323" s="1" t="s">
        <v>82</v>
      </c>
      <c r="F6323">
        <v>2013</v>
      </c>
      <c r="G6323">
        <v>11</v>
      </c>
      <c r="H6323" s="1" t="s">
        <v>21</v>
      </c>
      <c r="I6323">
        <v>24</v>
      </c>
      <c r="J6323">
        <v>2678</v>
      </c>
      <c r="K6323" s="1" t="s">
        <v>83</v>
      </c>
      <c r="L6323" s="1" t="s">
        <v>45</v>
      </c>
      <c r="M6323">
        <v>1.1040000000000001</v>
      </c>
      <c r="N6323">
        <v>26492.1</v>
      </c>
      <c r="O6323">
        <v>26.492000000000001</v>
      </c>
      <c r="P6323" s="2">
        <v>45566</v>
      </c>
      <c r="Q6323">
        <v>1</v>
      </c>
      <c r="R6323" s="1" t="s">
        <v>24</v>
      </c>
    </row>
    <row r="6324" spans="1:18" x14ac:dyDescent="0.25">
      <c r="A6324">
        <v>2024</v>
      </c>
      <c r="B6324">
        <v>11</v>
      </c>
      <c r="C6324" s="1" t="s">
        <v>34</v>
      </c>
      <c r="D6324" s="1" t="s">
        <v>19</v>
      </c>
      <c r="E6324" s="1" t="s">
        <v>82</v>
      </c>
      <c r="F6324">
        <v>2013</v>
      </c>
      <c r="G6324">
        <v>11</v>
      </c>
      <c r="H6324" s="1" t="s">
        <v>21</v>
      </c>
      <c r="I6324">
        <v>24</v>
      </c>
      <c r="J6324">
        <v>2678</v>
      </c>
      <c r="K6324" s="1" t="s">
        <v>83</v>
      </c>
      <c r="L6324" s="1" t="s">
        <v>45</v>
      </c>
      <c r="M6324">
        <v>0.78300000000000003</v>
      </c>
      <c r="N6324">
        <v>18799.599999999999</v>
      </c>
      <c r="O6324">
        <v>18.8</v>
      </c>
      <c r="P6324" s="2">
        <v>45597</v>
      </c>
      <c r="Q6324">
        <v>1</v>
      </c>
      <c r="R6324" s="1" t="s">
        <v>24</v>
      </c>
    </row>
    <row r="6325" spans="1:18" x14ac:dyDescent="0.25">
      <c r="A6325">
        <v>2024</v>
      </c>
      <c r="B6325">
        <v>12</v>
      </c>
      <c r="C6325" s="1" t="s">
        <v>35</v>
      </c>
      <c r="D6325" s="1" t="s">
        <v>19</v>
      </c>
      <c r="E6325" s="1" t="s">
        <v>82</v>
      </c>
      <c r="F6325">
        <v>2013</v>
      </c>
      <c r="G6325">
        <v>11</v>
      </c>
      <c r="H6325" s="1" t="s">
        <v>21</v>
      </c>
      <c r="I6325">
        <v>24</v>
      </c>
      <c r="J6325">
        <v>2678</v>
      </c>
      <c r="K6325" s="1" t="s">
        <v>83</v>
      </c>
      <c r="L6325" s="1" t="s">
        <v>45</v>
      </c>
      <c r="M6325">
        <v>1.0029999999999999</v>
      </c>
      <c r="N6325">
        <v>24061.8</v>
      </c>
      <c r="O6325">
        <v>24.062000000000001</v>
      </c>
      <c r="P6325" s="2">
        <v>45627</v>
      </c>
      <c r="Q6325">
        <v>1</v>
      </c>
      <c r="R6325" s="1" t="s">
        <v>24</v>
      </c>
    </row>
    <row r="6326" spans="1:18" x14ac:dyDescent="0.25">
      <c r="A6326">
        <v>2024</v>
      </c>
      <c r="B6326">
        <v>1</v>
      </c>
      <c r="C6326" s="1" t="s">
        <v>18</v>
      </c>
      <c r="D6326" s="1" t="s">
        <v>19</v>
      </c>
      <c r="E6326" s="1" t="s">
        <v>84</v>
      </c>
      <c r="F6326">
        <v>2013</v>
      </c>
      <c r="G6326">
        <v>11</v>
      </c>
      <c r="H6326" s="1" t="s">
        <v>21</v>
      </c>
      <c r="I6326">
        <v>23</v>
      </c>
      <c r="J6326">
        <v>2683</v>
      </c>
      <c r="K6326" s="1" t="s">
        <v>85</v>
      </c>
      <c r="L6326" s="1" t="s">
        <v>45</v>
      </c>
      <c r="M6326">
        <v>1.17</v>
      </c>
      <c r="N6326">
        <v>26903.8</v>
      </c>
      <c r="O6326">
        <v>26.904</v>
      </c>
      <c r="P6326" s="2">
        <v>45292</v>
      </c>
      <c r="Q6326">
        <v>1</v>
      </c>
      <c r="R6326" s="1" t="s">
        <v>24</v>
      </c>
    </row>
    <row r="6327" spans="1:18" x14ac:dyDescent="0.25">
      <c r="A6327">
        <v>2024</v>
      </c>
      <c r="B6327">
        <v>2</v>
      </c>
      <c r="C6327" s="1" t="s">
        <v>25</v>
      </c>
      <c r="D6327" s="1" t="s">
        <v>19</v>
      </c>
      <c r="E6327" s="1" t="s">
        <v>84</v>
      </c>
      <c r="F6327">
        <v>2013</v>
      </c>
      <c r="G6327">
        <v>11</v>
      </c>
      <c r="H6327" s="1" t="s">
        <v>21</v>
      </c>
      <c r="I6327">
        <v>23</v>
      </c>
      <c r="J6327">
        <v>2683</v>
      </c>
      <c r="K6327" s="1" t="s">
        <v>85</v>
      </c>
      <c r="L6327" s="1" t="s">
        <v>45</v>
      </c>
      <c r="M6327">
        <v>1.24</v>
      </c>
      <c r="N6327">
        <v>28513.599999999999</v>
      </c>
      <c r="O6327">
        <v>28.513999999999999</v>
      </c>
      <c r="P6327" s="2">
        <v>45323</v>
      </c>
      <c r="Q6327">
        <v>1</v>
      </c>
      <c r="R6327" s="1" t="s">
        <v>24</v>
      </c>
    </row>
    <row r="6328" spans="1:18" x14ac:dyDescent="0.25">
      <c r="A6328">
        <v>2024</v>
      </c>
      <c r="B6328">
        <v>3</v>
      </c>
      <c r="C6328" s="1" t="s">
        <v>26</v>
      </c>
      <c r="D6328" s="1" t="s">
        <v>19</v>
      </c>
      <c r="E6328" s="1" t="s">
        <v>84</v>
      </c>
      <c r="F6328">
        <v>2013</v>
      </c>
      <c r="G6328">
        <v>11</v>
      </c>
      <c r="H6328" s="1" t="s">
        <v>21</v>
      </c>
      <c r="I6328">
        <v>23</v>
      </c>
      <c r="J6328">
        <v>2683</v>
      </c>
      <c r="K6328" s="1" t="s">
        <v>85</v>
      </c>
      <c r="L6328" s="1" t="s">
        <v>45</v>
      </c>
      <c r="M6328">
        <v>1.6779999999999999</v>
      </c>
      <c r="N6328">
        <v>38595</v>
      </c>
      <c r="O6328">
        <v>38.594999999999999</v>
      </c>
      <c r="P6328" s="2">
        <v>45352</v>
      </c>
      <c r="Q6328">
        <v>1</v>
      </c>
      <c r="R6328" s="1" t="s">
        <v>24</v>
      </c>
    </row>
    <row r="6329" spans="1:18" x14ac:dyDescent="0.25">
      <c r="A6329">
        <v>2024</v>
      </c>
      <c r="B6329">
        <v>4</v>
      </c>
      <c r="C6329" s="1" t="s">
        <v>27</v>
      </c>
      <c r="D6329" s="1" t="s">
        <v>19</v>
      </c>
      <c r="E6329" s="1" t="s">
        <v>84</v>
      </c>
      <c r="F6329">
        <v>2013</v>
      </c>
      <c r="G6329">
        <v>11</v>
      </c>
      <c r="H6329" s="1" t="s">
        <v>21</v>
      </c>
      <c r="I6329">
        <v>23</v>
      </c>
      <c r="J6329">
        <v>2683</v>
      </c>
      <c r="K6329" s="1" t="s">
        <v>85</v>
      </c>
      <c r="L6329" s="1" t="s">
        <v>45</v>
      </c>
      <c r="M6329">
        <v>1.5329999999999999</v>
      </c>
      <c r="N6329">
        <v>35254.6</v>
      </c>
      <c r="O6329">
        <v>35.255000000000003</v>
      </c>
      <c r="P6329" s="2">
        <v>45383</v>
      </c>
      <c r="Q6329">
        <v>1</v>
      </c>
      <c r="R6329" s="1" t="s">
        <v>24</v>
      </c>
    </row>
    <row r="6330" spans="1:18" x14ac:dyDescent="0.25">
      <c r="A6330">
        <v>2024</v>
      </c>
      <c r="B6330">
        <v>5</v>
      </c>
      <c r="C6330" s="1" t="s">
        <v>28</v>
      </c>
      <c r="D6330" s="1" t="s">
        <v>19</v>
      </c>
      <c r="E6330" s="1" t="s">
        <v>84</v>
      </c>
      <c r="F6330">
        <v>2013</v>
      </c>
      <c r="G6330">
        <v>11</v>
      </c>
      <c r="H6330" s="1" t="s">
        <v>21</v>
      </c>
      <c r="I6330">
        <v>23</v>
      </c>
      <c r="J6330">
        <v>2683</v>
      </c>
      <c r="K6330" s="1" t="s">
        <v>85</v>
      </c>
      <c r="L6330" s="1" t="s">
        <v>45</v>
      </c>
      <c r="M6330">
        <v>1.7809999999999999</v>
      </c>
      <c r="N6330">
        <v>40969.4</v>
      </c>
      <c r="O6330">
        <v>40.969000000000001</v>
      </c>
      <c r="P6330" s="2">
        <v>45413</v>
      </c>
      <c r="Q6330">
        <v>1</v>
      </c>
      <c r="R6330" s="1" t="s">
        <v>24</v>
      </c>
    </row>
    <row r="6331" spans="1:18" x14ac:dyDescent="0.25">
      <c r="A6331">
        <v>2024</v>
      </c>
      <c r="B6331">
        <v>6</v>
      </c>
      <c r="C6331" s="1" t="s">
        <v>29</v>
      </c>
      <c r="D6331" s="1" t="s">
        <v>19</v>
      </c>
      <c r="E6331" s="1" t="s">
        <v>84</v>
      </c>
      <c r="F6331">
        <v>2013</v>
      </c>
      <c r="G6331">
        <v>11</v>
      </c>
      <c r="H6331" s="1" t="s">
        <v>21</v>
      </c>
      <c r="I6331">
        <v>23</v>
      </c>
      <c r="J6331">
        <v>2683</v>
      </c>
      <c r="K6331" s="1" t="s">
        <v>85</v>
      </c>
      <c r="L6331" s="1" t="s">
        <v>45</v>
      </c>
      <c r="M6331">
        <v>1.95</v>
      </c>
      <c r="N6331">
        <v>44853.1</v>
      </c>
      <c r="O6331">
        <v>44.853000000000002</v>
      </c>
      <c r="P6331" s="2">
        <v>45444</v>
      </c>
      <c r="Q6331">
        <v>1</v>
      </c>
      <c r="R6331" s="1" t="s">
        <v>24</v>
      </c>
    </row>
    <row r="6332" spans="1:18" x14ac:dyDescent="0.25">
      <c r="A6332">
        <v>2024</v>
      </c>
      <c r="B6332">
        <v>7</v>
      </c>
      <c r="C6332" s="1" t="s">
        <v>30</v>
      </c>
      <c r="D6332" s="1" t="s">
        <v>19</v>
      </c>
      <c r="E6332" s="1" t="s">
        <v>84</v>
      </c>
      <c r="F6332">
        <v>2013</v>
      </c>
      <c r="G6332">
        <v>11</v>
      </c>
      <c r="H6332" s="1" t="s">
        <v>21</v>
      </c>
      <c r="I6332">
        <v>23</v>
      </c>
      <c r="J6332">
        <v>2683</v>
      </c>
      <c r="K6332" s="1" t="s">
        <v>85</v>
      </c>
      <c r="L6332" s="1" t="s">
        <v>45</v>
      </c>
      <c r="M6332">
        <v>1.7869999999999999</v>
      </c>
      <c r="N6332">
        <v>41090.1</v>
      </c>
      <c r="O6332">
        <v>41.09</v>
      </c>
      <c r="P6332" s="2">
        <v>45474</v>
      </c>
      <c r="Q6332">
        <v>1</v>
      </c>
      <c r="R6332" s="1" t="s">
        <v>24</v>
      </c>
    </row>
    <row r="6333" spans="1:18" x14ac:dyDescent="0.25">
      <c r="A6333">
        <v>2024</v>
      </c>
      <c r="B6333">
        <v>8</v>
      </c>
      <c r="C6333" s="1" t="s">
        <v>31</v>
      </c>
      <c r="D6333" s="1" t="s">
        <v>19</v>
      </c>
      <c r="E6333" s="1" t="s">
        <v>84</v>
      </c>
      <c r="F6333">
        <v>2013</v>
      </c>
      <c r="G6333">
        <v>11</v>
      </c>
      <c r="H6333" s="1" t="s">
        <v>21</v>
      </c>
      <c r="I6333">
        <v>23</v>
      </c>
      <c r="J6333">
        <v>2683</v>
      </c>
      <c r="K6333" s="1" t="s">
        <v>85</v>
      </c>
      <c r="L6333" s="1" t="s">
        <v>45</v>
      </c>
      <c r="M6333">
        <v>1.615</v>
      </c>
      <c r="N6333">
        <v>37146.1</v>
      </c>
      <c r="O6333">
        <v>37.146000000000001</v>
      </c>
      <c r="P6333" s="2">
        <v>45505</v>
      </c>
      <c r="Q6333">
        <v>1</v>
      </c>
      <c r="R6333" s="1" t="s">
        <v>24</v>
      </c>
    </row>
    <row r="6334" spans="1:18" x14ac:dyDescent="0.25">
      <c r="A6334">
        <v>2024</v>
      </c>
      <c r="B6334">
        <v>9</v>
      </c>
      <c r="C6334" s="1" t="s">
        <v>32</v>
      </c>
      <c r="D6334" s="1" t="s">
        <v>19</v>
      </c>
      <c r="E6334" s="1" t="s">
        <v>84</v>
      </c>
      <c r="F6334">
        <v>2013</v>
      </c>
      <c r="G6334">
        <v>11</v>
      </c>
      <c r="H6334" s="1" t="s">
        <v>21</v>
      </c>
      <c r="I6334">
        <v>23</v>
      </c>
      <c r="J6334">
        <v>2683</v>
      </c>
      <c r="K6334" s="1" t="s">
        <v>85</v>
      </c>
      <c r="L6334" s="1" t="s">
        <v>45</v>
      </c>
      <c r="M6334">
        <v>1.7470000000000001</v>
      </c>
      <c r="N6334">
        <v>40184.6</v>
      </c>
      <c r="O6334">
        <v>40.185000000000002</v>
      </c>
      <c r="P6334" s="2">
        <v>45536</v>
      </c>
      <c r="Q6334">
        <v>1</v>
      </c>
      <c r="R6334" s="1" t="s">
        <v>24</v>
      </c>
    </row>
    <row r="6335" spans="1:18" x14ac:dyDescent="0.25">
      <c r="A6335">
        <v>2024</v>
      </c>
      <c r="B6335">
        <v>10</v>
      </c>
      <c r="C6335" s="1" t="s">
        <v>33</v>
      </c>
      <c r="D6335" s="1" t="s">
        <v>19</v>
      </c>
      <c r="E6335" s="1" t="s">
        <v>84</v>
      </c>
      <c r="F6335">
        <v>2013</v>
      </c>
      <c r="G6335">
        <v>11</v>
      </c>
      <c r="H6335" s="1" t="s">
        <v>21</v>
      </c>
      <c r="I6335">
        <v>23</v>
      </c>
      <c r="J6335">
        <v>2683</v>
      </c>
      <c r="K6335" s="1" t="s">
        <v>85</v>
      </c>
      <c r="L6335" s="1" t="s">
        <v>45</v>
      </c>
      <c r="M6335">
        <v>1.1539999999999999</v>
      </c>
      <c r="N6335">
        <v>26541.599999999999</v>
      </c>
      <c r="O6335">
        <v>26.542000000000002</v>
      </c>
      <c r="P6335" s="2">
        <v>45566</v>
      </c>
      <c r="Q6335">
        <v>1</v>
      </c>
      <c r="R6335" s="1" t="s">
        <v>24</v>
      </c>
    </row>
    <row r="6336" spans="1:18" x14ac:dyDescent="0.25">
      <c r="A6336">
        <v>2024</v>
      </c>
      <c r="B6336">
        <v>11</v>
      </c>
      <c r="C6336" s="1" t="s">
        <v>34</v>
      </c>
      <c r="D6336" s="1" t="s">
        <v>19</v>
      </c>
      <c r="E6336" s="1" t="s">
        <v>84</v>
      </c>
      <c r="F6336">
        <v>2013</v>
      </c>
      <c r="G6336">
        <v>11</v>
      </c>
      <c r="H6336" s="1" t="s">
        <v>21</v>
      </c>
      <c r="I6336">
        <v>23</v>
      </c>
      <c r="J6336">
        <v>2683</v>
      </c>
      <c r="K6336" s="1" t="s">
        <v>85</v>
      </c>
      <c r="L6336" s="1" t="s">
        <v>45</v>
      </c>
      <c r="M6336">
        <v>0.81899999999999995</v>
      </c>
      <c r="N6336">
        <v>18834.7</v>
      </c>
      <c r="O6336">
        <v>18.835000000000001</v>
      </c>
      <c r="P6336" s="2">
        <v>45597</v>
      </c>
      <c r="Q6336">
        <v>1</v>
      </c>
      <c r="R6336" s="1" t="s">
        <v>24</v>
      </c>
    </row>
    <row r="6337" spans="1:18" x14ac:dyDescent="0.25">
      <c r="A6337">
        <v>2024</v>
      </c>
      <c r="B6337">
        <v>12</v>
      </c>
      <c r="C6337" s="1" t="s">
        <v>35</v>
      </c>
      <c r="D6337" s="1" t="s">
        <v>19</v>
      </c>
      <c r="E6337" s="1" t="s">
        <v>84</v>
      </c>
      <c r="F6337">
        <v>2013</v>
      </c>
      <c r="G6337">
        <v>11</v>
      </c>
      <c r="H6337" s="1" t="s">
        <v>21</v>
      </c>
      <c r="I6337">
        <v>23</v>
      </c>
      <c r="J6337">
        <v>2683</v>
      </c>
      <c r="K6337" s="1" t="s">
        <v>85</v>
      </c>
      <c r="L6337" s="1" t="s">
        <v>45</v>
      </c>
      <c r="M6337">
        <v>1.048</v>
      </c>
      <c r="N6337">
        <v>24106.799999999999</v>
      </c>
      <c r="O6337">
        <v>24.106999999999999</v>
      </c>
      <c r="P6337" s="2">
        <v>45627</v>
      </c>
      <c r="Q6337">
        <v>1</v>
      </c>
      <c r="R6337" s="1" t="s">
        <v>24</v>
      </c>
    </row>
    <row r="6338" spans="1:18" x14ac:dyDescent="0.25">
      <c r="A6338">
        <v>2024</v>
      </c>
      <c r="B6338">
        <v>1</v>
      </c>
      <c r="C6338" s="1" t="s">
        <v>18</v>
      </c>
      <c r="D6338" s="1" t="s">
        <v>19</v>
      </c>
      <c r="E6338" s="1" t="s">
        <v>86</v>
      </c>
      <c r="F6338">
        <v>2013</v>
      </c>
      <c r="G6338">
        <v>11</v>
      </c>
      <c r="H6338" s="1" t="s">
        <v>21</v>
      </c>
      <c r="I6338">
        <v>24</v>
      </c>
      <c r="J6338">
        <v>3445</v>
      </c>
      <c r="K6338" s="1" t="s">
        <v>87</v>
      </c>
      <c r="L6338" s="1" t="s">
        <v>45</v>
      </c>
      <c r="M6338">
        <v>1.4390000000000001</v>
      </c>
      <c r="N6338">
        <v>34544.699999999997</v>
      </c>
      <c r="O6338">
        <v>34.545000000000002</v>
      </c>
      <c r="P6338" s="2">
        <v>45292</v>
      </c>
      <c r="Q6338">
        <v>1</v>
      </c>
      <c r="R6338" s="1" t="s">
        <v>24</v>
      </c>
    </row>
    <row r="6339" spans="1:18" x14ac:dyDescent="0.25">
      <c r="A6339">
        <v>2024</v>
      </c>
      <c r="B6339">
        <v>2</v>
      </c>
      <c r="C6339" s="1" t="s">
        <v>25</v>
      </c>
      <c r="D6339" s="1" t="s">
        <v>19</v>
      </c>
      <c r="E6339" s="1" t="s">
        <v>86</v>
      </c>
      <c r="F6339">
        <v>2013</v>
      </c>
      <c r="G6339">
        <v>11</v>
      </c>
      <c r="H6339" s="1" t="s">
        <v>21</v>
      </c>
      <c r="I6339">
        <v>24</v>
      </c>
      <c r="J6339">
        <v>3445</v>
      </c>
      <c r="K6339" s="1" t="s">
        <v>87</v>
      </c>
      <c r="L6339" s="1" t="s">
        <v>45</v>
      </c>
      <c r="M6339">
        <v>1.5249999999999999</v>
      </c>
      <c r="N6339">
        <v>36611.699999999997</v>
      </c>
      <c r="O6339">
        <v>36.612000000000002</v>
      </c>
      <c r="P6339" s="2">
        <v>45323</v>
      </c>
      <c r="Q6339">
        <v>1</v>
      </c>
      <c r="R6339" s="1" t="s">
        <v>24</v>
      </c>
    </row>
    <row r="6340" spans="1:18" x14ac:dyDescent="0.25">
      <c r="A6340">
        <v>2024</v>
      </c>
      <c r="B6340">
        <v>3</v>
      </c>
      <c r="C6340" s="1" t="s">
        <v>26</v>
      </c>
      <c r="D6340" s="1" t="s">
        <v>19</v>
      </c>
      <c r="E6340" s="1" t="s">
        <v>86</v>
      </c>
      <c r="F6340">
        <v>2013</v>
      </c>
      <c r="G6340">
        <v>11</v>
      </c>
      <c r="H6340" s="1" t="s">
        <v>21</v>
      </c>
      <c r="I6340">
        <v>24</v>
      </c>
      <c r="J6340">
        <v>3445</v>
      </c>
      <c r="K6340" s="1" t="s">
        <v>87</v>
      </c>
      <c r="L6340" s="1" t="s">
        <v>45</v>
      </c>
      <c r="M6340">
        <v>2.0649999999999999</v>
      </c>
      <c r="N6340">
        <v>49556.3</v>
      </c>
      <c r="O6340">
        <v>49.555999999999997</v>
      </c>
      <c r="P6340" s="2">
        <v>45352</v>
      </c>
      <c r="Q6340">
        <v>1</v>
      </c>
      <c r="R6340" s="1" t="s">
        <v>24</v>
      </c>
    </row>
    <row r="6341" spans="1:18" x14ac:dyDescent="0.25">
      <c r="A6341">
        <v>2024</v>
      </c>
      <c r="B6341">
        <v>4</v>
      </c>
      <c r="C6341" s="1" t="s">
        <v>27</v>
      </c>
      <c r="D6341" s="1" t="s">
        <v>19</v>
      </c>
      <c r="E6341" s="1" t="s">
        <v>86</v>
      </c>
      <c r="F6341">
        <v>2013</v>
      </c>
      <c r="G6341">
        <v>11</v>
      </c>
      <c r="H6341" s="1" t="s">
        <v>21</v>
      </c>
      <c r="I6341">
        <v>24</v>
      </c>
      <c r="J6341">
        <v>3445</v>
      </c>
      <c r="K6341" s="1" t="s">
        <v>87</v>
      </c>
      <c r="L6341" s="1" t="s">
        <v>45</v>
      </c>
      <c r="M6341">
        <v>1.8859999999999999</v>
      </c>
      <c r="N6341">
        <v>45267.3</v>
      </c>
      <c r="O6341">
        <v>45.267000000000003</v>
      </c>
      <c r="P6341" s="2">
        <v>45383</v>
      </c>
      <c r="Q6341">
        <v>1</v>
      </c>
      <c r="R6341" s="1" t="s">
        <v>24</v>
      </c>
    </row>
    <row r="6342" spans="1:18" x14ac:dyDescent="0.25">
      <c r="A6342">
        <v>2024</v>
      </c>
      <c r="B6342">
        <v>5</v>
      </c>
      <c r="C6342" s="1" t="s">
        <v>28</v>
      </c>
      <c r="D6342" s="1" t="s">
        <v>19</v>
      </c>
      <c r="E6342" s="1" t="s">
        <v>86</v>
      </c>
      <c r="F6342">
        <v>2013</v>
      </c>
      <c r="G6342">
        <v>11</v>
      </c>
      <c r="H6342" s="1" t="s">
        <v>21</v>
      </c>
      <c r="I6342">
        <v>24</v>
      </c>
      <c r="J6342">
        <v>3445</v>
      </c>
      <c r="K6342" s="1" t="s">
        <v>87</v>
      </c>
      <c r="L6342" s="1" t="s">
        <v>45</v>
      </c>
      <c r="M6342">
        <v>2.1920000000000002</v>
      </c>
      <c r="N6342">
        <v>52605.2</v>
      </c>
      <c r="O6342">
        <v>52.604999999999997</v>
      </c>
      <c r="P6342" s="2">
        <v>45413</v>
      </c>
      <c r="Q6342">
        <v>1</v>
      </c>
      <c r="R6342" s="1" t="s">
        <v>24</v>
      </c>
    </row>
    <row r="6343" spans="1:18" x14ac:dyDescent="0.25">
      <c r="A6343">
        <v>2024</v>
      </c>
      <c r="B6343">
        <v>6</v>
      </c>
      <c r="C6343" s="1" t="s">
        <v>29</v>
      </c>
      <c r="D6343" s="1" t="s">
        <v>19</v>
      </c>
      <c r="E6343" s="1" t="s">
        <v>86</v>
      </c>
      <c r="F6343">
        <v>2013</v>
      </c>
      <c r="G6343">
        <v>11</v>
      </c>
      <c r="H6343" s="1" t="s">
        <v>21</v>
      </c>
      <c r="I6343">
        <v>24</v>
      </c>
      <c r="J6343">
        <v>3445</v>
      </c>
      <c r="K6343" s="1" t="s">
        <v>87</v>
      </c>
      <c r="L6343" s="1" t="s">
        <v>45</v>
      </c>
      <c r="M6343">
        <v>2.4</v>
      </c>
      <c r="N6343">
        <v>57591.8</v>
      </c>
      <c r="O6343">
        <v>57.591999999999999</v>
      </c>
      <c r="P6343" s="2">
        <v>45444</v>
      </c>
      <c r="Q6343">
        <v>1</v>
      </c>
      <c r="R6343" s="1" t="s">
        <v>24</v>
      </c>
    </row>
    <row r="6344" spans="1:18" x14ac:dyDescent="0.25">
      <c r="A6344">
        <v>2024</v>
      </c>
      <c r="B6344">
        <v>7</v>
      </c>
      <c r="C6344" s="1" t="s">
        <v>30</v>
      </c>
      <c r="D6344" s="1" t="s">
        <v>19</v>
      </c>
      <c r="E6344" s="1" t="s">
        <v>86</v>
      </c>
      <c r="F6344">
        <v>2013</v>
      </c>
      <c r="G6344">
        <v>11</v>
      </c>
      <c r="H6344" s="1" t="s">
        <v>21</v>
      </c>
      <c r="I6344">
        <v>24</v>
      </c>
      <c r="J6344">
        <v>3445</v>
      </c>
      <c r="K6344" s="1" t="s">
        <v>87</v>
      </c>
      <c r="L6344" s="1" t="s">
        <v>45</v>
      </c>
      <c r="M6344">
        <v>2.198</v>
      </c>
      <c r="N6344">
        <v>52760.2</v>
      </c>
      <c r="O6344">
        <v>52.76</v>
      </c>
      <c r="P6344" s="2">
        <v>45474</v>
      </c>
      <c r="Q6344">
        <v>1</v>
      </c>
      <c r="R6344" s="1" t="s">
        <v>24</v>
      </c>
    </row>
    <row r="6345" spans="1:18" x14ac:dyDescent="0.25">
      <c r="A6345">
        <v>2024</v>
      </c>
      <c r="B6345">
        <v>8</v>
      </c>
      <c r="C6345" s="1" t="s">
        <v>31</v>
      </c>
      <c r="D6345" s="1" t="s">
        <v>19</v>
      </c>
      <c r="E6345" s="1" t="s">
        <v>86</v>
      </c>
      <c r="F6345">
        <v>2013</v>
      </c>
      <c r="G6345">
        <v>11</v>
      </c>
      <c r="H6345" s="1" t="s">
        <v>21</v>
      </c>
      <c r="I6345">
        <v>24</v>
      </c>
      <c r="J6345">
        <v>3445</v>
      </c>
      <c r="K6345" s="1" t="s">
        <v>87</v>
      </c>
      <c r="L6345" s="1" t="s">
        <v>45</v>
      </c>
      <c r="M6345">
        <v>1.9870000000000001</v>
      </c>
      <c r="N6345">
        <v>47696</v>
      </c>
      <c r="O6345">
        <v>47.695999999999998</v>
      </c>
      <c r="P6345" s="2">
        <v>45505</v>
      </c>
      <c r="Q6345">
        <v>1</v>
      </c>
      <c r="R6345" s="1" t="s">
        <v>24</v>
      </c>
    </row>
    <row r="6346" spans="1:18" x14ac:dyDescent="0.25">
      <c r="A6346">
        <v>2024</v>
      </c>
      <c r="B6346">
        <v>9</v>
      </c>
      <c r="C6346" s="1" t="s">
        <v>32</v>
      </c>
      <c r="D6346" s="1" t="s">
        <v>19</v>
      </c>
      <c r="E6346" s="1" t="s">
        <v>86</v>
      </c>
      <c r="F6346">
        <v>2013</v>
      </c>
      <c r="G6346">
        <v>11</v>
      </c>
      <c r="H6346" s="1" t="s">
        <v>21</v>
      </c>
      <c r="I6346">
        <v>24</v>
      </c>
      <c r="J6346">
        <v>3445</v>
      </c>
      <c r="K6346" s="1" t="s">
        <v>87</v>
      </c>
      <c r="L6346" s="1" t="s">
        <v>45</v>
      </c>
      <c r="M6346">
        <v>2.15</v>
      </c>
      <c r="N6346">
        <v>51597.5</v>
      </c>
      <c r="O6346">
        <v>51.597000000000001</v>
      </c>
      <c r="P6346" s="2">
        <v>45536</v>
      </c>
      <c r="Q6346">
        <v>1</v>
      </c>
      <c r="R6346" s="1" t="s">
        <v>24</v>
      </c>
    </row>
    <row r="6347" spans="1:18" x14ac:dyDescent="0.25">
      <c r="A6347">
        <v>2024</v>
      </c>
      <c r="B6347">
        <v>10</v>
      </c>
      <c r="C6347" s="1" t="s">
        <v>33</v>
      </c>
      <c r="D6347" s="1" t="s">
        <v>19</v>
      </c>
      <c r="E6347" s="1" t="s">
        <v>86</v>
      </c>
      <c r="F6347">
        <v>2013</v>
      </c>
      <c r="G6347">
        <v>11</v>
      </c>
      <c r="H6347" s="1" t="s">
        <v>21</v>
      </c>
      <c r="I6347">
        <v>24</v>
      </c>
      <c r="J6347">
        <v>3445</v>
      </c>
      <c r="K6347" s="1" t="s">
        <v>87</v>
      </c>
      <c r="L6347" s="1" t="s">
        <v>45</v>
      </c>
      <c r="M6347">
        <v>1.42</v>
      </c>
      <c r="N6347">
        <v>34079.699999999997</v>
      </c>
      <c r="O6347">
        <v>34.08</v>
      </c>
      <c r="P6347" s="2">
        <v>45566</v>
      </c>
      <c r="Q6347">
        <v>1</v>
      </c>
      <c r="R6347" s="1" t="s">
        <v>24</v>
      </c>
    </row>
    <row r="6348" spans="1:18" x14ac:dyDescent="0.25">
      <c r="A6348">
        <v>2024</v>
      </c>
      <c r="B6348">
        <v>11</v>
      </c>
      <c r="C6348" s="1" t="s">
        <v>34</v>
      </c>
      <c r="D6348" s="1" t="s">
        <v>19</v>
      </c>
      <c r="E6348" s="1" t="s">
        <v>86</v>
      </c>
      <c r="F6348">
        <v>2013</v>
      </c>
      <c r="G6348">
        <v>11</v>
      </c>
      <c r="H6348" s="1" t="s">
        <v>21</v>
      </c>
      <c r="I6348">
        <v>24</v>
      </c>
      <c r="J6348">
        <v>3445</v>
      </c>
      <c r="K6348" s="1" t="s">
        <v>87</v>
      </c>
      <c r="L6348" s="1" t="s">
        <v>45</v>
      </c>
      <c r="M6348">
        <v>1.008</v>
      </c>
      <c r="N6348">
        <v>24183.9</v>
      </c>
      <c r="O6348">
        <v>24.184000000000001</v>
      </c>
      <c r="P6348" s="2">
        <v>45597</v>
      </c>
      <c r="Q6348">
        <v>1</v>
      </c>
      <c r="R6348" s="1" t="s">
        <v>24</v>
      </c>
    </row>
    <row r="6349" spans="1:18" x14ac:dyDescent="0.25">
      <c r="A6349">
        <v>2024</v>
      </c>
      <c r="B6349">
        <v>12</v>
      </c>
      <c r="C6349" s="1" t="s">
        <v>35</v>
      </c>
      <c r="D6349" s="1" t="s">
        <v>19</v>
      </c>
      <c r="E6349" s="1" t="s">
        <v>86</v>
      </c>
      <c r="F6349">
        <v>2013</v>
      </c>
      <c r="G6349">
        <v>11</v>
      </c>
      <c r="H6349" s="1" t="s">
        <v>21</v>
      </c>
      <c r="I6349">
        <v>24</v>
      </c>
      <c r="J6349">
        <v>3445</v>
      </c>
      <c r="K6349" s="1" t="s">
        <v>87</v>
      </c>
      <c r="L6349" s="1" t="s">
        <v>45</v>
      </c>
      <c r="M6349">
        <v>1.29</v>
      </c>
      <c r="N6349">
        <v>30953.3</v>
      </c>
      <c r="O6349">
        <v>30.952999999999999</v>
      </c>
      <c r="P6349" s="2">
        <v>45627</v>
      </c>
      <c r="Q6349">
        <v>1</v>
      </c>
      <c r="R6349" s="1" t="s">
        <v>24</v>
      </c>
    </row>
    <row r="6350" spans="1:18" x14ac:dyDescent="0.25">
      <c r="A6350">
        <v>2024</v>
      </c>
      <c r="B6350">
        <v>1</v>
      </c>
      <c r="C6350" s="1" t="s">
        <v>18</v>
      </c>
      <c r="D6350" s="1" t="s">
        <v>19</v>
      </c>
      <c r="E6350" s="1" t="s">
        <v>88</v>
      </c>
      <c r="F6350">
        <v>2013</v>
      </c>
      <c r="G6350">
        <v>11</v>
      </c>
      <c r="H6350" s="1" t="s">
        <v>21</v>
      </c>
      <c r="I6350">
        <v>24</v>
      </c>
      <c r="J6350">
        <v>3271</v>
      </c>
      <c r="K6350" s="1" t="s">
        <v>89</v>
      </c>
      <c r="L6350" s="1" t="s">
        <v>45</v>
      </c>
      <c r="M6350">
        <v>1.367</v>
      </c>
      <c r="N6350">
        <v>32800</v>
      </c>
      <c r="O6350">
        <v>32.799999999999997</v>
      </c>
      <c r="P6350" s="2">
        <v>45292</v>
      </c>
      <c r="Q6350">
        <v>1</v>
      </c>
      <c r="R6350" s="1" t="s">
        <v>24</v>
      </c>
    </row>
    <row r="6351" spans="1:18" x14ac:dyDescent="0.25">
      <c r="A6351">
        <v>2024</v>
      </c>
      <c r="B6351">
        <v>2</v>
      </c>
      <c r="C6351" s="1" t="s">
        <v>25</v>
      </c>
      <c r="D6351" s="1" t="s">
        <v>19</v>
      </c>
      <c r="E6351" s="1" t="s">
        <v>88</v>
      </c>
      <c r="F6351">
        <v>2013</v>
      </c>
      <c r="G6351">
        <v>11</v>
      </c>
      <c r="H6351" s="1" t="s">
        <v>21</v>
      </c>
      <c r="I6351">
        <v>24</v>
      </c>
      <c r="J6351">
        <v>3271</v>
      </c>
      <c r="K6351" s="1" t="s">
        <v>89</v>
      </c>
      <c r="L6351" s="1" t="s">
        <v>45</v>
      </c>
      <c r="M6351">
        <v>1.448</v>
      </c>
      <c r="N6351">
        <v>34762.6</v>
      </c>
      <c r="O6351">
        <v>34.762999999999998</v>
      </c>
      <c r="P6351" s="2">
        <v>45323</v>
      </c>
      <c r="Q6351">
        <v>1</v>
      </c>
      <c r="R6351" s="1" t="s">
        <v>24</v>
      </c>
    </row>
    <row r="6352" spans="1:18" x14ac:dyDescent="0.25">
      <c r="A6352">
        <v>2024</v>
      </c>
      <c r="B6352">
        <v>3</v>
      </c>
      <c r="C6352" s="1" t="s">
        <v>26</v>
      </c>
      <c r="D6352" s="1" t="s">
        <v>19</v>
      </c>
      <c r="E6352" s="1" t="s">
        <v>88</v>
      </c>
      <c r="F6352">
        <v>2013</v>
      </c>
      <c r="G6352">
        <v>11</v>
      </c>
      <c r="H6352" s="1" t="s">
        <v>21</v>
      </c>
      <c r="I6352">
        <v>24</v>
      </c>
      <c r="J6352">
        <v>3271</v>
      </c>
      <c r="K6352" s="1" t="s">
        <v>89</v>
      </c>
      <c r="L6352" s="1" t="s">
        <v>45</v>
      </c>
      <c r="M6352">
        <v>1.9610000000000001</v>
      </c>
      <c r="N6352">
        <v>47053.3</v>
      </c>
      <c r="O6352">
        <v>47.052999999999997</v>
      </c>
      <c r="P6352" s="2">
        <v>45352</v>
      </c>
      <c r="Q6352">
        <v>1</v>
      </c>
      <c r="R6352" s="1" t="s">
        <v>24</v>
      </c>
    </row>
    <row r="6353" spans="1:18" x14ac:dyDescent="0.25">
      <c r="A6353">
        <v>2024</v>
      </c>
      <c r="B6353">
        <v>4</v>
      </c>
      <c r="C6353" s="1" t="s">
        <v>27</v>
      </c>
      <c r="D6353" s="1" t="s">
        <v>19</v>
      </c>
      <c r="E6353" s="1" t="s">
        <v>88</v>
      </c>
      <c r="F6353">
        <v>2013</v>
      </c>
      <c r="G6353">
        <v>11</v>
      </c>
      <c r="H6353" s="1" t="s">
        <v>21</v>
      </c>
      <c r="I6353">
        <v>24</v>
      </c>
      <c r="J6353">
        <v>3271</v>
      </c>
      <c r="K6353" s="1" t="s">
        <v>89</v>
      </c>
      <c r="L6353" s="1" t="s">
        <v>45</v>
      </c>
      <c r="M6353">
        <v>1.7909999999999999</v>
      </c>
      <c r="N6353">
        <v>42980.9</v>
      </c>
      <c r="O6353">
        <v>42.981000000000002</v>
      </c>
      <c r="P6353" s="2">
        <v>45383</v>
      </c>
      <c r="Q6353">
        <v>1</v>
      </c>
      <c r="R6353" s="1" t="s">
        <v>24</v>
      </c>
    </row>
    <row r="6354" spans="1:18" x14ac:dyDescent="0.25">
      <c r="A6354">
        <v>2024</v>
      </c>
      <c r="B6354">
        <v>5</v>
      </c>
      <c r="C6354" s="1" t="s">
        <v>28</v>
      </c>
      <c r="D6354" s="1" t="s">
        <v>19</v>
      </c>
      <c r="E6354" s="1" t="s">
        <v>88</v>
      </c>
      <c r="F6354">
        <v>2013</v>
      </c>
      <c r="G6354">
        <v>11</v>
      </c>
      <c r="H6354" s="1" t="s">
        <v>21</v>
      </c>
      <c r="I6354">
        <v>24</v>
      </c>
      <c r="J6354">
        <v>3271</v>
      </c>
      <c r="K6354" s="1" t="s">
        <v>89</v>
      </c>
      <c r="L6354" s="1" t="s">
        <v>45</v>
      </c>
      <c r="M6354">
        <v>2.081</v>
      </c>
      <c r="N6354">
        <v>49948.2</v>
      </c>
      <c r="O6354">
        <v>49.948</v>
      </c>
      <c r="P6354" s="2">
        <v>45413</v>
      </c>
      <c r="Q6354">
        <v>1</v>
      </c>
      <c r="R6354" s="1" t="s">
        <v>24</v>
      </c>
    </row>
    <row r="6355" spans="1:18" x14ac:dyDescent="0.25">
      <c r="A6355">
        <v>2024</v>
      </c>
      <c r="B6355">
        <v>6</v>
      </c>
      <c r="C6355" s="1" t="s">
        <v>29</v>
      </c>
      <c r="D6355" s="1" t="s">
        <v>19</v>
      </c>
      <c r="E6355" s="1" t="s">
        <v>88</v>
      </c>
      <c r="F6355">
        <v>2013</v>
      </c>
      <c r="G6355">
        <v>11</v>
      </c>
      <c r="H6355" s="1" t="s">
        <v>21</v>
      </c>
      <c r="I6355">
        <v>24</v>
      </c>
      <c r="J6355">
        <v>3271</v>
      </c>
      <c r="K6355" s="1" t="s">
        <v>89</v>
      </c>
      <c r="L6355" s="1" t="s">
        <v>45</v>
      </c>
      <c r="M6355">
        <v>2.278</v>
      </c>
      <c r="N6355">
        <v>54682.9</v>
      </c>
      <c r="O6355">
        <v>54.683</v>
      </c>
      <c r="P6355" s="2">
        <v>45444</v>
      </c>
      <c r="Q6355">
        <v>1</v>
      </c>
      <c r="R6355" s="1" t="s">
        <v>24</v>
      </c>
    </row>
    <row r="6356" spans="1:18" x14ac:dyDescent="0.25">
      <c r="A6356">
        <v>2024</v>
      </c>
      <c r="B6356">
        <v>7</v>
      </c>
      <c r="C6356" s="1" t="s">
        <v>30</v>
      </c>
      <c r="D6356" s="1" t="s">
        <v>19</v>
      </c>
      <c r="E6356" s="1" t="s">
        <v>88</v>
      </c>
      <c r="F6356">
        <v>2013</v>
      </c>
      <c r="G6356">
        <v>11</v>
      </c>
      <c r="H6356" s="1" t="s">
        <v>21</v>
      </c>
      <c r="I6356">
        <v>24</v>
      </c>
      <c r="J6356">
        <v>3271</v>
      </c>
      <c r="K6356" s="1" t="s">
        <v>89</v>
      </c>
      <c r="L6356" s="1" t="s">
        <v>45</v>
      </c>
      <c r="M6356">
        <v>2.0870000000000002</v>
      </c>
      <c r="N6356">
        <v>50095.4</v>
      </c>
      <c r="O6356">
        <v>50.094999999999999</v>
      </c>
      <c r="P6356" s="2">
        <v>45474</v>
      </c>
      <c r="Q6356">
        <v>1</v>
      </c>
      <c r="R6356" s="1" t="s">
        <v>24</v>
      </c>
    </row>
    <row r="6357" spans="1:18" x14ac:dyDescent="0.25">
      <c r="A6357">
        <v>2024</v>
      </c>
      <c r="B6357">
        <v>8</v>
      </c>
      <c r="C6357" s="1" t="s">
        <v>31</v>
      </c>
      <c r="D6357" s="1" t="s">
        <v>19</v>
      </c>
      <c r="E6357" s="1" t="s">
        <v>88</v>
      </c>
      <c r="F6357">
        <v>2013</v>
      </c>
      <c r="G6357">
        <v>11</v>
      </c>
      <c r="H6357" s="1" t="s">
        <v>21</v>
      </c>
      <c r="I6357">
        <v>24</v>
      </c>
      <c r="J6357">
        <v>3271</v>
      </c>
      <c r="K6357" s="1" t="s">
        <v>89</v>
      </c>
      <c r="L6357" s="1" t="s">
        <v>45</v>
      </c>
      <c r="M6357">
        <v>1.887</v>
      </c>
      <c r="N6357">
        <v>45287</v>
      </c>
      <c r="O6357">
        <v>45.286999999999999</v>
      </c>
      <c r="P6357" s="2">
        <v>45505</v>
      </c>
      <c r="Q6357">
        <v>1</v>
      </c>
      <c r="R6357" s="1" t="s">
        <v>24</v>
      </c>
    </row>
    <row r="6358" spans="1:18" x14ac:dyDescent="0.25">
      <c r="A6358">
        <v>2024</v>
      </c>
      <c r="B6358">
        <v>9</v>
      </c>
      <c r="C6358" s="1" t="s">
        <v>32</v>
      </c>
      <c r="D6358" s="1" t="s">
        <v>19</v>
      </c>
      <c r="E6358" s="1" t="s">
        <v>88</v>
      </c>
      <c r="F6358">
        <v>2013</v>
      </c>
      <c r="G6358">
        <v>11</v>
      </c>
      <c r="H6358" s="1" t="s">
        <v>21</v>
      </c>
      <c r="I6358">
        <v>24</v>
      </c>
      <c r="J6358">
        <v>3271</v>
      </c>
      <c r="K6358" s="1" t="s">
        <v>89</v>
      </c>
      <c r="L6358" s="1" t="s">
        <v>45</v>
      </c>
      <c r="M6358">
        <v>2.0409999999999999</v>
      </c>
      <c r="N6358">
        <v>48991.4</v>
      </c>
      <c r="O6358">
        <v>48.991</v>
      </c>
      <c r="P6358" s="2">
        <v>45536</v>
      </c>
      <c r="Q6358">
        <v>1</v>
      </c>
      <c r="R6358" s="1" t="s">
        <v>24</v>
      </c>
    </row>
    <row r="6359" spans="1:18" x14ac:dyDescent="0.25">
      <c r="A6359">
        <v>2024</v>
      </c>
      <c r="B6359">
        <v>10</v>
      </c>
      <c r="C6359" s="1" t="s">
        <v>33</v>
      </c>
      <c r="D6359" s="1" t="s">
        <v>19</v>
      </c>
      <c r="E6359" s="1" t="s">
        <v>88</v>
      </c>
      <c r="F6359">
        <v>2013</v>
      </c>
      <c r="G6359">
        <v>11</v>
      </c>
      <c r="H6359" s="1" t="s">
        <v>21</v>
      </c>
      <c r="I6359">
        <v>24</v>
      </c>
      <c r="J6359">
        <v>3271</v>
      </c>
      <c r="K6359" s="1" t="s">
        <v>89</v>
      </c>
      <c r="L6359" s="1" t="s">
        <v>45</v>
      </c>
      <c r="M6359">
        <v>1.3480000000000001</v>
      </c>
      <c r="N6359">
        <v>32358.400000000001</v>
      </c>
      <c r="O6359">
        <v>32.357999999999997</v>
      </c>
      <c r="P6359" s="2">
        <v>45566</v>
      </c>
      <c r="Q6359">
        <v>1</v>
      </c>
      <c r="R6359" s="1" t="s">
        <v>24</v>
      </c>
    </row>
    <row r="6360" spans="1:18" x14ac:dyDescent="0.25">
      <c r="A6360">
        <v>2024</v>
      </c>
      <c r="B6360">
        <v>11</v>
      </c>
      <c r="C6360" s="1" t="s">
        <v>34</v>
      </c>
      <c r="D6360" s="1" t="s">
        <v>19</v>
      </c>
      <c r="E6360" s="1" t="s">
        <v>88</v>
      </c>
      <c r="F6360">
        <v>2013</v>
      </c>
      <c r="G6360">
        <v>11</v>
      </c>
      <c r="H6360" s="1" t="s">
        <v>21</v>
      </c>
      <c r="I6360">
        <v>24</v>
      </c>
      <c r="J6360">
        <v>3271</v>
      </c>
      <c r="K6360" s="1" t="s">
        <v>89</v>
      </c>
      <c r="L6360" s="1" t="s">
        <v>45</v>
      </c>
      <c r="M6360">
        <v>0.95699999999999996</v>
      </c>
      <c r="N6360">
        <v>22962.400000000001</v>
      </c>
      <c r="O6360">
        <v>22.962</v>
      </c>
      <c r="P6360" s="2">
        <v>45597</v>
      </c>
      <c r="Q6360">
        <v>1</v>
      </c>
      <c r="R6360" s="1" t="s">
        <v>24</v>
      </c>
    </row>
    <row r="6361" spans="1:18" x14ac:dyDescent="0.25">
      <c r="A6361">
        <v>2024</v>
      </c>
      <c r="B6361">
        <v>12</v>
      </c>
      <c r="C6361" s="1" t="s">
        <v>35</v>
      </c>
      <c r="D6361" s="1" t="s">
        <v>19</v>
      </c>
      <c r="E6361" s="1" t="s">
        <v>88</v>
      </c>
      <c r="F6361">
        <v>2013</v>
      </c>
      <c r="G6361">
        <v>11</v>
      </c>
      <c r="H6361" s="1" t="s">
        <v>21</v>
      </c>
      <c r="I6361">
        <v>24</v>
      </c>
      <c r="J6361">
        <v>3271</v>
      </c>
      <c r="K6361" s="1" t="s">
        <v>89</v>
      </c>
      <c r="L6361" s="1" t="s">
        <v>45</v>
      </c>
      <c r="M6361">
        <v>1.2250000000000001</v>
      </c>
      <c r="N6361">
        <v>29389.9</v>
      </c>
      <c r="O6361">
        <v>29.39</v>
      </c>
      <c r="P6361" s="2">
        <v>45627</v>
      </c>
      <c r="Q6361">
        <v>1</v>
      </c>
      <c r="R6361" s="1" t="s">
        <v>24</v>
      </c>
    </row>
    <row r="6362" spans="1:18" x14ac:dyDescent="0.25">
      <c r="A6362">
        <v>2024</v>
      </c>
      <c r="B6362">
        <v>1</v>
      </c>
      <c r="C6362" s="1" t="s">
        <v>18</v>
      </c>
      <c r="D6362" s="1" t="s">
        <v>19</v>
      </c>
      <c r="E6362" s="1" t="s">
        <v>90</v>
      </c>
      <c r="F6362">
        <v>2013</v>
      </c>
      <c r="G6362">
        <v>11</v>
      </c>
      <c r="H6362" s="1" t="s">
        <v>21</v>
      </c>
      <c r="I6362">
        <v>25</v>
      </c>
      <c r="J6362">
        <v>3291</v>
      </c>
      <c r="K6362" s="1" t="s">
        <v>91</v>
      </c>
      <c r="L6362" s="1" t="s">
        <v>45</v>
      </c>
      <c r="M6362">
        <v>1.32</v>
      </c>
      <c r="N6362">
        <v>33000.5</v>
      </c>
      <c r="O6362">
        <v>33.000999999999998</v>
      </c>
      <c r="P6362" s="2">
        <v>45292</v>
      </c>
      <c r="Q6362">
        <v>1</v>
      </c>
      <c r="R6362" s="1" t="s">
        <v>24</v>
      </c>
    </row>
    <row r="6363" spans="1:18" x14ac:dyDescent="0.25">
      <c r="A6363">
        <v>2024</v>
      </c>
      <c r="B6363">
        <v>2</v>
      </c>
      <c r="C6363" s="1" t="s">
        <v>25</v>
      </c>
      <c r="D6363" s="1" t="s">
        <v>19</v>
      </c>
      <c r="E6363" s="1" t="s">
        <v>90</v>
      </c>
      <c r="F6363">
        <v>2013</v>
      </c>
      <c r="G6363">
        <v>11</v>
      </c>
      <c r="H6363" s="1" t="s">
        <v>21</v>
      </c>
      <c r="I6363">
        <v>25</v>
      </c>
      <c r="J6363">
        <v>3291</v>
      </c>
      <c r="K6363" s="1" t="s">
        <v>91</v>
      </c>
      <c r="L6363" s="1" t="s">
        <v>45</v>
      </c>
      <c r="M6363">
        <v>1.399</v>
      </c>
      <c r="N6363">
        <v>34975.1</v>
      </c>
      <c r="O6363">
        <v>34.975000000000001</v>
      </c>
      <c r="P6363" s="2">
        <v>45323</v>
      </c>
      <c r="Q6363">
        <v>1</v>
      </c>
      <c r="R6363" s="1" t="s">
        <v>24</v>
      </c>
    </row>
    <row r="6364" spans="1:18" x14ac:dyDescent="0.25">
      <c r="A6364">
        <v>2024</v>
      </c>
      <c r="B6364">
        <v>3</v>
      </c>
      <c r="C6364" s="1" t="s">
        <v>26</v>
      </c>
      <c r="D6364" s="1" t="s">
        <v>19</v>
      </c>
      <c r="E6364" s="1" t="s">
        <v>90</v>
      </c>
      <c r="F6364">
        <v>2013</v>
      </c>
      <c r="G6364">
        <v>11</v>
      </c>
      <c r="H6364" s="1" t="s">
        <v>21</v>
      </c>
      <c r="I6364">
        <v>25</v>
      </c>
      <c r="J6364">
        <v>3291</v>
      </c>
      <c r="K6364" s="1" t="s">
        <v>91</v>
      </c>
      <c r="L6364" s="1" t="s">
        <v>45</v>
      </c>
      <c r="M6364">
        <v>1.8939999999999999</v>
      </c>
      <c r="N6364">
        <v>47341</v>
      </c>
      <c r="O6364">
        <v>47.341000000000001</v>
      </c>
      <c r="P6364" s="2">
        <v>45352</v>
      </c>
      <c r="Q6364">
        <v>1</v>
      </c>
      <c r="R6364" s="1" t="s">
        <v>24</v>
      </c>
    </row>
    <row r="6365" spans="1:18" x14ac:dyDescent="0.25">
      <c r="A6365">
        <v>2024</v>
      </c>
      <c r="B6365">
        <v>4</v>
      </c>
      <c r="C6365" s="1" t="s">
        <v>27</v>
      </c>
      <c r="D6365" s="1" t="s">
        <v>19</v>
      </c>
      <c r="E6365" s="1" t="s">
        <v>90</v>
      </c>
      <c r="F6365">
        <v>2013</v>
      </c>
      <c r="G6365">
        <v>11</v>
      </c>
      <c r="H6365" s="1" t="s">
        <v>21</v>
      </c>
      <c r="I6365">
        <v>25</v>
      </c>
      <c r="J6365">
        <v>3291</v>
      </c>
      <c r="K6365" s="1" t="s">
        <v>91</v>
      </c>
      <c r="L6365" s="1" t="s">
        <v>45</v>
      </c>
      <c r="M6365">
        <v>1.73</v>
      </c>
      <c r="N6365">
        <v>43243.7</v>
      </c>
      <c r="O6365">
        <v>43.244</v>
      </c>
      <c r="P6365" s="2">
        <v>45383</v>
      </c>
      <c r="Q6365">
        <v>1</v>
      </c>
      <c r="R6365" s="1" t="s">
        <v>24</v>
      </c>
    </row>
    <row r="6366" spans="1:18" x14ac:dyDescent="0.25">
      <c r="A6366">
        <v>2024</v>
      </c>
      <c r="B6366">
        <v>5</v>
      </c>
      <c r="C6366" s="1" t="s">
        <v>28</v>
      </c>
      <c r="D6366" s="1" t="s">
        <v>19</v>
      </c>
      <c r="E6366" s="1" t="s">
        <v>90</v>
      </c>
      <c r="F6366">
        <v>2013</v>
      </c>
      <c r="G6366">
        <v>11</v>
      </c>
      <c r="H6366" s="1" t="s">
        <v>21</v>
      </c>
      <c r="I6366">
        <v>25</v>
      </c>
      <c r="J6366">
        <v>3291</v>
      </c>
      <c r="K6366" s="1" t="s">
        <v>91</v>
      </c>
      <c r="L6366" s="1" t="s">
        <v>45</v>
      </c>
      <c r="M6366">
        <v>2.0099999999999998</v>
      </c>
      <c r="N6366">
        <v>50253.599999999999</v>
      </c>
      <c r="O6366">
        <v>50.253999999999998</v>
      </c>
      <c r="P6366" s="2">
        <v>45413</v>
      </c>
      <c r="Q6366">
        <v>1</v>
      </c>
      <c r="R6366" s="1" t="s">
        <v>24</v>
      </c>
    </row>
    <row r="6367" spans="1:18" x14ac:dyDescent="0.25">
      <c r="A6367">
        <v>2024</v>
      </c>
      <c r="B6367">
        <v>6</v>
      </c>
      <c r="C6367" s="1" t="s">
        <v>29</v>
      </c>
      <c r="D6367" s="1" t="s">
        <v>19</v>
      </c>
      <c r="E6367" s="1" t="s">
        <v>90</v>
      </c>
      <c r="F6367">
        <v>2013</v>
      </c>
      <c r="G6367">
        <v>11</v>
      </c>
      <c r="H6367" s="1" t="s">
        <v>21</v>
      </c>
      <c r="I6367">
        <v>25</v>
      </c>
      <c r="J6367">
        <v>3291</v>
      </c>
      <c r="K6367" s="1" t="s">
        <v>91</v>
      </c>
      <c r="L6367" s="1" t="s">
        <v>45</v>
      </c>
      <c r="M6367">
        <v>2.2010000000000001</v>
      </c>
      <c r="N6367">
        <v>55017.3</v>
      </c>
      <c r="O6367">
        <v>55.017000000000003</v>
      </c>
      <c r="P6367" s="2">
        <v>45444</v>
      </c>
      <c r="Q6367">
        <v>1</v>
      </c>
      <c r="R6367" s="1" t="s">
        <v>24</v>
      </c>
    </row>
    <row r="6368" spans="1:18" x14ac:dyDescent="0.25">
      <c r="A6368">
        <v>2024</v>
      </c>
      <c r="B6368">
        <v>7</v>
      </c>
      <c r="C6368" s="1" t="s">
        <v>30</v>
      </c>
      <c r="D6368" s="1" t="s">
        <v>19</v>
      </c>
      <c r="E6368" s="1" t="s">
        <v>90</v>
      </c>
      <c r="F6368">
        <v>2013</v>
      </c>
      <c r="G6368">
        <v>11</v>
      </c>
      <c r="H6368" s="1" t="s">
        <v>21</v>
      </c>
      <c r="I6368">
        <v>25</v>
      </c>
      <c r="J6368">
        <v>3291</v>
      </c>
      <c r="K6368" s="1" t="s">
        <v>91</v>
      </c>
      <c r="L6368" s="1" t="s">
        <v>45</v>
      </c>
      <c r="M6368">
        <v>2.016</v>
      </c>
      <c r="N6368">
        <v>50401.7</v>
      </c>
      <c r="O6368">
        <v>50.402000000000001</v>
      </c>
      <c r="P6368" s="2">
        <v>45474</v>
      </c>
      <c r="Q6368">
        <v>1</v>
      </c>
      <c r="R6368" s="1" t="s">
        <v>24</v>
      </c>
    </row>
    <row r="6369" spans="1:18" x14ac:dyDescent="0.25">
      <c r="A6369">
        <v>2024</v>
      </c>
      <c r="B6369">
        <v>8</v>
      </c>
      <c r="C6369" s="1" t="s">
        <v>31</v>
      </c>
      <c r="D6369" s="1" t="s">
        <v>19</v>
      </c>
      <c r="E6369" s="1" t="s">
        <v>90</v>
      </c>
      <c r="F6369">
        <v>2013</v>
      </c>
      <c r="G6369">
        <v>11</v>
      </c>
      <c r="H6369" s="1" t="s">
        <v>21</v>
      </c>
      <c r="I6369">
        <v>25</v>
      </c>
      <c r="J6369">
        <v>3291</v>
      </c>
      <c r="K6369" s="1" t="s">
        <v>91</v>
      </c>
      <c r="L6369" s="1" t="s">
        <v>45</v>
      </c>
      <c r="M6369">
        <v>1.823</v>
      </c>
      <c r="N6369">
        <v>45563.9</v>
      </c>
      <c r="O6369">
        <v>45.564</v>
      </c>
      <c r="P6369" s="2">
        <v>45505</v>
      </c>
      <c r="Q6369">
        <v>1</v>
      </c>
      <c r="R6369" s="1" t="s">
        <v>24</v>
      </c>
    </row>
    <row r="6370" spans="1:18" x14ac:dyDescent="0.25">
      <c r="A6370">
        <v>2024</v>
      </c>
      <c r="B6370">
        <v>9</v>
      </c>
      <c r="C6370" s="1" t="s">
        <v>32</v>
      </c>
      <c r="D6370" s="1" t="s">
        <v>19</v>
      </c>
      <c r="E6370" s="1" t="s">
        <v>90</v>
      </c>
      <c r="F6370">
        <v>2013</v>
      </c>
      <c r="G6370">
        <v>11</v>
      </c>
      <c r="H6370" s="1" t="s">
        <v>21</v>
      </c>
      <c r="I6370">
        <v>25</v>
      </c>
      <c r="J6370">
        <v>3291</v>
      </c>
      <c r="K6370" s="1" t="s">
        <v>91</v>
      </c>
      <c r="L6370" s="1" t="s">
        <v>45</v>
      </c>
      <c r="M6370">
        <v>1.972</v>
      </c>
      <c r="N6370">
        <v>49291</v>
      </c>
      <c r="O6370">
        <v>49.290999999999997</v>
      </c>
      <c r="P6370" s="2">
        <v>45536</v>
      </c>
      <c r="Q6370">
        <v>1</v>
      </c>
      <c r="R6370" s="1" t="s">
        <v>24</v>
      </c>
    </row>
    <row r="6371" spans="1:18" x14ac:dyDescent="0.25">
      <c r="A6371">
        <v>2024</v>
      </c>
      <c r="B6371">
        <v>10</v>
      </c>
      <c r="C6371" s="1" t="s">
        <v>33</v>
      </c>
      <c r="D6371" s="1" t="s">
        <v>19</v>
      </c>
      <c r="E6371" s="1" t="s">
        <v>90</v>
      </c>
      <c r="F6371">
        <v>2013</v>
      </c>
      <c r="G6371">
        <v>11</v>
      </c>
      <c r="H6371" s="1" t="s">
        <v>21</v>
      </c>
      <c r="I6371">
        <v>25</v>
      </c>
      <c r="J6371">
        <v>3291</v>
      </c>
      <c r="K6371" s="1" t="s">
        <v>91</v>
      </c>
      <c r="L6371" s="1" t="s">
        <v>45</v>
      </c>
      <c r="M6371">
        <v>1.302</v>
      </c>
      <c r="N6371">
        <v>32556.2</v>
      </c>
      <c r="O6371">
        <v>32.555999999999997</v>
      </c>
      <c r="P6371" s="2">
        <v>45566</v>
      </c>
      <c r="Q6371">
        <v>1</v>
      </c>
      <c r="R6371" s="1" t="s">
        <v>24</v>
      </c>
    </row>
    <row r="6372" spans="1:18" x14ac:dyDescent="0.25">
      <c r="A6372">
        <v>2024</v>
      </c>
      <c r="B6372">
        <v>11</v>
      </c>
      <c r="C6372" s="1" t="s">
        <v>34</v>
      </c>
      <c r="D6372" s="1" t="s">
        <v>19</v>
      </c>
      <c r="E6372" s="1" t="s">
        <v>90</v>
      </c>
      <c r="F6372">
        <v>2013</v>
      </c>
      <c r="G6372">
        <v>11</v>
      </c>
      <c r="H6372" s="1" t="s">
        <v>21</v>
      </c>
      <c r="I6372">
        <v>25</v>
      </c>
      <c r="J6372">
        <v>3291</v>
      </c>
      <c r="K6372" s="1" t="s">
        <v>91</v>
      </c>
      <c r="L6372" s="1" t="s">
        <v>45</v>
      </c>
      <c r="M6372">
        <v>0.92400000000000004</v>
      </c>
      <c r="N6372">
        <v>23102.799999999999</v>
      </c>
      <c r="O6372">
        <v>23.103000000000002</v>
      </c>
      <c r="P6372" s="2">
        <v>45597</v>
      </c>
      <c r="Q6372">
        <v>1</v>
      </c>
      <c r="R6372" s="1" t="s">
        <v>24</v>
      </c>
    </row>
    <row r="6373" spans="1:18" x14ac:dyDescent="0.25">
      <c r="A6373">
        <v>2024</v>
      </c>
      <c r="B6373">
        <v>12</v>
      </c>
      <c r="C6373" s="1" t="s">
        <v>35</v>
      </c>
      <c r="D6373" s="1" t="s">
        <v>19</v>
      </c>
      <c r="E6373" s="1" t="s">
        <v>90</v>
      </c>
      <c r="F6373">
        <v>2013</v>
      </c>
      <c r="G6373">
        <v>11</v>
      </c>
      <c r="H6373" s="1" t="s">
        <v>21</v>
      </c>
      <c r="I6373">
        <v>25</v>
      </c>
      <c r="J6373">
        <v>3291</v>
      </c>
      <c r="K6373" s="1" t="s">
        <v>91</v>
      </c>
      <c r="L6373" s="1" t="s">
        <v>45</v>
      </c>
      <c r="M6373">
        <v>1.1830000000000001</v>
      </c>
      <c r="N6373">
        <v>29569.599999999999</v>
      </c>
      <c r="O6373">
        <v>29.57</v>
      </c>
      <c r="P6373" s="2">
        <v>45627</v>
      </c>
      <c r="Q6373">
        <v>1</v>
      </c>
      <c r="R6373" s="1" t="s">
        <v>24</v>
      </c>
    </row>
    <row r="6374" spans="1:18" x14ac:dyDescent="0.25">
      <c r="A6374">
        <v>2024</v>
      </c>
      <c r="B6374">
        <v>1</v>
      </c>
      <c r="C6374" s="1" t="s">
        <v>18</v>
      </c>
      <c r="D6374" s="1" t="s">
        <v>19</v>
      </c>
      <c r="E6374" s="1" t="s">
        <v>92</v>
      </c>
      <c r="F6374">
        <v>2014</v>
      </c>
      <c r="G6374">
        <v>10</v>
      </c>
      <c r="H6374" s="1" t="s">
        <v>21</v>
      </c>
      <c r="I6374">
        <v>24</v>
      </c>
      <c r="J6374">
        <v>2208</v>
      </c>
      <c r="K6374" s="1" t="s">
        <v>93</v>
      </c>
      <c r="L6374" s="1" t="s">
        <v>45</v>
      </c>
      <c r="M6374">
        <v>1.0229999999999999</v>
      </c>
      <c r="N6374">
        <v>24547.3</v>
      </c>
      <c r="O6374">
        <v>24.547000000000001</v>
      </c>
      <c r="P6374" s="2">
        <v>45292</v>
      </c>
      <c r="Q6374">
        <v>1</v>
      </c>
      <c r="R6374" s="1" t="s">
        <v>40</v>
      </c>
    </row>
    <row r="6375" spans="1:18" x14ac:dyDescent="0.25">
      <c r="A6375">
        <v>2024</v>
      </c>
      <c r="B6375">
        <v>2</v>
      </c>
      <c r="C6375" s="1" t="s">
        <v>25</v>
      </c>
      <c r="D6375" s="1" t="s">
        <v>19</v>
      </c>
      <c r="E6375" s="1" t="s">
        <v>92</v>
      </c>
      <c r="F6375">
        <v>2014</v>
      </c>
      <c r="G6375">
        <v>10</v>
      </c>
      <c r="H6375" s="1" t="s">
        <v>21</v>
      </c>
      <c r="I6375">
        <v>24</v>
      </c>
      <c r="J6375">
        <v>2208</v>
      </c>
      <c r="K6375" s="1" t="s">
        <v>93</v>
      </c>
      <c r="L6375" s="1" t="s">
        <v>45</v>
      </c>
      <c r="M6375">
        <v>1.0840000000000001</v>
      </c>
      <c r="N6375">
        <v>26016.1</v>
      </c>
      <c r="O6375">
        <v>26.015999999999998</v>
      </c>
      <c r="P6375" s="2">
        <v>45323</v>
      </c>
      <c r="Q6375">
        <v>1</v>
      </c>
      <c r="R6375" s="1" t="s">
        <v>40</v>
      </c>
    </row>
    <row r="6376" spans="1:18" x14ac:dyDescent="0.25">
      <c r="A6376">
        <v>2024</v>
      </c>
      <c r="B6376">
        <v>3</v>
      </c>
      <c r="C6376" s="1" t="s">
        <v>26</v>
      </c>
      <c r="D6376" s="1" t="s">
        <v>19</v>
      </c>
      <c r="E6376" s="1" t="s">
        <v>92</v>
      </c>
      <c r="F6376">
        <v>2014</v>
      </c>
      <c r="G6376">
        <v>10</v>
      </c>
      <c r="H6376" s="1" t="s">
        <v>21</v>
      </c>
      <c r="I6376">
        <v>24</v>
      </c>
      <c r="J6376">
        <v>2208</v>
      </c>
      <c r="K6376" s="1" t="s">
        <v>93</v>
      </c>
      <c r="L6376" s="1" t="s">
        <v>45</v>
      </c>
      <c r="M6376">
        <v>1.4670000000000001</v>
      </c>
      <c r="N6376">
        <v>35214.5</v>
      </c>
      <c r="O6376">
        <v>35.213999999999999</v>
      </c>
      <c r="P6376" s="2">
        <v>45352</v>
      </c>
      <c r="Q6376">
        <v>1</v>
      </c>
      <c r="R6376" s="1" t="s">
        <v>40</v>
      </c>
    </row>
    <row r="6377" spans="1:18" x14ac:dyDescent="0.25">
      <c r="A6377">
        <v>2024</v>
      </c>
      <c r="B6377">
        <v>4</v>
      </c>
      <c r="C6377" s="1" t="s">
        <v>27</v>
      </c>
      <c r="D6377" s="1" t="s">
        <v>19</v>
      </c>
      <c r="E6377" s="1" t="s">
        <v>92</v>
      </c>
      <c r="F6377">
        <v>2014</v>
      </c>
      <c r="G6377">
        <v>10</v>
      </c>
      <c r="H6377" s="1" t="s">
        <v>21</v>
      </c>
      <c r="I6377">
        <v>24</v>
      </c>
      <c r="J6377">
        <v>2208</v>
      </c>
      <c r="K6377" s="1" t="s">
        <v>93</v>
      </c>
      <c r="L6377" s="1" t="s">
        <v>45</v>
      </c>
      <c r="M6377">
        <v>1.34</v>
      </c>
      <c r="N6377">
        <v>32166.7</v>
      </c>
      <c r="O6377">
        <v>32.167000000000002</v>
      </c>
      <c r="P6377" s="2">
        <v>45383</v>
      </c>
      <c r="Q6377">
        <v>1</v>
      </c>
      <c r="R6377" s="1" t="s">
        <v>40</v>
      </c>
    </row>
    <row r="6378" spans="1:18" x14ac:dyDescent="0.25">
      <c r="A6378">
        <v>2024</v>
      </c>
      <c r="B6378">
        <v>5</v>
      </c>
      <c r="C6378" s="1" t="s">
        <v>28</v>
      </c>
      <c r="D6378" s="1" t="s">
        <v>19</v>
      </c>
      <c r="E6378" s="1" t="s">
        <v>92</v>
      </c>
      <c r="F6378">
        <v>2014</v>
      </c>
      <c r="G6378">
        <v>10</v>
      </c>
      <c r="H6378" s="1" t="s">
        <v>21</v>
      </c>
      <c r="I6378">
        <v>24</v>
      </c>
      <c r="J6378">
        <v>2208</v>
      </c>
      <c r="K6378" s="1" t="s">
        <v>93</v>
      </c>
      <c r="L6378" s="1" t="s">
        <v>45</v>
      </c>
      <c r="M6378">
        <v>1.5580000000000001</v>
      </c>
      <c r="N6378">
        <v>37381</v>
      </c>
      <c r="O6378">
        <v>37.381</v>
      </c>
      <c r="P6378" s="2">
        <v>45413</v>
      </c>
      <c r="Q6378">
        <v>1</v>
      </c>
      <c r="R6378" s="1" t="s">
        <v>40</v>
      </c>
    </row>
    <row r="6379" spans="1:18" x14ac:dyDescent="0.25">
      <c r="A6379">
        <v>2024</v>
      </c>
      <c r="B6379">
        <v>6</v>
      </c>
      <c r="C6379" s="1" t="s">
        <v>29</v>
      </c>
      <c r="D6379" s="1" t="s">
        <v>19</v>
      </c>
      <c r="E6379" s="1" t="s">
        <v>92</v>
      </c>
      <c r="F6379">
        <v>2014</v>
      </c>
      <c r="G6379">
        <v>10</v>
      </c>
      <c r="H6379" s="1" t="s">
        <v>21</v>
      </c>
      <c r="I6379">
        <v>24</v>
      </c>
      <c r="J6379">
        <v>2208</v>
      </c>
      <c r="K6379" s="1" t="s">
        <v>93</v>
      </c>
      <c r="L6379" s="1" t="s">
        <v>45</v>
      </c>
      <c r="M6379">
        <v>1.7050000000000001</v>
      </c>
      <c r="N6379">
        <v>40924.400000000001</v>
      </c>
      <c r="O6379">
        <v>40.923999999999999</v>
      </c>
      <c r="P6379" s="2">
        <v>45444</v>
      </c>
      <c r="Q6379">
        <v>1</v>
      </c>
      <c r="R6379" s="1" t="s">
        <v>40</v>
      </c>
    </row>
    <row r="6380" spans="1:18" x14ac:dyDescent="0.25">
      <c r="A6380">
        <v>2024</v>
      </c>
      <c r="B6380">
        <v>7</v>
      </c>
      <c r="C6380" s="1" t="s">
        <v>30</v>
      </c>
      <c r="D6380" s="1" t="s">
        <v>19</v>
      </c>
      <c r="E6380" s="1" t="s">
        <v>92</v>
      </c>
      <c r="F6380">
        <v>2014</v>
      </c>
      <c r="G6380">
        <v>10</v>
      </c>
      <c r="H6380" s="1" t="s">
        <v>21</v>
      </c>
      <c r="I6380">
        <v>24</v>
      </c>
      <c r="J6380">
        <v>2208</v>
      </c>
      <c r="K6380" s="1" t="s">
        <v>93</v>
      </c>
      <c r="L6380" s="1" t="s">
        <v>45</v>
      </c>
      <c r="M6380">
        <v>1.5620000000000001</v>
      </c>
      <c r="N6380">
        <v>37491.1</v>
      </c>
      <c r="O6380">
        <v>37.491</v>
      </c>
      <c r="P6380" s="2">
        <v>45474</v>
      </c>
      <c r="Q6380">
        <v>1</v>
      </c>
      <c r="R6380" s="1" t="s">
        <v>40</v>
      </c>
    </row>
    <row r="6381" spans="1:18" x14ac:dyDescent="0.25">
      <c r="A6381">
        <v>2024</v>
      </c>
      <c r="B6381">
        <v>8</v>
      </c>
      <c r="C6381" s="1" t="s">
        <v>31</v>
      </c>
      <c r="D6381" s="1" t="s">
        <v>19</v>
      </c>
      <c r="E6381" s="1" t="s">
        <v>92</v>
      </c>
      <c r="F6381">
        <v>2014</v>
      </c>
      <c r="G6381">
        <v>10</v>
      </c>
      <c r="H6381" s="1" t="s">
        <v>21</v>
      </c>
      <c r="I6381">
        <v>24</v>
      </c>
      <c r="J6381">
        <v>2208</v>
      </c>
      <c r="K6381" s="1" t="s">
        <v>93</v>
      </c>
      <c r="L6381" s="1" t="s">
        <v>45</v>
      </c>
      <c r="M6381">
        <v>1.4119999999999999</v>
      </c>
      <c r="N6381">
        <v>33892.6</v>
      </c>
      <c r="O6381">
        <v>33.893000000000001</v>
      </c>
      <c r="P6381" s="2">
        <v>45505</v>
      </c>
      <c r="Q6381">
        <v>1</v>
      </c>
      <c r="R6381" s="1" t="s">
        <v>40</v>
      </c>
    </row>
    <row r="6382" spans="1:18" x14ac:dyDescent="0.25">
      <c r="A6382">
        <v>2024</v>
      </c>
      <c r="B6382">
        <v>9</v>
      </c>
      <c r="C6382" s="1" t="s">
        <v>32</v>
      </c>
      <c r="D6382" s="1" t="s">
        <v>19</v>
      </c>
      <c r="E6382" s="1" t="s">
        <v>92</v>
      </c>
      <c r="F6382">
        <v>2014</v>
      </c>
      <c r="G6382">
        <v>10</v>
      </c>
      <c r="H6382" s="1" t="s">
        <v>21</v>
      </c>
      <c r="I6382">
        <v>24</v>
      </c>
      <c r="J6382">
        <v>2208</v>
      </c>
      <c r="K6382" s="1" t="s">
        <v>93</v>
      </c>
      <c r="L6382" s="1" t="s">
        <v>45</v>
      </c>
      <c r="M6382">
        <v>1.528</v>
      </c>
      <c r="N6382">
        <v>36664.9</v>
      </c>
      <c r="O6382">
        <v>36.664999999999999</v>
      </c>
      <c r="P6382" s="2">
        <v>45536</v>
      </c>
      <c r="Q6382">
        <v>1</v>
      </c>
      <c r="R6382" s="1" t="s">
        <v>40</v>
      </c>
    </row>
    <row r="6383" spans="1:18" x14ac:dyDescent="0.25">
      <c r="A6383">
        <v>2024</v>
      </c>
      <c r="B6383">
        <v>10</v>
      </c>
      <c r="C6383" s="1" t="s">
        <v>33</v>
      </c>
      <c r="D6383" s="1" t="s">
        <v>19</v>
      </c>
      <c r="E6383" s="1" t="s">
        <v>92</v>
      </c>
      <c r="F6383">
        <v>2014</v>
      </c>
      <c r="G6383">
        <v>10</v>
      </c>
      <c r="H6383" s="1" t="s">
        <v>21</v>
      </c>
      <c r="I6383">
        <v>24</v>
      </c>
      <c r="J6383">
        <v>2208</v>
      </c>
      <c r="K6383" s="1" t="s">
        <v>93</v>
      </c>
      <c r="L6383" s="1" t="s">
        <v>45</v>
      </c>
      <c r="M6383">
        <v>1.0089999999999999</v>
      </c>
      <c r="N6383">
        <v>24216.799999999999</v>
      </c>
      <c r="O6383">
        <v>24.216999999999999</v>
      </c>
      <c r="P6383" s="2">
        <v>45566</v>
      </c>
      <c r="Q6383">
        <v>1</v>
      </c>
      <c r="R6383" s="1" t="s">
        <v>40</v>
      </c>
    </row>
    <row r="6384" spans="1:18" x14ac:dyDescent="0.25">
      <c r="A6384">
        <v>2024</v>
      </c>
      <c r="B6384">
        <v>11</v>
      </c>
      <c r="C6384" s="1" t="s">
        <v>34</v>
      </c>
      <c r="D6384" s="1" t="s">
        <v>19</v>
      </c>
      <c r="E6384" s="1" t="s">
        <v>92</v>
      </c>
      <c r="F6384">
        <v>2014</v>
      </c>
      <c r="G6384">
        <v>10</v>
      </c>
      <c r="H6384" s="1" t="s">
        <v>21</v>
      </c>
      <c r="I6384">
        <v>24</v>
      </c>
      <c r="J6384">
        <v>2208</v>
      </c>
      <c r="K6384" s="1" t="s">
        <v>93</v>
      </c>
      <c r="L6384" s="1" t="s">
        <v>45</v>
      </c>
      <c r="M6384">
        <v>0.71599999999999997</v>
      </c>
      <c r="N6384">
        <v>17185</v>
      </c>
      <c r="O6384">
        <v>17.184999999999999</v>
      </c>
      <c r="P6384" s="2">
        <v>45597</v>
      </c>
      <c r="Q6384">
        <v>1</v>
      </c>
      <c r="R6384" s="1" t="s">
        <v>40</v>
      </c>
    </row>
    <row r="6385" spans="1:18" x14ac:dyDescent="0.25">
      <c r="A6385">
        <v>2024</v>
      </c>
      <c r="B6385">
        <v>12</v>
      </c>
      <c r="C6385" s="1" t="s">
        <v>35</v>
      </c>
      <c r="D6385" s="1" t="s">
        <v>19</v>
      </c>
      <c r="E6385" s="1" t="s">
        <v>92</v>
      </c>
      <c r="F6385">
        <v>2014</v>
      </c>
      <c r="G6385">
        <v>10</v>
      </c>
      <c r="H6385" s="1" t="s">
        <v>21</v>
      </c>
      <c r="I6385">
        <v>24</v>
      </c>
      <c r="J6385">
        <v>2208</v>
      </c>
      <c r="K6385" s="1" t="s">
        <v>93</v>
      </c>
      <c r="L6385" s="1" t="s">
        <v>45</v>
      </c>
      <c r="M6385">
        <v>0.91600000000000004</v>
      </c>
      <c r="N6385">
        <v>21995.3</v>
      </c>
      <c r="O6385">
        <v>21.995000000000001</v>
      </c>
      <c r="P6385" s="2">
        <v>45627</v>
      </c>
      <c r="Q6385">
        <v>1</v>
      </c>
      <c r="R6385" s="1" t="s">
        <v>40</v>
      </c>
    </row>
    <row r="6386" spans="1:18" x14ac:dyDescent="0.25">
      <c r="A6386">
        <v>2024</v>
      </c>
      <c r="B6386">
        <v>1</v>
      </c>
      <c r="C6386" s="1" t="s">
        <v>18</v>
      </c>
      <c r="D6386" s="1" t="s">
        <v>19</v>
      </c>
      <c r="E6386" s="1" t="s">
        <v>94</v>
      </c>
      <c r="F6386">
        <v>2014</v>
      </c>
      <c r="G6386">
        <v>10</v>
      </c>
      <c r="H6386" s="1" t="s">
        <v>21</v>
      </c>
      <c r="I6386">
        <v>20</v>
      </c>
      <c r="J6386">
        <v>1954</v>
      </c>
      <c r="K6386" s="1" t="s">
        <v>95</v>
      </c>
      <c r="L6386" s="1" t="s">
        <v>45</v>
      </c>
      <c r="M6386">
        <v>1.0229999999999999</v>
      </c>
      <c r="N6386">
        <v>20456.099999999999</v>
      </c>
      <c r="O6386">
        <v>20.456</v>
      </c>
      <c r="P6386" s="2">
        <v>45292</v>
      </c>
      <c r="Q6386">
        <v>1</v>
      </c>
      <c r="R6386" s="1" t="s">
        <v>40</v>
      </c>
    </row>
    <row r="6387" spans="1:18" x14ac:dyDescent="0.25">
      <c r="A6387">
        <v>2024</v>
      </c>
      <c r="B6387">
        <v>2</v>
      </c>
      <c r="C6387" s="1" t="s">
        <v>25</v>
      </c>
      <c r="D6387" s="1" t="s">
        <v>19</v>
      </c>
      <c r="E6387" s="1" t="s">
        <v>94</v>
      </c>
      <c r="F6387">
        <v>2014</v>
      </c>
      <c r="G6387">
        <v>10</v>
      </c>
      <c r="H6387" s="1" t="s">
        <v>21</v>
      </c>
      <c r="I6387">
        <v>20</v>
      </c>
      <c r="J6387">
        <v>1954</v>
      </c>
      <c r="K6387" s="1" t="s">
        <v>95</v>
      </c>
      <c r="L6387" s="1" t="s">
        <v>45</v>
      </c>
      <c r="M6387">
        <v>1.0840000000000001</v>
      </c>
      <c r="N6387">
        <v>21680.1</v>
      </c>
      <c r="O6387">
        <v>21.68</v>
      </c>
      <c r="P6387" s="2">
        <v>45323</v>
      </c>
      <c r="Q6387">
        <v>1</v>
      </c>
      <c r="R6387" s="1" t="s">
        <v>40</v>
      </c>
    </row>
    <row r="6388" spans="1:18" x14ac:dyDescent="0.25">
      <c r="A6388">
        <v>2024</v>
      </c>
      <c r="B6388">
        <v>3</v>
      </c>
      <c r="C6388" s="1" t="s">
        <v>26</v>
      </c>
      <c r="D6388" s="1" t="s">
        <v>19</v>
      </c>
      <c r="E6388" s="1" t="s">
        <v>94</v>
      </c>
      <c r="F6388">
        <v>2014</v>
      </c>
      <c r="G6388">
        <v>10</v>
      </c>
      <c r="H6388" s="1" t="s">
        <v>21</v>
      </c>
      <c r="I6388">
        <v>20</v>
      </c>
      <c r="J6388">
        <v>1954</v>
      </c>
      <c r="K6388" s="1" t="s">
        <v>95</v>
      </c>
      <c r="L6388" s="1" t="s">
        <v>45</v>
      </c>
      <c r="M6388">
        <v>1.4670000000000001</v>
      </c>
      <c r="N6388">
        <v>29345.4</v>
      </c>
      <c r="O6388">
        <v>29.344999999999999</v>
      </c>
      <c r="P6388" s="2">
        <v>45352</v>
      </c>
      <c r="Q6388">
        <v>1</v>
      </c>
      <c r="R6388" s="1" t="s">
        <v>40</v>
      </c>
    </row>
    <row r="6389" spans="1:18" x14ac:dyDescent="0.25">
      <c r="A6389">
        <v>2024</v>
      </c>
      <c r="B6389">
        <v>4</v>
      </c>
      <c r="C6389" s="1" t="s">
        <v>27</v>
      </c>
      <c r="D6389" s="1" t="s">
        <v>19</v>
      </c>
      <c r="E6389" s="1" t="s">
        <v>94</v>
      </c>
      <c r="F6389">
        <v>2014</v>
      </c>
      <c r="G6389">
        <v>10</v>
      </c>
      <c r="H6389" s="1" t="s">
        <v>21</v>
      </c>
      <c r="I6389">
        <v>20</v>
      </c>
      <c r="J6389">
        <v>1954</v>
      </c>
      <c r="K6389" s="1" t="s">
        <v>95</v>
      </c>
      <c r="L6389" s="1" t="s">
        <v>45</v>
      </c>
      <c r="M6389">
        <v>1.34</v>
      </c>
      <c r="N6389">
        <v>26805.599999999999</v>
      </c>
      <c r="O6389">
        <v>26.806000000000001</v>
      </c>
      <c r="P6389" s="2">
        <v>45383</v>
      </c>
      <c r="Q6389">
        <v>1</v>
      </c>
      <c r="R6389" s="1" t="s">
        <v>40</v>
      </c>
    </row>
    <row r="6390" spans="1:18" x14ac:dyDescent="0.25">
      <c r="A6390">
        <v>2024</v>
      </c>
      <c r="B6390">
        <v>5</v>
      </c>
      <c r="C6390" s="1" t="s">
        <v>28</v>
      </c>
      <c r="D6390" s="1" t="s">
        <v>19</v>
      </c>
      <c r="E6390" s="1" t="s">
        <v>94</v>
      </c>
      <c r="F6390">
        <v>2014</v>
      </c>
      <c r="G6390">
        <v>10</v>
      </c>
      <c r="H6390" s="1" t="s">
        <v>21</v>
      </c>
      <c r="I6390">
        <v>20</v>
      </c>
      <c r="J6390">
        <v>1954</v>
      </c>
      <c r="K6390" s="1" t="s">
        <v>95</v>
      </c>
      <c r="L6390" s="1" t="s">
        <v>45</v>
      </c>
      <c r="M6390">
        <v>1.5580000000000001</v>
      </c>
      <c r="N6390">
        <v>31150.799999999999</v>
      </c>
      <c r="O6390">
        <v>31.151</v>
      </c>
      <c r="P6390" s="2">
        <v>45413</v>
      </c>
      <c r="Q6390">
        <v>1</v>
      </c>
      <c r="R6390" s="1" t="s">
        <v>40</v>
      </c>
    </row>
    <row r="6391" spans="1:18" x14ac:dyDescent="0.25">
      <c r="A6391">
        <v>2024</v>
      </c>
      <c r="B6391">
        <v>6</v>
      </c>
      <c r="C6391" s="1" t="s">
        <v>29</v>
      </c>
      <c r="D6391" s="1" t="s">
        <v>19</v>
      </c>
      <c r="E6391" s="1" t="s">
        <v>94</v>
      </c>
      <c r="F6391">
        <v>2014</v>
      </c>
      <c r="G6391">
        <v>10</v>
      </c>
      <c r="H6391" s="1" t="s">
        <v>21</v>
      </c>
      <c r="I6391">
        <v>20</v>
      </c>
      <c r="J6391">
        <v>1954</v>
      </c>
      <c r="K6391" s="1" t="s">
        <v>95</v>
      </c>
      <c r="L6391" s="1" t="s">
        <v>45</v>
      </c>
      <c r="M6391">
        <v>1.7050000000000001</v>
      </c>
      <c r="N6391">
        <v>34103.699999999997</v>
      </c>
      <c r="O6391">
        <v>34.103999999999999</v>
      </c>
      <c r="P6391" s="2">
        <v>45444</v>
      </c>
      <c r="Q6391">
        <v>1</v>
      </c>
      <c r="R6391" s="1" t="s">
        <v>40</v>
      </c>
    </row>
    <row r="6392" spans="1:18" x14ac:dyDescent="0.25">
      <c r="A6392">
        <v>2024</v>
      </c>
      <c r="B6392">
        <v>7</v>
      </c>
      <c r="C6392" s="1" t="s">
        <v>30</v>
      </c>
      <c r="D6392" s="1" t="s">
        <v>19</v>
      </c>
      <c r="E6392" s="1" t="s">
        <v>94</v>
      </c>
      <c r="F6392">
        <v>2014</v>
      </c>
      <c r="G6392">
        <v>10</v>
      </c>
      <c r="H6392" s="1" t="s">
        <v>21</v>
      </c>
      <c r="I6392">
        <v>20</v>
      </c>
      <c r="J6392">
        <v>1954</v>
      </c>
      <c r="K6392" s="1" t="s">
        <v>95</v>
      </c>
      <c r="L6392" s="1" t="s">
        <v>45</v>
      </c>
      <c r="M6392">
        <v>1.5620000000000001</v>
      </c>
      <c r="N6392">
        <v>31242.6</v>
      </c>
      <c r="O6392">
        <v>31.242999999999999</v>
      </c>
      <c r="P6392" s="2">
        <v>45474</v>
      </c>
      <c r="Q6392">
        <v>1</v>
      </c>
      <c r="R6392" s="1" t="s">
        <v>40</v>
      </c>
    </row>
    <row r="6393" spans="1:18" x14ac:dyDescent="0.25">
      <c r="A6393">
        <v>2024</v>
      </c>
      <c r="B6393">
        <v>8</v>
      </c>
      <c r="C6393" s="1" t="s">
        <v>31</v>
      </c>
      <c r="D6393" s="1" t="s">
        <v>19</v>
      </c>
      <c r="E6393" s="1" t="s">
        <v>94</v>
      </c>
      <c r="F6393">
        <v>2014</v>
      </c>
      <c r="G6393">
        <v>10</v>
      </c>
      <c r="H6393" s="1" t="s">
        <v>21</v>
      </c>
      <c r="I6393">
        <v>20</v>
      </c>
      <c r="J6393">
        <v>1954</v>
      </c>
      <c r="K6393" s="1" t="s">
        <v>95</v>
      </c>
      <c r="L6393" s="1" t="s">
        <v>45</v>
      </c>
      <c r="M6393">
        <v>1.4119999999999999</v>
      </c>
      <c r="N6393">
        <v>28243.8</v>
      </c>
      <c r="O6393">
        <v>28.244</v>
      </c>
      <c r="P6393" s="2">
        <v>45505</v>
      </c>
      <c r="Q6393">
        <v>1</v>
      </c>
      <c r="R6393" s="1" t="s">
        <v>40</v>
      </c>
    </row>
    <row r="6394" spans="1:18" x14ac:dyDescent="0.25">
      <c r="A6394">
        <v>2024</v>
      </c>
      <c r="B6394">
        <v>9</v>
      </c>
      <c r="C6394" s="1" t="s">
        <v>32</v>
      </c>
      <c r="D6394" s="1" t="s">
        <v>19</v>
      </c>
      <c r="E6394" s="1" t="s">
        <v>94</v>
      </c>
      <c r="F6394">
        <v>2014</v>
      </c>
      <c r="G6394">
        <v>10</v>
      </c>
      <c r="H6394" s="1" t="s">
        <v>21</v>
      </c>
      <c r="I6394">
        <v>20</v>
      </c>
      <c r="J6394">
        <v>1954</v>
      </c>
      <c r="K6394" s="1" t="s">
        <v>95</v>
      </c>
      <c r="L6394" s="1" t="s">
        <v>45</v>
      </c>
      <c r="M6394">
        <v>1.528</v>
      </c>
      <c r="N6394">
        <v>30554.1</v>
      </c>
      <c r="O6394">
        <v>30.553999999999998</v>
      </c>
      <c r="P6394" s="2">
        <v>45536</v>
      </c>
      <c r="Q6394">
        <v>1</v>
      </c>
      <c r="R6394" s="1" t="s">
        <v>40</v>
      </c>
    </row>
    <row r="6395" spans="1:18" x14ac:dyDescent="0.25">
      <c r="A6395">
        <v>2024</v>
      </c>
      <c r="B6395">
        <v>10</v>
      </c>
      <c r="C6395" s="1" t="s">
        <v>33</v>
      </c>
      <c r="D6395" s="1" t="s">
        <v>19</v>
      </c>
      <c r="E6395" s="1" t="s">
        <v>94</v>
      </c>
      <c r="F6395">
        <v>2014</v>
      </c>
      <c r="G6395">
        <v>10</v>
      </c>
      <c r="H6395" s="1" t="s">
        <v>21</v>
      </c>
      <c r="I6395">
        <v>20</v>
      </c>
      <c r="J6395">
        <v>1954</v>
      </c>
      <c r="K6395" s="1" t="s">
        <v>95</v>
      </c>
      <c r="L6395" s="1" t="s">
        <v>45</v>
      </c>
      <c r="M6395">
        <v>1.0089999999999999</v>
      </c>
      <c r="N6395">
        <v>20180.7</v>
      </c>
      <c r="O6395">
        <v>20.181000000000001</v>
      </c>
      <c r="P6395" s="2">
        <v>45566</v>
      </c>
      <c r="Q6395">
        <v>1</v>
      </c>
      <c r="R6395" s="1" t="s">
        <v>40</v>
      </c>
    </row>
    <row r="6396" spans="1:18" x14ac:dyDescent="0.25">
      <c r="A6396">
        <v>2024</v>
      </c>
      <c r="B6396">
        <v>11</v>
      </c>
      <c r="C6396" s="1" t="s">
        <v>34</v>
      </c>
      <c r="D6396" s="1" t="s">
        <v>19</v>
      </c>
      <c r="E6396" s="1" t="s">
        <v>94</v>
      </c>
      <c r="F6396">
        <v>2014</v>
      </c>
      <c r="G6396">
        <v>10</v>
      </c>
      <c r="H6396" s="1" t="s">
        <v>21</v>
      </c>
      <c r="I6396">
        <v>20</v>
      </c>
      <c r="J6396">
        <v>1954</v>
      </c>
      <c r="K6396" s="1" t="s">
        <v>95</v>
      </c>
      <c r="L6396" s="1" t="s">
        <v>45</v>
      </c>
      <c r="M6396">
        <v>0.71599999999999997</v>
      </c>
      <c r="N6396">
        <v>14320.8</v>
      </c>
      <c r="O6396">
        <v>14.321</v>
      </c>
      <c r="P6396" s="2">
        <v>45597</v>
      </c>
      <c r="Q6396">
        <v>1</v>
      </c>
      <c r="R6396" s="1" t="s">
        <v>40</v>
      </c>
    </row>
    <row r="6397" spans="1:18" x14ac:dyDescent="0.25">
      <c r="A6397">
        <v>2024</v>
      </c>
      <c r="B6397">
        <v>12</v>
      </c>
      <c r="C6397" s="1" t="s">
        <v>35</v>
      </c>
      <c r="D6397" s="1" t="s">
        <v>19</v>
      </c>
      <c r="E6397" s="1" t="s">
        <v>94</v>
      </c>
      <c r="F6397">
        <v>2014</v>
      </c>
      <c r="G6397">
        <v>10</v>
      </c>
      <c r="H6397" s="1" t="s">
        <v>21</v>
      </c>
      <c r="I6397">
        <v>20</v>
      </c>
      <c r="J6397">
        <v>1954</v>
      </c>
      <c r="K6397" s="1" t="s">
        <v>95</v>
      </c>
      <c r="L6397" s="1" t="s">
        <v>45</v>
      </c>
      <c r="M6397">
        <v>0.91600000000000004</v>
      </c>
      <c r="N6397">
        <v>18329.400000000001</v>
      </c>
      <c r="O6397">
        <v>18.329000000000001</v>
      </c>
      <c r="P6397" s="2">
        <v>45627</v>
      </c>
      <c r="Q6397">
        <v>1</v>
      </c>
      <c r="R6397" s="1" t="s">
        <v>40</v>
      </c>
    </row>
    <row r="6398" spans="1:18" x14ac:dyDescent="0.25">
      <c r="A6398">
        <v>2024</v>
      </c>
      <c r="B6398">
        <v>1</v>
      </c>
      <c r="C6398" s="1" t="s">
        <v>18</v>
      </c>
      <c r="D6398" s="1" t="s">
        <v>19</v>
      </c>
      <c r="E6398" s="1" t="s">
        <v>96</v>
      </c>
      <c r="F6398">
        <v>2014</v>
      </c>
      <c r="G6398">
        <v>10</v>
      </c>
      <c r="H6398" s="1" t="s">
        <v>21</v>
      </c>
      <c r="I6398">
        <v>24</v>
      </c>
      <c r="J6398">
        <v>1329</v>
      </c>
      <c r="K6398" s="1" t="s">
        <v>97</v>
      </c>
      <c r="L6398" s="1" t="s">
        <v>45</v>
      </c>
      <c r="M6398">
        <v>1.0229999999999999</v>
      </c>
      <c r="N6398">
        <v>24547.3</v>
      </c>
      <c r="O6398">
        <v>24.547000000000001</v>
      </c>
      <c r="P6398" s="2">
        <v>45292</v>
      </c>
      <c r="Q6398">
        <v>1</v>
      </c>
      <c r="R6398" s="1" t="s">
        <v>40</v>
      </c>
    </row>
    <row r="6399" spans="1:18" x14ac:dyDescent="0.25">
      <c r="A6399">
        <v>2024</v>
      </c>
      <c r="B6399">
        <v>2</v>
      </c>
      <c r="C6399" s="1" t="s">
        <v>25</v>
      </c>
      <c r="D6399" s="1" t="s">
        <v>19</v>
      </c>
      <c r="E6399" s="1" t="s">
        <v>96</v>
      </c>
      <c r="F6399">
        <v>2014</v>
      </c>
      <c r="G6399">
        <v>10</v>
      </c>
      <c r="H6399" s="1" t="s">
        <v>21</v>
      </c>
      <c r="I6399">
        <v>24</v>
      </c>
      <c r="J6399">
        <v>1329</v>
      </c>
      <c r="K6399" s="1" t="s">
        <v>97</v>
      </c>
      <c r="L6399" s="1" t="s">
        <v>45</v>
      </c>
      <c r="M6399">
        <v>1.0840000000000001</v>
      </c>
      <c r="N6399">
        <v>26016.1</v>
      </c>
      <c r="O6399">
        <v>26.015999999999998</v>
      </c>
      <c r="P6399" s="2">
        <v>45323</v>
      </c>
      <c r="Q6399">
        <v>1</v>
      </c>
      <c r="R6399" s="1" t="s">
        <v>40</v>
      </c>
    </row>
    <row r="6400" spans="1:18" x14ac:dyDescent="0.25">
      <c r="A6400">
        <v>2024</v>
      </c>
      <c r="B6400">
        <v>3</v>
      </c>
      <c r="C6400" s="1" t="s">
        <v>26</v>
      </c>
      <c r="D6400" s="1" t="s">
        <v>19</v>
      </c>
      <c r="E6400" s="1" t="s">
        <v>96</v>
      </c>
      <c r="F6400">
        <v>2014</v>
      </c>
      <c r="G6400">
        <v>10</v>
      </c>
      <c r="H6400" s="1" t="s">
        <v>21</v>
      </c>
      <c r="I6400">
        <v>24</v>
      </c>
      <c r="J6400">
        <v>1329</v>
      </c>
      <c r="K6400" s="1" t="s">
        <v>97</v>
      </c>
      <c r="L6400" s="1" t="s">
        <v>45</v>
      </c>
      <c r="M6400">
        <v>1.4670000000000001</v>
      </c>
      <c r="N6400">
        <v>35214.5</v>
      </c>
      <c r="O6400">
        <v>35.213999999999999</v>
      </c>
      <c r="P6400" s="2">
        <v>45352</v>
      </c>
      <c r="Q6400">
        <v>1</v>
      </c>
      <c r="R6400" s="1" t="s">
        <v>40</v>
      </c>
    </row>
    <row r="6401" spans="1:18" x14ac:dyDescent="0.25">
      <c r="A6401">
        <v>2024</v>
      </c>
      <c r="B6401">
        <v>4</v>
      </c>
      <c r="C6401" s="1" t="s">
        <v>27</v>
      </c>
      <c r="D6401" s="1" t="s">
        <v>19</v>
      </c>
      <c r="E6401" s="1" t="s">
        <v>96</v>
      </c>
      <c r="F6401">
        <v>2014</v>
      </c>
      <c r="G6401">
        <v>10</v>
      </c>
      <c r="H6401" s="1" t="s">
        <v>21</v>
      </c>
      <c r="I6401">
        <v>24</v>
      </c>
      <c r="J6401">
        <v>1329</v>
      </c>
      <c r="K6401" s="1" t="s">
        <v>97</v>
      </c>
      <c r="L6401" s="1" t="s">
        <v>45</v>
      </c>
      <c r="M6401">
        <v>1.34</v>
      </c>
      <c r="N6401">
        <v>32166.7</v>
      </c>
      <c r="O6401">
        <v>32.167000000000002</v>
      </c>
      <c r="P6401" s="2">
        <v>45383</v>
      </c>
      <c r="Q6401">
        <v>1</v>
      </c>
      <c r="R6401" s="1" t="s">
        <v>40</v>
      </c>
    </row>
    <row r="6402" spans="1:18" x14ac:dyDescent="0.25">
      <c r="A6402">
        <v>2024</v>
      </c>
      <c r="B6402">
        <v>5</v>
      </c>
      <c r="C6402" s="1" t="s">
        <v>28</v>
      </c>
      <c r="D6402" s="1" t="s">
        <v>19</v>
      </c>
      <c r="E6402" s="1" t="s">
        <v>96</v>
      </c>
      <c r="F6402">
        <v>2014</v>
      </c>
      <c r="G6402">
        <v>10</v>
      </c>
      <c r="H6402" s="1" t="s">
        <v>21</v>
      </c>
      <c r="I6402">
        <v>24</v>
      </c>
      <c r="J6402">
        <v>1329</v>
      </c>
      <c r="K6402" s="1" t="s">
        <v>97</v>
      </c>
      <c r="L6402" s="1" t="s">
        <v>45</v>
      </c>
      <c r="M6402">
        <v>1.5580000000000001</v>
      </c>
      <c r="N6402">
        <v>37381</v>
      </c>
      <c r="O6402">
        <v>37.381</v>
      </c>
      <c r="P6402" s="2">
        <v>45413</v>
      </c>
      <c r="Q6402">
        <v>1</v>
      </c>
      <c r="R6402" s="1" t="s">
        <v>40</v>
      </c>
    </row>
    <row r="6403" spans="1:18" x14ac:dyDescent="0.25">
      <c r="A6403">
        <v>2024</v>
      </c>
      <c r="B6403">
        <v>6</v>
      </c>
      <c r="C6403" s="1" t="s">
        <v>29</v>
      </c>
      <c r="D6403" s="1" t="s">
        <v>19</v>
      </c>
      <c r="E6403" s="1" t="s">
        <v>96</v>
      </c>
      <c r="F6403">
        <v>2014</v>
      </c>
      <c r="G6403">
        <v>10</v>
      </c>
      <c r="H6403" s="1" t="s">
        <v>21</v>
      </c>
      <c r="I6403">
        <v>24</v>
      </c>
      <c r="J6403">
        <v>1329</v>
      </c>
      <c r="K6403" s="1" t="s">
        <v>97</v>
      </c>
      <c r="L6403" s="1" t="s">
        <v>45</v>
      </c>
      <c r="M6403">
        <v>1.7050000000000001</v>
      </c>
      <c r="N6403">
        <v>40924.400000000001</v>
      </c>
      <c r="O6403">
        <v>40.923999999999999</v>
      </c>
      <c r="P6403" s="2">
        <v>45444</v>
      </c>
      <c r="Q6403">
        <v>1</v>
      </c>
      <c r="R6403" s="1" t="s">
        <v>40</v>
      </c>
    </row>
    <row r="6404" spans="1:18" x14ac:dyDescent="0.25">
      <c r="A6404">
        <v>2024</v>
      </c>
      <c r="B6404">
        <v>7</v>
      </c>
      <c r="C6404" s="1" t="s">
        <v>30</v>
      </c>
      <c r="D6404" s="1" t="s">
        <v>19</v>
      </c>
      <c r="E6404" s="1" t="s">
        <v>96</v>
      </c>
      <c r="F6404">
        <v>2014</v>
      </c>
      <c r="G6404">
        <v>10</v>
      </c>
      <c r="H6404" s="1" t="s">
        <v>21</v>
      </c>
      <c r="I6404">
        <v>24</v>
      </c>
      <c r="J6404">
        <v>1329</v>
      </c>
      <c r="K6404" s="1" t="s">
        <v>97</v>
      </c>
      <c r="L6404" s="1" t="s">
        <v>45</v>
      </c>
      <c r="M6404">
        <v>1.5620000000000001</v>
      </c>
      <c r="N6404">
        <v>37491.1</v>
      </c>
      <c r="O6404">
        <v>37.491</v>
      </c>
      <c r="P6404" s="2">
        <v>45474</v>
      </c>
      <c r="Q6404">
        <v>1</v>
      </c>
      <c r="R6404" s="1" t="s">
        <v>40</v>
      </c>
    </row>
    <row r="6405" spans="1:18" x14ac:dyDescent="0.25">
      <c r="A6405">
        <v>2024</v>
      </c>
      <c r="B6405">
        <v>8</v>
      </c>
      <c r="C6405" s="1" t="s">
        <v>31</v>
      </c>
      <c r="D6405" s="1" t="s">
        <v>19</v>
      </c>
      <c r="E6405" s="1" t="s">
        <v>96</v>
      </c>
      <c r="F6405">
        <v>2014</v>
      </c>
      <c r="G6405">
        <v>10</v>
      </c>
      <c r="H6405" s="1" t="s">
        <v>21</v>
      </c>
      <c r="I6405">
        <v>24</v>
      </c>
      <c r="J6405">
        <v>1329</v>
      </c>
      <c r="K6405" s="1" t="s">
        <v>97</v>
      </c>
      <c r="L6405" s="1" t="s">
        <v>45</v>
      </c>
      <c r="M6405">
        <v>1.4119999999999999</v>
      </c>
      <c r="N6405">
        <v>33892.6</v>
      </c>
      <c r="O6405">
        <v>33.893000000000001</v>
      </c>
      <c r="P6405" s="2">
        <v>45505</v>
      </c>
      <c r="Q6405">
        <v>1</v>
      </c>
      <c r="R6405" s="1" t="s">
        <v>40</v>
      </c>
    </row>
    <row r="6406" spans="1:18" x14ac:dyDescent="0.25">
      <c r="A6406">
        <v>2024</v>
      </c>
      <c r="B6406">
        <v>9</v>
      </c>
      <c r="C6406" s="1" t="s">
        <v>32</v>
      </c>
      <c r="D6406" s="1" t="s">
        <v>19</v>
      </c>
      <c r="E6406" s="1" t="s">
        <v>96</v>
      </c>
      <c r="F6406">
        <v>2014</v>
      </c>
      <c r="G6406">
        <v>10</v>
      </c>
      <c r="H6406" s="1" t="s">
        <v>21</v>
      </c>
      <c r="I6406">
        <v>24</v>
      </c>
      <c r="J6406">
        <v>1329</v>
      </c>
      <c r="K6406" s="1" t="s">
        <v>97</v>
      </c>
      <c r="L6406" s="1" t="s">
        <v>45</v>
      </c>
      <c r="M6406">
        <v>1.528</v>
      </c>
      <c r="N6406">
        <v>36664.9</v>
      </c>
      <c r="O6406">
        <v>36.664999999999999</v>
      </c>
      <c r="P6406" s="2">
        <v>45536</v>
      </c>
      <c r="Q6406">
        <v>1</v>
      </c>
      <c r="R6406" s="1" t="s">
        <v>40</v>
      </c>
    </row>
    <row r="6407" spans="1:18" x14ac:dyDescent="0.25">
      <c r="A6407">
        <v>2024</v>
      </c>
      <c r="B6407">
        <v>10</v>
      </c>
      <c r="C6407" s="1" t="s">
        <v>33</v>
      </c>
      <c r="D6407" s="1" t="s">
        <v>19</v>
      </c>
      <c r="E6407" s="1" t="s">
        <v>96</v>
      </c>
      <c r="F6407">
        <v>2014</v>
      </c>
      <c r="G6407">
        <v>10</v>
      </c>
      <c r="H6407" s="1" t="s">
        <v>21</v>
      </c>
      <c r="I6407">
        <v>24</v>
      </c>
      <c r="J6407">
        <v>1329</v>
      </c>
      <c r="K6407" s="1" t="s">
        <v>97</v>
      </c>
      <c r="L6407" s="1" t="s">
        <v>45</v>
      </c>
      <c r="M6407">
        <v>1.0089999999999999</v>
      </c>
      <c r="N6407">
        <v>24216.799999999999</v>
      </c>
      <c r="O6407">
        <v>24.216999999999999</v>
      </c>
      <c r="P6407" s="2">
        <v>45566</v>
      </c>
      <c r="Q6407">
        <v>1</v>
      </c>
      <c r="R6407" s="1" t="s">
        <v>40</v>
      </c>
    </row>
    <row r="6408" spans="1:18" x14ac:dyDescent="0.25">
      <c r="A6408">
        <v>2024</v>
      </c>
      <c r="B6408">
        <v>11</v>
      </c>
      <c r="C6408" s="1" t="s">
        <v>34</v>
      </c>
      <c r="D6408" s="1" t="s">
        <v>19</v>
      </c>
      <c r="E6408" s="1" t="s">
        <v>96</v>
      </c>
      <c r="F6408">
        <v>2014</v>
      </c>
      <c r="G6408">
        <v>10</v>
      </c>
      <c r="H6408" s="1" t="s">
        <v>21</v>
      </c>
      <c r="I6408">
        <v>24</v>
      </c>
      <c r="J6408">
        <v>1329</v>
      </c>
      <c r="K6408" s="1" t="s">
        <v>97</v>
      </c>
      <c r="L6408" s="1" t="s">
        <v>45</v>
      </c>
      <c r="M6408">
        <v>0.71599999999999997</v>
      </c>
      <c r="N6408">
        <v>17185</v>
      </c>
      <c r="O6408">
        <v>17.184999999999999</v>
      </c>
      <c r="P6408" s="2">
        <v>45597</v>
      </c>
      <c r="Q6408">
        <v>1</v>
      </c>
      <c r="R6408" s="1" t="s">
        <v>40</v>
      </c>
    </row>
    <row r="6409" spans="1:18" x14ac:dyDescent="0.25">
      <c r="A6409">
        <v>2024</v>
      </c>
      <c r="B6409">
        <v>12</v>
      </c>
      <c r="C6409" s="1" t="s">
        <v>35</v>
      </c>
      <c r="D6409" s="1" t="s">
        <v>19</v>
      </c>
      <c r="E6409" s="1" t="s">
        <v>96</v>
      </c>
      <c r="F6409">
        <v>2014</v>
      </c>
      <c r="G6409">
        <v>10</v>
      </c>
      <c r="H6409" s="1" t="s">
        <v>21</v>
      </c>
      <c r="I6409">
        <v>24</v>
      </c>
      <c r="J6409">
        <v>1329</v>
      </c>
      <c r="K6409" s="1" t="s">
        <v>97</v>
      </c>
      <c r="L6409" s="1" t="s">
        <v>45</v>
      </c>
      <c r="M6409">
        <v>0.91600000000000004</v>
      </c>
      <c r="N6409">
        <v>21995.3</v>
      </c>
      <c r="O6409">
        <v>21.995000000000001</v>
      </c>
      <c r="P6409" s="2">
        <v>45627</v>
      </c>
      <c r="Q6409">
        <v>1</v>
      </c>
      <c r="R6409" s="1" t="s">
        <v>40</v>
      </c>
    </row>
    <row r="6410" spans="1:18" x14ac:dyDescent="0.25">
      <c r="A6410">
        <v>2024</v>
      </c>
      <c r="B6410">
        <v>1</v>
      </c>
      <c r="C6410" s="1" t="s">
        <v>18</v>
      </c>
      <c r="D6410" s="1" t="s">
        <v>19</v>
      </c>
      <c r="E6410" s="1" t="s">
        <v>98</v>
      </c>
      <c r="F6410">
        <v>2014</v>
      </c>
      <c r="G6410">
        <v>10</v>
      </c>
      <c r="H6410" s="1" t="s">
        <v>21</v>
      </c>
      <c r="I6410">
        <v>24</v>
      </c>
      <c r="J6410">
        <v>1573</v>
      </c>
      <c r="K6410" s="1" t="s">
        <v>99</v>
      </c>
      <c r="L6410" s="1" t="s">
        <v>45</v>
      </c>
      <c r="M6410">
        <v>1.0229999999999999</v>
      </c>
      <c r="N6410">
        <v>24547.3</v>
      </c>
      <c r="O6410">
        <v>24.547000000000001</v>
      </c>
      <c r="P6410" s="2">
        <v>45292</v>
      </c>
      <c r="Q6410">
        <v>1</v>
      </c>
      <c r="R6410" s="1" t="s">
        <v>40</v>
      </c>
    </row>
    <row r="6411" spans="1:18" x14ac:dyDescent="0.25">
      <c r="A6411">
        <v>2024</v>
      </c>
      <c r="B6411">
        <v>2</v>
      </c>
      <c r="C6411" s="1" t="s">
        <v>25</v>
      </c>
      <c r="D6411" s="1" t="s">
        <v>19</v>
      </c>
      <c r="E6411" s="1" t="s">
        <v>98</v>
      </c>
      <c r="F6411">
        <v>2014</v>
      </c>
      <c r="G6411">
        <v>10</v>
      </c>
      <c r="H6411" s="1" t="s">
        <v>21</v>
      </c>
      <c r="I6411">
        <v>24</v>
      </c>
      <c r="J6411">
        <v>1573</v>
      </c>
      <c r="K6411" s="1" t="s">
        <v>99</v>
      </c>
      <c r="L6411" s="1" t="s">
        <v>45</v>
      </c>
      <c r="M6411">
        <v>1.0840000000000001</v>
      </c>
      <c r="N6411">
        <v>26016.1</v>
      </c>
      <c r="O6411">
        <v>26.015999999999998</v>
      </c>
      <c r="P6411" s="2">
        <v>45323</v>
      </c>
      <c r="Q6411">
        <v>1</v>
      </c>
      <c r="R6411" s="1" t="s">
        <v>40</v>
      </c>
    </row>
    <row r="6412" spans="1:18" x14ac:dyDescent="0.25">
      <c r="A6412">
        <v>2024</v>
      </c>
      <c r="B6412">
        <v>3</v>
      </c>
      <c r="C6412" s="1" t="s">
        <v>26</v>
      </c>
      <c r="D6412" s="1" t="s">
        <v>19</v>
      </c>
      <c r="E6412" s="1" t="s">
        <v>98</v>
      </c>
      <c r="F6412">
        <v>2014</v>
      </c>
      <c r="G6412">
        <v>10</v>
      </c>
      <c r="H6412" s="1" t="s">
        <v>21</v>
      </c>
      <c r="I6412">
        <v>24</v>
      </c>
      <c r="J6412">
        <v>1573</v>
      </c>
      <c r="K6412" s="1" t="s">
        <v>99</v>
      </c>
      <c r="L6412" s="1" t="s">
        <v>45</v>
      </c>
      <c r="M6412">
        <v>1.4670000000000001</v>
      </c>
      <c r="N6412">
        <v>35214.5</v>
      </c>
      <c r="O6412">
        <v>35.213999999999999</v>
      </c>
      <c r="P6412" s="2">
        <v>45352</v>
      </c>
      <c r="Q6412">
        <v>1</v>
      </c>
      <c r="R6412" s="1" t="s">
        <v>40</v>
      </c>
    </row>
    <row r="6413" spans="1:18" x14ac:dyDescent="0.25">
      <c r="A6413">
        <v>2024</v>
      </c>
      <c r="B6413">
        <v>4</v>
      </c>
      <c r="C6413" s="1" t="s">
        <v>27</v>
      </c>
      <c r="D6413" s="1" t="s">
        <v>19</v>
      </c>
      <c r="E6413" s="1" t="s">
        <v>98</v>
      </c>
      <c r="F6413">
        <v>2014</v>
      </c>
      <c r="G6413">
        <v>10</v>
      </c>
      <c r="H6413" s="1" t="s">
        <v>21</v>
      </c>
      <c r="I6413">
        <v>24</v>
      </c>
      <c r="J6413">
        <v>1573</v>
      </c>
      <c r="K6413" s="1" t="s">
        <v>99</v>
      </c>
      <c r="L6413" s="1" t="s">
        <v>45</v>
      </c>
      <c r="M6413">
        <v>1.34</v>
      </c>
      <c r="N6413">
        <v>32166.7</v>
      </c>
      <c r="O6413">
        <v>32.167000000000002</v>
      </c>
      <c r="P6413" s="2">
        <v>45383</v>
      </c>
      <c r="Q6413">
        <v>1</v>
      </c>
      <c r="R6413" s="1" t="s">
        <v>40</v>
      </c>
    </row>
    <row r="6414" spans="1:18" x14ac:dyDescent="0.25">
      <c r="A6414">
        <v>2024</v>
      </c>
      <c r="B6414">
        <v>5</v>
      </c>
      <c r="C6414" s="1" t="s">
        <v>28</v>
      </c>
      <c r="D6414" s="1" t="s">
        <v>19</v>
      </c>
      <c r="E6414" s="1" t="s">
        <v>98</v>
      </c>
      <c r="F6414">
        <v>2014</v>
      </c>
      <c r="G6414">
        <v>10</v>
      </c>
      <c r="H6414" s="1" t="s">
        <v>21</v>
      </c>
      <c r="I6414">
        <v>24</v>
      </c>
      <c r="J6414">
        <v>1573</v>
      </c>
      <c r="K6414" s="1" t="s">
        <v>99</v>
      </c>
      <c r="L6414" s="1" t="s">
        <v>45</v>
      </c>
      <c r="M6414">
        <v>1.5580000000000001</v>
      </c>
      <c r="N6414">
        <v>37381</v>
      </c>
      <c r="O6414">
        <v>37.381</v>
      </c>
      <c r="P6414" s="2">
        <v>45413</v>
      </c>
      <c r="Q6414">
        <v>1</v>
      </c>
      <c r="R6414" s="1" t="s">
        <v>40</v>
      </c>
    </row>
    <row r="6415" spans="1:18" x14ac:dyDescent="0.25">
      <c r="A6415">
        <v>2024</v>
      </c>
      <c r="B6415">
        <v>6</v>
      </c>
      <c r="C6415" s="1" t="s">
        <v>29</v>
      </c>
      <c r="D6415" s="1" t="s">
        <v>19</v>
      </c>
      <c r="E6415" s="1" t="s">
        <v>98</v>
      </c>
      <c r="F6415">
        <v>2014</v>
      </c>
      <c r="G6415">
        <v>10</v>
      </c>
      <c r="H6415" s="1" t="s">
        <v>21</v>
      </c>
      <c r="I6415">
        <v>24</v>
      </c>
      <c r="J6415">
        <v>1573</v>
      </c>
      <c r="K6415" s="1" t="s">
        <v>99</v>
      </c>
      <c r="L6415" s="1" t="s">
        <v>45</v>
      </c>
      <c r="M6415">
        <v>1.7050000000000001</v>
      </c>
      <c r="N6415">
        <v>40924.400000000001</v>
      </c>
      <c r="O6415">
        <v>40.923999999999999</v>
      </c>
      <c r="P6415" s="2">
        <v>45444</v>
      </c>
      <c r="Q6415">
        <v>1</v>
      </c>
      <c r="R6415" s="1" t="s">
        <v>40</v>
      </c>
    </row>
    <row r="6416" spans="1:18" x14ac:dyDescent="0.25">
      <c r="A6416">
        <v>2024</v>
      </c>
      <c r="B6416">
        <v>7</v>
      </c>
      <c r="C6416" s="1" t="s">
        <v>30</v>
      </c>
      <c r="D6416" s="1" t="s">
        <v>19</v>
      </c>
      <c r="E6416" s="1" t="s">
        <v>98</v>
      </c>
      <c r="F6416">
        <v>2014</v>
      </c>
      <c r="G6416">
        <v>10</v>
      </c>
      <c r="H6416" s="1" t="s">
        <v>21</v>
      </c>
      <c r="I6416">
        <v>24</v>
      </c>
      <c r="J6416">
        <v>1573</v>
      </c>
      <c r="K6416" s="1" t="s">
        <v>99</v>
      </c>
      <c r="L6416" s="1" t="s">
        <v>45</v>
      </c>
      <c r="M6416">
        <v>1.5620000000000001</v>
      </c>
      <c r="N6416">
        <v>37491.1</v>
      </c>
      <c r="O6416">
        <v>37.491</v>
      </c>
      <c r="P6416" s="2">
        <v>45474</v>
      </c>
      <c r="Q6416">
        <v>1</v>
      </c>
      <c r="R6416" s="1" t="s">
        <v>40</v>
      </c>
    </row>
    <row r="6417" spans="1:18" x14ac:dyDescent="0.25">
      <c r="A6417">
        <v>2024</v>
      </c>
      <c r="B6417">
        <v>8</v>
      </c>
      <c r="C6417" s="1" t="s">
        <v>31</v>
      </c>
      <c r="D6417" s="1" t="s">
        <v>19</v>
      </c>
      <c r="E6417" s="1" t="s">
        <v>98</v>
      </c>
      <c r="F6417">
        <v>2014</v>
      </c>
      <c r="G6417">
        <v>10</v>
      </c>
      <c r="H6417" s="1" t="s">
        <v>21</v>
      </c>
      <c r="I6417">
        <v>24</v>
      </c>
      <c r="J6417">
        <v>1573</v>
      </c>
      <c r="K6417" s="1" t="s">
        <v>99</v>
      </c>
      <c r="L6417" s="1" t="s">
        <v>45</v>
      </c>
      <c r="M6417">
        <v>1.4119999999999999</v>
      </c>
      <c r="N6417">
        <v>33892.6</v>
      </c>
      <c r="O6417">
        <v>33.893000000000001</v>
      </c>
      <c r="P6417" s="2">
        <v>45505</v>
      </c>
      <c r="Q6417">
        <v>1</v>
      </c>
      <c r="R6417" s="1" t="s">
        <v>40</v>
      </c>
    </row>
    <row r="6418" spans="1:18" x14ac:dyDescent="0.25">
      <c r="A6418">
        <v>2024</v>
      </c>
      <c r="B6418">
        <v>9</v>
      </c>
      <c r="C6418" s="1" t="s">
        <v>32</v>
      </c>
      <c r="D6418" s="1" t="s">
        <v>19</v>
      </c>
      <c r="E6418" s="1" t="s">
        <v>98</v>
      </c>
      <c r="F6418">
        <v>2014</v>
      </c>
      <c r="G6418">
        <v>10</v>
      </c>
      <c r="H6418" s="1" t="s">
        <v>21</v>
      </c>
      <c r="I6418">
        <v>24</v>
      </c>
      <c r="J6418">
        <v>1573</v>
      </c>
      <c r="K6418" s="1" t="s">
        <v>99</v>
      </c>
      <c r="L6418" s="1" t="s">
        <v>45</v>
      </c>
      <c r="M6418">
        <v>1.528</v>
      </c>
      <c r="N6418">
        <v>36664.9</v>
      </c>
      <c r="O6418">
        <v>36.664999999999999</v>
      </c>
      <c r="P6418" s="2">
        <v>45536</v>
      </c>
      <c r="Q6418">
        <v>1</v>
      </c>
      <c r="R6418" s="1" t="s">
        <v>40</v>
      </c>
    </row>
    <row r="6419" spans="1:18" x14ac:dyDescent="0.25">
      <c r="A6419">
        <v>2024</v>
      </c>
      <c r="B6419">
        <v>10</v>
      </c>
      <c r="C6419" s="1" t="s">
        <v>33</v>
      </c>
      <c r="D6419" s="1" t="s">
        <v>19</v>
      </c>
      <c r="E6419" s="1" t="s">
        <v>98</v>
      </c>
      <c r="F6419">
        <v>2014</v>
      </c>
      <c r="G6419">
        <v>10</v>
      </c>
      <c r="H6419" s="1" t="s">
        <v>21</v>
      </c>
      <c r="I6419">
        <v>24</v>
      </c>
      <c r="J6419">
        <v>1573</v>
      </c>
      <c r="K6419" s="1" t="s">
        <v>99</v>
      </c>
      <c r="L6419" s="1" t="s">
        <v>45</v>
      </c>
      <c r="M6419">
        <v>1.0089999999999999</v>
      </c>
      <c r="N6419">
        <v>24216.799999999999</v>
      </c>
      <c r="O6419">
        <v>24.216999999999999</v>
      </c>
      <c r="P6419" s="2">
        <v>45566</v>
      </c>
      <c r="Q6419">
        <v>1</v>
      </c>
      <c r="R6419" s="1" t="s">
        <v>40</v>
      </c>
    </row>
    <row r="6420" spans="1:18" x14ac:dyDescent="0.25">
      <c r="A6420">
        <v>2024</v>
      </c>
      <c r="B6420">
        <v>11</v>
      </c>
      <c r="C6420" s="1" t="s">
        <v>34</v>
      </c>
      <c r="D6420" s="1" t="s">
        <v>19</v>
      </c>
      <c r="E6420" s="1" t="s">
        <v>98</v>
      </c>
      <c r="F6420">
        <v>2014</v>
      </c>
      <c r="G6420">
        <v>10</v>
      </c>
      <c r="H6420" s="1" t="s">
        <v>21</v>
      </c>
      <c r="I6420">
        <v>24</v>
      </c>
      <c r="J6420">
        <v>1573</v>
      </c>
      <c r="K6420" s="1" t="s">
        <v>99</v>
      </c>
      <c r="L6420" s="1" t="s">
        <v>45</v>
      </c>
      <c r="M6420">
        <v>0.71599999999999997</v>
      </c>
      <c r="N6420">
        <v>17185</v>
      </c>
      <c r="O6420">
        <v>17.184999999999999</v>
      </c>
      <c r="P6420" s="2">
        <v>45597</v>
      </c>
      <c r="Q6420">
        <v>1</v>
      </c>
      <c r="R6420" s="1" t="s">
        <v>40</v>
      </c>
    </row>
    <row r="6421" spans="1:18" x14ac:dyDescent="0.25">
      <c r="A6421">
        <v>2024</v>
      </c>
      <c r="B6421">
        <v>12</v>
      </c>
      <c r="C6421" s="1" t="s">
        <v>35</v>
      </c>
      <c r="D6421" s="1" t="s">
        <v>19</v>
      </c>
      <c r="E6421" s="1" t="s">
        <v>98</v>
      </c>
      <c r="F6421">
        <v>2014</v>
      </c>
      <c r="G6421">
        <v>10</v>
      </c>
      <c r="H6421" s="1" t="s">
        <v>21</v>
      </c>
      <c r="I6421">
        <v>24</v>
      </c>
      <c r="J6421">
        <v>1573</v>
      </c>
      <c r="K6421" s="1" t="s">
        <v>99</v>
      </c>
      <c r="L6421" s="1" t="s">
        <v>45</v>
      </c>
      <c r="M6421">
        <v>0.91600000000000004</v>
      </c>
      <c r="N6421">
        <v>21995.3</v>
      </c>
      <c r="O6421">
        <v>21.995000000000001</v>
      </c>
      <c r="P6421" s="2">
        <v>45627</v>
      </c>
      <c r="Q6421">
        <v>1</v>
      </c>
      <c r="R6421" s="1" t="s">
        <v>40</v>
      </c>
    </row>
    <row r="6422" spans="1:18" x14ac:dyDescent="0.25">
      <c r="A6422">
        <v>2024</v>
      </c>
      <c r="B6422">
        <v>1</v>
      </c>
      <c r="C6422" s="1" t="s">
        <v>18</v>
      </c>
      <c r="D6422" s="1" t="s">
        <v>19</v>
      </c>
      <c r="E6422" s="1" t="s">
        <v>100</v>
      </c>
      <c r="F6422">
        <v>2016</v>
      </c>
      <c r="G6422">
        <v>8</v>
      </c>
      <c r="H6422" s="1" t="s">
        <v>21</v>
      </c>
      <c r="I6422">
        <v>22</v>
      </c>
      <c r="J6422">
        <v>3137</v>
      </c>
      <c r="K6422" s="1" t="s">
        <v>101</v>
      </c>
      <c r="L6422" s="1" t="s">
        <v>23</v>
      </c>
      <c r="M6422">
        <v>1.43</v>
      </c>
      <c r="N6422">
        <v>31456.3</v>
      </c>
      <c r="O6422">
        <v>31.456</v>
      </c>
      <c r="P6422" s="2">
        <v>45292</v>
      </c>
      <c r="Q6422">
        <v>1</v>
      </c>
      <c r="R6422" s="1" t="s">
        <v>40</v>
      </c>
    </row>
    <row r="6423" spans="1:18" x14ac:dyDescent="0.25">
      <c r="A6423">
        <v>2024</v>
      </c>
      <c r="B6423">
        <v>2</v>
      </c>
      <c r="C6423" s="1" t="s">
        <v>25</v>
      </c>
      <c r="D6423" s="1" t="s">
        <v>19</v>
      </c>
      <c r="E6423" s="1" t="s">
        <v>100</v>
      </c>
      <c r="F6423">
        <v>2016</v>
      </c>
      <c r="G6423">
        <v>8</v>
      </c>
      <c r="H6423" s="1" t="s">
        <v>21</v>
      </c>
      <c r="I6423">
        <v>22</v>
      </c>
      <c r="J6423">
        <v>3137</v>
      </c>
      <c r="K6423" s="1" t="s">
        <v>101</v>
      </c>
      <c r="L6423" s="1" t="s">
        <v>23</v>
      </c>
      <c r="M6423">
        <v>1.5149999999999999</v>
      </c>
      <c r="N6423">
        <v>33338.5</v>
      </c>
      <c r="O6423">
        <v>33.338000000000001</v>
      </c>
      <c r="P6423" s="2">
        <v>45323</v>
      </c>
      <c r="Q6423">
        <v>1</v>
      </c>
      <c r="R6423" s="1" t="s">
        <v>40</v>
      </c>
    </row>
    <row r="6424" spans="1:18" x14ac:dyDescent="0.25">
      <c r="A6424">
        <v>2024</v>
      </c>
      <c r="B6424">
        <v>3</v>
      </c>
      <c r="C6424" s="1" t="s">
        <v>26</v>
      </c>
      <c r="D6424" s="1" t="s">
        <v>19</v>
      </c>
      <c r="E6424" s="1" t="s">
        <v>100</v>
      </c>
      <c r="F6424">
        <v>2016</v>
      </c>
      <c r="G6424">
        <v>8</v>
      </c>
      <c r="H6424" s="1" t="s">
        <v>21</v>
      </c>
      <c r="I6424">
        <v>22</v>
      </c>
      <c r="J6424">
        <v>3137</v>
      </c>
      <c r="K6424" s="1" t="s">
        <v>101</v>
      </c>
      <c r="L6424" s="1" t="s">
        <v>23</v>
      </c>
      <c r="M6424">
        <v>2.0510000000000002</v>
      </c>
      <c r="N6424">
        <v>45125.7</v>
      </c>
      <c r="O6424">
        <v>45.125999999999998</v>
      </c>
      <c r="P6424" s="2">
        <v>45352</v>
      </c>
      <c r="Q6424">
        <v>1</v>
      </c>
      <c r="R6424" s="1" t="s">
        <v>40</v>
      </c>
    </row>
    <row r="6425" spans="1:18" x14ac:dyDescent="0.25">
      <c r="A6425">
        <v>2024</v>
      </c>
      <c r="B6425">
        <v>4</v>
      </c>
      <c r="C6425" s="1" t="s">
        <v>27</v>
      </c>
      <c r="D6425" s="1" t="s">
        <v>19</v>
      </c>
      <c r="E6425" s="1" t="s">
        <v>100</v>
      </c>
      <c r="F6425">
        <v>2016</v>
      </c>
      <c r="G6425">
        <v>8</v>
      </c>
      <c r="H6425" s="1" t="s">
        <v>21</v>
      </c>
      <c r="I6425">
        <v>22</v>
      </c>
      <c r="J6425">
        <v>3137</v>
      </c>
      <c r="K6425" s="1" t="s">
        <v>101</v>
      </c>
      <c r="L6425" s="1" t="s">
        <v>23</v>
      </c>
      <c r="M6425">
        <v>1.8740000000000001</v>
      </c>
      <c r="N6425">
        <v>41220.199999999997</v>
      </c>
      <c r="O6425">
        <v>41.22</v>
      </c>
      <c r="P6425" s="2">
        <v>45383</v>
      </c>
      <c r="Q6425">
        <v>1</v>
      </c>
      <c r="R6425" s="1" t="s">
        <v>40</v>
      </c>
    </row>
    <row r="6426" spans="1:18" x14ac:dyDescent="0.25">
      <c r="A6426">
        <v>2024</v>
      </c>
      <c r="B6426">
        <v>5</v>
      </c>
      <c r="C6426" s="1" t="s">
        <v>28</v>
      </c>
      <c r="D6426" s="1" t="s">
        <v>19</v>
      </c>
      <c r="E6426" s="1" t="s">
        <v>100</v>
      </c>
      <c r="F6426">
        <v>2016</v>
      </c>
      <c r="G6426">
        <v>8</v>
      </c>
      <c r="H6426" s="1" t="s">
        <v>21</v>
      </c>
      <c r="I6426">
        <v>22</v>
      </c>
      <c r="J6426">
        <v>3137</v>
      </c>
      <c r="K6426" s="1" t="s">
        <v>101</v>
      </c>
      <c r="L6426" s="1" t="s">
        <v>23</v>
      </c>
      <c r="M6426">
        <v>2.177</v>
      </c>
      <c r="N6426">
        <v>47902</v>
      </c>
      <c r="O6426">
        <v>47.902000000000001</v>
      </c>
      <c r="P6426" s="2">
        <v>45413</v>
      </c>
      <c r="Q6426">
        <v>1</v>
      </c>
      <c r="R6426" s="1" t="s">
        <v>40</v>
      </c>
    </row>
    <row r="6427" spans="1:18" x14ac:dyDescent="0.25">
      <c r="A6427">
        <v>2024</v>
      </c>
      <c r="B6427">
        <v>6</v>
      </c>
      <c r="C6427" s="1" t="s">
        <v>29</v>
      </c>
      <c r="D6427" s="1" t="s">
        <v>19</v>
      </c>
      <c r="E6427" s="1" t="s">
        <v>100</v>
      </c>
      <c r="F6427">
        <v>2016</v>
      </c>
      <c r="G6427">
        <v>8</v>
      </c>
      <c r="H6427" s="1" t="s">
        <v>21</v>
      </c>
      <c r="I6427">
        <v>22</v>
      </c>
      <c r="J6427">
        <v>3137</v>
      </c>
      <c r="K6427" s="1" t="s">
        <v>101</v>
      </c>
      <c r="L6427" s="1" t="s">
        <v>23</v>
      </c>
      <c r="M6427">
        <v>2.3839999999999999</v>
      </c>
      <c r="N6427">
        <v>52442.8</v>
      </c>
      <c r="O6427">
        <v>52.442999999999998</v>
      </c>
      <c r="P6427" s="2">
        <v>45444</v>
      </c>
      <c r="Q6427">
        <v>1</v>
      </c>
      <c r="R6427" s="1" t="s">
        <v>40</v>
      </c>
    </row>
    <row r="6428" spans="1:18" x14ac:dyDescent="0.25">
      <c r="A6428">
        <v>2024</v>
      </c>
      <c r="B6428">
        <v>7</v>
      </c>
      <c r="C6428" s="1" t="s">
        <v>30</v>
      </c>
      <c r="D6428" s="1" t="s">
        <v>19</v>
      </c>
      <c r="E6428" s="1" t="s">
        <v>100</v>
      </c>
      <c r="F6428">
        <v>2016</v>
      </c>
      <c r="G6428">
        <v>8</v>
      </c>
      <c r="H6428" s="1" t="s">
        <v>21</v>
      </c>
      <c r="I6428">
        <v>22</v>
      </c>
      <c r="J6428">
        <v>3137</v>
      </c>
      <c r="K6428" s="1" t="s">
        <v>101</v>
      </c>
      <c r="L6428" s="1" t="s">
        <v>23</v>
      </c>
      <c r="M6428">
        <v>2.1840000000000002</v>
      </c>
      <c r="N6428">
        <v>48043.199999999997</v>
      </c>
      <c r="O6428">
        <v>48.042999999999999</v>
      </c>
      <c r="P6428" s="2">
        <v>45474</v>
      </c>
      <c r="Q6428">
        <v>1</v>
      </c>
      <c r="R6428" s="1" t="s">
        <v>40</v>
      </c>
    </row>
    <row r="6429" spans="1:18" x14ac:dyDescent="0.25">
      <c r="A6429">
        <v>2024</v>
      </c>
      <c r="B6429">
        <v>8</v>
      </c>
      <c r="C6429" s="1" t="s">
        <v>31</v>
      </c>
      <c r="D6429" s="1" t="s">
        <v>19</v>
      </c>
      <c r="E6429" s="1" t="s">
        <v>100</v>
      </c>
      <c r="F6429">
        <v>2016</v>
      </c>
      <c r="G6429">
        <v>8</v>
      </c>
      <c r="H6429" s="1" t="s">
        <v>21</v>
      </c>
      <c r="I6429">
        <v>22</v>
      </c>
      <c r="J6429">
        <v>3137</v>
      </c>
      <c r="K6429" s="1" t="s">
        <v>101</v>
      </c>
      <c r="L6429" s="1" t="s">
        <v>23</v>
      </c>
      <c r="M6429">
        <v>1.974</v>
      </c>
      <c r="N6429">
        <v>43431.8</v>
      </c>
      <c r="O6429">
        <v>43.432000000000002</v>
      </c>
      <c r="P6429" s="2">
        <v>45505</v>
      </c>
      <c r="Q6429">
        <v>1</v>
      </c>
      <c r="R6429" s="1" t="s">
        <v>40</v>
      </c>
    </row>
    <row r="6430" spans="1:18" x14ac:dyDescent="0.25">
      <c r="A6430">
        <v>2024</v>
      </c>
      <c r="B6430">
        <v>9</v>
      </c>
      <c r="C6430" s="1" t="s">
        <v>32</v>
      </c>
      <c r="D6430" s="1" t="s">
        <v>19</v>
      </c>
      <c r="E6430" s="1" t="s">
        <v>100</v>
      </c>
      <c r="F6430">
        <v>2016</v>
      </c>
      <c r="G6430">
        <v>8</v>
      </c>
      <c r="H6430" s="1" t="s">
        <v>21</v>
      </c>
      <c r="I6430">
        <v>22</v>
      </c>
      <c r="J6430">
        <v>3137</v>
      </c>
      <c r="K6430" s="1" t="s">
        <v>101</v>
      </c>
      <c r="L6430" s="1" t="s">
        <v>23</v>
      </c>
      <c r="M6430">
        <v>2.1360000000000001</v>
      </c>
      <c r="N6430">
        <v>46984.4</v>
      </c>
      <c r="O6430">
        <v>46.984000000000002</v>
      </c>
      <c r="P6430" s="2">
        <v>45536</v>
      </c>
      <c r="Q6430">
        <v>1</v>
      </c>
      <c r="R6430" s="1" t="s">
        <v>40</v>
      </c>
    </row>
    <row r="6431" spans="1:18" x14ac:dyDescent="0.25">
      <c r="A6431">
        <v>2024</v>
      </c>
      <c r="B6431">
        <v>10</v>
      </c>
      <c r="C6431" s="1" t="s">
        <v>33</v>
      </c>
      <c r="D6431" s="1" t="s">
        <v>19</v>
      </c>
      <c r="E6431" s="1" t="s">
        <v>100</v>
      </c>
      <c r="F6431">
        <v>2016</v>
      </c>
      <c r="G6431">
        <v>8</v>
      </c>
      <c r="H6431" s="1" t="s">
        <v>21</v>
      </c>
      <c r="I6431">
        <v>22</v>
      </c>
      <c r="J6431">
        <v>3137</v>
      </c>
      <c r="K6431" s="1" t="s">
        <v>101</v>
      </c>
      <c r="L6431" s="1" t="s">
        <v>23</v>
      </c>
      <c r="M6431">
        <v>1.411</v>
      </c>
      <c r="N6431">
        <v>31032.799999999999</v>
      </c>
      <c r="O6431">
        <v>31.033000000000001</v>
      </c>
      <c r="P6431" s="2">
        <v>45566</v>
      </c>
      <c r="Q6431">
        <v>1</v>
      </c>
      <c r="R6431" s="1" t="s">
        <v>40</v>
      </c>
    </row>
    <row r="6432" spans="1:18" x14ac:dyDescent="0.25">
      <c r="A6432">
        <v>2024</v>
      </c>
      <c r="B6432">
        <v>11</v>
      </c>
      <c r="C6432" s="1" t="s">
        <v>34</v>
      </c>
      <c r="D6432" s="1" t="s">
        <v>19</v>
      </c>
      <c r="E6432" s="1" t="s">
        <v>100</v>
      </c>
      <c r="F6432">
        <v>2016</v>
      </c>
      <c r="G6432">
        <v>8</v>
      </c>
      <c r="H6432" s="1" t="s">
        <v>21</v>
      </c>
      <c r="I6432">
        <v>22</v>
      </c>
      <c r="J6432">
        <v>3137</v>
      </c>
      <c r="K6432" s="1" t="s">
        <v>101</v>
      </c>
      <c r="L6432" s="1" t="s">
        <v>23</v>
      </c>
      <c r="M6432">
        <v>1.0009999999999999</v>
      </c>
      <c r="N6432">
        <v>22021.7</v>
      </c>
      <c r="O6432">
        <v>22.021999999999998</v>
      </c>
      <c r="P6432" s="2">
        <v>45597</v>
      </c>
      <c r="Q6432">
        <v>1</v>
      </c>
      <c r="R6432" s="1" t="s">
        <v>40</v>
      </c>
    </row>
    <row r="6433" spans="1:18" x14ac:dyDescent="0.25">
      <c r="A6433">
        <v>2024</v>
      </c>
      <c r="B6433">
        <v>12</v>
      </c>
      <c r="C6433" s="1" t="s">
        <v>35</v>
      </c>
      <c r="D6433" s="1" t="s">
        <v>19</v>
      </c>
      <c r="E6433" s="1" t="s">
        <v>100</v>
      </c>
      <c r="F6433">
        <v>2016</v>
      </c>
      <c r="G6433">
        <v>8</v>
      </c>
      <c r="H6433" s="1" t="s">
        <v>21</v>
      </c>
      <c r="I6433">
        <v>22</v>
      </c>
      <c r="J6433">
        <v>3137</v>
      </c>
      <c r="K6433" s="1" t="s">
        <v>101</v>
      </c>
      <c r="L6433" s="1" t="s">
        <v>23</v>
      </c>
      <c r="M6433">
        <v>1.2809999999999999</v>
      </c>
      <c r="N6433">
        <v>28185.9</v>
      </c>
      <c r="O6433">
        <v>28.186</v>
      </c>
      <c r="P6433" s="2">
        <v>45627</v>
      </c>
      <c r="Q6433">
        <v>1</v>
      </c>
      <c r="R6433" s="1" t="s">
        <v>40</v>
      </c>
    </row>
    <row r="6434" spans="1:18" x14ac:dyDescent="0.25">
      <c r="A6434">
        <v>2024</v>
      </c>
      <c r="B6434">
        <v>1</v>
      </c>
      <c r="C6434" s="1" t="s">
        <v>18</v>
      </c>
      <c r="D6434" s="1" t="s">
        <v>19</v>
      </c>
      <c r="E6434" s="1" t="s">
        <v>102</v>
      </c>
      <c r="F6434">
        <v>2016</v>
      </c>
      <c r="G6434">
        <v>8</v>
      </c>
      <c r="H6434" s="1" t="s">
        <v>21</v>
      </c>
      <c r="I6434">
        <v>22</v>
      </c>
      <c r="J6434">
        <v>3096</v>
      </c>
      <c r="K6434" s="1" t="s">
        <v>103</v>
      </c>
      <c r="L6434" s="1" t="s">
        <v>23</v>
      </c>
      <c r="M6434">
        <v>1.411</v>
      </c>
      <c r="N6434">
        <v>31045.1</v>
      </c>
      <c r="O6434">
        <v>31.045000000000002</v>
      </c>
      <c r="P6434" s="2">
        <v>45292</v>
      </c>
      <c r="Q6434">
        <v>1</v>
      </c>
      <c r="R6434" s="1" t="s">
        <v>40</v>
      </c>
    </row>
    <row r="6435" spans="1:18" x14ac:dyDescent="0.25">
      <c r="A6435">
        <v>2024</v>
      </c>
      <c r="B6435">
        <v>2</v>
      </c>
      <c r="C6435" s="1" t="s">
        <v>25</v>
      </c>
      <c r="D6435" s="1" t="s">
        <v>19</v>
      </c>
      <c r="E6435" s="1" t="s">
        <v>102</v>
      </c>
      <c r="F6435">
        <v>2016</v>
      </c>
      <c r="G6435">
        <v>8</v>
      </c>
      <c r="H6435" s="1" t="s">
        <v>21</v>
      </c>
      <c r="I6435">
        <v>22</v>
      </c>
      <c r="J6435">
        <v>3096</v>
      </c>
      <c r="K6435" s="1" t="s">
        <v>103</v>
      </c>
      <c r="L6435" s="1" t="s">
        <v>23</v>
      </c>
      <c r="M6435">
        <v>1.496</v>
      </c>
      <c r="N6435">
        <v>32902.699999999997</v>
      </c>
      <c r="O6435">
        <v>32.902999999999999</v>
      </c>
      <c r="P6435" s="2">
        <v>45323</v>
      </c>
      <c r="Q6435">
        <v>1</v>
      </c>
      <c r="R6435" s="1" t="s">
        <v>40</v>
      </c>
    </row>
    <row r="6436" spans="1:18" x14ac:dyDescent="0.25">
      <c r="A6436">
        <v>2024</v>
      </c>
      <c r="B6436">
        <v>3</v>
      </c>
      <c r="C6436" s="1" t="s">
        <v>26</v>
      </c>
      <c r="D6436" s="1" t="s">
        <v>19</v>
      </c>
      <c r="E6436" s="1" t="s">
        <v>102</v>
      </c>
      <c r="F6436">
        <v>2016</v>
      </c>
      <c r="G6436">
        <v>8</v>
      </c>
      <c r="H6436" s="1" t="s">
        <v>21</v>
      </c>
      <c r="I6436">
        <v>22</v>
      </c>
      <c r="J6436">
        <v>3096</v>
      </c>
      <c r="K6436" s="1" t="s">
        <v>103</v>
      </c>
      <c r="L6436" s="1" t="s">
        <v>23</v>
      </c>
      <c r="M6436">
        <v>2.024</v>
      </c>
      <c r="N6436">
        <v>44536</v>
      </c>
      <c r="O6436">
        <v>44.536000000000001</v>
      </c>
      <c r="P6436" s="2">
        <v>45352</v>
      </c>
      <c r="Q6436">
        <v>1</v>
      </c>
      <c r="R6436" s="1" t="s">
        <v>40</v>
      </c>
    </row>
    <row r="6437" spans="1:18" x14ac:dyDescent="0.25">
      <c r="A6437">
        <v>2024</v>
      </c>
      <c r="B6437">
        <v>4</v>
      </c>
      <c r="C6437" s="1" t="s">
        <v>27</v>
      </c>
      <c r="D6437" s="1" t="s">
        <v>19</v>
      </c>
      <c r="E6437" s="1" t="s">
        <v>102</v>
      </c>
      <c r="F6437">
        <v>2016</v>
      </c>
      <c r="G6437">
        <v>8</v>
      </c>
      <c r="H6437" s="1" t="s">
        <v>21</v>
      </c>
      <c r="I6437">
        <v>22</v>
      </c>
      <c r="J6437">
        <v>3096</v>
      </c>
      <c r="K6437" s="1" t="s">
        <v>103</v>
      </c>
      <c r="L6437" s="1" t="s">
        <v>23</v>
      </c>
      <c r="M6437">
        <v>1.849</v>
      </c>
      <c r="N6437">
        <v>40681.4</v>
      </c>
      <c r="O6437">
        <v>40.680999999999997</v>
      </c>
      <c r="P6437" s="2">
        <v>45383</v>
      </c>
      <c r="Q6437">
        <v>1</v>
      </c>
      <c r="R6437" s="1" t="s">
        <v>40</v>
      </c>
    </row>
    <row r="6438" spans="1:18" x14ac:dyDescent="0.25">
      <c r="A6438">
        <v>2024</v>
      </c>
      <c r="B6438">
        <v>5</v>
      </c>
      <c r="C6438" s="1" t="s">
        <v>28</v>
      </c>
      <c r="D6438" s="1" t="s">
        <v>19</v>
      </c>
      <c r="E6438" s="1" t="s">
        <v>102</v>
      </c>
      <c r="F6438">
        <v>2016</v>
      </c>
      <c r="G6438">
        <v>8</v>
      </c>
      <c r="H6438" s="1" t="s">
        <v>21</v>
      </c>
      <c r="I6438">
        <v>22</v>
      </c>
      <c r="J6438">
        <v>3096</v>
      </c>
      <c r="K6438" s="1" t="s">
        <v>103</v>
      </c>
      <c r="L6438" s="1" t="s">
        <v>23</v>
      </c>
      <c r="M6438">
        <v>2.149</v>
      </c>
      <c r="N6438">
        <v>47275.9</v>
      </c>
      <c r="O6438">
        <v>47.276000000000003</v>
      </c>
      <c r="P6438" s="2">
        <v>45413</v>
      </c>
      <c r="Q6438">
        <v>1</v>
      </c>
      <c r="R6438" s="1" t="s">
        <v>40</v>
      </c>
    </row>
    <row r="6439" spans="1:18" x14ac:dyDescent="0.25">
      <c r="A6439">
        <v>2024</v>
      </c>
      <c r="B6439">
        <v>6</v>
      </c>
      <c r="C6439" s="1" t="s">
        <v>29</v>
      </c>
      <c r="D6439" s="1" t="s">
        <v>19</v>
      </c>
      <c r="E6439" s="1" t="s">
        <v>102</v>
      </c>
      <c r="F6439">
        <v>2016</v>
      </c>
      <c r="G6439">
        <v>8</v>
      </c>
      <c r="H6439" s="1" t="s">
        <v>21</v>
      </c>
      <c r="I6439">
        <v>22</v>
      </c>
      <c r="J6439">
        <v>3096</v>
      </c>
      <c r="K6439" s="1" t="s">
        <v>103</v>
      </c>
      <c r="L6439" s="1" t="s">
        <v>23</v>
      </c>
      <c r="M6439">
        <v>2.3530000000000002</v>
      </c>
      <c r="N6439">
        <v>51757.4</v>
      </c>
      <c r="O6439">
        <v>51.756999999999998</v>
      </c>
      <c r="P6439" s="2">
        <v>45444</v>
      </c>
      <c r="Q6439">
        <v>1</v>
      </c>
      <c r="R6439" s="1" t="s">
        <v>40</v>
      </c>
    </row>
    <row r="6440" spans="1:18" x14ac:dyDescent="0.25">
      <c r="A6440">
        <v>2024</v>
      </c>
      <c r="B6440">
        <v>7</v>
      </c>
      <c r="C6440" s="1" t="s">
        <v>30</v>
      </c>
      <c r="D6440" s="1" t="s">
        <v>19</v>
      </c>
      <c r="E6440" s="1" t="s">
        <v>102</v>
      </c>
      <c r="F6440">
        <v>2016</v>
      </c>
      <c r="G6440">
        <v>8</v>
      </c>
      <c r="H6440" s="1" t="s">
        <v>21</v>
      </c>
      <c r="I6440">
        <v>22</v>
      </c>
      <c r="J6440">
        <v>3096</v>
      </c>
      <c r="K6440" s="1" t="s">
        <v>103</v>
      </c>
      <c r="L6440" s="1" t="s">
        <v>23</v>
      </c>
      <c r="M6440">
        <v>2.1549999999999998</v>
      </c>
      <c r="N6440">
        <v>47415.199999999997</v>
      </c>
      <c r="O6440">
        <v>47.414999999999999</v>
      </c>
      <c r="P6440" s="2">
        <v>45474</v>
      </c>
      <c r="Q6440">
        <v>1</v>
      </c>
      <c r="R6440" s="1" t="s">
        <v>40</v>
      </c>
    </row>
    <row r="6441" spans="1:18" x14ac:dyDescent="0.25">
      <c r="A6441">
        <v>2024</v>
      </c>
      <c r="B6441">
        <v>8</v>
      </c>
      <c r="C6441" s="1" t="s">
        <v>31</v>
      </c>
      <c r="D6441" s="1" t="s">
        <v>19</v>
      </c>
      <c r="E6441" s="1" t="s">
        <v>102</v>
      </c>
      <c r="F6441">
        <v>2016</v>
      </c>
      <c r="G6441">
        <v>8</v>
      </c>
      <c r="H6441" s="1" t="s">
        <v>21</v>
      </c>
      <c r="I6441">
        <v>22</v>
      </c>
      <c r="J6441">
        <v>3096</v>
      </c>
      <c r="K6441" s="1" t="s">
        <v>103</v>
      </c>
      <c r="L6441" s="1" t="s">
        <v>23</v>
      </c>
      <c r="M6441">
        <v>1.948</v>
      </c>
      <c r="N6441">
        <v>42864.1</v>
      </c>
      <c r="O6441">
        <v>42.863999999999997</v>
      </c>
      <c r="P6441" s="2">
        <v>45505</v>
      </c>
      <c r="Q6441">
        <v>1</v>
      </c>
      <c r="R6441" s="1" t="s">
        <v>40</v>
      </c>
    </row>
    <row r="6442" spans="1:18" x14ac:dyDescent="0.25">
      <c r="A6442">
        <v>2024</v>
      </c>
      <c r="B6442">
        <v>9</v>
      </c>
      <c r="C6442" s="1" t="s">
        <v>32</v>
      </c>
      <c r="D6442" s="1" t="s">
        <v>19</v>
      </c>
      <c r="E6442" s="1" t="s">
        <v>102</v>
      </c>
      <c r="F6442">
        <v>2016</v>
      </c>
      <c r="G6442">
        <v>8</v>
      </c>
      <c r="H6442" s="1" t="s">
        <v>21</v>
      </c>
      <c r="I6442">
        <v>22</v>
      </c>
      <c r="J6442">
        <v>3096</v>
      </c>
      <c r="K6442" s="1" t="s">
        <v>103</v>
      </c>
      <c r="L6442" s="1" t="s">
        <v>23</v>
      </c>
      <c r="M6442">
        <v>2.1080000000000001</v>
      </c>
      <c r="N6442">
        <v>46370.3</v>
      </c>
      <c r="O6442">
        <v>46.37</v>
      </c>
      <c r="P6442" s="2">
        <v>45536</v>
      </c>
      <c r="Q6442">
        <v>1</v>
      </c>
      <c r="R6442" s="1" t="s">
        <v>40</v>
      </c>
    </row>
    <row r="6443" spans="1:18" x14ac:dyDescent="0.25">
      <c r="A6443">
        <v>2024</v>
      </c>
      <c r="B6443">
        <v>10</v>
      </c>
      <c r="C6443" s="1" t="s">
        <v>33</v>
      </c>
      <c r="D6443" s="1" t="s">
        <v>19</v>
      </c>
      <c r="E6443" s="1" t="s">
        <v>102</v>
      </c>
      <c r="F6443">
        <v>2016</v>
      </c>
      <c r="G6443">
        <v>8</v>
      </c>
      <c r="H6443" s="1" t="s">
        <v>21</v>
      </c>
      <c r="I6443">
        <v>22</v>
      </c>
      <c r="J6443">
        <v>3096</v>
      </c>
      <c r="K6443" s="1" t="s">
        <v>103</v>
      </c>
      <c r="L6443" s="1" t="s">
        <v>23</v>
      </c>
      <c r="M6443">
        <v>1.3919999999999999</v>
      </c>
      <c r="N6443">
        <v>30627.200000000001</v>
      </c>
      <c r="O6443">
        <v>30.626999999999999</v>
      </c>
      <c r="P6443" s="2">
        <v>45566</v>
      </c>
      <c r="Q6443">
        <v>1</v>
      </c>
      <c r="R6443" s="1" t="s">
        <v>40</v>
      </c>
    </row>
    <row r="6444" spans="1:18" x14ac:dyDescent="0.25">
      <c r="A6444">
        <v>2024</v>
      </c>
      <c r="B6444">
        <v>11</v>
      </c>
      <c r="C6444" s="1" t="s">
        <v>34</v>
      </c>
      <c r="D6444" s="1" t="s">
        <v>19</v>
      </c>
      <c r="E6444" s="1" t="s">
        <v>102</v>
      </c>
      <c r="F6444">
        <v>2016</v>
      </c>
      <c r="G6444">
        <v>8</v>
      </c>
      <c r="H6444" s="1" t="s">
        <v>21</v>
      </c>
      <c r="I6444">
        <v>22</v>
      </c>
      <c r="J6444">
        <v>3096</v>
      </c>
      <c r="K6444" s="1" t="s">
        <v>103</v>
      </c>
      <c r="L6444" s="1" t="s">
        <v>23</v>
      </c>
      <c r="M6444">
        <v>0.98799999999999999</v>
      </c>
      <c r="N6444">
        <v>21733.9</v>
      </c>
      <c r="O6444">
        <v>21.734000000000002</v>
      </c>
      <c r="P6444" s="2">
        <v>45597</v>
      </c>
      <c r="Q6444">
        <v>1</v>
      </c>
      <c r="R6444" s="1" t="s">
        <v>40</v>
      </c>
    </row>
    <row r="6445" spans="1:18" x14ac:dyDescent="0.25">
      <c r="A6445">
        <v>2024</v>
      </c>
      <c r="B6445">
        <v>12</v>
      </c>
      <c r="C6445" s="1" t="s">
        <v>35</v>
      </c>
      <c r="D6445" s="1" t="s">
        <v>19</v>
      </c>
      <c r="E6445" s="1" t="s">
        <v>102</v>
      </c>
      <c r="F6445">
        <v>2016</v>
      </c>
      <c r="G6445">
        <v>8</v>
      </c>
      <c r="H6445" s="1" t="s">
        <v>21</v>
      </c>
      <c r="I6445">
        <v>22</v>
      </c>
      <c r="J6445">
        <v>3096</v>
      </c>
      <c r="K6445" s="1" t="s">
        <v>103</v>
      </c>
      <c r="L6445" s="1" t="s">
        <v>23</v>
      </c>
      <c r="M6445">
        <v>1.264</v>
      </c>
      <c r="N6445">
        <v>27817.599999999999</v>
      </c>
      <c r="O6445">
        <v>27.818000000000001</v>
      </c>
      <c r="P6445" s="2">
        <v>45627</v>
      </c>
      <c r="Q6445">
        <v>1</v>
      </c>
      <c r="R6445" s="1" t="s">
        <v>40</v>
      </c>
    </row>
    <row r="6446" spans="1:18" x14ac:dyDescent="0.25">
      <c r="A6446">
        <v>2024</v>
      </c>
      <c r="B6446">
        <v>1</v>
      </c>
      <c r="C6446" s="1" t="s">
        <v>18</v>
      </c>
      <c r="D6446" s="1" t="s">
        <v>19</v>
      </c>
      <c r="E6446" s="1" t="s">
        <v>104</v>
      </c>
      <c r="F6446">
        <v>2016</v>
      </c>
      <c r="G6446">
        <v>8</v>
      </c>
      <c r="H6446" s="1" t="s">
        <v>21</v>
      </c>
      <c r="I6446">
        <v>24</v>
      </c>
      <c r="J6446">
        <v>3317</v>
      </c>
      <c r="K6446" s="1" t="s">
        <v>105</v>
      </c>
      <c r="L6446" s="1" t="s">
        <v>23</v>
      </c>
      <c r="M6446">
        <v>1.3859999999999999</v>
      </c>
      <c r="N6446">
        <v>33261.199999999997</v>
      </c>
      <c r="O6446">
        <v>33.261000000000003</v>
      </c>
      <c r="P6446" s="2">
        <v>45292</v>
      </c>
      <c r="Q6446">
        <v>1</v>
      </c>
      <c r="R6446" s="1" t="s">
        <v>40</v>
      </c>
    </row>
    <row r="6447" spans="1:18" x14ac:dyDescent="0.25">
      <c r="A6447">
        <v>2024</v>
      </c>
      <c r="B6447">
        <v>2</v>
      </c>
      <c r="C6447" s="1" t="s">
        <v>25</v>
      </c>
      <c r="D6447" s="1" t="s">
        <v>19</v>
      </c>
      <c r="E6447" s="1" t="s">
        <v>104</v>
      </c>
      <c r="F6447">
        <v>2016</v>
      </c>
      <c r="G6447">
        <v>8</v>
      </c>
      <c r="H6447" s="1" t="s">
        <v>21</v>
      </c>
      <c r="I6447">
        <v>24</v>
      </c>
      <c r="J6447">
        <v>3317</v>
      </c>
      <c r="K6447" s="1" t="s">
        <v>105</v>
      </c>
      <c r="L6447" s="1" t="s">
        <v>23</v>
      </c>
      <c r="M6447">
        <v>1.4690000000000001</v>
      </c>
      <c r="N6447">
        <v>35251.4</v>
      </c>
      <c r="O6447">
        <v>35.250999999999998</v>
      </c>
      <c r="P6447" s="2">
        <v>45323</v>
      </c>
      <c r="Q6447">
        <v>1</v>
      </c>
      <c r="R6447" s="1" t="s">
        <v>40</v>
      </c>
    </row>
    <row r="6448" spans="1:18" x14ac:dyDescent="0.25">
      <c r="A6448">
        <v>2024</v>
      </c>
      <c r="B6448">
        <v>3</v>
      </c>
      <c r="C6448" s="1" t="s">
        <v>26</v>
      </c>
      <c r="D6448" s="1" t="s">
        <v>19</v>
      </c>
      <c r="E6448" s="1" t="s">
        <v>104</v>
      </c>
      <c r="F6448">
        <v>2016</v>
      </c>
      <c r="G6448">
        <v>8</v>
      </c>
      <c r="H6448" s="1" t="s">
        <v>21</v>
      </c>
      <c r="I6448">
        <v>24</v>
      </c>
      <c r="J6448">
        <v>3317</v>
      </c>
      <c r="K6448" s="1" t="s">
        <v>105</v>
      </c>
      <c r="L6448" s="1" t="s">
        <v>23</v>
      </c>
      <c r="M6448">
        <v>1.988</v>
      </c>
      <c r="N6448">
        <v>47715</v>
      </c>
      <c r="O6448">
        <v>47.715000000000003</v>
      </c>
      <c r="P6448" s="2">
        <v>45352</v>
      </c>
      <c r="Q6448">
        <v>1</v>
      </c>
      <c r="R6448" s="1" t="s">
        <v>40</v>
      </c>
    </row>
    <row r="6449" spans="1:18" x14ac:dyDescent="0.25">
      <c r="A6449">
        <v>2024</v>
      </c>
      <c r="B6449">
        <v>4</v>
      </c>
      <c r="C6449" s="1" t="s">
        <v>27</v>
      </c>
      <c r="D6449" s="1" t="s">
        <v>19</v>
      </c>
      <c r="E6449" s="1" t="s">
        <v>104</v>
      </c>
      <c r="F6449">
        <v>2016</v>
      </c>
      <c r="G6449">
        <v>8</v>
      </c>
      <c r="H6449" s="1" t="s">
        <v>21</v>
      </c>
      <c r="I6449">
        <v>24</v>
      </c>
      <c r="J6449">
        <v>3317</v>
      </c>
      <c r="K6449" s="1" t="s">
        <v>105</v>
      </c>
      <c r="L6449" s="1" t="s">
        <v>23</v>
      </c>
      <c r="M6449">
        <v>1.8160000000000001</v>
      </c>
      <c r="N6449">
        <v>43585.4</v>
      </c>
      <c r="O6449">
        <v>43.585000000000001</v>
      </c>
      <c r="P6449" s="2">
        <v>45383</v>
      </c>
      <c r="Q6449">
        <v>1</v>
      </c>
      <c r="R6449" s="1" t="s">
        <v>40</v>
      </c>
    </row>
    <row r="6450" spans="1:18" x14ac:dyDescent="0.25">
      <c r="A6450">
        <v>2024</v>
      </c>
      <c r="B6450">
        <v>5</v>
      </c>
      <c r="C6450" s="1" t="s">
        <v>28</v>
      </c>
      <c r="D6450" s="1" t="s">
        <v>19</v>
      </c>
      <c r="E6450" s="1" t="s">
        <v>104</v>
      </c>
      <c r="F6450">
        <v>2016</v>
      </c>
      <c r="G6450">
        <v>8</v>
      </c>
      <c r="H6450" s="1" t="s">
        <v>21</v>
      </c>
      <c r="I6450">
        <v>24</v>
      </c>
      <c r="J6450">
        <v>3317</v>
      </c>
      <c r="K6450" s="1" t="s">
        <v>105</v>
      </c>
      <c r="L6450" s="1" t="s">
        <v>23</v>
      </c>
      <c r="M6450">
        <v>2.11</v>
      </c>
      <c r="N6450">
        <v>50650.6</v>
      </c>
      <c r="O6450">
        <v>50.651000000000003</v>
      </c>
      <c r="P6450" s="2">
        <v>45413</v>
      </c>
      <c r="Q6450">
        <v>1</v>
      </c>
      <c r="R6450" s="1" t="s">
        <v>40</v>
      </c>
    </row>
    <row r="6451" spans="1:18" x14ac:dyDescent="0.25">
      <c r="A6451">
        <v>2024</v>
      </c>
      <c r="B6451">
        <v>6</v>
      </c>
      <c r="C6451" s="1" t="s">
        <v>29</v>
      </c>
      <c r="D6451" s="1" t="s">
        <v>19</v>
      </c>
      <c r="E6451" s="1" t="s">
        <v>104</v>
      </c>
      <c r="F6451">
        <v>2016</v>
      </c>
      <c r="G6451">
        <v>8</v>
      </c>
      <c r="H6451" s="1" t="s">
        <v>21</v>
      </c>
      <c r="I6451">
        <v>24</v>
      </c>
      <c r="J6451">
        <v>3317</v>
      </c>
      <c r="K6451" s="1" t="s">
        <v>105</v>
      </c>
      <c r="L6451" s="1" t="s">
        <v>23</v>
      </c>
      <c r="M6451">
        <v>2.31</v>
      </c>
      <c r="N6451">
        <v>55451.9</v>
      </c>
      <c r="O6451">
        <v>55.451999999999998</v>
      </c>
      <c r="P6451" s="2">
        <v>45444</v>
      </c>
      <c r="Q6451">
        <v>1</v>
      </c>
      <c r="R6451" s="1" t="s">
        <v>40</v>
      </c>
    </row>
    <row r="6452" spans="1:18" x14ac:dyDescent="0.25">
      <c r="A6452">
        <v>2024</v>
      </c>
      <c r="B6452">
        <v>7</v>
      </c>
      <c r="C6452" s="1" t="s">
        <v>30</v>
      </c>
      <c r="D6452" s="1" t="s">
        <v>19</v>
      </c>
      <c r="E6452" s="1" t="s">
        <v>104</v>
      </c>
      <c r="F6452">
        <v>2016</v>
      </c>
      <c r="G6452">
        <v>8</v>
      </c>
      <c r="H6452" s="1" t="s">
        <v>21</v>
      </c>
      <c r="I6452">
        <v>24</v>
      </c>
      <c r="J6452">
        <v>3317</v>
      </c>
      <c r="K6452" s="1" t="s">
        <v>105</v>
      </c>
      <c r="L6452" s="1" t="s">
        <v>23</v>
      </c>
      <c r="M6452">
        <v>2.117</v>
      </c>
      <c r="N6452">
        <v>50799.9</v>
      </c>
      <c r="O6452">
        <v>50.8</v>
      </c>
      <c r="P6452" s="2">
        <v>45474</v>
      </c>
      <c r="Q6452">
        <v>1</v>
      </c>
      <c r="R6452" s="1" t="s">
        <v>40</v>
      </c>
    </row>
    <row r="6453" spans="1:18" x14ac:dyDescent="0.25">
      <c r="A6453">
        <v>2024</v>
      </c>
      <c r="B6453">
        <v>8</v>
      </c>
      <c r="C6453" s="1" t="s">
        <v>31</v>
      </c>
      <c r="D6453" s="1" t="s">
        <v>19</v>
      </c>
      <c r="E6453" s="1" t="s">
        <v>104</v>
      </c>
      <c r="F6453">
        <v>2016</v>
      </c>
      <c r="G6453">
        <v>8</v>
      </c>
      <c r="H6453" s="1" t="s">
        <v>21</v>
      </c>
      <c r="I6453">
        <v>24</v>
      </c>
      <c r="J6453">
        <v>3317</v>
      </c>
      <c r="K6453" s="1" t="s">
        <v>105</v>
      </c>
      <c r="L6453" s="1" t="s">
        <v>23</v>
      </c>
      <c r="M6453">
        <v>1.913</v>
      </c>
      <c r="N6453">
        <v>45923.9</v>
      </c>
      <c r="O6453">
        <v>45.923999999999999</v>
      </c>
      <c r="P6453" s="2">
        <v>45505</v>
      </c>
      <c r="Q6453">
        <v>1</v>
      </c>
      <c r="R6453" s="1" t="s">
        <v>40</v>
      </c>
    </row>
    <row r="6454" spans="1:18" x14ac:dyDescent="0.25">
      <c r="A6454">
        <v>2024</v>
      </c>
      <c r="B6454">
        <v>9</v>
      </c>
      <c r="C6454" s="1" t="s">
        <v>32</v>
      </c>
      <c r="D6454" s="1" t="s">
        <v>19</v>
      </c>
      <c r="E6454" s="1" t="s">
        <v>104</v>
      </c>
      <c r="F6454">
        <v>2016</v>
      </c>
      <c r="G6454">
        <v>8</v>
      </c>
      <c r="H6454" s="1" t="s">
        <v>21</v>
      </c>
      <c r="I6454">
        <v>24</v>
      </c>
      <c r="J6454">
        <v>3317</v>
      </c>
      <c r="K6454" s="1" t="s">
        <v>105</v>
      </c>
      <c r="L6454" s="1" t="s">
        <v>23</v>
      </c>
      <c r="M6454">
        <v>2.0699999999999998</v>
      </c>
      <c r="N6454">
        <v>49680.4</v>
      </c>
      <c r="O6454">
        <v>49.68</v>
      </c>
      <c r="P6454" s="2">
        <v>45536</v>
      </c>
      <c r="Q6454">
        <v>1</v>
      </c>
      <c r="R6454" s="1" t="s">
        <v>40</v>
      </c>
    </row>
    <row r="6455" spans="1:18" x14ac:dyDescent="0.25">
      <c r="A6455">
        <v>2024</v>
      </c>
      <c r="B6455">
        <v>10</v>
      </c>
      <c r="C6455" s="1" t="s">
        <v>33</v>
      </c>
      <c r="D6455" s="1" t="s">
        <v>19</v>
      </c>
      <c r="E6455" s="1" t="s">
        <v>104</v>
      </c>
      <c r="F6455">
        <v>2016</v>
      </c>
      <c r="G6455">
        <v>8</v>
      </c>
      <c r="H6455" s="1" t="s">
        <v>21</v>
      </c>
      <c r="I6455">
        <v>24</v>
      </c>
      <c r="J6455">
        <v>3317</v>
      </c>
      <c r="K6455" s="1" t="s">
        <v>105</v>
      </c>
      <c r="L6455" s="1" t="s">
        <v>23</v>
      </c>
      <c r="M6455">
        <v>1.367</v>
      </c>
      <c r="N6455">
        <v>32813.4</v>
      </c>
      <c r="O6455">
        <v>32.813000000000002</v>
      </c>
      <c r="P6455" s="2">
        <v>45566</v>
      </c>
      <c r="Q6455">
        <v>1</v>
      </c>
      <c r="R6455" s="1" t="s">
        <v>40</v>
      </c>
    </row>
    <row r="6456" spans="1:18" x14ac:dyDescent="0.25">
      <c r="A6456">
        <v>2024</v>
      </c>
      <c r="B6456">
        <v>11</v>
      </c>
      <c r="C6456" s="1" t="s">
        <v>34</v>
      </c>
      <c r="D6456" s="1" t="s">
        <v>19</v>
      </c>
      <c r="E6456" s="1" t="s">
        <v>104</v>
      </c>
      <c r="F6456">
        <v>2016</v>
      </c>
      <c r="G6456">
        <v>8</v>
      </c>
      <c r="H6456" s="1" t="s">
        <v>21</v>
      </c>
      <c r="I6456">
        <v>24</v>
      </c>
      <c r="J6456">
        <v>3317</v>
      </c>
      <c r="K6456" s="1" t="s">
        <v>105</v>
      </c>
      <c r="L6456" s="1" t="s">
        <v>23</v>
      </c>
      <c r="M6456">
        <v>0.97</v>
      </c>
      <c r="N6456">
        <v>23285.3</v>
      </c>
      <c r="O6456">
        <v>23.285</v>
      </c>
      <c r="P6456" s="2">
        <v>45597</v>
      </c>
      <c r="Q6456">
        <v>1</v>
      </c>
      <c r="R6456" s="1" t="s">
        <v>40</v>
      </c>
    </row>
    <row r="6457" spans="1:18" x14ac:dyDescent="0.25">
      <c r="A6457">
        <v>2024</v>
      </c>
      <c r="B6457">
        <v>12</v>
      </c>
      <c r="C6457" s="1" t="s">
        <v>35</v>
      </c>
      <c r="D6457" s="1" t="s">
        <v>19</v>
      </c>
      <c r="E6457" s="1" t="s">
        <v>104</v>
      </c>
      <c r="F6457">
        <v>2016</v>
      </c>
      <c r="G6457">
        <v>8</v>
      </c>
      <c r="H6457" s="1" t="s">
        <v>21</v>
      </c>
      <c r="I6457">
        <v>24</v>
      </c>
      <c r="J6457">
        <v>3317</v>
      </c>
      <c r="K6457" s="1" t="s">
        <v>105</v>
      </c>
      <c r="L6457" s="1" t="s">
        <v>23</v>
      </c>
      <c r="M6457">
        <v>1.242</v>
      </c>
      <c r="N6457">
        <v>29803.200000000001</v>
      </c>
      <c r="O6457">
        <v>29.803000000000001</v>
      </c>
      <c r="P6457" s="2">
        <v>45627</v>
      </c>
      <c r="Q6457">
        <v>1</v>
      </c>
      <c r="R6457" s="1" t="s">
        <v>40</v>
      </c>
    </row>
    <row r="6458" spans="1:18" x14ac:dyDescent="0.25">
      <c r="A6458">
        <v>2024</v>
      </c>
      <c r="B6458">
        <v>1</v>
      </c>
      <c r="C6458" s="1" t="s">
        <v>18</v>
      </c>
      <c r="D6458" s="1" t="s">
        <v>19</v>
      </c>
      <c r="E6458" s="1" t="s">
        <v>106</v>
      </c>
      <c r="F6458">
        <v>2016</v>
      </c>
      <c r="G6458">
        <v>8</v>
      </c>
      <c r="H6458" s="1" t="s">
        <v>21</v>
      </c>
      <c r="I6458">
        <v>17</v>
      </c>
      <c r="J6458">
        <v>2219</v>
      </c>
      <c r="K6458" s="1" t="s">
        <v>107</v>
      </c>
      <c r="L6458" s="1" t="s">
        <v>23</v>
      </c>
      <c r="M6458">
        <v>1.3089999999999999</v>
      </c>
      <c r="N6458">
        <v>22251</v>
      </c>
      <c r="O6458">
        <v>22.251000000000001</v>
      </c>
      <c r="P6458" s="2">
        <v>45292</v>
      </c>
      <c r="Q6458">
        <v>1</v>
      </c>
      <c r="R6458" s="1" t="s">
        <v>40</v>
      </c>
    </row>
    <row r="6459" spans="1:18" x14ac:dyDescent="0.25">
      <c r="A6459">
        <v>2024</v>
      </c>
      <c r="B6459">
        <v>2</v>
      </c>
      <c r="C6459" s="1" t="s">
        <v>25</v>
      </c>
      <c r="D6459" s="1" t="s">
        <v>19</v>
      </c>
      <c r="E6459" s="1" t="s">
        <v>106</v>
      </c>
      <c r="F6459">
        <v>2016</v>
      </c>
      <c r="G6459">
        <v>8</v>
      </c>
      <c r="H6459" s="1" t="s">
        <v>21</v>
      </c>
      <c r="I6459">
        <v>17</v>
      </c>
      <c r="J6459">
        <v>2219</v>
      </c>
      <c r="K6459" s="1" t="s">
        <v>107</v>
      </c>
      <c r="L6459" s="1" t="s">
        <v>23</v>
      </c>
      <c r="M6459">
        <v>1.387</v>
      </c>
      <c r="N6459">
        <v>23582.400000000001</v>
      </c>
      <c r="O6459">
        <v>23.582000000000001</v>
      </c>
      <c r="P6459" s="2">
        <v>45323</v>
      </c>
      <c r="Q6459">
        <v>1</v>
      </c>
      <c r="R6459" s="1" t="s">
        <v>40</v>
      </c>
    </row>
    <row r="6460" spans="1:18" x14ac:dyDescent="0.25">
      <c r="A6460">
        <v>2024</v>
      </c>
      <c r="B6460">
        <v>3</v>
      </c>
      <c r="C6460" s="1" t="s">
        <v>26</v>
      </c>
      <c r="D6460" s="1" t="s">
        <v>19</v>
      </c>
      <c r="E6460" s="1" t="s">
        <v>106</v>
      </c>
      <c r="F6460">
        <v>2016</v>
      </c>
      <c r="G6460">
        <v>8</v>
      </c>
      <c r="H6460" s="1" t="s">
        <v>21</v>
      </c>
      <c r="I6460">
        <v>17</v>
      </c>
      <c r="J6460">
        <v>2219</v>
      </c>
      <c r="K6460" s="1" t="s">
        <v>107</v>
      </c>
      <c r="L6460" s="1" t="s">
        <v>23</v>
      </c>
      <c r="M6460">
        <v>1.8779999999999999</v>
      </c>
      <c r="N6460">
        <v>31920.3</v>
      </c>
      <c r="O6460">
        <v>31.92</v>
      </c>
      <c r="P6460" s="2">
        <v>45352</v>
      </c>
      <c r="Q6460">
        <v>1</v>
      </c>
      <c r="R6460" s="1" t="s">
        <v>40</v>
      </c>
    </row>
    <row r="6461" spans="1:18" x14ac:dyDescent="0.25">
      <c r="A6461">
        <v>2024</v>
      </c>
      <c r="B6461">
        <v>4</v>
      </c>
      <c r="C6461" s="1" t="s">
        <v>27</v>
      </c>
      <c r="D6461" s="1" t="s">
        <v>19</v>
      </c>
      <c r="E6461" s="1" t="s">
        <v>106</v>
      </c>
      <c r="F6461">
        <v>2016</v>
      </c>
      <c r="G6461">
        <v>8</v>
      </c>
      <c r="H6461" s="1" t="s">
        <v>21</v>
      </c>
      <c r="I6461">
        <v>17</v>
      </c>
      <c r="J6461">
        <v>2219</v>
      </c>
      <c r="K6461" s="1" t="s">
        <v>107</v>
      </c>
      <c r="L6461" s="1" t="s">
        <v>23</v>
      </c>
      <c r="M6461">
        <v>1.7150000000000001</v>
      </c>
      <c r="N6461">
        <v>29157.7</v>
      </c>
      <c r="O6461">
        <v>29.158000000000001</v>
      </c>
      <c r="P6461" s="2">
        <v>45383</v>
      </c>
      <c r="Q6461">
        <v>1</v>
      </c>
      <c r="R6461" s="1" t="s">
        <v>40</v>
      </c>
    </row>
    <row r="6462" spans="1:18" x14ac:dyDescent="0.25">
      <c r="A6462">
        <v>2024</v>
      </c>
      <c r="B6462">
        <v>5</v>
      </c>
      <c r="C6462" s="1" t="s">
        <v>28</v>
      </c>
      <c r="D6462" s="1" t="s">
        <v>19</v>
      </c>
      <c r="E6462" s="1" t="s">
        <v>106</v>
      </c>
      <c r="F6462">
        <v>2016</v>
      </c>
      <c r="G6462">
        <v>8</v>
      </c>
      <c r="H6462" s="1" t="s">
        <v>21</v>
      </c>
      <c r="I6462">
        <v>17</v>
      </c>
      <c r="J6462">
        <v>2219</v>
      </c>
      <c r="K6462" s="1" t="s">
        <v>107</v>
      </c>
      <c r="L6462" s="1" t="s">
        <v>23</v>
      </c>
      <c r="M6462">
        <v>1.9930000000000001</v>
      </c>
      <c r="N6462">
        <v>33884.1</v>
      </c>
      <c r="O6462">
        <v>33.884</v>
      </c>
      <c r="P6462" s="2">
        <v>45413</v>
      </c>
      <c r="Q6462">
        <v>1</v>
      </c>
      <c r="R6462" s="1" t="s">
        <v>40</v>
      </c>
    </row>
    <row r="6463" spans="1:18" x14ac:dyDescent="0.25">
      <c r="A6463">
        <v>2024</v>
      </c>
      <c r="B6463">
        <v>6</v>
      </c>
      <c r="C6463" s="1" t="s">
        <v>29</v>
      </c>
      <c r="D6463" s="1" t="s">
        <v>19</v>
      </c>
      <c r="E6463" s="1" t="s">
        <v>106</v>
      </c>
      <c r="F6463">
        <v>2016</v>
      </c>
      <c r="G6463">
        <v>8</v>
      </c>
      <c r="H6463" s="1" t="s">
        <v>21</v>
      </c>
      <c r="I6463">
        <v>17</v>
      </c>
      <c r="J6463">
        <v>2219</v>
      </c>
      <c r="K6463" s="1" t="s">
        <v>107</v>
      </c>
      <c r="L6463" s="1" t="s">
        <v>23</v>
      </c>
      <c r="M6463">
        <v>2.1819999999999999</v>
      </c>
      <c r="N6463">
        <v>37096.1</v>
      </c>
      <c r="O6463">
        <v>37.095999999999997</v>
      </c>
      <c r="P6463" s="2">
        <v>45444</v>
      </c>
      <c r="Q6463">
        <v>1</v>
      </c>
      <c r="R6463" s="1" t="s">
        <v>40</v>
      </c>
    </row>
    <row r="6464" spans="1:18" x14ac:dyDescent="0.25">
      <c r="A6464">
        <v>2024</v>
      </c>
      <c r="B6464">
        <v>7</v>
      </c>
      <c r="C6464" s="1" t="s">
        <v>30</v>
      </c>
      <c r="D6464" s="1" t="s">
        <v>19</v>
      </c>
      <c r="E6464" s="1" t="s">
        <v>106</v>
      </c>
      <c r="F6464">
        <v>2016</v>
      </c>
      <c r="G6464">
        <v>8</v>
      </c>
      <c r="H6464" s="1" t="s">
        <v>21</v>
      </c>
      <c r="I6464">
        <v>17</v>
      </c>
      <c r="J6464">
        <v>2219</v>
      </c>
      <c r="K6464" s="1" t="s">
        <v>107</v>
      </c>
      <c r="L6464" s="1" t="s">
        <v>23</v>
      </c>
      <c r="M6464">
        <v>1.9990000000000001</v>
      </c>
      <c r="N6464">
        <v>33984</v>
      </c>
      <c r="O6464">
        <v>33.984000000000002</v>
      </c>
      <c r="P6464" s="2">
        <v>45474</v>
      </c>
      <c r="Q6464">
        <v>1</v>
      </c>
      <c r="R6464" s="1" t="s">
        <v>40</v>
      </c>
    </row>
    <row r="6465" spans="1:18" x14ac:dyDescent="0.25">
      <c r="A6465">
        <v>2024</v>
      </c>
      <c r="B6465">
        <v>8</v>
      </c>
      <c r="C6465" s="1" t="s">
        <v>31</v>
      </c>
      <c r="D6465" s="1" t="s">
        <v>19</v>
      </c>
      <c r="E6465" s="1" t="s">
        <v>106</v>
      </c>
      <c r="F6465">
        <v>2016</v>
      </c>
      <c r="G6465">
        <v>8</v>
      </c>
      <c r="H6465" s="1" t="s">
        <v>21</v>
      </c>
      <c r="I6465">
        <v>17</v>
      </c>
      <c r="J6465">
        <v>2219</v>
      </c>
      <c r="K6465" s="1" t="s">
        <v>107</v>
      </c>
      <c r="L6465" s="1" t="s">
        <v>23</v>
      </c>
      <c r="M6465">
        <v>1.8069999999999999</v>
      </c>
      <c r="N6465">
        <v>30722.1</v>
      </c>
      <c r="O6465">
        <v>30.722000000000001</v>
      </c>
      <c r="P6465" s="2">
        <v>45505</v>
      </c>
      <c r="Q6465">
        <v>1</v>
      </c>
      <c r="R6465" s="1" t="s">
        <v>40</v>
      </c>
    </row>
    <row r="6466" spans="1:18" x14ac:dyDescent="0.25">
      <c r="A6466">
        <v>2024</v>
      </c>
      <c r="B6466">
        <v>9</v>
      </c>
      <c r="C6466" s="1" t="s">
        <v>32</v>
      </c>
      <c r="D6466" s="1" t="s">
        <v>19</v>
      </c>
      <c r="E6466" s="1" t="s">
        <v>106</v>
      </c>
      <c r="F6466">
        <v>2016</v>
      </c>
      <c r="G6466">
        <v>8</v>
      </c>
      <c r="H6466" s="1" t="s">
        <v>21</v>
      </c>
      <c r="I6466">
        <v>17</v>
      </c>
      <c r="J6466">
        <v>2219</v>
      </c>
      <c r="K6466" s="1" t="s">
        <v>107</v>
      </c>
      <c r="L6466" s="1" t="s">
        <v>23</v>
      </c>
      <c r="M6466">
        <v>1.9550000000000001</v>
      </c>
      <c r="N6466">
        <v>33235.1</v>
      </c>
      <c r="O6466">
        <v>33.234999999999999</v>
      </c>
      <c r="P6466" s="2">
        <v>45536</v>
      </c>
      <c r="Q6466">
        <v>1</v>
      </c>
      <c r="R6466" s="1" t="s">
        <v>40</v>
      </c>
    </row>
    <row r="6467" spans="1:18" x14ac:dyDescent="0.25">
      <c r="A6467">
        <v>2024</v>
      </c>
      <c r="B6467">
        <v>10</v>
      </c>
      <c r="C6467" s="1" t="s">
        <v>33</v>
      </c>
      <c r="D6467" s="1" t="s">
        <v>19</v>
      </c>
      <c r="E6467" s="1" t="s">
        <v>106</v>
      </c>
      <c r="F6467">
        <v>2016</v>
      </c>
      <c r="G6467">
        <v>8</v>
      </c>
      <c r="H6467" s="1" t="s">
        <v>21</v>
      </c>
      <c r="I6467">
        <v>17</v>
      </c>
      <c r="J6467">
        <v>2219</v>
      </c>
      <c r="K6467" s="1" t="s">
        <v>107</v>
      </c>
      <c r="L6467" s="1" t="s">
        <v>23</v>
      </c>
      <c r="M6467">
        <v>1.2909999999999999</v>
      </c>
      <c r="N6467">
        <v>21951.5</v>
      </c>
      <c r="O6467">
        <v>21.951000000000001</v>
      </c>
      <c r="P6467" s="2">
        <v>45566</v>
      </c>
      <c r="Q6467">
        <v>1</v>
      </c>
      <c r="R6467" s="1" t="s">
        <v>40</v>
      </c>
    </row>
    <row r="6468" spans="1:18" x14ac:dyDescent="0.25">
      <c r="A6468">
        <v>2024</v>
      </c>
      <c r="B6468">
        <v>11</v>
      </c>
      <c r="C6468" s="1" t="s">
        <v>34</v>
      </c>
      <c r="D6468" s="1" t="s">
        <v>19</v>
      </c>
      <c r="E6468" s="1" t="s">
        <v>106</v>
      </c>
      <c r="F6468">
        <v>2016</v>
      </c>
      <c r="G6468">
        <v>8</v>
      </c>
      <c r="H6468" s="1" t="s">
        <v>21</v>
      </c>
      <c r="I6468">
        <v>17</v>
      </c>
      <c r="J6468">
        <v>2219</v>
      </c>
      <c r="K6468" s="1" t="s">
        <v>107</v>
      </c>
      <c r="L6468" s="1" t="s">
        <v>23</v>
      </c>
      <c r="M6468">
        <v>0.91600000000000004</v>
      </c>
      <c r="N6468">
        <v>15577.4</v>
      </c>
      <c r="O6468">
        <v>15.577</v>
      </c>
      <c r="P6468" s="2">
        <v>45597</v>
      </c>
      <c r="Q6468">
        <v>1</v>
      </c>
      <c r="R6468" s="1" t="s">
        <v>40</v>
      </c>
    </row>
    <row r="6469" spans="1:18" x14ac:dyDescent="0.25">
      <c r="A6469">
        <v>2024</v>
      </c>
      <c r="B6469">
        <v>12</v>
      </c>
      <c r="C6469" s="1" t="s">
        <v>35</v>
      </c>
      <c r="D6469" s="1" t="s">
        <v>19</v>
      </c>
      <c r="E6469" s="1" t="s">
        <v>106</v>
      </c>
      <c r="F6469">
        <v>2016</v>
      </c>
      <c r="G6469">
        <v>8</v>
      </c>
      <c r="H6469" s="1" t="s">
        <v>21</v>
      </c>
      <c r="I6469">
        <v>17</v>
      </c>
      <c r="J6469">
        <v>2219</v>
      </c>
      <c r="K6469" s="1" t="s">
        <v>107</v>
      </c>
      <c r="L6469" s="1" t="s">
        <v>23</v>
      </c>
      <c r="M6469">
        <v>1.173</v>
      </c>
      <c r="N6469">
        <v>19937.7</v>
      </c>
      <c r="O6469">
        <v>19.937999999999999</v>
      </c>
      <c r="P6469" s="2">
        <v>45627</v>
      </c>
      <c r="Q6469">
        <v>1</v>
      </c>
      <c r="R6469" s="1" t="s">
        <v>40</v>
      </c>
    </row>
    <row r="6470" spans="1:18" x14ac:dyDescent="0.25">
      <c r="A6470">
        <v>2024</v>
      </c>
      <c r="B6470">
        <v>1</v>
      </c>
      <c r="C6470" s="1" t="s">
        <v>18</v>
      </c>
      <c r="D6470" s="1" t="s">
        <v>19</v>
      </c>
      <c r="E6470" s="1" t="s">
        <v>108</v>
      </c>
      <c r="F6470">
        <v>2016</v>
      </c>
      <c r="G6470">
        <v>8</v>
      </c>
      <c r="H6470" s="1" t="s">
        <v>21</v>
      </c>
      <c r="I6470">
        <v>15</v>
      </c>
      <c r="J6470">
        <v>2142</v>
      </c>
      <c r="K6470" s="1" t="s">
        <v>109</v>
      </c>
      <c r="L6470" s="1" t="s">
        <v>23</v>
      </c>
      <c r="M6470">
        <v>1.4319999999999999</v>
      </c>
      <c r="N6470">
        <v>21478.9</v>
      </c>
      <c r="O6470">
        <v>21.478999999999999</v>
      </c>
      <c r="P6470" s="2">
        <v>45292</v>
      </c>
      <c r="Q6470">
        <v>1</v>
      </c>
      <c r="R6470" s="1" t="s">
        <v>40</v>
      </c>
    </row>
    <row r="6471" spans="1:18" x14ac:dyDescent="0.25">
      <c r="A6471">
        <v>2024</v>
      </c>
      <c r="B6471">
        <v>2</v>
      </c>
      <c r="C6471" s="1" t="s">
        <v>25</v>
      </c>
      <c r="D6471" s="1" t="s">
        <v>19</v>
      </c>
      <c r="E6471" s="1" t="s">
        <v>108</v>
      </c>
      <c r="F6471">
        <v>2016</v>
      </c>
      <c r="G6471">
        <v>8</v>
      </c>
      <c r="H6471" s="1" t="s">
        <v>21</v>
      </c>
      <c r="I6471">
        <v>15</v>
      </c>
      <c r="J6471">
        <v>2142</v>
      </c>
      <c r="K6471" s="1" t="s">
        <v>109</v>
      </c>
      <c r="L6471" s="1" t="s">
        <v>23</v>
      </c>
      <c r="M6471">
        <v>1.518</v>
      </c>
      <c r="N6471">
        <v>22764.1</v>
      </c>
      <c r="O6471">
        <v>22.763999999999999</v>
      </c>
      <c r="P6471" s="2">
        <v>45323</v>
      </c>
      <c r="Q6471">
        <v>1</v>
      </c>
      <c r="R6471" s="1" t="s">
        <v>40</v>
      </c>
    </row>
    <row r="6472" spans="1:18" x14ac:dyDescent="0.25">
      <c r="A6472">
        <v>2024</v>
      </c>
      <c r="B6472">
        <v>3</v>
      </c>
      <c r="C6472" s="1" t="s">
        <v>26</v>
      </c>
      <c r="D6472" s="1" t="s">
        <v>19</v>
      </c>
      <c r="E6472" s="1" t="s">
        <v>108</v>
      </c>
      <c r="F6472">
        <v>2016</v>
      </c>
      <c r="G6472">
        <v>8</v>
      </c>
      <c r="H6472" s="1" t="s">
        <v>21</v>
      </c>
      <c r="I6472">
        <v>15</v>
      </c>
      <c r="J6472">
        <v>2142</v>
      </c>
      <c r="K6472" s="1" t="s">
        <v>109</v>
      </c>
      <c r="L6472" s="1" t="s">
        <v>23</v>
      </c>
      <c r="M6472">
        <v>2.0539999999999998</v>
      </c>
      <c r="N6472">
        <v>30812.7</v>
      </c>
      <c r="O6472">
        <v>30.812999999999999</v>
      </c>
      <c r="P6472" s="2">
        <v>45352</v>
      </c>
      <c r="Q6472">
        <v>1</v>
      </c>
      <c r="R6472" s="1" t="s">
        <v>40</v>
      </c>
    </row>
    <row r="6473" spans="1:18" x14ac:dyDescent="0.25">
      <c r="A6473">
        <v>2024</v>
      </c>
      <c r="B6473">
        <v>4</v>
      </c>
      <c r="C6473" s="1" t="s">
        <v>27</v>
      </c>
      <c r="D6473" s="1" t="s">
        <v>19</v>
      </c>
      <c r="E6473" s="1" t="s">
        <v>108</v>
      </c>
      <c r="F6473">
        <v>2016</v>
      </c>
      <c r="G6473">
        <v>8</v>
      </c>
      <c r="H6473" s="1" t="s">
        <v>21</v>
      </c>
      <c r="I6473">
        <v>15</v>
      </c>
      <c r="J6473">
        <v>2142</v>
      </c>
      <c r="K6473" s="1" t="s">
        <v>109</v>
      </c>
      <c r="L6473" s="1" t="s">
        <v>23</v>
      </c>
      <c r="M6473">
        <v>1.8759999999999999</v>
      </c>
      <c r="N6473">
        <v>28145.9</v>
      </c>
      <c r="O6473">
        <v>28.146000000000001</v>
      </c>
      <c r="P6473" s="2">
        <v>45383</v>
      </c>
      <c r="Q6473">
        <v>1</v>
      </c>
      <c r="R6473" s="1" t="s">
        <v>40</v>
      </c>
    </row>
    <row r="6474" spans="1:18" x14ac:dyDescent="0.25">
      <c r="A6474">
        <v>2024</v>
      </c>
      <c r="B6474">
        <v>5</v>
      </c>
      <c r="C6474" s="1" t="s">
        <v>28</v>
      </c>
      <c r="D6474" s="1" t="s">
        <v>19</v>
      </c>
      <c r="E6474" s="1" t="s">
        <v>108</v>
      </c>
      <c r="F6474">
        <v>2016</v>
      </c>
      <c r="G6474">
        <v>8</v>
      </c>
      <c r="H6474" s="1" t="s">
        <v>21</v>
      </c>
      <c r="I6474">
        <v>15</v>
      </c>
      <c r="J6474">
        <v>2142</v>
      </c>
      <c r="K6474" s="1" t="s">
        <v>109</v>
      </c>
      <c r="L6474" s="1" t="s">
        <v>23</v>
      </c>
      <c r="M6474">
        <v>2.181</v>
      </c>
      <c r="N6474">
        <v>32708.3</v>
      </c>
      <c r="O6474">
        <v>32.707999999999998</v>
      </c>
      <c r="P6474" s="2">
        <v>45413</v>
      </c>
      <c r="Q6474">
        <v>1</v>
      </c>
      <c r="R6474" s="1" t="s">
        <v>40</v>
      </c>
    </row>
    <row r="6475" spans="1:18" x14ac:dyDescent="0.25">
      <c r="A6475">
        <v>2024</v>
      </c>
      <c r="B6475">
        <v>6</v>
      </c>
      <c r="C6475" s="1" t="s">
        <v>29</v>
      </c>
      <c r="D6475" s="1" t="s">
        <v>19</v>
      </c>
      <c r="E6475" s="1" t="s">
        <v>108</v>
      </c>
      <c r="F6475">
        <v>2016</v>
      </c>
      <c r="G6475">
        <v>8</v>
      </c>
      <c r="H6475" s="1" t="s">
        <v>21</v>
      </c>
      <c r="I6475">
        <v>15</v>
      </c>
      <c r="J6475">
        <v>2142</v>
      </c>
      <c r="K6475" s="1" t="s">
        <v>109</v>
      </c>
      <c r="L6475" s="1" t="s">
        <v>23</v>
      </c>
      <c r="M6475">
        <v>2.387</v>
      </c>
      <c r="N6475">
        <v>35808.9</v>
      </c>
      <c r="O6475">
        <v>35.808999999999997</v>
      </c>
      <c r="P6475" s="2">
        <v>45444</v>
      </c>
      <c r="Q6475">
        <v>1</v>
      </c>
      <c r="R6475" s="1" t="s">
        <v>40</v>
      </c>
    </row>
    <row r="6476" spans="1:18" x14ac:dyDescent="0.25">
      <c r="A6476">
        <v>2024</v>
      </c>
      <c r="B6476">
        <v>7</v>
      </c>
      <c r="C6476" s="1" t="s">
        <v>30</v>
      </c>
      <c r="D6476" s="1" t="s">
        <v>19</v>
      </c>
      <c r="E6476" s="1" t="s">
        <v>108</v>
      </c>
      <c r="F6476">
        <v>2016</v>
      </c>
      <c r="G6476">
        <v>8</v>
      </c>
      <c r="H6476" s="1" t="s">
        <v>21</v>
      </c>
      <c r="I6476">
        <v>15</v>
      </c>
      <c r="J6476">
        <v>2142</v>
      </c>
      <c r="K6476" s="1" t="s">
        <v>109</v>
      </c>
      <c r="L6476" s="1" t="s">
        <v>23</v>
      </c>
      <c r="M6476">
        <v>2.1869999999999998</v>
      </c>
      <c r="N6476">
        <v>32804.699999999997</v>
      </c>
      <c r="O6476">
        <v>32.805</v>
      </c>
      <c r="P6476" s="2">
        <v>45474</v>
      </c>
      <c r="Q6476">
        <v>1</v>
      </c>
      <c r="R6476" s="1" t="s">
        <v>40</v>
      </c>
    </row>
    <row r="6477" spans="1:18" x14ac:dyDescent="0.25">
      <c r="A6477">
        <v>2024</v>
      </c>
      <c r="B6477">
        <v>8</v>
      </c>
      <c r="C6477" s="1" t="s">
        <v>31</v>
      </c>
      <c r="D6477" s="1" t="s">
        <v>19</v>
      </c>
      <c r="E6477" s="1" t="s">
        <v>108</v>
      </c>
      <c r="F6477">
        <v>2016</v>
      </c>
      <c r="G6477">
        <v>8</v>
      </c>
      <c r="H6477" s="1" t="s">
        <v>21</v>
      </c>
      <c r="I6477">
        <v>15</v>
      </c>
      <c r="J6477">
        <v>2142</v>
      </c>
      <c r="K6477" s="1" t="s">
        <v>109</v>
      </c>
      <c r="L6477" s="1" t="s">
        <v>23</v>
      </c>
      <c r="M6477">
        <v>1.9770000000000001</v>
      </c>
      <c r="N6477">
        <v>29656</v>
      </c>
      <c r="O6477">
        <v>29.655999999999999</v>
      </c>
      <c r="P6477" s="2">
        <v>45505</v>
      </c>
      <c r="Q6477">
        <v>1</v>
      </c>
      <c r="R6477" s="1" t="s">
        <v>40</v>
      </c>
    </row>
    <row r="6478" spans="1:18" x14ac:dyDescent="0.25">
      <c r="A6478">
        <v>2024</v>
      </c>
      <c r="B6478">
        <v>9</v>
      </c>
      <c r="C6478" s="1" t="s">
        <v>32</v>
      </c>
      <c r="D6478" s="1" t="s">
        <v>19</v>
      </c>
      <c r="E6478" s="1" t="s">
        <v>108</v>
      </c>
      <c r="F6478">
        <v>2016</v>
      </c>
      <c r="G6478">
        <v>8</v>
      </c>
      <c r="H6478" s="1" t="s">
        <v>21</v>
      </c>
      <c r="I6478">
        <v>15</v>
      </c>
      <c r="J6478">
        <v>2142</v>
      </c>
      <c r="K6478" s="1" t="s">
        <v>109</v>
      </c>
      <c r="L6478" s="1" t="s">
        <v>23</v>
      </c>
      <c r="M6478">
        <v>2.1389999999999998</v>
      </c>
      <c r="N6478">
        <v>32081.8</v>
      </c>
      <c r="O6478">
        <v>32.082000000000001</v>
      </c>
      <c r="P6478" s="2">
        <v>45536</v>
      </c>
      <c r="Q6478">
        <v>1</v>
      </c>
      <c r="R6478" s="1" t="s">
        <v>40</v>
      </c>
    </row>
    <row r="6479" spans="1:18" x14ac:dyDescent="0.25">
      <c r="A6479">
        <v>2024</v>
      </c>
      <c r="B6479">
        <v>10</v>
      </c>
      <c r="C6479" s="1" t="s">
        <v>33</v>
      </c>
      <c r="D6479" s="1" t="s">
        <v>19</v>
      </c>
      <c r="E6479" s="1" t="s">
        <v>108</v>
      </c>
      <c r="F6479">
        <v>2016</v>
      </c>
      <c r="G6479">
        <v>8</v>
      </c>
      <c r="H6479" s="1" t="s">
        <v>21</v>
      </c>
      <c r="I6479">
        <v>15</v>
      </c>
      <c r="J6479">
        <v>2142</v>
      </c>
      <c r="K6479" s="1" t="s">
        <v>109</v>
      </c>
      <c r="L6479" s="1" t="s">
        <v>23</v>
      </c>
      <c r="M6479">
        <v>1.413</v>
      </c>
      <c r="N6479">
        <v>21189.7</v>
      </c>
      <c r="O6479">
        <v>21.19</v>
      </c>
      <c r="P6479" s="2">
        <v>45566</v>
      </c>
      <c r="Q6479">
        <v>1</v>
      </c>
      <c r="R6479" s="1" t="s">
        <v>40</v>
      </c>
    </row>
    <row r="6480" spans="1:18" x14ac:dyDescent="0.25">
      <c r="A6480">
        <v>2024</v>
      </c>
      <c r="B6480">
        <v>11</v>
      </c>
      <c r="C6480" s="1" t="s">
        <v>34</v>
      </c>
      <c r="D6480" s="1" t="s">
        <v>19</v>
      </c>
      <c r="E6480" s="1" t="s">
        <v>108</v>
      </c>
      <c r="F6480">
        <v>2016</v>
      </c>
      <c r="G6480">
        <v>8</v>
      </c>
      <c r="H6480" s="1" t="s">
        <v>21</v>
      </c>
      <c r="I6480">
        <v>15</v>
      </c>
      <c r="J6480">
        <v>2142</v>
      </c>
      <c r="K6480" s="1" t="s">
        <v>109</v>
      </c>
      <c r="L6480" s="1" t="s">
        <v>23</v>
      </c>
      <c r="M6480">
        <v>1.002</v>
      </c>
      <c r="N6480">
        <v>15036.8</v>
      </c>
      <c r="O6480">
        <v>15.037000000000001</v>
      </c>
      <c r="P6480" s="2">
        <v>45597</v>
      </c>
      <c r="Q6480">
        <v>1</v>
      </c>
      <c r="R6480" s="1" t="s">
        <v>40</v>
      </c>
    </row>
    <row r="6481" spans="1:18" x14ac:dyDescent="0.25">
      <c r="A6481">
        <v>2024</v>
      </c>
      <c r="B6481">
        <v>12</v>
      </c>
      <c r="C6481" s="1" t="s">
        <v>35</v>
      </c>
      <c r="D6481" s="1" t="s">
        <v>19</v>
      </c>
      <c r="E6481" s="1" t="s">
        <v>108</v>
      </c>
      <c r="F6481">
        <v>2016</v>
      </c>
      <c r="G6481">
        <v>8</v>
      </c>
      <c r="H6481" s="1" t="s">
        <v>21</v>
      </c>
      <c r="I6481">
        <v>15</v>
      </c>
      <c r="J6481">
        <v>2142</v>
      </c>
      <c r="K6481" s="1" t="s">
        <v>109</v>
      </c>
      <c r="L6481" s="1" t="s">
        <v>23</v>
      </c>
      <c r="M6481">
        <v>1.2829999999999999</v>
      </c>
      <c r="N6481">
        <v>19245.900000000001</v>
      </c>
      <c r="O6481">
        <v>19.245999999999999</v>
      </c>
      <c r="P6481" s="2">
        <v>45627</v>
      </c>
      <c r="Q6481">
        <v>1</v>
      </c>
      <c r="R6481" s="1" t="s">
        <v>40</v>
      </c>
    </row>
    <row r="6482" spans="1:18" x14ac:dyDescent="0.25">
      <c r="A6482">
        <v>2024</v>
      </c>
      <c r="B6482">
        <v>1</v>
      </c>
      <c r="C6482" s="1" t="s">
        <v>18</v>
      </c>
      <c r="D6482" s="1" t="s">
        <v>19</v>
      </c>
      <c r="E6482" s="1" t="s">
        <v>110</v>
      </c>
      <c r="F6482">
        <v>2016</v>
      </c>
      <c r="G6482">
        <v>8</v>
      </c>
      <c r="H6482" s="1" t="s">
        <v>21</v>
      </c>
      <c r="I6482">
        <v>24</v>
      </c>
      <c r="J6482">
        <v>3324</v>
      </c>
      <c r="K6482" s="1" t="s">
        <v>111</v>
      </c>
      <c r="L6482" s="1" t="s">
        <v>23</v>
      </c>
      <c r="M6482">
        <v>1.389</v>
      </c>
      <c r="N6482">
        <v>33331.4</v>
      </c>
      <c r="O6482">
        <v>33.331000000000003</v>
      </c>
      <c r="P6482" s="2">
        <v>45292</v>
      </c>
      <c r="Q6482">
        <v>1</v>
      </c>
      <c r="R6482" s="1" t="s">
        <v>40</v>
      </c>
    </row>
    <row r="6483" spans="1:18" x14ac:dyDescent="0.25">
      <c r="A6483">
        <v>2024</v>
      </c>
      <c r="B6483">
        <v>2</v>
      </c>
      <c r="C6483" s="1" t="s">
        <v>25</v>
      </c>
      <c r="D6483" s="1" t="s">
        <v>19</v>
      </c>
      <c r="E6483" s="1" t="s">
        <v>110</v>
      </c>
      <c r="F6483">
        <v>2016</v>
      </c>
      <c r="G6483">
        <v>8</v>
      </c>
      <c r="H6483" s="1" t="s">
        <v>21</v>
      </c>
      <c r="I6483">
        <v>24</v>
      </c>
      <c r="J6483">
        <v>3324</v>
      </c>
      <c r="K6483" s="1" t="s">
        <v>111</v>
      </c>
      <c r="L6483" s="1" t="s">
        <v>23</v>
      </c>
      <c r="M6483">
        <v>1.472</v>
      </c>
      <c r="N6483">
        <v>35325.800000000003</v>
      </c>
      <c r="O6483">
        <v>35.326000000000001</v>
      </c>
      <c r="P6483" s="2">
        <v>45323</v>
      </c>
      <c r="Q6483">
        <v>1</v>
      </c>
      <c r="R6483" s="1" t="s">
        <v>40</v>
      </c>
    </row>
    <row r="6484" spans="1:18" x14ac:dyDescent="0.25">
      <c r="A6484">
        <v>2024</v>
      </c>
      <c r="B6484">
        <v>3</v>
      </c>
      <c r="C6484" s="1" t="s">
        <v>26</v>
      </c>
      <c r="D6484" s="1" t="s">
        <v>19</v>
      </c>
      <c r="E6484" s="1" t="s">
        <v>110</v>
      </c>
      <c r="F6484">
        <v>2016</v>
      </c>
      <c r="G6484">
        <v>8</v>
      </c>
      <c r="H6484" s="1" t="s">
        <v>21</v>
      </c>
      <c r="I6484">
        <v>24</v>
      </c>
      <c r="J6484">
        <v>3324</v>
      </c>
      <c r="K6484" s="1" t="s">
        <v>111</v>
      </c>
      <c r="L6484" s="1" t="s">
        <v>23</v>
      </c>
      <c r="M6484">
        <v>1.992</v>
      </c>
      <c r="N6484">
        <v>47815.7</v>
      </c>
      <c r="O6484">
        <v>47.816000000000003</v>
      </c>
      <c r="P6484" s="2">
        <v>45352</v>
      </c>
      <c r="Q6484">
        <v>1</v>
      </c>
      <c r="R6484" s="1" t="s">
        <v>40</v>
      </c>
    </row>
    <row r="6485" spans="1:18" x14ac:dyDescent="0.25">
      <c r="A6485">
        <v>2024</v>
      </c>
      <c r="B6485">
        <v>4</v>
      </c>
      <c r="C6485" s="1" t="s">
        <v>27</v>
      </c>
      <c r="D6485" s="1" t="s">
        <v>19</v>
      </c>
      <c r="E6485" s="1" t="s">
        <v>110</v>
      </c>
      <c r="F6485">
        <v>2016</v>
      </c>
      <c r="G6485">
        <v>8</v>
      </c>
      <c r="H6485" s="1" t="s">
        <v>21</v>
      </c>
      <c r="I6485">
        <v>24</v>
      </c>
      <c r="J6485">
        <v>3324</v>
      </c>
      <c r="K6485" s="1" t="s">
        <v>111</v>
      </c>
      <c r="L6485" s="1" t="s">
        <v>23</v>
      </c>
      <c r="M6485">
        <v>1.82</v>
      </c>
      <c r="N6485">
        <v>43677.4</v>
      </c>
      <c r="O6485">
        <v>43.677</v>
      </c>
      <c r="P6485" s="2">
        <v>45383</v>
      </c>
      <c r="Q6485">
        <v>1</v>
      </c>
      <c r="R6485" s="1" t="s">
        <v>40</v>
      </c>
    </row>
    <row r="6486" spans="1:18" x14ac:dyDescent="0.25">
      <c r="A6486">
        <v>2024</v>
      </c>
      <c r="B6486">
        <v>5</v>
      </c>
      <c r="C6486" s="1" t="s">
        <v>28</v>
      </c>
      <c r="D6486" s="1" t="s">
        <v>19</v>
      </c>
      <c r="E6486" s="1" t="s">
        <v>110</v>
      </c>
      <c r="F6486">
        <v>2016</v>
      </c>
      <c r="G6486">
        <v>8</v>
      </c>
      <c r="H6486" s="1" t="s">
        <v>21</v>
      </c>
      <c r="I6486">
        <v>24</v>
      </c>
      <c r="J6486">
        <v>3324</v>
      </c>
      <c r="K6486" s="1" t="s">
        <v>111</v>
      </c>
      <c r="L6486" s="1" t="s">
        <v>23</v>
      </c>
      <c r="M6486">
        <v>2.1150000000000002</v>
      </c>
      <c r="N6486">
        <v>50757.5</v>
      </c>
      <c r="O6486">
        <v>50.756999999999998</v>
      </c>
      <c r="P6486" s="2">
        <v>45413</v>
      </c>
      <c r="Q6486">
        <v>1</v>
      </c>
      <c r="R6486" s="1" t="s">
        <v>40</v>
      </c>
    </row>
    <row r="6487" spans="1:18" x14ac:dyDescent="0.25">
      <c r="A6487">
        <v>2024</v>
      </c>
      <c r="B6487">
        <v>6</v>
      </c>
      <c r="C6487" s="1" t="s">
        <v>29</v>
      </c>
      <c r="D6487" s="1" t="s">
        <v>19</v>
      </c>
      <c r="E6487" s="1" t="s">
        <v>110</v>
      </c>
      <c r="F6487">
        <v>2016</v>
      </c>
      <c r="G6487">
        <v>8</v>
      </c>
      <c r="H6487" s="1" t="s">
        <v>21</v>
      </c>
      <c r="I6487">
        <v>24</v>
      </c>
      <c r="J6487">
        <v>3324</v>
      </c>
      <c r="K6487" s="1" t="s">
        <v>111</v>
      </c>
      <c r="L6487" s="1" t="s">
        <v>23</v>
      </c>
      <c r="M6487">
        <v>2.3149999999999999</v>
      </c>
      <c r="N6487">
        <v>55569</v>
      </c>
      <c r="O6487">
        <v>55.569000000000003</v>
      </c>
      <c r="P6487" s="2">
        <v>45444</v>
      </c>
      <c r="Q6487">
        <v>1</v>
      </c>
      <c r="R6487" s="1" t="s">
        <v>40</v>
      </c>
    </row>
    <row r="6488" spans="1:18" x14ac:dyDescent="0.25">
      <c r="A6488">
        <v>2024</v>
      </c>
      <c r="B6488">
        <v>7</v>
      </c>
      <c r="C6488" s="1" t="s">
        <v>30</v>
      </c>
      <c r="D6488" s="1" t="s">
        <v>19</v>
      </c>
      <c r="E6488" s="1" t="s">
        <v>110</v>
      </c>
      <c r="F6488">
        <v>2016</v>
      </c>
      <c r="G6488">
        <v>8</v>
      </c>
      <c r="H6488" s="1" t="s">
        <v>21</v>
      </c>
      <c r="I6488">
        <v>24</v>
      </c>
      <c r="J6488">
        <v>3324</v>
      </c>
      <c r="K6488" s="1" t="s">
        <v>111</v>
      </c>
      <c r="L6488" s="1" t="s">
        <v>23</v>
      </c>
      <c r="M6488">
        <v>2.121</v>
      </c>
      <c r="N6488">
        <v>50907.1</v>
      </c>
      <c r="O6488">
        <v>50.906999999999996</v>
      </c>
      <c r="P6488" s="2">
        <v>45474</v>
      </c>
      <c r="Q6488">
        <v>1</v>
      </c>
      <c r="R6488" s="1" t="s">
        <v>40</v>
      </c>
    </row>
    <row r="6489" spans="1:18" x14ac:dyDescent="0.25">
      <c r="A6489">
        <v>2024</v>
      </c>
      <c r="B6489">
        <v>8</v>
      </c>
      <c r="C6489" s="1" t="s">
        <v>31</v>
      </c>
      <c r="D6489" s="1" t="s">
        <v>19</v>
      </c>
      <c r="E6489" s="1" t="s">
        <v>110</v>
      </c>
      <c r="F6489">
        <v>2016</v>
      </c>
      <c r="G6489">
        <v>8</v>
      </c>
      <c r="H6489" s="1" t="s">
        <v>21</v>
      </c>
      <c r="I6489">
        <v>24</v>
      </c>
      <c r="J6489">
        <v>3324</v>
      </c>
      <c r="K6489" s="1" t="s">
        <v>111</v>
      </c>
      <c r="L6489" s="1" t="s">
        <v>23</v>
      </c>
      <c r="M6489">
        <v>1.9179999999999999</v>
      </c>
      <c r="N6489">
        <v>46020.800000000003</v>
      </c>
      <c r="O6489">
        <v>46.021000000000001</v>
      </c>
      <c r="P6489" s="2">
        <v>45505</v>
      </c>
      <c r="Q6489">
        <v>1</v>
      </c>
      <c r="R6489" s="1" t="s">
        <v>40</v>
      </c>
    </row>
    <row r="6490" spans="1:18" x14ac:dyDescent="0.25">
      <c r="A6490">
        <v>2024</v>
      </c>
      <c r="B6490">
        <v>9</v>
      </c>
      <c r="C6490" s="1" t="s">
        <v>32</v>
      </c>
      <c r="D6490" s="1" t="s">
        <v>19</v>
      </c>
      <c r="E6490" s="1" t="s">
        <v>110</v>
      </c>
      <c r="F6490">
        <v>2016</v>
      </c>
      <c r="G6490">
        <v>8</v>
      </c>
      <c r="H6490" s="1" t="s">
        <v>21</v>
      </c>
      <c r="I6490">
        <v>24</v>
      </c>
      <c r="J6490">
        <v>3324</v>
      </c>
      <c r="K6490" s="1" t="s">
        <v>111</v>
      </c>
      <c r="L6490" s="1" t="s">
        <v>23</v>
      </c>
      <c r="M6490">
        <v>2.0739999999999998</v>
      </c>
      <c r="N6490">
        <v>49785.2</v>
      </c>
      <c r="O6490">
        <v>49.784999999999997</v>
      </c>
      <c r="P6490" s="2">
        <v>45536</v>
      </c>
      <c r="Q6490">
        <v>1</v>
      </c>
      <c r="R6490" s="1" t="s">
        <v>40</v>
      </c>
    </row>
    <row r="6491" spans="1:18" x14ac:dyDescent="0.25">
      <c r="A6491">
        <v>2024</v>
      </c>
      <c r="B6491">
        <v>10</v>
      </c>
      <c r="C6491" s="1" t="s">
        <v>33</v>
      </c>
      <c r="D6491" s="1" t="s">
        <v>19</v>
      </c>
      <c r="E6491" s="1" t="s">
        <v>110</v>
      </c>
      <c r="F6491">
        <v>2016</v>
      </c>
      <c r="G6491">
        <v>8</v>
      </c>
      <c r="H6491" s="1" t="s">
        <v>21</v>
      </c>
      <c r="I6491">
        <v>24</v>
      </c>
      <c r="J6491">
        <v>3324</v>
      </c>
      <c r="K6491" s="1" t="s">
        <v>111</v>
      </c>
      <c r="L6491" s="1" t="s">
        <v>23</v>
      </c>
      <c r="M6491">
        <v>1.37</v>
      </c>
      <c r="N6491">
        <v>32882.699999999997</v>
      </c>
      <c r="O6491">
        <v>32.883000000000003</v>
      </c>
      <c r="P6491" s="2">
        <v>45566</v>
      </c>
      <c r="Q6491">
        <v>1</v>
      </c>
      <c r="R6491" s="1" t="s">
        <v>40</v>
      </c>
    </row>
    <row r="6492" spans="1:18" x14ac:dyDescent="0.25">
      <c r="A6492">
        <v>2024</v>
      </c>
      <c r="B6492">
        <v>11</v>
      </c>
      <c r="C6492" s="1" t="s">
        <v>34</v>
      </c>
      <c r="D6492" s="1" t="s">
        <v>19</v>
      </c>
      <c r="E6492" s="1" t="s">
        <v>110</v>
      </c>
      <c r="F6492">
        <v>2016</v>
      </c>
      <c r="G6492">
        <v>8</v>
      </c>
      <c r="H6492" s="1" t="s">
        <v>21</v>
      </c>
      <c r="I6492">
        <v>24</v>
      </c>
      <c r="J6492">
        <v>3324</v>
      </c>
      <c r="K6492" s="1" t="s">
        <v>111</v>
      </c>
      <c r="L6492" s="1" t="s">
        <v>23</v>
      </c>
      <c r="M6492">
        <v>0.97199999999999998</v>
      </c>
      <c r="N6492">
        <v>23334.5</v>
      </c>
      <c r="O6492">
        <v>23.334</v>
      </c>
      <c r="P6492" s="2">
        <v>45597</v>
      </c>
      <c r="Q6492">
        <v>1</v>
      </c>
      <c r="R6492" s="1" t="s">
        <v>40</v>
      </c>
    </row>
    <row r="6493" spans="1:18" x14ac:dyDescent="0.25">
      <c r="A6493">
        <v>2024</v>
      </c>
      <c r="B6493">
        <v>12</v>
      </c>
      <c r="C6493" s="1" t="s">
        <v>35</v>
      </c>
      <c r="D6493" s="1" t="s">
        <v>19</v>
      </c>
      <c r="E6493" s="1" t="s">
        <v>110</v>
      </c>
      <c r="F6493">
        <v>2016</v>
      </c>
      <c r="G6493">
        <v>8</v>
      </c>
      <c r="H6493" s="1" t="s">
        <v>21</v>
      </c>
      <c r="I6493">
        <v>24</v>
      </c>
      <c r="J6493">
        <v>3324</v>
      </c>
      <c r="K6493" s="1" t="s">
        <v>111</v>
      </c>
      <c r="L6493" s="1" t="s">
        <v>23</v>
      </c>
      <c r="M6493">
        <v>1.244</v>
      </c>
      <c r="N6493">
        <v>29866.1</v>
      </c>
      <c r="O6493">
        <v>29.866</v>
      </c>
      <c r="P6493" s="2">
        <v>45627</v>
      </c>
      <c r="Q6493">
        <v>1</v>
      </c>
      <c r="R6493" s="1" t="s">
        <v>40</v>
      </c>
    </row>
    <row r="6494" spans="1:18" x14ac:dyDescent="0.25">
      <c r="A6494">
        <v>2024</v>
      </c>
      <c r="B6494">
        <v>1</v>
      </c>
      <c r="C6494" s="1" t="s">
        <v>18</v>
      </c>
      <c r="D6494" s="1" t="s">
        <v>19</v>
      </c>
      <c r="E6494" s="1" t="s">
        <v>112</v>
      </c>
      <c r="F6494">
        <v>2016</v>
      </c>
      <c r="G6494">
        <v>8</v>
      </c>
      <c r="H6494" s="1" t="s">
        <v>21</v>
      </c>
      <c r="I6494">
        <v>20</v>
      </c>
      <c r="J6494">
        <v>2663</v>
      </c>
      <c r="K6494" s="1" t="s">
        <v>113</v>
      </c>
      <c r="L6494" s="1" t="s">
        <v>23</v>
      </c>
      <c r="M6494">
        <v>1.335</v>
      </c>
      <c r="N6494">
        <v>26703.200000000001</v>
      </c>
      <c r="O6494">
        <v>26.702999999999999</v>
      </c>
      <c r="P6494" s="2">
        <v>45292</v>
      </c>
      <c r="Q6494">
        <v>1</v>
      </c>
      <c r="R6494" s="1" t="s">
        <v>40</v>
      </c>
    </row>
    <row r="6495" spans="1:18" x14ac:dyDescent="0.25">
      <c r="A6495">
        <v>2024</v>
      </c>
      <c r="B6495">
        <v>2</v>
      </c>
      <c r="C6495" s="1" t="s">
        <v>25</v>
      </c>
      <c r="D6495" s="1" t="s">
        <v>19</v>
      </c>
      <c r="E6495" s="1" t="s">
        <v>112</v>
      </c>
      <c r="F6495">
        <v>2016</v>
      </c>
      <c r="G6495">
        <v>8</v>
      </c>
      <c r="H6495" s="1" t="s">
        <v>21</v>
      </c>
      <c r="I6495">
        <v>20</v>
      </c>
      <c r="J6495">
        <v>2663</v>
      </c>
      <c r="K6495" s="1" t="s">
        <v>113</v>
      </c>
      <c r="L6495" s="1" t="s">
        <v>23</v>
      </c>
      <c r="M6495">
        <v>1.415</v>
      </c>
      <c r="N6495">
        <v>28301</v>
      </c>
      <c r="O6495">
        <v>28.300999999999998</v>
      </c>
      <c r="P6495" s="2">
        <v>45323</v>
      </c>
      <c r="Q6495">
        <v>1</v>
      </c>
      <c r="R6495" s="1" t="s">
        <v>40</v>
      </c>
    </row>
    <row r="6496" spans="1:18" x14ac:dyDescent="0.25">
      <c r="A6496">
        <v>2024</v>
      </c>
      <c r="B6496">
        <v>3</v>
      </c>
      <c r="C6496" s="1" t="s">
        <v>26</v>
      </c>
      <c r="D6496" s="1" t="s">
        <v>19</v>
      </c>
      <c r="E6496" s="1" t="s">
        <v>112</v>
      </c>
      <c r="F6496">
        <v>2016</v>
      </c>
      <c r="G6496">
        <v>8</v>
      </c>
      <c r="H6496" s="1" t="s">
        <v>21</v>
      </c>
      <c r="I6496">
        <v>20</v>
      </c>
      <c r="J6496">
        <v>2663</v>
      </c>
      <c r="K6496" s="1" t="s">
        <v>113</v>
      </c>
      <c r="L6496" s="1" t="s">
        <v>23</v>
      </c>
      <c r="M6496">
        <v>1.915</v>
      </c>
      <c r="N6496">
        <v>38307.300000000003</v>
      </c>
      <c r="O6496">
        <v>38.307000000000002</v>
      </c>
      <c r="P6496" s="2">
        <v>45352</v>
      </c>
      <c r="Q6496">
        <v>1</v>
      </c>
      <c r="R6496" s="1" t="s">
        <v>40</v>
      </c>
    </row>
    <row r="6497" spans="1:18" x14ac:dyDescent="0.25">
      <c r="A6497">
        <v>2024</v>
      </c>
      <c r="B6497">
        <v>4</v>
      </c>
      <c r="C6497" s="1" t="s">
        <v>27</v>
      </c>
      <c r="D6497" s="1" t="s">
        <v>19</v>
      </c>
      <c r="E6497" s="1" t="s">
        <v>112</v>
      </c>
      <c r="F6497">
        <v>2016</v>
      </c>
      <c r="G6497">
        <v>8</v>
      </c>
      <c r="H6497" s="1" t="s">
        <v>21</v>
      </c>
      <c r="I6497">
        <v>20</v>
      </c>
      <c r="J6497">
        <v>2663</v>
      </c>
      <c r="K6497" s="1" t="s">
        <v>113</v>
      </c>
      <c r="L6497" s="1" t="s">
        <v>23</v>
      </c>
      <c r="M6497">
        <v>1.75</v>
      </c>
      <c r="N6497">
        <v>34991.800000000003</v>
      </c>
      <c r="O6497">
        <v>34.991999999999997</v>
      </c>
      <c r="P6497" s="2">
        <v>45383</v>
      </c>
      <c r="Q6497">
        <v>1</v>
      </c>
      <c r="R6497" s="1" t="s">
        <v>40</v>
      </c>
    </row>
    <row r="6498" spans="1:18" x14ac:dyDescent="0.25">
      <c r="A6498">
        <v>2024</v>
      </c>
      <c r="B6498">
        <v>5</v>
      </c>
      <c r="C6498" s="1" t="s">
        <v>28</v>
      </c>
      <c r="D6498" s="1" t="s">
        <v>19</v>
      </c>
      <c r="E6498" s="1" t="s">
        <v>112</v>
      </c>
      <c r="F6498">
        <v>2016</v>
      </c>
      <c r="G6498">
        <v>8</v>
      </c>
      <c r="H6498" s="1" t="s">
        <v>21</v>
      </c>
      <c r="I6498">
        <v>20</v>
      </c>
      <c r="J6498">
        <v>2663</v>
      </c>
      <c r="K6498" s="1" t="s">
        <v>113</v>
      </c>
      <c r="L6498" s="1" t="s">
        <v>23</v>
      </c>
      <c r="M6498">
        <v>2.0329999999999999</v>
      </c>
      <c r="N6498">
        <v>40664</v>
      </c>
      <c r="O6498">
        <v>40.664000000000001</v>
      </c>
      <c r="P6498" s="2">
        <v>45413</v>
      </c>
      <c r="Q6498">
        <v>1</v>
      </c>
      <c r="R6498" s="1" t="s">
        <v>40</v>
      </c>
    </row>
    <row r="6499" spans="1:18" x14ac:dyDescent="0.25">
      <c r="A6499">
        <v>2024</v>
      </c>
      <c r="B6499">
        <v>6</v>
      </c>
      <c r="C6499" s="1" t="s">
        <v>29</v>
      </c>
      <c r="D6499" s="1" t="s">
        <v>19</v>
      </c>
      <c r="E6499" s="1" t="s">
        <v>112</v>
      </c>
      <c r="F6499">
        <v>2016</v>
      </c>
      <c r="G6499">
        <v>8</v>
      </c>
      <c r="H6499" s="1" t="s">
        <v>21</v>
      </c>
      <c r="I6499">
        <v>20</v>
      </c>
      <c r="J6499">
        <v>2663</v>
      </c>
      <c r="K6499" s="1" t="s">
        <v>113</v>
      </c>
      <c r="L6499" s="1" t="s">
        <v>23</v>
      </c>
      <c r="M6499">
        <v>2.226</v>
      </c>
      <c r="N6499">
        <v>44518.7</v>
      </c>
      <c r="O6499">
        <v>44.518999999999998</v>
      </c>
      <c r="P6499" s="2">
        <v>45444</v>
      </c>
      <c r="Q6499">
        <v>1</v>
      </c>
      <c r="R6499" s="1" t="s">
        <v>40</v>
      </c>
    </row>
    <row r="6500" spans="1:18" x14ac:dyDescent="0.25">
      <c r="A6500">
        <v>2024</v>
      </c>
      <c r="B6500">
        <v>7</v>
      </c>
      <c r="C6500" s="1" t="s">
        <v>30</v>
      </c>
      <c r="D6500" s="1" t="s">
        <v>19</v>
      </c>
      <c r="E6500" s="1" t="s">
        <v>112</v>
      </c>
      <c r="F6500">
        <v>2016</v>
      </c>
      <c r="G6500">
        <v>8</v>
      </c>
      <c r="H6500" s="1" t="s">
        <v>21</v>
      </c>
      <c r="I6500">
        <v>20</v>
      </c>
      <c r="J6500">
        <v>2663</v>
      </c>
      <c r="K6500" s="1" t="s">
        <v>113</v>
      </c>
      <c r="L6500" s="1" t="s">
        <v>23</v>
      </c>
      <c r="M6500">
        <v>2.0390000000000001</v>
      </c>
      <c r="N6500">
        <v>40783.800000000003</v>
      </c>
      <c r="O6500">
        <v>40.783999999999999</v>
      </c>
      <c r="P6500" s="2">
        <v>45474</v>
      </c>
      <c r="Q6500">
        <v>1</v>
      </c>
      <c r="R6500" s="1" t="s">
        <v>40</v>
      </c>
    </row>
    <row r="6501" spans="1:18" x14ac:dyDescent="0.25">
      <c r="A6501">
        <v>2024</v>
      </c>
      <c r="B6501">
        <v>8</v>
      </c>
      <c r="C6501" s="1" t="s">
        <v>31</v>
      </c>
      <c r="D6501" s="1" t="s">
        <v>19</v>
      </c>
      <c r="E6501" s="1" t="s">
        <v>112</v>
      </c>
      <c r="F6501">
        <v>2016</v>
      </c>
      <c r="G6501">
        <v>8</v>
      </c>
      <c r="H6501" s="1" t="s">
        <v>21</v>
      </c>
      <c r="I6501">
        <v>20</v>
      </c>
      <c r="J6501">
        <v>2663</v>
      </c>
      <c r="K6501" s="1" t="s">
        <v>113</v>
      </c>
      <c r="L6501" s="1" t="s">
        <v>23</v>
      </c>
      <c r="M6501">
        <v>1.843</v>
      </c>
      <c r="N6501">
        <v>36869.199999999997</v>
      </c>
      <c r="O6501">
        <v>36.869</v>
      </c>
      <c r="P6501" s="2">
        <v>45505</v>
      </c>
      <c r="Q6501">
        <v>1</v>
      </c>
      <c r="R6501" s="1" t="s">
        <v>40</v>
      </c>
    </row>
    <row r="6502" spans="1:18" x14ac:dyDescent="0.25">
      <c r="A6502">
        <v>2024</v>
      </c>
      <c r="B6502">
        <v>9</v>
      </c>
      <c r="C6502" s="1" t="s">
        <v>32</v>
      </c>
      <c r="D6502" s="1" t="s">
        <v>19</v>
      </c>
      <c r="E6502" s="1" t="s">
        <v>112</v>
      </c>
      <c r="F6502">
        <v>2016</v>
      </c>
      <c r="G6502">
        <v>8</v>
      </c>
      <c r="H6502" s="1" t="s">
        <v>21</v>
      </c>
      <c r="I6502">
        <v>20</v>
      </c>
      <c r="J6502">
        <v>2663</v>
      </c>
      <c r="K6502" s="1" t="s">
        <v>113</v>
      </c>
      <c r="L6502" s="1" t="s">
        <v>23</v>
      </c>
      <c r="M6502">
        <v>1.994</v>
      </c>
      <c r="N6502">
        <v>39885.1</v>
      </c>
      <c r="O6502">
        <v>39.884999999999998</v>
      </c>
      <c r="P6502" s="2">
        <v>45536</v>
      </c>
      <c r="Q6502">
        <v>1</v>
      </c>
      <c r="R6502" s="1" t="s">
        <v>40</v>
      </c>
    </row>
    <row r="6503" spans="1:18" x14ac:dyDescent="0.25">
      <c r="A6503">
        <v>2024</v>
      </c>
      <c r="B6503">
        <v>10</v>
      </c>
      <c r="C6503" s="1" t="s">
        <v>33</v>
      </c>
      <c r="D6503" s="1" t="s">
        <v>19</v>
      </c>
      <c r="E6503" s="1" t="s">
        <v>112</v>
      </c>
      <c r="F6503">
        <v>2016</v>
      </c>
      <c r="G6503">
        <v>8</v>
      </c>
      <c r="H6503" s="1" t="s">
        <v>21</v>
      </c>
      <c r="I6503">
        <v>20</v>
      </c>
      <c r="J6503">
        <v>2663</v>
      </c>
      <c r="K6503" s="1" t="s">
        <v>113</v>
      </c>
      <c r="L6503" s="1" t="s">
        <v>23</v>
      </c>
      <c r="M6503">
        <v>1.3169999999999999</v>
      </c>
      <c r="N6503">
        <v>26343.7</v>
      </c>
      <c r="O6503">
        <v>26.344000000000001</v>
      </c>
      <c r="P6503" s="2">
        <v>45566</v>
      </c>
      <c r="Q6503">
        <v>1</v>
      </c>
      <c r="R6503" s="1" t="s">
        <v>40</v>
      </c>
    </row>
    <row r="6504" spans="1:18" x14ac:dyDescent="0.25">
      <c r="A6504">
        <v>2024</v>
      </c>
      <c r="B6504">
        <v>11</v>
      </c>
      <c r="C6504" s="1" t="s">
        <v>34</v>
      </c>
      <c r="D6504" s="1" t="s">
        <v>19</v>
      </c>
      <c r="E6504" s="1" t="s">
        <v>112</v>
      </c>
      <c r="F6504">
        <v>2016</v>
      </c>
      <c r="G6504">
        <v>8</v>
      </c>
      <c r="H6504" s="1" t="s">
        <v>21</v>
      </c>
      <c r="I6504">
        <v>20</v>
      </c>
      <c r="J6504">
        <v>2663</v>
      </c>
      <c r="K6504" s="1" t="s">
        <v>113</v>
      </c>
      <c r="L6504" s="1" t="s">
        <v>23</v>
      </c>
      <c r="M6504">
        <v>0.93500000000000005</v>
      </c>
      <c r="N6504">
        <v>18694.3</v>
      </c>
      <c r="O6504">
        <v>18.693999999999999</v>
      </c>
      <c r="P6504" s="2">
        <v>45597</v>
      </c>
      <c r="Q6504">
        <v>1</v>
      </c>
      <c r="R6504" s="1" t="s">
        <v>40</v>
      </c>
    </row>
    <row r="6505" spans="1:18" x14ac:dyDescent="0.25">
      <c r="A6505">
        <v>2024</v>
      </c>
      <c r="B6505">
        <v>12</v>
      </c>
      <c r="C6505" s="1" t="s">
        <v>35</v>
      </c>
      <c r="D6505" s="1" t="s">
        <v>19</v>
      </c>
      <c r="E6505" s="1" t="s">
        <v>112</v>
      </c>
      <c r="F6505">
        <v>2016</v>
      </c>
      <c r="G6505">
        <v>8</v>
      </c>
      <c r="H6505" s="1" t="s">
        <v>21</v>
      </c>
      <c r="I6505">
        <v>20</v>
      </c>
      <c r="J6505">
        <v>2663</v>
      </c>
      <c r="K6505" s="1" t="s">
        <v>113</v>
      </c>
      <c r="L6505" s="1" t="s">
        <v>23</v>
      </c>
      <c r="M6505">
        <v>1.196</v>
      </c>
      <c r="N6505">
        <v>23927.1</v>
      </c>
      <c r="O6505">
        <v>23.927</v>
      </c>
      <c r="P6505" s="2">
        <v>45627</v>
      </c>
      <c r="Q6505">
        <v>1</v>
      </c>
      <c r="R6505" s="1" t="s">
        <v>40</v>
      </c>
    </row>
    <row r="6506" spans="1:18" x14ac:dyDescent="0.25">
      <c r="A6506">
        <v>2024</v>
      </c>
      <c r="B6506">
        <v>1</v>
      </c>
      <c r="C6506" s="1" t="s">
        <v>18</v>
      </c>
      <c r="D6506" s="1" t="s">
        <v>19</v>
      </c>
      <c r="E6506" s="1" t="s">
        <v>114</v>
      </c>
      <c r="F6506">
        <v>2016</v>
      </c>
      <c r="G6506">
        <v>8</v>
      </c>
      <c r="H6506" s="1" t="s">
        <v>21</v>
      </c>
      <c r="I6506">
        <v>14</v>
      </c>
      <c r="J6506">
        <v>1746</v>
      </c>
      <c r="K6506" s="1" t="s">
        <v>115</v>
      </c>
      <c r="L6506" s="1" t="s">
        <v>23</v>
      </c>
      <c r="M6506">
        <v>1.2509999999999999</v>
      </c>
      <c r="N6506">
        <v>17508</v>
      </c>
      <c r="O6506">
        <v>17.507999999999999</v>
      </c>
      <c r="P6506" s="2">
        <v>45292</v>
      </c>
      <c r="Q6506">
        <v>1</v>
      </c>
      <c r="R6506" s="1" t="s">
        <v>40</v>
      </c>
    </row>
    <row r="6507" spans="1:18" x14ac:dyDescent="0.25">
      <c r="A6507">
        <v>2024</v>
      </c>
      <c r="B6507">
        <v>2</v>
      </c>
      <c r="C6507" s="1" t="s">
        <v>25</v>
      </c>
      <c r="D6507" s="1" t="s">
        <v>19</v>
      </c>
      <c r="E6507" s="1" t="s">
        <v>114</v>
      </c>
      <c r="F6507">
        <v>2016</v>
      </c>
      <c r="G6507">
        <v>8</v>
      </c>
      <c r="H6507" s="1" t="s">
        <v>21</v>
      </c>
      <c r="I6507">
        <v>14</v>
      </c>
      <c r="J6507">
        <v>1746</v>
      </c>
      <c r="K6507" s="1" t="s">
        <v>115</v>
      </c>
      <c r="L6507" s="1" t="s">
        <v>23</v>
      </c>
      <c r="M6507">
        <v>1.325</v>
      </c>
      <c r="N6507">
        <v>18555.599999999999</v>
      </c>
      <c r="O6507">
        <v>18.556000000000001</v>
      </c>
      <c r="P6507" s="2">
        <v>45323</v>
      </c>
      <c r="Q6507">
        <v>1</v>
      </c>
      <c r="R6507" s="1" t="s">
        <v>40</v>
      </c>
    </row>
    <row r="6508" spans="1:18" x14ac:dyDescent="0.25">
      <c r="A6508">
        <v>2024</v>
      </c>
      <c r="B6508">
        <v>3</v>
      </c>
      <c r="C6508" s="1" t="s">
        <v>26</v>
      </c>
      <c r="D6508" s="1" t="s">
        <v>19</v>
      </c>
      <c r="E6508" s="1" t="s">
        <v>114</v>
      </c>
      <c r="F6508">
        <v>2016</v>
      </c>
      <c r="G6508">
        <v>8</v>
      </c>
      <c r="H6508" s="1" t="s">
        <v>21</v>
      </c>
      <c r="I6508">
        <v>14</v>
      </c>
      <c r="J6508">
        <v>1746</v>
      </c>
      <c r="K6508" s="1" t="s">
        <v>115</v>
      </c>
      <c r="L6508" s="1" t="s">
        <v>23</v>
      </c>
      <c r="M6508">
        <v>1.794</v>
      </c>
      <c r="N6508">
        <v>25116.2</v>
      </c>
      <c r="O6508">
        <v>25.116</v>
      </c>
      <c r="P6508" s="2">
        <v>45352</v>
      </c>
      <c r="Q6508">
        <v>1</v>
      </c>
      <c r="R6508" s="1" t="s">
        <v>40</v>
      </c>
    </row>
    <row r="6509" spans="1:18" x14ac:dyDescent="0.25">
      <c r="A6509">
        <v>2024</v>
      </c>
      <c r="B6509">
        <v>4</v>
      </c>
      <c r="C6509" s="1" t="s">
        <v>27</v>
      </c>
      <c r="D6509" s="1" t="s">
        <v>19</v>
      </c>
      <c r="E6509" s="1" t="s">
        <v>114</v>
      </c>
      <c r="F6509">
        <v>2016</v>
      </c>
      <c r="G6509">
        <v>8</v>
      </c>
      <c r="H6509" s="1" t="s">
        <v>21</v>
      </c>
      <c r="I6509">
        <v>14</v>
      </c>
      <c r="J6509">
        <v>1746</v>
      </c>
      <c r="K6509" s="1" t="s">
        <v>115</v>
      </c>
      <c r="L6509" s="1" t="s">
        <v>23</v>
      </c>
      <c r="M6509">
        <v>1.639</v>
      </c>
      <c r="N6509">
        <v>22942.400000000001</v>
      </c>
      <c r="O6509">
        <v>22.942</v>
      </c>
      <c r="P6509" s="2">
        <v>45383</v>
      </c>
      <c r="Q6509">
        <v>1</v>
      </c>
      <c r="R6509" s="1" t="s">
        <v>40</v>
      </c>
    </row>
    <row r="6510" spans="1:18" x14ac:dyDescent="0.25">
      <c r="A6510">
        <v>2024</v>
      </c>
      <c r="B6510">
        <v>5</v>
      </c>
      <c r="C6510" s="1" t="s">
        <v>28</v>
      </c>
      <c r="D6510" s="1" t="s">
        <v>19</v>
      </c>
      <c r="E6510" s="1" t="s">
        <v>114</v>
      </c>
      <c r="F6510">
        <v>2016</v>
      </c>
      <c r="G6510">
        <v>8</v>
      </c>
      <c r="H6510" s="1" t="s">
        <v>21</v>
      </c>
      <c r="I6510">
        <v>14</v>
      </c>
      <c r="J6510">
        <v>1746</v>
      </c>
      <c r="K6510" s="1" t="s">
        <v>115</v>
      </c>
      <c r="L6510" s="1" t="s">
        <v>23</v>
      </c>
      <c r="M6510">
        <v>1.9039999999999999</v>
      </c>
      <c r="N6510">
        <v>26661.4</v>
      </c>
      <c r="O6510">
        <v>26.661000000000001</v>
      </c>
      <c r="P6510" s="2">
        <v>45413</v>
      </c>
      <c r="Q6510">
        <v>1</v>
      </c>
      <c r="R6510" s="1" t="s">
        <v>40</v>
      </c>
    </row>
    <row r="6511" spans="1:18" x14ac:dyDescent="0.25">
      <c r="A6511">
        <v>2024</v>
      </c>
      <c r="B6511">
        <v>6</v>
      </c>
      <c r="C6511" s="1" t="s">
        <v>29</v>
      </c>
      <c r="D6511" s="1" t="s">
        <v>19</v>
      </c>
      <c r="E6511" s="1" t="s">
        <v>114</v>
      </c>
      <c r="F6511">
        <v>2016</v>
      </c>
      <c r="G6511">
        <v>8</v>
      </c>
      <c r="H6511" s="1" t="s">
        <v>21</v>
      </c>
      <c r="I6511">
        <v>14</v>
      </c>
      <c r="J6511">
        <v>1746</v>
      </c>
      <c r="K6511" s="1" t="s">
        <v>115</v>
      </c>
      <c r="L6511" s="1" t="s">
        <v>23</v>
      </c>
      <c r="M6511">
        <v>2.085</v>
      </c>
      <c r="N6511">
        <v>29188.799999999999</v>
      </c>
      <c r="O6511">
        <v>29.189</v>
      </c>
      <c r="P6511" s="2">
        <v>45444</v>
      </c>
      <c r="Q6511">
        <v>1</v>
      </c>
      <c r="R6511" s="1" t="s">
        <v>40</v>
      </c>
    </row>
    <row r="6512" spans="1:18" x14ac:dyDescent="0.25">
      <c r="A6512">
        <v>2024</v>
      </c>
      <c r="B6512">
        <v>7</v>
      </c>
      <c r="C6512" s="1" t="s">
        <v>30</v>
      </c>
      <c r="D6512" s="1" t="s">
        <v>19</v>
      </c>
      <c r="E6512" s="1" t="s">
        <v>114</v>
      </c>
      <c r="F6512">
        <v>2016</v>
      </c>
      <c r="G6512">
        <v>8</v>
      </c>
      <c r="H6512" s="1" t="s">
        <v>21</v>
      </c>
      <c r="I6512">
        <v>14</v>
      </c>
      <c r="J6512">
        <v>1746</v>
      </c>
      <c r="K6512" s="1" t="s">
        <v>115</v>
      </c>
      <c r="L6512" s="1" t="s">
        <v>23</v>
      </c>
      <c r="M6512">
        <v>1.91</v>
      </c>
      <c r="N6512">
        <v>26740</v>
      </c>
      <c r="O6512">
        <v>26.74</v>
      </c>
      <c r="P6512" s="2">
        <v>45474</v>
      </c>
      <c r="Q6512">
        <v>1</v>
      </c>
      <c r="R6512" s="1" t="s">
        <v>40</v>
      </c>
    </row>
    <row r="6513" spans="1:18" x14ac:dyDescent="0.25">
      <c r="A6513">
        <v>2024</v>
      </c>
      <c r="B6513">
        <v>8</v>
      </c>
      <c r="C6513" s="1" t="s">
        <v>31</v>
      </c>
      <c r="D6513" s="1" t="s">
        <v>19</v>
      </c>
      <c r="E6513" s="1" t="s">
        <v>114</v>
      </c>
      <c r="F6513">
        <v>2016</v>
      </c>
      <c r="G6513">
        <v>8</v>
      </c>
      <c r="H6513" s="1" t="s">
        <v>21</v>
      </c>
      <c r="I6513">
        <v>14</v>
      </c>
      <c r="J6513">
        <v>1746</v>
      </c>
      <c r="K6513" s="1" t="s">
        <v>115</v>
      </c>
      <c r="L6513" s="1" t="s">
        <v>23</v>
      </c>
      <c r="M6513">
        <v>1.7270000000000001</v>
      </c>
      <c r="N6513">
        <v>24173.4</v>
      </c>
      <c r="O6513">
        <v>24.172999999999998</v>
      </c>
      <c r="P6513" s="2">
        <v>45505</v>
      </c>
      <c r="Q6513">
        <v>1</v>
      </c>
      <c r="R6513" s="1" t="s">
        <v>40</v>
      </c>
    </row>
    <row r="6514" spans="1:18" x14ac:dyDescent="0.25">
      <c r="A6514">
        <v>2024</v>
      </c>
      <c r="B6514">
        <v>9</v>
      </c>
      <c r="C6514" s="1" t="s">
        <v>32</v>
      </c>
      <c r="D6514" s="1" t="s">
        <v>19</v>
      </c>
      <c r="E6514" s="1" t="s">
        <v>114</v>
      </c>
      <c r="F6514">
        <v>2016</v>
      </c>
      <c r="G6514">
        <v>8</v>
      </c>
      <c r="H6514" s="1" t="s">
        <v>21</v>
      </c>
      <c r="I6514">
        <v>14</v>
      </c>
      <c r="J6514">
        <v>1746</v>
      </c>
      <c r="K6514" s="1" t="s">
        <v>115</v>
      </c>
      <c r="L6514" s="1" t="s">
        <v>23</v>
      </c>
      <c r="M6514">
        <v>1.8680000000000001</v>
      </c>
      <c r="N6514">
        <v>26150.7</v>
      </c>
      <c r="O6514">
        <v>26.151</v>
      </c>
      <c r="P6514" s="2">
        <v>45536</v>
      </c>
      <c r="Q6514">
        <v>1</v>
      </c>
      <c r="R6514" s="1" t="s">
        <v>40</v>
      </c>
    </row>
    <row r="6515" spans="1:18" x14ac:dyDescent="0.25">
      <c r="A6515">
        <v>2024</v>
      </c>
      <c r="B6515">
        <v>10</v>
      </c>
      <c r="C6515" s="1" t="s">
        <v>33</v>
      </c>
      <c r="D6515" s="1" t="s">
        <v>19</v>
      </c>
      <c r="E6515" s="1" t="s">
        <v>114</v>
      </c>
      <c r="F6515">
        <v>2016</v>
      </c>
      <c r="G6515">
        <v>8</v>
      </c>
      <c r="H6515" s="1" t="s">
        <v>21</v>
      </c>
      <c r="I6515">
        <v>14</v>
      </c>
      <c r="J6515">
        <v>1746</v>
      </c>
      <c r="K6515" s="1" t="s">
        <v>115</v>
      </c>
      <c r="L6515" s="1" t="s">
        <v>23</v>
      </c>
      <c r="M6515">
        <v>1.234</v>
      </c>
      <c r="N6515">
        <v>17272.3</v>
      </c>
      <c r="O6515">
        <v>17.271999999999998</v>
      </c>
      <c r="P6515" s="2">
        <v>45566</v>
      </c>
      <c r="Q6515">
        <v>1</v>
      </c>
      <c r="R6515" s="1" t="s">
        <v>40</v>
      </c>
    </row>
    <row r="6516" spans="1:18" x14ac:dyDescent="0.25">
      <c r="A6516">
        <v>2024</v>
      </c>
      <c r="B6516">
        <v>11</v>
      </c>
      <c r="C6516" s="1" t="s">
        <v>34</v>
      </c>
      <c r="D6516" s="1" t="s">
        <v>19</v>
      </c>
      <c r="E6516" s="1" t="s">
        <v>114</v>
      </c>
      <c r="F6516">
        <v>2016</v>
      </c>
      <c r="G6516">
        <v>8</v>
      </c>
      <c r="H6516" s="1" t="s">
        <v>21</v>
      </c>
      <c r="I6516">
        <v>14</v>
      </c>
      <c r="J6516">
        <v>1746</v>
      </c>
      <c r="K6516" s="1" t="s">
        <v>115</v>
      </c>
      <c r="L6516" s="1" t="s">
        <v>23</v>
      </c>
      <c r="M6516">
        <v>0.875</v>
      </c>
      <c r="N6516">
        <v>12256.9</v>
      </c>
      <c r="O6516">
        <v>12.257</v>
      </c>
      <c r="P6516" s="2">
        <v>45597</v>
      </c>
      <c r="Q6516">
        <v>1</v>
      </c>
      <c r="R6516" s="1" t="s">
        <v>40</v>
      </c>
    </row>
    <row r="6517" spans="1:18" x14ac:dyDescent="0.25">
      <c r="A6517">
        <v>2024</v>
      </c>
      <c r="B6517">
        <v>12</v>
      </c>
      <c r="C6517" s="1" t="s">
        <v>35</v>
      </c>
      <c r="D6517" s="1" t="s">
        <v>19</v>
      </c>
      <c r="E6517" s="1" t="s">
        <v>114</v>
      </c>
      <c r="F6517">
        <v>2016</v>
      </c>
      <c r="G6517">
        <v>8</v>
      </c>
      <c r="H6517" s="1" t="s">
        <v>21</v>
      </c>
      <c r="I6517">
        <v>14</v>
      </c>
      <c r="J6517">
        <v>1746</v>
      </c>
      <c r="K6517" s="1" t="s">
        <v>115</v>
      </c>
      <c r="L6517" s="1" t="s">
        <v>23</v>
      </c>
      <c r="M6517">
        <v>1.121</v>
      </c>
      <c r="N6517">
        <v>15687.8</v>
      </c>
      <c r="O6517">
        <v>15.688000000000001</v>
      </c>
      <c r="P6517" s="2">
        <v>45627</v>
      </c>
      <c r="Q6517">
        <v>1</v>
      </c>
      <c r="R6517" s="1" t="s">
        <v>40</v>
      </c>
    </row>
    <row r="6518" spans="1:18" x14ac:dyDescent="0.25">
      <c r="A6518">
        <v>2024</v>
      </c>
      <c r="B6518">
        <v>1</v>
      </c>
      <c r="C6518" s="1" t="s">
        <v>18</v>
      </c>
      <c r="D6518" s="1" t="s">
        <v>19</v>
      </c>
      <c r="E6518" s="1" t="s">
        <v>116</v>
      </c>
      <c r="F6518">
        <v>2016</v>
      </c>
      <c r="G6518">
        <v>8</v>
      </c>
      <c r="H6518" s="1" t="s">
        <v>21</v>
      </c>
      <c r="I6518">
        <v>24</v>
      </c>
      <c r="J6518">
        <v>3377</v>
      </c>
      <c r="K6518" s="1" t="s">
        <v>103</v>
      </c>
      <c r="L6518" s="1" t="s">
        <v>23</v>
      </c>
      <c r="M6518">
        <v>1.411</v>
      </c>
      <c r="N6518">
        <v>33862.9</v>
      </c>
      <c r="O6518">
        <v>33.863</v>
      </c>
      <c r="P6518" s="2">
        <v>45292</v>
      </c>
      <c r="Q6518">
        <v>1</v>
      </c>
      <c r="R6518" s="1" t="s">
        <v>40</v>
      </c>
    </row>
    <row r="6519" spans="1:18" x14ac:dyDescent="0.25">
      <c r="A6519">
        <v>2024</v>
      </c>
      <c r="B6519">
        <v>2</v>
      </c>
      <c r="C6519" s="1" t="s">
        <v>25</v>
      </c>
      <c r="D6519" s="1" t="s">
        <v>19</v>
      </c>
      <c r="E6519" s="1" t="s">
        <v>116</v>
      </c>
      <c r="F6519">
        <v>2016</v>
      </c>
      <c r="G6519">
        <v>8</v>
      </c>
      <c r="H6519" s="1" t="s">
        <v>21</v>
      </c>
      <c r="I6519">
        <v>24</v>
      </c>
      <c r="J6519">
        <v>3377</v>
      </c>
      <c r="K6519" s="1" t="s">
        <v>103</v>
      </c>
      <c r="L6519" s="1" t="s">
        <v>23</v>
      </c>
      <c r="M6519">
        <v>1.4950000000000001</v>
      </c>
      <c r="N6519">
        <v>35889.1</v>
      </c>
      <c r="O6519">
        <v>35.889000000000003</v>
      </c>
      <c r="P6519" s="2">
        <v>45323</v>
      </c>
      <c r="Q6519">
        <v>1</v>
      </c>
      <c r="R6519" s="1" t="s">
        <v>40</v>
      </c>
    </row>
    <row r="6520" spans="1:18" x14ac:dyDescent="0.25">
      <c r="A6520">
        <v>2024</v>
      </c>
      <c r="B6520">
        <v>3</v>
      </c>
      <c r="C6520" s="1" t="s">
        <v>26</v>
      </c>
      <c r="D6520" s="1" t="s">
        <v>19</v>
      </c>
      <c r="E6520" s="1" t="s">
        <v>116</v>
      </c>
      <c r="F6520">
        <v>2016</v>
      </c>
      <c r="G6520">
        <v>8</v>
      </c>
      <c r="H6520" s="1" t="s">
        <v>21</v>
      </c>
      <c r="I6520">
        <v>24</v>
      </c>
      <c r="J6520">
        <v>3377</v>
      </c>
      <c r="K6520" s="1" t="s">
        <v>103</v>
      </c>
      <c r="L6520" s="1" t="s">
        <v>23</v>
      </c>
      <c r="M6520">
        <v>2.024</v>
      </c>
      <c r="N6520">
        <v>48578.1</v>
      </c>
      <c r="O6520">
        <v>48.578000000000003</v>
      </c>
      <c r="P6520" s="2">
        <v>45352</v>
      </c>
      <c r="Q6520">
        <v>1</v>
      </c>
      <c r="R6520" s="1" t="s">
        <v>40</v>
      </c>
    </row>
    <row r="6521" spans="1:18" x14ac:dyDescent="0.25">
      <c r="A6521">
        <v>2024</v>
      </c>
      <c r="B6521">
        <v>4</v>
      </c>
      <c r="C6521" s="1" t="s">
        <v>27</v>
      </c>
      <c r="D6521" s="1" t="s">
        <v>19</v>
      </c>
      <c r="E6521" s="1" t="s">
        <v>116</v>
      </c>
      <c r="F6521">
        <v>2016</v>
      </c>
      <c r="G6521">
        <v>8</v>
      </c>
      <c r="H6521" s="1" t="s">
        <v>21</v>
      </c>
      <c r="I6521">
        <v>24</v>
      </c>
      <c r="J6521">
        <v>3377</v>
      </c>
      <c r="K6521" s="1" t="s">
        <v>103</v>
      </c>
      <c r="L6521" s="1" t="s">
        <v>23</v>
      </c>
      <c r="M6521">
        <v>1.849</v>
      </c>
      <c r="N6521">
        <v>44373.8</v>
      </c>
      <c r="O6521">
        <v>44.374000000000002</v>
      </c>
      <c r="P6521" s="2">
        <v>45383</v>
      </c>
      <c r="Q6521">
        <v>1</v>
      </c>
      <c r="R6521" s="1" t="s">
        <v>40</v>
      </c>
    </row>
    <row r="6522" spans="1:18" x14ac:dyDescent="0.25">
      <c r="A6522">
        <v>2024</v>
      </c>
      <c r="B6522">
        <v>5</v>
      </c>
      <c r="C6522" s="1" t="s">
        <v>28</v>
      </c>
      <c r="D6522" s="1" t="s">
        <v>19</v>
      </c>
      <c r="E6522" s="1" t="s">
        <v>116</v>
      </c>
      <c r="F6522">
        <v>2016</v>
      </c>
      <c r="G6522">
        <v>8</v>
      </c>
      <c r="H6522" s="1" t="s">
        <v>21</v>
      </c>
      <c r="I6522">
        <v>24</v>
      </c>
      <c r="J6522">
        <v>3377</v>
      </c>
      <c r="K6522" s="1" t="s">
        <v>103</v>
      </c>
      <c r="L6522" s="1" t="s">
        <v>23</v>
      </c>
      <c r="M6522">
        <v>2.149</v>
      </c>
      <c r="N6522">
        <v>51566.8</v>
      </c>
      <c r="O6522">
        <v>51.567</v>
      </c>
      <c r="P6522" s="2">
        <v>45413</v>
      </c>
      <c r="Q6522">
        <v>1</v>
      </c>
      <c r="R6522" s="1" t="s">
        <v>40</v>
      </c>
    </row>
    <row r="6523" spans="1:18" x14ac:dyDescent="0.25">
      <c r="A6523">
        <v>2024</v>
      </c>
      <c r="B6523">
        <v>6</v>
      </c>
      <c r="C6523" s="1" t="s">
        <v>29</v>
      </c>
      <c r="D6523" s="1" t="s">
        <v>19</v>
      </c>
      <c r="E6523" s="1" t="s">
        <v>116</v>
      </c>
      <c r="F6523">
        <v>2016</v>
      </c>
      <c r="G6523">
        <v>8</v>
      </c>
      <c r="H6523" s="1" t="s">
        <v>21</v>
      </c>
      <c r="I6523">
        <v>24</v>
      </c>
      <c r="J6523">
        <v>3377</v>
      </c>
      <c r="K6523" s="1" t="s">
        <v>103</v>
      </c>
      <c r="L6523" s="1" t="s">
        <v>23</v>
      </c>
      <c r="M6523">
        <v>2.3519999999999999</v>
      </c>
      <c r="N6523">
        <v>56455</v>
      </c>
      <c r="O6523">
        <v>56.454999999999998</v>
      </c>
      <c r="P6523" s="2">
        <v>45444</v>
      </c>
      <c r="Q6523">
        <v>1</v>
      </c>
      <c r="R6523" s="1" t="s">
        <v>40</v>
      </c>
    </row>
    <row r="6524" spans="1:18" x14ac:dyDescent="0.25">
      <c r="A6524">
        <v>2024</v>
      </c>
      <c r="B6524">
        <v>7</v>
      </c>
      <c r="C6524" s="1" t="s">
        <v>30</v>
      </c>
      <c r="D6524" s="1" t="s">
        <v>19</v>
      </c>
      <c r="E6524" s="1" t="s">
        <v>116</v>
      </c>
      <c r="F6524">
        <v>2016</v>
      </c>
      <c r="G6524">
        <v>8</v>
      </c>
      <c r="H6524" s="1" t="s">
        <v>21</v>
      </c>
      <c r="I6524">
        <v>24</v>
      </c>
      <c r="J6524">
        <v>3377</v>
      </c>
      <c r="K6524" s="1" t="s">
        <v>103</v>
      </c>
      <c r="L6524" s="1" t="s">
        <v>23</v>
      </c>
      <c r="M6524">
        <v>2.1549999999999998</v>
      </c>
      <c r="N6524">
        <v>51718.8</v>
      </c>
      <c r="O6524">
        <v>51.719000000000001</v>
      </c>
      <c r="P6524" s="2">
        <v>45474</v>
      </c>
      <c r="Q6524">
        <v>1</v>
      </c>
      <c r="R6524" s="1" t="s">
        <v>40</v>
      </c>
    </row>
    <row r="6525" spans="1:18" x14ac:dyDescent="0.25">
      <c r="A6525">
        <v>2024</v>
      </c>
      <c r="B6525">
        <v>8</v>
      </c>
      <c r="C6525" s="1" t="s">
        <v>31</v>
      </c>
      <c r="D6525" s="1" t="s">
        <v>19</v>
      </c>
      <c r="E6525" s="1" t="s">
        <v>116</v>
      </c>
      <c r="F6525">
        <v>2016</v>
      </c>
      <c r="G6525">
        <v>8</v>
      </c>
      <c r="H6525" s="1" t="s">
        <v>21</v>
      </c>
      <c r="I6525">
        <v>24</v>
      </c>
      <c r="J6525">
        <v>3377</v>
      </c>
      <c r="K6525" s="1" t="s">
        <v>103</v>
      </c>
      <c r="L6525" s="1" t="s">
        <v>23</v>
      </c>
      <c r="M6525">
        <v>1.948</v>
      </c>
      <c r="N6525">
        <v>46754.6</v>
      </c>
      <c r="O6525">
        <v>46.755000000000003</v>
      </c>
      <c r="P6525" s="2">
        <v>45505</v>
      </c>
      <c r="Q6525">
        <v>1</v>
      </c>
      <c r="R6525" s="1" t="s">
        <v>40</v>
      </c>
    </row>
    <row r="6526" spans="1:18" x14ac:dyDescent="0.25">
      <c r="A6526">
        <v>2024</v>
      </c>
      <c r="B6526">
        <v>9</v>
      </c>
      <c r="C6526" s="1" t="s">
        <v>32</v>
      </c>
      <c r="D6526" s="1" t="s">
        <v>19</v>
      </c>
      <c r="E6526" s="1" t="s">
        <v>116</v>
      </c>
      <c r="F6526">
        <v>2016</v>
      </c>
      <c r="G6526">
        <v>8</v>
      </c>
      <c r="H6526" s="1" t="s">
        <v>21</v>
      </c>
      <c r="I6526">
        <v>24</v>
      </c>
      <c r="J6526">
        <v>3377</v>
      </c>
      <c r="K6526" s="1" t="s">
        <v>103</v>
      </c>
      <c r="L6526" s="1" t="s">
        <v>23</v>
      </c>
      <c r="M6526">
        <v>2.1070000000000002</v>
      </c>
      <c r="N6526">
        <v>50579</v>
      </c>
      <c r="O6526">
        <v>50.579000000000001</v>
      </c>
      <c r="P6526" s="2">
        <v>45536</v>
      </c>
      <c r="Q6526">
        <v>1</v>
      </c>
      <c r="R6526" s="1" t="s">
        <v>40</v>
      </c>
    </row>
    <row r="6527" spans="1:18" x14ac:dyDescent="0.25">
      <c r="A6527">
        <v>2024</v>
      </c>
      <c r="B6527">
        <v>10</v>
      </c>
      <c r="C6527" s="1" t="s">
        <v>33</v>
      </c>
      <c r="D6527" s="1" t="s">
        <v>19</v>
      </c>
      <c r="E6527" s="1" t="s">
        <v>116</v>
      </c>
      <c r="F6527">
        <v>2016</v>
      </c>
      <c r="G6527">
        <v>8</v>
      </c>
      <c r="H6527" s="1" t="s">
        <v>21</v>
      </c>
      <c r="I6527">
        <v>24</v>
      </c>
      <c r="J6527">
        <v>3377</v>
      </c>
      <c r="K6527" s="1" t="s">
        <v>103</v>
      </c>
      <c r="L6527" s="1" t="s">
        <v>23</v>
      </c>
      <c r="M6527">
        <v>1.3919999999999999</v>
      </c>
      <c r="N6527">
        <v>33407</v>
      </c>
      <c r="O6527">
        <v>33.406999999999996</v>
      </c>
      <c r="P6527" s="2">
        <v>45566</v>
      </c>
      <c r="Q6527">
        <v>1</v>
      </c>
      <c r="R6527" s="1" t="s">
        <v>40</v>
      </c>
    </row>
    <row r="6528" spans="1:18" x14ac:dyDescent="0.25">
      <c r="A6528">
        <v>2024</v>
      </c>
      <c r="B6528">
        <v>11</v>
      </c>
      <c r="C6528" s="1" t="s">
        <v>34</v>
      </c>
      <c r="D6528" s="1" t="s">
        <v>19</v>
      </c>
      <c r="E6528" s="1" t="s">
        <v>116</v>
      </c>
      <c r="F6528">
        <v>2016</v>
      </c>
      <c r="G6528">
        <v>8</v>
      </c>
      <c r="H6528" s="1" t="s">
        <v>21</v>
      </c>
      <c r="I6528">
        <v>24</v>
      </c>
      <c r="J6528">
        <v>3377</v>
      </c>
      <c r="K6528" s="1" t="s">
        <v>103</v>
      </c>
      <c r="L6528" s="1" t="s">
        <v>23</v>
      </c>
      <c r="M6528">
        <v>0.98799999999999999</v>
      </c>
      <c r="N6528">
        <v>23706.5</v>
      </c>
      <c r="O6528">
        <v>23.707000000000001</v>
      </c>
      <c r="P6528" s="2">
        <v>45597</v>
      </c>
      <c r="Q6528">
        <v>1</v>
      </c>
      <c r="R6528" s="1" t="s">
        <v>40</v>
      </c>
    </row>
    <row r="6529" spans="1:18" x14ac:dyDescent="0.25">
      <c r="A6529">
        <v>2024</v>
      </c>
      <c r="B6529">
        <v>12</v>
      </c>
      <c r="C6529" s="1" t="s">
        <v>35</v>
      </c>
      <c r="D6529" s="1" t="s">
        <v>19</v>
      </c>
      <c r="E6529" s="1" t="s">
        <v>116</v>
      </c>
      <c r="F6529">
        <v>2016</v>
      </c>
      <c r="G6529">
        <v>8</v>
      </c>
      <c r="H6529" s="1" t="s">
        <v>21</v>
      </c>
      <c r="I6529">
        <v>24</v>
      </c>
      <c r="J6529">
        <v>3377</v>
      </c>
      <c r="K6529" s="1" t="s">
        <v>103</v>
      </c>
      <c r="L6529" s="1" t="s">
        <v>23</v>
      </c>
      <c r="M6529">
        <v>1.264</v>
      </c>
      <c r="N6529">
        <v>30342.3</v>
      </c>
      <c r="O6529">
        <v>30.341999999999999</v>
      </c>
      <c r="P6529" s="2">
        <v>45627</v>
      </c>
      <c r="Q6529">
        <v>1</v>
      </c>
      <c r="R6529" s="1" t="s">
        <v>40</v>
      </c>
    </row>
    <row r="6530" spans="1:18" x14ac:dyDescent="0.25">
      <c r="A6530">
        <v>2024</v>
      </c>
      <c r="B6530">
        <v>1</v>
      </c>
      <c r="C6530" s="1" t="s">
        <v>18</v>
      </c>
      <c r="D6530" s="1" t="s">
        <v>19</v>
      </c>
      <c r="E6530" s="1" t="s">
        <v>117</v>
      </c>
      <c r="F6530">
        <v>2016</v>
      </c>
      <c r="G6530">
        <v>8</v>
      </c>
      <c r="H6530" s="1" t="s">
        <v>21</v>
      </c>
      <c r="I6530">
        <v>25</v>
      </c>
      <c r="J6530">
        <v>3431</v>
      </c>
      <c r="K6530" s="1" t="s">
        <v>118</v>
      </c>
      <c r="L6530" s="1" t="s">
        <v>23</v>
      </c>
      <c r="M6530">
        <v>1.3759999999999999</v>
      </c>
      <c r="N6530">
        <v>34404.400000000001</v>
      </c>
      <c r="O6530">
        <v>34.404000000000003</v>
      </c>
      <c r="P6530" s="2">
        <v>45292</v>
      </c>
      <c r="Q6530">
        <v>1</v>
      </c>
      <c r="R6530" s="1" t="s">
        <v>40</v>
      </c>
    </row>
    <row r="6531" spans="1:18" x14ac:dyDescent="0.25">
      <c r="A6531">
        <v>2024</v>
      </c>
      <c r="B6531">
        <v>2</v>
      </c>
      <c r="C6531" s="1" t="s">
        <v>25</v>
      </c>
      <c r="D6531" s="1" t="s">
        <v>19</v>
      </c>
      <c r="E6531" s="1" t="s">
        <v>117</v>
      </c>
      <c r="F6531">
        <v>2016</v>
      </c>
      <c r="G6531">
        <v>8</v>
      </c>
      <c r="H6531" s="1" t="s">
        <v>21</v>
      </c>
      <c r="I6531">
        <v>25</v>
      </c>
      <c r="J6531">
        <v>3431</v>
      </c>
      <c r="K6531" s="1" t="s">
        <v>118</v>
      </c>
      <c r="L6531" s="1" t="s">
        <v>23</v>
      </c>
      <c r="M6531">
        <v>1.4590000000000001</v>
      </c>
      <c r="N6531">
        <v>36463</v>
      </c>
      <c r="O6531">
        <v>36.463000000000001</v>
      </c>
      <c r="P6531" s="2">
        <v>45323</v>
      </c>
      <c r="Q6531">
        <v>1</v>
      </c>
      <c r="R6531" s="1" t="s">
        <v>40</v>
      </c>
    </row>
    <row r="6532" spans="1:18" x14ac:dyDescent="0.25">
      <c r="A6532">
        <v>2024</v>
      </c>
      <c r="B6532">
        <v>3</v>
      </c>
      <c r="C6532" s="1" t="s">
        <v>26</v>
      </c>
      <c r="D6532" s="1" t="s">
        <v>19</v>
      </c>
      <c r="E6532" s="1" t="s">
        <v>117</v>
      </c>
      <c r="F6532">
        <v>2016</v>
      </c>
      <c r="G6532">
        <v>8</v>
      </c>
      <c r="H6532" s="1" t="s">
        <v>21</v>
      </c>
      <c r="I6532">
        <v>25</v>
      </c>
      <c r="J6532">
        <v>3431</v>
      </c>
      <c r="K6532" s="1" t="s">
        <v>118</v>
      </c>
      <c r="L6532" s="1" t="s">
        <v>23</v>
      </c>
      <c r="M6532">
        <v>1.974</v>
      </c>
      <c r="N6532">
        <v>49354.9</v>
      </c>
      <c r="O6532">
        <v>49.354999999999997</v>
      </c>
      <c r="P6532" s="2">
        <v>45352</v>
      </c>
      <c r="Q6532">
        <v>1</v>
      </c>
      <c r="R6532" s="1" t="s">
        <v>40</v>
      </c>
    </row>
    <row r="6533" spans="1:18" x14ac:dyDescent="0.25">
      <c r="A6533">
        <v>2024</v>
      </c>
      <c r="B6533">
        <v>4</v>
      </c>
      <c r="C6533" s="1" t="s">
        <v>27</v>
      </c>
      <c r="D6533" s="1" t="s">
        <v>19</v>
      </c>
      <c r="E6533" s="1" t="s">
        <v>117</v>
      </c>
      <c r="F6533">
        <v>2016</v>
      </c>
      <c r="G6533">
        <v>8</v>
      </c>
      <c r="H6533" s="1" t="s">
        <v>21</v>
      </c>
      <c r="I6533">
        <v>25</v>
      </c>
      <c r="J6533">
        <v>3431</v>
      </c>
      <c r="K6533" s="1" t="s">
        <v>118</v>
      </c>
      <c r="L6533" s="1" t="s">
        <v>23</v>
      </c>
      <c r="M6533">
        <v>1.8029999999999999</v>
      </c>
      <c r="N6533">
        <v>45083.3</v>
      </c>
      <c r="O6533">
        <v>45.082999999999998</v>
      </c>
      <c r="P6533" s="2">
        <v>45383</v>
      </c>
      <c r="Q6533">
        <v>1</v>
      </c>
      <c r="R6533" s="1" t="s">
        <v>40</v>
      </c>
    </row>
    <row r="6534" spans="1:18" x14ac:dyDescent="0.25">
      <c r="A6534">
        <v>2024</v>
      </c>
      <c r="B6534">
        <v>5</v>
      </c>
      <c r="C6534" s="1" t="s">
        <v>28</v>
      </c>
      <c r="D6534" s="1" t="s">
        <v>19</v>
      </c>
      <c r="E6534" s="1" t="s">
        <v>117</v>
      </c>
      <c r="F6534">
        <v>2016</v>
      </c>
      <c r="G6534">
        <v>8</v>
      </c>
      <c r="H6534" s="1" t="s">
        <v>21</v>
      </c>
      <c r="I6534">
        <v>25</v>
      </c>
      <c r="J6534">
        <v>3431</v>
      </c>
      <c r="K6534" s="1" t="s">
        <v>118</v>
      </c>
      <c r="L6534" s="1" t="s">
        <v>23</v>
      </c>
      <c r="M6534">
        <v>2.0960000000000001</v>
      </c>
      <c r="N6534">
        <v>52391.4</v>
      </c>
      <c r="O6534">
        <v>52.390999999999998</v>
      </c>
      <c r="P6534" s="2">
        <v>45413</v>
      </c>
      <c r="Q6534">
        <v>1</v>
      </c>
      <c r="R6534" s="1" t="s">
        <v>40</v>
      </c>
    </row>
    <row r="6535" spans="1:18" x14ac:dyDescent="0.25">
      <c r="A6535">
        <v>2024</v>
      </c>
      <c r="B6535">
        <v>6</v>
      </c>
      <c r="C6535" s="1" t="s">
        <v>29</v>
      </c>
      <c r="D6535" s="1" t="s">
        <v>19</v>
      </c>
      <c r="E6535" s="1" t="s">
        <v>117</v>
      </c>
      <c r="F6535">
        <v>2016</v>
      </c>
      <c r="G6535">
        <v>8</v>
      </c>
      <c r="H6535" s="1" t="s">
        <v>21</v>
      </c>
      <c r="I6535">
        <v>25</v>
      </c>
      <c r="J6535">
        <v>3431</v>
      </c>
      <c r="K6535" s="1" t="s">
        <v>118</v>
      </c>
      <c r="L6535" s="1" t="s">
        <v>23</v>
      </c>
      <c r="M6535">
        <v>2.294</v>
      </c>
      <c r="N6535">
        <v>57357.7</v>
      </c>
      <c r="O6535">
        <v>57.357999999999997</v>
      </c>
      <c r="P6535" s="2">
        <v>45444</v>
      </c>
      <c r="Q6535">
        <v>1</v>
      </c>
      <c r="R6535" s="1" t="s">
        <v>40</v>
      </c>
    </row>
    <row r="6536" spans="1:18" x14ac:dyDescent="0.25">
      <c r="A6536">
        <v>2024</v>
      </c>
      <c r="B6536">
        <v>7</v>
      </c>
      <c r="C6536" s="1" t="s">
        <v>30</v>
      </c>
      <c r="D6536" s="1" t="s">
        <v>19</v>
      </c>
      <c r="E6536" s="1" t="s">
        <v>117</v>
      </c>
      <c r="F6536">
        <v>2016</v>
      </c>
      <c r="G6536">
        <v>8</v>
      </c>
      <c r="H6536" s="1" t="s">
        <v>21</v>
      </c>
      <c r="I6536">
        <v>25</v>
      </c>
      <c r="J6536">
        <v>3431</v>
      </c>
      <c r="K6536" s="1" t="s">
        <v>118</v>
      </c>
      <c r="L6536" s="1" t="s">
        <v>23</v>
      </c>
      <c r="M6536">
        <v>2.1019999999999999</v>
      </c>
      <c r="N6536">
        <v>52545.8</v>
      </c>
      <c r="O6536">
        <v>52.545999999999999</v>
      </c>
      <c r="P6536" s="2">
        <v>45474</v>
      </c>
      <c r="Q6536">
        <v>1</v>
      </c>
      <c r="R6536" s="1" t="s">
        <v>40</v>
      </c>
    </row>
    <row r="6537" spans="1:18" x14ac:dyDescent="0.25">
      <c r="A6537">
        <v>2024</v>
      </c>
      <c r="B6537">
        <v>8</v>
      </c>
      <c r="C6537" s="1" t="s">
        <v>31</v>
      </c>
      <c r="D6537" s="1" t="s">
        <v>19</v>
      </c>
      <c r="E6537" s="1" t="s">
        <v>117</v>
      </c>
      <c r="F6537">
        <v>2016</v>
      </c>
      <c r="G6537">
        <v>8</v>
      </c>
      <c r="H6537" s="1" t="s">
        <v>21</v>
      </c>
      <c r="I6537">
        <v>25</v>
      </c>
      <c r="J6537">
        <v>3431</v>
      </c>
      <c r="K6537" s="1" t="s">
        <v>118</v>
      </c>
      <c r="L6537" s="1" t="s">
        <v>23</v>
      </c>
      <c r="M6537">
        <v>1.9</v>
      </c>
      <c r="N6537">
        <v>47502.2</v>
      </c>
      <c r="O6537">
        <v>47.502000000000002</v>
      </c>
      <c r="P6537" s="2">
        <v>45505</v>
      </c>
      <c r="Q6537">
        <v>1</v>
      </c>
      <c r="R6537" s="1" t="s">
        <v>40</v>
      </c>
    </row>
    <row r="6538" spans="1:18" x14ac:dyDescent="0.25">
      <c r="A6538">
        <v>2024</v>
      </c>
      <c r="B6538">
        <v>9</v>
      </c>
      <c r="C6538" s="1" t="s">
        <v>32</v>
      </c>
      <c r="D6538" s="1" t="s">
        <v>19</v>
      </c>
      <c r="E6538" s="1" t="s">
        <v>117</v>
      </c>
      <c r="F6538">
        <v>2016</v>
      </c>
      <c r="G6538">
        <v>8</v>
      </c>
      <c r="H6538" s="1" t="s">
        <v>21</v>
      </c>
      <c r="I6538">
        <v>25</v>
      </c>
      <c r="J6538">
        <v>3431</v>
      </c>
      <c r="K6538" s="1" t="s">
        <v>118</v>
      </c>
      <c r="L6538" s="1" t="s">
        <v>23</v>
      </c>
      <c r="M6538">
        <v>2.056</v>
      </c>
      <c r="N6538">
        <v>51387.8</v>
      </c>
      <c r="O6538">
        <v>51.387999999999998</v>
      </c>
      <c r="P6538" s="2">
        <v>45536</v>
      </c>
      <c r="Q6538">
        <v>1</v>
      </c>
      <c r="R6538" s="1" t="s">
        <v>40</v>
      </c>
    </row>
    <row r="6539" spans="1:18" x14ac:dyDescent="0.25">
      <c r="A6539">
        <v>2024</v>
      </c>
      <c r="B6539">
        <v>10</v>
      </c>
      <c r="C6539" s="1" t="s">
        <v>33</v>
      </c>
      <c r="D6539" s="1" t="s">
        <v>19</v>
      </c>
      <c r="E6539" s="1" t="s">
        <v>117</v>
      </c>
      <c r="F6539">
        <v>2016</v>
      </c>
      <c r="G6539">
        <v>8</v>
      </c>
      <c r="H6539" s="1" t="s">
        <v>21</v>
      </c>
      <c r="I6539">
        <v>25</v>
      </c>
      <c r="J6539">
        <v>3431</v>
      </c>
      <c r="K6539" s="1" t="s">
        <v>118</v>
      </c>
      <c r="L6539" s="1" t="s">
        <v>23</v>
      </c>
      <c r="M6539">
        <v>1.3580000000000001</v>
      </c>
      <c r="N6539">
        <v>33941.199999999997</v>
      </c>
      <c r="O6539">
        <v>33.941000000000003</v>
      </c>
      <c r="P6539" s="2">
        <v>45566</v>
      </c>
      <c r="Q6539">
        <v>1</v>
      </c>
      <c r="R6539" s="1" t="s">
        <v>40</v>
      </c>
    </row>
    <row r="6540" spans="1:18" x14ac:dyDescent="0.25">
      <c r="A6540">
        <v>2024</v>
      </c>
      <c r="B6540">
        <v>11</v>
      </c>
      <c r="C6540" s="1" t="s">
        <v>34</v>
      </c>
      <c r="D6540" s="1" t="s">
        <v>19</v>
      </c>
      <c r="E6540" s="1" t="s">
        <v>117</v>
      </c>
      <c r="F6540">
        <v>2016</v>
      </c>
      <c r="G6540">
        <v>8</v>
      </c>
      <c r="H6540" s="1" t="s">
        <v>21</v>
      </c>
      <c r="I6540">
        <v>25</v>
      </c>
      <c r="J6540">
        <v>3431</v>
      </c>
      <c r="K6540" s="1" t="s">
        <v>118</v>
      </c>
      <c r="L6540" s="1" t="s">
        <v>23</v>
      </c>
      <c r="M6540">
        <v>0.96299999999999997</v>
      </c>
      <c r="N6540">
        <v>24085.599999999999</v>
      </c>
      <c r="O6540">
        <v>24.085999999999999</v>
      </c>
      <c r="P6540" s="2">
        <v>45597</v>
      </c>
      <c r="Q6540">
        <v>1</v>
      </c>
      <c r="R6540" s="1" t="s">
        <v>40</v>
      </c>
    </row>
    <row r="6541" spans="1:18" x14ac:dyDescent="0.25">
      <c r="A6541">
        <v>2024</v>
      </c>
      <c r="B6541">
        <v>12</v>
      </c>
      <c r="C6541" s="1" t="s">
        <v>35</v>
      </c>
      <c r="D6541" s="1" t="s">
        <v>19</v>
      </c>
      <c r="E6541" s="1" t="s">
        <v>117</v>
      </c>
      <c r="F6541">
        <v>2016</v>
      </c>
      <c r="G6541">
        <v>8</v>
      </c>
      <c r="H6541" s="1" t="s">
        <v>21</v>
      </c>
      <c r="I6541">
        <v>25</v>
      </c>
      <c r="J6541">
        <v>3431</v>
      </c>
      <c r="K6541" s="1" t="s">
        <v>118</v>
      </c>
      <c r="L6541" s="1" t="s">
        <v>23</v>
      </c>
      <c r="M6541">
        <v>1.2330000000000001</v>
      </c>
      <c r="N6541">
        <v>30827.5</v>
      </c>
      <c r="O6541">
        <v>30.827999999999999</v>
      </c>
      <c r="P6541" s="2">
        <v>45627</v>
      </c>
      <c r="Q6541">
        <v>1</v>
      </c>
      <c r="R6541" s="1" t="s">
        <v>40</v>
      </c>
    </row>
    <row r="6542" spans="1:18" x14ac:dyDescent="0.25">
      <c r="A6542">
        <v>2024</v>
      </c>
      <c r="B6542">
        <v>1</v>
      </c>
      <c r="C6542" s="1" t="s">
        <v>18</v>
      </c>
      <c r="D6542" s="1" t="s">
        <v>19</v>
      </c>
      <c r="E6542" s="1" t="s">
        <v>119</v>
      </c>
      <c r="F6542">
        <v>2016</v>
      </c>
      <c r="G6542">
        <v>8</v>
      </c>
      <c r="H6542" s="1" t="s">
        <v>21</v>
      </c>
      <c r="I6542">
        <v>21</v>
      </c>
      <c r="J6542">
        <v>2901</v>
      </c>
      <c r="K6542" s="1" t="s">
        <v>120</v>
      </c>
      <c r="L6542" s="1" t="s">
        <v>23</v>
      </c>
      <c r="M6542">
        <v>1.385</v>
      </c>
      <c r="N6542">
        <v>29089.8</v>
      </c>
      <c r="O6542">
        <v>29.09</v>
      </c>
      <c r="P6542" s="2">
        <v>45292</v>
      </c>
      <c r="Q6542">
        <v>1</v>
      </c>
      <c r="R6542" s="1" t="s">
        <v>40</v>
      </c>
    </row>
    <row r="6543" spans="1:18" x14ac:dyDescent="0.25">
      <c r="A6543">
        <v>2024</v>
      </c>
      <c r="B6543">
        <v>2</v>
      </c>
      <c r="C6543" s="1" t="s">
        <v>25</v>
      </c>
      <c r="D6543" s="1" t="s">
        <v>19</v>
      </c>
      <c r="E6543" s="1" t="s">
        <v>119</v>
      </c>
      <c r="F6543">
        <v>2016</v>
      </c>
      <c r="G6543">
        <v>8</v>
      </c>
      <c r="H6543" s="1" t="s">
        <v>21</v>
      </c>
      <c r="I6543">
        <v>21</v>
      </c>
      <c r="J6543">
        <v>2901</v>
      </c>
      <c r="K6543" s="1" t="s">
        <v>120</v>
      </c>
      <c r="L6543" s="1" t="s">
        <v>23</v>
      </c>
      <c r="M6543">
        <v>1.468</v>
      </c>
      <c r="N6543">
        <v>30830.400000000001</v>
      </c>
      <c r="O6543">
        <v>30.83</v>
      </c>
      <c r="P6543" s="2">
        <v>45323</v>
      </c>
      <c r="Q6543">
        <v>1</v>
      </c>
      <c r="R6543" s="1" t="s">
        <v>40</v>
      </c>
    </row>
    <row r="6544" spans="1:18" x14ac:dyDescent="0.25">
      <c r="A6544">
        <v>2024</v>
      </c>
      <c r="B6544">
        <v>3</v>
      </c>
      <c r="C6544" s="1" t="s">
        <v>26</v>
      </c>
      <c r="D6544" s="1" t="s">
        <v>19</v>
      </c>
      <c r="E6544" s="1" t="s">
        <v>119</v>
      </c>
      <c r="F6544">
        <v>2016</v>
      </c>
      <c r="G6544">
        <v>8</v>
      </c>
      <c r="H6544" s="1" t="s">
        <v>21</v>
      </c>
      <c r="I6544">
        <v>21</v>
      </c>
      <c r="J6544">
        <v>2901</v>
      </c>
      <c r="K6544" s="1" t="s">
        <v>120</v>
      </c>
      <c r="L6544" s="1" t="s">
        <v>23</v>
      </c>
      <c r="M6544">
        <v>1.9870000000000001</v>
      </c>
      <c r="N6544">
        <v>41730.9</v>
      </c>
      <c r="O6544">
        <v>41.731000000000002</v>
      </c>
      <c r="P6544" s="2">
        <v>45352</v>
      </c>
      <c r="Q6544">
        <v>1</v>
      </c>
      <c r="R6544" s="1" t="s">
        <v>40</v>
      </c>
    </row>
    <row r="6545" spans="1:18" x14ac:dyDescent="0.25">
      <c r="A6545">
        <v>2024</v>
      </c>
      <c r="B6545">
        <v>4</v>
      </c>
      <c r="C6545" s="1" t="s">
        <v>27</v>
      </c>
      <c r="D6545" s="1" t="s">
        <v>19</v>
      </c>
      <c r="E6545" s="1" t="s">
        <v>119</v>
      </c>
      <c r="F6545">
        <v>2016</v>
      </c>
      <c r="G6545">
        <v>8</v>
      </c>
      <c r="H6545" s="1" t="s">
        <v>21</v>
      </c>
      <c r="I6545">
        <v>21</v>
      </c>
      <c r="J6545">
        <v>2901</v>
      </c>
      <c r="K6545" s="1" t="s">
        <v>120</v>
      </c>
      <c r="L6545" s="1" t="s">
        <v>23</v>
      </c>
      <c r="M6545">
        <v>1.8149999999999999</v>
      </c>
      <c r="N6545">
        <v>38119.1</v>
      </c>
      <c r="O6545">
        <v>38.119</v>
      </c>
      <c r="P6545" s="2">
        <v>45383</v>
      </c>
      <c r="Q6545">
        <v>1</v>
      </c>
      <c r="R6545" s="1" t="s">
        <v>40</v>
      </c>
    </row>
    <row r="6546" spans="1:18" x14ac:dyDescent="0.25">
      <c r="A6546">
        <v>2024</v>
      </c>
      <c r="B6546">
        <v>5</v>
      </c>
      <c r="C6546" s="1" t="s">
        <v>28</v>
      </c>
      <c r="D6546" s="1" t="s">
        <v>19</v>
      </c>
      <c r="E6546" s="1" t="s">
        <v>119</v>
      </c>
      <c r="F6546">
        <v>2016</v>
      </c>
      <c r="G6546">
        <v>8</v>
      </c>
      <c r="H6546" s="1" t="s">
        <v>21</v>
      </c>
      <c r="I6546">
        <v>21</v>
      </c>
      <c r="J6546">
        <v>2901</v>
      </c>
      <c r="K6546" s="1" t="s">
        <v>120</v>
      </c>
      <c r="L6546" s="1" t="s">
        <v>23</v>
      </c>
      <c r="M6546">
        <v>2.109</v>
      </c>
      <c r="N6546">
        <v>44298.3</v>
      </c>
      <c r="O6546">
        <v>44.298000000000002</v>
      </c>
      <c r="P6546" s="2">
        <v>45413</v>
      </c>
      <c r="Q6546">
        <v>1</v>
      </c>
      <c r="R6546" s="1" t="s">
        <v>40</v>
      </c>
    </row>
    <row r="6547" spans="1:18" x14ac:dyDescent="0.25">
      <c r="A6547">
        <v>2024</v>
      </c>
      <c r="B6547">
        <v>6</v>
      </c>
      <c r="C6547" s="1" t="s">
        <v>29</v>
      </c>
      <c r="D6547" s="1" t="s">
        <v>19</v>
      </c>
      <c r="E6547" s="1" t="s">
        <v>119</v>
      </c>
      <c r="F6547">
        <v>2016</v>
      </c>
      <c r="G6547">
        <v>8</v>
      </c>
      <c r="H6547" s="1" t="s">
        <v>21</v>
      </c>
      <c r="I6547">
        <v>21</v>
      </c>
      <c r="J6547">
        <v>2901</v>
      </c>
      <c r="K6547" s="1" t="s">
        <v>120</v>
      </c>
      <c r="L6547" s="1" t="s">
        <v>23</v>
      </c>
      <c r="M6547">
        <v>2.3090000000000002</v>
      </c>
      <c r="N6547">
        <v>48497.5</v>
      </c>
      <c r="O6547">
        <v>48.497</v>
      </c>
      <c r="P6547" s="2">
        <v>45444</v>
      </c>
      <c r="Q6547">
        <v>1</v>
      </c>
      <c r="R6547" s="1" t="s">
        <v>40</v>
      </c>
    </row>
    <row r="6548" spans="1:18" x14ac:dyDescent="0.25">
      <c r="A6548">
        <v>2024</v>
      </c>
      <c r="B6548">
        <v>7</v>
      </c>
      <c r="C6548" s="1" t="s">
        <v>30</v>
      </c>
      <c r="D6548" s="1" t="s">
        <v>19</v>
      </c>
      <c r="E6548" s="1" t="s">
        <v>119</v>
      </c>
      <c r="F6548">
        <v>2016</v>
      </c>
      <c r="G6548">
        <v>8</v>
      </c>
      <c r="H6548" s="1" t="s">
        <v>21</v>
      </c>
      <c r="I6548">
        <v>21</v>
      </c>
      <c r="J6548">
        <v>2901</v>
      </c>
      <c r="K6548" s="1" t="s">
        <v>120</v>
      </c>
      <c r="L6548" s="1" t="s">
        <v>23</v>
      </c>
      <c r="M6548">
        <v>2.1160000000000001</v>
      </c>
      <c r="N6548">
        <v>44428.800000000003</v>
      </c>
      <c r="O6548">
        <v>44.429000000000002</v>
      </c>
      <c r="P6548" s="2">
        <v>45474</v>
      </c>
      <c r="Q6548">
        <v>1</v>
      </c>
      <c r="R6548" s="1" t="s">
        <v>40</v>
      </c>
    </row>
    <row r="6549" spans="1:18" x14ac:dyDescent="0.25">
      <c r="A6549">
        <v>2024</v>
      </c>
      <c r="B6549">
        <v>8</v>
      </c>
      <c r="C6549" s="1" t="s">
        <v>31</v>
      </c>
      <c r="D6549" s="1" t="s">
        <v>19</v>
      </c>
      <c r="E6549" s="1" t="s">
        <v>119</v>
      </c>
      <c r="F6549">
        <v>2016</v>
      </c>
      <c r="G6549">
        <v>8</v>
      </c>
      <c r="H6549" s="1" t="s">
        <v>21</v>
      </c>
      <c r="I6549">
        <v>21</v>
      </c>
      <c r="J6549">
        <v>2901</v>
      </c>
      <c r="K6549" s="1" t="s">
        <v>120</v>
      </c>
      <c r="L6549" s="1" t="s">
        <v>23</v>
      </c>
      <c r="M6549">
        <v>1.913</v>
      </c>
      <c r="N6549">
        <v>40164.300000000003</v>
      </c>
      <c r="O6549">
        <v>40.164000000000001</v>
      </c>
      <c r="P6549" s="2">
        <v>45505</v>
      </c>
      <c r="Q6549">
        <v>1</v>
      </c>
      <c r="R6549" s="1" t="s">
        <v>40</v>
      </c>
    </row>
    <row r="6550" spans="1:18" x14ac:dyDescent="0.25">
      <c r="A6550">
        <v>2024</v>
      </c>
      <c r="B6550">
        <v>9</v>
      </c>
      <c r="C6550" s="1" t="s">
        <v>32</v>
      </c>
      <c r="D6550" s="1" t="s">
        <v>19</v>
      </c>
      <c r="E6550" s="1" t="s">
        <v>119</v>
      </c>
      <c r="F6550">
        <v>2016</v>
      </c>
      <c r="G6550">
        <v>8</v>
      </c>
      <c r="H6550" s="1" t="s">
        <v>21</v>
      </c>
      <c r="I6550">
        <v>21</v>
      </c>
      <c r="J6550">
        <v>2901</v>
      </c>
      <c r="K6550" s="1" t="s">
        <v>120</v>
      </c>
      <c r="L6550" s="1" t="s">
        <v>23</v>
      </c>
      <c r="M6550">
        <v>2.069</v>
      </c>
      <c r="N6550">
        <v>43449.7</v>
      </c>
      <c r="O6550">
        <v>43.45</v>
      </c>
      <c r="P6550" s="2">
        <v>45536</v>
      </c>
      <c r="Q6550">
        <v>1</v>
      </c>
      <c r="R6550" s="1" t="s">
        <v>40</v>
      </c>
    </row>
    <row r="6551" spans="1:18" x14ac:dyDescent="0.25">
      <c r="A6551">
        <v>2024</v>
      </c>
      <c r="B6551">
        <v>10</v>
      </c>
      <c r="C6551" s="1" t="s">
        <v>33</v>
      </c>
      <c r="D6551" s="1" t="s">
        <v>19</v>
      </c>
      <c r="E6551" s="1" t="s">
        <v>119</v>
      </c>
      <c r="F6551">
        <v>2016</v>
      </c>
      <c r="G6551">
        <v>8</v>
      </c>
      <c r="H6551" s="1" t="s">
        <v>21</v>
      </c>
      <c r="I6551">
        <v>21</v>
      </c>
      <c r="J6551">
        <v>2901</v>
      </c>
      <c r="K6551" s="1" t="s">
        <v>120</v>
      </c>
      <c r="L6551" s="1" t="s">
        <v>23</v>
      </c>
      <c r="M6551">
        <v>1.367</v>
      </c>
      <c r="N6551">
        <v>28698.1</v>
      </c>
      <c r="O6551">
        <v>28.698</v>
      </c>
      <c r="P6551" s="2">
        <v>45566</v>
      </c>
      <c r="Q6551">
        <v>1</v>
      </c>
      <c r="R6551" s="1" t="s">
        <v>40</v>
      </c>
    </row>
    <row r="6552" spans="1:18" x14ac:dyDescent="0.25">
      <c r="A6552">
        <v>2024</v>
      </c>
      <c r="B6552">
        <v>11</v>
      </c>
      <c r="C6552" s="1" t="s">
        <v>34</v>
      </c>
      <c r="D6552" s="1" t="s">
        <v>19</v>
      </c>
      <c r="E6552" s="1" t="s">
        <v>119</v>
      </c>
      <c r="F6552">
        <v>2016</v>
      </c>
      <c r="G6552">
        <v>8</v>
      </c>
      <c r="H6552" s="1" t="s">
        <v>21</v>
      </c>
      <c r="I6552">
        <v>21</v>
      </c>
      <c r="J6552">
        <v>2901</v>
      </c>
      <c r="K6552" s="1" t="s">
        <v>120</v>
      </c>
      <c r="L6552" s="1" t="s">
        <v>23</v>
      </c>
      <c r="M6552">
        <v>0.97</v>
      </c>
      <c r="N6552">
        <v>20365</v>
      </c>
      <c r="O6552">
        <v>20.364999999999998</v>
      </c>
      <c r="P6552" s="2">
        <v>45597</v>
      </c>
      <c r="Q6552">
        <v>1</v>
      </c>
      <c r="R6552" s="1" t="s">
        <v>40</v>
      </c>
    </row>
    <row r="6553" spans="1:18" x14ac:dyDescent="0.25">
      <c r="A6553">
        <v>2024</v>
      </c>
      <c r="B6553">
        <v>12</v>
      </c>
      <c r="C6553" s="1" t="s">
        <v>35</v>
      </c>
      <c r="D6553" s="1" t="s">
        <v>19</v>
      </c>
      <c r="E6553" s="1" t="s">
        <v>119</v>
      </c>
      <c r="F6553">
        <v>2016</v>
      </c>
      <c r="G6553">
        <v>8</v>
      </c>
      <c r="H6553" s="1" t="s">
        <v>21</v>
      </c>
      <c r="I6553">
        <v>21</v>
      </c>
      <c r="J6553">
        <v>2901</v>
      </c>
      <c r="K6553" s="1" t="s">
        <v>120</v>
      </c>
      <c r="L6553" s="1" t="s">
        <v>23</v>
      </c>
      <c r="M6553">
        <v>1.2410000000000001</v>
      </c>
      <c r="N6553">
        <v>26065.5</v>
      </c>
      <c r="O6553">
        <v>26.065000000000001</v>
      </c>
      <c r="P6553" s="2">
        <v>45627</v>
      </c>
      <c r="Q6553">
        <v>1</v>
      </c>
      <c r="R6553" s="1"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3710B-CB5E-4B61-9D1C-9E07AB2C4AD1}">
  <dimension ref="A1:B14"/>
  <sheetViews>
    <sheetView workbookViewId="0">
      <selection activeCell="C18" sqref="C18"/>
    </sheetView>
  </sheetViews>
  <sheetFormatPr defaultRowHeight="15" x14ac:dyDescent="0.25"/>
  <cols>
    <col min="1" max="1" width="13.140625" bestFit="1" customWidth="1"/>
    <col min="2" max="2" width="15.5703125" bestFit="1" customWidth="1"/>
  </cols>
  <sheetData>
    <row r="1" spans="1:2" x14ac:dyDescent="0.25">
      <c r="A1" s="3" t="s">
        <v>16</v>
      </c>
      <c r="B1" s="4">
        <v>1</v>
      </c>
    </row>
    <row r="3" spans="1:2" x14ac:dyDescent="0.25">
      <c r="A3" s="3" t="s">
        <v>132</v>
      </c>
      <c r="B3" t="s">
        <v>135</v>
      </c>
    </row>
    <row r="4" spans="1:2" x14ac:dyDescent="0.25">
      <c r="A4" s="4" t="s">
        <v>48</v>
      </c>
      <c r="B4" s="5">
        <v>1.6454358974358985</v>
      </c>
    </row>
    <row r="5" spans="1:2" x14ac:dyDescent="0.25">
      <c r="A5" s="4" t="s">
        <v>108</v>
      </c>
      <c r="B5" s="5">
        <v>1.5738611111111123</v>
      </c>
    </row>
    <row r="6" spans="1:2" x14ac:dyDescent="0.25">
      <c r="A6" s="4" t="s">
        <v>100</v>
      </c>
      <c r="B6" s="5">
        <v>1.5724305555555564</v>
      </c>
    </row>
    <row r="7" spans="1:2" x14ac:dyDescent="0.25">
      <c r="A7" s="4" t="s">
        <v>102</v>
      </c>
      <c r="B7" s="5">
        <v>1.559222222222223</v>
      </c>
    </row>
    <row r="8" spans="1:2" x14ac:dyDescent="0.25">
      <c r="A8" s="4" t="s">
        <v>116</v>
      </c>
      <c r="B8" s="5">
        <v>1.559111111111112</v>
      </c>
    </row>
    <row r="9" spans="1:2" x14ac:dyDescent="0.25">
      <c r="A9" s="4" t="s">
        <v>110</v>
      </c>
      <c r="B9" s="5">
        <v>1.5435277777777785</v>
      </c>
    </row>
    <row r="10" spans="1:2" x14ac:dyDescent="0.25">
      <c r="A10" s="4" t="s">
        <v>54</v>
      </c>
      <c r="B10" s="5">
        <v>1.5424807692307694</v>
      </c>
    </row>
    <row r="11" spans="1:2" x14ac:dyDescent="0.25">
      <c r="A11" s="4" t="s">
        <v>104</v>
      </c>
      <c r="B11" s="5">
        <v>1.541486111111112</v>
      </c>
    </row>
    <row r="12" spans="1:2" x14ac:dyDescent="0.25">
      <c r="A12" s="4" t="s">
        <v>86</v>
      </c>
      <c r="B12" s="5">
        <v>1.5413888888888891</v>
      </c>
    </row>
    <row r="13" spans="1:2" x14ac:dyDescent="0.25">
      <c r="A13" s="4" t="s">
        <v>119</v>
      </c>
      <c r="B13" s="5">
        <v>1.5410416666666675</v>
      </c>
    </row>
    <row r="14" spans="1:2" x14ac:dyDescent="0.25">
      <c r="A14" s="4" t="s">
        <v>133</v>
      </c>
      <c r="B14" s="5">
        <v>1.5670064935064913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1F61-5939-4DD1-9DA4-7403A941109C}">
  <dimension ref="A1:F8"/>
  <sheetViews>
    <sheetView workbookViewId="0">
      <selection activeCell="C13" sqref="C13"/>
    </sheetView>
  </sheetViews>
  <sheetFormatPr defaultRowHeight="15" x14ac:dyDescent="0.25"/>
  <cols>
    <col min="1" max="1" width="15.5703125" bestFit="1" customWidth="1"/>
    <col min="2" max="2" width="16.28515625" bestFit="1" customWidth="1"/>
    <col min="3" max="3" width="6.85546875" bestFit="1" customWidth="1"/>
    <col min="4" max="4" width="7.85546875" bestFit="1" customWidth="1"/>
    <col min="5" max="5" width="6.140625" bestFit="1" customWidth="1"/>
    <col min="6" max="6" width="11.28515625" bestFit="1" customWidth="1"/>
  </cols>
  <sheetData>
    <row r="1" spans="1:6" x14ac:dyDescent="0.25">
      <c r="A1" s="3" t="s">
        <v>16</v>
      </c>
      <c r="B1" s="4">
        <v>1</v>
      </c>
    </row>
    <row r="3" spans="1:6" x14ac:dyDescent="0.25">
      <c r="A3" s="3" t="s">
        <v>135</v>
      </c>
      <c r="B3" s="3" t="s">
        <v>136</v>
      </c>
    </row>
    <row r="4" spans="1:6" x14ac:dyDescent="0.25">
      <c r="A4" s="3" t="s">
        <v>132</v>
      </c>
      <c r="B4" t="s">
        <v>122</v>
      </c>
      <c r="C4" t="s">
        <v>40</v>
      </c>
      <c r="D4" t="s">
        <v>24</v>
      </c>
      <c r="E4" t="s">
        <v>125</v>
      </c>
      <c r="F4" t="s">
        <v>133</v>
      </c>
    </row>
    <row r="5" spans="1:6" x14ac:dyDescent="0.25">
      <c r="A5" s="4" t="s">
        <v>64</v>
      </c>
      <c r="B5" s="5">
        <v>0.72163888888888883</v>
      </c>
      <c r="C5" s="5">
        <v>1.5728809523809533</v>
      </c>
      <c r="D5" s="5">
        <v>1.7013333333333338</v>
      </c>
      <c r="E5" s="5"/>
      <c r="F5" s="5">
        <v>1.3431988095238079</v>
      </c>
    </row>
    <row r="6" spans="1:6" x14ac:dyDescent="0.25">
      <c r="A6" s="4" t="s">
        <v>23</v>
      </c>
      <c r="B6" s="5">
        <v>1.1350277777777769</v>
      </c>
      <c r="C6" s="5">
        <v>1.8463556910569103</v>
      </c>
      <c r="D6" s="5">
        <v>1.2038181818181817</v>
      </c>
      <c r="E6" s="5">
        <v>0.97857954545454495</v>
      </c>
      <c r="F6" s="5">
        <v>1.3658411016949155</v>
      </c>
    </row>
    <row r="7" spans="1:6" x14ac:dyDescent="0.25">
      <c r="A7" s="4" t="s">
        <v>45</v>
      </c>
      <c r="B7" s="5">
        <v>0.78375854700854541</v>
      </c>
      <c r="C7" s="5">
        <v>1.5758265993266001</v>
      </c>
      <c r="D7" s="5">
        <v>1.4688378787878789</v>
      </c>
      <c r="E7" s="5">
        <v>1.4057611111111106</v>
      </c>
      <c r="F7" s="5">
        <v>1.3867592147435885</v>
      </c>
    </row>
    <row r="8" spans="1:6" x14ac:dyDescent="0.25">
      <c r="A8" s="4" t="s">
        <v>133</v>
      </c>
      <c r="B8" s="5">
        <v>0.8943754480286773</v>
      </c>
      <c r="C8" s="5">
        <v>1.6386185714285686</v>
      </c>
      <c r="D8" s="5">
        <v>1.4405357142857145</v>
      </c>
      <c r="E8" s="5">
        <v>1.1517612612612604</v>
      </c>
      <c r="F8" s="5">
        <v>1.3728259680134671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AA1D9-EE96-4F09-9CCD-EA495E039145}">
  <dimension ref="A1:B17"/>
  <sheetViews>
    <sheetView workbookViewId="0">
      <selection activeCell="E20" sqref="E20"/>
    </sheetView>
  </sheetViews>
  <sheetFormatPr defaultRowHeight="15" x14ac:dyDescent="0.25"/>
  <cols>
    <col min="1" max="1" width="13.140625" bestFit="1" customWidth="1"/>
    <col min="2" max="2" width="16.7109375" bestFit="1" customWidth="1"/>
  </cols>
  <sheetData>
    <row r="1" spans="1:2" x14ac:dyDescent="0.25">
      <c r="A1" s="3" t="s">
        <v>16</v>
      </c>
      <c r="B1" s="4">
        <v>1</v>
      </c>
    </row>
    <row r="3" spans="1:2" x14ac:dyDescent="0.25">
      <c r="A3" s="3" t="s">
        <v>132</v>
      </c>
      <c r="B3" t="s">
        <v>134</v>
      </c>
    </row>
    <row r="4" spans="1:2" x14ac:dyDescent="0.25">
      <c r="A4" s="4">
        <v>2012</v>
      </c>
      <c r="B4" s="5">
        <v>2.2434999999999996</v>
      </c>
    </row>
    <row r="5" spans="1:2" x14ac:dyDescent="0.25">
      <c r="A5" s="4">
        <v>2013</v>
      </c>
      <c r="B5" s="5">
        <v>1.3805833333333335</v>
      </c>
    </row>
    <row r="6" spans="1:2" x14ac:dyDescent="0.25">
      <c r="A6" s="4">
        <v>2014</v>
      </c>
      <c r="B6" s="5">
        <v>1.4515757575757575</v>
      </c>
    </row>
    <row r="7" spans="1:2" x14ac:dyDescent="0.25">
      <c r="A7" s="4">
        <v>2015</v>
      </c>
      <c r="B7" s="5">
        <v>0.88396212121211915</v>
      </c>
    </row>
    <row r="8" spans="1:2" x14ac:dyDescent="0.25">
      <c r="A8" s="4">
        <v>2016</v>
      </c>
      <c r="B8" s="5">
        <v>0.64405864197530915</v>
      </c>
    </row>
    <row r="9" spans="1:2" x14ac:dyDescent="0.25">
      <c r="A9" s="4">
        <v>2017</v>
      </c>
      <c r="B9" s="5">
        <v>0.84868010752688117</v>
      </c>
    </row>
    <row r="10" spans="1:2" x14ac:dyDescent="0.25">
      <c r="A10" s="4">
        <v>2018</v>
      </c>
      <c r="B10" s="5">
        <v>1.1003440860215052</v>
      </c>
    </row>
    <row r="11" spans="1:2" x14ac:dyDescent="0.25">
      <c r="A11" s="4">
        <v>2019</v>
      </c>
      <c r="B11" s="5">
        <v>1.1622301587301589</v>
      </c>
    </row>
    <row r="12" spans="1:2" x14ac:dyDescent="0.25">
      <c r="A12" s="4">
        <v>2020</v>
      </c>
      <c r="B12" s="5">
        <v>1.4916884920634967</v>
      </c>
    </row>
    <row r="13" spans="1:2" x14ac:dyDescent="0.25">
      <c r="A13" s="4">
        <v>2021</v>
      </c>
      <c r="B13" s="5">
        <v>1.5823313492063487</v>
      </c>
    </row>
    <row r="14" spans="1:2" x14ac:dyDescent="0.25">
      <c r="A14" s="4">
        <v>2022</v>
      </c>
      <c r="B14" s="5">
        <v>1.8010218253968258</v>
      </c>
    </row>
    <row r="15" spans="1:2" x14ac:dyDescent="0.25">
      <c r="A15" s="4">
        <v>2023</v>
      </c>
      <c r="B15" s="5">
        <v>1.7701984126984127</v>
      </c>
    </row>
    <row r="16" spans="1:2" x14ac:dyDescent="0.25">
      <c r="A16" s="4">
        <v>2024</v>
      </c>
      <c r="B16" s="5">
        <v>1.4913472222222242</v>
      </c>
    </row>
    <row r="17" spans="1:2" x14ac:dyDescent="0.25">
      <c r="A17" s="4" t="s">
        <v>133</v>
      </c>
      <c r="B17" s="5">
        <v>1.3728259680134662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1BCD-0486-4FFD-81C7-D5425F057CCE}">
  <dimension ref="A1:B16"/>
  <sheetViews>
    <sheetView workbookViewId="0">
      <selection activeCell="D17" sqref="D17"/>
    </sheetView>
  </sheetViews>
  <sheetFormatPr defaultRowHeight="15" x14ac:dyDescent="0.25"/>
  <cols>
    <col min="1" max="1" width="13.140625" bestFit="1" customWidth="1"/>
    <col min="2" max="2" width="15.5703125" bestFit="1" customWidth="1"/>
  </cols>
  <sheetData>
    <row r="1" spans="1:2" x14ac:dyDescent="0.25">
      <c r="A1" s="3" t="s">
        <v>16</v>
      </c>
      <c r="B1" s="4">
        <v>1</v>
      </c>
    </row>
    <row r="3" spans="1:2" x14ac:dyDescent="0.25">
      <c r="A3" s="3" t="s">
        <v>132</v>
      </c>
      <c r="B3" t="s">
        <v>135</v>
      </c>
    </row>
    <row r="4" spans="1:2" x14ac:dyDescent="0.25">
      <c r="A4" s="4">
        <v>1</v>
      </c>
      <c r="B4" s="5">
        <v>0.84111111111111136</v>
      </c>
    </row>
    <row r="5" spans="1:2" x14ac:dyDescent="0.25">
      <c r="A5" s="4">
        <v>2</v>
      </c>
      <c r="B5" s="5">
        <v>1.0336818181818175</v>
      </c>
    </row>
    <row r="6" spans="1:2" x14ac:dyDescent="0.25">
      <c r="A6" s="4">
        <v>3</v>
      </c>
      <c r="B6" s="5">
        <v>1.3176414141414134</v>
      </c>
    </row>
    <row r="7" spans="1:2" x14ac:dyDescent="0.25">
      <c r="A7" s="4">
        <v>4</v>
      </c>
      <c r="B7" s="5">
        <v>1.4554015151515176</v>
      </c>
    </row>
    <row r="8" spans="1:2" x14ac:dyDescent="0.25">
      <c r="A8" s="4">
        <v>5</v>
      </c>
      <c r="B8" s="5">
        <v>1.5534242424242424</v>
      </c>
    </row>
    <row r="9" spans="1:2" x14ac:dyDescent="0.25">
      <c r="A9" s="4">
        <v>6</v>
      </c>
      <c r="B9" s="5">
        <v>1.5754898989899007</v>
      </c>
    </row>
    <row r="10" spans="1:2" x14ac:dyDescent="0.25">
      <c r="A10" s="4">
        <v>7</v>
      </c>
      <c r="B10" s="5">
        <v>1.5372095959595951</v>
      </c>
    </row>
    <row r="11" spans="1:2" x14ac:dyDescent="0.25">
      <c r="A11" s="4">
        <v>8</v>
      </c>
      <c r="B11" s="5">
        <v>1.6382575757575752</v>
      </c>
    </row>
    <row r="12" spans="1:2" x14ac:dyDescent="0.25">
      <c r="A12" s="4">
        <v>9</v>
      </c>
      <c r="B12" s="5">
        <v>1.5471489898989894</v>
      </c>
    </row>
    <row r="13" spans="1:2" x14ac:dyDescent="0.25">
      <c r="A13" s="4">
        <v>10</v>
      </c>
      <c r="B13" s="5">
        <v>1.4963257575757563</v>
      </c>
    </row>
    <row r="14" spans="1:2" x14ac:dyDescent="0.25">
      <c r="A14" s="4">
        <v>11</v>
      </c>
      <c r="B14" s="5">
        <v>1.2768207070707069</v>
      </c>
    </row>
    <row r="15" spans="1:2" x14ac:dyDescent="0.25">
      <c r="A15" s="4">
        <v>12</v>
      </c>
      <c r="B15" s="5">
        <v>1.2013989898989894</v>
      </c>
    </row>
    <row r="16" spans="1:2" x14ac:dyDescent="0.25">
      <c r="A16" s="4" t="s">
        <v>133</v>
      </c>
      <c r="B16" s="5">
        <v>1.3728259680134651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14D9-B75F-4B20-A867-B0116DDAF730}">
  <dimension ref="A1:B8"/>
  <sheetViews>
    <sheetView topLeftCell="C1" workbookViewId="0">
      <selection activeCell="G21" sqref="G21"/>
    </sheetView>
  </sheetViews>
  <sheetFormatPr defaultRowHeight="15" x14ac:dyDescent="0.25"/>
  <cols>
    <col min="1" max="1" width="13.140625" bestFit="1" customWidth="1"/>
    <col min="2" max="2" width="15.5703125" bestFit="1" customWidth="1"/>
  </cols>
  <sheetData>
    <row r="1" spans="1:2" x14ac:dyDescent="0.25">
      <c r="A1" s="3" t="s">
        <v>16</v>
      </c>
      <c r="B1" s="4">
        <v>1</v>
      </c>
    </row>
    <row r="3" spans="1:2" x14ac:dyDescent="0.25">
      <c r="A3" s="3" t="s">
        <v>132</v>
      </c>
      <c r="B3" t="s">
        <v>135</v>
      </c>
    </row>
    <row r="4" spans="1:2" x14ac:dyDescent="0.25">
      <c r="A4" s="4" t="s">
        <v>122</v>
      </c>
      <c r="B4" s="5">
        <v>0.89437544802867242</v>
      </c>
    </row>
    <row r="5" spans="1:2" x14ac:dyDescent="0.25">
      <c r="A5" s="4" t="s">
        <v>40</v>
      </c>
      <c r="B5" s="5">
        <v>1.6386185714285708</v>
      </c>
    </row>
    <row r="6" spans="1:2" x14ac:dyDescent="0.25">
      <c r="A6" s="4" t="s">
        <v>24</v>
      </c>
      <c r="B6" s="5">
        <v>1.4405357142857151</v>
      </c>
    </row>
    <row r="7" spans="1:2" x14ac:dyDescent="0.25">
      <c r="A7" s="4" t="s">
        <v>125</v>
      </c>
      <c r="B7" s="5">
        <v>1.1517612612612611</v>
      </c>
    </row>
    <row r="8" spans="1:2" x14ac:dyDescent="0.25">
      <c r="A8" s="4" t="s">
        <v>133</v>
      </c>
      <c r="B8" s="5">
        <v>1.3728259680134651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F254-8403-4325-ACBC-4E5B7761B45B}">
  <dimension ref="A1:B5"/>
  <sheetViews>
    <sheetView workbookViewId="0">
      <selection activeCell="B6" sqref="B6"/>
    </sheetView>
  </sheetViews>
  <sheetFormatPr defaultRowHeight="15" x14ac:dyDescent="0.25"/>
  <cols>
    <col min="1" max="1" width="30" bestFit="1" customWidth="1"/>
  </cols>
  <sheetData>
    <row r="1" spans="1:2" x14ac:dyDescent="0.25">
      <c r="A1" t="s">
        <v>127</v>
      </c>
      <c r="B1">
        <f>ROWS(tblProd[])</f>
        <v>6552</v>
      </c>
    </row>
    <row r="2" spans="1:2" x14ac:dyDescent="0.25">
      <c r="A2" t="s">
        <v>128</v>
      </c>
      <c r="B2">
        <f>COUNTA(_xlfn.UNIQUE(tblProd[Block_ID]))</f>
        <v>42</v>
      </c>
    </row>
    <row r="3" spans="1:2" x14ac:dyDescent="0.25">
      <c r="A3" t="s">
        <v>129</v>
      </c>
      <c r="B3">
        <f>COUNTIF(tblProd[Is_Mature],0)</f>
        <v>1800</v>
      </c>
    </row>
    <row r="4" spans="1:2" x14ac:dyDescent="0.25">
      <c r="A4" t="s">
        <v>130</v>
      </c>
      <c r="B4">
        <f>COUNTIF(tblProd[Is_Mature],1)</f>
        <v>4752</v>
      </c>
    </row>
    <row r="5" spans="1:2" x14ac:dyDescent="0.25">
      <c r="A5" t="s">
        <v>131</v>
      </c>
      <c r="B5">
        <f>COUNTIFS(tblProd[Plant_Status],"&lt;&gt;TBM",tblProd[Productivity_t_Ha],0)</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7FE45E-7C03-4285-B381-DB34961A89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Data_raw</vt:lpstr>
      <vt:lpstr>Top 10 Produktivitas</vt:lpstr>
      <vt:lpstr>Jenis Bibit</vt:lpstr>
      <vt:lpstr>Rata2 produktivitas</vt:lpstr>
      <vt:lpstr>Pola Musiman per Bulan</vt:lpstr>
      <vt:lpstr>Produktivitas per Kelompok Umur</vt:lpstr>
      <vt:lpstr>Cek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 Firdaus</dc:creator>
  <cp:lastModifiedBy>Andri Firdaus</cp:lastModifiedBy>
  <dcterms:created xsi:type="dcterms:W3CDTF">2026-10-13T08:43:02Z</dcterms:created>
  <dcterms:modified xsi:type="dcterms:W3CDTF">2026-10-13T10:07:00Z</dcterms:modified>
</cp:coreProperties>
</file>